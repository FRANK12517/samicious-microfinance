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drawings/drawing1.xml" ContentType="application/vnd.openxmlformats-officedocument.drawing+xml"/>
  <Override PartName="/xl/worksheets/sheet42.xml" ContentType="application/vnd.openxmlformats-officedocument.spreadsheetml.worksheet+xml"/>
  <Override PartName="/xl/worksheets/sheet43.xml" ContentType="application/vnd.openxmlformats-officedocument.spreadsheetml.worksheet+xml"/>
  <Override PartName="/xl/drawings/drawing2.xml" ContentType="application/vnd.openxmlformats-officedocument.drawing+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3" autoFilterDateGrouping="1"/>
  </bookViews>
  <sheets>
    <sheet xmlns:r="http://schemas.openxmlformats.org/officeDocument/2006/relationships" name="DEVELOPER" sheetId="1" state="visible" r:id="rId1"/>
    <sheet xmlns:r="http://schemas.openxmlformats.org/officeDocument/2006/relationships" name="ACKNOWLEDGEMENT" sheetId="2" state="visible" r:id="rId2"/>
    <sheet xmlns:r="http://schemas.openxmlformats.org/officeDocument/2006/relationships" name="Manager_Dashboard" sheetId="3" state="visible" r:id="rId3"/>
    <sheet xmlns:r="http://schemas.openxmlformats.org/officeDocument/2006/relationships" name="Account_Opening" sheetId="4" state="visible" r:id="rId4"/>
    <sheet xmlns:r="http://schemas.openxmlformats.org/officeDocument/2006/relationships" name="Customer Account Database" sheetId="5" state="visible" r:id="rId5"/>
    <sheet xmlns:r="http://schemas.openxmlformats.org/officeDocument/2006/relationships" name="Agent01_Savings" sheetId="6" state="visible" r:id="rId6"/>
    <sheet xmlns:r="http://schemas.openxmlformats.org/officeDocument/2006/relationships" name="Agent01_Withdrawals" sheetId="7" state="visible" r:id="rId7"/>
    <sheet xmlns:r="http://schemas.openxmlformats.org/officeDocument/2006/relationships" name="Agent01_Loans" sheetId="8" state="visible" r:id="rId8"/>
    <sheet xmlns:r="http://schemas.openxmlformats.org/officeDocument/2006/relationships" name="Agent02_Savings" sheetId="9" state="visible" r:id="rId9"/>
    <sheet xmlns:r="http://schemas.openxmlformats.org/officeDocument/2006/relationships" name="Agent02_Withdrawals" sheetId="10" state="visible" r:id="rId10"/>
    <sheet xmlns:r="http://schemas.openxmlformats.org/officeDocument/2006/relationships" name="Agent02_Loans" sheetId="11" state="visible" r:id="rId11"/>
    <sheet xmlns:r="http://schemas.openxmlformats.org/officeDocument/2006/relationships" name="Agent03_Savings" sheetId="12" state="visible" r:id="rId12"/>
    <sheet xmlns:r="http://schemas.openxmlformats.org/officeDocument/2006/relationships" name="Agent03_Withdrawals" sheetId="13" state="visible" r:id="rId13"/>
    <sheet xmlns:r="http://schemas.openxmlformats.org/officeDocument/2006/relationships" name="Agent03_Loans" sheetId="14" state="visible" r:id="rId14"/>
    <sheet xmlns:r="http://schemas.openxmlformats.org/officeDocument/2006/relationships" name="Agent04_Savings" sheetId="15" state="visible" r:id="rId15"/>
    <sheet xmlns:r="http://schemas.openxmlformats.org/officeDocument/2006/relationships" name="Agent04_Withdrawals" sheetId="16" state="visible" r:id="rId16"/>
    <sheet xmlns:r="http://schemas.openxmlformats.org/officeDocument/2006/relationships" name="Agent04_Loans" sheetId="17" state="visible" r:id="rId17"/>
    <sheet xmlns:r="http://schemas.openxmlformats.org/officeDocument/2006/relationships" name="Agent05_Savings" sheetId="18" state="visible" r:id="rId18"/>
    <sheet xmlns:r="http://schemas.openxmlformats.org/officeDocument/2006/relationships" name="Agent05_Withdrawals" sheetId="19" state="visible" r:id="rId19"/>
    <sheet xmlns:r="http://schemas.openxmlformats.org/officeDocument/2006/relationships" name="Agent05_Loans" sheetId="20" state="visible" r:id="rId20"/>
    <sheet xmlns:r="http://schemas.openxmlformats.org/officeDocument/2006/relationships" name="Agent06_Savings" sheetId="21" state="visible" r:id="rId21"/>
    <sheet xmlns:r="http://schemas.openxmlformats.org/officeDocument/2006/relationships" name="Agent06_Withdrawals" sheetId="22" state="visible" r:id="rId22"/>
    <sheet xmlns:r="http://schemas.openxmlformats.org/officeDocument/2006/relationships" name="Agent06_Loans" sheetId="23" state="visible" r:id="rId23"/>
    <sheet xmlns:r="http://schemas.openxmlformats.org/officeDocument/2006/relationships" name="Agent07_Savings" sheetId="24" state="visible" r:id="rId24"/>
    <sheet xmlns:r="http://schemas.openxmlformats.org/officeDocument/2006/relationships" name="Agent07_Withdrawals" sheetId="25" state="visible" r:id="rId25"/>
    <sheet xmlns:r="http://schemas.openxmlformats.org/officeDocument/2006/relationships" name="Agent07_Loans" sheetId="26" state="visible" r:id="rId26"/>
    <sheet xmlns:r="http://schemas.openxmlformats.org/officeDocument/2006/relationships" name="Agent08_Savings" sheetId="27" state="visible" r:id="rId27"/>
    <sheet xmlns:r="http://schemas.openxmlformats.org/officeDocument/2006/relationships" name="Agent08_Withdrawals" sheetId="28" state="visible" r:id="rId28"/>
    <sheet xmlns:r="http://schemas.openxmlformats.org/officeDocument/2006/relationships" name="Agent08_Loans" sheetId="29" state="visible" r:id="rId29"/>
    <sheet xmlns:r="http://schemas.openxmlformats.org/officeDocument/2006/relationships" name="Agent09_Savings" sheetId="30" state="visible" r:id="rId30"/>
    <sheet xmlns:r="http://schemas.openxmlformats.org/officeDocument/2006/relationships" name="Agent09_Withdrawals" sheetId="31" state="visible" r:id="rId31"/>
    <sheet xmlns:r="http://schemas.openxmlformats.org/officeDocument/2006/relationships" name="Agent09_Loans" sheetId="32" state="visible" r:id="rId32"/>
    <sheet xmlns:r="http://schemas.openxmlformats.org/officeDocument/2006/relationships" name="Agent10_Savings" sheetId="33" state="visible" r:id="rId33"/>
    <sheet xmlns:r="http://schemas.openxmlformats.org/officeDocument/2006/relationships" name="Agent10_Withdrawals" sheetId="34" state="visible" r:id="rId34"/>
    <sheet xmlns:r="http://schemas.openxmlformats.org/officeDocument/2006/relationships" name="Agent10_Loans" sheetId="35" state="visible" r:id="rId35"/>
    <sheet xmlns:r="http://schemas.openxmlformats.org/officeDocument/2006/relationships" name="DB_Customers" sheetId="36" state="visible" r:id="rId36"/>
    <sheet xmlns:r="http://schemas.openxmlformats.org/officeDocument/2006/relationships" name="DB_Savings" sheetId="37" state="visible" r:id="rId37"/>
    <sheet xmlns:r="http://schemas.openxmlformats.org/officeDocument/2006/relationships" name="DB_Withdrawals" sheetId="38" state="visible" r:id="rId38"/>
    <sheet xmlns:r="http://schemas.openxmlformats.org/officeDocument/2006/relationships" name="DB_Loans" sheetId="39" state="visible" r:id="rId39"/>
    <sheet xmlns:r="http://schemas.openxmlformats.org/officeDocument/2006/relationships" name="DB_Corrections" sheetId="40" state="visible" r:id="rId40"/>
    <sheet xmlns:r="http://schemas.openxmlformats.org/officeDocument/2006/relationships" name="Daily_Balancing" sheetId="41" state="visible" r:id="rId41"/>
    <sheet xmlns:r="http://schemas.openxmlformats.org/officeDocument/2006/relationships" name="Weekly_Balancing" sheetId="42" state="visible" r:id="rId42"/>
    <sheet xmlns:r="http://schemas.openxmlformats.org/officeDocument/2006/relationships" name="Monthly_Balancing" sheetId="43" state="visible" r:id="rId43"/>
    <sheet xmlns:r="http://schemas.openxmlformats.org/officeDocument/2006/relationships" name="MASTER_DATABASE" sheetId="44" state="visible" r:id="rId44"/>
    <sheet xmlns:r="http://schemas.openxmlformats.org/officeDocument/2006/relationships" name="CLOUD_SYNC" sheetId="45" state="visible" r:id="rId45"/>
    <sheet xmlns:r="http://schemas.openxmlformats.org/officeDocument/2006/relationships" name="DB_Agents" sheetId="46" state="visible" r:id="rId46"/>
    <sheet xmlns:r="http://schemas.openxmlformats.org/officeDocument/2006/relationships" name="System_Config" sheetId="47" state="hidden" r:id="rId47"/>
    <sheet xmlns:r="http://schemas.openxmlformats.org/officeDocument/2006/relationships" name="Audit_Log" sheetId="48" state="hidden" r:id="rId48"/>
    <sheet xmlns:r="http://schemas.openxmlformats.org/officeDocument/2006/relationships" name="VBA_Macros" sheetId="49" state="visible" r:id="rId49"/>
    <sheet xmlns:r="http://schemas.openxmlformats.org/officeDocument/2006/relationships" name="AI_Intelligence" sheetId="50" state="visible" r:id="rId50"/>
    <sheet xmlns:r="http://schemas.openxmlformats.org/officeDocument/2006/relationships" name="Annual_Report" sheetId="51" state="visible" r:id="rId51"/>
  </sheets>
  <definedNames>
    <definedName name="_xlnm._FilterDatabase" localSheetId="4" hidden="1">'Customer Account Database'!$A$8:$N$508</definedName>
    <definedName name="_xlnm._FilterDatabase" localSheetId="35" hidden="1">'DB_Customers'!$A$3:$N$3</definedName>
    <definedName name="_xlnm._FilterDatabase" localSheetId="36" hidden="1">'DB_Savings'!$A$3:$J$3</definedName>
    <definedName name="_xlnm._FilterDatabase" localSheetId="37" hidden="1">'DB_Withdrawals'!$A$3:$L$3</definedName>
    <definedName name="_xlnm._FilterDatabase" localSheetId="38" hidden="1">'DB_Loans'!$A$3:$M$3</definedName>
  </definedNames>
  <calcPr calcId="124519" fullCalcOnLoad="1" refMode="A1" iterate="0" iterateCount="100" iterateDelta="0.0001"/>
</workbook>
</file>

<file path=xl/styles.xml><?xml version="1.0" encoding="utf-8"?>
<styleSheet xmlns="http://schemas.openxmlformats.org/spreadsheetml/2006/main">
  <numFmts count="7">
    <numFmt numFmtId="164" formatCode="&quot;GHC &quot;#,##0.00;&quot;(GHC &quot;#,##0.00\);\-"/>
    <numFmt numFmtId="165" formatCode="0.0%"/>
    <numFmt numFmtId="166" formatCode="0.0"/>
    <numFmt numFmtId="167" formatCode="m/d/yyyy"/>
    <numFmt numFmtId="168" formatCode="&quot;GHC &quot;#,##0.00"/>
    <numFmt numFmtId="169" formatCode="yyyy\-mm\-dd"/>
    <numFmt numFmtId="170" formatCode="0.00\%"/>
  </numFmts>
  <fonts count="130">
    <font>
      <name val="Calibri"/>
      <charset val="1"/>
      <family val="2"/>
      <color theme="1"/>
      <sz val="11"/>
    </font>
    <font>
      <name val="Arial"/>
      <family val="0"/>
      <sz val="10"/>
    </font>
    <font>
      <name val="Arial"/>
      <family val="0"/>
      <sz val="10"/>
    </font>
    <font>
      <name val="Arial"/>
      <family val="0"/>
      <sz val="10"/>
    </font>
    <font>
      <name val="Calibri"/>
      <charset val="1"/>
      <family val="2"/>
      <b val="1"/>
      <color rgb="FFF6AE2D"/>
      <sz val="18"/>
    </font>
    <font>
      <name val="Calibri"/>
      <charset val="1"/>
      <family val="2"/>
      <color rgb="FFFFFFFF"/>
      <sz val="10"/>
    </font>
    <font>
      <name val="Calibri"/>
      <charset val="1"/>
      <family val="2"/>
      <b val="1"/>
      <color rgb="FF1E3A5F"/>
      <sz val="20"/>
    </font>
    <font>
      <name val="Calibri"/>
      <charset val="1"/>
      <family val="2"/>
      <color rgb="FF7F8C8D"/>
      <sz val="10"/>
    </font>
    <font>
      <name val="Calibri"/>
      <charset val="1"/>
      <family val="2"/>
      <b val="1"/>
      <color rgb="FFF6AE2D"/>
      <sz val="28"/>
    </font>
    <font>
      <name val="Calibri"/>
      <charset val="1"/>
      <family val="2"/>
      <b val="1"/>
      <color rgb="FFFFFFFF"/>
      <sz val="14"/>
    </font>
    <font>
      <name val="Calibri"/>
      <charset val="1"/>
      <family val="2"/>
      <b val="1"/>
      <color rgb="FF1E3A5F"/>
      <sz val="11"/>
    </font>
    <font>
      <name val="Calibri"/>
      <charset val="1"/>
      <family val="2"/>
      <b val="1"/>
      <color rgb="FFFFFFFF"/>
      <sz val="18"/>
    </font>
    <font>
      <name val="Calibri"/>
      <charset val="1"/>
      <family val="2"/>
      <i val="1"/>
      <color rgb="FF1E3A5F"/>
      <sz val="10"/>
    </font>
    <font>
      <name val="Calibri"/>
      <charset val="1"/>
      <family val="2"/>
      <color rgb="FF7F8C8D"/>
      <sz val="9"/>
    </font>
    <font>
      <name val="Calibri"/>
      <charset val="1"/>
      <family val="2"/>
      <color rgb="FF1E3A5F"/>
      <sz val="11"/>
    </font>
    <font>
      <name val="Calibri"/>
      <charset val="1"/>
      <family val="2"/>
      <b val="1"/>
      <color rgb="FFF6AE2D"/>
      <sz val="13"/>
    </font>
    <font>
      <name val="Calibri"/>
      <charset val="1"/>
      <family val="2"/>
      <b val="1"/>
      <i val="1"/>
      <color rgb="FF1E3A5F"/>
      <sz val="13"/>
    </font>
    <font>
      <name val="Calibri"/>
      <charset val="1"/>
      <family val="2"/>
      <i val="1"/>
      <color rgb="FF7F8C8D"/>
      <sz val="11"/>
    </font>
    <font>
      <name val="Arial"/>
      <charset val="1"/>
      <family val="2"/>
      <b val="1"/>
      <color rgb="FFF6AE2D"/>
      <sz val="18"/>
    </font>
    <font>
      <name val="Arial"/>
      <charset val="1"/>
      <family val="2"/>
      <color rgb="FFFFFFFF"/>
      <sz val="11"/>
    </font>
    <font>
      <name val="Arial"/>
      <charset val="1"/>
      <family val="2"/>
      <b val="1"/>
      <color rgb="FFFFFFFF"/>
      <sz val="9"/>
    </font>
    <font>
      <name val="Arial"/>
      <charset val="1"/>
      <family val="2"/>
      <b val="1"/>
      <color rgb="FF27AE60"/>
      <sz val="16"/>
    </font>
    <font>
      <name val="Arial"/>
      <charset val="1"/>
      <family val="2"/>
      <b val="1"/>
      <color rgb="FFC0392B"/>
      <sz val="16"/>
    </font>
    <font>
      <name val="Arial"/>
      <charset val="1"/>
      <family val="2"/>
      <b val="1"/>
      <color rgb="FF1ABC9C"/>
      <sz val="16"/>
    </font>
    <font>
      <name val="Arial"/>
      <charset val="1"/>
      <family val="2"/>
      <b val="1"/>
      <color rgb="FF2E86AB"/>
      <sz val="16"/>
    </font>
    <font>
      <name val="Arial"/>
      <charset val="1"/>
      <family val="2"/>
      <b val="1"/>
      <color rgb="FFE67E22"/>
      <sz val="16"/>
    </font>
    <font>
      <name val="Arial"/>
      <charset val="1"/>
      <family val="2"/>
      <b val="1"/>
      <color rgb="FF8E44AD"/>
      <sz val="16"/>
    </font>
    <font>
      <name val="Arial"/>
      <charset val="1"/>
      <family val="2"/>
      <b val="1"/>
      <color rgb="FFFFFFFF"/>
      <sz val="12"/>
    </font>
    <font>
      <name val="Arial"/>
      <charset val="1"/>
      <family val="2"/>
      <b val="1"/>
      <color rgb="FFFFFFFF"/>
      <sz val="10"/>
    </font>
    <font>
      <name val="Arial"/>
      <charset val="1"/>
      <family val="2"/>
      <color rgb="FF000000"/>
      <sz val="10"/>
    </font>
    <font>
      <name val="Arial"/>
      <charset val="1"/>
      <family val="2"/>
      <b val="1"/>
      <color rgb="FF1A252F"/>
      <sz val="10"/>
    </font>
    <font>
      <name val="Arial"/>
      <charset val="1"/>
      <family val="2"/>
      <color rgb="FF1A252F"/>
      <sz val="10"/>
    </font>
    <font>
      <name val="Arial"/>
      <charset val="1"/>
      <family val="2"/>
      <b val="1"/>
      <color rgb="FF1E3A5F"/>
      <sz val="10"/>
    </font>
    <font>
      <name val="Arial"/>
      <charset val="1"/>
      <family val="2"/>
      <b val="1"/>
      <color rgb="FFF6AE2D"/>
      <sz val="11"/>
    </font>
    <font>
      <name val="Arial"/>
      <charset val="1"/>
      <family val="2"/>
      <b val="1"/>
      <color rgb="FF27AE60"/>
      <sz val="10"/>
    </font>
    <font>
      <name val="Arial"/>
      <charset val="1"/>
      <family val="2"/>
      <color rgb="FF1A252F"/>
      <sz val="9"/>
    </font>
    <font>
      <name val="Arial"/>
      <charset val="1"/>
      <family val="0"/>
      <b val="1"/>
      <color rgb="FFFFFFFF"/>
      <sz val="11"/>
    </font>
    <font>
      <name val="Arial"/>
      <charset val="1"/>
      <family val="0"/>
      <b val="1"/>
      <color rgb="FF555555"/>
      <sz val="9"/>
    </font>
    <font>
      <name val="Arial"/>
      <charset val="1"/>
      <family val="0"/>
      <b val="1"/>
      <color rgb="FF1565C0"/>
      <sz val="13"/>
    </font>
    <font>
      <name val="Arial"/>
      <charset val="1"/>
      <family val="0"/>
      <b val="1"/>
      <color rgb="FF2E7D32"/>
      <sz val="13"/>
    </font>
    <font>
      <name val="Arial"/>
      <charset val="1"/>
      <family val="0"/>
      <b val="1"/>
      <color rgb="FFB71C1C"/>
      <sz val="13"/>
    </font>
    <font>
      <name val="Arial"/>
      <charset val="1"/>
      <family val="0"/>
      <b val="1"/>
      <color rgb="FFE65100"/>
      <sz val="13"/>
    </font>
    <font>
      <name val="Arial"/>
      <charset val="1"/>
      <family val="2"/>
      <b val="1"/>
      <color rgb="FFF6AE2D"/>
      <sz val="14"/>
    </font>
    <font>
      <name val="Arial"/>
      <charset val="1"/>
      <family val="2"/>
      <color rgb="FFFFFFFF"/>
      <sz val="10"/>
    </font>
    <font>
      <name val="Arial"/>
      <charset val="1"/>
      <family val="2"/>
      <color rgb="FF7F8C8D"/>
      <sz val="9"/>
    </font>
    <font>
      <name val="Arial"/>
      <charset val="1"/>
      <family val="2"/>
      <sz val="11"/>
    </font>
    <font>
      <name val="Arial"/>
      <charset val="1"/>
      <family val="2"/>
      <b val="1"/>
      <color rgb="FF1E3A5F"/>
      <sz val="11"/>
    </font>
    <font>
      <name val="Arial"/>
      <charset val="1"/>
      <family val="2"/>
      <color rgb="FF000000"/>
      <sz val="11"/>
    </font>
    <font>
      <name val="Arial"/>
      <charset val="1"/>
      <family val="2"/>
      <color rgb="FFCC0000"/>
      <sz val="9"/>
    </font>
    <font>
      <name val="Arial"/>
      <charset val="1"/>
      <family val="2"/>
      <color rgb="FF5D6D7E"/>
      <sz val="10"/>
    </font>
    <font>
      <name val="Arial"/>
      <charset val="1"/>
      <family val="2"/>
      <b val="1"/>
      <color rgb="FF1A252F"/>
      <sz val="13"/>
    </font>
    <font>
      <name val="Arial"/>
      <charset val="1"/>
      <family val="2"/>
      <b val="1"/>
      <color rgb="FFFFFFFF"/>
      <sz val="13"/>
    </font>
    <font>
      <name val="Arial"/>
      <charset val="1"/>
      <family val="2"/>
      <b val="1"/>
      <color rgb="FFFFFFFF"/>
      <sz val="11"/>
    </font>
    <font>
      <name val="Arial"/>
      <charset val="1"/>
      <family val="2"/>
      <b val="1"/>
      <color rgb="FF1A252F"/>
      <sz val="12"/>
    </font>
    <font>
      <name val="Arial"/>
      <charset val="1"/>
      <family val="2"/>
      <b val="1"/>
      <color rgb="FF1A252F"/>
      <sz val="9"/>
    </font>
    <font>
      <name val="Arial"/>
      <charset val="1"/>
      <family val="2"/>
      <i val="1"/>
      <color rgb="FF1A252F"/>
      <sz val="9"/>
    </font>
    <font>
      <name val="Arial"/>
      <charset val="1"/>
      <family val="2"/>
      <i val="1"/>
      <color rgb="FF7F8C8D"/>
      <sz val="8"/>
    </font>
    <font>
      <name val="Arial"/>
      <charset val="1"/>
      <family val="2"/>
      <color rgb="FF000000"/>
      <sz val="9"/>
    </font>
    <font>
      <name val="Calibri"/>
      <charset val="1"/>
      <family val="2"/>
      <b val="1"/>
      <color rgb="FFF6AE2D"/>
      <sz val="16"/>
    </font>
    <font>
      <name val="Calibri"/>
      <charset val="1"/>
      <family val="2"/>
      <color rgb="FFFFFFFF"/>
      <sz val="9"/>
    </font>
    <font>
      <name val="Calibri"/>
      <charset val="1"/>
      <family val="2"/>
      <color rgb="FF000000"/>
      <sz val="11"/>
    </font>
    <font>
      <name val="Calibri"/>
      <charset val="1"/>
      <family val="2"/>
      <b val="1"/>
      <color rgb="FFFFFFFF"/>
      <sz val="11"/>
    </font>
    <font>
      <name val="Calibri"/>
      <charset val="1"/>
      <family val="2"/>
      <b val="1"/>
      <color rgb="FF1E3A5F"/>
      <sz val="10"/>
    </font>
    <font>
      <name val="Calibri"/>
      <charset val="1"/>
      <family val="2"/>
      <b val="1"/>
      <color rgb="FF1A252F"/>
      <sz val="11"/>
    </font>
    <font>
      <name val="Calibri"/>
      <charset val="1"/>
      <family val="2"/>
      <i val="1"/>
      <color rgb="FF7F8C8D"/>
      <sz val="8"/>
    </font>
    <font>
      <name val="Calibri"/>
      <charset val="1"/>
      <family val="2"/>
      <color rgb="FFF6AE2D"/>
      <sz val="8"/>
    </font>
    <font>
      <name val="Calibri"/>
      <charset val="1"/>
      <family val="2"/>
      <b val="1"/>
      <color rgb="FFFFFFFF"/>
      <sz val="9"/>
    </font>
    <font>
      <name val="Calibri"/>
      <charset val="1"/>
      <family val="2"/>
      <b val="1"/>
      <color rgb="FF27AE60"/>
      <sz val="7"/>
    </font>
    <font>
      <name val="Calibri"/>
      <charset val="1"/>
      <family val="2"/>
      <color rgb="FF1A252F"/>
      <sz val="9"/>
    </font>
    <font>
      <name val="Calibri"/>
      <charset val="1"/>
      <family val="2"/>
      <color rgb="FF5D6D7E"/>
      <sz val="9"/>
    </font>
    <font>
      <name val="Calibri"/>
      <charset val="1"/>
      <family val="2"/>
      <b val="1"/>
      <color rgb="FF1E3A5F"/>
      <sz val="9"/>
    </font>
    <font>
      <name val="Calibri"/>
      <charset val="1"/>
      <family val="2"/>
      <b val="1"/>
      <color rgb="FF27AE60"/>
      <sz val="9"/>
    </font>
    <font>
      <name val="Arial"/>
      <charset val="1"/>
      <family val="2"/>
      <b val="1"/>
      <color rgb="FFF6AE2D"/>
      <sz val="9"/>
    </font>
    <font>
      <name val="Arial"/>
      <charset val="1"/>
      <family val="2"/>
      <i val="1"/>
      <sz val="9"/>
    </font>
    <font>
      <name val="Arial"/>
      <charset val="1"/>
      <family val="2"/>
      <b val="1"/>
      <color rgb="FF27AE60"/>
      <sz val="13"/>
    </font>
    <font>
      <name val="Arial"/>
      <charset val="1"/>
      <family val="2"/>
      <b val="1"/>
      <color rgb="FF2E86AB"/>
      <sz val="13"/>
    </font>
    <font>
      <name val="Arial"/>
      <charset val="1"/>
      <family val="2"/>
      <b val="1"/>
      <color rgb="FF1E3A5F"/>
      <sz val="13"/>
    </font>
    <font>
      <name val="Arial"/>
      <charset val="1"/>
      <family val="2"/>
      <color rgb="FF0000FF"/>
      <sz val="10"/>
    </font>
    <font>
      <name val="Arial"/>
      <charset val="1"/>
      <family val="2"/>
      <color rgb="FF7F8C8D"/>
      <sz val="10"/>
    </font>
    <font>
      <name val="Arial"/>
      <charset val="1"/>
      <family val="2"/>
      <b val="1"/>
      <color rgb="FF0000FF"/>
      <sz val="10"/>
    </font>
    <font>
      <name val="Arial"/>
      <charset val="1"/>
      <family val="2"/>
      <b val="1"/>
      <color rgb="FFC0392B"/>
      <sz val="13"/>
    </font>
    <font>
      <name val="Arial"/>
      <charset val="1"/>
      <family val="2"/>
      <b val="1"/>
      <color rgb="FFE67E22"/>
      <sz val="13"/>
    </font>
    <font>
      <name val="Arial"/>
      <charset val="1"/>
      <family val="2"/>
      <b val="1"/>
      <color rgb="FF000000"/>
      <sz val="10"/>
    </font>
    <font>
      <name val="Arial"/>
      <charset val="1"/>
      <family val="2"/>
      <b val="1"/>
      <color rgb="FFFFFFFF"/>
      <sz val="14"/>
    </font>
    <font>
      <name val="Arial"/>
      <charset val="1"/>
      <family val="2"/>
      <color rgb="FFF6AE2D"/>
      <sz val="10"/>
    </font>
    <font>
      <name val="Arial"/>
      <charset val="1"/>
      <family val="2"/>
      <b val="1"/>
      <color rgb="FF1A252F"/>
      <sz val="11"/>
    </font>
    <font>
      <name val="Arial"/>
      <charset val="1"/>
      <family val="2"/>
      <color rgb="FF1ABC9C"/>
      <sz val="10"/>
    </font>
    <font>
      <name val="Arial"/>
      <charset val="1"/>
      <family val="2"/>
      <b val="1"/>
      <color rgb="FFE67E22"/>
      <sz val="10"/>
    </font>
    <font>
      <name val="Arial"/>
      <charset val="1"/>
      <family val="2"/>
      <b val="1"/>
      <color rgb="FFCC0000"/>
      <sz val="8"/>
    </font>
    <font>
      <name val="Arial"/>
      <charset val="1"/>
      <family val="2"/>
      <i val="1"/>
      <color rgb="FF5C2020"/>
      <sz val="9"/>
    </font>
    <font>
      <name val="Calibri"/>
      <family val="2"/>
      <b val="1"/>
      <color rgb="FF000000"/>
      <sz val="18"/>
    </font>
    <font>
      <name val="Calibri"/>
      <family val="2"/>
      <color rgb="FF000000"/>
      <sz val="10"/>
    </font>
    <font>
      <name val="Calibri"/>
      <family val="2"/>
      <b val="1"/>
      <color rgb="FF000000"/>
      <sz val="10"/>
    </font>
    <font>
      <name val="Arial"/>
      <charset val="1"/>
      <family val="2"/>
      <b val="1"/>
      <color rgb="FF27AE60"/>
      <sz val="14"/>
    </font>
    <font>
      <name val="Arial"/>
      <charset val="1"/>
      <family val="2"/>
      <b val="1"/>
      <color rgb="FFC0392B"/>
      <sz val="14"/>
    </font>
    <font>
      <name val="Arial"/>
      <charset val="1"/>
      <family val="2"/>
      <b val="1"/>
      <color rgb="FF1ABC9C"/>
      <sz val="14"/>
    </font>
    <font>
      <name val="Arial"/>
      <charset val="1"/>
      <family val="2"/>
      <b val="1"/>
      <color rgb="FF1E3A5F"/>
      <sz val="14"/>
    </font>
    <font>
      <name val="Arial"/>
      <charset val="1"/>
      <family val="2"/>
      <b val="1"/>
      <color rgb="FF1A252F"/>
      <sz val="14"/>
    </font>
    <font>
      <name val="Arial"/>
      <charset val="1"/>
      <family val="2"/>
      <b val="1"/>
      <color rgb="FFF6AE2D"/>
      <sz val="16"/>
    </font>
    <font>
      <name val="Arial"/>
      <charset val="1"/>
      <family val="2"/>
      <color rgb="FFFFFFFF"/>
      <sz val="9"/>
    </font>
    <font>
      <name val="Arial"/>
      <charset val="1"/>
      <family val="2"/>
      <b val="1"/>
      <color rgb="FF1E3A5F"/>
      <sz val="9"/>
    </font>
    <font>
      <name val="Arial"/>
      <charset val="1"/>
      <family val="2"/>
      <color rgb="FFFFFFFF"/>
      <sz val="8"/>
    </font>
    <font>
      <name val="Arial"/>
      <charset val="1"/>
      <family val="2"/>
      <color rgb="FF000000"/>
      <sz val="8"/>
    </font>
    <font>
      <name val="Arial"/>
      <charset val="1"/>
      <family val="2"/>
      <i val="1"/>
      <color rgb="FF000000"/>
      <sz val="9"/>
    </font>
    <font>
      <name val="Arial"/>
      <charset val="1"/>
      <family val="2"/>
      <color rgb="FF1E3A5F"/>
      <sz val="8"/>
    </font>
    <font>
      <name val="Arial"/>
      <charset val="1"/>
      <family val="2"/>
      <i val="1"/>
      <color rgb="FF000000"/>
      <sz val="8"/>
    </font>
    <font>
      <name val="Arial"/>
      <charset val="1"/>
      <family val="2"/>
      <b val="1"/>
      <sz val="9"/>
    </font>
    <font>
      <name val="Arial"/>
      <charset val="1"/>
      <family val="2"/>
      <sz val="9"/>
    </font>
    <font>
      <name val="Arial"/>
      <charset val="1"/>
      <family val="2"/>
      <b val="1"/>
      <color rgb="FFF6AE2D"/>
      <sz val="13"/>
    </font>
    <font>
      <name val="Courier New"/>
      <charset val="1"/>
      <family val="3"/>
      <sz val="9"/>
    </font>
    <font>
      <name val="Courier New"/>
      <charset val="1"/>
      <family val="3"/>
      <color rgb="FF1A252F"/>
      <sz val="9"/>
    </font>
    <font>
      <name val="Arial"/>
      <charset val="1"/>
      <family val="0"/>
      <b val="1"/>
      <color rgb="FFFFFFFF"/>
      <sz val="15"/>
    </font>
    <font>
      <name val="Arial"/>
      <charset val="1"/>
      <family val="0"/>
      <color rgb="FFE0E0E0"/>
      <sz val="10"/>
    </font>
    <font>
      <name val="Arial"/>
      <charset val="1"/>
      <family val="0"/>
      <b val="1"/>
      <color rgb="FFFFFFFF"/>
      <sz val="8"/>
    </font>
    <font>
      <name val="Arial"/>
      <charset val="1"/>
      <family val="0"/>
      <b val="1"/>
      <color rgb="FF1A237E"/>
      <sz val="13"/>
    </font>
    <font>
      <name val="Arial"/>
      <charset val="1"/>
      <family val="0"/>
      <b val="1"/>
      <color rgb="FFFFFFFF"/>
      <sz val="9"/>
    </font>
    <font>
      <name val="Arial"/>
      <charset val="1"/>
      <family val="0"/>
      <b val="1"/>
      <color rgb="FF1A237E"/>
      <sz val="10"/>
    </font>
    <font>
      <name val="Arial"/>
      <charset val="1"/>
      <family val="0"/>
      <sz val="10"/>
    </font>
    <font>
      <name val="Arial"/>
      <charset val="1"/>
      <family val="0"/>
      <sz val="9"/>
    </font>
    <font>
      <name val="Arial"/>
      <charset val="1"/>
      <family val="0"/>
      <b val="1"/>
      <color rgb="FFFFFFFF"/>
      <sz val="10"/>
    </font>
    <font>
      <name val="Arial"/>
      <charset val="1"/>
      <family val="0"/>
      <b val="1"/>
      <sz val="10"/>
    </font>
    <font>
      <name val="Arial"/>
      <charset val="1"/>
      <family val="0"/>
      <b val="1"/>
      <color rgb="FF1A237E"/>
      <sz val="12"/>
    </font>
    <font>
      <name val="Arial"/>
      <charset val="1"/>
      <family val="0"/>
      <b val="1"/>
      <sz val="11"/>
    </font>
    <font>
      <name val="Arial"/>
      <charset val="1"/>
      <family val="0"/>
      <b val="1"/>
      <color rgb="FFFFFFFF"/>
      <sz val="16"/>
    </font>
    <font>
      <name val="Arial"/>
      <charset val="1"/>
      <family val="0"/>
      <color rgb="FFB0BEC5"/>
      <sz val="10"/>
    </font>
    <font>
      <name val="Arial"/>
      <charset val="1"/>
      <family val="0"/>
      <b val="1"/>
      <color rgb="FF000000"/>
      <sz val="11"/>
    </font>
    <font>
      <name val="Arial"/>
      <charset val="1"/>
      <family val="0"/>
      <b val="1"/>
      <color rgb="FF1A237E"/>
      <sz val="14"/>
    </font>
    <font>
      <name val="Arial"/>
      <charset val="1"/>
      <family val="0"/>
      <b val="1"/>
      <color rgb="FFFFFFFF"/>
      <sz val="12"/>
    </font>
    <font>
      <name val="Arial"/>
      <charset val="1"/>
      <family val="0"/>
      <b val="1"/>
      <color rgb="FF000000"/>
      <sz val="10"/>
    </font>
    <font>
      <name val="Arial"/>
      <charset val="1"/>
      <family val="0"/>
      <color rgb="FF9E9E9E"/>
      <sz val="9"/>
    </font>
  </fonts>
  <fills count="50">
    <fill>
      <patternFill/>
    </fill>
    <fill>
      <patternFill patternType="gray125"/>
    </fill>
    <fill>
      <patternFill patternType="solid">
        <fgColor rgb="FFFFFFFF"/>
        <bgColor rgb="FFFDFEFE"/>
      </patternFill>
    </fill>
    <fill>
      <patternFill patternType="solid">
        <fgColor rgb="FFF6AE2D"/>
        <bgColor rgb="FFE67E22"/>
      </patternFill>
    </fill>
    <fill>
      <patternFill patternType="solid">
        <fgColor rgb="FF2E86AB"/>
        <bgColor rgb="FF1565C0"/>
      </patternFill>
    </fill>
    <fill>
      <patternFill patternType="solid">
        <fgColor rgb="FF27AE60"/>
        <bgColor rgb="FF1ABC9C"/>
      </patternFill>
    </fill>
    <fill>
      <patternFill patternType="solid">
        <fgColor rgb="FFFFF3CD"/>
        <bgColor rgb="FFFFF2CC"/>
      </patternFill>
    </fill>
    <fill>
      <patternFill patternType="solid">
        <fgColor rgb="FF1ABC9C"/>
        <bgColor rgb="FF27AE60"/>
      </patternFill>
    </fill>
    <fill>
      <patternFill patternType="solid">
        <fgColor rgb="FFEBF5FB"/>
        <bgColor rgb="FFF0F3F4"/>
      </patternFill>
    </fill>
    <fill>
      <patternFill patternType="solid">
        <fgColor rgb="FF1E3A5F"/>
        <bgColor rgb="FF093F54"/>
      </patternFill>
    </fill>
    <fill>
      <patternFill patternType="solid">
        <fgColor rgb="FFC0392B"/>
        <bgColor rgb="FFE65100"/>
      </patternFill>
    </fill>
    <fill>
      <patternFill patternType="solid">
        <fgColor rgb="FFE67E22"/>
        <bgColor rgb="FFE65100"/>
      </patternFill>
    </fill>
    <fill>
      <patternFill patternType="solid">
        <fgColor rgb="FF8E44AD"/>
        <bgColor rgb="FF6C3483"/>
      </patternFill>
    </fill>
    <fill>
      <patternFill patternType="solid">
        <fgColor rgb="FF3B209B"/>
        <bgColor rgb="FF283593"/>
      </patternFill>
    </fill>
    <fill>
      <patternFill patternType="solid">
        <fgColor rgb="FFE3F2FD"/>
        <bgColor rgb="FFEBF5FB"/>
      </patternFill>
    </fill>
    <fill>
      <patternFill patternType="solid">
        <fgColor rgb="FFE8F5E9"/>
        <bgColor rgb="FFF0F3F4"/>
      </patternFill>
    </fill>
    <fill>
      <patternFill patternType="solid">
        <fgColor rgb="FFFFEBEE"/>
        <bgColor rgb="FFFDEDEC"/>
      </patternFill>
    </fill>
    <fill>
      <patternFill patternType="solid">
        <fgColor rgb="FFFFF3E0"/>
        <bgColor rgb="FFFEF9E7"/>
      </patternFill>
    </fill>
    <fill>
      <patternFill patternType="solid">
        <fgColor rgb="FFFAFAFA"/>
        <bgColor rgb="FFF8F9FA"/>
      </patternFill>
    </fill>
    <fill>
      <patternFill patternType="solid">
        <fgColor rgb="FFF0F3F4"/>
        <bgColor rgb="FFEBF5FB"/>
      </patternFill>
    </fill>
    <fill>
      <patternFill patternType="darkGray">
        <fgColor rgb="FFCD0C0E"/>
        <bgColor rgb="FFC0392B"/>
      </patternFill>
    </fill>
    <fill>
      <patternFill patternType="solid">
        <fgColor rgb="FFFDFEFE"/>
        <bgColor rgb="FFFFFFFF"/>
      </patternFill>
    </fill>
    <fill>
      <patternFill patternType="solid">
        <fgColor rgb="FFFFF2CC"/>
        <bgColor rgb="FFFFF3CD"/>
      </patternFill>
    </fill>
    <fill>
      <patternFill patternType="solid">
        <fgColor rgb="FFFFF9C4"/>
        <bgColor rgb="FFFFF3CD"/>
      </patternFill>
    </fill>
    <fill>
      <patternFill patternType="solid">
        <fgColor rgb="FF6C3483"/>
        <bgColor rgb="FF731C9E"/>
      </patternFill>
    </fill>
    <fill>
      <patternFill patternType="solid">
        <fgColor rgb="FFF5EEF8"/>
        <bgColor rgb="FFF0F3F4"/>
      </patternFill>
    </fill>
    <fill>
      <patternFill patternType="solid">
        <fgColor rgb="FF1A252F"/>
        <bgColor rgb="FF0A203B"/>
      </patternFill>
    </fill>
    <fill>
      <patternFill patternType="solid">
        <fgColor rgb="FFFDEDEC"/>
        <bgColor rgb="FFFFEBEE"/>
      </patternFill>
    </fill>
    <fill>
      <patternFill patternType="solid">
        <fgColor rgb="FFFEF9E7"/>
        <bgColor rgb="FFFFFDE7"/>
      </patternFill>
    </fill>
    <fill>
      <patternFill patternType="darkGray">
        <fgColor rgb="FF1E3A5F"/>
        <bgColor rgb="FF093F54"/>
      </patternFill>
    </fill>
    <fill>
      <patternFill patternType="solid">
        <fgColor rgb="FFD5F5E3"/>
        <bgColor rgb="FFE8F5E9"/>
      </patternFill>
    </fill>
    <fill>
      <patternFill patternType="solid">
        <fgColor rgb="FF821A1A"/>
        <bgColor rgb="FFCD0C0E"/>
      </patternFill>
    </fill>
    <fill>
      <patternFill patternType="solid">
        <fgColor rgb="FFFFF0F0"/>
        <bgColor rgb="FFFDF2F2"/>
      </patternFill>
    </fill>
    <fill>
      <patternFill patternType="solid">
        <fgColor rgb="FFF8F9FA"/>
        <bgColor rgb="FFF8F8F8"/>
      </patternFill>
    </fill>
    <fill>
      <patternFill patternType="solid">
        <fgColor rgb="FF1E3A5F"/>
        <bgColor rgb="FF093F54"/>
      </patternFill>
    </fill>
    <fill>
      <patternFill patternType="darkGray">
        <fgColor rgb="FF3B209B"/>
        <bgColor rgb="FF1A237E"/>
      </patternFill>
    </fill>
    <fill>
      <patternFill patternType="solid">
        <fgColor rgb="FF00695C"/>
        <bgColor rgb="FF2E7D32"/>
      </patternFill>
    </fill>
    <fill>
      <patternFill patternType="solid">
        <fgColor rgb="FF1565C0"/>
        <bgColor rgb="FF2E86AB"/>
      </patternFill>
    </fill>
    <fill>
      <patternFill patternType="solid">
        <fgColor rgb="FF2E7D32"/>
        <bgColor rgb="FF00695C"/>
      </patternFill>
    </fill>
    <fill>
      <patternFill patternType="mediumGray">
        <fgColor rgb="FFCD0C0E"/>
        <bgColor rgb="FFC0392B"/>
      </patternFill>
    </fill>
    <fill>
      <patternFill patternType="solid">
        <fgColor rgb="FF731C9E"/>
        <bgColor rgb="FF6C3483"/>
      </patternFill>
    </fill>
    <fill>
      <patternFill patternType="solid">
        <fgColor rgb="FFE65100"/>
        <bgColor rgb="FFC0392B"/>
      </patternFill>
    </fill>
    <fill>
      <patternFill patternType="solid">
        <fgColor rgb="FFE8EAF6"/>
        <bgColor rgb="FFE3F2FD"/>
      </patternFill>
    </fill>
    <fill>
      <patternFill patternType="solid">
        <fgColor rgb="FF1A237E"/>
        <bgColor rgb="FF283593"/>
      </patternFill>
    </fill>
    <fill>
      <patternFill patternType="solid">
        <fgColor rgb="FF283593"/>
        <bgColor rgb="FF1A237E"/>
      </patternFill>
    </fill>
    <fill>
      <patternFill patternType="solid">
        <fgColor rgb="FFF3E5F5"/>
        <bgColor rgb="FFF5EEF8"/>
      </patternFill>
    </fill>
    <fill>
      <patternFill patternType="darkGray">
        <fgColor rgb="FF093F54"/>
        <bgColor rgb="FF00695C"/>
      </patternFill>
    </fill>
    <fill>
      <patternFill patternType="solid">
        <fgColor rgb="FFFFFDE7"/>
        <bgColor rgb="FFFEF9E7"/>
      </patternFill>
    </fill>
    <fill>
      <patternFill patternType="solid">
        <fgColor rgb="FF0A203B"/>
        <bgColor rgb="FF1A252F"/>
      </patternFill>
    </fill>
    <fill>
      <patternFill patternType="darkGray">
        <fgColor rgb="FF0A203B"/>
        <bgColor rgb="FF1A252F"/>
      </patternFill>
    </fill>
  </fills>
  <borders count="33">
    <border>
      <left/>
      <right/>
      <top/>
      <bottom/>
      <diagonal/>
    </border>
    <border>
      <left style="thin">
        <color rgb="FFBDC3C7"/>
      </left>
      <right style="thin">
        <color rgb="FFBDC3C7"/>
      </right>
      <top style="thin">
        <color rgb="FFBDC3C7"/>
      </top>
      <bottom style="thin">
        <color rgb="FFBDC3C7"/>
      </bottom>
      <diagonal/>
    </border>
    <border>
      <left style="medium">
        <color rgb="FF1E3A5F"/>
      </left>
      <right style="medium">
        <color rgb="FF1E3A5F"/>
      </right>
      <top style="medium">
        <color rgb="FF1E3A5F"/>
      </top>
      <bottom style="medium">
        <color rgb="FF1E3A5F"/>
      </bottom>
      <diagonal/>
    </border>
    <border>
      <left style="thin">
        <color rgb="FFBDC3C7"/>
      </left>
      <right/>
      <top style="thin">
        <color rgb="FFBDC3C7"/>
      </top>
      <bottom/>
      <diagonal/>
    </border>
    <border>
      <left style="thin">
        <color rgb="FFBDC3C7"/>
      </left>
      <right/>
      <top style="thin">
        <color rgb="FFBDC3C7"/>
      </top>
      <bottom style="thin">
        <color rgb="FFBDC3C7"/>
      </bottom>
      <diagonal/>
    </border>
    <border>
      <left style="thin"/>
      <right/>
      <top style="thin"/>
      <bottom style="thin"/>
      <diagonal/>
    </border>
    <border>
      <left style="thin"/>
      <right style="thin"/>
      <top style="thin"/>
      <bottom style="thin"/>
      <diagonal/>
    </border>
    <border>
      <left style="thin">
        <color rgb="FFD9DBDE"/>
      </left>
      <right/>
      <top style="thin">
        <color rgb="FFD9DBDE"/>
      </top>
      <bottom style="thin">
        <color rgb="FFD9DBDE"/>
      </bottom>
      <diagonal/>
    </border>
    <border>
      <left style="medium"/>
      <right/>
      <top style="medium"/>
      <bottom style="medium"/>
      <diagonal/>
    </border>
    <border>
      <left/>
      <right/>
      <top style="medium"/>
      <bottom style="medium"/>
      <diagonal/>
    </border>
    <border>
      <left/>
      <right/>
      <top/>
      <bottom style="thin">
        <color rgb="FFBDC3C7"/>
      </bottom>
      <diagonal/>
    </border>
    <border>
      <left/>
      <right/>
      <top style="thin"/>
      <bottom style="thin"/>
      <diagonal/>
    </border>
    <border>
      <left style="medium">
        <color rgb="FF1E3A5F"/>
      </left>
      <right/>
      <top style="medium">
        <color rgb="FF1E3A5F"/>
      </top>
      <bottom style="medium">
        <color rgb="FF1E3A5F"/>
      </bottom>
      <diagonal/>
    </border>
    <border>
      <left style="thin">
        <color rgb="FFD0D3D4"/>
      </left>
      <right style="thin">
        <color rgb="FFD0D3D4"/>
      </right>
      <top style="thin">
        <color rgb="FFD0D3D4"/>
      </top>
      <bottom style="thin">
        <color rgb="FFD0D3D4"/>
      </bottom>
      <diagonal/>
    </border>
    <border>
      <left style="thin">
        <color rgb="FFCCCCCC"/>
      </left>
      <right style="thin">
        <color rgb="FFCCCCCC"/>
      </right>
      <top style="thin">
        <color rgb="FFCCCCCC"/>
      </top>
      <bottom style="thin">
        <color rgb="FFCCCCCC"/>
      </bottom>
      <diagonal/>
    </border>
    <border>
      <left style="thin">
        <color rgb="FFBEBFC0"/>
      </left>
      <right/>
      <top style="thin">
        <color rgb="FFBEBFC0"/>
      </top>
      <bottom style="thin">
        <color rgb="FFBEBFC0"/>
      </bottom>
      <diagonal/>
    </border>
    <border>
      <left style="thin">
        <color rgb="FFBEBFC0"/>
      </left>
      <right style="thin">
        <color rgb="FFBEBFC0"/>
      </right>
      <top style="thin">
        <color rgb="FFBEBFC0"/>
      </top>
      <bottom style="thin">
        <color rgb="FFBEBFC0"/>
      </bottom>
      <diagonal/>
    </border>
    <border>
      <left/>
      <right/>
      <top style="thin">
        <color rgb="FFBDC3C7"/>
      </top>
      <bottom/>
      <diagonal/>
    </border>
    <border>
      <left style="thin">
        <color rgb="FFBDC3C7"/>
      </left>
      <right/>
      <top/>
      <bottom/>
      <diagonal/>
    </border>
    <border>
      <left/>
      <right/>
      <top style="thin">
        <color rgb="FFBDC3C7"/>
      </top>
      <bottom style="thin">
        <color rgb="FFBDC3C7"/>
      </bottom>
      <diagonal/>
    </border>
    <border>
      <left/>
      <right/>
      <top style="thin"/>
      <bottom/>
      <diagonal/>
    </border>
    <border>
      <left/>
      <right/>
      <top style="thin">
        <color rgb="FFD9DBDE"/>
      </top>
      <bottom/>
      <diagonal/>
    </border>
    <border>
      <left/>
      <right/>
      <top style="thin">
        <color rgb="FFD9DBDE"/>
      </top>
      <bottom style="thin">
        <color rgb="FFD9DBDE"/>
      </bottom>
      <diagonal/>
    </border>
    <border>
      <left/>
      <right/>
      <top style="medium">
        <color rgb="FF1E3A5F"/>
      </top>
      <bottom/>
      <diagonal/>
    </border>
    <border>
      <left/>
      <right/>
      <top style="medium">
        <color rgb="FF1E3A5F"/>
      </top>
      <bottom style="medium">
        <color rgb="FF1E3A5F"/>
      </bottom>
      <diagonal/>
    </border>
    <border>
      <left/>
      <right style="medium">
        <color rgb="FF1E3A5F"/>
      </right>
      <top style="medium">
        <color rgb="FF1E3A5F"/>
      </top>
      <bottom/>
      <diagonal/>
    </border>
    <border>
      <left/>
      <right style="medium">
        <color rgb="FF1E3A5F"/>
      </right>
      <top style="medium">
        <color rgb="FF1E3A5F"/>
      </top>
      <bottom style="medium">
        <color rgb="FF1E3A5F"/>
      </bottom>
      <diagonal/>
    </border>
    <border>
      <left/>
      <right style="thin">
        <color rgb="FFBDC3C7"/>
      </right>
      <top style="thin">
        <color rgb="FFBDC3C7"/>
      </top>
      <bottom/>
      <diagonal/>
    </border>
    <border>
      <left/>
      <right style="thin">
        <color rgb="FFBDC3C7"/>
      </right>
      <top style="thin">
        <color rgb="FFBDC3C7"/>
      </top>
      <bottom style="thin">
        <color rgb="FFBDC3C7"/>
      </bottom>
      <diagonal/>
    </border>
    <border>
      <left/>
      <right/>
      <top style="thin">
        <color rgb="FFBEBFC0"/>
      </top>
      <bottom/>
      <diagonal/>
    </border>
    <border>
      <left/>
      <right/>
      <top style="thin">
        <color rgb="FFBEBFC0"/>
      </top>
      <bottom style="thin">
        <color rgb="FFBEBFC0"/>
      </bottom>
      <diagonal/>
    </border>
    <border>
      <left/>
      <right style="thin">
        <color rgb="FFBEBFC0"/>
      </right>
      <top style="thin">
        <color rgb="FFBEBFC0"/>
      </top>
      <bottom/>
      <diagonal/>
    </border>
    <border>
      <left/>
      <right style="thin">
        <color rgb="FFBEBFC0"/>
      </right>
      <top style="thin">
        <color rgb="FFBEBFC0"/>
      </top>
      <bottom style="thin">
        <color rgb="FFBEBFC0"/>
      </bottom>
      <diagonal/>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680">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4" fillId="2" borderId="0" applyAlignment="1" pivotButton="0" quotePrefix="0" xfId="0">
      <alignment horizontal="center" vertical="center"/>
    </xf>
    <xf numFmtId="0" fontId="5" fillId="2" borderId="0" applyAlignment="1" pivotButton="0" quotePrefix="0" xfId="0">
      <alignment horizontal="center" vertical="center"/>
    </xf>
    <xf numFmtId="0" fontId="0" fillId="3" borderId="0" applyAlignment="1" pivotButton="0" quotePrefix="0" xfId="0">
      <alignment horizontal="general" vertical="bottom"/>
    </xf>
    <xf numFmtId="0" fontId="6" fillId="2" borderId="0" applyAlignment="1" pivotButton="0" quotePrefix="0" xfId="0">
      <alignment horizontal="center" vertical="center"/>
    </xf>
    <xf numFmtId="0" fontId="7" fillId="2" borderId="0" applyAlignment="1" pivotButton="0" quotePrefix="0" xfId="0">
      <alignment horizontal="center" vertical="center" wrapText="1"/>
    </xf>
    <xf numFmtId="0" fontId="8" fillId="2" borderId="0" applyAlignment="1" pivotButton="0" quotePrefix="0" xfId="0">
      <alignment horizontal="center" vertical="center"/>
    </xf>
    <xf numFmtId="0" fontId="9" fillId="2" borderId="0" applyAlignment="1" pivotButton="0" quotePrefix="0" xfId="0">
      <alignment horizontal="center" vertical="center"/>
    </xf>
    <xf numFmtId="0" fontId="0" fillId="4" borderId="0" applyAlignment="1" pivotButton="0" quotePrefix="0" xfId="0">
      <alignment horizontal="general" vertical="bottom"/>
    </xf>
    <xf numFmtId="0" fontId="10" fillId="2" borderId="0" applyAlignment="1" pivotButton="0" quotePrefix="0" xfId="0">
      <alignment horizontal="center" vertical="center" wrapText="1"/>
    </xf>
    <xf numFmtId="0" fontId="11" fillId="5" borderId="0" applyAlignment="1" pivotButton="0" quotePrefix="0" xfId="0">
      <alignment horizontal="center" vertical="center"/>
    </xf>
    <xf numFmtId="0" fontId="12" fillId="6" borderId="0" applyAlignment="1" pivotButton="0" quotePrefix="0" xfId="0">
      <alignment horizontal="center" vertical="center"/>
    </xf>
    <xf numFmtId="0" fontId="13" fillId="2" borderId="0" applyAlignment="1" pivotButton="0" quotePrefix="0" xfId="0">
      <alignment horizontal="center" vertical="center"/>
    </xf>
    <xf numFmtId="0" fontId="0" fillId="7" borderId="0" applyAlignment="1" pivotButton="0" quotePrefix="0" xfId="0">
      <alignment horizontal="general" vertical="bottom"/>
    </xf>
    <xf numFmtId="0" fontId="14" fillId="2" borderId="0" applyAlignment="1" pivotButton="0" quotePrefix="0" xfId="0">
      <alignment horizontal="left" vertical="center" wrapText="1"/>
    </xf>
    <xf numFmtId="0" fontId="10" fillId="8" borderId="0" applyAlignment="1" pivotButton="0" quotePrefix="0" xfId="0">
      <alignment horizontal="left" vertical="center" wrapText="1"/>
    </xf>
    <xf numFmtId="0" fontId="15" fillId="2" borderId="0" applyAlignment="1" pivotButton="0" quotePrefix="0" xfId="0">
      <alignment horizontal="center" vertical="center"/>
    </xf>
    <xf numFmtId="0" fontId="16" fillId="6" borderId="0" applyAlignment="1" pivotButton="0" quotePrefix="0" xfId="0">
      <alignment horizontal="center" vertical="center" wrapText="1"/>
    </xf>
    <xf numFmtId="0" fontId="17" fillId="2" borderId="0" applyAlignment="1" pivotButton="0" quotePrefix="0" xfId="0">
      <alignment horizontal="center" vertical="center"/>
    </xf>
    <xf numFmtId="0" fontId="11" fillId="2" borderId="0" applyAlignment="1" pivotButton="0" quotePrefix="0" xfId="0">
      <alignment horizontal="center" vertical="center"/>
    </xf>
    <xf numFmtId="0" fontId="18" fillId="9" borderId="0" applyAlignment="1" pivotButton="0" quotePrefix="0" xfId="0">
      <alignment horizontal="center" vertical="center"/>
    </xf>
    <xf numFmtId="0" fontId="19" fillId="4" borderId="0" applyAlignment="1" pivotButton="0" quotePrefix="0" xfId="0">
      <alignment horizontal="center" vertical="center"/>
    </xf>
    <xf numFmtId="0" fontId="20" fillId="5" borderId="0" applyAlignment="1" pivotButton="0" quotePrefix="0" xfId="0">
      <alignment horizontal="center" vertical="center"/>
    </xf>
    <xf numFmtId="0" fontId="20" fillId="10" borderId="0" applyAlignment="1" pivotButton="0" quotePrefix="0" xfId="0">
      <alignment horizontal="center" vertical="center"/>
    </xf>
    <xf numFmtId="0" fontId="20" fillId="7" borderId="0" applyAlignment="1" pivotButton="0" quotePrefix="0" xfId="0">
      <alignment horizontal="center" vertical="center"/>
    </xf>
    <xf numFmtId="0" fontId="20" fillId="4" borderId="0" applyAlignment="1" pivotButton="0" quotePrefix="0" xfId="0">
      <alignment horizontal="center" vertical="center"/>
    </xf>
    <xf numFmtId="0" fontId="20" fillId="11" borderId="0" applyAlignment="1" pivotButton="0" quotePrefix="0" xfId="0">
      <alignment horizontal="center" vertical="center"/>
    </xf>
    <xf numFmtId="0" fontId="20" fillId="12" borderId="0" applyAlignment="1" pivotButton="0" quotePrefix="0" xfId="0">
      <alignment horizontal="center" vertical="center"/>
    </xf>
    <xf numFmtId="164" fontId="21" fillId="8" borderId="0" applyAlignment="1" pivotButton="0" quotePrefix="0" xfId="0">
      <alignment horizontal="center" vertical="center"/>
    </xf>
    <xf numFmtId="164" fontId="22" fillId="8" borderId="0" applyAlignment="1" pivotButton="0" quotePrefix="0" xfId="0">
      <alignment horizontal="center" vertical="center"/>
    </xf>
    <xf numFmtId="164" fontId="23" fillId="8" borderId="0" applyAlignment="1" pivotButton="0" quotePrefix="0" xfId="0">
      <alignment horizontal="center" vertical="center"/>
    </xf>
    <xf numFmtId="3" fontId="24" fillId="8" borderId="0" applyAlignment="1" pivotButton="0" quotePrefix="0" xfId="0">
      <alignment horizontal="center" vertical="center"/>
    </xf>
    <xf numFmtId="3" fontId="25" fillId="8" borderId="0" applyAlignment="1" pivotButton="0" quotePrefix="0" xfId="0">
      <alignment horizontal="center" vertical="center"/>
    </xf>
    <xf numFmtId="164" fontId="26" fillId="8" borderId="0" applyAlignment="1" pivotButton="0" quotePrefix="0" xfId="0">
      <alignment horizontal="center" vertical="center"/>
    </xf>
    <xf numFmtId="0" fontId="27" fillId="9" borderId="0" applyAlignment="1" pivotButton="0" quotePrefix="0" xfId="0">
      <alignment horizontal="center" vertical="center"/>
    </xf>
    <xf numFmtId="0" fontId="28" fillId="9" borderId="1" applyAlignment="1" pivotButton="0" quotePrefix="0" xfId="0">
      <alignment horizontal="center" vertical="center"/>
    </xf>
    <xf numFmtId="0" fontId="29" fillId="2" borderId="1" applyAlignment="1" pivotButton="0" quotePrefix="0" xfId="0">
      <alignment horizontal="left" vertical="center"/>
    </xf>
    <xf numFmtId="164" fontId="29" fillId="2" borderId="1" applyAlignment="1" pivotButton="0" quotePrefix="0" xfId="0">
      <alignment horizontal="center" vertical="center"/>
    </xf>
    <xf numFmtId="0" fontId="29" fillId="2" borderId="1" applyAlignment="1" pivotButton="0" quotePrefix="0" xfId="0">
      <alignment horizontal="center" vertical="center"/>
    </xf>
    <xf numFmtId="165" fontId="29" fillId="2" borderId="1" applyAlignment="1" pivotButton="0" quotePrefix="0" xfId="0">
      <alignment horizontal="center" vertical="center"/>
    </xf>
    <xf numFmtId="0" fontId="29" fillId="8" borderId="1" applyAlignment="1" pivotButton="0" quotePrefix="0" xfId="0">
      <alignment horizontal="left" vertical="center"/>
    </xf>
    <xf numFmtId="164" fontId="29" fillId="8" borderId="1" applyAlignment="1" pivotButton="0" quotePrefix="0" xfId="0">
      <alignment horizontal="center" vertical="center"/>
    </xf>
    <xf numFmtId="0" fontId="29" fillId="8" borderId="1" applyAlignment="1" pivotButton="0" quotePrefix="0" xfId="0">
      <alignment horizontal="center" vertical="center"/>
    </xf>
    <xf numFmtId="165" fontId="29" fillId="8" borderId="1" applyAlignment="1" pivotButton="0" quotePrefix="0" xfId="0">
      <alignment horizontal="center" vertical="center"/>
    </xf>
    <xf numFmtId="0" fontId="30" fillId="3" borderId="2" applyAlignment="1" pivotButton="0" quotePrefix="0" xfId="0">
      <alignment horizontal="center" vertical="center"/>
    </xf>
    <xf numFmtId="164" fontId="30" fillId="3" borderId="2" applyAlignment="1" pivotButton="0" quotePrefix="0" xfId="0">
      <alignment horizontal="center" vertical="center"/>
    </xf>
    <xf numFmtId="165" fontId="30" fillId="3" borderId="2" applyAlignment="1" pivotButton="0" quotePrefix="0" xfId="0">
      <alignment horizontal="center" vertical="center"/>
    </xf>
    <xf numFmtId="0" fontId="27" fillId="7" borderId="0" applyAlignment="1" pivotButton="0" quotePrefix="0" xfId="0">
      <alignment horizontal="center" vertical="center"/>
    </xf>
    <xf numFmtId="0" fontId="31" fillId="8" borderId="3" applyAlignment="1" pivotButton="0" quotePrefix="0" xfId="0">
      <alignment horizontal="left" vertical="top" wrapText="1"/>
    </xf>
    <xf numFmtId="0" fontId="30" fillId="0" borderId="4" applyAlignment="1" pivotButton="0" quotePrefix="0" xfId="0">
      <alignment horizontal="left" vertical="center"/>
    </xf>
    <xf numFmtId="0" fontId="32" fillId="8" borderId="4" applyAlignment="1" pivotButton="0" quotePrefix="0" xfId="0">
      <alignment horizontal="center" vertical="center"/>
    </xf>
    <xf numFmtId="164" fontId="32" fillId="8" borderId="4" applyAlignment="1" pivotButton="0" quotePrefix="0" xfId="0">
      <alignment horizontal="center" vertical="center"/>
    </xf>
    <xf numFmtId="0" fontId="33" fillId="9" borderId="0" applyAlignment="1" pivotButton="0" quotePrefix="0" xfId="0">
      <alignment horizontal="general" vertical="bottom"/>
    </xf>
    <xf numFmtId="0" fontId="34" fillId="2" borderId="0" applyAlignment="1" pivotButton="0" quotePrefix="0" xfId="0">
      <alignment horizontal="general" vertical="bottom"/>
    </xf>
    <xf numFmtId="0" fontId="35" fillId="2" borderId="0" applyAlignment="1" pivotButton="0" quotePrefix="0" xfId="0">
      <alignment horizontal="general" vertical="bottom"/>
    </xf>
    <xf numFmtId="0" fontId="35" fillId="2" borderId="0" applyAlignment="1" pivotButton="0" quotePrefix="0" xfId="0">
      <alignment horizontal="general" vertical="bottom"/>
    </xf>
    <xf numFmtId="0" fontId="36" fillId="13" borderId="0" applyAlignment="1" pivotButton="0" quotePrefix="0" xfId="0">
      <alignment horizontal="center" vertical="center" wrapText="1"/>
    </xf>
    <xf numFmtId="0" fontId="37" fillId="14" borderId="0" applyAlignment="1" pivotButton="0" quotePrefix="0" xfId="0">
      <alignment horizontal="center" vertical="center" wrapText="1"/>
    </xf>
    <xf numFmtId="0" fontId="37" fillId="15" borderId="0" applyAlignment="1" pivotButton="0" quotePrefix="0" xfId="0">
      <alignment horizontal="center" vertical="center" wrapText="1"/>
    </xf>
    <xf numFmtId="0" fontId="37" fillId="16" borderId="0" applyAlignment="1" pivotButton="0" quotePrefix="0" xfId="0">
      <alignment horizontal="center" vertical="center" wrapText="1"/>
    </xf>
    <xf numFmtId="0" fontId="37" fillId="17" borderId="0" applyAlignment="1" pivotButton="0" quotePrefix="0" xfId="0">
      <alignment horizontal="center" vertical="center" wrapText="1"/>
    </xf>
    <xf numFmtId="4" fontId="38" fillId="14" borderId="0" applyAlignment="1" pivotButton="0" quotePrefix="0" xfId="0">
      <alignment horizontal="center" vertical="center" wrapText="1"/>
    </xf>
    <xf numFmtId="165" fontId="39" fillId="15" borderId="0" applyAlignment="1" pivotButton="0" quotePrefix="0" xfId="0">
      <alignment horizontal="center" vertical="center" wrapText="1"/>
    </xf>
    <xf numFmtId="166" fontId="40" fillId="16" borderId="0" applyAlignment="1" pivotButton="0" quotePrefix="0" xfId="0">
      <alignment horizontal="center" vertical="center" wrapText="1"/>
    </xf>
    <xf numFmtId="1" fontId="41" fillId="17" borderId="0" applyAlignment="1" pivotButton="0" quotePrefix="0" xfId="0">
      <alignment horizontal="center" vertical="center" wrapText="1"/>
    </xf>
    <xf numFmtId="0" fontId="42" fillId="9" borderId="0" applyAlignment="1" pivotButton="0" quotePrefix="0" xfId="0">
      <alignment horizontal="center" vertical="center"/>
    </xf>
    <xf numFmtId="0" fontId="43" fillId="7" borderId="0" applyAlignment="1" pivotButton="0" quotePrefix="0" xfId="0">
      <alignment horizontal="center" vertical="center"/>
    </xf>
    <xf numFmtId="0" fontId="44" fillId="8" borderId="0" applyAlignment="1" pivotButton="0" quotePrefix="0" xfId="0">
      <alignment horizontal="center" vertical="center"/>
    </xf>
    <xf numFmtId="0" fontId="45" fillId="2" borderId="0" applyAlignment="1" pivotButton="0" quotePrefix="0" xfId="0">
      <alignment horizontal="general" vertical="bottom"/>
    </xf>
    <xf numFmtId="0" fontId="46" fillId="2" borderId="0" applyAlignment="1" pivotButton="0" quotePrefix="0" xfId="0">
      <alignment horizontal="right" vertical="center"/>
    </xf>
    <xf numFmtId="0" fontId="47" fillId="8" borderId="5" applyAlignment="1" pivotButton="0" quotePrefix="0" xfId="0">
      <alignment horizontal="left" vertical="center"/>
    </xf>
    <xf numFmtId="167" fontId="47" fillId="8" borderId="5" applyAlignment="1" pivotButton="0" quotePrefix="0" xfId="0">
      <alignment horizontal="left" vertical="center"/>
    </xf>
    <xf numFmtId="168" fontId="47" fillId="8" borderId="6" applyAlignment="1" pivotButton="0" quotePrefix="0" xfId="0">
      <alignment horizontal="left" vertical="center"/>
    </xf>
    <xf numFmtId="0" fontId="48" fillId="2" borderId="0" applyAlignment="1" pivotButton="0" quotePrefix="0" xfId="0">
      <alignment horizontal="left" vertical="center"/>
    </xf>
    <xf numFmtId="0" fontId="49" fillId="2" borderId="0" applyAlignment="1" pivotButton="0" quotePrefix="0" xfId="0">
      <alignment horizontal="right" vertical="center"/>
    </xf>
    <xf numFmtId="0" fontId="47" fillId="18" borderId="5" applyAlignment="1" pivotButton="0" quotePrefix="0" xfId="0">
      <alignment horizontal="left" vertical="center"/>
    </xf>
    <xf numFmtId="0" fontId="49" fillId="0" borderId="0" applyAlignment="1" pivotButton="0" quotePrefix="0" xfId="0">
      <alignment horizontal="right" vertical="center"/>
    </xf>
    <xf numFmtId="0" fontId="29" fillId="18" borderId="5" applyAlignment="1" pivotButton="0" quotePrefix="0" xfId="0">
      <alignment horizontal="left" vertical="center"/>
    </xf>
    <xf numFmtId="0" fontId="46" fillId="2" borderId="0" applyAlignment="1" pivotButton="0" quotePrefix="0" xfId="0">
      <alignment horizontal="left" vertical="center"/>
    </xf>
    <xf numFmtId="0" fontId="50" fillId="3" borderId="7" applyAlignment="1" pivotButton="0" quotePrefix="0" xfId="0">
      <alignment horizontal="center" vertical="center"/>
    </xf>
    <xf numFmtId="0" fontId="45" fillId="2" borderId="0" applyAlignment="1" pivotButton="0" quotePrefix="0" xfId="0">
      <alignment horizontal="general" vertical="bottom"/>
    </xf>
    <xf numFmtId="0" fontId="30" fillId="19" borderId="0" applyAlignment="1" pivotButton="0" quotePrefix="0" xfId="0">
      <alignment horizontal="center" vertical="center"/>
    </xf>
    <xf numFmtId="0" fontId="51" fillId="20" borderId="8" applyAlignment="1" pivotButton="0" quotePrefix="0" xfId="0">
      <alignment horizontal="center" vertical="center"/>
    </xf>
    <xf numFmtId="0" fontId="0" fillId="0" borderId="9" applyAlignment="1" pivotButton="0" quotePrefix="0" xfId="0">
      <alignment horizontal="general" vertical="bottom"/>
    </xf>
    <xf numFmtId="0" fontId="52" fillId="5" borderId="10" applyAlignment="1" pivotButton="0" quotePrefix="0" xfId="0">
      <alignment horizontal="center" vertical="center"/>
    </xf>
    <xf numFmtId="0" fontId="53" fillId="3" borderId="8" applyAlignment="1" pivotButton="0" quotePrefix="0" xfId="0">
      <alignment horizontal="center" vertical="center"/>
    </xf>
    <xf numFmtId="0" fontId="28" fillId="9" borderId="0" applyAlignment="1" pivotButton="0" quotePrefix="0" xfId="0">
      <alignment horizontal="left" vertical="center"/>
    </xf>
    <xf numFmtId="0" fontId="0" fillId="0" borderId="0" applyAlignment="1" pivotButton="0" quotePrefix="0" xfId="0">
      <alignment horizontal="general" vertical="bottom"/>
    </xf>
    <xf numFmtId="0" fontId="54" fillId="3" borderId="6" applyAlignment="1" pivotButton="0" quotePrefix="0" xfId="0">
      <alignment horizontal="center" vertical="center"/>
    </xf>
    <xf numFmtId="0" fontId="35" fillId="8" borderId="5" applyAlignment="1" pivotButton="0" quotePrefix="0" xfId="0">
      <alignment horizontal="left" vertical="center" wrapText="1"/>
    </xf>
    <xf numFmtId="0" fontId="0" fillId="0" borderId="11" applyAlignment="1" pivotButton="0" quotePrefix="0" xfId="0">
      <alignment horizontal="general" vertical="bottom"/>
    </xf>
    <xf numFmtId="0" fontId="0" fillId="9" borderId="0" applyAlignment="1" pivotButton="0" quotePrefix="0" xfId="0">
      <alignment horizontal="general" vertical="bottom"/>
    </xf>
    <xf numFmtId="0" fontId="33" fillId="9" borderId="0" applyAlignment="1" pivotButton="0" quotePrefix="0" xfId="0">
      <alignment horizontal="left" vertical="center"/>
    </xf>
    <xf numFmtId="0" fontId="55" fillId="8" borderId="0" applyAlignment="1" pivotButton="0" quotePrefix="0" xfId="0">
      <alignment horizontal="left" vertical="center" wrapText="1"/>
    </xf>
    <xf numFmtId="0" fontId="20" fillId="9" borderId="0" applyAlignment="1" pivotButton="0" quotePrefix="0" xfId="0">
      <alignment horizontal="center" vertical="center"/>
    </xf>
    <xf numFmtId="0" fontId="56" fillId="21" borderId="7" applyAlignment="1" pivotButton="0" quotePrefix="0" xfId="0">
      <alignment horizontal="center" vertical="center"/>
    </xf>
    <xf numFmtId="0" fontId="0" fillId="2" borderId="7" applyAlignment="1" pivotButton="0" quotePrefix="0" xfId="0">
      <alignment horizontal="general" vertical="bottom"/>
    </xf>
    <xf numFmtId="167" fontId="31" fillId="8" borderId="7" applyAlignment="1" pivotButton="0" quotePrefix="0" xfId="0">
      <alignment horizontal="center" vertical="center"/>
    </xf>
    <xf numFmtId="0" fontId="31" fillId="8" borderId="7" applyAlignment="1" pivotButton="0" quotePrefix="0" xfId="0">
      <alignment horizontal="center" vertical="center"/>
    </xf>
    <xf numFmtId="0" fontId="20" fillId="9" borderId="0" applyAlignment="1" pivotButton="0" quotePrefix="0" xfId="0">
      <alignment horizontal="center" vertical="center"/>
    </xf>
    <xf numFmtId="0" fontId="57" fillId="8" borderId="6" applyAlignment="1" pivotButton="0" quotePrefix="0" xfId="0">
      <alignment horizontal="left" vertical="center"/>
    </xf>
    <xf numFmtId="0" fontId="57" fillId="2" borderId="6" applyAlignment="1" pivotButton="0" quotePrefix="0" xfId="0">
      <alignment horizontal="left" vertical="center"/>
    </xf>
    <xf numFmtId="0" fontId="58" fillId="9" borderId="0" applyAlignment="1" pivotButton="0" quotePrefix="0" xfId="0">
      <alignment horizontal="center" vertical="center"/>
    </xf>
    <xf numFmtId="0" fontId="59" fillId="7" borderId="0" applyAlignment="1" pivotButton="0" quotePrefix="0" xfId="0">
      <alignment horizontal="center" vertical="center"/>
    </xf>
    <xf numFmtId="0" fontId="60" fillId="3" borderId="0" applyAlignment="1" pivotButton="0" quotePrefix="0" xfId="0">
      <alignment horizontal="general" vertical="bottom"/>
    </xf>
    <xf numFmtId="0" fontId="61" fillId="9" borderId="0" applyAlignment="1" pivotButton="0" quotePrefix="0" xfId="0">
      <alignment horizontal="left" vertical="center"/>
    </xf>
    <xf numFmtId="0" fontId="62" fillId="0" borderId="0" applyAlignment="1" pivotButton="0" quotePrefix="0" xfId="0">
      <alignment horizontal="right" vertical="center"/>
    </xf>
    <xf numFmtId="0" fontId="60" fillId="0" borderId="0" applyAlignment="1" pivotButton="0" quotePrefix="0" xfId="0">
      <alignment horizontal="general" vertical="bottom"/>
    </xf>
    <xf numFmtId="0" fontId="63" fillId="22" borderId="12" applyAlignment="1" pivotButton="0" quotePrefix="0" xfId="0">
      <alignment horizontal="left" vertical="center"/>
    </xf>
    <xf numFmtId="0" fontId="64" fillId="0" borderId="0" applyAlignment="1" pivotButton="0" quotePrefix="0" xfId="0">
      <alignment horizontal="left" vertical="center"/>
    </xf>
    <xf numFmtId="0" fontId="65" fillId="9" borderId="0" applyAlignment="1" pivotButton="0" quotePrefix="0" xfId="0">
      <alignment horizontal="center" vertical="center"/>
    </xf>
    <xf numFmtId="0" fontId="60" fillId="3" borderId="0" applyAlignment="1" pivotButton="0" quotePrefix="0" xfId="0">
      <alignment horizontal="general" vertical="bottom"/>
    </xf>
    <xf numFmtId="0" fontId="66" fillId="9" borderId="13" applyAlignment="1" pivotButton="0" quotePrefix="0" xfId="0">
      <alignment horizontal="center" vertical="center" wrapText="1"/>
    </xf>
    <xf numFmtId="0" fontId="67" fillId="23" borderId="13" applyAlignment="1" pivotButton="0" quotePrefix="0" xfId="0">
      <alignment horizontal="center" vertical="center"/>
    </xf>
    <xf numFmtId="0" fontId="68" fillId="23" borderId="13" applyAlignment="1" pivotButton="0" quotePrefix="0" xfId="0">
      <alignment horizontal="left" vertical="center"/>
    </xf>
    <xf numFmtId="167" fontId="68" fillId="23" borderId="13" applyAlignment="1" pivotButton="0" quotePrefix="0" xfId="0">
      <alignment horizontal="left" vertical="center"/>
    </xf>
    <xf numFmtId="4" fontId="68" fillId="23" borderId="13" applyAlignment="1" pivotButton="0" quotePrefix="0" xfId="0">
      <alignment horizontal="left" vertical="center"/>
    </xf>
    <xf numFmtId="0" fontId="69" fillId="8" borderId="13" applyAlignment="1" pivotButton="0" quotePrefix="0" xfId="0">
      <alignment horizontal="center" vertical="center"/>
    </xf>
    <xf numFmtId="0" fontId="70" fillId="8" borderId="13" applyAlignment="1" pivotButton="0" quotePrefix="0" xfId="0">
      <alignment horizontal="left" vertical="center"/>
    </xf>
    <xf numFmtId="0" fontId="68" fillId="8" borderId="13" applyAlignment="1" pivotButton="0" quotePrefix="0" xfId="0">
      <alignment horizontal="left" vertical="center"/>
    </xf>
    <xf numFmtId="167" fontId="68" fillId="8" borderId="13" applyAlignment="1" pivotButton="0" quotePrefix="0" xfId="0">
      <alignment horizontal="center" vertical="center"/>
    </xf>
    <xf numFmtId="0" fontId="68" fillId="8" borderId="13" applyAlignment="1" pivotButton="0" quotePrefix="0" xfId="0">
      <alignment horizontal="center" vertical="center"/>
    </xf>
    <xf numFmtId="4" fontId="68" fillId="8" borderId="13" applyAlignment="1" pivotButton="0" quotePrefix="0" xfId="0">
      <alignment horizontal="right" vertical="center"/>
    </xf>
    <xf numFmtId="0" fontId="71" fillId="8" borderId="13" applyAlignment="1" pivotButton="0" quotePrefix="0" xfId="0">
      <alignment horizontal="center" vertical="center"/>
    </xf>
    <xf numFmtId="0" fontId="69" fillId="2" borderId="13" applyAlignment="1" pivotButton="0" quotePrefix="0" xfId="0">
      <alignment horizontal="center" vertical="center"/>
    </xf>
    <xf numFmtId="0" fontId="70" fillId="2" borderId="13" applyAlignment="1" pivotButton="0" quotePrefix="0" xfId="0">
      <alignment horizontal="left" vertical="center"/>
    </xf>
    <xf numFmtId="0" fontId="68" fillId="2" borderId="13" applyAlignment="1" pivotButton="0" quotePrefix="0" xfId="0">
      <alignment horizontal="left" vertical="center"/>
    </xf>
    <xf numFmtId="167" fontId="68" fillId="2" borderId="13" applyAlignment="1" pivotButton="0" quotePrefix="0" xfId="0">
      <alignment horizontal="center" vertical="center"/>
    </xf>
    <xf numFmtId="0" fontId="68" fillId="2" borderId="13" applyAlignment="1" pivotButton="0" quotePrefix="0" xfId="0">
      <alignment horizontal="center" vertical="center"/>
    </xf>
    <xf numFmtId="4" fontId="68" fillId="2" borderId="13" applyAlignment="1" pivotButton="0" quotePrefix="0" xfId="0">
      <alignment horizontal="right" vertical="center"/>
    </xf>
    <xf numFmtId="0" fontId="71" fillId="2" borderId="13" applyAlignment="1" pivotButton="0" quotePrefix="0" xfId="0">
      <alignment horizontal="center" vertical="center"/>
    </xf>
    <xf numFmtId="0" fontId="72" fillId="9" borderId="0" applyAlignment="1" pivotButton="0" quotePrefix="0" xfId="0">
      <alignment horizontal="general" vertical="bottom"/>
    </xf>
    <xf numFmtId="0" fontId="33" fillId="9" borderId="0" applyAlignment="1" pivotButton="0" quotePrefix="0" xfId="0">
      <alignment horizontal="center" vertical="center"/>
    </xf>
    <xf numFmtId="0" fontId="28" fillId="7" borderId="0" applyAlignment="1" pivotButton="0" quotePrefix="0" xfId="0">
      <alignment horizontal="general" vertical="bottom"/>
    </xf>
    <xf numFmtId="0" fontId="73" fillId="0" borderId="0" applyAlignment="1" pivotButton="0" quotePrefix="0" xfId="0">
      <alignment horizontal="general" vertical="bottom"/>
    </xf>
    <xf numFmtId="0" fontId="43" fillId="5" borderId="0" applyAlignment="1" pivotButton="0" quotePrefix="0" xfId="0">
      <alignment horizontal="center" vertical="center"/>
    </xf>
    <xf numFmtId="164" fontId="74" fillId="8" borderId="0" applyAlignment="1" pivotButton="0" quotePrefix="0" xfId="0">
      <alignment horizontal="center" vertical="center"/>
    </xf>
    <xf numFmtId="3" fontId="75" fillId="8" borderId="0" applyAlignment="1" pivotButton="0" quotePrefix="0" xfId="0">
      <alignment horizontal="center" vertical="center"/>
    </xf>
    <xf numFmtId="49" fontId="76" fillId="8" borderId="0" applyAlignment="1" pivotButton="0" quotePrefix="0" xfId="0">
      <alignment horizontal="center" vertical="center"/>
    </xf>
    <xf numFmtId="0" fontId="52" fillId="7" borderId="0" applyAlignment="1" pivotButton="0" quotePrefix="0" xfId="0">
      <alignment horizontal="center" vertical="center"/>
    </xf>
    <xf numFmtId="0" fontId="28" fillId="4" borderId="0" applyAlignment="1" pivotButton="0" quotePrefix="0" xfId="0">
      <alignment horizontal="center" vertical="center"/>
    </xf>
    <xf numFmtId="0" fontId="20" fillId="24" borderId="6" applyAlignment="1" pivotButton="0" quotePrefix="0" xfId="0">
      <alignment horizontal="center" vertical="center" wrapText="1"/>
    </xf>
    <xf numFmtId="0" fontId="0" fillId="2" borderId="1" applyAlignment="1" pivotButton="0" quotePrefix="0" xfId="0">
      <alignment horizontal="center" vertical="center"/>
    </xf>
    <xf numFmtId="164" fontId="77" fillId="2" borderId="1" applyAlignment="1" pivotButton="0" quotePrefix="0" xfId="0">
      <alignment horizontal="center" vertical="center"/>
    </xf>
    <xf numFmtId="169" fontId="78" fillId="2" borderId="1" applyAlignment="1" pivotButton="0" quotePrefix="0" xfId="0">
      <alignment horizontal="center" vertical="center"/>
    </xf>
    <xf numFmtId="164" fontId="79" fillId="8" borderId="1" applyAlignment="1" pivotButton="0" quotePrefix="0" xfId="0">
      <alignment horizontal="left" vertical="center"/>
    </xf>
    <xf numFmtId="164" fontId="34" fillId="2" borderId="1" applyAlignment="1" pivotButton="0" quotePrefix="0" xfId="0">
      <alignment horizontal="center" vertical="center"/>
    </xf>
    <xf numFmtId="0" fontId="29" fillId="2" borderId="1" applyAlignment="1" pivotButton="0" quotePrefix="0" xfId="0">
      <alignment horizontal="center" vertical="center"/>
    </xf>
    <xf numFmtId="0" fontId="31" fillId="25" borderId="6" applyAlignment="1" pivotButton="0" quotePrefix="0" xfId="0">
      <alignment horizontal="center" vertical="center"/>
    </xf>
    <xf numFmtId="0" fontId="35" fillId="2" borderId="1" applyAlignment="1" pivotButton="0" quotePrefix="0" xfId="0">
      <alignment horizontal="center" vertical="center"/>
    </xf>
    <xf numFmtId="0" fontId="78" fillId="2" borderId="1" applyAlignment="1" pivotButton="0" quotePrefix="0" xfId="0">
      <alignment horizontal="center" vertical="center"/>
    </xf>
    <xf numFmtId="0" fontId="0" fillId="2" borderId="1" applyAlignment="1" pivotButton="0" quotePrefix="0" xfId="0">
      <alignment horizontal="left" vertical="center"/>
    </xf>
    <xf numFmtId="0" fontId="0" fillId="8" borderId="1" applyAlignment="1" pivotButton="0" quotePrefix="0" xfId="0">
      <alignment horizontal="center" vertical="center"/>
    </xf>
    <xf numFmtId="164" fontId="77" fillId="8" borderId="1" applyAlignment="1" pivotButton="0" quotePrefix="0" xfId="0">
      <alignment horizontal="center" vertical="center"/>
    </xf>
    <xf numFmtId="169" fontId="78" fillId="8" borderId="1" applyAlignment="1" pivotButton="0" quotePrefix="0" xfId="0">
      <alignment horizontal="center" vertical="center"/>
    </xf>
    <xf numFmtId="164" fontId="34" fillId="8" borderId="1" applyAlignment="1" pivotButton="0" quotePrefix="0" xfId="0">
      <alignment horizontal="center" vertical="center"/>
    </xf>
    <xf numFmtId="0" fontId="29" fillId="8" borderId="1" applyAlignment="1" pivotButton="0" quotePrefix="0" xfId="0">
      <alignment horizontal="center" vertical="center"/>
    </xf>
    <xf numFmtId="0" fontId="35" fillId="8" borderId="1" applyAlignment="1" pivotButton="0" quotePrefix="0" xfId="0">
      <alignment horizontal="center" vertical="center"/>
    </xf>
    <xf numFmtId="0" fontId="78" fillId="8" borderId="1" applyAlignment="1" pivotButton="0" quotePrefix="0" xfId="0">
      <alignment horizontal="center" vertical="center"/>
    </xf>
    <xf numFmtId="0" fontId="0" fillId="8" borderId="1" applyAlignment="1" pivotButton="0" quotePrefix="0" xfId="0">
      <alignment horizontal="left" vertical="center"/>
    </xf>
    <xf numFmtId="0" fontId="42" fillId="26" borderId="0" applyAlignment="1" pivotButton="0" quotePrefix="0" xfId="0">
      <alignment horizontal="center" vertical="center"/>
    </xf>
    <xf numFmtId="0" fontId="43" fillId="10" borderId="0" applyAlignment="1" pivotButton="0" quotePrefix="0" xfId="0">
      <alignment horizontal="center" vertical="center"/>
    </xf>
    <xf numFmtId="0" fontId="20" fillId="11" borderId="0" applyAlignment="1" pivotButton="0" quotePrefix="0" xfId="0">
      <alignment horizontal="center" vertical="center"/>
    </xf>
    <xf numFmtId="164" fontId="80" fillId="8" borderId="0" applyAlignment="1" pivotButton="0" quotePrefix="0" xfId="0">
      <alignment horizontal="center" vertical="center"/>
    </xf>
    <xf numFmtId="3" fontId="74" fillId="8" borderId="0" applyAlignment="1" pivotButton="0" quotePrefix="0" xfId="0">
      <alignment horizontal="center" vertical="center"/>
    </xf>
    <xf numFmtId="3" fontId="81" fillId="8" borderId="0" applyAlignment="1" pivotButton="0" quotePrefix="0" xfId="0">
      <alignment horizontal="center" vertical="center"/>
    </xf>
    <xf numFmtId="49" fontId="76" fillId="8" borderId="0" applyAlignment="1" pivotButton="0" quotePrefix="0" xfId="0">
      <alignment horizontal="center" vertical="center"/>
    </xf>
    <xf numFmtId="0" fontId="28" fillId="11" borderId="0" applyAlignment="1" pivotButton="0" quotePrefix="0" xfId="0">
      <alignment horizontal="center" vertical="center"/>
    </xf>
    <xf numFmtId="0" fontId="28" fillId="10" borderId="0" applyAlignment="1" pivotButton="0" quotePrefix="0" xfId="0">
      <alignment horizontal="center" vertical="center"/>
    </xf>
    <xf numFmtId="0" fontId="28" fillId="26" borderId="1" applyAlignment="1" pivotButton="0" quotePrefix="0" xfId="0">
      <alignment horizontal="center" vertical="center"/>
    </xf>
    <xf numFmtId="164" fontId="79" fillId="27" borderId="1" applyAlignment="1" pivotButton="0" quotePrefix="0" xfId="0">
      <alignment horizontal="left" vertical="center"/>
    </xf>
    <xf numFmtId="164" fontId="82" fillId="2" borderId="1" applyAlignment="1" pivotButton="0" quotePrefix="0" xfId="0">
      <alignment horizontal="center" vertical="center"/>
    </xf>
    <xf numFmtId="164" fontId="82" fillId="8" borderId="1" applyAlignment="1" pivotButton="0" quotePrefix="0" xfId="0">
      <alignment horizontal="center" vertical="center"/>
    </xf>
    <xf numFmtId="0" fontId="83" fillId="11" borderId="0" applyAlignment="1" pivotButton="0" quotePrefix="0" xfId="0">
      <alignment horizontal="center" vertical="center"/>
    </xf>
    <xf numFmtId="0" fontId="84" fillId="26" borderId="0" applyAlignment="1" pivotButton="0" quotePrefix="0" xfId="0">
      <alignment horizontal="center" vertical="center"/>
    </xf>
    <xf numFmtId="0" fontId="52" fillId="9" borderId="0" applyAlignment="1" pivotButton="0" quotePrefix="0" xfId="0">
      <alignment horizontal="center" vertical="center"/>
    </xf>
    <xf numFmtId="0" fontId="32" fillId="0" borderId="0" applyAlignment="1" pivotButton="0" quotePrefix="0" xfId="0">
      <alignment horizontal="left" vertical="center"/>
    </xf>
    <xf numFmtId="0" fontId="79" fillId="8" borderId="2" applyAlignment="1" pivotButton="0" quotePrefix="0" xfId="0">
      <alignment horizontal="left" vertical="center"/>
    </xf>
    <xf numFmtId="0" fontId="30" fillId="0" borderId="0" applyAlignment="1" pivotButton="0" quotePrefix="0" xfId="0">
      <alignment horizontal="left" vertical="center"/>
    </xf>
    <xf numFmtId="170" fontId="29" fillId="8" borderId="1" applyAlignment="1" pivotButton="0" quotePrefix="0" xfId="0">
      <alignment horizontal="left" vertical="center"/>
    </xf>
    <xf numFmtId="164" fontId="29" fillId="8" borderId="1" applyAlignment="1" pivotButton="0" quotePrefix="0" xfId="0">
      <alignment horizontal="left" vertical="center"/>
    </xf>
    <xf numFmtId="164" fontId="85" fillId="3" borderId="1" applyAlignment="1" pivotButton="0" quotePrefix="0" xfId="0">
      <alignment horizontal="left" vertical="center"/>
    </xf>
    <xf numFmtId="0" fontId="52" fillId="4" borderId="0" applyAlignment="1" pivotButton="0" quotePrefix="0" xfId="0">
      <alignment horizontal="center" vertical="center"/>
    </xf>
    <xf numFmtId="0" fontId="28" fillId="11" borderId="1" applyAlignment="1" pivotButton="0" quotePrefix="0" xfId="0">
      <alignment horizontal="center" vertical="center"/>
    </xf>
    <xf numFmtId="164" fontId="79" fillId="28" borderId="1" applyAlignment="1" pivotButton="0" quotePrefix="0" xfId="0">
      <alignment horizontal="left" vertical="center"/>
    </xf>
    <xf numFmtId="0" fontId="79" fillId="8" borderId="1" applyAlignment="1" pivotButton="0" quotePrefix="0" xfId="0">
      <alignment horizontal="center" vertical="center"/>
    </xf>
    <xf numFmtId="170" fontId="29" fillId="8" borderId="1" applyAlignment="1" pivotButton="0" quotePrefix="0" xfId="0">
      <alignment horizontal="center" vertical="center"/>
    </xf>
    <xf numFmtId="164" fontId="30" fillId="8" borderId="1" applyAlignment="1" pivotButton="0" quotePrefix="0" xfId="0">
      <alignment horizontal="center" vertical="center"/>
    </xf>
    <xf numFmtId="164" fontId="86" fillId="8" borderId="1" applyAlignment="1" pivotButton="0" quotePrefix="0" xfId="0">
      <alignment horizontal="center" vertical="center"/>
    </xf>
    <xf numFmtId="0" fontId="87" fillId="8" borderId="1" applyAlignment="1" pivotButton="0" quotePrefix="0" xfId="0">
      <alignment horizontal="center" vertical="center"/>
    </xf>
    <xf numFmtId="0" fontId="79" fillId="2" borderId="1" applyAlignment="1" pivotButton="0" quotePrefix="0" xfId="0">
      <alignment horizontal="center" vertical="center"/>
    </xf>
    <xf numFmtId="170" fontId="29" fillId="2" borderId="1" applyAlignment="1" pivotButton="0" quotePrefix="0" xfId="0">
      <alignment horizontal="center" vertical="center"/>
    </xf>
    <xf numFmtId="164" fontId="86" fillId="2" borderId="1" applyAlignment="1" pivotButton="0" quotePrefix="0" xfId="0">
      <alignment horizontal="center" vertical="center"/>
    </xf>
    <xf numFmtId="0" fontId="87" fillId="2" borderId="1" applyAlignment="1" pivotButton="0" quotePrefix="0" xfId="0">
      <alignment horizontal="center" vertical="center"/>
    </xf>
    <xf numFmtId="170" fontId="0" fillId="0" borderId="0" applyAlignment="1" pivotButton="0" quotePrefix="0" xfId="0">
      <alignment horizontal="general" vertical="bottom"/>
    </xf>
    <xf numFmtId="0" fontId="0" fillId="8" borderId="0" applyAlignment="1" pivotButton="0" quotePrefix="0" xfId="0">
      <alignment horizontal="general" vertical="bottom"/>
    </xf>
    <xf numFmtId="0" fontId="28" fillId="29" borderId="14" applyAlignment="1" pivotButton="0" quotePrefix="0" xfId="0">
      <alignment horizontal="center" vertical="bottom"/>
    </xf>
    <xf numFmtId="0" fontId="52" fillId="9" borderId="0" applyAlignment="1" pivotButton="0" quotePrefix="0" xfId="0">
      <alignment horizontal="center" vertical="center"/>
    </xf>
    <xf numFmtId="169" fontId="29" fillId="8" borderId="1" applyAlignment="1" pivotButton="0" quotePrefix="0" xfId="0">
      <alignment horizontal="center" vertical="center"/>
    </xf>
    <xf numFmtId="0" fontId="0" fillId="0" borderId="0" applyAlignment="1" pivotButton="0" quotePrefix="0" xfId="0">
      <alignment horizontal="general" vertical="bottom"/>
    </xf>
    <xf numFmtId="169" fontId="29" fillId="2" borderId="1" applyAlignment="1" pivotButton="0" quotePrefix="0" xfId="0">
      <alignment horizontal="center" vertical="center"/>
    </xf>
    <xf numFmtId="0" fontId="28" fillId="5" borderId="1" applyAlignment="1" pivotButton="0" quotePrefix="0" xfId="0">
      <alignment horizontal="center" vertical="center"/>
    </xf>
    <xf numFmtId="0" fontId="34" fillId="30" borderId="1" applyAlignment="1" pivotButton="0" quotePrefix="0" xfId="0">
      <alignment horizontal="center" vertical="center"/>
    </xf>
    <xf numFmtId="0" fontId="88" fillId="0" borderId="0" applyAlignment="1" pivotButton="0" quotePrefix="0" xfId="0">
      <alignment horizontal="general" vertical="bottom"/>
    </xf>
    <xf numFmtId="0" fontId="87" fillId="28" borderId="1" applyAlignment="1" pivotButton="0" quotePrefix="0" xfId="0">
      <alignment horizontal="center" vertical="center"/>
    </xf>
    <xf numFmtId="0" fontId="52" fillId="31" borderId="0" applyAlignment="1" pivotButton="0" quotePrefix="0" xfId="0">
      <alignment horizontal="center" vertical="center"/>
    </xf>
    <xf numFmtId="0" fontId="89" fillId="32" borderId="0" applyAlignment="1" pivotButton="0" quotePrefix="0" xfId="0">
      <alignment horizontal="general" vertical="bottom"/>
    </xf>
    <xf numFmtId="0" fontId="28" fillId="31" borderId="14" applyAlignment="1" pivotButton="0" quotePrefix="0" xfId="0">
      <alignment horizontal="center" vertical="center"/>
    </xf>
    <xf numFmtId="0" fontId="83" fillId="4" borderId="0" applyAlignment="1" pivotButton="0" quotePrefix="0" xfId="0">
      <alignment horizontal="center" vertical="center"/>
    </xf>
    <xf numFmtId="0" fontId="85" fillId="8" borderId="0" applyAlignment="1" pivotButton="0" quotePrefix="0" xfId="0">
      <alignment horizontal="center" vertical="center"/>
    </xf>
    <xf numFmtId="164" fontId="93" fillId="8" borderId="0" applyAlignment="1" pivotButton="0" quotePrefix="0" xfId="0">
      <alignment horizontal="center" vertical="center"/>
    </xf>
    <xf numFmtId="164" fontId="94" fillId="8" borderId="0" applyAlignment="1" pivotButton="0" quotePrefix="0" xfId="0">
      <alignment horizontal="center" vertical="center"/>
    </xf>
    <xf numFmtId="164" fontId="95" fillId="8" borderId="0" applyAlignment="1" pivotButton="0" quotePrefix="0" xfId="0">
      <alignment horizontal="center" vertical="center"/>
    </xf>
    <xf numFmtId="3" fontId="96" fillId="8" borderId="0" applyAlignment="1" pivotButton="0" quotePrefix="0" xfId="0">
      <alignment horizontal="center" vertical="center"/>
    </xf>
    <xf numFmtId="0" fontId="83" fillId="12" borderId="0" applyAlignment="1" pivotButton="0" quotePrefix="0" xfId="0">
      <alignment horizontal="center" vertical="center"/>
    </xf>
    <xf numFmtId="0" fontId="31" fillId="8" borderId="0" applyAlignment="1" pivotButton="0" quotePrefix="0" xfId="0">
      <alignment horizontal="center" vertical="center"/>
    </xf>
    <xf numFmtId="0" fontId="28" fillId="9" borderId="0" applyAlignment="1" pivotButton="0" quotePrefix="0" xfId="0">
      <alignment horizontal="center" vertical="center"/>
    </xf>
    <xf numFmtId="164" fontId="97" fillId="3" borderId="0" applyAlignment="1" pivotButton="0" quotePrefix="0" xfId="0">
      <alignment horizontal="center" vertical="center"/>
    </xf>
    <xf numFmtId="3" fontId="97" fillId="3" borderId="0" applyAlignment="1" pivotButton="0" quotePrefix="0" xfId="0">
      <alignment horizontal="center" vertical="center"/>
    </xf>
    <xf numFmtId="0" fontId="28" fillId="12" borderId="1" applyAlignment="1" pivotButton="0" quotePrefix="0" xfId="0">
      <alignment horizontal="center" vertical="center"/>
    </xf>
    <xf numFmtId="0" fontId="98" fillId="9" borderId="0" applyAlignment="1" pivotButton="0" quotePrefix="0" xfId="0">
      <alignment horizontal="center" vertical="center"/>
    </xf>
    <xf numFmtId="0" fontId="99" fillId="4" borderId="0" applyAlignment="1" pivotButton="0" quotePrefix="0" xfId="0">
      <alignment horizontal="center" vertical="center"/>
    </xf>
    <xf numFmtId="0" fontId="47" fillId="23" borderId="15" applyAlignment="1" pivotButton="0" quotePrefix="0" xfId="0">
      <alignment horizontal="left" vertical="center"/>
    </xf>
    <xf numFmtId="0" fontId="100" fillId="0" borderId="0" applyAlignment="1" pivotButton="0" quotePrefix="0" xfId="0">
      <alignment horizontal="left" vertical="center"/>
    </xf>
    <xf numFmtId="0" fontId="57" fillId="23" borderId="16" applyAlignment="1" pivotButton="0" quotePrefix="0" xfId="0">
      <alignment horizontal="left" vertical="center"/>
    </xf>
    <xf numFmtId="0" fontId="101" fillId="4" borderId="0" applyAlignment="1" pivotButton="0" quotePrefix="0" xfId="0">
      <alignment horizontal="center" vertical="center"/>
    </xf>
    <xf numFmtId="0" fontId="20" fillId="9" borderId="16" applyAlignment="1" pivotButton="0" quotePrefix="0" xfId="0">
      <alignment horizontal="center" vertical="center" wrapText="1"/>
    </xf>
    <xf numFmtId="0" fontId="102" fillId="2" borderId="16" applyAlignment="1" pivotButton="0" quotePrefix="0" xfId="0">
      <alignment horizontal="center" vertical="center"/>
    </xf>
    <xf numFmtId="0" fontId="57" fillId="2" borderId="16" applyAlignment="1" pivotButton="0" quotePrefix="0" xfId="0">
      <alignment horizontal="left" vertical="center"/>
    </xf>
    <xf numFmtId="0" fontId="102" fillId="33" borderId="16" applyAlignment="1" pivotButton="0" quotePrefix="0" xfId="0">
      <alignment horizontal="center" vertical="center"/>
    </xf>
    <xf numFmtId="0" fontId="57" fillId="33" borderId="16" applyAlignment="1" pivotButton="0" quotePrefix="0" xfId="0">
      <alignment horizontal="left" vertical="center"/>
    </xf>
    <xf numFmtId="4" fontId="82" fillId="8" borderId="16" applyAlignment="1" pivotButton="0" quotePrefix="0" xfId="0">
      <alignment horizontal="center" vertical="center"/>
    </xf>
    <xf numFmtId="0" fontId="0" fillId="26" borderId="0" applyAlignment="1" pivotButton="0" quotePrefix="0" xfId="0">
      <alignment horizontal="general" vertical="bottom"/>
    </xf>
    <xf numFmtId="0" fontId="52" fillId="26" borderId="0" applyAlignment="1" pivotButton="0" quotePrefix="0" xfId="0">
      <alignment horizontal="center" vertical="center"/>
    </xf>
    <xf numFmtId="0" fontId="103" fillId="0" borderId="0" applyAlignment="1" pivotButton="0" quotePrefix="0" xfId="0">
      <alignment horizontal="left" vertical="center"/>
    </xf>
    <xf numFmtId="0" fontId="52" fillId="5" borderId="0" applyAlignment="1" pivotButton="0" quotePrefix="0" xfId="0">
      <alignment horizontal="center" vertical="center"/>
    </xf>
    <xf numFmtId="0" fontId="57" fillId="8" borderId="16" applyAlignment="1" pivotButton="0" quotePrefix="0" xfId="0">
      <alignment horizontal="left" vertical="center"/>
    </xf>
    <xf numFmtId="0" fontId="83" fillId="5" borderId="16" applyAlignment="1" pivotButton="0" quotePrefix="0" xfId="0">
      <alignment horizontal="center" vertical="center"/>
    </xf>
    <xf numFmtId="0" fontId="104" fillId="33" borderId="0" applyAlignment="1" pivotButton="0" quotePrefix="0" xfId="0">
      <alignment horizontal="left" vertical="center"/>
    </xf>
    <xf numFmtId="0" fontId="83" fillId="4" borderId="16" applyAlignment="1" pivotButton="0" quotePrefix="0" xfId="0">
      <alignment horizontal="center" vertical="center"/>
    </xf>
    <xf numFmtId="0" fontId="96" fillId="3" borderId="16" applyAlignment="1" pivotButton="0" quotePrefix="0" xfId="0">
      <alignment horizontal="center" vertical="center"/>
    </xf>
    <xf numFmtId="0" fontId="104" fillId="28" borderId="0" applyAlignment="1" pivotButton="0" quotePrefix="0" xfId="0">
      <alignment horizontal="left" vertical="center"/>
    </xf>
    <xf numFmtId="0" fontId="28" fillId="5" borderId="0" applyAlignment="1" pivotButton="0" quotePrefix="0" xfId="0">
      <alignment horizontal="left" vertical="center"/>
    </xf>
    <xf numFmtId="0" fontId="57" fillId="0" borderId="0" applyAlignment="1" pivotButton="0" quotePrefix="0" xfId="0">
      <alignment horizontal="left" vertical="center"/>
    </xf>
    <xf numFmtId="0" fontId="28" fillId="4" borderId="0" applyAlignment="1" pivotButton="0" quotePrefix="0" xfId="0">
      <alignment horizontal="left" vertical="center"/>
    </xf>
    <xf numFmtId="0" fontId="28" fillId="26" borderId="0" applyAlignment="1" pivotButton="0" quotePrefix="0" xfId="0">
      <alignment horizontal="left" vertical="center"/>
    </xf>
    <xf numFmtId="0" fontId="105" fillId="0" borderId="0" applyAlignment="1" pivotButton="0" quotePrefix="0" xfId="0">
      <alignment horizontal="left" vertical="center"/>
    </xf>
    <xf numFmtId="0" fontId="20" fillId="9" borderId="16" applyAlignment="1" pivotButton="0" quotePrefix="0" xfId="0">
      <alignment horizontal="center" vertical="center"/>
    </xf>
    <xf numFmtId="0" fontId="102" fillId="2" borderId="16" applyAlignment="1" pivotButton="0" quotePrefix="0" xfId="0">
      <alignment horizontal="left" vertical="center"/>
    </xf>
    <xf numFmtId="0" fontId="102" fillId="33" borderId="16" applyAlignment="1" pivotButton="0" quotePrefix="0" xfId="0">
      <alignment horizontal="left" vertical="center"/>
    </xf>
    <xf numFmtId="0" fontId="44" fillId="9" borderId="0" applyAlignment="1" pivotButton="0" quotePrefix="0" xfId="0">
      <alignment horizontal="center" vertical="center"/>
    </xf>
    <xf numFmtId="0" fontId="43" fillId="4" borderId="0" applyAlignment="1" pivotButton="0" quotePrefix="0" xfId="0">
      <alignment horizontal="center" vertical="center"/>
    </xf>
    <xf numFmtId="0" fontId="28" fillId="29" borderId="14" applyAlignment="1" pivotButton="0" quotePrefix="0" xfId="0">
      <alignment horizontal="center" vertical="center"/>
    </xf>
    <xf numFmtId="0" fontId="85" fillId="3" borderId="0" applyAlignment="1" pivotButton="0" quotePrefix="0" xfId="0">
      <alignment horizontal="center" vertical="center"/>
    </xf>
    <xf numFmtId="0" fontId="31" fillId="8" borderId="0" applyAlignment="1" pivotButton="0" quotePrefix="0" xfId="0">
      <alignment horizontal="center" vertical="center"/>
    </xf>
    <xf numFmtId="0" fontId="106" fillId="26" borderId="0" applyAlignment="1" pivotButton="0" quotePrefix="0" xfId="0">
      <alignment horizontal="center" vertical="center"/>
    </xf>
    <xf numFmtId="0" fontId="106" fillId="0" borderId="1" applyAlignment="1" pivotButton="0" quotePrefix="0" xfId="0">
      <alignment horizontal="left" vertical="center"/>
    </xf>
    <xf numFmtId="0" fontId="107" fillId="8" borderId="1" applyAlignment="1" pivotButton="0" quotePrefix="0" xfId="0">
      <alignment horizontal="left" vertical="center"/>
    </xf>
    <xf numFmtId="0" fontId="52" fillId="24" borderId="0" applyAlignment="1" pivotButton="0" quotePrefix="0" xfId="0">
      <alignment horizontal="center" vertical="center"/>
    </xf>
    <xf numFmtId="0" fontId="31" fillId="2" borderId="0" applyAlignment="1" pivotButton="0" quotePrefix="0" xfId="0">
      <alignment horizontal="left" vertical="center"/>
    </xf>
    <xf numFmtId="0" fontId="31" fillId="8" borderId="0" applyAlignment="1" pivotButton="0" quotePrefix="0" xfId="0">
      <alignment horizontal="left" vertical="center"/>
    </xf>
    <xf numFmtId="0" fontId="83" fillId="26" borderId="0" applyAlignment="1" pivotButton="0" quotePrefix="0" xfId="0">
      <alignment horizontal="center" vertical="center"/>
    </xf>
    <xf numFmtId="0" fontId="28" fillId="34" borderId="14" applyAlignment="1" pivotButton="0" quotePrefix="0" xfId="0">
      <alignment horizontal="center" vertical="bottom"/>
    </xf>
    <xf numFmtId="0" fontId="108" fillId="9" borderId="0" applyAlignment="1" pivotButton="0" quotePrefix="0" xfId="0">
      <alignment horizontal="center" vertical="center"/>
    </xf>
    <xf numFmtId="0" fontId="108" fillId="9" borderId="0" applyAlignment="1" pivotButton="0" quotePrefix="0" xfId="0">
      <alignment horizontal="left" vertical="center" wrapText="1"/>
    </xf>
    <xf numFmtId="0" fontId="109" fillId="0" borderId="0" applyAlignment="1" pivotButton="0" quotePrefix="0" xfId="0">
      <alignment horizontal="left" vertical="top"/>
    </xf>
    <xf numFmtId="0" fontId="110" fillId="33" borderId="0" applyAlignment="1" pivotButton="0" quotePrefix="0" xfId="0">
      <alignment horizontal="left" vertical="top"/>
    </xf>
    <xf numFmtId="0" fontId="32" fillId="0" borderId="0" applyAlignment="1" pivotButton="0" quotePrefix="0" xfId="0">
      <alignment horizontal="general" vertical="bottom"/>
    </xf>
    <xf numFmtId="0" fontId="109" fillId="0" borderId="0" applyAlignment="1" pivotButton="0" quotePrefix="0" xfId="0">
      <alignment horizontal="general" vertical="bottom"/>
    </xf>
    <xf numFmtId="0" fontId="111" fillId="13" borderId="0" applyAlignment="1" pivotButton="0" quotePrefix="0" xfId="0">
      <alignment horizontal="center" vertical="center" wrapText="1"/>
    </xf>
    <xf numFmtId="0" fontId="112" fillId="35" borderId="0" applyAlignment="1" pivotButton="0" quotePrefix="0" xfId="0">
      <alignment horizontal="center" vertical="center" wrapText="1"/>
    </xf>
    <xf numFmtId="0" fontId="36" fillId="36" borderId="0" applyAlignment="1" pivotButton="0" quotePrefix="0" xfId="0">
      <alignment horizontal="center" vertical="center" wrapText="1"/>
    </xf>
    <xf numFmtId="0" fontId="113" fillId="37" borderId="0" applyAlignment="1" pivotButton="0" quotePrefix="0" xfId="0">
      <alignment horizontal="center" vertical="center" wrapText="1"/>
    </xf>
    <xf numFmtId="0" fontId="113" fillId="38" borderId="0" applyAlignment="1" pivotButton="0" quotePrefix="0" xfId="0">
      <alignment horizontal="center" vertical="center" wrapText="1"/>
    </xf>
    <xf numFmtId="0" fontId="113" fillId="39" borderId="0" applyAlignment="1" pivotButton="0" quotePrefix="0" xfId="0">
      <alignment horizontal="center" vertical="center" wrapText="1"/>
    </xf>
    <xf numFmtId="0" fontId="113" fillId="40" borderId="0" applyAlignment="1" pivotButton="0" quotePrefix="0" xfId="0">
      <alignment horizontal="center" vertical="center" wrapText="1"/>
    </xf>
    <xf numFmtId="0" fontId="113" fillId="36" borderId="0" applyAlignment="1" pivotButton="0" quotePrefix="0" xfId="0">
      <alignment horizontal="center" vertical="center" wrapText="1"/>
    </xf>
    <xf numFmtId="0" fontId="113" fillId="41" borderId="0" applyAlignment="1" pivotButton="0" quotePrefix="0" xfId="0">
      <alignment horizontal="center" vertical="center" wrapText="1"/>
    </xf>
    <xf numFmtId="4" fontId="114" fillId="42" borderId="14" applyAlignment="1" pivotButton="0" quotePrefix="0" xfId="0">
      <alignment horizontal="center" vertical="center" wrapText="1"/>
    </xf>
    <xf numFmtId="165" fontId="114" fillId="42" borderId="14" applyAlignment="1" pivotButton="0" quotePrefix="0" xfId="0">
      <alignment horizontal="center" vertical="center" wrapText="1"/>
    </xf>
    <xf numFmtId="166" fontId="114" fillId="42" borderId="14" applyAlignment="1" pivotButton="0" quotePrefix="0" xfId="0">
      <alignment horizontal="center" vertical="center" wrapText="1"/>
    </xf>
    <xf numFmtId="49" fontId="114" fillId="42" borderId="14" applyAlignment="1" pivotButton="0" quotePrefix="0" xfId="0">
      <alignment horizontal="center" vertical="center" wrapText="1"/>
    </xf>
    <xf numFmtId="0" fontId="36" fillId="43" borderId="0" applyAlignment="1" pivotButton="0" quotePrefix="0" xfId="0">
      <alignment horizontal="center" vertical="center" wrapText="1"/>
    </xf>
    <xf numFmtId="0" fontId="115" fillId="44" borderId="14" applyAlignment="1" pivotButton="0" quotePrefix="0" xfId="0">
      <alignment horizontal="center" vertical="center" wrapText="1"/>
    </xf>
    <xf numFmtId="0" fontId="116" fillId="18" borderId="14" applyAlignment="1" pivotButton="0" quotePrefix="0" xfId="0">
      <alignment horizontal="center" vertical="center" wrapText="1"/>
    </xf>
    <xf numFmtId="4" fontId="117" fillId="18" borderId="14" applyAlignment="1" pivotButton="0" quotePrefix="0" xfId="0">
      <alignment horizontal="center" vertical="center" wrapText="1"/>
    </xf>
    <xf numFmtId="1" fontId="117" fillId="18" borderId="14" applyAlignment="1" pivotButton="0" quotePrefix="0" xfId="0">
      <alignment horizontal="center" vertical="center" wrapText="1"/>
    </xf>
    <xf numFmtId="165" fontId="117" fillId="18" borderId="14" applyAlignment="1" pivotButton="0" quotePrefix="0" xfId="0">
      <alignment horizontal="center" vertical="center" wrapText="1"/>
    </xf>
    <xf numFmtId="0" fontId="117" fillId="18" borderId="14" applyAlignment="1" pivotButton="0" quotePrefix="0" xfId="0">
      <alignment horizontal="center" vertical="center" wrapText="1"/>
    </xf>
    <xf numFmtId="166" fontId="117" fillId="18" borderId="14" applyAlignment="1" pivotButton="0" quotePrefix="0" xfId="0">
      <alignment horizontal="center" vertical="center" wrapText="1"/>
    </xf>
    <xf numFmtId="0" fontId="118" fillId="15" borderId="14" applyAlignment="1" pivotButton="0" quotePrefix="0" xfId="0">
      <alignment horizontal="left" vertical="center" wrapText="1"/>
    </xf>
    <xf numFmtId="0" fontId="116" fillId="45" borderId="14" applyAlignment="1" pivotButton="0" quotePrefix="0" xfId="0">
      <alignment horizontal="center" vertical="center" wrapText="1"/>
    </xf>
    <xf numFmtId="4" fontId="117" fillId="45" borderId="14" applyAlignment="1" pivotButton="0" quotePrefix="0" xfId="0">
      <alignment horizontal="center" vertical="center" wrapText="1"/>
    </xf>
    <xf numFmtId="1" fontId="117" fillId="45" borderId="14" applyAlignment="1" pivotButton="0" quotePrefix="0" xfId="0">
      <alignment horizontal="center" vertical="center" wrapText="1"/>
    </xf>
    <xf numFmtId="165" fontId="117" fillId="45" borderId="14" applyAlignment="1" pivotButton="0" quotePrefix="0" xfId="0">
      <alignment horizontal="center" vertical="center" wrapText="1"/>
    </xf>
    <xf numFmtId="0" fontId="117" fillId="45" borderId="14" applyAlignment="1" pivotButton="0" quotePrefix="0" xfId="0">
      <alignment horizontal="center" vertical="center" wrapText="1"/>
    </xf>
    <xf numFmtId="166" fontId="117" fillId="45" borderId="14" applyAlignment="1" pivotButton="0" quotePrefix="0" xfId="0">
      <alignment horizontal="center" vertical="center" wrapText="1"/>
    </xf>
    <xf numFmtId="0" fontId="119" fillId="44" borderId="14" applyAlignment="1" pivotButton="0" quotePrefix="0" xfId="0">
      <alignment horizontal="center" vertical="center" wrapText="1"/>
    </xf>
    <xf numFmtId="4" fontId="119" fillId="44" borderId="14" applyAlignment="1" pivotButton="0" quotePrefix="0" xfId="0">
      <alignment horizontal="center" vertical="center" wrapText="1"/>
    </xf>
    <xf numFmtId="1" fontId="119" fillId="44" borderId="14" applyAlignment="1" pivotButton="0" quotePrefix="0" xfId="0">
      <alignment horizontal="center" vertical="center" wrapText="1"/>
    </xf>
    <xf numFmtId="0" fontId="115" fillId="46" borderId="14" applyAlignment="1" pivotButton="0" quotePrefix="0" xfId="0">
      <alignment horizontal="center" vertical="center" wrapText="1"/>
    </xf>
    <xf numFmtId="0" fontId="120" fillId="15" borderId="14" applyAlignment="1" pivotButton="0" quotePrefix="0" xfId="0">
      <alignment horizontal="center" vertical="center" wrapText="1"/>
    </xf>
    <xf numFmtId="4" fontId="117" fillId="15" borderId="14" applyAlignment="1" pivotButton="0" quotePrefix="0" xfId="0">
      <alignment horizontal="center" vertical="center" wrapText="1"/>
    </xf>
    <xf numFmtId="1" fontId="117" fillId="15" borderId="14" applyAlignment="1" pivotButton="0" quotePrefix="0" xfId="0">
      <alignment horizontal="center" vertical="center" wrapText="1"/>
    </xf>
    <xf numFmtId="0" fontId="117" fillId="15" borderId="14" applyAlignment="1" pivotButton="0" quotePrefix="0" xfId="0">
      <alignment horizontal="center" vertical="center" wrapText="1"/>
    </xf>
    <xf numFmtId="0" fontId="120" fillId="2" borderId="14" applyAlignment="1" pivotButton="0" quotePrefix="0" xfId="0">
      <alignment horizontal="center" vertical="center" wrapText="1"/>
    </xf>
    <xf numFmtId="4" fontId="117" fillId="2" borderId="14" applyAlignment="1" pivotButton="0" quotePrefix="0" xfId="0">
      <alignment horizontal="center" vertical="center" wrapText="1"/>
    </xf>
    <xf numFmtId="1" fontId="117" fillId="2" borderId="14" applyAlignment="1" pivotButton="0" quotePrefix="0" xfId="0">
      <alignment horizontal="center" vertical="center" wrapText="1"/>
    </xf>
    <xf numFmtId="0" fontId="117" fillId="2" borderId="14" applyAlignment="1" pivotButton="0" quotePrefix="0" xfId="0">
      <alignment horizontal="center" vertical="center" wrapText="1"/>
    </xf>
    <xf numFmtId="0" fontId="36" fillId="39" borderId="0" applyAlignment="1" pivotButton="0" quotePrefix="0" xfId="0">
      <alignment horizontal="center" vertical="center" wrapText="1"/>
    </xf>
    <xf numFmtId="0" fontId="120" fillId="16" borderId="14" applyAlignment="1" pivotButton="0" quotePrefix="0" xfId="0">
      <alignment horizontal="left" vertical="center" wrapText="1"/>
    </xf>
    <xf numFmtId="1" fontId="121" fillId="16" borderId="14" applyAlignment="1" pivotButton="0" quotePrefix="0" xfId="0">
      <alignment horizontal="center" vertical="center" wrapText="1"/>
    </xf>
    <xf numFmtId="0" fontId="122" fillId="16" borderId="14" applyAlignment="1" pivotButton="0" quotePrefix="0" xfId="0">
      <alignment horizontal="center" vertical="center" wrapText="1"/>
    </xf>
    <xf numFmtId="0" fontId="120" fillId="47" borderId="14" applyAlignment="1" pivotButton="0" quotePrefix="0" xfId="0">
      <alignment horizontal="left" vertical="center" wrapText="1"/>
    </xf>
    <xf numFmtId="1" fontId="121" fillId="47" borderId="14" applyAlignment="1" pivotButton="0" quotePrefix="0" xfId="0">
      <alignment horizontal="center" vertical="center" wrapText="1"/>
    </xf>
    <xf numFmtId="0" fontId="122" fillId="47" borderId="14" applyAlignment="1" pivotButton="0" quotePrefix="0" xfId="0">
      <alignment horizontal="center" vertical="center" wrapText="1"/>
    </xf>
    <xf numFmtId="0" fontId="123" fillId="48" borderId="0" applyAlignment="1" pivotButton="0" quotePrefix="0" xfId="0">
      <alignment horizontal="center" vertical="center" wrapText="1"/>
    </xf>
    <xf numFmtId="0" fontId="124" fillId="49" borderId="0" applyAlignment="1" pivotButton="0" quotePrefix="0" xfId="0">
      <alignment horizontal="center" vertical="center" wrapText="1"/>
    </xf>
    <xf numFmtId="0" fontId="125" fillId="0" borderId="0" applyAlignment="1" pivotButton="0" quotePrefix="0" xfId="0">
      <alignment horizontal="center" vertical="center" wrapText="1"/>
    </xf>
    <xf numFmtId="1" fontId="126" fillId="0" borderId="0" applyAlignment="1" pivotButton="0" quotePrefix="0" xfId="0">
      <alignment horizontal="center" vertical="center" wrapText="1"/>
    </xf>
    <xf numFmtId="0" fontId="119" fillId="48" borderId="14" applyAlignment="1" pivotButton="0" quotePrefix="0" xfId="0">
      <alignment horizontal="center" vertical="center" wrapText="1"/>
    </xf>
    <xf numFmtId="0" fontId="120" fillId="14" borderId="14" applyAlignment="1" pivotButton="0" quotePrefix="0" xfId="0">
      <alignment horizontal="center" vertical="center" wrapText="1"/>
    </xf>
    <xf numFmtId="4" fontId="117" fillId="14" borderId="14" applyAlignment="1" pivotButton="0" quotePrefix="0" xfId="0">
      <alignment horizontal="center" vertical="center" wrapText="1"/>
    </xf>
    <xf numFmtId="1" fontId="117" fillId="14" borderId="14" applyAlignment="1" pivotButton="0" quotePrefix="0" xfId="0">
      <alignment horizontal="center" vertical="center" wrapText="1"/>
    </xf>
    <xf numFmtId="0" fontId="117" fillId="14" borderId="14" applyAlignment="1" pivotButton="0" quotePrefix="0" xfId="0">
      <alignment horizontal="center" vertical="center" wrapText="1"/>
    </xf>
    <xf numFmtId="0" fontId="36" fillId="48" borderId="0" applyAlignment="1" pivotButton="0" quotePrefix="0" xfId="0">
      <alignment horizontal="center" vertical="center" wrapText="1"/>
    </xf>
    <xf numFmtId="4" fontId="36" fillId="48" borderId="0" applyAlignment="1" pivotButton="0" quotePrefix="0" xfId="0">
      <alignment horizontal="center" vertical="center" wrapText="1"/>
    </xf>
    <xf numFmtId="1" fontId="36" fillId="48" borderId="0" applyAlignment="1" pivotButton="0" quotePrefix="0" xfId="0">
      <alignment horizontal="center" vertical="center" wrapText="1"/>
    </xf>
    <xf numFmtId="0" fontId="127" fillId="36" borderId="0" applyAlignment="1" pivotButton="0" quotePrefix="0" xfId="0">
      <alignment horizontal="center" vertical="center" wrapText="1"/>
    </xf>
    <xf numFmtId="0" fontId="128" fillId="15" borderId="0" applyAlignment="1" pivotButton="0" quotePrefix="0" xfId="0">
      <alignment horizontal="center" vertical="center" wrapText="1"/>
    </xf>
    <xf numFmtId="4" fontId="121" fillId="15" borderId="0" applyAlignment="1" pivotButton="0" quotePrefix="0" xfId="0">
      <alignment horizontal="center" vertical="center" wrapText="1"/>
    </xf>
    <xf numFmtId="0" fontId="129" fillId="15" borderId="0" applyAlignment="1" pivotButton="0" quotePrefix="0" xfId="0">
      <alignment horizontal="left" vertical="center" wrapText="1"/>
    </xf>
    <xf numFmtId="0" fontId="128" fillId="2" borderId="0" applyAlignment="1" pivotButton="0" quotePrefix="0" xfId="0">
      <alignment horizontal="center" vertical="center" wrapText="1"/>
    </xf>
    <xf numFmtId="4" fontId="121" fillId="2" borderId="0" applyAlignment="1" pivotButton="0" quotePrefix="0" xfId="0">
      <alignment horizontal="center" vertical="center" wrapText="1"/>
    </xf>
    <xf numFmtId="0" fontId="129" fillId="2" borderId="0" applyAlignment="1" pivotButton="0" quotePrefix="0" xfId="0">
      <alignment horizontal="left" vertical="center" wrapText="1"/>
    </xf>
    <xf numFmtId="1" fontId="121" fillId="15" borderId="0" applyAlignment="1" pivotButton="0" quotePrefix="0" xfId="0">
      <alignment horizontal="center" vertical="center" wrapText="1"/>
    </xf>
    <xf numFmtId="165" fontId="121" fillId="15" borderId="0" applyAlignment="1" pivotButton="0" quotePrefix="0" xfId="0">
      <alignment horizontal="center" vertical="center" wrapText="1"/>
    </xf>
    <xf numFmtId="49" fontId="121" fillId="2" borderId="0" applyAlignment="1" pivotButton="0" quotePrefix="0" xfId="0">
      <alignment horizontal="center" vertical="center" wrapText="1"/>
    </xf>
    <xf numFmtId="0" fontId="129" fillId="0" borderId="0" applyAlignment="1" pivotButton="0" quotePrefix="0" xfId="0">
      <alignment horizontal="center" vertical="center" wrapText="1"/>
    </xf>
    <xf numFmtId="0" fontId="0" fillId="0" borderId="0" applyAlignment="1" pivotButton="0" quotePrefix="0" xfId="0">
      <alignment horizontal="general" vertical="bottom"/>
    </xf>
    <xf numFmtId="0" fontId="0" fillId="0" borderId="0" pivotButton="0" quotePrefix="0" xfId="0"/>
    <xf numFmtId="0" fontId="0" fillId="2" borderId="0" applyAlignment="1" pivotButton="0" quotePrefix="0" xfId="0">
      <alignment horizontal="general" vertical="bottom"/>
    </xf>
    <xf numFmtId="0" fontId="4" fillId="2" borderId="0" applyAlignment="1" pivotButton="0" quotePrefix="0" xfId="0">
      <alignment horizontal="center" vertical="center"/>
    </xf>
    <xf numFmtId="0" fontId="5" fillId="2" borderId="0" applyAlignment="1" pivotButton="0" quotePrefix="0" xfId="0">
      <alignment horizontal="center" vertical="center"/>
    </xf>
    <xf numFmtId="0" fontId="0" fillId="3" borderId="0" applyAlignment="1" pivotButton="0" quotePrefix="0" xfId="0">
      <alignment horizontal="general" vertical="bottom"/>
    </xf>
    <xf numFmtId="0" fontId="6" fillId="2" borderId="0" applyAlignment="1" pivotButton="0" quotePrefix="0" xfId="0">
      <alignment horizontal="center" vertical="center"/>
    </xf>
    <xf numFmtId="0" fontId="7" fillId="2" borderId="0" applyAlignment="1" pivotButton="0" quotePrefix="0" xfId="0">
      <alignment horizontal="center" vertical="center" wrapText="1"/>
    </xf>
    <xf numFmtId="0" fontId="8" fillId="2" borderId="0" applyAlignment="1" pivotButton="0" quotePrefix="0" xfId="0">
      <alignment horizontal="center" vertical="center"/>
    </xf>
    <xf numFmtId="0" fontId="9" fillId="2" borderId="0" applyAlignment="1" pivotButton="0" quotePrefix="0" xfId="0">
      <alignment horizontal="center" vertical="center"/>
    </xf>
    <xf numFmtId="0" fontId="0" fillId="4" borderId="0" applyAlignment="1" pivotButton="0" quotePrefix="0" xfId="0">
      <alignment horizontal="general" vertical="bottom"/>
    </xf>
    <xf numFmtId="0" fontId="10" fillId="2" borderId="0" applyAlignment="1" pivotButton="0" quotePrefix="0" xfId="0">
      <alignment horizontal="center" vertical="center" wrapText="1"/>
    </xf>
    <xf numFmtId="0" fontId="11" fillId="5" borderId="0" applyAlignment="1" pivotButton="0" quotePrefix="0" xfId="0">
      <alignment horizontal="center" vertical="center"/>
    </xf>
    <xf numFmtId="0" fontId="12" fillId="6" borderId="0" applyAlignment="1" pivotButton="0" quotePrefix="0" xfId="0">
      <alignment horizontal="center" vertical="center"/>
    </xf>
    <xf numFmtId="0" fontId="13" fillId="2" borderId="0" applyAlignment="1" pivotButton="0" quotePrefix="0" xfId="0">
      <alignment horizontal="center" vertical="center"/>
    </xf>
    <xf numFmtId="0" fontId="0" fillId="7" borderId="0" applyAlignment="1" pivotButton="0" quotePrefix="0" xfId="0">
      <alignment horizontal="general" vertical="bottom"/>
    </xf>
    <xf numFmtId="0" fontId="14" fillId="2" borderId="0" applyAlignment="1" pivotButton="0" quotePrefix="0" xfId="0">
      <alignment horizontal="left" vertical="center" wrapText="1"/>
    </xf>
    <xf numFmtId="0" fontId="10" fillId="8" borderId="0" applyAlignment="1" pivotButton="0" quotePrefix="0" xfId="0">
      <alignment horizontal="left" vertical="center" wrapText="1"/>
    </xf>
    <xf numFmtId="0" fontId="15" fillId="2" borderId="0" applyAlignment="1" pivotButton="0" quotePrefix="0" xfId="0">
      <alignment horizontal="center" vertical="center"/>
    </xf>
    <xf numFmtId="0" fontId="16" fillId="6" borderId="0" applyAlignment="1" pivotButton="0" quotePrefix="0" xfId="0">
      <alignment horizontal="center" vertical="center" wrapText="1"/>
    </xf>
    <xf numFmtId="0" fontId="17" fillId="2" borderId="0" applyAlignment="1" pivotButton="0" quotePrefix="0" xfId="0">
      <alignment horizontal="center" vertical="center"/>
    </xf>
    <xf numFmtId="0" fontId="11" fillId="2" borderId="0" applyAlignment="1" pivotButton="0" quotePrefix="0" xfId="0">
      <alignment horizontal="center" vertical="center"/>
    </xf>
    <xf numFmtId="0" fontId="18" fillId="9" borderId="0" applyAlignment="1" pivotButton="0" quotePrefix="0" xfId="0">
      <alignment horizontal="center" vertical="center"/>
    </xf>
    <xf numFmtId="0" fontId="19" fillId="4" borderId="0" applyAlignment="1" pivotButton="0" quotePrefix="0" xfId="0">
      <alignment horizontal="center" vertical="center"/>
    </xf>
    <xf numFmtId="0" fontId="20" fillId="5" borderId="0" applyAlignment="1" pivotButton="0" quotePrefix="0" xfId="0">
      <alignment horizontal="center" vertical="center"/>
    </xf>
    <xf numFmtId="0" fontId="20" fillId="10" borderId="0" applyAlignment="1" pivotButton="0" quotePrefix="0" xfId="0">
      <alignment horizontal="center" vertical="center"/>
    </xf>
    <xf numFmtId="0" fontId="20" fillId="7" borderId="0" applyAlignment="1" pivotButton="0" quotePrefix="0" xfId="0">
      <alignment horizontal="center" vertical="center"/>
    </xf>
    <xf numFmtId="0" fontId="20" fillId="4" borderId="0" applyAlignment="1" pivotButton="0" quotePrefix="0" xfId="0">
      <alignment horizontal="center" vertical="center"/>
    </xf>
    <xf numFmtId="0" fontId="20" fillId="11" borderId="0" applyAlignment="1" pivotButton="0" quotePrefix="0" xfId="0">
      <alignment horizontal="center" vertical="center"/>
    </xf>
    <xf numFmtId="0" fontId="20" fillId="12" borderId="0" applyAlignment="1" pivotButton="0" quotePrefix="0" xfId="0">
      <alignment horizontal="center" vertical="center"/>
    </xf>
    <xf numFmtId="164" fontId="21" fillId="8" borderId="0" applyAlignment="1" pivotButton="0" quotePrefix="0" xfId="0">
      <alignment horizontal="center" vertical="center"/>
    </xf>
    <xf numFmtId="164" fontId="22" fillId="8" borderId="0" applyAlignment="1" pivotButton="0" quotePrefix="0" xfId="0">
      <alignment horizontal="center" vertical="center"/>
    </xf>
    <xf numFmtId="164" fontId="23" fillId="8" borderId="0" applyAlignment="1" pivotButton="0" quotePrefix="0" xfId="0">
      <alignment horizontal="center" vertical="center"/>
    </xf>
    <xf numFmtId="3" fontId="24" fillId="8" borderId="0" applyAlignment="1" pivotButton="0" quotePrefix="0" xfId="0">
      <alignment horizontal="center" vertical="center"/>
    </xf>
    <xf numFmtId="3" fontId="25" fillId="8" borderId="0" applyAlignment="1" pivotButton="0" quotePrefix="0" xfId="0">
      <alignment horizontal="center" vertical="center"/>
    </xf>
    <xf numFmtId="164" fontId="26" fillId="8" borderId="0" applyAlignment="1" pivotButton="0" quotePrefix="0" xfId="0">
      <alignment horizontal="center" vertical="center"/>
    </xf>
    <xf numFmtId="0" fontId="27" fillId="9" borderId="0" applyAlignment="1" pivotButton="0" quotePrefix="0" xfId="0">
      <alignment horizontal="center" vertical="center"/>
    </xf>
    <xf numFmtId="0" fontId="28" fillId="9" borderId="1" applyAlignment="1" pivotButton="0" quotePrefix="0" xfId="0">
      <alignment horizontal="center" vertical="center"/>
    </xf>
    <xf numFmtId="0" fontId="29" fillId="2" borderId="1" applyAlignment="1" pivotButton="0" quotePrefix="0" xfId="0">
      <alignment horizontal="left" vertical="center"/>
    </xf>
    <xf numFmtId="164" fontId="29" fillId="2" borderId="1" applyAlignment="1" pivotButton="0" quotePrefix="0" xfId="0">
      <alignment horizontal="center" vertical="center"/>
    </xf>
    <xf numFmtId="0" fontId="29" fillId="2" borderId="1" applyAlignment="1" pivotButton="0" quotePrefix="0" xfId="0">
      <alignment horizontal="center" vertical="center"/>
    </xf>
    <xf numFmtId="165" fontId="29" fillId="2" borderId="1" applyAlignment="1" pivotButton="0" quotePrefix="0" xfId="0">
      <alignment horizontal="center" vertical="center"/>
    </xf>
    <xf numFmtId="0" fontId="29" fillId="8" borderId="1" applyAlignment="1" pivotButton="0" quotePrefix="0" xfId="0">
      <alignment horizontal="left" vertical="center"/>
    </xf>
    <xf numFmtId="164" fontId="29" fillId="8" borderId="1" applyAlignment="1" pivotButton="0" quotePrefix="0" xfId="0">
      <alignment horizontal="center" vertical="center"/>
    </xf>
    <xf numFmtId="0" fontId="29" fillId="8" borderId="1" applyAlignment="1" pivotButton="0" quotePrefix="0" xfId="0">
      <alignment horizontal="center" vertical="center"/>
    </xf>
    <xf numFmtId="165" fontId="29" fillId="8" borderId="1" applyAlignment="1" pivotButton="0" quotePrefix="0" xfId="0">
      <alignment horizontal="center" vertical="center"/>
    </xf>
    <xf numFmtId="0" fontId="30" fillId="3" borderId="2" applyAlignment="1" pivotButton="0" quotePrefix="0" xfId="0">
      <alignment horizontal="center" vertical="center"/>
    </xf>
    <xf numFmtId="164" fontId="30" fillId="3" borderId="2" applyAlignment="1" pivotButton="0" quotePrefix="0" xfId="0">
      <alignment horizontal="center" vertical="center"/>
    </xf>
    <xf numFmtId="165" fontId="30" fillId="3" borderId="2" applyAlignment="1" pivotButton="0" quotePrefix="0" xfId="0">
      <alignment horizontal="center" vertical="center"/>
    </xf>
    <xf numFmtId="0" fontId="27" fillId="7" borderId="0" applyAlignment="1" pivotButton="0" quotePrefix="0" xfId="0">
      <alignment horizontal="center" vertical="center"/>
    </xf>
    <xf numFmtId="0" fontId="31" fillId="8" borderId="3" applyAlignment="1" pivotButton="0" quotePrefix="0" xfId="0">
      <alignment horizontal="left" vertical="top" wrapText="1"/>
    </xf>
    <xf numFmtId="0" fontId="0" fillId="0" borderId="17" pivotButton="0" quotePrefix="0" xfId="0"/>
    <xf numFmtId="0" fontId="30" fillId="0" borderId="4" applyAlignment="1" pivotButton="0" quotePrefix="0" xfId="0">
      <alignment horizontal="left" vertical="center"/>
    </xf>
    <xf numFmtId="0" fontId="0" fillId="0" borderId="19" pivotButton="0" quotePrefix="0" xfId="0"/>
    <xf numFmtId="0" fontId="32" fillId="8" borderId="4" applyAlignment="1" pivotButton="0" quotePrefix="0" xfId="0">
      <alignment horizontal="center" vertical="center"/>
    </xf>
    <xf numFmtId="0" fontId="0" fillId="0" borderId="18" pivotButton="0" quotePrefix="0" xfId="0"/>
    <xf numFmtId="164" fontId="32" fillId="8" borderId="4" applyAlignment="1" pivotButton="0" quotePrefix="0" xfId="0">
      <alignment horizontal="center" vertical="center"/>
    </xf>
    <xf numFmtId="0" fontId="33" fillId="9" borderId="0" applyAlignment="1" pivotButton="0" quotePrefix="0" xfId="0">
      <alignment horizontal="general" vertical="bottom"/>
    </xf>
    <xf numFmtId="0" fontId="34" fillId="2" borderId="0" applyAlignment="1" pivotButton="0" quotePrefix="0" xfId="0">
      <alignment horizontal="general" vertical="bottom"/>
    </xf>
    <xf numFmtId="0" fontId="35" fillId="2" borderId="0" applyAlignment="1" pivotButton="0" quotePrefix="0" xfId="0">
      <alignment horizontal="general" vertical="bottom"/>
    </xf>
    <xf numFmtId="0" fontId="36" fillId="13" borderId="0" applyAlignment="1" pivotButton="0" quotePrefix="0" xfId="0">
      <alignment horizontal="center" vertical="center" wrapText="1"/>
    </xf>
    <xf numFmtId="0" fontId="37" fillId="14" borderId="0" applyAlignment="1" pivotButton="0" quotePrefix="0" xfId="0">
      <alignment horizontal="center" vertical="center" wrapText="1"/>
    </xf>
    <xf numFmtId="0" fontId="37" fillId="15" borderId="0" applyAlignment="1" pivotButton="0" quotePrefix="0" xfId="0">
      <alignment horizontal="center" vertical="center" wrapText="1"/>
    </xf>
    <xf numFmtId="0" fontId="37" fillId="16" borderId="0" applyAlignment="1" pivotButton="0" quotePrefix="0" xfId="0">
      <alignment horizontal="center" vertical="center" wrapText="1"/>
    </xf>
    <xf numFmtId="0" fontId="37" fillId="17" borderId="0" applyAlignment="1" pivotButton="0" quotePrefix="0" xfId="0">
      <alignment horizontal="center" vertical="center" wrapText="1"/>
    </xf>
    <xf numFmtId="4" fontId="38" fillId="14" borderId="0" applyAlignment="1" pivotButton="0" quotePrefix="0" xfId="0">
      <alignment horizontal="center" vertical="center" wrapText="1"/>
    </xf>
    <xf numFmtId="165" fontId="39" fillId="15" borderId="0" applyAlignment="1" pivotButton="0" quotePrefix="0" xfId="0">
      <alignment horizontal="center" vertical="center" wrapText="1"/>
    </xf>
    <xf numFmtId="166" fontId="40" fillId="16" borderId="0" applyAlignment="1" pivotButton="0" quotePrefix="0" xfId="0">
      <alignment horizontal="center" vertical="center" wrapText="1"/>
    </xf>
    <xf numFmtId="1" fontId="41" fillId="17" borderId="0" applyAlignment="1" pivotButton="0" quotePrefix="0" xfId="0">
      <alignment horizontal="center" vertical="center" wrapText="1"/>
    </xf>
    <xf numFmtId="0" fontId="42" fillId="9" borderId="0" applyAlignment="1" pivotButton="0" quotePrefix="0" xfId="0">
      <alignment horizontal="center" vertical="center"/>
    </xf>
    <xf numFmtId="0" fontId="43" fillId="7" borderId="0" applyAlignment="1" pivotButton="0" quotePrefix="0" xfId="0">
      <alignment horizontal="center" vertical="center"/>
    </xf>
    <xf numFmtId="0" fontId="44" fillId="8" borderId="0" applyAlignment="1" pivotButton="0" quotePrefix="0" xfId="0">
      <alignment horizontal="center" vertical="center"/>
    </xf>
    <xf numFmtId="0" fontId="45" fillId="2" borderId="0" applyAlignment="1" pivotButton="0" quotePrefix="0" xfId="0">
      <alignment horizontal="general" vertical="bottom"/>
    </xf>
    <xf numFmtId="0" fontId="46" fillId="2" borderId="0" applyAlignment="1" pivotButton="0" quotePrefix="0" xfId="0">
      <alignment horizontal="right" vertical="center"/>
    </xf>
    <xf numFmtId="0" fontId="47" fillId="8" borderId="5" applyAlignment="1" pivotButton="0" quotePrefix="0" xfId="0">
      <alignment horizontal="left" vertical="center"/>
    </xf>
    <xf numFmtId="0" fontId="0" fillId="0" borderId="11" pivotButton="0" quotePrefix="0" xfId="0"/>
    <xf numFmtId="167" fontId="47" fillId="8" borderId="5" applyAlignment="1" pivotButton="0" quotePrefix="0" xfId="0">
      <alignment horizontal="left" vertical="center"/>
    </xf>
    <xf numFmtId="168" fontId="47" fillId="8" borderId="6" applyAlignment="1" pivotButton="0" quotePrefix="0" xfId="0">
      <alignment horizontal="left" vertical="center"/>
    </xf>
    <xf numFmtId="0" fontId="48" fillId="2" borderId="0" applyAlignment="1" pivotButton="0" quotePrefix="0" xfId="0">
      <alignment horizontal="left" vertical="center"/>
    </xf>
    <xf numFmtId="0" fontId="49" fillId="2" borderId="0" applyAlignment="1" pivotButton="0" quotePrefix="0" xfId="0">
      <alignment horizontal="right" vertical="center"/>
    </xf>
    <xf numFmtId="0" fontId="47" fillId="18" borderId="5" applyAlignment="1" pivotButton="0" quotePrefix="0" xfId="0">
      <alignment horizontal="left" vertical="center"/>
    </xf>
    <xf numFmtId="0" fontId="49" fillId="0" borderId="0" applyAlignment="1" pivotButton="0" quotePrefix="0" xfId="0">
      <alignment horizontal="right" vertical="center"/>
    </xf>
    <xf numFmtId="0" fontId="29" fillId="18" borderId="5" applyAlignment="1" pivotButton="0" quotePrefix="0" xfId="0">
      <alignment horizontal="left" vertical="center"/>
    </xf>
    <xf numFmtId="0" fontId="46" fillId="2" borderId="0" applyAlignment="1" pivotButton="0" quotePrefix="0" xfId="0">
      <alignment horizontal="left" vertical="center"/>
    </xf>
    <xf numFmtId="0" fontId="50" fillId="3" borderId="7" applyAlignment="1" pivotButton="0" quotePrefix="0" xfId="0">
      <alignment horizontal="center" vertical="center"/>
    </xf>
    <xf numFmtId="0" fontId="0" fillId="0" borderId="22" pivotButton="0" quotePrefix="0" xfId="0"/>
    <xf numFmtId="0" fontId="30" fillId="19" borderId="0" applyAlignment="1" pivotButton="0" quotePrefix="0" xfId="0">
      <alignment horizontal="center" vertical="center"/>
    </xf>
    <xf numFmtId="0" fontId="51" fillId="20" borderId="8" applyAlignment="1" pivotButton="0" quotePrefix="0" xfId="0">
      <alignment horizontal="center" vertical="center"/>
    </xf>
    <xf numFmtId="0" fontId="0" fillId="0" borderId="9" applyAlignment="1" pivotButton="0" quotePrefix="0" xfId="0">
      <alignment horizontal="general" vertical="bottom"/>
    </xf>
    <xf numFmtId="0" fontId="52" fillId="5" borderId="10" applyAlignment="1" pivotButton="0" quotePrefix="0" xfId="0">
      <alignment horizontal="center" vertical="center"/>
    </xf>
    <xf numFmtId="0" fontId="0" fillId="0" borderId="10" pivotButton="0" quotePrefix="0" xfId="0"/>
    <xf numFmtId="0" fontId="53" fillId="3" borderId="8" applyAlignment="1" pivotButton="0" quotePrefix="0" xfId="0">
      <alignment horizontal="center" vertical="center"/>
    </xf>
    <xf numFmtId="0" fontId="28" fillId="9" borderId="0" applyAlignment="1" pivotButton="0" quotePrefix="0" xfId="0">
      <alignment horizontal="left" vertical="center"/>
    </xf>
    <xf numFmtId="0" fontId="54" fillId="3" borderId="6" applyAlignment="1" pivotButton="0" quotePrefix="0" xfId="0">
      <alignment horizontal="center" vertical="center"/>
    </xf>
    <xf numFmtId="0" fontId="35" fillId="8" borderId="5" applyAlignment="1" pivotButton="0" quotePrefix="0" xfId="0">
      <alignment horizontal="left" vertical="center" wrapText="1"/>
    </xf>
    <xf numFmtId="0" fontId="0" fillId="0" borderId="11" applyAlignment="1" pivotButton="0" quotePrefix="0" xfId="0">
      <alignment horizontal="general" vertical="bottom"/>
    </xf>
    <xf numFmtId="0" fontId="0" fillId="9" borderId="0" applyAlignment="1" pivotButton="0" quotePrefix="0" xfId="0">
      <alignment horizontal="general" vertical="bottom"/>
    </xf>
    <xf numFmtId="0" fontId="33" fillId="9" borderId="0" applyAlignment="1" pivotButton="0" quotePrefix="0" xfId="0">
      <alignment horizontal="left" vertical="center"/>
    </xf>
    <xf numFmtId="0" fontId="55" fillId="8" borderId="0" applyAlignment="1" pivotButton="0" quotePrefix="0" xfId="0">
      <alignment horizontal="left" vertical="center" wrapText="1"/>
    </xf>
    <xf numFmtId="0" fontId="20" fillId="9" borderId="0" applyAlignment="1" pivotButton="0" quotePrefix="0" xfId="0">
      <alignment horizontal="center" vertical="center"/>
    </xf>
    <xf numFmtId="0" fontId="56" fillId="21" borderId="7" applyAlignment="1" pivotButton="0" quotePrefix="0" xfId="0">
      <alignment horizontal="center" vertical="center"/>
    </xf>
    <xf numFmtId="0" fontId="0" fillId="2" borderId="7" applyAlignment="1" pivotButton="0" quotePrefix="0" xfId="0">
      <alignment horizontal="general" vertical="bottom"/>
    </xf>
    <xf numFmtId="167" fontId="31" fillId="8" borderId="7" applyAlignment="1" pivotButton="0" quotePrefix="0" xfId="0">
      <alignment horizontal="center" vertical="center"/>
    </xf>
    <xf numFmtId="0" fontId="31" fillId="8" borderId="7" applyAlignment="1" pivotButton="0" quotePrefix="0" xfId="0">
      <alignment horizontal="center" vertical="center"/>
    </xf>
    <xf numFmtId="0" fontId="57" fillId="8" borderId="6" applyAlignment="1" pivotButton="0" quotePrefix="0" xfId="0">
      <alignment horizontal="left" vertical="center"/>
    </xf>
    <xf numFmtId="0" fontId="57" fillId="2" borderId="6" applyAlignment="1" pivotButton="0" quotePrefix="0" xfId="0">
      <alignment horizontal="left" vertical="center"/>
    </xf>
    <xf numFmtId="0" fontId="58" fillId="9" borderId="0" applyAlignment="1" pivotButton="0" quotePrefix="0" xfId="0">
      <alignment horizontal="center" vertical="center"/>
    </xf>
    <xf numFmtId="0" fontId="59" fillId="7" borderId="0" applyAlignment="1" pivotButton="0" quotePrefix="0" xfId="0">
      <alignment horizontal="center" vertical="center"/>
    </xf>
    <xf numFmtId="0" fontId="60" fillId="3" borderId="0" applyAlignment="1" pivotButton="0" quotePrefix="0" xfId="0">
      <alignment horizontal="general" vertical="bottom"/>
    </xf>
    <xf numFmtId="0" fontId="61" fillId="9" borderId="0" applyAlignment="1" pivotButton="0" quotePrefix="0" xfId="0">
      <alignment horizontal="left" vertical="center"/>
    </xf>
    <xf numFmtId="0" fontId="62" fillId="0" borderId="0" applyAlignment="1" pivotButton="0" quotePrefix="0" xfId="0">
      <alignment horizontal="right" vertical="center"/>
    </xf>
    <xf numFmtId="0" fontId="60" fillId="0" borderId="0" applyAlignment="1" pivotButton="0" quotePrefix="0" xfId="0">
      <alignment horizontal="general" vertical="bottom"/>
    </xf>
    <xf numFmtId="0" fontId="63" fillId="22" borderId="12" applyAlignment="1" pivotButton="0" quotePrefix="0" xfId="0">
      <alignment horizontal="left" vertical="center"/>
    </xf>
    <xf numFmtId="0" fontId="0" fillId="0" borderId="24" pivotButton="0" quotePrefix="0" xfId="0"/>
    <xf numFmtId="0" fontId="64" fillId="0" borderId="0" applyAlignment="1" pivotButton="0" quotePrefix="0" xfId="0">
      <alignment horizontal="left" vertical="center"/>
    </xf>
    <xf numFmtId="0" fontId="65" fillId="9" borderId="0" applyAlignment="1" pivotButton="0" quotePrefix="0" xfId="0">
      <alignment horizontal="center" vertical="center"/>
    </xf>
    <xf numFmtId="0" fontId="66" fillId="9" borderId="13" applyAlignment="1" pivotButton="0" quotePrefix="0" xfId="0">
      <alignment horizontal="center" vertical="center" wrapText="1"/>
    </xf>
    <xf numFmtId="0" fontId="67" fillId="23" borderId="13" applyAlignment="1" pivotButton="0" quotePrefix="0" xfId="0">
      <alignment horizontal="center" vertical="center"/>
    </xf>
    <xf numFmtId="0" fontId="68" fillId="23" borderId="13" applyAlignment="1" pivotButton="0" quotePrefix="0" xfId="0">
      <alignment horizontal="left" vertical="center"/>
    </xf>
    <xf numFmtId="167" fontId="68" fillId="23" borderId="13" applyAlignment="1" pivotButton="0" quotePrefix="0" xfId="0">
      <alignment horizontal="left" vertical="center"/>
    </xf>
    <xf numFmtId="4" fontId="68" fillId="23" borderId="13" applyAlignment="1" pivotButton="0" quotePrefix="0" xfId="0">
      <alignment horizontal="left" vertical="center"/>
    </xf>
    <xf numFmtId="0" fontId="69" fillId="8" borderId="13" applyAlignment="1" pivotButton="0" quotePrefix="0" xfId="0">
      <alignment horizontal="center" vertical="center"/>
    </xf>
    <xf numFmtId="0" fontId="70" fillId="8" borderId="13" applyAlignment="1" pivotButton="0" quotePrefix="0" xfId="0">
      <alignment horizontal="left" vertical="center"/>
    </xf>
    <xf numFmtId="0" fontId="68" fillId="8" borderId="13" applyAlignment="1" pivotButton="0" quotePrefix="0" xfId="0">
      <alignment horizontal="left" vertical="center"/>
    </xf>
    <xf numFmtId="167" fontId="68" fillId="8" borderId="13" applyAlignment="1" pivotButton="0" quotePrefix="0" xfId="0">
      <alignment horizontal="center" vertical="center"/>
    </xf>
    <xf numFmtId="0" fontId="68" fillId="8" borderId="13" applyAlignment="1" pivotButton="0" quotePrefix="0" xfId="0">
      <alignment horizontal="center" vertical="center"/>
    </xf>
    <xf numFmtId="4" fontId="68" fillId="8" borderId="13" applyAlignment="1" pivotButton="0" quotePrefix="0" xfId="0">
      <alignment horizontal="right" vertical="center"/>
    </xf>
    <xf numFmtId="0" fontId="71" fillId="8" borderId="13" applyAlignment="1" pivotButton="0" quotePrefix="0" xfId="0">
      <alignment horizontal="center" vertical="center"/>
    </xf>
    <xf numFmtId="0" fontId="69" fillId="2" borderId="13" applyAlignment="1" pivotButton="0" quotePrefix="0" xfId="0">
      <alignment horizontal="center" vertical="center"/>
    </xf>
    <xf numFmtId="0" fontId="70" fillId="2" borderId="13" applyAlignment="1" pivotButton="0" quotePrefix="0" xfId="0">
      <alignment horizontal="left" vertical="center"/>
    </xf>
    <xf numFmtId="0" fontId="68" fillId="2" borderId="13" applyAlignment="1" pivotButton="0" quotePrefix="0" xfId="0">
      <alignment horizontal="left" vertical="center"/>
    </xf>
    <xf numFmtId="167" fontId="68" fillId="2" borderId="13" applyAlignment="1" pivotButton="0" quotePrefix="0" xfId="0">
      <alignment horizontal="center" vertical="center"/>
    </xf>
    <xf numFmtId="0" fontId="68" fillId="2" borderId="13" applyAlignment="1" pivotButton="0" quotePrefix="0" xfId="0">
      <alignment horizontal="center" vertical="center"/>
    </xf>
    <xf numFmtId="4" fontId="68" fillId="2" borderId="13" applyAlignment="1" pivotButton="0" quotePrefix="0" xfId="0">
      <alignment horizontal="right" vertical="center"/>
    </xf>
    <xf numFmtId="0" fontId="71" fillId="2" borderId="13" applyAlignment="1" pivotButton="0" quotePrefix="0" xfId="0">
      <alignment horizontal="center" vertical="center"/>
    </xf>
    <xf numFmtId="0" fontId="72" fillId="9" borderId="0" applyAlignment="1" pivotButton="0" quotePrefix="0" xfId="0">
      <alignment horizontal="general" vertical="bottom"/>
    </xf>
    <xf numFmtId="0" fontId="33" fillId="9" borderId="0" applyAlignment="1" pivotButton="0" quotePrefix="0" xfId="0">
      <alignment horizontal="center" vertical="center"/>
    </xf>
    <xf numFmtId="0" fontId="28" fillId="7" borderId="0" applyAlignment="1" pivotButton="0" quotePrefix="0" xfId="0">
      <alignment horizontal="general" vertical="bottom"/>
    </xf>
    <xf numFmtId="0" fontId="73" fillId="0" borderId="0" applyAlignment="1" pivotButton="0" quotePrefix="0" xfId="0">
      <alignment horizontal="general" vertical="bottom"/>
    </xf>
    <xf numFmtId="0" fontId="43" fillId="5" borderId="0" applyAlignment="1" pivotButton="0" quotePrefix="0" xfId="0">
      <alignment horizontal="center" vertical="center"/>
    </xf>
    <xf numFmtId="164" fontId="74" fillId="8" borderId="0" applyAlignment="1" pivotButton="0" quotePrefix="0" xfId="0">
      <alignment horizontal="center" vertical="center"/>
    </xf>
    <xf numFmtId="3" fontId="75" fillId="8" borderId="0" applyAlignment="1" pivotButton="0" quotePrefix="0" xfId="0">
      <alignment horizontal="center" vertical="center"/>
    </xf>
    <xf numFmtId="49" fontId="76" fillId="8" borderId="0" applyAlignment="1" pivotButton="0" quotePrefix="0" xfId="0">
      <alignment horizontal="center" vertical="center"/>
    </xf>
    <xf numFmtId="0" fontId="52" fillId="7" borderId="0" applyAlignment="1" pivotButton="0" quotePrefix="0" xfId="0">
      <alignment horizontal="center" vertical="center"/>
    </xf>
    <xf numFmtId="0" fontId="28" fillId="4" borderId="0" applyAlignment="1" pivotButton="0" quotePrefix="0" xfId="0">
      <alignment horizontal="center" vertical="center"/>
    </xf>
    <xf numFmtId="0" fontId="20" fillId="24" borderId="6" applyAlignment="1" pivotButton="0" quotePrefix="0" xfId="0">
      <alignment horizontal="center" vertical="center" wrapText="1"/>
    </xf>
    <xf numFmtId="0" fontId="0" fillId="2" borderId="1" applyAlignment="1" pivotButton="0" quotePrefix="0" xfId="0">
      <alignment horizontal="center" vertical="center"/>
    </xf>
    <xf numFmtId="164" fontId="77" fillId="2" borderId="1" applyAlignment="1" pivotButton="0" quotePrefix="0" xfId="0">
      <alignment horizontal="center" vertical="center"/>
    </xf>
    <xf numFmtId="169" fontId="78" fillId="2" borderId="1" applyAlignment="1" pivotButton="0" quotePrefix="0" xfId="0">
      <alignment horizontal="center" vertical="center"/>
    </xf>
    <xf numFmtId="164" fontId="79" fillId="8" borderId="1" applyAlignment="1" pivotButton="0" quotePrefix="0" xfId="0">
      <alignment horizontal="left" vertical="center"/>
    </xf>
    <xf numFmtId="164" fontId="34" fillId="2" borderId="1" applyAlignment="1" pivotButton="0" quotePrefix="0" xfId="0">
      <alignment horizontal="center" vertical="center"/>
    </xf>
    <xf numFmtId="0" fontId="31" fillId="25" borderId="6" applyAlignment="1" pivotButton="0" quotePrefix="0" xfId="0">
      <alignment horizontal="center" vertical="center"/>
    </xf>
    <xf numFmtId="0" fontId="35" fillId="2" borderId="1" applyAlignment="1" pivotButton="0" quotePrefix="0" xfId="0">
      <alignment horizontal="center" vertical="center"/>
    </xf>
    <xf numFmtId="0" fontId="78" fillId="2" borderId="1" applyAlignment="1" pivotButton="0" quotePrefix="0" xfId="0">
      <alignment horizontal="center" vertical="center"/>
    </xf>
    <xf numFmtId="0" fontId="0" fillId="2" borderId="1" applyAlignment="1" pivotButton="0" quotePrefix="0" xfId="0">
      <alignment horizontal="left" vertical="center"/>
    </xf>
    <xf numFmtId="0" fontId="0" fillId="8" borderId="1" applyAlignment="1" pivotButton="0" quotePrefix="0" xfId="0">
      <alignment horizontal="center" vertical="center"/>
    </xf>
    <xf numFmtId="164" fontId="77" fillId="8" borderId="1" applyAlignment="1" pivotButton="0" quotePrefix="0" xfId="0">
      <alignment horizontal="center" vertical="center"/>
    </xf>
    <xf numFmtId="169" fontId="78" fillId="8" borderId="1" applyAlignment="1" pivotButton="0" quotePrefix="0" xfId="0">
      <alignment horizontal="center" vertical="center"/>
    </xf>
    <xf numFmtId="164" fontId="34" fillId="8" borderId="1" applyAlignment="1" pivotButton="0" quotePrefix="0" xfId="0">
      <alignment horizontal="center" vertical="center"/>
    </xf>
    <xf numFmtId="0" fontId="35" fillId="8" borderId="1" applyAlignment="1" pivotButton="0" quotePrefix="0" xfId="0">
      <alignment horizontal="center" vertical="center"/>
    </xf>
    <xf numFmtId="0" fontId="78" fillId="8" borderId="1" applyAlignment="1" pivotButton="0" quotePrefix="0" xfId="0">
      <alignment horizontal="center" vertical="center"/>
    </xf>
    <xf numFmtId="0" fontId="0" fillId="8" borderId="1" applyAlignment="1" pivotButton="0" quotePrefix="0" xfId="0">
      <alignment horizontal="left" vertical="center"/>
    </xf>
    <xf numFmtId="0" fontId="42" fillId="26" borderId="0" applyAlignment="1" pivotButton="0" quotePrefix="0" xfId="0">
      <alignment horizontal="center" vertical="center"/>
    </xf>
    <xf numFmtId="0" fontId="43" fillId="10" borderId="0" applyAlignment="1" pivotButton="0" quotePrefix="0" xfId="0">
      <alignment horizontal="center" vertical="center"/>
    </xf>
    <xf numFmtId="164" fontId="80" fillId="8" borderId="0" applyAlignment="1" pivotButton="0" quotePrefix="0" xfId="0">
      <alignment horizontal="center" vertical="center"/>
    </xf>
    <xf numFmtId="3" fontId="74" fillId="8" borderId="0" applyAlignment="1" pivotButton="0" quotePrefix="0" xfId="0">
      <alignment horizontal="center" vertical="center"/>
    </xf>
    <xf numFmtId="3" fontId="81" fillId="8" borderId="0" applyAlignment="1" pivotButton="0" quotePrefix="0" xfId="0">
      <alignment horizontal="center" vertical="center"/>
    </xf>
    <xf numFmtId="0" fontId="28" fillId="11" borderId="0" applyAlignment="1" pivotButton="0" quotePrefix="0" xfId="0">
      <alignment horizontal="center" vertical="center"/>
    </xf>
    <xf numFmtId="0" fontId="28" fillId="10" borderId="0" applyAlignment="1" pivotButton="0" quotePrefix="0" xfId="0">
      <alignment horizontal="center" vertical="center"/>
    </xf>
    <xf numFmtId="0" fontId="28" fillId="26" borderId="1" applyAlignment="1" pivotButton="0" quotePrefix="0" xfId="0">
      <alignment horizontal="center" vertical="center"/>
    </xf>
    <xf numFmtId="164" fontId="79" fillId="27" borderId="1" applyAlignment="1" pivotButton="0" quotePrefix="0" xfId="0">
      <alignment horizontal="left" vertical="center"/>
    </xf>
    <xf numFmtId="164" fontId="82" fillId="2" borderId="1" applyAlignment="1" pivotButton="0" quotePrefix="0" xfId="0">
      <alignment horizontal="center" vertical="center"/>
    </xf>
    <xf numFmtId="164" fontId="82" fillId="8" borderId="1" applyAlignment="1" pivotButton="0" quotePrefix="0" xfId="0">
      <alignment horizontal="center" vertical="center"/>
    </xf>
    <xf numFmtId="0" fontId="83" fillId="11" borderId="0" applyAlignment="1" pivotButton="0" quotePrefix="0" xfId="0">
      <alignment horizontal="center" vertical="center"/>
    </xf>
    <xf numFmtId="0" fontId="84" fillId="26" borderId="0" applyAlignment="1" pivotButton="0" quotePrefix="0" xfId="0">
      <alignment horizontal="center" vertical="center"/>
    </xf>
    <xf numFmtId="0" fontId="52" fillId="9" borderId="0" applyAlignment="1" pivotButton="0" quotePrefix="0" xfId="0">
      <alignment horizontal="center" vertical="center"/>
    </xf>
    <xf numFmtId="0" fontId="32" fillId="0" borderId="0" applyAlignment="1" pivotButton="0" quotePrefix="0" xfId="0">
      <alignment horizontal="left" vertical="center"/>
    </xf>
    <xf numFmtId="0" fontId="79" fillId="8" borderId="2" applyAlignment="1" pivotButton="0" quotePrefix="0" xfId="0">
      <alignment horizontal="left" vertical="center"/>
    </xf>
    <xf numFmtId="0" fontId="0" fillId="0" borderId="26" pivotButton="0" quotePrefix="0" xfId="0"/>
    <xf numFmtId="0" fontId="30" fillId="0" borderId="0" applyAlignment="1" pivotButton="0" quotePrefix="0" xfId="0">
      <alignment horizontal="left" vertical="center"/>
    </xf>
    <xf numFmtId="170" fontId="29" fillId="8" borderId="1" applyAlignment="1" pivotButton="0" quotePrefix="0" xfId="0">
      <alignment horizontal="left" vertical="center"/>
    </xf>
    <xf numFmtId="0" fontId="0" fillId="0" borderId="28" pivotButton="0" quotePrefix="0" xfId="0"/>
    <xf numFmtId="164" fontId="29" fillId="8" borderId="1" applyAlignment="1" pivotButton="0" quotePrefix="0" xfId="0">
      <alignment horizontal="left" vertical="center"/>
    </xf>
    <xf numFmtId="164" fontId="85" fillId="3" borderId="1" applyAlignment="1" pivotButton="0" quotePrefix="0" xfId="0">
      <alignment horizontal="left" vertical="center"/>
    </xf>
    <xf numFmtId="0" fontId="52" fillId="4" borderId="0" applyAlignment="1" pivotButton="0" quotePrefix="0" xfId="0">
      <alignment horizontal="center" vertical="center"/>
    </xf>
    <xf numFmtId="0" fontId="28" fillId="11" borderId="1" applyAlignment="1" pivotButton="0" quotePrefix="0" xfId="0">
      <alignment horizontal="center" vertical="center"/>
    </xf>
    <xf numFmtId="164" fontId="79" fillId="28" borderId="1" applyAlignment="1" pivotButton="0" quotePrefix="0" xfId="0">
      <alignment horizontal="left" vertical="center"/>
    </xf>
    <xf numFmtId="0" fontId="79" fillId="8" borderId="1" applyAlignment="1" pivotButton="0" quotePrefix="0" xfId="0">
      <alignment horizontal="center" vertical="center"/>
    </xf>
    <xf numFmtId="170" fontId="29" fillId="8" borderId="1" applyAlignment="1" pivotButton="0" quotePrefix="0" xfId="0">
      <alignment horizontal="center" vertical="center"/>
    </xf>
    <xf numFmtId="164" fontId="30" fillId="8" borderId="1" applyAlignment="1" pivotButton="0" quotePrefix="0" xfId="0">
      <alignment horizontal="center" vertical="center"/>
    </xf>
    <xf numFmtId="164" fontId="86" fillId="8" borderId="1" applyAlignment="1" pivotButton="0" quotePrefix="0" xfId="0">
      <alignment horizontal="center" vertical="center"/>
    </xf>
    <xf numFmtId="0" fontId="87" fillId="8" borderId="1" applyAlignment="1" pivotButton="0" quotePrefix="0" xfId="0">
      <alignment horizontal="center" vertical="center"/>
    </xf>
    <xf numFmtId="0" fontId="79" fillId="2" borderId="1" applyAlignment="1" pivotButton="0" quotePrefix="0" xfId="0">
      <alignment horizontal="center" vertical="center"/>
    </xf>
    <xf numFmtId="170" fontId="29" fillId="2" borderId="1" applyAlignment="1" pivotButton="0" quotePrefix="0" xfId="0">
      <alignment horizontal="center" vertical="center"/>
    </xf>
    <xf numFmtId="164" fontId="86" fillId="2" borderId="1" applyAlignment="1" pivotButton="0" quotePrefix="0" xfId="0">
      <alignment horizontal="center" vertical="center"/>
    </xf>
    <xf numFmtId="0" fontId="87" fillId="2" borderId="1" applyAlignment="1" pivotButton="0" quotePrefix="0" xfId="0">
      <alignment horizontal="center" vertical="center"/>
    </xf>
    <xf numFmtId="170" fontId="0" fillId="0" borderId="0" applyAlignment="1" pivotButton="0" quotePrefix="0" xfId="0">
      <alignment horizontal="general" vertical="bottom"/>
    </xf>
    <xf numFmtId="0" fontId="0" fillId="8" borderId="0" applyAlignment="1" pivotButton="0" quotePrefix="0" xfId="0">
      <alignment horizontal="general" vertical="bottom"/>
    </xf>
    <xf numFmtId="0" fontId="28" fillId="29" borderId="14" applyAlignment="1" pivotButton="0" quotePrefix="0" xfId="0">
      <alignment horizontal="center" vertical="bottom"/>
    </xf>
    <xf numFmtId="169" fontId="29" fillId="8" borderId="1" applyAlignment="1" pivotButton="0" quotePrefix="0" xfId="0">
      <alignment horizontal="center" vertical="center"/>
    </xf>
    <xf numFmtId="169" fontId="29" fillId="2" borderId="1" applyAlignment="1" pivotButton="0" quotePrefix="0" xfId="0">
      <alignment horizontal="center" vertical="center"/>
    </xf>
    <xf numFmtId="0" fontId="28" fillId="5" borderId="1" applyAlignment="1" pivotButton="0" quotePrefix="0" xfId="0">
      <alignment horizontal="center" vertical="center"/>
    </xf>
    <xf numFmtId="0" fontId="34" fillId="30" borderId="1" applyAlignment="1" pivotButton="0" quotePrefix="0" xfId="0">
      <alignment horizontal="center" vertical="center"/>
    </xf>
    <xf numFmtId="0" fontId="88" fillId="0" borderId="0" applyAlignment="1" pivotButton="0" quotePrefix="0" xfId="0">
      <alignment horizontal="general" vertical="bottom"/>
    </xf>
    <xf numFmtId="0" fontId="87" fillId="28" borderId="1" applyAlignment="1" pivotButton="0" quotePrefix="0" xfId="0">
      <alignment horizontal="center" vertical="center"/>
    </xf>
    <xf numFmtId="0" fontId="52" fillId="31" borderId="0" applyAlignment="1" pivotButton="0" quotePrefix="0" xfId="0">
      <alignment horizontal="center" vertical="center"/>
    </xf>
    <xf numFmtId="0" fontId="89" fillId="32" borderId="0" applyAlignment="1" pivotButton="0" quotePrefix="0" xfId="0">
      <alignment horizontal="general" vertical="bottom"/>
    </xf>
    <xf numFmtId="0" fontId="28" fillId="31" borderId="14" applyAlignment="1" pivotButton="0" quotePrefix="0" xfId="0">
      <alignment horizontal="center" vertical="center"/>
    </xf>
    <xf numFmtId="0" fontId="83" fillId="4" borderId="0" applyAlignment="1" pivotButton="0" quotePrefix="0" xfId="0">
      <alignment horizontal="center" vertical="center"/>
    </xf>
    <xf numFmtId="0" fontId="85" fillId="8" borderId="0" applyAlignment="1" pivotButton="0" quotePrefix="0" xfId="0">
      <alignment horizontal="center" vertical="center"/>
    </xf>
    <xf numFmtId="164" fontId="93" fillId="8" borderId="0" applyAlignment="1" pivotButton="0" quotePrefix="0" xfId="0">
      <alignment horizontal="center" vertical="center"/>
    </xf>
    <xf numFmtId="164" fontId="94" fillId="8" borderId="0" applyAlignment="1" pivotButton="0" quotePrefix="0" xfId="0">
      <alignment horizontal="center" vertical="center"/>
    </xf>
    <xf numFmtId="164" fontId="95" fillId="8" borderId="0" applyAlignment="1" pivotButton="0" quotePrefix="0" xfId="0">
      <alignment horizontal="center" vertical="center"/>
    </xf>
    <xf numFmtId="3" fontId="96" fillId="8" borderId="0" applyAlignment="1" pivotButton="0" quotePrefix="0" xfId="0">
      <alignment horizontal="center" vertical="center"/>
    </xf>
    <xf numFmtId="0" fontId="83" fillId="12" borderId="0" applyAlignment="1" pivotButton="0" quotePrefix="0" xfId="0">
      <alignment horizontal="center" vertical="center"/>
    </xf>
    <xf numFmtId="0" fontId="31" fillId="8" borderId="0" applyAlignment="1" pivotButton="0" quotePrefix="0" xfId="0">
      <alignment horizontal="center" vertical="center"/>
    </xf>
    <xf numFmtId="0" fontId="28" fillId="9" borderId="0" applyAlignment="1" pivotButton="0" quotePrefix="0" xfId="0">
      <alignment horizontal="center" vertical="center"/>
    </xf>
    <xf numFmtId="164" fontId="97" fillId="3" borderId="0" applyAlignment="1" pivotButton="0" quotePrefix="0" xfId="0">
      <alignment horizontal="center" vertical="center"/>
    </xf>
    <xf numFmtId="3" fontId="97" fillId="3" borderId="0" applyAlignment="1" pivotButton="0" quotePrefix="0" xfId="0">
      <alignment horizontal="center" vertical="center"/>
    </xf>
    <xf numFmtId="0" fontId="28" fillId="12" borderId="1" applyAlignment="1" pivotButton="0" quotePrefix="0" xfId="0">
      <alignment horizontal="center" vertical="center"/>
    </xf>
    <xf numFmtId="0" fontId="98" fillId="9" borderId="0" applyAlignment="1" pivotButton="0" quotePrefix="0" xfId="0">
      <alignment horizontal="center" vertical="center"/>
    </xf>
    <xf numFmtId="0" fontId="99" fillId="4" borderId="0" applyAlignment="1" pivotButton="0" quotePrefix="0" xfId="0">
      <alignment horizontal="center" vertical="center"/>
    </xf>
    <xf numFmtId="0" fontId="47" fillId="23" borderId="15" applyAlignment="1" pivotButton="0" quotePrefix="0" xfId="0">
      <alignment horizontal="left" vertical="center"/>
    </xf>
    <xf numFmtId="0" fontId="0" fillId="0" borderId="30" pivotButton="0" quotePrefix="0" xfId="0"/>
    <xf numFmtId="0" fontId="100" fillId="0" borderId="0" applyAlignment="1" pivotButton="0" quotePrefix="0" xfId="0">
      <alignment horizontal="left" vertical="center"/>
    </xf>
    <xf numFmtId="0" fontId="57" fillId="23" borderId="16" applyAlignment="1" pivotButton="0" quotePrefix="0" xfId="0">
      <alignment horizontal="left" vertical="center"/>
    </xf>
    <xf numFmtId="0" fontId="0" fillId="0" borderId="32" pivotButton="0" quotePrefix="0" xfId="0"/>
    <xf numFmtId="0" fontId="101" fillId="4" borderId="0" applyAlignment="1" pivotButton="0" quotePrefix="0" xfId="0">
      <alignment horizontal="center" vertical="center"/>
    </xf>
    <xf numFmtId="0" fontId="20" fillId="9" borderId="16" applyAlignment="1" pivotButton="0" quotePrefix="0" xfId="0">
      <alignment horizontal="center" vertical="center" wrapText="1"/>
    </xf>
    <xf numFmtId="0" fontId="102" fillId="2" borderId="16" applyAlignment="1" pivotButton="0" quotePrefix="0" xfId="0">
      <alignment horizontal="center" vertical="center"/>
    </xf>
    <xf numFmtId="0" fontId="57" fillId="2" borderId="16" applyAlignment="1" pivotButton="0" quotePrefix="0" xfId="0">
      <alignment horizontal="left" vertical="center"/>
    </xf>
    <xf numFmtId="0" fontId="102" fillId="33" borderId="16" applyAlignment="1" pivotButton="0" quotePrefix="0" xfId="0">
      <alignment horizontal="center" vertical="center"/>
    </xf>
    <xf numFmtId="0" fontId="57" fillId="33" borderId="16" applyAlignment="1" pivotButton="0" quotePrefix="0" xfId="0">
      <alignment horizontal="left" vertical="center"/>
    </xf>
    <xf numFmtId="4" fontId="82" fillId="8" borderId="16" applyAlignment="1" pivotButton="0" quotePrefix="0" xfId="0">
      <alignment horizontal="center" vertical="center"/>
    </xf>
    <xf numFmtId="0" fontId="0" fillId="26" borderId="0" applyAlignment="1" pivotButton="0" quotePrefix="0" xfId="0">
      <alignment horizontal="general" vertical="bottom"/>
    </xf>
    <xf numFmtId="0" fontId="52" fillId="26" borderId="0" applyAlignment="1" pivotButton="0" quotePrefix="0" xfId="0">
      <alignment horizontal="center" vertical="center"/>
    </xf>
    <xf numFmtId="0" fontId="103" fillId="0" borderId="0" applyAlignment="1" pivotButton="0" quotePrefix="0" xfId="0">
      <alignment horizontal="left" vertical="center"/>
    </xf>
    <xf numFmtId="0" fontId="52" fillId="5" borderId="0" applyAlignment="1" pivotButton="0" quotePrefix="0" xfId="0">
      <alignment horizontal="center" vertical="center"/>
    </xf>
    <xf numFmtId="0" fontId="57" fillId="8" borderId="16" applyAlignment="1" pivotButton="0" quotePrefix="0" xfId="0">
      <alignment horizontal="left" vertical="center"/>
    </xf>
    <xf numFmtId="0" fontId="83" fillId="5" borderId="16" applyAlignment="1" pivotButton="0" quotePrefix="0" xfId="0">
      <alignment horizontal="center" vertical="center"/>
    </xf>
    <xf numFmtId="0" fontId="104" fillId="33" borderId="0" applyAlignment="1" pivotButton="0" quotePrefix="0" xfId="0">
      <alignment horizontal="left" vertical="center"/>
    </xf>
    <xf numFmtId="0" fontId="83" fillId="4" borderId="16" applyAlignment="1" pivotButton="0" quotePrefix="0" xfId="0">
      <alignment horizontal="center" vertical="center"/>
    </xf>
    <xf numFmtId="0" fontId="96" fillId="3" borderId="16" applyAlignment="1" pivotButton="0" quotePrefix="0" xfId="0">
      <alignment horizontal="center" vertical="center"/>
    </xf>
    <xf numFmtId="0" fontId="104" fillId="28" borderId="0" applyAlignment="1" pivotButton="0" quotePrefix="0" xfId="0">
      <alignment horizontal="left" vertical="center"/>
    </xf>
    <xf numFmtId="0" fontId="28" fillId="5" borderId="0" applyAlignment="1" pivotButton="0" quotePrefix="0" xfId="0">
      <alignment horizontal="left" vertical="center"/>
    </xf>
    <xf numFmtId="0" fontId="57" fillId="0" borderId="0" applyAlignment="1" pivotButton="0" quotePrefix="0" xfId="0">
      <alignment horizontal="left" vertical="center"/>
    </xf>
    <xf numFmtId="0" fontId="28" fillId="4" borderId="0" applyAlignment="1" pivotButton="0" quotePrefix="0" xfId="0">
      <alignment horizontal="left" vertical="center"/>
    </xf>
    <xf numFmtId="0" fontId="28" fillId="26" borderId="0" applyAlignment="1" pivotButton="0" quotePrefix="0" xfId="0">
      <alignment horizontal="left" vertical="center"/>
    </xf>
    <xf numFmtId="0" fontId="105" fillId="0" borderId="0" applyAlignment="1" pivotButton="0" quotePrefix="0" xfId="0">
      <alignment horizontal="left" vertical="center"/>
    </xf>
    <xf numFmtId="0" fontId="20" fillId="9" borderId="16" applyAlignment="1" pivotButton="0" quotePrefix="0" xfId="0">
      <alignment horizontal="center" vertical="center"/>
    </xf>
    <xf numFmtId="0" fontId="102" fillId="2" borderId="16" applyAlignment="1" pivotButton="0" quotePrefix="0" xfId="0">
      <alignment horizontal="left" vertical="center"/>
    </xf>
    <xf numFmtId="0" fontId="102" fillId="33" borderId="16" applyAlignment="1" pivotButton="0" quotePrefix="0" xfId="0">
      <alignment horizontal="left" vertical="center"/>
    </xf>
    <xf numFmtId="0" fontId="44" fillId="9" borderId="0" applyAlignment="1" pivotButton="0" quotePrefix="0" xfId="0">
      <alignment horizontal="center" vertical="center"/>
    </xf>
    <xf numFmtId="0" fontId="43" fillId="4" borderId="0" applyAlignment="1" pivotButton="0" quotePrefix="0" xfId="0">
      <alignment horizontal="center" vertical="center"/>
    </xf>
    <xf numFmtId="0" fontId="28" fillId="29" borderId="14" applyAlignment="1" pivotButton="0" quotePrefix="0" xfId="0">
      <alignment horizontal="center" vertical="center"/>
    </xf>
    <xf numFmtId="0" fontId="85" fillId="3" borderId="0" applyAlignment="1" pivotButton="0" quotePrefix="0" xfId="0">
      <alignment horizontal="center" vertical="center"/>
    </xf>
    <xf numFmtId="0" fontId="106" fillId="26" borderId="0" applyAlignment="1" pivotButton="0" quotePrefix="0" xfId="0">
      <alignment horizontal="center" vertical="center"/>
    </xf>
    <xf numFmtId="0" fontId="106" fillId="0" borderId="1" applyAlignment="1" pivotButton="0" quotePrefix="0" xfId="0">
      <alignment horizontal="left" vertical="center"/>
    </xf>
    <xf numFmtId="0" fontId="107" fillId="8" borderId="1" applyAlignment="1" pivotButton="0" quotePrefix="0" xfId="0">
      <alignment horizontal="left" vertical="center"/>
    </xf>
    <xf numFmtId="0" fontId="52" fillId="24" borderId="0" applyAlignment="1" pivotButton="0" quotePrefix="0" xfId="0">
      <alignment horizontal="center" vertical="center"/>
    </xf>
    <xf numFmtId="0" fontId="31" fillId="2" borderId="0" applyAlignment="1" pivotButton="0" quotePrefix="0" xfId="0">
      <alignment horizontal="left" vertical="center"/>
    </xf>
    <xf numFmtId="0" fontId="31" fillId="8" borderId="0" applyAlignment="1" pivotButton="0" quotePrefix="0" xfId="0">
      <alignment horizontal="left" vertical="center"/>
    </xf>
    <xf numFmtId="0" fontId="83" fillId="26" borderId="0" applyAlignment="1" pivotButton="0" quotePrefix="0" xfId="0">
      <alignment horizontal="center" vertical="center"/>
    </xf>
    <xf numFmtId="0" fontId="28" fillId="34" borderId="14" applyAlignment="1" pivotButton="0" quotePrefix="0" xfId="0">
      <alignment horizontal="center" vertical="bottom"/>
    </xf>
    <xf numFmtId="0" fontId="108" fillId="9" borderId="0" applyAlignment="1" pivotButton="0" quotePrefix="0" xfId="0">
      <alignment horizontal="center" vertical="center"/>
    </xf>
    <xf numFmtId="0" fontId="108" fillId="9" borderId="0" applyAlignment="1" pivotButton="0" quotePrefix="0" xfId="0">
      <alignment horizontal="left" vertical="center" wrapText="1"/>
    </xf>
    <xf numFmtId="0" fontId="109" fillId="0" borderId="0" applyAlignment="1" pivotButton="0" quotePrefix="0" xfId="0">
      <alignment horizontal="left" vertical="top"/>
    </xf>
    <xf numFmtId="0" fontId="110" fillId="33" borderId="0" applyAlignment="1" pivotButton="0" quotePrefix="0" xfId="0">
      <alignment horizontal="left" vertical="top"/>
    </xf>
    <xf numFmtId="0" fontId="32" fillId="0" borderId="0" applyAlignment="1" pivotButton="0" quotePrefix="0" xfId="0">
      <alignment horizontal="general" vertical="bottom"/>
    </xf>
    <xf numFmtId="0" fontId="109" fillId="0" borderId="0" applyAlignment="1" pivotButton="0" quotePrefix="0" xfId="0">
      <alignment horizontal="general" vertical="bottom"/>
    </xf>
    <xf numFmtId="0" fontId="111" fillId="13" borderId="0" applyAlignment="1" pivotButton="0" quotePrefix="0" xfId="0">
      <alignment horizontal="center" vertical="center" wrapText="1"/>
    </xf>
    <xf numFmtId="0" fontId="112" fillId="35" borderId="0" applyAlignment="1" pivotButton="0" quotePrefix="0" xfId="0">
      <alignment horizontal="center" vertical="center" wrapText="1"/>
    </xf>
    <xf numFmtId="0" fontId="36" fillId="36" borderId="0" applyAlignment="1" pivotButton="0" quotePrefix="0" xfId="0">
      <alignment horizontal="center" vertical="center" wrapText="1"/>
    </xf>
    <xf numFmtId="0" fontId="113" fillId="37" borderId="0" applyAlignment="1" pivotButton="0" quotePrefix="0" xfId="0">
      <alignment horizontal="center" vertical="center" wrapText="1"/>
    </xf>
    <xf numFmtId="0" fontId="113" fillId="38" borderId="0" applyAlignment="1" pivotButton="0" quotePrefix="0" xfId="0">
      <alignment horizontal="center" vertical="center" wrapText="1"/>
    </xf>
    <xf numFmtId="0" fontId="113" fillId="39" borderId="0" applyAlignment="1" pivotButton="0" quotePrefix="0" xfId="0">
      <alignment horizontal="center" vertical="center" wrapText="1"/>
    </xf>
    <xf numFmtId="0" fontId="113" fillId="40" borderId="0" applyAlignment="1" pivotButton="0" quotePrefix="0" xfId="0">
      <alignment horizontal="center" vertical="center" wrapText="1"/>
    </xf>
    <xf numFmtId="0" fontId="113" fillId="36" borderId="0" applyAlignment="1" pivotButton="0" quotePrefix="0" xfId="0">
      <alignment horizontal="center" vertical="center" wrapText="1"/>
    </xf>
    <xf numFmtId="0" fontId="113" fillId="41" borderId="0" applyAlignment="1" pivotButton="0" quotePrefix="0" xfId="0">
      <alignment horizontal="center" vertical="center" wrapText="1"/>
    </xf>
    <xf numFmtId="4" fontId="114" fillId="42" borderId="14" applyAlignment="1" pivotButton="0" quotePrefix="0" xfId="0">
      <alignment horizontal="center" vertical="center" wrapText="1"/>
    </xf>
    <xf numFmtId="165" fontId="114" fillId="42" borderId="14" applyAlignment="1" pivotButton="0" quotePrefix="0" xfId="0">
      <alignment horizontal="center" vertical="center" wrapText="1"/>
    </xf>
    <xf numFmtId="166" fontId="114" fillId="42" borderId="14" applyAlignment="1" pivotButton="0" quotePrefix="0" xfId="0">
      <alignment horizontal="center" vertical="center" wrapText="1"/>
    </xf>
    <xf numFmtId="49" fontId="114" fillId="42" borderId="14" applyAlignment="1" pivotButton="0" quotePrefix="0" xfId="0">
      <alignment horizontal="center" vertical="center" wrapText="1"/>
    </xf>
    <xf numFmtId="0" fontId="36" fillId="43" borderId="0" applyAlignment="1" pivotButton="0" quotePrefix="0" xfId="0">
      <alignment horizontal="center" vertical="center" wrapText="1"/>
    </xf>
    <xf numFmtId="0" fontId="115" fillId="44" borderId="14" applyAlignment="1" pivotButton="0" quotePrefix="0" xfId="0">
      <alignment horizontal="center" vertical="center" wrapText="1"/>
    </xf>
    <xf numFmtId="0" fontId="116" fillId="18" borderId="14" applyAlignment="1" pivotButton="0" quotePrefix="0" xfId="0">
      <alignment horizontal="center" vertical="center" wrapText="1"/>
    </xf>
    <xf numFmtId="4" fontId="117" fillId="18" borderId="14" applyAlignment="1" pivotButton="0" quotePrefix="0" xfId="0">
      <alignment horizontal="center" vertical="center" wrapText="1"/>
    </xf>
    <xf numFmtId="1" fontId="117" fillId="18" borderId="14" applyAlignment="1" pivotButton="0" quotePrefix="0" xfId="0">
      <alignment horizontal="center" vertical="center" wrapText="1"/>
    </xf>
    <xf numFmtId="165" fontId="117" fillId="18" borderId="14" applyAlignment="1" pivotButton="0" quotePrefix="0" xfId="0">
      <alignment horizontal="center" vertical="center" wrapText="1"/>
    </xf>
    <xf numFmtId="0" fontId="117" fillId="18" borderId="14" applyAlignment="1" pivotButton="0" quotePrefix="0" xfId="0">
      <alignment horizontal="center" vertical="center" wrapText="1"/>
    </xf>
    <xf numFmtId="166" fontId="117" fillId="18" borderId="14" applyAlignment="1" pivotButton="0" quotePrefix="0" xfId="0">
      <alignment horizontal="center" vertical="center" wrapText="1"/>
    </xf>
    <xf numFmtId="0" fontId="118" fillId="15" borderId="14" applyAlignment="1" pivotButton="0" quotePrefix="0" xfId="0">
      <alignment horizontal="left" vertical="center" wrapText="1"/>
    </xf>
    <xf numFmtId="0" fontId="116" fillId="45" borderId="14" applyAlignment="1" pivotButton="0" quotePrefix="0" xfId="0">
      <alignment horizontal="center" vertical="center" wrapText="1"/>
    </xf>
    <xf numFmtId="4" fontId="117" fillId="45" borderId="14" applyAlignment="1" pivotButton="0" quotePrefix="0" xfId="0">
      <alignment horizontal="center" vertical="center" wrapText="1"/>
    </xf>
    <xf numFmtId="1" fontId="117" fillId="45" borderId="14" applyAlignment="1" pivotButton="0" quotePrefix="0" xfId="0">
      <alignment horizontal="center" vertical="center" wrapText="1"/>
    </xf>
    <xf numFmtId="165" fontId="117" fillId="45" borderId="14" applyAlignment="1" pivotButton="0" quotePrefix="0" xfId="0">
      <alignment horizontal="center" vertical="center" wrapText="1"/>
    </xf>
    <xf numFmtId="0" fontId="117" fillId="45" borderId="14" applyAlignment="1" pivotButton="0" quotePrefix="0" xfId="0">
      <alignment horizontal="center" vertical="center" wrapText="1"/>
    </xf>
    <xf numFmtId="166" fontId="117" fillId="45" borderId="14" applyAlignment="1" pivotButton="0" quotePrefix="0" xfId="0">
      <alignment horizontal="center" vertical="center" wrapText="1"/>
    </xf>
    <xf numFmtId="0" fontId="119" fillId="44" borderId="14" applyAlignment="1" pivotButton="0" quotePrefix="0" xfId="0">
      <alignment horizontal="center" vertical="center" wrapText="1"/>
    </xf>
    <xf numFmtId="4" fontId="119" fillId="44" borderId="14" applyAlignment="1" pivotButton="0" quotePrefix="0" xfId="0">
      <alignment horizontal="center" vertical="center" wrapText="1"/>
    </xf>
    <xf numFmtId="1" fontId="119" fillId="44" borderId="14" applyAlignment="1" pivotButton="0" quotePrefix="0" xfId="0">
      <alignment horizontal="center" vertical="center" wrapText="1"/>
    </xf>
    <xf numFmtId="0" fontId="115" fillId="46" borderId="14" applyAlignment="1" pivotButton="0" quotePrefix="0" xfId="0">
      <alignment horizontal="center" vertical="center" wrapText="1"/>
    </xf>
    <xf numFmtId="0" fontId="120" fillId="15" borderId="14" applyAlignment="1" pivotButton="0" quotePrefix="0" xfId="0">
      <alignment horizontal="center" vertical="center" wrapText="1"/>
    </xf>
    <xf numFmtId="4" fontId="117" fillId="15" borderId="14" applyAlignment="1" pivotButton="0" quotePrefix="0" xfId="0">
      <alignment horizontal="center" vertical="center" wrapText="1"/>
    </xf>
    <xf numFmtId="1" fontId="117" fillId="15" borderId="14" applyAlignment="1" pivotButton="0" quotePrefix="0" xfId="0">
      <alignment horizontal="center" vertical="center" wrapText="1"/>
    </xf>
    <xf numFmtId="0" fontId="117" fillId="15" borderId="14" applyAlignment="1" pivotButton="0" quotePrefix="0" xfId="0">
      <alignment horizontal="center" vertical="center" wrapText="1"/>
    </xf>
    <xf numFmtId="0" fontId="120" fillId="2" borderId="14" applyAlignment="1" pivotButton="0" quotePrefix="0" xfId="0">
      <alignment horizontal="center" vertical="center" wrapText="1"/>
    </xf>
    <xf numFmtId="4" fontId="117" fillId="2" borderId="14" applyAlignment="1" pivotButton="0" quotePrefix="0" xfId="0">
      <alignment horizontal="center" vertical="center" wrapText="1"/>
    </xf>
    <xf numFmtId="1" fontId="117" fillId="2" borderId="14" applyAlignment="1" pivotButton="0" quotePrefix="0" xfId="0">
      <alignment horizontal="center" vertical="center" wrapText="1"/>
    </xf>
    <xf numFmtId="0" fontId="117" fillId="2" borderId="14" applyAlignment="1" pivotButton="0" quotePrefix="0" xfId="0">
      <alignment horizontal="center" vertical="center" wrapText="1"/>
    </xf>
    <xf numFmtId="0" fontId="36" fillId="39" borderId="0" applyAlignment="1" pivotButton="0" quotePrefix="0" xfId="0">
      <alignment horizontal="center" vertical="center" wrapText="1"/>
    </xf>
    <xf numFmtId="0" fontId="120" fillId="16" borderId="14" applyAlignment="1" pivotButton="0" quotePrefix="0" xfId="0">
      <alignment horizontal="left" vertical="center" wrapText="1"/>
    </xf>
    <xf numFmtId="1" fontId="121" fillId="16" borderId="14" applyAlignment="1" pivotButton="0" quotePrefix="0" xfId="0">
      <alignment horizontal="center" vertical="center" wrapText="1"/>
    </xf>
    <xf numFmtId="0" fontId="122" fillId="16" borderId="14" applyAlignment="1" pivotButton="0" quotePrefix="0" xfId="0">
      <alignment horizontal="center" vertical="center" wrapText="1"/>
    </xf>
    <xf numFmtId="0" fontId="120" fillId="47" borderId="14" applyAlignment="1" pivotButton="0" quotePrefix="0" xfId="0">
      <alignment horizontal="left" vertical="center" wrapText="1"/>
    </xf>
    <xf numFmtId="1" fontId="121" fillId="47" borderId="14" applyAlignment="1" pivotButton="0" quotePrefix="0" xfId="0">
      <alignment horizontal="center" vertical="center" wrapText="1"/>
    </xf>
    <xf numFmtId="0" fontId="122" fillId="47" borderId="14" applyAlignment="1" pivotButton="0" quotePrefix="0" xfId="0">
      <alignment horizontal="center" vertical="center" wrapText="1"/>
    </xf>
    <xf numFmtId="0" fontId="123" fillId="48" borderId="0" applyAlignment="1" pivotButton="0" quotePrefix="0" xfId="0">
      <alignment horizontal="center" vertical="center" wrapText="1"/>
    </xf>
    <xf numFmtId="0" fontId="124" fillId="49" borderId="0" applyAlignment="1" pivotButton="0" quotePrefix="0" xfId="0">
      <alignment horizontal="center" vertical="center" wrapText="1"/>
    </xf>
    <xf numFmtId="0" fontId="125" fillId="0" borderId="0" applyAlignment="1" pivotButton="0" quotePrefix="0" xfId="0">
      <alignment horizontal="center" vertical="center" wrapText="1"/>
    </xf>
    <xf numFmtId="1" fontId="126" fillId="0" borderId="0" applyAlignment="1" pivotButton="0" quotePrefix="0" xfId="0">
      <alignment horizontal="center" vertical="center" wrapText="1"/>
    </xf>
    <xf numFmtId="0" fontId="119" fillId="48" borderId="14" applyAlignment="1" pivotButton="0" quotePrefix="0" xfId="0">
      <alignment horizontal="center" vertical="center" wrapText="1"/>
    </xf>
    <xf numFmtId="0" fontId="120" fillId="14" borderId="14" applyAlignment="1" pivotButton="0" quotePrefix="0" xfId="0">
      <alignment horizontal="center" vertical="center" wrapText="1"/>
    </xf>
    <xf numFmtId="4" fontId="117" fillId="14" borderId="14" applyAlignment="1" pivotButton="0" quotePrefix="0" xfId="0">
      <alignment horizontal="center" vertical="center" wrapText="1"/>
    </xf>
    <xf numFmtId="1" fontId="117" fillId="14" borderId="14" applyAlignment="1" pivotButton="0" quotePrefix="0" xfId="0">
      <alignment horizontal="center" vertical="center" wrapText="1"/>
    </xf>
    <xf numFmtId="0" fontId="117" fillId="14" borderId="14" applyAlignment="1" pivotButton="0" quotePrefix="0" xfId="0">
      <alignment horizontal="center" vertical="center" wrapText="1"/>
    </xf>
    <xf numFmtId="0" fontId="36" fillId="48" borderId="0" applyAlignment="1" pivotButton="0" quotePrefix="0" xfId="0">
      <alignment horizontal="center" vertical="center" wrapText="1"/>
    </xf>
    <xf numFmtId="4" fontId="36" fillId="48" borderId="0" applyAlignment="1" pivotButton="0" quotePrefix="0" xfId="0">
      <alignment horizontal="center" vertical="center" wrapText="1"/>
    </xf>
    <xf numFmtId="1" fontId="36" fillId="48" borderId="0" applyAlignment="1" pivotButton="0" quotePrefix="0" xfId="0">
      <alignment horizontal="center" vertical="center" wrapText="1"/>
    </xf>
    <xf numFmtId="0" fontId="127" fillId="36" borderId="0" applyAlignment="1" pivotButton="0" quotePrefix="0" xfId="0">
      <alignment horizontal="center" vertical="center" wrapText="1"/>
    </xf>
    <xf numFmtId="0" fontId="128" fillId="15" borderId="0" applyAlignment="1" pivotButton="0" quotePrefix="0" xfId="0">
      <alignment horizontal="center" vertical="center" wrapText="1"/>
    </xf>
    <xf numFmtId="4" fontId="121" fillId="15" borderId="0" applyAlignment="1" pivotButton="0" quotePrefix="0" xfId="0">
      <alignment horizontal="center" vertical="center" wrapText="1"/>
    </xf>
    <xf numFmtId="0" fontId="129" fillId="15" borderId="0" applyAlignment="1" pivotButton="0" quotePrefix="0" xfId="0">
      <alignment horizontal="left" vertical="center" wrapText="1"/>
    </xf>
    <xf numFmtId="0" fontId="128" fillId="2" borderId="0" applyAlignment="1" pivotButton="0" quotePrefix="0" xfId="0">
      <alignment horizontal="center" vertical="center" wrapText="1"/>
    </xf>
    <xf numFmtId="4" fontId="121" fillId="2" borderId="0" applyAlignment="1" pivotButton="0" quotePrefix="0" xfId="0">
      <alignment horizontal="center" vertical="center" wrapText="1"/>
    </xf>
    <xf numFmtId="0" fontId="129" fillId="2" borderId="0" applyAlignment="1" pivotButton="0" quotePrefix="0" xfId="0">
      <alignment horizontal="left" vertical="center" wrapText="1"/>
    </xf>
    <xf numFmtId="1" fontId="121" fillId="15" borderId="0" applyAlignment="1" pivotButton="0" quotePrefix="0" xfId="0">
      <alignment horizontal="center" vertical="center" wrapText="1"/>
    </xf>
    <xf numFmtId="165" fontId="121" fillId="15" borderId="0" applyAlignment="1" pivotButton="0" quotePrefix="0" xfId="0">
      <alignment horizontal="center" vertical="center" wrapText="1"/>
    </xf>
    <xf numFmtId="49" fontId="121" fillId="2" borderId="0" applyAlignment="1" pivotButton="0" quotePrefix="0" xfId="0">
      <alignment horizontal="center" vertical="center" wrapText="1"/>
    </xf>
    <xf numFmtId="0" fontId="129" fillId="0" borderId="0" applyAlignment="1" pivotButton="0" quotePrefix="0" xfId="0">
      <alignment horizontal="center" vertical="center" wrapText="1"/>
    </xf>
  </cellXfs>
  <cellStyles count="6">
    <cellStyle name="Normal" xfId="0" builtinId="0"/>
    <cellStyle name="Comma" xfId="1" builtinId="3"/>
    <cellStyle name="Comma [0]" xfId="2" builtinId="6"/>
    <cellStyle name="Currency" xfId="3" builtinId="4"/>
    <cellStyle name="Currency [0]" xfId="4" builtinId="7"/>
    <cellStyle name="Percent" xfId="5" builtinId="5"/>
  </cellStyles>
  <dxfs count="15">
    <dxf>
      <font>
        <name val="Arial"/>
        <charset val="1"/>
        <family val="0"/>
        <b val="1"/>
        <color rgb="FF27AE60"/>
        <sz val="10"/>
      </font>
      <fill>
        <patternFill>
          <bgColor rgb="FFD5F5E3"/>
        </patternFill>
      </fill>
    </dxf>
    <dxf>
      <font>
        <name val="Arial"/>
        <charset val="1"/>
        <family val="0"/>
        <b val="1"/>
        <color rgb="FFC0392B"/>
        <sz val="10"/>
      </font>
      <fill>
        <patternFill>
          <bgColor rgb="FFFADBD8"/>
        </patternFill>
      </fill>
    </dxf>
    <dxf>
      <fill>
        <patternFill patternType="solid">
          <fgColor rgb="FF1E3A5F"/>
          <bgColor rgb="FF000000"/>
        </patternFill>
      </fill>
    </dxf>
    <dxf>
      <fill>
        <patternFill patternType="solid">
          <fgColor rgb="FFEBF5FB"/>
          <bgColor rgb="FF000000"/>
        </patternFill>
      </fill>
    </dxf>
    <dxf>
      <fill>
        <patternFill patternType="solid">
          <fgColor rgb="FFFFF9C4"/>
          <bgColor rgb="FF000000"/>
        </patternFill>
      </fill>
    </dxf>
    <dxf>
      <fill>
        <patternFill patternType="solid">
          <fgColor rgb="FFFFFFFF"/>
          <bgColor rgb="FF000000"/>
        </patternFill>
      </fill>
    </dxf>
    <dxf>
      <fill>
        <patternFill patternType="solid">
          <fgColor rgb="FF27AE60"/>
          <bgColor rgb="FF000000"/>
        </patternFill>
      </fill>
    </dxf>
    <dxf>
      <fill>
        <patternFill patternType="solid">
          <fgColor rgb="FF5D6D7E"/>
          <bgColor rgb="FF000000"/>
        </patternFill>
      </fill>
    </dxf>
    <dxf>
      <fill>
        <patternFill patternType="solid">
          <fgColor rgb="FF1A252F"/>
          <bgColor rgb="FF000000"/>
        </patternFill>
      </fill>
    </dxf>
    <dxf>
      <font>
        <b val="1"/>
        <color rgb="FF1A252F"/>
      </font>
      <fill>
        <patternFill>
          <bgColor rgb="FFF6AE2D"/>
        </patternFill>
      </fill>
    </dxf>
    <dxf>
      <font>
        <name val="Calibri"/>
        <charset val="1"/>
        <family val="0"/>
        <color rgb="FFBBBBBB"/>
        <sz val="9"/>
      </font>
      <fill>
        <patternFill>
          <bgColor rgb="FFF8F8F8"/>
        </patternFill>
      </fill>
    </dxf>
    <dxf>
      <font>
        <name val="Arial"/>
        <charset val="1"/>
        <family val="0"/>
        <b val="1"/>
        <color rgb="FFE67E22"/>
        <sz val="10"/>
      </font>
      <fill>
        <patternFill>
          <bgColor rgb="FFFEF9E7"/>
        </patternFill>
      </fill>
    </dxf>
    <dxf>
      <fill>
        <patternFill>
          <bgColor rgb="FFF0FFF4"/>
        </patternFill>
      </fill>
    </dxf>
    <dxf>
      <fill>
        <patternFill>
          <bgColor rgb="FFFDF2F2"/>
        </patternFill>
      </fill>
    </dxf>
    <dxf>
      <fill>
        <patternFill patternType="solid">
          <fgColor rgb="FFE67E22"/>
          <bgColor rgb="FF000000"/>
        </patternFill>
      </fill>
    </dxf>
  </dxfs>
  <colors>
    <indexedColors>
      <rgbColor rgb="FF000000"/>
      <rgbColor rgb="FFFFFFFF"/>
      <rgbColor rgb="FFCD0C0E"/>
      <rgbColor rgb="FFF8F8F8"/>
      <rgbColor rgb="FF0000FF"/>
      <rgbColor rgb="FFFFF2CC"/>
      <rgbColor rgb="FFFDF2F2"/>
      <rgbColor rgb="FFEBF5FB"/>
      <rgbColor rgb="FF821A1A"/>
      <rgbColor rgb="FF2E7D32"/>
      <rgbColor rgb="FF1A237E"/>
      <rgbColor rgb="FFFFEBEE"/>
      <rgbColor rgb="FF731C9E"/>
      <rgbColor rgb="FF00695C"/>
      <rgbColor rgb="FFBEBFC0"/>
      <rgbColor rgb="FF838E8F"/>
      <rgbColor rgb="FFE8EAF6"/>
      <rgbColor rgb="FF6C3483"/>
      <rgbColor rgb="FFFFF9C4"/>
      <rgbColor rgb="FFE3F2FD"/>
      <rgbColor rgb="FF3B209B"/>
      <rgbColor rgb="FFE67E22"/>
      <rgbColor rgb="FF1565C0"/>
      <rgbColor rgb="FFD0D3D4"/>
      <rgbColor rgb="FFFFFDE7"/>
      <rgbColor rgb="FFF8F9FA"/>
      <rgbColor rgb="FFFFF3E0"/>
      <rgbColor rgb="FFF0FFF4"/>
      <rgbColor rgb="FFFEF9E7"/>
      <rgbColor rgb="FFFAFAFA"/>
      <rgbColor rgb="FF2E86AB"/>
      <rgbColor rgb="FFFDFEFE"/>
      <rgbColor rgb="FFF5EEF8"/>
      <rgbColor rgb="FFE8F5E9"/>
      <rgbColor rgb="FFD5F5E3"/>
      <rgbColor rgb="FFFFF3CD"/>
      <rgbColor rgb="FFBDC3C7"/>
      <rgbColor rgb="FFD9DBDE"/>
      <rgbColor rgb="FFCCCCCC"/>
      <rgbColor rgb="FFFADBD8"/>
      <rgbColor rgb="FFFFF0F0"/>
      <rgbColor rgb="FF1ABC9C"/>
      <rgbColor rgb="FFF0F3F4"/>
      <rgbColor rgb="FFFDEDEC"/>
      <rgbColor rgb="FFF6AE2D"/>
      <rgbColor rgb="FFE65100"/>
      <rgbColor rgb="FF5A6570"/>
      <rgbColor rgb="FFF3E5F5"/>
      <rgbColor rgb="FF093F54"/>
      <rgbColor rgb="FF27AE60"/>
      <rgbColor rgb="FF0A203B"/>
      <rgbColor rgb="FF1E3A5F"/>
      <rgbColor rgb="FFC0392B"/>
      <rgbColor rgb="FF8E44AD"/>
      <rgbColor rgb="FF283593"/>
      <rgbColor rgb="FF1A252F"/>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styles" Target="styles.xml" Id="rId52"/><Relationship Type="http://schemas.openxmlformats.org/officeDocument/2006/relationships/theme" Target="theme/theme1.xml" Id="rId53"/><Relationship Type="http://schemas.microsoft.com/office/2006/relationships/vbaProject" Target="vbaProject.bin" Id="rId54"/></Relationships>
</file>

<file path=xl/charts/chart1.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lang="en-GB" sz="1800" b="1" strike="noStrike" spc="-1">
                <a:solidFill>
                  <a:srgbClr val="000000"/>
                </a:solidFill>
                <a:latin typeface="Calibri"/>
              </a:defRPr>
            </a:pPr>
            <a:r>
              <a:rPr lang="en-GB" sz="1800" b="1" strike="noStrike" spc="-1">
                <a:solidFill>
                  <a:srgbClr val="000000"/>
                </a:solidFill>
                <a:latin typeface="Calibri"/>
              </a:rPr>
              <a:t>Agent Savings vs Withdrawals Today</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Daily_Balancing!$B$3</f>
              <strCache>
                <ptCount val="1"/>
                <pt idx="0">
                  <v>Savings (GHC)</v>
                </pt>
              </strCache>
            </strRef>
          </tx>
          <spPr>
            <a:solidFill xmlns:a="http://schemas.openxmlformats.org/drawingml/2006/main">
              <a:srgbClr val="27ae60"/>
            </a:solidFill>
            <a:ln xmlns:a="http://schemas.openxmlformats.org/drawingml/2006/main" w="9360">
              <a:solidFill>
                <a:srgbClr val="f9f9f9"/>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spc="-1">
                    <a:solidFill>
                      <a:srgbClr val="000000"/>
                    </a:solidFill>
                    <a:latin typeface="Arial"/>
                  </a:defRPr>
                </a:pPr>
                <a:r>
                  <a:t/>
                </a:r>
              </a:p>
            </txPr>
            <dLblPos val="outEnd"/>
            <showLegendKey val="0"/>
            <showVal val="0"/>
            <showCatName val="0"/>
            <showSerName val="0"/>
            <showPercent val="0"/>
            <showLeaderLines val="0"/>
          </dLbls>
          <cat>
            <strRef>
              <f>Daily_Balancing!$A$4:$A$13</f>
              <strCache>
                <ptCount val="10"/>
                <pt idx="0">
                  <v>Agent 01</v>
                </pt>
                <pt idx="1">
                  <v>Agent 02</v>
                </pt>
                <pt idx="2">
                  <v>Agent 03</v>
                </pt>
                <pt idx="3">
                  <v>Agent 04</v>
                </pt>
                <pt idx="4">
                  <v>Agent 05</v>
                </pt>
                <pt idx="5">
                  <v>Agent 06</v>
                </pt>
                <pt idx="6">
                  <v>Agent 07</v>
                </pt>
                <pt idx="7">
                  <v>Agent 08</v>
                </pt>
                <pt idx="8">
                  <v>Agent 09</v>
                </pt>
                <pt idx="9">
                  <v>Agent 10</v>
                </pt>
              </strCache>
            </strRef>
          </cat>
          <val>
            <numRef>
              <f>Daily_Balancing!$B$4:$B$13</f>
              <numCache>
                <formatCode>"GHC "#,##0.00;"(GHC "#,##0.00\);\-</formatCode>
                <ptCount val="10"/>
                <pt idx="0">
                  <v>0</v>
                </pt>
                <pt idx="1">
                  <v>0</v>
                </pt>
                <pt idx="2">
                  <v>0</v>
                </pt>
                <pt idx="3">
                  <v>0</v>
                </pt>
                <pt idx="4">
                  <v>0</v>
                </pt>
                <pt idx="5">
                  <v>0</v>
                </pt>
                <pt idx="6">
                  <v>0</v>
                </pt>
                <pt idx="7">
                  <v>0</v>
                </pt>
                <pt idx="8">
                  <v>0</v>
                </pt>
                <pt idx="9">
                  <v>0</v>
                </pt>
              </numCache>
            </numRef>
          </val>
        </ser>
        <ser>
          <idx val="1"/>
          <order val="1"/>
          <tx>
            <strRef>
              <f>Daily_Balancing!$C$3</f>
              <strCache>
                <ptCount val="1"/>
                <pt idx="0">
                  <v>Withdrawals (GHC)</v>
                </pt>
              </strCache>
            </strRef>
          </tx>
          <spPr>
            <a:solidFill xmlns:a="http://schemas.openxmlformats.org/drawingml/2006/main">
              <a:srgbClr val="c0392b"/>
            </a:solidFill>
            <a:ln xmlns:a="http://schemas.openxmlformats.org/drawingml/2006/main" w="9360">
              <a:solidFill>
                <a:srgbClr val="f9f9f9"/>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spc="-1">
                    <a:solidFill>
                      <a:srgbClr val="000000"/>
                    </a:solidFill>
                    <a:latin typeface="Arial"/>
                  </a:defRPr>
                </a:pPr>
                <a:r>
                  <a:t/>
                </a:r>
              </a:p>
            </txPr>
            <dLblPos val="outEnd"/>
            <showLegendKey val="0"/>
            <showVal val="0"/>
            <showCatName val="0"/>
            <showSerName val="0"/>
            <showPercent val="0"/>
            <showLeaderLines val="0"/>
          </dLbls>
          <cat>
            <strRef>
              <f>Daily_Balancing!$A$4:$A$13</f>
              <strCache>
                <ptCount val="10"/>
                <pt idx="0">
                  <v>Agent 01</v>
                </pt>
                <pt idx="1">
                  <v>Agent 02</v>
                </pt>
                <pt idx="2">
                  <v>Agent 03</v>
                </pt>
                <pt idx="3">
                  <v>Agent 04</v>
                </pt>
                <pt idx="4">
                  <v>Agent 05</v>
                </pt>
                <pt idx="5">
                  <v>Agent 06</v>
                </pt>
                <pt idx="6">
                  <v>Agent 07</v>
                </pt>
                <pt idx="7">
                  <v>Agent 08</v>
                </pt>
                <pt idx="8">
                  <v>Agent 09</v>
                </pt>
                <pt idx="9">
                  <v>Agent 10</v>
                </pt>
              </strCache>
            </strRef>
          </cat>
          <val>
            <numRef>
              <f>Daily_Balancing!$C$4:$C$13</f>
              <numCache>
                <formatCode>"GHC "#,##0.00;"(GHC "#,##0.00\);\-</formatCode>
                <ptCount val="10"/>
                <pt idx="0">
                  <v>0</v>
                </pt>
                <pt idx="1">
                  <v>0</v>
                </pt>
                <pt idx="2">
                  <v>0</v>
                </pt>
                <pt idx="3">
                  <v>0</v>
                </pt>
                <pt idx="4">
                  <v>0</v>
                </pt>
                <pt idx="5">
                  <v>0</v>
                </pt>
                <pt idx="6">
                  <v>0</v>
                </pt>
                <pt idx="7">
                  <v>0</v>
                </pt>
                <pt idx="8">
                  <v>0</v>
                </pt>
                <pt idx="9">
                  <v>0</v>
                </pt>
              </numCache>
            </numRef>
          </val>
        </ser>
        <gapWidth val="150"/>
        <overlap val="0"/>
        <axId val="16457014"/>
        <axId val="9223032"/>
      </barChart>
      <catAx>
        <axId val="16457014"/>
        <scaling>
          <orientation val="minMax"/>
        </scaling>
        <delete val="0"/>
        <axPos val="b"/>
        <title>
          <tx>
            <rich>
              <a:bodyPr xmlns:a="http://schemas.openxmlformats.org/drawingml/2006/main" rot="0"/>
              <a:lstStyle xmlns:a="http://schemas.openxmlformats.org/drawingml/2006/main"/>
              <a:p xmlns:a="http://schemas.openxmlformats.org/drawingml/2006/main">
                <a:pPr>
                  <a:defRPr lang="en-GB" sz="1000" b="1" strike="noStrike" spc="-1">
                    <a:solidFill>
                      <a:srgbClr val="000000"/>
                    </a:solidFill>
                    <a:latin typeface="Calibri"/>
                  </a:defRPr>
                </a:pPr>
                <a:r>
                  <a:rPr lang="en-GB" sz="1000" b="1" strike="noStrike" spc="-1">
                    <a:solidFill>
                      <a:srgbClr val="000000"/>
                    </a:solidFill>
                    <a:latin typeface="Calibri"/>
                  </a:rPr>
                  <a:t>Agent</a:t>
                </a:r>
              </a:p>
            </rich>
          </tx>
          <overlay val="0"/>
          <spPr>
            <a:noFill xmlns:a="http://schemas.openxmlformats.org/drawingml/2006/main"/>
            <a:ln xmlns:a="http://schemas.openxmlformats.org/drawingml/2006/main" w="0">
              <a:noFill/>
              <a:prstDash val="solid"/>
            </a:ln>
          </spPr>
        </title>
        <numFmt formatCode="General" sourceLinked="0"/>
        <majorTickMark val="none"/>
        <minorTickMark val="none"/>
        <tickLblPos val="nextTo"/>
        <spPr>
          <a:ln xmlns:a="http://schemas.openxmlformats.org/drawingml/2006/main" w="9360">
            <a:solidFill>
              <a:srgbClr val="878787"/>
            </a:solidFill>
            <a:prstDash val="solid"/>
            <a:roun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alibri"/>
              </a:defRPr>
            </a:pPr>
            <a:r>
              <a:t/>
            </a:r>
          </a:p>
        </txPr>
        <crossAx val="9223032"/>
        <crosses val="autoZero"/>
        <auto val="1"/>
        <lblAlgn val="ctr"/>
        <lblOffset val="100"/>
        <noMultiLvlLbl val="0"/>
      </catAx>
      <valAx>
        <axId val="9223032"/>
        <scaling>
          <orientation val="minMax"/>
        </scaling>
        <delete val="0"/>
        <axPos val="l"/>
        <majorGridlines>
          <spPr>
            <a:ln xmlns:a="http://schemas.openxmlformats.org/drawingml/2006/main" w="9360">
              <a:solidFill>
                <a:srgbClr val="878787"/>
              </a:solidFill>
              <a:prstDash val="solid"/>
              <a:round/>
            </a:ln>
          </spPr>
        </majorGridlines>
        <title>
          <tx>
            <rich>
              <a:bodyPr xmlns:a="http://schemas.openxmlformats.org/drawingml/2006/main" rot="-5400000"/>
              <a:lstStyle xmlns:a="http://schemas.openxmlformats.org/drawingml/2006/main"/>
              <a:p xmlns:a="http://schemas.openxmlformats.org/drawingml/2006/main">
                <a:pPr>
                  <a:defRPr lang="en-GB" sz="1000" b="1" strike="noStrike" spc="-1">
                    <a:solidFill>
                      <a:srgbClr val="000000"/>
                    </a:solidFill>
                    <a:latin typeface="Calibri"/>
                  </a:defRPr>
                </a:pPr>
                <a:r>
                  <a:rPr lang="en-GB" sz="1000" b="1" strike="noStrike" spc="-1">
                    <a:solidFill>
                      <a:srgbClr val="000000"/>
                    </a:solidFill>
                    <a:latin typeface="Calibri"/>
                  </a:rPr>
                  <a:t>Amount (GHC)</a:t>
                </a:r>
              </a:p>
            </rich>
          </tx>
          <overlay val="0"/>
          <spPr>
            <a:noFill xmlns:a="http://schemas.openxmlformats.org/drawingml/2006/main"/>
            <a:ln xmlns:a="http://schemas.openxmlformats.org/drawingml/2006/main" w="0">
              <a:noFill/>
              <a:prstDash val="solid"/>
            </a:ln>
          </spPr>
        </title>
        <numFmt formatCode="&quot;GHC &quot;#,##0.00;&quot;(GHC &quot;#,##0.00\);\-" sourceLinked="0"/>
        <majorTickMark val="none"/>
        <minorTickMark val="none"/>
        <tickLblPos val="nextTo"/>
        <spPr>
          <a:ln xmlns:a="http://schemas.openxmlformats.org/drawingml/2006/main" w="9360">
            <a:solidFill>
              <a:srgbClr val="878787"/>
            </a:solidFill>
            <a:prstDash val="solid"/>
            <a:roun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alibri"/>
              </a:defRPr>
            </a:pPr>
            <a:r>
              <a:t/>
            </a:r>
          </a:p>
        </txPr>
        <crossAx val="16457014"/>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alibri"/>
            </a:defRPr>
          </a:pPr>
          <a:r>
            <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2.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lang="en-GB" sz="1800" b="1" strike="noStrike" spc="-1">
                <a:solidFill>
                  <a:srgbClr val="000000"/>
                </a:solidFill>
                <a:latin typeface="Calibri"/>
              </a:defRPr>
            </a:pPr>
            <a:r>
              <a:rPr lang="en-GB" sz="1800" b="1" strike="noStrike" spc="-1">
                <a:solidFill>
                  <a:srgbClr val="000000"/>
                </a:solidFill>
                <a:latin typeface="Calibri"/>
              </a:rPr>
              <a:t>Monthly Savings vs Withdrawals Trend</a:t>
            </a:r>
          </a:p>
        </rich>
      </tx>
      <overlay val="0"/>
      <spPr>
        <a:noFill xmlns:a="http://schemas.openxmlformats.org/drawingml/2006/main"/>
        <a:ln xmlns:a="http://schemas.openxmlformats.org/drawingml/2006/main" w="0">
          <a:noFill/>
          <a:prstDash val="solid"/>
        </a:ln>
      </spPr>
    </title>
    <plotArea>
      <lineChart>
        <grouping val="standard"/>
        <varyColors val="0"/>
        <ser>
          <idx val="0"/>
          <order val="0"/>
          <tx>
            <strRef>
              <f>Monthly_Balancing!$B$7</f>
              <strCache>
                <ptCount val="1"/>
                <pt idx="0">
                  <v>Savings</v>
                </pt>
              </strCache>
            </strRef>
          </tx>
          <spPr>
            <a:solidFill xmlns:a="http://schemas.openxmlformats.org/drawingml/2006/main">
              <a:srgbClr val="27ae60"/>
            </a:solidFill>
            <a:ln xmlns:a="http://schemas.openxmlformats.org/drawingml/2006/main" w="47520">
              <a:solidFill>
                <a:srgbClr val="27ae60"/>
              </a:solidFill>
              <a:prstDash val="solid"/>
              <a:round/>
            </a:ln>
          </spPr>
          <marker>
            <symbol val="none"/>
            <spPr>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spc="-1">
                    <a:solidFill>
                      <a:srgbClr val="000000"/>
                    </a:solidFill>
                    <a:latin typeface="Arial"/>
                  </a:defRPr>
                </a:pPr>
                <a:r>
                  <a:t/>
                </a:r>
              </a:p>
            </txPr>
            <dLblPos val="r"/>
            <showLegendKey val="0"/>
            <showVal val="0"/>
            <showCatName val="0"/>
            <showSerName val="0"/>
            <showPercent val="0"/>
            <showLeaderLines val="0"/>
          </dLbls>
          <cat>
            <strRef>
              <f>Monthly_Balancing!$A$8:$A$19</f>
              <strCache>
                <ptCount val="12"/>
                <pt idx="0">
                  <v>Jan</v>
                </pt>
                <pt idx="1">
                  <v>Feb</v>
                </pt>
                <pt idx="2">
                  <v>Mar</v>
                </pt>
                <pt idx="3">
                  <v>Apr</v>
                </pt>
                <pt idx="4">
                  <v>May</v>
                </pt>
                <pt idx="5">
                  <v>Jun</v>
                </pt>
                <pt idx="6">
                  <v>Jul</v>
                </pt>
                <pt idx="7">
                  <v>Aug</v>
                </pt>
                <pt idx="8">
                  <v>Sep</v>
                </pt>
                <pt idx="9">
                  <v>Oct</v>
                </pt>
                <pt idx="10">
                  <v>Nov</v>
                </pt>
                <pt idx="11">
                  <v>Dec</v>
                </pt>
              </strCache>
            </strRef>
          </cat>
          <val>
            <numRef>
              <f>Monthly_Balancing!$B$8:$B$19</f>
              <numCache>
                <formatCode>"GHC "#,##0.00;"(GHC "#,##0.00\);\-</formatCode>
                <ptCount val="12"/>
                <pt idx="0">
                  <v>107824.22</v>
                </pt>
                <pt idx="1">
                  <v>133790.85</v>
                </pt>
                <pt idx="2">
                  <v>95687.10000000001</v>
                </pt>
                <pt idx="3">
                  <v>108714.02</v>
                </pt>
              </numCache>
            </numRef>
          </val>
          <smooth val="1"/>
        </ser>
        <ser>
          <idx val="1"/>
          <order val="1"/>
          <tx>
            <strRef>
              <f>Monthly_Balancing!$C$7</f>
              <strCache>
                <ptCount val="1"/>
                <pt idx="0">
                  <v>Withdrawals</v>
                </pt>
              </strCache>
            </strRef>
          </tx>
          <spPr>
            <a:solidFill xmlns:a="http://schemas.openxmlformats.org/drawingml/2006/main">
              <a:srgbClr val="c0392b"/>
            </a:solidFill>
            <a:ln xmlns:a="http://schemas.openxmlformats.org/drawingml/2006/main" w="47520">
              <a:solidFill>
                <a:srgbClr val="c0392b"/>
              </a:solidFill>
              <a:prstDash val="solid"/>
              <a:round/>
            </a:ln>
          </spPr>
          <marker>
            <symbol val="none"/>
            <spPr>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spc="-1">
                    <a:solidFill>
                      <a:srgbClr val="000000"/>
                    </a:solidFill>
                    <a:latin typeface="Arial"/>
                  </a:defRPr>
                </a:pPr>
                <a:r>
                  <a:t/>
                </a:r>
              </a:p>
            </txPr>
            <dLblPos val="r"/>
            <showLegendKey val="0"/>
            <showVal val="0"/>
            <showCatName val="0"/>
            <showSerName val="0"/>
            <showPercent val="0"/>
            <showLeaderLines val="0"/>
          </dLbls>
          <cat>
            <strRef>
              <f>Monthly_Balancing!$A$8:$A$19</f>
              <strCache>
                <ptCount val="12"/>
                <pt idx="0">
                  <v>Jan</v>
                </pt>
                <pt idx="1">
                  <v>Feb</v>
                </pt>
                <pt idx="2">
                  <v>Mar</v>
                </pt>
                <pt idx="3">
                  <v>Apr</v>
                </pt>
                <pt idx="4">
                  <v>May</v>
                </pt>
                <pt idx="5">
                  <v>Jun</v>
                </pt>
                <pt idx="6">
                  <v>Jul</v>
                </pt>
                <pt idx="7">
                  <v>Aug</v>
                </pt>
                <pt idx="8">
                  <v>Sep</v>
                </pt>
                <pt idx="9">
                  <v>Oct</v>
                </pt>
                <pt idx="10">
                  <v>Nov</v>
                </pt>
                <pt idx="11">
                  <v>Dec</v>
                </pt>
              </strCache>
            </strRef>
          </cat>
          <val>
            <numRef>
              <f>Monthly_Balancing!$C$8:$C$19</f>
              <numCache>
                <formatCode>"GHC "#,##0.00;"(GHC "#,##0.00\);\-</formatCode>
                <ptCount val="12"/>
                <pt idx="0">
                  <v>37455.75</v>
                </pt>
                <pt idx="1">
                  <v>40398.62</v>
                </pt>
                <pt idx="2">
                  <v>51481.08</v>
                </pt>
                <pt idx="3">
                  <v>50819.15</v>
                </pt>
              </numCache>
            </numRef>
          </val>
          <smooth val="1"/>
        </ser>
        <hiLowLines>
          <spPr>
            <a:ln xmlns:a="http://schemas.openxmlformats.org/drawingml/2006/main" w="0">
              <a:noFill/>
              <a:prstDash val="solid"/>
            </a:ln>
          </spPr>
        </hiLowLines>
        <marker val="0"/>
        <axId val="48680249"/>
        <axId val="2252359"/>
      </lineChart>
      <catAx>
        <axId val="48680249"/>
        <scaling>
          <orientation val="minMax"/>
        </scaling>
        <delete val="0"/>
        <axPos val="b"/>
        <numFmt formatCode="General" sourceLinked="0"/>
        <majorTickMark val="none"/>
        <minorTickMark val="none"/>
        <tickLblPos val="nextTo"/>
        <spPr>
          <a:ln xmlns:a="http://schemas.openxmlformats.org/drawingml/2006/main" w="9360">
            <a:solidFill>
              <a:srgbClr val="878787"/>
            </a:solidFill>
            <a:prstDash val="solid"/>
            <a:roun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alibri"/>
              </a:defRPr>
            </a:pPr>
            <a:r>
              <a:t/>
            </a:r>
          </a:p>
        </txPr>
        <crossAx val="2252359"/>
        <crosses val="autoZero"/>
        <auto val="1"/>
        <lblAlgn val="ctr"/>
        <lblOffset val="100"/>
        <noMultiLvlLbl val="0"/>
      </catAx>
      <valAx>
        <axId val="2252359"/>
        <scaling>
          <orientation val="minMax"/>
        </scaling>
        <delete val="0"/>
        <axPos val="l"/>
        <majorGridlines>
          <spPr>
            <a:ln xmlns:a="http://schemas.openxmlformats.org/drawingml/2006/main" w="9360">
              <a:solidFill>
                <a:srgbClr val="878787"/>
              </a:solidFill>
              <a:prstDash val="solid"/>
              <a:round/>
            </a:ln>
          </spPr>
        </majorGridlines>
        <numFmt formatCode="&quot;GHC &quot;#,##0.00;&quot;(GHC &quot;#,##0.00\);\-" sourceLinked="0"/>
        <majorTickMark val="none"/>
        <minorTickMark val="none"/>
        <tickLblPos val="nextTo"/>
        <spPr>
          <a:ln xmlns:a="http://schemas.openxmlformats.org/drawingml/2006/main" w="9360">
            <a:solidFill>
              <a:srgbClr val="878787"/>
            </a:solidFill>
            <a:prstDash val="solid"/>
            <a:roun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alibri"/>
              </a:defRPr>
            </a:pPr>
            <a:r>
              <a:t/>
            </a:r>
          </a:p>
        </txPr>
        <crossAx val="48680249"/>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alibri"/>
            </a:defRPr>
          </a:pPr>
          <a:r>
            <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drawing1.xml><?xml version="1.0" encoding="utf-8"?>
<wsDr xmlns="http://schemas.openxmlformats.org/drawingml/2006/spreadsheetDrawing">
  <twoCellAnchor editAs="oneCell">
    <from>
      <col>0</col>
      <colOff>0</colOff>
      <row>15</row>
      <rowOff>0</rowOff>
    </from>
    <to>
      <col>10</col>
      <colOff>418680</colOff>
      <row>41</row>
      <rowOff>84240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editAs="oneCell">
    <from>
      <col>0</col>
      <colOff>0</colOff>
      <row>21</row>
      <rowOff>0</rowOff>
    </from>
    <to>
      <col>12</col>
      <colOff>574920</colOff>
      <row>49</row>
      <rowOff>63000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Relationships xmlns="http://schemas.openxmlformats.org/package/2006/relationships"><Relationship Type="http://schemas.openxmlformats.org/officeDocument/2006/relationships/hyperlink" Target="tel:+233241911273" TargetMode="External" Id="rId1"/><Relationship Type="http://schemas.openxmlformats.org/officeDocument/2006/relationships/hyperlink" Target="tel:+233207530771" TargetMode="External" Id="rId2"/></Relationships>
</file>

<file path=xl/worksheets/_rels/sheet41.xml.rels><Relationships xmlns="http://schemas.openxmlformats.org/package/2006/relationships"><Relationship Type="http://schemas.openxmlformats.org/officeDocument/2006/relationships/drawing" Target="/xl/drawings/drawing1.xml" Id="rId1"/></Relationships>
</file>

<file path=xl/worksheets/_rels/sheet43.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filterMode="0">
    <tabColor rgb="FFF6AE2D"/>
    <outlinePr summaryBelow="1" summaryRight="1"/>
    <pageSetUpPr fitToPage="0"/>
  </sheetPr>
  <dimension ref="A1:E26"/>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2" activeCellId="0" sqref="A2"/>
    </sheetView>
  </sheetViews>
  <sheetFormatPr baseColWidth="8" defaultColWidth="8.71484375" defaultRowHeight="15" zeroHeight="0" outlineLevelRow="0"/>
  <cols>
    <col width="3" customWidth="1" style="340" min="1" max="1"/>
    <col width="41.86" customWidth="1" style="340" min="2" max="2"/>
    <col width="26" customWidth="1" style="340" min="3" max="3"/>
    <col width="16" customWidth="1" style="340" min="4" max="4"/>
    <col width="3" customWidth="1" style="340" min="5" max="5"/>
  </cols>
  <sheetData>
    <row r="1" ht="9.75" customHeight="1" s="341">
      <c r="A1" s="342" t="n"/>
      <c r="E1" s="342" t="n"/>
    </row>
    <row r="2" ht="36" customHeight="1" s="341">
      <c r="A2" s="343" t="inlineStr">
        <is>
          <t>🏦  SAMICIOUS MICROFINANCE</t>
        </is>
      </c>
    </row>
    <row r="3" ht="19.5" customHeight="1" s="341">
      <c r="A3" s="344" t="inlineStr">
        <is>
          <t>SAMICIOUS MICROFINANCE MANAGEMENT SYSTEM  |  Developer Information</t>
        </is>
      </c>
    </row>
    <row r="4" ht="3.75" customHeight="1" s="341">
      <c r="A4" s="342" t="n"/>
      <c r="B4" s="345" t="n"/>
      <c r="C4" s="345" t="n"/>
      <c r="D4" s="345" t="n"/>
      <c r="E4" s="342" t="n"/>
    </row>
    <row r="5" ht="43.5" customHeight="1" s="341">
      <c r="A5" s="346" t="inlineStr">
        <is>
          <t>ABOUT THE DEVELOPER</t>
        </is>
      </c>
    </row>
    <row r="6" ht="3.75" customHeight="1" s="341">
      <c r="A6" s="342" t="n"/>
      <c r="B6" s="345" t="n"/>
      <c r="C6" s="345" t="n"/>
      <c r="D6" s="345" t="n"/>
      <c r="E6" s="342" t="n"/>
    </row>
    <row r="7" ht="18" customHeight="1" s="341">
      <c r="A7" s="342" t="n"/>
      <c r="E7" s="342" t="n"/>
    </row>
    <row r="8" ht="27.75" customHeight="1" s="341">
      <c r="A8" s="347" t="inlineStr">
        <is>
          <t>THIS SAMICIOUS MICROFINANCE MANAGEMENT SYSTEM WAS DESIGNED AND DEVELOPED BY</t>
        </is>
      </c>
    </row>
    <row r="9" ht="51.75" customHeight="1" s="341">
      <c r="A9" s="348" t="inlineStr">
        <is>
          <t>FRANK ABBAN</t>
        </is>
      </c>
    </row>
    <row r="10" ht="30" customHeight="1" s="341">
      <c r="A10" s="349" t="inlineStr">
        <is>
          <t>IT CONSULTANT</t>
        </is>
      </c>
    </row>
    <row r="11" ht="19.5" customHeight="1" s="341">
      <c r="A11" s="342" t="n"/>
      <c r="E11" s="342" t="n"/>
    </row>
    <row r="12" ht="3.75" customHeight="1" s="341">
      <c r="A12" s="342" t="n"/>
      <c r="B12" s="350" t="n"/>
      <c r="C12" s="350" t="n"/>
      <c r="D12" s="350" t="n"/>
      <c r="E12" s="342" t="n"/>
    </row>
    <row r="13" ht="13.5" customHeight="1" s="341">
      <c r="A13" s="342" t="n"/>
      <c r="E13" s="342" t="n"/>
    </row>
    <row r="14" ht="31.5" customHeight="1" s="341">
      <c r="A14" s="351" t="inlineStr">
        <is>
          <t>📞  FOR ALL ENQUIRIES, KINDLY REACH OUT USING ANY OF THE CONTACT NUMBERS BELOW:</t>
        </is>
      </c>
    </row>
    <row r="15" ht="13.5" customHeight="1" s="341">
      <c r="A15" s="342" t="n"/>
      <c r="E15" s="342" t="n"/>
    </row>
    <row r="16" ht="42" customHeight="1" s="341">
      <c r="A16" s="342" t="n"/>
      <c r="B16" s="352" t="inlineStr">
        <is>
          <t>📱  0241911273</t>
        </is>
      </c>
      <c r="E16" s="342" t="n"/>
    </row>
    <row r="17" ht="9.75" customHeight="1" s="341">
      <c r="A17" s="342" t="n"/>
      <c r="E17" s="342" t="n"/>
    </row>
    <row r="18" ht="42" customHeight="1" s="341">
      <c r="A18" s="342" t="n"/>
      <c r="B18" s="352" t="inlineStr">
        <is>
          <t>📱  0207530771</t>
        </is>
      </c>
      <c r="E18" s="342" t="n"/>
    </row>
    <row r="19" ht="13.5" customHeight="1" s="341">
      <c r="A19" s="342" t="n"/>
      <c r="E19" s="342" t="n"/>
    </row>
    <row r="20" ht="24" customHeight="1" s="341">
      <c r="A20" s="342" t="n"/>
      <c r="B20" s="353" t="inlineStr">
        <is>
          <t>📋  Select any phone number above → Ctrl+C to copy</t>
        </is>
      </c>
      <c r="E20" s="342" t="n"/>
    </row>
    <row r="21" ht="19.5" customHeight="1" s="341">
      <c r="A21" s="342" t="n"/>
      <c r="E21" s="342" t="n"/>
    </row>
    <row r="22" ht="3.75" customHeight="1" s="341">
      <c r="A22" s="342" t="n"/>
      <c r="B22" s="350" t="n"/>
      <c r="C22" s="350" t="n"/>
      <c r="D22" s="350" t="n"/>
      <c r="E22" s="342" t="n"/>
    </row>
    <row r="23" ht="9.75" customHeight="1" s="341">
      <c r="A23" s="342" t="n"/>
      <c r="E23" s="342" t="n"/>
    </row>
    <row r="24" ht="21.75" customHeight="1" s="341">
      <c r="A24" s="354" t="inlineStr">
        <is>
          <t>SAMICIOUS MICROFINANCE MANAGEMENT SYSTEM  —  v10.0  |  Built with Excel + Formula-Driven Architecture</t>
        </is>
      </c>
    </row>
    <row r="25" ht="3.75" customHeight="1" s="341">
      <c r="A25" s="342" t="n"/>
      <c r="B25" s="345" t="n"/>
      <c r="C25" s="345" t="n"/>
      <c r="D25" s="345" t="n"/>
      <c r="E25" s="342" t="n"/>
    </row>
    <row r="26" ht="15" customHeight="1" s="341">
      <c r="A26" s="342" t="n"/>
      <c r="E26" s="342" t="n"/>
    </row>
  </sheetData>
  <mergeCells count="11">
    <mergeCell ref="A24:E24"/>
    <mergeCell ref="A2:E2"/>
    <mergeCell ref="A10:E10"/>
    <mergeCell ref="B18:D18"/>
    <mergeCell ref="A8:E8"/>
    <mergeCell ref="A5:E5"/>
    <mergeCell ref="A14:E14"/>
    <mergeCell ref="A9:E9"/>
    <mergeCell ref="B16:D16"/>
    <mergeCell ref="B20:D20"/>
    <mergeCell ref="A3:E3"/>
  </mergeCells>
  <hyperlinks>
    <hyperlink xmlns:r="http://schemas.openxmlformats.org/officeDocument/2006/relationships" ref="B16" display="📱  0241911273" r:id="rId1"/>
    <hyperlink xmlns:r="http://schemas.openxmlformats.org/officeDocument/2006/relationships" ref="B18" display="📱  0207530771" r:id="rId2"/>
  </hyperlink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xml><?xml version="1.0" encoding="utf-8"?>
<worksheet xmlns="http://schemas.openxmlformats.org/spreadsheetml/2006/main">
  <sheetPr filterMode="0">
    <tabColor rgb="FF1ABC9C"/>
    <outlinePr summaryBelow="1" summaryRight="1"/>
    <pageSetUpPr fitToPage="0"/>
  </sheetPr>
  <dimension ref="A1:E32"/>
  <sheetViews>
    <sheetView showFormulas="0" showGridLines="0" showRowColHeaders="1" showZeros="1" rightToLeft="0" tabSelected="0" showOutlineSymbols="1" defaultGridColor="1" view="normal" topLeftCell="A3" colorId="64" zoomScale="100" zoomScaleNormal="100" zoomScalePageLayoutView="100" workbookViewId="0">
      <selection pane="topLeft" activeCell="A1" activeCellId="0" sqref="A1"/>
    </sheetView>
  </sheetViews>
  <sheetFormatPr baseColWidth="8" defaultColWidth="8.71484375" defaultRowHeight="15" zeroHeight="0" outlineLevelRow="0"/>
  <cols>
    <col width="3" customWidth="1" style="340" min="1" max="1"/>
    <col width="18" customWidth="1" style="340" min="2" max="2"/>
    <col width="22" customWidth="1" style="340" min="3" max="4"/>
    <col width="3" customWidth="1" style="340" min="5" max="5"/>
  </cols>
  <sheetData>
    <row r="1" ht="9.75" customHeight="1" s="341">
      <c r="A1" s="342" t="n"/>
      <c r="E1" s="342" t="n"/>
    </row>
    <row r="2" ht="36" customHeight="1" s="341">
      <c r="A2" s="343" t="inlineStr">
        <is>
          <t>🏦  SAMICIOUS MICROFINANCE</t>
        </is>
      </c>
    </row>
    <row r="3" ht="19.5" customHeight="1" s="341">
      <c r="A3" s="344" t="inlineStr">
        <is>
          <t>SAMICIOUS MICROFINANCE MANAGEMENT SYSTEM  |  Official Documentation</t>
        </is>
      </c>
    </row>
    <row r="4" ht="3.75" customHeight="1" s="341">
      <c r="A4" s="342" t="n"/>
      <c r="B4" s="355" t="n"/>
      <c r="C4" s="355" t="n"/>
      <c r="D4" s="355" t="n"/>
      <c r="E4" s="342" t="n"/>
    </row>
    <row r="5" ht="43.5" customHeight="1" s="341">
      <c r="A5" s="346" t="inlineStr">
        <is>
          <t>ACKNOWLEDGEMENT</t>
        </is>
      </c>
    </row>
    <row r="6" ht="3.75" customHeight="1" s="341">
      <c r="A6" s="342" t="n"/>
      <c r="B6" s="345" t="n"/>
      <c r="C6" s="345" t="n"/>
      <c r="D6" s="345" t="n"/>
      <c r="E6" s="342" t="n"/>
    </row>
    <row r="7" ht="13.5" customHeight="1" s="341">
      <c r="A7" s="342" t="n"/>
      <c r="E7" s="342" t="n"/>
    </row>
    <row r="8" ht="43.5" customHeight="1" s="341">
      <c r="A8" s="342" t="n"/>
      <c r="B8" s="356" t="inlineStr">
        <is>
          <t>I give all glory to the Almighty God for His grace, strength, and wisdom that have guided me throughout this journey. Without His divine support, this achievement would not have been possible.</t>
        </is>
      </c>
      <c r="E8" s="342" t="n"/>
    </row>
    <row r="9" ht="9.75" customHeight="1" s="341">
      <c r="A9" s="342" t="n"/>
      <c r="E9" s="342" t="n"/>
    </row>
    <row r="10" ht="43.5" customHeight="1" s="341">
      <c r="A10" s="342" t="n"/>
      <c r="B10" s="356" t="inlineStr">
        <is>
          <t>I sincerely appreciate Dr. Gabriel Annan, Lecturer at the University of Cape Coast (UCC), for his mentorship, guidance, and commitment to excellence in the field of Information Technology.</t>
        </is>
      </c>
      <c r="E10" s="342" t="n"/>
    </row>
    <row r="11" ht="9.75" customHeight="1" s="341">
      <c r="A11" s="342" t="n"/>
      <c r="E11" s="342" t="n"/>
    </row>
    <row r="12" ht="43.5" customHeight="1" s="341">
      <c r="A12" s="342" t="n"/>
      <c r="B12" s="356" t="inlineStr">
        <is>
          <t>I am deeply grateful to Rev. Ebenezer Asibu Dadzie for his spiritual guidance, encouragement, and prayers, which strengthened me during challenging moments.</t>
        </is>
      </c>
      <c r="E12" s="342" t="n"/>
    </row>
    <row r="13" ht="9.75" customHeight="1" s="341">
      <c r="A13" s="342" t="n"/>
      <c r="E13" s="342" t="n"/>
    </row>
    <row r="14" ht="43.5" customHeight="1" s="341">
      <c r="A14" s="342" t="n"/>
      <c r="B14" s="356" t="inlineStr">
        <is>
          <t>Special thanks to Mr. Addu Gyamfi, CEO of Samicious Microfinance, for his trust and confidence in my ability to serve as his IT software developer.</t>
        </is>
      </c>
      <c r="E14" s="342" t="n"/>
    </row>
    <row r="15" ht="9.75" customHeight="1" s="341">
      <c r="A15" s="342" t="n"/>
      <c r="E15" s="342" t="n"/>
    </row>
    <row r="16" ht="43.5" customHeight="1" s="341">
      <c r="A16" s="342" t="n"/>
      <c r="B16" s="356" t="inlineStr">
        <is>
          <t>To my beloved wife and children, your patience, sacrifices, and unwavering support have been invaluable. Your love continues to inspire and sustain me.</t>
        </is>
      </c>
      <c r="E16" s="342" t="n"/>
    </row>
    <row r="17" ht="9.75" customHeight="1" s="341">
      <c r="A17" s="342" t="n"/>
      <c r="E17" s="342" t="n"/>
    </row>
    <row r="18" ht="43.5" customHeight="1" s="341">
      <c r="A18" s="342" t="n"/>
      <c r="B18" s="357" t="inlineStr">
        <is>
          <t>Through your collective support, this vision has been successfully realized.</t>
        </is>
      </c>
      <c r="E18" s="342" t="n"/>
    </row>
    <row r="19" ht="15.75" customHeight="1" s="341">
      <c r="A19" s="342" t="n"/>
      <c r="E19" s="342" t="n"/>
    </row>
    <row r="20" ht="3.75" customHeight="1" s="341">
      <c r="A20" s="342" t="n"/>
      <c r="B20" s="350" t="n"/>
      <c r="C20" s="350" t="n"/>
      <c r="D20" s="350" t="n"/>
      <c r="E20" s="342" t="n"/>
    </row>
    <row r="21" ht="9.75" customHeight="1" s="341">
      <c r="A21" s="342" t="n"/>
      <c r="E21" s="342" t="n"/>
    </row>
    <row r="22" ht="30" customHeight="1" s="341">
      <c r="A22" s="358" t="inlineStr">
        <is>
          <t>📖  BIBLICAL SUPPORT</t>
        </is>
      </c>
    </row>
    <row r="23" ht="7.5" customHeight="1" s="341">
      <c r="A23" s="342" t="n"/>
      <c r="E23" s="342" t="n"/>
    </row>
    <row r="24" ht="39.75" customHeight="1" s="341">
      <c r="A24" s="342" t="n"/>
      <c r="B24" s="359" t="inlineStr">
        <is>
          <t>"I can do all things through Christ who strengthens me."</t>
        </is>
      </c>
      <c r="E24" s="342" t="n"/>
    </row>
    <row r="25" ht="6" customHeight="1" s="341">
      <c r="A25" s="342" t="n"/>
      <c r="E25" s="342" t="n"/>
    </row>
    <row r="26" ht="24" customHeight="1" s="341">
      <c r="A26" s="342" t="n"/>
      <c r="B26" s="360" t="inlineStr">
        <is>
          <t>— Philippians 4:13</t>
        </is>
      </c>
      <c r="E26" s="342" t="n"/>
    </row>
    <row r="27" ht="12" customHeight="1" s="341">
      <c r="A27" s="342" t="n"/>
      <c r="E27" s="342" t="n"/>
    </row>
    <row r="28" ht="36" customHeight="1" s="341">
      <c r="A28" s="361" t="inlineStr">
        <is>
          <t>A  M  E  N</t>
        </is>
      </c>
    </row>
    <row r="29" ht="3.75" customHeight="1" s="341">
      <c r="A29" s="342" t="n"/>
      <c r="B29" s="345" t="n"/>
      <c r="C29" s="345" t="n"/>
      <c r="D29" s="345" t="n"/>
      <c r="E29" s="342" t="n"/>
    </row>
    <row r="30" ht="6" customHeight="1" s="341">
      <c r="A30" s="342" t="n"/>
      <c r="E30" s="342" t="n"/>
    </row>
    <row r="31" ht="19.5" customHeight="1" s="341">
      <c r="A31" s="354" t="inlineStr">
        <is>
          <t>© Samicious Microfinance Management System — Developed by Frank Abban, IT Consultant</t>
        </is>
      </c>
    </row>
    <row r="32" ht="15" customHeight="1" s="341">
      <c r="A32" s="342" t="n"/>
      <c r="E32" s="342" t="n"/>
    </row>
  </sheetData>
  <mergeCells count="14">
    <mergeCell ref="B10:D10"/>
    <mergeCell ref="B14:D14"/>
    <mergeCell ref="A2:E2"/>
    <mergeCell ref="A28:E28"/>
    <mergeCell ref="B8:D8"/>
    <mergeCell ref="B26:D26"/>
    <mergeCell ref="B18:D18"/>
    <mergeCell ref="A5:E5"/>
    <mergeCell ref="A31:E31"/>
    <mergeCell ref="B12:D12"/>
    <mergeCell ref="A22:E22"/>
    <mergeCell ref="B24:D24"/>
    <mergeCell ref="B16:D16"/>
    <mergeCell ref="A3:E3"/>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xml><?xml version="1.0" encoding="utf-8"?>
<worksheet xmlns="http://schemas.openxmlformats.org/spreadsheetml/2006/main">
  <sheetPr filterMode="0">
    <tabColor rgb="FFF6AE2D"/>
    <outlinePr summaryBelow="1" summaryRight="1"/>
    <pageSetUpPr fitToPage="0"/>
  </sheetPr>
  <dimension ref="A1:M44"/>
  <sheetViews>
    <sheetView showFormulas="0" showGridLines="1" showRowColHeaders="1" showZeros="1" rightToLeft="0" tabSelected="0" showOutlineSymbols="1" defaultGridColor="1" view="normal" topLeftCell="A1" colorId="64" zoomScale="100" zoomScaleNormal="100" zoomScalePageLayoutView="100" workbookViewId="0">
      <pane xSplit="0" ySplit="7" topLeftCell="A8" activePane="bottomLeft" state="frozen"/>
      <selection pane="topLeft" activeCell="A1" activeCellId="0" sqref="A1"/>
      <selection pane="bottomLeft" activeCell="B32" activeCellId="0" sqref="B32"/>
    </sheetView>
  </sheetViews>
  <sheetFormatPr baseColWidth="8" defaultColWidth="8.71484375" defaultRowHeight="15" zeroHeight="0" outlineLevelRow="0"/>
  <cols>
    <col width="13" customWidth="1" style="340" min="1" max="1"/>
    <col width="15" customWidth="1" style="340" min="2" max="2"/>
    <col width="18" customWidth="1" style="340" min="3" max="3"/>
    <col width="14" customWidth="1" style="340" min="4" max="4"/>
    <col width="13" customWidth="1" style="340" min="5" max="5"/>
    <col width="12" customWidth="1" style="340" min="6" max="7"/>
    <col width="14" customWidth="1" style="340" min="8" max="8"/>
    <col width="12" customWidth="1" style="340" min="9" max="9"/>
    <col width="10" customWidth="1" style="340" min="10" max="13"/>
  </cols>
  <sheetData>
    <row r="1" ht="45" customHeight="1" s="341">
      <c r="A1" s="362" t="inlineStr">
        <is>
          <t>🏦  SAMICIOUS MICROFINANCE — MANAGER COMMAND CENTER</t>
        </is>
      </c>
    </row>
    <row r="2" ht="21.75" customHeight="1" s="341">
      <c r="A2" s="363">
        <f>UPPER(TEXT(TODAY(),"DDDD, DD MMMM YYYY"))&amp;"  |  Live data from centralized DB — All 10 agents unified"</f>
        <v/>
      </c>
    </row>
    <row r="3" ht="7.5" customHeight="1" s="341"/>
    <row r="4" ht="19.5" customHeight="1" s="341">
      <c r="A4" s="364" t="inlineStr">
        <is>
          <t>💰 Today Savings</t>
        </is>
      </c>
      <c r="C4" s="365" t="inlineStr">
        <is>
          <t>🏧 Today Withdrawals</t>
        </is>
      </c>
      <c r="E4" s="366" t="inlineStr">
        <is>
          <t>📈 Net Today</t>
        </is>
      </c>
      <c r="G4" s="367" t="inlineStr">
        <is>
          <t>👥 Active Customers</t>
        </is>
      </c>
      <c r="I4" s="368" t="inlineStr">
        <is>
          <t>🔔 Pending Loans</t>
        </is>
      </c>
      <c r="K4" s="369" t="inlineStr">
        <is>
          <t>🏦 Loan Portfolio</t>
        </is>
      </c>
    </row>
    <row r="5" ht="31.5" customHeight="1" s="341">
      <c r="A5" s="370">
        <f>Daily_Balancing!B14</f>
        <v/>
      </c>
      <c r="C5" s="371">
        <f>Daily_Balancing!C14</f>
        <v/>
      </c>
      <c r="E5" s="372">
        <f>Daily_Balancing!D14</f>
        <v/>
      </c>
      <c r="G5" s="373">
        <f>COUNTIF(DB_Customers!K2:K500,"Active")</f>
        <v/>
      </c>
      <c r="I5" s="374">
        <f>COUNTIF(DB_Loans!K2:K500,"Pending")</f>
        <v/>
      </c>
      <c r="K5" s="375">
        <f>SUMIF(DB_Loans!K2:K500,"Approved",DB_Loans!E2:E500)</f>
        <v/>
      </c>
    </row>
    <row r="6" ht="7.5" customHeight="1" s="341"/>
    <row r="7" ht="21.75" customHeight="1" s="341">
      <c r="A7" s="376" t="inlineStr">
        <is>
          <t>📊  REAL-TIME AGENT PERFORMANCE — Linked to Centralized DB</t>
        </is>
      </c>
    </row>
    <row r="8" ht="19.5" customHeight="1" s="341">
      <c r="A8" s="377" t="inlineStr">
        <is>
          <t>Agent</t>
        </is>
      </c>
      <c r="B8" s="377" t="inlineStr">
        <is>
          <t>Today Savings</t>
        </is>
      </c>
      <c r="C8" s="377" t="inlineStr">
        <is>
          <t>Today Withdrawals</t>
        </is>
      </c>
      <c r="D8" s="377" t="inlineStr">
        <is>
          <t>Net</t>
        </is>
      </c>
      <c r="E8" s="377" t="inlineStr">
        <is>
          <t>Transactions</t>
        </is>
      </c>
      <c r="F8" s="377" t="inlineStr">
        <is>
          <t>Target</t>
        </is>
      </c>
      <c r="G8" s="377" t="inlineStr">
        <is>
          <t>% of Target</t>
        </is>
      </c>
      <c r="H8" s="377" t="inlineStr">
        <is>
          <t>MTD Savings</t>
        </is>
      </c>
      <c r="I8" s="377" t="inlineStr">
        <is>
          <t>Active Cust.</t>
        </is>
      </c>
    </row>
    <row r="9" ht="15" customHeight="1" s="341">
      <c r="A9" s="378" t="inlineStr">
        <is>
          <t>Agent 01</t>
        </is>
      </c>
      <c r="B9" s="379">
        <f>Daily_Balancing!B4</f>
        <v/>
      </c>
      <c r="C9" s="379">
        <f>Daily_Balancing!C4</f>
        <v/>
      </c>
      <c r="D9" s="379">
        <f>B9-C9</f>
        <v/>
      </c>
      <c r="E9" s="380">
        <f>Daily_Balancing!E4</f>
        <v/>
      </c>
      <c r="F9" s="379" t="n">
        <v>5000</v>
      </c>
      <c r="G9" s="381">
        <f>IFERROR(B9/F9,0)</f>
        <v/>
      </c>
      <c r="H9" s="379">
        <f>SUMIF(DB_Savings!$G:$G,"Agent 01",DB_Savings!$F:$F)</f>
        <v/>
      </c>
      <c r="I9" s="380">
        <f>COUNTIF(DB_Customers!$H:$H,"Agent 01")</f>
        <v/>
      </c>
    </row>
    <row r="10" ht="15" customHeight="1" s="341">
      <c r="A10" s="382" t="inlineStr">
        <is>
          <t>Agent 02</t>
        </is>
      </c>
      <c r="B10" s="383">
        <f>Daily_Balancing!B5</f>
        <v/>
      </c>
      <c r="C10" s="383">
        <f>Daily_Balancing!C5</f>
        <v/>
      </c>
      <c r="D10" s="383">
        <f>B10-C10</f>
        <v/>
      </c>
      <c r="E10" s="384">
        <f>Daily_Balancing!E5</f>
        <v/>
      </c>
      <c r="F10" s="383" t="n">
        <v>5000</v>
      </c>
      <c r="G10" s="385">
        <f>IFERROR(B10/F10,0)</f>
        <v/>
      </c>
      <c r="H10" s="383">
        <f>SUMIF(DB_Savings!$G:$G,"Agent 02",DB_Savings!$F:$F)</f>
        <v/>
      </c>
      <c r="I10" s="384">
        <f>COUNTIF(DB_Customers!$H:$H,"Agent 02")</f>
        <v/>
      </c>
    </row>
    <row r="11" ht="15" customHeight="1" s="341">
      <c r="A11" s="378" t="inlineStr">
        <is>
          <t>Agent 03</t>
        </is>
      </c>
      <c r="B11" s="379">
        <f>Daily_Balancing!B6</f>
        <v/>
      </c>
      <c r="C11" s="379">
        <f>Daily_Balancing!C6</f>
        <v/>
      </c>
      <c r="D11" s="379">
        <f>B11-C11</f>
        <v/>
      </c>
      <c r="E11" s="380">
        <f>Daily_Balancing!E6</f>
        <v/>
      </c>
      <c r="F11" s="379" t="n">
        <v>5000</v>
      </c>
      <c r="G11" s="381">
        <f>IFERROR(B11/F11,0)</f>
        <v/>
      </c>
      <c r="H11" s="379">
        <f>SUMIF(DB_Savings!$G:$G,"Agent 03",DB_Savings!$F:$F)</f>
        <v/>
      </c>
      <c r="I11" s="380">
        <f>COUNTIF(DB_Customers!$H:$H,"Agent 03")</f>
        <v/>
      </c>
    </row>
    <row r="12" ht="15" customHeight="1" s="341">
      <c r="A12" s="382" t="inlineStr">
        <is>
          <t>Agent 04</t>
        </is>
      </c>
      <c r="B12" s="383">
        <f>Daily_Balancing!B7</f>
        <v/>
      </c>
      <c r="C12" s="383">
        <f>Daily_Balancing!C7</f>
        <v/>
      </c>
      <c r="D12" s="383">
        <f>B12-C12</f>
        <v/>
      </c>
      <c r="E12" s="384">
        <f>Daily_Balancing!E7</f>
        <v/>
      </c>
      <c r="F12" s="383" t="n">
        <v>5000</v>
      </c>
      <c r="G12" s="385">
        <f>IFERROR(B12/F12,0)</f>
        <v/>
      </c>
      <c r="H12" s="383">
        <f>SUMIF(DB_Savings!$G:$G,"Agent 04",DB_Savings!$F:$F)</f>
        <v/>
      </c>
      <c r="I12" s="384">
        <f>COUNTIF(DB_Customers!$H:$H,"Agent 04")</f>
        <v/>
      </c>
    </row>
    <row r="13" ht="15" customHeight="1" s="341">
      <c r="A13" s="378" t="inlineStr">
        <is>
          <t>Agent 05</t>
        </is>
      </c>
      <c r="B13" s="379">
        <f>Daily_Balancing!B8</f>
        <v/>
      </c>
      <c r="C13" s="379">
        <f>Daily_Balancing!C8</f>
        <v/>
      </c>
      <c r="D13" s="379">
        <f>B13-C13</f>
        <v/>
      </c>
      <c r="E13" s="380">
        <f>Daily_Balancing!E8</f>
        <v/>
      </c>
      <c r="F13" s="379" t="n">
        <v>5000</v>
      </c>
      <c r="G13" s="381">
        <f>IFERROR(B13/F13,0)</f>
        <v/>
      </c>
      <c r="H13" s="379">
        <f>SUMIF(DB_Savings!$G:$G,"Agent 05",DB_Savings!$F:$F)</f>
        <v/>
      </c>
      <c r="I13" s="380">
        <f>COUNTIF(DB_Customers!$H:$H,"Agent 05")</f>
        <v/>
      </c>
    </row>
    <row r="14" ht="15" customHeight="1" s="341">
      <c r="A14" s="382" t="inlineStr">
        <is>
          <t>Agent 06</t>
        </is>
      </c>
      <c r="B14" s="383">
        <f>Daily_Balancing!B9</f>
        <v/>
      </c>
      <c r="C14" s="383">
        <f>Daily_Balancing!C9</f>
        <v/>
      </c>
      <c r="D14" s="383">
        <f>B14-C14</f>
        <v/>
      </c>
      <c r="E14" s="384">
        <f>Daily_Balancing!E9</f>
        <v/>
      </c>
      <c r="F14" s="383" t="n">
        <v>5000</v>
      </c>
      <c r="G14" s="385">
        <f>IFERROR(B14/F14,0)</f>
        <v/>
      </c>
      <c r="H14" s="383">
        <f>SUMIF(DB_Savings!$G:$G,"Agent 06",DB_Savings!$F:$F)</f>
        <v/>
      </c>
      <c r="I14" s="384">
        <f>COUNTIF(DB_Customers!$H:$H,"Agent 06")</f>
        <v/>
      </c>
    </row>
    <row r="15" ht="15" customHeight="1" s="341">
      <c r="A15" s="378" t="inlineStr">
        <is>
          <t>Agent 07</t>
        </is>
      </c>
      <c r="B15" s="379">
        <f>Daily_Balancing!B10</f>
        <v/>
      </c>
      <c r="C15" s="379">
        <f>Daily_Balancing!C10</f>
        <v/>
      </c>
      <c r="D15" s="379">
        <f>B15-C15</f>
        <v/>
      </c>
      <c r="E15" s="380">
        <f>Daily_Balancing!E10</f>
        <v/>
      </c>
      <c r="F15" s="379" t="n">
        <v>5000</v>
      </c>
      <c r="G15" s="381">
        <f>IFERROR(B15/F15,0)</f>
        <v/>
      </c>
      <c r="H15" s="379">
        <f>SUMIF(DB_Savings!$G:$G,"Agent 07",DB_Savings!$F:$F)</f>
        <v/>
      </c>
      <c r="I15" s="380">
        <f>COUNTIF(DB_Customers!$H:$H,"Agent 07")</f>
        <v/>
      </c>
    </row>
    <row r="16" ht="15" customHeight="1" s="341">
      <c r="A16" s="382" t="inlineStr">
        <is>
          <t>Agent 08</t>
        </is>
      </c>
      <c r="B16" s="383">
        <f>Daily_Balancing!B11</f>
        <v/>
      </c>
      <c r="C16" s="383">
        <f>Daily_Balancing!C11</f>
        <v/>
      </c>
      <c r="D16" s="383">
        <f>B16-C16</f>
        <v/>
      </c>
      <c r="E16" s="384">
        <f>Daily_Balancing!E11</f>
        <v/>
      </c>
      <c r="F16" s="383" t="n">
        <v>5000</v>
      </c>
      <c r="G16" s="385">
        <f>IFERROR(B16/F16,0)</f>
        <v/>
      </c>
      <c r="H16" s="383">
        <f>SUMIF(DB_Savings!$G:$G,"Agent 08",DB_Savings!$F:$F)</f>
        <v/>
      </c>
      <c r="I16" s="384">
        <f>COUNTIF(DB_Customers!$H:$H,"Agent 08")</f>
        <v/>
      </c>
    </row>
    <row r="17" ht="15" customHeight="1" s="341">
      <c r="A17" s="378" t="inlineStr">
        <is>
          <t>Agent 09</t>
        </is>
      </c>
      <c r="B17" s="379">
        <f>Daily_Balancing!B12</f>
        <v/>
      </c>
      <c r="C17" s="379">
        <f>Daily_Balancing!C12</f>
        <v/>
      </c>
      <c r="D17" s="379">
        <f>B17-C17</f>
        <v/>
      </c>
      <c r="E17" s="380">
        <f>Daily_Balancing!E12</f>
        <v/>
      </c>
      <c r="F17" s="379" t="n">
        <v>5000</v>
      </c>
      <c r="G17" s="381">
        <f>IFERROR(B17/F17,0)</f>
        <v/>
      </c>
      <c r="H17" s="379">
        <f>SUMIF(DB_Savings!$G:$G,"Agent 09",DB_Savings!$F:$F)</f>
        <v/>
      </c>
      <c r="I17" s="380">
        <f>COUNTIF(DB_Customers!$H:$H,"Agent 09")</f>
        <v/>
      </c>
    </row>
    <row r="18" ht="15" customHeight="1" s="341">
      <c r="A18" s="382" t="inlineStr">
        <is>
          <t>Agent 10</t>
        </is>
      </c>
      <c r="B18" s="383">
        <f>Daily_Balancing!B13</f>
        <v/>
      </c>
      <c r="C18" s="383">
        <f>Daily_Balancing!C13</f>
        <v/>
      </c>
      <c r="D18" s="383">
        <f>B18-C18</f>
        <v/>
      </c>
      <c r="E18" s="384">
        <f>Daily_Balancing!E13</f>
        <v/>
      </c>
      <c r="F18" s="383" t="n">
        <v>5000</v>
      </c>
      <c r="G18" s="385">
        <f>IFERROR(B18/F18,0)</f>
        <v/>
      </c>
      <c r="H18" s="383">
        <f>SUMIF(DB_Savings!$G:$G,"Agent 10",DB_Savings!$F:$F)</f>
        <v/>
      </c>
      <c r="I18" s="384">
        <f>COUNTIF(DB_Customers!$H:$H,"Agent 10")</f>
        <v/>
      </c>
    </row>
    <row r="19" ht="15" customHeight="1" s="341">
      <c r="A19" s="386" t="inlineStr">
        <is>
          <t>TOTALS</t>
        </is>
      </c>
      <c r="B19" s="387">
        <f>SUM(B9:B18)</f>
        <v/>
      </c>
      <c r="C19" s="387">
        <f>SUM(C9:C18)</f>
        <v/>
      </c>
      <c r="D19" s="387">
        <f>SUM(D9:D18)</f>
        <v/>
      </c>
      <c r="E19" s="387">
        <f>SUM(E9:E18)</f>
        <v/>
      </c>
      <c r="F19" s="387">
        <f>SUM(F9:F18)</f>
        <v/>
      </c>
      <c r="G19" s="388">
        <f>IFERROR(B19/F19,0)</f>
        <v/>
      </c>
      <c r="H19" s="387">
        <f>SUM(H9:H18)</f>
        <v/>
      </c>
      <c r="I19" s="386">
        <f>SUM(I9:I18)</f>
        <v/>
      </c>
    </row>
    <row r="20" ht="7.5" customHeight="1" s="341"/>
    <row r="21" ht="21.75" customHeight="1" s="341">
      <c r="A21" s="389" t="inlineStr">
        <is>
          <t>📋  CUSTOMER &amp; LOAN SUMMARY</t>
        </is>
      </c>
      <c r="G21" s="390" t="inlineStr">
        <is>
          <t>🔗  NAVIGATION GUIDE
• Account_Opening → Create new customers
• Agent01-10_Savings → Record savings
• Agent01-10_Withdrawals → Process withdrawals
• Agent01-10_Loans → Submit loan requests
• DB_Customers → Master customer database
• DB_Savings / DB_Withdrawals / DB_Loans → Central records
• Daily/Weekly/Monthly_Balancing → Reports</t>
        </is>
      </c>
      <c r="H21" s="391" t="n"/>
      <c r="I21" s="391" t="n"/>
      <c r="J21" s="391" t="n"/>
      <c r="K21" s="391" t="n"/>
      <c r="L21" s="391" t="n"/>
      <c r="M21" s="391" t="n"/>
    </row>
    <row r="22" ht="21.75" customHeight="1" s="341">
      <c r="A22" s="392" t="inlineStr">
        <is>
          <t>Total Customers</t>
        </is>
      </c>
      <c r="B22" s="393" t="n"/>
      <c r="C22" s="393" t="n"/>
      <c r="D22" s="394">
        <f>COUNTA(DB_Customers!A2:A500)</f>
        <v/>
      </c>
      <c r="E22" s="393" t="n"/>
      <c r="F22" s="393" t="n"/>
      <c r="G22" s="395" t="n"/>
    </row>
    <row r="23" ht="21.75" customHeight="1" s="341">
      <c r="A23" s="392" t="inlineStr">
        <is>
          <t>Total Savings Portfolio</t>
        </is>
      </c>
      <c r="B23" s="393" t="n"/>
      <c r="C23" s="393" t="n"/>
      <c r="D23" s="396">
        <f>SUM(DB_Customers!L2:L500)</f>
        <v/>
      </c>
      <c r="E23" s="393" t="n"/>
      <c r="F23" s="393" t="n"/>
      <c r="G23" s="395" t="n"/>
    </row>
    <row r="24" ht="21.75" customHeight="1" s="341">
      <c r="A24" s="392" t="inlineStr">
        <is>
          <t>Total Withdrawals</t>
        </is>
      </c>
      <c r="B24" s="393" t="n"/>
      <c r="C24" s="393" t="n"/>
      <c r="D24" s="396">
        <f>SUM(DB_Customers!M2:M500)</f>
        <v/>
      </c>
      <c r="E24" s="393" t="n"/>
      <c r="F24" s="393" t="n"/>
      <c r="G24" s="395" t="n"/>
    </row>
    <row r="25" ht="21.75" customHeight="1" s="341">
      <c r="A25" s="392" t="inlineStr">
        <is>
          <t>Pending KYC</t>
        </is>
      </c>
      <c r="B25" s="393" t="n"/>
      <c r="C25" s="393" t="n"/>
      <c r="D25" s="394">
        <f>COUNTIF(DB_Customers!K2:K500,"Pending")</f>
        <v/>
      </c>
      <c r="E25" s="393" t="n"/>
      <c r="F25" s="393" t="n"/>
      <c r="G25" s="395" t="n"/>
    </row>
    <row r="26" ht="21.75" customHeight="1" s="341">
      <c r="A26" s="392" t="inlineStr">
        <is>
          <t>Pending Loan Requests</t>
        </is>
      </c>
      <c r="B26" s="393" t="n"/>
      <c r="C26" s="393" t="n"/>
      <c r="D26" s="394">
        <f>COUNTIF(DB_Loans!K2:K500,"Pending")</f>
        <v/>
      </c>
      <c r="E26" s="393" t="n"/>
      <c r="F26" s="393" t="n"/>
      <c r="G26" s="395" t="n"/>
    </row>
    <row r="27" ht="21.75" customHeight="1" s="341">
      <c r="A27" s="392" t="inlineStr">
        <is>
          <t>Approved Loans</t>
        </is>
      </c>
      <c r="B27" s="393" t="n"/>
      <c r="C27" s="393" t="n"/>
      <c r="D27" s="394">
        <f>COUNTIF(DB_Loans!K2:K500,"Approved")</f>
        <v/>
      </c>
      <c r="E27" s="393" t="n"/>
      <c r="F27" s="393" t="n"/>
      <c r="G27" s="395" t="n"/>
    </row>
    <row r="29" ht="18" customHeight="1" s="341">
      <c r="A29" s="397" t="inlineStr">
        <is>
          <t>🆕 V5 SYSTEM UPGRADES ACTIVE</t>
        </is>
      </c>
    </row>
    <row r="30" ht="15" customHeight="1" s="341">
      <c r="A30" s="398" t="inlineStr">
        <is>
          <t>✅</t>
        </is>
      </c>
      <c r="B30" s="399" t="inlineStr">
        <is>
          <t>Minimum Balance GHC 10 enforced on ALL withdrawals — non-withdrawable reserve</t>
        </is>
      </c>
    </row>
    <row r="31" ht="15" customHeight="1" s="341">
      <c r="A31" s="398" t="inlineStr">
        <is>
          <t>✅</t>
        </is>
      </c>
      <c r="B31" s="399" t="inlineStr">
        <is>
          <t>Account opening requires minimum GHC 10 opening deposit</t>
        </is>
      </c>
    </row>
    <row r="32" ht="15" customHeight="1" s="341">
      <c r="A32" s="398" t="inlineStr">
        <is>
          <t>✅</t>
        </is>
      </c>
      <c r="B32" s="399" t="inlineStr">
        <is>
          <t>Account Opening: DOB, Phone, Location, Next of Kin, ID Card Number fields added</t>
        </is>
      </c>
    </row>
    <row r="33" ht="15" customHeight="1" s="341">
      <c r="A33" s="398" t="inlineStr">
        <is>
          <t>✅</t>
        </is>
      </c>
      <c r="B33" s="399" t="inlineStr">
        <is>
          <t>New account format: AGNT####-YYYYMMDD-XXXX with unique 4-digit agent codes</t>
        </is>
      </c>
    </row>
    <row r="34" ht="15" customHeight="1" s="341">
      <c r="A34" s="398" t="inlineStr">
        <is>
          <t>✅</t>
        </is>
      </c>
      <c r="B34" s="399" t="inlineStr">
        <is>
          <t>Loan Calculator: Interest Rate displays as % format (fixed from GHC)</t>
        </is>
      </c>
    </row>
    <row r="35" ht="15" customHeight="1" s="341">
      <c r="A35" s="398" t="inlineStr">
        <is>
          <t>✅</t>
        </is>
      </c>
      <c r="B35" s="399" t="inlineStr">
        <is>
          <t>Agent Security System: All transactions require agent to enter their unique 4-digit code</t>
        </is>
      </c>
    </row>
    <row r="36" ht="15" customHeight="1" s="341">
      <c r="A36" s="398" t="inlineStr">
        <is>
          <t>✅</t>
        </is>
      </c>
      <c r="B36" s="399" t="inlineStr">
        <is>
          <t>Agent Code Validation: Name + Code match required before any transaction is recorded</t>
        </is>
      </c>
    </row>
    <row r="37" ht="15" customHeight="1" s="341">
      <c r="A37" s="398" t="inlineStr">
        <is>
          <t>✅</t>
        </is>
      </c>
      <c r="B37" s="399" t="inlineStr">
        <is>
          <t>Blocked transactions show 🔒 BLOCKED — Wrong Code in Status column</t>
        </is>
      </c>
    </row>
    <row r="38" ht="15" customHeight="1" s="341">
      <c r="A38" s="398" t="inlineStr">
        <is>
          <t>✅</t>
        </is>
      </c>
      <c r="B38" s="399" t="inlineStr">
        <is>
          <t>ID Card Number field: conditionally required when ID Type is selected (min 6 chars)</t>
        </is>
      </c>
    </row>
    <row r="39" ht="15" customHeight="1" s="341">
      <c r="A39" s="398" t="inlineStr">
        <is>
          <t>✅</t>
        </is>
      </c>
      <c r="B39" s="399" t="inlineStr">
        <is>
          <t>DB_Agents: Working_Area column added for multi-layer agent validation</t>
        </is>
      </c>
    </row>
    <row r="40" ht="15" customHeight="1" s="341">
      <c r="A40" s="398" t="inlineStr">
        <is>
          <t>✅</t>
        </is>
      </c>
      <c r="B40" s="399" t="inlineStr">
        <is>
          <t>System is formula-driven — no macro dependency for core validation logic</t>
        </is>
      </c>
    </row>
    <row r="42" ht="21.75" customHeight="1" s="341">
      <c r="A42" s="400" t="inlineStr">
        <is>
          <t>🤖  AI INTELLIGENCE SUMMARY — Live Engine | See AI_Intelligence tab for full analysis</t>
        </is>
      </c>
    </row>
    <row r="43" ht="18" customHeight="1" s="341">
      <c r="A43" s="401" t="inlineStr">
        <is>
          <t>Portfolio (GHC)</t>
        </is>
      </c>
      <c r="D43" s="402" t="inlineStr">
        <is>
          <t>Monthly Growth</t>
        </is>
      </c>
      <c r="G43" s="403" t="inlineStr">
        <is>
          <t>Risk Score</t>
        </is>
      </c>
      <c r="J43" s="404" t="inlineStr">
        <is>
          <t>Pending Alerts</t>
        </is>
      </c>
    </row>
    <row r="44" ht="24.75" customHeight="1" s="341">
      <c r="A44" s="405">
        <f>AI_Intelligence!B5</f>
        <v/>
      </c>
      <c r="D44" s="406">
        <f>AI_Intelligence!D5</f>
        <v/>
      </c>
      <c r="G44" s="407">
        <f>AI_Intelligence!F5</f>
        <v/>
      </c>
      <c r="J44" s="408">
        <f>COUNTIF(AI_Intelligence!C31:C36,"⚠️*")+COUNTIF(AI_Intelligence!C31:C36,"🚨*")</f>
        <v/>
      </c>
    </row>
  </sheetData>
  <mergeCells count="40">
    <mergeCell ref="A25:C25"/>
    <mergeCell ref="D27:F27"/>
    <mergeCell ref="C5:D5"/>
    <mergeCell ref="E5:F5"/>
    <mergeCell ref="A27:C27"/>
    <mergeCell ref="A29:M29"/>
    <mergeCell ref="A21:F21"/>
    <mergeCell ref="A26:C26"/>
    <mergeCell ref="C4:D4"/>
    <mergeCell ref="B38:M38"/>
    <mergeCell ref="E4:F4"/>
    <mergeCell ref="B34:M34"/>
    <mergeCell ref="A23:C23"/>
    <mergeCell ref="B37:M37"/>
    <mergeCell ref="A22:C22"/>
    <mergeCell ref="D25:F25"/>
    <mergeCell ref="B30:M30"/>
    <mergeCell ref="D24:F24"/>
    <mergeCell ref="B33:M33"/>
    <mergeCell ref="A1:M1"/>
    <mergeCell ref="D23:F23"/>
    <mergeCell ref="K4:M4"/>
    <mergeCell ref="A5:B5"/>
    <mergeCell ref="G5:H5"/>
    <mergeCell ref="B36:M36"/>
    <mergeCell ref="G21:M27"/>
    <mergeCell ref="I5:J5"/>
    <mergeCell ref="D26:F26"/>
    <mergeCell ref="B32:M32"/>
    <mergeCell ref="A7:M7"/>
    <mergeCell ref="B35:M35"/>
    <mergeCell ref="A24:C24"/>
    <mergeCell ref="A4:B4"/>
    <mergeCell ref="G4:H4"/>
    <mergeCell ref="I4:J4"/>
    <mergeCell ref="K5:M5"/>
    <mergeCell ref="B31:M31"/>
    <mergeCell ref="D22:F22"/>
    <mergeCell ref="A2:M2"/>
    <mergeCell ref="A42:M42"/>
  </mergeCells>
  <conditionalFormatting sqref="G9:G18">
    <cfRule type="cellIs" rank="0" priority="2" equalAverage="0" operator="greaterThanOrEqual" aboveAverage="0" dxfId="0" text="" percent="0" bottom="0">
      <formula>1</formula>
    </cfRule>
    <cfRule type="cellIs" rank="0" priority="3" equalAverage="0" operator="lessThan" aboveAverage="0" dxfId="1" text="" percent="0" bottom="0">
      <formula>0.5</formula>
    </cfRule>
  </conditionalFormatting>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xml><?xml version="1.0" encoding="utf-8"?>
<worksheet xmlns="http://schemas.openxmlformats.org/spreadsheetml/2006/main">
  <sheetPr filterMode="0">
    <tabColor rgb="FF1ABC9C"/>
    <outlinePr summaryBelow="1" summaryRight="1"/>
    <pageSetUpPr fitToPage="0"/>
  </sheetPr>
  <dimension ref="A1:E56"/>
  <sheetViews>
    <sheetView showFormulas="0" showGridLines="1" showRowColHeaders="1" showZeros="1" rightToLeft="0" tabSelected="1" showOutlineSymbols="1" defaultGridColor="1" view="normal" topLeftCell="A1" colorId="64" zoomScale="100" zoomScaleNormal="100" zoomScalePageLayoutView="100" workbookViewId="0">
      <selection pane="topLeft" activeCell="C13" activeCellId="0" sqref="C13"/>
    </sheetView>
  </sheetViews>
  <sheetFormatPr baseColWidth="8" defaultColWidth="8.71484375" defaultRowHeight="15" zeroHeight="0" outlineLevelRow="0"/>
  <cols>
    <col width="59" customWidth="1" style="340" min="1" max="1"/>
    <col width="22.71" customWidth="1" style="340" min="2" max="2"/>
    <col width="28" customWidth="1" style="340" min="3" max="3"/>
    <col width="18" customWidth="1" style="340" min="4" max="4"/>
    <col width="20" customWidth="1" style="340" min="5" max="5"/>
  </cols>
  <sheetData>
    <row r="1" ht="39.75" customHeight="1" s="341">
      <c r="A1" s="409" t="inlineStr">
        <is>
          <t>👤  NEW CUSTOMER ACCOUNT OPENING</t>
        </is>
      </c>
    </row>
    <row r="2" ht="19.5" customHeight="1" s="341">
      <c r="A2" s="410" t="inlineStr">
        <is>
          <t>SAMICIOUS MICROFINANCE  |  Fill all required fields (*) → Account Number generates instantly</t>
        </is>
      </c>
    </row>
    <row r="3" ht="18" customHeight="1" s="341">
      <c r="A3" s="411" t="inlineStr">
        <is>
          <t>⚡ Customer Database auto-populates AS YOU TYPE — no save or button required</t>
        </is>
      </c>
    </row>
    <row r="4" ht="7.5" customHeight="1" s="341">
      <c r="A4" s="412" t="n"/>
      <c r="B4" s="412" t="n"/>
      <c r="C4" s="412" t="n"/>
      <c r="D4" s="412" t="n"/>
      <c r="E4" s="412" t="n"/>
    </row>
    <row r="5" ht="25.5" customHeight="1" s="341">
      <c r="A5" s="413" t="inlineStr">
        <is>
          <t>* First Name:</t>
        </is>
      </c>
      <c r="B5" s="412" t="n"/>
      <c r="C5" s="414" t="n"/>
      <c r="D5" s="415" t="n"/>
      <c r="E5" s="415" t="n"/>
    </row>
    <row r="6" ht="25.5" customHeight="1" s="341">
      <c r="A6" s="413" t="inlineStr">
        <is>
          <t>* Last Name:</t>
        </is>
      </c>
      <c r="B6" s="412" t="n"/>
      <c r="C6" s="414" t="n"/>
      <c r="D6" s="415" t="n"/>
      <c r="E6" s="415" t="n"/>
    </row>
    <row r="7" ht="25.5" customHeight="1" s="341">
      <c r="A7" s="413" t="inlineStr">
        <is>
          <t>* Date of Birth:</t>
        </is>
      </c>
      <c r="B7" s="412" t="n"/>
      <c r="C7" s="416" t="n"/>
      <c r="D7" s="415" t="n"/>
      <c r="E7" s="415" t="n"/>
    </row>
    <row r="8" ht="25.5" customHeight="1" s="341">
      <c r="A8" s="413" t="inlineStr">
        <is>
          <t>* Phone Number:</t>
        </is>
      </c>
      <c r="B8" s="412" t="n"/>
      <c r="C8" s="414" t="n"/>
      <c r="D8" s="415" t="n"/>
      <c r="E8" s="415" t="n"/>
    </row>
    <row r="9" ht="25.5" customHeight="1" s="341">
      <c r="A9" s="413" t="inlineStr">
        <is>
          <t>* Location:</t>
        </is>
      </c>
      <c r="B9" s="412" t="n"/>
      <c r="C9" s="414" t="n"/>
      <c r="D9" s="415" t="n"/>
      <c r="E9" s="415" t="n"/>
    </row>
    <row r="10" ht="25.5" customHeight="1" s="341">
      <c r="A10" s="413" t="inlineStr">
        <is>
          <t>* Occupation:</t>
        </is>
      </c>
      <c r="B10" s="412" t="n"/>
      <c r="C10" s="414" t="n"/>
      <c r="D10" s="415" t="n"/>
      <c r="E10" s="415" t="n"/>
    </row>
    <row r="11" ht="25.5" customHeight="1" s="341">
      <c r="A11" s="413" t="inlineStr">
        <is>
          <t>* Assign Agent:</t>
        </is>
      </c>
      <c r="B11" s="412" t="n"/>
      <c r="C11" s="414" t="inlineStr">
        <is>
          <t>Agent 01</t>
        </is>
      </c>
      <c r="D11" s="415" t="n"/>
      <c r="E11" s="415" t="n"/>
    </row>
    <row r="12" ht="25.5" customHeight="1" s="341">
      <c r="A12" s="413" t="inlineStr">
        <is>
          <t>* Opening Balance (GHC):</t>
        </is>
      </c>
      <c r="B12" s="412" t="n"/>
      <c r="C12" s="417" t="n"/>
      <c r="D12" s="418" t="inlineStr">
        <is>
          <t>⚠️  Min. GHC 10.00</t>
        </is>
      </c>
    </row>
    <row r="13" ht="25.5" customHeight="1" s="341">
      <c r="A13" s="419" t="inlineStr">
        <is>
          <t xml:space="preserve">  Next of Kin (Optional):</t>
        </is>
      </c>
      <c r="C13" s="420" t="n"/>
      <c r="D13" s="415" t="n"/>
      <c r="E13" s="415" t="n"/>
    </row>
    <row r="14" ht="25.5" customHeight="1" s="341">
      <c r="A14" s="419" t="inlineStr">
        <is>
          <t xml:space="preserve">  ID Card Type (Optional):</t>
        </is>
      </c>
      <c r="C14" s="420" t="inlineStr">
        <is>
          <t>Ghana Card</t>
        </is>
      </c>
      <c r="D14" s="415" t="n"/>
    </row>
    <row r="15" ht="25.5" customHeight="1" s="341">
      <c r="A15" s="421" t="inlineStr">
        <is>
          <t xml:space="preserve">  ID Card Number:</t>
        </is>
      </c>
      <c r="C15" s="422" t="n"/>
      <c r="D15" s="415" t="n"/>
      <c r="E15" s="415" t="n"/>
    </row>
    <row r="16" ht="25.5" customHeight="1" s="341">
      <c r="A16" s="423" t="inlineStr">
        <is>
          <t>🔢  Account Number:</t>
        </is>
      </c>
      <c r="C16" s="424">
        <f>IF(OR(C5="",C7="",C8=""),"",UPPER(LEFT(TRIM(C5),3))&amp;TEXT(IF(ISNUMBER(C7),YEAR(C7),YEAR(DATEVALUE(TEXT(C7,"DD/MM/YYYY")))),"0000")&amp;RIGHT(TEXT(C8,"0000000000"),4))</f>
        <v/>
      </c>
      <c r="D16" s="425" t="n"/>
      <c r="E16" s="425" t="n"/>
    </row>
    <row r="17" ht="33.75" customHeight="1" s="341">
      <c r="A17" s="412">
        <f>IF(AND(C5&lt;&gt;"",C6&lt;&gt;"",C7&lt;&gt;"",C8&lt;&gt;"",C9&lt;&gt;"",C10&lt;&gt;"",C11&lt;&gt;"",C12&lt;&gt;""),IF(C12&lt;10,"⚠️  Opening Balance must be at least GHC 10.00",IF(AND(C14&lt;&gt;"",LEN(C15)&lt;6),"⚠️  ID Card Number required (min 6 chars) when ID Type selected","✅  All fields complete — Account Number generated above")),"⚠️  Please fill all required fields marked with (*)")</f>
        <v/>
      </c>
    </row>
    <row r="18" ht="6" customHeight="1" s="341">
      <c r="A18" s="426">
        <f>IF(AND(C5&lt;&gt;"",C6&lt;&gt;"",C7&lt;&gt;"",C8&lt;&gt;"",C9&lt;&gt;"",C10&lt;&gt;"",C11&lt;&gt;"",C12&lt;&gt;""),IF(C12&lt;10,"⚠️  Opening Balance must be at least GHC 10.00",IF(AND(C14&lt;&gt;"",LEN(C15)&lt;6),"⚠️  ID Card Number required (min 6 characters) when ID Type is selected","✅  All required fields complete — Ready to generate account")),"⚠️  Please fill all required fields marked with (*)")</f>
        <v/>
      </c>
    </row>
    <row r="19" ht="24" customHeight="1" s="341">
      <c r="A19" s="427" t="inlineStr">
        <is>
          <t>🔴  GENERATE ACCOUNT</t>
        </is>
      </c>
      <c r="B19" s="428" t="n"/>
      <c r="C19" s="428" t="n"/>
      <c r="D19" s="428" t="n"/>
      <c r="E19" s="428" t="n"/>
    </row>
    <row r="20" ht="34.5" customHeight="1" s="341">
      <c r="A20" s="412" t="n"/>
    </row>
    <row r="21" ht="9.75" customHeight="1" s="341">
      <c r="A21" s="429" t="inlineStr">
        <is>
          <t>year</t>
        </is>
      </c>
      <c r="B21" s="430" t="n"/>
      <c r="C21" s="430" t="n"/>
      <c r="D21" s="430" t="n"/>
      <c r="E21" s="430" t="n"/>
    </row>
    <row r="22" ht="21.75" customHeight="1" s="341">
      <c r="A22" s="431">
        <f>IF(AND(C5&lt;&gt;"",C6&lt;&gt;"",C7&lt;&gt;"",C8&lt;&gt;"",C9&lt;&gt;"",C10&lt;&gt;"",C11&lt;&gt;"",C12&lt;&gt;""),IF(C12&lt;10,"⚠️  Opening Balance must be at least GHC 10.00",IF(AND(C14&lt;&gt;"",LEN(C15)&lt;6),"⚠️  ID Card Number required (min 6 characters) when ID Type is selected","✅  All required fields complete — Ready to generate account")),"⚠️  Please fill all required fields marked with (*)")</f>
        <v/>
      </c>
      <c r="B22" s="428" t="n"/>
      <c r="C22" s="428" t="n"/>
      <c r="D22" s="428" t="n"/>
      <c r="E22" s="428" t="n"/>
    </row>
    <row r="23" ht="21.75" customHeight="1" s="341">
      <c r="A23" s="412" t="n"/>
    </row>
    <row r="24" ht="21.75" customHeight="1" s="341">
      <c r="A24" s="432" t="inlineStr">
        <is>
          <t>📌  HOW TO CREATE AN ACCOUNT  (Formula-Driven — No Macros Required)</t>
        </is>
      </c>
      <c r="B24" s="340" t="n"/>
    </row>
    <row r="25" ht="21.75" customHeight="1" s="341">
      <c r="A25" s="433" t="inlineStr">
        <is>
          <t>Step 1:</t>
        </is>
      </c>
      <c r="B25" s="434" t="inlineStr">
        <is>
          <t>Fill ALL required fields (*): First Name, Last Name, DOB, Phone, Location, Occupation, Agent, Opening Balance (min GHC 10). If ID Card Type is selected, ID Card Number is also required (min 6 chars).</t>
        </is>
      </c>
      <c r="C25" s="415" t="n"/>
      <c r="D25" s="415" t="n"/>
      <c r="E25" s="415" t="n"/>
    </row>
    <row r="26" ht="21.75" customHeight="1" s="341">
      <c r="A26" s="433" t="inlineStr">
        <is>
          <t>Step 2:</t>
        </is>
      </c>
      <c r="B26" s="434" t="inlineStr">
        <is>
          <t>Watch the VALIDATION STATUS bar (row above button) — it shows ✅ when ready</t>
        </is>
      </c>
      <c r="C26" s="415" t="n"/>
      <c r="D26" s="415" t="n"/>
      <c r="E26" s="415" t="n"/>
    </row>
    <row r="27" ht="21.75" customHeight="1" s="341">
      <c r="A27" s="433" t="inlineStr">
        <is>
          <t>Step 3:</t>
        </is>
      </c>
      <c r="B27" s="434" t="inlineStr">
        <is>
          <t>Account Number AUTO-GENERATES in the gold cell above (no button click needed for formula!)</t>
        </is>
      </c>
      <c r="C27" s="415" t="n"/>
      <c r="D27" s="415" t="n"/>
      <c r="E27" s="415" t="n"/>
    </row>
    <row r="28" ht="15" customHeight="1" s="341">
      <c r="A28" s="433" t="inlineStr">
        <is>
          <t>Click GENERATE ACCOUNT (red button) only to run audit log — record already in Customer DB instantly</t>
        </is>
      </c>
      <c r="B28" s="434" t="inlineStr">
        <is>
          <t>Click GENERATE ACCOUNT (red button) to run the save macro — copies record to DB_Customers</t>
        </is>
      </c>
      <c r="C28" s="415" t="n"/>
      <c r="D28" s="415" t="n"/>
      <c r="E28" s="415" t="n"/>
    </row>
    <row r="29" ht="9.75" customHeight="1" s="341">
      <c r="A29" s="433" t="inlineStr">
        <is>
          <t>Step 5:</t>
        </is>
      </c>
      <c r="B29" s="434" t="inlineStr">
        <is>
          <t>Account is immediately available for Savings / Withdrawals / Loans across all agent sheets</t>
        </is>
      </c>
      <c r="C29" s="435" t="n"/>
      <c r="D29" s="435" t="n"/>
      <c r="E29" s="435" t="n"/>
    </row>
    <row r="30" ht="21.75" customHeight="1" s="341">
      <c r="A30" s="412" t="n"/>
      <c r="B30" s="412" t="n"/>
      <c r="C30" s="412" t="n"/>
      <c r="D30" s="412" t="n"/>
      <c r="E30" s="412" t="n"/>
    </row>
    <row r="31" ht="19.5" customHeight="1" s="341">
      <c r="A31" s="412" t="n"/>
    </row>
    <row r="32" ht="3.75" customHeight="1" s="341">
      <c r="A32" s="436" t="n"/>
      <c r="B32" s="436" t="n"/>
      <c r="C32" s="436" t="n"/>
      <c r="D32" s="436" t="n"/>
      <c r="E32" s="436" t="n"/>
    </row>
    <row r="33" ht="25.5" customHeight="1" s="341">
      <c r="A33" s="437" t="inlineStr">
        <is>
          <t>📋  SECTION 3: DECLARATION, SIGNATURE &amp; AUTHORISATION</t>
        </is>
      </c>
    </row>
    <row r="34" ht="36" customHeight="1" s="341">
      <c r="A34" s="438" t="inlineStr">
        <is>
          <t>I hereby declare that all information provided is true and correct. I agree to the terms and conditions of SAMICIOUS MICROFINANCE LTD, including the minimum balance requirement of GHC 10.00.</t>
        </is>
      </c>
    </row>
    <row r="35" ht="7.5" customHeight="1" s="341"/>
    <row r="36" ht="19.5" customHeight="1" s="341">
      <c r="A36" s="439" t="inlineStr">
        <is>
          <t>Customer Signature</t>
        </is>
      </c>
      <c r="C36" s="439" t="inlineStr">
        <is>
          <t>Agent Signature</t>
        </is>
      </c>
    </row>
    <row r="37" ht="15.75" customHeight="1" s="341">
      <c r="A37" s="440" t="inlineStr">
        <is>
          <t>(Customer writes name here)</t>
        </is>
      </c>
      <c r="B37" s="425" t="n"/>
      <c r="C37" s="440" t="inlineStr">
        <is>
          <t>(Agent writes name here)</t>
        </is>
      </c>
      <c r="D37" s="425" t="n"/>
      <c r="E37" s="425" t="n"/>
    </row>
    <row r="38" ht="21.75" customHeight="1" s="341">
      <c r="A38" s="441" t="inlineStr">
        <is>
          <t>Frank Abban</t>
        </is>
      </c>
      <c r="B38" s="425" t="n"/>
      <c r="C38" s="441" t="inlineStr">
        <is>
          <t>Musa Atta</t>
        </is>
      </c>
      <c r="D38" s="425" t="n"/>
      <c r="E38" s="425" t="n"/>
    </row>
    <row r="39" ht="21.75" customHeight="1" s="341">
      <c r="A39" s="441" t="n"/>
      <c r="B39" s="425" t="n"/>
      <c r="C39" s="441" t="n"/>
      <c r="D39" s="425" t="n"/>
      <c r="E39" s="425" t="n"/>
    </row>
    <row r="40" ht="7.5" customHeight="1" s="341"/>
    <row r="41" ht="19.5" customHeight="1" s="341">
      <c r="A41" s="439" t="inlineStr">
        <is>
          <t>Date</t>
        </is>
      </c>
      <c r="C41" s="439" t="inlineStr">
        <is>
          <t>Approved By</t>
        </is>
      </c>
    </row>
    <row r="42" ht="15.75" customHeight="1" s="341">
      <c r="A42" s="440" t="inlineStr">
        <is>
          <t>(Date account was opened)</t>
        </is>
      </c>
      <c r="B42" s="425" t="n"/>
      <c r="C42" s="440" t="inlineStr">
        <is>
          <t>(Manager's name — enter or select)</t>
        </is>
      </c>
      <c r="D42" s="425" t="n"/>
      <c r="E42" s="425" t="n"/>
    </row>
    <row r="43" ht="25.5" customHeight="1" s="341">
      <c r="A43" s="442">
        <f>IF(C16&lt;&gt;"",TODAY(),"")</f>
        <v/>
      </c>
      <c r="B43" s="425" t="n"/>
      <c r="C43" s="443" t="inlineStr">
        <is>
          <t>Deputy Head</t>
        </is>
      </c>
      <c r="D43" s="425" t="n"/>
      <c r="E43" s="425" t="n"/>
    </row>
    <row r="44" ht="7.5" customHeight="1" s="341"/>
    <row r="45" ht="3.75" customHeight="1" s="341">
      <c r="A45" s="355" t="n"/>
      <c r="B45" s="355" t="n"/>
      <c r="C45" s="355" t="n"/>
      <c r="D45" s="355" t="n"/>
      <c r="E45" s="355" t="n"/>
    </row>
    <row r="50" ht="15" customHeight="1" s="341">
      <c r="A50" s="432" t="inlineStr">
        <is>
          <t>📋  RECENTLY CREATED ACCOUNTS (Last 5 — from DB_Customers)</t>
        </is>
      </c>
    </row>
    <row r="51" ht="15" customHeight="1" s="341">
      <c r="A51" s="439" t="inlineStr">
        <is>
          <t>Account No</t>
        </is>
      </c>
      <c r="B51" s="439" t="inlineStr">
        <is>
          <t>Customer Name</t>
        </is>
      </c>
      <c r="C51" s="439" t="inlineStr">
        <is>
          <t>Phone</t>
        </is>
      </c>
      <c r="D51" s="439" t="inlineStr">
        <is>
          <t>Agent</t>
        </is>
      </c>
      <c r="E51" s="439" t="inlineStr">
        <is>
          <t>Date Created</t>
        </is>
      </c>
    </row>
    <row r="52" ht="15" customHeight="1" s="341">
      <c r="A52" s="444" t="inlineStr">
        <is>
          <t>SAM20240600020</t>
        </is>
      </c>
      <c r="B52" s="444" t="inlineStr">
        <is>
          <t>Kwame Baffour</t>
        </is>
      </c>
      <c r="C52" s="444" t="inlineStr">
        <is>
          <t>—</t>
        </is>
      </c>
      <c r="D52" s="444" t="inlineStr">
        <is>
          <t>Agent 10</t>
        </is>
      </c>
      <c r="E52" s="444" t="inlineStr">
        <is>
          <t>2024-06-20</t>
        </is>
      </c>
    </row>
    <row r="53" ht="15" customHeight="1" s="341">
      <c r="A53" s="445" t="inlineStr">
        <is>
          <t>SAM20240600019</t>
        </is>
      </c>
      <c r="B53" s="445" t="inlineStr">
        <is>
          <t>Yaa Opoku</t>
        </is>
      </c>
      <c r="C53" s="445" t="inlineStr">
        <is>
          <t>—</t>
        </is>
      </c>
      <c r="D53" s="445" t="inlineStr">
        <is>
          <t>Agent 10</t>
        </is>
      </c>
      <c r="E53" s="445" t="inlineStr">
        <is>
          <t>2024-06-15</t>
        </is>
      </c>
    </row>
    <row r="54" ht="15" customHeight="1" s="341">
      <c r="A54" s="444" t="inlineStr">
        <is>
          <t>SAM20240600018</t>
        </is>
      </c>
      <c r="B54" s="444" t="inlineStr">
        <is>
          <t>Esi Quaye</t>
        </is>
      </c>
      <c r="C54" s="444" t="inlineStr">
        <is>
          <t>—</t>
        </is>
      </c>
      <c r="D54" s="444" t="inlineStr">
        <is>
          <t>Agent 09</t>
        </is>
      </c>
      <c r="E54" s="444" t="inlineStr">
        <is>
          <t>2024-06-08</t>
        </is>
      </c>
    </row>
    <row r="55" ht="15" customHeight="1" s="341">
      <c r="A55" s="445" t="inlineStr">
        <is>
          <t>SAM20240600017</t>
        </is>
      </c>
      <c r="B55" s="445" t="inlineStr">
        <is>
          <t>Kwasi Adusei</t>
        </is>
      </c>
      <c r="C55" s="445" t="inlineStr">
        <is>
          <t>—</t>
        </is>
      </c>
      <c r="D55" s="445" t="inlineStr">
        <is>
          <t>Agent 09</t>
        </is>
      </c>
      <c r="E55" s="445" t="inlineStr">
        <is>
          <t>2024-06-01</t>
        </is>
      </c>
    </row>
    <row r="56" ht="15" customHeight="1" s="341">
      <c r="A56" s="444" t="inlineStr">
        <is>
          <t>SAM20240500016</t>
        </is>
      </c>
      <c r="B56" s="444" t="inlineStr">
        <is>
          <t>Akua Bonsu</t>
        </is>
      </c>
      <c r="C56" s="444" t="inlineStr">
        <is>
          <t>—</t>
        </is>
      </c>
      <c r="D56" s="444" t="inlineStr">
        <is>
          <t>Agent 08</t>
        </is>
      </c>
      <c r="E56" s="444" t="inlineStr">
        <is>
          <t>2024-05-25</t>
        </is>
      </c>
    </row>
  </sheetData>
  <mergeCells count="42">
    <mergeCell ref="C16:E16"/>
    <mergeCell ref="A34:E34"/>
    <mergeCell ref="C41:E41"/>
    <mergeCell ref="C9:E9"/>
    <mergeCell ref="C14:D14"/>
    <mergeCell ref="A1:E1"/>
    <mergeCell ref="A36:B36"/>
    <mergeCell ref="B24:E24"/>
    <mergeCell ref="C43:E43"/>
    <mergeCell ref="B26:E26"/>
    <mergeCell ref="C36:E36"/>
    <mergeCell ref="C11:E11"/>
    <mergeCell ref="A41:B41"/>
    <mergeCell ref="C39:E39"/>
    <mergeCell ref="C8:E8"/>
    <mergeCell ref="A37:B37"/>
    <mergeCell ref="B25:E25"/>
    <mergeCell ref="C7:E7"/>
    <mergeCell ref="A18:E18"/>
    <mergeCell ref="A3:E3"/>
    <mergeCell ref="A21:E21"/>
    <mergeCell ref="C38:E38"/>
    <mergeCell ref="B27:E27"/>
    <mergeCell ref="C13:E13"/>
    <mergeCell ref="A2:E2"/>
    <mergeCell ref="C37:E37"/>
    <mergeCell ref="A33:E33"/>
    <mergeCell ref="A42:B42"/>
    <mergeCell ref="A23:E23"/>
    <mergeCell ref="A17:E17"/>
    <mergeCell ref="C15:E15"/>
    <mergeCell ref="D12:E12"/>
    <mergeCell ref="C6:E6"/>
    <mergeCell ref="C42:E42"/>
    <mergeCell ref="A38:B38"/>
    <mergeCell ref="A20:E20"/>
    <mergeCell ref="C5:E5"/>
    <mergeCell ref="A43:B43"/>
    <mergeCell ref="A31:E31"/>
    <mergeCell ref="B28:E28"/>
    <mergeCell ref="A39:B39"/>
    <mergeCell ref="C10:E10"/>
  </mergeCells>
  <dataValidations count="4">
    <dataValidation sqref="C11:E11" showDropDown="0" showInputMessage="1" showErrorMessage="1" allowBlank="1" errorTitle="Invalid Agent" error="Please select a valid agent (Agent 01 to Agent 10)" promptTitle="Assign Agent" prompt="Select an agent" type="list" errorStyle="stop" operator="between">
      <formula1>"Agent 01,Agent 02,Agent 03,Agent 04,Agent 05,Agent 06,Agent 07,Agent 08,Agent 09,Agent 10"</formula1>
      <formula2>0</formula2>
    </dataValidation>
    <dataValidation sqref="C14:D14" showDropDown="0" showInputMessage="0" showErrorMessage="0" allowBlank="1" type="list" errorStyle="stop" operator="between">
      <formula1>"Ghana Card,Voter's ID,Passport,Driver's License,None"</formula1>
      <formula2>0</formula2>
    </dataValidation>
    <dataValidation sqref="C7" showDropDown="0" showInputMessage="0" showErrorMessage="1" allowBlank="1" errorTitle="Invalid Date" error="Enter a valid date (DD/MM/YYYY or Excel date)" type="date" errorStyle="stop" operator="greaterThan">
      <formula1>DATE(1900,1,1)</formula1>
      <formula2>0</formula2>
    </dataValidation>
    <dataValidation sqref="C43" showDropDown="0" showInputMessage="0" showErrorMessage="0" allowBlank="1" type="list" errorStyle="stop" operator="between">
      <formula1>"Manager,Headmaster,Deputy Head,Accountant,Director"</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5.xml><?xml version="1.0" encoding="utf-8"?>
<worksheet xmlns="http://schemas.openxmlformats.org/spreadsheetml/2006/main">
  <sheetPr filterMode="0">
    <tabColor rgb="FF1E3A5F"/>
    <outlinePr summaryBelow="1" summaryRight="1"/>
    <pageSetUpPr fitToPage="0"/>
  </sheetPr>
  <dimension ref="A1:N518"/>
  <sheetViews>
    <sheetView showFormulas="0" showGridLines="0" showRowColHeaders="1" showZeros="1" rightToLeft="0" tabSelected="0" showOutlineSymbols="1" defaultGridColor="1" view="normal" topLeftCell="A1" colorId="64" zoomScale="100" zoomScaleNormal="100" zoomScalePageLayoutView="100" workbookViewId="0">
      <pane xSplit="0" ySplit="8" topLeftCell="A15" activePane="bottomLeft" state="frozen"/>
      <selection pane="topLeft" activeCell="A1" activeCellId="0" sqref="A1"/>
      <selection pane="bottomLeft" activeCell="G5" activeCellId="0" sqref="G5"/>
    </sheetView>
  </sheetViews>
  <sheetFormatPr baseColWidth="8" defaultColWidth="8.71484375" defaultRowHeight="15" zeroHeight="0" outlineLevelRow="0"/>
  <cols>
    <col width="4" customWidth="1" style="340" min="1" max="1"/>
    <col width="18" customWidth="1" style="340" min="2" max="2"/>
    <col width="20" customWidth="1" style="340" min="3" max="3"/>
    <col width="14" customWidth="1" style="340" min="4" max="5"/>
    <col width="16" customWidth="1" style="340" min="6" max="6"/>
    <col width="20" customWidth="1" style="340" min="7" max="7"/>
    <col width="14" customWidth="1" style="340" min="8" max="8"/>
    <col width="15" customWidth="1" style="340" min="9" max="9"/>
    <col width="14" customWidth="1" style="340" min="10" max="10"/>
    <col width="12" customWidth="1" style="340" min="11" max="11"/>
    <col width="14" customWidth="1" style="340" min="12" max="12"/>
    <col width="16" customWidth="1" style="340" min="13" max="13"/>
    <col width="10" customWidth="1" style="340" min="14" max="14"/>
  </cols>
  <sheetData>
    <row r="1" ht="37.5" customHeight="1" s="341">
      <c r="A1" s="446" t="inlineStr">
        <is>
          <t>🏦  SAMICIOUS MICROFINANCE — CUSTOMER ACCOUNT DATABASE</t>
        </is>
      </c>
    </row>
    <row r="2" ht="18" customHeight="1" s="341">
      <c r="A2" s="447" t="inlineStr">
        <is>
          <t>Auto-populated LIVE as details are entered in Account Opening  |  Search by Account Number only</t>
        </is>
      </c>
    </row>
    <row r="3" ht="3.75" customHeight="1" s="341">
      <c r="A3" s="448" t="n"/>
    </row>
    <row r="4" ht="25.5" customHeight="1" s="341">
      <c r="A4" s="449" t="inlineStr">
        <is>
          <t>🔍  SEARCH ENGINE  —  Account Number Only</t>
        </is>
      </c>
    </row>
    <row r="5" ht="27.75" customHeight="1" s="341">
      <c r="A5" s="450" t="inlineStr">
        <is>
          <t>Account No.:</t>
        </is>
      </c>
      <c r="B5" s="451" t="n"/>
      <c r="C5" s="452" t="n"/>
      <c r="D5" s="453" t="n"/>
      <c r="E5" s="453" t="n"/>
      <c r="F5" s="453" t="n"/>
      <c r="G5" s="454" t="inlineStr">
        <is>
          <t>Type the Account Number above → matching record appears highlighted below  |  Clear to show all</t>
        </is>
      </c>
    </row>
    <row r="6" ht="15.75" customHeight="1" s="341">
      <c r="A6" s="455" t="inlineStr">
        <is>
          <t>↑ Type exact or partial Account Number above  |  Matching row is highlighted in gold  |  Leave blank to show all records</t>
        </is>
      </c>
    </row>
    <row r="7" ht="6" customHeight="1" s="341">
      <c r="A7" s="448" t="n"/>
      <c r="B7" s="448" t="n"/>
      <c r="C7" s="448" t="n"/>
      <c r="D7" s="448" t="n"/>
      <c r="E7" s="448" t="n"/>
      <c r="F7" s="448" t="n"/>
      <c r="G7" s="448" t="n"/>
      <c r="H7" s="448" t="n"/>
      <c r="I7" s="448" t="n"/>
      <c r="J7" s="448" t="n"/>
      <c r="K7" s="448" t="n"/>
      <c r="L7" s="448" t="n"/>
      <c r="M7" s="448" t="n"/>
      <c r="N7" s="448" t="n"/>
    </row>
    <row r="8" ht="30" customHeight="1" s="341">
      <c r="A8" s="456" t="inlineStr">
        <is>
          <t>#</t>
        </is>
      </c>
      <c r="B8" s="456" t="inlineStr">
        <is>
          <t>Account No.</t>
        </is>
      </c>
      <c r="C8" s="456" t="inlineStr">
        <is>
          <t>Full Name</t>
        </is>
      </c>
      <c r="D8" s="456" t="inlineStr">
        <is>
          <t>Date of Birth</t>
        </is>
      </c>
      <c r="E8" s="456" t="inlineStr">
        <is>
          <t>Phone Number</t>
        </is>
      </c>
      <c r="F8" s="456" t="inlineStr">
        <is>
          <t>Location</t>
        </is>
      </c>
      <c r="G8" s="456" t="inlineStr">
        <is>
          <t>Occupation</t>
        </is>
      </c>
      <c r="H8" s="456" t="inlineStr">
        <is>
          <t>Assigned Agent</t>
        </is>
      </c>
      <c r="I8" s="456" t="inlineStr">
        <is>
          <t>Opening Balance
(GHC)</t>
        </is>
      </c>
      <c r="J8" s="456" t="inlineStr">
        <is>
          <t>Date Created</t>
        </is>
      </c>
      <c r="K8" s="456" t="inlineStr">
        <is>
          <t>ID Card Type</t>
        </is>
      </c>
      <c r="L8" s="456" t="inlineStr">
        <is>
          <t>ID Card Number</t>
        </is>
      </c>
      <c r="M8" s="456" t="inlineStr">
        <is>
          <t>Next of Kin</t>
        </is>
      </c>
      <c r="N8" s="456" t="inlineStr">
        <is>
          <t>Status</t>
        </is>
      </c>
    </row>
    <row r="9" ht="19.5" customHeight="1" s="341">
      <c r="A9" s="457" t="inlineStr">
        <is>
          <t>LIVE</t>
        </is>
      </c>
      <c r="B9" s="458">
        <f>IF(Account_Opening!C16&lt;&gt;"",Account_Opening!C16,"")</f>
        <v/>
      </c>
      <c r="C9" s="458">
        <f>IF(Account_Opening!C5&lt;&gt;"",TRIM(Account_Opening!C5)&amp;" "&amp;TRIM(Account_Opening!C6),"")</f>
        <v/>
      </c>
      <c r="D9" s="459">
        <f>IF(Account_Opening!C7&lt;&gt;"",Account_Opening!C7,"")</f>
        <v/>
      </c>
      <c r="E9" s="458">
        <f>IF(Account_Opening!C8&lt;&gt;"",Account_Opening!C8,"")</f>
        <v/>
      </c>
      <c r="F9" s="458">
        <f>IF(Account_Opening!C9&lt;&gt;"",Account_Opening!C9,"")</f>
        <v/>
      </c>
      <c r="G9" s="458">
        <f>IF(Account_Opening!C10&lt;&gt;"",Account_Opening!C10,"")</f>
        <v/>
      </c>
      <c r="H9" s="458">
        <f>IF(Account_Opening!C11&lt;&gt;"",Account_Opening!C11,"")</f>
        <v/>
      </c>
      <c r="I9" s="460">
        <f>IF(ISNUMBER(Account_Opening!C12),Account_Opening!C12,"")</f>
        <v/>
      </c>
      <c r="J9" s="459">
        <f>IF(Account_Opening!C16&lt;&gt;"",TODAY(),"")</f>
        <v/>
      </c>
      <c r="K9" s="458">
        <f>IF(Account_Opening!C14&lt;&gt;"",Account_Opening!C14,"")</f>
        <v/>
      </c>
      <c r="L9" s="458">
        <f>IF(Account_Opening!C15&lt;&gt;"",Account_Opening!C15,"")</f>
        <v/>
      </c>
      <c r="M9" s="458">
        <f>IF(Account_Opening!C13&lt;&gt;"",Account_Opening!C13,"")</f>
        <v/>
      </c>
      <c r="N9" s="458">
        <f>IF(Account_Opening!C16&lt;&gt;"",IF(ISNUMBER(Account_Opening!C12),IF(Account_Opening!C12&gt;=10,"Active","Inactive"),""),"Pending")</f>
        <v/>
      </c>
    </row>
    <row r="10" ht="18" customHeight="1" s="341">
      <c r="A10" s="461">
        <f>IF(DB_Customers!A4&lt;&gt;"",1,"")</f>
        <v/>
      </c>
      <c r="B10" s="462">
        <f>IFERROR(IF(DB_Customers!A4&lt;&gt;"",DB_Customers!A4,""),"")</f>
        <v/>
      </c>
      <c r="C10" s="463">
        <f>IFERROR(IF(DB_Customers!D4&lt;&gt;"",DB_Customers!D4,""),"")</f>
        <v/>
      </c>
      <c r="D10" s="464">
        <f>IFERROR(IF(DB_Customers!Q4&lt;&gt;"",DB_Customers!Q4,""),"")</f>
        <v/>
      </c>
      <c r="E10" s="463">
        <f>IFERROR(IF(DB_Customers!R4&lt;&gt;"",DB_Customers!R4,""),"")</f>
        <v/>
      </c>
      <c r="F10" s="463">
        <f>IFERROR(IF(DB_Customers!S4&lt;&gt;"",DB_Customers!S4,""),"")</f>
        <v/>
      </c>
      <c r="G10" s="463">
        <f>IFERROR(IF(DB_Customers!G4&lt;&gt;"",DB_Customers!G4,""),"")</f>
        <v/>
      </c>
      <c r="H10" s="465">
        <f>IFERROR(IF(DB_Customers!H4&lt;&gt;"",DB_Customers!H4,""),"")</f>
        <v/>
      </c>
      <c r="I10" s="466">
        <f>IFERROR(IF(DB_Customers!I4&lt;&gt;"",DB_Customers!I4,""),"")</f>
        <v/>
      </c>
      <c r="J10" s="464">
        <f>IFERROR(IF(DB_Customers!J4&lt;&gt;"",DB_Customers!J4,""),"")</f>
        <v/>
      </c>
      <c r="K10" s="463">
        <f>IFERROR(IF(DB_Customers!E4&lt;&gt;"",DB_Customers!E4,""),"")</f>
        <v/>
      </c>
      <c r="L10" s="463">
        <f>IFERROR(IF(DB_Customers!F4&lt;&gt;"",DB_Customers!F4,""),"")</f>
        <v/>
      </c>
      <c r="M10" s="463">
        <f>IFERROR(IF(DB_Customers!T4&lt;&gt;"",DB_Customers!T4,""),"")</f>
        <v/>
      </c>
      <c r="N10" s="467">
        <f>IFERROR(IF(DB_Customers!A4&lt;&gt;"",IF(DB_Customers!I4&gt;=10,"Active","Inactive"),""),"")</f>
        <v/>
      </c>
    </row>
    <row r="11" ht="18" customHeight="1" s="341">
      <c r="A11" s="468">
        <f>IF(DB_Customers!A5&lt;&gt;"",2,"")</f>
        <v/>
      </c>
      <c r="B11" s="469">
        <f>IFERROR(IF(DB_Customers!A5&lt;&gt;"",DB_Customers!A5,""),"")</f>
        <v/>
      </c>
      <c r="C11" s="470">
        <f>IFERROR(IF(DB_Customers!D5&lt;&gt;"",DB_Customers!D5,""),"")</f>
        <v/>
      </c>
      <c r="D11" s="471">
        <f>IFERROR(IF(DB_Customers!Q5&lt;&gt;"",DB_Customers!Q5,""),"")</f>
        <v/>
      </c>
      <c r="E11" s="470">
        <f>IFERROR(IF(DB_Customers!R5&lt;&gt;"",DB_Customers!R5,""),"")</f>
        <v/>
      </c>
      <c r="F11" s="470">
        <f>IFERROR(IF(DB_Customers!S5&lt;&gt;"",DB_Customers!S5,""),"")</f>
        <v/>
      </c>
      <c r="G11" s="470">
        <f>IFERROR(IF(DB_Customers!G5&lt;&gt;"",DB_Customers!G5,""),"")</f>
        <v/>
      </c>
      <c r="H11" s="472">
        <f>IFERROR(IF(DB_Customers!H5&lt;&gt;"",DB_Customers!H5,""),"")</f>
        <v/>
      </c>
      <c r="I11" s="473">
        <f>IFERROR(IF(DB_Customers!I5&lt;&gt;"",DB_Customers!I5,""),"")</f>
        <v/>
      </c>
      <c r="J11" s="471">
        <f>IFERROR(IF(DB_Customers!J5&lt;&gt;"",DB_Customers!J5,""),"")</f>
        <v/>
      </c>
      <c r="K11" s="470">
        <f>IFERROR(IF(DB_Customers!E5&lt;&gt;"",DB_Customers!E5,""),"")</f>
        <v/>
      </c>
      <c r="L11" s="470">
        <f>IFERROR(IF(DB_Customers!F5&lt;&gt;"",DB_Customers!F5,""),"")</f>
        <v/>
      </c>
      <c r="M11" s="470">
        <f>IFERROR(IF(DB_Customers!T5&lt;&gt;"",DB_Customers!T5,""),"")</f>
        <v/>
      </c>
      <c r="N11" s="474">
        <f>IFERROR(IF(DB_Customers!A5&lt;&gt;"",IF(DB_Customers!I5&gt;=10,"Active","Inactive"),""),"")</f>
        <v/>
      </c>
    </row>
    <row r="12" ht="18" customHeight="1" s="341">
      <c r="A12" s="461">
        <f>IF(DB_Customers!A6&lt;&gt;"",3,"")</f>
        <v/>
      </c>
      <c r="B12" s="462">
        <f>IFERROR(IF(DB_Customers!A6&lt;&gt;"",DB_Customers!A6,""),"")</f>
        <v/>
      </c>
      <c r="C12" s="463">
        <f>IFERROR(IF(DB_Customers!D6&lt;&gt;"",DB_Customers!D6,""),"")</f>
        <v/>
      </c>
      <c r="D12" s="464">
        <f>IFERROR(IF(DB_Customers!Q6&lt;&gt;"",DB_Customers!Q6,""),"")</f>
        <v/>
      </c>
      <c r="E12" s="463">
        <f>IFERROR(IF(DB_Customers!R6&lt;&gt;"",DB_Customers!R6,""),"")</f>
        <v/>
      </c>
      <c r="F12" s="463">
        <f>IFERROR(IF(DB_Customers!S6&lt;&gt;"",DB_Customers!S6,""),"")</f>
        <v/>
      </c>
      <c r="G12" s="463">
        <f>IFERROR(IF(DB_Customers!G6&lt;&gt;"",DB_Customers!G6,""),"")</f>
        <v/>
      </c>
      <c r="H12" s="465">
        <f>IFERROR(IF(DB_Customers!H6&lt;&gt;"",DB_Customers!H6,""),"")</f>
        <v/>
      </c>
      <c r="I12" s="466">
        <f>IFERROR(IF(DB_Customers!I6&lt;&gt;"",DB_Customers!I6,""),"")</f>
        <v/>
      </c>
      <c r="J12" s="464">
        <f>IFERROR(IF(DB_Customers!J6&lt;&gt;"",DB_Customers!J6,""),"")</f>
        <v/>
      </c>
      <c r="K12" s="463">
        <f>IFERROR(IF(DB_Customers!E6&lt;&gt;"",DB_Customers!E6,""),"")</f>
        <v/>
      </c>
      <c r="L12" s="463">
        <f>IFERROR(IF(DB_Customers!F6&lt;&gt;"",DB_Customers!F6,""),"")</f>
        <v/>
      </c>
      <c r="M12" s="463">
        <f>IFERROR(IF(DB_Customers!T6&lt;&gt;"",DB_Customers!T6,""),"")</f>
        <v/>
      </c>
      <c r="N12" s="467">
        <f>IFERROR(IF(DB_Customers!A6&lt;&gt;"",IF(DB_Customers!I6&gt;=10,"Active","Inactive"),""),"")</f>
        <v/>
      </c>
    </row>
    <row r="13" ht="18" customHeight="1" s="341">
      <c r="A13" s="468">
        <f>IF(DB_Customers!A7&lt;&gt;"",4,"")</f>
        <v/>
      </c>
      <c r="B13" s="469">
        <f>IFERROR(IF(DB_Customers!A7&lt;&gt;"",DB_Customers!A7,""),"")</f>
        <v/>
      </c>
      <c r="C13" s="470">
        <f>IFERROR(IF(DB_Customers!D7&lt;&gt;"",DB_Customers!D7,""),"")</f>
        <v/>
      </c>
      <c r="D13" s="471">
        <f>IFERROR(IF(DB_Customers!Q7&lt;&gt;"",DB_Customers!Q7,""),"")</f>
        <v/>
      </c>
      <c r="E13" s="470">
        <f>IFERROR(IF(DB_Customers!R7&lt;&gt;"",DB_Customers!R7,""),"")</f>
        <v/>
      </c>
      <c r="F13" s="470">
        <f>IFERROR(IF(DB_Customers!S7&lt;&gt;"",DB_Customers!S7,""),"")</f>
        <v/>
      </c>
      <c r="G13" s="470">
        <f>IFERROR(IF(DB_Customers!G7&lt;&gt;"",DB_Customers!G7,""),"")</f>
        <v/>
      </c>
      <c r="H13" s="472">
        <f>IFERROR(IF(DB_Customers!H7&lt;&gt;"",DB_Customers!H7,""),"")</f>
        <v/>
      </c>
      <c r="I13" s="473">
        <f>IFERROR(IF(DB_Customers!I7&lt;&gt;"",DB_Customers!I7,""),"")</f>
        <v/>
      </c>
      <c r="J13" s="471">
        <f>IFERROR(IF(DB_Customers!J7&lt;&gt;"",DB_Customers!J7,""),"")</f>
        <v/>
      </c>
      <c r="K13" s="470">
        <f>IFERROR(IF(DB_Customers!E7&lt;&gt;"",DB_Customers!E7,""),"")</f>
        <v/>
      </c>
      <c r="L13" s="470">
        <f>IFERROR(IF(DB_Customers!F7&lt;&gt;"",DB_Customers!F7,""),"")</f>
        <v/>
      </c>
      <c r="M13" s="470">
        <f>IFERROR(IF(DB_Customers!T7&lt;&gt;"",DB_Customers!T7,""),"")</f>
        <v/>
      </c>
      <c r="N13" s="474">
        <f>IFERROR(IF(DB_Customers!A7&lt;&gt;"",IF(DB_Customers!I7&gt;=10,"Active","Inactive"),""),"")</f>
        <v/>
      </c>
    </row>
    <row r="14" ht="18" customHeight="1" s="341">
      <c r="A14" s="461">
        <f>IF(DB_Customers!A8&lt;&gt;"",5,"")</f>
        <v/>
      </c>
      <c r="B14" s="462">
        <f>IFERROR(IF(DB_Customers!A8&lt;&gt;"",DB_Customers!A8,""),"")</f>
        <v/>
      </c>
      <c r="C14" s="463">
        <f>IFERROR(IF(DB_Customers!D8&lt;&gt;"",DB_Customers!D8,""),"")</f>
        <v/>
      </c>
      <c r="D14" s="464">
        <f>IFERROR(IF(DB_Customers!Q8&lt;&gt;"",DB_Customers!Q8,""),"")</f>
        <v/>
      </c>
      <c r="E14" s="463">
        <f>IFERROR(IF(DB_Customers!R8&lt;&gt;"",DB_Customers!R8,""),"")</f>
        <v/>
      </c>
      <c r="F14" s="463">
        <f>IFERROR(IF(DB_Customers!S8&lt;&gt;"",DB_Customers!S8,""),"")</f>
        <v/>
      </c>
      <c r="G14" s="463">
        <f>IFERROR(IF(DB_Customers!G8&lt;&gt;"",DB_Customers!G8,""),"")</f>
        <v/>
      </c>
      <c r="H14" s="465">
        <f>IFERROR(IF(DB_Customers!H8&lt;&gt;"",DB_Customers!H8,""),"")</f>
        <v/>
      </c>
      <c r="I14" s="466">
        <f>IFERROR(IF(DB_Customers!I8&lt;&gt;"",DB_Customers!I8,""),"")</f>
        <v/>
      </c>
      <c r="J14" s="464">
        <f>IFERROR(IF(DB_Customers!J8&lt;&gt;"",DB_Customers!J8,""),"")</f>
        <v/>
      </c>
      <c r="K14" s="463">
        <f>IFERROR(IF(DB_Customers!E8&lt;&gt;"",DB_Customers!E8,""),"")</f>
        <v/>
      </c>
      <c r="L14" s="463">
        <f>IFERROR(IF(DB_Customers!F8&lt;&gt;"",DB_Customers!F8,""),"")</f>
        <v/>
      </c>
      <c r="M14" s="463">
        <f>IFERROR(IF(DB_Customers!T8&lt;&gt;"",DB_Customers!T8,""),"")</f>
        <v/>
      </c>
      <c r="N14" s="467">
        <f>IFERROR(IF(DB_Customers!A8&lt;&gt;"",IF(DB_Customers!I8&gt;=10,"Active","Inactive"),""),"")</f>
        <v/>
      </c>
    </row>
    <row r="15" ht="18" customHeight="1" s="341">
      <c r="A15" s="468">
        <f>IF(DB_Customers!A9&lt;&gt;"",6,"")</f>
        <v/>
      </c>
      <c r="B15" s="469">
        <f>IFERROR(IF(DB_Customers!A9&lt;&gt;"",DB_Customers!A9,""),"")</f>
        <v/>
      </c>
      <c r="C15" s="470">
        <f>IFERROR(IF(DB_Customers!D9&lt;&gt;"",DB_Customers!D9,""),"")</f>
        <v/>
      </c>
      <c r="D15" s="471">
        <f>IFERROR(IF(DB_Customers!Q9&lt;&gt;"",DB_Customers!Q9,""),"")</f>
        <v/>
      </c>
      <c r="E15" s="470">
        <f>IFERROR(IF(DB_Customers!R9&lt;&gt;"",DB_Customers!R9,""),"")</f>
        <v/>
      </c>
      <c r="F15" s="470">
        <f>IFERROR(IF(DB_Customers!S9&lt;&gt;"",DB_Customers!S9,""),"")</f>
        <v/>
      </c>
      <c r="G15" s="470">
        <f>IFERROR(IF(DB_Customers!G9&lt;&gt;"",DB_Customers!G9,""),"")</f>
        <v/>
      </c>
      <c r="H15" s="472">
        <f>IFERROR(IF(DB_Customers!H9&lt;&gt;"",DB_Customers!H9,""),"")</f>
        <v/>
      </c>
      <c r="I15" s="473">
        <f>IFERROR(IF(DB_Customers!I9&lt;&gt;"",DB_Customers!I9,""),"")</f>
        <v/>
      </c>
      <c r="J15" s="471">
        <f>IFERROR(IF(DB_Customers!J9&lt;&gt;"",DB_Customers!J9,""),"")</f>
        <v/>
      </c>
      <c r="K15" s="470">
        <f>IFERROR(IF(DB_Customers!E9&lt;&gt;"",DB_Customers!E9,""),"")</f>
        <v/>
      </c>
      <c r="L15" s="470">
        <f>IFERROR(IF(DB_Customers!F9&lt;&gt;"",DB_Customers!F9,""),"")</f>
        <v/>
      </c>
      <c r="M15" s="470">
        <f>IFERROR(IF(DB_Customers!T9&lt;&gt;"",DB_Customers!T9,""),"")</f>
        <v/>
      </c>
      <c r="N15" s="474">
        <f>IFERROR(IF(DB_Customers!A9&lt;&gt;"",IF(DB_Customers!I9&gt;=10,"Active","Inactive"),""),"")</f>
        <v/>
      </c>
    </row>
    <row r="16" ht="18" customHeight="1" s="341">
      <c r="A16" s="461">
        <f>IF(DB_Customers!A10&lt;&gt;"",7,"")</f>
        <v/>
      </c>
      <c r="B16" s="462">
        <f>IFERROR(IF(DB_Customers!A10&lt;&gt;"",DB_Customers!A10,""),"")</f>
        <v/>
      </c>
      <c r="C16" s="463">
        <f>IFERROR(IF(DB_Customers!D10&lt;&gt;"",DB_Customers!D10,""),"")</f>
        <v/>
      </c>
      <c r="D16" s="464">
        <f>IFERROR(IF(DB_Customers!Q10&lt;&gt;"",DB_Customers!Q10,""),"")</f>
        <v/>
      </c>
      <c r="E16" s="463">
        <f>IFERROR(IF(DB_Customers!R10&lt;&gt;"",DB_Customers!R10,""),"")</f>
        <v/>
      </c>
      <c r="F16" s="463">
        <f>IFERROR(IF(DB_Customers!S10&lt;&gt;"",DB_Customers!S10,""),"")</f>
        <v/>
      </c>
      <c r="G16" s="463">
        <f>IFERROR(IF(DB_Customers!G10&lt;&gt;"",DB_Customers!G10,""),"")</f>
        <v/>
      </c>
      <c r="H16" s="465">
        <f>IFERROR(IF(DB_Customers!H10&lt;&gt;"",DB_Customers!H10,""),"")</f>
        <v/>
      </c>
      <c r="I16" s="466">
        <f>IFERROR(IF(DB_Customers!I10&lt;&gt;"",DB_Customers!I10,""),"")</f>
        <v/>
      </c>
      <c r="J16" s="464">
        <f>IFERROR(IF(DB_Customers!J10&lt;&gt;"",DB_Customers!J10,""),"")</f>
        <v/>
      </c>
      <c r="K16" s="463">
        <f>IFERROR(IF(DB_Customers!E10&lt;&gt;"",DB_Customers!E10,""),"")</f>
        <v/>
      </c>
      <c r="L16" s="463">
        <f>IFERROR(IF(DB_Customers!F10&lt;&gt;"",DB_Customers!F10,""),"")</f>
        <v/>
      </c>
      <c r="M16" s="463">
        <f>IFERROR(IF(DB_Customers!T10&lt;&gt;"",DB_Customers!T10,""),"")</f>
        <v/>
      </c>
      <c r="N16" s="467">
        <f>IFERROR(IF(DB_Customers!A10&lt;&gt;"",IF(DB_Customers!I10&gt;=10,"Active","Inactive"),""),"")</f>
        <v/>
      </c>
    </row>
    <row r="17" ht="18" customHeight="1" s="341">
      <c r="A17" s="468">
        <f>IF(DB_Customers!A11&lt;&gt;"",8,"")</f>
        <v/>
      </c>
      <c r="B17" s="469">
        <f>IFERROR(IF(DB_Customers!A11&lt;&gt;"",DB_Customers!A11,""),"")</f>
        <v/>
      </c>
      <c r="C17" s="470">
        <f>IFERROR(IF(DB_Customers!D11&lt;&gt;"",DB_Customers!D11,""),"")</f>
        <v/>
      </c>
      <c r="D17" s="471">
        <f>IFERROR(IF(DB_Customers!Q11&lt;&gt;"",DB_Customers!Q11,""),"")</f>
        <v/>
      </c>
      <c r="E17" s="470">
        <f>IFERROR(IF(DB_Customers!R11&lt;&gt;"",DB_Customers!R11,""),"")</f>
        <v/>
      </c>
      <c r="F17" s="470">
        <f>IFERROR(IF(DB_Customers!S11&lt;&gt;"",DB_Customers!S11,""),"")</f>
        <v/>
      </c>
      <c r="G17" s="470">
        <f>IFERROR(IF(DB_Customers!G11&lt;&gt;"",DB_Customers!G11,""),"")</f>
        <v/>
      </c>
      <c r="H17" s="472">
        <f>IFERROR(IF(DB_Customers!H11&lt;&gt;"",DB_Customers!H11,""),"")</f>
        <v/>
      </c>
      <c r="I17" s="473">
        <f>IFERROR(IF(DB_Customers!I11&lt;&gt;"",DB_Customers!I11,""),"")</f>
        <v/>
      </c>
      <c r="J17" s="471">
        <f>IFERROR(IF(DB_Customers!J11&lt;&gt;"",DB_Customers!J11,""),"")</f>
        <v/>
      </c>
      <c r="K17" s="470">
        <f>IFERROR(IF(DB_Customers!E11&lt;&gt;"",DB_Customers!E11,""),"")</f>
        <v/>
      </c>
      <c r="L17" s="470">
        <f>IFERROR(IF(DB_Customers!F11&lt;&gt;"",DB_Customers!F11,""),"")</f>
        <v/>
      </c>
      <c r="M17" s="470">
        <f>IFERROR(IF(DB_Customers!T11&lt;&gt;"",DB_Customers!T11,""),"")</f>
        <v/>
      </c>
      <c r="N17" s="474">
        <f>IFERROR(IF(DB_Customers!A11&lt;&gt;"",IF(DB_Customers!I11&gt;=10,"Active","Inactive"),""),"")</f>
        <v/>
      </c>
    </row>
    <row r="18" ht="18" customHeight="1" s="341">
      <c r="A18" s="461">
        <f>IF(DB_Customers!A12&lt;&gt;"",9,"")</f>
        <v/>
      </c>
      <c r="B18" s="462">
        <f>IFERROR(IF(DB_Customers!A12&lt;&gt;"",DB_Customers!A12,""),"")</f>
        <v/>
      </c>
      <c r="C18" s="463">
        <f>IFERROR(IF(DB_Customers!D12&lt;&gt;"",DB_Customers!D12,""),"")</f>
        <v/>
      </c>
      <c r="D18" s="464">
        <f>IFERROR(IF(DB_Customers!Q12&lt;&gt;"",DB_Customers!Q12,""),"")</f>
        <v/>
      </c>
      <c r="E18" s="463">
        <f>IFERROR(IF(DB_Customers!R12&lt;&gt;"",DB_Customers!R12,""),"")</f>
        <v/>
      </c>
      <c r="F18" s="463">
        <f>IFERROR(IF(DB_Customers!S12&lt;&gt;"",DB_Customers!S12,""),"")</f>
        <v/>
      </c>
      <c r="G18" s="463">
        <f>IFERROR(IF(DB_Customers!G12&lt;&gt;"",DB_Customers!G12,""),"")</f>
        <v/>
      </c>
      <c r="H18" s="465">
        <f>IFERROR(IF(DB_Customers!H12&lt;&gt;"",DB_Customers!H12,""),"")</f>
        <v/>
      </c>
      <c r="I18" s="466">
        <f>IFERROR(IF(DB_Customers!I12&lt;&gt;"",DB_Customers!I12,""),"")</f>
        <v/>
      </c>
      <c r="J18" s="464">
        <f>IFERROR(IF(DB_Customers!J12&lt;&gt;"",DB_Customers!J12,""),"")</f>
        <v/>
      </c>
      <c r="K18" s="463">
        <f>IFERROR(IF(DB_Customers!E12&lt;&gt;"",DB_Customers!E12,""),"")</f>
        <v/>
      </c>
      <c r="L18" s="463">
        <f>IFERROR(IF(DB_Customers!F12&lt;&gt;"",DB_Customers!F12,""),"")</f>
        <v/>
      </c>
      <c r="M18" s="463">
        <f>IFERROR(IF(DB_Customers!T12&lt;&gt;"",DB_Customers!T12,""),"")</f>
        <v/>
      </c>
      <c r="N18" s="467">
        <f>IFERROR(IF(DB_Customers!A12&lt;&gt;"",IF(DB_Customers!I12&gt;=10,"Active","Inactive"),""),"")</f>
        <v/>
      </c>
    </row>
    <row r="19" ht="18" customHeight="1" s="341">
      <c r="A19" s="468">
        <f>IF(DB_Customers!A13&lt;&gt;"",10,"")</f>
        <v/>
      </c>
      <c r="B19" s="469">
        <f>IFERROR(IF(DB_Customers!A13&lt;&gt;"",DB_Customers!A13,""),"")</f>
        <v/>
      </c>
      <c r="C19" s="470">
        <f>IFERROR(IF(DB_Customers!D13&lt;&gt;"",DB_Customers!D13,""),"")</f>
        <v/>
      </c>
      <c r="D19" s="471">
        <f>IFERROR(IF(DB_Customers!Q13&lt;&gt;"",DB_Customers!Q13,""),"")</f>
        <v/>
      </c>
      <c r="E19" s="470">
        <f>IFERROR(IF(DB_Customers!R13&lt;&gt;"",DB_Customers!R13,""),"")</f>
        <v/>
      </c>
      <c r="F19" s="470">
        <f>IFERROR(IF(DB_Customers!S13&lt;&gt;"",DB_Customers!S13,""),"")</f>
        <v/>
      </c>
      <c r="G19" s="470">
        <f>IFERROR(IF(DB_Customers!G13&lt;&gt;"",DB_Customers!G13,""),"")</f>
        <v/>
      </c>
      <c r="H19" s="472">
        <f>IFERROR(IF(DB_Customers!H13&lt;&gt;"",DB_Customers!H13,""),"")</f>
        <v/>
      </c>
      <c r="I19" s="473">
        <f>IFERROR(IF(DB_Customers!I13&lt;&gt;"",DB_Customers!I13,""),"")</f>
        <v/>
      </c>
      <c r="J19" s="471">
        <f>IFERROR(IF(DB_Customers!J13&lt;&gt;"",DB_Customers!J13,""),"")</f>
        <v/>
      </c>
      <c r="K19" s="470">
        <f>IFERROR(IF(DB_Customers!E13&lt;&gt;"",DB_Customers!E13,""),"")</f>
        <v/>
      </c>
      <c r="L19" s="470">
        <f>IFERROR(IF(DB_Customers!F13&lt;&gt;"",DB_Customers!F13,""),"")</f>
        <v/>
      </c>
      <c r="M19" s="470">
        <f>IFERROR(IF(DB_Customers!T13&lt;&gt;"",DB_Customers!T13,""),"")</f>
        <v/>
      </c>
      <c r="N19" s="474">
        <f>IFERROR(IF(DB_Customers!A13&lt;&gt;"",IF(DB_Customers!I13&gt;=10,"Active","Inactive"),""),"")</f>
        <v/>
      </c>
    </row>
    <row r="20" ht="18" customHeight="1" s="341">
      <c r="A20" s="461">
        <f>IF(DB_Customers!A14&lt;&gt;"",11,"")</f>
        <v/>
      </c>
      <c r="B20" s="462">
        <f>IFERROR(IF(DB_Customers!A14&lt;&gt;"",DB_Customers!A14,""),"")</f>
        <v/>
      </c>
      <c r="C20" s="463">
        <f>IFERROR(IF(DB_Customers!D14&lt;&gt;"",DB_Customers!D14,""),"")</f>
        <v/>
      </c>
      <c r="D20" s="464">
        <f>IFERROR(IF(DB_Customers!Q14&lt;&gt;"",DB_Customers!Q14,""),"")</f>
        <v/>
      </c>
      <c r="E20" s="463">
        <f>IFERROR(IF(DB_Customers!R14&lt;&gt;"",DB_Customers!R14,""),"")</f>
        <v/>
      </c>
      <c r="F20" s="463">
        <f>IFERROR(IF(DB_Customers!S14&lt;&gt;"",DB_Customers!S14,""),"")</f>
        <v/>
      </c>
      <c r="G20" s="463">
        <f>IFERROR(IF(DB_Customers!G14&lt;&gt;"",DB_Customers!G14,""),"")</f>
        <v/>
      </c>
      <c r="H20" s="465">
        <f>IFERROR(IF(DB_Customers!H14&lt;&gt;"",DB_Customers!H14,""),"")</f>
        <v/>
      </c>
      <c r="I20" s="466">
        <f>IFERROR(IF(DB_Customers!I14&lt;&gt;"",DB_Customers!I14,""),"")</f>
        <v/>
      </c>
      <c r="J20" s="464">
        <f>IFERROR(IF(DB_Customers!J14&lt;&gt;"",DB_Customers!J14,""),"")</f>
        <v/>
      </c>
      <c r="K20" s="463">
        <f>IFERROR(IF(DB_Customers!E14&lt;&gt;"",DB_Customers!E14,""),"")</f>
        <v/>
      </c>
      <c r="L20" s="463">
        <f>IFERROR(IF(DB_Customers!F14&lt;&gt;"",DB_Customers!F14,""),"")</f>
        <v/>
      </c>
      <c r="M20" s="463">
        <f>IFERROR(IF(DB_Customers!T14&lt;&gt;"",DB_Customers!T14,""),"")</f>
        <v/>
      </c>
      <c r="N20" s="467">
        <f>IFERROR(IF(DB_Customers!A14&lt;&gt;"",IF(DB_Customers!I14&gt;=10,"Active","Inactive"),""),"")</f>
        <v/>
      </c>
    </row>
    <row r="21" ht="18" customHeight="1" s="341">
      <c r="A21" s="468">
        <f>IF(DB_Customers!A15&lt;&gt;"",12,"")</f>
        <v/>
      </c>
      <c r="B21" s="469">
        <f>IFERROR(IF(DB_Customers!A15&lt;&gt;"",DB_Customers!A15,""),"")</f>
        <v/>
      </c>
      <c r="C21" s="470">
        <f>IFERROR(IF(DB_Customers!D15&lt;&gt;"",DB_Customers!D15,""),"")</f>
        <v/>
      </c>
      <c r="D21" s="471">
        <f>IFERROR(IF(DB_Customers!Q15&lt;&gt;"",DB_Customers!Q15,""),"")</f>
        <v/>
      </c>
      <c r="E21" s="470">
        <f>IFERROR(IF(DB_Customers!R15&lt;&gt;"",DB_Customers!R15,""),"")</f>
        <v/>
      </c>
      <c r="F21" s="470">
        <f>IFERROR(IF(DB_Customers!S15&lt;&gt;"",DB_Customers!S15,""),"")</f>
        <v/>
      </c>
      <c r="G21" s="470">
        <f>IFERROR(IF(DB_Customers!G15&lt;&gt;"",DB_Customers!G15,""),"")</f>
        <v/>
      </c>
      <c r="H21" s="472">
        <f>IFERROR(IF(DB_Customers!H15&lt;&gt;"",DB_Customers!H15,""),"")</f>
        <v/>
      </c>
      <c r="I21" s="473">
        <f>IFERROR(IF(DB_Customers!I15&lt;&gt;"",DB_Customers!I15,""),"")</f>
        <v/>
      </c>
      <c r="J21" s="471">
        <f>IFERROR(IF(DB_Customers!J15&lt;&gt;"",DB_Customers!J15,""),"")</f>
        <v/>
      </c>
      <c r="K21" s="470">
        <f>IFERROR(IF(DB_Customers!E15&lt;&gt;"",DB_Customers!E15,""),"")</f>
        <v/>
      </c>
      <c r="L21" s="470">
        <f>IFERROR(IF(DB_Customers!F15&lt;&gt;"",DB_Customers!F15,""),"")</f>
        <v/>
      </c>
      <c r="M21" s="470">
        <f>IFERROR(IF(DB_Customers!T15&lt;&gt;"",DB_Customers!T15,""),"")</f>
        <v/>
      </c>
      <c r="N21" s="474">
        <f>IFERROR(IF(DB_Customers!A15&lt;&gt;"",IF(DB_Customers!I15&gt;=10,"Active","Inactive"),""),"")</f>
        <v/>
      </c>
    </row>
    <row r="22" ht="18" customHeight="1" s="341">
      <c r="A22" s="461">
        <f>IF(DB_Customers!A16&lt;&gt;"",13,"")</f>
        <v/>
      </c>
      <c r="B22" s="462">
        <f>IFERROR(IF(DB_Customers!A16&lt;&gt;"",DB_Customers!A16,""),"")</f>
        <v/>
      </c>
      <c r="C22" s="463">
        <f>IFERROR(IF(DB_Customers!D16&lt;&gt;"",DB_Customers!D16,""),"")</f>
        <v/>
      </c>
      <c r="D22" s="464">
        <f>IFERROR(IF(DB_Customers!Q16&lt;&gt;"",DB_Customers!Q16,""),"")</f>
        <v/>
      </c>
      <c r="E22" s="463">
        <f>IFERROR(IF(DB_Customers!R16&lt;&gt;"",DB_Customers!R16,""),"")</f>
        <v/>
      </c>
      <c r="F22" s="463">
        <f>IFERROR(IF(DB_Customers!S16&lt;&gt;"",DB_Customers!S16,""),"")</f>
        <v/>
      </c>
      <c r="G22" s="463">
        <f>IFERROR(IF(DB_Customers!G16&lt;&gt;"",DB_Customers!G16,""),"")</f>
        <v/>
      </c>
      <c r="H22" s="465">
        <f>IFERROR(IF(DB_Customers!H16&lt;&gt;"",DB_Customers!H16,""),"")</f>
        <v/>
      </c>
      <c r="I22" s="466">
        <f>IFERROR(IF(DB_Customers!I16&lt;&gt;"",DB_Customers!I16,""),"")</f>
        <v/>
      </c>
      <c r="J22" s="464">
        <f>IFERROR(IF(DB_Customers!J16&lt;&gt;"",DB_Customers!J16,""),"")</f>
        <v/>
      </c>
      <c r="K22" s="463">
        <f>IFERROR(IF(DB_Customers!E16&lt;&gt;"",DB_Customers!E16,""),"")</f>
        <v/>
      </c>
      <c r="L22" s="463">
        <f>IFERROR(IF(DB_Customers!F16&lt;&gt;"",DB_Customers!F16,""),"")</f>
        <v/>
      </c>
      <c r="M22" s="463">
        <f>IFERROR(IF(DB_Customers!T16&lt;&gt;"",DB_Customers!T16,""),"")</f>
        <v/>
      </c>
      <c r="N22" s="467">
        <f>IFERROR(IF(DB_Customers!A16&lt;&gt;"",IF(DB_Customers!I16&gt;=10,"Active","Inactive"),""),"")</f>
        <v/>
      </c>
    </row>
    <row r="23" ht="18" customHeight="1" s="341">
      <c r="A23" s="468">
        <f>IF(DB_Customers!A17&lt;&gt;"",14,"")</f>
        <v/>
      </c>
      <c r="B23" s="469">
        <f>IFERROR(IF(DB_Customers!A17&lt;&gt;"",DB_Customers!A17,""),"")</f>
        <v/>
      </c>
      <c r="C23" s="470">
        <f>IFERROR(IF(DB_Customers!D17&lt;&gt;"",DB_Customers!D17,""),"")</f>
        <v/>
      </c>
      <c r="D23" s="471">
        <f>IFERROR(IF(DB_Customers!Q17&lt;&gt;"",DB_Customers!Q17,""),"")</f>
        <v/>
      </c>
      <c r="E23" s="470">
        <f>IFERROR(IF(DB_Customers!R17&lt;&gt;"",DB_Customers!R17,""),"")</f>
        <v/>
      </c>
      <c r="F23" s="470">
        <f>IFERROR(IF(DB_Customers!S17&lt;&gt;"",DB_Customers!S17,""),"")</f>
        <v/>
      </c>
      <c r="G23" s="470">
        <f>IFERROR(IF(DB_Customers!G17&lt;&gt;"",DB_Customers!G17,""),"")</f>
        <v/>
      </c>
      <c r="H23" s="472">
        <f>IFERROR(IF(DB_Customers!H17&lt;&gt;"",DB_Customers!H17,""),"")</f>
        <v/>
      </c>
      <c r="I23" s="473">
        <f>IFERROR(IF(DB_Customers!I17&lt;&gt;"",DB_Customers!I17,""),"")</f>
        <v/>
      </c>
      <c r="J23" s="471">
        <f>IFERROR(IF(DB_Customers!J17&lt;&gt;"",DB_Customers!J17,""),"")</f>
        <v/>
      </c>
      <c r="K23" s="470">
        <f>IFERROR(IF(DB_Customers!E17&lt;&gt;"",DB_Customers!E17,""),"")</f>
        <v/>
      </c>
      <c r="L23" s="470">
        <f>IFERROR(IF(DB_Customers!F17&lt;&gt;"",DB_Customers!F17,""),"")</f>
        <v/>
      </c>
      <c r="M23" s="470">
        <f>IFERROR(IF(DB_Customers!T17&lt;&gt;"",DB_Customers!T17,""),"")</f>
        <v/>
      </c>
      <c r="N23" s="474">
        <f>IFERROR(IF(DB_Customers!A17&lt;&gt;"",IF(DB_Customers!I17&gt;=10,"Active","Inactive"),""),"")</f>
        <v/>
      </c>
    </row>
    <row r="24" ht="18" customHeight="1" s="341">
      <c r="A24" s="461">
        <f>IF(DB_Customers!A18&lt;&gt;"",15,"")</f>
        <v/>
      </c>
      <c r="B24" s="462">
        <f>IFERROR(IF(DB_Customers!A18&lt;&gt;"",DB_Customers!A18,""),"")</f>
        <v/>
      </c>
      <c r="C24" s="463">
        <f>IFERROR(IF(DB_Customers!D18&lt;&gt;"",DB_Customers!D18,""),"")</f>
        <v/>
      </c>
      <c r="D24" s="464">
        <f>IFERROR(IF(DB_Customers!Q18&lt;&gt;"",DB_Customers!Q18,""),"")</f>
        <v/>
      </c>
      <c r="E24" s="463">
        <f>IFERROR(IF(DB_Customers!R18&lt;&gt;"",DB_Customers!R18,""),"")</f>
        <v/>
      </c>
      <c r="F24" s="463">
        <f>IFERROR(IF(DB_Customers!S18&lt;&gt;"",DB_Customers!S18,""),"")</f>
        <v/>
      </c>
      <c r="G24" s="463">
        <f>IFERROR(IF(DB_Customers!G18&lt;&gt;"",DB_Customers!G18,""),"")</f>
        <v/>
      </c>
      <c r="H24" s="465">
        <f>IFERROR(IF(DB_Customers!H18&lt;&gt;"",DB_Customers!H18,""),"")</f>
        <v/>
      </c>
      <c r="I24" s="466">
        <f>IFERROR(IF(DB_Customers!I18&lt;&gt;"",DB_Customers!I18,""),"")</f>
        <v/>
      </c>
      <c r="J24" s="464">
        <f>IFERROR(IF(DB_Customers!J18&lt;&gt;"",DB_Customers!J18,""),"")</f>
        <v/>
      </c>
      <c r="K24" s="463">
        <f>IFERROR(IF(DB_Customers!E18&lt;&gt;"",DB_Customers!E18,""),"")</f>
        <v/>
      </c>
      <c r="L24" s="463">
        <f>IFERROR(IF(DB_Customers!F18&lt;&gt;"",DB_Customers!F18,""),"")</f>
        <v/>
      </c>
      <c r="M24" s="463">
        <f>IFERROR(IF(DB_Customers!T18&lt;&gt;"",DB_Customers!T18,""),"")</f>
        <v/>
      </c>
      <c r="N24" s="467">
        <f>IFERROR(IF(DB_Customers!A18&lt;&gt;"",IF(DB_Customers!I18&gt;=10,"Active","Inactive"),""),"")</f>
        <v/>
      </c>
    </row>
    <row r="25" ht="18" customHeight="1" s="341">
      <c r="A25" s="468">
        <f>IF(DB_Customers!A19&lt;&gt;"",16,"")</f>
        <v/>
      </c>
      <c r="B25" s="469">
        <f>IFERROR(IF(DB_Customers!A19&lt;&gt;"",DB_Customers!A19,""),"")</f>
        <v/>
      </c>
      <c r="C25" s="470">
        <f>IFERROR(IF(DB_Customers!D19&lt;&gt;"",DB_Customers!D19,""),"")</f>
        <v/>
      </c>
      <c r="D25" s="471">
        <f>IFERROR(IF(DB_Customers!Q19&lt;&gt;"",DB_Customers!Q19,""),"")</f>
        <v/>
      </c>
      <c r="E25" s="470">
        <f>IFERROR(IF(DB_Customers!R19&lt;&gt;"",DB_Customers!R19,""),"")</f>
        <v/>
      </c>
      <c r="F25" s="470">
        <f>IFERROR(IF(DB_Customers!S19&lt;&gt;"",DB_Customers!S19,""),"")</f>
        <v/>
      </c>
      <c r="G25" s="470">
        <f>IFERROR(IF(DB_Customers!G19&lt;&gt;"",DB_Customers!G19,""),"")</f>
        <v/>
      </c>
      <c r="H25" s="472">
        <f>IFERROR(IF(DB_Customers!H19&lt;&gt;"",DB_Customers!H19,""),"")</f>
        <v/>
      </c>
      <c r="I25" s="473">
        <f>IFERROR(IF(DB_Customers!I19&lt;&gt;"",DB_Customers!I19,""),"")</f>
        <v/>
      </c>
      <c r="J25" s="471">
        <f>IFERROR(IF(DB_Customers!J19&lt;&gt;"",DB_Customers!J19,""),"")</f>
        <v/>
      </c>
      <c r="K25" s="470">
        <f>IFERROR(IF(DB_Customers!E19&lt;&gt;"",DB_Customers!E19,""),"")</f>
        <v/>
      </c>
      <c r="L25" s="470">
        <f>IFERROR(IF(DB_Customers!F19&lt;&gt;"",DB_Customers!F19,""),"")</f>
        <v/>
      </c>
      <c r="M25" s="470">
        <f>IFERROR(IF(DB_Customers!T19&lt;&gt;"",DB_Customers!T19,""),"")</f>
        <v/>
      </c>
      <c r="N25" s="474">
        <f>IFERROR(IF(DB_Customers!A19&lt;&gt;"",IF(DB_Customers!I19&gt;=10,"Active","Inactive"),""),"")</f>
        <v/>
      </c>
    </row>
    <row r="26" ht="18" customHeight="1" s="341">
      <c r="A26" s="461">
        <f>IF(DB_Customers!A20&lt;&gt;"",17,"")</f>
        <v/>
      </c>
      <c r="B26" s="462">
        <f>IFERROR(IF(DB_Customers!A20&lt;&gt;"",DB_Customers!A20,""),"")</f>
        <v/>
      </c>
      <c r="C26" s="463">
        <f>IFERROR(IF(DB_Customers!D20&lt;&gt;"",DB_Customers!D20,""),"")</f>
        <v/>
      </c>
      <c r="D26" s="464">
        <f>IFERROR(IF(DB_Customers!Q20&lt;&gt;"",DB_Customers!Q20,""),"")</f>
        <v/>
      </c>
      <c r="E26" s="463">
        <f>IFERROR(IF(DB_Customers!R20&lt;&gt;"",DB_Customers!R20,""),"")</f>
        <v/>
      </c>
      <c r="F26" s="463">
        <f>IFERROR(IF(DB_Customers!S20&lt;&gt;"",DB_Customers!S20,""),"")</f>
        <v/>
      </c>
      <c r="G26" s="463">
        <f>IFERROR(IF(DB_Customers!G20&lt;&gt;"",DB_Customers!G20,""),"")</f>
        <v/>
      </c>
      <c r="H26" s="465">
        <f>IFERROR(IF(DB_Customers!H20&lt;&gt;"",DB_Customers!H20,""),"")</f>
        <v/>
      </c>
      <c r="I26" s="466">
        <f>IFERROR(IF(DB_Customers!I20&lt;&gt;"",DB_Customers!I20,""),"")</f>
        <v/>
      </c>
      <c r="J26" s="464">
        <f>IFERROR(IF(DB_Customers!J20&lt;&gt;"",DB_Customers!J20,""),"")</f>
        <v/>
      </c>
      <c r="K26" s="463">
        <f>IFERROR(IF(DB_Customers!E20&lt;&gt;"",DB_Customers!E20,""),"")</f>
        <v/>
      </c>
      <c r="L26" s="463">
        <f>IFERROR(IF(DB_Customers!F20&lt;&gt;"",DB_Customers!F20,""),"")</f>
        <v/>
      </c>
      <c r="M26" s="463">
        <f>IFERROR(IF(DB_Customers!T20&lt;&gt;"",DB_Customers!T20,""),"")</f>
        <v/>
      </c>
      <c r="N26" s="467">
        <f>IFERROR(IF(DB_Customers!A20&lt;&gt;"",IF(DB_Customers!I20&gt;=10,"Active","Inactive"),""),"")</f>
        <v/>
      </c>
    </row>
    <row r="27" ht="18" customHeight="1" s="341">
      <c r="A27" s="468">
        <f>IF(DB_Customers!A21&lt;&gt;"",18,"")</f>
        <v/>
      </c>
      <c r="B27" s="469">
        <f>IFERROR(IF(DB_Customers!A21&lt;&gt;"",DB_Customers!A21,""),"")</f>
        <v/>
      </c>
      <c r="C27" s="470">
        <f>IFERROR(IF(DB_Customers!D21&lt;&gt;"",DB_Customers!D21,""),"")</f>
        <v/>
      </c>
      <c r="D27" s="471">
        <f>IFERROR(IF(DB_Customers!Q21&lt;&gt;"",DB_Customers!Q21,""),"")</f>
        <v/>
      </c>
      <c r="E27" s="470">
        <f>IFERROR(IF(DB_Customers!R21&lt;&gt;"",DB_Customers!R21,""),"")</f>
        <v/>
      </c>
      <c r="F27" s="470">
        <f>IFERROR(IF(DB_Customers!S21&lt;&gt;"",DB_Customers!S21,""),"")</f>
        <v/>
      </c>
      <c r="G27" s="470">
        <f>IFERROR(IF(DB_Customers!G21&lt;&gt;"",DB_Customers!G21,""),"")</f>
        <v/>
      </c>
      <c r="H27" s="472">
        <f>IFERROR(IF(DB_Customers!H21&lt;&gt;"",DB_Customers!H21,""),"")</f>
        <v/>
      </c>
      <c r="I27" s="473">
        <f>IFERROR(IF(DB_Customers!I21&lt;&gt;"",DB_Customers!I21,""),"")</f>
        <v/>
      </c>
      <c r="J27" s="471">
        <f>IFERROR(IF(DB_Customers!J21&lt;&gt;"",DB_Customers!J21,""),"")</f>
        <v/>
      </c>
      <c r="K27" s="470">
        <f>IFERROR(IF(DB_Customers!E21&lt;&gt;"",DB_Customers!E21,""),"")</f>
        <v/>
      </c>
      <c r="L27" s="470">
        <f>IFERROR(IF(DB_Customers!F21&lt;&gt;"",DB_Customers!F21,""),"")</f>
        <v/>
      </c>
      <c r="M27" s="470">
        <f>IFERROR(IF(DB_Customers!T21&lt;&gt;"",DB_Customers!T21,""),"")</f>
        <v/>
      </c>
      <c r="N27" s="474">
        <f>IFERROR(IF(DB_Customers!A21&lt;&gt;"",IF(DB_Customers!I21&gt;=10,"Active","Inactive"),""),"")</f>
        <v/>
      </c>
    </row>
    <row r="28" ht="18" customHeight="1" s="341">
      <c r="A28" s="461">
        <f>IF(DB_Customers!A22&lt;&gt;"",19,"")</f>
        <v/>
      </c>
      <c r="B28" s="462">
        <f>IFERROR(IF(DB_Customers!A22&lt;&gt;"",DB_Customers!A22,""),"")</f>
        <v/>
      </c>
      <c r="C28" s="463">
        <f>IFERROR(IF(DB_Customers!D22&lt;&gt;"",DB_Customers!D22,""),"")</f>
        <v/>
      </c>
      <c r="D28" s="464">
        <f>IFERROR(IF(DB_Customers!Q22&lt;&gt;"",DB_Customers!Q22,""),"")</f>
        <v/>
      </c>
      <c r="E28" s="463">
        <f>IFERROR(IF(DB_Customers!R22&lt;&gt;"",DB_Customers!R22,""),"")</f>
        <v/>
      </c>
      <c r="F28" s="463">
        <f>IFERROR(IF(DB_Customers!S22&lt;&gt;"",DB_Customers!S22,""),"")</f>
        <v/>
      </c>
      <c r="G28" s="463">
        <f>IFERROR(IF(DB_Customers!G22&lt;&gt;"",DB_Customers!G22,""),"")</f>
        <v/>
      </c>
      <c r="H28" s="465">
        <f>IFERROR(IF(DB_Customers!H22&lt;&gt;"",DB_Customers!H22,""),"")</f>
        <v/>
      </c>
      <c r="I28" s="466">
        <f>IFERROR(IF(DB_Customers!I22&lt;&gt;"",DB_Customers!I22,""),"")</f>
        <v/>
      </c>
      <c r="J28" s="464">
        <f>IFERROR(IF(DB_Customers!J22&lt;&gt;"",DB_Customers!J22,""),"")</f>
        <v/>
      </c>
      <c r="K28" s="463">
        <f>IFERROR(IF(DB_Customers!E22&lt;&gt;"",DB_Customers!E22,""),"")</f>
        <v/>
      </c>
      <c r="L28" s="463">
        <f>IFERROR(IF(DB_Customers!F22&lt;&gt;"",DB_Customers!F22,""),"")</f>
        <v/>
      </c>
      <c r="M28" s="463">
        <f>IFERROR(IF(DB_Customers!T22&lt;&gt;"",DB_Customers!T22,""),"")</f>
        <v/>
      </c>
      <c r="N28" s="467">
        <f>IFERROR(IF(DB_Customers!A22&lt;&gt;"",IF(DB_Customers!I22&gt;=10,"Active","Inactive"),""),"")</f>
        <v/>
      </c>
    </row>
    <row r="29" ht="18" customHeight="1" s="341">
      <c r="A29" s="468">
        <f>IF(DB_Customers!A23&lt;&gt;"",20,"")</f>
        <v/>
      </c>
      <c r="B29" s="469">
        <f>IFERROR(IF(DB_Customers!A23&lt;&gt;"",DB_Customers!A23,""),"")</f>
        <v/>
      </c>
      <c r="C29" s="470">
        <f>IFERROR(IF(DB_Customers!D23&lt;&gt;"",DB_Customers!D23,""),"")</f>
        <v/>
      </c>
      <c r="D29" s="471">
        <f>IFERROR(IF(DB_Customers!Q23&lt;&gt;"",DB_Customers!Q23,""),"")</f>
        <v/>
      </c>
      <c r="E29" s="470">
        <f>IFERROR(IF(DB_Customers!R23&lt;&gt;"",DB_Customers!R23,""),"")</f>
        <v/>
      </c>
      <c r="F29" s="470">
        <f>IFERROR(IF(DB_Customers!S23&lt;&gt;"",DB_Customers!S23,""),"")</f>
        <v/>
      </c>
      <c r="G29" s="470">
        <f>IFERROR(IF(DB_Customers!G23&lt;&gt;"",DB_Customers!G23,""),"")</f>
        <v/>
      </c>
      <c r="H29" s="472">
        <f>IFERROR(IF(DB_Customers!H23&lt;&gt;"",DB_Customers!H23,""),"")</f>
        <v/>
      </c>
      <c r="I29" s="473">
        <f>IFERROR(IF(DB_Customers!I23&lt;&gt;"",DB_Customers!I23,""),"")</f>
        <v/>
      </c>
      <c r="J29" s="471">
        <f>IFERROR(IF(DB_Customers!J23&lt;&gt;"",DB_Customers!J23,""),"")</f>
        <v/>
      </c>
      <c r="K29" s="470">
        <f>IFERROR(IF(DB_Customers!E23&lt;&gt;"",DB_Customers!E23,""),"")</f>
        <v/>
      </c>
      <c r="L29" s="470">
        <f>IFERROR(IF(DB_Customers!F23&lt;&gt;"",DB_Customers!F23,""),"")</f>
        <v/>
      </c>
      <c r="M29" s="470">
        <f>IFERROR(IF(DB_Customers!T23&lt;&gt;"",DB_Customers!T23,""),"")</f>
        <v/>
      </c>
      <c r="N29" s="474">
        <f>IFERROR(IF(DB_Customers!A23&lt;&gt;"",IF(DB_Customers!I23&gt;=10,"Active","Inactive"),""),"")</f>
        <v/>
      </c>
    </row>
    <row r="30" ht="18" customHeight="1" s="341">
      <c r="A30" s="461">
        <f>IF(DB_Customers!A24&lt;&gt;"",21,"")</f>
        <v/>
      </c>
      <c r="B30" s="462">
        <f>IFERROR(IF(DB_Customers!A24&lt;&gt;"",DB_Customers!A24,""),"")</f>
        <v/>
      </c>
      <c r="C30" s="463">
        <f>IFERROR(IF(DB_Customers!D24&lt;&gt;"",DB_Customers!D24,""),"")</f>
        <v/>
      </c>
      <c r="D30" s="464">
        <f>IFERROR(IF(DB_Customers!Q24&lt;&gt;"",DB_Customers!Q24,""),"")</f>
        <v/>
      </c>
      <c r="E30" s="463">
        <f>IFERROR(IF(DB_Customers!R24&lt;&gt;"",DB_Customers!R24,""),"")</f>
        <v/>
      </c>
      <c r="F30" s="463">
        <f>IFERROR(IF(DB_Customers!S24&lt;&gt;"",DB_Customers!S24,""),"")</f>
        <v/>
      </c>
      <c r="G30" s="463">
        <f>IFERROR(IF(DB_Customers!G24&lt;&gt;"",DB_Customers!G24,""),"")</f>
        <v/>
      </c>
      <c r="H30" s="465">
        <f>IFERROR(IF(DB_Customers!H24&lt;&gt;"",DB_Customers!H24,""),"")</f>
        <v/>
      </c>
      <c r="I30" s="466">
        <f>IFERROR(IF(DB_Customers!I24&lt;&gt;"",DB_Customers!I24,""),"")</f>
        <v/>
      </c>
      <c r="J30" s="464">
        <f>IFERROR(IF(DB_Customers!J24&lt;&gt;"",DB_Customers!J24,""),"")</f>
        <v/>
      </c>
      <c r="K30" s="463">
        <f>IFERROR(IF(DB_Customers!E24&lt;&gt;"",DB_Customers!E24,""),"")</f>
        <v/>
      </c>
      <c r="L30" s="463">
        <f>IFERROR(IF(DB_Customers!F24&lt;&gt;"",DB_Customers!F24,""),"")</f>
        <v/>
      </c>
      <c r="M30" s="463">
        <f>IFERROR(IF(DB_Customers!T24&lt;&gt;"",DB_Customers!T24,""),"")</f>
        <v/>
      </c>
      <c r="N30" s="467">
        <f>IFERROR(IF(DB_Customers!A24&lt;&gt;"",IF(DB_Customers!I24&gt;=10,"Active","Inactive"),""),"")</f>
        <v/>
      </c>
    </row>
    <row r="31" ht="18" customHeight="1" s="341">
      <c r="A31" s="468">
        <f>IF(DB_Customers!A25&lt;&gt;"",22,"")</f>
        <v/>
      </c>
      <c r="B31" s="469">
        <f>IFERROR(IF(DB_Customers!A25&lt;&gt;"",DB_Customers!A25,""),"")</f>
        <v/>
      </c>
      <c r="C31" s="470">
        <f>IFERROR(IF(DB_Customers!D25&lt;&gt;"",DB_Customers!D25,""),"")</f>
        <v/>
      </c>
      <c r="D31" s="471">
        <f>IFERROR(IF(DB_Customers!Q25&lt;&gt;"",DB_Customers!Q25,""),"")</f>
        <v/>
      </c>
      <c r="E31" s="470">
        <f>IFERROR(IF(DB_Customers!R25&lt;&gt;"",DB_Customers!R25,""),"")</f>
        <v/>
      </c>
      <c r="F31" s="470">
        <f>IFERROR(IF(DB_Customers!S25&lt;&gt;"",DB_Customers!S25,""),"")</f>
        <v/>
      </c>
      <c r="G31" s="470">
        <f>IFERROR(IF(DB_Customers!G25&lt;&gt;"",DB_Customers!G25,""),"")</f>
        <v/>
      </c>
      <c r="H31" s="472">
        <f>IFERROR(IF(DB_Customers!H25&lt;&gt;"",DB_Customers!H25,""),"")</f>
        <v/>
      </c>
      <c r="I31" s="473">
        <f>IFERROR(IF(DB_Customers!I25&lt;&gt;"",DB_Customers!I25,""),"")</f>
        <v/>
      </c>
      <c r="J31" s="471">
        <f>IFERROR(IF(DB_Customers!J25&lt;&gt;"",DB_Customers!J25,""),"")</f>
        <v/>
      </c>
      <c r="K31" s="470">
        <f>IFERROR(IF(DB_Customers!E25&lt;&gt;"",DB_Customers!E25,""),"")</f>
        <v/>
      </c>
      <c r="L31" s="470">
        <f>IFERROR(IF(DB_Customers!F25&lt;&gt;"",DB_Customers!F25,""),"")</f>
        <v/>
      </c>
      <c r="M31" s="470">
        <f>IFERROR(IF(DB_Customers!T25&lt;&gt;"",DB_Customers!T25,""),"")</f>
        <v/>
      </c>
      <c r="N31" s="474">
        <f>IFERROR(IF(DB_Customers!A25&lt;&gt;"",IF(DB_Customers!I25&gt;=10,"Active","Inactive"),""),"")</f>
        <v/>
      </c>
    </row>
    <row r="32" ht="18" customHeight="1" s="341">
      <c r="A32" s="461">
        <f>IF(DB_Customers!A26&lt;&gt;"",23,"")</f>
        <v/>
      </c>
      <c r="B32" s="462">
        <f>IFERROR(IF(DB_Customers!A26&lt;&gt;"",DB_Customers!A26,""),"")</f>
        <v/>
      </c>
      <c r="C32" s="463">
        <f>IFERROR(IF(DB_Customers!D26&lt;&gt;"",DB_Customers!D26,""),"")</f>
        <v/>
      </c>
      <c r="D32" s="464">
        <f>IFERROR(IF(DB_Customers!Q26&lt;&gt;"",DB_Customers!Q26,""),"")</f>
        <v/>
      </c>
      <c r="E32" s="463">
        <f>IFERROR(IF(DB_Customers!R26&lt;&gt;"",DB_Customers!R26,""),"")</f>
        <v/>
      </c>
      <c r="F32" s="463">
        <f>IFERROR(IF(DB_Customers!S26&lt;&gt;"",DB_Customers!S26,""),"")</f>
        <v/>
      </c>
      <c r="G32" s="463">
        <f>IFERROR(IF(DB_Customers!G26&lt;&gt;"",DB_Customers!G26,""),"")</f>
        <v/>
      </c>
      <c r="H32" s="465">
        <f>IFERROR(IF(DB_Customers!H26&lt;&gt;"",DB_Customers!H26,""),"")</f>
        <v/>
      </c>
      <c r="I32" s="466">
        <f>IFERROR(IF(DB_Customers!I26&lt;&gt;"",DB_Customers!I26,""),"")</f>
        <v/>
      </c>
      <c r="J32" s="464">
        <f>IFERROR(IF(DB_Customers!J26&lt;&gt;"",DB_Customers!J26,""),"")</f>
        <v/>
      </c>
      <c r="K32" s="463">
        <f>IFERROR(IF(DB_Customers!E26&lt;&gt;"",DB_Customers!E26,""),"")</f>
        <v/>
      </c>
      <c r="L32" s="463">
        <f>IFERROR(IF(DB_Customers!F26&lt;&gt;"",DB_Customers!F26,""),"")</f>
        <v/>
      </c>
      <c r="M32" s="463">
        <f>IFERROR(IF(DB_Customers!T26&lt;&gt;"",DB_Customers!T26,""),"")</f>
        <v/>
      </c>
      <c r="N32" s="467">
        <f>IFERROR(IF(DB_Customers!A26&lt;&gt;"",IF(DB_Customers!I26&gt;=10,"Active","Inactive"),""),"")</f>
        <v/>
      </c>
    </row>
    <row r="33" ht="18" customHeight="1" s="341">
      <c r="A33" s="468">
        <f>IF(DB_Customers!A27&lt;&gt;"",24,"")</f>
        <v/>
      </c>
      <c r="B33" s="469">
        <f>IFERROR(IF(DB_Customers!A27&lt;&gt;"",DB_Customers!A27,""),"")</f>
        <v/>
      </c>
      <c r="C33" s="470">
        <f>IFERROR(IF(DB_Customers!D27&lt;&gt;"",DB_Customers!D27,""),"")</f>
        <v/>
      </c>
      <c r="D33" s="471">
        <f>IFERROR(IF(DB_Customers!Q27&lt;&gt;"",DB_Customers!Q27,""),"")</f>
        <v/>
      </c>
      <c r="E33" s="470">
        <f>IFERROR(IF(DB_Customers!R27&lt;&gt;"",DB_Customers!R27,""),"")</f>
        <v/>
      </c>
      <c r="F33" s="470">
        <f>IFERROR(IF(DB_Customers!S27&lt;&gt;"",DB_Customers!S27,""),"")</f>
        <v/>
      </c>
      <c r="G33" s="470">
        <f>IFERROR(IF(DB_Customers!G27&lt;&gt;"",DB_Customers!G27,""),"")</f>
        <v/>
      </c>
      <c r="H33" s="472">
        <f>IFERROR(IF(DB_Customers!H27&lt;&gt;"",DB_Customers!H27,""),"")</f>
        <v/>
      </c>
      <c r="I33" s="473">
        <f>IFERROR(IF(DB_Customers!I27&lt;&gt;"",DB_Customers!I27,""),"")</f>
        <v/>
      </c>
      <c r="J33" s="471">
        <f>IFERROR(IF(DB_Customers!J27&lt;&gt;"",DB_Customers!J27,""),"")</f>
        <v/>
      </c>
      <c r="K33" s="470">
        <f>IFERROR(IF(DB_Customers!E27&lt;&gt;"",DB_Customers!E27,""),"")</f>
        <v/>
      </c>
      <c r="L33" s="470">
        <f>IFERROR(IF(DB_Customers!F27&lt;&gt;"",DB_Customers!F27,""),"")</f>
        <v/>
      </c>
      <c r="M33" s="470">
        <f>IFERROR(IF(DB_Customers!T27&lt;&gt;"",DB_Customers!T27,""),"")</f>
        <v/>
      </c>
      <c r="N33" s="474">
        <f>IFERROR(IF(DB_Customers!A27&lt;&gt;"",IF(DB_Customers!I27&gt;=10,"Active","Inactive"),""),"")</f>
        <v/>
      </c>
    </row>
    <row r="34" ht="18" customHeight="1" s="341">
      <c r="A34" s="461">
        <f>IF(DB_Customers!A28&lt;&gt;"",25,"")</f>
        <v/>
      </c>
      <c r="B34" s="462">
        <f>IFERROR(IF(DB_Customers!A28&lt;&gt;"",DB_Customers!A28,""),"")</f>
        <v/>
      </c>
      <c r="C34" s="463">
        <f>IFERROR(IF(DB_Customers!D28&lt;&gt;"",DB_Customers!D28,""),"")</f>
        <v/>
      </c>
      <c r="D34" s="464">
        <f>IFERROR(IF(DB_Customers!Q28&lt;&gt;"",DB_Customers!Q28,""),"")</f>
        <v/>
      </c>
      <c r="E34" s="463">
        <f>IFERROR(IF(DB_Customers!R28&lt;&gt;"",DB_Customers!R28,""),"")</f>
        <v/>
      </c>
      <c r="F34" s="463">
        <f>IFERROR(IF(DB_Customers!S28&lt;&gt;"",DB_Customers!S28,""),"")</f>
        <v/>
      </c>
      <c r="G34" s="463">
        <f>IFERROR(IF(DB_Customers!G28&lt;&gt;"",DB_Customers!G28,""),"")</f>
        <v/>
      </c>
      <c r="H34" s="465">
        <f>IFERROR(IF(DB_Customers!H28&lt;&gt;"",DB_Customers!H28,""),"")</f>
        <v/>
      </c>
      <c r="I34" s="466">
        <f>IFERROR(IF(DB_Customers!I28&lt;&gt;"",DB_Customers!I28,""),"")</f>
        <v/>
      </c>
      <c r="J34" s="464">
        <f>IFERROR(IF(DB_Customers!J28&lt;&gt;"",DB_Customers!J28,""),"")</f>
        <v/>
      </c>
      <c r="K34" s="463">
        <f>IFERROR(IF(DB_Customers!E28&lt;&gt;"",DB_Customers!E28,""),"")</f>
        <v/>
      </c>
      <c r="L34" s="463">
        <f>IFERROR(IF(DB_Customers!F28&lt;&gt;"",DB_Customers!F28,""),"")</f>
        <v/>
      </c>
      <c r="M34" s="463">
        <f>IFERROR(IF(DB_Customers!T28&lt;&gt;"",DB_Customers!T28,""),"")</f>
        <v/>
      </c>
      <c r="N34" s="467">
        <f>IFERROR(IF(DB_Customers!A28&lt;&gt;"",IF(DB_Customers!I28&gt;=10,"Active","Inactive"),""),"")</f>
        <v/>
      </c>
    </row>
    <row r="35" ht="18" customHeight="1" s="341">
      <c r="A35" s="468">
        <f>IF(DB_Customers!A29&lt;&gt;"",26,"")</f>
        <v/>
      </c>
      <c r="B35" s="469">
        <f>IFERROR(IF(DB_Customers!A29&lt;&gt;"",DB_Customers!A29,""),"")</f>
        <v/>
      </c>
      <c r="C35" s="470">
        <f>IFERROR(IF(DB_Customers!D29&lt;&gt;"",DB_Customers!D29,""),"")</f>
        <v/>
      </c>
      <c r="D35" s="471">
        <f>IFERROR(IF(DB_Customers!Q29&lt;&gt;"",DB_Customers!Q29,""),"")</f>
        <v/>
      </c>
      <c r="E35" s="470">
        <f>IFERROR(IF(DB_Customers!R29&lt;&gt;"",DB_Customers!R29,""),"")</f>
        <v/>
      </c>
      <c r="F35" s="470">
        <f>IFERROR(IF(DB_Customers!S29&lt;&gt;"",DB_Customers!S29,""),"")</f>
        <v/>
      </c>
      <c r="G35" s="470">
        <f>IFERROR(IF(DB_Customers!G29&lt;&gt;"",DB_Customers!G29,""),"")</f>
        <v/>
      </c>
      <c r="H35" s="472">
        <f>IFERROR(IF(DB_Customers!H29&lt;&gt;"",DB_Customers!H29,""),"")</f>
        <v/>
      </c>
      <c r="I35" s="473">
        <f>IFERROR(IF(DB_Customers!I29&lt;&gt;"",DB_Customers!I29,""),"")</f>
        <v/>
      </c>
      <c r="J35" s="471">
        <f>IFERROR(IF(DB_Customers!J29&lt;&gt;"",DB_Customers!J29,""),"")</f>
        <v/>
      </c>
      <c r="K35" s="470">
        <f>IFERROR(IF(DB_Customers!E29&lt;&gt;"",DB_Customers!E29,""),"")</f>
        <v/>
      </c>
      <c r="L35" s="470">
        <f>IFERROR(IF(DB_Customers!F29&lt;&gt;"",DB_Customers!F29,""),"")</f>
        <v/>
      </c>
      <c r="M35" s="470">
        <f>IFERROR(IF(DB_Customers!T29&lt;&gt;"",DB_Customers!T29,""),"")</f>
        <v/>
      </c>
      <c r="N35" s="474">
        <f>IFERROR(IF(DB_Customers!A29&lt;&gt;"",IF(DB_Customers!I29&gt;=10,"Active","Inactive"),""),"")</f>
        <v/>
      </c>
    </row>
    <row r="36" ht="18" customHeight="1" s="341">
      <c r="A36" s="461">
        <f>IF(DB_Customers!A30&lt;&gt;"",27,"")</f>
        <v/>
      </c>
      <c r="B36" s="462">
        <f>IFERROR(IF(DB_Customers!A30&lt;&gt;"",DB_Customers!A30,""),"")</f>
        <v/>
      </c>
      <c r="C36" s="463">
        <f>IFERROR(IF(DB_Customers!D30&lt;&gt;"",DB_Customers!D30,""),"")</f>
        <v/>
      </c>
      <c r="D36" s="464">
        <f>IFERROR(IF(DB_Customers!Q30&lt;&gt;"",DB_Customers!Q30,""),"")</f>
        <v/>
      </c>
      <c r="E36" s="463">
        <f>IFERROR(IF(DB_Customers!R30&lt;&gt;"",DB_Customers!R30,""),"")</f>
        <v/>
      </c>
      <c r="F36" s="463">
        <f>IFERROR(IF(DB_Customers!S30&lt;&gt;"",DB_Customers!S30,""),"")</f>
        <v/>
      </c>
      <c r="G36" s="463">
        <f>IFERROR(IF(DB_Customers!G30&lt;&gt;"",DB_Customers!G30,""),"")</f>
        <v/>
      </c>
      <c r="H36" s="465">
        <f>IFERROR(IF(DB_Customers!H30&lt;&gt;"",DB_Customers!H30,""),"")</f>
        <v/>
      </c>
      <c r="I36" s="466">
        <f>IFERROR(IF(DB_Customers!I30&lt;&gt;"",DB_Customers!I30,""),"")</f>
        <v/>
      </c>
      <c r="J36" s="464">
        <f>IFERROR(IF(DB_Customers!J30&lt;&gt;"",DB_Customers!J30,""),"")</f>
        <v/>
      </c>
      <c r="K36" s="463">
        <f>IFERROR(IF(DB_Customers!E30&lt;&gt;"",DB_Customers!E30,""),"")</f>
        <v/>
      </c>
      <c r="L36" s="463">
        <f>IFERROR(IF(DB_Customers!F30&lt;&gt;"",DB_Customers!F30,""),"")</f>
        <v/>
      </c>
      <c r="M36" s="463">
        <f>IFERROR(IF(DB_Customers!T30&lt;&gt;"",DB_Customers!T30,""),"")</f>
        <v/>
      </c>
      <c r="N36" s="467">
        <f>IFERROR(IF(DB_Customers!A30&lt;&gt;"",IF(DB_Customers!I30&gt;=10,"Active","Inactive"),""),"")</f>
        <v/>
      </c>
    </row>
    <row r="37" ht="18" customHeight="1" s="341">
      <c r="A37" s="468">
        <f>IF(DB_Customers!A31&lt;&gt;"",28,"")</f>
        <v/>
      </c>
      <c r="B37" s="469">
        <f>IFERROR(IF(DB_Customers!A31&lt;&gt;"",DB_Customers!A31,""),"")</f>
        <v/>
      </c>
      <c r="C37" s="470">
        <f>IFERROR(IF(DB_Customers!D31&lt;&gt;"",DB_Customers!D31,""),"")</f>
        <v/>
      </c>
      <c r="D37" s="471">
        <f>IFERROR(IF(DB_Customers!Q31&lt;&gt;"",DB_Customers!Q31,""),"")</f>
        <v/>
      </c>
      <c r="E37" s="470">
        <f>IFERROR(IF(DB_Customers!R31&lt;&gt;"",DB_Customers!R31,""),"")</f>
        <v/>
      </c>
      <c r="F37" s="470">
        <f>IFERROR(IF(DB_Customers!S31&lt;&gt;"",DB_Customers!S31,""),"")</f>
        <v/>
      </c>
      <c r="G37" s="470">
        <f>IFERROR(IF(DB_Customers!G31&lt;&gt;"",DB_Customers!G31,""),"")</f>
        <v/>
      </c>
      <c r="H37" s="472">
        <f>IFERROR(IF(DB_Customers!H31&lt;&gt;"",DB_Customers!H31,""),"")</f>
        <v/>
      </c>
      <c r="I37" s="473">
        <f>IFERROR(IF(DB_Customers!I31&lt;&gt;"",DB_Customers!I31,""),"")</f>
        <v/>
      </c>
      <c r="J37" s="471">
        <f>IFERROR(IF(DB_Customers!J31&lt;&gt;"",DB_Customers!J31,""),"")</f>
        <v/>
      </c>
      <c r="K37" s="470">
        <f>IFERROR(IF(DB_Customers!E31&lt;&gt;"",DB_Customers!E31,""),"")</f>
        <v/>
      </c>
      <c r="L37" s="470">
        <f>IFERROR(IF(DB_Customers!F31&lt;&gt;"",DB_Customers!F31,""),"")</f>
        <v/>
      </c>
      <c r="M37" s="470">
        <f>IFERROR(IF(DB_Customers!T31&lt;&gt;"",DB_Customers!T31,""),"")</f>
        <v/>
      </c>
      <c r="N37" s="474">
        <f>IFERROR(IF(DB_Customers!A31&lt;&gt;"",IF(DB_Customers!I31&gt;=10,"Active","Inactive"),""),"")</f>
        <v/>
      </c>
    </row>
    <row r="38" ht="18" customHeight="1" s="341">
      <c r="A38" s="461">
        <f>IF(DB_Customers!A32&lt;&gt;"",29,"")</f>
        <v/>
      </c>
      <c r="B38" s="462">
        <f>IFERROR(IF(DB_Customers!A32&lt;&gt;"",DB_Customers!A32,""),"")</f>
        <v/>
      </c>
      <c r="C38" s="463">
        <f>IFERROR(IF(DB_Customers!D32&lt;&gt;"",DB_Customers!D32,""),"")</f>
        <v/>
      </c>
      <c r="D38" s="464">
        <f>IFERROR(IF(DB_Customers!Q32&lt;&gt;"",DB_Customers!Q32,""),"")</f>
        <v/>
      </c>
      <c r="E38" s="463">
        <f>IFERROR(IF(DB_Customers!R32&lt;&gt;"",DB_Customers!R32,""),"")</f>
        <v/>
      </c>
      <c r="F38" s="463">
        <f>IFERROR(IF(DB_Customers!S32&lt;&gt;"",DB_Customers!S32,""),"")</f>
        <v/>
      </c>
      <c r="G38" s="463">
        <f>IFERROR(IF(DB_Customers!G32&lt;&gt;"",DB_Customers!G32,""),"")</f>
        <v/>
      </c>
      <c r="H38" s="465">
        <f>IFERROR(IF(DB_Customers!H32&lt;&gt;"",DB_Customers!H32,""),"")</f>
        <v/>
      </c>
      <c r="I38" s="466">
        <f>IFERROR(IF(DB_Customers!I32&lt;&gt;"",DB_Customers!I32,""),"")</f>
        <v/>
      </c>
      <c r="J38" s="464">
        <f>IFERROR(IF(DB_Customers!J32&lt;&gt;"",DB_Customers!J32,""),"")</f>
        <v/>
      </c>
      <c r="K38" s="463">
        <f>IFERROR(IF(DB_Customers!E32&lt;&gt;"",DB_Customers!E32,""),"")</f>
        <v/>
      </c>
      <c r="L38" s="463">
        <f>IFERROR(IF(DB_Customers!F32&lt;&gt;"",DB_Customers!F32,""),"")</f>
        <v/>
      </c>
      <c r="M38" s="463">
        <f>IFERROR(IF(DB_Customers!T32&lt;&gt;"",DB_Customers!T32,""),"")</f>
        <v/>
      </c>
      <c r="N38" s="467">
        <f>IFERROR(IF(DB_Customers!A32&lt;&gt;"",IF(DB_Customers!I32&gt;=10,"Active","Inactive"),""),"")</f>
        <v/>
      </c>
    </row>
    <row r="39" ht="18" customHeight="1" s="341">
      <c r="A39" s="468">
        <f>IF(DB_Customers!A33&lt;&gt;"",30,"")</f>
        <v/>
      </c>
      <c r="B39" s="469">
        <f>IFERROR(IF(DB_Customers!A33&lt;&gt;"",DB_Customers!A33,""),"")</f>
        <v/>
      </c>
      <c r="C39" s="470">
        <f>IFERROR(IF(DB_Customers!D33&lt;&gt;"",DB_Customers!D33,""),"")</f>
        <v/>
      </c>
      <c r="D39" s="471">
        <f>IFERROR(IF(DB_Customers!Q33&lt;&gt;"",DB_Customers!Q33,""),"")</f>
        <v/>
      </c>
      <c r="E39" s="470">
        <f>IFERROR(IF(DB_Customers!R33&lt;&gt;"",DB_Customers!R33,""),"")</f>
        <v/>
      </c>
      <c r="F39" s="470">
        <f>IFERROR(IF(DB_Customers!S33&lt;&gt;"",DB_Customers!S33,""),"")</f>
        <v/>
      </c>
      <c r="G39" s="470">
        <f>IFERROR(IF(DB_Customers!G33&lt;&gt;"",DB_Customers!G33,""),"")</f>
        <v/>
      </c>
      <c r="H39" s="472">
        <f>IFERROR(IF(DB_Customers!H33&lt;&gt;"",DB_Customers!H33,""),"")</f>
        <v/>
      </c>
      <c r="I39" s="473">
        <f>IFERROR(IF(DB_Customers!I33&lt;&gt;"",DB_Customers!I33,""),"")</f>
        <v/>
      </c>
      <c r="J39" s="471">
        <f>IFERROR(IF(DB_Customers!J33&lt;&gt;"",DB_Customers!J33,""),"")</f>
        <v/>
      </c>
      <c r="K39" s="470">
        <f>IFERROR(IF(DB_Customers!E33&lt;&gt;"",DB_Customers!E33,""),"")</f>
        <v/>
      </c>
      <c r="L39" s="470">
        <f>IFERROR(IF(DB_Customers!F33&lt;&gt;"",DB_Customers!F33,""),"")</f>
        <v/>
      </c>
      <c r="M39" s="470">
        <f>IFERROR(IF(DB_Customers!T33&lt;&gt;"",DB_Customers!T33,""),"")</f>
        <v/>
      </c>
      <c r="N39" s="474">
        <f>IFERROR(IF(DB_Customers!A33&lt;&gt;"",IF(DB_Customers!I33&gt;=10,"Active","Inactive"),""),"")</f>
        <v/>
      </c>
    </row>
    <row r="40" ht="18" customHeight="1" s="341">
      <c r="A40" s="461">
        <f>IF(DB_Customers!A34&lt;&gt;"",31,"")</f>
        <v/>
      </c>
      <c r="B40" s="462">
        <f>IFERROR(IF(DB_Customers!A34&lt;&gt;"",DB_Customers!A34,""),"")</f>
        <v/>
      </c>
      <c r="C40" s="463">
        <f>IFERROR(IF(DB_Customers!D34&lt;&gt;"",DB_Customers!D34,""),"")</f>
        <v/>
      </c>
      <c r="D40" s="464">
        <f>IFERROR(IF(DB_Customers!Q34&lt;&gt;"",DB_Customers!Q34,""),"")</f>
        <v/>
      </c>
      <c r="E40" s="463">
        <f>IFERROR(IF(DB_Customers!R34&lt;&gt;"",DB_Customers!R34,""),"")</f>
        <v/>
      </c>
      <c r="F40" s="463">
        <f>IFERROR(IF(DB_Customers!S34&lt;&gt;"",DB_Customers!S34,""),"")</f>
        <v/>
      </c>
      <c r="G40" s="463">
        <f>IFERROR(IF(DB_Customers!G34&lt;&gt;"",DB_Customers!G34,""),"")</f>
        <v/>
      </c>
      <c r="H40" s="465">
        <f>IFERROR(IF(DB_Customers!H34&lt;&gt;"",DB_Customers!H34,""),"")</f>
        <v/>
      </c>
      <c r="I40" s="466">
        <f>IFERROR(IF(DB_Customers!I34&lt;&gt;"",DB_Customers!I34,""),"")</f>
        <v/>
      </c>
      <c r="J40" s="464">
        <f>IFERROR(IF(DB_Customers!J34&lt;&gt;"",DB_Customers!J34,""),"")</f>
        <v/>
      </c>
      <c r="K40" s="463">
        <f>IFERROR(IF(DB_Customers!E34&lt;&gt;"",DB_Customers!E34,""),"")</f>
        <v/>
      </c>
      <c r="L40" s="463">
        <f>IFERROR(IF(DB_Customers!F34&lt;&gt;"",DB_Customers!F34,""),"")</f>
        <v/>
      </c>
      <c r="M40" s="463">
        <f>IFERROR(IF(DB_Customers!T34&lt;&gt;"",DB_Customers!T34,""),"")</f>
        <v/>
      </c>
      <c r="N40" s="467">
        <f>IFERROR(IF(DB_Customers!A34&lt;&gt;"",IF(DB_Customers!I34&gt;=10,"Active","Inactive"),""),"")</f>
        <v/>
      </c>
    </row>
    <row r="41" ht="18" customHeight="1" s="341">
      <c r="A41" s="468">
        <f>IF(DB_Customers!A35&lt;&gt;"",32,"")</f>
        <v/>
      </c>
      <c r="B41" s="469">
        <f>IFERROR(IF(DB_Customers!A35&lt;&gt;"",DB_Customers!A35,""),"")</f>
        <v/>
      </c>
      <c r="C41" s="470">
        <f>IFERROR(IF(DB_Customers!D35&lt;&gt;"",DB_Customers!D35,""),"")</f>
        <v/>
      </c>
      <c r="D41" s="471">
        <f>IFERROR(IF(DB_Customers!Q35&lt;&gt;"",DB_Customers!Q35,""),"")</f>
        <v/>
      </c>
      <c r="E41" s="470">
        <f>IFERROR(IF(DB_Customers!R35&lt;&gt;"",DB_Customers!R35,""),"")</f>
        <v/>
      </c>
      <c r="F41" s="470">
        <f>IFERROR(IF(DB_Customers!S35&lt;&gt;"",DB_Customers!S35,""),"")</f>
        <v/>
      </c>
      <c r="G41" s="470">
        <f>IFERROR(IF(DB_Customers!G35&lt;&gt;"",DB_Customers!G35,""),"")</f>
        <v/>
      </c>
      <c r="H41" s="472">
        <f>IFERROR(IF(DB_Customers!H35&lt;&gt;"",DB_Customers!H35,""),"")</f>
        <v/>
      </c>
      <c r="I41" s="473">
        <f>IFERROR(IF(DB_Customers!I35&lt;&gt;"",DB_Customers!I35,""),"")</f>
        <v/>
      </c>
      <c r="J41" s="471">
        <f>IFERROR(IF(DB_Customers!J35&lt;&gt;"",DB_Customers!J35,""),"")</f>
        <v/>
      </c>
      <c r="K41" s="470">
        <f>IFERROR(IF(DB_Customers!E35&lt;&gt;"",DB_Customers!E35,""),"")</f>
        <v/>
      </c>
      <c r="L41" s="470">
        <f>IFERROR(IF(DB_Customers!F35&lt;&gt;"",DB_Customers!F35,""),"")</f>
        <v/>
      </c>
      <c r="M41" s="470">
        <f>IFERROR(IF(DB_Customers!T35&lt;&gt;"",DB_Customers!T35,""),"")</f>
        <v/>
      </c>
      <c r="N41" s="474">
        <f>IFERROR(IF(DB_Customers!A35&lt;&gt;"",IF(DB_Customers!I35&gt;=10,"Active","Inactive"),""),"")</f>
        <v/>
      </c>
    </row>
    <row r="42" ht="18" customHeight="1" s="341">
      <c r="A42" s="461">
        <f>IF(DB_Customers!A36&lt;&gt;"",33,"")</f>
        <v/>
      </c>
      <c r="B42" s="462">
        <f>IFERROR(IF(DB_Customers!A36&lt;&gt;"",DB_Customers!A36,""),"")</f>
        <v/>
      </c>
      <c r="C42" s="463">
        <f>IFERROR(IF(DB_Customers!D36&lt;&gt;"",DB_Customers!D36,""),"")</f>
        <v/>
      </c>
      <c r="D42" s="464">
        <f>IFERROR(IF(DB_Customers!Q36&lt;&gt;"",DB_Customers!Q36,""),"")</f>
        <v/>
      </c>
      <c r="E42" s="463">
        <f>IFERROR(IF(DB_Customers!R36&lt;&gt;"",DB_Customers!R36,""),"")</f>
        <v/>
      </c>
      <c r="F42" s="463">
        <f>IFERROR(IF(DB_Customers!S36&lt;&gt;"",DB_Customers!S36,""),"")</f>
        <v/>
      </c>
      <c r="G42" s="463">
        <f>IFERROR(IF(DB_Customers!G36&lt;&gt;"",DB_Customers!G36,""),"")</f>
        <v/>
      </c>
      <c r="H42" s="465">
        <f>IFERROR(IF(DB_Customers!H36&lt;&gt;"",DB_Customers!H36,""),"")</f>
        <v/>
      </c>
      <c r="I42" s="466">
        <f>IFERROR(IF(DB_Customers!I36&lt;&gt;"",DB_Customers!I36,""),"")</f>
        <v/>
      </c>
      <c r="J42" s="464">
        <f>IFERROR(IF(DB_Customers!J36&lt;&gt;"",DB_Customers!J36,""),"")</f>
        <v/>
      </c>
      <c r="K42" s="463">
        <f>IFERROR(IF(DB_Customers!E36&lt;&gt;"",DB_Customers!E36,""),"")</f>
        <v/>
      </c>
      <c r="L42" s="463">
        <f>IFERROR(IF(DB_Customers!F36&lt;&gt;"",DB_Customers!F36,""),"")</f>
        <v/>
      </c>
      <c r="M42" s="463">
        <f>IFERROR(IF(DB_Customers!T36&lt;&gt;"",DB_Customers!T36,""),"")</f>
        <v/>
      </c>
      <c r="N42" s="467">
        <f>IFERROR(IF(DB_Customers!A36&lt;&gt;"",IF(DB_Customers!I36&gt;=10,"Active","Inactive"),""),"")</f>
        <v/>
      </c>
    </row>
    <row r="43" ht="18" customHeight="1" s="341">
      <c r="A43" s="468">
        <f>IF(DB_Customers!A37&lt;&gt;"",34,"")</f>
        <v/>
      </c>
      <c r="B43" s="469">
        <f>IFERROR(IF(DB_Customers!A37&lt;&gt;"",DB_Customers!A37,""),"")</f>
        <v/>
      </c>
      <c r="C43" s="470">
        <f>IFERROR(IF(DB_Customers!D37&lt;&gt;"",DB_Customers!D37,""),"")</f>
        <v/>
      </c>
      <c r="D43" s="471">
        <f>IFERROR(IF(DB_Customers!Q37&lt;&gt;"",DB_Customers!Q37,""),"")</f>
        <v/>
      </c>
      <c r="E43" s="470">
        <f>IFERROR(IF(DB_Customers!R37&lt;&gt;"",DB_Customers!R37,""),"")</f>
        <v/>
      </c>
      <c r="F43" s="470">
        <f>IFERROR(IF(DB_Customers!S37&lt;&gt;"",DB_Customers!S37,""),"")</f>
        <v/>
      </c>
      <c r="G43" s="470">
        <f>IFERROR(IF(DB_Customers!G37&lt;&gt;"",DB_Customers!G37,""),"")</f>
        <v/>
      </c>
      <c r="H43" s="472">
        <f>IFERROR(IF(DB_Customers!H37&lt;&gt;"",DB_Customers!H37,""),"")</f>
        <v/>
      </c>
      <c r="I43" s="473">
        <f>IFERROR(IF(DB_Customers!I37&lt;&gt;"",DB_Customers!I37,""),"")</f>
        <v/>
      </c>
      <c r="J43" s="471">
        <f>IFERROR(IF(DB_Customers!J37&lt;&gt;"",DB_Customers!J37,""),"")</f>
        <v/>
      </c>
      <c r="K43" s="470">
        <f>IFERROR(IF(DB_Customers!E37&lt;&gt;"",DB_Customers!E37,""),"")</f>
        <v/>
      </c>
      <c r="L43" s="470">
        <f>IFERROR(IF(DB_Customers!F37&lt;&gt;"",DB_Customers!F37,""),"")</f>
        <v/>
      </c>
      <c r="M43" s="470">
        <f>IFERROR(IF(DB_Customers!T37&lt;&gt;"",DB_Customers!T37,""),"")</f>
        <v/>
      </c>
      <c r="N43" s="474">
        <f>IFERROR(IF(DB_Customers!A37&lt;&gt;"",IF(DB_Customers!I37&gt;=10,"Active","Inactive"),""),"")</f>
        <v/>
      </c>
    </row>
    <row r="44" ht="18" customHeight="1" s="341">
      <c r="A44" s="461">
        <f>IF(DB_Customers!A38&lt;&gt;"",35,"")</f>
        <v/>
      </c>
      <c r="B44" s="462">
        <f>IFERROR(IF(DB_Customers!A38&lt;&gt;"",DB_Customers!A38,""),"")</f>
        <v/>
      </c>
      <c r="C44" s="463">
        <f>IFERROR(IF(DB_Customers!D38&lt;&gt;"",DB_Customers!D38,""),"")</f>
        <v/>
      </c>
      <c r="D44" s="464">
        <f>IFERROR(IF(DB_Customers!Q38&lt;&gt;"",DB_Customers!Q38,""),"")</f>
        <v/>
      </c>
      <c r="E44" s="463">
        <f>IFERROR(IF(DB_Customers!R38&lt;&gt;"",DB_Customers!R38,""),"")</f>
        <v/>
      </c>
      <c r="F44" s="463">
        <f>IFERROR(IF(DB_Customers!S38&lt;&gt;"",DB_Customers!S38,""),"")</f>
        <v/>
      </c>
      <c r="G44" s="463">
        <f>IFERROR(IF(DB_Customers!G38&lt;&gt;"",DB_Customers!G38,""),"")</f>
        <v/>
      </c>
      <c r="H44" s="465">
        <f>IFERROR(IF(DB_Customers!H38&lt;&gt;"",DB_Customers!H38,""),"")</f>
        <v/>
      </c>
      <c r="I44" s="466">
        <f>IFERROR(IF(DB_Customers!I38&lt;&gt;"",DB_Customers!I38,""),"")</f>
        <v/>
      </c>
      <c r="J44" s="464">
        <f>IFERROR(IF(DB_Customers!J38&lt;&gt;"",DB_Customers!J38,""),"")</f>
        <v/>
      </c>
      <c r="K44" s="463">
        <f>IFERROR(IF(DB_Customers!E38&lt;&gt;"",DB_Customers!E38,""),"")</f>
        <v/>
      </c>
      <c r="L44" s="463">
        <f>IFERROR(IF(DB_Customers!F38&lt;&gt;"",DB_Customers!F38,""),"")</f>
        <v/>
      </c>
      <c r="M44" s="463">
        <f>IFERROR(IF(DB_Customers!T38&lt;&gt;"",DB_Customers!T38,""),"")</f>
        <v/>
      </c>
      <c r="N44" s="467">
        <f>IFERROR(IF(DB_Customers!A38&lt;&gt;"",IF(DB_Customers!I38&gt;=10,"Active","Inactive"),""),"")</f>
        <v/>
      </c>
    </row>
    <row r="45" ht="18" customHeight="1" s="341">
      <c r="A45" s="468">
        <f>IF(DB_Customers!A39&lt;&gt;"",36,"")</f>
        <v/>
      </c>
      <c r="B45" s="469">
        <f>IFERROR(IF(DB_Customers!A39&lt;&gt;"",DB_Customers!A39,""),"")</f>
        <v/>
      </c>
      <c r="C45" s="470">
        <f>IFERROR(IF(DB_Customers!D39&lt;&gt;"",DB_Customers!D39,""),"")</f>
        <v/>
      </c>
      <c r="D45" s="471">
        <f>IFERROR(IF(DB_Customers!Q39&lt;&gt;"",DB_Customers!Q39,""),"")</f>
        <v/>
      </c>
      <c r="E45" s="470">
        <f>IFERROR(IF(DB_Customers!R39&lt;&gt;"",DB_Customers!R39,""),"")</f>
        <v/>
      </c>
      <c r="F45" s="470">
        <f>IFERROR(IF(DB_Customers!S39&lt;&gt;"",DB_Customers!S39,""),"")</f>
        <v/>
      </c>
      <c r="G45" s="470">
        <f>IFERROR(IF(DB_Customers!G39&lt;&gt;"",DB_Customers!G39,""),"")</f>
        <v/>
      </c>
      <c r="H45" s="472">
        <f>IFERROR(IF(DB_Customers!H39&lt;&gt;"",DB_Customers!H39,""),"")</f>
        <v/>
      </c>
      <c r="I45" s="473">
        <f>IFERROR(IF(DB_Customers!I39&lt;&gt;"",DB_Customers!I39,""),"")</f>
        <v/>
      </c>
      <c r="J45" s="471">
        <f>IFERROR(IF(DB_Customers!J39&lt;&gt;"",DB_Customers!J39,""),"")</f>
        <v/>
      </c>
      <c r="K45" s="470">
        <f>IFERROR(IF(DB_Customers!E39&lt;&gt;"",DB_Customers!E39,""),"")</f>
        <v/>
      </c>
      <c r="L45" s="470">
        <f>IFERROR(IF(DB_Customers!F39&lt;&gt;"",DB_Customers!F39,""),"")</f>
        <v/>
      </c>
      <c r="M45" s="470">
        <f>IFERROR(IF(DB_Customers!T39&lt;&gt;"",DB_Customers!T39,""),"")</f>
        <v/>
      </c>
      <c r="N45" s="474">
        <f>IFERROR(IF(DB_Customers!A39&lt;&gt;"",IF(DB_Customers!I39&gt;=10,"Active","Inactive"),""),"")</f>
        <v/>
      </c>
    </row>
    <row r="46" ht="18" customHeight="1" s="341">
      <c r="A46" s="461">
        <f>IF(DB_Customers!A40&lt;&gt;"",37,"")</f>
        <v/>
      </c>
      <c r="B46" s="462">
        <f>IFERROR(IF(DB_Customers!A40&lt;&gt;"",DB_Customers!A40,""),"")</f>
        <v/>
      </c>
      <c r="C46" s="463">
        <f>IFERROR(IF(DB_Customers!D40&lt;&gt;"",DB_Customers!D40,""),"")</f>
        <v/>
      </c>
      <c r="D46" s="464">
        <f>IFERROR(IF(DB_Customers!Q40&lt;&gt;"",DB_Customers!Q40,""),"")</f>
        <v/>
      </c>
      <c r="E46" s="463">
        <f>IFERROR(IF(DB_Customers!R40&lt;&gt;"",DB_Customers!R40,""),"")</f>
        <v/>
      </c>
      <c r="F46" s="463">
        <f>IFERROR(IF(DB_Customers!S40&lt;&gt;"",DB_Customers!S40,""),"")</f>
        <v/>
      </c>
      <c r="G46" s="463">
        <f>IFERROR(IF(DB_Customers!G40&lt;&gt;"",DB_Customers!G40,""),"")</f>
        <v/>
      </c>
      <c r="H46" s="465">
        <f>IFERROR(IF(DB_Customers!H40&lt;&gt;"",DB_Customers!H40,""),"")</f>
        <v/>
      </c>
      <c r="I46" s="466">
        <f>IFERROR(IF(DB_Customers!I40&lt;&gt;"",DB_Customers!I40,""),"")</f>
        <v/>
      </c>
      <c r="J46" s="464">
        <f>IFERROR(IF(DB_Customers!J40&lt;&gt;"",DB_Customers!J40,""),"")</f>
        <v/>
      </c>
      <c r="K46" s="463">
        <f>IFERROR(IF(DB_Customers!E40&lt;&gt;"",DB_Customers!E40,""),"")</f>
        <v/>
      </c>
      <c r="L46" s="463">
        <f>IFERROR(IF(DB_Customers!F40&lt;&gt;"",DB_Customers!F40,""),"")</f>
        <v/>
      </c>
      <c r="M46" s="463">
        <f>IFERROR(IF(DB_Customers!T40&lt;&gt;"",DB_Customers!T40,""),"")</f>
        <v/>
      </c>
      <c r="N46" s="467">
        <f>IFERROR(IF(DB_Customers!A40&lt;&gt;"",IF(DB_Customers!I40&gt;=10,"Active","Inactive"),""),"")</f>
        <v/>
      </c>
    </row>
    <row r="47" ht="18" customHeight="1" s="341">
      <c r="A47" s="468">
        <f>IF(DB_Customers!A41&lt;&gt;"",38,"")</f>
        <v/>
      </c>
      <c r="B47" s="469">
        <f>IFERROR(IF(DB_Customers!A41&lt;&gt;"",DB_Customers!A41,""),"")</f>
        <v/>
      </c>
      <c r="C47" s="470">
        <f>IFERROR(IF(DB_Customers!D41&lt;&gt;"",DB_Customers!D41,""),"")</f>
        <v/>
      </c>
      <c r="D47" s="471">
        <f>IFERROR(IF(DB_Customers!Q41&lt;&gt;"",DB_Customers!Q41,""),"")</f>
        <v/>
      </c>
      <c r="E47" s="470">
        <f>IFERROR(IF(DB_Customers!R41&lt;&gt;"",DB_Customers!R41,""),"")</f>
        <v/>
      </c>
      <c r="F47" s="470">
        <f>IFERROR(IF(DB_Customers!S41&lt;&gt;"",DB_Customers!S41,""),"")</f>
        <v/>
      </c>
      <c r="G47" s="470">
        <f>IFERROR(IF(DB_Customers!G41&lt;&gt;"",DB_Customers!G41,""),"")</f>
        <v/>
      </c>
      <c r="H47" s="472">
        <f>IFERROR(IF(DB_Customers!H41&lt;&gt;"",DB_Customers!H41,""),"")</f>
        <v/>
      </c>
      <c r="I47" s="473">
        <f>IFERROR(IF(DB_Customers!I41&lt;&gt;"",DB_Customers!I41,""),"")</f>
        <v/>
      </c>
      <c r="J47" s="471">
        <f>IFERROR(IF(DB_Customers!J41&lt;&gt;"",DB_Customers!J41,""),"")</f>
        <v/>
      </c>
      <c r="K47" s="470">
        <f>IFERROR(IF(DB_Customers!E41&lt;&gt;"",DB_Customers!E41,""),"")</f>
        <v/>
      </c>
      <c r="L47" s="470">
        <f>IFERROR(IF(DB_Customers!F41&lt;&gt;"",DB_Customers!F41,""),"")</f>
        <v/>
      </c>
      <c r="M47" s="470">
        <f>IFERROR(IF(DB_Customers!T41&lt;&gt;"",DB_Customers!T41,""),"")</f>
        <v/>
      </c>
      <c r="N47" s="474">
        <f>IFERROR(IF(DB_Customers!A41&lt;&gt;"",IF(DB_Customers!I41&gt;=10,"Active","Inactive"),""),"")</f>
        <v/>
      </c>
    </row>
    <row r="48" ht="18" customHeight="1" s="341">
      <c r="A48" s="461">
        <f>IF(DB_Customers!A42&lt;&gt;"",39,"")</f>
        <v/>
      </c>
      <c r="B48" s="462">
        <f>IFERROR(IF(DB_Customers!A42&lt;&gt;"",DB_Customers!A42,""),"")</f>
        <v/>
      </c>
      <c r="C48" s="463">
        <f>IFERROR(IF(DB_Customers!D42&lt;&gt;"",DB_Customers!D42,""),"")</f>
        <v/>
      </c>
      <c r="D48" s="464">
        <f>IFERROR(IF(DB_Customers!Q42&lt;&gt;"",DB_Customers!Q42,""),"")</f>
        <v/>
      </c>
      <c r="E48" s="463">
        <f>IFERROR(IF(DB_Customers!R42&lt;&gt;"",DB_Customers!R42,""),"")</f>
        <v/>
      </c>
      <c r="F48" s="463">
        <f>IFERROR(IF(DB_Customers!S42&lt;&gt;"",DB_Customers!S42,""),"")</f>
        <v/>
      </c>
      <c r="G48" s="463">
        <f>IFERROR(IF(DB_Customers!G42&lt;&gt;"",DB_Customers!G42,""),"")</f>
        <v/>
      </c>
      <c r="H48" s="465">
        <f>IFERROR(IF(DB_Customers!H42&lt;&gt;"",DB_Customers!H42,""),"")</f>
        <v/>
      </c>
      <c r="I48" s="466">
        <f>IFERROR(IF(DB_Customers!I42&lt;&gt;"",DB_Customers!I42,""),"")</f>
        <v/>
      </c>
      <c r="J48" s="464">
        <f>IFERROR(IF(DB_Customers!J42&lt;&gt;"",DB_Customers!J42,""),"")</f>
        <v/>
      </c>
      <c r="K48" s="463">
        <f>IFERROR(IF(DB_Customers!E42&lt;&gt;"",DB_Customers!E42,""),"")</f>
        <v/>
      </c>
      <c r="L48" s="463">
        <f>IFERROR(IF(DB_Customers!F42&lt;&gt;"",DB_Customers!F42,""),"")</f>
        <v/>
      </c>
      <c r="M48" s="463">
        <f>IFERROR(IF(DB_Customers!T42&lt;&gt;"",DB_Customers!T42,""),"")</f>
        <v/>
      </c>
      <c r="N48" s="467">
        <f>IFERROR(IF(DB_Customers!A42&lt;&gt;"",IF(DB_Customers!I42&gt;=10,"Active","Inactive"),""),"")</f>
        <v/>
      </c>
    </row>
    <row r="49" ht="18" customHeight="1" s="341">
      <c r="A49" s="468">
        <f>IF(DB_Customers!A43&lt;&gt;"",40,"")</f>
        <v/>
      </c>
      <c r="B49" s="469">
        <f>IFERROR(IF(DB_Customers!A43&lt;&gt;"",DB_Customers!A43,""),"")</f>
        <v/>
      </c>
      <c r="C49" s="470">
        <f>IFERROR(IF(DB_Customers!D43&lt;&gt;"",DB_Customers!D43,""),"")</f>
        <v/>
      </c>
      <c r="D49" s="471">
        <f>IFERROR(IF(DB_Customers!Q43&lt;&gt;"",DB_Customers!Q43,""),"")</f>
        <v/>
      </c>
      <c r="E49" s="470">
        <f>IFERROR(IF(DB_Customers!R43&lt;&gt;"",DB_Customers!R43,""),"")</f>
        <v/>
      </c>
      <c r="F49" s="470">
        <f>IFERROR(IF(DB_Customers!S43&lt;&gt;"",DB_Customers!S43,""),"")</f>
        <v/>
      </c>
      <c r="G49" s="470">
        <f>IFERROR(IF(DB_Customers!G43&lt;&gt;"",DB_Customers!G43,""),"")</f>
        <v/>
      </c>
      <c r="H49" s="472">
        <f>IFERROR(IF(DB_Customers!H43&lt;&gt;"",DB_Customers!H43,""),"")</f>
        <v/>
      </c>
      <c r="I49" s="473">
        <f>IFERROR(IF(DB_Customers!I43&lt;&gt;"",DB_Customers!I43,""),"")</f>
        <v/>
      </c>
      <c r="J49" s="471">
        <f>IFERROR(IF(DB_Customers!J43&lt;&gt;"",DB_Customers!J43,""),"")</f>
        <v/>
      </c>
      <c r="K49" s="470">
        <f>IFERROR(IF(DB_Customers!E43&lt;&gt;"",DB_Customers!E43,""),"")</f>
        <v/>
      </c>
      <c r="L49" s="470">
        <f>IFERROR(IF(DB_Customers!F43&lt;&gt;"",DB_Customers!F43,""),"")</f>
        <v/>
      </c>
      <c r="M49" s="470">
        <f>IFERROR(IF(DB_Customers!T43&lt;&gt;"",DB_Customers!T43,""),"")</f>
        <v/>
      </c>
      <c r="N49" s="474">
        <f>IFERROR(IF(DB_Customers!A43&lt;&gt;"",IF(DB_Customers!I43&gt;=10,"Active","Inactive"),""),"")</f>
        <v/>
      </c>
    </row>
    <row r="50" ht="18" customHeight="1" s="341">
      <c r="A50" s="461">
        <f>IF(DB_Customers!A44&lt;&gt;"",41,"")</f>
        <v/>
      </c>
      <c r="B50" s="462">
        <f>IFERROR(IF(DB_Customers!A44&lt;&gt;"",DB_Customers!A44,""),"")</f>
        <v/>
      </c>
      <c r="C50" s="463">
        <f>IFERROR(IF(DB_Customers!D44&lt;&gt;"",DB_Customers!D44,""),"")</f>
        <v/>
      </c>
      <c r="D50" s="464">
        <f>IFERROR(IF(DB_Customers!Q44&lt;&gt;"",DB_Customers!Q44,""),"")</f>
        <v/>
      </c>
      <c r="E50" s="463">
        <f>IFERROR(IF(DB_Customers!R44&lt;&gt;"",DB_Customers!R44,""),"")</f>
        <v/>
      </c>
      <c r="F50" s="463">
        <f>IFERROR(IF(DB_Customers!S44&lt;&gt;"",DB_Customers!S44,""),"")</f>
        <v/>
      </c>
      <c r="G50" s="463">
        <f>IFERROR(IF(DB_Customers!G44&lt;&gt;"",DB_Customers!G44,""),"")</f>
        <v/>
      </c>
      <c r="H50" s="465">
        <f>IFERROR(IF(DB_Customers!H44&lt;&gt;"",DB_Customers!H44,""),"")</f>
        <v/>
      </c>
      <c r="I50" s="466">
        <f>IFERROR(IF(DB_Customers!I44&lt;&gt;"",DB_Customers!I44,""),"")</f>
        <v/>
      </c>
      <c r="J50" s="464">
        <f>IFERROR(IF(DB_Customers!J44&lt;&gt;"",DB_Customers!J44,""),"")</f>
        <v/>
      </c>
      <c r="K50" s="463">
        <f>IFERROR(IF(DB_Customers!E44&lt;&gt;"",DB_Customers!E44,""),"")</f>
        <v/>
      </c>
      <c r="L50" s="463">
        <f>IFERROR(IF(DB_Customers!F44&lt;&gt;"",DB_Customers!F44,""),"")</f>
        <v/>
      </c>
      <c r="M50" s="463">
        <f>IFERROR(IF(DB_Customers!T44&lt;&gt;"",DB_Customers!T44,""),"")</f>
        <v/>
      </c>
      <c r="N50" s="467">
        <f>IFERROR(IF(DB_Customers!A44&lt;&gt;"",IF(DB_Customers!I44&gt;=10,"Active","Inactive"),""),"")</f>
        <v/>
      </c>
    </row>
    <row r="51" ht="18" customHeight="1" s="341">
      <c r="A51" s="468">
        <f>IF(DB_Customers!A45&lt;&gt;"",42,"")</f>
        <v/>
      </c>
      <c r="B51" s="469">
        <f>IFERROR(IF(DB_Customers!A45&lt;&gt;"",DB_Customers!A45,""),"")</f>
        <v/>
      </c>
      <c r="C51" s="470">
        <f>IFERROR(IF(DB_Customers!D45&lt;&gt;"",DB_Customers!D45,""),"")</f>
        <v/>
      </c>
      <c r="D51" s="471">
        <f>IFERROR(IF(DB_Customers!Q45&lt;&gt;"",DB_Customers!Q45,""),"")</f>
        <v/>
      </c>
      <c r="E51" s="470">
        <f>IFERROR(IF(DB_Customers!R45&lt;&gt;"",DB_Customers!R45,""),"")</f>
        <v/>
      </c>
      <c r="F51" s="470">
        <f>IFERROR(IF(DB_Customers!S45&lt;&gt;"",DB_Customers!S45,""),"")</f>
        <v/>
      </c>
      <c r="G51" s="470">
        <f>IFERROR(IF(DB_Customers!G45&lt;&gt;"",DB_Customers!G45,""),"")</f>
        <v/>
      </c>
      <c r="H51" s="472">
        <f>IFERROR(IF(DB_Customers!H45&lt;&gt;"",DB_Customers!H45,""),"")</f>
        <v/>
      </c>
      <c r="I51" s="473">
        <f>IFERROR(IF(DB_Customers!I45&lt;&gt;"",DB_Customers!I45,""),"")</f>
        <v/>
      </c>
      <c r="J51" s="471">
        <f>IFERROR(IF(DB_Customers!J45&lt;&gt;"",DB_Customers!J45,""),"")</f>
        <v/>
      </c>
      <c r="K51" s="470">
        <f>IFERROR(IF(DB_Customers!E45&lt;&gt;"",DB_Customers!E45,""),"")</f>
        <v/>
      </c>
      <c r="L51" s="470">
        <f>IFERROR(IF(DB_Customers!F45&lt;&gt;"",DB_Customers!F45,""),"")</f>
        <v/>
      </c>
      <c r="M51" s="470">
        <f>IFERROR(IF(DB_Customers!T45&lt;&gt;"",DB_Customers!T45,""),"")</f>
        <v/>
      </c>
      <c r="N51" s="474">
        <f>IFERROR(IF(DB_Customers!A45&lt;&gt;"",IF(DB_Customers!I45&gt;=10,"Active","Inactive"),""),"")</f>
        <v/>
      </c>
    </row>
    <row r="52" ht="18" customHeight="1" s="341">
      <c r="A52" s="461">
        <f>IF(DB_Customers!A46&lt;&gt;"",43,"")</f>
        <v/>
      </c>
      <c r="B52" s="462">
        <f>IFERROR(IF(DB_Customers!A46&lt;&gt;"",DB_Customers!A46,""),"")</f>
        <v/>
      </c>
      <c r="C52" s="463">
        <f>IFERROR(IF(DB_Customers!D46&lt;&gt;"",DB_Customers!D46,""),"")</f>
        <v/>
      </c>
      <c r="D52" s="464">
        <f>IFERROR(IF(DB_Customers!Q46&lt;&gt;"",DB_Customers!Q46,""),"")</f>
        <v/>
      </c>
      <c r="E52" s="463">
        <f>IFERROR(IF(DB_Customers!R46&lt;&gt;"",DB_Customers!R46,""),"")</f>
        <v/>
      </c>
      <c r="F52" s="463">
        <f>IFERROR(IF(DB_Customers!S46&lt;&gt;"",DB_Customers!S46,""),"")</f>
        <v/>
      </c>
      <c r="G52" s="463">
        <f>IFERROR(IF(DB_Customers!G46&lt;&gt;"",DB_Customers!G46,""),"")</f>
        <v/>
      </c>
      <c r="H52" s="465">
        <f>IFERROR(IF(DB_Customers!H46&lt;&gt;"",DB_Customers!H46,""),"")</f>
        <v/>
      </c>
      <c r="I52" s="466">
        <f>IFERROR(IF(DB_Customers!I46&lt;&gt;"",DB_Customers!I46,""),"")</f>
        <v/>
      </c>
      <c r="J52" s="464">
        <f>IFERROR(IF(DB_Customers!J46&lt;&gt;"",DB_Customers!J46,""),"")</f>
        <v/>
      </c>
      <c r="K52" s="463">
        <f>IFERROR(IF(DB_Customers!E46&lt;&gt;"",DB_Customers!E46,""),"")</f>
        <v/>
      </c>
      <c r="L52" s="463">
        <f>IFERROR(IF(DB_Customers!F46&lt;&gt;"",DB_Customers!F46,""),"")</f>
        <v/>
      </c>
      <c r="M52" s="463">
        <f>IFERROR(IF(DB_Customers!T46&lt;&gt;"",DB_Customers!T46,""),"")</f>
        <v/>
      </c>
      <c r="N52" s="467">
        <f>IFERROR(IF(DB_Customers!A46&lt;&gt;"",IF(DB_Customers!I46&gt;=10,"Active","Inactive"),""),"")</f>
        <v/>
      </c>
    </row>
    <row r="53" ht="18" customHeight="1" s="341">
      <c r="A53" s="468">
        <f>IF(DB_Customers!A47&lt;&gt;"",44,"")</f>
        <v/>
      </c>
      <c r="B53" s="469">
        <f>IFERROR(IF(DB_Customers!A47&lt;&gt;"",DB_Customers!A47,""),"")</f>
        <v/>
      </c>
      <c r="C53" s="470">
        <f>IFERROR(IF(DB_Customers!D47&lt;&gt;"",DB_Customers!D47,""),"")</f>
        <v/>
      </c>
      <c r="D53" s="471">
        <f>IFERROR(IF(DB_Customers!Q47&lt;&gt;"",DB_Customers!Q47,""),"")</f>
        <v/>
      </c>
      <c r="E53" s="470">
        <f>IFERROR(IF(DB_Customers!R47&lt;&gt;"",DB_Customers!R47,""),"")</f>
        <v/>
      </c>
      <c r="F53" s="470">
        <f>IFERROR(IF(DB_Customers!S47&lt;&gt;"",DB_Customers!S47,""),"")</f>
        <v/>
      </c>
      <c r="G53" s="470">
        <f>IFERROR(IF(DB_Customers!G47&lt;&gt;"",DB_Customers!G47,""),"")</f>
        <v/>
      </c>
      <c r="H53" s="472">
        <f>IFERROR(IF(DB_Customers!H47&lt;&gt;"",DB_Customers!H47,""),"")</f>
        <v/>
      </c>
      <c r="I53" s="473">
        <f>IFERROR(IF(DB_Customers!I47&lt;&gt;"",DB_Customers!I47,""),"")</f>
        <v/>
      </c>
      <c r="J53" s="471">
        <f>IFERROR(IF(DB_Customers!J47&lt;&gt;"",DB_Customers!J47,""),"")</f>
        <v/>
      </c>
      <c r="K53" s="470">
        <f>IFERROR(IF(DB_Customers!E47&lt;&gt;"",DB_Customers!E47,""),"")</f>
        <v/>
      </c>
      <c r="L53" s="470">
        <f>IFERROR(IF(DB_Customers!F47&lt;&gt;"",DB_Customers!F47,""),"")</f>
        <v/>
      </c>
      <c r="M53" s="470">
        <f>IFERROR(IF(DB_Customers!T47&lt;&gt;"",DB_Customers!T47,""),"")</f>
        <v/>
      </c>
      <c r="N53" s="474">
        <f>IFERROR(IF(DB_Customers!A47&lt;&gt;"",IF(DB_Customers!I47&gt;=10,"Active","Inactive"),""),"")</f>
        <v/>
      </c>
    </row>
    <row r="54" ht="18" customHeight="1" s="341">
      <c r="A54" s="461">
        <f>IF(DB_Customers!A48&lt;&gt;"",45,"")</f>
        <v/>
      </c>
      <c r="B54" s="462">
        <f>IFERROR(IF(DB_Customers!A48&lt;&gt;"",DB_Customers!A48,""),"")</f>
        <v/>
      </c>
      <c r="C54" s="463">
        <f>IFERROR(IF(DB_Customers!D48&lt;&gt;"",DB_Customers!D48,""),"")</f>
        <v/>
      </c>
      <c r="D54" s="464">
        <f>IFERROR(IF(DB_Customers!Q48&lt;&gt;"",DB_Customers!Q48,""),"")</f>
        <v/>
      </c>
      <c r="E54" s="463">
        <f>IFERROR(IF(DB_Customers!R48&lt;&gt;"",DB_Customers!R48,""),"")</f>
        <v/>
      </c>
      <c r="F54" s="463">
        <f>IFERROR(IF(DB_Customers!S48&lt;&gt;"",DB_Customers!S48,""),"")</f>
        <v/>
      </c>
      <c r="G54" s="463">
        <f>IFERROR(IF(DB_Customers!G48&lt;&gt;"",DB_Customers!G48,""),"")</f>
        <v/>
      </c>
      <c r="H54" s="465">
        <f>IFERROR(IF(DB_Customers!H48&lt;&gt;"",DB_Customers!H48,""),"")</f>
        <v/>
      </c>
      <c r="I54" s="466">
        <f>IFERROR(IF(DB_Customers!I48&lt;&gt;"",DB_Customers!I48,""),"")</f>
        <v/>
      </c>
      <c r="J54" s="464">
        <f>IFERROR(IF(DB_Customers!J48&lt;&gt;"",DB_Customers!J48,""),"")</f>
        <v/>
      </c>
      <c r="K54" s="463">
        <f>IFERROR(IF(DB_Customers!E48&lt;&gt;"",DB_Customers!E48,""),"")</f>
        <v/>
      </c>
      <c r="L54" s="463">
        <f>IFERROR(IF(DB_Customers!F48&lt;&gt;"",DB_Customers!F48,""),"")</f>
        <v/>
      </c>
      <c r="M54" s="463">
        <f>IFERROR(IF(DB_Customers!T48&lt;&gt;"",DB_Customers!T48,""),"")</f>
        <v/>
      </c>
      <c r="N54" s="467">
        <f>IFERROR(IF(DB_Customers!A48&lt;&gt;"",IF(DB_Customers!I48&gt;=10,"Active","Inactive"),""),"")</f>
        <v/>
      </c>
    </row>
    <row r="55" ht="18" customHeight="1" s="341">
      <c r="A55" s="468">
        <f>IF(DB_Customers!A49&lt;&gt;"",46,"")</f>
        <v/>
      </c>
      <c r="B55" s="469">
        <f>IFERROR(IF(DB_Customers!A49&lt;&gt;"",DB_Customers!A49,""),"")</f>
        <v/>
      </c>
      <c r="C55" s="470">
        <f>IFERROR(IF(DB_Customers!D49&lt;&gt;"",DB_Customers!D49,""),"")</f>
        <v/>
      </c>
      <c r="D55" s="471">
        <f>IFERROR(IF(DB_Customers!Q49&lt;&gt;"",DB_Customers!Q49,""),"")</f>
        <v/>
      </c>
      <c r="E55" s="470">
        <f>IFERROR(IF(DB_Customers!R49&lt;&gt;"",DB_Customers!R49,""),"")</f>
        <v/>
      </c>
      <c r="F55" s="470">
        <f>IFERROR(IF(DB_Customers!S49&lt;&gt;"",DB_Customers!S49,""),"")</f>
        <v/>
      </c>
      <c r="G55" s="470">
        <f>IFERROR(IF(DB_Customers!G49&lt;&gt;"",DB_Customers!G49,""),"")</f>
        <v/>
      </c>
      <c r="H55" s="472">
        <f>IFERROR(IF(DB_Customers!H49&lt;&gt;"",DB_Customers!H49,""),"")</f>
        <v/>
      </c>
      <c r="I55" s="473">
        <f>IFERROR(IF(DB_Customers!I49&lt;&gt;"",DB_Customers!I49,""),"")</f>
        <v/>
      </c>
      <c r="J55" s="471">
        <f>IFERROR(IF(DB_Customers!J49&lt;&gt;"",DB_Customers!J49,""),"")</f>
        <v/>
      </c>
      <c r="K55" s="470">
        <f>IFERROR(IF(DB_Customers!E49&lt;&gt;"",DB_Customers!E49,""),"")</f>
        <v/>
      </c>
      <c r="L55" s="470">
        <f>IFERROR(IF(DB_Customers!F49&lt;&gt;"",DB_Customers!F49,""),"")</f>
        <v/>
      </c>
      <c r="M55" s="470">
        <f>IFERROR(IF(DB_Customers!T49&lt;&gt;"",DB_Customers!T49,""),"")</f>
        <v/>
      </c>
      <c r="N55" s="474">
        <f>IFERROR(IF(DB_Customers!A49&lt;&gt;"",IF(DB_Customers!I49&gt;=10,"Active","Inactive"),""),"")</f>
        <v/>
      </c>
    </row>
    <row r="56" ht="18" customHeight="1" s="341">
      <c r="A56" s="461">
        <f>IF(DB_Customers!A50&lt;&gt;"",47,"")</f>
        <v/>
      </c>
      <c r="B56" s="462">
        <f>IFERROR(IF(DB_Customers!A50&lt;&gt;"",DB_Customers!A50,""),"")</f>
        <v/>
      </c>
      <c r="C56" s="463">
        <f>IFERROR(IF(DB_Customers!D50&lt;&gt;"",DB_Customers!D50,""),"")</f>
        <v/>
      </c>
      <c r="D56" s="464">
        <f>IFERROR(IF(DB_Customers!Q50&lt;&gt;"",DB_Customers!Q50,""),"")</f>
        <v/>
      </c>
      <c r="E56" s="463">
        <f>IFERROR(IF(DB_Customers!R50&lt;&gt;"",DB_Customers!R50,""),"")</f>
        <v/>
      </c>
      <c r="F56" s="463">
        <f>IFERROR(IF(DB_Customers!S50&lt;&gt;"",DB_Customers!S50,""),"")</f>
        <v/>
      </c>
      <c r="G56" s="463">
        <f>IFERROR(IF(DB_Customers!G50&lt;&gt;"",DB_Customers!G50,""),"")</f>
        <v/>
      </c>
      <c r="H56" s="465">
        <f>IFERROR(IF(DB_Customers!H50&lt;&gt;"",DB_Customers!H50,""),"")</f>
        <v/>
      </c>
      <c r="I56" s="466">
        <f>IFERROR(IF(DB_Customers!I50&lt;&gt;"",DB_Customers!I50,""),"")</f>
        <v/>
      </c>
      <c r="J56" s="464">
        <f>IFERROR(IF(DB_Customers!J50&lt;&gt;"",DB_Customers!J50,""),"")</f>
        <v/>
      </c>
      <c r="K56" s="463">
        <f>IFERROR(IF(DB_Customers!E50&lt;&gt;"",DB_Customers!E50,""),"")</f>
        <v/>
      </c>
      <c r="L56" s="463">
        <f>IFERROR(IF(DB_Customers!F50&lt;&gt;"",DB_Customers!F50,""),"")</f>
        <v/>
      </c>
      <c r="M56" s="463">
        <f>IFERROR(IF(DB_Customers!T50&lt;&gt;"",DB_Customers!T50,""),"")</f>
        <v/>
      </c>
      <c r="N56" s="467">
        <f>IFERROR(IF(DB_Customers!A50&lt;&gt;"",IF(DB_Customers!I50&gt;=10,"Active","Inactive"),""),"")</f>
        <v/>
      </c>
    </row>
    <row r="57" ht="18" customHeight="1" s="341">
      <c r="A57" s="468">
        <f>IF(DB_Customers!A51&lt;&gt;"",48,"")</f>
        <v/>
      </c>
      <c r="B57" s="469">
        <f>IFERROR(IF(DB_Customers!A51&lt;&gt;"",DB_Customers!A51,""),"")</f>
        <v/>
      </c>
      <c r="C57" s="470">
        <f>IFERROR(IF(DB_Customers!D51&lt;&gt;"",DB_Customers!D51,""),"")</f>
        <v/>
      </c>
      <c r="D57" s="471">
        <f>IFERROR(IF(DB_Customers!Q51&lt;&gt;"",DB_Customers!Q51,""),"")</f>
        <v/>
      </c>
      <c r="E57" s="470">
        <f>IFERROR(IF(DB_Customers!R51&lt;&gt;"",DB_Customers!R51,""),"")</f>
        <v/>
      </c>
      <c r="F57" s="470">
        <f>IFERROR(IF(DB_Customers!S51&lt;&gt;"",DB_Customers!S51,""),"")</f>
        <v/>
      </c>
      <c r="G57" s="470">
        <f>IFERROR(IF(DB_Customers!G51&lt;&gt;"",DB_Customers!G51,""),"")</f>
        <v/>
      </c>
      <c r="H57" s="472">
        <f>IFERROR(IF(DB_Customers!H51&lt;&gt;"",DB_Customers!H51,""),"")</f>
        <v/>
      </c>
      <c r="I57" s="473">
        <f>IFERROR(IF(DB_Customers!I51&lt;&gt;"",DB_Customers!I51,""),"")</f>
        <v/>
      </c>
      <c r="J57" s="471">
        <f>IFERROR(IF(DB_Customers!J51&lt;&gt;"",DB_Customers!J51,""),"")</f>
        <v/>
      </c>
      <c r="K57" s="470">
        <f>IFERROR(IF(DB_Customers!E51&lt;&gt;"",DB_Customers!E51,""),"")</f>
        <v/>
      </c>
      <c r="L57" s="470">
        <f>IFERROR(IF(DB_Customers!F51&lt;&gt;"",DB_Customers!F51,""),"")</f>
        <v/>
      </c>
      <c r="M57" s="470">
        <f>IFERROR(IF(DB_Customers!T51&lt;&gt;"",DB_Customers!T51,""),"")</f>
        <v/>
      </c>
      <c r="N57" s="474">
        <f>IFERROR(IF(DB_Customers!A51&lt;&gt;"",IF(DB_Customers!I51&gt;=10,"Active","Inactive"),""),"")</f>
        <v/>
      </c>
    </row>
    <row r="58" ht="18" customHeight="1" s="341">
      <c r="A58" s="461">
        <f>IF(DB_Customers!A52&lt;&gt;"",49,"")</f>
        <v/>
      </c>
      <c r="B58" s="462">
        <f>IFERROR(IF(DB_Customers!A52&lt;&gt;"",DB_Customers!A52,""),"")</f>
        <v/>
      </c>
      <c r="C58" s="463">
        <f>IFERROR(IF(DB_Customers!D52&lt;&gt;"",DB_Customers!D52,""),"")</f>
        <v/>
      </c>
      <c r="D58" s="464">
        <f>IFERROR(IF(DB_Customers!Q52&lt;&gt;"",DB_Customers!Q52,""),"")</f>
        <v/>
      </c>
      <c r="E58" s="463">
        <f>IFERROR(IF(DB_Customers!R52&lt;&gt;"",DB_Customers!R52,""),"")</f>
        <v/>
      </c>
      <c r="F58" s="463">
        <f>IFERROR(IF(DB_Customers!S52&lt;&gt;"",DB_Customers!S52,""),"")</f>
        <v/>
      </c>
      <c r="G58" s="463">
        <f>IFERROR(IF(DB_Customers!G52&lt;&gt;"",DB_Customers!G52,""),"")</f>
        <v/>
      </c>
      <c r="H58" s="465">
        <f>IFERROR(IF(DB_Customers!H52&lt;&gt;"",DB_Customers!H52,""),"")</f>
        <v/>
      </c>
      <c r="I58" s="466">
        <f>IFERROR(IF(DB_Customers!I52&lt;&gt;"",DB_Customers!I52,""),"")</f>
        <v/>
      </c>
      <c r="J58" s="464">
        <f>IFERROR(IF(DB_Customers!J52&lt;&gt;"",DB_Customers!J52,""),"")</f>
        <v/>
      </c>
      <c r="K58" s="463">
        <f>IFERROR(IF(DB_Customers!E52&lt;&gt;"",DB_Customers!E52,""),"")</f>
        <v/>
      </c>
      <c r="L58" s="463">
        <f>IFERROR(IF(DB_Customers!F52&lt;&gt;"",DB_Customers!F52,""),"")</f>
        <v/>
      </c>
      <c r="M58" s="463">
        <f>IFERROR(IF(DB_Customers!T52&lt;&gt;"",DB_Customers!T52,""),"")</f>
        <v/>
      </c>
      <c r="N58" s="467">
        <f>IFERROR(IF(DB_Customers!A52&lt;&gt;"",IF(DB_Customers!I52&gt;=10,"Active","Inactive"),""),"")</f>
        <v/>
      </c>
    </row>
    <row r="59" ht="18" customHeight="1" s="341">
      <c r="A59" s="468">
        <f>IF(DB_Customers!A53&lt;&gt;"",50,"")</f>
        <v/>
      </c>
      <c r="B59" s="469">
        <f>IFERROR(IF(DB_Customers!A53&lt;&gt;"",DB_Customers!A53,""),"")</f>
        <v/>
      </c>
      <c r="C59" s="470">
        <f>IFERROR(IF(DB_Customers!D53&lt;&gt;"",DB_Customers!D53,""),"")</f>
        <v/>
      </c>
      <c r="D59" s="471">
        <f>IFERROR(IF(DB_Customers!Q53&lt;&gt;"",DB_Customers!Q53,""),"")</f>
        <v/>
      </c>
      <c r="E59" s="470">
        <f>IFERROR(IF(DB_Customers!R53&lt;&gt;"",DB_Customers!R53,""),"")</f>
        <v/>
      </c>
      <c r="F59" s="470">
        <f>IFERROR(IF(DB_Customers!S53&lt;&gt;"",DB_Customers!S53,""),"")</f>
        <v/>
      </c>
      <c r="G59" s="470">
        <f>IFERROR(IF(DB_Customers!G53&lt;&gt;"",DB_Customers!G53,""),"")</f>
        <v/>
      </c>
      <c r="H59" s="472">
        <f>IFERROR(IF(DB_Customers!H53&lt;&gt;"",DB_Customers!H53,""),"")</f>
        <v/>
      </c>
      <c r="I59" s="473">
        <f>IFERROR(IF(DB_Customers!I53&lt;&gt;"",DB_Customers!I53,""),"")</f>
        <v/>
      </c>
      <c r="J59" s="471">
        <f>IFERROR(IF(DB_Customers!J53&lt;&gt;"",DB_Customers!J53,""),"")</f>
        <v/>
      </c>
      <c r="K59" s="470">
        <f>IFERROR(IF(DB_Customers!E53&lt;&gt;"",DB_Customers!E53,""),"")</f>
        <v/>
      </c>
      <c r="L59" s="470">
        <f>IFERROR(IF(DB_Customers!F53&lt;&gt;"",DB_Customers!F53,""),"")</f>
        <v/>
      </c>
      <c r="M59" s="470">
        <f>IFERROR(IF(DB_Customers!T53&lt;&gt;"",DB_Customers!T53,""),"")</f>
        <v/>
      </c>
      <c r="N59" s="474">
        <f>IFERROR(IF(DB_Customers!A53&lt;&gt;"",IF(DB_Customers!I53&gt;=10,"Active","Inactive"),""),"")</f>
        <v/>
      </c>
    </row>
    <row r="60" ht="18" customHeight="1" s="341">
      <c r="A60" s="461">
        <f>IF(DB_Customers!A54&lt;&gt;"",51,"")</f>
        <v/>
      </c>
      <c r="B60" s="462">
        <f>IFERROR(IF(DB_Customers!A54&lt;&gt;"",DB_Customers!A54,""),"")</f>
        <v/>
      </c>
      <c r="C60" s="463">
        <f>IFERROR(IF(DB_Customers!D54&lt;&gt;"",DB_Customers!D54,""),"")</f>
        <v/>
      </c>
      <c r="D60" s="464">
        <f>IFERROR(IF(DB_Customers!Q54&lt;&gt;"",DB_Customers!Q54,""),"")</f>
        <v/>
      </c>
      <c r="E60" s="463">
        <f>IFERROR(IF(DB_Customers!R54&lt;&gt;"",DB_Customers!R54,""),"")</f>
        <v/>
      </c>
      <c r="F60" s="463">
        <f>IFERROR(IF(DB_Customers!S54&lt;&gt;"",DB_Customers!S54,""),"")</f>
        <v/>
      </c>
      <c r="G60" s="463">
        <f>IFERROR(IF(DB_Customers!G54&lt;&gt;"",DB_Customers!G54,""),"")</f>
        <v/>
      </c>
      <c r="H60" s="465">
        <f>IFERROR(IF(DB_Customers!H54&lt;&gt;"",DB_Customers!H54,""),"")</f>
        <v/>
      </c>
      <c r="I60" s="466">
        <f>IFERROR(IF(DB_Customers!I54&lt;&gt;"",DB_Customers!I54,""),"")</f>
        <v/>
      </c>
      <c r="J60" s="464">
        <f>IFERROR(IF(DB_Customers!J54&lt;&gt;"",DB_Customers!J54,""),"")</f>
        <v/>
      </c>
      <c r="K60" s="463">
        <f>IFERROR(IF(DB_Customers!E54&lt;&gt;"",DB_Customers!E54,""),"")</f>
        <v/>
      </c>
      <c r="L60" s="463">
        <f>IFERROR(IF(DB_Customers!F54&lt;&gt;"",DB_Customers!F54,""),"")</f>
        <v/>
      </c>
      <c r="M60" s="463">
        <f>IFERROR(IF(DB_Customers!T54&lt;&gt;"",DB_Customers!T54,""),"")</f>
        <v/>
      </c>
      <c r="N60" s="467">
        <f>IFERROR(IF(DB_Customers!A54&lt;&gt;"",IF(DB_Customers!I54&gt;=10,"Active","Inactive"),""),"")</f>
        <v/>
      </c>
    </row>
    <row r="61" ht="18" customHeight="1" s="341">
      <c r="A61" s="468">
        <f>IF(DB_Customers!A55&lt;&gt;"",52,"")</f>
        <v/>
      </c>
      <c r="B61" s="469">
        <f>IFERROR(IF(DB_Customers!A55&lt;&gt;"",DB_Customers!A55,""),"")</f>
        <v/>
      </c>
      <c r="C61" s="470">
        <f>IFERROR(IF(DB_Customers!D55&lt;&gt;"",DB_Customers!D55,""),"")</f>
        <v/>
      </c>
      <c r="D61" s="471">
        <f>IFERROR(IF(DB_Customers!Q55&lt;&gt;"",DB_Customers!Q55,""),"")</f>
        <v/>
      </c>
      <c r="E61" s="470">
        <f>IFERROR(IF(DB_Customers!R55&lt;&gt;"",DB_Customers!R55,""),"")</f>
        <v/>
      </c>
      <c r="F61" s="470">
        <f>IFERROR(IF(DB_Customers!S55&lt;&gt;"",DB_Customers!S55,""),"")</f>
        <v/>
      </c>
      <c r="G61" s="470">
        <f>IFERROR(IF(DB_Customers!G55&lt;&gt;"",DB_Customers!G55,""),"")</f>
        <v/>
      </c>
      <c r="H61" s="472">
        <f>IFERROR(IF(DB_Customers!H55&lt;&gt;"",DB_Customers!H55,""),"")</f>
        <v/>
      </c>
      <c r="I61" s="473">
        <f>IFERROR(IF(DB_Customers!I55&lt;&gt;"",DB_Customers!I55,""),"")</f>
        <v/>
      </c>
      <c r="J61" s="471">
        <f>IFERROR(IF(DB_Customers!J55&lt;&gt;"",DB_Customers!J55,""),"")</f>
        <v/>
      </c>
      <c r="K61" s="470">
        <f>IFERROR(IF(DB_Customers!E55&lt;&gt;"",DB_Customers!E55,""),"")</f>
        <v/>
      </c>
      <c r="L61" s="470">
        <f>IFERROR(IF(DB_Customers!F55&lt;&gt;"",DB_Customers!F55,""),"")</f>
        <v/>
      </c>
      <c r="M61" s="470">
        <f>IFERROR(IF(DB_Customers!T55&lt;&gt;"",DB_Customers!T55,""),"")</f>
        <v/>
      </c>
      <c r="N61" s="474">
        <f>IFERROR(IF(DB_Customers!A55&lt;&gt;"",IF(DB_Customers!I55&gt;=10,"Active","Inactive"),""),"")</f>
        <v/>
      </c>
    </row>
    <row r="62" ht="18" customHeight="1" s="341">
      <c r="A62" s="461">
        <f>IF(DB_Customers!A56&lt;&gt;"",53,"")</f>
        <v/>
      </c>
      <c r="B62" s="462">
        <f>IFERROR(IF(DB_Customers!A56&lt;&gt;"",DB_Customers!A56,""),"")</f>
        <v/>
      </c>
      <c r="C62" s="463">
        <f>IFERROR(IF(DB_Customers!D56&lt;&gt;"",DB_Customers!D56,""),"")</f>
        <v/>
      </c>
      <c r="D62" s="464">
        <f>IFERROR(IF(DB_Customers!Q56&lt;&gt;"",DB_Customers!Q56,""),"")</f>
        <v/>
      </c>
      <c r="E62" s="463">
        <f>IFERROR(IF(DB_Customers!R56&lt;&gt;"",DB_Customers!R56,""),"")</f>
        <v/>
      </c>
      <c r="F62" s="463">
        <f>IFERROR(IF(DB_Customers!S56&lt;&gt;"",DB_Customers!S56,""),"")</f>
        <v/>
      </c>
      <c r="G62" s="463">
        <f>IFERROR(IF(DB_Customers!G56&lt;&gt;"",DB_Customers!G56,""),"")</f>
        <v/>
      </c>
      <c r="H62" s="465">
        <f>IFERROR(IF(DB_Customers!H56&lt;&gt;"",DB_Customers!H56,""),"")</f>
        <v/>
      </c>
      <c r="I62" s="466">
        <f>IFERROR(IF(DB_Customers!I56&lt;&gt;"",DB_Customers!I56,""),"")</f>
        <v/>
      </c>
      <c r="J62" s="464">
        <f>IFERROR(IF(DB_Customers!J56&lt;&gt;"",DB_Customers!J56,""),"")</f>
        <v/>
      </c>
      <c r="K62" s="463">
        <f>IFERROR(IF(DB_Customers!E56&lt;&gt;"",DB_Customers!E56,""),"")</f>
        <v/>
      </c>
      <c r="L62" s="463">
        <f>IFERROR(IF(DB_Customers!F56&lt;&gt;"",DB_Customers!F56,""),"")</f>
        <v/>
      </c>
      <c r="M62" s="463">
        <f>IFERROR(IF(DB_Customers!T56&lt;&gt;"",DB_Customers!T56,""),"")</f>
        <v/>
      </c>
      <c r="N62" s="467">
        <f>IFERROR(IF(DB_Customers!A56&lt;&gt;"",IF(DB_Customers!I56&gt;=10,"Active","Inactive"),""),"")</f>
        <v/>
      </c>
    </row>
    <row r="63" ht="18" customHeight="1" s="341">
      <c r="A63" s="468">
        <f>IF(DB_Customers!A57&lt;&gt;"",54,"")</f>
        <v/>
      </c>
      <c r="B63" s="469">
        <f>IFERROR(IF(DB_Customers!A57&lt;&gt;"",DB_Customers!A57,""),"")</f>
        <v/>
      </c>
      <c r="C63" s="470">
        <f>IFERROR(IF(DB_Customers!D57&lt;&gt;"",DB_Customers!D57,""),"")</f>
        <v/>
      </c>
      <c r="D63" s="471">
        <f>IFERROR(IF(DB_Customers!Q57&lt;&gt;"",DB_Customers!Q57,""),"")</f>
        <v/>
      </c>
      <c r="E63" s="470">
        <f>IFERROR(IF(DB_Customers!R57&lt;&gt;"",DB_Customers!R57,""),"")</f>
        <v/>
      </c>
      <c r="F63" s="470">
        <f>IFERROR(IF(DB_Customers!S57&lt;&gt;"",DB_Customers!S57,""),"")</f>
        <v/>
      </c>
      <c r="G63" s="470">
        <f>IFERROR(IF(DB_Customers!G57&lt;&gt;"",DB_Customers!G57,""),"")</f>
        <v/>
      </c>
      <c r="H63" s="472">
        <f>IFERROR(IF(DB_Customers!H57&lt;&gt;"",DB_Customers!H57,""),"")</f>
        <v/>
      </c>
      <c r="I63" s="473">
        <f>IFERROR(IF(DB_Customers!I57&lt;&gt;"",DB_Customers!I57,""),"")</f>
        <v/>
      </c>
      <c r="J63" s="471">
        <f>IFERROR(IF(DB_Customers!J57&lt;&gt;"",DB_Customers!J57,""),"")</f>
        <v/>
      </c>
      <c r="K63" s="470">
        <f>IFERROR(IF(DB_Customers!E57&lt;&gt;"",DB_Customers!E57,""),"")</f>
        <v/>
      </c>
      <c r="L63" s="470">
        <f>IFERROR(IF(DB_Customers!F57&lt;&gt;"",DB_Customers!F57,""),"")</f>
        <v/>
      </c>
      <c r="M63" s="470">
        <f>IFERROR(IF(DB_Customers!T57&lt;&gt;"",DB_Customers!T57,""),"")</f>
        <v/>
      </c>
      <c r="N63" s="474">
        <f>IFERROR(IF(DB_Customers!A57&lt;&gt;"",IF(DB_Customers!I57&gt;=10,"Active","Inactive"),""),"")</f>
        <v/>
      </c>
    </row>
    <row r="64" ht="18" customHeight="1" s="341">
      <c r="A64" s="461">
        <f>IF(DB_Customers!A58&lt;&gt;"",55,"")</f>
        <v/>
      </c>
      <c r="B64" s="462">
        <f>IFERROR(IF(DB_Customers!A58&lt;&gt;"",DB_Customers!A58,""),"")</f>
        <v/>
      </c>
      <c r="C64" s="463">
        <f>IFERROR(IF(DB_Customers!D58&lt;&gt;"",DB_Customers!D58,""),"")</f>
        <v/>
      </c>
      <c r="D64" s="464">
        <f>IFERROR(IF(DB_Customers!Q58&lt;&gt;"",DB_Customers!Q58,""),"")</f>
        <v/>
      </c>
      <c r="E64" s="463">
        <f>IFERROR(IF(DB_Customers!R58&lt;&gt;"",DB_Customers!R58,""),"")</f>
        <v/>
      </c>
      <c r="F64" s="463">
        <f>IFERROR(IF(DB_Customers!S58&lt;&gt;"",DB_Customers!S58,""),"")</f>
        <v/>
      </c>
      <c r="G64" s="463">
        <f>IFERROR(IF(DB_Customers!G58&lt;&gt;"",DB_Customers!G58,""),"")</f>
        <v/>
      </c>
      <c r="H64" s="465">
        <f>IFERROR(IF(DB_Customers!H58&lt;&gt;"",DB_Customers!H58,""),"")</f>
        <v/>
      </c>
      <c r="I64" s="466">
        <f>IFERROR(IF(DB_Customers!I58&lt;&gt;"",DB_Customers!I58,""),"")</f>
        <v/>
      </c>
      <c r="J64" s="464">
        <f>IFERROR(IF(DB_Customers!J58&lt;&gt;"",DB_Customers!J58,""),"")</f>
        <v/>
      </c>
      <c r="K64" s="463">
        <f>IFERROR(IF(DB_Customers!E58&lt;&gt;"",DB_Customers!E58,""),"")</f>
        <v/>
      </c>
      <c r="L64" s="463">
        <f>IFERROR(IF(DB_Customers!F58&lt;&gt;"",DB_Customers!F58,""),"")</f>
        <v/>
      </c>
      <c r="M64" s="463">
        <f>IFERROR(IF(DB_Customers!T58&lt;&gt;"",DB_Customers!T58,""),"")</f>
        <v/>
      </c>
      <c r="N64" s="467">
        <f>IFERROR(IF(DB_Customers!A58&lt;&gt;"",IF(DB_Customers!I58&gt;=10,"Active","Inactive"),""),"")</f>
        <v/>
      </c>
    </row>
    <row r="65" ht="18" customHeight="1" s="341">
      <c r="A65" s="468">
        <f>IF(DB_Customers!A59&lt;&gt;"",56,"")</f>
        <v/>
      </c>
      <c r="B65" s="469">
        <f>IFERROR(IF(DB_Customers!A59&lt;&gt;"",DB_Customers!A59,""),"")</f>
        <v/>
      </c>
      <c r="C65" s="470">
        <f>IFERROR(IF(DB_Customers!D59&lt;&gt;"",DB_Customers!D59,""),"")</f>
        <v/>
      </c>
      <c r="D65" s="471">
        <f>IFERROR(IF(DB_Customers!Q59&lt;&gt;"",DB_Customers!Q59,""),"")</f>
        <v/>
      </c>
      <c r="E65" s="470">
        <f>IFERROR(IF(DB_Customers!R59&lt;&gt;"",DB_Customers!R59,""),"")</f>
        <v/>
      </c>
      <c r="F65" s="470">
        <f>IFERROR(IF(DB_Customers!S59&lt;&gt;"",DB_Customers!S59,""),"")</f>
        <v/>
      </c>
      <c r="G65" s="470">
        <f>IFERROR(IF(DB_Customers!G59&lt;&gt;"",DB_Customers!G59,""),"")</f>
        <v/>
      </c>
      <c r="H65" s="472">
        <f>IFERROR(IF(DB_Customers!H59&lt;&gt;"",DB_Customers!H59,""),"")</f>
        <v/>
      </c>
      <c r="I65" s="473">
        <f>IFERROR(IF(DB_Customers!I59&lt;&gt;"",DB_Customers!I59,""),"")</f>
        <v/>
      </c>
      <c r="J65" s="471">
        <f>IFERROR(IF(DB_Customers!J59&lt;&gt;"",DB_Customers!J59,""),"")</f>
        <v/>
      </c>
      <c r="K65" s="470">
        <f>IFERROR(IF(DB_Customers!E59&lt;&gt;"",DB_Customers!E59,""),"")</f>
        <v/>
      </c>
      <c r="L65" s="470">
        <f>IFERROR(IF(DB_Customers!F59&lt;&gt;"",DB_Customers!F59,""),"")</f>
        <v/>
      </c>
      <c r="M65" s="470">
        <f>IFERROR(IF(DB_Customers!T59&lt;&gt;"",DB_Customers!T59,""),"")</f>
        <v/>
      </c>
      <c r="N65" s="474">
        <f>IFERROR(IF(DB_Customers!A59&lt;&gt;"",IF(DB_Customers!I59&gt;=10,"Active","Inactive"),""),"")</f>
        <v/>
      </c>
    </row>
    <row r="66" ht="18" customHeight="1" s="341">
      <c r="A66" s="461">
        <f>IF(DB_Customers!A60&lt;&gt;"",57,"")</f>
        <v/>
      </c>
      <c r="B66" s="462">
        <f>IFERROR(IF(DB_Customers!A60&lt;&gt;"",DB_Customers!A60,""),"")</f>
        <v/>
      </c>
      <c r="C66" s="463">
        <f>IFERROR(IF(DB_Customers!D60&lt;&gt;"",DB_Customers!D60,""),"")</f>
        <v/>
      </c>
      <c r="D66" s="464">
        <f>IFERROR(IF(DB_Customers!Q60&lt;&gt;"",DB_Customers!Q60,""),"")</f>
        <v/>
      </c>
      <c r="E66" s="463">
        <f>IFERROR(IF(DB_Customers!R60&lt;&gt;"",DB_Customers!R60,""),"")</f>
        <v/>
      </c>
      <c r="F66" s="463">
        <f>IFERROR(IF(DB_Customers!S60&lt;&gt;"",DB_Customers!S60,""),"")</f>
        <v/>
      </c>
      <c r="G66" s="463">
        <f>IFERROR(IF(DB_Customers!G60&lt;&gt;"",DB_Customers!G60,""),"")</f>
        <v/>
      </c>
      <c r="H66" s="465">
        <f>IFERROR(IF(DB_Customers!H60&lt;&gt;"",DB_Customers!H60,""),"")</f>
        <v/>
      </c>
      <c r="I66" s="466">
        <f>IFERROR(IF(DB_Customers!I60&lt;&gt;"",DB_Customers!I60,""),"")</f>
        <v/>
      </c>
      <c r="J66" s="464">
        <f>IFERROR(IF(DB_Customers!J60&lt;&gt;"",DB_Customers!J60,""),"")</f>
        <v/>
      </c>
      <c r="K66" s="463">
        <f>IFERROR(IF(DB_Customers!E60&lt;&gt;"",DB_Customers!E60,""),"")</f>
        <v/>
      </c>
      <c r="L66" s="463">
        <f>IFERROR(IF(DB_Customers!F60&lt;&gt;"",DB_Customers!F60,""),"")</f>
        <v/>
      </c>
      <c r="M66" s="463">
        <f>IFERROR(IF(DB_Customers!T60&lt;&gt;"",DB_Customers!T60,""),"")</f>
        <v/>
      </c>
      <c r="N66" s="467">
        <f>IFERROR(IF(DB_Customers!A60&lt;&gt;"",IF(DB_Customers!I60&gt;=10,"Active","Inactive"),""),"")</f>
        <v/>
      </c>
    </row>
    <row r="67" ht="18" customHeight="1" s="341">
      <c r="A67" s="468">
        <f>IF(DB_Customers!A61&lt;&gt;"",58,"")</f>
        <v/>
      </c>
      <c r="B67" s="469">
        <f>IFERROR(IF(DB_Customers!A61&lt;&gt;"",DB_Customers!A61,""),"")</f>
        <v/>
      </c>
      <c r="C67" s="470">
        <f>IFERROR(IF(DB_Customers!D61&lt;&gt;"",DB_Customers!D61,""),"")</f>
        <v/>
      </c>
      <c r="D67" s="471">
        <f>IFERROR(IF(DB_Customers!Q61&lt;&gt;"",DB_Customers!Q61,""),"")</f>
        <v/>
      </c>
      <c r="E67" s="470">
        <f>IFERROR(IF(DB_Customers!R61&lt;&gt;"",DB_Customers!R61,""),"")</f>
        <v/>
      </c>
      <c r="F67" s="470">
        <f>IFERROR(IF(DB_Customers!S61&lt;&gt;"",DB_Customers!S61,""),"")</f>
        <v/>
      </c>
      <c r="G67" s="470">
        <f>IFERROR(IF(DB_Customers!G61&lt;&gt;"",DB_Customers!G61,""),"")</f>
        <v/>
      </c>
      <c r="H67" s="472">
        <f>IFERROR(IF(DB_Customers!H61&lt;&gt;"",DB_Customers!H61,""),"")</f>
        <v/>
      </c>
      <c r="I67" s="473">
        <f>IFERROR(IF(DB_Customers!I61&lt;&gt;"",DB_Customers!I61,""),"")</f>
        <v/>
      </c>
      <c r="J67" s="471">
        <f>IFERROR(IF(DB_Customers!J61&lt;&gt;"",DB_Customers!J61,""),"")</f>
        <v/>
      </c>
      <c r="K67" s="470">
        <f>IFERROR(IF(DB_Customers!E61&lt;&gt;"",DB_Customers!E61,""),"")</f>
        <v/>
      </c>
      <c r="L67" s="470">
        <f>IFERROR(IF(DB_Customers!F61&lt;&gt;"",DB_Customers!F61,""),"")</f>
        <v/>
      </c>
      <c r="M67" s="470">
        <f>IFERROR(IF(DB_Customers!T61&lt;&gt;"",DB_Customers!T61,""),"")</f>
        <v/>
      </c>
      <c r="N67" s="474">
        <f>IFERROR(IF(DB_Customers!A61&lt;&gt;"",IF(DB_Customers!I61&gt;=10,"Active","Inactive"),""),"")</f>
        <v/>
      </c>
    </row>
    <row r="68" ht="18" customHeight="1" s="341">
      <c r="A68" s="461">
        <f>IF(DB_Customers!A62&lt;&gt;"",59,"")</f>
        <v/>
      </c>
      <c r="B68" s="462">
        <f>IFERROR(IF(DB_Customers!A62&lt;&gt;"",DB_Customers!A62,""),"")</f>
        <v/>
      </c>
      <c r="C68" s="463">
        <f>IFERROR(IF(DB_Customers!D62&lt;&gt;"",DB_Customers!D62,""),"")</f>
        <v/>
      </c>
      <c r="D68" s="464">
        <f>IFERROR(IF(DB_Customers!Q62&lt;&gt;"",DB_Customers!Q62,""),"")</f>
        <v/>
      </c>
      <c r="E68" s="463">
        <f>IFERROR(IF(DB_Customers!R62&lt;&gt;"",DB_Customers!R62,""),"")</f>
        <v/>
      </c>
      <c r="F68" s="463">
        <f>IFERROR(IF(DB_Customers!S62&lt;&gt;"",DB_Customers!S62,""),"")</f>
        <v/>
      </c>
      <c r="G68" s="463">
        <f>IFERROR(IF(DB_Customers!G62&lt;&gt;"",DB_Customers!G62,""),"")</f>
        <v/>
      </c>
      <c r="H68" s="465">
        <f>IFERROR(IF(DB_Customers!H62&lt;&gt;"",DB_Customers!H62,""),"")</f>
        <v/>
      </c>
      <c r="I68" s="466">
        <f>IFERROR(IF(DB_Customers!I62&lt;&gt;"",DB_Customers!I62,""),"")</f>
        <v/>
      </c>
      <c r="J68" s="464">
        <f>IFERROR(IF(DB_Customers!J62&lt;&gt;"",DB_Customers!J62,""),"")</f>
        <v/>
      </c>
      <c r="K68" s="463">
        <f>IFERROR(IF(DB_Customers!E62&lt;&gt;"",DB_Customers!E62,""),"")</f>
        <v/>
      </c>
      <c r="L68" s="463">
        <f>IFERROR(IF(DB_Customers!F62&lt;&gt;"",DB_Customers!F62,""),"")</f>
        <v/>
      </c>
      <c r="M68" s="463">
        <f>IFERROR(IF(DB_Customers!T62&lt;&gt;"",DB_Customers!T62,""),"")</f>
        <v/>
      </c>
      <c r="N68" s="467">
        <f>IFERROR(IF(DB_Customers!A62&lt;&gt;"",IF(DB_Customers!I62&gt;=10,"Active","Inactive"),""),"")</f>
        <v/>
      </c>
    </row>
    <row r="69" ht="18" customHeight="1" s="341">
      <c r="A69" s="468">
        <f>IF(DB_Customers!A63&lt;&gt;"",60,"")</f>
        <v/>
      </c>
      <c r="B69" s="469">
        <f>IFERROR(IF(DB_Customers!A63&lt;&gt;"",DB_Customers!A63,""),"")</f>
        <v/>
      </c>
      <c r="C69" s="470">
        <f>IFERROR(IF(DB_Customers!D63&lt;&gt;"",DB_Customers!D63,""),"")</f>
        <v/>
      </c>
      <c r="D69" s="471">
        <f>IFERROR(IF(DB_Customers!Q63&lt;&gt;"",DB_Customers!Q63,""),"")</f>
        <v/>
      </c>
      <c r="E69" s="470">
        <f>IFERROR(IF(DB_Customers!R63&lt;&gt;"",DB_Customers!R63,""),"")</f>
        <v/>
      </c>
      <c r="F69" s="470">
        <f>IFERROR(IF(DB_Customers!S63&lt;&gt;"",DB_Customers!S63,""),"")</f>
        <v/>
      </c>
      <c r="G69" s="470">
        <f>IFERROR(IF(DB_Customers!G63&lt;&gt;"",DB_Customers!G63,""),"")</f>
        <v/>
      </c>
      <c r="H69" s="472">
        <f>IFERROR(IF(DB_Customers!H63&lt;&gt;"",DB_Customers!H63,""),"")</f>
        <v/>
      </c>
      <c r="I69" s="473">
        <f>IFERROR(IF(DB_Customers!I63&lt;&gt;"",DB_Customers!I63,""),"")</f>
        <v/>
      </c>
      <c r="J69" s="471">
        <f>IFERROR(IF(DB_Customers!J63&lt;&gt;"",DB_Customers!J63,""),"")</f>
        <v/>
      </c>
      <c r="K69" s="470">
        <f>IFERROR(IF(DB_Customers!E63&lt;&gt;"",DB_Customers!E63,""),"")</f>
        <v/>
      </c>
      <c r="L69" s="470">
        <f>IFERROR(IF(DB_Customers!F63&lt;&gt;"",DB_Customers!F63,""),"")</f>
        <v/>
      </c>
      <c r="M69" s="470">
        <f>IFERROR(IF(DB_Customers!T63&lt;&gt;"",DB_Customers!T63,""),"")</f>
        <v/>
      </c>
      <c r="N69" s="474">
        <f>IFERROR(IF(DB_Customers!A63&lt;&gt;"",IF(DB_Customers!I63&gt;=10,"Active","Inactive"),""),"")</f>
        <v/>
      </c>
    </row>
    <row r="70" ht="18" customHeight="1" s="341">
      <c r="A70" s="461">
        <f>IF(DB_Customers!A64&lt;&gt;"",61,"")</f>
        <v/>
      </c>
      <c r="B70" s="462">
        <f>IFERROR(IF(DB_Customers!A64&lt;&gt;"",DB_Customers!A64,""),"")</f>
        <v/>
      </c>
      <c r="C70" s="463">
        <f>IFERROR(IF(DB_Customers!D64&lt;&gt;"",DB_Customers!D64,""),"")</f>
        <v/>
      </c>
      <c r="D70" s="464">
        <f>IFERROR(IF(DB_Customers!Q64&lt;&gt;"",DB_Customers!Q64,""),"")</f>
        <v/>
      </c>
      <c r="E70" s="463">
        <f>IFERROR(IF(DB_Customers!R64&lt;&gt;"",DB_Customers!R64,""),"")</f>
        <v/>
      </c>
      <c r="F70" s="463">
        <f>IFERROR(IF(DB_Customers!S64&lt;&gt;"",DB_Customers!S64,""),"")</f>
        <v/>
      </c>
      <c r="G70" s="463">
        <f>IFERROR(IF(DB_Customers!G64&lt;&gt;"",DB_Customers!G64,""),"")</f>
        <v/>
      </c>
      <c r="H70" s="465">
        <f>IFERROR(IF(DB_Customers!H64&lt;&gt;"",DB_Customers!H64,""),"")</f>
        <v/>
      </c>
      <c r="I70" s="466">
        <f>IFERROR(IF(DB_Customers!I64&lt;&gt;"",DB_Customers!I64,""),"")</f>
        <v/>
      </c>
      <c r="J70" s="464">
        <f>IFERROR(IF(DB_Customers!J64&lt;&gt;"",DB_Customers!J64,""),"")</f>
        <v/>
      </c>
      <c r="K70" s="463">
        <f>IFERROR(IF(DB_Customers!E64&lt;&gt;"",DB_Customers!E64,""),"")</f>
        <v/>
      </c>
      <c r="L70" s="463">
        <f>IFERROR(IF(DB_Customers!F64&lt;&gt;"",DB_Customers!F64,""),"")</f>
        <v/>
      </c>
      <c r="M70" s="463">
        <f>IFERROR(IF(DB_Customers!T64&lt;&gt;"",DB_Customers!T64,""),"")</f>
        <v/>
      </c>
      <c r="N70" s="467">
        <f>IFERROR(IF(DB_Customers!A64&lt;&gt;"",IF(DB_Customers!I64&gt;=10,"Active","Inactive"),""),"")</f>
        <v/>
      </c>
    </row>
    <row r="71" ht="18" customHeight="1" s="341">
      <c r="A71" s="468">
        <f>IF(DB_Customers!A65&lt;&gt;"",62,"")</f>
        <v/>
      </c>
      <c r="B71" s="469">
        <f>IFERROR(IF(DB_Customers!A65&lt;&gt;"",DB_Customers!A65,""),"")</f>
        <v/>
      </c>
      <c r="C71" s="470">
        <f>IFERROR(IF(DB_Customers!D65&lt;&gt;"",DB_Customers!D65,""),"")</f>
        <v/>
      </c>
      <c r="D71" s="471">
        <f>IFERROR(IF(DB_Customers!Q65&lt;&gt;"",DB_Customers!Q65,""),"")</f>
        <v/>
      </c>
      <c r="E71" s="470">
        <f>IFERROR(IF(DB_Customers!R65&lt;&gt;"",DB_Customers!R65,""),"")</f>
        <v/>
      </c>
      <c r="F71" s="470">
        <f>IFERROR(IF(DB_Customers!S65&lt;&gt;"",DB_Customers!S65,""),"")</f>
        <v/>
      </c>
      <c r="G71" s="470">
        <f>IFERROR(IF(DB_Customers!G65&lt;&gt;"",DB_Customers!G65,""),"")</f>
        <v/>
      </c>
      <c r="H71" s="472">
        <f>IFERROR(IF(DB_Customers!H65&lt;&gt;"",DB_Customers!H65,""),"")</f>
        <v/>
      </c>
      <c r="I71" s="473">
        <f>IFERROR(IF(DB_Customers!I65&lt;&gt;"",DB_Customers!I65,""),"")</f>
        <v/>
      </c>
      <c r="J71" s="471">
        <f>IFERROR(IF(DB_Customers!J65&lt;&gt;"",DB_Customers!J65,""),"")</f>
        <v/>
      </c>
      <c r="K71" s="470">
        <f>IFERROR(IF(DB_Customers!E65&lt;&gt;"",DB_Customers!E65,""),"")</f>
        <v/>
      </c>
      <c r="L71" s="470">
        <f>IFERROR(IF(DB_Customers!F65&lt;&gt;"",DB_Customers!F65,""),"")</f>
        <v/>
      </c>
      <c r="M71" s="470">
        <f>IFERROR(IF(DB_Customers!T65&lt;&gt;"",DB_Customers!T65,""),"")</f>
        <v/>
      </c>
      <c r="N71" s="474">
        <f>IFERROR(IF(DB_Customers!A65&lt;&gt;"",IF(DB_Customers!I65&gt;=10,"Active","Inactive"),""),"")</f>
        <v/>
      </c>
    </row>
    <row r="72" ht="18" customHeight="1" s="341">
      <c r="A72" s="461">
        <f>IF(DB_Customers!A66&lt;&gt;"",63,"")</f>
        <v/>
      </c>
      <c r="B72" s="462">
        <f>IFERROR(IF(DB_Customers!A66&lt;&gt;"",DB_Customers!A66,""),"")</f>
        <v/>
      </c>
      <c r="C72" s="463">
        <f>IFERROR(IF(DB_Customers!D66&lt;&gt;"",DB_Customers!D66,""),"")</f>
        <v/>
      </c>
      <c r="D72" s="464">
        <f>IFERROR(IF(DB_Customers!Q66&lt;&gt;"",DB_Customers!Q66,""),"")</f>
        <v/>
      </c>
      <c r="E72" s="463">
        <f>IFERROR(IF(DB_Customers!R66&lt;&gt;"",DB_Customers!R66,""),"")</f>
        <v/>
      </c>
      <c r="F72" s="463">
        <f>IFERROR(IF(DB_Customers!S66&lt;&gt;"",DB_Customers!S66,""),"")</f>
        <v/>
      </c>
      <c r="G72" s="463">
        <f>IFERROR(IF(DB_Customers!G66&lt;&gt;"",DB_Customers!G66,""),"")</f>
        <v/>
      </c>
      <c r="H72" s="465">
        <f>IFERROR(IF(DB_Customers!H66&lt;&gt;"",DB_Customers!H66,""),"")</f>
        <v/>
      </c>
      <c r="I72" s="466">
        <f>IFERROR(IF(DB_Customers!I66&lt;&gt;"",DB_Customers!I66,""),"")</f>
        <v/>
      </c>
      <c r="J72" s="464">
        <f>IFERROR(IF(DB_Customers!J66&lt;&gt;"",DB_Customers!J66,""),"")</f>
        <v/>
      </c>
      <c r="K72" s="463">
        <f>IFERROR(IF(DB_Customers!E66&lt;&gt;"",DB_Customers!E66,""),"")</f>
        <v/>
      </c>
      <c r="L72" s="463">
        <f>IFERROR(IF(DB_Customers!F66&lt;&gt;"",DB_Customers!F66,""),"")</f>
        <v/>
      </c>
      <c r="M72" s="463">
        <f>IFERROR(IF(DB_Customers!T66&lt;&gt;"",DB_Customers!T66,""),"")</f>
        <v/>
      </c>
      <c r="N72" s="467">
        <f>IFERROR(IF(DB_Customers!A66&lt;&gt;"",IF(DB_Customers!I66&gt;=10,"Active","Inactive"),""),"")</f>
        <v/>
      </c>
    </row>
    <row r="73" ht="18" customHeight="1" s="341">
      <c r="A73" s="468">
        <f>IF(DB_Customers!A67&lt;&gt;"",64,"")</f>
        <v/>
      </c>
      <c r="B73" s="469">
        <f>IFERROR(IF(DB_Customers!A67&lt;&gt;"",DB_Customers!A67,""),"")</f>
        <v/>
      </c>
      <c r="C73" s="470">
        <f>IFERROR(IF(DB_Customers!D67&lt;&gt;"",DB_Customers!D67,""),"")</f>
        <v/>
      </c>
      <c r="D73" s="471">
        <f>IFERROR(IF(DB_Customers!Q67&lt;&gt;"",DB_Customers!Q67,""),"")</f>
        <v/>
      </c>
      <c r="E73" s="470">
        <f>IFERROR(IF(DB_Customers!R67&lt;&gt;"",DB_Customers!R67,""),"")</f>
        <v/>
      </c>
      <c r="F73" s="470">
        <f>IFERROR(IF(DB_Customers!S67&lt;&gt;"",DB_Customers!S67,""),"")</f>
        <v/>
      </c>
      <c r="G73" s="470">
        <f>IFERROR(IF(DB_Customers!G67&lt;&gt;"",DB_Customers!G67,""),"")</f>
        <v/>
      </c>
      <c r="H73" s="472">
        <f>IFERROR(IF(DB_Customers!H67&lt;&gt;"",DB_Customers!H67,""),"")</f>
        <v/>
      </c>
      <c r="I73" s="473">
        <f>IFERROR(IF(DB_Customers!I67&lt;&gt;"",DB_Customers!I67,""),"")</f>
        <v/>
      </c>
      <c r="J73" s="471">
        <f>IFERROR(IF(DB_Customers!J67&lt;&gt;"",DB_Customers!J67,""),"")</f>
        <v/>
      </c>
      <c r="K73" s="470">
        <f>IFERROR(IF(DB_Customers!E67&lt;&gt;"",DB_Customers!E67,""),"")</f>
        <v/>
      </c>
      <c r="L73" s="470">
        <f>IFERROR(IF(DB_Customers!F67&lt;&gt;"",DB_Customers!F67,""),"")</f>
        <v/>
      </c>
      <c r="M73" s="470">
        <f>IFERROR(IF(DB_Customers!T67&lt;&gt;"",DB_Customers!T67,""),"")</f>
        <v/>
      </c>
      <c r="N73" s="474">
        <f>IFERROR(IF(DB_Customers!A67&lt;&gt;"",IF(DB_Customers!I67&gt;=10,"Active","Inactive"),""),"")</f>
        <v/>
      </c>
    </row>
    <row r="74" ht="18" customHeight="1" s="341">
      <c r="A74" s="461">
        <f>IF(DB_Customers!A68&lt;&gt;"",65,"")</f>
        <v/>
      </c>
      <c r="B74" s="462">
        <f>IFERROR(IF(DB_Customers!A68&lt;&gt;"",DB_Customers!A68,""),"")</f>
        <v/>
      </c>
      <c r="C74" s="463">
        <f>IFERROR(IF(DB_Customers!D68&lt;&gt;"",DB_Customers!D68,""),"")</f>
        <v/>
      </c>
      <c r="D74" s="464">
        <f>IFERROR(IF(DB_Customers!Q68&lt;&gt;"",DB_Customers!Q68,""),"")</f>
        <v/>
      </c>
      <c r="E74" s="463">
        <f>IFERROR(IF(DB_Customers!R68&lt;&gt;"",DB_Customers!R68,""),"")</f>
        <v/>
      </c>
      <c r="F74" s="463">
        <f>IFERROR(IF(DB_Customers!S68&lt;&gt;"",DB_Customers!S68,""),"")</f>
        <v/>
      </c>
      <c r="G74" s="463">
        <f>IFERROR(IF(DB_Customers!G68&lt;&gt;"",DB_Customers!G68,""),"")</f>
        <v/>
      </c>
      <c r="H74" s="465">
        <f>IFERROR(IF(DB_Customers!H68&lt;&gt;"",DB_Customers!H68,""),"")</f>
        <v/>
      </c>
      <c r="I74" s="466">
        <f>IFERROR(IF(DB_Customers!I68&lt;&gt;"",DB_Customers!I68,""),"")</f>
        <v/>
      </c>
      <c r="J74" s="464">
        <f>IFERROR(IF(DB_Customers!J68&lt;&gt;"",DB_Customers!J68,""),"")</f>
        <v/>
      </c>
      <c r="K74" s="463">
        <f>IFERROR(IF(DB_Customers!E68&lt;&gt;"",DB_Customers!E68,""),"")</f>
        <v/>
      </c>
      <c r="L74" s="463">
        <f>IFERROR(IF(DB_Customers!F68&lt;&gt;"",DB_Customers!F68,""),"")</f>
        <v/>
      </c>
      <c r="M74" s="463">
        <f>IFERROR(IF(DB_Customers!T68&lt;&gt;"",DB_Customers!T68,""),"")</f>
        <v/>
      </c>
      <c r="N74" s="467">
        <f>IFERROR(IF(DB_Customers!A68&lt;&gt;"",IF(DB_Customers!I68&gt;=10,"Active","Inactive"),""),"")</f>
        <v/>
      </c>
    </row>
    <row r="75" ht="18" customHeight="1" s="341">
      <c r="A75" s="468">
        <f>IF(DB_Customers!A69&lt;&gt;"",66,"")</f>
        <v/>
      </c>
      <c r="B75" s="469">
        <f>IFERROR(IF(DB_Customers!A69&lt;&gt;"",DB_Customers!A69,""),"")</f>
        <v/>
      </c>
      <c r="C75" s="470">
        <f>IFERROR(IF(DB_Customers!D69&lt;&gt;"",DB_Customers!D69,""),"")</f>
        <v/>
      </c>
      <c r="D75" s="471">
        <f>IFERROR(IF(DB_Customers!Q69&lt;&gt;"",DB_Customers!Q69,""),"")</f>
        <v/>
      </c>
      <c r="E75" s="470">
        <f>IFERROR(IF(DB_Customers!R69&lt;&gt;"",DB_Customers!R69,""),"")</f>
        <v/>
      </c>
      <c r="F75" s="470">
        <f>IFERROR(IF(DB_Customers!S69&lt;&gt;"",DB_Customers!S69,""),"")</f>
        <v/>
      </c>
      <c r="G75" s="470">
        <f>IFERROR(IF(DB_Customers!G69&lt;&gt;"",DB_Customers!G69,""),"")</f>
        <v/>
      </c>
      <c r="H75" s="472">
        <f>IFERROR(IF(DB_Customers!H69&lt;&gt;"",DB_Customers!H69,""),"")</f>
        <v/>
      </c>
      <c r="I75" s="473">
        <f>IFERROR(IF(DB_Customers!I69&lt;&gt;"",DB_Customers!I69,""),"")</f>
        <v/>
      </c>
      <c r="J75" s="471">
        <f>IFERROR(IF(DB_Customers!J69&lt;&gt;"",DB_Customers!J69,""),"")</f>
        <v/>
      </c>
      <c r="K75" s="470">
        <f>IFERROR(IF(DB_Customers!E69&lt;&gt;"",DB_Customers!E69,""),"")</f>
        <v/>
      </c>
      <c r="L75" s="470">
        <f>IFERROR(IF(DB_Customers!F69&lt;&gt;"",DB_Customers!F69,""),"")</f>
        <v/>
      </c>
      <c r="M75" s="470">
        <f>IFERROR(IF(DB_Customers!T69&lt;&gt;"",DB_Customers!T69,""),"")</f>
        <v/>
      </c>
      <c r="N75" s="474">
        <f>IFERROR(IF(DB_Customers!A69&lt;&gt;"",IF(DB_Customers!I69&gt;=10,"Active","Inactive"),""),"")</f>
        <v/>
      </c>
    </row>
    <row r="76" ht="18" customHeight="1" s="341">
      <c r="A76" s="461">
        <f>IF(DB_Customers!A70&lt;&gt;"",67,"")</f>
        <v/>
      </c>
      <c r="B76" s="462">
        <f>IFERROR(IF(DB_Customers!A70&lt;&gt;"",DB_Customers!A70,""),"")</f>
        <v/>
      </c>
      <c r="C76" s="463">
        <f>IFERROR(IF(DB_Customers!D70&lt;&gt;"",DB_Customers!D70,""),"")</f>
        <v/>
      </c>
      <c r="D76" s="464">
        <f>IFERROR(IF(DB_Customers!Q70&lt;&gt;"",DB_Customers!Q70,""),"")</f>
        <v/>
      </c>
      <c r="E76" s="463">
        <f>IFERROR(IF(DB_Customers!R70&lt;&gt;"",DB_Customers!R70,""),"")</f>
        <v/>
      </c>
      <c r="F76" s="463">
        <f>IFERROR(IF(DB_Customers!S70&lt;&gt;"",DB_Customers!S70,""),"")</f>
        <v/>
      </c>
      <c r="G76" s="463">
        <f>IFERROR(IF(DB_Customers!G70&lt;&gt;"",DB_Customers!G70,""),"")</f>
        <v/>
      </c>
      <c r="H76" s="465">
        <f>IFERROR(IF(DB_Customers!H70&lt;&gt;"",DB_Customers!H70,""),"")</f>
        <v/>
      </c>
      <c r="I76" s="466">
        <f>IFERROR(IF(DB_Customers!I70&lt;&gt;"",DB_Customers!I70,""),"")</f>
        <v/>
      </c>
      <c r="J76" s="464">
        <f>IFERROR(IF(DB_Customers!J70&lt;&gt;"",DB_Customers!J70,""),"")</f>
        <v/>
      </c>
      <c r="K76" s="463">
        <f>IFERROR(IF(DB_Customers!E70&lt;&gt;"",DB_Customers!E70,""),"")</f>
        <v/>
      </c>
      <c r="L76" s="463">
        <f>IFERROR(IF(DB_Customers!F70&lt;&gt;"",DB_Customers!F70,""),"")</f>
        <v/>
      </c>
      <c r="M76" s="463">
        <f>IFERROR(IF(DB_Customers!T70&lt;&gt;"",DB_Customers!T70,""),"")</f>
        <v/>
      </c>
      <c r="N76" s="467">
        <f>IFERROR(IF(DB_Customers!A70&lt;&gt;"",IF(DB_Customers!I70&gt;=10,"Active","Inactive"),""),"")</f>
        <v/>
      </c>
    </row>
    <row r="77" ht="18" customHeight="1" s="341">
      <c r="A77" s="468">
        <f>IF(DB_Customers!A71&lt;&gt;"",68,"")</f>
        <v/>
      </c>
      <c r="B77" s="469">
        <f>IFERROR(IF(DB_Customers!A71&lt;&gt;"",DB_Customers!A71,""),"")</f>
        <v/>
      </c>
      <c r="C77" s="470">
        <f>IFERROR(IF(DB_Customers!D71&lt;&gt;"",DB_Customers!D71,""),"")</f>
        <v/>
      </c>
      <c r="D77" s="471">
        <f>IFERROR(IF(DB_Customers!Q71&lt;&gt;"",DB_Customers!Q71,""),"")</f>
        <v/>
      </c>
      <c r="E77" s="470">
        <f>IFERROR(IF(DB_Customers!R71&lt;&gt;"",DB_Customers!R71,""),"")</f>
        <v/>
      </c>
      <c r="F77" s="470">
        <f>IFERROR(IF(DB_Customers!S71&lt;&gt;"",DB_Customers!S71,""),"")</f>
        <v/>
      </c>
      <c r="G77" s="470">
        <f>IFERROR(IF(DB_Customers!G71&lt;&gt;"",DB_Customers!G71,""),"")</f>
        <v/>
      </c>
      <c r="H77" s="472">
        <f>IFERROR(IF(DB_Customers!H71&lt;&gt;"",DB_Customers!H71,""),"")</f>
        <v/>
      </c>
      <c r="I77" s="473">
        <f>IFERROR(IF(DB_Customers!I71&lt;&gt;"",DB_Customers!I71,""),"")</f>
        <v/>
      </c>
      <c r="J77" s="471">
        <f>IFERROR(IF(DB_Customers!J71&lt;&gt;"",DB_Customers!J71,""),"")</f>
        <v/>
      </c>
      <c r="K77" s="470">
        <f>IFERROR(IF(DB_Customers!E71&lt;&gt;"",DB_Customers!E71,""),"")</f>
        <v/>
      </c>
      <c r="L77" s="470">
        <f>IFERROR(IF(DB_Customers!F71&lt;&gt;"",DB_Customers!F71,""),"")</f>
        <v/>
      </c>
      <c r="M77" s="470">
        <f>IFERROR(IF(DB_Customers!T71&lt;&gt;"",DB_Customers!T71,""),"")</f>
        <v/>
      </c>
      <c r="N77" s="474">
        <f>IFERROR(IF(DB_Customers!A71&lt;&gt;"",IF(DB_Customers!I71&gt;=10,"Active","Inactive"),""),"")</f>
        <v/>
      </c>
    </row>
    <row r="78" ht="18" customHeight="1" s="341">
      <c r="A78" s="461">
        <f>IF(DB_Customers!A72&lt;&gt;"",69,"")</f>
        <v/>
      </c>
      <c r="B78" s="462">
        <f>IFERROR(IF(DB_Customers!A72&lt;&gt;"",DB_Customers!A72,""),"")</f>
        <v/>
      </c>
      <c r="C78" s="463">
        <f>IFERROR(IF(DB_Customers!D72&lt;&gt;"",DB_Customers!D72,""),"")</f>
        <v/>
      </c>
      <c r="D78" s="464">
        <f>IFERROR(IF(DB_Customers!Q72&lt;&gt;"",DB_Customers!Q72,""),"")</f>
        <v/>
      </c>
      <c r="E78" s="463">
        <f>IFERROR(IF(DB_Customers!R72&lt;&gt;"",DB_Customers!R72,""),"")</f>
        <v/>
      </c>
      <c r="F78" s="463">
        <f>IFERROR(IF(DB_Customers!S72&lt;&gt;"",DB_Customers!S72,""),"")</f>
        <v/>
      </c>
      <c r="G78" s="463">
        <f>IFERROR(IF(DB_Customers!G72&lt;&gt;"",DB_Customers!G72,""),"")</f>
        <v/>
      </c>
      <c r="H78" s="465">
        <f>IFERROR(IF(DB_Customers!H72&lt;&gt;"",DB_Customers!H72,""),"")</f>
        <v/>
      </c>
      <c r="I78" s="466">
        <f>IFERROR(IF(DB_Customers!I72&lt;&gt;"",DB_Customers!I72,""),"")</f>
        <v/>
      </c>
      <c r="J78" s="464">
        <f>IFERROR(IF(DB_Customers!J72&lt;&gt;"",DB_Customers!J72,""),"")</f>
        <v/>
      </c>
      <c r="K78" s="463">
        <f>IFERROR(IF(DB_Customers!E72&lt;&gt;"",DB_Customers!E72,""),"")</f>
        <v/>
      </c>
      <c r="L78" s="463">
        <f>IFERROR(IF(DB_Customers!F72&lt;&gt;"",DB_Customers!F72,""),"")</f>
        <v/>
      </c>
      <c r="M78" s="463">
        <f>IFERROR(IF(DB_Customers!T72&lt;&gt;"",DB_Customers!T72,""),"")</f>
        <v/>
      </c>
      <c r="N78" s="467">
        <f>IFERROR(IF(DB_Customers!A72&lt;&gt;"",IF(DB_Customers!I72&gt;=10,"Active","Inactive"),""),"")</f>
        <v/>
      </c>
    </row>
    <row r="79" ht="18" customHeight="1" s="341">
      <c r="A79" s="468">
        <f>IF(DB_Customers!A73&lt;&gt;"",70,"")</f>
        <v/>
      </c>
      <c r="B79" s="469">
        <f>IFERROR(IF(DB_Customers!A73&lt;&gt;"",DB_Customers!A73,""),"")</f>
        <v/>
      </c>
      <c r="C79" s="470">
        <f>IFERROR(IF(DB_Customers!D73&lt;&gt;"",DB_Customers!D73,""),"")</f>
        <v/>
      </c>
      <c r="D79" s="471">
        <f>IFERROR(IF(DB_Customers!Q73&lt;&gt;"",DB_Customers!Q73,""),"")</f>
        <v/>
      </c>
      <c r="E79" s="470">
        <f>IFERROR(IF(DB_Customers!R73&lt;&gt;"",DB_Customers!R73,""),"")</f>
        <v/>
      </c>
      <c r="F79" s="470">
        <f>IFERROR(IF(DB_Customers!S73&lt;&gt;"",DB_Customers!S73,""),"")</f>
        <v/>
      </c>
      <c r="G79" s="470">
        <f>IFERROR(IF(DB_Customers!G73&lt;&gt;"",DB_Customers!G73,""),"")</f>
        <v/>
      </c>
      <c r="H79" s="472">
        <f>IFERROR(IF(DB_Customers!H73&lt;&gt;"",DB_Customers!H73,""),"")</f>
        <v/>
      </c>
      <c r="I79" s="473">
        <f>IFERROR(IF(DB_Customers!I73&lt;&gt;"",DB_Customers!I73,""),"")</f>
        <v/>
      </c>
      <c r="J79" s="471">
        <f>IFERROR(IF(DB_Customers!J73&lt;&gt;"",DB_Customers!J73,""),"")</f>
        <v/>
      </c>
      <c r="K79" s="470">
        <f>IFERROR(IF(DB_Customers!E73&lt;&gt;"",DB_Customers!E73,""),"")</f>
        <v/>
      </c>
      <c r="L79" s="470">
        <f>IFERROR(IF(DB_Customers!F73&lt;&gt;"",DB_Customers!F73,""),"")</f>
        <v/>
      </c>
      <c r="M79" s="470">
        <f>IFERROR(IF(DB_Customers!T73&lt;&gt;"",DB_Customers!T73,""),"")</f>
        <v/>
      </c>
      <c r="N79" s="474">
        <f>IFERROR(IF(DB_Customers!A73&lt;&gt;"",IF(DB_Customers!I73&gt;=10,"Active","Inactive"),""),"")</f>
        <v/>
      </c>
    </row>
    <row r="80" ht="18" customHeight="1" s="341">
      <c r="A80" s="461">
        <f>IF(DB_Customers!A74&lt;&gt;"",71,"")</f>
        <v/>
      </c>
      <c r="B80" s="462">
        <f>IFERROR(IF(DB_Customers!A74&lt;&gt;"",DB_Customers!A74,""),"")</f>
        <v/>
      </c>
      <c r="C80" s="463">
        <f>IFERROR(IF(DB_Customers!D74&lt;&gt;"",DB_Customers!D74,""),"")</f>
        <v/>
      </c>
      <c r="D80" s="464">
        <f>IFERROR(IF(DB_Customers!Q74&lt;&gt;"",DB_Customers!Q74,""),"")</f>
        <v/>
      </c>
      <c r="E80" s="463">
        <f>IFERROR(IF(DB_Customers!R74&lt;&gt;"",DB_Customers!R74,""),"")</f>
        <v/>
      </c>
      <c r="F80" s="463">
        <f>IFERROR(IF(DB_Customers!S74&lt;&gt;"",DB_Customers!S74,""),"")</f>
        <v/>
      </c>
      <c r="G80" s="463">
        <f>IFERROR(IF(DB_Customers!G74&lt;&gt;"",DB_Customers!G74,""),"")</f>
        <v/>
      </c>
      <c r="H80" s="465">
        <f>IFERROR(IF(DB_Customers!H74&lt;&gt;"",DB_Customers!H74,""),"")</f>
        <v/>
      </c>
      <c r="I80" s="466">
        <f>IFERROR(IF(DB_Customers!I74&lt;&gt;"",DB_Customers!I74,""),"")</f>
        <v/>
      </c>
      <c r="J80" s="464">
        <f>IFERROR(IF(DB_Customers!J74&lt;&gt;"",DB_Customers!J74,""),"")</f>
        <v/>
      </c>
      <c r="K80" s="463">
        <f>IFERROR(IF(DB_Customers!E74&lt;&gt;"",DB_Customers!E74,""),"")</f>
        <v/>
      </c>
      <c r="L80" s="463">
        <f>IFERROR(IF(DB_Customers!F74&lt;&gt;"",DB_Customers!F74,""),"")</f>
        <v/>
      </c>
      <c r="M80" s="463">
        <f>IFERROR(IF(DB_Customers!T74&lt;&gt;"",DB_Customers!T74,""),"")</f>
        <v/>
      </c>
      <c r="N80" s="467">
        <f>IFERROR(IF(DB_Customers!A74&lt;&gt;"",IF(DB_Customers!I74&gt;=10,"Active","Inactive"),""),"")</f>
        <v/>
      </c>
    </row>
    <row r="81" ht="18" customHeight="1" s="341">
      <c r="A81" s="468">
        <f>IF(DB_Customers!A75&lt;&gt;"",72,"")</f>
        <v/>
      </c>
      <c r="B81" s="469">
        <f>IFERROR(IF(DB_Customers!A75&lt;&gt;"",DB_Customers!A75,""),"")</f>
        <v/>
      </c>
      <c r="C81" s="470">
        <f>IFERROR(IF(DB_Customers!D75&lt;&gt;"",DB_Customers!D75,""),"")</f>
        <v/>
      </c>
      <c r="D81" s="471">
        <f>IFERROR(IF(DB_Customers!Q75&lt;&gt;"",DB_Customers!Q75,""),"")</f>
        <v/>
      </c>
      <c r="E81" s="470">
        <f>IFERROR(IF(DB_Customers!R75&lt;&gt;"",DB_Customers!R75,""),"")</f>
        <v/>
      </c>
      <c r="F81" s="470">
        <f>IFERROR(IF(DB_Customers!S75&lt;&gt;"",DB_Customers!S75,""),"")</f>
        <v/>
      </c>
      <c r="G81" s="470">
        <f>IFERROR(IF(DB_Customers!G75&lt;&gt;"",DB_Customers!G75,""),"")</f>
        <v/>
      </c>
      <c r="H81" s="472">
        <f>IFERROR(IF(DB_Customers!H75&lt;&gt;"",DB_Customers!H75,""),"")</f>
        <v/>
      </c>
      <c r="I81" s="473">
        <f>IFERROR(IF(DB_Customers!I75&lt;&gt;"",DB_Customers!I75,""),"")</f>
        <v/>
      </c>
      <c r="J81" s="471">
        <f>IFERROR(IF(DB_Customers!J75&lt;&gt;"",DB_Customers!J75,""),"")</f>
        <v/>
      </c>
      <c r="K81" s="470">
        <f>IFERROR(IF(DB_Customers!E75&lt;&gt;"",DB_Customers!E75,""),"")</f>
        <v/>
      </c>
      <c r="L81" s="470">
        <f>IFERROR(IF(DB_Customers!F75&lt;&gt;"",DB_Customers!F75,""),"")</f>
        <v/>
      </c>
      <c r="M81" s="470">
        <f>IFERROR(IF(DB_Customers!T75&lt;&gt;"",DB_Customers!T75,""),"")</f>
        <v/>
      </c>
      <c r="N81" s="474">
        <f>IFERROR(IF(DB_Customers!A75&lt;&gt;"",IF(DB_Customers!I75&gt;=10,"Active","Inactive"),""),"")</f>
        <v/>
      </c>
    </row>
    <row r="82" ht="18" customHeight="1" s="341">
      <c r="A82" s="461">
        <f>IF(DB_Customers!A76&lt;&gt;"",73,"")</f>
        <v/>
      </c>
      <c r="B82" s="462">
        <f>IFERROR(IF(DB_Customers!A76&lt;&gt;"",DB_Customers!A76,""),"")</f>
        <v/>
      </c>
      <c r="C82" s="463">
        <f>IFERROR(IF(DB_Customers!D76&lt;&gt;"",DB_Customers!D76,""),"")</f>
        <v/>
      </c>
      <c r="D82" s="464">
        <f>IFERROR(IF(DB_Customers!Q76&lt;&gt;"",DB_Customers!Q76,""),"")</f>
        <v/>
      </c>
      <c r="E82" s="463">
        <f>IFERROR(IF(DB_Customers!R76&lt;&gt;"",DB_Customers!R76,""),"")</f>
        <v/>
      </c>
      <c r="F82" s="463">
        <f>IFERROR(IF(DB_Customers!S76&lt;&gt;"",DB_Customers!S76,""),"")</f>
        <v/>
      </c>
      <c r="G82" s="463">
        <f>IFERROR(IF(DB_Customers!G76&lt;&gt;"",DB_Customers!G76,""),"")</f>
        <v/>
      </c>
      <c r="H82" s="465">
        <f>IFERROR(IF(DB_Customers!H76&lt;&gt;"",DB_Customers!H76,""),"")</f>
        <v/>
      </c>
      <c r="I82" s="466">
        <f>IFERROR(IF(DB_Customers!I76&lt;&gt;"",DB_Customers!I76,""),"")</f>
        <v/>
      </c>
      <c r="J82" s="464">
        <f>IFERROR(IF(DB_Customers!J76&lt;&gt;"",DB_Customers!J76,""),"")</f>
        <v/>
      </c>
      <c r="K82" s="463">
        <f>IFERROR(IF(DB_Customers!E76&lt;&gt;"",DB_Customers!E76,""),"")</f>
        <v/>
      </c>
      <c r="L82" s="463">
        <f>IFERROR(IF(DB_Customers!F76&lt;&gt;"",DB_Customers!F76,""),"")</f>
        <v/>
      </c>
      <c r="M82" s="463">
        <f>IFERROR(IF(DB_Customers!T76&lt;&gt;"",DB_Customers!T76,""),"")</f>
        <v/>
      </c>
      <c r="N82" s="467">
        <f>IFERROR(IF(DB_Customers!A76&lt;&gt;"",IF(DB_Customers!I76&gt;=10,"Active","Inactive"),""),"")</f>
        <v/>
      </c>
    </row>
    <row r="83" ht="18" customHeight="1" s="341">
      <c r="A83" s="468">
        <f>IF(DB_Customers!A77&lt;&gt;"",74,"")</f>
        <v/>
      </c>
      <c r="B83" s="469">
        <f>IFERROR(IF(DB_Customers!A77&lt;&gt;"",DB_Customers!A77,""),"")</f>
        <v/>
      </c>
      <c r="C83" s="470">
        <f>IFERROR(IF(DB_Customers!D77&lt;&gt;"",DB_Customers!D77,""),"")</f>
        <v/>
      </c>
      <c r="D83" s="471">
        <f>IFERROR(IF(DB_Customers!Q77&lt;&gt;"",DB_Customers!Q77,""),"")</f>
        <v/>
      </c>
      <c r="E83" s="470">
        <f>IFERROR(IF(DB_Customers!R77&lt;&gt;"",DB_Customers!R77,""),"")</f>
        <v/>
      </c>
      <c r="F83" s="470">
        <f>IFERROR(IF(DB_Customers!S77&lt;&gt;"",DB_Customers!S77,""),"")</f>
        <v/>
      </c>
      <c r="G83" s="470">
        <f>IFERROR(IF(DB_Customers!G77&lt;&gt;"",DB_Customers!G77,""),"")</f>
        <v/>
      </c>
      <c r="H83" s="472">
        <f>IFERROR(IF(DB_Customers!H77&lt;&gt;"",DB_Customers!H77,""),"")</f>
        <v/>
      </c>
      <c r="I83" s="473">
        <f>IFERROR(IF(DB_Customers!I77&lt;&gt;"",DB_Customers!I77,""),"")</f>
        <v/>
      </c>
      <c r="J83" s="471">
        <f>IFERROR(IF(DB_Customers!J77&lt;&gt;"",DB_Customers!J77,""),"")</f>
        <v/>
      </c>
      <c r="K83" s="470">
        <f>IFERROR(IF(DB_Customers!E77&lt;&gt;"",DB_Customers!E77,""),"")</f>
        <v/>
      </c>
      <c r="L83" s="470">
        <f>IFERROR(IF(DB_Customers!F77&lt;&gt;"",DB_Customers!F77,""),"")</f>
        <v/>
      </c>
      <c r="M83" s="470">
        <f>IFERROR(IF(DB_Customers!T77&lt;&gt;"",DB_Customers!T77,""),"")</f>
        <v/>
      </c>
      <c r="N83" s="474">
        <f>IFERROR(IF(DB_Customers!A77&lt;&gt;"",IF(DB_Customers!I77&gt;=10,"Active","Inactive"),""),"")</f>
        <v/>
      </c>
    </row>
    <row r="84" ht="18" customHeight="1" s="341">
      <c r="A84" s="461">
        <f>IF(DB_Customers!A78&lt;&gt;"",75,"")</f>
        <v/>
      </c>
      <c r="B84" s="462">
        <f>IFERROR(IF(DB_Customers!A78&lt;&gt;"",DB_Customers!A78,""),"")</f>
        <v/>
      </c>
      <c r="C84" s="463">
        <f>IFERROR(IF(DB_Customers!D78&lt;&gt;"",DB_Customers!D78,""),"")</f>
        <v/>
      </c>
      <c r="D84" s="464">
        <f>IFERROR(IF(DB_Customers!Q78&lt;&gt;"",DB_Customers!Q78,""),"")</f>
        <v/>
      </c>
      <c r="E84" s="463">
        <f>IFERROR(IF(DB_Customers!R78&lt;&gt;"",DB_Customers!R78,""),"")</f>
        <v/>
      </c>
      <c r="F84" s="463">
        <f>IFERROR(IF(DB_Customers!S78&lt;&gt;"",DB_Customers!S78,""),"")</f>
        <v/>
      </c>
      <c r="G84" s="463">
        <f>IFERROR(IF(DB_Customers!G78&lt;&gt;"",DB_Customers!G78,""),"")</f>
        <v/>
      </c>
      <c r="H84" s="465">
        <f>IFERROR(IF(DB_Customers!H78&lt;&gt;"",DB_Customers!H78,""),"")</f>
        <v/>
      </c>
      <c r="I84" s="466">
        <f>IFERROR(IF(DB_Customers!I78&lt;&gt;"",DB_Customers!I78,""),"")</f>
        <v/>
      </c>
      <c r="J84" s="464">
        <f>IFERROR(IF(DB_Customers!J78&lt;&gt;"",DB_Customers!J78,""),"")</f>
        <v/>
      </c>
      <c r="K84" s="463">
        <f>IFERROR(IF(DB_Customers!E78&lt;&gt;"",DB_Customers!E78,""),"")</f>
        <v/>
      </c>
      <c r="L84" s="463">
        <f>IFERROR(IF(DB_Customers!F78&lt;&gt;"",DB_Customers!F78,""),"")</f>
        <v/>
      </c>
      <c r="M84" s="463">
        <f>IFERROR(IF(DB_Customers!T78&lt;&gt;"",DB_Customers!T78,""),"")</f>
        <v/>
      </c>
      <c r="N84" s="467">
        <f>IFERROR(IF(DB_Customers!A78&lt;&gt;"",IF(DB_Customers!I78&gt;=10,"Active","Inactive"),""),"")</f>
        <v/>
      </c>
    </row>
    <row r="85" ht="18" customHeight="1" s="341">
      <c r="A85" s="468">
        <f>IF(DB_Customers!A79&lt;&gt;"",76,"")</f>
        <v/>
      </c>
      <c r="B85" s="469">
        <f>IFERROR(IF(DB_Customers!A79&lt;&gt;"",DB_Customers!A79,""),"")</f>
        <v/>
      </c>
      <c r="C85" s="470">
        <f>IFERROR(IF(DB_Customers!D79&lt;&gt;"",DB_Customers!D79,""),"")</f>
        <v/>
      </c>
      <c r="D85" s="471">
        <f>IFERROR(IF(DB_Customers!Q79&lt;&gt;"",DB_Customers!Q79,""),"")</f>
        <v/>
      </c>
      <c r="E85" s="470">
        <f>IFERROR(IF(DB_Customers!R79&lt;&gt;"",DB_Customers!R79,""),"")</f>
        <v/>
      </c>
      <c r="F85" s="470">
        <f>IFERROR(IF(DB_Customers!S79&lt;&gt;"",DB_Customers!S79,""),"")</f>
        <v/>
      </c>
      <c r="G85" s="470">
        <f>IFERROR(IF(DB_Customers!G79&lt;&gt;"",DB_Customers!G79,""),"")</f>
        <v/>
      </c>
      <c r="H85" s="472">
        <f>IFERROR(IF(DB_Customers!H79&lt;&gt;"",DB_Customers!H79,""),"")</f>
        <v/>
      </c>
      <c r="I85" s="473">
        <f>IFERROR(IF(DB_Customers!I79&lt;&gt;"",DB_Customers!I79,""),"")</f>
        <v/>
      </c>
      <c r="J85" s="471">
        <f>IFERROR(IF(DB_Customers!J79&lt;&gt;"",DB_Customers!J79,""),"")</f>
        <v/>
      </c>
      <c r="K85" s="470">
        <f>IFERROR(IF(DB_Customers!E79&lt;&gt;"",DB_Customers!E79,""),"")</f>
        <v/>
      </c>
      <c r="L85" s="470">
        <f>IFERROR(IF(DB_Customers!F79&lt;&gt;"",DB_Customers!F79,""),"")</f>
        <v/>
      </c>
      <c r="M85" s="470">
        <f>IFERROR(IF(DB_Customers!T79&lt;&gt;"",DB_Customers!T79,""),"")</f>
        <v/>
      </c>
      <c r="N85" s="474">
        <f>IFERROR(IF(DB_Customers!A79&lt;&gt;"",IF(DB_Customers!I79&gt;=10,"Active","Inactive"),""),"")</f>
        <v/>
      </c>
    </row>
    <row r="86" ht="18" customHeight="1" s="341">
      <c r="A86" s="461">
        <f>IF(DB_Customers!A80&lt;&gt;"",77,"")</f>
        <v/>
      </c>
      <c r="B86" s="462">
        <f>IFERROR(IF(DB_Customers!A80&lt;&gt;"",DB_Customers!A80,""),"")</f>
        <v/>
      </c>
      <c r="C86" s="463">
        <f>IFERROR(IF(DB_Customers!D80&lt;&gt;"",DB_Customers!D80,""),"")</f>
        <v/>
      </c>
      <c r="D86" s="464">
        <f>IFERROR(IF(DB_Customers!Q80&lt;&gt;"",DB_Customers!Q80,""),"")</f>
        <v/>
      </c>
      <c r="E86" s="463">
        <f>IFERROR(IF(DB_Customers!R80&lt;&gt;"",DB_Customers!R80,""),"")</f>
        <v/>
      </c>
      <c r="F86" s="463">
        <f>IFERROR(IF(DB_Customers!S80&lt;&gt;"",DB_Customers!S80,""),"")</f>
        <v/>
      </c>
      <c r="G86" s="463">
        <f>IFERROR(IF(DB_Customers!G80&lt;&gt;"",DB_Customers!G80,""),"")</f>
        <v/>
      </c>
      <c r="H86" s="465">
        <f>IFERROR(IF(DB_Customers!H80&lt;&gt;"",DB_Customers!H80,""),"")</f>
        <v/>
      </c>
      <c r="I86" s="466">
        <f>IFERROR(IF(DB_Customers!I80&lt;&gt;"",DB_Customers!I80,""),"")</f>
        <v/>
      </c>
      <c r="J86" s="464">
        <f>IFERROR(IF(DB_Customers!J80&lt;&gt;"",DB_Customers!J80,""),"")</f>
        <v/>
      </c>
      <c r="K86" s="463">
        <f>IFERROR(IF(DB_Customers!E80&lt;&gt;"",DB_Customers!E80,""),"")</f>
        <v/>
      </c>
      <c r="L86" s="463">
        <f>IFERROR(IF(DB_Customers!F80&lt;&gt;"",DB_Customers!F80,""),"")</f>
        <v/>
      </c>
      <c r="M86" s="463">
        <f>IFERROR(IF(DB_Customers!T80&lt;&gt;"",DB_Customers!T80,""),"")</f>
        <v/>
      </c>
      <c r="N86" s="467">
        <f>IFERROR(IF(DB_Customers!A80&lt;&gt;"",IF(DB_Customers!I80&gt;=10,"Active","Inactive"),""),"")</f>
        <v/>
      </c>
    </row>
    <row r="87" ht="18" customHeight="1" s="341">
      <c r="A87" s="468">
        <f>IF(DB_Customers!A81&lt;&gt;"",78,"")</f>
        <v/>
      </c>
      <c r="B87" s="469">
        <f>IFERROR(IF(DB_Customers!A81&lt;&gt;"",DB_Customers!A81,""),"")</f>
        <v/>
      </c>
      <c r="C87" s="470">
        <f>IFERROR(IF(DB_Customers!D81&lt;&gt;"",DB_Customers!D81,""),"")</f>
        <v/>
      </c>
      <c r="D87" s="471">
        <f>IFERROR(IF(DB_Customers!Q81&lt;&gt;"",DB_Customers!Q81,""),"")</f>
        <v/>
      </c>
      <c r="E87" s="470">
        <f>IFERROR(IF(DB_Customers!R81&lt;&gt;"",DB_Customers!R81,""),"")</f>
        <v/>
      </c>
      <c r="F87" s="470">
        <f>IFERROR(IF(DB_Customers!S81&lt;&gt;"",DB_Customers!S81,""),"")</f>
        <v/>
      </c>
      <c r="G87" s="470">
        <f>IFERROR(IF(DB_Customers!G81&lt;&gt;"",DB_Customers!G81,""),"")</f>
        <v/>
      </c>
      <c r="H87" s="472">
        <f>IFERROR(IF(DB_Customers!H81&lt;&gt;"",DB_Customers!H81,""),"")</f>
        <v/>
      </c>
      <c r="I87" s="473">
        <f>IFERROR(IF(DB_Customers!I81&lt;&gt;"",DB_Customers!I81,""),"")</f>
        <v/>
      </c>
      <c r="J87" s="471">
        <f>IFERROR(IF(DB_Customers!J81&lt;&gt;"",DB_Customers!J81,""),"")</f>
        <v/>
      </c>
      <c r="K87" s="470">
        <f>IFERROR(IF(DB_Customers!E81&lt;&gt;"",DB_Customers!E81,""),"")</f>
        <v/>
      </c>
      <c r="L87" s="470">
        <f>IFERROR(IF(DB_Customers!F81&lt;&gt;"",DB_Customers!F81,""),"")</f>
        <v/>
      </c>
      <c r="M87" s="470">
        <f>IFERROR(IF(DB_Customers!T81&lt;&gt;"",DB_Customers!T81,""),"")</f>
        <v/>
      </c>
      <c r="N87" s="474">
        <f>IFERROR(IF(DB_Customers!A81&lt;&gt;"",IF(DB_Customers!I81&gt;=10,"Active","Inactive"),""),"")</f>
        <v/>
      </c>
    </row>
    <row r="88" ht="18" customHeight="1" s="341">
      <c r="A88" s="461">
        <f>IF(DB_Customers!A82&lt;&gt;"",79,"")</f>
        <v/>
      </c>
      <c r="B88" s="462">
        <f>IFERROR(IF(DB_Customers!A82&lt;&gt;"",DB_Customers!A82,""),"")</f>
        <v/>
      </c>
      <c r="C88" s="463">
        <f>IFERROR(IF(DB_Customers!D82&lt;&gt;"",DB_Customers!D82,""),"")</f>
        <v/>
      </c>
      <c r="D88" s="464">
        <f>IFERROR(IF(DB_Customers!Q82&lt;&gt;"",DB_Customers!Q82,""),"")</f>
        <v/>
      </c>
      <c r="E88" s="463">
        <f>IFERROR(IF(DB_Customers!R82&lt;&gt;"",DB_Customers!R82,""),"")</f>
        <v/>
      </c>
      <c r="F88" s="463">
        <f>IFERROR(IF(DB_Customers!S82&lt;&gt;"",DB_Customers!S82,""),"")</f>
        <v/>
      </c>
      <c r="G88" s="463">
        <f>IFERROR(IF(DB_Customers!G82&lt;&gt;"",DB_Customers!G82,""),"")</f>
        <v/>
      </c>
      <c r="H88" s="465">
        <f>IFERROR(IF(DB_Customers!H82&lt;&gt;"",DB_Customers!H82,""),"")</f>
        <v/>
      </c>
      <c r="I88" s="466">
        <f>IFERROR(IF(DB_Customers!I82&lt;&gt;"",DB_Customers!I82,""),"")</f>
        <v/>
      </c>
      <c r="J88" s="464">
        <f>IFERROR(IF(DB_Customers!J82&lt;&gt;"",DB_Customers!J82,""),"")</f>
        <v/>
      </c>
      <c r="K88" s="463">
        <f>IFERROR(IF(DB_Customers!E82&lt;&gt;"",DB_Customers!E82,""),"")</f>
        <v/>
      </c>
      <c r="L88" s="463">
        <f>IFERROR(IF(DB_Customers!F82&lt;&gt;"",DB_Customers!F82,""),"")</f>
        <v/>
      </c>
      <c r="M88" s="463">
        <f>IFERROR(IF(DB_Customers!T82&lt;&gt;"",DB_Customers!T82,""),"")</f>
        <v/>
      </c>
      <c r="N88" s="467">
        <f>IFERROR(IF(DB_Customers!A82&lt;&gt;"",IF(DB_Customers!I82&gt;=10,"Active","Inactive"),""),"")</f>
        <v/>
      </c>
    </row>
    <row r="89" ht="18" customHeight="1" s="341">
      <c r="A89" s="468">
        <f>IF(DB_Customers!A83&lt;&gt;"",80,"")</f>
        <v/>
      </c>
      <c r="B89" s="469">
        <f>IFERROR(IF(DB_Customers!A83&lt;&gt;"",DB_Customers!A83,""),"")</f>
        <v/>
      </c>
      <c r="C89" s="470">
        <f>IFERROR(IF(DB_Customers!D83&lt;&gt;"",DB_Customers!D83,""),"")</f>
        <v/>
      </c>
      <c r="D89" s="471">
        <f>IFERROR(IF(DB_Customers!Q83&lt;&gt;"",DB_Customers!Q83,""),"")</f>
        <v/>
      </c>
      <c r="E89" s="470">
        <f>IFERROR(IF(DB_Customers!R83&lt;&gt;"",DB_Customers!R83,""),"")</f>
        <v/>
      </c>
      <c r="F89" s="470">
        <f>IFERROR(IF(DB_Customers!S83&lt;&gt;"",DB_Customers!S83,""),"")</f>
        <v/>
      </c>
      <c r="G89" s="470">
        <f>IFERROR(IF(DB_Customers!G83&lt;&gt;"",DB_Customers!G83,""),"")</f>
        <v/>
      </c>
      <c r="H89" s="472">
        <f>IFERROR(IF(DB_Customers!H83&lt;&gt;"",DB_Customers!H83,""),"")</f>
        <v/>
      </c>
      <c r="I89" s="473">
        <f>IFERROR(IF(DB_Customers!I83&lt;&gt;"",DB_Customers!I83,""),"")</f>
        <v/>
      </c>
      <c r="J89" s="471">
        <f>IFERROR(IF(DB_Customers!J83&lt;&gt;"",DB_Customers!J83,""),"")</f>
        <v/>
      </c>
      <c r="K89" s="470">
        <f>IFERROR(IF(DB_Customers!E83&lt;&gt;"",DB_Customers!E83,""),"")</f>
        <v/>
      </c>
      <c r="L89" s="470">
        <f>IFERROR(IF(DB_Customers!F83&lt;&gt;"",DB_Customers!F83,""),"")</f>
        <v/>
      </c>
      <c r="M89" s="470">
        <f>IFERROR(IF(DB_Customers!T83&lt;&gt;"",DB_Customers!T83,""),"")</f>
        <v/>
      </c>
      <c r="N89" s="474">
        <f>IFERROR(IF(DB_Customers!A83&lt;&gt;"",IF(DB_Customers!I83&gt;=10,"Active","Inactive"),""),"")</f>
        <v/>
      </c>
    </row>
    <row r="90" ht="18" customHeight="1" s="341">
      <c r="A90" s="461">
        <f>IF(DB_Customers!A84&lt;&gt;"",81,"")</f>
        <v/>
      </c>
      <c r="B90" s="462">
        <f>IFERROR(IF(DB_Customers!A84&lt;&gt;"",DB_Customers!A84,""),"")</f>
        <v/>
      </c>
      <c r="C90" s="463">
        <f>IFERROR(IF(DB_Customers!D84&lt;&gt;"",DB_Customers!D84,""),"")</f>
        <v/>
      </c>
      <c r="D90" s="464">
        <f>IFERROR(IF(DB_Customers!Q84&lt;&gt;"",DB_Customers!Q84,""),"")</f>
        <v/>
      </c>
      <c r="E90" s="463">
        <f>IFERROR(IF(DB_Customers!R84&lt;&gt;"",DB_Customers!R84,""),"")</f>
        <v/>
      </c>
      <c r="F90" s="463">
        <f>IFERROR(IF(DB_Customers!S84&lt;&gt;"",DB_Customers!S84,""),"")</f>
        <v/>
      </c>
      <c r="G90" s="463">
        <f>IFERROR(IF(DB_Customers!G84&lt;&gt;"",DB_Customers!G84,""),"")</f>
        <v/>
      </c>
      <c r="H90" s="465">
        <f>IFERROR(IF(DB_Customers!H84&lt;&gt;"",DB_Customers!H84,""),"")</f>
        <v/>
      </c>
      <c r="I90" s="466">
        <f>IFERROR(IF(DB_Customers!I84&lt;&gt;"",DB_Customers!I84,""),"")</f>
        <v/>
      </c>
      <c r="J90" s="464">
        <f>IFERROR(IF(DB_Customers!J84&lt;&gt;"",DB_Customers!J84,""),"")</f>
        <v/>
      </c>
      <c r="K90" s="463">
        <f>IFERROR(IF(DB_Customers!E84&lt;&gt;"",DB_Customers!E84,""),"")</f>
        <v/>
      </c>
      <c r="L90" s="463">
        <f>IFERROR(IF(DB_Customers!F84&lt;&gt;"",DB_Customers!F84,""),"")</f>
        <v/>
      </c>
      <c r="M90" s="463">
        <f>IFERROR(IF(DB_Customers!T84&lt;&gt;"",DB_Customers!T84,""),"")</f>
        <v/>
      </c>
      <c r="N90" s="467">
        <f>IFERROR(IF(DB_Customers!A84&lt;&gt;"",IF(DB_Customers!I84&gt;=10,"Active","Inactive"),""),"")</f>
        <v/>
      </c>
    </row>
    <row r="91" ht="18" customHeight="1" s="341">
      <c r="A91" s="468">
        <f>IF(DB_Customers!A85&lt;&gt;"",82,"")</f>
        <v/>
      </c>
      <c r="B91" s="469">
        <f>IFERROR(IF(DB_Customers!A85&lt;&gt;"",DB_Customers!A85,""),"")</f>
        <v/>
      </c>
      <c r="C91" s="470">
        <f>IFERROR(IF(DB_Customers!D85&lt;&gt;"",DB_Customers!D85,""),"")</f>
        <v/>
      </c>
      <c r="D91" s="471">
        <f>IFERROR(IF(DB_Customers!Q85&lt;&gt;"",DB_Customers!Q85,""),"")</f>
        <v/>
      </c>
      <c r="E91" s="470">
        <f>IFERROR(IF(DB_Customers!R85&lt;&gt;"",DB_Customers!R85,""),"")</f>
        <v/>
      </c>
      <c r="F91" s="470">
        <f>IFERROR(IF(DB_Customers!S85&lt;&gt;"",DB_Customers!S85,""),"")</f>
        <v/>
      </c>
      <c r="G91" s="470">
        <f>IFERROR(IF(DB_Customers!G85&lt;&gt;"",DB_Customers!G85,""),"")</f>
        <v/>
      </c>
      <c r="H91" s="472">
        <f>IFERROR(IF(DB_Customers!H85&lt;&gt;"",DB_Customers!H85,""),"")</f>
        <v/>
      </c>
      <c r="I91" s="473">
        <f>IFERROR(IF(DB_Customers!I85&lt;&gt;"",DB_Customers!I85,""),"")</f>
        <v/>
      </c>
      <c r="J91" s="471">
        <f>IFERROR(IF(DB_Customers!J85&lt;&gt;"",DB_Customers!J85,""),"")</f>
        <v/>
      </c>
      <c r="K91" s="470">
        <f>IFERROR(IF(DB_Customers!E85&lt;&gt;"",DB_Customers!E85,""),"")</f>
        <v/>
      </c>
      <c r="L91" s="470">
        <f>IFERROR(IF(DB_Customers!F85&lt;&gt;"",DB_Customers!F85,""),"")</f>
        <v/>
      </c>
      <c r="M91" s="470">
        <f>IFERROR(IF(DB_Customers!T85&lt;&gt;"",DB_Customers!T85,""),"")</f>
        <v/>
      </c>
      <c r="N91" s="474">
        <f>IFERROR(IF(DB_Customers!A85&lt;&gt;"",IF(DB_Customers!I85&gt;=10,"Active","Inactive"),""),"")</f>
        <v/>
      </c>
    </row>
    <row r="92" ht="18" customHeight="1" s="341">
      <c r="A92" s="461">
        <f>IF(DB_Customers!A86&lt;&gt;"",83,"")</f>
        <v/>
      </c>
      <c r="B92" s="462">
        <f>IFERROR(IF(DB_Customers!A86&lt;&gt;"",DB_Customers!A86,""),"")</f>
        <v/>
      </c>
      <c r="C92" s="463">
        <f>IFERROR(IF(DB_Customers!D86&lt;&gt;"",DB_Customers!D86,""),"")</f>
        <v/>
      </c>
      <c r="D92" s="464">
        <f>IFERROR(IF(DB_Customers!Q86&lt;&gt;"",DB_Customers!Q86,""),"")</f>
        <v/>
      </c>
      <c r="E92" s="463">
        <f>IFERROR(IF(DB_Customers!R86&lt;&gt;"",DB_Customers!R86,""),"")</f>
        <v/>
      </c>
      <c r="F92" s="463">
        <f>IFERROR(IF(DB_Customers!S86&lt;&gt;"",DB_Customers!S86,""),"")</f>
        <v/>
      </c>
      <c r="G92" s="463">
        <f>IFERROR(IF(DB_Customers!G86&lt;&gt;"",DB_Customers!G86,""),"")</f>
        <v/>
      </c>
      <c r="H92" s="465">
        <f>IFERROR(IF(DB_Customers!H86&lt;&gt;"",DB_Customers!H86,""),"")</f>
        <v/>
      </c>
      <c r="I92" s="466">
        <f>IFERROR(IF(DB_Customers!I86&lt;&gt;"",DB_Customers!I86,""),"")</f>
        <v/>
      </c>
      <c r="J92" s="464">
        <f>IFERROR(IF(DB_Customers!J86&lt;&gt;"",DB_Customers!J86,""),"")</f>
        <v/>
      </c>
      <c r="K92" s="463">
        <f>IFERROR(IF(DB_Customers!E86&lt;&gt;"",DB_Customers!E86,""),"")</f>
        <v/>
      </c>
      <c r="L92" s="463">
        <f>IFERROR(IF(DB_Customers!F86&lt;&gt;"",DB_Customers!F86,""),"")</f>
        <v/>
      </c>
      <c r="M92" s="463">
        <f>IFERROR(IF(DB_Customers!T86&lt;&gt;"",DB_Customers!T86,""),"")</f>
        <v/>
      </c>
      <c r="N92" s="467">
        <f>IFERROR(IF(DB_Customers!A86&lt;&gt;"",IF(DB_Customers!I86&gt;=10,"Active","Inactive"),""),"")</f>
        <v/>
      </c>
    </row>
    <row r="93" ht="18" customHeight="1" s="341">
      <c r="A93" s="468">
        <f>IF(DB_Customers!A87&lt;&gt;"",84,"")</f>
        <v/>
      </c>
      <c r="B93" s="469">
        <f>IFERROR(IF(DB_Customers!A87&lt;&gt;"",DB_Customers!A87,""),"")</f>
        <v/>
      </c>
      <c r="C93" s="470">
        <f>IFERROR(IF(DB_Customers!D87&lt;&gt;"",DB_Customers!D87,""),"")</f>
        <v/>
      </c>
      <c r="D93" s="471">
        <f>IFERROR(IF(DB_Customers!Q87&lt;&gt;"",DB_Customers!Q87,""),"")</f>
        <v/>
      </c>
      <c r="E93" s="470">
        <f>IFERROR(IF(DB_Customers!R87&lt;&gt;"",DB_Customers!R87,""),"")</f>
        <v/>
      </c>
      <c r="F93" s="470">
        <f>IFERROR(IF(DB_Customers!S87&lt;&gt;"",DB_Customers!S87,""),"")</f>
        <v/>
      </c>
      <c r="G93" s="470">
        <f>IFERROR(IF(DB_Customers!G87&lt;&gt;"",DB_Customers!G87,""),"")</f>
        <v/>
      </c>
      <c r="H93" s="472">
        <f>IFERROR(IF(DB_Customers!H87&lt;&gt;"",DB_Customers!H87,""),"")</f>
        <v/>
      </c>
      <c r="I93" s="473">
        <f>IFERROR(IF(DB_Customers!I87&lt;&gt;"",DB_Customers!I87,""),"")</f>
        <v/>
      </c>
      <c r="J93" s="471">
        <f>IFERROR(IF(DB_Customers!J87&lt;&gt;"",DB_Customers!J87,""),"")</f>
        <v/>
      </c>
      <c r="K93" s="470">
        <f>IFERROR(IF(DB_Customers!E87&lt;&gt;"",DB_Customers!E87,""),"")</f>
        <v/>
      </c>
      <c r="L93" s="470">
        <f>IFERROR(IF(DB_Customers!F87&lt;&gt;"",DB_Customers!F87,""),"")</f>
        <v/>
      </c>
      <c r="M93" s="470">
        <f>IFERROR(IF(DB_Customers!T87&lt;&gt;"",DB_Customers!T87,""),"")</f>
        <v/>
      </c>
      <c r="N93" s="474">
        <f>IFERROR(IF(DB_Customers!A87&lt;&gt;"",IF(DB_Customers!I87&gt;=10,"Active","Inactive"),""),"")</f>
        <v/>
      </c>
    </row>
    <row r="94" ht="18" customHeight="1" s="341">
      <c r="A94" s="461">
        <f>IF(DB_Customers!A88&lt;&gt;"",85,"")</f>
        <v/>
      </c>
      <c r="B94" s="462">
        <f>IFERROR(IF(DB_Customers!A88&lt;&gt;"",DB_Customers!A88,""),"")</f>
        <v/>
      </c>
      <c r="C94" s="463">
        <f>IFERROR(IF(DB_Customers!D88&lt;&gt;"",DB_Customers!D88,""),"")</f>
        <v/>
      </c>
      <c r="D94" s="464">
        <f>IFERROR(IF(DB_Customers!Q88&lt;&gt;"",DB_Customers!Q88,""),"")</f>
        <v/>
      </c>
      <c r="E94" s="463">
        <f>IFERROR(IF(DB_Customers!R88&lt;&gt;"",DB_Customers!R88,""),"")</f>
        <v/>
      </c>
      <c r="F94" s="463">
        <f>IFERROR(IF(DB_Customers!S88&lt;&gt;"",DB_Customers!S88,""),"")</f>
        <v/>
      </c>
      <c r="G94" s="463">
        <f>IFERROR(IF(DB_Customers!G88&lt;&gt;"",DB_Customers!G88,""),"")</f>
        <v/>
      </c>
      <c r="H94" s="465">
        <f>IFERROR(IF(DB_Customers!H88&lt;&gt;"",DB_Customers!H88,""),"")</f>
        <v/>
      </c>
      <c r="I94" s="466">
        <f>IFERROR(IF(DB_Customers!I88&lt;&gt;"",DB_Customers!I88,""),"")</f>
        <v/>
      </c>
      <c r="J94" s="464">
        <f>IFERROR(IF(DB_Customers!J88&lt;&gt;"",DB_Customers!J88,""),"")</f>
        <v/>
      </c>
      <c r="K94" s="463">
        <f>IFERROR(IF(DB_Customers!E88&lt;&gt;"",DB_Customers!E88,""),"")</f>
        <v/>
      </c>
      <c r="L94" s="463">
        <f>IFERROR(IF(DB_Customers!F88&lt;&gt;"",DB_Customers!F88,""),"")</f>
        <v/>
      </c>
      <c r="M94" s="463">
        <f>IFERROR(IF(DB_Customers!T88&lt;&gt;"",DB_Customers!T88,""),"")</f>
        <v/>
      </c>
      <c r="N94" s="467">
        <f>IFERROR(IF(DB_Customers!A88&lt;&gt;"",IF(DB_Customers!I88&gt;=10,"Active","Inactive"),""),"")</f>
        <v/>
      </c>
    </row>
    <row r="95" ht="18" customHeight="1" s="341">
      <c r="A95" s="468">
        <f>IF(DB_Customers!A89&lt;&gt;"",86,"")</f>
        <v/>
      </c>
      <c r="B95" s="469">
        <f>IFERROR(IF(DB_Customers!A89&lt;&gt;"",DB_Customers!A89,""),"")</f>
        <v/>
      </c>
      <c r="C95" s="470">
        <f>IFERROR(IF(DB_Customers!D89&lt;&gt;"",DB_Customers!D89,""),"")</f>
        <v/>
      </c>
      <c r="D95" s="471">
        <f>IFERROR(IF(DB_Customers!Q89&lt;&gt;"",DB_Customers!Q89,""),"")</f>
        <v/>
      </c>
      <c r="E95" s="470">
        <f>IFERROR(IF(DB_Customers!R89&lt;&gt;"",DB_Customers!R89,""),"")</f>
        <v/>
      </c>
      <c r="F95" s="470">
        <f>IFERROR(IF(DB_Customers!S89&lt;&gt;"",DB_Customers!S89,""),"")</f>
        <v/>
      </c>
      <c r="G95" s="470">
        <f>IFERROR(IF(DB_Customers!G89&lt;&gt;"",DB_Customers!G89,""),"")</f>
        <v/>
      </c>
      <c r="H95" s="472">
        <f>IFERROR(IF(DB_Customers!H89&lt;&gt;"",DB_Customers!H89,""),"")</f>
        <v/>
      </c>
      <c r="I95" s="473">
        <f>IFERROR(IF(DB_Customers!I89&lt;&gt;"",DB_Customers!I89,""),"")</f>
        <v/>
      </c>
      <c r="J95" s="471">
        <f>IFERROR(IF(DB_Customers!J89&lt;&gt;"",DB_Customers!J89,""),"")</f>
        <v/>
      </c>
      <c r="K95" s="470">
        <f>IFERROR(IF(DB_Customers!E89&lt;&gt;"",DB_Customers!E89,""),"")</f>
        <v/>
      </c>
      <c r="L95" s="470">
        <f>IFERROR(IF(DB_Customers!F89&lt;&gt;"",DB_Customers!F89,""),"")</f>
        <v/>
      </c>
      <c r="M95" s="470">
        <f>IFERROR(IF(DB_Customers!T89&lt;&gt;"",DB_Customers!T89,""),"")</f>
        <v/>
      </c>
      <c r="N95" s="474">
        <f>IFERROR(IF(DB_Customers!A89&lt;&gt;"",IF(DB_Customers!I89&gt;=10,"Active","Inactive"),""),"")</f>
        <v/>
      </c>
    </row>
    <row r="96" ht="18" customHeight="1" s="341">
      <c r="A96" s="461">
        <f>IF(DB_Customers!A90&lt;&gt;"",87,"")</f>
        <v/>
      </c>
      <c r="B96" s="462">
        <f>IFERROR(IF(DB_Customers!A90&lt;&gt;"",DB_Customers!A90,""),"")</f>
        <v/>
      </c>
      <c r="C96" s="463">
        <f>IFERROR(IF(DB_Customers!D90&lt;&gt;"",DB_Customers!D90,""),"")</f>
        <v/>
      </c>
      <c r="D96" s="464">
        <f>IFERROR(IF(DB_Customers!Q90&lt;&gt;"",DB_Customers!Q90,""),"")</f>
        <v/>
      </c>
      <c r="E96" s="463">
        <f>IFERROR(IF(DB_Customers!R90&lt;&gt;"",DB_Customers!R90,""),"")</f>
        <v/>
      </c>
      <c r="F96" s="463">
        <f>IFERROR(IF(DB_Customers!S90&lt;&gt;"",DB_Customers!S90,""),"")</f>
        <v/>
      </c>
      <c r="G96" s="463">
        <f>IFERROR(IF(DB_Customers!G90&lt;&gt;"",DB_Customers!G90,""),"")</f>
        <v/>
      </c>
      <c r="H96" s="465">
        <f>IFERROR(IF(DB_Customers!H90&lt;&gt;"",DB_Customers!H90,""),"")</f>
        <v/>
      </c>
      <c r="I96" s="466">
        <f>IFERROR(IF(DB_Customers!I90&lt;&gt;"",DB_Customers!I90,""),"")</f>
        <v/>
      </c>
      <c r="J96" s="464">
        <f>IFERROR(IF(DB_Customers!J90&lt;&gt;"",DB_Customers!J90,""),"")</f>
        <v/>
      </c>
      <c r="K96" s="463">
        <f>IFERROR(IF(DB_Customers!E90&lt;&gt;"",DB_Customers!E90,""),"")</f>
        <v/>
      </c>
      <c r="L96" s="463">
        <f>IFERROR(IF(DB_Customers!F90&lt;&gt;"",DB_Customers!F90,""),"")</f>
        <v/>
      </c>
      <c r="M96" s="463">
        <f>IFERROR(IF(DB_Customers!T90&lt;&gt;"",DB_Customers!T90,""),"")</f>
        <v/>
      </c>
      <c r="N96" s="467">
        <f>IFERROR(IF(DB_Customers!A90&lt;&gt;"",IF(DB_Customers!I90&gt;=10,"Active","Inactive"),""),"")</f>
        <v/>
      </c>
    </row>
    <row r="97" ht="18" customHeight="1" s="341">
      <c r="A97" s="468">
        <f>IF(DB_Customers!A91&lt;&gt;"",88,"")</f>
        <v/>
      </c>
      <c r="B97" s="469">
        <f>IFERROR(IF(DB_Customers!A91&lt;&gt;"",DB_Customers!A91,""),"")</f>
        <v/>
      </c>
      <c r="C97" s="470">
        <f>IFERROR(IF(DB_Customers!D91&lt;&gt;"",DB_Customers!D91,""),"")</f>
        <v/>
      </c>
      <c r="D97" s="471">
        <f>IFERROR(IF(DB_Customers!Q91&lt;&gt;"",DB_Customers!Q91,""),"")</f>
        <v/>
      </c>
      <c r="E97" s="470">
        <f>IFERROR(IF(DB_Customers!R91&lt;&gt;"",DB_Customers!R91,""),"")</f>
        <v/>
      </c>
      <c r="F97" s="470">
        <f>IFERROR(IF(DB_Customers!S91&lt;&gt;"",DB_Customers!S91,""),"")</f>
        <v/>
      </c>
      <c r="G97" s="470">
        <f>IFERROR(IF(DB_Customers!G91&lt;&gt;"",DB_Customers!G91,""),"")</f>
        <v/>
      </c>
      <c r="H97" s="472">
        <f>IFERROR(IF(DB_Customers!H91&lt;&gt;"",DB_Customers!H91,""),"")</f>
        <v/>
      </c>
      <c r="I97" s="473">
        <f>IFERROR(IF(DB_Customers!I91&lt;&gt;"",DB_Customers!I91,""),"")</f>
        <v/>
      </c>
      <c r="J97" s="471">
        <f>IFERROR(IF(DB_Customers!J91&lt;&gt;"",DB_Customers!J91,""),"")</f>
        <v/>
      </c>
      <c r="K97" s="470">
        <f>IFERROR(IF(DB_Customers!E91&lt;&gt;"",DB_Customers!E91,""),"")</f>
        <v/>
      </c>
      <c r="L97" s="470">
        <f>IFERROR(IF(DB_Customers!F91&lt;&gt;"",DB_Customers!F91,""),"")</f>
        <v/>
      </c>
      <c r="M97" s="470">
        <f>IFERROR(IF(DB_Customers!T91&lt;&gt;"",DB_Customers!T91,""),"")</f>
        <v/>
      </c>
      <c r="N97" s="474">
        <f>IFERROR(IF(DB_Customers!A91&lt;&gt;"",IF(DB_Customers!I91&gt;=10,"Active","Inactive"),""),"")</f>
        <v/>
      </c>
    </row>
    <row r="98" ht="18" customHeight="1" s="341">
      <c r="A98" s="461">
        <f>IF(DB_Customers!A92&lt;&gt;"",89,"")</f>
        <v/>
      </c>
      <c r="B98" s="462">
        <f>IFERROR(IF(DB_Customers!A92&lt;&gt;"",DB_Customers!A92,""),"")</f>
        <v/>
      </c>
      <c r="C98" s="463">
        <f>IFERROR(IF(DB_Customers!D92&lt;&gt;"",DB_Customers!D92,""),"")</f>
        <v/>
      </c>
      <c r="D98" s="464">
        <f>IFERROR(IF(DB_Customers!Q92&lt;&gt;"",DB_Customers!Q92,""),"")</f>
        <v/>
      </c>
      <c r="E98" s="463">
        <f>IFERROR(IF(DB_Customers!R92&lt;&gt;"",DB_Customers!R92,""),"")</f>
        <v/>
      </c>
      <c r="F98" s="463">
        <f>IFERROR(IF(DB_Customers!S92&lt;&gt;"",DB_Customers!S92,""),"")</f>
        <v/>
      </c>
      <c r="G98" s="463">
        <f>IFERROR(IF(DB_Customers!G92&lt;&gt;"",DB_Customers!G92,""),"")</f>
        <v/>
      </c>
      <c r="H98" s="465">
        <f>IFERROR(IF(DB_Customers!H92&lt;&gt;"",DB_Customers!H92,""),"")</f>
        <v/>
      </c>
      <c r="I98" s="466">
        <f>IFERROR(IF(DB_Customers!I92&lt;&gt;"",DB_Customers!I92,""),"")</f>
        <v/>
      </c>
      <c r="J98" s="464">
        <f>IFERROR(IF(DB_Customers!J92&lt;&gt;"",DB_Customers!J92,""),"")</f>
        <v/>
      </c>
      <c r="K98" s="463">
        <f>IFERROR(IF(DB_Customers!E92&lt;&gt;"",DB_Customers!E92,""),"")</f>
        <v/>
      </c>
      <c r="L98" s="463">
        <f>IFERROR(IF(DB_Customers!F92&lt;&gt;"",DB_Customers!F92,""),"")</f>
        <v/>
      </c>
      <c r="M98" s="463">
        <f>IFERROR(IF(DB_Customers!T92&lt;&gt;"",DB_Customers!T92,""),"")</f>
        <v/>
      </c>
      <c r="N98" s="467">
        <f>IFERROR(IF(DB_Customers!A92&lt;&gt;"",IF(DB_Customers!I92&gt;=10,"Active","Inactive"),""),"")</f>
        <v/>
      </c>
    </row>
    <row r="99" ht="18" customHeight="1" s="341">
      <c r="A99" s="468">
        <f>IF(DB_Customers!A93&lt;&gt;"",90,"")</f>
        <v/>
      </c>
      <c r="B99" s="469">
        <f>IFERROR(IF(DB_Customers!A93&lt;&gt;"",DB_Customers!A93,""),"")</f>
        <v/>
      </c>
      <c r="C99" s="470">
        <f>IFERROR(IF(DB_Customers!D93&lt;&gt;"",DB_Customers!D93,""),"")</f>
        <v/>
      </c>
      <c r="D99" s="471">
        <f>IFERROR(IF(DB_Customers!Q93&lt;&gt;"",DB_Customers!Q93,""),"")</f>
        <v/>
      </c>
      <c r="E99" s="470">
        <f>IFERROR(IF(DB_Customers!R93&lt;&gt;"",DB_Customers!R93,""),"")</f>
        <v/>
      </c>
      <c r="F99" s="470">
        <f>IFERROR(IF(DB_Customers!S93&lt;&gt;"",DB_Customers!S93,""),"")</f>
        <v/>
      </c>
      <c r="G99" s="470">
        <f>IFERROR(IF(DB_Customers!G93&lt;&gt;"",DB_Customers!G93,""),"")</f>
        <v/>
      </c>
      <c r="H99" s="472">
        <f>IFERROR(IF(DB_Customers!H93&lt;&gt;"",DB_Customers!H93,""),"")</f>
        <v/>
      </c>
      <c r="I99" s="473">
        <f>IFERROR(IF(DB_Customers!I93&lt;&gt;"",DB_Customers!I93,""),"")</f>
        <v/>
      </c>
      <c r="J99" s="471">
        <f>IFERROR(IF(DB_Customers!J93&lt;&gt;"",DB_Customers!J93,""),"")</f>
        <v/>
      </c>
      <c r="K99" s="470">
        <f>IFERROR(IF(DB_Customers!E93&lt;&gt;"",DB_Customers!E93,""),"")</f>
        <v/>
      </c>
      <c r="L99" s="470">
        <f>IFERROR(IF(DB_Customers!F93&lt;&gt;"",DB_Customers!F93,""),"")</f>
        <v/>
      </c>
      <c r="M99" s="470">
        <f>IFERROR(IF(DB_Customers!T93&lt;&gt;"",DB_Customers!T93,""),"")</f>
        <v/>
      </c>
      <c r="N99" s="474">
        <f>IFERROR(IF(DB_Customers!A93&lt;&gt;"",IF(DB_Customers!I93&gt;=10,"Active","Inactive"),""),"")</f>
        <v/>
      </c>
    </row>
    <row r="100" ht="18" customHeight="1" s="341">
      <c r="A100" s="461">
        <f>IF(DB_Customers!A94&lt;&gt;"",91,"")</f>
        <v/>
      </c>
      <c r="B100" s="462">
        <f>IFERROR(IF(DB_Customers!A94&lt;&gt;"",DB_Customers!A94,""),"")</f>
        <v/>
      </c>
      <c r="C100" s="463">
        <f>IFERROR(IF(DB_Customers!D94&lt;&gt;"",DB_Customers!D94,""),"")</f>
        <v/>
      </c>
      <c r="D100" s="464">
        <f>IFERROR(IF(DB_Customers!Q94&lt;&gt;"",DB_Customers!Q94,""),"")</f>
        <v/>
      </c>
      <c r="E100" s="463">
        <f>IFERROR(IF(DB_Customers!R94&lt;&gt;"",DB_Customers!R94,""),"")</f>
        <v/>
      </c>
      <c r="F100" s="463">
        <f>IFERROR(IF(DB_Customers!S94&lt;&gt;"",DB_Customers!S94,""),"")</f>
        <v/>
      </c>
      <c r="G100" s="463">
        <f>IFERROR(IF(DB_Customers!G94&lt;&gt;"",DB_Customers!G94,""),"")</f>
        <v/>
      </c>
      <c r="H100" s="465">
        <f>IFERROR(IF(DB_Customers!H94&lt;&gt;"",DB_Customers!H94,""),"")</f>
        <v/>
      </c>
      <c r="I100" s="466">
        <f>IFERROR(IF(DB_Customers!I94&lt;&gt;"",DB_Customers!I94,""),"")</f>
        <v/>
      </c>
      <c r="J100" s="464">
        <f>IFERROR(IF(DB_Customers!J94&lt;&gt;"",DB_Customers!J94,""),"")</f>
        <v/>
      </c>
      <c r="K100" s="463">
        <f>IFERROR(IF(DB_Customers!E94&lt;&gt;"",DB_Customers!E94,""),"")</f>
        <v/>
      </c>
      <c r="L100" s="463">
        <f>IFERROR(IF(DB_Customers!F94&lt;&gt;"",DB_Customers!F94,""),"")</f>
        <v/>
      </c>
      <c r="M100" s="463">
        <f>IFERROR(IF(DB_Customers!T94&lt;&gt;"",DB_Customers!T94,""),"")</f>
        <v/>
      </c>
      <c r="N100" s="467">
        <f>IFERROR(IF(DB_Customers!A94&lt;&gt;"",IF(DB_Customers!I94&gt;=10,"Active","Inactive"),""),"")</f>
        <v/>
      </c>
    </row>
    <row r="101" ht="18" customHeight="1" s="341">
      <c r="A101" s="468">
        <f>IF(DB_Customers!A95&lt;&gt;"",92,"")</f>
        <v/>
      </c>
      <c r="B101" s="469">
        <f>IFERROR(IF(DB_Customers!A95&lt;&gt;"",DB_Customers!A95,""),"")</f>
        <v/>
      </c>
      <c r="C101" s="470">
        <f>IFERROR(IF(DB_Customers!D95&lt;&gt;"",DB_Customers!D95,""),"")</f>
        <v/>
      </c>
      <c r="D101" s="471">
        <f>IFERROR(IF(DB_Customers!Q95&lt;&gt;"",DB_Customers!Q95,""),"")</f>
        <v/>
      </c>
      <c r="E101" s="470">
        <f>IFERROR(IF(DB_Customers!R95&lt;&gt;"",DB_Customers!R95,""),"")</f>
        <v/>
      </c>
      <c r="F101" s="470">
        <f>IFERROR(IF(DB_Customers!S95&lt;&gt;"",DB_Customers!S95,""),"")</f>
        <v/>
      </c>
      <c r="G101" s="470">
        <f>IFERROR(IF(DB_Customers!G95&lt;&gt;"",DB_Customers!G95,""),"")</f>
        <v/>
      </c>
      <c r="H101" s="472">
        <f>IFERROR(IF(DB_Customers!H95&lt;&gt;"",DB_Customers!H95,""),"")</f>
        <v/>
      </c>
      <c r="I101" s="473">
        <f>IFERROR(IF(DB_Customers!I95&lt;&gt;"",DB_Customers!I95,""),"")</f>
        <v/>
      </c>
      <c r="J101" s="471">
        <f>IFERROR(IF(DB_Customers!J95&lt;&gt;"",DB_Customers!J95,""),"")</f>
        <v/>
      </c>
      <c r="K101" s="470">
        <f>IFERROR(IF(DB_Customers!E95&lt;&gt;"",DB_Customers!E95,""),"")</f>
        <v/>
      </c>
      <c r="L101" s="470">
        <f>IFERROR(IF(DB_Customers!F95&lt;&gt;"",DB_Customers!F95,""),"")</f>
        <v/>
      </c>
      <c r="M101" s="470">
        <f>IFERROR(IF(DB_Customers!T95&lt;&gt;"",DB_Customers!T95,""),"")</f>
        <v/>
      </c>
      <c r="N101" s="474">
        <f>IFERROR(IF(DB_Customers!A95&lt;&gt;"",IF(DB_Customers!I95&gt;=10,"Active","Inactive"),""),"")</f>
        <v/>
      </c>
    </row>
    <row r="102" ht="18" customHeight="1" s="341">
      <c r="A102" s="461">
        <f>IF(DB_Customers!A96&lt;&gt;"",93,"")</f>
        <v/>
      </c>
      <c r="B102" s="462">
        <f>IFERROR(IF(DB_Customers!A96&lt;&gt;"",DB_Customers!A96,""),"")</f>
        <v/>
      </c>
      <c r="C102" s="463">
        <f>IFERROR(IF(DB_Customers!D96&lt;&gt;"",DB_Customers!D96,""),"")</f>
        <v/>
      </c>
      <c r="D102" s="464">
        <f>IFERROR(IF(DB_Customers!Q96&lt;&gt;"",DB_Customers!Q96,""),"")</f>
        <v/>
      </c>
      <c r="E102" s="463">
        <f>IFERROR(IF(DB_Customers!R96&lt;&gt;"",DB_Customers!R96,""),"")</f>
        <v/>
      </c>
      <c r="F102" s="463">
        <f>IFERROR(IF(DB_Customers!S96&lt;&gt;"",DB_Customers!S96,""),"")</f>
        <v/>
      </c>
      <c r="G102" s="463">
        <f>IFERROR(IF(DB_Customers!G96&lt;&gt;"",DB_Customers!G96,""),"")</f>
        <v/>
      </c>
      <c r="H102" s="465">
        <f>IFERROR(IF(DB_Customers!H96&lt;&gt;"",DB_Customers!H96,""),"")</f>
        <v/>
      </c>
      <c r="I102" s="466">
        <f>IFERROR(IF(DB_Customers!I96&lt;&gt;"",DB_Customers!I96,""),"")</f>
        <v/>
      </c>
      <c r="J102" s="464">
        <f>IFERROR(IF(DB_Customers!J96&lt;&gt;"",DB_Customers!J96,""),"")</f>
        <v/>
      </c>
      <c r="K102" s="463">
        <f>IFERROR(IF(DB_Customers!E96&lt;&gt;"",DB_Customers!E96,""),"")</f>
        <v/>
      </c>
      <c r="L102" s="463">
        <f>IFERROR(IF(DB_Customers!F96&lt;&gt;"",DB_Customers!F96,""),"")</f>
        <v/>
      </c>
      <c r="M102" s="463">
        <f>IFERROR(IF(DB_Customers!T96&lt;&gt;"",DB_Customers!T96,""),"")</f>
        <v/>
      </c>
      <c r="N102" s="467">
        <f>IFERROR(IF(DB_Customers!A96&lt;&gt;"",IF(DB_Customers!I96&gt;=10,"Active","Inactive"),""),"")</f>
        <v/>
      </c>
    </row>
    <row r="103" ht="18" customHeight="1" s="341">
      <c r="A103" s="468">
        <f>IF(DB_Customers!A97&lt;&gt;"",94,"")</f>
        <v/>
      </c>
      <c r="B103" s="469">
        <f>IFERROR(IF(DB_Customers!A97&lt;&gt;"",DB_Customers!A97,""),"")</f>
        <v/>
      </c>
      <c r="C103" s="470">
        <f>IFERROR(IF(DB_Customers!D97&lt;&gt;"",DB_Customers!D97,""),"")</f>
        <v/>
      </c>
      <c r="D103" s="471">
        <f>IFERROR(IF(DB_Customers!Q97&lt;&gt;"",DB_Customers!Q97,""),"")</f>
        <v/>
      </c>
      <c r="E103" s="470">
        <f>IFERROR(IF(DB_Customers!R97&lt;&gt;"",DB_Customers!R97,""),"")</f>
        <v/>
      </c>
      <c r="F103" s="470">
        <f>IFERROR(IF(DB_Customers!S97&lt;&gt;"",DB_Customers!S97,""),"")</f>
        <v/>
      </c>
      <c r="G103" s="470">
        <f>IFERROR(IF(DB_Customers!G97&lt;&gt;"",DB_Customers!G97,""),"")</f>
        <v/>
      </c>
      <c r="H103" s="472">
        <f>IFERROR(IF(DB_Customers!H97&lt;&gt;"",DB_Customers!H97,""),"")</f>
        <v/>
      </c>
      <c r="I103" s="473">
        <f>IFERROR(IF(DB_Customers!I97&lt;&gt;"",DB_Customers!I97,""),"")</f>
        <v/>
      </c>
      <c r="J103" s="471">
        <f>IFERROR(IF(DB_Customers!J97&lt;&gt;"",DB_Customers!J97,""),"")</f>
        <v/>
      </c>
      <c r="K103" s="470">
        <f>IFERROR(IF(DB_Customers!E97&lt;&gt;"",DB_Customers!E97,""),"")</f>
        <v/>
      </c>
      <c r="L103" s="470">
        <f>IFERROR(IF(DB_Customers!F97&lt;&gt;"",DB_Customers!F97,""),"")</f>
        <v/>
      </c>
      <c r="M103" s="470">
        <f>IFERROR(IF(DB_Customers!T97&lt;&gt;"",DB_Customers!T97,""),"")</f>
        <v/>
      </c>
      <c r="N103" s="474">
        <f>IFERROR(IF(DB_Customers!A97&lt;&gt;"",IF(DB_Customers!I97&gt;=10,"Active","Inactive"),""),"")</f>
        <v/>
      </c>
    </row>
    <row r="104" ht="18" customHeight="1" s="341">
      <c r="A104" s="461">
        <f>IF(DB_Customers!A98&lt;&gt;"",95,"")</f>
        <v/>
      </c>
      <c r="B104" s="462">
        <f>IFERROR(IF(DB_Customers!A98&lt;&gt;"",DB_Customers!A98,""),"")</f>
        <v/>
      </c>
      <c r="C104" s="463">
        <f>IFERROR(IF(DB_Customers!D98&lt;&gt;"",DB_Customers!D98,""),"")</f>
        <v/>
      </c>
      <c r="D104" s="464">
        <f>IFERROR(IF(DB_Customers!Q98&lt;&gt;"",DB_Customers!Q98,""),"")</f>
        <v/>
      </c>
      <c r="E104" s="463">
        <f>IFERROR(IF(DB_Customers!R98&lt;&gt;"",DB_Customers!R98,""),"")</f>
        <v/>
      </c>
      <c r="F104" s="463">
        <f>IFERROR(IF(DB_Customers!S98&lt;&gt;"",DB_Customers!S98,""),"")</f>
        <v/>
      </c>
      <c r="G104" s="463">
        <f>IFERROR(IF(DB_Customers!G98&lt;&gt;"",DB_Customers!G98,""),"")</f>
        <v/>
      </c>
      <c r="H104" s="465">
        <f>IFERROR(IF(DB_Customers!H98&lt;&gt;"",DB_Customers!H98,""),"")</f>
        <v/>
      </c>
      <c r="I104" s="466">
        <f>IFERROR(IF(DB_Customers!I98&lt;&gt;"",DB_Customers!I98,""),"")</f>
        <v/>
      </c>
      <c r="J104" s="464">
        <f>IFERROR(IF(DB_Customers!J98&lt;&gt;"",DB_Customers!J98,""),"")</f>
        <v/>
      </c>
      <c r="K104" s="463">
        <f>IFERROR(IF(DB_Customers!E98&lt;&gt;"",DB_Customers!E98,""),"")</f>
        <v/>
      </c>
      <c r="L104" s="463">
        <f>IFERROR(IF(DB_Customers!F98&lt;&gt;"",DB_Customers!F98,""),"")</f>
        <v/>
      </c>
      <c r="M104" s="463">
        <f>IFERROR(IF(DB_Customers!T98&lt;&gt;"",DB_Customers!T98,""),"")</f>
        <v/>
      </c>
      <c r="N104" s="467">
        <f>IFERROR(IF(DB_Customers!A98&lt;&gt;"",IF(DB_Customers!I98&gt;=10,"Active","Inactive"),""),"")</f>
        <v/>
      </c>
    </row>
    <row r="105" ht="18" customHeight="1" s="341">
      <c r="A105" s="468">
        <f>IF(DB_Customers!A99&lt;&gt;"",96,"")</f>
        <v/>
      </c>
      <c r="B105" s="469">
        <f>IFERROR(IF(DB_Customers!A99&lt;&gt;"",DB_Customers!A99,""),"")</f>
        <v/>
      </c>
      <c r="C105" s="470">
        <f>IFERROR(IF(DB_Customers!D99&lt;&gt;"",DB_Customers!D99,""),"")</f>
        <v/>
      </c>
      <c r="D105" s="471">
        <f>IFERROR(IF(DB_Customers!Q99&lt;&gt;"",DB_Customers!Q99,""),"")</f>
        <v/>
      </c>
      <c r="E105" s="470">
        <f>IFERROR(IF(DB_Customers!R99&lt;&gt;"",DB_Customers!R99,""),"")</f>
        <v/>
      </c>
      <c r="F105" s="470">
        <f>IFERROR(IF(DB_Customers!S99&lt;&gt;"",DB_Customers!S99,""),"")</f>
        <v/>
      </c>
      <c r="G105" s="470">
        <f>IFERROR(IF(DB_Customers!G99&lt;&gt;"",DB_Customers!G99,""),"")</f>
        <v/>
      </c>
      <c r="H105" s="472">
        <f>IFERROR(IF(DB_Customers!H99&lt;&gt;"",DB_Customers!H99,""),"")</f>
        <v/>
      </c>
      <c r="I105" s="473">
        <f>IFERROR(IF(DB_Customers!I99&lt;&gt;"",DB_Customers!I99,""),"")</f>
        <v/>
      </c>
      <c r="J105" s="471">
        <f>IFERROR(IF(DB_Customers!J99&lt;&gt;"",DB_Customers!J99,""),"")</f>
        <v/>
      </c>
      <c r="K105" s="470">
        <f>IFERROR(IF(DB_Customers!E99&lt;&gt;"",DB_Customers!E99,""),"")</f>
        <v/>
      </c>
      <c r="L105" s="470">
        <f>IFERROR(IF(DB_Customers!F99&lt;&gt;"",DB_Customers!F99,""),"")</f>
        <v/>
      </c>
      <c r="M105" s="470">
        <f>IFERROR(IF(DB_Customers!T99&lt;&gt;"",DB_Customers!T99,""),"")</f>
        <v/>
      </c>
      <c r="N105" s="474">
        <f>IFERROR(IF(DB_Customers!A99&lt;&gt;"",IF(DB_Customers!I99&gt;=10,"Active","Inactive"),""),"")</f>
        <v/>
      </c>
    </row>
    <row r="106" ht="18" customHeight="1" s="341">
      <c r="A106" s="461">
        <f>IF(DB_Customers!A100&lt;&gt;"",97,"")</f>
        <v/>
      </c>
      <c r="B106" s="462">
        <f>IFERROR(IF(DB_Customers!A100&lt;&gt;"",DB_Customers!A100,""),"")</f>
        <v/>
      </c>
      <c r="C106" s="463">
        <f>IFERROR(IF(DB_Customers!D100&lt;&gt;"",DB_Customers!D100,""),"")</f>
        <v/>
      </c>
      <c r="D106" s="464">
        <f>IFERROR(IF(DB_Customers!Q100&lt;&gt;"",DB_Customers!Q100,""),"")</f>
        <v/>
      </c>
      <c r="E106" s="463">
        <f>IFERROR(IF(DB_Customers!R100&lt;&gt;"",DB_Customers!R100,""),"")</f>
        <v/>
      </c>
      <c r="F106" s="463">
        <f>IFERROR(IF(DB_Customers!S100&lt;&gt;"",DB_Customers!S100,""),"")</f>
        <v/>
      </c>
      <c r="G106" s="463">
        <f>IFERROR(IF(DB_Customers!G100&lt;&gt;"",DB_Customers!G100,""),"")</f>
        <v/>
      </c>
      <c r="H106" s="465">
        <f>IFERROR(IF(DB_Customers!H100&lt;&gt;"",DB_Customers!H100,""),"")</f>
        <v/>
      </c>
      <c r="I106" s="466">
        <f>IFERROR(IF(DB_Customers!I100&lt;&gt;"",DB_Customers!I100,""),"")</f>
        <v/>
      </c>
      <c r="J106" s="464">
        <f>IFERROR(IF(DB_Customers!J100&lt;&gt;"",DB_Customers!J100,""),"")</f>
        <v/>
      </c>
      <c r="K106" s="463">
        <f>IFERROR(IF(DB_Customers!E100&lt;&gt;"",DB_Customers!E100,""),"")</f>
        <v/>
      </c>
      <c r="L106" s="463">
        <f>IFERROR(IF(DB_Customers!F100&lt;&gt;"",DB_Customers!F100,""),"")</f>
        <v/>
      </c>
      <c r="M106" s="463">
        <f>IFERROR(IF(DB_Customers!T100&lt;&gt;"",DB_Customers!T100,""),"")</f>
        <v/>
      </c>
      <c r="N106" s="467">
        <f>IFERROR(IF(DB_Customers!A100&lt;&gt;"",IF(DB_Customers!I100&gt;=10,"Active","Inactive"),""),"")</f>
        <v/>
      </c>
    </row>
    <row r="107" ht="18" customHeight="1" s="341">
      <c r="A107" s="468">
        <f>IF(DB_Customers!A101&lt;&gt;"",98,"")</f>
        <v/>
      </c>
      <c r="B107" s="469">
        <f>IFERROR(IF(DB_Customers!A101&lt;&gt;"",DB_Customers!A101,""),"")</f>
        <v/>
      </c>
      <c r="C107" s="470">
        <f>IFERROR(IF(DB_Customers!D101&lt;&gt;"",DB_Customers!D101,""),"")</f>
        <v/>
      </c>
      <c r="D107" s="471">
        <f>IFERROR(IF(DB_Customers!Q101&lt;&gt;"",DB_Customers!Q101,""),"")</f>
        <v/>
      </c>
      <c r="E107" s="470">
        <f>IFERROR(IF(DB_Customers!R101&lt;&gt;"",DB_Customers!R101,""),"")</f>
        <v/>
      </c>
      <c r="F107" s="470">
        <f>IFERROR(IF(DB_Customers!S101&lt;&gt;"",DB_Customers!S101,""),"")</f>
        <v/>
      </c>
      <c r="G107" s="470">
        <f>IFERROR(IF(DB_Customers!G101&lt;&gt;"",DB_Customers!G101,""),"")</f>
        <v/>
      </c>
      <c r="H107" s="472">
        <f>IFERROR(IF(DB_Customers!H101&lt;&gt;"",DB_Customers!H101,""),"")</f>
        <v/>
      </c>
      <c r="I107" s="473">
        <f>IFERROR(IF(DB_Customers!I101&lt;&gt;"",DB_Customers!I101,""),"")</f>
        <v/>
      </c>
      <c r="J107" s="471">
        <f>IFERROR(IF(DB_Customers!J101&lt;&gt;"",DB_Customers!J101,""),"")</f>
        <v/>
      </c>
      <c r="K107" s="470">
        <f>IFERROR(IF(DB_Customers!E101&lt;&gt;"",DB_Customers!E101,""),"")</f>
        <v/>
      </c>
      <c r="L107" s="470">
        <f>IFERROR(IF(DB_Customers!F101&lt;&gt;"",DB_Customers!F101,""),"")</f>
        <v/>
      </c>
      <c r="M107" s="470">
        <f>IFERROR(IF(DB_Customers!T101&lt;&gt;"",DB_Customers!T101,""),"")</f>
        <v/>
      </c>
      <c r="N107" s="474">
        <f>IFERROR(IF(DB_Customers!A101&lt;&gt;"",IF(DB_Customers!I101&gt;=10,"Active","Inactive"),""),"")</f>
        <v/>
      </c>
    </row>
    <row r="108" ht="18" customHeight="1" s="341">
      <c r="A108" s="461">
        <f>IF(DB_Customers!A102&lt;&gt;"",99,"")</f>
        <v/>
      </c>
      <c r="B108" s="462">
        <f>IFERROR(IF(DB_Customers!A102&lt;&gt;"",DB_Customers!A102,""),"")</f>
        <v/>
      </c>
      <c r="C108" s="463">
        <f>IFERROR(IF(DB_Customers!D102&lt;&gt;"",DB_Customers!D102,""),"")</f>
        <v/>
      </c>
      <c r="D108" s="464">
        <f>IFERROR(IF(DB_Customers!Q102&lt;&gt;"",DB_Customers!Q102,""),"")</f>
        <v/>
      </c>
      <c r="E108" s="463">
        <f>IFERROR(IF(DB_Customers!R102&lt;&gt;"",DB_Customers!R102,""),"")</f>
        <v/>
      </c>
      <c r="F108" s="463">
        <f>IFERROR(IF(DB_Customers!S102&lt;&gt;"",DB_Customers!S102,""),"")</f>
        <v/>
      </c>
      <c r="G108" s="463">
        <f>IFERROR(IF(DB_Customers!G102&lt;&gt;"",DB_Customers!G102,""),"")</f>
        <v/>
      </c>
      <c r="H108" s="465">
        <f>IFERROR(IF(DB_Customers!H102&lt;&gt;"",DB_Customers!H102,""),"")</f>
        <v/>
      </c>
      <c r="I108" s="466">
        <f>IFERROR(IF(DB_Customers!I102&lt;&gt;"",DB_Customers!I102,""),"")</f>
        <v/>
      </c>
      <c r="J108" s="464">
        <f>IFERROR(IF(DB_Customers!J102&lt;&gt;"",DB_Customers!J102,""),"")</f>
        <v/>
      </c>
      <c r="K108" s="463">
        <f>IFERROR(IF(DB_Customers!E102&lt;&gt;"",DB_Customers!E102,""),"")</f>
        <v/>
      </c>
      <c r="L108" s="463">
        <f>IFERROR(IF(DB_Customers!F102&lt;&gt;"",DB_Customers!F102,""),"")</f>
        <v/>
      </c>
      <c r="M108" s="463">
        <f>IFERROR(IF(DB_Customers!T102&lt;&gt;"",DB_Customers!T102,""),"")</f>
        <v/>
      </c>
      <c r="N108" s="467">
        <f>IFERROR(IF(DB_Customers!A102&lt;&gt;"",IF(DB_Customers!I102&gt;=10,"Active","Inactive"),""),"")</f>
        <v/>
      </c>
    </row>
    <row r="109" ht="18" customHeight="1" s="341">
      <c r="A109" s="468">
        <f>IF(DB_Customers!A103&lt;&gt;"",100,"")</f>
        <v/>
      </c>
      <c r="B109" s="469">
        <f>IFERROR(IF(DB_Customers!A103&lt;&gt;"",DB_Customers!A103,""),"")</f>
        <v/>
      </c>
      <c r="C109" s="470">
        <f>IFERROR(IF(DB_Customers!D103&lt;&gt;"",DB_Customers!D103,""),"")</f>
        <v/>
      </c>
      <c r="D109" s="471">
        <f>IFERROR(IF(DB_Customers!Q103&lt;&gt;"",DB_Customers!Q103,""),"")</f>
        <v/>
      </c>
      <c r="E109" s="470">
        <f>IFERROR(IF(DB_Customers!R103&lt;&gt;"",DB_Customers!R103,""),"")</f>
        <v/>
      </c>
      <c r="F109" s="470">
        <f>IFERROR(IF(DB_Customers!S103&lt;&gt;"",DB_Customers!S103,""),"")</f>
        <v/>
      </c>
      <c r="G109" s="470">
        <f>IFERROR(IF(DB_Customers!G103&lt;&gt;"",DB_Customers!G103,""),"")</f>
        <v/>
      </c>
      <c r="H109" s="472">
        <f>IFERROR(IF(DB_Customers!H103&lt;&gt;"",DB_Customers!H103,""),"")</f>
        <v/>
      </c>
      <c r="I109" s="473">
        <f>IFERROR(IF(DB_Customers!I103&lt;&gt;"",DB_Customers!I103,""),"")</f>
        <v/>
      </c>
      <c r="J109" s="471">
        <f>IFERROR(IF(DB_Customers!J103&lt;&gt;"",DB_Customers!J103,""),"")</f>
        <v/>
      </c>
      <c r="K109" s="470">
        <f>IFERROR(IF(DB_Customers!E103&lt;&gt;"",DB_Customers!E103,""),"")</f>
        <v/>
      </c>
      <c r="L109" s="470">
        <f>IFERROR(IF(DB_Customers!F103&lt;&gt;"",DB_Customers!F103,""),"")</f>
        <v/>
      </c>
      <c r="M109" s="470">
        <f>IFERROR(IF(DB_Customers!T103&lt;&gt;"",DB_Customers!T103,""),"")</f>
        <v/>
      </c>
      <c r="N109" s="474">
        <f>IFERROR(IF(DB_Customers!A103&lt;&gt;"",IF(DB_Customers!I103&gt;=10,"Active","Inactive"),""),"")</f>
        <v/>
      </c>
    </row>
    <row r="110" ht="18" customHeight="1" s="341">
      <c r="A110" s="461">
        <f>IF(DB_Customers!A104&lt;&gt;"",101,"")</f>
        <v/>
      </c>
      <c r="B110" s="462">
        <f>IFERROR(IF(DB_Customers!A104&lt;&gt;"",DB_Customers!A104,""),"")</f>
        <v/>
      </c>
      <c r="C110" s="463">
        <f>IFERROR(IF(DB_Customers!D104&lt;&gt;"",DB_Customers!D104,""),"")</f>
        <v/>
      </c>
      <c r="D110" s="464">
        <f>IFERROR(IF(DB_Customers!Q104&lt;&gt;"",DB_Customers!Q104,""),"")</f>
        <v/>
      </c>
      <c r="E110" s="463">
        <f>IFERROR(IF(DB_Customers!R104&lt;&gt;"",DB_Customers!R104,""),"")</f>
        <v/>
      </c>
      <c r="F110" s="463">
        <f>IFERROR(IF(DB_Customers!S104&lt;&gt;"",DB_Customers!S104,""),"")</f>
        <v/>
      </c>
      <c r="G110" s="463">
        <f>IFERROR(IF(DB_Customers!G104&lt;&gt;"",DB_Customers!G104,""),"")</f>
        <v/>
      </c>
      <c r="H110" s="465">
        <f>IFERROR(IF(DB_Customers!H104&lt;&gt;"",DB_Customers!H104,""),"")</f>
        <v/>
      </c>
      <c r="I110" s="466">
        <f>IFERROR(IF(DB_Customers!I104&lt;&gt;"",DB_Customers!I104,""),"")</f>
        <v/>
      </c>
      <c r="J110" s="464">
        <f>IFERROR(IF(DB_Customers!J104&lt;&gt;"",DB_Customers!J104,""),"")</f>
        <v/>
      </c>
      <c r="K110" s="463">
        <f>IFERROR(IF(DB_Customers!E104&lt;&gt;"",DB_Customers!E104,""),"")</f>
        <v/>
      </c>
      <c r="L110" s="463">
        <f>IFERROR(IF(DB_Customers!F104&lt;&gt;"",DB_Customers!F104,""),"")</f>
        <v/>
      </c>
      <c r="M110" s="463">
        <f>IFERROR(IF(DB_Customers!T104&lt;&gt;"",DB_Customers!T104,""),"")</f>
        <v/>
      </c>
      <c r="N110" s="467">
        <f>IFERROR(IF(DB_Customers!A104&lt;&gt;"",IF(DB_Customers!I104&gt;=10,"Active","Inactive"),""),"")</f>
        <v/>
      </c>
    </row>
    <row r="111" ht="18" customHeight="1" s="341">
      <c r="A111" s="468">
        <f>IF(DB_Customers!A105&lt;&gt;"",102,"")</f>
        <v/>
      </c>
      <c r="B111" s="469">
        <f>IFERROR(IF(DB_Customers!A105&lt;&gt;"",DB_Customers!A105,""),"")</f>
        <v/>
      </c>
      <c r="C111" s="470">
        <f>IFERROR(IF(DB_Customers!D105&lt;&gt;"",DB_Customers!D105,""),"")</f>
        <v/>
      </c>
      <c r="D111" s="471">
        <f>IFERROR(IF(DB_Customers!Q105&lt;&gt;"",DB_Customers!Q105,""),"")</f>
        <v/>
      </c>
      <c r="E111" s="470">
        <f>IFERROR(IF(DB_Customers!R105&lt;&gt;"",DB_Customers!R105,""),"")</f>
        <v/>
      </c>
      <c r="F111" s="470">
        <f>IFERROR(IF(DB_Customers!S105&lt;&gt;"",DB_Customers!S105,""),"")</f>
        <v/>
      </c>
      <c r="G111" s="470">
        <f>IFERROR(IF(DB_Customers!G105&lt;&gt;"",DB_Customers!G105,""),"")</f>
        <v/>
      </c>
      <c r="H111" s="472">
        <f>IFERROR(IF(DB_Customers!H105&lt;&gt;"",DB_Customers!H105,""),"")</f>
        <v/>
      </c>
      <c r="I111" s="473">
        <f>IFERROR(IF(DB_Customers!I105&lt;&gt;"",DB_Customers!I105,""),"")</f>
        <v/>
      </c>
      <c r="J111" s="471">
        <f>IFERROR(IF(DB_Customers!J105&lt;&gt;"",DB_Customers!J105,""),"")</f>
        <v/>
      </c>
      <c r="K111" s="470">
        <f>IFERROR(IF(DB_Customers!E105&lt;&gt;"",DB_Customers!E105,""),"")</f>
        <v/>
      </c>
      <c r="L111" s="470">
        <f>IFERROR(IF(DB_Customers!F105&lt;&gt;"",DB_Customers!F105,""),"")</f>
        <v/>
      </c>
      <c r="M111" s="470">
        <f>IFERROR(IF(DB_Customers!T105&lt;&gt;"",DB_Customers!T105,""),"")</f>
        <v/>
      </c>
      <c r="N111" s="474">
        <f>IFERROR(IF(DB_Customers!A105&lt;&gt;"",IF(DB_Customers!I105&gt;=10,"Active","Inactive"),""),"")</f>
        <v/>
      </c>
    </row>
    <row r="112" ht="18" customHeight="1" s="341">
      <c r="A112" s="461">
        <f>IF(DB_Customers!A106&lt;&gt;"",103,"")</f>
        <v/>
      </c>
      <c r="B112" s="462">
        <f>IFERROR(IF(DB_Customers!A106&lt;&gt;"",DB_Customers!A106,""),"")</f>
        <v/>
      </c>
      <c r="C112" s="463">
        <f>IFERROR(IF(DB_Customers!D106&lt;&gt;"",DB_Customers!D106,""),"")</f>
        <v/>
      </c>
      <c r="D112" s="464">
        <f>IFERROR(IF(DB_Customers!Q106&lt;&gt;"",DB_Customers!Q106,""),"")</f>
        <v/>
      </c>
      <c r="E112" s="463">
        <f>IFERROR(IF(DB_Customers!R106&lt;&gt;"",DB_Customers!R106,""),"")</f>
        <v/>
      </c>
      <c r="F112" s="463">
        <f>IFERROR(IF(DB_Customers!S106&lt;&gt;"",DB_Customers!S106,""),"")</f>
        <v/>
      </c>
      <c r="G112" s="463">
        <f>IFERROR(IF(DB_Customers!G106&lt;&gt;"",DB_Customers!G106,""),"")</f>
        <v/>
      </c>
      <c r="H112" s="465">
        <f>IFERROR(IF(DB_Customers!H106&lt;&gt;"",DB_Customers!H106,""),"")</f>
        <v/>
      </c>
      <c r="I112" s="466">
        <f>IFERROR(IF(DB_Customers!I106&lt;&gt;"",DB_Customers!I106,""),"")</f>
        <v/>
      </c>
      <c r="J112" s="464">
        <f>IFERROR(IF(DB_Customers!J106&lt;&gt;"",DB_Customers!J106,""),"")</f>
        <v/>
      </c>
      <c r="K112" s="463">
        <f>IFERROR(IF(DB_Customers!E106&lt;&gt;"",DB_Customers!E106,""),"")</f>
        <v/>
      </c>
      <c r="L112" s="463">
        <f>IFERROR(IF(DB_Customers!F106&lt;&gt;"",DB_Customers!F106,""),"")</f>
        <v/>
      </c>
      <c r="M112" s="463">
        <f>IFERROR(IF(DB_Customers!T106&lt;&gt;"",DB_Customers!T106,""),"")</f>
        <v/>
      </c>
      <c r="N112" s="467">
        <f>IFERROR(IF(DB_Customers!A106&lt;&gt;"",IF(DB_Customers!I106&gt;=10,"Active","Inactive"),""),"")</f>
        <v/>
      </c>
    </row>
    <row r="113" ht="18" customHeight="1" s="341">
      <c r="A113" s="468">
        <f>IF(DB_Customers!A107&lt;&gt;"",104,"")</f>
        <v/>
      </c>
      <c r="B113" s="469">
        <f>IFERROR(IF(DB_Customers!A107&lt;&gt;"",DB_Customers!A107,""),"")</f>
        <v/>
      </c>
      <c r="C113" s="470">
        <f>IFERROR(IF(DB_Customers!D107&lt;&gt;"",DB_Customers!D107,""),"")</f>
        <v/>
      </c>
      <c r="D113" s="471">
        <f>IFERROR(IF(DB_Customers!Q107&lt;&gt;"",DB_Customers!Q107,""),"")</f>
        <v/>
      </c>
      <c r="E113" s="470">
        <f>IFERROR(IF(DB_Customers!R107&lt;&gt;"",DB_Customers!R107,""),"")</f>
        <v/>
      </c>
      <c r="F113" s="470">
        <f>IFERROR(IF(DB_Customers!S107&lt;&gt;"",DB_Customers!S107,""),"")</f>
        <v/>
      </c>
      <c r="G113" s="470">
        <f>IFERROR(IF(DB_Customers!G107&lt;&gt;"",DB_Customers!G107,""),"")</f>
        <v/>
      </c>
      <c r="H113" s="472">
        <f>IFERROR(IF(DB_Customers!H107&lt;&gt;"",DB_Customers!H107,""),"")</f>
        <v/>
      </c>
      <c r="I113" s="473">
        <f>IFERROR(IF(DB_Customers!I107&lt;&gt;"",DB_Customers!I107,""),"")</f>
        <v/>
      </c>
      <c r="J113" s="471">
        <f>IFERROR(IF(DB_Customers!J107&lt;&gt;"",DB_Customers!J107,""),"")</f>
        <v/>
      </c>
      <c r="K113" s="470">
        <f>IFERROR(IF(DB_Customers!E107&lt;&gt;"",DB_Customers!E107,""),"")</f>
        <v/>
      </c>
      <c r="L113" s="470">
        <f>IFERROR(IF(DB_Customers!F107&lt;&gt;"",DB_Customers!F107,""),"")</f>
        <v/>
      </c>
      <c r="M113" s="470">
        <f>IFERROR(IF(DB_Customers!T107&lt;&gt;"",DB_Customers!T107,""),"")</f>
        <v/>
      </c>
      <c r="N113" s="474">
        <f>IFERROR(IF(DB_Customers!A107&lt;&gt;"",IF(DB_Customers!I107&gt;=10,"Active","Inactive"),""),"")</f>
        <v/>
      </c>
    </row>
    <row r="114" ht="18" customHeight="1" s="341">
      <c r="A114" s="461">
        <f>IF(DB_Customers!A108&lt;&gt;"",105,"")</f>
        <v/>
      </c>
      <c r="B114" s="462">
        <f>IFERROR(IF(DB_Customers!A108&lt;&gt;"",DB_Customers!A108,""),"")</f>
        <v/>
      </c>
      <c r="C114" s="463">
        <f>IFERROR(IF(DB_Customers!D108&lt;&gt;"",DB_Customers!D108,""),"")</f>
        <v/>
      </c>
      <c r="D114" s="464">
        <f>IFERROR(IF(DB_Customers!Q108&lt;&gt;"",DB_Customers!Q108,""),"")</f>
        <v/>
      </c>
      <c r="E114" s="463">
        <f>IFERROR(IF(DB_Customers!R108&lt;&gt;"",DB_Customers!R108,""),"")</f>
        <v/>
      </c>
      <c r="F114" s="463">
        <f>IFERROR(IF(DB_Customers!S108&lt;&gt;"",DB_Customers!S108,""),"")</f>
        <v/>
      </c>
      <c r="G114" s="463">
        <f>IFERROR(IF(DB_Customers!G108&lt;&gt;"",DB_Customers!G108,""),"")</f>
        <v/>
      </c>
      <c r="H114" s="465">
        <f>IFERROR(IF(DB_Customers!H108&lt;&gt;"",DB_Customers!H108,""),"")</f>
        <v/>
      </c>
      <c r="I114" s="466">
        <f>IFERROR(IF(DB_Customers!I108&lt;&gt;"",DB_Customers!I108,""),"")</f>
        <v/>
      </c>
      <c r="J114" s="464">
        <f>IFERROR(IF(DB_Customers!J108&lt;&gt;"",DB_Customers!J108,""),"")</f>
        <v/>
      </c>
      <c r="K114" s="463">
        <f>IFERROR(IF(DB_Customers!E108&lt;&gt;"",DB_Customers!E108,""),"")</f>
        <v/>
      </c>
      <c r="L114" s="463">
        <f>IFERROR(IF(DB_Customers!F108&lt;&gt;"",DB_Customers!F108,""),"")</f>
        <v/>
      </c>
      <c r="M114" s="463">
        <f>IFERROR(IF(DB_Customers!T108&lt;&gt;"",DB_Customers!T108,""),"")</f>
        <v/>
      </c>
      <c r="N114" s="467">
        <f>IFERROR(IF(DB_Customers!A108&lt;&gt;"",IF(DB_Customers!I108&gt;=10,"Active","Inactive"),""),"")</f>
        <v/>
      </c>
    </row>
    <row r="115" ht="18" customHeight="1" s="341">
      <c r="A115" s="468">
        <f>IF(DB_Customers!A109&lt;&gt;"",106,"")</f>
        <v/>
      </c>
      <c r="B115" s="469">
        <f>IFERROR(IF(DB_Customers!A109&lt;&gt;"",DB_Customers!A109,""),"")</f>
        <v/>
      </c>
      <c r="C115" s="470">
        <f>IFERROR(IF(DB_Customers!D109&lt;&gt;"",DB_Customers!D109,""),"")</f>
        <v/>
      </c>
      <c r="D115" s="471">
        <f>IFERROR(IF(DB_Customers!Q109&lt;&gt;"",DB_Customers!Q109,""),"")</f>
        <v/>
      </c>
      <c r="E115" s="470">
        <f>IFERROR(IF(DB_Customers!R109&lt;&gt;"",DB_Customers!R109,""),"")</f>
        <v/>
      </c>
      <c r="F115" s="470">
        <f>IFERROR(IF(DB_Customers!S109&lt;&gt;"",DB_Customers!S109,""),"")</f>
        <v/>
      </c>
      <c r="G115" s="470">
        <f>IFERROR(IF(DB_Customers!G109&lt;&gt;"",DB_Customers!G109,""),"")</f>
        <v/>
      </c>
      <c r="H115" s="472">
        <f>IFERROR(IF(DB_Customers!H109&lt;&gt;"",DB_Customers!H109,""),"")</f>
        <v/>
      </c>
      <c r="I115" s="473">
        <f>IFERROR(IF(DB_Customers!I109&lt;&gt;"",DB_Customers!I109,""),"")</f>
        <v/>
      </c>
      <c r="J115" s="471">
        <f>IFERROR(IF(DB_Customers!J109&lt;&gt;"",DB_Customers!J109,""),"")</f>
        <v/>
      </c>
      <c r="K115" s="470">
        <f>IFERROR(IF(DB_Customers!E109&lt;&gt;"",DB_Customers!E109,""),"")</f>
        <v/>
      </c>
      <c r="L115" s="470">
        <f>IFERROR(IF(DB_Customers!F109&lt;&gt;"",DB_Customers!F109,""),"")</f>
        <v/>
      </c>
      <c r="M115" s="470">
        <f>IFERROR(IF(DB_Customers!T109&lt;&gt;"",DB_Customers!T109,""),"")</f>
        <v/>
      </c>
      <c r="N115" s="474">
        <f>IFERROR(IF(DB_Customers!A109&lt;&gt;"",IF(DB_Customers!I109&gt;=10,"Active","Inactive"),""),"")</f>
        <v/>
      </c>
    </row>
    <row r="116" ht="18" customHeight="1" s="341">
      <c r="A116" s="461">
        <f>IF(DB_Customers!A110&lt;&gt;"",107,"")</f>
        <v/>
      </c>
      <c r="B116" s="462">
        <f>IFERROR(IF(DB_Customers!A110&lt;&gt;"",DB_Customers!A110,""),"")</f>
        <v/>
      </c>
      <c r="C116" s="463">
        <f>IFERROR(IF(DB_Customers!D110&lt;&gt;"",DB_Customers!D110,""),"")</f>
        <v/>
      </c>
      <c r="D116" s="464">
        <f>IFERROR(IF(DB_Customers!Q110&lt;&gt;"",DB_Customers!Q110,""),"")</f>
        <v/>
      </c>
      <c r="E116" s="463">
        <f>IFERROR(IF(DB_Customers!R110&lt;&gt;"",DB_Customers!R110,""),"")</f>
        <v/>
      </c>
      <c r="F116" s="463">
        <f>IFERROR(IF(DB_Customers!S110&lt;&gt;"",DB_Customers!S110,""),"")</f>
        <v/>
      </c>
      <c r="G116" s="463">
        <f>IFERROR(IF(DB_Customers!G110&lt;&gt;"",DB_Customers!G110,""),"")</f>
        <v/>
      </c>
      <c r="H116" s="465">
        <f>IFERROR(IF(DB_Customers!H110&lt;&gt;"",DB_Customers!H110,""),"")</f>
        <v/>
      </c>
      <c r="I116" s="466">
        <f>IFERROR(IF(DB_Customers!I110&lt;&gt;"",DB_Customers!I110,""),"")</f>
        <v/>
      </c>
      <c r="J116" s="464">
        <f>IFERROR(IF(DB_Customers!J110&lt;&gt;"",DB_Customers!J110,""),"")</f>
        <v/>
      </c>
      <c r="K116" s="463">
        <f>IFERROR(IF(DB_Customers!E110&lt;&gt;"",DB_Customers!E110,""),"")</f>
        <v/>
      </c>
      <c r="L116" s="463">
        <f>IFERROR(IF(DB_Customers!F110&lt;&gt;"",DB_Customers!F110,""),"")</f>
        <v/>
      </c>
      <c r="M116" s="463">
        <f>IFERROR(IF(DB_Customers!T110&lt;&gt;"",DB_Customers!T110,""),"")</f>
        <v/>
      </c>
      <c r="N116" s="467">
        <f>IFERROR(IF(DB_Customers!A110&lt;&gt;"",IF(DB_Customers!I110&gt;=10,"Active","Inactive"),""),"")</f>
        <v/>
      </c>
    </row>
    <row r="117" ht="18" customHeight="1" s="341">
      <c r="A117" s="468">
        <f>IF(DB_Customers!A111&lt;&gt;"",108,"")</f>
        <v/>
      </c>
      <c r="B117" s="469">
        <f>IFERROR(IF(DB_Customers!A111&lt;&gt;"",DB_Customers!A111,""),"")</f>
        <v/>
      </c>
      <c r="C117" s="470">
        <f>IFERROR(IF(DB_Customers!D111&lt;&gt;"",DB_Customers!D111,""),"")</f>
        <v/>
      </c>
      <c r="D117" s="471">
        <f>IFERROR(IF(DB_Customers!Q111&lt;&gt;"",DB_Customers!Q111,""),"")</f>
        <v/>
      </c>
      <c r="E117" s="470">
        <f>IFERROR(IF(DB_Customers!R111&lt;&gt;"",DB_Customers!R111,""),"")</f>
        <v/>
      </c>
      <c r="F117" s="470">
        <f>IFERROR(IF(DB_Customers!S111&lt;&gt;"",DB_Customers!S111,""),"")</f>
        <v/>
      </c>
      <c r="G117" s="470">
        <f>IFERROR(IF(DB_Customers!G111&lt;&gt;"",DB_Customers!G111,""),"")</f>
        <v/>
      </c>
      <c r="H117" s="472">
        <f>IFERROR(IF(DB_Customers!H111&lt;&gt;"",DB_Customers!H111,""),"")</f>
        <v/>
      </c>
      <c r="I117" s="473">
        <f>IFERROR(IF(DB_Customers!I111&lt;&gt;"",DB_Customers!I111,""),"")</f>
        <v/>
      </c>
      <c r="J117" s="471">
        <f>IFERROR(IF(DB_Customers!J111&lt;&gt;"",DB_Customers!J111,""),"")</f>
        <v/>
      </c>
      <c r="K117" s="470">
        <f>IFERROR(IF(DB_Customers!E111&lt;&gt;"",DB_Customers!E111,""),"")</f>
        <v/>
      </c>
      <c r="L117" s="470">
        <f>IFERROR(IF(DB_Customers!F111&lt;&gt;"",DB_Customers!F111,""),"")</f>
        <v/>
      </c>
      <c r="M117" s="470">
        <f>IFERROR(IF(DB_Customers!T111&lt;&gt;"",DB_Customers!T111,""),"")</f>
        <v/>
      </c>
      <c r="N117" s="474">
        <f>IFERROR(IF(DB_Customers!A111&lt;&gt;"",IF(DB_Customers!I111&gt;=10,"Active","Inactive"),""),"")</f>
        <v/>
      </c>
    </row>
    <row r="118" ht="18" customHeight="1" s="341">
      <c r="A118" s="461">
        <f>IF(DB_Customers!A112&lt;&gt;"",109,"")</f>
        <v/>
      </c>
      <c r="B118" s="462">
        <f>IFERROR(IF(DB_Customers!A112&lt;&gt;"",DB_Customers!A112,""),"")</f>
        <v/>
      </c>
      <c r="C118" s="463">
        <f>IFERROR(IF(DB_Customers!D112&lt;&gt;"",DB_Customers!D112,""),"")</f>
        <v/>
      </c>
      <c r="D118" s="464">
        <f>IFERROR(IF(DB_Customers!Q112&lt;&gt;"",DB_Customers!Q112,""),"")</f>
        <v/>
      </c>
      <c r="E118" s="463">
        <f>IFERROR(IF(DB_Customers!R112&lt;&gt;"",DB_Customers!R112,""),"")</f>
        <v/>
      </c>
      <c r="F118" s="463">
        <f>IFERROR(IF(DB_Customers!S112&lt;&gt;"",DB_Customers!S112,""),"")</f>
        <v/>
      </c>
      <c r="G118" s="463">
        <f>IFERROR(IF(DB_Customers!G112&lt;&gt;"",DB_Customers!G112,""),"")</f>
        <v/>
      </c>
      <c r="H118" s="465">
        <f>IFERROR(IF(DB_Customers!H112&lt;&gt;"",DB_Customers!H112,""),"")</f>
        <v/>
      </c>
      <c r="I118" s="466">
        <f>IFERROR(IF(DB_Customers!I112&lt;&gt;"",DB_Customers!I112,""),"")</f>
        <v/>
      </c>
      <c r="J118" s="464">
        <f>IFERROR(IF(DB_Customers!J112&lt;&gt;"",DB_Customers!J112,""),"")</f>
        <v/>
      </c>
      <c r="K118" s="463">
        <f>IFERROR(IF(DB_Customers!E112&lt;&gt;"",DB_Customers!E112,""),"")</f>
        <v/>
      </c>
      <c r="L118" s="463">
        <f>IFERROR(IF(DB_Customers!F112&lt;&gt;"",DB_Customers!F112,""),"")</f>
        <v/>
      </c>
      <c r="M118" s="463">
        <f>IFERROR(IF(DB_Customers!T112&lt;&gt;"",DB_Customers!T112,""),"")</f>
        <v/>
      </c>
      <c r="N118" s="467">
        <f>IFERROR(IF(DB_Customers!A112&lt;&gt;"",IF(DB_Customers!I112&gt;=10,"Active","Inactive"),""),"")</f>
        <v/>
      </c>
    </row>
    <row r="119" ht="18" customHeight="1" s="341">
      <c r="A119" s="468">
        <f>IF(DB_Customers!A113&lt;&gt;"",110,"")</f>
        <v/>
      </c>
      <c r="B119" s="469">
        <f>IFERROR(IF(DB_Customers!A113&lt;&gt;"",DB_Customers!A113,""),"")</f>
        <v/>
      </c>
      <c r="C119" s="470">
        <f>IFERROR(IF(DB_Customers!D113&lt;&gt;"",DB_Customers!D113,""),"")</f>
        <v/>
      </c>
      <c r="D119" s="471">
        <f>IFERROR(IF(DB_Customers!Q113&lt;&gt;"",DB_Customers!Q113,""),"")</f>
        <v/>
      </c>
      <c r="E119" s="470">
        <f>IFERROR(IF(DB_Customers!R113&lt;&gt;"",DB_Customers!R113,""),"")</f>
        <v/>
      </c>
      <c r="F119" s="470">
        <f>IFERROR(IF(DB_Customers!S113&lt;&gt;"",DB_Customers!S113,""),"")</f>
        <v/>
      </c>
      <c r="G119" s="470">
        <f>IFERROR(IF(DB_Customers!G113&lt;&gt;"",DB_Customers!G113,""),"")</f>
        <v/>
      </c>
      <c r="H119" s="472">
        <f>IFERROR(IF(DB_Customers!H113&lt;&gt;"",DB_Customers!H113,""),"")</f>
        <v/>
      </c>
      <c r="I119" s="473">
        <f>IFERROR(IF(DB_Customers!I113&lt;&gt;"",DB_Customers!I113,""),"")</f>
        <v/>
      </c>
      <c r="J119" s="471">
        <f>IFERROR(IF(DB_Customers!J113&lt;&gt;"",DB_Customers!J113,""),"")</f>
        <v/>
      </c>
      <c r="K119" s="470">
        <f>IFERROR(IF(DB_Customers!E113&lt;&gt;"",DB_Customers!E113,""),"")</f>
        <v/>
      </c>
      <c r="L119" s="470">
        <f>IFERROR(IF(DB_Customers!F113&lt;&gt;"",DB_Customers!F113,""),"")</f>
        <v/>
      </c>
      <c r="M119" s="470">
        <f>IFERROR(IF(DB_Customers!T113&lt;&gt;"",DB_Customers!T113,""),"")</f>
        <v/>
      </c>
      <c r="N119" s="474">
        <f>IFERROR(IF(DB_Customers!A113&lt;&gt;"",IF(DB_Customers!I113&gt;=10,"Active","Inactive"),""),"")</f>
        <v/>
      </c>
    </row>
    <row r="120" ht="18" customHeight="1" s="341">
      <c r="A120" s="461">
        <f>IF(DB_Customers!A114&lt;&gt;"",111,"")</f>
        <v/>
      </c>
      <c r="B120" s="462">
        <f>IFERROR(IF(DB_Customers!A114&lt;&gt;"",DB_Customers!A114,""),"")</f>
        <v/>
      </c>
      <c r="C120" s="463">
        <f>IFERROR(IF(DB_Customers!D114&lt;&gt;"",DB_Customers!D114,""),"")</f>
        <v/>
      </c>
      <c r="D120" s="464">
        <f>IFERROR(IF(DB_Customers!Q114&lt;&gt;"",DB_Customers!Q114,""),"")</f>
        <v/>
      </c>
      <c r="E120" s="463">
        <f>IFERROR(IF(DB_Customers!R114&lt;&gt;"",DB_Customers!R114,""),"")</f>
        <v/>
      </c>
      <c r="F120" s="463">
        <f>IFERROR(IF(DB_Customers!S114&lt;&gt;"",DB_Customers!S114,""),"")</f>
        <v/>
      </c>
      <c r="G120" s="463">
        <f>IFERROR(IF(DB_Customers!G114&lt;&gt;"",DB_Customers!G114,""),"")</f>
        <v/>
      </c>
      <c r="H120" s="465">
        <f>IFERROR(IF(DB_Customers!H114&lt;&gt;"",DB_Customers!H114,""),"")</f>
        <v/>
      </c>
      <c r="I120" s="466">
        <f>IFERROR(IF(DB_Customers!I114&lt;&gt;"",DB_Customers!I114,""),"")</f>
        <v/>
      </c>
      <c r="J120" s="464">
        <f>IFERROR(IF(DB_Customers!J114&lt;&gt;"",DB_Customers!J114,""),"")</f>
        <v/>
      </c>
      <c r="K120" s="463">
        <f>IFERROR(IF(DB_Customers!E114&lt;&gt;"",DB_Customers!E114,""),"")</f>
        <v/>
      </c>
      <c r="L120" s="463">
        <f>IFERROR(IF(DB_Customers!F114&lt;&gt;"",DB_Customers!F114,""),"")</f>
        <v/>
      </c>
      <c r="M120" s="463">
        <f>IFERROR(IF(DB_Customers!T114&lt;&gt;"",DB_Customers!T114,""),"")</f>
        <v/>
      </c>
      <c r="N120" s="467">
        <f>IFERROR(IF(DB_Customers!A114&lt;&gt;"",IF(DB_Customers!I114&gt;=10,"Active","Inactive"),""),"")</f>
        <v/>
      </c>
    </row>
    <row r="121" ht="18" customHeight="1" s="341">
      <c r="A121" s="468">
        <f>IF(DB_Customers!A115&lt;&gt;"",112,"")</f>
        <v/>
      </c>
      <c r="B121" s="469">
        <f>IFERROR(IF(DB_Customers!A115&lt;&gt;"",DB_Customers!A115,""),"")</f>
        <v/>
      </c>
      <c r="C121" s="470">
        <f>IFERROR(IF(DB_Customers!D115&lt;&gt;"",DB_Customers!D115,""),"")</f>
        <v/>
      </c>
      <c r="D121" s="471">
        <f>IFERROR(IF(DB_Customers!Q115&lt;&gt;"",DB_Customers!Q115,""),"")</f>
        <v/>
      </c>
      <c r="E121" s="470">
        <f>IFERROR(IF(DB_Customers!R115&lt;&gt;"",DB_Customers!R115,""),"")</f>
        <v/>
      </c>
      <c r="F121" s="470">
        <f>IFERROR(IF(DB_Customers!S115&lt;&gt;"",DB_Customers!S115,""),"")</f>
        <v/>
      </c>
      <c r="G121" s="470">
        <f>IFERROR(IF(DB_Customers!G115&lt;&gt;"",DB_Customers!G115,""),"")</f>
        <v/>
      </c>
      <c r="H121" s="472">
        <f>IFERROR(IF(DB_Customers!H115&lt;&gt;"",DB_Customers!H115,""),"")</f>
        <v/>
      </c>
      <c r="I121" s="473">
        <f>IFERROR(IF(DB_Customers!I115&lt;&gt;"",DB_Customers!I115,""),"")</f>
        <v/>
      </c>
      <c r="J121" s="471">
        <f>IFERROR(IF(DB_Customers!J115&lt;&gt;"",DB_Customers!J115,""),"")</f>
        <v/>
      </c>
      <c r="K121" s="470">
        <f>IFERROR(IF(DB_Customers!E115&lt;&gt;"",DB_Customers!E115,""),"")</f>
        <v/>
      </c>
      <c r="L121" s="470">
        <f>IFERROR(IF(DB_Customers!F115&lt;&gt;"",DB_Customers!F115,""),"")</f>
        <v/>
      </c>
      <c r="M121" s="470">
        <f>IFERROR(IF(DB_Customers!T115&lt;&gt;"",DB_Customers!T115,""),"")</f>
        <v/>
      </c>
      <c r="N121" s="474">
        <f>IFERROR(IF(DB_Customers!A115&lt;&gt;"",IF(DB_Customers!I115&gt;=10,"Active","Inactive"),""),"")</f>
        <v/>
      </c>
    </row>
    <row r="122" ht="18" customHeight="1" s="341">
      <c r="A122" s="461">
        <f>IF(DB_Customers!A116&lt;&gt;"",113,"")</f>
        <v/>
      </c>
      <c r="B122" s="462">
        <f>IFERROR(IF(DB_Customers!A116&lt;&gt;"",DB_Customers!A116,""),"")</f>
        <v/>
      </c>
      <c r="C122" s="463">
        <f>IFERROR(IF(DB_Customers!D116&lt;&gt;"",DB_Customers!D116,""),"")</f>
        <v/>
      </c>
      <c r="D122" s="464">
        <f>IFERROR(IF(DB_Customers!Q116&lt;&gt;"",DB_Customers!Q116,""),"")</f>
        <v/>
      </c>
      <c r="E122" s="463">
        <f>IFERROR(IF(DB_Customers!R116&lt;&gt;"",DB_Customers!R116,""),"")</f>
        <v/>
      </c>
      <c r="F122" s="463">
        <f>IFERROR(IF(DB_Customers!S116&lt;&gt;"",DB_Customers!S116,""),"")</f>
        <v/>
      </c>
      <c r="G122" s="463">
        <f>IFERROR(IF(DB_Customers!G116&lt;&gt;"",DB_Customers!G116,""),"")</f>
        <v/>
      </c>
      <c r="H122" s="465">
        <f>IFERROR(IF(DB_Customers!H116&lt;&gt;"",DB_Customers!H116,""),"")</f>
        <v/>
      </c>
      <c r="I122" s="466">
        <f>IFERROR(IF(DB_Customers!I116&lt;&gt;"",DB_Customers!I116,""),"")</f>
        <v/>
      </c>
      <c r="J122" s="464">
        <f>IFERROR(IF(DB_Customers!J116&lt;&gt;"",DB_Customers!J116,""),"")</f>
        <v/>
      </c>
      <c r="K122" s="463">
        <f>IFERROR(IF(DB_Customers!E116&lt;&gt;"",DB_Customers!E116,""),"")</f>
        <v/>
      </c>
      <c r="L122" s="463">
        <f>IFERROR(IF(DB_Customers!F116&lt;&gt;"",DB_Customers!F116,""),"")</f>
        <v/>
      </c>
      <c r="M122" s="463">
        <f>IFERROR(IF(DB_Customers!T116&lt;&gt;"",DB_Customers!T116,""),"")</f>
        <v/>
      </c>
      <c r="N122" s="467">
        <f>IFERROR(IF(DB_Customers!A116&lt;&gt;"",IF(DB_Customers!I116&gt;=10,"Active","Inactive"),""),"")</f>
        <v/>
      </c>
    </row>
    <row r="123" ht="18" customHeight="1" s="341">
      <c r="A123" s="468">
        <f>IF(DB_Customers!A117&lt;&gt;"",114,"")</f>
        <v/>
      </c>
      <c r="B123" s="469">
        <f>IFERROR(IF(DB_Customers!A117&lt;&gt;"",DB_Customers!A117,""),"")</f>
        <v/>
      </c>
      <c r="C123" s="470">
        <f>IFERROR(IF(DB_Customers!D117&lt;&gt;"",DB_Customers!D117,""),"")</f>
        <v/>
      </c>
      <c r="D123" s="471">
        <f>IFERROR(IF(DB_Customers!Q117&lt;&gt;"",DB_Customers!Q117,""),"")</f>
        <v/>
      </c>
      <c r="E123" s="470">
        <f>IFERROR(IF(DB_Customers!R117&lt;&gt;"",DB_Customers!R117,""),"")</f>
        <v/>
      </c>
      <c r="F123" s="470">
        <f>IFERROR(IF(DB_Customers!S117&lt;&gt;"",DB_Customers!S117,""),"")</f>
        <v/>
      </c>
      <c r="G123" s="470">
        <f>IFERROR(IF(DB_Customers!G117&lt;&gt;"",DB_Customers!G117,""),"")</f>
        <v/>
      </c>
      <c r="H123" s="472">
        <f>IFERROR(IF(DB_Customers!H117&lt;&gt;"",DB_Customers!H117,""),"")</f>
        <v/>
      </c>
      <c r="I123" s="473">
        <f>IFERROR(IF(DB_Customers!I117&lt;&gt;"",DB_Customers!I117,""),"")</f>
        <v/>
      </c>
      <c r="J123" s="471">
        <f>IFERROR(IF(DB_Customers!J117&lt;&gt;"",DB_Customers!J117,""),"")</f>
        <v/>
      </c>
      <c r="K123" s="470">
        <f>IFERROR(IF(DB_Customers!E117&lt;&gt;"",DB_Customers!E117,""),"")</f>
        <v/>
      </c>
      <c r="L123" s="470">
        <f>IFERROR(IF(DB_Customers!F117&lt;&gt;"",DB_Customers!F117,""),"")</f>
        <v/>
      </c>
      <c r="M123" s="470">
        <f>IFERROR(IF(DB_Customers!T117&lt;&gt;"",DB_Customers!T117,""),"")</f>
        <v/>
      </c>
      <c r="N123" s="474">
        <f>IFERROR(IF(DB_Customers!A117&lt;&gt;"",IF(DB_Customers!I117&gt;=10,"Active","Inactive"),""),"")</f>
        <v/>
      </c>
    </row>
    <row r="124" ht="18" customHeight="1" s="341">
      <c r="A124" s="461">
        <f>IF(DB_Customers!A118&lt;&gt;"",115,"")</f>
        <v/>
      </c>
      <c r="B124" s="462">
        <f>IFERROR(IF(DB_Customers!A118&lt;&gt;"",DB_Customers!A118,""),"")</f>
        <v/>
      </c>
      <c r="C124" s="463">
        <f>IFERROR(IF(DB_Customers!D118&lt;&gt;"",DB_Customers!D118,""),"")</f>
        <v/>
      </c>
      <c r="D124" s="464">
        <f>IFERROR(IF(DB_Customers!Q118&lt;&gt;"",DB_Customers!Q118,""),"")</f>
        <v/>
      </c>
      <c r="E124" s="463">
        <f>IFERROR(IF(DB_Customers!R118&lt;&gt;"",DB_Customers!R118,""),"")</f>
        <v/>
      </c>
      <c r="F124" s="463">
        <f>IFERROR(IF(DB_Customers!S118&lt;&gt;"",DB_Customers!S118,""),"")</f>
        <v/>
      </c>
      <c r="G124" s="463">
        <f>IFERROR(IF(DB_Customers!G118&lt;&gt;"",DB_Customers!G118,""),"")</f>
        <v/>
      </c>
      <c r="H124" s="465">
        <f>IFERROR(IF(DB_Customers!H118&lt;&gt;"",DB_Customers!H118,""),"")</f>
        <v/>
      </c>
      <c r="I124" s="466">
        <f>IFERROR(IF(DB_Customers!I118&lt;&gt;"",DB_Customers!I118,""),"")</f>
        <v/>
      </c>
      <c r="J124" s="464">
        <f>IFERROR(IF(DB_Customers!J118&lt;&gt;"",DB_Customers!J118,""),"")</f>
        <v/>
      </c>
      <c r="K124" s="463">
        <f>IFERROR(IF(DB_Customers!E118&lt;&gt;"",DB_Customers!E118,""),"")</f>
        <v/>
      </c>
      <c r="L124" s="463">
        <f>IFERROR(IF(DB_Customers!F118&lt;&gt;"",DB_Customers!F118,""),"")</f>
        <v/>
      </c>
      <c r="M124" s="463">
        <f>IFERROR(IF(DB_Customers!T118&lt;&gt;"",DB_Customers!T118,""),"")</f>
        <v/>
      </c>
      <c r="N124" s="467">
        <f>IFERROR(IF(DB_Customers!A118&lt;&gt;"",IF(DB_Customers!I118&gt;=10,"Active","Inactive"),""),"")</f>
        <v/>
      </c>
    </row>
    <row r="125" ht="18" customHeight="1" s="341">
      <c r="A125" s="468">
        <f>IF(DB_Customers!A119&lt;&gt;"",116,"")</f>
        <v/>
      </c>
      <c r="B125" s="469">
        <f>IFERROR(IF(DB_Customers!A119&lt;&gt;"",DB_Customers!A119,""),"")</f>
        <v/>
      </c>
      <c r="C125" s="470">
        <f>IFERROR(IF(DB_Customers!D119&lt;&gt;"",DB_Customers!D119,""),"")</f>
        <v/>
      </c>
      <c r="D125" s="471">
        <f>IFERROR(IF(DB_Customers!Q119&lt;&gt;"",DB_Customers!Q119,""),"")</f>
        <v/>
      </c>
      <c r="E125" s="470">
        <f>IFERROR(IF(DB_Customers!R119&lt;&gt;"",DB_Customers!R119,""),"")</f>
        <v/>
      </c>
      <c r="F125" s="470">
        <f>IFERROR(IF(DB_Customers!S119&lt;&gt;"",DB_Customers!S119,""),"")</f>
        <v/>
      </c>
      <c r="G125" s="470">
        <f>IFERROR(IF(DB_Customers!G119&lt;&gt;"",DB_Customers!G119,""),"")</f>
        <v/>
      </c>
      <c r="H125" s="472">
        <f>IFERROR(IF(DB_Customers!H119&lt;&gt;"",DB_Customers!H119,""),"")</f>
        <v/>
      </c>
      <c r="I125" s="473">
        <f>IFERROR(IF(DB_Customers!I119&lt;&gt;"",DB_Customers!I119,""),"")</f>
        <v/>
      </c>
      <c r="J125" s="471">
        <f>IFERROR(IF(DB_Customers!J119&lt;&gt;"",DB_Customers!J119,""),"")</f>
        <v/>
      </c>
      <c r="K125" s="470">
        <f>IFERROR(IF(DB_Customers!E119&lt;&gt;"",DB_Customers!E119,""),"")</f>
        <v/>
      </c>
      <c r="L125" s="470">
        <f>IFERROR(IF(DB_Customers!F119&lt;&gt;"",DB_Customers!F119,""),"")</f>
        <v/>
      </c>
      <c r="M125" s="470">
        <f>IFERROR(IF(DB_Customers!T119&lt;&gt;"",DB_Customers!T119,""),"")</f>
        <v/>
      </c>
      <c r="N125" s="474">
        <f>IFERROR(IF(DB_Customers!A119&lt;&gt;"",IF(DB_Customers!I119&gt;=10,"Active","Inactive"),""),"")</f>
        <v/>
      </c>
    </row>
    <row r="126" ht="18" customHeight="1" s="341">
      <c r="A126" s="461">
        <f>IF(DB_Customers!A120&lt;&gt;"",117,"")</f>
        <v/>
      </c>
      <c r="B126" s="462">
        <f>IFERROR(IF(DB_Customers!A120&lt;&gt;"",DB_Customers!A120,""),"")</f>
        <v/>
      </c>
      <c r="C126" s="463">
        <f>IFERROR(IF(DB_Customers!D120&lt;&gt;"",DB_Customers!D120,""),"")</f>
        <v/>
      </c>
      <c r="D126" s="464">
        <f>IFERROR(IF(DB_Customers!Q120&lt;&gt;"",DB_Customers!Q120,""),"")</f>
        <v/>
      </c>
      <c r="E126" s="463">
        <f>IFERROR(IF(DB_Customers!R120&lt;&gt;"",DB_Customers!R120,""),"")</f>
        <v/>
      </c>
      <c r="F126" s="463">
        <f>IFERROR(IF(DB_Customers!S120&lt;&gt;"",DB_Customers!S120,""),"")</f>
        <v/>
      </c>
      <c r="G126" s="463">
        <f>IFERROR(IF(DB_Customers!G120&lt;&gt;"",DB_Customers!G120,""),"")</f>
        <v/>
      </c>
      <c r="H126" s="465">
        <f>IFERROR(IF(DB_Customers!H120&lt;&gt;"",DB_Customers!H120,""),"")</f>
        <v/>
      </c>
      <c r="I126" s="466">
        <f>IFERROR(IF(DB_Customers!I120&lt;&gt;"",DB_Customers!I120,""),"")</f>
        <v/>
      </c>
      <c r="J126" s="464">
        <f>IFERROR(IF(DB_Customers!J120&lt;&gt;"",DB_Customers!J120,""),"")</f>
        <v/>
      </c>
      <c r="K126" s="463">
        <f>IFERROR(IF(DB_Customers!E120&lt;&gt;"",DB_Customers!E120,""),"")</f>
        <v/>
      </c>
      <c r="L126" s="463">
        <f>IFERROR(IF(DB_Customers!F120&lt;&gt;"",DB_Customers!F120,""),"")</f>
        <v/>
      </c>
      <c r="M126" s="463">
        <f>IFERROR(IF(DB_Customers!T120&lt;&gt;"",DB_Customers!T120,""),"")</f>
        <v/>
      </c>
      <c r="N126" s="467">
        <f>IFERROR(IF(DB_Customers!A120&lt;&gt;"",IF(DB_Customers!I120&gt;=10,"Active","Inactive"),""),"")</f>
        <v/>
      </c>
    </row>
    <row r="127" ht="18" customHeight="1" s="341">
      <c r="A127" s="468">
        <f>IF(DB_Customers!A121&lt;&gt;"",118,"")</f>
        <v/>
      </c>
      <c r="B127" s="469">
        <f>IFERROR(IF(DB_Customers!A121&lt;&gt;"",DB_Customers!A121,""),"")</f>
        <v/>
      </c>
      <c r="C127" s="470">
        <f>IFERROR(IF(DB_Customers!D121&lt;&gt;"",DB_Customers!D121,""),"")</f>
        <v/>
      </c>
      <c r="D127" s="471">
        <f>IFERROR(IF(DB_Customers!Q121&lt;&gt;"",DB_Customers!Q121,""),"")</f>
        <v/>
      </c>
      <c r="E127" s="470">
        <f>IFERROR(IF(DB_Customers!R121&lt;&gt;"",DB_Customers!R121,""),"")</f>
        <v/>
      </c>
      <c r="F127" s="470">
        <f>IFERROR(IF(DB_Customers!S121&lt;&gt;"",DB_Customers!S121,""),"")</f>
        <v/>
      </c>
      <c r="G127" s="470">
        <f>IFERROR(IF(DB_Customers!G121&lt;&gt;"",DB_Customers!G121,""),"")</f>
        <v/>
      </c>
      <c r="H127" s="472">
        <f>IFERROR(IF(DB_Customers!H121&lt;&gt;"",DB_Customers!H121,""),"")</f>
        <v/>
      </c>
      <c r="I127" s="473">
        <f>IFERROR(IF(DB_Customers!I121&lt;&gt;"",DB_Customers!I121,""),"")</f>
        <v/>
      </c>
      <c r="J127" s="471">
        <f>IFERROR(IF(DB_Customers!J121&lt;&gt;"",DB_Customers!J121,""),"")</f>
        <v/>
      </c>
      <c r="K127" s="470">
        <f>IFERROR(IF(DB_Customers!E121&lt;&gt;"",DB_Customers!E121,""),"")</f>
        <v/>
      </c>
      <c r="L127" s="470">
        <f>IFERROR(IF(DB_Customers!F121&lt;&gt;"",DB_Customers!F121,""),"")</f>
        <v/>
      </c>
      <c r="M127" s="470">
        <f>IFERROR(IF(DB_Customers!T121&lt;&gt;"",DB_Customers!T121,""),"")</f>
        <v/>
      </c>
      <c r="N127" s="474">
        <f>IFERROR(IF(DB_Customers!A121&lt;&gt;"",IF(DB_Customers!I121&gt;=10,"Active","Inactive"),""),"")</f>
        <v/>
      </c>
    </row>
    <row r="128" ht="18" customHeight="1" s="341">
      <c r="A128" s="461">
        <f>IF(DB_Customers!A122&lt;&gt;"",119,"")</f>
        <v/>
      </c>
      <c r="B128" s="462">
        <f>IFERROR(IF(DB_Customers!A122&lt;&gt;"",DB_Customers!A122,""),"")</f>
        <v/>
      </c>
      <c r="C128" s="463">
        <f>IFERROR(IF(DB_Customers!D122&lt;&gt;"",DB_Customers!D122,""),"")</f>
        <v/>
      </c>
      <c r="D128" s="464">
        <f>IFERROR(IF(DB_Customers!Q122&lt;&gt;"",DB_Customers!Q122,""),"")</f>
        <v/>
      </c>
      <c r="E128" s="463">
        <f>IFERROR(IF(DB_Customers!R122&lt;&gt;"",DB_Customers!R122,""),"")</f>
        <v/>
      </c>
      <c r="F128" s="463">
        <f>IFERROR(IF(DB_Customers!S122&lt;&gt;"",DB_Customers!S122,""),"")</f>
        <v/>
      </c>
      <c r="G128" s="463">
        <f>IFERROR(IF(DB_Customers!G122&lt;&gt;"",DB_Customers!G122,""),"")</f>
        <v/>
      </c>
      <c r="H128" s="465">
        <f>IFERROR(IF(DB_Customers!H122&lt;&gt;"",DB_Customers!H122,""),"")</f>
        <v/>
      </c>
      <c r="I128" s="466">
        <f>IFERROR(IF(DB_Customers!I122&lt;&gt;"",DB_Customers!I122,""),"")</f>
        <v/>
      </c>
      <c r="J128" s="464">
        <f>IFERROR(IF(DB_Customers!J122&lt;&gt;"",DB_Customers!J122,""),"")</f>
        <v/>
      </c>
      <c r="K128" s="463">
        <f>IFERROR(IF(DB_Customers!E122&lt;&gt;"",DB_Customers!E122,""),"")</f>
        <v/>
      </c>
      <c r="L128" s="463">
        <f>IFERROR(IF(DB_Customers!F122&lt;&gt;"",DB_Customers!F122,""),"")</f>
        <v/>
      </c>
      <c r="M128" s="463">
        <f>IFERROR(IF(DB_Customers!T122&lt;&gt;"",DB_Customers!T122,""),"")</f>
        <v/>
      </c>
      <c r="N128" s="467">
        <f>IFERROR(IF(DB_Customers!A122&lt;&gt;"",IF(DB_Customers!I122&gt;=10,"Active","Inactive"),""),"")</f>
        <v/>
      </c>
    </row>
    <row r="129" ht="18" customHeight="1" s="341">
      <c r="A129" s="468">
        <f>IF(DB_Customers!A123&lt;&gt;"",120,"")</f>
        <v/>
      </c>
      <c r="B129" s="469">
        <f>IFERROR(IF(DB_Customers!A123&lt;&gt;"",DB_Customers!A123,""),"")</f>
        <v/>
      </c>
      <c r="C129" s="470">
        <f>IFERROR(IF(DB_Customers!D123&lt;&gt;"",DB_Customers!D123,""),"")</f>
        <v/>
      </c>
      <c r="D129" s="471">
        <f>IFERROR(IF(DB_Customers!Q123&lt;&gt;"",DB_Customers!Q123,""),"")</f>
        <v/>
      </c>
      <c r="E129" s="470">
        <f>IFERROR(IF(DB_Customers!R123&lt;&gt;"",DB_Customers!R123,""),"")</f>
        <v/>
      </c>
      <c r="F129" s="470">
        <f>IFERROR(IF(DB_Customers!S123&lt;&gt;"",DB_Customers!S123,""),"")</f>
        <v/>
      </c>
      <c r="G129" s="470">
        <f>IFERROR(IF(DB_Customers!G123&lt;&gt;"",DB_Customers!G123,""),"")</f>
        <v/>
      </c>
      <c r="H129" s="472">
        <f>IFERROR(IF(DB_Customers!H123&lt;&gt;"",DB_Customers!H123,""),"")</f>
        <v/>
      </c>
      <c r="I129" s="473">
        <f>IFERROR(IF(DB_Customers!I123&lt;&gt;"",DB_Customers!I123,""),"")</f>
        <v/>
      </c>
      <c r="J129" s="471">
        <f>IFERROR(IF(DB_Customers!J123&lt;&gt;"",DB_Customers!J123,""),"")</f>
        <v/>
      </c>
      <c r="K129" s="470">
        <f>IFERROR(IF(DB_Customers!E123&lt;&gt;"",DB_Customers!E123,""),"")</f>
        <v/>
      </c>
      <c r="L129" s="470">
        <f>IFERROR(IF(DB_Customers!F123&lt;&gt;"",DB_Customers!F123,""),"")</f>
        <v/>
      </c>
      <c r="M129" s="470">
        <f>IFERROR(IF(DB_Customers!T123&lt;&gt;"",DB_Customers!T123,""),"")</f>
        <v/>
      </c>
      <c r="N129" s="474">
        <f>IFERROR(IF(DB_Customers!A123&lt;&gt;"",IF(DB_Customers!I123&gt;=10,"Active","Inactive"),""),"")</f>
        <v/>
      </c>
    </row>
    <row r="130" ht="18" customHeight="1" s="341">
      <c r="A130" s="461">
        <f>IF(DB_Customers!A124&lt;&gt;"",121,"")</f>
        <v/>
      </c>
      <c r="B130" s="462">
        <f>IFERROR(IF(DB_Customers!A124&lt;&gt;"",DB_Customers!A124,""),"")</f>
        <v/>
      </c>
      <c r="C130" s="463">
        <f>IFERROR(IF(DB_Customers!D124&lt;&gt;"",DB_Customers!D124,""),"")</f>
        <v/>
      </c>
      <c r="D130" s="464">
        <f>IFERROR(IF(DB_Customers!Q124&lt;&gt;"",DB_Customers!Q124,""),"")</f>
        <v/>
      </c>
      <c r="E130" s="463">
        <f>IFERROR(IF(DB_Customers!R124&lt;&gt;"",DB_Customers!R124,""),"")</f>
        <v/>
      </c>
      <c r="F130" s="463">
        <f>IFERROR(IF(DB_Customers!S124&lt;&gt;"",DB_Customers!S124,""),"")</f>
        <v/>
      </c>
      <c r="G130" s="463">
        <f>IFERROR(IF(DB_Customers!G124&lt;&gt;"",DB_Customers!G124,""),"")</f>
        <v/>
      </c>
      <c r="H130" s="465">
        <f>IFERROR(IF(DB_Customers!H124&lt;&gt;"",DB_Customers!H124,""),"")</f>
        <v/>
      </c>
      <c r="I130" s="466">
        <f>IFERROR(IF(DB_Customers!I124&lt;&gt;"",DB_Customers!I124,""),"")</f>
        <v/>
      </c>
      <c r="J130" s="464">
        <f>IFERROR(IF(DB_Customers!J124&lt;&gt;"",DB_Customers!J124,""),"")</f>
        <v/>
      </c>
      <c r="K130" s="463">
        <f>IFERROR(IF(DB_Customers!E124&lt;&gt;"",DB_Customers!E124,""),"")</f>
        <v/>
      </c>
      <c r="L130" s="463">
        <f>IFERROR(IF(DB_Customers!F124&lt;&gt;"",DB_Customers!F124,""),"")</f>
        <v/>
      </c>
      <c r="M130" s="463">
        <f>IFERROR(IF(DB_Customers!T124&lt;&gt;"",DB_Customers!T124,""),"")</f>
        <v/>
      </c>
      <c r="N130" s="467">
        <f>IFERROR(IF(DB_Customers!A124&lt;&gt;"",IF(DB_Customers!I124&gt;=10,"Active","Inactive"),""),"")</f>
        <v/>
      </c>
    </row>
    <row r="131" ht="18" customHeight="1" s="341">
      <c r="A131" s="468">
        <f>IF(DB_Customers!A125&lt;&gt;"",122,"")</f>
        <v/>
      </c>
      <c r="B131" s="469">
        <f>IFERROR(IF(DB_Customers!A125&lt;&gt;"",DB_Customers!A125,""),"")</f>
        <v/>
      </c>
      <c r="C131" s="470">
        <f>IFERROR(IF(DB_Customers!D125&lt;&gt;"",DB_Customers!D125,""),"")</f>
        <v/>
      </c>
      <c r="D131" s="471">
        <f>IFERROR(IF(DB_Customers!Q125&lt;&gt;"",DB_Customers!Q125,""),"")</f>
        <v/>
      </c>
      <c r="E131" s="470">
        <f>IFERROR(IF(DB_Customers!R125&lt;&gt;"",DB_Customers!R125,""),"")</f>
        <v/>
      </c>
      <c r="F131" s="470">
        <f>IFERROR(IF(DB_Customers!S125&lt;&gt;"",DB_Customers!S125,""),"")</f>
        <v/>
      </c>
      <c r="G131" s="470">
        <f>IFERROR(IF(DB_Customers!G125&lt;&gt;"",DB_Customers!G125,""),"")</f>
        <v/>
      </c>
      <c r="H131" s="472">
        <f>IFERROR(IF(DB_Customers!H125&lt;&gt;"",DB_Customers!H125,""),"")</f>
        <v/>
      </c>
      <c r="I131" s="473">
        <f>IFERROR(IF(DB_Customers!I125&lt;&gt;"",DB_Customers!I125,""),"")</f>
        <v/>
      </c>
      <c r="J131" s="471">
        <f>IFERROR(IF(DB_Customers!J125&lt;&gt;"",DB_Customers!J125,""),"")</f>
        <v/>
      </c>
      <c r="K131" s="470">
        <f>IFERROR(IF(DB_Customers!E125&lt;&gt;"",DB_Customers!E125,""),"")</f>
        <v/>
      </c>
      <c r="L131" s="470">
        <f>IFERROR(IF(DB_Customers!F125&lt;&gt;"",DB_Customers!F125,""),"")</f>
        <v/>
      </c>
      <c r="M131" s="470">
        <f>IFERROR(IF(DB_Customers!T125&lt;&gt;"",DB_Customers!T125,""),"")</f>
        <v/>
      </c>
      <c r="N131" s="474">
        <f>IFERROR(IF(DB_Customers!A125&lt;&gt;"",IF(DB_Customers!I125&gt;=10,"Active","Inactive"),""),"")</f>
        <v/>
      </c>
    </row>
    <row r="132" ht="18" customHeight="1" s="341">
      <c r="A132" s="461">
        <f>IF(DB_Customers!A126&lt;&gt;"",123,"")</f>
        <v/>
      </c>
      <c r="B132" s="462">
        <f>IFERROR(IF(DB_Customers!A126&lt;&gt;"",DB_Customers!A126,""),"")</f>
        <v/>
      </c>
      <c r="C132" s="463">
        <f>IFERROR(IF(DB_Customers!D126&lt;&gt;"",DB_Customers!D126,""),"")</f>
        <v/>
      </c>
      <c r="D132" s="464">
        <f>IFERROR(IF(DB_Customers!Q126&lt;&gt;"",DB_Customers!Q126,""),"")</f>
        <v/>
      </c>
      <c r="E132" s="463">
        <f>IFERROR(IF(DB_Customers!R126&lt;&gt;"",DB_Customers!R126,""),"")</f>
        <v/>
      </c>
      <c r="F132" s="463">
        <f>IFERROR(IF(DB_Customers!S126&lt;&gt;"",DB_Customers!S126,""),"")</f>
        <v/>
      </c>
      <c r="G132" s="463">
        <f>IFERROR(IF(DB_Customers!G126&lt;&gt;"",DB_Customers!G126,""),"")</f>
        <v/>
      </c>
      <c r="H132" s="465">
        <f>IFERROR(IF(DB_Customers!H126&lt;&gt;"",DB_Customers!H126,""),"")</f>
        <v/>
      </c>
      <c r="I132" s="466">
        <f>IFERROR(IF(DB_Customers!I126&lt;&gt;"",DB_Customers!I126,""),"")</f>
        <v/>
      </c>
      <c r="J132" s="464">
        <f>IFERROR(IF(DB_Customers!J126&lt;&gt;"",DB_Customers!J126,""),"")</f>
        <v/>
      </c>
      <c r="K132" s="463">
        <f>IFERROR(IF(DB_Customers!E126&lt;&gt;"",DB_Customers!E126,""),"")</f>
        <v/>
      </c>
      <c r="L132" s="463">
        <f>IFERROR(IF(DB_Customers!F126&lt;&gt;"",DB_Customers!F126,""),"")</f>
        <v/>
      </c>
      <c r="M132" s="463">
        <f>IFERROR(IF(DB_Customers!T126&lt;&gt;"",DB_Customers!T126,""),"")</f>
        <v/>
      </c>
      <c r="N132" s="467">
        <f>IFERROR(IF(DB_Customers!A126&lt;&gt;"",IF(DB_Customers!I126&gt;=10,"Active","Inactive"),""),"")</f>
        <v/>
      </c>
    </row>
    <row r="133" ht="18" customHeight="1" s="341">
      <c r="A133" s="468">
        <f>IF(DB_Customers!A127&lt;&gt;"",124,"")</f>
        <v/>
      </c>
      <c r="B133" s="469">
        <f>IFERROR(IF(DB_Customers!A127&lt;&gt;"",DB_Customers!A127,""),"")</f>
        <v/>
      </c>
      <c r="C133" s="470">
        <f>IFERROR(IF(DB_Customers!D127&lt;&gt;"",DB_Customers!D127,""),"")</f>
        <v/>
      </c>
      <c r="D133" s="471">
        <f>IFERROR(IF(DB_Customers!Q127&lt;&gt;"",DB_Customers!Q127,""),"")</f>
        <v/>
      </c>
      <c r="E133" s="470">
        <f>IFERROR(IF(DB_Customers!R127&lt;&gt;"",DB_Customers!R127,""),"")</f>
        <v/>
      </c>
      <c r="F133" s="470">
        <f>IFERROR(IF(DB_Customers!S127&lt;&gt;"",DB_Customers!S127,""),"")</f>
        <v/>
      </c>
      <c r="G133" s="470">
        <f>IFERROR(IF(DB_Customers!G127&lt;&gt;"",DB_Customers!G127,""),"")</f>
        <v/>
      </c>
      <c r="H133" s="472">
        <f>IFERROR(IF(DB_Customers!H127&lt;&gt;"",DB_Customers!H127,""),"")</f>
        <v/>
      </c>
      <c r="I133" s="473">
        <f>IFERROR(IF(DB_Customers!I127&lt;&gt;"",DB_Customers!I127,""),"")</f>
        <v/>
      </c>
      <c r="J133" s="471">
        <f>IFERROR(IF(DB_Customers!J127&lt;&gt;"",DB_Customers!J127,""),"")</f>
        <v/>
      </c>
      <c r="K133" s="470">
        <f>IFERROR(IF(DB_Customers!E127&lt;&gt;"",DB_Customers!E127,""),"")</f>
        <v/>
      </c>
      <c r="L133" s="470">
        <f>IFERROR(IF(DB_Customers!F127&lt;&gt;"",DB_Customers!F127,""),"")</f>
        <v/>
      </c>
      <c r="M133" s="470">
        <f>IFERROR(IF(DB_Customers!T127&lt;&gt;"",DB_Customers!T127,""),"")</f>
        <v/>
      </c>
      <c r="N133" s="474">
        <f>IFERROR(IF(DB_Customers!A127&lt;&gt;"",IF(DB_Customers!I127&gt;=10,"Active","Inactive"),""),"")</f>
        <v/>
      </c>
    </row>
    <row r="134" ht="18" customHeight="1" s="341">
      <c r="A134" s="461">
        <f>IF(DB_Customers!A128&lt;&gt;"",125,"")</f>
        <v/>
      </c>
      <c r="B134" s="462">
        <f>IFERROR(IF(DB_Customers!A128&lt;&gt;"",DB_Customers!A128,""),"")</f>
        <v/>
      </c>
      <c r="C134" s="463">
        <f>IFERROR(IF(DB_Customers!D128&lt;&gt;"",DB_Customers!D128,""),"")</f>
        <v/>
      </c>
      <c r="D134" s="464">
        <f>IFERROR(IF(DB_Customers!Q128&lt;&gt;"",DB_Customers!Q128,""),"")</f>
        <v/>
      </c>
      <c r="E134" s="463">
        <f>IFERROR(IF(DB_Customers!R128&lt;&gt;"",DB_Customers!R128,""),"")</f>
        <v/>
      </c>
      <c r="F134" s="463">
        <f>IFERROR(IF(DB_Customers!S128&lt;&gt;"",DB_Customers!S128,""),"")</f>
        <v/>
      </c>
      <c r="G134" s="463">
        <f>IFERROR(IF(DB_Customers!G128&lt;&gt;"",DB_Customers!G128,""),"")</f>
        <v/>
      </c>
      <c r="H134" s="465">
        <f>IFERROR(IF(DB_Customers!H128&lt;&gt;"",DB_Customers!H128,""),"")</f>
        <v/>
      </c>
      <c r="I134" s="466">
        <f>IFERROR(IF(DB_Customers!I128&lt;&gt;"",DB_Customers!I128,""),"")</f>
        <v/>
      </c>
      <c r="J134" s="464">
        <f>IFERROR(IF(DB_Customers!J128&lt;&gt;"",DB_Customers!J128,""),"")</f>
        <v/>
      </c>
      <c r="K134" s="463">
        <f>IFERROR(IF(DB_Customers!E128&lt;&gt;"",DB_Customers!E128,""),"")</f>
        <v/>
      </c>
      <c r="L134" s="463">
        <f>IFERROR(IF(DB_Customers!F128&lt;&gt;"",DB_Customers!F128,""),"")</f>
        <v/>
      </c>
      <c r="M134" s="463">
        <f>IFERROR(IF(DB_Customers!T128&lt;&gt;"",DB_Customers!T128,""),"")</f>
        <v/>
      </c>
      <c r="N134" s="467">
        <f>IFERROR(IF(DB_Customers!A128&lt;&gt;"",IF(DB_Customers!I128&gt;=10,"Active","Inactive"),""),"")</f>
        <v/>
      </c>
    </row>
    <row r="135" ht="18" customHeight="1" s="341">
      <c r="A135" s="468">
        <f>IF(DB_Customers!A129&lt;&gt;"",126,"")</f>
        <v/>
      </c>
      <c r="B135" s="469">
        <f>IFERROR(IF(DB_Customers!A129&lt;&gt;"",DB_Customers!A129,""),"")</f>
        <v/>
      </c>
      <c r="C135" s="470">
        <f>IFERROR(IF(DB_Customers!D129&lt;&gt;"",DB_Customers!D129,""),"")</f>
        <v/>
      </c>
      <c r="D135" s="471">
        <f>IFERROR(IF(DB_Customers!Q129&lt;&gt;"",DB_Customers!Q129,""),"")</f>
        <v/>
      </c>
      <c r="E135" s="470">
        <f>IFERROR(IF(DB_Customers!R129&lt;&gt;"",DB_Customers!R129,""),"")</f>
        <v/>
      </c>
      <c r="F135" s="470">
        <f>IFERROR(IF(DB_Customers!S129&lt;&gt;"",DB_Customers!S129,""),"")</f>
        <v/>
      </c>
      <c r="G135" s="470">
        <f>IFERROR(IF(DB_Customers!G129&lt;&gt;"",DB_Customers!G129,""),"")</f>
        <v/>
      </c>
      <c r="H135" s="472">
        <f>IFERROR(IF(DB_Customers!H129&lt;&gt;"",DB_Customers!H129,""),"")</f>
        <v/>
      </c>
      <c r="I135" s="473">
        <f>IFERROR(IF(DB_Customers!I129&lt;&gt;"",DB_Customers!I129,""),"")</f>
        <v/>
      </c>
      <c r="J135" s="471">
        <f>IFERROR(IF(DB_Customers!J129&lt;&gt;"",DB_Customers!J129,""),"")</f>
        <v/>
      </c>
      <c r="K135" s="470">
        <f>IFERROR(IF(DB_Customers!E129&lt;&gt;"",DB_Customers!E129,""),"")</f>
        <v/>
      </c>
      <c r="L135" s="470">
        <f>IFERROR(IF(DB_Customers!F129&lt;&gt;"",DB_Customers!F129,""),"")</f>
        <v/>
      </c>
      <c r="M135" s="470">
        <f>IFERROR(IF(DB_Customers!T129&lt;&gt;"",DB_Customers!T129,""),"")</f>
        <v/>
      </c>
      <c r="N135" s="474">
        <f>IFERROR(IF(DB_Customers!A129&lt;&gt;"",IF(DB_Customers!I129&gt;=10,"Active","Inactive"),""),"")</f>
        <v/>
      </c>
    </row>
    <row r="136" ht="18" customHeight="1" s="341">
      <c r="A136" s="461">
        <f>IF(DB_Customers!A130&lt;&gt;"",127,"")</f>
        <v/>
      </c>
      <c r="B136" s="462">
        <f>IFERROR(IF(DB_Customers!A130&lt;&gt;"",DB_Customers!A130,""),"")</f>
        <v/>
      </c>
      <c r="C136" s="463">
        <f>IFERROR(IF(DB_Customers!D130&lt;&gt;"",DB_Customers!D130,""),"")</f>
        <v/>
      </c>
      <c r="D136" s="464">
        <f>IFERROR(IF(DB_Customers!Q130&lt;&gt;"",DB_Customers!Q130,""),"")</f>
        <v/>
      </c>
      <c r="E136" s="463">
        <f>IFERROR(IF(DB_Customers!R130&lt;&gt;"",DB_Customers!R130,""),"")</f>
        <v/>
      </c>
      <c r="F136" s="463">
        <f>IFERROR(IF(DB_Customers!S130&lt;&gt;"",DB_Customers!S130,""),"")</f>
        <v/>
      </c>
      <c r="G136" s="463">
        <f>IFERROR(IF(DB_Customers!G130&lt;&gt;"",DB_Customers!G130,""),"")</f>
        <v/>
      </c>
      <c r="H136" s="465">
        <f>IFERROR(IF(DB_Customers!H130&lt;&gt;"",DB_Customers!H130,""),"")</f>
        <v/>
      </c>
      <c r="I136" s="466">
        <f>IFERROR(IF(DB_Customers!I130&lt;&gt;"",DB_Customers!I130,""),"")</f>
        <v/>
      </c>
      <c r="J136" s="464">
        <f>IFERROR(IF(DB_Customers!J130&lt;&gt;"",DB_Customers!J130,""),"")</f>
        <v/>
      </c>
      <c r="K136" s="463">
        <f>IFERROR(IF(DB_Customers!E130&lt;&gt;"",DB_Customers!E130,""),"")</f>
        <v/>
      </c>
      <c r="L136" s="463">
        <f>IFERROR(IF(DB_Customers!F130&lt;&gt;"",DB_Customers!F130,""),"")</f>
        <v/>
      </c>
      <c r="M136" s="463">
        <f>IFERROR(IF(DB_Customers!T130&lt;&gt;"",DB_Customers!T130,""),"")</f>
        <v/>
      </c>
      <c r="N136" s="467">
        <f>IFERROR(IF(DB_Customers!A130&lt;&gt;"",IF(DB_Customers!I130&gt;=10,"Active","Inactive"),""),"")</f>
        <v/>
      </c>
    </row>
    <row r="137" ht="18" customHeight="1" s="341">
      <c r="A137" s="468">
        <f>IF(DB_Customers!A131&lt;&gt;"",128,"")</f>
        <v/>
      </c>
      <c r="B137" s="469">
        <f>IFERROR(IF(DB_Customers!A131&lt;&gt;"",DB_Customers!A131,""),"")</f>
        <v/>
      </c>
      <c r="C137" s="470">
        <f>IFERROR(IF(DB_Customers!D131&lt;&gt;"",DB_Customers!D131,""),"")</f>
        <v/>
      </c>
      <c r="D137" s="471">
        <f>IFERROR(IF(DB_Customers!Q131&lt;&gt;"",DB_Customers!Q131,""),"")</f>
        <v/>
      </c>
      <c r="E137" s="470">
        <f>IFERROR(IF(DB_Customers!R131&lt;&gt;"",DB_Customers!R131,""),"")</f>
        <v/>
      </c>
      <c r="F137" s="470">
        <f>IFERROR(IF(DB_Customers!S131&lt;&gt;"",DB_Customers!S131,""),"")</f>
        <v/>
      </c>
      <c r="G137" s="470">
        <f>IFERROR(IF(DB_Customers!G131&lt;&gt;"",DB_Customers!G131,""),"")</f>
        <v/>
      </c>
      <c r="H137" s="472">
        <f>IFERROR(IF(DB_Customers!H131&lt;&gt;"",DB_Customers!H131,""),"")</f>
        <v/>
      </c>
      <c r="I137" s="473">
        <f>IFERROR(IF(DB_Customers!I131&lt;&gt;"",DB_Customers!I131,""),"")</f>
        <v/>
      </c>
      <c r="J137" s="471">
        <f>IFERROR(IF(DB_Customers!J131&lt;&gt;"",DB_Customers!J131,""),"")</f>
        <v/>
      </c>
      <c r="K137" s="470">
        <f>IFERROR(IF(DB_Customers!E131&lt;&gt;"",DB_Customers!E131,""),"")</f>
        <v/>
      </c>
      <c r="L137" s="470">
        <f>IFERROR(IF(DB_Customers!F131&lt;&gt;"",DB_Customers!F131,""),"")</f>
        <v/>
      </c>
      <c r="M137" s="470">
        <f>IFERROR(IF(DB_Customers!T131&lt;&gt;"",DB_Customers!T131,""),"")</f>
        <v/>
      </c>
      <c r="N137" s="474">
        <f>IFERROR(IF(DB_Customers!A131&lt;&gt;"",IF(DB_Customers!I131&gt;=10,"Active","Inactive"),""),"")</f>
        <v/>
      </c>
    </row>
    <row r="138" ht="18" customHeight="1" s="341">
      <c r="A138" s="461">
        <f>IF(DB_Customers!A132&lt;&gt;"",129,"")</f>
        <v/>
      </c>
      <c r="B138" s="462">
        <f>IFERROR(IF(DB_Customers!A132&lt;&gt;"",DB_Customers!A132,""),"")</f>
        <v/>
      </c>
      <c r="C138" s="463">
        <f>IFERROR(IF(DB_Customers!D132&lt;&gt;"",DB_Customers!D132,""),"")</f>
        <v/>
      </c>
      <c r="D138" s="464">
        <f>IFERROR(IF(DB_Customers!Q132&lt;&gt;"",DB_Customers!Q132,""),"")</f>
        <v/>
      </c>
      <c r="E138" s="463">
        <f>IFERROR(IF(DB_Customers!R132&lt;&gt;"",DB_Customers!R132,""),"")</f>
        <v/>
      </c>
      <c r="F138" s="463">
        <f>IFERROR(IF(DB_Customers!S132&lt;&gt;"",DB_Customers!S132,""),"")</f>
        <v/>
      </c>
      <c r="G138" s="463">
        <f>IFERROR(IF(DB_Customers!G132&lt;&gt;"",DB_Customers!G132,""),"")</f>
        <v/>
      </c>
      <c r="H138" s="465">
        <f>IFERROR(IF(DB_Customers!H132&lt;&gt;"",DB_Customers!H132,""),"")</f>
        <v/>
      </c>
      <c r="I138" s="466">
        <f>IFERROR(IF(DB_Customers!I132&lt;&gt;"",DB_Customers!I132,""),"")</f>
        <v/>
      </c>
      <c r="J138" s="464">
        <f>IFERROR(IF(DB_Customers!J132&lt;&gt;"",DB_Customers!J132,""),"")</f>
        <v/>
      </c>
      <c r="K138" s="463">
        <f>IFERROR(IF(DB_Customers!E132&lt;&gt;"",DB_Customers!E132,""),"")</f>
        <v/>
      </c>
      <c r="L138" s="463">
        <f>IFERROR(IF(DB_Customers!F132&lt;&gt;"",DB_Customers!F132,""),"")</f>
        <v/>
      </c>
      <c r="M138" s="463">
        <f>IFERROR(IF(DB_Customers!T132&lt;&gt;"",DB_Customers!T132,""),"")</f>
        <v/>
      </c>
      <c r="N138" s="467">
        <f>IFERROR(IF(DB_Customers!A132&lt;&gt;"",IF(DB_Customers!I132&gt;=10,"Active","Inactive"),""),"")</f>
        <v/>
      </c>
    </row>
    <row r="139" ht="18" customHeight="1" s="341">
      <c r="A139" s="468">
        <f>IF(DB_Customers!A133&lt;&gt;"",130,"")</f>
        <v/>
      </c>
      <c r="B139" s="469">
        <f>IFERROR(IF(DB_Customers!A133&lt;&gt;"",DB_Customers!A133,""),"")</f>
        <v/>
      </c>
      <c r="C139" s="470">
        <f>IFERROR(IF(DB_Customers!D133&lt;&gt;"",DB_Customers!D133,""),"")</f>
        <v/>
      </c>
      <c r="D139" s="471">
        <f>IFERROR(IF(DB_Customers!Q133&lt;&gt;"",DB_Customers!Q133,""),"")</f>
        <v/>
      </c>
      <c r="E139" s="470">
        <f>IFERROR(IF(DB_Customers!R133&lt;&gt;"",DB_Customers!R133,""),"")</f>
        <v/>
      </c>
      <c r="F139" s="470">
        <f>IFERROR(IF(DB_Customers!S133&lt;&gt;"",DB_Customers!S133,""),"")</f>
        <v/>
      </c>
      <c r="G139" s="470">
        <f>IFERROR(IF(DB_Customers!G133&lt;&gt;"",DB_Customers!G133,""),"")</f>
        <v/>
      </c>
      <c r="H139" s="472">
        <f>IFERROR(IF(DB_Customers!H133&lt;&gt;"",DB_Customers!H133,""),"")</f>
        <v/>
      </c>
      <c r="I139" s="473">
        <f>IFERROR(IF(DB_Customers!I133&lt;&gt;"",DB_Customers!I133,""),"")</f>
        <v/>
      </c>
      <c r="J139" s="471">
        <f>IFERROR(IF(DB_Customers!J133&lt;&gt;"",DB_Customers!J133,""),"")</f>
        <v/>
      </c>
      <c r="K139" s="470">
        <f>IFERROR(IF(DB_Customers!E133&lt;&gt;"",DB_Customers!E133,""),"")</f>
        <v/>
      </c>
      <c r="L139" s="470">
        <f>IFERROR(IF(DB_Customers!F133&lt;&gt;"",DB_Customers!F133,""),"")</f>
        <v/>
      </c>
      <c r="M139" s="470">
        <f>IFERROR(IF(DB_Customers!T133&lt;&gt;"",DB_Customers!T133,""),"")</f>
        <v/>
      </c>
      <c r="N139" s="474">
        <f>IFERROR(IF(DB_Customers!A133&lt;&gt;"",IF(DB_Customers!I133&gt;=10,"Active","Inactive"),""),"")</f>
        <v/>
      </c>
    </row>
    <row r="140" ht="18" customHeight="1" s="341">
      <c r="A140" s="461">
        <f>IF(DB_Customers!A134&lt;&gt;"",131,"")</f>
        <v/>
      </c>
      <c r="B140" s="462">
        <f>IFERROR(IF(DB_Customers!A134&lt;&gt;"",DB_Customers!A134,""),"")</f>
        <v/>
      </c>
      <c r="C140" s="463">
        <f>IFERROR(IF(DB_Customers!D134&lt;&gt;"",DB_Customers!D134,""),"")</f>
        <v/>
      </c>
      <c r="D140" s="464">
        <f>IFERROR(IF(DB_Customers!Q134&lt;&gt;"",DB_Customers!Q134,""),"")</f>
        <v/>
      </c>
      <c r="E140" s="463">
        <f>IFERROR(IF(DB_Customers!R134&lt;&gt;"",DB_Customers!R134,""),"")</f>
        <v/>
      </c>
      <c r="F140" s="463">
        <f>IFERROR(IF(DB_Customers!S134&lt;&gt;"",DB_Customers!S134,""),"")</f>
        <v/>
      </c>
      <c r="G140" s="463">
        <f>IFERROR(IF(DB_Customers!G134&lt;&gt;"",DB_Customers!G134,""),"")</f>
        <v/>
      </c>
      <c r="H140" s="465">
        <f>IFERROR(IF(DB_Customers!H134&lt;&gt;"",DB_Customers!H134,""),"")</f>
        <v/>
      </c>
      <c r="I140" s="466">
        <f>IFERROR(IF(DB_Customers!I134&lt;&gt;"",DB_Customers!I134,""),"")</f>
        <v/>
      </c>
      <c r="J140" s="464">
        <f>IFERROR(IF(DB_Customers!J134&lt;&gt;"",DB_Customers!J134,""),"")</f>
        <v/>
      </c>
      <c r="K140" s="463">
        <f>IFERROR(IF(DB_Customers!E134&lt;&gt;"",DB_Customers!E134,""),"")</f>
        <v/>
      </c>
      <c r="L140" s="463">
        <f>IFERROR(IF(DB_Customers!F134&lt;&gt;"",DB_Customers!F134,""),"")</f>
        <v/>
      </c>
      <c r="M140" s="463">
        <f>IFERROR(IF(DB_Customers!T134&lt;&gt;"",DB_Customers!T134,""),"")</f>
        <v/>
      </c>
      <c r="N140" s="467">
        <f>IFERROR(IF(DB_Customers!A134&lt;&gt;"",IF(DB_Customers!I134&gt;=10,"Active","Inactive"),""),"")</f>
        <v/>
      </c>
    </row>
    <row r="141" ht="18" customHeight="1" s="341">
      <c r="A141" s="468">
        <f>IF(DB_Customers!A135&lt;&gt;"",132,"")</f>
        <v/>
      </c>
      <c r="B141" s="469">
        <f>IFERROR(IF(DB_Customers!A135&lt;&gt;"",DB_Customers!A135,""),"")</f>
        <v/>
      </c>
      <c r="C141" s="470">
        <f>IFERROR(IF(DB_Customers!D135&lt;&gt;"",DB_Customers!D135,""),"")</f>
        <v/>
      </c>
      <c r="D141" s="471">
        <f>IFERROR(IF(DB_Customers!Q135&lt;&gt;"",DB_Customers!Q135,""),"")</f>
        <v/>
      </c>
      <c r="E141" s="470">
        <f>IFERROR(IF(DB_Customers!R135&lt;&gt;"",DB_Customers!R135,""),"")</f>
        <v/>
      </c>
      <c r="F141" s="470">
        <f>IFERROR(IF(DB_Customers!S135&lt;&gt;"",DB_Customers!S135,""),"")</f>
        <v/>
      </c>
      <c r="G141" s="470">
        <f>IFERROR(IF(DB_Customers!G135&lt;&gt;"",DB_Customers!G135,""),"")</f>
        <v/>
      </c>
      <c r="H141" s="472">
        <f>IFERROR(IF(DB_Customers!H135&lt;&gt;"",DB_Customers!H135,""),"")</f>
        <v/>
      </c>
      <c r="I141" s="473">
        <f>IFERROR(IF(DB_Customers!I135&lt;&gt;"",DB_Customers!I135,""),"")</f>
        <v/>
      </c>
      <c r="J141" s="471">
        <f>IFERROR(IF(DB_Customers!J135&lt;&gt;"",DB_Customers!J135,""),"")</f>
        <v/>
      </c>
      <c r="K141" s="470">
        <f>IFERROR(IF(DB_Customers!E135&lt;&gt;"",DB_Customers!E135,""),"")</f>
        <v/>
      </c>
      <c r="L141" s="470">
        <f>IFERROR(IF(DB_Customers!F135&lt;&gt;"",DB_Customers!F135,""),"")</f>
        <v/>
      </c>
      <c r="M141" s="470">
        <f>IFERROR(IF(DB_Customers!T135&lt;&gt;"",DB_Customers!T135,""),"")</f>
        <v/>
      </c>
      <c r="N141" s="474">
        <f>IFERROR(IF(DB_Customers!A135&lt;&gt;"",IF(DB_Customers!I135&gt;=10,"Active","Inactive"),""),"")</f>
        <v/>
      </c>
    </row>
    <row r="142" ht="18" customHeight="1" s="341">
      <c r="A142" s="461">
        <f>IF(DB_Customers!A136&lt;&gt;"",133,"")</f>
        <v/>
      </c>
      <c r="B142" s="462">
        <f>IFERROR(IF(DB_Customers!A136&lt;&gt;"",DB_Customers!A136,""),"")</f>
        <v/>
      </c>
      <c r="C142" s="463">
        <f>IFERROR(IF(DB_Customers!D136&lt;&gt;"",DB_Customers!D136,""),"")</f>
        <v/>
      </c>
      <c r="D142" s="464">
        <f>IFERROR(IF(DB_Customers!Q136&lt;&gt;"",DB_Customers!Q136,""),"")</f>
        <v/>
      </c>
      <c r="E142" s="463">
        <f>IFERROR(IF(DB_Customers!R136&lt;&gt;"",DB_Customers!R136,""),"")</f>
        <v/>
      </c>
      <c r="F142" s="463">
        <f>IFERROR(IF(DB_Customers!S136&lt;&gt;"",DB_Customers!S136,""),"")</f>
        <v/>
      </c>
      <c r="G142" s="463">
        <f>IFERROR(IF(DB_Customers!G136&lt;&gt;"",DB_Customers!G136,""),"")</f>
        <v/>
      </c>
      <c r="H142" s="465">
        <f>IFERROR(IF(DB_Customers!H136&lt;&gt;"",DB_Customers!H136,""),"")</f>
        <v/>
      </c>
      <c r="I142" s="466">
        <f>IFERROR(IF(DB_Customers!I136&lt;&gt;"",DB_Customers!I136,""),"")</f>
        <v/>
      </c>
      <c r="J142" s="464">
        <f>IFERROR(IF(DB_Customers!J136&lt;&gt;"",DB_Customers!J136,""),"")</f>
        <v/>
      </c>
      <c r="K142" s="463">
        <f>IFERROR(IF(DB_Customers!E136&lt;&gt;"",DB_Customers!E136,""),"")</f>
        <v/>
      </c>
      <c r="L142" s="463">
        <f>IFERROR(IF(DB_Customers!F136&lt;&gt;"",DB_Customers!F136,""),"")</f>
        <v/>
      </c>
      <c r="M142" s="463">
        <f>IFERROR(IF(DB_Customers!T136&lt;&gt;"",DB_Customers!T136,""),"")</f>
        <v/>
      </c>
      <c r="N142" s="467">
        <f>IFERROR(IF(DB_Customers!A136&lt;&gt;"",IF(DB_Customers!I136&gt;=10,"Active","Inactive"),""),"")</f>
        <v/>
      </c>
    </row>
    <row r="143" ht="18" customHeight="1" s="341">
      <c r="A143" s="468">
        <f>IF(DB_Customers!A137&lt;&gt;"",134,"")</f>
        <v/>
      </c>
      <c r="B143" s="469">
        <f>IFERROR(IF(DB_Customers!A137&lt;&gt;"",DB_Customers!A137,""),"")</f>
        <v/>
      </c>
      <c r="C143" s="470">
        <f>IFERROR(IF(DB_Customers!D137&lt;&gt;"",DB_Customers!D137,""),"")</f>
        <v/>
      </c>
      <c r="D143" s="471">
        <f>IFERROR(IF(DB_Customers!Q137&lt;&gt;"",DB_Customers!Q137,""),"")</f>
        <v/>
      </c>
      <c r="E143" s="470">
        <f>IFERROR(IF(DB_Customers!R137&lt;&gt;"",DB_Customers!R137,""),"")</f>
        <v/>
      </c>
      <c r="F143" s="470">
        <f>IFERROR(IF(DB_Customers!S137&lt;&gt;"",DB_Customers!S137,""),"")</f>
        <v/>
      </c>
      <c r="G143" s="470">
        <f>IFERROR(IF(DB_Customers!G137&lt;&gt;"",DB_Customers!G137,""),"")</f>
        <v/>
      </c>
      <c r="H143" s="472">
        <f>IFERROR(IF(DB_Customers!H137&lt;&gt;"",DB_Customers!H137,""),"")</f>
        <v/>
      </c>
      <c r="I143" s="473">
        <f>IFERROR(IF(DB_Customers!I137&lt;&gt;"",DB_Customers!I137,""),"")</f>
        <v/>
      </c>
      <c r="J143" s="471">
        <f>IFERROR(IF(DB_Customers!J137&lt;&gt;"",DB_Customers!J137,""),"")</f>
        <v/>
      </c>
      <c r="K143" s="470">
        <f>IFERROR(IF(DB_Customers!E137&lt;&gt;"",DB_Customers!E137,""),"")</f>
        <v/>
      </c>
      <c r="L143" s="470">
        <f>IFERROR(IF(DB_Customers!F137&lt;&gt;"",DB_Customers!F137,""),"")</f>
        <v/>
      </c>
      <c r="M143" s="470">
        <f>IFERROR(IF(DB_Customers!T137&lt;&gt;"",DB_Customers!T137,""),"")</f>
        <v/>
      </c>
      <c r="N143" s="474">
        <f>IFERROR(IF(DB_Customers!A137&lt;&gt;"",IF(DB_Customers!I137&gt;=10,"Active","Inactive"),""),"")</f>
        <v/>
      </c>
    </row>
    <row r="144" ht="18" customHeight="1" s="341">
      <c r="A144" s="461">
        <f>IF(DB_Customers!A138&lt;&gt;"",135,"")</f>
        <v/>
      </c>
      <c r="B144" s="462">
        <f>IFERROR(IF(DB_Customers!A138&lt;&gt;"",DB_Customers!A138,""),"")</f>
        <v/>
      </c>
      <c r="C144" s="463">
        <f>IFERROR(IF(DB_Customers!D138&lt;&gt;"",DB_Customers!D138,""),"")</f>
        <v/>
      </c>
      <c r="D144" s="464">
        <f>IFERROR(IF(DB_Customers!Q138&lt;&gt;"",DB_Customers!Q138,""),"")</f>
        <v/>
      </c>
      <c r="E144" s="463">
        <f>IFERROR(IF(DB_Customers!R138&lt;&gt;"",DB_Customers!R138,""),"")</f>
        <v/>
      </c>
      <c r="F144" s="463">
        <f>IFERROR(IF(DB_Customers!S138&lt;&gt;"",DB_Customers!S138,""),"")</f>
        <v/>
      </c>
      <c r="G144" s="463">
        <f>IFERROR(IF(DB_Customers!G138&lt;&gt;"",DB_Customers!G138,""),"")</f>
        <v/>
      </c>
      <c r="H144" s="465">
        <f>IFERROR(IF(DB_Customers!H138&lt;&gt;"",DB_Customers!H138,""),"")</f>
        <v/>
      </c>
      <c r="I144" s="466">
        <f>IFERROR(IF(DB_Customers!I138&lt;&gt;"",DB_Customers!I138,""),"")</f>
        <v/>
      </c>
      <c r="J144" s="464">
        <f>IFERROR(IF(DB_Customers!J138&lt;&gt;"",DB_Customers!J138,""),"")</f>
        <v/>
      </c>
      <c r="K144" s="463">
        <f>IFERROR(IF(DB_Customers!E138&lt;&gt;"",DB_Customers!E138,""),"")</f>
        <v/>
      </c>
      <c r="L144" s="463">
        <f>IFERROR(IF(DB_Customers!F138&lt;&gt;"",DB_Customers!F138,""),"")</f>
        <v/>
      </c>
      <c r="M144" s="463">
        <f>IFERROR(IF(DB_Customers!T138&lt;&gt;"",DB_Customers!T138,""),"")</f>
        <v/>
      </c>
      <c r="N144" s="467">
        <f>IFERROR(IF(DB_Customers!A138&lt;&gt;"",IF(DB_Customers!I138&gt;=10,"Active","Inactive"),""),"")</f>
        <v/>
      </c>
    </row>
    <row r="145" ht="18" customHeight="1" s="341">
      <c r="A145" s="468">
        <f>IF(DB_Customers!A139&lt;&gt;"",136,"")</f>
        <v/>
      </c>
      <c r="B145" s="469">
        <f>IFERROR(IF(DB_Customers!A139&lt;&gt;"",DB_Customers!A139,""),"")</f>
        <v/>
      </c>
      <c r="C145" s="470">
        <f>IFERROR(IF(DB_Customers!D139&lt;&gt;"",DB_Customers!D139,""),"")</f>
        <v/>
      </c>
      <c r="D145" s="471">
        <f>IFERROR(IF(DB_Customers!Q139&lt;&gt;"",DB_Customers!Q139,""),"")</f>
        <v/>
      </c>
      <c r="E145" s="470">
        <f>IFERROR(IF(DB_Customers!R139&lt;&gt;"",DB_Customers!R139,""),"")</f>
        <v/>
      </c>
      <c r="F145" s="470">
        <f>IFERROR(IF(DB_Customers!S139&lt;&gt;"",DB_Customers!S139,""),"")</f>
        <v/>
      </c>
      <c r="G145" s="470">
        <f>IFERROR(IF(DB_Customers!G139&lt;&gt;"",DB_Customers!G139,""),"")</f>
        <v/>
      </c>
      <c r="H145" s="472">
        <f>IFERROR(IF(DB_Customers!H139&lt;&gt;"",DB_Customers!H139,""),"")</f>
        <v/>
      </c>
      <c r="I145" s="473">
        <f>IFERROR(IF(DB_Customers!I139&lt;&gt;"",DB_Customers!I139,""),"")</f>
        <v/>
      </c>
      <c r="J145" s="471">
        <f>IFERROR(IF(DB_Customers!J139&lt;&gt;"",DB_Customers!J139,""),"")</f>
        <v/>
      </c>
      <c r="K145" s="470">
        <f>IFERROR(IF(DB_Customers!E139&lt;&gt;"",DB_Customers!E139,""),"")</f>
        <v/>
      </c>
      <c r="L145" s="470">
        <f>IFERROR(IF(DB_Customers!F139&lt;&gt;"",DB_Customers!F139,""),"")</f>
        <v/>
      </c>
      <c r="M145" s="470">
        <f>IFERROR(IF(DB_Customers!T139&lt;&gt;"",DB_Customers!T139,""),"")</f>
        <v/>
      </c>
      <c r="N145" s="474">
        <f>IFERROR(IF(DB_Customers!A139&lt;&gt;"",IF(DB_Customers!I139&gt;=10,"Active","Inactive"),""),"")</f>
        <v/>
      </c>
    </row>
    <row r="146" ht="18" customHeight="1" s="341">
      <c r="A146" s="461">
        <f>IF(DB_Customers!A140&lt;&gt;"",137,"")</f>
        <v/>
      </c>
      <c r="B146" s="462">
        <f>IFERROR(IF(DB_Customers!A140&lt;&gt;"",DB_Customers!A140,""),"")</f>
        <v/>
      </c>
      <c r="C146" s="463">
        <f>IFERROR(IF(DB_Customers!D140&lt;&gt;"",DB_Customers!D140,""),"")</f>
        <v/>
      </c>
      <c r="D146" s="464">
        <f>IFERROR(IF(DB_Customers!Q140&lt;&gt;"",DB_Customers!Q140,""),"")</f>
        <v/>
      </c>
      <c r="E146" s="463">
        <f>IFERROR(IF(DB_Customers!R140&lt;&gt;"",DB_Customers!R140,""),"")</f>
        <v/>
      </c>
      <c r="F146" s="463">
        <f>IFERROR(IF(DB_Customers!S140&lt;&gt;"",DB_Customers!S140,""),"")</f>
        <v/>
      </c>
      <c r="G146" s="463">
        <f>IFERROR(IF(DB_Customers!G140&lt;&gt;"",DB_Customers!G140,""),"")</f>
        <v/>
      </c>
      <c r="H146" s="465">
        <f>IFERROR(IF(DB_Customers!H140&lt;&gt;"",DB_Customers!H140,""),"")</f>
        <v/>
      </c>
      <c r="I146" s="466">
        <f>IFERROR(IF(DB_Customers!I140&lt;&gt;"",DB_Customers!I140,""),"")</f>
        <v/>
      </c>
      <c r="J146" s="464">
        <f>IFERROR(IF(DB_Customers!J140&lt;&gt;"",DB_Customers!J140,""),"")</f>
        <v/>
      </c>
      <c r="K146" s="463">
        <f>IFERROR(IF(DB_Customers!E140&lt;&gt;"",DB_Customers!E140,""),"")</f>
        <v/>
      </c>
      <c r="L146" s="463">
        <f>IFERROR(IF(DB_Customers!F140&lt;&gt;"",DB_Customers!F140,""),"")</f>
        <v/>
      </c>
      <c r="M146" s="463">
        <f>IFERROR(IF(DB_Customers!T140&lt;&gt;"",DB_Customers!T140,""),"")</f>
        <v/>
      </c>
      <c r="N146" s="467">
        <f>IFERROR(IF(DB_Customers!A140&lt;&gt;"",IF(DB_Customers!I140&gt;=10,"Active","Inactive"),""),"")</f>
        <v/>
      </c>
    </row>
    <row r="147" ht="18" customHeight="1" s="341">
      <c r="A147" s="468">
        <f>IF(DB_Customers!A141&lt;&gt;"",138,"")</f>
        <v/>
      </c>
      <c r="B147" s="469">
        <f>IFERROR(IF(DB_Customers!A141&lt;&gt;"",DB_Customers!A141,""),"")</f>
        <v/>
      </c>
      <c r="C147" s="470">
        <f>IFERROR(IF(DB_Customers!D141&lt;&gt;"",DB_Customers!D141,""),"")</f>
        <v/>
      </c>
      <c r="D147" s="471">
        <f>IFERROR(IF(DB_Customers!Q141&lt;&gt;"",DB_Customers!Q141,""),"")</f>
        <v/>
      </c>
      <c r="E147" s="470">
        <f>IFERROR(IF(DB_Customers!R141&lt;&gt;"",DB_Customers!R141,""),"")</f>
        <v/>
      </c>
      <c r="F147" s="470">
        <f>IFERROR(IF(DB_Customers!S141&lt;&gt;"",DB_Customers!S141,""),"")</f>
        <v/>
      </c>
      <c r="G147" s="470">
        <f>IFERROR(IF(DB_Customers!G141&lt;&gt;"",DB_Customers!G141,""),"")</f>
        <v/>
      </c>
      <c r="H147" s="472">
        <f>IFERROR(IF(DB_Customers!H141&lt;&gt;"",DB_Customers!H141,""),"")</f>
        <v/>
      </c>
      <c r="I147" s="473">
        <f>IFERROR(IF(DB_Customers!I141&lt;&gt;"",DB_Customers!I141,""),"")</f>
        <v/>
      </c>
      <c r="J147" s="471">
        <f>IFERROR(IF(DB_Customers!J141&lt;&gt;"",DB_Customers!J141,""),"")</f>
        <v/>
      </c>
      <c r="K147" s="470">
        <f>IFERROR(IF(DB_Customers!E141&lt;&gt;"",DB_Customers!E141,""),"")</f>
        <v/>
      </c>
      <c r="L147" s="470">
        <f>IFERROR(IF(DB_Customers!F141&lt;&gt;"",DB_Customers!F141,""),"")</f>
        <v/>
      </c>
      <c r="M147" s="470">
        <f>IFERROR(IF(DB_Customers!T141&lt;&gt;"",DB_Customers!T141,""),"")</f>
        <v/>
      </c>
      <c r="N147" s="474">
        <f>IFERROR(IF(DB_Customers!A141&lt;&gt;"",IF(DB_Customers!I141&gt;=10,"Active","Inactive"),""),"")</f>
        <v/>
      </c>
    </row>
    <row r="148" ht="18" customHeight="1" s="341">
      <c r="A148" s="461">
        <f>IF(DB_Customers!A142&lt;&gt;"",139,"")</f>
        <v/>
      </c>
      <c r="B148" s="462">
        <f>IFERROR(IF(DB_Customers!A142&lt;&gt;"",DB_Customers!A142,""),"")</f>
        <v/>
      </c>
      <c r="C148" s="463">
        <f>IFERROR(IF(DB_Customers!D142&lt;&gt;"",DB_Customers!D142,""),"")</f>
        <v/>
      </c>
      <c r="D148" s="464">
        <f>IFERROR(IF(DB_Customers!Q142&lt;&gt;"",DB_Customers!Q142,""),"")</f>
        <v/>
      </c>
      <c r="E148" s="463">
        <f>IFERROR(IF(DB_Customers!R142&lt;&gt;"",DB_Customers!R142,""),"")</f>
        <v/>
      </c>
      <c r="F148" s="463">
        <f>IFERROR(IF(DB_Customers!S142&lt;&gt;"",DB_Customers!S142,""),"")</f>
        <v/>
      </c>
      <c r="G148" s="463">
        <f>IFERROR(IF(DB_Customers!G142&lt;&gt;"",DB_Customers!G142,""),"")</f>
        <v/>
      </c>
      <c r="H148" s="465">
        <f>IFERROR(IF(DB_Customers!H142&lt;&gt;"",DB_Customers!H142,""),"")</f>
        <v/>
      </c>
      <c r="I148" s="466">
        <f>IFERROR(IF(DB_Customers!I142&lt;&gt;"",DB_Customers!I142,""),"")</f>
        <v/>
      </c>
      <c r="J148" s="464">
        <f>IFERROR(IF(DB_Customers!J142&lt;&gt;"",DB_Customers!J142,""),"")</f>
        <v/>
      </c>
      <c r="K148" s="463">
        <f>IFERROR(IF(DB_Customers!E142&lt;&gt;"",DB_Customers!E142,""),"")</f>
        <v/>
      </c>
      <c r="L148" s="463">
        <f>IFERROR(IF(DB_Customers!F142&lt;&gt;"",DB_Customers!F142,""),"")</f>
        <v/>
      </c>
      <c r="M148" s="463">
        <f>IFERROR(IF(DB_Customers!T142&lt;&gt;"",DB_Customers!T142,""),"")</f>
        <v/>
      </c>
      <c r="N148" s="467">
        <f>IFERROR(IF(DB_Customers!A142&lt;&gt;"",IF(DB_Customers!I142&gt;=10,"Active","Inactive"),""),"")</f>
        <v/>
      </c>
    </row>
    <row r="149" ht="18" customHeight="1" s="341">
      <c r="A149" s="468">
        <f>IF(DB_Customers!A143&lt;&gt;"",140,"")</f>
        <v/>
      </c>
      <c r="B149" s="469">
        <f>IFERROR(IF(DB_Customers!A143&lt;&gt;"",DB_Customers!A143,""),"")</f>
        <v/>
      </c>
      <c r="C149" s="470">
        <f>IFERROR(IF(DB_Customers!D143&lt;&gt;"",DB_Customers!D143,""),"")</f>
        <v/>
      </c>
      <c r="D149" s="471">
        <f>IFERROR(IF(DB_Customers!Q143&lt;&gt;"",DB_Customers!Q143,""),"")</f>
        <v/>
      </c>
      <c r="E149" s="470">
        <f>IFERROR(IF(DB_Customers!R143&lt;&gt;"",DB_Customers!R143,""),"")</f>
        <v/>
      </c>
      <c r="F149" s="470">
        <f>IFERROR(IF(DB_Customers!S143&lt;&gt;"",DB_Customers!S143,""),"")</f>
        <v/>
      </c>
      <c r="G149" s="470">
        <f>IFERROR(IF(DB_Customers!G143&lt;&gt;"",DB_Customers!G143,""),"")</f>
        <v/>
      </c>
      <c r="H149" s="472">
        <f>IFERROR(IF(DB_Customers!H143&lt;&gt;"",DB_Customers!H143,""),"")</f>
        <v/>
      </c>
      <c r="I149" s="473">
        <f>IFERROR(IF(DB_Customers!I143&lt;&gt;"",DB_Customers!I143,""),"")</f>
        <v/>
      </c>
      <c r="J149" s="471">
        <f>IFERROR(IF(DB_Customers!J143&lt;&gt;"",DB_Customers!J143,""),"")</f>
        <v/>
      </c>
      <c r="K149" s="470">
        <f>IFERROR(IF(DB_Customers!E143&lt;&gt;"",DB_Customers!E143,""),"")</f>
        <v/>
      </c>
      <c r="L149" s="470">
        <f>IFERROR(IF(DB_Customers!F143&lt;&gt;"",DB_Customers!F143,""),"")</f>
        <v/>
      </c>
      <c r="M149" s="470">
        <f>IFERROR(IF(DB_Customers!T143&lt;&gt;"",DB_Customers!T143,""),"")</f>
        <v/>
      </c>
      <c r="N149" s="474">
        <f>IFERROR(IF(DB_Customers!A143&lt;&gt;"",IF(DB_Customers!I143&gt;=10,"Active","Inactive"),""),"")</f>
        <v/>
      </c>
    </row>
    <row r="150" ht="18" customHeight="1" s="341">
      <c r="A150" s="461">
        <f>IF(DB_Customers!A144&lt;&gt;"",141,"")</f>
        <v/>
      </c>
      <c r="B150" s="462">
        <f>IFERROR(IF(DB_Customers!A144&lt;&gt;"",DB_Customers!A144,""),"")</f>
        <v/>
      </c>
      <c r="C150" s="463">
        <f>IFERROR(IF(DB_Customers!D144&lt;&gt;"",DB_Customers!D144,""),"")</f>
        <v/>
      </c>
      <c r="D150" s="464">
        <f>IFERROR(IF(DB_Customers!Q144&lt;&gt;"",DB_Customers!Q144,""),"")</f>
        <v/>
      </c>
      <c r="E150" s="463">
        <f>IFERROR(IF(DB_Customers!R144&lt;&gt;"",DB_Customers!R144,""),"")</f>
        <v/>
      </c>
      <c r="F150" s="463">
        <f>IFERROR(IF(DB_Customers!S144&lt;&gt;"",DB_Customers!S144,""),"")</f>
        <v/>
      </c>
      <c r="G150" s="463">
        <f>IFERROR(IF(DB_Customers!G144&lt;&gt;"",DB_Customers!G144,""),"")</f>
        <v/>
      </c>
      <c r="H150" s="465">
        <f>IFERROR(IF(DB_Customers!H144&lt;&gt;"",DB_Customers!H144,""),"")</f>
        <v/>
      </c>
      <c r="I150" s="466">
        <f>IFERROR(IF(DB_Customers!I144&lt;&gt;"",DB_Customers!I144,""),"")</f>
        <v/>
      </c>
      <c r="J150" s="464">
        <f>IFERROR(IF(DB_Customers!J144&lt;&gt;"",DB_Customers!J144,""),"")</f>
        <v/>
      </c>
      <c r="K150" s="463">
        <f>IFERROR(IF(DB_Customers!E144&lt;&gt;"",DB_Customers!E144,""),"")</f>
        <v/>
      </c>
      <c r="L150" s="463">
        <f>IFERROR(IF(DB_Customers!F144&lt;&gt;"",DB_Customers!F144,""),"")</f>
        <v/>
      </c>
      <c r="M150" s="463">
        <f>IFERROR(IF(DB_Customers!T144&lt;&gt;"",DB_Customers!T144,""),"")</f>
        <v/>
      </c>
      <c r="N150" s="467">
        <f>IFERROR(IF(DB_Customers!A144&lt;&gt;"",IF(DB_Customers!I144&gt;=10,"Active","Inactive"),""),"")</f>
        <v/>
      </c>
    </row>
    <row r="151" ht="18" customHeight="1" s="341">
      <c r="A151" s="468">
        <f>IF(DB_Customers!A145&lt;&gt;"",142,"")</f>
        <v/>
      </c>
      <c r="B151" s="469">
        <f>IFERROR(IF(DB_Customers!A145&lt;&gt;"",DB_Customers!A145,""),"")</f>
        <v/>
      </c>
      <c r="C151" s="470">
        <f>IFERROR(IF(DB_Customers!D145&lt;&gt;"",DB_Customers!D145,""),"")</f>
        <v/>
      </c>
      <c r="D151" s="471">
        <f>IFERROR(IF(DB_Customers!Q145&lt;&gt;"",DB_Customers!Q145,""),"")</f>
        <v/>
      </c>
      <c r="E151" s="470">
        <f>IFERROR(IF(DB_Customers!R145&lt;&gt;"",DB_Customers!R145,""),"")</f>
        <v/>
      </c>
      <c r="F151" s="470">
        <f>IFERROR(IF(DB_Customers!S145&lt;&gt;"",DB_Customers!S145,""),"")</f>
        <v/>
      </c>
      <c r="G151" s="470">
        <f>IFERROR(IF(DB_Customers!G145&lt;&gt;"",DB_Customers!G145,""),"")</f>
        <v/>
      </c>
      <c r="H151" s="472">
        <f>IFERROR(IF(DB_Customers!H145&lt;&gt;"",DB_Customers!H145,""),"")</f>
        <v/>
      </c>
      <c r="I151" s="473">
        <f>IFERROR(IF(DB_Customers!I145&lt;&gt;"",DB_Customers!I145,""),"")</f>
        <v/>
      </c>
      <c r="J151" s="471">
        <f>IFERROR(IF(DB_Customers!J145&lt;&gt;"",DB_Customers!J145,""),"")</f>
        <v/>
      </c>
      <c r="K151" s="470">
        <f>IFERROR(IF(DB_Customers!E145&lt;&gt;"",DB_Customers!E145,""),"")</f>
        <v/>
      </c>
      <c r="L151" s="470">
        <f>IFERROR(IF(DB_Customers!F145&lt;&gt;"",DB_Customers!F145,""),"")</f>
        <v/>
      </c>
      <c r="M151" s="470">
        <f>IFERROR(IF(DB_Customers!T145&lt;&gt;"",DB_Customers!T145,""),"")</f>
        <v/>
      </c>
      <c r="N151" s="474">
        <f>IFERROR(IF(DB_Customers!A145&lt;&gt;"",IF(DB_Customers!I145&gt;=10,"Active","Inactive"),""),"")</f>
        <v/>
      </c>
    </row>
    <row r="152" ht="18" customHeight="1" s="341">
      <c r="A152" s="461">
        <f>IF(DB_Customers!A146&lt;&gt;"",143,"")</f>
        <v/>
      </c>
      <c r="B152" s="462">
        <f>IFERROR(IF(DB_Customers!A146&lt;&gt;"",DB_Customers!A146,""),"")</f>
        <v/>
      </c>
      <c r="C152" s="463">
        <f>IFERROR(IF(DB_Customers!D146&lt;&gt;"",DB_Customers!D146,""),"")</f>
        <v/>
      </c>
      <c r="D152" s="464">
        <f>IFERROR(IF(DB_Customers!Q146&lt;&gt;"",DB_Customers!Q146,""),"")</f>
        <v/>
      </c>
      <c r="E152" s="463">
        <f>IFERROR(IF(DB_Customers!R146&lt;&gt;"",DB_Customers!R146,""),"")</f>
        <v/>
      </c>
      <c r="F152" s="463">
        <f>IFERROR(IF(DB_Customers!S146&lt;&gt;"",DB_Customers!S146,""),"")</f>
        <v/>
      </c>
      <c r="G152" s="463">
        <f>IFERROR(IF(DB_Customers!G146&lt;&gt;"",DB_Customers!G146,""),"")</f>
        <v/>
      </c>
      <c r="H152" s="465">
        <f>IFERROR(IF(DB_Customers!H146&lt;&gt;"",DB_Customers!H146,""),"")</f>
        <v/>
      </c>
      <c r="I152" s="466">
        <f>IFERROR(IF(DB_Customers!I146&lt;&gt;"",DB_Customers!I146,""),"")</f>
        <v/>
      </c>
      <c r="J152" s="464">
        <f>IFERROR(IF(DB_Customers!J146&lt;&gt;"",DB_Customers!J146,""),"")</f>
        <v/>
      </c>
      <c r="K152" s="463">
        <f>IFERROR(IF(DB_Customers!E146&lt;&gt;"",DB_Customers!E146,""),"")</f>
        <v/>
      </c>
      <c r="L152" s="463">
        <f>IFERROR(IF(DB_Customers!F146&lt;&gt;"",DB_Customers!F146,""),"")</f>
        <v/>
      </c>
      <c r="M152" s="463">
        <f>IFERROR(IF(DB_Customers!T146&lt;&gt;"",DB_Customers!T146,""),"")</f>
        <v/>
      </c>
      <c r="N152" s="467">
        <f>IFERROR(IF(DB_Customers!A146&lt;&gt;"",IF(DB_Customers!I146&gt;=10,"Active","Inactive"),""),"")</f>
        <v/>
      </c>
    </row>
    <row r="153" ht="18" customHeight="1" s="341">
      <c r="A153" s="468">
        <f>IF(DB_Customers!A147&lt;&gt;"",144,"")</f>
        <v/>
      </c>
      <c r="B153" s="469">
        <f>IFERROR(IF(DB_Customers!A147&lt;&gt;"",DB_Customers!A147,""),"")</f>
        <v/>
      </c>
      <c r="C153" s="470">
        <f>IFERROR(IF(DB_Customers!D147&lt;&gt;"",DB_Customers!D147,""),"")</f>
        <v/>
      </c>
      <c r="D153" s="471">
        <f>IFERROR(IF(DB_Customers!Q147&lt;&gt;"",DB_Customers!Q147,""),"")</f>
        <v/>
      </c>
      <c r="E153" s="470">
        <f>IFERROR(IF(DB_Customers!R147&lt;&gt;"",DB_Customers!R147,""),"")</f>
        <v/>
      </c>
      <c r="F153" s="470">
        <f>IFERROR(IF(DB_Customers!S147&lt;&gt;"",DB_Customers!S147,""),"")</f>
        <v/>
      </c>
      <c r="G153" s="470">
        <f>IFERROR(IF(DB_Customers!G147&lt;&gt;"",DB_Customers!G147,""),"")</f>
        <v/>
      </c>
      <c r="H153" s="472">
        <f>IFERROR(IF(DB_Customers!H147&lt;&gt;"",DB_Customers!H147,""),"")</f>
        <v/>
      </c>
      <c r="I153" s="473">
        <f>IFERROR(IF(DB_Customers!I147&lt;&gt;"",DB_Customers!I147,""),"")</f>
        <v/>
      </c>
      <c r="J153" s="471">
        <f>IFERROR(IF(DB_Customers!J147&lt;&gt;"",DB_Customers!J147,""),"")</f>
        <v/>
      </c>
      <c r="K153" s="470">
        <f>IFERROR(IF(DB_Customers!E147&lt;&gt;"",DB_Customers!E147,""),"")</f>
        <v/>
      </c>
      <c r="L153" s="470">
        <f>IFERROR(IF(DB_Customers!F147&lt;&gt;"",DB_Customers!F147,""),"")</f>
        <v/>
      </c>
      <c r="M153" s="470">
        <f>IFERROR(IF(DB_Customers!T147&lt;&gt;"",DB_Customers!T147,""),"")</f>
        <v/>
      </c>
      <c r="N153" s="474">
        <f>IFERROR(IF(DB_Customers!A147&lt;&gt;"",IF(DB_Customers!I147&gt;=10,"Active","Inactive"),""),"")</f>
        <v/>
      </c>
    </row>
    <row r="154" ht="18" customHeight="1" s="341">
      <c r="A154" s="461">
        <f>IF(DB_Customers!A148&lt;&gt;"",145,"")</f>
        <v/>
      </c>
      <c r="B154" s="462">
        <f>IFERROR(IF(DB_Customers!A148&lt;&gt;"",DB_Customers!A148,""),"")</f>
        <v/>
      </c>
      <c r="C154" s="463">
        <f>IFERROR(IF(DB_Customers!D148&lt;&gt;"",DB_Customers!D148,""),"")</f>
        <v/>
      </c>
      <c r="D154" s="464">
        <f>IFERROR(IF(DB_Customers!Q148&lt;&gt;"",DB_Customers!Q148,""),"")</f>
        <v/>
      </c>
      <c r="E154" s="463">
        <f>IFERROR(IF(DB_Customers!R148&lt;&gt;"",DB_Customers!R148,""),"")</f>
        <v/>
      </c>
      <c r="F154" s="463">
        <f>IFERROR(IF(DB_Customers!S148&lt;&gt;"",DB_Customers!S148,""),"")</f>
        <v/>
      </c>
      <c r="G154" s="463">
        <f>IFERROR(IF(DB_Customers!G148&lt;&gt;"",DB_Customers!G148,""),"")</f>
        <v/>
      </c>
      <c r="H154" s="465">
        <f>IFERROR(IF(DB_Customers!H148&lt;&gt;"",DB_Customers!H148,""),"")</f>
        <v/>
      </c>
      <c r="I154" s="466">
        <f>IFERROR(IF(DB_Customers!I148&lt;&gt;"",DB_Customers!I148,""),"")</f>
        <v/>
      </c>
      <c r="J154" s="464">
        <f>IFERROR(IF(DB_Customers!J148&lt;&gt;"",DB_Customers!J148,""),"")</f>
        <v/>
      </c>
      <c r="K154" s="463">
        <f>IFERROR(IF(DB_Customers!E148&lt;&gt;"",DB_Customers!E148,""),"")</f>
        <v/>
      </c>
      <c r="L154" s="463">
        <f>IFERROR(IF(DB_Customers!F148&lt;&gt;"",DB_Customers!F148,""),"")</f>
        <v/>
      </c>
      <c r="M154" s="463">
        <f>IFERROR(IF(DB_Customers!T148&lt;&gt;"",DB_Customers!T148,""),"")</f>
        <v/>
      </c>
      <c r="N154" s="467">
        <f>IFERROR(IF(DB_Customers!A148&lt;&gt;"",IF(DB_Customers!I148&gt;=10,"Active","Inactive"),""),"")</f>
        <v/>
      </c>
    </row>
    <row r="155" ht="18" customHeight="1" s="341">
      <c r="A155" s="468">
        <f>IF(DB_Customers!A149&lt;&gt;"",146,"")</f>
        <v/>
      </c>
      <c r="B155" s="469">
        <f>IFERROR(IF(DB_Customers!A149&lt;&gt;"",DB_Customers!A149,""),"")</f>
        <v/>
      </c>
      <c r="C155" s="470">
        <f>IFERROR(IF(DB_Customers!D149&lt;&gt;"",DB_Customers!D149,""),"")</f>
        <v/>
      </c>
      <c r="D155" s="471">
        <f>IFERROR(IF(DB_Customers!Q149&lt;&gt;"",DB_Customers!Q149,""),"")</f>
        <v/>
      </c>
      <c r="E155" s="470">
        <f>IFERROR(IF(DB_Customers!R149&lt;&gt;"",DB_Customers!R149,""),"")</f>
        <v/>
      </c>
      <c r="F155" s="470">
        <f>IFERROR(IF(DB_Customers!S149&lt;&gt;"",DB_Customers!S149,""),"")</f>
        <v/>
      </c>
      <c r="G155" s="470">
        <f>IFERROR(IF(DB_Customers!G149&lt;&gt;"",DB_Customers!G149,""),"")</f>
        <v/>
      </c>
      <c r="H155" s="472">
        <f>IFERROR(IF(DB_Customers!H149&lt;&gt;"",DB_Customers!H149,""),"")</f>
        <v/>
      </c>
      <c r="I155" s="473">
        <f>IFERROR(IF(DB_Customers!I149&lt;&gt;"",DB_Customers!I149,""),"")</f>
        <v/>
      </c>
      <c r="J155" s="471">
        <f>IFERROR(IF(DB_Customers!J149&lt;&gt;"",DB_Customers!J149,""),"")</f>
        <v/>
      </c>
      <c r="K155" s="470">
        <f>IFERROR(IF(DB_Customers!E149&lt;&gt;"",DB_Customers!E149,""),"")</f>
        <v/>
      </c>
      <c r="L155" s="470">
        <f>IFERROR(IF(DB_Customers!F149&lt;&gt;"",DB_Customers!F149,""),"")</f>
        <v/>
      </c>
      <c r="M155" s="470">
        <f>IFERROR(IF(DB_Customers!T149&lt;&gt;"",DB_Customers!T149,""),"")</f>
        <v/>
      </c>
      <c r="N155" s="474">
        <f>IFERROR(IF(DB_Customers!A149&lt;&gt;"",IF(DB_Customers!I149&gt;=10,"Active","Inactive"),""),"")</f>
        <v/>
      </c>
    </row>
    <row r="156" ht="18" customHeight="1" s="341">
      <c r="A156" s="461">
        <f>IF(DB_Customers!A150&lt;&gt;"",147,"")</f>
        <v/>
      </c>
      <c r="B156" s="462">
        <f>IFERROR(IF(DB_Customers!A150&lt;&gt;"",DB_Customers!A150,""),"")</f>
        <v/>
      </c>
      <c r="C156" s="463">
        <f>IFERROR(IF(DB_Customers!D150&lt;&gt;"",DB_Customers!D150,""),"")</f>
        <v/>
      </c>
      <c r="D156" s="464">
        <f>IFERROR(IF(DB_Customers!Q150&lt;&gt;"",DB_Customers!Q150,""),"")</f>
        <v/>
      </c>
      <c r="E156" s="463">
        <f>IFERROR(IF(DB_Customers!R150&lt;&gt;"",DB_Customers!R150,""),"")</f>
        <v/>
      </c>
      <c r="F156" s="463">
        <f>IFERROR(IF(DB_Customers!S150&lt;&gt;"",DB_Customers!S150,""),"")</f>
        <v/>
      </c>
      <c r="G156" s="463">
        <f>IFERROR(IF(DB_Customers!G150&lt;&gt;"",DB_Customers!G150,""),"")</f>
        <v/>
      </c>
      <c r="H156" s="465">
        <f>IFERROR(IF(DB_Customers!H150&lt;&gt;"",DB_Customers!H150,""),"")</f>
        <v/>
      </c>
      <c r="I156" s="466">
        <f>IFERROR(IF(DB_Customers!I150&lt;&gt;"",DB_Customers!I150,""),"")</f>
        <v/>
      </c>
      <c r="J156" s="464">
        <f>IFERROR(IF(DB_Customers!J150&lt;&gt;"",DB_Customers!J150,""),"")</f>
        <v/>
      </c>
      <c r="K156" s="463">
        <f>IFERROR(IF(DB_Customers!E150&lt;&gt;"",DB_Customers!E150,""),"")</f>
        <v/>
      </c>
      <c r="L156" s="463">
        <f>IFERROR(IF(DB_Customers!F150&lt;&gt;"",DB_Customers!F150,""),"")</f>
        <v/>
      </c>
      <c r="M156" s="463">
        <f>IFERROR(IF(DB_Customers!T150&lt;&gt;"",DB_Customers!T150,""),"")</f>
        <v/>
      </c>
      <c r="N156" s="467">
        <f>IFERROR(IF(DB_Customers!A150&lt;&gt;"",IF(DB_Customers!I150&gt;=10,"Active","Inactive"),""),"")</f>
        <v/>
      </c>
    </row>
    <row r="157" ht="18" customHeight="1" s="341">
      <c r="A157" s="468">
        <f>IF(DB_Customers!A151&lt;&gt;"",148,"")</f>
        <v/>
      </c>
      <c r="B157" s="469">
        <f>IFERROR(IF(DB_Customers!A151&lt;&gt;"",DB_Customers!A151,""),"")</f>
        <v/>
      </c>
      <c r="C157" s="470">
        <f>IFERROR(IF(DB_Customers!D151&lt;&gt;"",DB_Customers!D151,""),"")</f>
        <v/>
      </c>
      <c r="D157" s="471">
        <f>IFERROR(IF(DB_Customers!Q151&lt;&gt;"",DB_Customers!Q151,""),"")</f>
        <v/>
      </c>
      <c r="E157" s="470">
        <f>IFERROR(IF(DB_Customers!R151&lt;&gt;"",DB_Customers!R151,""),"")</f>
        <v/>
      </c>
      <c r="F157" s="470">
        <f>IFERROR(IF(DB_Customers!S151&lt;&gt;"",DB_Customers!S151,""),"")</f>
        <v/>
      </c>
      <c r="G157" s="470">
        <f>IFERROR(IF(DB_Customers!G151&lt;&gt;"",DB_Customers!G151,""),"")</f>
        <v/>
      </c>
      <c r="H157" s="472">
        <f>IFERROR(IF(DB_Customers!H151&lt;&gt;"",DB_Customers!H151,""),"")</f>
        <v/>
      </c>
      <c r="I157" s="473">
        <f>IFERROR(IF(DB_Customers!I151&lt;&gt;"",DB_Customers!I151,""),"")</f>
        <v/>
      </c>
      <c r="J157" s="471">
        <f>IFERROR(IF(DB_Customers!J151&lt;&gt;"",DB_Customers!J151,""),"")</f>
        <v/>
      </c>
      <c r="K157" s="470">
        <f>IFERROR(IF(DB_Customers!E151&lt;&gt;"",DB_Customers!E151,""),"")</f>
        <v/>
      </c>
      <c r="L157" s="470">
        <f>IFERROR(IF(DB_Customers!F151&lt;&gt;"",DB_Customers!F151,""),"")</f>
        <v/>
      </c>
      <c r="M157" s="470">
        <f>IFERROR(IF(DB_Customers!T151&lt;&gt;"",DB_Customers!T151,""),"")</f>
        <v/>
      </c>
      <c r="N157" s="474">
        <f>IFERROR(IF(DB_Customers!A151&lt;&gt;"",IF(DB_Customers!I151&gt;=10,"Active","Inactive"),""),"")</f>
        <v/>
      </c>
    </row>
    <row r="158" ht="18" customHeight="1" s="341">
      <c r="A158" s="461">
        <f>IF(DB_Customers!A152&lt;&gt;"",149,"")</f>
        <v/>
      </c>
      <c r="B158" s="462">
        <f>IFERROR(IF(DB_Customers!A152&lt;&gt;"",DB_Customers!A152,""),"")</f>
        <v/>
      </c>
      <c r="C158" s="463">
        <f>IFERROR(IF(DB_Customers!D152&lt;&gt;"",DB_Customers!D152,""),"")</f>
        <v/>
      </c>
      <c r="D158" s="464">
        <f>IFERROR(IF(DB_Customers!Q152&lt;&gt;"",DB_Customers!Q152,""),"")</f>
        <v/>
      </c>
      <c r="E158" s="463">
        <f>IFERROR(IF(DB_Customers!R152&lt;&gt;"",DB_Customers!R152,""),"")</f>
        <v/>
      </c>
      <c r="F158" s="463">
        <f>IFERROR(IF(DB_Customers!S152&lt;&gt;"",DB_Customers!S152,""),"")</f>
        <v/>
      </c>
      <c r="G158" s="463">
        <f>IFERROR(IF(DB_Customers!G152&lt;&gt;"",DB_Customers!G152,""),"")</f>
        <v/>
      </c>
      <c r="H158" s="465">
        <f>IFERROR(IF(DB_Customers!H152&lt;&gt;"",DB_Customers!H152,""),"")</f>
        <v/>
      </c>
      <c r="I158" s="466">
        <f>IFERROR(IF(DB_Customers!I152&lt;&gt;"",DB_Customers!I152,""),"")</f>
        <v/>
      </c>
      <c r="J158" s="464">
        <f>IFERROR(IF(DB_Customers!J152&lt;&gt;"",DB_Customers!J152,""),"")</f>
        <v/>
      </c>
      <c r="K158" s="463">
        <f>IFERROR(IF(DB_Customers!E152&lt;&gt;"",DB_Customers!E152,""),"")</f>
        <v/>
      </c>
      <c r="L158" s="463">
        <f>IFERROR(IF(DB_Customers!F152&lt;&gt;"",DB_Customers!F152,""),"")</f>
        <v/>
      </c>
      <c r="M158" s="463">
        <f>IFERROR(IF(DB_Customers!T152&lt;&gt;"",DB_Customers!T152,""),"")</f>
        <v/>
      </c>
      <c r="N158" s="467">
        <f>IFERROR(IF(DB_Customers!A152&lt;&gt;"",IF(DB_Customers!I152&gt;=10,"Active","Inactive"),""),"")</f>
        <v/>
      </c>
    </row>
    <row r="159" ht="18" customHeight="1" s="341">
      <c r="A159" s="468">
        <f>IF(DB_Customers!A153&lt;&gt;"",150,"")</f>
        <v/>
      </c>
      <c r="B159" s="469">
        <f>IFERROR(IF(DB_Customers!A153&lt;&gt;"",DB_Customers!A153,""),"")</f>
        <v/>
      </c>
      <c r="C159" s="470">
        <f>IFERROR(IF(DB_Customers!D153&lt;&gt;"",DB_Customers!D153,""),"")</f>
        <v/>
      </c>
      <c r="D159" s="471">
        <f>IFERROR(IF(DB_Customers!Q153&lt;&gt;"",DB_Customers!Q153,""),"")</f>
        <v/>
      </c>
      <c r="E159" s="470">
        <f>IFERROR(IF(DB_Customers!R153&lt;&gt;"",DB_Customers!R153,""),"")</f>
        <v/>
      </c>
      <c r="F159" s="470">
        <f>IFERROR(IF(DB_Customers!S153&lt;&gt;"",DB_Customers!S153,""),"")</f>
        <v/>
      </c>
      <c r="G159" s="470">
        <f>IFERROR(IF(DB_Customers!G153&lt;&gt;"",DB_Customers!G153,""),"")</f>
        <v/>
      </c>
      <c r="H159" s="472">
        <f>IFERROR(IF(DB_Customers!H153&lt;&gt;"",DB_Customers!H153,""),"")</f>
        <v/>
      </c>
      <c r="I159" s="473">
        <f>IFERROR(IF(DB_Customers!I153&lt;&gt;"",DB_Customers!I153,""),"")</f>
        <v/>
      </c>
      <c r="J159" s="471">
        <f>IFERROR(IF(DB_Customers!J153&lt;&gt;"",DB_Customers!J153,""),"")</f>
        <v/>
      </c>
      <c r="K159" s="470">
        <f>IFERROR(IF(DB_Customers!E153&lt;&gt;"",DB_Customers!E153,""),"")</f>
        <v/>
      </c>
      <c r="L159" s="470">
        <f>IFERROR(IF(DB_Customers!F153&lt;&gt;"",DB_Customers!F153,""),"")</f>
        <v/>
      </c>
      <c r="M159" s="470">
        <f>IFERROR(IF(DB_Customers!T153&lt;&gt;"",DB_Customers!T153,""),"")</f>
        <v/>
      </c>
      <c r="N159" s="474">
        <f>IFERROR(IF(DB_Customers!A153&lt;&gt;"",IF(DB_Customers!I153&gt;=10,"Active","Inactive"),""),"")</f>
        <v/>
      </c>
    </row>
    <row r="160" ht="18" customHeight="1" s="341">
      <c r="A160" s="461">
        <f>IF(DB_Customers!A154&lt;&gt;"",151,"")</f>
        <v/>
      </c>
      <c r="B160" s="462">
        <f>IFERROR(IF(DB_Customers!A154&lt;&gt;"",DB_Customers!A154,""),"")</f>
        <v/>
      </c>
      <c r="C160" s="463">
        <f>IFERROR(IF(DB_Customers!D154&lt;&gt;"",DB_Customers!D154,""),"")</f>
        <v/>
      </c>
      <c r="D160" s="464">
        <f>IFERROR(IF(DB_Customers!Q154&lt;&gt;"",DB_Customers!Q154,""),"")</f>
        <v/>
      </c>
      <c r="E160" s="463">
        <f>IFERROR(IF(DB_Customers!R154&lt;&gt;"",DB_Customers!R154,""),"")</f>
        <v/>
      </c>
      <c r="F160" s="463">
        <f>IFERROR(IF(DB_Customers!S154&lt;&gt;"",DB_Customers!S154,""),"")</f>
        <v/>
      </c>
      <c r="G160" s="463">
        <f>IFERROR(IF(DB_Customers!G154&lt;&gt;"",DB_Customers!G154,""),"")</f>
        <v/>
      </c>
      <c r="H160" s="465">
        <f>IFERROR(IF(DB_Customers!H154&lt;&gt;"",DB_Customers!H154,""),"")</f>
        <v/>
      </c>
      <c r="I160" s="466">
        <f>IFERROR(IF(DB_Customers!I154&lt;&gt;"",DB_Customers!I154,""),"")</f>
        <v/>
      </c>
      <c r="J160" s="464">
        <f>IFERROR(IF(DB_Customers!J154&lt;&gt;"",DB_Customers!J154,""),"")</f>
        <v/>
      </c>
      <c r="K160" s="463">
        <f>IFERROR(IF(DB_Customers!E154&lt;&gt;"",DB_Customers!E154,""),"")</f>
        <v/>
      </c>
      <c r="L160" s="463">
        <f>IFERROR(IF(DB_Customers!F154&lt;&gt;"",DB_Customers!F154,""),"")</f>
        <v/>
      </c>
      <c r="M160" s="463">
        <f>IFERROR(IF(DB_Customers!T154&lt;&gt;"",DB_Customers!T154,""),"")</f>
        <v/>
      </c>
      <c r="N160" s="467">
        <f>IFERROR(IF(DB_Customers!A154&lt;&gt;"",IF(DB_Customers!I154&gt;=10,"Active","Inactive"),""),"")</f>
        <v/>
      </c>
    </row>
    <row r="161" ht="18" customHeight="1" s="341">
      <c r="A161" s="468">
        <f>IF(DB_Customers!A155&lt;&gt;"",152,"")</f>
        <v/>
      </c>
      <c r="B161" s="469">
        <f>IFERROR(IF(DB_Customers!A155&lt;&gt;"",DB_Customers!A155,""),"")</f>
        <v/>
      </c>
      <c r="C161" s="470">
        <f>IFERROR(IF(DB_Customers!D155&lt;&gt;"",DB_Customers!D155,""),"")</f>
        <v/>
      </c>
      <c r="D161" s="471">
        <f>IFERROR(IF(DB_Customers!Q155&lt;&gt;"",DB_Customers!Q155,""),"")</f>
        <v/>
      </c>
      <c r="E161" s="470">
        <f>IFERROR(IF(DB_Customers!R155&lt;&gt;"",DB_Customers!R155,""),"")</f>
        <v/>
      </c>
      <c r="F161" s="470">
        <f>IFERROR(IF(DB_Customers!S155&lt;&gt;"",DB_Customers!S155,""),"")</f>
        <v/>
      </c>
      <c r="G161" s="470">
        <f>IFERROR(IF(DB_Customers!G155&lt;&gt;"",DB_Customers!G155,""),"")</f>
        <v/>
      </c>
      <c r="H161" s="472">
        <f>IFERROR(IF(DB_Customers!H155&lt;&gt;"",DB_Customers!H155,""),"")</f>
        <v/>
      </c>
      <c r="I161" s="473">
        <f>IFERROR(IF(DB_Customers!I155&lt;&gt;"",DB_Customers!I155,""),"")</f>
        <v/>
      </c>
      <c r="J161" s="471">
        <f>IFERROR(IF(DB_Customers!J155&lt;&gt;"",DB_Customers!J155,""),"")</f>
        <v/>
      </c>
      <c r="K161" s="470">
        <f>IFERROR(IF(DB_Customers!E155&lt;&gt;"",DB_Customers!E155,""),"")</f>
        <v/>
      </c>
      <c r="L161" s="470">
        <f>IFERROR(IF(DB_Customers!F155&lt;&gt;"",DB_Customers!F155,""),"")</f>
        <v/>
      </c>
      <c r="M161" s="470">
        <f>IFERROR(IF(DB_Customers!T155&lt;&gt;"",DB_Customers!T155,""),"")</f>
        <v/>
      </c>
      <c r="N161" s="474">
        <f>IFERROR(IF(DB_Customers!A155&lt;&gt;"",IF(DB_Customers!I155&gt;=10,"Active","Inactive"),""),"")</f>
        <v/>
      </c>
    </row>
    <row r="162" ht="18" customHeight="1" s="341">
      <c r="A162" s="461">
        <f>IF(DB_Customers!A156&lt;&gt;"",153,"")</f>
        <v/>
      </c>
      <c r="B162" s="462">
        <f>IFERROR(IF(DB_Customers!A156&lt;&gt;"",DB_Customers!A156,""),"")</f>
        <v/>
      </c>
      <c r="C162" s="463">
        <f>IFERROR(IF(DB_Customers!D156&lt;&gt;"",DB_Customers!D156,""),"")</f>
        <v/>
      </c>
      <c r="D162" s="464">
        <f>IFERROR(IF(DB_Customers!Q156&lt;&gt;"",DB_Customers!Q156,""),"")</f>
        <v/>
      </c>
      <c r="E162" s="463">
        <f>IFERROR(IF(DB_Customers!R156&lt;&gt;"",DB_Customers!R156,""),"")</f>
        <v/>
      </c>
      <c r="F162" s="463">
        <f>IFERROR(IF(DB_Customers!S156&lt;&gt;"",DB_Customers!S156,""),"")</f>
        <v/>
      </c>
      <c r="G162" s="463">
        <f>IFERROR(IF(DB_Customers!G156&lt;&gt;"",DB_Customers!G156,""),"")</f>
        <v/>
      </c>
      <c r="H162" s="465">
        <f>IFERROR(IF(DB_Customers!H156&lt;&gt;"",DB_Customers!H156,""),"")</f>
        <v/>
      </c>
      <c r="I162" s="466">
        <f>IFERROR(IF(DB_Customers!I156&lt;&gt;"",DB_Customers!I156,""),"")</f>
        <v/>
      </c>
      <c r="J162" s="464">
        <f>IFERROR(IF(DB_Customers!J156&lt;&gt;"",DB_Customers!J156,""),"")</f>
        <v/>
      </c>
      <c r="K162" s="463">
        <f>IFERROR(IF(DB_Customers!E156&lt;&gt;"",DB_Customers!E156,""),"")</f>
        <v/>
      </c>
      <c r="L162" s="463">
        <f>IFERROR(IF(DB_Customers!F156&lt;&gt;"",DB_Customers!F156,""),"")</f>
        <v/>
      </c>
      <c r="M162" s="463">
        <f>IFERROR(IF(DB_Customers!T156&lt;&gt;"",DB_Customers!T156,""),"")</f>
        <v/>
      </c>
      <c r="N162" s="467">
        <f>IFERROR(IF(DB_Customers!A156&lt;&gt;"",IF(DB_Customers!I156&gt;=10,"Active","Inactive"),""),"")</f>
        <v/>
      </c>
    </row>
    <row r="163" ht="18" customHeight="1" s="341">
      <c r="A163" s="468">
        <f>IF(DB_Customers!A157&lt;&gt;"",154,"")</f>
        <v/>
      </c>
      <c r="B163" s="469">
        <f>IFERROR(IF(DB_Customers!A157&lt;&gt;"",DB_Customers!A157,""),"")</f>
        <v/>
      </c>
      <c r="C163" s="470">
        <f>IFERROR(IF(DB_Customers!D157&lt;&gt;"",DB_Customers!D157,""),"")</f>
        <v/>
      </c>
      <c r="D163" s="471">
        <f>IFERROR(IF(DB_Customers!Q157&lt;&gt;"",DB_Customers!Q157,""),"")</f>
        <v/>
      </c>
      <c r="E163" s="470">
        <f>IFERROR(IF(DB_Customers!R157&lt;&gt;"",DB_Customers!R157,""),"")</f>
        <v/>
      </c>
      <c r="F163" s="470">
        <f>IFERROR(IF(DB_Customers!S157&lt;&gt;"",DB_Customers!S157,""),"")</f>
        <v/>
      </c>
      <c r="G163" s="470">
        <f>IFERROR(IF(DB_Customers!G157&lt;&gt;"",DB_Customers!G157,""),"")</f>
        <v/>
      </c>
      <c r="H163" s="472">
        <f>IFERROR(IF(DB_Customers!H157&lt;&gt;"",DB_Customers!H157,""),"")</f>
        <v/>
      </c>
      <c r="I163" s="473">
        <f>IFERROR(IF(DB_Customers!I157&lt;&gt;"",DB_Customers!I157,""),"")</f>
        <v/>
      </c>
      <c r="J163" s="471">
        <f>IFERROR(IF(DB_Customers!J157&lt;&gt;"",DB_Customers!J157,""),"")</f>
        <v/>
      </c>
      <c r="K163" s="470">
        <f>IFERROR(IF(DB_Customers!E157&lt;&gt;"",DB_Customers!E157,""),"")</f>
        <v/>
      </c>
      <c r="L163" s="470">
        <f>IFERROR(IF(DB_Customers!F157&lt;&gt;"",DB_Customers!F157,""),"")</f>
        <v/>
      </c>
      <c r="M163" s="470">
        <f>IFERROR(IF(DB_Customers!T157&lt;&gt;"",DB_Customers!T157,""),"")</f>
        <v/>
      </c>
      <c r="N163" s="474">
        <f>IFERROR(IF(DB_Customers!A157&lt;&gt;"",IF(DB_Customers!I157&gt;=10,"Active","Inactive"),""),"")</f>
        <v/>
      </c>
    </row>
    <row r="164" ht="18" customHeight="1" s="341">
      <c r="A164" s="461">
        <f>IF(DB_Customers!A158&lt;&gt;"",155,"")</f>
        <v/>
      </c>
      <c r="B164" s="462">
        <f>IFERROR(IF(DB_Customers!A158&lt;&gt;"",DB_Customers!A158,""),"")</f>
        <v/>
      </c>
      <c r="C164" s="463">
        <f>IFERROR(IF(DB_Customers!D158&lt;&gt;"",DB_Customers!D158,""),"")</f>
        <v/>
      </c>
      <c r="D164" s="464">
        <f>IFERROR(IF(DB_Customers!Q158&lt;&gt;"",DB_Customers!Q158,""),"")</f>
        <v/>
      </c>
      <c r="E164" s="463">
        <f>IFERROR(IF(DB_Customers!R158&lt;&gt;"",DB_Customers!R158,""),"")</f>
        <v/>
      </c>
      <c r="F164" s="463">
        <f>IFERROR(IF(DB_Customers!S158&lt;&gt;"",DB_Customers!S158,""),"")</f>
        <v/>
      </c>
      <c r="G164" s="463">
        <f>IFERROR(IF(DB_Customers!G158&lt;&gt;"",DB_Customers!G158,""),"")</f>
        <v/>
      </c>
      <c r="H164" s="465">
        <f>IFERROR(IF(DB_Customers!H158&lt;&gt;"",DB_Customers!H158,""),"")</f>
        <v/>
      </c>
      <c r="I164" s="466">
        <f>IFERROR(IF(DB_Customers!I158&lt;&gt;"",DB_Customers!I158,""),"")</f>
        <v/>
      </c>
      <c r="J164" s="464">
        <f>IFERROR(IF(DB_Customers!J158&lt;&gt;"",DB_Customers!J158,""),"")</f>
        <v/>
      </c>
      <c r="K164" s="463">
        <f>IFERROR(IF(DB_Customers!E158&lt;&gt;"",DB_Customers!E158,""),"")</f>
        <v/>
      </c>
      <c r="L164" s="463">
        <f>IFERROR(IF(DB_Customers!F158&lt;&gt;"",DB_Customers!F158,""),"")</f>
        <v/>
      </c>
      <c r="M164" s="463">
        <f>IFERROR(IF(DB_Customers!T158&lt;&gt;"",DB_Customers!T158,""),"")</f>
        <v/>
      </c>
      <c r="N164" s="467">
        <f>IFERROR(IF(DB_Customers!A158&lt;&gt;"",IF(DB_Customers!I158&gt;=10,"Active","Inactive"),""),"")</f>
        <v/>
      </c>
    </row>
    <row r="165" ht="18" customHeight="1" s="341">
      <c r="A165" s="468">
        <f>IF(DB_Customers!A159&lt;&gt;"",156,"")</f>
        <v/>
      </c>
      <c r="B165" s="469">
        <f>IFERROR(IF(DB_Customers!A159&lt;&gt;"",DB_Customers!A159,""),"")</f>
        <v/>
      </c>
      <c r="C165" s="470">
        <f>IFERROR(IF(DB_Customers!D159&lt;&gt;"",DB_Customers!D159,""),"")</f>
        <v/>
      </c>
      <c r="D165" s="471">
        <f>IFERROR(IF(DB_Customers!Q159&lt;&gt;"",DB_Customers!Q159,""),"")</f>
        <v/>
      </c>
      <c r="E165" s="470">
        <f>IFERROR(IF(DB_Customers!R159&lt;&gt;"",DB_Customers!R159,""),"")</f>
        <v/>
      </c>
      <c r="F165" s="470">
        <f>IFERROR(IF(DB_Customers!S159&lt;&gt;"",DB_Customers!S159,""),"")</f>
        <v/>
      </c>
      <c r="G165" s="470">
        <f>IFERROR(IF(DB_Customers!G159&lt;&gt;"",DB_Customers!G159,""),"")</f>
        <v/>
      </c>
      <c r="H165" s="472">
        <f>IFERROR(IF(DB_Customers!H159&lt;&gt;"",DB_Customers!H159,""),"")</f>
        <v/>
      </c>
      <c r="I165" s="473">
        <f>IFERROR(IF(DB_Customers!I159&lt;&gt;"",DB_Customers!I159,""),"")</f>
        <v/>
      </c>
      <c r="J165" s="471">
        <f>IFERROR(IF(DB_Customers!J159&lt;&gt;"",DB_Customers!J159,""),"")</f>
        <v/>
      </c>
      <c r="K165" s="470">
        <f>IFERROR(IF(DB_Customers!E159&lt;&gt;"",DB_Customers!E159,""),"")</f>
        <v/>
      </c>
      <c r="L165" s="470">
        <f>IFERROR(IF(DB_Customers!F159&lt;&gt;"",DB_Customers!F159,""),"")</f>
        <v/>
      </c>
      <c r="M165" s="470">
        <f>IFERROR(IF(DB_Customers!T159&lt;&gt;"",DB_Customers!T159,""),"")</f>
        <v/>
      </c>
      <c r="N165" s="474">
        <f>IFERROR(IF(DB_Customers!A159&lt;&gt;"",IF(DB_Customers!I159&gt;=10,"Active","Inactive"),""),"")</f>
        <v/>
      </c>
    </row>
    <row r="166" ht="18" customHeight="1" s="341">
      <c r="A166" s="461">
        <f>IF(DB_Customers!A160&lt;&gt;"",157,"")</f>
        <v/>
      </c>
      <c r="B166" s="462">
        <f>IFERROR(IF(DB_Customers!A160&lt;&gt;"",DB_Customers!A160,""),"")</f>
        <v/>
      </c>
      <c r="C166" s="463">
        <f>IFERROR(IF(DB_Customers!D160&lt;&gt;"",DB_Customers!D160,""),"")</f>
        <v/>
      </c>
      <c r="D166" s="464">
        <f>IFERROR(IF(DB_Customers!Q160&lt;&gt;"",DB_Customers!Q160,""),"")</f>
        <v/>
      </c>
      <c r="E166" s="463">
        <f>IFERROR(IF(DB_Customers!R160&lt;&gt;"",DB_Customers!R160,""),"")</f>
        <v/>
      </c>
      <c r="F166" s="463">
        <f>IFERROR(IF(DB_Customers!S160&lt;&gt;"",DB_Customers!S160,""),"")</f>
        <v/>
      </c>
      <c r="G166" s="463">
        <f>IFERROR(IF(DB_Customers!G160&lt;&gt;"",DB_Customers!G160,""),"")</f>
        <v/>
      </c>
      <c r="H166" s="465">
        <f>IFERROR(IF(DB_Customers!H160&lt;&gt;"",DB_Customers!H160,""),"")</f>
        <v/>
      </c>
      <c r="I166" s="466">
        <f>IFERROR(IF(DB_Customers!I160&lt;&gt;"",DB_Customers!I160,""),"")</f>
        <v/>
      </c>
      <c r="J166" s="464">
        <f>IFERROR(IF(DB_Customers!J160&lt;&gt;"",DB_Customers!J160,""),"")</f>
        <v/>
      </c>
      <c r="K166" s="463">
        <f>IFERROR(IF(DB_Customers!E160&lt;&gt;"",DB_Customers!E160,""),"")</f>
        <v/>
      </c>
      <c r="L166" s="463">
        <f>IFERROR(IF(DB_Customers!F160&lt;&gt;"",DB_Customers!F160,""),"")</f>
        <v/>
      </c>
      <c r="M166" s="463">
        <f>IFERROR(IF(DB_Customers!T160&lt;&gt;"",DB_Customers!T160,""),"")</f>
        <v/>
      </c>
      <c r="N166" s="467">
        <f>IFERROR(IF(DB_Customers!A160&lt;&gt;"",IF(DB_Customers!I160&gt;=10,"Active","Inactive"),""),"")</f>
        <v/>
      </c>
    </row>
    <row r="167" ht="18" customHeight="1" s="341">
      <c r="A167" s="468">
        <f>IF(DB_Customers!A161&lt;&gt;"",158,"")</f>
        <v/>
      </c>
      <c r="B167" s="469">
        <f>IFERROR(IF(DB_Customers!A161&lt;&gt;"",DB_Customers!A161,""),"")</f>
        <v/>
      </c>
      <c r="C167" s="470">
        <f>IFERROR(IF(DB_Customers!D161&lt;&gt;"",DB_Customers!D161,""),"")</f>
        <v/>
      </c>
      <c r="D167" s="471">
        <f>IFERROR(IF(DB_Customers!Q161&lt;&gt;"",DB_Customers!Q161,""),"")</f>
        <v/>
      </c>
      <c r="E167" s="470">
        <f>IFERROR(IF(DB_Customers!R161&lt;&gt;"",DB_Customers!R161,""),"")</f>
        <v/>
      </c>
      <c r="F167" s="470">
        <f>IFERROR(IF(DB_Customers!S161&lt;&gt;"",DB_Customers!S161,""),"")</f>
        <v/>
      </c>
      <c r="G167" s="470">
        <f>IFERROR(IF(DB_Customers!G161&lt;&gt;"",DB_Customers!G161,""),"")</f>
        <v/>
      </c>
      <c r="H167" s="472">
        <f>IFERROR(IF(DB_Customers!H161&lt;&gt;"",DB_Customers!H161,""),"")</f>
        <v/>
      </c>
      <c r="I167" s="473">
        <f>IFERROR(IF(DB_Customers!I161&lt;&gt;"",DB_Customers!I161,""),"")</f>
        <v/>
      </c>
      <c r="J167" s="471">
        <f>IFERROR(IF(DB_Customers!J161&lt;&gt;"",DB_Customers!J161,""),"")</f>
        <v/>
      </c>
      <c r="K167" s="470">
        <f>IFERROR(IF(DB_Customers!E161&lt;&gt;"",DB_Customers!E161,""),"")</f>
        <v/>
      </c>
      <c r="L167" s="470">
        <f>IFERROR(IF(DB_Customers!F161&lt;&gt;"",DB_Customers!F161,""),"")</f>
        <v/>
      </c>
      <c r="M167" s="470">
        <f>IFERROR(IF(DB_Customers!T161&lt;&gt;"",DB_Customers!T161,""),"")</f>
        <v/>
      </c>
      <c r="N167" s="474">
        <f>IFERROR(IF(DB_Customers!A161&lt;&gt;"",IF(DB_Customers!I161&gt;=10,"Active","Inactive"),""),"")</f>
        <v/>
      </c>
    </row>
    <row r="168" ht="18" customHeight="1" s="341">
      <c r="A168" s="461">
        <f>IF(DB_Customers!A162&lt;&gt;"",159,"")</f>
        <v/>
      </c>
      <c r="B168" s="462">
        <f>IFERROR(IF(DB_Customers!A162&lt;&gt;"",DB_Customers!A162,""),"")</f>
        <v/>
      </c>
      <c r="C168" s="463">
        <f>IFERROR(IF(DB_Customers!D162&lt;&gt;"",DB_Customers!D162,""),"")</f>
        <v/>
      </c>
      <c r="D168" s="464">
        <f>IFERROR(IF(DB_Customers!Q162&lt;&gt;"",DB_Customers!Q162,""),"")</f>
        <v/>
      </c>
      <c r="E168" s="463">
        <f>IFERROR(IF(DB_Customers!R162&lt;&gt;"",DB_Customers!R162,""),"")</f>
        <v/>
      </c>
      <c r="F168" s="463">
        <f>IFERROR(IF(DB_Customers!S162&lt;&gt;"",DB_Customers!S162,""),"")</f>
        <v/>
      </c>
      <c r="G168" s="463">
        <f>IFERROR(IF(DB_Customers!G162&lt;&gt;"",DB_Customers!G162,""),"")</f>
        <v/>
      </c>
      <c r="H168" s="465">
        <f>IFERROR(IF(DB_Customers!H162&lt;&gt;"",DB_Customers!H162,""),"")</f>
        <v/>
      </c>
      <c r="I168" s="466">
        <f>IFERROR(IF(DB_Customers!I162&lt;&gt;"",DB_Customers!I162,""),"")</f>
        <v/>
      </c>
      <c r="J168" s="464">
        <f>IFERROR(IF(DB_Customers!J162&lt;&gt;"",DB_Customers!J162,""),"")</f>
        <v/>
      </c>
      <c r="K168" s="463">
        <f>IFERROR(IF(DB_Customers!E162&lt;&gt;"",DB_Customers!E162,""),"")</f>
        <v/>
      </c>
      <c r="L168" s="463">
        <f>IFERROR(IF(DB_Customers!F162&lt;&gt;"",DB_Customers!F162,""),"")</f>
        <v/>
      </c>
      <c r="M168" s="463">
        <f>IFERROR(IF(DB_Customers!T162&lt;&gt;"",DB_Customers!T162,""),"")</f>
        <v/>
      </c>
      <c r="N168" s="467">
        <f>IFERROR(IF(DB_Customers!A162&lt;&gt;"",IF(DB_Customers!I162&gt;=10,"Active","Inactive"),""),"")</f>
        <v/>
      </c>
    </row>
    <row r="169" ht="18" customHeight="1" s="341">
      <c r="A169" s="468">
        <f>IF(DB_Customers!A163&lt;&gt;"",160,"")</f>
        <v/>
      </c>
      <c r="B169" s="469">
        <f>IFERROR(IF(DB_Customers!A163&lt;&gt;"",DB_Customers!A163,""),"")</f>
        <v/>
      </c>
      <c r="C169" s="470">
        <f>IFERROR(IF(DB_Customers!D163&lt;&gt;"",DB_Customers!D163,""),"")</f>
        <v/>
      </c>
      <c r="D169" s="471">
        <f>IFERROR(IF(DB_Customers!Q163&lt;&gt;"",DB_Customers!Q163,""),"")</f>
        <v/>
      </c>
      <c r="E169" s="470">
        <f>IFERROR(IF(DB_Customers!R163&lt;&gt;"",DB_Customers!R163,""),"")</f>
        <v/>
      </c>
      <c r="F169" s="470">
        <f>IFERROR(IF(DB_Customers!S163&lt;&gt;"",DB_Customers!S163,""),"")</f>
        <v/>
      </c>
      <c r="G169" s="470">
        <f>IFERROR(IF(DB_Customers!G163&lt;&gt;"",DB_Customers!G163,""),"")</f>
        <v/>
      </c>
      <c r="H169" s="472">
        <f>IFERROR(IF(DB_Customers!H163&lt;&gt;"",DB_Customers!H163,""),"")</f>
        <v/>
      </c>
      <c r="I169" s="473">
        <f>IFERROR(IF(DB_Customers!I163&lt;&gt;"",DB_Customers!I163,""),"")</f>
        <v/>
      </c>
      <c r="J169" s="471">
        <f>IFERROR(IF(DB_Customers!J163&lt;&gt;"",DB_Customers!J163,""),"")</f>
        <v/>
      </c>
      <c r="K169" s="470">
        <f>IFERROR(IF(DB_Customers!E163&lt;&gt;"",DB_Customers!E163,""),"")</f>
        <v/>
      </c>
      <c r="L169" s="470">
        <f>IFERROR(IF(DB_Customers!F163&lt;&gt;"",DB_Customers!F163,""),"")</f>
        <v/>
      </c>
      <c r="M169" s="470">
        <f>IFERROR(IF(DB_Customers!T163&lt;&gt;"",DB_Customers!T163,""),"")</f>
        <v/>
      </c>
      <c r="N169" s="474">
        <f>IFERROR(IF(DB_Customers!A163&lt;&gt;"",IF(DB_Customers!I163&gt;=10,"Active","Inactive"),""),"")</f>
        <v/>
      </c>
    </row>
    <row r="170" ht="18" customHeight="1" s="341">
      <c r="A170" s="461">
        <f>IF(DB_Customers!A164&lt;&gt;"",161,"")</f>
        <v/>
      </c>
      <c r="B170" s="462">
        <f>IFERROR(IF(DB_Customers!A164&lt;&gt;"",DB_Customers!A164,""),"")</f>
        <v/>
      </c>
      <c r="C170" s="463">
        <f>IFERROR(IF(DB_Customers!D164&lt;&gt;"",DB_Customers!D164,""),"")</f>
        <v/>
      </c>
      <c r="D170" s="464">
        <f>IFERROR(IF(DB_Customers!Q164&lt;&gt;"",DB_Customers!Q164,""),"")</f>
        <v/>
      </c>
      <c r="E170" s="463">
        <f>IFERROR(IF(DB_Customers!R164&lt;&gt;"",DB_Customers!R164,""),"")</f>
        <v/>
      </c>
      <c r="F170" s="463">
        <f>IFERROR(IF(DB_Customers!S164&lt;&gt;"",DB_Customers!S164,""),"")</f>
        <v/>
      </c>
      <c r="G170" s="463">
        <f>IFERROR(IF(DB_Customers!G164&lt;&gt;"",DB_Customers!G164,""),"")</f>
        <v/>
      </c>
      <c r="H170" s="465">
        <f>IFERROR(IF(DB_Customers!H164&lt;&gt;"",DB_Customers!H164,""),"")</f>
        <v/>
      </c>
      <c r="I170" s="466">
        <f>IFERROR(IF(DB_Customers!I164&lt;&gt;"",DB_Customers!I164,""),"")</f>
        <v/>
      </c>
      <c r="J170" s="464">
        <f>IFERROR(IF(DB_Customers!J164&lt;&gt;"",DB_Customers!J164,""),"")</f>
        <v/>
      </c>
      <c r="K170" s="463">
        <f>IFERROR(IF(DB_Customers!E164&lt;&gt;"",DB_Customers!E164,""),"")</f>
        <v/>
      </c>
      <c r="L170" s="463">
        <f>IFERROR(IF(DB_Customers!F164&lt;&gt;"",DB_Customers!F164,""),"")</f>
        <v/>
      </c>
      <c r="M170" s="463">
        <f>IFERROR(IF(DB_Customers!T164&lt;&gt;"",DB_Customers!T164,""),"")</f>
        <v/>
      </c>
      <c r="N170" s="467">
        <f>IFERROR(IF(DB_Customers!A164&lt;&gt;"",IF(DB_Customers!I164&gt;=10,"Active","Inactive"),""),"")</f>
        <v/>
      </c>
    </row>
    <row r="171" ht="18" customHeight="1" s="341">
      <c r="A171" s="468">
        <f>IF(DB_Customers!A165&lt;&gt;"",162,"")</f>
        <v/>
      </c>
      <c r="B171" s="469">
        <f>IFERROR(IF(DB_Customers!A165&lt;&gt;"",DB_Customers!A165,""),"")</f>
        <v/>
      </c>
      <c r="C171" s="470">
        <f>IFERROR(IF(DB_Customers!D165&lt;&gt;"",DB_Customers!D165,""),"")</f>
        <v/>
      </c>
      <c r="D171" s="471">
        <f>IFERROR(IF(DB_Customers!Q165&lt;&gt;"",DB_Customers!Q165,""),"")</f>
        <v/>
      </c>
      <c r="E171" s="470">
        <f>IFERROR(IF(DB_Customers!R165&lt;&gt;"",DB_Customers!R165,""),"")</f>
        <v/>
      </c>
      <c r="F171" s="470">
        <f>IFERROR(IF(DB_Customers!S165&lt;&gt;"",DB_Customers!S165,""),"")</f>
        <v/>
      </c>
      <c r="G171" s="470">
        <f>IFERROR(IF(DB_Customers!G165&lt;&gt;"",DB_Customers!G165,""),"")</f>
        <v/>
      </c>
      <c r="H171" s="472">
        <f>IFERROR(IF(DB_Customers!H165&lt;&gt;"",DB_Customers!H165,""),"")</f>
        <v/>
      </c>
      <c r="I171" s="473">
        <f>IFERROR(IF(DB_Customers!I165&lt;&gt;"",DB_Customers!I165,""),"")</f>
        <v/>
      </c>
      <c r="J171" s="471">
        <f>IFERROR(IF(DB_Customers!J165&lt;&gt;"",DB_Customers!J165,""),"")</f>
        <v/>
      </c>
      <c r="K171" s="470">
        <f>IFERROR(IF(DB_Customers!E165&lt;&gt;"",DB_Customers!E165,""),"")</f>
        <v/>
      </c>
      <c r="L171" s="470">
        <f>IFERROR(IF(DB_Customers!F165&lt;&gt;"",DB_Customers!F165,""),"")</f>
        <v/>
      </c>
      <c r="M171" s="470">
        <f>IFERROR(IF(DB_Customers!T165&lt;&gt;"",DB_Customers!T165,""),"")</f>
        <v/>
      </c>
      <c r="N171" s="474">
        <f>IFERROR(IF(DB_Customers!A165&lt;&gt;"",IF(DB_Customers!I165&gt;=10,"Active","Inactive"),""),"")</f>
        <v/>
      </c>
    </row>
    <row r="172" ht="18" customHeight="1" s="341">
      <c r="A172" s="461">
        <f>IF(DB_Customers!A166&lt;&gt;"",163,"")</f>
        <v/>
      </c>
      <c r="B172" s="462">
        <f>IFERROR(IF(DB_Customers!A166&lt;&gt;"",DB_Customers!A166,""),"")</f>
        <v/>
      </c>
      <c r="C172" s="463">
        <f>IFERROR(IF(DB_Customers!D166&lt;&gt;"",DB_Customers!D166,""),"")</f>
        <v/>
      </c>
      <c r="D172" s="464">
        <f>IFERROR(IF(DB_Customers!Q166&lt;&gt;"",DB_Customers!Q166,""),"")</f>
        <v/>
      </c>
      <c r="E172" s="463">
        <f>IFERROR(IF(DB_Customers!R166&lt;&gt;"",DB_Customers!R166,""),"")</f>
        <v/>
      </c>
      <c r="F172" s="463">
        <f>IFERROR(IF(DB_Customers!S166&lt;&gt;"",DB_Customers!S166,""),"")</f>
        <v/>
      </c>
      <c r="G172" s="463">
        <f>IFERROR(IF(DB_Customers!G166&lt;&gt;"",DB_Customers!G166,""),"")</f>
        <v/>
      </c>
      <c r="H172" s="465">
        <f>IFERROR(IF(DB_Customers!H166&lt;&gt;"",DB_Customers!H166,""),"")</f>
        <v/>
      </c>
      <c r="I172" s="466">
        <f>IFERROR(IF(DB_Customers!I166&lt;&gt;"",DB_Customers!I166,""),"")</f>
        <v/>
      </c>
      <c r="J172" s="464">
        <f>IFERROR(IF(DB_Customers!J166&lt;&gt;"",DB_Customers!J166,""),"")</f>
        <v/>
      </c>
      <c r="K172" s="463">
        <f>IFERROR(IF(DB_Customers!E166&lt;&gt;"",DB_Customers!E166,""),"")</f>
        <v/>
      </c>
      <c r="L172" s="463">
        <f>IFERROR(IF(DB_Customers!F166&lt;&gt;"",DB_Customers!F166,""),"")</f>
        <v/>
      </c>
      <c r="M172" s="463">
        <f>IFERROR(IF(DB_Customers!T166&lt;&gt;"",DB_Customers!T166,""),"")</f>
        <v/>
      </c>
      <c r="N172" s="467">
        <f>IFERROR(IF(DB_Customers!A166&lt;&gt;"",IF(DB_Customers!I166&gt;=10,"Active","Inactive"),""),"")</f>
        <v/>
      </c>
    </row>
    <row r="173" ht="18" customHeight="1" s="341">
      <c r="A173" s="468">
        <f>IF(DB_Customers!A167&lt;&gt;"",164,"")</f>
        <v/>
      </c>
      <c r="B173" s="469">
        <f>IFERROR(IF(DB_Customers!A167&lt;&gt;"",DB_Customers!A167,""),"")</f>
        <v/>
      </c>
      <c r="C173" s="470">
        <f>IFERROR(IF(DB_Customers!D167&lt;&gt;"",DB_Customers!D167,""),"")</f>
        <v/>
      </c>
      <c r="D173" s="471">
        <f>IFERROR(IF(DB_Customers!Q167&lt;&gt;"",DB_Customers!Q167,""),"")</f>
        <v/>
      </c>
      <c r="E173" s="470">
        <f>IFERROR(IF(DB_Customers!R167&lt;&gt;"",DB_Customers!R167,""),"")</f>
        <v/>
      </c>
      <c r="F173" s="470">
        <f>IFERROR(IF(DB_Customers!S167&lt;&gt;"",DB_Customers!S167,""),"")</f>
        <v/>
      </c>
      <c r="G173" s="470">
        <f>IFERROR(IF(DB_Customers!G167&lt;&gt;"",DB_Customers!G167,""),"")</f>
        <v/>
      </c>
      <c r="H173" s="472">
        <f>IFERROR(IF(DB_Customers!H167&lt;&gt;"",DB_Customers!H167,""),"")</f>
        <v/>
      </c>
      <c r="I173" s="473">
        <f>IFERROR(IF(DB_Customers!I167&lt;&gt;"",DB_Customers!I167,""),"")</f>
        <v/>
      </c>
      <c r="J173" s="471">
        <f>IFERROR(IF(DB_Customers!J167&lt;&gt;"",DB_Customers!J167,""),"")</f>
        <v/>
      </c>
      <c r="K173" s="470">
        <f>IFERROR(IF(DB_Customers!E167&lt;&gt;"",DB_Customers!E167,""),"")</f>
        <v/>
      </c>
      <c r="L173" s="470">
        <f>IFERROR(IF(DB_Customers!F167&lt;&gt;"",DB_Customers!F167,""),"")</f>
        <v/>
      </c>
      <c r="M173" s="470">
        <f>IFERROR(IF(DB_Customers!T167&lt;&gt;"",DB_Customers!T167,""),"")</f>
        <v/>
      </c>
      <c r="N173" s="474">
        <f>IFERROR(IF(DB_Customers!A167&lt;&gt;"",IF(DB_Customers!I167&gt;=10,"Active","Inactive"),""),"")</f>
        <v/>
      </c>
    </row>
    <row r="174" ht="18" customHeight="1" s="341">
      <c r="A174" s="461">
        <f>IF(DB_Customers!A168&lt;&gt;"",165,"")</f>
        <v/>
      </c>
      <c r="B174" s="462">
        <f>IFERROR(IF(DB_Customers!A168&lt;&gt;"",DB_Customers!A168,""),"")</f>
        <v/>
      </c>
      <c r="C174" s="463">
        <f>IFERROR(IF(DB_Customers!D168&lt;&gt;"",DB_Customers!D168,""),"")</f>
        <v/>
      </c>
      <c r="D174" s="464">
        <f>IFERROR(IF(DB_Customers!Q168&lt;&gt;"",DB_Customers!Q168,""),"")</f>
        <v/>
      </c>
      <c r="E174" s="463">
        <f>IFERROR(IF(DB_Customers!R168&lt;&gt;"",DB_Customers!R168,""),"")</f>
        <v/>
      </c>
      <c r="F174" s="463">
        <f>IFERROR(IF(DB_Customers!S168&lt;&gt;"",DB_Customers!S168,""),"")</f>
        <v/>
      </c>
      <c r="G174" s="463">
        <f>IFERROR(IF(DB_Customers!G168&lt;&gt;"",DB_Customers!G168,""),"")</f>
        <v/>
      </c>
      <c r="H174" s="465">
        <f>IFERROR(IF(DB_Customers!H168&lt;&gt;"",DB_Customers!H168,""),"")</f>
        <v/>
      </c>
      <c r="I174" s="466">
        <f>IFERROR(IF(DB_Customers!I168&lt;&gt;"",DB_Customers!I168,""),"")</f>
        <v/>
      </c>
      <c r="J174" s="464">
        <f>IFERROR(IF(DB_Customers!J168&lt;&gt;"",DB_Customers!J168,""),"")</f>
        <v/>
      </c>
      <c r="K174" s="463">
        <f>IFERROR(IF(DB_Customers!E168&lt;&gt;"",DB_Customers!E168,""),"")</f>
        <v/>
      </c>
      <c r="L174" s="463">
        <f>IFERROR(IF(DB_Customers!F168&lt;&gt;"",DB_Customers!F168,""),"")</f>
        <v/>
      </c>
      <c r="M174" s="463">
        <f>IFERROR(IF(DB_Customers!T168&lt;&gt;"",DB_Customers!T168,""),"")</f>
        <v/>
      </c>
      <c r="N174" s="467">
        <f>IFERROR(IF(DB_Customers!A168&lt;&gt;"",IF(DB_Customers!I168&gt;=10,"Active","Inactive"),""),"")</f>
        <v/>
      </c>
    </row>
    <row r="175" ht="18" customHeight="1" s="341">
      <c r="A175" s="468">
        <f>IF(DB_Customers!A169&lt;&gt;"",166,"")</f>
        <v/>
      </c>
      <c r="B175" s="469">
        <f>IFERROR(IF(DB_Customers!A169&lt;&gt;"",DB_Customers!A169,""),"")</f>
        <v/>
      </c>
      <c r="C175" s="470">
        <f>IFERROR(IF(DB_Customers!D169&lt;&gt;"",DB_Customers!D169,""),"")</f>
        <v/>
      </c>
      <c r="D175" s="471">
        <f>IFERROR(IF(DB_Customers!Q169&lt;&gt;"",DB_Customers!Q169,""),"")</f>
        <v/>
      </c>
      <c r="E175" s="470">
        <f>IFERROR(IF(DB_Customers!R169&lt;&gt;"",DB_Customers!R169,""),"")</f>
        <v/>
      </c>
      <c r="F175" s="470">
        <f>IFERROR(IF(DB_Customers!S169&lt;&gt;"",DB_Customers!S169,""),"")</f>
        <v/>
      </c>
      <c r="G175" s="470">
        <f>IFERROR(IF(DB_Customers!G169&lt;&gt;"",DB_Customers!G169,""),"")</f>
        <v/>
      </c>
      <c r="H175" s="472">
        <f>IFERROR(IF(DB_Customers!H169&lt;&gt;"",DB_Customers!H169,""),"")</f>
        <v/>
      </c>
      <c r="I175" s="473">
        <f>IFERROR(IF(DB_Customers!I169&lt;&gt;"",DB_Customers!I169,""),"")</f>
        <v/>
      </c>
      <c r="J175" s="471">
        <f>IFERROR(IF(DB_Customers!J169&lt;&gt;"",DB_Customers!J169,""),"")</f>
        <v/>
      </c>
      <c r="K175" s="470">
        <f>IFERROR(IF(DB_Customers!E169&lt;&gt;"",DB_Customers!E169,""),"")</f>
        <v/>
      </c>
      <c r="L175" s="470">
        <f>IFERROR(IF(DB_Customers!F169&lt;&gt;"",DB_Customers!F169,""),"")</f>
        <v/>
      </c>
      <c r="M175" s="470">
        <f>IFERROR(IF(DB_Customers!T169&lt;&gt;"",DB_Customers!T169,""),"")</f>
        <v/>
      </c>
      <c r="N175" s="474">
        <f>IFERROR(IF(DB_Customers!A169&lt;&gt;"",IF(DB_Customers!I169&gt;=10,"Active","Inactive"),""),"")</f>
        <v/>
      </c>
    </row>
    <row r="176" ht="18" customHeight="1" s="341">
      <c r="A176" s="461">
        <f>IF(DB_Customers!A170&lt;&gt;"",167,"")</f>
        <v/>
      </c>
      <c r="B176" s="462">
        <f>IFERROR(IF(DB_Customers!A170&lt;&gt;"",DB_Customers!A170,""),"")</f>
        <v/>
      </c>
      <c r="C176" s="463">
        <f>IFERROR(IF(DB_Customers!D170&lt;&gt;"",DB_Customers!D170,""),"")</f>
        <v/>
      </c>
      <c r="D176" s="464">
        <f>IFERROR(IF(DB_Customers!Q170&lt;&gt;"",DB_Customers!Q170,""),"")</f>
        <v/>
      </c>
      <c r="E176" s="463">
        <f>IFERROR(IF(DB_Customers!R170&lt;&gt;"",DB_Customers!R170,""),"")</f>
        <v/>
      </c>
      <c r="F176" s="463">
        <f>IFERROR(IF(DB_Customers!S170&lt;&gt;"",DB_Customers!S170,""),"")</f>
        <v/>
      </c>
      <c r="G176" s="463">
        <f>IFERROR(IF(DB_Customers!G170&lt;&gt;"",DB_Customers!G170,""),"")</f>
        <v/>
      </c>
      <c r="H176" s="465">
        <f>IFERROR(IF(DB_Customers!H170&lt;&gt;"",DB_Customers!H170,""),"")</f>
        <v/>
      </c>
      <c r="I176" s="466">
        <f>IFERROR(IF(DB_Customers!I170&lt;&gt;"",DB_Customers!I170,""),"")</f>
        <v/>
      </c>
      <c r="J176" s="464">
        <f>IFERROR(IF(DB_Customers!J170&lt;&gt;"",DB_Customers!J170,""),"")</f>
        <v/>
      </c>
      <c r="K176" s="463">
        <f>IFERROR(IF(DB_Customers!E170&lt;&gt;"",DB_Customers!E170,""),"")</f>
        <v/>
      </c>
      <c r="L176" s="463">
        <f>IFERROR(IF(DB_Customers!F170&lt;&gt;"",DB_Customers!F170,""),"")</f>
        <v/>
      </c>
      <c r="M176" s="463">
        <f>IFERROR(IF(DB_Customers!T170&lt;&gt;"",DB_Customers!T170,""),"")</f>
        <v/>
      </c>
      <c r="N176" s="467">
        <f>IFERROR(IF(DB_Customers!A170&lt;&gt;"",IF(DB_Customers!I170&gt;=10,"Active","Inactive"),""),"")</f>
        <v/>
      </c>
    </row>
    <row r="177" ht="18" customHeight="1" s="341">
      <c r="A177" s="468">
        <f>IF(DB_Customers!A171&lt;&gt;"",168,"")</f>
        <v/>
      </c>
      <c r="B177" s="469">
        <f>IFERROR(IF(DB_Customers!A171&lt;&gt;"",DB_Customers!A171,""),"")</f>
        <v/>
      </c>
      <c r="C177" s="470">
        <f>IFERROR(IF(DB_Customers!D171&lt;&gt;"",DB_Customers!D171,""),"")</f>
        <v/>
      </c>
      <c r="D177" s="471">
        <f>IFERROR(IF(DB_Customers!Q171&lt;&gt;"",DB_Customers!Q171,""),"")</f>
        <v/>
      </c>
      <c r="E177" s="470">
        <f>IFERROR(IF(DB_Customers!R171&lt;&gt;"",DB_Customers!R171,""),"")</f>
        <v/>
      </c>
      <c r="F177" s="470">
        <f>IFERROR(IF(DB_Customers!S171&lt;&gt;"",DB_Customers!S171,""),"")</f>
        <v/>
      </c>
      <c r="G177" s="470">
        <f>IFERROR(IF(DB_Customers!G171&lt;&gt;"",DB_Customers!G171,""),"")</f>
        <v/>
      </c>
      <c r="H177" s="472">
        <f>IFERROR(IF(DB_Customers!H171&lt;&gt;"",DB_Customers!H171,""),"")</f>
        <v/>
      </c>
      <c r="I177" s="473">
        <f>IFERROR(IF(DB_Customers!I171&lt;&gt;"",DB_Customers!I171,""),"")</f>
        <v/>
      </c>
      <c r="J177" s="471">
        <f>IFERROR(IF(DB_Customers!J171&lt;&gt;"",DB_Customers!J171,""),"")</f>
        <v/>
      </c>
      <c r="K177" s="470">
        <f>IFERROR(IF(DB_Customers!E171&lt;&gt;"",DB_Customers!E171,""),"")</f>
        <v/>
      </c>
      <c r="L177" s="470">
        <f>IFERROR(IF(DB_Customers!F171&lt;&gt;"",DB_Customers!F171,""),"")</f>
        <v/>
      </c>
      <c r="M177" s="470">
        <f>IFERROR(IF(DB_Customers!T171&lt;&gt;"",DB_Customers!T171,""),"")</f>
        <v/>
      </c>
      <c r="N177" s="474">
        <f>IFERROR(IF(DB_Customers!A171&lt;&gt;"",IF(DB_Customers!I171&gt;=10,"Active","Inactive"),""),"")</f>
        <v/>
      </c>
    </row>
    <row r="178" ht="18" customHeight="1" s="341">
      <c r="A178" s="461">
        <f>IF(DB_Customers!A172&lt;&gt;"",169,"")</f>
        <v/>
      </c>
      <c r="B178" s="462">
        <f>IFERROR(IF(DB_Customers!A172&lt;&gt;"",DB_Customers!A172,""),"")</f>
        <v/>
      </c>
      <c r="C178" s="463">
        <f>IFERROR(IF(DB_Customers!D172&lt;&gt;"",DB_Customers!D172,""),"")</f>
        <v/>
      </c>
      <c r="D178" s="464">
        <f>IFERROR(IF(DB_Customers!Q172&lt;&gt;"",DB_Customers!Q172,""),"")</f>
        <v/>
      </c>
      <c r="E178" s="463">
        <f>IFERROR(IF(DB_Customers!R172&lt;&gt;"",DB_Customers!R172,""),"")</f>
        <v/>
      </c>
      <c r="F178" s="463">
        <f>IFERROR(IF(DB_Customers!S172&lt;&gt;"",DB_Customers!S172,""),"")</f>
        <v/>
      </c>
      <c r="G178" s="463">
        <f>IFERROR(IF(DB_Customers!G172&lt;&gt;"",DB_Customers!G172,""),"")</f>
        <v/>
      </c>
      <c r="H178" s="465">
        <f>IFERROR(IF(DB_Customers!H172&lt;&gt;"",DB_Customers!H172,""),"")</f>
        <v/>
      </c>
      <c r="I178" s="466">
        <f>IFERROR(IF(DB_Customers!I172&lt;&gt;"",DB_Customers!I172,""),"")</f>
        <v/>
      </c>
      <c r="J178" s="464">
        <f>IFERROR(IF(DB_Customers!J172&lt;&gt;"",DB_Customers!J172,""),"")</f>
        <v/>
      </c>
      <c r="K178" s="463">
        <f>IFERROR(IF(DB_Customers!E172&lt;&gt;"",DB_Customers!E172,""),"")</f>
        <v/>
      </c>
      <c r="L178" s="463">
        <f>IFERROR(IF(DB_Customers!F172&lt;&gt;"",DB_Customers!F172,""),"")</f>
        <v/>
      </c>
      <c r="M178" s="463">
        <f>IFERROR(IF(DB_Customers!T172&lt;&gt;"",DB_Customers!T172,""),"")</f>
        <v/>
      </c>
      <c r="N178" s="467">
        <f>IFERROR(IF(DB_Customers!A172&lt;&gt;"",IF(DB_Customers!I172&gt;=10,"Active","Inactive"),""),"")</f>
        <v/>
      </c>
    </row>
    <row r="179" ht="18" customHeight="1" s="341">
      <c r="A179" s="468">
        <f>IF(DB_Customers!A173&lt;&gt;"",170,"")</f>
        <v/>
      </c>
      <c r="B179" s="469">
        <f>IFERROR(IF(DB_Customers!A173&lt;&gt;"",DB_Customers!A173,""),"")</f>
        <v/>
      </c>
      <c r="C179" s="470">
        <f>IFERROR(IF(DB_Customers!D173&lt;&gt;"",DB_Customers!D173,""),"")</f>
        <v/>
      </c>
      <c r="D179" s="471">
        <f>IFERROR(IF(DB_Customers!Q173&lt;&gt;"",DB_Customers!Q173,""),"")</f>
        <v/>
      </c>
      <c r="E179" s="470">
        <f>IFERROR(IF(DB_Customers!R173&lt;&gt;"",DB_Customers!R173,""),"")</f>
        <v/>
      </c>
      <c r="F179" s="470">
        <f>IFERROR(IF(DB_Customers!S173&lt;&gt;"",DB_Customers!S173,""),"")</f>
        <v/>
      </c>
      <c r="G179" s="470">
        <f>IFERROR(IF(DB_Customers!G173&lt;&gt;"",DB_Customers!G173,""),"")</f>
        <v/>
      </c>
      <c r="H179" s="472">
        <f>IFERROR(IF(DB_Customers!H173&lt;&gt;"",DB_Customers!H173,""),"")</f>
        <v/>
      </c>
      <c r="I179" s="473">
        <f>IFERROR(IF(DB_Customers!I173&lt;&gt;"",DB_Customers!I173,""),"")</f>
        <v/>
      </c>
      <c r="J179" s="471">
        <f>IFERROR(IF(DB_Customers!J173&lt;&gt;"",DB_Customers!J173,""),"")</f>
        <v/>
      </c>
      <c r="K179" s="470">
        <f>IFERROR(IF(DB_Customers!E173&lt;&gt;"",DB_Customers!E173,""),"")</f>
        <v/>
      </c>
      <c r="L179" s="470">
        <f>IFERROR(IF(DB_Customers!F173&lt;&gt;"",DB_Customers!F173,""),"")</f>
        <v/>
      </c>
      <c r="M179" s="470">
        <f>IFERROR(IF(DB_Customers!T173&lt;&gt;"",DB_Customers!T173,""),"")</f>
        <v/>
      </c>
      <c r="N179" s="474">
        <f>IFERROR(IF(DB_Customers!A173&lt;&gt;"",IF(DB_Customers!I173&gt;=10,"Active","Inactive"),""),"")</f>
        <v/>
      </c>
    </row>
    <row r="180" ht="18" customHeight="1" s="341">
      <c r="A180" s="461">
        <f>IF(DB_Customers!A174&lt;&gt;"",171,"")</f>
        <v/>
      </c>
      <c r="B180" s="462">
        <f>IFERROR(IF(DB_Customers!A174&lt;&gt;"",DB_Customers!A174,""),"")</f>
        <v/>
      </c>
      <c r="C180" s="463">
        <f>IFERROR(IF(DB_Customers!D174&lt;&gt;"",DB_Customers!D174,""),"")</f>
        <v/>
      </c>
      <c r="D180" s="464">
        <f>IFERROR(IF(DB_Customers!Q174&lt;&gt;"",DB_Customers!Q174,""),"")</f>
        <v/>
      </c>
      <c r="E180" s="463">
        <f>IFERROR(IF(DB_Customers!R174&lt;&gt;"",DB_Customers!R174,""),"")</f>
        <v/>
      </c>
      <c r="F180" s="463">
        <f>IFERROR(IF(DB_Customers!S174&lt;&gt;"",DB_Customers!S174,""),"")</f>
        <v/>
      </c>
      <c r="G180" s="463">
        <f>IFERROR(IF(DB_Customers!G174&lt;&gt;"",DB_Customers!G174,""),"")</f>
        <v/>
      </c>
      <c r="H180" s="465">
        <f>IFERROR(IF(DB_Customers!H174&lt;&gt;"",DB_Customers!H174,""),"")</f>
        <v/>
      </c>
      <c r="I180" s="466">
        <f>IFERROR(IF(DB_Customers!I174&lt;&gt;"",DB_Customers!I174,""),"")</f>
        <v/>
      </c>
      <c r="J180" s="464">
        <f>IFERROR(IF(DB_Customers!J174&lt;&gt;"",DB_Customers!J174,""),"")</f>
        <v/>
      </c>
      <c r="K180" s="463">
        <f>IFERROR(IF(DB_Customers!E174&lt;&gt;"",DB_Customers!E174,""),"")</f>
        <v/>
      </c>
      <c r="L180" s="463">
        <f>IFERROR(IF(DB_Customers!F174&lt;&gt;"",DB_Customers!F174,""),"")</f>
        <v/>
      </c>
      <c r="M180" s="463">
        <f>IFERROR(IF(DB_Customers!T174&lt;&gt;"",DB_Customers!T174,""),"")</f>
        <v/>
      </c>
      <c r="N180" s="467">
        <f>IFERROR(IF(DB_Customers!A174&lt;&gt;"",IF(DB_Customers!I174&gt;=10,"Active","Inactive"),""),"")</f>
        <v/>
      </c>
    </row>
    <row r="181" ht="18" customHeight="1" s="341">
      <c r="A181" s="468">
        <f>IF(DB_Customers!A175&lt;&gt;"",172,"")</f>
        <v/>
      </c>
      <c r="B181" s="469">
        <f>IFERROR(IF(DB_Customers!A175&lt;&gt;"",DB_Customers!A175,""),"")</f>
        <v/>
      </c>
      <c r="C181" s="470">
        <f>IFERROR(IF(DB_Customers!D175&lt;&gt;"",DB_Customers!D175,""),"")</f>
        <v/>
      </c>
      <c r="D181" s="471">
        <f>IFERROR(IF(DB_Customers!Q175&lt;&gt;"",DB_Customers!Q175,""),"")</f>
        <v/>
      </c>
      <c r="E181" s="470">
        <f>IFERROR(IF(DB_Customers!R175&lt;&gt;"",DB_Customers!R175,""),"")</f>
        <v/>
      </c>
      <c r="F181" s="470">
        <f>IFERROR(IF(DB_Customers!S175&lt;&gt;"",DB_Customers!S175,""),"")</f>
        <v/>
      </c>
      <c r="G181" s="470">
        <f>IFERROR(IF(DB_Customers!G175&lt;&gt;"",DB_Customers!G175,""),"")</f>
        <v/>
      </c>
      <c r="H181" s="472">
        <f>IFERROR(IF(DB_Customers!H175&lt;&gt;"",DB_Customers!H175,""),"")</f>
        <v/>
      </c>
      <c r="I181" s="473">
        <f>IFERROR(IF(DB_Customers!I175&lt;&gt;"",DB_Customers!I175,""),"")</f>
        <v/>
      </c>
      <c r="J181" s="471">
        <f>IFERROR(IF(DB_Customers!J175&lt;&gt;"",DB_Customers!J175,""),"")</f>
        <v/>
      </c>
      <c r="K181" s="470">
        <f>IFERROR(IF(DB_Customers!E175&lt;&gt;"",DB_Customers!E175,""),"")</f>
        <v/>
      </c>
      <c r="L181" s="470">
        <f>IFERROR(IF(DB_Customers!F175&lt;&gt;"",DB_Customers!F175,""),"")</f>
        <v/>
      </c>
      <c r="M181" s="470">
        <f>IFERROR(IF(DB_Customers!T175&lt;&gt;"",DB_Customers!T175,""),"")</f>
        <v/>
      </c>
      <c r="N181" s="474">
        <f>IFERROR(IF(DB_Customers!A175&lt;&gt;"",IF(DB_Customers!I175&gt;=10,"Active","Inactive"),""),"")</f>
        <v/>
      </c>
    </row>
    <row r="182" ht="18" customHeight="1" s="341">
      <c r="A182" s="461">
        <f>IF(DB_Customers!A176&lt;&gt;"",173,"")</f>
        <v/>
      </c>
      <c r="B182" s="462">
        <f>IFERROR(IF(DB_Customers!A176&lt;&gt;"",DB_Customers!A176,""),"")</f>
        <v/>
      </c>
      <c r="C182" s="463">
        <f>IFERROR(IF(DB_Customers!D176&lt;&gt;"",DB_Customers!D176,""),"")</f>
        <v/>
      </c>
      <c r="D182" s="464">
        <f>IFERROR(IF(DB_Customers!Q176&lt;&gt;"",DB_Customers!Q176,""),"")</f>
        <v/>
      </c>
      <c r="E182" s="463">
        <f>IFERROR(IF(DB_Customers!R176&lt;&gt;"",DB_Customers!R176,""),"")</f>
        <v/>
      </c>
      <c r="F182" s="463">
        <f>IFERROR(IF(DB_Customers!S176&lt;&gt;"",DB_Customers!S176,""),"")</f>
        <v/>
      </c>
      <c r="G182" s="463">
        <f>IFERROR(IF(DB_Customers!G176&lt;&gt;"",DB_Customers!G176,""),"")</f>
        <v/>
      </c>
      <c r="H182" s="465">
        <f>IFERROR(IF(DB_Customers!H176&lt;&gt;"",DB_Customers!H176,""),"")</f>
        <v/>
      </c>
      <c r="I182" s="466">
        <f>IFERROR(IF(DB_Customers!I176&lt;&gt;"",DB_Customers!I176,""),"")</f>
        <v/>
      </c>
      <c r="J182" s="464">
        <f>IFERROR(IF(DB_Customers!J176&lt;&gt;"",DB_Customers!J176,""),"")</f>
        <v/>
      </c>
      <c r="K182" s="463">
        <f>IFERROR(IF(DB_Customers!E176&lt;&gt;"",DB_Customers!E176,""),"")</f>
        <v/>
      </c>
      <c r="L182" s="463">
        <f>IFERROR(IF(DB_Customers!F176&lt;&gt;"",DB_Customers!F176,""),"")</f>
        <v/>
      </c>
      <c r="M182" s="463">
        <f>IFERROR(IF(DB_Customers!T176&lt;&gt;"",DB_Customers!T176,""),"")</f>
        <v/>
      </c>
      <c r="N182" s="467">
        <f>IFERROR(IF(DB_Customers!A176&lt;&gt;"",IF(DB_Customers!I176&gt;=10,"Active","Inactive"),""),"")</f>
        <v/>
      </c>
    </row>
    <row r="183" ht="18" customHeight="1" s="341">
      <c r="A183" s="468">
        <f>IF(DB_Customers!A177&lt;&gt;"",174,"")</f>
        <v/>
      </c>
      <c r="B183" s="469">
        <f>IFERROR(IF(DB_Customers!A177&lt;&gt;"",DB_Customers!A177,""),"")</f>
        <v/>
      </c>
      <c r="C183" s="470">
        <f>IFERROR(IF(DB_Customers!D177&lt;&gt;"",DB_Customers!D177,""),"")</f>
        <v/>
      </c>
      <c r="D183" s="471">
        <f>IFERROR(IF(DB_Customers!Q177&lt;&gt;"",DB_Customers!Q177,""),"")</f>
        <v/>
      </c>
      <c r="E183" s="470">
        <f>IFERROR(IF(DB_Customers!R177&lt;&gt;"",DB_Customers!R177,""),"")</f>
        <v/>
      </c>
      <c r="F183" s="470">
        <f>IFERROR(IF(DB_Customers!S177&lt;&gt;"",DB_Customers!S177,""),"")</f>
        <v/>
      </c>
      <c r="G183" s="470">
        <f>IFERROR(IF(DB_Customers!G177&lt;&gt;"",DB_Customers!G177,""),"")</f>
        <v/>
      </c>
      <c r="H183" s="472">
        <f>IFERROR(IF(DB_Customers!H177&lt;&gt;"",DB_Customers!H177,""),"")</f>
        <v/>
      </c>
      <c r="I183" s="473">
        <f>IFERROR(IF(DB_Customers!I177&lt;&gt;"",DB_Customers!I177,""),"")</f>
        <v/>
      </c>
      <c r="J183" s="471">
        <f>IFERROR(IF(DB_Customers!J177&lt;&gt;"",DB_Customers!J177,""),"")</f>
        <v/>
      </c>
      <c r="K183" s="470">
        <f>IFERROR(IF(DB_Customers!E177&lt;&gt;"",DB_Customers!E177,""),"")</f>
        <v/>
      </c>
      <c r="L183" s="470">
        <f>IFERROR(IF(DB_Customers!F177&lt;&gt;"",DB_Customers!F177,""),"")</f>
        <v/>
      </c>
      <c r="M183" s="470">
        <f>IFERROR(IF(DB_Customers!T177&lt;&gt;"",DB_Customers!T177,""),"")</f>
        <v/>
      </c>
      <c r="N183" s="474">
        <f>IFERROR(IF(DB_Customers!A177&lt;&gt;"",IF(DB_Customers!I177&gt;=10,"Active","Inactive"),""),"")</f>
        <v/>
      </c>
    </row>
    <row r="184" ht="18" customHeight="1" s="341">
      <c r="A184" s="461">
        <f>IF(DB_Customers!A178&lt;&gt;"",175,"")</f>
        <v/>
      </c>
      <c r="B184" s="462">
        <f>IFERROR(IF(DB_Customers!A178&lt;&gt;"",DB_Customers!A178,""),"")</f>
        <v/>
      </c>
      <c r="C184" s="463">
        <f>IFERROR(IF(DB_Customers!D178&lt;&gt;"",DB_Customers!D178,""),"")</f>
        <v/>
      </c>
      <c r="D184" s="464">
        <f>IFERROR(IF(DB_Customers!Q178&lt;&gt;"",DB_Customers!Q178,""),"")</f>
        <v/>
      </c>
      <c r="E184" s="463">
        <f>IFERROR(IF(DB_Customers!R178&lt;&gt;"",DB_Customers!R178,""),"")</f>
        <v/>
      </c>
      <c r="F184" s="463">
        <f>IFERROR(IF(DB_Customers!S178&lt;&gt;"",DB_Customers!S178,""),"")</f>
        <v/>
      </c>
      <c r="G184" s="463">
        <f>IFERROR(IF(DB_Customers!G178&lt;&gt;"",DB_Customers!G178,""),"")</f>
        <v/>
      </c>
      <c r="H184" s="465">
        <f>IFERROR(IF(DB_Customers!H178&lt;&gt;"",DB_Customers!H178,""),"")</f>
        <v/>
      </c>
      <c r="I184" s="466">
        <f>IFERROR(IF(DB_Customers!I178&lt;&gt;"",DB_Customers!I178,""),"")</f>
        <v/>
      </c>
      <c r="J184" s="464">
        <f>IFERROR(IF(DB_Customers!J178&lt;&gt;"",DB_Customers!J178,""),"")</f>
        <v/>
      </c>
      <c r="K184" s="463">
        <f>IFERROR(IF(DB_Customers!E178&lt;&gt;"",DB_Customers!E178,""),"")</f>
        <v/>
      </c>
      <c r="L184" s="463">
        <f>IFERROR(IF(DB_Customers!F178&lt;&gt;"",DB_Customers!F178,""),"")</f>
        <v/>
      </c>
      <c r="M184" s="463">
        <f>IFERROR(IF(DB_Customers!T178&lt;&gt;"",DB_Customers!T178,""),"")</f>
        <v/>
      </c>
      <c r="N184" s="467">
        <f>IFERROR(IF(DB_Customers!A178&lt;&gt;"",IF(DB_Customers!I178&gt;=10,"Active","Inactive"),""),"")</f>
        <v/>
      </c>
    </row>
    <row r="185" ht="18" customHeight="1" s="341">
      <c r="A185" s="468">
        <f>IF(DB_Customers!A179&lt;&gt;"",176,"")</f>
        <v/>
      </c>
      <c r="B185" s="469">
        <f>IFERROR(IF(DB_Customers!A179&lt;&gt;"",DB_Customers!A179,""),"")</f>
        <v/>
      </c>
      <c r="C185" s="470">
        <f>IFERROR(IF(DB_Customers!D179&lt;&gt;"",DB_Customers!D179,""),"")</f>
        <v/>
      </c>
      <c r="D185" s="471">
        <f>IFERROR(IF(DB_Customers!Q179&lt;&gt;"",DB_Customers!Q179,""),"")</f>
        <v/>
      </c>
      <c r="E185" s="470">
        <f>IFERROR(IF(DB_Customers!R179&lt;&gt;"",DB_Customers!R179,""),"")</f>
        <v/>
      </c>
      <c r="F185" s="470">
        <f>IFERROR(IF(DB_Customers!S179&lt;&gt;"",DB_Customers!S179,""),"")</f>
        <v/>
      </c>
      <c r="G185" s="470">
        <f>IFERROR(IF(DB_Customers!G179&lt;&gt;"",DB_Customers!G179,""),"")</f>
        <v/>
      </c>
      <c r="H185" s="472">
        <f>IFERROR(IF(DB_Customers!H179&lt;&gt;"",DB_Customers!H179,""),"")</f>
        <v/>
      </c>
      <c r="I185" s="473">
        <f>IFERROR(IF(DB_Customers!I179&lt;&gt;"",DB_Customers!I179,""),"")</f>
        <v/>
      </c>
      <c r="J185" s="471">
        <f>IFERROR(IF(DB_Customers!J179&lt;&gt;"",DB_Customers!J179,""),"")</f>
        <v/>
      </c>
      <c r="K185" s="470">
        <f>IFERROR(IF(DB_Customers!E179&lt;&gt;"",DB_Customers!E179,""),"")</f>
        <v/>
      </c>
      <c r="L185" s="470">
        <f>IFERROR(IF(DB_Customers!F179&lt;&gt;"",DB_Customers!F179,""),"")</f>
        <v/>
      </c>
      <c r="M185" s="470">
        <f>IFERROR(IF(DB_Customers!T179&lt;&gt;"",DB_Customers!T179,""),"")</f>
        <v/>
      </c>
      <c r="N185" s="474">
        <f>IFERROR(IF(DB_Customers!A179&lt;&gt;"",IF(DB_Customers!I179&gt;=10,"Active","Inactive"),""),"")</f>
        <v/>
      </c>
    </row>
    <row r="186" ht="18" customHeight="1" s="341">
      <c r="A186" s="461">
        <f>IF(DB_Customers!A180&lt;&gt;"",177,"")</f>
        <v/>
      </c>
      <c r="B186" s="462">
        <f>IFERROR(IF(DB_Customers!A180&lt;&gt;"",DB_Customers!A180,""),"")</f>
        <v/>
      </c>
      <c r="C186" s="463">
        <f>IFERROR(IF(DB_Customers!D180&lt;&gt;"",DB_Customers!D180,""),"")</f>
        <v/>
      </c>
      <c r="D186" s="464">
        <f>IFERROR(IF(DB_Customers!Q180&lt;&gt;"",DB_Customers!Q180,""),"")</f>
        <v/>
      </c>
      <c r="E186" s="463">
        <f>IFERROR(IF(DB_Customers!R180&lt;&gt;"",DB_Customers!R180,""),"")</f>
        <v/>
      </c>
      <c r="F186" s="463">
        <f>IFERROR(IF(DB_Customers!S180&lt;&gt;"",DB_Customers!S180,""),"")</f>
        <v/>
      </c>
      <c r="G186" s="463">
        <f>IFERROR(IF(DB_Customers!G180&lt;&gt;"",DB_Customers!G180,""),"")</f>
        <v/>
      </c>
      <c r="H186" s="465">
        <f>IFERROR(IF(DB_Customers!H180&lt;&gt;"",DB_Customers!H180,""),"")</f>
        <v/>
      </c>
      <c r="I186" s="466">
        <f>IFERROR(IF(DB_Customers!I180&lt;&gt;"",DB_Customers!I180,""),"")</f>
        <v/>
      </c>
      <c r="J186" s="464">
        <f>IFERROR(IF(DB_Customers!J180&lt;&gt;"",DB_Customers!J180,""),"")</f>
        <v/>
      </c>
      <c r="K186" s="463">
        <f>IFERROR(IF(DB_Customers!E180&lt;&gt;"",DB_Customers!E180,""),"")</f>
        <v/>
      </c>
      <c r="L186" s="463">
        <f>IFERROR(IF(DB_Customers!F180&lt;&gt;"",DB_Customers!F180,""),"")</f>
        <v/>
      </c>
      <c r="M186" s="463">
        <f>IFERROR(IF(DB_Customers!T180&lt;&gt;"",DB_Customers!T180,""),"")</f>
        <v/>
      </c>
      <c r="N186" s="467">
        <f>IFERROR(IF(DB_Customers!A180&lt;&gt;"",IF(DB_Customers!I180&gt;=10,"Active","Inactive"),""),"")</f>
        <v/>
      </c>
    </row>
    <row r="187" ht="18" customHeight="1" s="341">
      <c r="A187" s="468">
        <f>IF(DB_Customers!A181&lt;&gt;"",178,"")</f>
        <v/>
      </c>
      <c r="B187" s="469">
        <f>IFERROR(IF(DB_Customers!A181&lt;&gt;"",DB_Customers!A181,""),"")</f>
        <v/>
      </c>
      <c r="C187" s="470">
        <f>IFERROR(IF(DB_Customers!D181&lt;&gt;"",DB_Customers!D181,""),"")</f>
        <v/>
      </c>
      <c r="D187" s="471">
        <f>IFERROR(IF(DB_Customers!Q181&lt;&gt;"",DB_Customers!Q181,""),"")</f>
        <v/>
      </c>
      <c r="E187" s="470">
        <f>IFERROR(IF(DB_Customers!R181&lt;&gt;"",DB_Customers!R181,""),"")</f>
        <v/>
      </c>
      <c r="F187" s="470">
        <f>IFERROR(IF(DB_Customers!S181&lt;&gt;"",DB_Customers!S181,""),"")</f>
        <v/>
      </c>
      <c r="G187" s="470">
        <f>IFERROR(IF(DB_Customers!G181&lt;&gt;"",DB_Customers!G181,""),"")</f>
        <v/>
      </c>
      <c r="H187" s="472">
        <f>IFERROR(IF(DB_Customers!H181&lt;&gt;"",DB_Customers!H181,""),"")</f>
        <v/>
      </c>
      <c r="I187" s="473">
        <f>IFERROR(IF(DB_Customers!I181&lt;&gt;"",DB_Customers!I181,""),"")</f>
        <v/>
      </c>
      <c r="J187" s="471">
        <f>IFERROR(IF(DB_Customers!J181&lt;&gt;"",DB_Customers!J181,""),"")</f>
        <v/>
      </c>
      <c r="K187" s="470">
        <f>IFERROR(IF(DB_Customers!E181&lt;&gt;"",DB_Customers!E181,""),"")</f>
        <v/>
      </c>
      <c r="L187" s="470">
        <f>IFERROR(IF(DB_Customers!F181&lt;&gt;"",DB_Customers!F181,""),"")</f>
        <v/>
      </c>
      <c r="M187" s="470">
        <f>IFERROR(IF(DB_Customers!T181&lt;&gt;"",DB_Customers!T181,""),"")</f>
        <v/>
      </c>
      <c r="N187" s="474">
        <f>IFERROR(IF(DB_Customers!A181&lt;&gt;"",IF(DB_Customers!I181&gt;=10,"Active","Inactive"),""),"")</f>
        <v/>
      </c>
    </row>
    <row r="188" ht="18" customHeight="1" s="341">
      <c r="A188" s="461">
        <f>IF(DB_Customers!A182&lt;&gt;"",179,"")</f>
        <v/>
      </c>
      <c r="B188" s="462">
        <f>IFERROR(IF(DB_Customers!A182&lt;&gt;"",DB_Customers!A182,""),"")</f>
        <v/>
      </c>
      <c r="C188" s="463">
        <f>IFERROR(IF(DB_Customers!D182&lt;&gt;"",DB_Customers!D182,""),"")</f>
        <v/>
      </c>
      <c r="D188" s="464">
        <f>IFERROR(IF(DB_Customers!Q182&lt;&gt;"",DB_Customers!Q182,""),"")</f>
        <v/>
      </c>
      <c r="E188" s="463">
        <f>IFERROR(IF(DB_Customers!R182&lt;&gt;"",DB_Customers!R182,""),"")</f>
        <v/>
      </c>
      <c r="F188" s="463">
        <f>IFERROR(IF(DB_Customers!S182&lt;&gt;"",DB_Customers!S182,""),"")</f>
        <v/>
      </c>
      <c r="G188" s="463">
        <f>IFERROR(IF(DB_Customers!G182&lt;&gt;"",DB_Customers!G182,""),"")</f>
        <v/>
      </c>
      <c r="H188" s="465">
        <f>IFERROR(IF(DB_Customers!H182&lt;&gt;"",DB_Customers!H182,""),"")</f>
        <v/>
      </c>
      <c r="I188" s="466">
        <f>IFERROR(IF(DB_Customers!I182&lt;&gt;"",DB_Customers!I182,""),"")</f>
        <v/>
      </c>
      <c r="J188" s="464">
        <f>IFERROR(IF(DB_Customers!J182&lt;&gt;"",DB_Customers!J182,""),"")</f>
        <v/>
      </c>
      <c r="K188" s="463">
        <f>IFERROR(IF(DB_Customers!E182&lt;&gt;"",DB_Customers!E182,""),"")</f>
        <v/>
      </c>
      <c r="L188" s="463">
        <f>IFERROR(IF(DB_Customers!F182&lt;&gt;"",DB_Customers!F182,""),"")</f>
        <v/>
      </c>
      <c r="M188" s="463">
        <f>IFERROR(IF(DB_Customers!T182&lt;&gt;"",DB_Customers!T182,""),"")</f>
        <v/>
      </c>
      <c r="N188" s="467">
        <f>IFERROR(IF(DB_Customers!A182&lt;&gt;"",IF(DB_Customers!I182&gt;=10,"Active","Inactive"),""),"")</f>
        <v/>
      </c>
    </row>
    <row r="189" ht="18" customHeight="1" s="341">
      <c r="A189" s="468">
        <f>IF(DB_Customers!A183&lt;&gt;"",180,"")</f>
        <v/>
      </c>
      <c r="B189" s="469">
        <f>IFERROR(IF(DB_Customers!A183&lt;&gt;"",DB_Customers!A183,""),"")</f>
        <v/>
      </c>
      <c r="C189" s="470">
        <f>IFERROR(IF(DB_Customers!D183&lt;&gt;"",DB_Customers!D183,""),"")</f>
        <v/>
      </c>
      <c r="D189" s="471">
        <f>IFERROR(IF(DB_Customers!Q183&lt;&gt;"",DB_Customers!Q183,""),"")</f>
        <v/>
      </c>
      <c r="E189" s="470">
        <f>IFERROR(IF(DB_Customers!R183&lt;&gt;"",DB_Customers!R183,""),"")</f>
        <v/>
      </c>
      <c r="F189" s="470">
        <f>IFERROR(IF(DB_Customers!S183&lt;&gt;"",DB_Customers!S183,""),"")</f>
        <v/>
      </c>
      <c r="G189" s="470">
        <f>IFERROR(IF(DB_Customers!G183&lt;&gt;"",DB_Customers!G183,""),"")</f>
        <v/>
      </c>
      <c r="H189" s="472">
        <f>IFERROR(IF(DB_Customers!H183&lt;&gt;"",DB_Customers!H183,""),"")</f>
        <v/>
      </c>
      <c r="I189" s="473">
        <f>IFERROR(IF(DB_Customers!I183&lt;&gt;"",DB_Customers!I183,""),"")</f>
        <v/>
      </c>
      <c r="J189" s="471">
        <f>IFERROR(IF(DB_Customers!J183&lt;&gt;"",DB_Customers!J183,""),"")</f>
        <v/>
      </c>
      <c r="K189" s="470">
        <f>IFERROR(IF(DB_Customers!E183&lt;&gt;"",DB_Customers!E183,""),"")</f>
        <v/>
      </c>
      <c r="L189" s="470">
        <f>IFERROR(IF(DB_Customers!F183&lt;&gt;"",DB_Customers!F183,""),"")</f>
        <v/>
      </c>
      <c r="M189" s="470">
        <f>IFERROR(IF(DB_Customers!T183&lt;&gt;"",DB_Customers!T183,""),"")</f>
        <v/>
      </c>
      <c r="N189" s="474">
        <f>IFERROR(IF(DB_Customers!A183&lt;&gt;"",IF(DB_Customers!I183&gt;=10,"Active","Inactive"),""),"")</f>
        <v/>
      </c>
    </row>
    <row r="190" ht="18" customHeight="1" s="341">
      <c r="A190" s="461">
        <f>IF(DB_Customers!A184&lt;&gt;"",181,"")</f>
        <v/>
      </c>
      <c r="B190" s="462">
        <f>IFERROR(IF(DB_Customers!A184&lt;&gt;"",DB_Customers!A184,""),"")</f>
        <v/>
      </c>
      <c r="C190" s="463">
        <f>IFERROR(IF(DB_Customers!D184&lt;&gt;"",DB_Customers!D184,""),"")</f>
        <v/>
      </c>
      <c r="D190" s="464">
        <f>IFERROR(IF(DB_Customers!Q184&lt;&gt;"",DB_Customers!Q184,""),"")</f>
        <v/>
      </c>
      <c r="E190" s="463">
        <f>IFERROR(IF(DB_Customers!R184&lt;&gt;"",DB_Customers!R184,""),"")</f>
        <v/>
      </c>
      <c r="F190" s="463">
        <f>IFERROR(IF(DB_Customers!S184&lt;&gt;"",DB_Customers!S184,""),"")</f>
        <v/>
      </c>
      <c r="G190" s="463">
        <f>IFERROR(IF(DB_Customers!G184&lt;&gt;"",DB_Customers!G184,""),"")</f>
        <v/>
      </c>
      <c r="H190" s="465">
        <f>IFERROR(IF(DB_Customers!H184&lt;&gt;"",DB_Customers!H184,""),"")</f>
        <v/>
      </c>
      <c r="I190" s="466">
        <f>IFERROR(IF(DB_Customers!I184&lt;&gt;"",DB_Customers!I184,""),"")</f>
        <v/>
      </c>
      <c r="J190" s="464">
        <f>IFERROR(IF(DB_Customers!J184&lt;&gt;"",DB_Customers!J184,""),"")</f>
        <v/>
      </c>
      <c r="K190" s="463">
        <f>IFERROR(IF(DB_Customers!E184&lt;&gt;"",DB_Customers!E184,""),"")</f>
        <v/>
      </c>
      <c r="L190" s="463">
        <f>IFERROR(IF(DB_Customers!F184&lt;&gt;"",DB_Customers!F184,""),"")</f>
        <v/>
      </c>
      <c r="M190" s="463">
        <f>IFERROR(IF(DB_Customers!T184&lt;&gt;"",DB_Customers!T184,""),"")</f>
        <v/>
      </c>
      <c r="N190" s="467">
        <f>IFERROR(IF(DB_Customers!A184&lt;&gt;"",IF(DB_Customers!I184&gt;=10,"Active","Inactive"),""),"")</f>
        <v/>
      </c>
    </row>
    <row r="191" ht="18" customHeight="1" s="341">
      <c r="A191" s="468">
        <f>IF(DB_Customers!A185&lt;&gt;"",182,"")</f>
        <v/>
      </c>
      <c r="B191" s="469">
        <f>IFERROR(IF(DB_Customers!A185&lt;&gt;"",DB_Customers!A185,""),"")</f>
        <v/>
      </c>
      <c r="C191" s="470">
        <f>IFERROR(IF(DB_Customers!D185&lt;&gt;"",DB_Customers!D185,""),"")</f>
        <v/>
      </c>
      <c r="D191" s="471">
        <f>IFERROR(IF(DB_Customers!Q185&lt;&gt;"",DB_Customers!Q185,""),"")</f>
        <v/>
      </c>
      <c r="E191" s="470">
        <f>IFERROR(IF(DB_Customers!R185&lt;&gt;"",DB_Customers!R185,""),"")</f>
        <v/>
      </c>
      <c r="F191" s="470">
        <f>IFERROR(IF(DB_Customers!S185&lt;&gt;"",DB_Customers!S185,""),"")</f>
        <v/>
      </c>
      <c r="G191" s="470">
        <f>IFERROR(IF(DB_Customers!G185&lt;&gt;"",DB_Customers!G185,""),"")</f>
        <v/>
      </c>
      <c r="H191" s="472">
        <f>IFERROR(IF(DB_Customers!H185&lt;&gt;"",DB_Customers!H185,""),"")</f>
        <v/>
      </c>
      <c r="I191" s="473">
        <f>IFERROR(IF(DB_Customers!I185&lt;&gt;"",DB_Customers!I185,""),"")</f>
        <v/>
      </c>
      <c r="J191" s="471">
        <f>IFERROR(IF(DB_Customers!J185&lt;&gt;"",DB_Customers!J185,""),"")</f>
        <v/>
      </c>
      <c r="K191" s="470">
        <f>IFERROR(IF(DB_Customers!E185&lt;&gt;"",DB_Customers!E185,""),"")</f>
        <v/>
      </c>
      <c r="L191" s="470">
        <f>IFERROR(IF(DB_Customers!F185&lt;&gt;"",DB_Customers!F185,""),"")</f>
        <v/>
      </c>
      <c r="M191" s="470">
        <f>IFERROR(IF(DB_Customers!T185&lt;&gt;"",DB_Customers!T185,""),"")</f>
        <v/>
      </c>
      <c r="N191" s="474">
        <f>IFERROR(IF(DB_Customers!A185&lt;&gt;"",IF(DB_Customers!I185&gt;=10,"Active","Inactive"),""),"")</f>
        <v/>
      </c>
    </row>
    <row r="192" ht="18" customHeight="1" s="341">
      <c r="A192" s="461">
        <f>IF(DB_Customers!A186&lt;&gt;"",183,"")</f>
        <v/>
      </c>
      <c r="B192" s="462">
        <f>IFERROR(IF(DB_Customers!A186&lt;&gt;"",DB_Customers!A186,""),"")</f>
        <v/>
      </c>
      <c r="C192" s="463">
        <f>IFERROR(IF(DB_Customers!D186&lt;&gt;"",DB_Customers!D186,""),"")</f>
        <v/>
      </c>
      <c r="D192" s="464">
        <f>IFERROR(IF(DB_Customers!Q186&lt;&gt;"",DB_Customers!Q186,""),"")</f>
        <v/>
      </c>
      <c r="E192" s="463">
        <f>IFERROR(IF(DB_Customers!R186&lt;&gt;"",DB_Customers!R186,""),"")</f>
        <v/>
      </c>
      <c r="F192" s="463">
        <f>IFERROR(IF(DB_Customers!S186&lt;&gt;"",DB_Customers!S186,""),"")</f>
        <v/>
      </c>
      <c r="G192" s="463">
        <f>IFERROR(IF(DB_Customers!G186&lt;&gt;"",DB_Customers!G186,""),"")</f>
        <v/>
      </c>
      <c r="H192" s="465">
        <f>IFERROR(IF(DB_Customers!H186&lt;&gt;"",DB_Customers!H186,""),"")</f>
        <v/>
      </c>
      <c r="I192" s="466">
        <f>IFERROR(IF(DB_Customers!I186&lt;&gt;"",DB_Customers!I186,""),"")</f>
        <v/>
      </c>
      <c r="J192" s="464">
        <f>IFERROR(IF(DB_Customers!J186&lt;&gt;"",DB_Customers!J186,""),"")</f>
        <v/>
      </c>
      <c r="K192" s="463">
        <f>IFERROR(IF(DB_Customers!E186&lt;&gt;"",DB_Customers!E186,""),"")</f>
        <v/>
      </c>
      <c r="L192" s="463">
        <f>IFERROR(IF(DB_Customers!F186&lt;&gt;"",DB_Customers!F186,""),"")</f>
        <v/>
      </c>
      <c r="M192" s="463">
        <f>IFERROR(IF(DB_Customers!T186&lt;&gt;"",DB_Customers!T186,""),"")</f>
        <v/>
      </c>
      <c r="N192" s="467">
        <f>IFERROR(IF(DB_Customers!A186&lt;&gt;"",IF(DB_Customers!I186&gt;=10,"Active","Inactive"),""),"")</f>
        <v/>
      </c>
    </row>
    <row r="193" ht="18" customHeight="1" s="341">
      <c r="A193" s="468">
        <f>IF(DB_Customers!A187&lt;&gt;"",184,"")</f>
        <v/>
      </c>
      <c r="B193" s="469">
        <f>IFERROR(IF(DB_Customers!A187&lt;&gt;"",DB_Customers!A187,""),"")</f>
        <v/>
      </c>
      <c r="C193" s="470">
        <f>IFERROR(IF(DB_Customers!D187&lt;&gt;"",DB_Customers!D187,""),"")</f>
        <v/>
      </c>
      <c r="D193" s="471">
        <f>IFERROR(IF(DB_Customers!Q187&lt;&gt;"",DB_Customers!Q187,""),"")</f>
        <v/>
      </c>
      <c r="E193" s="470">
        <f>IFERROR(IF(DB_Customers!R187&lt;&gt;"",DB_Customers!R187,""),"")</f>
        <v/>
      </c>
      <c r="F193" s="470">
        <f>IFERROR(IF(DB_Customers!S187&lt;&gt;"",DB_Customers!S187,""),"")</f>
        <v/>
      </c>
      <c r="G193" s="470">
        <f>IFERROR(IF(DB_Customers!G187&lt;&gt;"",DB_Customers!G187,""),"")</f>
        <v/>
      </c>
      <c r="H193" s="472">
        <f>IFERROR(IF(DB_Customers!H187&lt;&gt;"",DB_Customers!H187,""),"")</f>
        <v/>
      </c>
      <c r="I193" s="473">
        <f>IFERROR(IF(DB_Customers!I187&lt;&gt;"",DB_Customers!I187,""),"")</f>
        <v/>
      </c>
      <c r="J193" s="471">
        <f>IFERROR(IF(DB_Customers!J187&lt;&gt;"",DB_Customers!J187,""),"")</f>
        <v/>
      </c>
      <c r="K193" s="470">
        <f>IFERROR(IF(DB_Customers!E187&lt;&gt;"",DB_Customers!E187,""),"")</f>
        <v/>
      </c>
      <c r="L193" s="470">
        <f>IFERROR(IF(DB_Customers!F187&lt;&gt;"",DB_Customers!F187,""),"")</f>
        <v/>
      </c>
      <c r="M193" s="470">
        <f>IFERROR(IF(DB_Customers!T187&lt;&gt;"",DB_Customers!T187,""),"")</f>
        <v/>
      </c>
      <c r="N193" s="474">
        <f>IFERROR(IF(DB_Customers!A187&lt;&gt;"",IF(DB_Customers!I187&gt;=10,"Active","Inactive"),""),"")</f>
        <v/>
      </c>
    </row>
    <row r="194" ht="18" customHeight="1" s="341">
      <c r="A194" s="461">
        <f>IF(DB_Customers!A188&lt;&gt;"",185,"")</f>
        <v/>
      </c>
      <c r="B194" s="462">
        <f>IFERROR(IF(DB_Customers!A188&lt;&gt;"",DB_Customers!A188,""),"")</f>
        <v/>
      </c>
      <c r="C194" s="463">
        <f>IFERROR(IF(DB_Customers!D188&lt;&gt;"",DB_Customers!D188,""),"")</f>
        <v/>
      </c>
      <c r="D194" s="464">
        <f>IFERROR(IF(DB_Customers!Q188&lt;&gt;"",DB_Customers!Q188,""),"")</f>
        <v/>
      </c>
      <c r="E194" s="463">
        <f>IFERROR(IF(DB_Customers!R188&lt;&gt;"",DB_Customers!R188,""),"")</f>
        <v/>
      </c>
      <c r="F194" s="463">
        <f>IFERROR(IF(DB_Customers!S188&lt;&gt;"",DB_Customers!S188,""),"")</f>
        <v/>
      </c>
      <c r="G194" s="463">
        <f>IFERROR(IF(DB_Customers!G188&lt;&gt;"",DB_Customers!G188,""),"")</f>
        <v/>
      </c>
      <c r="H194" s="465">
        <f>IFERROR(IF(DB_Customers!H188&lt;&gt;"",DB_Customers!H188,""),"")</f>
        <v/>
      </c>
      <c r="I194" s="466">
        <f>IFERROR(IF(DB_Customers!I188&lt;&gt;"",DB_Customers!I188,""),"")</f>
        <v/>
      </c>
      <c r="J194" s="464">
        <f>IFERROR(IF(DB_Customers!J188&lt;&gt;"",DB_Customers!J188,""),"")</f>
        <v/>
      </c>
      <c r="K194" s="463">
        <f>IFERROR(IF(DB_Customers!E188&lt;&gt;"",DB_Customers!E188,""),"")</f>
        <v/>
      </c>
      <c r="L194" s="463">
        <f>IFERROR(IF(DB_Customers!F188&lt;&gt;"",DB_Customers!F188,""),"")</f>
        <v/>
      </c>
      <c r="M194" s="463">
        <f>IFERROR(IF(DB_Customers!T188&lt;&gt;"",DB_Customers!T188,""),"")</f>
        <v/>
      </c>
      <c r="N194" s="467">
        <f>IFERROR(IF(DB_Customers!A188&lt;&gt;"",IF(DB_Customers!I188&gt;=10,"Active","Inactive"),""),"")</f>
        <v/>
      </c>
    </row>
    <row r="195" ht="18" customHeight="1" s="341">
      <c r="A195" s="468">
        <f>IF(DB_Customers!A189&lt;&gt;"",186,"")</f>
        <v/>
      </c>
      <c r="B195" s="469">
        <f>IFERROR(IF(DB_Customers!A189&lt;&gt;"",DB_Customers!A189,""),"")</f>
        <v/>
      </c>
      <c r="C195" s="470">
        <f>IFERROR(IF(DB_Customers!D189&lt;&gt;"",DB_Customers!D189,""),"")</f>
        <v/>
      </c>
      <c r="D195" s="471">
        <f>IFERROR(IF(DB_Customers!Q189&lt;&gt;"",DB_Customers!Q189,""),"")</f>
        <v/>
      </c>
      <c r="E195" s="470">
        <f>IFERROR(IF(DB_Customers!R189&lt;&gt;"",DB_Customers!R189,""),"")</f>
        <v/>
      </c>
      <c r="F195" s="470">
        <f>IFERROR(IF(DB_Customers!S189&lt;&gt;"",DB_Customers!S189,""),"")</f>
        <v/>
      </c>
      <c r="G195" s="470">
        <f>IFERROR(IF(DB_Customers!G189&lt;&gt;"",DB_Customers!G189,""),"")</f>
        <v/>
      </c>
      <c r="H195" s="472">
        <f>IFERROR(IF(DB_Customers!H189&lt;&gt;"",DB_Customers!H189,""),"")</f>
        <v/>
      </c>
      <c r="I195" s="473">
        <f>IFERROR(IF(DB_Customers!I189&lt;&gt;"",DB_Customers!I189,""),"")</f>
        <v/>
      </c>
      <c r="J195" s="471">
        <f>IFERROR(IF(DB_Customers!J189&lt;&gt;"",DB_Customers!J189,""),"")</f>
        <v/>
      </c>
      <c r="K195" s="470">
        <f>IFERROR(IF(DB_Customers!E189&lt;&gt;"",DB_Customers!E189,""),"")</f>
        <v/>
      </c>
      <c r="L195" s="470">
        <f>IFERROR(IF(DB_Customers!F189&lt;&gt;"",DB_Customers!F189,""),"")</f>
        <v/>
      </c>
      <c r="M195" s="470">
        <f>IFERROR(IF(DB_Customers!T189&lt;&gt;"",DB_Customers!T189,""),"")</f>
        <v/>
      </c>
      <c r="N195" s="474">
        <f>IFERROR(IF(DB_Customers!A189&lt;&gt;"",IF(DB_Customers!I189&gt;=10,"Active","Inactive"),""),"")</f>
        <v/>
      </c>
    </row>
    <row r="196" ht="18" customHeight="1" s="341">
      <c r="A196" s="461">
        <f>IF(DB_Customers!A190&lt;&gt;"",187,"")</f>
        <v/>
      </c>
      <c r="B196" s="462">
        <f>IFERROR(IF(DB_Customers!A190&lt;&gt;"",DB_Customers!A190,""),"")</f>
        <v/>
      </c>
      <c r="C196" s="463">
        <f>IFERROR(IF(DB_Customers!D190&lt;&gt;"",DB_Customers!D190,""),"")</f>
        <v/>
      </c>
      <c r="D196" s="464">
        <f>IFERROR(IF(DB_Customers!Q190&lt;&gt;"",DB_Customers!Q190,""),"")</f>
        <v/>
      </c>
      <c r="E196" s="463">
        <f>IFERROR(IF(DB_Customers!R190&lt;&gt;"",DB_Customers!R190,""),"")</f>
        <v/>
      </c>
      <c r="F196" s="463">
        <f>IFERROR(IF(DB_Customers!S190&lt;&gt;"",DB_Customers!S190,""),"")</f>
        <v/>
      </c>
      <c r="G196" s="463">
        <f>IFERROR(IF(DB_Customers!G190&lt;&gt;"",DB_Customers!G190,""),"")</f>
        <v/>
      </c>
      <c r="H196" s="465">
        <f>IFERROR(IF(DB_Customers!H190&lt;&gt;"",DB_Customers!H190,""),"")</f>
        <v/>
      </c>
      <c r="I196" s="466">
        <f>IFERROR(IF(DB_Customers!I190&lt;&gt;"",DB_Customers!I190,""),"")</f>
        <v/>
      </c>
      <c r="J196" s="464">
        <f>IFERROR(IF(DB_Customers!J190&lt;&gt;"",DB_Customers!J190,""),"")</f>
        <v/>
      </c>
      <c r="K196" s="463">
        <f>IFERROR(IF(DB_Customers!E190&lt;&gt;"",DB_Customers!E190,""),"")</f>
        <v/>
      </c>
      <c r="L196" s="463">
        <f>IFERROR(IF(DB_Customers!F190&lt;&gt;"",DB_Customers!F190,""),"")</f>
        <v/>
      </c>
      <c r="M196" s="463">
        <f>IFERROR(IF(DB_Customers!T190&lt;&gt;"",DB_Customers!T190,""),"")</f>
        <v/>
      </c>
      <c r="N196" s="467">
        <f>IFERROR(IF(DB_Customers!A190&lt;&gt;"",IF(DB_Customers!I190&gt;=10,"Active","Inactive"),""),"")</f>
        <v/>
      </c>
    </row>
    <row r="197" ht="18" customHeight="1" s="341">
      <c r="A197" s="468">
        <f>IF(DB_Customers!A191&lt;&gt;"",188,"")</f>
        <v/>
      </c>
      <c r="B197" s="469">
        <f>IFERROR(IF(DB_Customers!A191&lt;&gt;"",DB_Customers!A191,""),"")</f>
        <v/>
      </c>
      <c r="C197" s="470">
        <f>IFERROR(IF(DB_Customers!D191&lt;&gt;"",DB_Customers!D191,""),"")</f>
        <v/>
      </c>
      <c r="D197" s="471">
        <f>IFERROR(IF(DB_Customers!Q191&lt;&gt;"",DB_Customers!Q191,""),"")</f>
        <v/>
      </c>
      <c r="E197" s="470">
        <f>IFERROR(IF(DB_Customers!R191&lt;&gt;"",DB_Customers!R191,""),"")</f>
        <v/>
      </c>
      <c r="F197" s="470">
        <f>IFERROR(IF(DB_Customers!S191&lt;&gt;"",DB_Customers!S191,""),"")</f>
        <v/>
      </c>
      <c r="G197" s="470">
        <f>IFERROR(IF(DB_Customers!G191&lt;&gt;"",DB_Customers!G191,""),"")</f>
        <v/>
      </c>
      <c r="H197" s="472">
        <f>IFERROR(IF(DB_Customers!H191&lt;&gt;"",DB_Customers!H191,""),"")</f>
        <v/>
      </c>
      <c r="I197" s="473">
        <f>IFERROR(IF(DB_Customers!I191&lt;&gt;"",DB_Customers!I191,""),"")</f>
        <v/>
      </c>
      <c r="J197" s="471">
        <f>IFERROR(IF(DB_Customers!J191&lt;&gt;"",DB_Customers!J191,""),"")</f>
        <v/>
      </c>
      <c r="K197" s="470">
        <f>IFERROR(IF(DB_Customers!E191&lt;&gt;"",DB_Customers!E191,""),"")</f>
        <v/>
      </c>
      <c r="L197" s="470">
        <f>IFERROR(IF(DB_Customers!F191&lt;&gt;"",DB_Customers!F191,""),"")</f>
        <v/>
      </c>
      <c r="M197" s="470">
        <f>IFERROR(IF(DB_Customers!T191&lt;&gt;"",DB_Customers!T191,""),"")</f>
        <v/>
      </c>
      <c r="N197" s="474">
        <f>IFERROR(IF(DB_Customers!A191&lt;&gt;"",IF(DB_Customers!I191&gt;=10,"Active","Inactive"),""),"")</f>
        <v/>
      </c>
    </row>
    <row r="198" ht="18" customHeight="1" s="341">
      <c r="A198" s="461">
        <f>IF(DB_Customers!A192&lt;&gt;"",189,"")</f>
        <v/>
      </c>
      <c r="B198" s="462">
        <f>IFERROR(IF(DB_Customers!A192&lt;&gt;"",DB_Customers!A192,""),"")</f>
        <v/>
      </c>
      <c r="C198" s="463">
        <f>IFERROR(IF(DB_Customers!D192&lt;&gt;"",DB_Customers!D192,""),"")</f>
        <v/>
      </c>
      <c r="D198" s="464">
        <f>IFERROR(IF(DB_Customers!Q192&lt;&gt;"",DB_Customers!Q192,""),"")</f>
        <v/>
      </c>
      <c r="E198" s="463">
        <f>IFERROR(IF(DB_Customers!R192&lt;&gt;"",DB_Customers!R192,""),"")</f>
        <v/>
      </c>
      <c r="F198" s="463">
        <f>IFERROR(IF(DB_Customers!S192&lt;&gt;"",DB_Customers!S192,""),"")</f>
        <v/>
      </c>
      <c r="G198" s="463">
        <f>IFERROR(IF(DB_Customers!G192&lt;&gt;"",DB_Customers!G192,""),"")</f>
        <v/>
      </c>
      <c r="H198" s="465">
        <f>IFERROR(IF(DB_Customers!H192&lt;&gt;"",DB_Customers!H192,""),"")</f>
        <v/>
      </c>
      <c r="I198" s="466">
        <f>IFERROR(IF(DB_Customers!I192&lt;&gt;"",DB_Customers!I192,""),"")</f>
        <v/>
      </c>
      <c r="J198" s="464">
        <f>IFERROR(IF(DB_Customers!J192&lt;&gt;"",DB_Customers!J192,""),"")</f>
        <v/>
      </c>
      <c r="K198" s="463">
        <f>IFERROR(IF(DB_Customers!E192&lt;&gt;"",DB_Customers!E192,""),"")</f>
        <v/>
      </c>
      <c r="L198" s="463">
        <f>IFERROR(IF(DB_Customers!F192&lt;&gt;"",DB_Customers!F192,""),"")</f>
        <v/>
      </c>
      <c r="M198" s="463">
        <f>IFERROR(IF(DB_Customers!T192&lt;&gt;"",DB_Customers!T192,""),"")</f>
        <v/>
      </c>
      <c r="N198" s="467">
        <f>IFERROR(IF(DB_Customers!A192&lt;&gt;"",IF(DB_Customers!I192&gt;=10,"Active","Inactive"),""),"")</f>
        <v/>
      </c>
    </row>
    <row r="199" ht="18" customHeight="1" s="341">
      <c r="A199" s="468">
        <f>IF(DB_Customers!A193&lt;&gt;"",190,"")</f>
        <v/>
      </c>
      <c r="B199" s="469">
        <f>IFERROR(IF(DB_Customers!A193&lt;&gt;"",DB_Customers!A193,""),"")</f>
        <v/>
      </c>
      <c r="C199" s="470">
        <f>IFERROR(IF(DB_Customers!D193&lt;&gt;"",DB_Customers!D193,""),"")</f>
        <v/>
      </c>
      <c r="D199" s="471">
        <f>IFERROR(IF(DB_Customers!Q193&lt;&gt;"",DB_Customers!Q193,""),"")</f>
        <v/>
      </c>
      <c r="E199" s="470">
        <f>IFERROR(IF(DB_Customers!R193&lt;&gt;"",DB_Customers!R193,""),"")</f>
        <v/>
      </c>
      <c r="F199" s="470">
        <f>IFERROR(IF(DB_Customers!S193&lt;&gt;"",DB_Customers!S193,""),"")</f>
        <v/>
      </c>
      <c r="G199" s="470">
        <f>IFERROR(IF(DB_Customers!G193&lt;&gt;"",DB_Customers!G193,""),"")</f>
        <v/>
      </c>
      <c r="H199" s="472">
        <f>IFERROR(IF(DB_Customers!H193&lt;&gt;"",DB_Customers!H193,""),"")</f>
        <v/>
      </c>
      <c r="I199" s="473">
        <f>IFERROR(IF(DB_Customers!I193&lt;&gt;"",DB_Customers!I193,""),"")</f>
        <v/>
      </c>
      <c r="J199" s="471">
        <f>IFERROR(IF(DB_Customers!J193&lt;&gt;"",DB_Customers!J193,""),"")</f>
        <v/>
      </c>
      <c r="K199" s="470">
        <f>IFERROR(IF(DB_Customers!E193&lt;&gt;"",DB_Customers!E193,""),"")</f>
        <v/>
      </c>
      <c r="L199" s="470">
        <f>IFERROR(IF(DB_Customers!F193&lt;&gt;"",DB_Customers!F193,""),"")</f>
        <v/>
      </c>
      <c r="M199" s="470">
        <f>IFERROR(IF(DB_Customers!T193&lt;&gt;"",DB_Customers!T193,""),"")</f>
        <v/>
      </c>
      <c r="N199" s="474">
        <f>IFERROR(IF(DB_Customers!A193&lt;&gt;"",IF(DB_Customers!I193&gt;=10,"Active","Inactive"),""),"")</f>
        <v/>
      </c>
    </row>
    <row r="200" ht="18" customHeight="1" s="341">
      <c r="A200" s="461">
        <f>IF(DB_Customers!A194&lt;&gt;"",191,"")</f>
        <v/>
      </c>
      <c r="B200" s="462">
        <f>IFERROR(IF(DB_Customers!A194&lt;&gt;"",DB_Customers!A194,""),"")</f>
        <v/>
      </c>
      <c r="C200" s="463">
        <f>IFERROR(IF(DB_Customers!D194&lt;&gt;"",DB_Customers!D194,""),"")</f>
        <v/>
      </c>
      <c r="D200" s="464">
        <f>IFERROR(IF(DB_Customers!Q194&lt;&gt;"",DB_Customers!Q194,""),"")</f>
        <v/>
      </c>
      <c r="E200" s="463">
        <f>IFERROR(IF(DB_Customers!R194&lt;&gt;"",DB_Customers!R194,""),"")</f>
        <v/>
      </c>
      <c r="F200" s="463">
        <f>IFERROR(IF(DB_Customers!S194&lt;&gt;"",DB_Customers!S194,""),"")</f>
        <v/>
      </c>
      <c r="G200" s="463">
        <f>IFERROR(IF(DB_Customers!G194&lt;&gt;"",DB_Customers!G194,""),"")</f>
        <v/>
      </c>
      <c r="H200" s="465">
        <f>IFERROR(IF(DB_Customers!H194&lt;&gt;"",DB_Customers!H194,""),"")</f>
        <v/>
      </c>
      <c r="I200" s="466">
        <f>IFERROR(IF(DB_Customers!I194&lt;&gt;"",DB_Customers!I194,""),"")</f>
        <v/>
      </c>
      <c r="J200" s="464">
        <f>IFERROR(IF(DB_Customers!J194&lt;&gt;"",DB_Customers!J194,""),"")</f>
        <v/>
      </c>
      <c r="K200" s="463">
        <f>IFERROR(IF(DB_Customers!E194&lt;&gt;"",DB_Customers!E194,""),"")</f>
        <v/>
      </c>
      <c r="L200" s="463">
        <f>IFERROR(IF(DB_Customers!F194&lt;&gt;"",DB_Customers!F194,""),"")</f>
        <v/>
      </c>
      <c r="M200" s="463">
        <f>IFERROR(IF(DB_Customers!T194&lt;&gt;"",DB_Customers!T194,""),"")</f>
        <v/>
      </c>
      <c r="N200" s="467">
        <f>IFERROR(IF(DB_Customers!A194&lt;&gt;"",IF(DB_Customers!I194&gt;=10,"Active","Inactive"),""),"")</f>
        <v/>
      </c>
    </row>
    <row r="201" ht="18" customHeight="1" s="341">
      <c r="A201" s="468">
        <f>IF(DB_Customers!A195&lt;&gt;"",192,"")</f>
        <v/>
      </c>
      <c r="B201" s="469">
        <f>IFERROR(IF(DB_Customers!A195&lt;&gt;"",DB_Customers!A195,""),"")</f>
        <v/>
      </c>
      <c r="C201" s="470">
        <f>IFERROR(IF(DB_Customers!D195&lt;&gt;"",DB_Customers!D195,""),"")</f>
        <v/>
      </c>
      <c r="D201" s="471">
        <f>IFERROR(IF(DB_Customers!Q195&lt;&gt;"",DB_Customers!Q195,""),"")</f>
        <v/>
      </c>
      <c r="E201" s="470">
        <f>IFERROR(IF(DB_Customers!R195&lt;&gt;"",DB_Customers!R195,""),"")</f>
        <v/>
      </c>
      <c r="F201" s="470">
        <f>IFERROR(IF(DB_Customers!S195&lt;&gt;"",DB_Customers!S195,""),"")</f>
        <v/>
      </c>
      <c r="G201" s="470">
        <f>IFERROR(IF(DB_Customers!G195&lt;&gt;"",DB_Customers!G195,""),"")</f>
        <v/>
      </c>
      <c r="H201" s="472">
        <f>IFERROR(IF(DB_Customers!H195&lt;&gt;"",DB_Customers!H195,""),"")</f>
        <v/>
      </c>
      <c r="I201" s="473">
        <f>IFERROR(IF(DB_Customers!I195&lt;&gt;"",DB_Customers!I195,""),"")</f>
        <v/>
      </c>
      <c r="J201" s="471">
        <f>IFERROR(IF(DB_Customers!J195&lt;&gt;"",DB_Customers!J195,""),"")</f>
        <v/>
      </c>
      <c r="K201" s="470">
        <f>IFERROR(IF(DB_Customers!E195&lt;&gt;"",DB_Customers!E195,""),"")</f>
        <v/>
      </c>
      <c r="L201" s="470">
        <f>IFERROR(IF(DB_Customers!F195&lt;&gt;"",DB_Customers!F195,""),"")</f>
        <v/>
      </c>
      <c r="M201" s="470">
        <f>IFERROR(IF(DB_Customers!T195&lt;&gt;"",DB_Customers!T195,""),"")</f>
        <v/>
      </c>
      <c r="N201" s="474">
        <f>IFERROR(IF(DB_Customers!A195&lt;&gt;"",IF(DB_Customers!I195&gt;=10,"Active","Inactive"),""),"")</f>
        <v/>
      </c>
    </row>
    <row r="202" ht="18" customHeight="1" s="341">
      <c r="A202" s="461">
        <f>IF(DB_Customers!A196&lt;&gt;"",193,"")</f>
        <v/>
      </c>
      <c r="B202" s="462">
        <f>IFERROR(IF(DB_Customers!A196&lt;&gt;"",DB_Customers!A196,""),"")</f>
        <v/>
      </c>
      <c r="C202" s="463">
        <f>IFERROR(IF(DB_Customers!D196&lt;&gt;"",DB_Customers!D196,""),"")</f>
        <v/>
      </c>
      <c r="D202" s="464">
        <f>IFERROR(IF(DB_Customers!Q196&lt;&gt;"",DB_Customers!Q196,""),"")</f>
        <v/>
      </c>
      <c r="E202" s="463">
        <f>IFERROR(IF(DB_Customers!R196&lt;&gt;"",DB_Customers!R196,""),"")</f>
        <v/>
      </c>
      <c r="F202" s="463">
        <f>IFERROR(IF(DB_Customers!S196&lt;&gt;"",DB_Customers!S196,""),"")</f>
        <v/>
      </c>
      <c r="G202" s="463">
        <f>IFERROR(IF(DB_Customers!G196&lt;&gt;"",DB_Customers!G196,""),"")</f>
        <v/>
      </c>
      <c r="H202" s="465">
        <f>IFERROR(IF(DB_Customers!H196&lt;&gt;"",DB_Customers!H196,""),"")</f>
        <v/>
      </c>
      <c r="I202" s="466">
        <f>IFERROR(IF(DB_Customers!I196&lt;&gt;"",DB_Customers!I196,""),"")</f>
        <v/>
      </c>
      <c r="J202" s="464">
        <f>IFERROR(IF(DB_Customers!J196&lt;&gt;"",DB_Customers!J196,""),"")</f>
        <v/>
      </c>
      <c r="K202" s="463">
        <f>IFERROR(IF(DB_Customers!E196&lt;&gt;"",DB_Customers!E196,""),"")</f>
        <v/>
      </c>
      <c r="L202" s="463">
        <f>IFERROR(IF(DB_Customers!F196&lt;&gt;"",DB_Customers!F196,""),"")</f>
        <v/>
      </c>
      <c r="M202" s="463">
        <f>IFERROR(IF(DB_Customers!T196&lt;&gt;"",DB_Customers!T196,""),"")</f>
        <v/>
      </c>
      <c r="N202" s="467">
        <f>IFERROR(IF(DB_Customers!A196&lt;&gt;"",IF(DB_Customers!I196&gt;=10,"Active","Inactive"),""),"")</f>
        <v/>
      </c>
    </row>
    <row r="203" ht="18" customHeight="1" s="341">
      <c r="A203" s="468">
        <f>IF(DB_Customers!A197&lt;&gt;"",194,"")</f>
        <v/>
      </c>
      <c r="B203" s="469">
        <f>IFERROR(IF(DB_Customers!A197&lt;&gt;"",DB_Customers!A197,""),"")</f>
        <v/>
      </c>
      <c r="C203" s="470">
        <f>IFERROR(IF(DB_Customers!D197&lt;&gt;"",DB_Customers!D197,""),"")</f>
        <v/>
      </c>
      <c r="D203" s="471">
        <f>IFERROR(IF(DB_Customers!Q197&lt;&gt;"",DB_Customers!Q197,""),"")</f>
        <v/>
      </c>
      <c r="E203" s="470">
        <f>IFERROR(IF(DB_Customers!R197&lt;&gt;"",DB_Customers!R197,""),"")</f>
        <v/>
      </c>
      <c r="F203" s="470">
        <f>IFERROR(IF(DB_Customers!S197&lt;&gt;"",DB_Customers!S197,""),"")</f>
        <v/>
      </c>
      <c r="G203" s="470">
        <f>IFERROR(IF(DB_Customers!G197&lt;&gt;"",DB_Customers!G197,""),"")</f>
        <v/>
      </c>
      <c r="H203" s="472">
        <f>IFERROR(IF(DB_Customers!H197&lt;&gt;"",DB_Customers!H197,""),"")</f>
        <v/>
      </c>
      <c r="I203" s="473">
        <f>IFERROR(IF(DB_Customers!I197&lt;&gt;"",DB_Customers!I197,""),"")</f>
        <v/>
      </c>
      <c r="J203" s="471">
        <f>IFERROR(IF(DB_Customers!J197&lt;&gt;"",DB_Customers!J197,""),"")</f>
        <v/>
      </c>
      <c r="K203" s="470">
        <f>IFERROR(IF(DB_Customers!E197&lt;&gt;"",DB_Customers!E197,""),"")</f>
        <v/>
      </c>
      <c r="L203" s="470">
        <f>IFERROR(IF(DB_Customers!F197&lt;&gt;"",DB_Customers!F197,""),"")</f>
        <v/>
      </c>
      <c r="M203" s="470">
        <f>IFERROR(IF(DB_Customers!T197&lt;&gt;"",DB_Customers!T197,""),"")</f>
        <v/>
      </c>
      <c r="N203" s="474">
        <f>IFERROR(IF(DB_Customers!A197&lt;&gt;"",IF(DB_Customers!I197&gt;=10,"Active","Inactive"),""),"")</f>
        <v/>
      </c>
    </row>
    <row r="204" ht="18" customHeight="1" s="341">
      <c r="A204" s="461">
        <f>IF(DB_Customers!A198&lt;&gt;"",195,"")</f>
        <v/>
      </c>
      <c r="B204" s="462">
        <f>IFERROR(IF(DB_Customers!A198&lt;&gt;"",DB_Customers!A198,""),"")</f>
        <v/>
      </c>
      <c r="C204" s="463">
        <f>IFERROR(IF(DB_Customers!D198&lt;&gt;"",DB_Customers!D198,""),"")</f>
        <v/>
      </c>
      <c r="D204" s="464">
        <f>IFERROR(IF(DB_Customers!Q198&lt;&gt;"",DB_Customers!Q198,""),"")</f>
        <v/>
      </c>
      <c r="E204" s="463">
        <f>IFERROR(IF(DB_Customers!R198&lt;&gt;"",DB_Customers!R198,""),"")</f>
        <v/>
      </c>
      <c r="F204" s="463">
        <f>IFERROR(IF(DB_Customers!S198&lt;&gt;"",DB_Customers!S198,""),"")</f>
        <v/>
      </c>
      <c r="G204" s="463">
        <f>IFERROR(IF(DB_Customers!G198&lt;&gt;"",DB_Customers!G198,""),"")</f>
        <v/>
      </c>
      <c r="H204" s="465">
        <f>IFERROR(IF(DB_Customers!H198&lt;&gt;"",DB_Customers!H198,""),"")</f>
        <v/>
      </c>
      <c r="I204" s="466">
        <f>IFERROR(IF(DB_Customers!I198&lt;&gt;"",DB_Customers!I198,""),"")</f>
        <v/>
      </c>
      <c r="J204" s="464">
        <f>IFERROR(IF(DB_Customers!J198&lt;&gt;"",DB_Customers!J198,""),"")</f>
        <v/>
      </c>
      <c r="K204" s="463">
        <f>IFERROR(IF(DB_Customers!E198&lt;&gt;"",DB_Customers!E198,""),"")</f>
        <v/>
      </c>
      <c r="L204" s="463">
        <f>IFERROR(IF(DB_Customers!F198&lt;&gt;"",DB_Customers!F198,""),"")</f>
        <v/>
      </c>
      <c r="M204" s="463">
        <f>IFERROR(IF(DB_Customers!T198&lt;&gt;"",DB_Customers!T198,""),"")</f>
        <v/>
      </c>
      <c r="N204" s="467">
        <f>IFERROR(IF(DB_Customers!A198&lt;&gt;"",IF(DB_Customers!I198&gt;=10,"Active","Inactive"),""),"")</f>
        <v/>
      </c>
    </row>
    <row r="205" ht="18" customHeight="1" s="341">
      <c r="A205" s="468">
        <f>IF(DB_Customers!A199&lt;&gt;"",196,"")</f>
        <v/>
      </c>
      <c r="B205" s="469">
        <f>IFERROR(IF(DB_Customers!A199&lt;&gt;"",DB_Customers!A199,""),"")</f>
        <v/>
      </c>
      <c r="C205" s="470">
        <f>IFERROR(IF(DB_Customers!D199&lt;&gt;"",DB_Customers!D199,""),"")</f>
        <v/>
      </c>
      <c r="D205" s="471">
        <f>IFERROR(IF(DB_Customers!Q199&lt;&gt;"",DB_Customers!Q199,""),"")</f>
        <v/>
      </c>
      <c r="E205" s="470">
        <f>IFERROR(IF(DB_Customers!R199&lt;&gt;"",DB_Customers!R199,""),"")</f>
        <v/>
      </c>
      <c r="F205" s="470">
        <f>IFERROR(IF(DB_Customers!S199&lt;&gt;"",DB_Customers!S199,""),"")</f>
        <v/>
      </c>
      <c r="G205" s="470">
        <f>IFERROR(IF(DB_Customers!G199&lt;&gt;"",DB_Customers!G199,""),"")</f>
        <v/>
      </c>
      <c r="H205" s="472">
        <f>IFERROR(IF(DB_Customers!H199&lt;&gt;"",DB_Customers!H199,""),"")</f>
        <v/>
      </c>
      <c r="I205" s="473">
        <f>IFERROR(IF(DB_Customers!I199&lt;&gt;"",DB_Customers!I199,""),"")</f>
        <v/>
      </c>
      <c r="J205" s="471">
        <f>IFERROR(IF(DB_Customers!J199&lt;&gt;"",DB_Customers!J199,""),"")</f>
        <v/>
      </c>
      <c r="K205" s="470">
        <f>IFERROR(IF(DB_Customers!E199&lt;&gt;"",DB_Customers!E199,""),"")</f>
        <v/>
      </c>
      <c r="L205" s="470">
        <f>IFERROR(IF(DB_Customers!F199&lt;&gt;"",DB_Customers!F199,""),"")</f>
        <v/>
      </c>
      <c r="M205" s="470">
        <f>IFERROR(IF(DB_Customers!T199&lt;&gt;"",DB_Customers!T199,""),"")</f>
        <v/>
      </c>
      <c r="N205" s="474">
        <f>IFERROR(IF(DB_Customers!A199&lt;&gt;"",IF(DB_Customers!I199&gt;=10,"Active","Inactive"),""),"")</f>
        <v/>
      </c>
    </row>
    <row r="206" ht="18" customHeight="1" s="341">
      <c r="A206" s="461">
        <f>IF(DB_Customers!A200&lt;&gt;"",197,"")</f>
        <v/>
      </c>
      <c r="B206" s="462">
        <f>IFERROR(IF(DB_Customers!A200&lt;&gt;"",DB_Customers!A200,""),"")</f>
        <v/>
      </c>
      <c r="C206" s="463">
        <f>IFERROR(IF(DB_Customers!D200&lt;&gt;"",DB_Customers!D200,""),"")</f>
        <v/>
      </c>
      <c r="D206" s="464">
        <f>IFERROR(IF(DB_Customers!Q200&lt;&gt;"",DB_Customers!Q200,""),"")</f>
        <v/>
      </c>
      <c r="E206" s="463">
        <f>IFERROR(IF(DB_Customers!R200&lt;&gt;"",DB_Customers!R200,""),"")</f>
        <v/>
      </c>
      <c r="F206" s="463">
        <f>IFERROR(IF(DB_Customers!S200&lt;&gt;"",DB_Customers!S200,""),"")</f>
        <v/>
      </c>
      <c r="G206" s="463">
        <f>IFERROR(IF(DB_Customers!G200&lt;&gt;"",DB_Customers!G200,""),"")</f>
        <v/>
      </c>
      <c r="H206" s="465">
        <f>IFERROR(IF(DB_Customers!H200&lt;&gt;"",DB_Customers!H200,""),"")</f>
        <v/>
      </c>
      <c r="I206" s="466">
        <f>IFERROR(IF(DB_Customers!I200&lt;&gt;"",DB_Customers!I200,""),"")</f>
        <v/>
      </c>
      <c r="J206" s="464">
        <f>IFERROR(IF(DB_Customers!J200&lt;&gt;"",DB_Customers!J200,""),"")</f>
        <v/>
      </c>
      <c r="K206" s="463">
        <f>IFERROR(IF(DB_Customers!E200&lt;&gt;"",DB_Customers!E200,""),"")</f>
        <v/>
      </c>
      <c r="L206" s="463">
        <f>IFERROR(IF(DB_Customers!F200&lt;&gt;"",DB_Customers!F200,""),"")</f>
        <v/>
      </c>
      <c r="M206" s="463">
        <f>IFERROR(IF(DB_Customers!T200&lt;&gt;"",DB_Customers!T200,""),"")</f>
        <v/>
      </c>
      <c r="N206" s="467">
        <f>IFERROR(IF(DB_Customers!A200&lt;&gt;"",IF(DB_Customers!I200&gt;=10,"Active","Inactive"),""),"")</f>
        <v/>
      </c>
    </row>
    <row r="207" ht="18" customHeight="1" s="341">
      <c r="A207" s="468">
        <f>IF(DB_Customers!A201&lt;&gt;"",198,"")</f>
        <v/>
      </c>
      <c r="B207" s="469">
        <f>IFERROR(IF(DB_Customers!A201&lt;&gt;"",DB_Customers!A201,""),"")</f>
        <v/>
      </c>
      <c r="C207" s="470">
        <f>IFERROR(IF(DB_Customers!D201&lt;&gt;"",DB_Customers!D201,""),"")</f>
        <v/>
      </c>
      <c r="D207" s="471">
        <f>IFERROR(IF(DB_Customers!Q201&lt;&gt;"",DB_Customers!Q201,""),"")</f>
        <v/>
      </c>
      <c r="E207" s="470">
        <f>IFERROR(IF(DB_Customers!R201&lt;&gt;"",DB_Customers!R201,""),"")</f>
        <v/>
      </c>
      <c r="F207" s="470">
        <f>IFERROR(IF(DB_Customers!S201&lt;&gt;"",DB_Customers!S201,""),"")</f>
        <v/>
      </c>
      <c r="G207" s="470">
        <f>IFERROR(IF(DB_Customers!G201&lt;&gt;"",DB_Customers!G201,""),"")</f>
        <v/>
      </c>
      <c r="H207" s="472">
        <f>IFERROR(IF(DB_Customers!H201&lt;&gt;"",DB_Customers!H201,""),"")</f>
        <v/>
      </c>
      <c r="I207" s="473">
        <f>IFERROR(IF(DB_Customers!I201&lt;&gt;"",DB_Customers!I201,""),"")</f>
        <v/>
      </c>
      <c r="J207" s="471">
        <f>IFERROR(IF(DB_Customers!J201&lt;&gt;"",DB_Customers!J201,""),"")</f>
        <v/>
      </c>
      <c r="K207" s="470">
        <f>IFERROR(IF(DB_Customers!E201&lt;&gt;"",DB_Customers!E201,""),"")</f>
        <v/>
      </c>
      <c r="L207" s="470">
        <f>IFERROR(IF(DB_Customers!F201&lt;&gt;"",DB_Customers!F201,""),"")</f>
        <v/>
      </c>
      <c r="M207" s="470">
        <f>IFERROR(IF(DB_Customers!T201&lt;&gt;"",DB_Customers!T201,""),"")</f>
        <v/>
      </c>
      <c r="N207" s="474">
        <f>IFERROR(IF(DB_Customers!A201&lt;&gt;"",IF(DB_Customers!I201&gt;=10,"Active","Inactive"),""),"")</f>
        <v/>
      </c>
    </row>
    <row r="208" ht="18" customHeight="1" s="341">
      <c r="A208" s="461">
        <f>IF(DB_Customers!A202&lt;&gt;"",199,"")</f>
        <v/>
      </c>
      <c r="B208" s="462">
        <f>IFERROR(IF(DB_Customers!A202&lt;&gt;"",DB_Customers!A202,""),"")</f>
        <v/>
      </c>
      <c r="C208" s="463">
        <f>IFERROR(IF(DB_Customers!D202&lt;&gt;"",DB_Customers!D202,""),"")</f>
        <v/>
      </c>
      <c r="D208" s="464">
        <f>IFERROR(IF(DB_Customers!Q202&lt;&gt;"",DB_Customers!Q202,""),"")</f>
        <v/>
      </c>
      <c r="E208" s="463">
        <f>IFERROR(IF(DB_Customers!R202&lt;&gt;"",DB_Customers!R202,""),"")</f>
        <v/>
      </c>
      <c r="F208" s="463">
        <f>IFERROR(IF(DB_Customers!S202&lt;&gt;"",DB_Customers!S202,""),"")</f>
        <v/>
      </c>
      <c r="G208" s="463">
        <f>IFERROR(IF(DB_Customers!G202&lt;&gt;"",DB_Customers!G202,""),"")</f>
        <v/>
      </c>
      <c r="H208" s="465">
        <f>IFERROR(IF(DB_Customers!H202&lt;&gt;"",DB_Customers!H202,""),"")</f>
        <v/>
      </c>
      <c r="I208" s="466">
        <f>IFERROR(IF(DB_Customers!I202&lt;&gt;"",DB_Customers!I202,""),"")</f>
        <v/>
      </c>
      <c r="J208" s="464">
        <f>IFERROR(IF(DB_Customers!J202&lt;&gt;"",DB_Customers!J202,""),"")</f>
        <v/>
      </c>
      <c r="K208" s="463">
        <f>IFERROR(IF(DB_Customers!E202&lt;&gt;"",DB_Customers!E202,""),"")</f>
        <v/>
      </c>
      <c r="L208" s="463">
        <f>IFERROR(IF(DB_Customers!F202&lt;&gt;"",DB_Customers!F202,""),"")</f>
        <v/>
      </c>
      <c r="M208" s="463">
        <f>IFERROR(IF(DB_Customers!T202&lt;&gt;"",DB_Customers!T202,""),"")</f>
        <v/>
      </c>
      <c r="N208" s="467">
        <f>IFERROR(IF(DB_Customers!A202&lt;&gt;"",IF(DB_Customers!I202&gt;=10,"Active","Inactive"),""),"")</f>
        <v/>
      </c>
    </row>
    <row r="209" ht="18" customHeight="1" s="341">
      <c r="A209" s="468">
        <f>IF(DB_Customers!A203&lt;&gt;"",200,"")</f>
        <v/>
      </c>
      <c r="B209" s="469">
        <f>IFERROR(IF(DB_Customers!A203&lt;&gt;"",DB_Customers!A203,""),"")</f>
        <v/>
      </c>
      <c r="C209" s="470">
        <f>IFERROR(IF(DB_Customers!D203&lt;&gt;"",DB_Customers!D203,""),"")</f>
        <v/>
      </c>
      <c r="D209" s="471">
        <f>IFERROR(IF(DB_Customers!Q203&lt;&gt;"",DB_Customers!Q203,""),"")</f>
        <v/>
      </c>
      <c r="E209" s="470">
        <f>IFERROR(IF(DB_Customers!R203&lt;&gt;"",DB_Customers!R203,""),"")</f>
        <v/>
      </c>
      <c r="F209" s="470">
        <f>IFERROR(IF(DB_Customers!S203&lt;&gt;"",DB_Customers!S203,""),"")</f>
        <v/>
      </c>
      <c r="G209" s="470">
        <f>IFERROR(IF(DB_Customers!G203&lt;&gt;"",DB_Customers!G203,""),"")</f>
        <v/>
      </c>
      <c r="H209" s="472">
        <f>IFERROR(IF(DB_Customers!H203&lt;&gt;"",DB_Customers!H203,""),"")</f>
        <v/>
      </c>
      <c r="I209" s="473">
        <f>IFERROR(IF(DB_Customers!I203&lt;&gt;"",DB_Customers!I203,""),"")</f>
        <v/>
      </c>
      <c r="J209" s="471">
        <f>IFERROR(IF(DB_Customers!J203&lt;&gt;"",DB_Customers!J203,""),"")</f>
        <v/>
      </c>
      <c r="K209" s="470">
        <f>IFERROR(IF(DB_Customers!E203&lt;&gt;"",DB_Customers!E203,""),"")</f>
        <v/>
      </c>
      <c r="L209" s="470">
        <f>IFERROR(IF(DB_Customers!F203&lt;&gt;"",DB_Customers!F203,""),"")</f>
        <v/>
      </c>
      <c r="M209" s="470">
        <f>IFERROR(IF(DB_Customers!T203&lt;&gt;"",DB_Customers!T203,""),"")</f>
        <v/>
      </c>
      <c r="N209" s="474">
        <f>IFERROR(IF(DB_Customers!A203&lt;&gt;"",IF(DB_Customers!I203&gt;=10,"Active","Inactive"),""),"")</f>
        <v/>
      </c>
    </row>
    <row r="210" ht="18" customHeight="1" s="341">
      <c r="A210" s="461">
        <f>IF(DB_Customers!A204&lt;&gt;"",201,"")</f>
        <v/>
      </c>
      <c r="B210" s="462">
        <f>IFERROR(IF(DB_Customers!A204&lt;&gt;"",DB_Customers!A204,""),"")</f>
        <v/>
      </c>
      <c r="C210" s="463">
        <f>IFERROR(IF(DB_Customers!D204&lt;&gt;"",DB_Customers!D204,""),"")</f>
        <v/>
      </c>
      <c r="D210" s="464">
        <f>IFERROR(IF(DB_Customers!Q204&lt;&gt;"",DB_Customers!Q204,""),"")</f>
        <v/>
      </c>
      <c r="E210" s="463">
        <f>IFERROR(IF(DB_Customers!R204&lt;&gt;"",DB_Customers!R204,""),"")</f>
        <v/>
      </c>
      <c r="F210" s="463">
        <f>IFERROR(IF(DB_Customers!S204&lt;&gt;"",DB_Customers!S204,""),"")</f>
        <v/>
      </c>
      <c r="G210" s="463">
        <f>IFERROR(IF(DB_Customers!G204&lt;&gt;"",DB_Customers!G204,""),"")</f>
        <v/>
      </c>
      <c r="H210" s="465">
        <f>IFERROR(IF(DB_Customers!H204&lt;&gt;"",DB_Customers!H204,""),"")</f>
        <v/>
      </c>
      <c r="I210" s="466">
        <f>IFERROR(IF(DB_Customers!I204&lt;&gt;"",DB_Customers!I204,""),"")</f>
        <v/>
      </c>
      <c r="J210" s="464">
        <f>IFERROR(IF(DB_Customers!J204&lt;&gt;"",DB_Customers!J204,""),"")</f>
        <v/>
      </c>
      <c r="K210" s="463">
        <f>IFERROR(IF(DB_Customers!E204&lt;&gt;"",DB_Customers!E204,""),"")</f>
        <v/>
      </c>
      <c r="L210" s="463">
        <f>IFERROR(IF(DB_Customers!F204&lt;&gt;"",DB_Customers!F204,""),"")</f>
        <v/>
      </c>
      <c r="M210" s="463">
        <f>IFERROR(IF(DB_Customers!T204&lt;&gt;"",DB_Customers!T204,""),"")</f>
        <v/>
      </c>
      <c r="N210" s="467">
        <f>IFERROR(IF(DB_Customers!A204&lt;&gt;"",IF(DB_Customers!I204&gt;=10,"Active","Inactive"),""),"")</f>
        <v/>
      </c>
    </row>
    <row r="211" ht="18" customHeight="1" s="341">
      <c r="A211" s="468">
        <f>IF(DB_Customers!A205&lt;&gt;"",202,"")</f>
        <v/>
      </c>
      <c r="B211" s="469">
        <f>IFERROR(IF(DB_Customers!A205&lt;&gt;"",DB_Customers!A205,""),"")</f>
        <v/>
      </c>
      <c r="C211" s="470">
        <f>IFERROR(IF(DB_Customers!D205&lt;&gt;"",DB_Customers!D205,""),"")</f>
        <v/>
      </c>
      <c r="D211" s="471">
        <f>IFERROR(IF(DB_Customers!Q205&lt;&gt;"",DB_Customers!Q205,""),"")</f>
        <v/>
      </c>
      <c r="E211" s="470">
        <f>IFERROR(IF(DB_Customers!R205&lt;&gt;"",DB_Customers!R205,""),"")</f>
        <v/>
      </c>
      <c r="F211" s="470">
        <f>IFERROR(IF(DB_Customers!S205&lt;&gt;"",DB_Customers!S205,""),"")</f>
        <v/>
      </c>
      <c r="G211" s="470">
        <f>IFERROR(IF(DB_Customers!G205&lt;&gt;"",DB_Customers!G205,""),"")</f>
        <v/>
      </c>
      <c r="H211" s="472">
        <f>IFERROR(IF(DB_Customers!H205&lt;&gt;"",DB_Customers!H205,""),"")</f>
        <v/>
      </c>
      <c r="I211" s="473">
        <f>IFERROR(IF(DB_Customers!I205&lt;&gt;"",DB_Customers!I205,""),"")</f>
        <v/>
      </c>
      <c r="J211" s="471">
        <f>IFERROR(IF(DB_Customers!J205&lt;&gt;"",DB_Customers!J205,""),"")</f>
        <v/>
      </c>
      <c r="K211" s="470">
        <f>IFERROR(IF(DB_Customers!E205&lt;&gt;"",DB_Customers!E205,""),"")</f>
        <v/>
      </c>
      <c r="L211" s="470">
        <f>IFERROR(IF(DB_Customers!F205&lt;&gt;"",DB_Customers!F205,""),"")</f>
        <v/>
      </c>
      <c r="M211" s="470">
        <f>IFERROR(IF(DB_Customers!T205&lt;&gt;"",DB_Customers!T205,""),"")</f>
        <v/>
      </c>
      <c r="N211" s="474">
        <f>IFERROR(IF(DB_Customers!A205&lt;&gt;"",IF(DB_Customers!I205&gt;=10,"Active","Inactive"),""),"")</f>
        <v/>
      </c>
    </row>
    <row r="212" ht="18" customHeight="1" s="341">
      <c r="A212" s="461">
        <f>IF(DB_Customers!A206&lt;&gt;"",203,"")</f>
        <v/>
      </c>
      <c r="B212" s="462">
        <f>IFERROR(IF(DB_Customers!A206&lt;&gt;"",DB_Customers!A206,""),"")</f>
        <v/>
      </c>
      <c r="C212" s="463">
        <f>IFERROR(IF(DB_Customers!D206&lt;&gt;"",DB_Customers!D206,""),"")</f>
        <v/>
      </c>
      <c r="D212" s="464">
        <f>IFERROR(IF(DB_Customers!Q206&lt;&gt;"",DB_Customers!Q206,""),"")</f>
        <v/>
      </c>
      <c r="E212" s="463">
        <f>IFERROR(IF(DB_Customers!R206&lt;&gt;"",DB_Customers!R206,""),"")</f>
        <v/>
      </c>
      <c r="F212" s="463">
        <f>IFERROR(IF(DB_Customers!S206&lt;&gt;"",DB_Customers!S206,""),"")</f>
        <v/>
      </c>
      <c r="G212" s="463">
        <f>IFERROR(IF(DB_Customers!G206&lt;&gt;"",DB_Customers!G206,""),"")</f>
        <v/>
      </c>
      <c r="H212" s="465">
        <f>IFERROR(IF(DB_Customers!H206&lt;&gt;"",DB_Customers!H206,""),"")</f>
        <v/>
      </c>
      <c r="I212" s="466">
        <f>IFERROR(IF(DB_Customers!I206&lt;&gt;"",DB_Customers!I206,""),"")</f>
        <v/>
      </c>
      <c r="J212" s="464">
        <f>IFERROR(IF(DB_Customers!J206&lt;&gt;"",DB_Customers!J206,""),"")</f>
        <v/>
      </c>
      <c r="K212" s="463">
        <f>IFERROR(IF(DB_Customers!E206&lt;&gt;"",DB_Customers!E206,""),"")</f>
        <v/>
      </c>
      <c r="L212" s="463">
        <f>IFERROR(IF(DB_Customers!F206&lt;&gt;"",DB_Customers!F206,""),"")</f>
        <v/>
      </c>
      <c r="M212" s="463">
        <f>IFERROR(IF(DB_Customers!T206&lt;&gt;"",DB_Customers!T206,""),"")</f>
        <v/>
      </c>
      <c r="N212" s="467">
        <f>IFERROR(IF(DB_Customers!A206&lt;&gt;"",IF(DB_Customers!I206&gt;=10,"Active","Inactive"),""),"")</f>
        <v/>
      </c>
    </row>
    <row r="213" ht="18" customHeight="1" s="341">
      <c r="A213" s="468">
        <f>IF(DB_Customers!A207&lt;&gt;"",204,"")</f>
        <v/>
      </c>
      <c r="B213" s="469">
        <f>IFERROR(IF(DB_Customers!A207&lt;&gt;"",DB_Customers!A207,""),"")</f>
        <v/>
      </c>
      <c r="C213" s="470">
        <f>IFERROR(IF(DB_Customers!D207&lt;&gt;"",DB_Customers!D207,""),"")</f>
        <v/>
      </c>
      <c r="D213" s="471">
        <f>IFERROR(IF(DB_Customers!Q207&lt;&gt;"",DB_Customers!Q207,""),"")</f>
        <v/>
      </c>
      <c r="E213" s="470">
        <f>IFERROR(IF(DB_Customers!R207&lt;&gt;"",DB_Customers!R207,""),"")</f>
        <v/>
      </c>
      <c r="F213" s="470">
        <f>IFERROR(IF(DB_Customers!S207&lt;&gt;"",DB_Customers!S207,""),"")</f>
        <v/>
      </c>
      <c r="G213" s="470">
        <f>IFERROR(IF(DB_Customers!G207&lt;&gt;"",DB_Customers!G207,""),"")</f>
        <v/>
      </c>
      <c r="H213" s="472">
        <f>IFERROR(IF(DB_Customers!H207&lt;&gt;"",DB_Customers!H207,""),"")</f>
        <v/>
      </c>
      <c r="I213" s="473">
        <f>IFERROR(IF(DB_Customers!I207&lt;&gt;"",DB_Customers!I207,""),"")</f>
        <v/>
      </c>
      <c r="J213" s="471">
        <f>IFERROR(IF(DB_Customers!J207&lt;&gt;"",DB_Customers!J207,""),"")</f>
        <v/>
      </c>
      <c r="K213" s="470">
        <f>IFERROR(IF(DB_Customers!E207&lt;&gt;"",DB_Customers!E207,""),"")</f>
        <v/>
      </c>
      <c r="L213" s="470">
        <f>IFERROR(IF(DB_Customers!F207&lt;&gt;"",DB_Customers!F207,""),"")</f>
        <v/>
      </c>
      <c r="M213" s="470">
        <f>IFERROR(IF(DB_Customers!T207&lt;&gt;"",DB_Customers!T207,""),"")</f>
        <v/>
      </c>
      <c r="N213" s="474">
        <f>IFERROR(IF(DB_Customers!A207&lt;&gt;"",IF(DB_Customers!I207&gt;=10,"Active","Inactive"),""),"")</f>
        <v/>
      </c>
    </row>
    <row r="214" ht="18" customHeight="1" s="341">
      <c r="A214" s="461">
        <f>IF(DB_Customers!A208&lt;&gt;"",205,"")</f>
        <v/>
      </c>
      <c r="B214" s="462">
        <f>IFERROR(IF(DB_Customers!A208&lt;&gt;"",DB_Customers!A208,""),"")</f>
        <v/>
      </c>
      <c r="C214" s="463">
        <f>IFERROR(IF(DB_Customers!D208&lt;&gt;"",DB_Customers!D208,""),"")</f>
        <v/>
      </c>
      <c r="D214" s="464">
        <f>IFERROR(IF(DB_Customers!Q208&lt;&gt;"",DB_Customers!Q208,""),"")</f>
        <v/>
      </c>
      <c r="E214" s="463">
        <f>IFERROR(IF(DB_Customers!R208&lt;&gt;"",DB_Customers!R208,""),"")</f>
        <v/>
      </c>
      <c r="F214" s="463">
        <f>IFERROR(IF(DB_Customers!S208&lt;&gt;"",DB_Customers!S208,""),"")</f>
        <v/>
      </c>
      <c r="G214" s="463">
        <f>IFERROR(IF(DB_Customers!G208&lt;&gt;"",DB_Customers!G208,""),"")</f>
        <v/>
      </c>
      <c r="H214" s="465">
        <f>IFERROR(IF(DB_Customers!H208&lt;&gt;"",DB_Customers!H208,""),"")</f>
        <v/>
      </c>
      <c r="I214" s="466">
        <f>IFERROR(IF(DB_Customers!I208&lt;&gt;"",DB_Customers!I208,""),"")</f>
        <v/>
      </c>
      <c r="J214" s="464">
        <f>IFERROR(IF(DB_Customers!J208&lt;&gt;"",DB_Customers!J208,""),"")</f>
        <v/>
      </c>
      <c r="K214" s="463">
        <f>IFERROR(IF(DB_Customers!E208&lt;&gt;"",DB_Customers!E208,""),"")</f>
        <v/>
      </c>
      <c r="L214" s="463">
        <f>IFERROR(IF(DB_Customers!F208&lt;&gt;"",DB_Customers!F208,""),"")</f>
        <v/>
      </c>
      <c r="M214" s="463">
        <f>IFERROR(IF(DB_Customers!T208&lt;&gt;"",DB_Customers!T208,""),"")</f>
        <v/>
      </c>
      <c r="N214" s="467">
        <f>IFERROR(IF(DB_Customers!A208&lt;&gt;"",IF(DB_Customers!I208&gt;=10,"Active","Inactive"),""),"")</f>
        <v/>
      </c>
    </row>
    <row r="215" ht="18" customHeight="1" s="341">
      <c r="A215" s="468">
        <f>IF(DB_Customers!A209&lt;&gt;"",206,"")</f>
        <v/>
      </c>
      <c r="B215" s="469">
        <f>IFERROR(IF(DB_Customers!A209&lt;&gt;"",DB_Customers!A209,""),"")</f>
        <v/>
      </c>
      <c r="C215" s="470">
        <f>IFERROR(IF(DB_Customers!D209&lt;&gt;"",DB_Customers!D209,""),"")</f>
        <v/>
      </c>
      <c r="D215" s="471">
        <f>IFERROR(IF(DB_Customers!Q209&lt;&gt;"",DB_Customers!Q209,""),"")</f>
        <v/>
      </c>
      <c r="E215" s="470">
        <f>IFERROR(IF(DB_Customers!R209&lt;&gt;"",DB_Customers!R209,""),"")</f>
        <v/>
      </c>
      <c r="F215" s="470">
        <f>IFERROR(IF(DB_Customers!S209&lt;&gt;"",DB_Customers!S209,""),"")</f>
        <v/>
      </c>
      <c r="G215" s="470">
        <f>IFERROR(IF(DB_Customers!G209&lt;&gt;"",DB_Customers!G209,""),"")</f>
        <v/>
      </c>
      <c r="H215" s="472">
        <f>IFERROR(IF(DB_Customers!H209&lt;&gt;"",DB_Customers!H209,""),"")</f>
        <v/>
      </c>
      <c r="I215" s="473">
        <f>IFERROR(IF(DB_Customers!I209&lt;&gt;"",DB_Customers!I209,""),"")</f>
        <v/>
      </c>
      <c r="J215" s="471">
        <f>IFERROR(IF(DB_Customers!J209&lt;&gt;"",DB_Customers!J209,""),"")</f>
        <v/>
      </c>
      <c r="K215" s="470">
        <f>IFERROR(IF(DB_Customers!E209&lt;&gt;"",DB_Customers!E209,""),"")</f>
        <v/>
      </c>
      <c r="L215" s="470">
        <f>IFERROR(IF(DB_Customers!F209&lt;&gt;"",DB_Customers!F209,""),"")</f>
        <v/>
      </c>
      <c r="M215" s="470">
        <f>IFERROR(IF(DB_Customers!T209&lt;&gt;"",DB_Customers!T209,""),"")</f>
        <v/>
      </c>
      <c r="N215" s="474">
        <f>IFERROR(IF(DB_Customers!A209&lt;&gt;"",IF(DB_Customers!I209&gt;=10,"Active","Inactive"),""),"")</f>
        <v/>
      </c>
    </row>
    <row r="216" ht="18" customHeight="1" s="341">
      <c r="A216" s="461">
        <f>IF(DB_Customers!A210&lt;&gt;"",207,"")</f>
        <v/>
      </c>
      <c r="B216" s="462">
        <f>IFERROR(IF(DB_Customers!A210&lt;&gt;"",DB_Customers!A210,""),"")</f>
        <v/>
      </c>
      <c r="C216" s="463">
        <f>IFERROR(IF(DB_Customers!D210&lt;&gt;"",DB_Customers!D210,""),"")</f>
        <v/>
      </c>
      <c r="D216" s="464">
        <f>IFERROR(IF(DB_Customers!Q210&lt;&gt;"",DB_Customers!Q210,""),"")</f>
        <v/>
      </c>
      <c r="E216" s="463">
        <f>IFERROR(IF(DB_Customers!R210&lt;&gt;"",DB_Customers!R210,""),"")</f>
        <v/>
      </c>
      <c r="F216" s="463">
        <f>IFERROR(IF(DB_Customers!S210&lt;&gt;"",DB_Customers!S210,""),"")</f>
        <v/>
      </c>
      <c r="G216" s="463">
        <f>IFERROR(IF(DB_Customers!G210&lt;&gt;"",DB_Customers!G210,""),"")</f>
        <v/>
      </c>
      <c r="H216" s="465">
        <f>IFERROR(IF(DB_Customers!H210&lt;&gt;"",DB_Customers!H210,""),"")</f>
        <v/>
      </c>
      <c r="I216" s="466">
        <f>IFERROR(IF(DB_Customers!I210&lt;&gt;"",DB_Customers!I210,""),"")</f>
        <v/>
      </c>
      <c r="J216" s="464">
        <f>IFERROR(IF(DB_Customers!J210&lt;&gt;"",DB_Customers!J210,""),"")</f>
        <v/>
      </c>
      <c r="K216" s="463">
        <f>IFERROR(IF(DB_Customers!E210&lt;&gt;"",DB_Customers!E210,""),"")</f>
        <v/>
      </c>
      <c r="L216" s="463">
        <f>IFERROR(IF(DB_Customers!F210&lt;&gt;"",DB_Customers!F210,""),"")</f>
        <v/>
      </c>
      <c r="M216" s="463">
        <f>IFERROR(IF(DB_Customers!T210&lt;&gt;"",DB_Customers!T210,""),"")</f>
        <v/>
      </c>
      <c r="N216" s="467">
        <f>IFERROR(IF(DB_Customers!A210&lt;&gt;"",IF(DB_Customers!I210&gt;=10,"Active","Inactive"),""),"")</f>
        <v/>
      </c>
    </row>
    <row r="217" ht="18" customHeight="1" s="341">
      <c r="A217" s="468">
        <f>IF(DB_Customers!A211&lt;&gt;"",208,"")</f>
        <v/>
      </c>
      <c r="B217" s="469">
        <f>IFERROR(IF(DB_Customers!A211&lt;&gt;"",DB_Customers!A211,""),"")</f>
        <v/>
      </c>
      <c r="C217" s="470">
        <f>IFERROR(IF(DB_Customers!D211&lt;&gt;"",DB_Customers!D211,""),"")</f>
        <v/>
      </c>
      <c r="D217" s="471">
        <f>IFERROR(IF(DB_Customers!Q211&lt;&gt;"",DB_Customers!Q211,""),"")</f>
        <v/>
      </c>
      <c r="E217" s="470">
        <f>IFERROR(IF(DB_Customers!R211&lt;&gt;"",DB_Customers!R211,""),"")</f>
        <v/>
      </c>
      <c r="F217" s="470">
        <f>IFERROR(IF(DB_Customers!S211&lt;&gt;"",DB_Customers!S211,""),"")</f>
        <v/>
      </c>
      <c r="G217" s="470">
        <f>IFERROR(IF(DB_Customers!G211&lt;&gt;"",DB_Customers!G211,""),"")</f>
        <v/>
      </c>
      <c r="H217" s="472">
        <f>IFERROR(IF(DB_Customers!H211&lt;&gt;"",DB_Customers!H211,""),"")</f>
        <v/>
      </c>
      <c r="I217" s="473">
        <f>IFERROR(IF(DB_Customers!I211&lt;&gt;"",DB_Customers!I211,""),"")</f>
        <v/>
      </c>
      <c r="J217" s="471">
        <f>IFERROR(IF(DB_Customers!J211&lt;&gt;"",DB_Customers!J211,""),"")</f>
        <v/>
      </c>
      <c r="K217" s="470">
        <f>IFERROR(IF(DB_Customers!E211&lt;&gt;"",DB_Customers!E211,""),"")</f>
        <v/>
      </c>
      <c r="L217" s="470">
        <f>IFERROR(IF(DB_Customers!F211&lt;&gt;"",DB_Customers!F211,""),"")</f>
        <v/>
      </c>
      <c r="M217" s="470">
        <f>IFERROR(IF(DB_Customers!T211&lt;&gt;"",DB_Customers!T211,""),"")</f>
        <v/>
      </c>
      <c r="N217" s="474">
        <f>IFERROR(IF(DB_Customers!A211&lt;&gt;"",IF(DB_Customers!I211&gt;=10,"Active","Inactive"),""),"")</f>
        <v/>
      </c>
    </row>
    <row r="218" ht="18" customHeight="1" s="341">
      <c r="A218" s="461">
        <f>IF(DB_Customers!A212&lt;&gt;"",209,"")</f>
        <v/>
      </c>
      <c r="B218" s="462">
        <f>IFERROR(IF(DB_Customers!A212&lt;&gt;"",DB_Customers!A212,""),"")</f>
        <v/>
      </c>
      <c r="C218" s="463">
        <f>IFERROR(IF(DB_Customers!D212&lt;&gt;"",DB_Customers!D212,""),"")</f>
        <v/>
      </c>
      <c r="D218" s="464">
        <f>IFERROR(IF(DB_Customers!Q212&lt;&gt;"",DB_Customers!Q212,""),"")</f>
        <v/>
      </c>
      <c r="E218" s="463">
        <f>IFERROR(IF(DB_Customers!R212&lt;&gt;"",DB_Customers!R212,""),"")</f>
        <v/>
      </c>
      <c r="F218" s="463">
        <f>IFERROR(IF(DB_Customers!S212&lt;&gt;"",DB_Customers!S212,""),"")</f>
        <v/>
      </c>
      <c r="G218" s="463">
        <f>IFERROR(IF(DB_Customers!G212&lt;&gt;"",DB_Customers!G212,""),"")</f>
        <v/>
      </c>
      <c r="H218" s="465">
        <f>IFERROR(IF(DB_Customers!H212&lt;&gt;"",DB_Customers!H212,""),"")</f>
        <v/>
      </c>
      <c r="I218" s="466">
        <f>IFERROR(IF(DB_Customers!I212&lt;&gt;"",DB_Customers!I212,""),"")</f>
        <v/>
      </c>
      <c r="J218" s="464">
        <f>IFERROR(IF(DB_Customers!J212&lt;&gt;"",DB_Customers!J212,""),"")</f>
        <v/>
      </c>
      <c r="K218" s="463">
        <f>IFERROR(IF(DB_Customers!E212&lt;&gt;"",DB_Customers!E212,""),"")</f>
        <v/>
      </c>
      <c r="L218" s="463">
        <f>IFERROR(IF(DB_Customers!F212&lt;&gt;"",DB_Customers!F212,""),"")</f>
        <v/>
      </c>
      <c r="M218" s="463">
        <f>IFERROR(IF(DB_Customers!T212&lt;&gt;"",DB_Customers!T212,""),"")</f>
        <v/>
      </c>
      <c r="N218" s="467">
        <f>IFERROR(IF(DB_Customers!A212&lt;&gt;"",IF(DB_Customers!I212&gt;=10,"Active","Inactive"),""),"")</f>
        <v/>
      </c>
    </row>
    <row r="219" ht="18" customHeight="1" s="341">
      <c r="A219" s="468">
        <f>IF(DB_Customers!A213&lt;&gt;"",210,"")</f>
        <v/>
      </c>
      <c r="B219" s="469">
        <f>IFERROR(IF(DB_Customers!A213&lt;&gt;"",DB_Customers!A213,""),"")</f>
        <v/>
      </c>
      <c r="C219" s="470">
        <f>IFERROR(IF(DB_Customers!D213&lt;&gt;"",DB_Customers!D213,""),"")</f>
        <v/>
      </c>
      <c r="D219" s="471">
        <f>IFERROR(IF(DB_Customers!Q213&lt;&gt;"",DB_Customers!Q213,""),"")</f>
        <v/>
      </c>
      <c r="E219" s="470">
        <f>IFERROR(IF(DB_Customers!R213&lt;&gt;"",DB_Customers!R213,""),"")</f>
        <v/>
      </c>
      <c r="F219" s="470">
        <f>IFERROR(IF(DB_Customers!S213&lt;&gt;"",DB_Customers!S213,""),"")</f>
        <v/>
      </c>
      <c r="G219" s="470">
        <f>IFERROR(IF(DB_Customers!G213&lt;&gt;"",DB_Customers!G213,""),"")</f>
        <v/>
      </c>
      <c r="H219" s="472">
        <f>IFERROR(IF(DB_Customers!H213&lt;&gt;"",DB_Customers!H213,""),"")</f>
        <v/>
      </c>
      <c r="I219" s="473">
        <f>IFERROR(IF(DB_Customers!I213&lt;&gt;"",DB_Customers!I213,""),"")</f>
        <v/>
      </c>
      <c r="J219" s="471">
        <f>IFERROR(IF(DB_Customers!J213&lt;&gt;"",DB_Customers!J213,""),"")</f>
        <v/>
      </c>
      <c r="K219" s="470">
        <f>IFERROR(IF(DB_Customers!E213&lt;&gt;"",DB_Customers!E213,""),"")</f>
        <v/>
      </c>
      <c r="L219" s="470">
        <f>IFERROR(IF(DB_Customers!F213&lt;&gt;"",DB_Customers!F213,""),"")</f>
        <v/>
      </c>
      <c r="M219" s="470">
        <f>IFERROR(IF(DB_Customers!T213&lt;&gt;"",DB_Customers!T213,""),"")</f>
        <v/>
      </c>
      <c r="N219" s="474">
        <f>IFERROR(IF(DB_Customers!A213&lt;&gt;"",IF(DB_Customers!I213&gt;=10,"Active","Inactive"),""),"")</f>
        <v/>
      </c>
    </row>
    <row r="220" ht="18" customHeight="1" s="341">
      <c r="A220" s="461">
        <f>IF(DB_Customers!A214&lt;&gt;"",211,"")</f>
        <v/>
      </c>
      <c r="B220" s="462">
        <f>IFERROR(IF(DB_Customers!A214&lt;&gt;"",DB_Customers!A214,""),"")</f>
        <v/>
      </c>
      <c r="C220" s="463">
        <f>IFERROR(IF(DB_Customers!D214&lt;&gt;"",DB_Customers!D214,""),"")</f>
        <v/>
      </c>
      <c r="D220" s="464">
        <f>IFERROR(IF(DB_Customers!Q214&lt;&gt;"",DB_Customers!Q214,""),"")</f>
        <v/>
      </c>
      <c r="E220" s="463">
        <f>IFERROR(IF(DB_Customers!R214&lt;&gt;"",DB_Customers!R214,""),"")</f>
        <v/>
      </c>
      <c r="F220" s="463">
        <f>IFERROR(IF(DB_Customers!S214&lt;&gt;"",DB_Customers!S214,""),"")</f>
        <v/>
      </c>
      <c r="G220" s="463">
        <f>IFERROR(IF(DB_Customers!G214&lt;&gt;"",DB_Customers!G214,""),"")</f>
        <v/>
      </c>
      <c r="H220" s="465">
        <f>IFERROR(IF(DB_Customers!H214&lt;&gt;"",DB_Customers!H214,""),"")</f>
        <v/>
      </c>
      <c r="I220" s="466">
        <f>IFERROR(IF(DB_Customers!I214&lt;&gt;"",DB_Customers!I214,""),"")</f>
        <v/>
      </c>
      <c r="J220" s="464">
        <f>IFERROR(IF(DB_Customers!J214&lt;&gt;"",DB_Customers!J214,""),"")</f>
        <v/>
      </c>
      <c r="K220" s="463">
        <f>IFERROR(IF(DB_Customers!E214&lt;&gt;"",DB_Customers!E214,""),"")</f>
        <v/>
      </c>
      <c r="L220" s="463">
        <f>IFERROR(IF(DB_Customers!F214&lt;&gt;"",DB_Customers!F214,""),"")</f>
        <v/>
      </c>
      <c r="M220" s="463">
        <f>IFERROR(IF(DB_Customers!T214&lt;&gt;"",DB_Customers!T214,""),"")</f>
        <v/>
      </c>
      <c r="N220" s="467">
        <f>IFERROR(IF(DB_Customers!A214&lt;&gt;"",IF(DB_Customers!I214&gt;=10,"Active","Inactive"),""),"")</f>
        <v/>
      </c>
    </row>
    <row r="221" ht="18" customHeight="1" s="341">
      <c r="A221" s="468">
        <f>IF(DB_Customers!A215&lt;&gt;"",212,"")</f>
        <v/>
      </c>
      <c r="B221" s="469">
        <f>IFERROR(IF(DB_Customers!A215&lt;&gt;"",DB_Customers!A215,""),"")</f>
        <v/>
      </c>
      <c r="C221" s="470">
        <f>IFERROR(IF(DB_Customers!D215&lt;&gt;"",DB_Customers!D215,""),"")</f>
        <v/>
      </c>
      <c r="D221" s="471">
        <f>IFERROR(IF(DB_Customers!Q215&lt;&gt;"",DB_Customers!Q215,""),"")</f>
        <v/>
      </c>
      <c r="E221" s="470">
        <f>IFERROR(IF(DB_Customers!R215&lt;&gt;"",DB_Customers!R215,""),"")</f>
        <v/>
      </c>
      <c r="F221" s="470">
        <f>IFERROR(IF(DB_Customers!S215&lt;&gt;"",DB_Customers!S215,""),"")</f>
        <v/>
      </c>
      <c r="G221" s="470">
        <f>IFERROR(IF(DB_Customers!G215&lt;&gt;"",DB_Customers!G215,""),"")</f>
        <v/>
      </c>
      <c r="H221" s="472">
        <f>IFERROR(IF(DB_Customers!H215&lt;&gt;"",DB_Customers!H215,""),"")</f>
        <v/>
      </c>
      <c r="I221" s="473">
        <f>IFERROR(IF(DB_Customers!I215&lt;&gt;"",DB_Customers!I215,""),"")</f>
        <v/>
      </c>
      <c r="J221" s="471">
        <f>IFERROR(IF(DB_Customers!J215&lt;&gt;"",DB_Customers!J215,""),"")</f>
        <v/>
      </c>
      <c r="K221" s="470">
        <f>IFERROR(IF(DB_Customers!E215&lt;&gt;"",DB_Customers!E215,""),"")</f>
        <v/>
      </c>
      <c r="L221" s="470">
        <f>IFERROR(IF(DB_Customers!F215&lt;&gt;"",DB_Customers!F215,""),"")</f>
        <v/>
      </c>
      <c r="M221" s="470">
        <f>IFERROR(IF(DB_Customers!T215&lt;&gt;"",DB_Customers!T215,""),"")</f>
        <v/>
      </c>
      <c r="N221" s="474">
        <f>IFERROR(IF(DB_Customers!A215&lt;&gt;"",IF(DB_Customers!I215&gt;=10,"Active","Inactive"),""),"")</f>
        <v/>
      </c>
    </row>
    <row r="222" ht="18" customHeight="1" s="341">
      <c r="A222" s="461">
        <f>IF(DB_Customers!A216&lt;&gt;"",213,"")</f>
        <v/>
      </c>
      <c r="B222" s="462">
        <f>IFERROR(IF(DB_Customers!A216&lt;&gt;"",DB_Customers!A216,""),"")</f>
        <v/>
      </c>
      <c r="C222" s="463">
        <f>IFERROR(IF(DB_Customers!D216&lt;&gt;"",DB_Customers!D216,""),"")</f>
        <v/>
      </c>
      <c r="D222" s="464">
        <f>IFERROR(IF(DB_Customers!Q216&lt;&gt;"",DB_Customers!Q216,""),"")</f>
        <v/>
      </c>
      <c r="E222" s="463">
        <f>IFERROR(IF(DB_Customers!R216&lt;&gt;"",DB_Customers!R216,""),"")</f>
        <v/>
      </c>
      <c r="F222" s="463">
        <f>IFERROR(IF(DB_Customers!S216&lt;&gt;"",DB_Customers!S216,""),"")</f>
        <v/>
      </c>
      <c r="G222" s="463">
        <f>IFERROR(IF(DB_Customers!G216&lt;&gt;"",DB_Customers!G216,""),"")</f>
        <v/>
      </c>
      <c r="H222" s="465">
        <f>IFERROR(IF(DB_Customers!H216&lt;&gt;"",DB_Customers!H216,""),"")</f>
        <v/>
      </c>
      <c r="I222" s="466">
        <f>IFERROR(IF(DB_Customers!I216&lt;&gt;"",DB_Customers!I216,""),"")</f>
        <v/>
      </c>
      <c r="J222" s="464">
        <f>IFERROR(IF(DB_Customers!J216&lt;&gt;"",DB_Customers!J216,""),"")</f>
        <v/>
      </c>
      <c r="K222" s="463">
        <f>IFERROR(IF(DB_Customers!E216&lt;&gt;"",DB_Customers!E216,""),"")</f>
        <v/>
      </c>
      <c r="L222" s="463">
        <f>IFERROR(IF(DB_Customers!F216&lt;&gt;"",DB_Customers!F216,""),"")</f>
        <v/>
      </c>
      <c r="M222" s="463">
        <f>IFERROR(IF(DB_Customers!T216&lt;&gt;"",DB_Customers!T216,""),"")</f>
        <v/>
      </c>
      <c r="N222" s="467">
        <f>IFERROR(IF(DB_Customers!A216&lt;&gt;"",IF(DB_Customers!I216&gt;=10,"Active","Inactive"),""),"")</f>
        <v/>
      </c>
    </row>
    <row r="223" ht="18" customHeight="1" s="341">
      <c r="A223" s="468">
        <f>IF(DB_Customers!A217&lt;&gt;"",214,"")</f>
        <v/>
      </c>
      <c r="B223" s="469">
        <f>IFERROR(IF(DB_Customers!A217&lt;&gt;"",DB_Customers!A217,""),"")</f>
        <v/>
      </c>
      <c r="C223" s="470">
        <f>IFERROR(IF(DB_Customers!D217&lt;&gt;"",DB_Customers!D217,""),"")</f>
        <v/>
      </c>
      <c r="D223" s="471">
        <f>IFERROR(IF(DB_Customers!Q217&lt;&gt;"",DB_Customers!Q217,""),"")</f>
        <v/>
      </c>
      <c r="E223" s="470">
        <f>IFERROR(IF(DB_Customers!R217&lt;&gt;"",DB_Customers!R217,""),"")</f>
        <v/>
      </c>
      <c r="F223" s="470">
        <f>IFERROR(IF(DB_Customers!S217&lt;&gt;"",DB_Customers!S217,""),"")</f>
        <v/>
      </c>
      <c r="G223" s="470">
        <f>IFERROR(IF(DB_Customers!G217&lt;&gt;"",DB_Customers!G217,""),"")</f>
        <v/>
      </c>
      <c r="H223" s="472">
        <f>IFERROR(IF(DB_Customers!H217&lt;&gt;"",DB_Customers!H217,""),"")</f>
        <v/>
      </c>
      <c r="I223" s="473">
        <f>IFERROR(IF(DB_Customers!I217&lt;&gt;"",DB_Customers!I217,""),"")</f>
        <v/>
      </c>
      <c r="J223" s="471">
        <f>IFERROR(IF(DB_Customers!J217&lt;&gt;"",DB_Customers!J217,""),"")</f>
        <v/>
      </c>
      <c r="K223" s="470">
        <f>IFERROR(IF(DB_Customers!E217&lt;&gt;"",DB_Customers!E217,""),"")</f>
        <v/>
      </c>
      <c r="L223" s="470">
        <f>IFERROR(IF(DB_Customers!F217&lt;&gt;"",DB_Customers!F217,""),"")</f>
        <v/>
      </c>
      <c r="M223" s="470">
        <f>IFERROR(IF(DB_Customers!T217&lt;&gt;"",DB_Customers!T217,""),"")</f>
        <v/>
      </c>
      <c r="N223" s="474">
        <f>IFERROR(IF(DB_Customers!A217&lt;&gt;"",IF(DB_Customers!I217&gt;=10,"Active","Inactive"),""),"")</f>
        <v/>
      </c>
    </row>
    <row r="224" ht="18" customHeight="1" s="341">
      <c r="A224" s="461">
        <f>IF(DB_Customers!A218&lt;&gt;"",215,"")</f>
        <v/>
      </c>
      <c r="B224" s="462">
        <f>IFERROR(IF(DB_Customers!A218&lt;&gt;"",DB_Customers!A218,""),"")</f>
        <v/>
      </c>
      <c r="C224" s="463">
        <f>IFERROR(IF(DB_Customers!D218&lt;&gt;"",DB_Customers!D218,""),"")</f>
        <v/>
      </c>
      <c r="D224" s="464">
        <f>IFERROR(IF(DB_Customers!Q218&lt;&gt;"",DB_Customers!Q218,""),"")</f>
        <v/>
      </c>
      <c r="E224" s="463">
        <f>IFERROR(IF(DB_Customers!R218&lt;&gt;"",DB_Customers!R218,""),"")</f>
        <v/>
      </c>
      <c r="F224" s="463">
        <f>IFERROR(IF(DB_Customers!S218&lt;&gt;"",DB_Customers!S218,""),"")</f>
        <v/>
      </c>
      <c r="G224" s="463">
        <f>IFERROR(IF(DB_Customers!G218&lt;&gt;"",DB_Customers!G218,""),"")</f>
        <v/>
      </c>
      <c r="H224" s="465">
        <f>IFERROR(IF(DB_Customers!H218&lt;&gt;"",DB_Customers!H218,""),"")</f>
        <v/>
      </c>
      <c r="I224" s="466">
        <f>IFERROR(IF(DB_Customers!I218&lt;&gt;"",DB_Customers!I218,""),"")</f>
        <v/>
      </c>
      <c r="J224" s="464">
        <f>IFERROR(IF(DB_Customers!J218&lt;&gt;"",DB_Customers!J218,""),"")</f>
        <v/>
      </c>
      <c r="K224" s="463">
        <f>IFERROR(IF(DB_Customers!E218&lt;&gt;"",DB_Customers!E218,""),"")</f>
        <v/>
      </c>
      <c r="L224" s="463">
        <f>IFERROR(IF(DB_Customers!F218&lt;&gt;"",DB_Customers!F218,""),"")</f>
        <v/>
      </c>
      <c r="M224" s="463">
        <f>IFERROR(IF(DB_Customers!T218&lt;&gt;"",DB_Customers!T218,""),"")</f>
        <v/>
      </c>
      <c r="N224" s="467">
        <f>IFERROR(IF(DB_Customers!A218&lt;&gt;"",IF(DB_Customers!I218&gt;=10,"Active","Inactive"),""),"")</f>
        <v/>
      </c>
    </row>
    <row r="225" ht="18" customHeight="1" s="341">
      <c r="A225" s="468">
        <f>IF(DB_Customers!A219&lt;&gt;"",216,"")</f>
        <v/>
      </c>
      <c r="B225" s="469">
        <f>IFERROR(IF(DB_Customers!A219&lt;&gt;"",DB_Customers!A219,""),"")</f>
        <v/>
      </c>
      <c r="C225" s="470">
        <f>IFERROR(IF(DB_Customers!D219&lt;&gt;"",DB_Customers!D219,""),"")</f>
        <v/>
      </c>
      <c r="D225" s="471">
        <f>IFERROR(IF(DB_Customers!Q219&lt;&gt;"",DB_Customers!Q219,""),"")</f>
        <v/>
      </c>
      <c r="E225" s="470">
        <f>IFERROR(IF(DB_Customers!R219&lt;&gt;"",DB_Customers!R219,""),"")</f>
        <v/>
      </c>
      <c r="F225" s="470">
        <f>IFERROR(IF(DB_Customers!S219&lt;&gt;"",DB_Customers!S219,""),"")</f>
        <v/>
      </c>
      <c r="G225" s="470">
        <f>IFERROR(IF(DB_Customers!G219&lt;&gt;"",DB_Customers!G219,""),"")</f>
        <v/>
      </c>
      <c r="H225" s="472">
        <f>IFERROR(IF(DB_Customers!H219&lt;&gt;"",DB_Customers!H219,""),"")</f>
        <v/>
      </c>
      <c r="I225" s="473">
        <f>IFERROR(IF(DB_Customers!I219&lt;&gt;"",DB_Customers!I219,""),"")</f>
        <v/>
      </c>
      <c r="J225" s="471">
        <f>IFERROR(IF(DB_Customers!J219&lt;&gt;"",DB_Customers!J219,""),"")</f>
        <v/>
      </c>
      <c r="K225" s="470">
        <f>IFERROR(IF(DB_Customers!E219&lt;&gt;"",DB_Customers!E219,""),"")</f>
        <v/>
      </c>
      <c r="L225" s="470">
        <f>IFERROR(IF(DB_Customers!F219&lt;&gt;"",DB_Customers!F219,""),"")</f>
        <v/>
      </c>
      <c r="M225" s="470">
        <f>IFERROR(IF(DB_Customers!T219&lt;&gt;"",DB_Customers!T219,""),"")</f>
        <v/>
      </c>
      <c r="N225" s="474">
        <f>IFERROR(IF(DB_Customers!A219&lt;&gt;"",IF(DB_Customers!I219&gt;=10,"Active","Inactive"),""),"")</f>
        <v/>
      </c>
    </row>
    <row r="226" ht="18" customHeight="1" s="341">
      <c r="A226" s="461">
        <f>IF(DB_Customers!A220&lt;&gt;"",217,"")</f>
        <v/>
      </c>
      <c r="B226" s="462">
        <f>IFERROR(IF(DB_Customers!A220&lt;&gt;"",DB_Customers!A220,""),"")</f>
        <v/>
      </c>
      <c r="C226" s="463">
        <f>IFERROR(IF(DB_Customers!D220&lt;&gt;"",DB_Customers!D220,""),"")</f>
        <v/>
      </c>
      <c r="D226" s="464">
        <f>IFERROR(IF(DB_Customers!Q220&lt;&gt;"",DB_Customers!Q220,""),"")</f>
        <v/>
      </c>
      <c r="E226" s="463">
        <f>IFERROR(IF(DB_Customers!R220&lt;&gt;"",DB_Customers!R220,""),"")</f>
        <v/>
      </c>
      <c r="F226" s="463">
        <f>IFERROR(IF(DB_Customers!S220&lt;&gt;"",DB_Customers!S220,""),"")</f>
        <v/>
      </c>
      <c r="G226" s="463">
        <f>IFERROR(IF(DB_Customers!G220&lt;&gt;"",DB_Customers!G220,""),"")</f>
        <v/>
      </c>
      <c r="H226" s="465">
        <f>IFERROR(IF(DB_Customers!H220&lt;&gt;"",DB_Customers!H220,""),"")</f>
        <v/>
      </c>
      <c r="I226" s="466">
        <f>IFERROR(IF(DB_Customers!I220&lt;&gt;"",DB_Customers!I220,""),"")</f>
        <v/>
      </c>
      <c r="J226" s="464">
        <f>IFERROR(IF(DB_Customers!J220&lt;&gt;"",DB_Customers!J220,""),"")</f>
        <v/>
      </c>
      <c r="K226" s="463">
        <f>IFERROR(IF(DB_Customers!E220&lt;&gt;"",DB_Customers!E220,""),"")</f>
        <v/>
      </c>
      <c r="L226" s="463">
        <f>IFERROR(IF(DB_Customers!F220&lt;&gt;"",DB_Customers!F220,""),"")</f>
        <v/>
      </c>
      <c r="M226" s="463">
        <f>IFERROR(IF(DB_Customers!T220&lt;&gt;"",DB_Customers!T220,""),"")</f>
        <v/>
      </c>
      <c r="N226" s="467">
        <f>IFERROR(IF(DB_Customers!A220&lt;&gt;"",IF(DB_Customers!I220&gt;=10,"Active","Inactive"),""),"")</f>
        <v/>
      </c>
    </row>
    <row r="227" ht="18" customHeight="1" s="341">
      <c r="A227" s="468">
        <f>IF(DB_Customers!A221&lt;&gt;"",218,"")</f>
        <v/>
      </c>
      <c r="B227" s="469">
        <f>IFERROR(IF(DB_Customers!A221&lt;&gt;"",DB_Customers!A221,""),"")</f>
        <v/>
      </c>
      <c r="C227" s="470">
        <f>IFERROR(IF(DB_Customers!D221&lt;&gt;"",DB_Customers!D221,""),"")</f>
        <v/>
      </c>
      <c r="D227" s="471">
        <f>IFERROR(IF(DB_Customers!Q221&lt;&gt;"",DB_Customers!Q221,""),"")</f>
        <v/>
      </c>
      <c r="E227" s="470">
        <f>IFERROR(IF(DB_Customers!R221&lt;&gt;"",DB_Customers!R221,""),"")</f>
        <v/>
      </c>
      <c r="F227" s="470">
        <f>IFERROR(IF(DB_Customers!S221&lt;&gt;"",DB_Customers!S221,""),"")</f>
        <v/>
      </c>
      <c r="G227" s="470">
        <f>IFERROR(IF(DB_Customers!G221&lt;&gt;"",DB_Customers!G221,""),"")</f>
        <v/>
      </c>
      <c r="H227" s="472">
        <f>IFERROR(IF(DB_Customers!H221&lt;&gt;"",DB_Customers!H221,""),"")</f>
        <v/>
      </c>
      <c r="I227" s="473">
        <f>IFERROR(IF(DB_Customers!I221&lt;&gt;"",DB_Customers!I221,""),"")</f>
        <v/>
      </c>
      <c r="J227" s="471">
        <f>IFERROR(IF(DB_Customers!J221&lt;&gt;"",DB_Customers!J221,""),"")</f>
        <v/>
      </c>
      <c r="K227" s="470">
        <f>IFERROR(IF(DB_Customers!E221&lt;&gt;"",DB_Customers!E221,""),"")</f>
        <v/>
      </c>
      <c r="L227" s="470">
        <f>IFERROR(IF(DB_Customers!F221&lt;&gt;"",DB_Customers!F221,""),"")</f>
        <v/>
      </c>
      <c r="M227" s="470">
        <f>IFERROR(IF(DB_Customers!T221&lt;&gt;"",DB_Customers!T221,""),"")</f>
        <v/>
      </c>
      <c r="N227" s="474">
        <f>IFERROR(IF(DB_Customers!A221&lt;&gt;"",IF(DB_Customers!I221&gt;=10,"Active","Inactive"),""),"")</f>
        <v/>
      </c>
    </row>
    <row r="228" ht="18" customHeight="1" s="341">
      <c r="A228" s="461">
        <f>IF(DB_Customers!A222&lt;&gt;"",219,"")</f>
        <v/>
      </c>
      <c r="B228" s="462">
        <f>IFERROR(IF(DB_Customers!A222&lt;&gt;"",DB_Customers!A222,""),"")</f>
        <v/>
      </c>
      <c r="C228" s="463">
        <f>IFERROR(IF(DB_Customers!D222&lt;&gt;"",DB_Customers!D222,""),"")</f>
        <v/>
      </c>
      <c r="D228" s="464">
        <f>IFERROR(IF(DB_Customers!Q222&lt;&gt;"",DB_Customers!Q222,""),"")</f>
        <v/>
      </c>
      <c r="E228" s="463">
        <f>IFERROR(IF(DB_Customers!R222&lt;&gt;"",DB_Customers!R222,""),"")</f>
        <v/>
      </c>
      <c r="F228" s="463">
        <f>IFERROR(IF(DB_Customers!S222&lt;&gt;"",DB_Customers!S222,""),"")</f>
        <v/>
      </c>
      <c r="G228" s="463">
        <f>IFERROR(IF(DB_Customers!G222&lt;&gt;"",DB_Customers!G222,""),"")</f>
        <v/>
      </c>
      <c r="H228" s="465">
        <f>IFERROR(IF(DB_Customers!H222&lt;&gt;"",DB_Customers!H222,""),"")</f>
        <v/>
      </c>
      <c r="I228" s="466">
        <f>IFERROR(IF(DB_Customers!I222&lt;&gt;"",DB_Customers!I222,""),"")</f>
        <v/>
      </c>
      <c r="J228" s="464">
        <f>IFERROR(IF(DB_Customers!J222&lt;&gt;"",DB_Customers!J222,""),"")</f>
        <v/>
      </c>
      <c r="K228" s="463">
        <f>IFERROR(IF(DB_Customers!E222&lt;&gt;"",DB_Customers!E222,""),"")</f>
        <v/>
      </c>
      <c r="L228" s="463">
        <f>IFERROR(IF(DB_Customers!F222&lt;&gt;"",DB_Customers!F222,""),"")</f>
        <v/>
      </c>
      <c r="M228" s="463">
        <f>IFERROR(IF(DB_Customers!T222&lt;&gt;"",DB_Customers!T222,""),"")</f>
        <v/>
      </c>
      <c r="N228" s="467">
        <f>IFERROR(IF(DB_Customers!A222&lt;&gt;"",IF(DB_Customers!I222&gt;=10,"Active","Inactive"),""),"")</f>
        <v/>
      </c>
    </row>
    <row r="229" ht="18" customHeight="1" s="341">
      <c r="A229" s="468">
        <f>IF(DB_Customers!A223&lt;&gt;"",220,"")</f>
        <v/>
      </c>
      <c r="B229" s="469">
        <f>IFERROR(IF(DB_Customers!A223&lt;&gt;"",DB_Customers!A223,""),"")</f>
        <v/>
      </c>
      <c r="C229" s="470">
        <f>IFERROR(IF(DB_Customers!D223&lt;&gt;"",DB_Customers!D223,""),"")</f>
        <v/>
      </c>
      <c r="D229" s="471">
        <f>IFERROR(IF(DB_Customers!Q223&lt;&gt;"",DB_Customers!Q223,""),"")</f>
        <v/>
      </c>
      <c r="E229" s="470">
        <f>IFERROR(IF(DB_Customers!R223&lt;&gt;"",DB_Customers!R223,""),"")</f>
        <v/>
      </c>
      <c r="F229" s="470">
        <f>IFERROR(IF(DB_Customers!S223&lt;&gt;"",DB_Customers!S223,""),"")</f>
        <v/>
      </c>
      <c r="G229" s="470">
        <f>IFERROR(IF(DB_Customers!G223&lt;&gt;"",DB_Customers!G223,""),"")</f>
        <v/>
      </c>
      <c r="H229" s="472">
        <f>IFERROR(IF(DB_Customers!H223&lt;&gt;"",DB_Customers!H223,""),"")</f>
        <v/>
      </c>
      <c r="I229" s="473">
        <f>IFERROR(IF(DB_Customers!I223&lt;&gt;"",DB_Customers!I223,""),"")</f>
        <v/>
      </c>
      <c r="J229" s="471">
        <f>IFERROR(IF(DB_Customers!J223&lt;&gt;"",DB_Customers!J223,""),"")</f>
        <v/>
      </c>
      <c r="K229" s="470">
        <f>IFERROR(IF(DB_Customers!E223&lt;&gt;"",DB_Customers!E223,""),"")</f>
        <v/>
      </c>
      <c r="L229" s="470">
        <f>IFERROR(IF(DB_Customers!F223&lt;&gt;"",DB_Customers!F223,""),"")</f>
        <v/>
      </c>
      <c r="M229" s="470">
        <f>IFERROR(IF(DB_Customers!T223&lt;&gt;"",DB_Customers!T223,""),"")</f>
        <v/>
      </c>
      <c r="N229" s="474">
        <f>IFERROR(IF(DB_Customers!A223&lt;&gt;"",IF(DB_Customers!I223&gt;=10,"Active","Inactive"),""),"")</f>
        <v/>
      </c>
    </row>
    <row r="230" ht="18" customHeight="1" s="341">
      <c r="A230" s="461">
        <f>IF(DB_Customers!A224&lt;&gt;"",221,"")</f>
        <v/>
      </c>
      <c r="B230" s="462">
        <f>IFERROR(IF(DB_Customers!A224&lt;&gt;"",DB_Customers!A224,""),"")</f>
        <v/>
      </c>
      <c r="C230" s="463">
        <f>IFERROR(IF(DB_Customers!D224&lt;&gt;"",DB_Customers!D224,""),"")</f>
        <v/>
      </c>
      <c r="D230" s="464">
        <f>IFERROR(IF(DB_Customers!Q224&lt;&gt;"",DB_Customers!Q224,""),"")</f>
        <v/>
      </c>
      <c r="E230" s="463">
        <f>IFERROR(IF(DB_Customers!R224&lt;&gt;"",DB_Customers!R224,""),"")</f>
        <v/>
      </c>
      <c r="F230" s="463">
        <f>IFERROR(IF(DB_Customers!S224&lt;&gt;"",DB_Customers!S224,""),"")</f>
        <v/>
      </c>
      <c r="G230" s="463">
        <f>IFERROR(IF(DB_Customers!G224&lt;&gt;"",DB_Customers!G224,""),"")</f>
        <v/>
      </c>
      <c r="H230" s="465">
        <f>IFERROR(IF(DB_Customers!H224&lt;&gt;"",DB_Customers!H224,""),"")</f>
        <v/>
      </c>
      <c r="I230" s="466">
        <f>IFERROR(IF(DB_Customers!I224&lt;&gt;"",DB_Customers!I224,""),"")</f>
        <v/>
      </c>
      <c r="J230" s="464">
        <f>IFERROR(IF(DB_Customers!J224&lt;&gt;"",DB_Customers!J224,""),"")</f>
        <v/>
      </c>
      <c r="K230" s="463">
        <f>IFERROR(IF(DB_Customers!E224&lt;&gt;"",DB_Customers!E224,""),"")</f>
        <v/>
      </c>
      <c r="L230" s="463">
        <f>IFERROR(IF(DB_Customers!F224&lt;&gt;"",DB_Customers!F224,""),"")</f>
        <v/>
      </c>
      <c r="M230" s="463">
        <f>IFERROR(IF(DB_Customers!T224&lt;&gt;"",DB_Customers!T224,""),"")</f>
        <v/>
      </c>
      <c r="N230" s="467">
        <f>IFERROR(IF(DB_Customers!A224&lt;&gt;"",IF(DB_Customers!I224&gt;=10,"Active","Inactive"),""),"")</f>
        <v/>
      </c>
    </row>
    <row r="231" ht="18" customHeight="1" s="341">
      <c r="A231" s="468">
        <f>IF(DB_Customers!A225&lt;&gt;"",222,"")</f>
        <v/>
      </c>
      <c r="B231" s="469">
        <f>IFERROR(IF(DB_Customers!A225&lt;&gt;"",DB_Customers!A225,""),"")</f>
        <v/>
      </c>
      <c r="C231" s="470">
        <f>IFERROR(IF(DB_Customers!D225&lt;&gt;"",DB_Customers!D225,""),"")</f>
        <v/>
      </c>
      <c r="D231" s="471">
        <f>IFERROR(IF(DB_Customers!Q225&lt;&gt;"",DB_Customers!Q225,""),"")</f>
        <v/>
      </c>
      <c r="E231" s="470">
        <f>IFERROR(IF(DB_Customers!R225&lt;&gt;"",DB_Customers!R225,""),"")</f>
        <v/>
      </c>
      <c r="F231" s="470">
        <f>IFERROR(IF(DB_Customers!S225&lt;&gt;"",DB_Customers!S225,""),"")</f>
        <v/>
      </c>
      <c r="G231" s="470">
        <f>IFERROR(IF(DB_Customers!G225&lt;&gt;"",DB_Customers!G225,""),"")</f>
        <v/>
      </c>
      <c r="H231" s="472">
        <f>IFERROR(IF(DB_Customers!H225&lt;&gt;"",DB_Customers!H225,""),"")</f>
        <v/>
      </c>
      <c r="I231" s="473">
        <f>IFERROR(IF(DB_Customers!I225&lt;&gt;"",DB_Customers!I225,""),"")</f>
        <v/>
      </c>
      <c r="J231" s="471">
        <f>IFERROR(IF(DB_Customers!J225&lt;&gt;"",DB_Customers!J225,""),"")</f>
        <v/>
      </c>
      <c r="K231" s="470">
        <f>IFERROR(IF(DB_Customers!E225&lt;&gt;"",DB_Customers!E225,""),"")</f>
        <v/>
      </c>
      <c r="L231" s="470">
        <f>IFERROR(IF(DB_Customers!F225&lt;&gt;"",DB_Customers!F225,""),"")</f>
        <v/>
      </c>
      <c r="M231" s="470">
        <f>IFERROR(IF(DB_Customers!T225&lt;&gt;"",DB_Customers!T225,""),"")</f>
        <v/>
      </c>
      <c r="N231" s="474">
        <f>IFERROR(IF(DB_Customers!A225&lt;&gt;"",IF(DB_Customers!I225&gt;=10,"Active","Inactive"),""),"")</f>
        <v/>
      </c>
    </row>
    <row r="232" ht="18" customHeight="1" s="341">
      <c r="A232" s="461">
        <f>IF(DB_Customers!A226&lt;&gt;"",223,"")</f>
        <v/>
      </c>
      <c r="B232" s="462">
        <f>IFERROR(IF(DB_Customers!A226&lt;&gt;"",DB_Customers!A226,""),"")</f>
        <v/>
      </c>
      <c r="C232" s="463">
        <f>IFERROR(IF(DB_Customers!D226&lt;&gt;"",DB_Customers!D226,""),"")</f>
        <v/>
      </c>
      <c r="D232" s="464">
        <f>IFERROR(IF(DB_Customers!Q226&lt;&gt;"",DB_Customers!Q226,""),"")</f>
        <v/>
      </c>
      <c r="E232" s="463">
        <f>IFERROR(IF(DB_Customers!R226&lt;&gt;"",DB_Customers!R226,""),"")</f>
        <v/>
      </c>
      <c r="F232" s="463">
        <f>IFERROR(IF(DB_Customers!S226&lt;&gt;"",DB_Customers!S226,""),"")</f>
        <v/>
      </c>
      <c r="G232" s="463">
        <f>IFERROR(IF(DB_Customers!G226&lt;&gt;"",DB_Customers!G226,""),"")</f>
        <v/>
      </c>
      <c r="H232" s="465">
        <f>IFERROR(IF(DB_Customers!H226&lt;&gt;"",DB_Customers!H226,""),"")</f>
        <v/>
      </c>
      <c r="I232" s="466">
        <f>IFERROR(IF(DB_Customers!I226&lt;&gt;"",DB_Customers!I226,""),"")</f>
        <v/>
      </c>
      <c r="J232" s="464">
        <f>IFERROR(IF(DB_Customers!J226&lt;&gt;"",DB_Customers!J226,""),"")</f>
        <v/>
      </c>
      <c r="K232" s="463">
        <f>IFERROR(IF(DB_Customers!E226&lt;&gt;"",DB_Customers!E226,""),"")</f>
        <v/>
      </c>
      <c r="L232" s="463">
        <f>IFERROR(IF(DB_Customers!F226&lt;&gt;"",DB_Customers!F226,""),"")</f>
        <v/>
      </c>
      <c r="M232" s="463">
        <f>IFERROR(IF(DB_Customers!T226&lt;&gt;"",DB_Customers!T226,""),"")</f>
        <v/>
      </c>
      <c r="N232" s="467">
        <f>IFERROR(IF(DB_Customers!A226&lt;&gt;"",IF(DB_Customers!I226&gt;=10,"Active","Inactive"),""),"")</f>
        <v/>
      </c>
    </row>
    <row r="233" ht="18" customHeight="1" s="341">
      <c r="A233" s="468">
        <f>IF(DB_Customers!A227&lt;&gt;"",224,"")</f>
        <v/>
      </c>
      <c r="B233" s="469">
        <f>IFERROR(IF(DB_Customers!A227&lt;&gt;"",DB_Customers!A227,""),"")</f>
        <v/>
      </c>
      <c r="C233" s="470">
        <f>IFERROR(IF(DB_Customers!D227&lt;&gt;"",DB_Customers!D227,""),"")</f>
        <v/>
      </c>
      <c r="D233" s="471">
        <f>IFERROR(IF(DB_Customers!Q227&lt;&gt;"",DB_Customers!Q227,""),"")</f>
        <v/>
      </c>
      <c r="E233" s="470">
        <f>IFERROR(IF(DB_Customers!R227&lt;&gt;"",DB_Customers!R227,""),"")</f>
        <v/>
      </c>
      <c r="F233" s="470">
        <f>IFERROR(IF(DB_Customers!S227&lt;&gt;"",DB_Customers!S227,""),"")</f>
        <v/>
      </c>
      <c r="G233" s="470">
        <f>IFERROR(IF(DB_Customers!G227&lt;&gt;"",DB_Customers!G227,""),"")</f>
        <v/>
      </c>
      <c r="H233" s="472">
        <f>IFERROR(IF(DB_Customers!H227&lt;&gt;"",DB_Customers!H227,""),"")</f>
        <v/>
      </c>
      <c r="I233" s="473">
        <f>IFERROR(IF(DB_Customers!I227&lt;&gt;"",DB_Customers!I227,""),"")</f>
        <v/>
      </c>
      <c r="J233" s="471">
        <f>IFERROR(IF(DB_Customers!J227&lt;&gt;"",DB_Customers!J227,""),"")</f>
        <v/>
      </c>
      <c r="K233" s="470">
        <f>IFERROR(IF(DB_Customers!E227&lt;&gt;"",DB_Customers!E227,""),"")</f>
        <v/>
      </c>
      <c r="L233" s="470">
        <f>IFERROR(IF(DB_Customers!F227&lt;&gt;"",DB_Customers!F227,""),"")</f>
        <v/>
      </c>
      <c r="M233" s="470">
        <f>IFERROR(IF(DB_Customers!T227&lt;&gt;"",DB_Customers!T227,""),"")</f>
        <v/>
      </c>
      <c r="N233" s="474">
        <f>IFERROR(IF(DB_Customers!A227&lt;&gt;"",IF(DB_Customers!I227&gt;=10,"Active","Inactive"),""),"")</f>
        <v/>
      </c>
    </row>
    <row r="234" ht="18" customHeight="1" s="341">
      <c r="A234" s="461">
        <f>IF(DB_Customers!A228&lt;&gt;"",225,"")</f>
        <v/>
      </c>
      <c r="B234" s="462">
        <f>IFERROR(IF(DB_Customers!A228&lt;&gt;"",DB_Customers!A228,""),"")</f>
        <v/>
      </c>
      <c r="C234" s="463">
        <f>IFERROR(IF(DB_Customers!D228&lt;&gt;"",DB_Customers!D228,""),"")</f>
        <v/>
      </c>
      <c r="D234" s="464">
        <f>IFERROR(IF(DB_Customers!Q228&lt;&gt;"",DB_Customers!Q228,""),"")</f>
        <v/>
      </c>
      <c r="E234" s="463">
        <f>IFERROR(IF(DB_Customers!R228&lt;&gt;"",DB_Customers!R228,""),"")</f>
        <v/>
      </c>
      <c r="F234" s="463">
        <f>IFERROR(IF(DB_Customers!S228&lt;&gt;"",DB_Customers!S228,""),"")</f>
        <v/>
      </c>
      <c r="G234" s="463">
        <f>IFERROR(IF(DB_Customers!G228&lt;&gt;"",DB_Customers!G228,""),"")</f>
        <v/>
      </c>
      <c r="H234" s="465">
        <f>IFERROR(IF(DB_Customers!H228&lt;&gt;"",DB_Customers!H228,""),"")</f>
        <v/>
      </c>
      <c r="I234" s="466">
        <f>IFERROR(IF(DB_Customers!I228&lt;&gt;"",DB_Customers!I228,""),"")</f>
        <v/>
      </c>
      <c r="J234" s="464">
        <f>IFERROR(IF(DB_Customers!J228&lt;&gt;"",DB_Customers!J228,""),"")</f>
        <v/>
      </c>
      <c r="K234" s="463">
        <f>IFERROR(IF(DB_Customers!E228&lt;&gt;"",DB_Customers!E228,""),"")</f>
        <v/>
      </c>
      <c r="L234" s="463">
        <f>IFERROR(IF(DB_Customers!F228&lt;&gt;"",DB_Customers!F228,""),"")</f>
        <v/>
      </c>
      <c r="M234" s="463">
        <f>IFERROR(IF(DB_Customers!T228&lt;&gt;"",DB_Customers!T228,""),"")</f>
        <v/>
      </c>
      <c r="N234" s="467">
        <f>IFERROR(IF(DB_Customers!A228&lt;&gt;"",IF(DB_Customers!I228&gt;=10,"Active","Inactive"),""),"")</f>
        <v/>
      </c>
    </row>
    <row r="235" ht="18" customHeight="1" s="341">
      <c r="A235" s="468">
        <f>IF(DB_Customers!A229&lt;&gt;"",226,"")</f>
        <v/>
      </c>
      <c r="B235" s="469">
        <f>IFERROR(IF(DB_Customers!A229&lt;&gt;"",DB_Customers!A229,""),"")</f>
        <v/>
      </c>
      <c r="C235" s="470">
        <f>IFERROR(IF(DB_Customers!D229&lt;&gt;"",DB_Customers!D229,""),"")</f>
        <v/>
      </c>
      <c r="D235" s="471">
        <f>IFERROR(IF(DB_Customers!Q229&lt;&gt;"",DB_Customers!Q229,""),"")</f>
        <v/>
      </c>
      <c r="E235" s="470">
        <f>IFERROR(IF(DB_Customers!R229&lt;&gt;"",DB_Customers!R229,""),"")</f>
        <v/>
      </c>
      <c r="F235" s="470">
        <f>IFERROR(IF(DB_Customers!S229&lt;&gt;"",DB_Customers!S229,""),"")</f>
        <v/>
      </c>
      <c r="G235" s="470">
        <f>IFERROR(IF(DB_Customers!G229&lt;&gt;"",DB_Customers!G229,""),"")</f>
        <v/>
      </c>
      <c r="H235" s="472">
        <f>IFERROR(IF(DB_Customers!H229&lt;&gt;"",DB_Customers!H229,""),"")</f>
        <v/>
      </c>
      <c r="I235" s="473">
        <f>IFERROR(IF(DB_Customers!I229&lt;&gt;"",DB_Customers!I229,""),"")</f>
        <v/>
      </c>
      <c r="J235" s="471">
        <f>IFERROR(IF(DB_Customers!J229&lt;&gt;"",DB_Customers!J229,""),"")</f>
        <v/>
      </c>
      <c r="K235" s="470">
        <f>IFERROR(IF(DB_Customers!E229&lt;&gt;"",DB_Customers!E229,""),"")</f>
        <v/>
      </c>
      <c r="L235" s="470">
        <f>IFERROR(IF(DB_Customers!F229&lt;&gt;"",DB_Customers!F229,""),"")</f>
        <v/>
      </c>
      <c r="M235" s="470">
        <f>IFERROR(IF(DB_Customers!T229&lt;&gt;"",DB_Customers!T229,""),"")</f>
        <v/>
      </c>
      <c r="N235" s="474">
        <f>IFERROR(IF(DB_Customers!A229&lt;&gt;"",IF(DB_Customers!I229&gt;=10,"Active","Inactive"),""),"")</f>
        <v/>
      </c>
    </row>
    <row r="236" ht="18" customHeight="1" s="341">
      <c r="A236" s="461">
        <f>IF(DB_Customers!A230&lt;&gt;"",227,"")</f>
        <v/>
      </c>
      <c r="B236" s="462">
        <f>IFERROR(IF(DB_Customers!A230&lt;&gt;"",DB_Customers!A230,""),"")</f>
        <v/>
      </c>
      <c r="C236" s="463">
        <f>IFERROR(IF(DB_Customers!D230&lt;&gt;"",DB_Customers!D230,""),"")</f>
        <v/>
      </c>
      <c r="D236" s="464">
        <f>IFERROR(IF(DB_Customers!Q230&lt;&gt;"",DB_Customers!Q230,""),"")</f>
        <v/>
      </c>
      <c r="E236" s="463">
        <f>IFERROR(IF(DB_Customers!R230&lt;&gt;"",DB_Customers!R230,""),"")</f>
        <v/>
      </c>
      <c r="F236" s="463">
        <f>IFERROR(IF(DB_Customers!S230&lt;&gt;"",DB_Customers!S230,""),"")</f>
        <v/>
      </c>
      <c r="G236" s="463">
        <f>IFERROR(IF(DB_Customers!G230&lt;&gt;"",DB_Customers!G230,""),"")</f>
        <v/>
      </c>
      <c r="H236" s="465">
        <f>IFERROR(IF(DB_Customers!H230&lt;&gt;"",DB_Customers!H230,""),"")</f>
        <v/>
      </c>
      <c r="I236" s="466">
        <f>IFERROR(IF(DB_Customers!I230&lt;&gt;"",DB_Customers!I230,""),"")</f>
        <v/>
      </c>
      <c r="J236" s="464">
        <f>IFERROR(IF(DB_Customers!J230&lt;&gt;"",DB_Customers!J230,""),"")</f>
        <v/>
      </c>
      <c r="K236" s="463">
        <f>IFERROR(IF(DB_Customers!E230&lt;&gt;"",DB_Customers!E230,""),"")</f>
        <v/>
      </c>
      <c r="L236" s="463">
        <f>IFERROR(IF(DB_Customers!F230&lt;&gt;"",DB_Customers!F230,""),"")</f>
        <v/>
      </c>
      <c r="M236" s="463">
        <f>IFERROR(IF(DB_Customers!T230&lt;&gt;"",DB_Customers!T230,""),"")</f>
        <v/>
      </c>
      <c r="N236" s="467">
        <f>IFERROR(IF(DB_Customers!A230&lt;&gt;"",IF(DB_Customers!I230&gt;=10,"Active","Inactive"),""),"")</f>
        <v/>
      </c>
    </row>
    <row r="237" ht="18" customHeight="1" s="341">
      <c r="A237" s="468">
        <f>IF(DB_Customers!A231&lt;&gt;"",228,"")</f>
        <v/>
      </c>
      <c r="B237" s="469">
        <f>IFERROR(IF(DB_Customers!A231&lt;&gt;"",DB_Customers!A231,""),"")</f>
        <v/>
      </c>
      <c r="C237" s="470">
        <f>IFERROR(IF(DB_Customers!D231&lt;&gt;"",DB_Customers!D231,""),"")</f>
        <v/>
      </c>
      <c r="D237" s="471">
        <f>IFERROR(IF(DB_Customers!Q231&lt;&gt;"",DB_Customers!Q231,""),"")</f>
        <v/>
      </c>
      <c r="E237" s="470">
        <f>IFERROR(IF(DB_Customers!R231&lt;&gt;"",DB_Customers!R231,""),"")</f>
        <v/>
      </c>
      <c r="F237" s="470">
        <f>IFERROR(IF(DB_Customers!S231&lt;&gt;"",DB_Customers!S231,""),"")</f>
        <v/>
      </c>
      <c r="G237" s="470">
        <f>IFERROR(IF(DB_Customers!G231&lt;&gt;"",DB_Customers!G231,""),"")</f>
        <v/>
      </c>
      <c r="H237" s="472">
        <f>IFERROR(IF(DB_Customers!H231&lt;&gt;"",DB_Customers!H231,""),"")</f>
        <v/>
      </c>
      <c r="I237" s="473">
        <f>IFERROR(IF(DB_Customers!I231&lt;&gt;"",DB_Customers!I231,""),"")</f>
        <v/>
      </c>
      <c r="J237" s="471">
        <f>IFERROR(IF(DB_Customers!J231&lt;&gt;"",DB_Customers!J231,""),"")</f>
        <v/>
      </c>
      <c r="K237" s="470">
        <f>IFERROR(IF(DB_Customers!E231&lt;&gt;"",DB_Customers!E231,""),"")</f>
        <v/>
      </c>
      <c r="L237" s="470">
        <f>IFERROR(IF(DB_Customers!F231&lt;&gt;"",DB_Customers!F231,""),"")</f>
        <v/>
      </c>
      <c r="M237" s="470">
        <f>IFERROR(IF(DB_Customers!T231&lt;&gt;"",DB_Customers!T231,""),"")</f>
        <v/>
      </c>
      <c r="N237" s="474">
        <f>IFERROR(IF(DB_Customers!A231&lt;&gt;"",IF(DB_Customers!I231&gt;=10,"Active","Inactive"),""),"")</f>
        <v/>
      </c>
    </row>
    <row r="238" ht="18" customHeight="1" s="341">
      <c r="A238" s="461">
        <f>IF(DB_Customers!A232&lt;&gt;"",229,"")</f>
        <v/>
      </c>
      <c r="B238" s="462">
        <f>IFERROR(IF(DB_Customers!A232&lt;&gt;"",DB_Customers!A232,""),"")</f>
        <v/>
      </c>
      <c r="C238" s="463">
        <f>IFERROR(IF(DB_Customers!D232&lt;&gt;"",DB_Customers!D232,""),"")</f>
        <v/>
      </c>
      <c r="D238" s="464">
        <f>IFERROR(IF(DB_Customers!Q232&lt;&gt;"",DB_Customers!Q232,""),"")</f>
        <v/>
      </c>
      <c r="E238" s="463">
        <f>IFERROR(IF(DB_Customers!R232&lt;&gt;"",DB_Customers!R232,""),"")</f>
        <v/>
      </c>
      <c r="F238" s="463">
        <f>IFERROR(IF(DB_Customers!S232&lt;&gt;"",DB_Customers!S232,""),"")</f>
        <v/>
      </c>
      <c r="G238" s="463">
        <f>IFERROR(IF(DB_Customers!G232&lt;&gt;"",DB_Customers!G232,""),"")</f>
        <v/>
      </c>
      <c r="H238" s="465">
        <f>IFERROR(IF(DB_Customers!H232&lt;&gt;"",DB_Customers!H232,""),"")</f>
        <v/>
      </c>
      <c r="I238" s="466">
        <f>IFERROR(IF(DB_Customers!I232&lt;&gt;"",DB_Customers!I232,""),"")</f>
        <v/>
      </c>
      <c r="J238" s="464">
        <f>IFERROR(IF(DB_Customers!J232&lt;&gt;"",DB_Customers!J232,""),"")</f>
        <v/>
      </c>
      <c r="K238" s="463">
        <f>IFERROR(IF(DB_Customers!E232&lt;&gt;"",DB_Customers!E232,""),"")</f>
        <v/>
      </c>
      <c r="L238" s="463">
        <f>IFERROR(IF(DB_Customers!F232&lt;&gt;"",DB_Customers!F232,""),"")</f>
        <v/>
      </c>
      <c r="M238" s="463">
        <f>IFERROR(IF(DB_Customers!T232&lt;&gt;"",DB_Customers!T232,""),"")</f>
        <v/>
      </c>
      <c r="N238" s="467">
        <f>IFERROR(IF(DB_Customers!A232&lt;&gt;"",IF(DB_Customers!I232&gt;=10,"Active","Inactive"),""),"")</f>
        <v/>
      </c>
    </row>
    <row r="239" ht="18" customHeight="1" s="341">
      <c r="A239" s="468">
        <f>IF(DB_Customers!A233&lt;&gt;"",230,"")</f>
        <v/>
      </c>
      <c r="B239" s="469">
        <f>IFERROR(IF(DB_Customers!A233&lt;&gt;"",DB_Customers!A233,""),"")</f>
        <v/>
      </c>
      <c r="C239" s="470">
        <f>IFERROR(IF(DB_Customers!D233&lt;&gt;"",DB_Customers!D233,""),"")</f>
        <v/>
      </c>
      <c r="D239" s="471">
        <f>IFERROR(IF(DB_Customers!Q233&lt;&gt;"",DB_Customers!Q233,""),"")</f>
        <v/>
      </c>
      <c r="E239" s="470">
        <f>IFERROR(IF(DB_Customers!R233&lt;&gt;"",DB_Customers!R233,""),"")</f>
        <v/>
      </c>
      <c r="F239" s="470">
        <f>IFERROR(IF(DB_Customers!S233&lt;&gt;"",DB_Customers!S233,""),"")</f>
        <v/>
      </c>
      <c r="G239" s="470">
        <f>IFERROR(IF(DB_Customers!G233&lt;&gt;"",DB_Customers!G233,""),"")</f>
        <v/>
      </c>
      <c r="H239" s="472">
        <f>IFERROR(IF(DB_Customers!H233&lt;&gt;"",DB_Customers!H233,""),"")</f>
        <v/>
      </c>
      <c r="I239" s="473">
        <f>IFERROR(IF(DB_Customers!I233&lt;&gt;"",DB_Customers!I233,""),"")</f>
        <v/>
      </c>
      <c r="J239" s="471">
        <f>IFERROR(IF(DB_Customers!J233&lt;&gt;"",DB_Customers!J233,""),"")</f>
        <v/>
      </c>
      <c r="K239" s="470">
        <f>IFERROR(IF(DB_Customers!E233&lt;&gt;"",DB_Customers!E233,""),"")</f>
        <v/>
      </c>
      <c r="L239" s="470">
        <f>IFERROR(IF(DB_Customers!F233&lt;&gt;"",DB_Customers!F233,""),"")</f>
        <v/>
      </c>
      <c r="M239" s="470">
        <f>IFERROR(IF(DB_Customers!T233&lt;&gt;"",DB_Customers!T233,""),"")</f>
        <v/>
      </c>
      <c r="N239" s="474">
        <f>IFERROR(IF(DB_Customers!A233&lt;&gt;"",IF(DB_Customers!I233&gt;=10,"Active","Inactive"),""),"")</f>
        <v/>
      </c>
    </row>
    <row r="240" ht="18" customHeight="1" s="341">
      <c r="A240" s="461">
        <f>IF(DB_Customers!A234&lt;&gt;"",231,"")</f>
        <v/>
      </c>
      <c r="B240" s="462">
        <f>IFERROR(IF(DB_Customers!A234&lt;&gt;"",DB_Customers!A234,""),"")</f>
        <v/>
      </c>
      <c r="C240" s="463">
        <f>IFERROR(IF(DB_Customers!D234&lt;&gt;"",DB_Customers!D234,""),"")</f>
        <v/>
      </c>
      <c r="D240" s="464">
        <f>IFERROR(IF(DB_Customers!Q234&lt;&gt;"",DB_Customers!Q234,""),"")</f>
        <v/>
      </c>
      <c r="E240" s="463">
        <f>IFERROR(IF(DB_Customers!R234&lt;&gt;"",DB_Customers!R234,""),"")</f>
        <v/>
      </c>
      <c r="F240" s="463">
        <f>IFERROR(IF(DB_Customers!S234&lt;&gt;"",DB_Customers!S234,""),"")</f>
        <v/>
      </c>
      <c r="G240" s="463">
        <f>IFERROR(IF(DB_Customers!G234&lt;&gt;"",DB_Customers!G234,""),"")</f>
        <v/>
      </c>
      <c r="H240" s="465">
        <f>IFERROR(IF(DB_Customers!H234&lt;&gt;"",DB_Customers!H234,""),"")</f>
        <v/>
      </c>
      <c r="I240" s="466">
        <f>IFERROR(IF(DB_Customers!I234&lt;&gt;"",DB_Customers!I234,""),"")</f>
        <v/>
      </c>
      <c r="J240" s="464">
        <f>IFERROR(IF(DB_Customers!J234&lt;&gt;"",DB_Customers!J234,""),"")</f>
        <v/>
      </c>
      <c r="K240" s="463">
        <f>IFERROR(IF(DB_Customers!E234&lt;&gt;"",DB_Customers!E234,""),"")</f>
        <v/>
      </c>
      <c r="L240" s="463">
        <f>IFERROR(IF(DB_Customers!F234&lt;&gt;"",DB_Customers!F234,""),"")</f>
        <v/>
      </c>
      <c r="M240" s="463">
        <f>IFERROR(IF(DB_Customers!T234&lt;&gt;"",DB_Customers!T234,""),"")</f>
        <v/>
      </c>
      <c r="N240" s="467">
        <f>IFERROR(IF(DB_Customers!A234&lt;&gt;"",IF(DB_Customers!I234&gt;=10,"Active","Inactive"),""),"")</f>
        <v/>
      </c>
    </row>
    <row r="241" ht="18" customHeight="1" s="341">
      <c r="A241" s="468">
        <f>IF(DB_Customers!A235&lt;&gt;"",232,"")</f>
        <v/>
      </c>
      <c r="B241" s="469">
        <f>IFERROR(IF(DB_Customers!A235&lt;&gt;"",DB_Customers!A235,""),"")</f>
        <v/>
      </c>
      <c r="C241" s="470">
        <f>IFERROR(IF(DB_Customers!D235&lt;&gt;"",DB_Customers!D235,""),"")</f>
        <v/>
      </c>
      <c r="D241" s="471">
        <f>IFERROR(IF(DB_Customers!Q235&lt;&gt;"",DB_Customers!Q235,""),"")</f>
        <v/>
      </c>
      <c r="E241" s="470">
        <f>IFERROR(IF(DB_Customers!R235&lt;&gt;"",DB_Customers!R235,""),"")</f>
        <v/>
      </c>
      <c r="F241" s="470">
        <f>IFERROR(IF(DB_Customers!S235&lt;&gt;"",DB_Customers!S235,""),"")</f>
        <v/>
      </c>
      <c r="G241" s="470">
        <f>IFERROR(IF(DB_Customers!G235&lt;&gt;"",DB_Customers!G235,""),"")</f>
        <v/>
      </c>
      <c r="H241" s="472">
        <f>IFERROR(IF(DB_Customers!H235&lt;&gt;"",DB_Customers!H235,""),"")</f>
        <v/>
      </c>
      <c r="I241" s="473">
        <f>IFERROR(IF(DB_Customers!I235&lt;&gt;"",DB_Customers!I235,""),"")</f>
        <v/>
      </c>
      <c r="J241" s="471">
        <f>IFERROR(IF(DB_Customers!J235&lt;&gt;"",DB_Customers!J235,""),"")</f>
        <v/>
      </c>
      <c r="K241" s="470">
        <f>IFERROR(IF(DB_Customers!E235&lt;&gt;"",DB_Customers!E235,""),"")</f>
        <v/>
      </c>
      <c r="L241" s="470">
        <f>IFERROR(IF(DB_Customers!F235&lt;&gt;"",DB_Customers!F235,""),"")</f>
        <v/>
      </c>
      <c r="M241" s="470">
        <f>IFERROR(IF(DB_Customers!T235&lt;&gt;"",DB_Customers!T235,""),"")</f>
        <v/>
      </c>
      <c r="N241" s="474">
        <f>IFERROR(IF(DB_Customers!A235&lt;&gt;"",IF(DB_Customers!I235&gt;=10,"Active","Inactive"),""),"")</f>
        <v/>
      </c>
    </row>
    <row r="242" ht="18" customHeight="1" s="341">
      <c r="A242" s="461">
        <f>IF(DB_Customers!A236&lt;&gt;"",233,"")</f>
        <v/>
      </c>
      <c r="B242" s="462">
        <f>IFERROR(IF(DB_Customers!A236&lt;&gt;"",DB_Customers!A236,""),"")</f>
        <v/>
      </c>
      <c r="C242" s="463">
        <f>IFERROR(IF(DB_Customers!D236&lt;&gt;"",DB_Customers!D236,""),"")</f>
        <v/>
      </c>
      <c r="D242" s="464">
        <f>IFERROR(IF(DB_Customers!Q236&lt;&gt;"",DB_Customers!Q236,""),"")</f>
        <v/>
      </c>
      <c r="E242" s="463">
        <f>IFERROR(IF(DB_Customers!R236&lt;&gt;"",DB_Customers!R236,""),"")</f>
        <v/>
      </c>
      <c r="F242" s="463">
        <f>IFERROR(IF(DB_Customers!S236&lt;&gt;"",DB_Customers!S236,""),"")</f>
        <v/>
      </c>
      <c r="G242" s="463">
        <f>IFERROR(IF(DB_Customers!G236&lt;&gt;"",DB_Customers!G236,""),"")</f>
        <v/>
      </c>
      <c r="H242" s="465">
        <f>IFERROR(IF(DB_Customers!H236&lt;&gt;"",DB_Customers!H236,""),"")</f>
        <v/>
      </c>
      <c r="I242" s="466">
        <f>IFERROR(IF(DB_Customers!I236&lt;&gt;"",DB_Customers!I236,""),"")</f>
        <v/>
      </c>
      <c r="J242" s="464">
        <f>IFERROR(IF(DB_Customers!J236&lt;&gt;"",DB_Customers!J236,""),"")</f>
        <v/>
      </c>
      <c r="K242" s="463">
        <f>IFERROR(IF(DB_Customers!E236&lt;&gt;"",DB_Customers!E236,""),"")</f>
        <v/>
      </c>
      <c r="L242" s="463">
        <f>IFERROR(IF(DB_Customers!F236&lt;&gt;"",DB_Customers!F236,""),"")</f>
        <v/>
      </c>
      <c r="M242" s="463">
        <f>IFERROR(IF(DB_Customers!T236&lt;&gt;"",DB_Customers!T236,""),"")</f>
        <v/>
      </c>
      <c r="N242" s="467">
        <f>IFERROR(IF(DB_Customers!A236&lt;&gt;"",IF(DB_Customers!I236&gt;=10,"Active","Inactive"),""),"")</f>
        <v/>
      </c>
    </row>
    <row r="243" ht="18" customHeight="1" s="341">
      <c r="A243" s="468">
        <f>IF(DB_Customers!A237&lt;&gt;"",234,"")</f>
        <v/>
      </c>
      <c r="B243" s="469">
        <f>IFERROR(IF(DB_Customers!A237&lt;&gt;"",DB_Customers!A237,""),"")</f>
        <v/>
      </c>
      <c r="C243" s="470">
        <f>IFERROR(IF(DB_Customers!D237&lt;&gt;"",DB_Customers!D237,""),"")</f>
        <v/>
      </c>
      <c r="D243" s="471">
        <f>IFERROR(IF(DB_Customers!Q237&lt;&gt;"",DB_Customers!Q237,""),"")</f>
        <v/>
      </c>
      <c r="E243" s="470">
        <f>IFERROR(IF(DB_Customers!R237&lt;&gt;"",DB_Customers!R237,""),"")</f>
        <v/>
      </c>
      <c r="F243" s="470">
        <f>IFERROR(IF(DB_Customers!S237&lt;&gt;"",DB_Customers!S237,""),"")</f>
        <v/>
      </c>
      <c r="G243" s="470">
        <f>IFERROR(IF(DB_Customers!G237&lt;&gt;"",DB_Customers!G237,""),"")</f>
        <v/>
      </c>
      <c r="H243" s="472">
        <f>IFERROR(IF(DB_Customers!H237&lt;&gt;"",DB_Customers!H237,""),"")</f>
        <v/>
      </c>
      <c r="I243" s="473">
        <f>IFERROR(IF(DB_Customers!I237&lt;&gt;"",DB_Customers!I237,""),"")</f>
        <v/>
      </c>
      <c r="J243" s="471">
        <f>IFERROR(IF(DB_Customers!J237&lt;&gt;"",DB_Customers!J237,""),"")</f>
        <v/>
      </c>
      <c r="K243" s="470">
        <f>IFERROR(IF(DB_Customers!E237&lt;&gt;"",DB_Customers!E237,""),"")</f>
        <v/>
      </c>
      <c r="L243" s="470">
        <f>IFERROR(IF(DB_Customers!F237&lt;&gt;"",DB_Customers!F237,""),"")</f>
        <v/>
      </c>
      <c r="M243" s="470">
        <f>IFERROR(IF(DB_Customers!T237&lt;&gt;"",DB_Customers!T237,""),"")</f>
        <v/>
      </c>
      <c r="N243" s="474">
        <f>IFERROR(IF(DB_Customers!A237&lt;&gt;"",IF(DB_Customers!I237&gt;=10,"Active","Inactive"),""),"")</f>
        <v/>
      </c>
    </row>
    <row r="244" ht="18" customHeight="1" s="341">
      <c r="A244" s="461">
        <f>IF(DB_Customers!A238&lt;&gt;"",235,"")</f>
        <v/>
      </c>
      <c r="B244" s="462">
        <f>IFERROR(IF(DB_Customers!A238&lt;&gt;"",DB_Customers!A238,""),"")</f>
        <v/>
      </c>
      <c r="C244" s="463">
        <f>IFERROR(IF(DB_Customers!D238&lt;&gt;"",DB_Customers!D238,""),"")</f>
        <v/>
      </c>
      <c r="D244" s="464">
        <f>IFERROR(IF(DB_Customers!Q238&lt;&gt;"",DB_Customers!Q238,""),"")</f>
        <v/>
      </c>
      <c r="E244" s="463">
        <f>IFERROR(IF(DB_Customers!R238&lt;&gt;"",DB_Customers!R238,""),"")</f>
        <v/>
      </c>
      <c r="F244" s="463">
        <f>IFERROR(IF(DB_Customers!S238&lt;&gt;"",DB_Customers!S238,""),"")</f>
        <v/>
      </c>
      <c r="G244" s="463">
        <f>IFERROR(IF(DB_Customers!G238&lt;&gt;"",DB_Customers!G238,""),"")</f>
        <v/>
      </c>
      <c r="H244" s="465">
        <f>IFERROR(IF(DB_Customers!H238&lt;&gt;"",DB_Customers!H238,""),"")</f>
        <v/>
      </c>
      <c r="I244" s="466">
        <f>IFERROR(IF(DB_Customers!I238&lt;&gt;"",DB_Customers!I238,""),"")</f>
        <v/>
      </c>
      <c r="J244" s="464">
        <f>IFERROR(IF(DB_Customers!J238&lt;&gt;"",DB_Customers!J238,""),"")</f>
        <v/>
      </c>
      <c r="K244" s="463">
        <f>IFERROR(IF(DB_Customers!E238&lt;&gt;"",DB_Customers!E238,""),"")</f>
        <v/>
      </c>
      <c r="L244" s="463">
        <f>IFERROR(IF(DB_Customers!F238&lt;&gt;"",DB_Customers!F238,""),"")</f>
        <v/>
      </c>
      <c r="M244" s="463">
        <f>IFERROR(IF(DB_Customers!T238&lt;&gt;"",DB_Customers!T238,""),"")</f>
        <v/>
      </c>
      <c r="N244" s="467">
        <f>IFERROR(IF(DB_Customers!A238&lt;&gt;"",IF(DB_Customers!I238&gt;=10,"Active","Inactive"),""),"")</f>
        <v/>
      </c>
    </row>
    <row r="245" ht="18" customHeight="1" s="341">
      <c r="A245" s="468">
        <f>IF(DB_Customers!A239&lt;&gt;"",236,"")</f>
        <v/>
      </c>
      <c r="B245" s="469">
        <f>IFERROR(IF(DB_Customers!A239&lt;&gt;"",DB_Customers!A239,""),"")</f>
        <v/>
      </c>
      <c r="C245" s="470">
        <f>IFERROR(IF(DB_Customers!D239&lt;&gt;"",DB_Customers!D239,""),"")</f>
        <v/>
      </c>
      <c r="D245" s="471">
        <f>IFERROR(IF(DB_Customers!Q239&lt;&gt;"",DB_Customers!Q239,""),"")</f>
        <v/>
      </c>
      <c r="E245" s="470">
        <f>IFERROR(IF(DB_Customers!R239&lt;&gt;"",DB_Customers!R239,""),"")</f>
        <v/>
      </c>
      <c r="F245" s="470">
        <f>IFERROR(IF(DB_Customers!S239&lt;&gt;"",DB_Customers!S239,""),"")</f>
        <v/>
      </c>
      <c r="G245" s="470">
        <f>IFERROR(IF(DB_Customers!G239&lt;&gt;"",DB_Customers!G239,""),"")</f>
        <v/>
      </c>
      <c r="H245" s="472">
        <f>IFERROR(IF(DB_Customers!H239&lt;&gt;"",DB_Customers!H239,""),"")</f>
        <v/>
      </c>
      <c r="I245" s="473">
        <f>IFERROR(IF(DB_Customers!I239&lt;&gt;"",DB_Customers!I239,""),"")</f>
        <v/>
      </c>
      <c r="J245" s="471">
        <f>IFERROR(IF(DB_Customers!J239&lt;&gt;"",DB_Customers!J239,""),"")</f>
        <v/>
      </c>
      <c r="K245" s="470">
        <f>IFERROR(IF(DB_Customers!E239&lt;&gt;"",DB_Customers!E239,""),"")</f>
        <v/>
      </c>
      <c r="L245" s="470">
        <f>IFERROR(IF(DB_Customers!F239&lt;&gt;"",DB_Customers!F239,""),"")</f>
        <v/>
      </c>
      <c r="M245" s="470">
        <f>IFERROR(IF(DB_Customers!T239&lt;&gt;"",DB_Customers!T239,""),"")</f>
        <v/>
      </c>
      <c r="N245" s="474">
        <f>IFERROR(IF(DB_Customers!A239&lt;&gt;"",IF(DB_Customers!I239&gt;=10,"Active","Inactive"),""),"")</f>
        <v/>
      </c>
    </row>
    <row r="246" ht="18" customHeight="1" s="341">
      <c r="A246" s="461">
        <f>IF(DB_Customers!A240&lt;&gt;"",237,"")</f>
        <v/>
      </c>
      <c r="B246" s="462">
        <f>IFERROR(IF(DB_Customers!A240&lt;&gt;"",DB_Customers!A240,""),"")</f>
        <v/>
      </c>
      <c r="C246" s="463">
        <f>IFERROR(IF(DB_Customers!D240&lt;&gt;"",DB_Customers!D240,""),"")</f>
        <v/>
      </c>
      <c r="D246" s="464">
        <f>IFERROR(IF(DB_Customers!Q240&lt;&gt;"",DB_Customers!Q240,""),"")</f>
        <v/>
      </c>
      <c r="E246" s="463">
        <f>IFERROR(IF(DB_Customers!R240&lt;&gt;"",DB_Customers!R240,""),"")</f>
        <v/>
      </c>
      <c r="F246" s="463">
        <f>IFERROR(IF(DB_Customers!S240&lt;&gt;"",DB_Customers!S240,""),"")</f>
        <v/>
      </c>
      <c r="G246" s="463">
        <f>IFERROR(IF(DB_Customers!G240&lt;&gt;"",DB_Customers!G240,""),"")</f>
        <v/>
      </c>
      <c r="H246" s="465">
        <f>IFERROR(IF(DB_Customers!H240&lt;&gt;"",DB_Customers!H240,""),"")</f>
        <v/>
      </c>
      <c r="I246" s="466">
        <f>IFERROR(IF(DB_Customers!I240&lt;&gt;"",DB_Customers!I240,""),"")</f>
        <v/>
      </c>
      <c r="J246" s="464">
        <f>IFERROR(IF(DB_Customers!J240&lt;&gt;"",DB_Customers!J240,""),"")</f>
        <v/>
      </c>
      <c r="K246" s="463">
        <f>IFERROR(IF(DB_Customers!E240&lt;&gt;"",DB_Customers!E240,""),"")</f>
        <v/>
      </c>
      <c r="L246" s="463">
        <f>IFERROR(IF(DB_Customers!F240&lt;&gt;"",DB_Customers!F240,""),"")</f>
        <v/>
      </c>
      <c r="M246" s="463">
        <f>IFERROR(IF(DB_Customers!T240&lt;&gt;"",DB_Customers!T240,""),"")</f>
        <v/>
      </c>
      <c r="N246" s="467">
        <f>IFERROR(IF(DB_Customers!A240&lt;&gt;"",IF(DB_Customers!I240&gt;=10,"Active","Inactive"),""),"")</f>
        <v/>
      </c>
    </row>
    <row r="247" ht="18" customHeight="1" s="341">
      <c r="A247" s="468">
        <f>IF(DB_Customers!A241&lt;&gt;"",238,"")</f>
        <v/>
      </c>
      <c r="B247" s="469">
        <f>IFERROR(IF(DB_Customers!A241&lt;&gt;"",DB_Customers!A241,""),"")</f>
        <v/>
      </c>
      <c r="C247" s="470">
        <f>IFERROR(IF(DB_Customers!D241&lt;&gt;"",DB_Customers!D241,""),"")</f>
        <v/>
      </c>
      <c r="D247" s="471">
        <f>IFERROR(IF(DB_Customers!Q241&lt;&gt;"",DB_Customers!Q241,""),"")</f>
        <v/>
      </c>
      <c r="E247" s="470">
        <f>IFERROR(IF(DB_Customers!R241&lt;&gt;"",DB_Customers!R241,""),"")</f>
        <v/>
      </c>
      <c r="F247" s="470">
        <f>IFERROR(IF(DB_Customers!S241&lt;&gt;"",DB_Customers!S241,""),"")</f>
        <v/>
      </c>
      <c r="G247" s="470">
        <f>IFERROR(IF(DB_Customers!G241&lt;&gt;"",DB_Customers!G241,""),"")</f>
        <v/>
      </c>
      <c r="H247" s="472">
        <f>IFERROR(IF(DB_Customers!H241&lt;&gt;"",DB_Customers!H241,""),"")</f>
        <v/>
      </c>
      <c r="I247" s="473">
        <f>IFERROR(IF(DB_Customers!I241&lt;&gt;"",DB_Customers!I241,""),"")</f>
        <v/>
      </c>
      <c r="J247" s="471">
        <f>IFERROR(IF(DB_Customers!J241&lt;&gt;"",DB_Customers!J241,""),"")</f>
        <v/>
      </c>
      <c r="K247" s="470">
        <f>IFERROR(IF(DB_Customers!E241&lt;&gt;"",DB_Customers!E241,""),"")</f>
        <v/>
      </c>
      <c r="L247" s="470">
        <f>IFERROR(IF(DB_Customers!F241&lt;&gt;"",DB_Customers!F241,""),"")</f>
        <v/>
      </c>
      <c r="M247" s="470">
        <f>IFERROR(IF(DB_Customers!T241&lt;&gt;"",DB_Customers!T241,""),"")</f>
        <v/>
      </c>
      <c r="N247" s="474">
        <f>IFERROR(IF(DB_Customers!A241&lt;&gt;"",IF(DB_Customers!I241&gt;=10,"Active","Inactive"),""),"")</f>
        <v/>
      </c>
    </row>
    <row r="248" ht="18" customHeight="1" s="341">
      <c r="A248" s="461">
        <f>IF(DB_Customers!A242&lt;&gt;"",239,"")</f>
        <v/>
      </c>
      <c r="B248" s="462">
        <f>IFERROR(IF(DB_Customers!A242&lt;&gt;"",DB_Customers!A242,""),"")</f>
        <v/>
      </c>
      <c r="C248" s="463">
        <f>IFERROR(IF(DB_Customers!D242&lt;&gt;"",DB_Customers!D242,""),"")</f>
        <v/>
      </c>
      <c r="D248" s="464">
        <f>IFERROR(IF(DB_Customers!Q242&lt;&gt;"",DB_Customers!Q242,""),"")</f>
        <v/>
      </c>
      <c r="E248" s="463">
        <f>IFERROR(IF(DB_Customers!R242&lt;&gt;"",DB_Customers!R242,""),"")</f>
        <v/>
      </c>
      <c r="F248" s="463">
        <f>IFERROR(IF(DB_Customers!S242&lt;&gt;"",DB_Customers!S242,""),"")</f>
        <v/>
      </c>
      <c r="G248" s="463">
        <f>IFERROR(IF(DB_Customers!G242&lt;&gt;"",DB_Customers!G242,""),"")</f>
        <v/>
      </c>
      <c r="H248" s="465">
        <f>IFERROR(IF(DB_Customers!H242&lt;&gt;"",DB_Customers!H242,""),"")</f>
        <v/>
      </c>
      <c r="I248" s="466">
        <f>IFERROR(IF(DB_Customers!I242&lt;&gt;"",DB_Customers!I242,""),"")</f>
        <v/>
      </c>
      <c r="J248" s="464">
        <f>IFERROR(IF(DB_Customers!J242&lt;&gt;"",DB_Customers!J242,""),"")</f>
        <v/>
      </c>
      <c r="K248" s="463">
        <f>IFERROR(IF(DB_Customers!E242&lt;&gt;"",DB_Customers!E242,""),"")</f>
        <v/>
      </c>
      <c r="L248" s="463">
        <f>IFERROR(IF(DB_Customers!F242&lt;&gt;"",DB_Customers!F242,""),"")</f>
        <v/>
      </c>
      <c r="M248" s="463">
        <f>IFERROR(IF(DB_Customers!T242&lt;&gt;"",DB_Customers!T242,""),"")</f>
        <v/>
      </c>
      <c r="N248" s="467">
        <f>IFERROR(IF(DB_Customers!A242&lt;&gt;"",IF(DB_Customers!I242&gt;=10,"Active","Inactive"),""),"")</f>
        <v/>
      </c>
    </row>
    <row r="249" ht="18" customHeight="1" s="341">
      <c r="A249" s="468">
        <f>IF(DB_Customers!A243&lt;&gt;"",240,"")</f>
        <v/>
      </c>
      <c r="B249" s="469">
        <f>IFERROR(IF(DB_Customers!A243&lt;&gt;"",DB_Customers!A243,""),"")</f>
        <v/>
      </c>
      <c r="C249" s="470">
        <f>IFERROR(IF(DB_Customers!D243&lt;&gt;"",DB_Customers!D243,""),"")</f>
        <v/>
      </c>
      <c r="D249" s="471">
        <f>IFERROR(IF(DB_Customers!Q243&lt;&gt;"",DB_Customers!Q243,""),"")</f>
        <v/>
      </c>
      <c r="E249" s="470">
        <f>IFERROR(IF(DB_Customers!R243&lt;&gt;"",DB_Customers!R243,""),"")</f>
        <v/>
      </c>
      <c r="F249" s="470">
        <f>IFERROR(IF(DB_Customers!S243&lt;&gt;"",DB_Customers!S243,""),"")</f>
        <v/>
      </c>
      <c r="G249" s="470">
        <f>IFERROR(IF(DB_Customers!G243&lt;&gt;"",DB_Customers!G243,""),"")</f>
        <v/>
      </c>
      <c r="H249" s="472">
        <f>IFERROR(IF(DB_Customers!H243&lt;&gt;"",DB_Customers!H243,""),"")</f>
        <v/>
      </c>
      <c r="I249" s="473">
        <f>IFERROR(IF(DB_Customers!I243&lt;&gt;"",DB_Customers!I243,""),"")</f>
        <v/>
      </c>
      <c r="J249" s="471">
        <f>IFERROR(IF(DB_Customers!J243&lt;&gt;"",DB_Customers!J243,""),"")</f>
        <v/>
      </c>
      <c r="K249" s="470">
        <f>IFERROR(IF(DB_Customers!E243&lt;&gt;"",DB_Customers!E243,""),"")</f>
        <v/>
      </c>
      <c r="L249" s="470">
        <f>IFERROR(IF(DB_Customers!F243&lt;&gt;"",DB_Customers!F243,""),"")</f>
        <v/>
      </c>
      <c r="M249" s="470">
        <f>IFERROR(IF(DB_Customers!T243&lt;&gt;"",DB_Customers!T243,""),"")</f>
        <v/>
      </c>
      <c r="N249" s="474">
        <f>IFERROR(IF(DB_Customers!A243&lt;&gt;"",IF(DB_Customers!I243&gt;=10,"Active","Inactive"),""),"")</f>
        <v/>
      </c>
    </row>
    <row r="250" ht="18" customHeight="1" s="341">
      <c r="A250" s="461">
        <f>IF(DB_Customers!A244&lt;&gt;"",241,"")</f>
        <v/>
      </c>
      <c r="B250" s="462">
        <f>IFERROR(IF(DB_Customers!A244&lt;&gt;"",DB_Customers!A244,""),"")</f>
        <v/>
      </c>
      <c r="C250" s="463">
        <f>IFERROR(IF(DB_Customers!D244&lt;&gt;"",DB_Customers!D244,""),"")</f>
        <v/>
      </c>
      <c r="D250" s="464">
        <f>IFERROR(IF(DB_Customers!Q244&lt;&gt;"",DB_Customers!Q244,""),"")</f>
        <v/>
      </c>
      <c r="E250" s="463">
        <f>IFERROR(IF(DB_Customers!R244&lt;&gt;"",DB_Customers!R244,""),"")</f>
        <v/>
      </c>
      <c r="F250" s="463">
        <f>IFERROR(IF(DB_Customers!S244&lt;&gt;"",DB_Customers!S244,""),"")</f>
        <v/>
      </c>
      <c r="G250" s="463">
        <f>IFERROR(IF(DB_Customers!G244&lt;&gt;"",DB_Customers!G244,""),"")</f>
        <v/>
      </c>
      <c r="H250" s="465">
        <f>IFERROR(IF(DB_Customers!H244&lt;&gt;"",DB_Customers!H244,""),"")</f>
        <v/>
      </c>
      <c r="I250" s="466">
        <f>IFERROR(IF(DB_Customers!I244&lt;&gt;"",DB_Customers!I244,""),"")</f>
        <v/>
      </c>
      <c r="J250" s="464">
        <f>IFERROR(IF(DB_Customers!J244&lt;&gt;"",DB_Customers!J244,""),"")</f>
        <v/>
      </c>
      <c r="K250" s="463">
        <f>IFERROR(IF(DB_Customers!E244&lt;&gt;"",DB_Customers!E244,""),"")</f>
        <v/>
      </c>
      <c r="L250" s="463">
        <f>IFERROR(IF(DB_Customers!F244&lt;&gt;"",DB_Customers!F244,""),"")</f>
        <v/>
      </c>
      <c r="M250" s="463">
        <f>IFERROR(IF(DB_Customers!T244&lt;&gt;"",DB_Customers!T244,""),"")</f>
        <v/>
      </c>
      <c r="N250" s="467">
        <f>IFERROR(IF(DB_Customers!A244&lt;&gt;"",IF(DB_Customers!I244&gt;=10,"Active","Inactive"),""),"")</f>
        <v/>
      </c>
    </row>
    <row r="251" ht="18" customHeight="1" s="341">
      <c r="A251" s="468">
        <f>IF(DB_Customers!A245&lt;&gt;"",242,"")</f>
        <v/>
      </c>
      <c r="B251" s="469">
        <f>IFERROR(IF(DB_Customers!A245&lt;&gt;"",DB_Customers!A245,""),"")</f>
        <v/>
      </c>
      <c r="C251" s="470">
        <f>IFERROR(IF(DB_Customers!D245&lt;&gt;"",DB_Customers!D245,""),"")</f>
        <v/>
      </c>
      <c r="D251" s="471">
        <f>IFERROR(IF(DB_Customers!Q245&lt;&gt;"",DB_Customers!Q245,""),"")</f>
        <v/>
      </c>
      <c r="E251" s="470">
        <f>IFERROR(IF(DB_Customers!R245&lt;&gt;"",DB_Customers!R245,""),"")</f>
        <v/>
      </c>
      <c r="F251" s="470">
        <f>IFERROR(IF(DB_Customers!S245&lt;&gt;"",DB_Customers!S245,""),"")</f>
        <v/>
      </c>
      <c r="G251" s="470">
        <f>IFERROR(IF(DB_Customers!G245&lt;&gt;"",DB_Customers!G245,""),"")</f>
        <v/>
      </c>
      <c r="H251" s="472">
        <f>IFERROR(IF(DB_Customers!H245&lt;&gt;"",DB_Customers!H245,""),"")</f>
        <v/>
      </c>
      <c r="I251" s="473">
        <f>IFERROR(IF(DB_Customers!I245&lt;&gt;"",DB_Customers!I245,""),"")</f>
        <v/>
      </c>
      <c r="J251" s="471">
        <f>IFERROR(IF(DB_Customers!J245&lt;&gt;"",DB_Customers!J245,""),"")</f>
        <v/>
      </c>
      <c r="K251" s="470">
        <f>IFERROR(IF(DB_Customers!E245&lt;&gt;"",DB_Customers!E245,""),"")</f>
        <v/>
      </c>
      <c r="L251" s="470">
        <f>IFERROR(IF(DB_Customers!F245&lt;&gt;"",DB_Customers!F245,""),"")</f>
        <v/>
      </c>
      <c r="M251" s="470">
        <f>IFERROR(IF(DB_Customers!T245&lt;&gt;"",DB_Customers!T245,""),"")</f>
        <v/>
      </c>
      <c r="N251" s="474">
        <f>IFERROR(IF(DB_Customers!A245&lt;&gt;"",IF(DB_Customers!I245&gt;=10,"Active","Inactive"),""),"")</f>
        <v/>
      </c>
    </row>
    <row r="252" ht="18" customHeight="1" s="341">
      <c r="A252" s="461">
        <f>IF(DB_Customers!A246&lt;&gt;"",243,"")</f>
        <v/>
      </c>
      <c r="B252" s="462">
        <f>IFERROR(IF(DB_Customers!A246&lt;&gt;"",DB_Customers!A246,""),"")</f>
        <v/>
      </c>
      <c r="C252" s="463">
        <f>IFERROR(IF(DB_Customers!D246&lt;&gt;"",DB_Customers!D246,""),"")</f>
        <v/>
      </c>
      <c r="D252" s="464">
        <f>IFERROR(IF(DB_Customers!Q246&lt;&gt;"",DB_Customers!Q246,""),"")</f>
        <v/>
      </c>
      <c r="E252" s="463">
        <f>IFERROR(IF(DB_Customers!R246&lt;&gt;"",DB_Customers!R246,""),"")</f>
        <v/>
      </c>
      <c r="F252" s="463">
        <f>IFERROR(IF(DB_Customers!S246&lt;&gt;"",DB_Customers!S246,""),"")</f>
        <v/>
      </c>
      <c r="G252" s="463">
        <f>IFERROR(IF(DB_Customers!G246&lt;&gt;"",DB_Customers!G246,""),"")</f>
        <v/>
      </c>
      <c r="H252" s="465">
        <f>IFERROR(IF(DB_Customers!H246&lt;&gt;"",DB_Customers!H246,""),"")</f>
        <v/>
      </c>
      <c r="I252" s="466">
        <f>IFERROR(IF(DB_Customers!I246&lt;&gt;"",DB_Customers!I246,""),"")</f>
        <v/>
      </c>
      <c r="J252" s="464">
        <f>IFERROR(IF(DB_Customers!J246&lt;&gt;"",DB_Customers!J246,""),"")</f>
        <v/>
      </c>
      <c r="K252" s="463">
        <f>IFERROR(IF(DB_Customers!E246&lt;&gt;"",DB_Customers!E246,""),"")</f>
        <v/>
      </c>
      <c r="L252" s="463">
        <f>IFERROR(IF(DB_Customers!F246&lt;&gt;"",DB_Customers!F246,""),"")</f>
        <v/>
      </c>
      <c r="M252" s="463">
        <f>IFERROR(IF(DB_Customers!T246&lt;&gt;"",DB_Customers!T246,""),"")</f>
        <v/>
      </c>
      <c r="N252" s="467">
        <f>IFERROR(IF(DB_Customers!A246&lt;&gt;"",IF(DB_Customers!I246&gt;=10,"Active","Inactive"),""),"")</f>
        <v/>
      </c>
    </row>
    <row r="253" ht="18" customHeight="1" s="341">
      <c r="A253" s="468">
        <f>IF(DB_Customers!A247&lt;&gt;"",244,"")</f>
        <v/>
      </c>
      <c r="B253" s="469">
        <f>IFERROR(IF(DB_Customers!A247&lt;&gt;"",DB_Customers!A247,""),"")</f>
        <v/>
      </c>
      <c r="C253" s="470">
        <f>IFERROR(IF(DB_Customers!D247&lt;&gt;"",DB_Customers!D247,""),"")</f>
        <v/>
      </c>
      <c r="D253" s="471">
        <f>IFERROR(IF(DB_Customers!Q247&lt;&gt;"",DB_Customers!Q247,""),"")</f>
        <v/>
      </c>
      <c r="E253" s="470">
        <f>IFERROR(IF(DB_Customers!R247&lt;&gt;"",DB_Customers!R247,""),"")</f>
        <v/>
      </c>
      <c r="F253" s="470">
        <f>IFERROR(IF(DB_Customers!S247&lt;&gt;"",DB_Customers!S247,""),"")</f>
        <v/>
      </c>
      <c r="G253" s="470">
        <f>IFERROR(IF(DB_Customers!G247&lt;&gt;"",DB_Customers!G247,""),"")</f>
        <v/>
      </c>
      <c r="H253" s="472">
        <f>IFERROR(IF(DB_Customers!H247&lt;&gt;"",DB_Customers!H247,""),"")</f>
        <v/>
      </c>
      <c r="I253" s="473">
        <f>IFERROR(IF(DB_Customers!I247&lt;&gt;"",DB_Customers!I247,""),"")</f>
        <v/>
      </c>
      <c r="J253" s="471">
        <f>IFERROR(IF(DB_Customers!J247&lt;&gt;"",DB_Customers!J247,""),"")</f>
        <v/>
      </c>
      <c r="K253" s="470">
        <f>IFERROR(IF(DB_Customers!E247&lt;&gt;"",DB_Customers!E247,""),"")</f>
        <v/>
      </c>
      <c r="L253" s="470">
        <f>IFERROR(IF(DB_Customers!F247&lt;&gt;"",DB_Customers!F247,""),"")</f>
        <v/>
      </c>
      <c r="M253" s="470">
        <f>IFERROR(IF(DB_Customers!T247&lt;&gt;"",DB_Customers!T247,""),"")</f>
        <v/>
      </c>
      <c r="N253" s="474">
        <f>IFERROR(IF(DB_Customers!A247&lt;&gt;"",IF(DB_Customers!I247&gt;=10,"Active","Inactive"),""),"")</f>
        <v/>
      </c>
    </row>
    <row r="254" ht="18" customHeight="1" s="341">
      <c r="A254" s="461">
        <f>IF(DB_Customers!A248&lt;&gt;"",245,"")</f>
        <v/>
      </c>
      <c r="B254" s="462">
        <f>IFERROR(IF(DB_Customers!A248&lt;&gt;"",DB_Customers!A248,""),"")</f>
        <v/>
      </c>
      <c r="C254" s="463">
        <f>IFERROR(IF(DB_Customers!D248&lt;&gt;"",DB_Customers!D248,""),"")</f>
        <v/>
      </c>
      <c r="D254" s="464">
        <f>IFERROR(IF(DB_Customers!Q248&lt;&gt;"",DB_Customers!Q248,""),"")</f>
        <v/>
      </c>
      <c r="E254" s="463">
        <f>IFERROR(IF(DB_Customers!R248&lt;&gt;"",DB_Customers!R248,""),"")</f>
        <v/>
      </c>
      <c r="F254" s="463">
        <f>IFERROR(IF(DB_Customers!S248&lt;&gt;"",DB_Customers!S248,""),"")</f>
        <v/>
      </c>
      <c r="G254" s="463">
        <f>IFERROR(IF(DB_Customers!G248&lt;&gt;"",DB_Customers!G248,""),"")</f>
        <v/>
      </c>
      <c r="H254" s="465">
        <f>IFERROR(IF(DB_Customers!H248&lt;&gt;"",DB_Customers!H248,""),"")</f>
        <v/>
      </c>
      <c r="I254" s="466">
        <f>IFERROR(IF(DB_Customers!I248&lt;&gt;"",DB_Customers!I248,""),"")</f>
        <v/>
      </c>
      <c r="J254" s="464">
        <f>IFERROR(IF(DB_Customers!J248&lt;&gt;"",DB_Customers!J248,""),"")</f>
        <v/>
      </c>
      <c r="K254" s="463">
        <f>IFERROR(IF(DB_Customers!E248&lt;&gt;"",DB_Customers!E248,""),"")</f>
        <v/>
      </c>
      <c r="L254" s="463">
        <f>IFERROR(IF(DB_Customers!F248&lt;&gt;"",DB_Customers!F248,""),"")</f>
        <v/>
      </c>
      <c r="M254" s="463">
        <f>IFERROR(IF(DB_Customers!T248&lt;&gt;"",DB_Customers!T248,""),"")</f>
        <v/>
      </c>
      <c r="N254" s="467">
        <f>IFERROR(IF(DB_Customers!A248&lt;&gt;"",IF(DB_Customers!I248&gt;=10,"Active","Inactive"),""),"")</f>
        <v/>
      </c>
    </row>
    <row r="255" ht="18" customHeight="1" s="341">
      <c r="A255" s="468">
        <f>IF(DB_Customers!A249&lt;&gt;"",246,"")</f>
        <v/>
      </c>
      <c r="B255" s="469">
        <f>IFERROR(IF(DB_Customers!A249&lt;&gt;"",DB_Customers!A249,""),"")</f>
        <v/>
      </c>
      <c r="C255" s="470">
        <f>IFERROR(IF(DB_Customers!D249&lt;&gt;"",DB_Customers!D249,""),"")</f>
        <v/>
      </c>
      <c r="D255" s="471">
        <f>IFERROR(IF(DB_Customers!Q249&lt;&gt;"",DB_Customers!Q249,""),"")</f>
        <v/>
      </c>
      <c r="E255" s="470">
        <f>IFERROR(IF(DB_Customers!R249&lt;&gt;"",DB_Customers!R249,""),"")</f>
        <v/>
      </c>
      <c r="F255" s="470">
        <f>IFERROR(IF(DB_Customers!S249&lt;&gt;"",DB_Customers!S249,""),"")</f>
        <v/>
      </c>
      <c r="G255" s="470">
        <f>IFERROR(IF(DB_Customers!G249&lt;&gt;"",DB_Customers!G249,""),"")</f>
        <v/>
      </c>
      <c r="H255" s="472">
        <f>IFERROR(IF(DB_Customers!H249&lt;&gt;"",DB_Customers!H249,""),"")</f>
        <v/>
      </c>
      <c r="I255" s="473">
        <f>IFERROR(IF(DB_Customers!I249&lt;&gt;"",DB_Customers!I249,""),"")</f>
        <v/>
      </c>
      <c r="J255" s="471">
        <f>IFERROR(IF(DB_Customers!J249&lt;&gt;"",DB_Customers!J249,""),"")</f>
        <v/>
      </c>
      <c r="K255" s="470">
        <f>IFERROR(IF(DB_Customers!E249&lt;&gt;"",DB_Customers!E249,""),"")</f>
        <v/>
      </c>
      <c r="L255" s="470">
        <f>IFERROR(IF(DB_Customers!F249&lt;&gt;"",DB_Customers!F249,""),"")</f>
        <v/>
      </c>
      <c r="M255" s="470">
        <f>IFERROR(IF(DB_Customers!T249&lt;&gt;"",DB_Customers!T249,""),"")</f>
        <v/>
      </c>
      <c r="N255" s="474">
        <f>IFERROR(IF(DB_Customers!A249&lt;&gt;"",IF(DB_Customers!I249&gt;=10,"Active","Inactive"),""),"")</f>
        <v/>
      </c>
    </row>
    <row r="256" ht="18" customHeight="1" s="341">
      <c r="A256" s="461">
        <f>IF(DB_Customers!A250&lt;&gt;"",247,"")</f>
        <v/>
      </c>
      <c r="B256" s="462">
        <f>IFERROR(IF(DB_Customers!A250&lt;&gt;"",DB_Customers!A250,""),"")</f>
        <v/>
      </c>
      <c r="C256" s="463">
        <f>IFERROR(IF(DB_Customers!D250&lt;&gt;"",DB_Customers!D250,""),"")</f>
        <v/>
      </c>
      <c r="D256" s="464">
        <f>IFERROR(IF(DB_Customers!Q250&lt;&gt;"",DB_Customers!Q250,""),"")</f>
        <v/>
      </c>
      <c r="E256" s="463">
        <f>IFERROR(IF(DB_Customers!R250&lt;&gt;"",DB_Customers!R250,""),"")</f>
        <v/>
      </c>
      <c r="F256" s="463">
        <f>IFERROR(IF(DB_Customers!S250&lt;&gt;"",DB_Customers!S250,""),"")</f>
        <v/>
      </c>
      <c r="G256" s="463">
        <f>IFERROR(IF(DB_Customers!G250&lt;&gt;"",DB_Customers!G250,""),"")</f>
        <v/>
      </c>
      <c r="H256" s="465">
        <f>IFERROR(IF(DB_Customers!H250&lt;&gt;"",DB_Customers!H250,""),"")</f>
        <v/>
      </c>
      <c r="I256" s="466">
        <f>IFERROR(IF(DB_Customers!I250&lt;&gt;"",DB_Customers!I250,""),"")</f>
        <v/>
      </c>
      <c r="J256" s="464">
        <f>IFERROR(IF(DB_Customers!J250&lt;&gt;"",DB_Customers!J250,""),"")</f>
        <v/>
      </c>
      <c r="K256" s="463">
        <f>IFERROR(IF(DB_Customers!E250&lt;&gt;"",DB_Customers!E250,""),"")</f>
        <v/>
      </c>
      <c r="L256" s="463">
        <f>IFERROR(IF(DB_Customers!F250&lt;&gt;"",DB_Customers!F250,""),"")</f>
        <v/>
      </c>
      <c r="M256" s="463">
        <f>IFERROR(IF(DB_Customers!T250&lt;&gt;"",DB_Customers!T250,""),"")</f>
        <v/>
      </c>
      <c r="N256" s="467">
        <f>IFERROR(IF(DB_Customers!A250&lt;&gt;"",IF(DB_Customers!I250&gt;=10,"Active","Inactive"),""),"")</f>
        <v/>
      </c>
    </row>
    <row r="257" ht="18" customHeight="1" s="341">
      <c r="A257" s="468">
        <f>IF(DB_Customers!A251&lt;&gt;"",248,"")</f>
        <v/>
      </c>
      <c r="B257" s="469">
        <f>IFERROR(IF(DB_Customers!A251&lt;&gt;"",DB_Customers!A251,""),"")</f>
        <v/>
      </c>
      <c r="C257" s="470">
        <f>IFERROR(IF(DB_Customers!D251&lt;&gt;"",DB_Customers!D251,""),"")</f>
        <v/>
      </c>
      <c r="D257" s="471">
        <f>IFERROR(IF(DB_Customers!Q251&lt;&gt;"",DB_Customers!Q251,""),"")</f>
        <v/>
      </c>
      <c r="E257" s="470">
        <f>IFERROR(IF(DB_Customers!R251&lt;&gt;"",DB_Customers!R251,""),"")</f>
        <v/>
      </c>
      <c r="F257" s="470">
        <f>IFERROR(IF(DB_Customers!S251&lt;&gt;"",DB_Customers!S251,""),"")</f>
        <v/>
      </c>
      <c r="G257" s="470">
        <f>IFERROR(IF(DB_Customers!G251&lt;&gt;"",DB_Customers!G251,""),"")</f>
        <v/>
      </c>
      <c r="H257" s="472">
        <f>IFERROR(IF(DB_Customers!H251&lt;&gt;"",DB_Customers!H251,""),"")</f>
        <v/>
      </c>
      <c r="I257" s="473">
        <f>IFERROR(IF(DB_Customers!I251&lt;&gt;"",DB_Customers!I251,""),"")</f>
        <v/>
      </c>
      <c r="J257" s="471">
        <f>IFERROR(IF(DB_Customers!J251&lt;&gt;"",DB_Customers!J251,""),"")</f>
        <v/>
      </c>
      <c r="K257" s="470">
        <f>IFERROR(IF(DB_Customers!E251&lt;&gt;"",DB_Customers!E251,""),"")</f>
        <v/>
      </c>
      <c r="L257" s="470">
        <f>IFERROR(IF(DB_Customers!F251&lt;&gt;"",DB_Customers!F251,""),"")</f>
        <v/>
      </c>
      <c r="M257" s="470">
        <f>IFERROR(IF(DB_Customers!T251&lt;&gt;"",DB_Customers!T251,""),"")</f>
        <v/>
      </c>
      <c r="N257" s="474">
        <f>IFERROR(IF(DB_Customers!A251&lt;&gt;"",IF(DB_Customers!I251&gt;=10,"Active","Inactive"),""),"")</f>
        <v/>
      </c>
    </row>
    <row r="258" ht="18" customHeight="1" s="341">
      <c r="A258" s="461">
        <f>IF(DB_Customers!A252&lt;&gt;"",249,"")</f>
        <v/>
      </c>
      <c r="B258" s="462">
        <f>IFERROR(IF(DB_Customers!A252&lt;&gt;"",DB_Customers!A252,""),"")</f>
        <v/>
      </c>
      <c r="C258" s="463">
        <f>IFERROR(IF(DB_Customers!D252&lt;&gt;"",DB_Customers!D252,""),"")</f>
        <v/>
      </c>
      <c r="D258" s="464">
        <f>IFERROR(IF(DB_Customers!Q252&lt;&gt;"",DB_Customers!Q252,""),"")</f>
        <v/>
      </c>
      <c r="E258" s="463">
        <f>IFERROR(IF(DB_Customers!R252&lt;&gt;"",DB_Customers!R252,""),"")</f>
        <v/>
      </c>
      <c r="F258" s="463">
        <f>IFERROR(IF(DB_Customers!S252&lt;&gt;"",DB_Customers!S252,""),"")</f>
        <v/>
      </c>
      <c r="G258" s="463">
        <f>IFERROR(IF(DB_Customers!G252&lt;&gt;"",DB_Customers!G252,""),"")</f>
        <v/>
      </c>
      <c r="H258" s="465">
        <f>IFERROR(IF(DB_Customers!H252&lt;&gt;"",DB_Customers!H252,""),"")</f>
        <v/>
      </c>
      <c r="I258" s="466">
        <f>IFERROR(IF(DB_Customers!I252&lt;&gt;"",DB_Customers!I252,""),"")</f>
        <v/>
      </c>
      <c r="J258" s="464">
        <f>IFERROR(IF(DB_Customers!J252&lt;&gt;"",DB_Customers!J252,""),"")</f>
        <v/>
      </c>
      <c r="K258" s="463">
        <f>IFERROR(IF(DB_Customers!E252&lt;&gt;"",DB_Customers!E252,""),"")</f>
        <v/>
      </c>
      <c r="L258" s="463">
        <f>IFERROR(IF(DB_Customers!F252&lt;&gt;"",DB_Customers!F252,""),"")</f>
        <v/>
      </c>
      <c r="M258" s="463">
        <f>IFERROR(IF(DB_Customers!T252&lt;&gt;"",DB_Customers!T252,""),"")</f>
        <v/>
      </c>
      <c r="N258" s="467">
        <f>IFERROR(IF(DB_Customers!A252&lt;&gt;"",IF(DB_Customers!I252&gt;=10,"Active","Inactive"),""),"")</f>
        <v/>
      </c>
    </row>
    <row r="259" ht="18" customHeight="1" s="341">
      <c r="A259" s="468">
        <f>IF(DB_Customers!A253&lt;&gt;"",250,"")</f>
        <v/>
      </c>
      <c r="B259" s="469">
        <f>IFERROR(IF(DB_Customers!A253&lt;&gt;"",DB_Customers!A253,""),"")</f>
        <v/>
      </c>
      <c r="C259" s="470">
        <f>IFERROR(IF(DB_Customers!D253&lt;&gt;"",DB_Customers!D253,""),"")</f>
        <v/>
      </c>
      <c r="D259" s="471">
        <f>IFERROR(IF(DB_Customers!Q253&lt;&gt;"",DB_Customers!Q253,""),"")</f>
        <v/>
      </c>
      <c r="E259" s="470">
        <f>IFERROR(IF(DB_Customers!R253&lt;&gt;"",DB_Customers!R253,""),"")</f>
        <v/>
      </c>
      <c r="F259" s="470">
        <f>IFERROR(IF(DB_Customers!S253&lt;&gt;"",DB_Customers!S253,""),"")</f>
        <v/>
      </c>
      <c r="G259" s="470">
        <f>IFERROR(IF(DB_Customers!G253&lt;&gt;"",DB_Customers!G253,""),"")</f>
        <v/>
      </c>
      <c r="H259" s="472">
        <f>IFERROR(IF(DB_Customers!H253&lt;&gt;"",DB_Customers!H253,""),"")</f>
        <v/>
      </c>
      <c r="I259" s="473">
        <f>IFERROR(IF(DB_Customers!I253&lt;&gt;"",DB_Customers!I253,""),"")</f>
        <v/>
      </c>
      <c r="J259" s="471">
        <f>IFERROR(IF(DB_Customers!J253&lt;&gt;"",DB_Customers!J253,""),"")</f>
        <v/>
      </c>
      <c r="K259" s="470">
        <f>IFERROR(IF(DB_Customers!E253&lt;&gt;"",DB_Customers!E253,""),"")</f>
        <v/>
      </c>
      <c r="L259" s="470">
        <f>IFERROR(IF(DB_Customers!F253&lt;&gt;"",DB_Customers!F253,""),"")</f>
        <v/>
      </c>
      <c r="M259" s="470">
        <f>IFERROR(IF(DB_Customers!T253&lt;&gt;"",DB_Customers!T253,""),"")</f>
        <v/>
      </c>
      <c r="N259" s="474">
        <f>IFERROR(IF(DB_Customers!A253&lt;&gt;"",IF(DB_Customers!I253&gt;=10,"Active","Inactive"),""),"")</f>
        <v/>
      </c>
    </row>
    <row r="260" ht="18" customHeight="1" s="341">
      <c r="A260" s="461">
        <f>IF(DB_Customers!A254&lt;&gt;"",251,"")</f>
        <v/>
      </c>
      <c r="B260" s="462">
        <f>IFERROR(IF(DB_Customers!A254&lt;&gt;"",DB_Customers!A254,""),"")</f>
        <v/>
      </c>
      <c r="C260" s="463">
        <f>IFERROR(IF(DB_Customers!D254&lt;&gt;"",DB_Customers!D254,""),"")</f>
        <v/>
      </c>
      <c r="D260" s="464">
        <f>IFERROR(IF(DB_Customers!Q254&lt;&gt;"",DB_Customers!Q254,""),"")</f>
        <v/>
      </c>
      <c r="E260" s="463">
        <f>IFERROR(IF(DB_Customers!R254&lt;&gt;"",DB_Customers!R254,""),"")</f>
        <v/>
      </c>
      <c r="F260" s="463">
        <f>IFERROR(IF(DB_Customers!S254&lt;&gt;"",DB_Customers!S254,""),"")</f>
        <v/>
      </c>
      <c r="G260" s="463">
        <f>IFERROR(IF(DB_Customers!G254&lt;&gt;"",DB_Customers!G254,""),"")</f>
        <v/>
      </c>
      <c r="H260" s="465">
        <f>IFERROR(IF(DB_Customers!H254&lt;&gt;"",DB_Customers!H254,""),"")</f>
        <v/>
      </c>
      <c r="I260" s="466">
        <f>IFERROR(IF(DB_Customers!I254&lt;&gt;"",DB_Customers!I254,""),"")</f>
        <v/>
      </c>
      <c r="J260" s="464">
        <f>IFERROR(IF(DB_Customers!J254&lt;&gt;"",DB_Customers!J254,""),"")</f>
        <v/>
      </c>
      <c r="K260" s="463">
        <f>IFERROR(IF(DB_Customers!E254&lt;&gt;"",DB_Customers!E254,""),"")</f>
        <v/>
      </c>
      <c r="L260" s="463">
        <f>IFERROR(IF(DB_Customers!F254&lt;&gt;"",DB_Customers!F254,""),"")</f>
        <v/>
      </c>
      <c r="M260" s="463">
        <f>IFERROR(IF(DB_Customers!T254&lt;&gt;"",DB_Customers!T254,""),"")</f>
        <v/>
      </c>
      <c r="N260" s="467">
        <f>IFERROR(IF(DB_Customers!A254&lt;&gt;"",IF(DB_Customers!I254&gt;=10,"Active","Inactive"),""),"")</f>
        <v/>
      </c>
    </row>
    <row r="261" ht="18" customHeight="1" s="341">
      <c r="A261" s="468">
        <f>IF(DB_Customers!A255&lt;&gt;"",252,"")</f>
        <v/>
      </c>
      <c r="B261" s="469">
        <f>IFERROR(IF(DB_Customers!A255&lt;&gt;"",DB_Customers!A255,""),"")</f>
        <v/>
      </c>
      <c r="C261" s="470">
        <f>IFERROR(IF(DB_Customers!D255&lt;&gt;"",DB_Customers!D255,""),"")</f>
        <v/>
      </c>
      <c r="D261" s="471">
        <f>IFERROR(IF(DB_Customers!Q255&lt;&gt;"",DB_Customers!Q255,""),"")</f>
        <v/>
      </c>
      <c r="E261" s="470">
        <f>IFERROR(IF(DB_Customers!R255&lt;&gt;"",DB_Customers!R255,""),"")</f>
        <v/>
      </c>
      <c r="F261" s="470">
        <f>IFERROR(IF(DB_Customers!S255&lt;&gt;"",DB_Customers!S255,""),"")</f>
        <v/>
      </c>
      <c r="G261" s="470">
        <f>IFERROR(IF(DB_Customers!G255&lt;&gt;"",DB_Customers!G255,""),"")</f>
        <v/>
      </c>
      <c r="H261" s="472">
        <f>IFERROR(IF(DB_Customers!H255&lt;&gt;"",DB_Customers!H255,""),"")</f>
        <v/>
      </c>
      <c r="I261" s="473">
        <f>IFERROR(IF(DB_Customers!I255&lt;&gt;"",DB_Customers!I255,""),"")</f>
        <v/>
      </c>
      <c r="J261" s="471">
        <f>IFERROR(IF(DB_Customers!J255&lt;&gt;"",DB_Customers!J255,""),"")</f>
        <v/>
      </c>
      <c r="K261" s="470">
        <f>IFERROR(IF(DB_Customers!E255&lt;&gt;"",DB_Customers!E255,""),"")</f>
        <v/>
      </c>
      <c r="L261" s="470">
        <f>IFERROR(IF(DB_Customers!F255&lt;&gt;"",DB_Customers!F255,""),"")</f>
        <v/>
      </c>
      <c r="M261" s="470">
        <f>IFERROR(IF(DB_Customers!T255&lt;&gt;"",DB_Customers!T255,""),"")</f>
        <v/>
      </c>
      <c r="N261" s="474">
        <f>IFERROR(IF(DB_Customers!A255&lt;&gt;"",IF(DB_Customers!I255&gt;=10,"Active","Inactive"),""),"")</f>
        <v/>
      </c>
    </row>
    <row r="262" ht="18" customHeight="1" s="341">
      <c r="A262" s="461">
        <f>IF(DB_Customers!A256&lt;&gt;"",253,"")</f>
        <v/>
      </c>
      <c r="B262" s="462">
        <f>IFERROR(IF(DB_Customers!A256&lt;&gt;"",DB_Customers!A256,""),"")</f>
        <v/>
      </c>
      <c r="C262" s="463">
        <f>IFERROR(IF(DB_Customers!D256&lt;&gt;"",DB_Customers!D256,""),"")</f>
        <v/>
      </c>
      <c r="D262" s="464">
        <f>IFERROR(IF(DB_Customers!Q256&lt;&gt;"",DB_Customers!Q256,""),"")</f>
        <v/>
      </c>
      <c r="E262" s="463">
        <f>IFERROR(IF(DB_Customers!R256&lt;&gt;"",DB_Customers!R256,""),"")</f>
        <v/>
      </c>
      <c r="F262" s="463">
        <f>IFERROR(IF(DB_Customers!S256&lt;&gt;"",DB_Customers!S256,""),"")</f>
        <v/>
      </c>
      <c r="G262" s="463">
        <f>IFERROR(IF(DB_Customers!G256&lt;&gt;"",DB_Customers!G256,""),"")</f>
        <v/>
      </c>
      <c r="H262" s="465">
        <f>IFERROR(IF(DB_Customers!H256&lt;&gt;"",DB_Customers!H256,""),"")</f>
        <v/>
      </c>
      <c r="I262" s="466">
        <f>IFERROR(IF(DB_Customers!I256&lt;&gt;"",DB_Customers!I256,""),"")</f>
        <v/>
      </c>
      <c r="J262" s="464">
        <f>IFERROR(IF(DB_Customers!J256&lt;&gt;"",DB_Customers!J256,""),"")</f>
        <v/>
      </c>
      <c r="K262" s="463">
        <f>IFERROR(IF(DB_Customers!E256&lt;&gt;"",DB_Customers!E256,""),"")</f>
        <v/>
      </c>
      <c r="L262" s="463">
        <f>IFERROR(IF(DB_Customers!F256&lt;&gt;"",DB_Customers!F256,""),"")</f>
        <v/>
      </c>
      <c r="M262" s="463">
        <f>IFERROR(IF(DB_Customers!T256&lt;&gt;"",DB_Customers!T256,""),"")</f>
        <v/>
      </c>
      <c r="N262" s="467">
        <f>IFERROR(IF(DB_Customers!A256&lt;&gt;"",IF(DB_Customers!I256&gt;=10,"Active","Inactive"),""),"")</f>
        <v/>
      </c>
    </row>
    <row r="263" ht="18" customHeight="1" s="341">
      <c r="A263" s="468">
        <f>IF(DB_Customers!A257&lt;&gt;"",254,"")</f>
        <v/>
      </c>
      <c r="B263" s="469">
        <f>IFERROR(IF(DB_Customers!A257&lt;&gt;"",DB_Customers!A257,""),"")</f>
        <v/>
      </c>
      <c r="C263" s="470">
        <f>IFERROR(IF(DB_Customers!D257&lt;&gt;"",DB_Customers!D257,""),"")</f>
        <v/>
      </c>
      <c r="D263" s="471">
        <f>IFERROR(IF(DB_Customers!Q257&lt;&gt;"",DB_Customers!Q257,""),"")</f>
        <v/>
      </c>
      <c r="E263" s="470">
        <f>IFERROR(IF(DB_Customers!R257&lt;&gt;"",DB_Customers!R257,""),"")</f>
        <v/>
      </c>
      <c r="F263" s="470">
        <f>IFERROR(IF(DB_Customers!S257&lt;&gt;"",DB_Customers!S257,""),"")</f>
        <v/>
      </c>
      <c r="G263" s="470">
        <f>IFERROR(IF(DB_Customers!G257&lt;&gt;"",DB_Customers!G257,""),"")</f>
        <v/>
      </c>
      <c r="H263" s="472">
        <f>IFERROR(IF(DB_Customers!H257&lt;&gt;"",DB_Customers!H257,""),"")</f>
        <v/>
      </c>
      <c r="I263" s="473">
        <f>IFERROR(IF(DB_Customers!I257&lt;&gt;"",DB_Customers!I257,""),"")</f>
        <v/>
      </c>
      <c r="J263" s="471">
        <f>IFERROR(IF(DB_Customers!J257&lt;&gt;"",DB_Customers!J257,""),"")</f>
        <v/>
      </c>
      <c r="K263" s="470">
        <f>IFERROR(IF(DB_Customers!E257&lt;&gt;"",DB_Customers!E257,""),"")</f>
        <v/>
      </c>
      <c r="L263" s="470">
        <f>IFERROR(IF(DB_Customers!F257&lt;&gt;"",DB_Customers!F257,""),"")</f>
        <v/>
      </c>
      <c r="M263" s="470">
        <f>IFERROR(IF(DB_Customers!T257&lt;&gt;"",DB_Customers!T257,""),"")</f>
        <v/>
      </c>
      <c r="N263" s="474">
        <f>IFERROR(IF(DB_Customers!A257&lt;&gt;"",IF(DB_Customers!I257&gt;=10,"Active","Inactive"),""),"")</f>
        <v/>
      </c>
    </row>
    <row r="264" ht="18" customHeight="1" s="341">
      <c r="A264" s="461">
        <f>IF(DB_Customers!A258&lt;&gt;"",255,"")</f>
        <v/>
      </c>
      <c r="B264" s="462">
        <f>IFERROR(IF(DB_Customers!A258&lt;&gt;"",DB_Customers!A258,""),"")</f>
        <v/>
      </c>
      <c r="C264" s="463">
        <f>IFERROR(IF(DB_Customers!D258&lt;&gt;"",DB_Customers!D258,""),"")</f>
        <v/>
      </c>
      <c r="D264" s="464">
        <f>IFERROR(IF(DB_Customers!Q258&lt;&gt;"",DB_Customers!Q258,""),"")</f>
        <v/>
      </c>
      <c r="E264" s="463">
        <f>IFERROR(IF(DB_Customers!R258&lt;&gt;"",DB_Customers!R258,""),"")</f>
        <v/>
      </c>
      <c r="F264" s="463">
        <f>IFERROR(IF(DB_Customers!S258&lt;&gt;"",DB_Customers!S258,""),"")</f>
        <v/>
      </c>
      <c r="G264" s="463">
        <f>IFERROR(IF(DB_Customers!G258&lt;&gt;"",DB_Customers!G258,""),"")</f>
        <v/>
      </c>
      <c r="H264" s="465">
        <f>IFERROR(IF(DB_Customers!H258&lt;&gt;"",DB_Customers!H258,""),"")</f>
        <v/>
      </c>
      <c r="I264" s="466">
        <f>IFERROR(IF(DB_Customers!I258&lt;&gt;"",DB_Customers!I258,""),"")</f>
        <v/>
      </c>
      <c r="J264" s="464">
        <f>IFERROR(IF(DB_Customers!J258&lt;&gt;"",DB_Customers!J258,""),"")</f>
        <v/>
      </c>
      <c r="K264" s="463">
        <f>IFERROR(IF(DB_Customers!E258&lt;&gt;"",DB_Customers!E258,""),"")</f>
        <v/>
      </c>
      <c r="L264" s="463">
        <f>IFERROR(IF(DB_Customers!F258&lt;&gt;"",DB_Customers!F258,""),"")</f>
        <v/>
      </c>
      <c r="M264" s="463">
        <f>IFERROR(IF(DB_Customers!T258&lt;&gt;"",DB_Customers!T258,""),"")</f>
        <v/>
      </c>
      <c r="N264" s="467">
        <f>IFERROR(IF(DB_Customers!A258&lt;&gt;"",IF(DB_Customers!I258&gt;=10,"Active","Inactive"),""),"")</f>
        <v/>
      </c>
    </row>
    <row r="265" ht="18" customHeight="1" s="341">
      <c r="A265" s="468">
        <f>IF(DB_Customers!A259&lt;&gt;"",256,"")</f>
        <v/>
      </c>
      <c r="B265" s="469">
        <f>IFERROR(IF(DB_Customers!A259&lt;&gt;"",DB_Customers!A259,""),"")</f>
        <v/>
      </c>
      <c r="C265" s="470">
        <f>IFERROR(IF(DB_Customers!D259&lt;&gt;"",DB_Customers!D259,""),"")</f>
        <v/>
      </c>
      <c r="D265" s="471">
        <f>IFERROR(IF(DB_Customers!Q259&lt;&gt;"",DB_Customers!Q259,""),"")</f>
        <v/>
      </c>
      <c r="E265" s="470">
        <f>IFERROR(IF(DB_Customers!R259&lt;&gt;"",DB_Customers!R259,""),"")</f>
        <v/>
      </c>
      <c r="F265" s="470">
        <f>IFERROR(IF(DB_Customers!S259&lt;&gt;"",DB_Customers!S259,""),"")</f>
        <v/>
      </c>
      <c r="G265" s="470">
        <f>IFERROR(IF(DB_Customers!G259&lt;&gt;"",DB_Customers!G259,""),"")</f>
        <v/>
      </c>
      <c r="H265" s="472">
        <f>IFERROR(IF(DB_Customers!H259&lt;&gt;"",DB_Customers!H259,""),"")</f>
        <v/>
      </c>
      <c r="I265" s="473">
        <f>IFERROR(IF(DB_Customers!I259&lt;&gt;"",DB_Customers!I259,""),"")</f>
        <v/>
      </c>
      <c r="J265" s="471">
        <f>IFERROR(IF(DB_Customers!J259&lt;&gt;"",DB_Customers!J259,""),"")</f>
        <v/>
      </c>
      <c r="K265" s="470">
        <f>IFERROR(IF(DB_Customers!E259&lt;&gt;"",DB_Customers!E259,""),"")</f>
        <v/>
      </c>
      <c r="L265" s="470">
        <f>IFERROR(IF(DB_Customers!F259&lt;&gt;"",DB_Customers!F259,""),"")</f>
        <v/>
      </c>
      <c r="M265" s="470">
        <f>IFERROR(IF(DB_Customers!T259&lt;&gt;"",DB_Customers!T259,""),"")</f>
        <v/>
      </c>
      <c r="N265" s="474">
        <f>IFERROR(IF(DB_Customers!A259&lt;&gt;"",IF(DB_Customers!I259&gt;=10,"Active","Inactive"),""),"")</f>
        <v/>
      </c>
    </row>
    <row r="266" ht="18" customHeight="1" s="341">
      <c r="A266" s="461">
        <f>IF(DB_Customers!A260&lt;&gt;"",257,"")</f>
        <v/>
      </c>
      <c r="B266" s="462">
        <f>IFERROR(IF(DB_Customers!A260&lt;&gt;"",DB_Customers!A260,""),"")</f>
        <v/>
      </c>
      <c r="C266" s="463">
        <f>IFERROR(IF(DB_Customers!D260&lt;&gt;"",DB_Customers!D260,""),"")</f>
        <v/>
      </c>
      <c r="D266" s="464">
        <f>IFERROR(IF(DB_Customers!Q260&lt;&gt;"",DB_Customers!Q260,""),"")</f>
        <v/>
      </c>
      <c r="E266" s="463">
        <f>IFERROR(IF(DB_Customers!R260&lt;&gt;"",DB_Customers!R260,""),"")</f>
        <v/>
      </c>
      <c r="F266" s="463">
        <f>IFERROR(IF(DB_Customers!S260&lt;&gt;"",DB_Customers!S260,""),"")</f>
        <v/>
      </c>
      <c r="G266" s="463">
        <f>IFERROR(IF(DB_Customers!G260&lt;&gt;"",DB_Customers!G260,""),"")</f>
        <v/>
      </c>
      <c r="H266" s="465">
        <f>IFERROR(IF(DB_Customers!H260&lt;&gt;"",DB_Customers!H260,""),"")</f>
        <v/>
      </c>
      <c r="I266" s="466">
        <f>IFERROR(IF(DB_Customers!I260&lt;&gt;"",DB_Customers!I260,""),"")</f>
        <v/>
      </c>
      <c r="J266" s="464">
        <f>IFERROR(IF(DB_Customers!J260&lt;&gt;"",DB_Customers!J260,""),"")</f>
        <v/>
      </c>
      <c r="K266" s="463">
        <f>IFERROR(IF(DB_Customers!E260&lt;&gt;"",DB_Customers!E260,""),"")</f>
        <v/>
      </c>
      <c r="L266" s="463">
        <f>IFERROR(IF(DB_Customers!F260&lt;&gt;"",DB_Customers!F260,""),"")</f>
        <v/>
      </c>
      <c r="M266" s="463">
        <f>IFERROR(IF(DB_Customers!T260&lt;&gt;"",DB_Customers!T260,""),"")</f>
        <v/>
      </c>
      <c r="N266" s="467">
        <f>IFERROR(IF(DB_Customers!A260&lt;&gt;"",IF(DB_Customers!I260&gt;=10,"Active","Inactive"),""),"")</f>
        <v/>
      </c>
    </row>
    <row r="267" ht="18" customHeight="1" s="341">
      <c r="A267" s="468">
        <f>IF(DB_Customers!A261&lt;&gt;"",258,"")</f>
        <v/>
      </c>
      <c r="B267" s="469">
        <f>IFERROR(IF(DB_Customers!A261&lt;&gt;"",DB_Customers!A261,""),"")</f>
        <v/>
      </c>
      <c r="C267" s="470">
        <f>IFERROR(IF(DB_Customers!D261&lt;&gt;"",DB_Customers!D261,""),"")</f>
        <v/>
      </c>
      <c r="D267" s="471">
        <f>IFERROR(IF(DB_Customers!Q261&lt;&gt;"",DB_Customers!Q261,""),"")</f>
        <v/>
      </c>
      <c r="E267" s="470">
        <f>IFERROR(IF(DB_Customers!R261&lt;&gt;"",DB_Customers!R261,""),"")</f>
        <v/>
      </c>
      <c r="F267" s="470">
        <f>IFERROR(IF(DB_Customers!S261&lt;&gt;"",DB_Customers!S261,""),"")</f>
        <v/>
      </c>
      <c r="G267" s="470">
        <f>IFERROR(IF(DB_Customers!G261&lt;&gt;"",DB_Customers!G261,""),"")</f>
        <v/>
      </c>
      <c r="H267" s="472">
        <f>IFERROR(IF(DB_Customers!H261&lt;&gt;"",DB_Customers!H261,""),"")</f>
        <v/>
      </c>
      <c r="I267" s="473">
        <f>IFERROR(IF(DB_Customers!I261&lt;&gt;"",DB_Customers!I261,""),"")</f>
        <v/>
      </c>
      <c r="J267" s="471">
        <f>IFERROR(IF(DB_Customers!J261&lt;&gt;"",DB_Customers!J261,""),"")</f>
        <v/>
      </c>
      <c r="K267" s="470">
        <f>IFERROR(IF(DB_Customers!E261&lt;&gt;"",DB_Customers!E261,""),"")</f>
        <v/>
      </c>
      <c r="L267" s="470">
        <f>IFERROR(IF(DB_Customers!F261&lt;&gt;"",DB_Customers!F261,""),"")</f>
        <v/>
      </c>
      <c r="M267" s="470">
        <f>IFERROR(IF(DB_Customers!T261&lt;&gt;"",DB_Customers!T261,""),"")</f>
        <v/>
      </c>
      <c r="N267" s="474">
        <f>IFERROR(IF(DB_Customers!A261&lt;&gt;"",IF(DB_Customers!I261&gt;=10,"Active","Inactive"),""),"")</f>
        <v/>
      </c>
    </row>
    <row r="268" ht="18" customHeight="1" s="341">
      <c r="A268" s="461">
        <f>IF(DB_Customers!A262&lt;&gt;"",259,"")</f>
        <v/>
      </c>
      <c r="B268" s="462">
        <f>IFERROR(IF(DB_Customers!A262&lt;&gt;"",DB_Customers!A262,""),"")</f>
        <v/>
      </c>
      <c r="C268" s="463">
        <f>IFERROR(IF(DB_Customers!D262&lt;&gt;"",DB_Customers!D262,""),"")</f>
        <v/>
      </c>
      <c r="D268" s="464">
        <f>IFERROR(IF(DB_Customers!Q262&lt;&gt;"",DB_Customers!Q262,""),"")</f>
        <v/>
      </c>
      <c r="E268" s="463">
        <f>IFERROR(IF(DB_Customers!R262&lt;&gt;"",DB_Customers!R262,""),"")</f>
        <v/>
      </c>
      <c r="F268" s="463">
        <f>IFERROR(IF(DB_Customers!S262&lt;&gt;"",DB_Customers!S262,""),"")</f>
        <v/>
      </c>
      <c r="G268" s="463">
        <f>IFERROR(IF(DB_Customers!G262&lt;&gt;"",DB_Customers!G262,""),"")</f>
        <v/>
      </c>
      <c r="H268" s="465">
        <f>IFERROR(IF(DB_Customers!H262&lt;&gt;"",DB_Customers!H262,""),"")</f>
        <v/>
      </c>
      <c r="I268" s="466">
        <f>IFERROR(IF(DB_Customers!I262&lt;&gt;"",DB_Customers!I262,""),"")</f>
        <v/>
      </c>
      <c r="J268" s="464">
        <f>IFERROR(IF(DB_Customers!J262&lt;&gt;"",DB_Customers!J262,""),"")</f>
        <v/>
      </c>
      <c r="K268" s="463">
        <f>IFERROR(IF(DB_Customers!E262&lt;&gt;"",DB_Customers!E262,""),"")</f>
        <v/>
      </c>
      <c r="L268" s="463">
        <f>IFERROR(IF(DB_Customers!F262&lt;&gt;"",DB_Customers!F262,""),"")</f>
        <v/>
      </c>
      <c r="M268" s="463">
        <f>IFERROR(IF(DB_Customers!T262&lt;&gt;"",DB_Customers!T262,""),"")</f>
        <v/>
      </c>
      <c r="N268" s="467">
        <f>IFERROR(IF(DB_Customers!A262&lt;&gt;"",IF(DB_Customers!I262&gt;=10,"Active","Inactive"),""),"")</f>
        <v/>
      </c>
    </row>
    <row r="269" ht="18" customHeight="1" s="341">
      <c r="A269" s="468">
        <f>IF(DB_Customers!A263&lt;&gt;"",260,"")</f>
        <v/>
      </c>
      <c r="B269" s="469">
        <f>IFERROR(IF(DB_Customers!A263&lt;&gt;"",DB_Customers!A263,""),"")</f>
        <v/>
      </c>
      <c r="C269" s="470">
        <f>IFERROR(IF(DB_Customers!D263&lt;&gt;"",DB_Customers!D263,""),"")</f>
        <v/>
      </c>
      <c r="D269" s="471">
        <f>IFERROR(IF(DB_Customers!Q263&lt;&gt;"",DB_Customers!Q263,""),"")</f>
        <v/>
      </c>
      <c r="E269" s="470">
        <f>IFERROR(IF(DB_Customers!R263&lt;&gt;"",DB_Customers!R263,""),"")</f>
        <v/>
      </c>
      <c r="F269" s="470">
        <f>IFERROR(IF(DB_Customers!S263&lt;&gt;"",DB_Customers!S263,""),"")</f>
        <v/>
      </c>
      <c r="G269" s="470">
        <f>IFERROR(IF(DB_Customers!G263&lt;&gt;"",DB_Customers!G263,""),"")</f>
        <v/>
      </c>
      <c r="H269" s="472">
        <f>IFERROR(IF(DB_Customers!H263&lt;&gt;"",DB_Customers!H263,""),"")</f>
        <v/>
      </c>
      <c r="I269" s="473">
        <f>IFERROR(IF(DB_Customers!I263&lt;&gt;"",DB_Customers!I263,""),"")</f>
        <v/>
      </c>
      <c r="J269" s="471">
        <f>IFERROR(IF(DB_Customers!J263&lt;&gt;"",DB_Customers!J263,""),"")</f>
        <v/>
      </c>
      <c r="K269" s="470">
        <f>IFERROR(IF(DB_Customers!E263&lt;&gt;"",DB_Customers!E263,""),"")</f>
        <v/>
      </c>
      <c r="L269" s="470">
        <f>IFERROR(IF(DB_Customers!F263&lt;&gt;"",DB_Customers!F263,""),"")</f>
        <v/>
      </c>
      <c r="M269" s="470">
        <f>IFERROR(IF(DB_Customers!T263&lt;&gt;"",DB_Customers!T263,""),"")</f>
        <v/>
      </c>
      <c r="N269" s="474">
        <f>IFERROR(IF(DB_Customers!A263&lt;&gt;"",IF(DB_Customers!I263&gt;=10,"Active","Inactive"),""),"")</f>
        <v/>
      </c>
    </row>
    <row r="270" ht="18" customHeight="1" s="341">
      <c r="A270" s="461">
        <f>IF(DB_Customers!A264&lt;&gt;"",261,"")</f>
        <v/>
      </c>
      <c r="B270" s="462">
        <f>IFERROR(IF(DB_Customers!A264&lt;&gt;"",DB_Customers!A264,""),"")</f>
        <v/>
      </c>
      <c r="C270" s="463">
        <f>IFERROR(IF(DB_Customers!D264&lt;&gt;"",DB_Customers!D264,""),"")</f>
        <v/>
      </c>
      <c r="D270" s="464">
        <f>IFERROR(IF(DB_Customers!Q264&lt;&gt;"",DB_Customers!Q264,""),"")</f>
        <v/>
      </c>
      <c r="E270" s="463">
        <f>IFERROR(IF(DB_Customers!R264&lt;&gt;"",DB_Customers!R264,""),"")</f>
        <v/>
      </c>
      <c r="F270" s="463">
        <f>IFERROR(IF(DB_Customers!S264&lt;&gt;"",DB_Customers!S264,""),"")</f>
        <v/>
      </c>
      <c r="G270" s="463">
        <f>IFERROR(IF(DB_Customers!G264&lt;&gt;"",DB_Customers!G264,""),"")</f>
        <v/>
      </c>
      <c r="H270" s="465">
        <f>IFERROR(IF(DB_Customers!H264&lt;&gt;"",DB_Customers!H264,""),"")</f>
        <v/>
      </c>
      <c r="I270" s="466">
        <f>IFERROR(IF(DB_Customers!I264&lt;&gt;"",DB_Customers!I264,""),"")</f>
        <v/>
      </c>
      <c r="J270" s="464">
        <f>IFERROR(IF(DB_Customers!J264&lt;&gt;"",DB_Customers!J264,""),"")</f>
        <v/>
      </c>
      <c r="K270" s="463">
        <f>IFERROR(IF(DB_Customers!E264&lt;&gt;"",DB_Customers!E264,""),"")</f>
        <v/>
      </c>
      <c r="L270" s="463">
        <f>IFERROR(IF(DB_Customers!F264&lt;&gt;"",DB_Customers!F264,""),"")</f>
        <v/>
      </c>
      <c r="M270" s="463">
        <f>IFERROR(IF(DB_Customers!T264&lt;&gt;"",DB_Customers!T264,""),"")</f>
        <v/>
      </c>
      <c r="N270" s="467">
        <f>IFERROR(IF(DB_Customers!A264&lt;&gt;"",IF(DB_Customers!I264&gt;=10,"Active","Inactive"),""),"")</f>
        <v/>
      </c>
    </row>
    <row r="271" ht="18" customHeight="1" s="341">
      <c r="A271" s="468">
        <f>IF(DB_Customers!A265&lt;&gt;"",262,"")</f>
        <v/>
      </c>
      <c r="B271" s="469">
        <f>IFERROR(IF(DB_Customers!A265&lt;&gt;"",DB_Customers!A265,""),"")</f>
        <v/>
      </c>
      <c r="C271" s="470">
        <f>IFERROR(IF(DB_Customers!D265&lt;&gt;"",DB_Customers!D265,""),"")</f>
        <v/>
      </c>
      <c r="D271" s="471">
        <f>IFERROR(IF(DB_Customers!Q265&lt;&gt;"",DB_Customers!Q265,""),"")</f>
        <v/>
      </c>
      <c r="E271" s="470">
        <f>IFERROR(IF(DB_Customers!R265&lt;&gt;"",DB_Customers!R265,""),"")</f>
        <v/>
      </c>
      <c r="F271" s="470">
        <f>IFERROR(IF(DB_Customers!S265&lt;&gt;"",DB_Customers!S265,""),"")</f>
        <v/>
      </c>
      <c r="G271" s="470">
        <f>IFERROR(IF(DB_Customers!G265&lt;&gt;"",DB_Customers!G265,""),"")</f>
        <v/>
      </c>
      <c r="H271" s="472">
        <f>IFERROR(IF(DB_Customers!H265&lt;&gt;"",DB_Customers!H265,""),"")</f>
        <v/>
      </c>
      <c r="I271" s="473">
        <f>IFERROR(IF(DB_Customers!I265&lt;&gt;"",DB_Customers!I265,""),"")</f>
        <v/>
      </c>
      <c r="J271" s="471">
        <f>IFERROR(IF(DB_Customers!J265&lt;&gt;"",DB_Customers!J265,""),"")</f>
        <v/>
      </c>
      <c r="K271" s="470">
        <f>IFERROR(IF(DB_Customers!E265&lt;&gt;"",DB_Customers!E265,""),"")</f>
        <v/>
      </c>
      <c r="L271" s="470">
        <f>IFERROR(IF(DB_Customers!F265&lt;&gt;"",DB_Customers!F265,""),"")</f>
        <v/>
      </c>
      <c r="M271" s="470">
        <f>IFERROR(IF(DB_Customers!T265&lt;&gt;"",DB_Customers!T265,""),"")</f>
        <v/>
      </c>
      <c r="N271" s="474">
        <f>IFERROR(IF(DB_Customers!A265&lt;&gt;"",IF(DB_Customers!I265&gt;=10,"Active","Inactive"),""),"")</f>
        <v/>
      </c>
    </row>
    <row r="272" ht="18" customHeight="1" s="341">
      <c r="A272" s="461">
        <f>IF(DB_Customers!A266&lt;&gt;"",263,"")</f>
        <v/>
      </c>
      <c r="B272" s="462">
        <f>IFERROR(IF(DB_Customers!A266&lt;&gt;"",DB_Customers!A266,""),"")</f>
        <v/>
      </c>
      <c r="C272" s="463">
        <f>IFERROR(IF(DB_Customers!D266&lt;&gt;"",DB_Customers!D266,""),"")</f>
        <v/>
      </c>
      <c r="D272" s="464">
        <f>IFERROR(IF(DB_Customers!Q266&lt;&gt;"",DB_Customers!Q266,""),"")</f>
        <v/>
      </c>
      <c r="E272" s="463">
        <f>IFERROR(IF(DB_Customers!R266&lt;&gt;"",DB_Customers!R266,""),"")</f>
        <v/>
      </c>
      <c r="F272" s="463">
        <f>IFERROR(IF(DB_Customers!S266&lt;&gt;"",DB_Customers!S266,""),"")</f>
        <v/>
      </c>
      <c r="G272" s="463">
        <f>IFERROR(IF(DB_Customers!G266&lt;&gt;"",DB_Customers!G266,""),"")</f>
        <v/>
      </c>
      <c r="H272" s="465">
        <f>IFERROR(IF(DB_Customers!H266&lt;&gt;"",DB_Customers!H266,""),"")</f>
        <v/>
      </c>
      <c r="I272" s="466">
        <f>IFERROR(IF(DB_Customers!I266&lt;&gt;"",DB_Customers!I266,""),"")</f>
        <v/>
      </c>
      <c r="J272" s="464">
        <f>IFERROR(IF(DB_Customers!J266&lt;&gt;"",DB_Customers!J266,""),"")</f>
        <v/>
      </c>
      <c r="K272" s="463">
        <f>IFERROR(IF(DB_Customers!E266&lt;&gt;"",DB_Customers!E266,""),"")</f>
        <v/>
      </c>
      <c r="L272" s="463">
        <f>IFERROR(IF(DB_Customers!F266&lt;&gt;"",DB_Customers!F266,""),"")</f>
        <v/>
      </c>
      <c r="M272" s="463">
        <f>IFERROR(IF(DB_Customers!T266&lt;&gt;"",DB_Customers!T266,""),"")</f>
        <v/>
      </c>
      <c r="N272" s="467">
        <f>IFERROR(IF(DB_Customers!A266&lt;&gt;"",IF(DB_Customers!I266&gt;=10,"Active","Inactive"),""),"")</f>
        <v/>
      </c>
    </row>
    <row r="273" ht="18" customHeight="1" s="341">
      <c r="A273" s="468">
        <f>IF(DB_Customers!A267&lt;&gt;"",264,"")</f>
        <v/>
      </c>
      <c r="B273" s="469">
        <f>IFERROR(IF(DB_Customers!A267&lt;&gt;"",DB_Customers!A267,""),"")</f>
        <v/>
      </c>
      <c r="C273" s="470">
        <f>IFERROR(IF(DB_Customers!D267&lt;&gt;"",DB_Customers!D267,""),"")</f>
        <v/>
      </c>
      <c r="D273" s="471">
        <f>IFERROR(IF(DB_Customers!Q267&lt;&gt;"",DB_Customers!Q267,""),"")</f>
        <v/>
      </c>
      <c r="E273" s="470">
        <f>IFERROR(IF(DB_Customers!R267&lt;&gt;"",DB_Customers!R267,""),"")</f>
        <v/>
      </c>
      <c r="F273" s="470">
        <f>IFERROR(IF(DB_Customers!S267&lt;&gt;"",DB_Customers!S267,""),"")</f>
        <v/>
      </c>
      <c r="G273" s="470">
        <f>IFERROR(IF(DB_Customers!G267&lt;&gt;"",DB_Customers!G267,""),"")</f>
        <v/>
      </c>
      <c r="H273" s="472">
        <f>IFERROR(IF(DB_Customers!H267&lt;&gt;"",DB_Customers!H267,""),"")</f>
        <v/>
      </c>
      <c r="I273" s="473">
        <f>IFERROR(IF(DB_Customers!I267&lt;&gt;"",DB_Customers!I267,""),"")</f>
        <v/>
      </c>
      <c r="J273" s="471">
        <f>IFERROR(IF(DB_Customers!J267&lt;&gt;"",DB_Customers!J267,""),"")</f>
        <v/>
      </c>
      <c r="K273" s="470">
        <f>IFERROR(IF(DB_Customers!E267&lt;&gt;"",DB_Customers!E267,""),"")</f>
        <v/>
      </c>
      <c r="L273" s="470">
        <f>IFERROR(IF(DB_Customers!F267&lt;&gt;"",DB_Customers!F267,""),"")</f>
        <v/>
      </c>
      <c r="M273" s="470">
        <f>IFERROR(IF(DB_Customers!T267&lt;&gt;"",DB_Customers!T267,""),"")</f>
        <v/>
      </c>
      <c r="N273" s="474">
        <f>IFERROR(IF(DB_Customers!A267&lt;&gt;"",IF(DB_Customers!I267&gt;=10,"Active","Inactive"),""),"")</f>
        <v/>
      </c>
    </row>
    <row r="274" ht="18" customHeight="1" s="341">
      <c r="A274" s="461">
        <f>IF(DB_Customers!A268&lt;&gt;"",265,"")</f>
        <v/>
      </c>
      <c r="B274" s="462">
        <f>IFERROR(IF(DB_Customers!A268&lt;&gt;"",DB_Customers!A268,""),"")</f>
        <v/>
      </c>
      <c r="C274" s="463">
        <f>IFERROR(IF(DB_Customers!D268&lt;&gt;"",DB_Customers!D268,""),"")</f>
        <v/>
      </c>
      <c r="D274" s="464">
        <f>IFERROR(IF(DB_Customers!Q268&lt;&gt;"",DB_Customers!Q268,""),"")</f>
        <v/>
      </c>
      <c r="E274" s="463">
        <f>IFERROR(IF(DB_Customers!R268&lt;&gt;"",DB_Customers!R268,""),"")</f>
        <v/>
      </c>
      <c r="F274" s="463">
        <f>IFERROR(IF(DB_Customers!S268&lt;&gt;"",DB_Customers!S268,""),"")</f>
        <v/>
      </c>
      <c r="G274" s="463">
        <f>IFERROR(IF(DB_Customers!G268&lt;&gt;"",DB_Customers!G268,""),"")</f>
        <v/>
      </c>
      <c r="H274" s="465">
        <f>IFERROR(IF(DB_Customers!H268&lt;&gt;"",DB_Customers!H268,""),"")</f>
        <v/>
      </c>
      <c r="I274" s="466">
        <f>IFERROR(IF(DB_Customers!I268&lt;&gt;"",DB_Customers!I268,""),"")</f>
        <v/>
      </c>
      <c r="J274" s="464">
        <f>IFERROR(IF(DB_Customers!J268&lt;&gt;"",DB_Customers!J268,""),"")</f>
        <v/>
      </c>
      <c r="K274" s="463">
        <f>IFERROR(IF(DB_Customers!E268&lt;&gt;"",DB_Customers!E268,""),"")</f>
        <v/>
      </c>
      <c r="L274" s="463">
        <f>IFERROR(IF(DB_Customers!F268&lt;&gt;"",DB_Customers!F268,""),"")</f>
        <v/>
      </c>
      <c r="M274" s="463">
        <f>IFERROR(IF(DB_Customers!T268&lt;&gt;"",DB_Customers!T268,""),"")</f>
        <v/>
      </c>
      <c r="N274" s="467">
        <f>IFERROR(IF(DB_Customers!A268&lt;&gt;"",IF(DB_Customers!I268&gt;=10,"Active","Inactive"),""),"")</f>
        <v/>
      </c>
    </row>
    <row r="275" ht="18" customHeight="1" s="341">
      <c r="A275" s="468">
        <f>IF(DB_Customers!A269&lt;&gt;"",266,"")</f>
        <v/>
      </c>
      <c r="B275" s="469">
        <f>IFERROR(IF(DB_Customers!A269&lt;&gt;"",DB_Customers!A269,""),"")</f>
        <v/>
      </c>
      <c r="C275" s="470">
        <f>IFERROR(IF(DB_Customers!D269&lt;&gt;"",DB_Customers!D269,""),"")</f>
        <v/>
      </c>
      <c r="D275" s="471">
        <f>IFERROR(IF(DB_Customers!Q269&lt;&gt;"",DB_Customers!Q269,""),"")</f>
        <v/>
      </c>
      <c r="E275" s="470">
        <f>IFERROR(IF(DB_Customers!R269&lt;&gt;"",DB_Customers!R269,""),"")</f>
        <v/>
      </c>
      <c r="F275" s="470">
        <f>IFERROR(IF(DB_Customers!S269&lt;&gt;"",DB_Customers!S269,""),"")</f>
        <v/>
      </c>
      <c r="G275" s="470">
        <f>IFERROR(IF(DB_Customers!G269&lt;&gt;"",DB_Customers!G269,""),"")</f>
        <v/>
      </c>
      <c r="H275" s="472">
        <f>IFERROR(IF(DB_Customers!H269&lt;&gt;"",DB_Customers!H269,""),"")</f>
        <v/>
      </c>
      <c r="I275" s="473">
        <f>IFERROR(IF(DB_Customers!I269&lt;&gt;"",DB_Customers!I269,""),"")</f>
        <v/>
      </c>
      <c r="J275" s="471">
        <f>IFERROR(IF(DB_Customers!J269&lt;&gt;"",DB_Customers!J269,""),"")</f>
        <v/>
      </c>
      <c r="K275" s="470">
        <f>IFERROR(IF(DB_Customers!E269&lt;&gt;"",DB_Customers!E269,""),"")</f>
        <v/>
      </c>
      <c r="L275" s="470">
        <f>IFERROR(IF(DB_Customers!F269&lt;&gt;"",DB_Customers!F269,""),"")</f>
        <v/>
      </c>
      <c r="M275" s="470">
        <f>IFERROR(IF(DB_Customers!T269&lt;&gt;"",DB_Customers!T269,""),"")</f>
        <v/>
      </c>
      <c r="N275" s="474">
        <f>IFERROR(IF(DB_Customers!A269&lt;&gt;"",IF(DB_Customers!I269&gt;=10,"Active","Inactive"),""),"")</f>
        <v/>
      </c>
    </row>
    <row r="276" ht="18" customHeight="1" s="341">
      <c r="A276" s="461">
        <f>IF(DB_Customers!A270&lt;&gt;"",267,"")</f>
        <v/>
      </c>
      <c r="B276" s="462">
        <f>IFERROR(IF(DB_Customers!A270&lt;&gt;"",DB_Customers!A270,""),"")</f>
        <v/>
      </c>
      <c r="C276" s="463">
        <f>IFERROR(IF(DB_Customers!D270&lt;&gt;"",DB_Customers!D270,""),"")</f>
        <v/>
      </c>
      <c r="D276" s="464">
        <f>IFERROR(IF(DB_Customers!Q270&lt;&gt;"",DB_Customers!Q270,""),"")</f>
        <v/>
      </c>
      <c r="E276" s="463">
        <f>IFERROR(IF(DB_Customers!R270&lt;&gt;"",DB_Customers!R270,""),"")</f>
        <v/>
      </c>
      <c r="F276" s="463">
        <f>IFERROR(IF(DB_Customers!S270&lt;&gt;"",DB_Customers!S270,""),"")</f>
        <v/>
      </c>
      <c r="G276" s="463">
        <f>IFERROR(IF(DB_Customers!G270&lt;&gt;"",DB_Customers!G270,""),"")</f>
        <v/>
      </c>
      <c r="H276" s="465">
        <f>IFERROR(IF(DB_Customers!H270&lt;&gt;"",DB_Customers!H270,""),"")</f>
        <v/>
      </c>
      <c r="I276" s="466">
        <f>IFERROR(IF(DB_Customers!I270&lt;&gt;"",DB_Customers!I270,""),"")</f>
        <v/>
      </c>
      <c r="J276" s="464">
        <f>IFERROR(IF(DB_Customers!J270&lt;&gt;"",DB_Customers!J270,""),"")</f>
        <v/>
      </c>
      <c r="K276" s="463">
        <f>IFERROR(IF(DB_Customers!E270&lt;&gt;"",DB_Customers!E270,""),"")</f>
        <v/>
      </c>
      <c r="L276" s="463">
        <f>IFERROR(IF(DB_Customers!F270&lt;&gt;"",DB_Customers!F270,""),"")</f>
        <v/>
      </c>
      <c r="M276" s="463">
        <f>IFERROR(IF(DB_Customers!T270&lt;&gt;"",DB_Customers!T270,""),"")</f>
        <v/>
      </c>
      <c r="N276" s="467">
        <f>IFERROR(IF(DB_Customers!A270&lt;&gt;"",IF(DB_Customers!I270&gt;=10,"Active","Inactive"),""),"")</f>
        <v/>
      </c>
    </row>
    <row r="277" ht="18" customHeight="1" s="341">
      <c r="A277" s="468">
        <f>IF(DB_Customers!A271&lt;&gt;"",268,"")</f>
        <v/>
      </c>
      <c r="B277" s="469">
        <f>IFERROR(IF(DB_Customers!A271&lt;&gt;"",DB_Customers!A271,""),"")</f>
        <v/>
      </c>
      <c r="C277" s="470">
        <f>IFERROR(IF(DB_Customers!D271&lt;&gt;"",DB_Customers!D271,""),"")</f>
        <v/>
      </c>
      <c r="D277" s="471">
        <f>IFERROR(IF(DB_Customers!Q271&lt;&gt;"",DB_Customers!Q271,""),"")</f>
        <v/>
      </c>
      <c r="E277" s="470">
        <f>IFERROR(IF(DB_Customers!R271&lt;&gt;"",DB_Customers!R271,""),"")</f>
        <v/>
      </c>
      <c r="F277" s="470">
        <f>IFERROR(IF(DB_Customers!S271&lt;&gt;"",DB_Customers!S271,""),"")</f>
        <v/>
      </c>
      <c r="G277" s="470">
        <f>IFERROR(IF(DB_Customers!G271&lt;&gt;"",DB_Customers!G271,""),"")</f>
        <v/>
      </c>
      <c r="H277" s="472">
        <f>IFERROR(IF(DB_Customers!H271&lt;&gt;"",DB_Customers!H271,""),"")</f>
        <v/>
      </c>
      <c r="I277" s="473">
        <f>IFERROR(IF(DB_Customers!I271&lt;&gt;"",DB_Customers!I271,""),"")</f>
        <v/>
      </c>
      <c r="J277" s="471">
        <f>IFERROR(IF(DB_Customers!J271&lt;&gt;"",DB_Customers!J271,""),"")</f>
        <v/>
      </c>
      <c r="K277" s="470">
        <f>IFERROR(IF(DB_Customers!E271&lt;&gt;"",DB_Customers!E271,""),"")</f>
        <v/>
      </c>
      <c r="L277" s="470">
        <f>IFERROR(IF(DB_Customers!F271&lt;&gt;"",DB_Customers!F271,""),"")</f>
        <v/>
      </c>
      <c r="M277" s="470">
        <f>IFERROR(IF(DB_Customers!T271&lt;&gt;"",DB_Customers!T271,""),"")</f>
        <v/>
      </c>
      <c r="N277" s="474">
        <f>IFERROR(IF(DB_Customers!A271&lt;&gt;"",IF(DB_Customers!I271&gt;=10,"Active","Inactive"),""),"")</f>
        <v/>
      </c>
    </row>
    <row r="278" ht="18" customHeight="1" s="341">
      <c r="A278" s="461">
        <f>IF(DB_Customers!A272&lt;&gt;"",269,"")</f>
        <v/>
      </c>
      <c r="B278" s="462">
        <f>IFERROR(IF(DB_Customers!A272&lt;&gt;"",DB_Customers!A272,""),"")</f>
        <v/>
      </c>
      <c r="C278" s="463">
        <f>IFERROR(IF(DB_Customers!D272&lt;&gt;"",DB_Customers!D272,""),"")</f>
        <v/>
      </c>
      <c r="D278" s="464">
        <f>IFERROR(IF(DB_Customers!Q272&lt;&gt;"",DB_Customers!Q272,""),"")</f>
        <v/>
      </c>
      <c r="E278" s="463">
        <f>IFERROR(IF(DB_Customers!R272&lt;&gt;"",DB_Customers!R272,""),"")</f>
        <v/>
      </c>
      <c r="F278" s="463">
        <f>IFERROR(IF(DB_Customers!S272&lt;&gt;"",DB_Customers!S272,""),"")</f>
        <v/>
      </c>
      <c r="G278" s="463">
        <f>IFERROR(IF(DB_Customers!G272&lt;&gt;"",DB_Customers!G272,""),"")</f>
        <v/>
      </c>
      <c r="H278" s="465">
        <f>IFERROR(IF(DB_Customers!H272&lt;&gt;"",DB_Customers!H272,""),"")</f>
        <v/>
      </c>
      <c r="I278" s="466">
        <f>IFERROR(IF(DB_Customers!I272&lt;&gt;"",DB_Customers!I272,""),"")</f>
        <v/>
      </c>
      <c r="J278" s="464">
        <f>IFERROR(IF(DB_Customers!J272&lt;&gt;"",DB_Customers!J272,""),"")</f>
        <v/>
      </c>
      <c r="K278" s="463">
        <f>IFERROR(IF(DB_Customers!E272&lt;&gt;"",DB_Customers!E272,""),"")</f>
        <v/>
      </c>
      <c r="L278" s="463">
        <f>IFERROR(IF(DB_Customers!F272&lt;&gt;"",DB_Customers!F272,""),"")</f>
        <v/>
      </c>
      <c r="M278" s="463">
        <f>IFERROR(IF(DB_Customers!T272&lt;&gt;"",DB_Customers!T272,""),"")</f>
        <v/>
      </c>
      <c r="N278" s="467">
        <f>IFERROR(IF(DB_Customers!A272&lt;&gt;"",IF(DB_Customers!I272&gt;=10,"Active","Inactive"),""),"")</f>
        <v/>
      </c>
    </row>
    <row r="279" ht="18" customHeight="1" s="341">
      <c r="A279" s="468">
        <f>IF(DB_Customers!A273&lt;&gt;"",270,"")</f>
        <v/>
      </c>
      <c r="B279" s="469">
        <f>IFERROR(IF(DB_Customers!A273&lt;&gt;"",DB_Customers!A273,""),"")</f>
        <v/>
      </c>
      <c r="C279" s="470">
        <f>IFERROR(IF(DB_Customers!D273&lt;&gt;"",DB_Customers!D273,""),"")</f>
        <v/>
      </c>
      <c r="D279" s="471">
        <f>IFERROR(IF(DB_Customers!Q273&lt;&gt;"",DB_Customers!Q273,""),"")</f>
        <v/>
      </c>
      <c r="E279" s="470">
        <f>IFERROR(IF(DB_Customers!R273&lt;&gt;"",DB_Customers!R273,""),"")</f>
        <v/>
      </c>
      <c r="F279" s="470">
        <f>IFERROR(IF(DB_Customers!S273&lt;&gt;"",DB_Customers!S273,""),"")</f>
        <v/>
      </c>
      <c r="G279" s="470">
        <f>IFERROR(IF(DB_Customers!G273&lt;&gt;"",DB_Customers!G273,""),"")</f>
        <v/>
      </c>
      <c r="H279" s="472">
        <f>IFERROR(IF(DB_Customers!H273&lt;&gt;"",DB_Customers!H273,""),"")</f>
        <v/>
      </c>
      <c r="I279" s="473">
        <f>IFERROR(IF(DB_Customers!I273&lt;&gt;"",DB_Customers!I273,""),"")</f>
        <v/>
      </c>
      <c r="J279" s="471">
        <f>IFERROR(IF(DB_Customers!J273&lt;&gt;"",DB_Customers!J273,""),"")</f>
        <v/>
      </c>
      <c r="K279" s="470">
        <f>IFERROR(IF(DB_Customers!E273&lt;&gt;"",DB_Customers!E273,""),"")</f>
        <v/>
      </c>
      <c r="L279" s="470">
        <f>IFERROR(IF(DB_Customers!F273&lt;&gt;"",DB_Customers!F273,""),"")</f>
        <v/>
      </c>
      <c r="M279" s="470">
        <f>IFERROR(IF(DB_Customers!T273&lt;&gt;"",DB_Customers!T273,""),"")</f>
        <v/>
      </c>
      <c r="N279" s="474">
        <f>IFERROR(IF(DB_Customers!A273&lt;&gt;"",IF(DB_Customers!I273&gt;=10,"Active","Inactive"),""),"")</f>
        <v/>
      </c>
    </row>
    <row r="280" ht="18" customHeight="1" s="341">
      <c r="A280" s="461">
        <f>IF(DB_Customers!A274&lt;&gt;"",271,"")</f>
        <v/>
      </c>
      <c r="B280" s="462">
        <f>IFERROR(IF(DB_Customers!A274&lt;&gt;"",DB_Customers!A274,""),"")</f>
        <v/>
      </c>
      <c r="C280" s="463">
        <f>IFERROR(IF(DB_Customers!D274&lt;&gt;"",DB_Customers!D274,""),"")</f>
        <v/>
      </c>
      <c r="D280" s="464">
        <f>IFERROR(IF(DB_Customers!Q274&lt;&gt;"",DB_Customers!Q274,""),"")</f>
        <v/>
      </c>
      <c r="E280" s="463">
        <f>IFERROR(IF(DB_Customers!R274&lt;&gt;"",DB_Customers!R274,""),"")</f>
        <v/>
      </c>
      <c r="F280" s="463">
        <f>IFERROR(IF(DB_Customers!S274&lt;&gt;"",DB_Customers!S274,""),"")</f>
        <v/>
      </c>
      <c r="G280" s="463">
        <f>IFERROR(IF(DB_Customers!G274&lt;&gt;"",DB_Customers!G274,""),"")</f>
        <v/>
      </c>
      <c r="H280" s="465">
        <f>IFERROR(IF(DB_Customers!H274&lt;&gt;"",DB_Customers!H274,""),"")</f>
        <v/>
      </c>
      <c r="I280" s="466">
        <f>IFERROR(IF(DB_Customers!I274&lt;&gt;"",DB_Customers!I274,""),"")</f>
        <v/>
      </c>
      <c r="J280" s="464">
        <f>IFERROR(IF(DB_Customers!J274&lt;&gt;"",DB_Customers!J274,""),"")</f>
        <v/>
      </c>
      <c r="K280" s="463">
        <f>IFERROR(IF(DB_Customers!E274&lt;&gt;"",DB_Customers!E274,""),"")</f>
        <v/>
      </c>
      <c r="L280" s="463">
        <f>IFERROR(IF(DB_Customers!F274&lt;&gt;"",DB_Customers!F274,""),"")</f>
        <v/>
      </c>
      <c r="M280" s="463">
        <f>IFERROR(IF(DB_Customers!T274&lt;&gt;"",DB_Customers!T274,""),"")</f>
        <v/>
      </c>
      <c r="N280" s="467">
        <f>IFERROR(IF(DB_Customers!A274&lt;&gt;"",IF(DB_Customers!I274&gt;=10,"Active","Inactive"),""),"")</f>
        <v/>
      </c>
    </row>
    <row r="281" ht="18" customHeight="1" s="341">
      <c r="A281" s="468">
        <f>IF(DB_Customers!A275&lt;&gt;"",272,"")</f>
        <v/>
      </c>
      <c r="B281" s="469">
        <f>IFERROR(IF(DB_Customers!A275&lt;&gt;"",DB_Customers!A275,""),"")</f>
        <v/>
      </c>
      <c r="C281" s="470">
        <f>IFERROR(IF(DB_Customers!D275&lt;&gt;"",DB_Customers!D275,""),"")</f>
        <v/>
      </c>
      <c r="D281" s="471">
        <f>IFERROR(IF(DB_Customers!Q275&lt;&gt;"",DB_Customers!Q275,""),"")</f>
        <v/>
      </c>
      <c r="E281" s="470">
        <f>IFERROR(IF(DB_Customers!R275&lt;&gt;"",DB_Customers!R275,""),"")</f>
        <v/>
      </c>
      <c r="F281" s="470">
        <f>IFERROR(IF(DB_Customers!S275&lt;&gt;"",DB_Customers!S275,""),"")</f>
        <v/>
      </c>
      <c r="G281" s="470">
        <f>IFERROR(IF(DB_Customers!G275&lt;&gt;"",DB_Customers!G275,""),"")</f>
        <v/>
      </c>
      <c r="H281" s="472">
        <f>IFERROR(IF(DB_Customers!H275&lt;&gt;"",DB_Customers!H275,""),"")</f>
        <v/>
      </c>
      <c r="I281" s="473">
        <f>IFERROR(IF(DB_Customers!I275&lt;&gt;"",DB_Customers!I275,""),"")</f>
        <v/>
      </c>
      <c r="J281" s="471">
        <f>IFERROR(IF(DB_Customers!J275&lt;&gt;"",DB_Customers!J275,""),"")</f>
        <v/>
      </c>
      <c r="K281" s="470">
        <f>IFERROR(IF(DB_Customers!E275&lt;&gt;"",DB_Customers!E275,""),"")</f>
        <v/>
      </c>
      <c r="L281" s="470">
        <f>IFERROR(IF(DB_Customers!F275&lt;&gt;"",DB_Customers!F275,""),"")</f>
        <v/>
      </c>
      <c r="M281" s="470">
        <f>IFERROR(IF(DB_Customers!T275&lt;&gt;"",DB_Customers!T275,""),"")</f>
        <v/>
      </c>
      <c r="N281" s="474">
        <f>IFERROR(IF(DB_Customers!A275&lt;&gt;"",IF(DB_Customers!I275&gt;=10,"Active","Inactive"),""),"")</f>
        <v/>
      </c>
    </row>
    <row r="282" ht="18" customHeight="1" s="341">
      <c r="A282" s="461">
        <f>IF(DB_Customers!A276&lt;&gt;"",273,"")</f>
        <v/>
      </c>
      <c r="B282" s="462">
        <f>IFERROR(IF(DB_Customers!A276&lt;&gt;"",DB_Customers!A276,""),"")</f>
        <v/>
      </c>
      <c r="C282" s="463">
        <f>IFERROR(IF(DB_Customers!D276&lt;&gt;"",DB_Customers!D276,""),"")</f>
        <v/>
      </c>
      <c r="D282" s="464">
        <f>IFERROR(IF(DB_Customers!Q276&lt;&gt;"",DB_Customers!Q276,""),"")</f>
        <v/>
      </c>
      <c r="E282" s="463">
        <f>IFERROR(IF(DB_Customers!R276&lt;&gt;"",DB_Customers!R276,""),"")</f>
        <v/>
      </c>
      <c r="F282" s="463">
        <f>IFERROR(IF(DB_Customers!S276&lt;&gt;"",DB_Customers!S276,""),"")</f>
        <v/>
      </c>
      <c r="G282" s="463">
        <f>IFERROR(IF(DB_Customers!G276&lt;&gt;"",DB_Customers!G276,""),"")</f>
        <v/>
      </c>
      <c r="H282" s="465">
        <f>IFERROR(IF(DB_Customers!H276&lt;&gt;"",DB_Customers!H276,""),"")</f>
        <v/>
      </c>
      <c r="I282" s="466">
        <f>IFERROR(IF(DB_Customers!I276&lt;&gt;"",DB_Customers!I276,""),"")</f>
        <v/>
      </c>
      <c r="J282" s="464">
        <f>IFERROR(IF(DB_Customers!J276&lt;&gt;"",DB_Customers!J276,""),"")</f>
        <v/>
      </c>
      <c r="K282" s="463">
        <f>IFERROR(IF(DB_Customers!E276&lt;&gt;"",DB_Customers!E276,""),"")</f>
        <v/>
      </c>
      <c r="L282" s="463">
        <f>IFERROR(IF(DB_Customers!F276&lt;&gt;"",DB_Customers!F276,""),"")</f>
        <v/>
      </c>
      <c r="M282" s="463">
        <f>IFERROR(IF(DB_Customers!T276&lt;&gt;"",DB_Customers!T276,""),"")</f>
        <v/>
      </c>
      <c r="N282" s="467">
        <f>IFERROR(IF(DB_Customers!A276&lt;&gt;"",IF(DB_Customers!I276&gt;=10,"Active","Inactive"),""),"")</f>
        <v/>
      </c>
    </row>
    <row r="283" ht="18" customHeight="1" s="341">
      <c r="A283" s="468">
        <f>IF(DB_Customers!A277&lt;&gt;"",274,"")</f>
        <v/>
      </c>
      <c r="B283" s="469">
        <f>IFERROR(IF(DB_Customers!A277&lt;&gt;"",DB_Customers!A277,""),"")</f>
        <v/>
      </c>
      <c r="C283" s="470">
        <f>IFERROR(IF(DB_Customers!D277&lt;&gt;"",DB_Customers!D277,""),"")</f>
        <v/>
      </c>
      <c r="D283" s="471">
        <f>IFERROR(IF(DB_Customers!Q277&lt;&gt;"",DB_Customers!Q277,""),"")</f>
        <v/>
      </c>
      <c r="E283" s="470">
        <f>IFERROR(IF(DB_Customers!R277&lt;&gt;"",DB_Customers!R277,""),"")</f>
        <v/>
      </c>
      <c r="F283" s="470">
        <f>IFERROR(IF(DB_Customers!S277&lt;&gt;"",DB_Customers!S277,""),"")</f>
        <v/>
      </c>
      <c r="G283" s="470">
        <f>IFERROR(IF(DB_Customers!G277&lt;&gt;"",DB_Customers!G277,""),"")</f>
        <v/>
      </c>
      <c r="H283" s="472">
        <f>IFERROR(IF(DB_Customers!H277&lt;&gt;"",DB_Customers!H277,""),"")</f>
        <v/>
      </c>
      <c r="I283" s="473">
        <f>IFERROR(IF(DB_Customers!I277&lt;&gt;"",DB_Customers!I277,""),"")</f>
        <v/>
      </c>
      <c r="J283" s="471">
        <f>IFERROR(IF(DB_Customers!J277&lt;&gt;"",DB_Customers!J277,""),"")</f>
        <v/>
      </c>
      <c r="K283" s="470">
        <f>IFERROR(IF(DB_Customers!E277&lt;&gt;"",DB_Customers!E277,""),"")</f>
        <v/>
      </c>
      <c r="L283" s="470">
        <f>IFERROR(IF(DB_Customers!F277&lt;&gt;"",DB_Customers!F277,""),"")</f>
        <v/>
      </c>
      <c r="M283" s="470">
        <f>IFERROR(IF(DB_Customers!T277&lt;&gt;"",DB_Customers!T277,""),"")</f>
        <v/>
      </c>
      <c r="N283" s="474">
        <f>IFERROR(IF(DB_Customers!A277&lt;&gt;"",IF(DB_Customers!I277&gt;=10,"Active","Inactive"),""),"")</f>
        <v/>
      </c>
    </row>
    <row r="284" ht="18" customHeight="1" s="341">
      <c r="A284" s="461">
        <f>IF(DB_Customers!A278&lt;&gt;"",275,"")</f>
        <v/>
      </c>
      <c r="B284" s="462">
        <f>IFERROR(IF(DB_Customers!A278&lt;&gt;"",DB_Customers!A278,""),"")</f>
        <v/>
      </c>
      <c r="C284" s="463">
        <f>IFERROR(IF(DB_Customers!D278&lt;&gt;"",DB_Customers!D278,""),"")</f>
        <v/>
      </c>
      <c r="D284" s="464">
        <f>IFERROR(IF(DB_Customers!Q278&lt;&gt;"",DB_Customers!Q278,""),"")</f>
        <v/>
      </c>
      <c r="E284" s="463">
        <f>IFERROR(IF(DB_Customers!R278&lt;&gt;"",DB_Customers!R278,""),"")</f>
        <v/>
      </c>
      <c r="F284" s="463">
        <f>IFERROR(IF(DB_Customers!S278&lt;&gt;"",DB_Customers!S278,""),"")</f>
        <v/>
      </c>
      <c r="G284" s="463">
        <f>IFERROR(IF(DB_Customers!G278&lt;&gt;"",DB_Customers!G278,""),"")</f>
        <v/>
      </c>
      <c r="H284" s="465">
        <f>IFERROR(IF(DB_Customers!H278&lt;&gt;"",DB_Customers!H278,""),"")</f>
        <v/>
      </c>
      <c r="I284" s="466">
        <f>IFERROR(IF(DB_Customers!I278&lt;&gt;"",DB_Customers!I278,""),"")</f>
        <v/>
      </c>
      <c r="J284" s="464">
        <f>IFERROR(IF(DB_Customers!J278&lt;&gt;"",DB_Customers!J278,""),"")</f>
        <v/>
      </c>
      <c r="K284" s="463">
        <f>IFERROR(IF(DB_Customers!E278&lt;&gt;"",DB_Customers!E278,""),"")</f>
        <v/>
      </c>
      <c r="L284" s="463">
        <f>IFERROR(IF(DB_Customers!F278&lt;&gt;"",DB_Customers!F278,""),"")</f>
        <v/>
      </c>
      <c r="M284" s="463">
        <f>IFERROR(IF(DB_Customers!T278&lt;&gt;"",DB_Customers!T278,""),"")</f>
        <v/>
      </c>
      <c r="N284" s="467">
        <f>IFERROR(IF(DB_Customers!A278&lt;&gt;"",IF(DB_Customers!I278&gt;=10,"Active","Inactive"),""),"")</f>
        <v/>
      </c>
    </row>
    <row r="285" ht="18" customHeight="1" s="341">
      <c r="A285" s="468">
        <f>IF(DB_Customers!A279&lt;&gt;"",276,"")</f>
        <v/>
      </c>
      <c r="B285" s="469">
        <f>IFERROR(IF(DB_Customers!A279&lt;&gt;"",DB_Customers!A279,""),"")</f>
        <v/>
      </c>
      <c r="C285" s="470">
        <f>IFERROR(IF(DB_Customers!D279&lt;&gt;"",DB_Customers!D279,""),"")</f>
        <v/>
      </c>
      <c r="D285" s="471">
        <f>IFERROR(IF(DB_Customers!Q279&lt;&gt;"",DB_Customers!Q279,""),"")</f>
        <v/>
      </c>
      <c r="E285" s="470">
        <f>IFERROR(IF(DB_Customers!R279&lt;&gt;"",DB_Customers!R279,""),"")</f>
        <v/>
      </c>
      <c r="F285" s="470">
        <f>IFERROR(IF(DB_Customers!S279&lt;&gt;"",DB_Customers!S279,""),"")</f>
        <v/>
      </c>
      <c r="G285" s="470">
        <f>IFERROR(IF(DB_Customers!G279&lt;&gt;"",DB_Customers!G279,""),"")</f>
        <v/>
      </c>
      <c r="H285" s="472">
        <f>IFERROR(IF(DB_Customers!H279&lt;&gt;"",DB_Customers!H279,""),"")</f>
        <v/>
      </c>
      <c r="I285" s="473">
        <f>IFERROR(IF(DB_Customers!I279&lt;&gt;"",DB_Customers!I279,""),"")</f>
        <v/>
      </c>
      <c r="J285" s="471">
        <f>IFERROR(IF(DB_Customers!J279&lt;&gt;"",DB_Customers!J279,""),"")</f>
        <v/>
      </c>
      <c r="K285" s="470">
        <f>IFERROR(IF(DB_Customers!E279&lt;&gt;"",DB_Customers!E279,""),"")</f>
        <v/>
      </c>
      <c r="L285" s="470">
        <f>IFERROR(IF(DB_Customers!F279&lt;&gt;"",DB_Customers!F279,""),"")</f>
        <v/>
      </c>
      <c r="M285" s="470">
        <f>IFERROR(IF(DB_Customers!T279&lt;&gt;"",DB_Customers!T279,""),"")</f>
        <v/>
      </c>
      <c r="N285" s="474">
        <f>IFERROR(IF(DB_Customers!A279&lt;&gt;"",IF(DB_Customers!I279&gt;=10,"Active","Inactive"),""),"")</f>
        <v/>
      </c>
    </row>
    <row r="286" ht="18" customHeight="1" s="341">
      <c r="A286" s="461">
        <f>IF(DB_Customers!A280&lt;&gt;"",277,"")</f>
        <v/>
      </c>
      <c r="B286" s="462">
        <f>IFERROR(IF(DB_Customers!A280&lt;&gt;"",DB_Customers!A280,""),"")</f>
        <v/>
      </c>
      <c r="C286" s="463">
        <f>IFERROR(IF(DB_Customers!D280&lt;&gt;"",DB_Customers!D280,""),"")</f>
        <v/>
      </c>
      <c r="D286" s="464">
        <f>IFERROR(IF(DB_Customers!Q280&lt;&gt;"",DB_Customers!Q280,""),"")</f>
        <v/>
      </c>
      <c r="E286" s="463">
        <f>IFERROR(IF(DB_Customers!R280&lt;&gt;"",DB_Customers!R280,""),"")</f>
        <v/>
      </c>
      <c r="F286" s="463">
        <f>IFERROR(IF(DB_Customers!S280&lt;&gt;"",DB_Customers!S280,""),"")</f>
        <v/>
      </c>
      <c r="G286" s="463">
        <f>IFERROR(IF(DB_Customers!G280&lt;&gt;"",DB_Customers!G280,""),"")</f>
        <v/>
      </c>
      <c r="H286" s="465">
        <f>IFERROR(IF(DB_Customers!H280&lt;&gt;"",DB_Customers!H280,""),"")</f>
        <v/>
      </c>
      <c r="I286" s="466">
        <f>IFERROR(IF(DB_Customers!I280&lt;&gt;"",DB_Customers!I280,""),"")</f>
        <v/>
      </c>
      <c r="J286" s="464">
        <f>IFERROR(IF(DB_Customers!J280&lt;&gt;"",DB_Customers!J280,""),"")</f>
        <v/>
      </c>
      <c r="K286" s="463">
        <f>IFERROR(IF(DB_Customers!E280&lt;&gt;"",DB_Customers!E280,""),"")</f>
        <v/>
      </c>
      <c r="L286" s="463">
        <f>IFERROR(IF(DB_Customers!F280&lt;&gt;"",DB_Customers!F280,""),"")</f>
        <v/>
      </c>
      <c r="M286" s="463">
        <f>IFERROR(IF(DB_Customers!T280&lt;&gt;"",DB_Customers!T280,""),"")</f>
        <v/>
      </c>
      <c r="N286" s="467">
        <f>IFERROR(IF(DB_Customers!A280&lt;&gt;"",IF(DB_Customers!I280&gt;=10,"Active","Inactive"),""),"")</f>
        <v/>
      </c>
    </row>
    <row r="287" ht="18" customHeight="1" s="341">
      <c r="A287" s="468">
        <f>IF(DB_Customers!A281&lt;&gt;"",278,"")</f>
        <v/>
      </c>
      <c r="B287" s="469">
        <f>IFERROR(IF(DB_Customers!A281&lt;&gt;"",DB_Customers!A281,""),"")</f>
        <v/>
      </c>
      <c r="C287" s="470">
        <f>IFERROR(IF(DB_Customers!D281&lt;&gt;"",DB_Customers!D281,""),"")</f>
        <v/>
      </c>
      <c r="D287" s="471">
        <f>IFERROR(IF(DB_Customers!Q281&lt;&gt;"",DB_Customers!Q281,""),"")</f>
        <v/>
      </c>
      <c r="E287" s="470">
        <f>IFERROR(IF(DB_Customers!R281&lt;&gt;"",DB_Customers!R281,""),"")</f>
        <v/>
      </c>
      <c r="F287" s="470">
        <f>IFERROR(IF(DB_Customers!S281&lt;&gt;"",DB_Customers!S281,""),"")</f>
        <v/>
      </c>
      <c r="G287" s="470">
        <f>IFERROR(IF(DB_Customers!G281&lt;&gt;"",DB_Customers!G281,""),"")</f>
        <v/>
      </c>
      <c r="H287" s="472">
        <f>IFERROR(IF(DB_Customers!H281&lt;&gt;"",DB_Customers!H281,""),"")</f>
        <v/>
      </c>
      <c r="I287" s="473">
        <f>IFERROR(IF(DB_Customers!I281&lt;&gt;"",DB_Customers!I281,""),"")</f>
        <v/>
      </c>
      <c r="J287" s="471">
        <f>IFERROR(IF(DB_Customers!J281&lt;&gt;"",DB_Customers!J281,""),"")</f>
        <v/>
      </c>
      <c r="K287" s="470">
        <f>IFERROR(IF(DB_Customers!E281&lt;&gt;"",DB_Customers!E281,""),"")</f>
        <v/>
      </c>
      <c r="L287" s="470">
        <f>IFERROR(IF(DB_Customers!F281&lt;&gt;"",DB_Customers!F281,""),"")</f>
        <v/>
      </c>
      <c r="M287" s="470">
        <f>IFERROR(IF(DB_Customers!T281&lt;&gt;"",DB_Customers!T281,""),"")</f>
        <v/>
      </c>
      <c r="N287" s="474">
        <f>IFERROR(IF(DB_Customers!A281&lt;&gt;"",IF(DB_Customers!I281&gt;=10,"Active","Inactive"),""),"")</f>
        <v/>
      </c>
    </row>
    <row r="288" ht="18" customHeight="1" s="341">
      <c r="A288" s="461">
        <f>IF(DB_Customers!A282&lt;&gt;"",279,"")</f>
        <v/>
      </c>
      <c r="B288" s="462">
        <f>IFERROR(IF(DB_Customers!A282&lt;&gt;"",DB_Customers!A282,""),"")</f>
        <v/>
      </c>
      <c r="C288" s="463">
        <f>IFERROR(IF(DB_Customers!D282&lt;&gt;"",DB_Customers!D282,""),"")</f>
        <v/>
      </c>
      <c r="D288" s="464">
        <f>IFERROR(IF(DB_Customers!Q282&lt;&gt;"",DB_Customers!Q282,""),"")</f>
        <v/>
      </c>
      <c r="E288" s="463">
        <f>IFERROR(IF(DB_Customers!R282&lt;&gt;"",DB_Customers!R282,""),"")</f>
        <v/>
      </c>
      <c r="F288" s="463">
        <f>IFERROR(IF(DB_Customers!S282&lt;&gt;"",DB_Customers!S282,""),"")</f>
        <v/>
      </c>
      <c r="G288" s="463">
        <f>IFERROR(IF(DB_Customers!G282&lt;&gt;"",DB_Customers!G282,""),"")</f>
        <v/>
      </c>
      <c r="H288" s="465">
        <f>IFERROR(IF(DB_Customers!H282&lt;&gt;"",DB_Customers!H282,""),"")</f>
        <v/>
      </c>
      <c r="I288" s="466">
        <f>IFERROR(IF(DB_Customers!I282&lt;&gt;"",DB_Customers!I282,""),"")</f>
        <v/>
      </c>
      <c r="J288" s="464">
        <f>IFERROR(IF(DB_Customers!J282&lt;&gt;"",DB_Customers!J282,""),"")</f>
        <v/>
      </c>
      <c r="K288" s="463">
        <f>IFERROR(IF(DB_Customers!E282&lt;&gt;"",DB_Customers!E282,""),"")</f>
        <v/>
      </c>
      <c r="L288" s="463">
        <f>IFERROR(IF(DB_Customers!F282&lt;&gt;"",DB_Customers!F282,""),"")</f>
        <v/>
      </c>
      <c r="M288" s="463">
        <f>IFERROR(IF(DB_Customers!T282&lt;&gt;"",DB_Customers!T282,""),"")</f>
        <v/>
      </c>
      <c r="N288" s="467">
        <f>IFERROR(IF(DB_Customers!A282&lt;&gt;"",IF(DB_Customers!I282&gt;=10,"Active","Inactive"),""),"")</f>
        <v/>
      </c>
    </row>
    <row r="289" ht="18" customHeight="1" s="341">
      <c r="A289" s="468">
        <f>IF(DB_Customers!A283&lt;&gt;"",280,"")</f>
        <v/>
      </c>
      <c r="B289" s="469">
        <f>IFERROR(IF(DB_Customers!A283&lt;&gt;"",DB_Customers!A283,""),"")</f>
        <v/>
      </c>
      <c r="C289" s="470">
        <f>IFERROR(IF(DB_Customers!D283&lt;&gt;"",DB_Customers!D283,""),"")</f>
        <v/>
      </c>
      <c r="D289" s="471">
        <f>IFERROR(IF(DB_Customers!Q283&lt;&gt;"",DB_Customers!Q283,""),"")</f>
        <v/>
      </c>
      <c r="E289" s="470">
        <f>IFERROR(IF(DB_Customers!R283&lt;&gt;"",DB_Customers!R283,""),"")</f>
        <v/>
      </c>
      <c r="F289" s="470">
        <f>IFERROR(IF(DB_Customers!S283&lt;&gt;"",DB_Customers!S283,""),"")</f>
        <v/>
      </c>
      <c r="G289" s="470">
        <f>IFERROR(IF(DB_Customers!G283&lt;&gt;"",DB_Customers!G283,""),"")</f>
        <v/>
      </c>
      <c r="H289" s="472">
        <f>IFERROR(IF(DB_Customers!H283&lt;&gt;"",DB_Customers!H283,""),"")</f>
        <v/>
      </c>
      <c r="I289" s="473">
        <f>IFERROR(IF(DB_Customers!I283&lt;&gt;"",DB_Customers!I283,""),"")</f>
        <v/>
      </c>
      <c r="J289" s="471">
        <f>IFERROR(IF(DB_Customers!J283&lt;&gt;"",DB_Customers!J283,""),"")</f>
        <v/>
      </c>
      <c r="K289" s="470">
        <f>IFERROR(IF(DB_Customers!E283&lt;&gt;"",DB_Customers!E283,""),"")</f>
        <v/>
      </c>
      <c r="L289" s="470">
        <f>IFERROR(IF(DB_Customers!F283&lt;&gt;"",DB_Customers!F283,""),"")</f>
        <v/>
      </c>
      <c r="M289" s="470">
        <f>IFERROR(IF(DB_Customers!T283&lt;&gt;"",DB_Customers!T283,""),"")</f>
        <v/>
      </c>
      <c r="N289" s="474">
        <f>IFERROR(IF(DB_Customers!A283&lt;&gt;"",IF(DB_Customers!I283&gt;=10,"Active","Inactive"),""),"")</f>
        <v/>
      </c>
    </row>
    <row r="290" ht="18" customHeight="1" s="341">
      <c r="A290" s="461">
        <f>IF(DB_Customers!A284&lt;&gt;"",281,"")</f>
        <v/>
      </c>
      <c r="B290" s="462">
        <f>IFERROR(IF(DB_Customers!A284&lt;&gt;"",DB_Customers!A284,""),"")</f>
        <v/>
      </c>
      <c r="C290" s="463">
        <f>IFERROR(IF(DB_Customers!D284&lt;&gt;"",DB_Customers!D284,""),"")</f>
        <v/>
      </c>
      <c r="D290" s="464">
        <f>IFERROR(IF(DB_Customers!Q284&lt;&gt;"",DB_Customers!Q284,""),"")</f>
        <v/>
      </c>
      <c r="E290" s="463">
        <f>IFERROR(IF(DB_Customers!R284&lt;&gt;"",DB_Customers!R284,""),"")</f>
        <v/>
      </c>
      <c r="F290" s="463">
        <f>IFERROR(IF(DB_Customers!S284&lt;&gt;"",DB_Customers!S284,""),"")</f>
        <v/>
      </c>
      <c r="G290" s="463">
        <f>IFERROR(IF(DB_Customers!G284&lt;&gt;"",DB_Customers!G284,""),"")</f>
        <v/>
      </c>
      <c r="H290" s="465">
        <f>IFERROR(IF(DB_Customers!H284&lt;&gt;"",DB_Customers!H284,""),"")</f>
        <v/>
      </c>
      <c r="I290" s="466">
        <f>IFERROR(IF(DB_Customers!I284&lt;&gt;"",DB_Customers!I284,""),"")</f>
        <v/>
      </c>
      <c r="J290" s="464">
        <f>IFERROR(IF(DB_Customers!J284&lt;&gt;"",DB_Customers!J284,""),"")</f>
        <v/>
      </c>
      <c r="K290" s="463">
        <f>IFERROR(IF(DB_Customers!E284&lt;&gt;"",DB_Customers!E284,""),"")</f>
        <v/>
      </c>
      <c r="L290" s="463">
        <f>IFERROR(IF(DB_Customers!F284&lt;&gt;"",DB_Customers!F284,""),"")</f>
        <v/>
      </c>
      <c r="M290" s="463">
        <f>IFERROR(IF(DB_Customers!T284&lt;&gt;"",DB_Customers!T284,""),"")</f>
        <v/>
      </c>
      <c r="N290" s="467">
        <f>IFERROR(IF(DB_Customers!A284&lt;&gt;"",IF(DB_Customers!I284&gt;=10,"Active","Inactive"),""),"")</f>
        <v/>
      </c>
    </row>
    <row r="291" ht="18" customHeight="1" s="341">
      <c r="A291" s="468">
        <f>IF(DB_Customers!A285&lt;&gt;"",282,"")</f>
        <v/>
      </c>
      <c r="B291" s="469">
        <f>IFERROR(IF(DB_Customers!A285&lt;&gt;"",DB_Customers!A285,""),"")</f>
        <v/>
      </c>
      <c r="C291" s="470">
        <f>IFERROR(IF(DB_Customers!D285&lt;&gt;"",DB_Customers!D285,""),"")</f>
        <v/>
      </c>
      <c r="D291" s="471">
        <f>IFERROR(IF(DB_Customers!Q285&lt;&gt;"",DB_Customers!Q285,""),"")</f>
        <v/>
      </c>
      <c r="E291" s="470">
        <f>IFERROR(IF(DB_Customers!R285&lt;&gt;"",DB_Customers!R285,""),"")</f>
        <v/>
      </c>
      <c r="F291" s="470">
        <f>IFERROR(IF(DB_Customers!S285&lt;&gt;"",DB_Customers!S285,""),"")</f>
        <v/>
      </c>
      <c r="G291" s="470">
        <f>IFERROR(IF(DB_Customers!G285&lt;&gt;"",DB_Customers!G285,""),"")</f>
        <v/>
      </c>
      <c r="H291" s="472">
        <f>IFERROR(IF(DB_Customers!H285&lt;&gt;"",DB_Customers!H285,""),"")</f>
        <v/>
      </c>
      <c r="I291" s="473">
        <f>IFERROR(IF(DB_Customers!I285&lt;&gt;"",DB_Customers!I285,""),"")</f>
        <v/>
      </c>
      <c r="J291" s="471">
        <f>IFERROR(IF(DB_Customers!J285&lt;&gt;"",DB_Customers!J285,""),"")</f>
        <v/>
      </c>
      <c r="K291" s="470">
        <f>IFERROR(IF(DB_Customers!E285&lt;&gt;"",DB_Customers!E285,""),"")</f>
        <v/>
      </c>
      <c r="L291" s="470">
        <f>IFERROR(IF(DB_Customers!F285&lt;&gt;"",DB_Customers!F285,""),"")</f>
        <v/>
      </c>
      <c r="M291" s="470">
        <f>IFERROR(IF(DB_Customers!T285&lt;&gt;"",DB_Customers!T285,""),"")</f>
        <v/>
      </c>
      <c r="N291" s="474">
        <f>IFERROR(IF(DB_Customers!A285&lt;&gt;"",IF(DB_Customers!I285&gt;=10,"Active","Inactive"),""),"")</f>
        <v/>
      </c>
    </row>
    <row r="292" ht="18" customHeight="1" s="341">
      <c r="A292" s="461">
        <f>IF(DB_Customers!A286&lt;&gt;"",283,"")</f>
        <v/>
      </c>
      <c r="B292" s="462">
        <f>IFERROR(IF(DB_Customers!A286&lt;&gt;"",DB_Customers!A286,""),"")</f>
        <v/>
      </c>
      <c r="C292" s="463">
        <f>IFERROR(IF(DB_Customers!D286&lt;&gt;"",DB_Customers!D286,""),"")</f>
        <v/>
      </c>
      <c r="D292" s="464">
        <f>IFERROR(IF(DB_Customers!Q286&lt;&gt;"",DB_Customers!Q286,""),"")</f>
        <v/>
      </c>
      <c r="E292" s="463">
        <f>IFERROR(IF(DB_Customers!R286&lt;&gt;"",DB_Customers!R286,""),"")</f>
        <v/>
      </c>
      <c r="F292" s="463">
        <f>IFERROR(IF(DB_Customers!S286&lt;&gt;"",DB_Customers!S286,""),"")</f>
        <v/>
      </c>
      <c r="G292" s="463">
        <f>IFERROR(IF(DB_Customers!G286&lt;&gt;"",DB_Customers!G286,""),"")</f>
        <v/>
      </c>
      <c r="H292" s="465">
        <f>IFERROR(IF(DB_Customers!H286&lt;&gt;"",DB_Customers!H286,""),"")</f>
        <v/>
      </c>
      <c r="I292" s="466">
        <f>IFERROR(IF(DB_Customers!I286&lt;&gt;"",DB_Customers!I286,""),"")</f>
        <v/>
      </c>
      <c r="J292" s="464">
        <f>IFERROR(IF(DB_Customers!J286&lt;&gt;"",DB_Customers!J286,""),"")</f>
        <v/>
      </c>
      <c r="K292" s="463">
        <f>IFERROR(IF(DB_Customers!E286&lt;&gt;"",DB_Customers!E286,""),"")</f>
        <v/>
      </c>
      <c r="L292" s="463">
        <f>IFERROR(IF(DB_Customers!F286&lt;&gt;"",DB_Customers!F286,""),"")</f>
        <v/>
      </c>
      <c r="M292" s="463">
        <f>IFERROR(IF(DB_Customers!T286&lt;&gt;"",DB_Customers!T286,""),"")</f>
        <v/>
      </c>
      <c r="N292" s="467">
        <f>IFERROR(IF(DB_Customers!A286&lt;&gt;"",IF(DB_Customers!I286&gt;=10,"Active","Inactive"),""),"")</f>
        <v/>
      </c>
    </row>
    <row r="293" ht="18" customHeight="1" s="341">
      <c r="A293" s="468">
        <f>IF(DB_Customers!A287&lt;&gt;"",284,"")</f>
        <v/>
      </c>
      <c r="B293" s="469">
        <f>IFERROR(IF(DB_Customers!A287&lt;&gt;"",DB_Customers!A287,""),"")</f>
        <v/>
      </c>
      <c r="C293" s="470">
        <f>IFERROR(IF(DB_Customers!D287&lt;&gt;"",DB_Customers!D287,""),"")</f>
        <v/>
      </c>
      <c r="D293" s="471">
        <f>IFERROR(IF(DB_Customers!Q287&lt;&gt;"",DB_Customers!Q287,""),"")</f>
        <v/>
      </c>
      <c r="E293" s="470">
        <f>IFERROR(IF(DB_Customers!R287&lt;&gt;"",DB_Customers!R287,""),"")</f>
        <v/>
      </c>
      <c r="F293" s="470">
        <f>IFERROR(IF(DB_Customers!S287&lt;&gt;"",DB_Customers!S287,""),"")</f>
        <v/>
      </c>
      <c r="G293" s="470">
        <f>IFERROR(IF(DB_Customers!G287&lt;&gt;"",DB_Customers!G287,""),"")</f>
        <v/>
      </c>
      <c r="H293" s="472">
        <f>IFERROR(IF(DB_Customers!H287&lt;&gt;"",DB_Customers!H287,""),"")</f>
        <v/>
      </c>
      <c r="I293" s="473">
        <f>IFERROR(IF(DB_Customers!I287&lt;&gt;"",DB_Customers!I287,""),"")</f>
        <v/>
      </c>
      <c r="J293" s="471">
        <f>IFERROR(IF(DB_Customers!J287&lt;&gt;"",DB_Customers!J287,""),"")</f>
        <v/>
      </c>
      <c r="K293" s="470">
        <f>IFERROR(IF(DB_Customers!E287&lt;&gt;"",DB_Customers!E287,""),"")</f>
        <v/>
      </c>
      <c r="L293" s="470">
        <f>IFERROR(IF(DB_Customers!F287&lt;&gt;"",DB_Customers!F287,""),"")</f>
        <v/>
      </c>
      <c r="M293" s="470">
        <f>IFERROR(IF(DB_Customers!T287&lt;&gt;"",DB_Customers!T287,""),"")</f>
        <v/>
      </c>
      <c r="N293" s="474">
        <f>IFERROR(IF(DB_Customers!A287&lt;&gt;"",IF(DB_Customers!I287&gt;=10,"Active","Inactive"),""),"")</f>
        <v/>
      </c>
    </row>
    <row r="294" ht="18" customHeight="1" s="341">
      <c r="A294" s="461">
        <f>IF(DB_Customers!A288&lt;&gt;"",285,"")</f>
        <v/>
      </c>
      <c r="B294" s="462">
        <f>IFERROR(IF(DB_Customers!A288&lt;&gt;"",DB_Customers!A288,""),"")</f>
        <v/>
      </c>
      <c r="C294" s="463">
        <f>IFERROR(IF(DB_Customers!D288&lt;&gt;"",DB_Customers!D288,""),"")</f>
        <v/>
      </c>
      <c r="D294" s="464">
        <f>IFERROR(IF(DB_Customers!Q288&lt;&gt;"",DB_Customers!Q288,""),"")</f>
        <v/>
      </c>
      <c r="E294" s="463">
        <f>IFERROR(IF(DB_Customers!R288&lt;&gt;"",DB_Customers!R288,""),"")</f>
        <v/>
      </c>
      <c r="F294" s="463">
        <f>IFERROR(IF(DB_Customers!S288&lt;&gt;"",DB_Customers!S288,""),"")</f>
        <v/>
      </c>
      <c r="G294" s="463">
        <f>IFERROR(IF(DB_Customers!G288&lt;&gt;"",DB_Customers!G288,""),"")</f>
        <v/>
      </c>
      <c r="H294" s="465">
        <f>IFERROR(IF(DB_Customers!H288&lt;&gt;"",DB_Customers!H288,""),"")</f>
        <v/>
      </c>
      <c r="I294" s="466">
        <f>IFERROR(IF(DB_Customers!I288&lt;&gt;"",DB_Customers!I288,""),"")</f>
        <v/>
      </c>
      <c r="J294" s="464">
        <f>IFERROR(IF(DB_Customers!J288&lt;&gt;"",DB_Customers!J288,""),"")</f>
        <v/>
      </c>
      <c r="K294" s="463">
        <f>IFERROR(IF(DB_Customers!E288&lt;&gt;"",DB_Customers!E288,""),"")</f>
        <v/>
      </c>
      <c r="L294" s="463">
        <f>IFERROR(IF(DB_Customers!F288&lt;&gt;"",DB_Customers!F288,""),"")</f>
        <v/>
      </c>
      <c r="M294" s="463">
        <f>IFERROR(IF(DB_Customers!T288&lt;&gt;"",DB_Customers!T288,""),"")</f>
        <v/>
      </c>
      <c r="N294" s="467">
        <f>IFERROR(IF(DB_Customers!A288&lt;&gt;"",IF(DB_Customers!I288&gt;=10,"Active","Inactive"),""),"")</f>
        <v/>
      </c>
    </row>
    <row r="295" ht="18" customHeight="1" s="341">
      <c r="A295" s="468">
        <f>IF(DB_Customers!A289&lt;&gt;"",286,"")</f>
        <v/>
      </c>
      <c r="B295" s="469">
        <f>IFERROR(IF(DB_Customers!A289&lt;&gt;"",DB_Customers!A289,""),"")</f>
        <v/>
      </c>
      <c r="C295" s="470">
        <f>IFERROR(IF(DB_Customers!D289&lt;&gt;"",DB_Customers!D289,""),"")</f>
        <v/>
      </c>
      <c r="D295" s="471">
        <f>IFERROR(IF(DB_Customers!Q289&lt;&gt;"",DB_Customers!Q289,""),"")</f>
        <v/>
      </c>
      <c r="E295" s="470">
        <f>IFERROR(IF(DB_Customers!R289&lt;&gt;"",DB_Customers!R289,""),"")</f>
        <v/>
      </c>
      <c r="F295" s="470">
        <f>IFERROR(IF(DB_Customers!S289&lt;&gt;"",DB_Customers!S289,""),"")</f>
        <v/>
      </c>
      <c r="G295" s="470">
        <f>IFERROR(IF(DB_Customers!G289&lt;&gt;"",DB_Customers!G289,""),"")</f>
        <v/>
      </c>
      <c r="H295" s="472">
        <f>IFERROR(IF(DB_Customers!H289&lt;&gt;"",DB_Customers!H289,""),"")</f>
        <v/>
      </c>
      <c r="I295" s="473">
        <f>IFERROR(IF(DB_Customers!I289&lt;&gt;"",DB_Customers!I289,""),"")</f>
        <v/>
      </c>
      <c r="J295" s="471">
        <f>IFERROR(IF(DB_Customers!J289&lt;&gt;"",DB_Customers!J289,""),"")</f>
        <v/>
      </c>
      <c r="K295" s="470">
        <f>IFERROR(IF(DB_Customers!E289&lt;&gt;"",DB_Customers!E289,""),"")</f>
        <v/>
      </c>
      <c r="L295" s="470">
        <f>IFERROR(IF(DB_Customers!F289&lt;&gt;"",DB_Customers!F289,""),"")</f>
        <v/>
      </c>
      <c r="M295" s="470">
        <f>IFERROR(IF(DB_Customers!T289&lt;&gt;"",DB_Customers!T289,""),"")</f>
        <v/>
      </c>
      <c r="N295" s="474">
        <f>IFERROR(IF(DB_Customers!A289&lt;&gt;"",IF(DB_Customers!I289&gt;=10,"Active","Inactive"),""),"")</f>
        <v/>
      </c>
    </row>
    <row r="296" ht="18" customHeight="1" s="341">
      <c r="A296" s="461">
        <f>IF(DB_Customers!A290&lt;&gt;"",287,"")</f>
        <v/>
      </c>
      <c r="B296" s="462">
        <f>IFERROR(IF(DB_Customers!A290&lt;&gt;"",DB_Customers!A290,""),"")</f>
        <v/>
      </c>
      <c r="C296" s="463">
        <f>IFERROR(IF(DB_Customers!D290&lt;&gt;"",DB_Customers!D290,""),"")</f>
        <v/>
      </c>
      <c r="D296" s="464">
        <f>IFERROR(IF(DB_Customers!Q290&lt;&gt;"",DB_Customers!Q290,""),"")</f>
        <v/>
      </c>
      <c r="E296" s="463">
        <f>IFERROR(IF(DB_Customers!R290&lt;&gt;"",DB_Customers!R290,""),"")</f>
        <v/>
      </c>
      <c r="F296" s="463">
        <f>IFERROR(IF(DB_Customers!S290&lt;&gt;"",DB_Customers!S290,""),"")</f>
        <v/>
      </c>
      <c r="G296" s="463">
        <f>IFERROR(IF(DB_Customers!G290&lt;&gt;"",DB_Customers!G290,""),"")</f>
        <v/>
      </c>
      <c r="H296" s="465">
        <f>IFERROR(IF(DB_Customers!H290&lt;&gt;"",DB_Customers!H290,""),"")</f>
        <v/>
      </c>
      <c r="I296" s="466">
        <f>IFERROR(IF(DB_Customers!I290&lt;&gt;"",DB_Customers!I290,""),"")</f>
        <v/>
      </c>
      <c r="J296" s="464">
        <f>IFERROR(IF(DB_Customers!J290&lt;&gt;"",DB_Customers!J290,""),"")</f>
        <v/>
      </c>
      <c r="K296" s="463">
        <f>IFERROR(IF(DB_Customers!E290&lt;&gt;"",DB_Customers!E290,""),"")</f>
        <v/>
      </c>
      <c r="L296" s="463">
        <f>IFERROR(IF(DB_Customers!F290&lt;&gt;"",DB_Customers!F290,""),"")</f>
        <v/>
      </c>
      <c r="M296" s="463">
        <f>IFERROR(IF(DB_Customers!T290&lt;&gt;"",DB_Customers!T290,""),"")</f>
        <v/>
      </c>
      <c r="N296" s="467">
        <f>IFERROR(IF(DB_Customers!A290&lt;&gt;"",IF(DB_Customers!I290&gt;=10,"Active","Inactive"),""),"")</f>
        <v/>
      </c>
    </row>
    <row r="297" ht="18" customHeight="1" s="341">
      <c r="A297" s="468">
        <f>IF(DB_Customers!A291&lt;&gt;"",288,"")</f>
        <v/>
      </c>
      <c r="B297" s="469">
        <f>IFERROR(IF(DB_Customers!A291&lt;&gt;"",DB_Customers!A291,""),"")</f>
        <v/>
      </c>
      <c r="C297" s="470">
        <f>IFERROR(IF(DB_Customers!D291&lt;&gt;"",DB_Customers!D291,""),"")</f>
        <v/>
      </c>
      <c r="D297" s="471">
        <f>IFERROR(IF(DB_Customers!Q291&lt;&gt;"",DB_Customers!Q291,""),"")</f>
        <v/>
      </c>
      <c r="E297" s="470">
        <f>IFERROR(IF(DB_Customers!R291&lt;&gt;"",DB_Customers!R291,""),"")</f>
        <v/>
      </c>
      <c r="F297" s="470">
        <f>IFERROR(IF(DB_Customers!S291&lt;&gt;"",DB_Customers!S291,""),"")</f>
        <v/>
      </c>
      <c r="G297" s="470">
        <f>IFERROR(IF(DB_Customers!G291&lt;&gt;"",DB_Customers!G291,""),"")</f>
        <v/>
      </c>
      <c r="H297" s="472">
        <f>IFERROR(IF(DB_Customers!H291&lt;&gt;"",DB_Customers!H291,""),"")</f>
        <v/>
      </c>
      <c r="I297" s="473">
        <f>IFERROR(IF(DB_Customers!I291&lt;&gt;"",DB_Customers!I291,""),"")</f>
        <v/>
      </c>
      <c r="J297" s="471">
        <f>IFERROR(IF(DB_Customers!J291&lt;&gt;"",DB_Customers!J291,""),"")</f>
        <v/>
      </c>
      <c r="K297" s="470">
        <f>IFERROR(IF(DB_Customers!E291&lt;&gt;"",DB_Customers!E291,""),"")</f>
        <v/>
      </c>
      <c r="L297" s="470">
        <f>IFERROR(IF(DB_Customers!F291&lt;&gt;"",DB_Customers!F291,""),"")</f>
        <v/>
      </c>
      <c r="M297" s="470">
        <f>IFERROR(IF(DB_Customers!T291&lt;&gt;"",DB_Customers!T291,""),"")</f>
        <v/>
      </c>
      <c r="N297" s="474">
        <f>IFERROR(IF(DB_Customers!A291&lt;&gt;"",IF(DB_Customers!I291&gt;=10,"Active","Inactive"),""),"")</f>
        <v/>
      </c>
    </row>
    <row r="298" ht="18" customHeight="1" s="341">
      <c r="A298" s="461">
        <f>IF(DB_Customers!A292&lt;&gt;"",289,"")</f>
        <v/>
      </c>
      <c r="B298" s="462">
        <f>IFERROR(IF(DB_Customers!A292&lt;&gt;"",DB_Customers!A292,""),"")</f>
        <v/>
      </c>
      <c r="C298" s="463">
        <f>IFERROR(IF(DB_Customers!D292&lt;&gt;"",DB_Customers!D292,""),"")</f>
        <v/>
      </c>
      <c r="D298" s="464">
        <f>IFERROR(IF(DB_Customers!Q292&lt;&gt;"",DB_Customers!Q292,""),"")</f>
        <v/>
      </c>
      <c r="E298" s="463">
        <f>IFERROR(IF(DB_Customers!R292&lt;&gt;"",DB_Customers!R292,""),"")</f>
        <v/>
      </c>
      <c r="F298" s="463">
        <f>IFERROR(IF(DB_Customers!S292&lt;&gt;"",DB_Customers!S292,""),"")</f>
        <v/>
      </c>
      <c r="G298" s="463">
        <f>IFERROR(IF(DB_Customers!G292&lt;&gt;"",DB_Customers!G292,""),"")</f>
        <v/>
      </c>
      <c r="H298" s="465">
        <f>IFERROR(IF(DB_Customers!H292&lt;&gt;"",DB_Customers!H292,""),"")</f>
        <v/>
      </c>
      <c r="I298" s="466">
        <f>IFERROR(IF(DB_Customers!I292&lt;&gt;"",DB_Customers!I292,""),"")</f>
        <v/>
      </c>
      <c r="J298" s="464">
        <f>IFERROR(IF(DB_Customers!J292&lt;&gt;"",DB_Customers!J292,""),"")</f>
        <v/>
      </c>
      <c r="K298" s="463">
        <f>IFERROR(IF(DB_Customers!E292&lt;&gt;"",DB_Customers!E292,""),"")</f>
        <v/>
      </c>
      <c r="L298" s="463">
        <f>IFERROR(IF(DB_Customers!F292&lt;&gt;"",DB_Customers!F292,""),"")</f>
        <v/>
      </c>
      <c r="M298" s="463">
        <f>IFERROR(IF(DB_Customers!T292&lt;&gt;"",DB_Customers!T292,""),"")</f>
        <v/>
      </c>
      <c r="N298" s="467">
        <f>IFERROR(IF(DB_Customers!A292&lt;&gt;"",IF(DB_Customers!I292&gt;=10,"Active","Inactive"),""),"")</f>
        <v/>
      </c>
    </row>
    <row r="299" ht="18" customHeight="1" s="341">
      <c r="A299" s="468">
        <f>IF(DB_Customers!A293&lt;&gt;"",290,"")</f>
        <v/>
      </c>
      <c r="B299" s="469">
        <f>IFERROR(IF(DB_Customers!A293&lt;&gt;"",DB_Customers!A293,""),"")</f>
        <v/>
      </c>
      <c r="C299" s="470">
        <f>IFERROR(IF(DB_Customers!D293&lt;&gt;"",DB_Customers!D293,""),"")</f>
        <v/>
      </c>
      <c r="D299" s="471">
        <f>IFERROR(IF(DB_Customers!Q293&lt;&gt;"",DB_Customers!Q293,""),"")</f>
        <v/>
      </c>
      <c r="E299" s="470">
        <f>IFERROR(IF(DB_Customers!R293&lt;&gt;"",DB_Customers!R293,""),"")</f>
        <v/>
      </c>
      <c r="F299" s="470">
        <f>IFERROR(IF(DB_Customers!S293&lt;&gt;"",DB_Customers!S293,""),"")</f>
        <v/>
      </c>
      <c r="G299" s="470">
        <f>IFERROR(IF(DB_Customers!G293&lt;&gt;"",DB_Customers!G293,""),"")</f>
        <v/>
      </c>
      <c r="H299" s="472">
        <f>IFERROR(IF(DB_Customers!H293&lt;&gt;"",DB_Customers!H293,""),"")</f>
        <v/>
      </c>
      <c r="I299" s="473">
        <f>IFERROR(IF(DB_Customers!I293&lt;&gt;"",DB_Customers!I293,""),"")</f>
        <v/>
      </c>
      <c r="J299" s="471">
        <f>IFERROR(IF(DB_Customers!J293&lt;&gt;"",DB_Customers!J293,""),"")</f>
        <v/>
      </c>
      <c r="K299" s="470">
        <f>IFERROR(IF(DB_Customers!E293&lt;&gt;"",DB_Customers!E293,""),"")</f>
        <v/>
      </c>
      <c r="L299" s="470">
        <f>IFERROR(IF(DB_Customers!F293&lt;&gt;"",DB_Customers!F293,""),"")</f>
        <v/>
      </c>
      <c r="M299" s="470">
        <f>IFERROR(IF(DB_Customers!T293&lt;&gt;"",DB_Customers!T293,""),"")</f>
        <v/>
      </c>
      <c r="N299" s="474">
        <f>IFERROR(IF(DB_Customers!A293&lt;&gt;"",IF(DB_Customers!I293&gt;=10,"Active","Inactive"),""),"")</f>
        <v/>
      </c>
    </row>
    <row r="300" ht="18" customHeight="1" s="341">
      <c r="A300" s="461">
        <f>IF(DB_Customers!A294&lt;&gt;"",291,"")</f>
        <v/>
      </c>
      <c r="B300" s="462">
        <f>IFERROR(IF(DB_Customers!A294&lt;&gt;"",DB_Customers!A294,""),"")</f>
        <v/>
      </c>
      <c r="C300" s="463">
        <f>IFERROR(IF(DB_Customers!D294&lt;&gt;"",DB_Customers!D294,""),"")</f>
        <v/>
      </c>
      <c r="D300" s="464">
        <f>IFERROR(IF(DB_Customers!Q294&lt;&gt;"",DB_Customers!Q294,""),"")</f>
        <v/>
      </c>
      <c r="E300" s="463">
        <f>IFERROR(IF(DB_Customers!R294&lt;&gt;"",DB_Customers!R294,""),"")</f>
        <v/>
      </c>
      <c r="F300" s="463">
        <f>IFERROR(IF(DB_Customers!S294&lt;&gt;"",DB_Customers!S294,""),"")</f>
        <v/>
      </c>
      <c r="G300" s="463">
        <f>IFERROR(IF(DB_Customers!G294&lt;&gt;"",DB_Customers!G294,""),"")</f>
        <v/>
      </c>
      <c r="H300" s="465">
        <f>IFERROR(IF(DB_Customers!H294&lt;&gt;"",DB_Customers!H294,""),"")</f>
        <v/>
      </c>
      <c r="I300" s="466">
        <f>IFERROR(IF(DB_Customers!I294&lt;&gt;"",DB_Customers!I294,""),"")</f>
        <v/>
      </c>
      <c r="J300" s="464">
        <f>IFERROR(IF(DB_Customers!J294&lt;&gt;"",DB_Customers!J294,""),"")</f>
        <v/>
      </c>
      <c r="K300" s="463">
        <f>IFERROR(IF(DB_Customers!E294&lt;&gt;"",DB_Customers!E294,""),"")</f>
        <v/>
      </c>
      <c r="L300" s="463">
        <f>IFERROR(IF(DB_Customers!F294&lt;&gt;"",DB_Customers!F294,""),"")</f>
        <v/>
      </c>
      <c r="M300" s="463">
        <f>IFERROR(IF(DB_Customers!T294&lt;&gt;"",DB_Customers!T294,""),"")</f>
        <v/>
      </c>
      <c r="N300" s="467">
        <f>IFERROR(IF(DB_Customers!A294&lt;&gt;"",IF(DB_Customers!I294&gt;=10,"Active","Inactive"),""),"")</f>
        <v/>
      </c>
    </row>
    <row r="301" ht="18" customHeight="1" s="341">
      <c r="A301" s="468">
        <f>IF(DB_Customers!A295&lt;&gt;"",292,"")</f>
        <v/>
      </c>
      <c r="B301" s="469">
        <f>IFERROR(IF(DB_Customers!A295&lt;&gt;"",DB_Customers!A295,""),"")</f>
        <v/>
      </c>
      <c r="C301" s="470">
        <f>IFERROR(IF(DB_Customers!D295&lt;&gt;"",DB_Customers!D295,""),"")</f>
        <v/>
      </c>
      <c r="D301" s="471">
        <f>IFERROR(IF(DB_Customers!Q295&lt;&gt;"",DB_Customers!Q295,""),"")</f>
        <v/>
      </c>
      <c r="E301" s="470">
        <f>IFERROR(IF(DB_Customers!R295&lt;&gt;"",DB_Customers!R295,""),"")</f>
        <v/>
      </c>
      <c r="F301" s="470">
        <f>IFERROR(IF(DB_Customers!S295&lt;&gt;"",DB_Customers!S295,""),"")</f>
        <v/>
      </c>
      <c r="G301" s="470">
        <f>IFERROR(IF(DB_Customers!G295&lt;&gt;"",DB_Customers!G295,""),"")</f>
        <v/>
      </c>
      <c r="H301" s="472">
        <f>IFERROR(IF(DB_Customers!H295&lt;&gt;"",DB_Customers!H295,""),"")</f>
        <v/>
      </c>
      <c r="I301" s="473">
        <f>IFERROR(IF(DB_Customers!I295&lt;&gt;"",DB_Customers!I295,""),"")</f>
        <v/>
      </c>
      <c r="J301" s="471">
        <f>IFERROR(IF(DB_Customers!J295&lt;&gt;"",DB_Customers!J295,""),"")</f>
        <v/>
      </c>
      <c r="K301" s="470">
        <f>IFERROR(IF(DB_Customers!E295&lt;&gt;"",DB_Customers!E295,""),"")</f>
        <v/>
      </c>
      <c r="L301" s="470">
        <f>IFERROR(IF(DB_Customers!F295&lt;&gt;"",DB_Customers!F295,""),"")</f>
        <v/>
      </c>
      <c r="M301" s="470">
        <f>IFERROR(IF(DB_Customers!T295&lt;&gt;"",DB_Customers!T295,""),"")</f>
        <v/>
      </c>
      <c r="N301" s="474">
        <f>IFERROR(IF(DB_Customers!A295&lt;&gt;"",IF(DB_Customers!I295&gt;=10,"Active","Inactive"),""),"")</f>
        <v/>
      </c>
    </row>
    <row r="302" ht="18" customHeight="1" s="341">
      <c r="A302" s="461">
        <f>IF(DB_Customers!A296&lt;&gt;"",293,"")</f>
        <v/>
      </c>
      <c r="B302" s="462">
        <f>IFERROR(IF(DB_Customers!A296&lt;&gt;"",DB_Customers!A296,""),"")</f>
        <v/>
      </c>
      <c r="C302" s="463">
        <f>IFERROR(IF(DB_Customers!D296&lt;&gt;"",DB_Customers!D296,""),"")</f>
        <v/>
      </c>
      <c r="D302" s="464">
        <f>IFERROR(IF(DB_Customers!Q296&lt;&gt;"",DB_Customers!Q296,""),"")</f>
        <v/>
      </c>
      <c r="E302" s="463">
        <f>IFERROR(IF(DB_Customers!R296&lt;&gt;"",DB_Customers!R296,""),"")</f>
        <v/>
      </c>
      <c r="F302" s="463">
        <f>IFERROR(IF(DB_Customers!S296&lt;&gt;"",DB_Customers!S296,""),"")</f>
        <v/>
      </c>
      <c r="G302" s="463">
        <f>IFERROR(IF(DB_Customers!G296&lt;&gt;"",DB_Customers!G296,""),"")</f>
        <v/>
      </c>
      <c r="H302" s="465">
        <f>IFERROR(IF(DB_Customers!H296&lt;&gt;"",DB_Customers!H296,""),"")</f>
        <v/>
      </c>
      <c r="I302" s="466">
        <f>IFERROR(IF(DB_Customers!I296&lt;&gt;"",DB_Customers!I296,""),"")</f>
        <v/>
      </c>
      <c r="J302" s="464">
        <f>IFERROR(IF(DB_Customers!J296&lt;&gt;"",DB_Customers!J296,""),"")</f>
        <v/>
      </c>
      <c r="K302" s="463">
        <f>IFERROR(IF(DB_Customers!E296&lt;&gt;"",DB_Customers!E296,""),"")</f>
        <v/>
      </c>
      <c r="L302" s="463">
        <f>IFERROR(IF(DB_Customers!F296&lt;&gt;"",DB_Customers!F296,""),"")</f>
        <v/>
      </c>
      <c r="M302" s="463">
        <f>IFERROR(IF(DB_Customers!T296&lt;&gt;"",DB_Customers!T296,""),"")</f>
        <v/>
      </c>
      <c r="N302" s="467">
        <f>IFERROR(IF(DB_Customers!A296&lt;&gt;"",IF(DB_Customers!I296&gt;=10,"Active","Inactive"),""),"")</f>
        <v/>
      </c>
    </row>
    <row r="303" ht="18" customHeight="1" s="341">
      <c r="A303" s="468">
        <f>IF(DB_Customers!A297&lt;&gt;"",294,"")</f>
        <v/>
      </c>
      <c r="B303" s="469">
        <f>IFERROR(IF(DB_Customers!A297&lt;&gt;"",DB_Customers!A297,""),"")</f>
        <v/>
      </c>
      <c r="C303" s="470">
        <f>IFERROR(IF(DB_Customers!D297&lt;&gt;"",DB_Customers!D297,""),"")</f>
        <v/>
      </c>
      <c r="D303" s="471">
        <f>IFERROR(IF(DB_Customers!Q297&lt;&gt;"",DB_Customers!Q297,""),"")</f>
        <v/>
      </c>
      <c r="E303" s="470">
        <f>IFERROR(IF(DB_Customers!R297&lt;&gt;"",DB_Customers!R297,""),"")</f>
        <v/>
      </c>
      <c r="F303" s="470">
        <f>IFERROR(IF(DB_Customers!S297&lt;&gt;"",DB_Customers!S297,""),"")</f>
        <v/>
      </c>
      <c r="G303" s="470">
        <f>IFERROR(IF(DB_Customers!G297&lt;&gt;"",DB_Customers!G297,""),"")</f>
        <v/>
      </c>
      <c r="H303" s="472">
        <f>IFERROR(IF(DB_Customers!H297&lt;&gt;"",DB_Customers!H297,""),"")</f>
        <v/>
      </c>
      <c r="I303" s="473">
        <f>IFERROR(IF(DB_Customers!I297&lt;&gt;"",DB_Customers!I297,""),"")</f>
        <v/>
      </c>
      <c r="J303" s="471">
        <f>IFERROR(IF(DB_Customers!J297&lt;&gt;"",DB_Customers!J297,""),"")</f>
        <v/>
      </c>
      <c r="K303" s="470">
        <f>IFERROR(IF(DB_Customers!E297&lt;&gt;"",DB_Customers!E297,""),"")</f>
        <v/>
      </c>
      <c r="L303" s="470">
        <f>IFERROR(IF(DB_Customers!F297&lt;&gt;"",DB_Customers!F297,""),"")</f>
        <v/>
      </c>
      <c r="M303" s="470">
        <f>IFERROR(IF(DB_Customers!T297&lt;&gt;"",DB_Customers!T297,""),"")</f>
        <v/>
      </c>
      <c r="N303" s="474">
        <f>IFERROR(IF(DB_Customers!A297&lt;&gt;"",IF(DB_Customers!I297&gt;=10,"Active","Inactive"),""),"")</f>
        <v/>
      </c>
    </row>
    <row r="304" ht="18" customHeight="1" s="341">
      <c r="A304" s="461">
        <f>IF(DB_Customers!A298&lt;&gt;"",295,"")</f>
        <v/>
      </c>
      <c r="B304" s="462">
        <f>IFERROR(IF(DB_Customers!A298&lt;&gt;"",DB_Customers!A298,""),"")</f>
        <v/>
      </c>
      <c r="C304" s="463">
        <f>IFERROR(IF(DB_Customers!D298&lt;&gt;"",DB_Customers!D298,""),"")</f>
        <v/>
      </c>
      <c r="D304" s="464">
        <f>IFERROR(IF(DB_Customers!Q298&lt;&gt;"",DB_Customers!Q298,""),"")</f>
        <v/>
      </c>
      <c r="E304" s="463">
        <f>IFERROR(IF(DB_Customers!R298&lt;&gt;"",DB_Customers!R298,""),"")</f>
        <v/>
      </c>
      <c r="F304" s="463">
        <f>IFERROR(IF(DB_Customers!S298&lt;&gt;"",DB_Customers!S298,""),"")</f>
        <v/>
      </c>
      <c r="G304" s="463">
        <f>IFERROR(IF(DB_Customers!G298&lt;&gt;"",DB_Customers!G298,""),"")</f>
        <v/>
      </c>
      <c r="H304" s="465">
        <f>IFERROR(IF(DB_Customers!H298&lt;&gt;"",DB_Customers!H298,""),"")</f>
        <v/>
      </c>
      <c r="I304" s="466">
        <f>IFERROR(IF(DB_Customers!I298&lt;&gt;"",DB_Customers!I298,""),"")</f>
        <v/>
      </c>
      <c r="J304" s="464">
        <f>IFERROR(IF(DB_Customers!J298&lt;&gt;"",DB_Customers!J298,""),"")</f>
        <v/>
      </c>
      <c r="K304" s="463">
        <f>IFERROR(IF(DB_Customers!E298&lt;&gt;"",DB_Customers!E298,""),"")</f>
        <v/>
      </c>
      <c r="L304" s="463">
        <f>IFERROR(IF(DB_Customers!F298&lt;&gt;"",DB_Customers!F298,""),"")</f>
        <v/>
      </c>
      <c r="M304" s="463">
        <f>IFERROR(IF(DB_Customers!T298&lt;&gt;"",DB_Customers!T298,""),"")</f>
        <v/>
      </c>
      <c r="N304" s="467">
        <f>IFERROR(IF(DB_Customers!A298&lt;&gt;"",IF(DB_Customers!I298&gt;=10,"Active","Inactive"),""),"")</f>
        <v/>
      </c>
    </row>
    <row r="305" ht="18" customHeight="1" s="341">
      <c r="A305" s="468">
        <f>IF(DB_Customers!A299&lt;&gt;"",296,"")</f>
        <v/>
      </c>
      <c r="B305" s="469">
        <f>IFERROR(IF(DB_Customers!A299&lt;&gt;"",DB_Customers!A299,""),"")</f>
        <v/>
      </c>
      <c r="C305" s="470">
        <f>IFERROR(IF(DB_Customers!D299&lt;&gt;"",DB_Customers!D299,""),"")</f>
        <v/>
      </c>
      <c r="D305" s="471">
        <f>IFERROR(IF(DB_Customers!Q299&lt;&gt;"",DB_Customers!Q299,""),"")</f>
        <v/>
      </c>
      <c r="E305" s="470">
        <f>IFERROR(IF(DB_Customers!R299&lt;&gt;"",DB_Customers!R299,""),"")</f>
        <v/>
      </c>
      <c r="F305" s="470">
        <f>IFERROR(IF(DB_Customers!S299&lt;&gt;"",DB_Customers!S299,""),"")</f>
        <v/>
      </c>
      <c r="G305" s="470">
        <f>IFERROR(IF(DB_Customers!G299&lt;&gt;"",DB_Customers!G299,""),"")</f>
        <v/>
      </c>
      <c r="H305" s="472">
        <f>IFERROR(IF(DB_Customers!H299&lt;&gt;"",DB_Customers!H299,""),"")</f>
        <v/>
      </c>
      <c r="I305" s="473">
        <f>IFERROR(IF(DB_Customers!I299&lt;&gt;"",DB_Customers!I299,""),"")</f>
        <v/>
      </c>
      <c r="J305" s="471">
        <f>IFERROR(IF(DB_Customers!J299&lt;&gt;"",DB_Customers!J299,""),"")</f>
        <v/>
      </c>
      <c r="K305" s="470">
        <f>IFERROR(IF(DB_Customers!E299&lt;&gt;"",DB_Customers!E299,""),"")</f>
        <v/>
      </c>
      <c r="L305" s="470">
        <f>IFERROR(IF(DB_Customers!F299&lt;&gt;"",DB_Customers!F299,""),"")</f>
        <v/>
      </c>
      <c r="M305" s="470">
        <f>IFERROR(IF(DB_Customers!T299&lt;&gt;"",DB_Customers!T299,""),"")</f>
        <v/>
      </c>
      <c r="N305" s="474">
        <f>IFERROR(IF(DB_Customers!A299&lt;&gt;"",IF(DB_Customers!I299&gt;=10,"Active","Inactive"),""),"")</f>
        <v/>
      </c>
    </row>
    <row r="306" ht="18" customHeight="1" s="341">
      <c r="A306" s="461">
        <f>IF(DB_Customers!A300&lt;&gt;"",297,"")</f>
        <v/>
      </c>
      <c r="B306" s="462">
        <f>IFERROR(IF(DB_Customers!A300&lt;&gt;"",DB_Customers!A300,""),"")</f>
        <v/>
      </c>
      <c r="C306" s="463">
        <f>IFERROR(IF(DB_Customers!D300&lt;&gt;"",DB_Customers!D300,""),"")</f>
        <v/>
      </c>
      <c r="D306" s="464">
        <f>IFERROR(IF(DB_Customers!Q300&lt;&gt;"",DB_Customers!Q300,""),"")</f>
        <v/>
      </c>
      <c r="E306" s="463">
        <f>IFERROR(IF(DB_Customers!R300&lt;&gt;"",DB_Customers!R300,""),"")</f>
        <v/>
      </c>
      <c r="F306" s="463">
        <f>IFERROR(IF(DB_Customers!S300&lt;&gt;"",DB_Customers!S300,""),"")</f>
        <v/>
      </c>
      <c r="G306" s="463">
        <f>IFERROR(IF(DB_Customers!G300&lt;&gt;"",DB_Customers!G300,""),"")</f>
        <v/>
      </c>
      <c r="H306" s="465">
        <f>IFERROR(IF(DB_Customers!H300&lt;&gt;"",DB_Customers!H300,""),"")</f>
        <v/>
      </c>
      <c r="I306" s="466">
        <f>IFERROR(IF(DB_Customers!I300&lt;&gt;"",DB_Customers!I300,""),"")</f>
        <v/>
      </c>
      <c r="J306" s="464">
        <f>IFERROR(IF(DB_Customers!J300&lt;&gt;"",DB_Customers!J300,""),"")</f>
        <v/>
      </c>
      <c r="K306" s="463">
        <f>IFERROR(IF(DB_Customers!E300&lt;&gt;"",DB_Customers!E300,""),"")</f>
        <v/>
      </c>
      <c r="L306" s="463">
        <f>IFERROR(IF(DB_Customers!F300&lt;&gt;"",DB_Customers!F300,""),"")</f>
        <v/>
      </c>
      <c r="M306" s="463">
        <f>IFERROR(IF(DB_Customers!T300&lt;&gt;"",DB_Customers!T300,""),"")</f>
        <v/>
      </c>
      <c r="N306" s="467">
        <f>IFERROR(IF(DB_Customers!A300&lt;&gt;"",IF(DB_Customers!I300&gt;=10,"Active","Inactive"),""),"")</f>
        <v/>
      </c>
    </row>
    <row r="307" ht="18" customHeight="1" s="341">
      <c r="A307" s="468">
        <f>IF(DB_Customers!A301&lt;&gt;"",298,"")</f>
        <v/>
      </c>
      <c r="B307" s="469">
        <f>IFERROR(IF(DB_Customers!A301&lt;&gt;"",DB_Customers!A301,""),"")</f>
        <v/>
      </c>
      <c r="C307" s="470">
        <f>IFERROR(IF(DB_Customers!D301&lt;&gt;"",DB_Customers!D301,""),"")</f>
        <v/>
      </c>
      <c r="D307" s="471">
        <f>IFERROR(IF(DB_Customers!Q301&lt;&gt;"",DB_Customers!Q301,""),"")</f>
        <v/>
      </c>
      <c r="E307" s="470">
        <f>IFERROR(IF(DB_Customers!R301&lt;&gt;"",DB_Customers!R301,""),"")</f>
        <v/>
      </c>
      <c r="F307" s="470">
        <f>IFERROR(IF(DB_Customers!S301&lt;&gt;"",DB_Customers!S301,""),"")</f>
        <v/>
      </c>
      <c r="G307" s="470">
        <f>IFERROR(IF(DB_Customers!G301&lt;&gt;"",DB_Customers!G301,""),"")</f>
        <v/>
      </c>
      <c r="H307" s="472">
        <f>IFERROR(IF(DB_Customers!H301&lt;&gt;"",DB_Customers!H301,""),"")</f>
        <v/>
      </c>
      <c r="I307" s="473">
        <f>IFERROR(IF(DB_Customers!I301&lt;&gt;"",DB_Customers!I301,""),"")</f>
        <v/>
      </c>
      <c r="J307" s="471">
        <f>IFERROR(IF(DB_Customers!J301&lt;&gt;"",DB_Customers!J301,""),"")</f>
        <v/>
      </c>
      <c r="K307" s="470">
        <f>IFERROR(IF(DB_Customers!E301&lt;&gt;"",DB_Customers!E301,""),"")</f>
        <v/>
      </c>
      <c r="L307" s="470">
        <f>IFERROR(IF(DB_Customers!F301&lt;&gt;"",DB_Customers!F301,""),"")</f>
        <v/>
      </c>
      <c r="M307" s="470">
        <f>IFERROR(IF(DB_Customers!T301&lt;&gt;"",DB_Customers!T301,""),"")</f>
        <v/>
      </c>
      <c r="N307" s="474">
        <f>IFERROR(IF(DB_Customers!A301&lt;&gt;"",IF(DB_Customers!I301&gt;=10,"Active","Inactive"),""),"")</f>
        <v/>
      </c>
    </row>
    <row r="308" ht="18" customHeight="1" s="341">
      <c r="A308" s="461">
        <f>IF(DB_Customers!A302&lt;&gt;"",299,"")</f>
        <v/>
      </c>
      <c r="B308" s="462">
        <f>IFERROR(IF(DB_Customers!A302&lt;&gt;"",DB_Customers!A302,""),"")</f>
        <v/>
      </c>
      <c r="C308" s="463">
        <f>IFERROR(IF(DB_Customers!D302&lt;&gt;"",DB_Customers!D302,""),"")</f>
        <v/>
      </c>
      <c r="D308" s="464">
        <f>IFERROR(IF(DB_Customers!Q302&lt;&gt;"",DB_Customers!Q302,""),"")</f>
        <v/>
      </c>
      <c r="E308" s="463">
        <f>IFERROR(IF(DB_Customers!R302&lt;&gt;"",DB_Customers!R302,""),"")</f>
        <v/>
      </c>
      <c r="F308" s="463">
        <f>IFERROR(IF(DB_Customers!S302&lt;&gt;"",DB_Customers!S302,""),"")</f>
        <v/>
      </c>
      <c r="G308" s="463">
        <f>IFERROR(IF(DB_Customers!G302&lt;&gt;"",DB_Customers!G302,""),"")</f>
        <v/>
      </c>
      <c r="H308" s="465">
        <f>IFERROR(IF(DB_Customers!H302&lt;&gt;"",DB_Customers!H302,""),"")</f>
        <v/>
      </c>
      <c r="I308" s="466">
        <f>IFERROR(IF(DB_Customers!I302&lt;&gt;"",DB_Customers!I302,""),"")</f>
        <v/>
      </c>
      <c r="J308" s="464">
        <f>IFERROR(IF(DB_Customers!J302&lt;&gt;"",DB_Customers!J302,""),"")</f>
        <v/>
      </c>
      <c r="K308" s="463">
        <f>IFERROR(IF(DB_Customers!E302&lt;&gt;"",DB_Customers!E302,""),"")</f>
        <v/>
      </c>
      <c r="L308" s="463">
        <f>IFERROR(IF(DB_Customers!F302&lt;&gt;"",DB_Customers!F302,""),"")</f>
        <v/>
      </c>
      <c r="M308" s="463">
        <f>IFERROR(IF(DB_Customers!T302&lt;&gt;"",DB_Customers!T302,""),"")</f>
        <v/>
      </c>
      <c r="N308" s="467">
        <f>IFERROR(IF(DB_Customers!A302&lt;&gt;"",IF(DB_Customers!I302&gt;=10,"Active","Inactive"),""),"")</f>
        <v/>
      </c>
    </row>
    <row r="309" ht="18" customHeight="1" s="341">
      <c r="A309" s="468">
        <f>IF(DB_Customers!A303&lt;&gt;"",300,"")</f>
        <v/>
      </c>
      <c r="B309" s="469">
        <f>IFERROR(IF(DB_Customers!A303&lt;&gt;"",DB_Customers!A303,""),"")</f>
        <v/>
      </c>
      <c r="C309" s="470">
        <f>IFERROR(IF(DB_Customers!D303&lt;&gt;"",DB_Customers!D303,""),"")</f>
        <v/>
      </c>
      <c r="D309" s="471">
        <f>IFERROR(IF(DB_Customers!Q303&lt;&gt;"",DB_Customers!Q303,""),"")</f>
        <v/>
      </c>
      <c r="E309" s="470">
        <f>IFERROR(IF(DB_Customers!R303&lt;&gt;"",DB_Customers!R303,""),"")</f>
        <v/>
      </c>
      <c r="F309" s="470">
        <f>IFERROR(IF(DB_Customers!S303&lt;&gt;"",DB_Customers!S303,""),"")</f>
        <v/>
      </c>
      <c r="G309" s="470">
        <f>IFERROR(IF(DB_Customers!G303&lt;&gt;"",DB_Customers!G303,""),"")</f>
        <v/>
      </c>
      <c r="H309" s="472">
        <f>IFERROR(IF(DB_Customers!H303&lt;&gt;"",DB_Customers!H303,""),"")</f>
        <v/>
      </c>
      <c r="I309" s="473">
        <f>IFERROR(IF(DB_Customers!I303&lt;&gt;"",DB_Customers!I303,""),"")</f>
        <v/>
      </c>
      <c r="J309" s="471">
        <f>IFERROR(IF(DB_Customers!J303&lt;&gt;"",DB_Customers!J303,""),"")</f>
        <v/>
      </c>
      <c r="K309" s="470">
        <f>IFERROR(IF(DB_Customers!E303&lt;&gt;"",DB_Customers!E303,""),"")</f>
        <v/>
      </c>
      <c r="L309" s="470">
        <f>IFERROR(IF(DB_Customers!F303&lt;&gt;"",DB_Customers!F303,""),"")</f>
        <v/>
      </c>
      <c r="M309" s="470">
        <f>IFERROR(IF(DB_Customers!T303&lt;&gt;"",DB_Customers!T303,""),"")</f>
        <v/>
      </c>
      <c r="N309" s="474">
        <f>IFERROR(IF(DB_Customers!A303&lt;&gt;"",IF(DB_Customers!I303&gt;=10,"Active","Inactive"),""),"")</f>
        <v/>
      </c>
    </row>
    <row r="310" ht="18" customHeight="1" s="341">
      <c r="A310" s="461">
        <f>IF(DB_Customers!A304&lt;&gt;"",301,"")</f>
        <v/>
      </c>
      <c r="B310" s="462">
        <f>IFERROR(IF(DB_Customers!A304&lt;&gt;"",DB_Customers!A304,""),"")</f>
        <v/>
      </c>
      <c r="C310" s="463">
        <f>IFERROR(IF(DB_Customers!D304&lt;&gt;"",DB_Customers!D304,""),"")</f>
        <v/>
      </c>
      <c r="D310" s="464">
        <f>IFERROR(IF(DB_Customers!Q304&lt;&gt;"",DB_Customers!Q304,""),"")</f>
        <v/>
      </c>
      <c r="E310" s="463">
        <f>IFERROR(IF(DB_Customers!R304&lt;&gt;"",DB_Customers!R304,""),"")</f>
        <v/>
      </c>
      <c r="F310" s="463">
        <f>IFERROR(IF(DB_Customers!S304&lt;&gt;"",DB_Customers!S304,""),"")</f>
        <v/>
      </c>
      <c r="G310" s="463">
        <f>IFERROR(IF(DB_Customers!G304&lt;&gt;"",DB_Customers!G304,""),"")</f>
        <v/>
      </c>
      <c r="H310" s="465">
        <f>IFERROR(IF(DB_Customers!H304&lt;&gt;"",DB_Customers!H304,""),"")</f>
        <v/>
      </c>
      <c r="I310" s="466">
        <f>IFERROR(IF(DB_Customers!I304&lt;&gt;"",DB_Customers!I304,""),"")</f>
        <v/>
      </c>
      <c r="J310" s="464">
        <f>IFERROR(IF(DB_Customers!J304&lt;&gt;"",DB_Customers!J304,""),"")</f>
        <v/>
      </c>
      <c r="K310" s="463">
        <f>IFERROR(IF(DB_Customers!E304&lt;&gt;"",DB_Customers!E304,""),"")</f>
        <v/>
      </c>
      <c r="L310" s="463">
        <f>IFERROR(IF(DB_Customers!F304&lt;&gt;"",DB_Customers!F304,""),"")</f>
        <v/>
      </c>
      <c r="M310" s="463">
        <f>IFERROR(IF(DB_Customers!T304&lt;&gt;"",DB_Customers!T304,""),"")</f>
        <v/>
      </c>
      <c r="N310" s="467">
        <f>IFERROR(IF(DB_Customers!A304&lt;&gt;"",IF(DB_Customers!I304&gt;=10,"Active","Inactive"),""),"")</f>
        <v/>
      </c>
    </row>
    <row r="311" ht="18" customHeight="1" s="341">
      <c r="A311" s="468">
        <f>IF(DB_Customers!A305&lt;&gt;"",302,"")</f>
        <v/>
      </c>
      <c r="B311" s="469">
        <f>IFERROR(IF(DB_Customers!A305&lt;&gt;"",DB_Customers!A305,""),"")</f>
        <v/>
      </c>
      <c r="C311" s="470">
        <f>IFERROR(IF(DB_Customers!D305&lt;&gt;"",DB_Customers!D305,""),"")</f>
        <v/>
      </c>
      <c r="D311" s="471">
        <f>IFERROR(IF(DB_Customers!Q305&lt;&gt;"",DB_Customers!Q305,""),"")</f>
        <v/>
      </c>
      <c r="E311" s="470">
        <f>IFERROR(IF(DB_Customers!R305&lt;&gt;"",DB_Customers!R305,""),"")</f>
        <v/>
      </c>
      <c r="F311" s="470">
        <f>IFERROR(IF(DB_Customers!S305&lt;&gt;"",DB_Customers!S305,""),"")</f>
        <v/>
      </c>
      <c r="G311" s="470">
        <f>IFERROR(IF(DB_Customers!G305&lt;&gt;"",DB_Customers!G305,""),"")</f>
        <v/>
      </c>
      <c r="H311" s="472">
        <f>IFERROR(IF(DB_Customers!H305&lt;&gt;"",DB_Customers!H305,""),"")</f>
        <v/>
      </c>
      <c r="I311" s="473">
        <f>IFERROR(IF(DB_Customers!I305&lt;&gt;"",DB_Customers!I305,""),"")</f>
        <v/>
      </c>
      <c r="J311" s="471">
        <f>IFERROR(IF(DB_Customers!J305&lt;&gt;"",DB_Customers!J305,""),"")</f>
        <v/>
      </c>
      <c r="K311" s="470">
        <f>IFERROR(IF(DB_Customers!E305&lt;&gt;"",DB_Customers!E305,""),"")</f>
        <v/>
      </c>
      <c r="L311" s="470">
        <f>IFERROR(IF(DB_Customers!F305&lt;&gt;"",DB_Customers!F305,""),"")</f>
        <v/>
      </c>
      <c r="M311" s="470">
        <f>IFERROR(IF(DB_Customers!T305&lt;&gt;"",DB_Customers!T305,""),"")</f>
        <v/>
      </c>
      <c r="N311" s="474">
        <f>IFERROR(IF(DB_Customers!A305&lt;&gt;"",IF(DB_Customers!I305&gt;=10,"Active","Inactive"),""),"")</f>
        <v/>
      </c>
    </row>
    <row r="312" ht="18" customHeight="1" s="341">
      <c r="A312" s="461">
        <f>IF(DB_Customers!A306&lt;&gt;"",303,"")</f>
        <v/>
      </c>
      <c r="B312" s="462">
        <f>IFERROR(IF(DB_Customers!A306&lt;&gt;"",DB_Customers!A306,""),"")</f>
        <v/>
      </c>
      <c r="C312" s="463">
        <f>IFERROR(IF(DB_Customers!D306&lt;&gt;"",DB_Customers!D306,""),"")</f>
        <v/>
      </c>
      <c r="D312" s="464">
        <f>IFERROR(IF(DB_Customers!Q306&lt;&gt;"",DB_Customers!Q306,""),"")</f>
        <v/>
      </c>
      <c r="E312" s="463">
        <f>IFERROR(IF(DB_Customers!R306&lt;&gt;"",DB_Customers!R306,""),"")</f>
        <v/>
      </c>
      <c r="F312" s="463">
        <f>IFERROR(IF(DB_Customers!S306&lt;&gt;"",DB_Customers!S306,""),"")</f>
        <v/>
      </c>
      <c r="G312" s="463">
        <f>IFERROR(IF(DB_Customers!G306&lt;&gt;"",DB_Customers!G306,""),"")</f>
        <v/>
      </c>
      <c r="H312" s="465">
        <f>IFERROR(IF(DB_Customers!H306&lt;&gt;"",DB_Customers!H306,""),"")</f>
        <v/>
      </c>
      <c r="I312" s="466">
        <f>IFERROR(IF(DB_Customers!I306&lt;&gt;"",DB_Customers!I306,""),"")</f>
        <v/>
      </c>
      <c r="J312" s="464">
        <f>IFERROR(IF(DB_Customers!J306&lt;&gt;"",DB_Customers!J306,""),"")</f>
        <v/>
      </c>
      <c r="K312" s="463">
        <f>IFERROR(IF(DB_Customers!E306&lt;&gt;"",DB_Customers!E306,""),"")</f>
        <v/>
      </c>
      <c r="L312" s="463">
        <f>IFERROR(IF(DB_Customers!F306&lt;&gt;"",DB_Customers!F306,""),"")</f>
        <v/>
      </c>
      <c r="M312" s="463">
        <f>IFERROR(IF(DB_Customers!T306&lt;&gt;"",DB_Customers!T306,""),"")</f>
        <v/>
      </c>
      <c r="N312" s="467">
        <f>IFERROR(IF(DB_Customers!A306&lt;&gt;"",IF(DB_Customers!I306&gt;=10,"Active","Inactive"),""),"")</f>
        <v/>
      </c>
    </row>
    <row r="313" ht="18" customHeight="1" s="341">
      <c r="A313" s="468">
        <f>IF(DB_Customers!A307&lt;&gt;"",304,"")</f>
        <v/>
      </c>
      <c r="B313" s="469">
        <f>IFERROR(IF(DB_Customers!A307&lt;&gt;"",DB_Customers!A307,""),"")</f>
        <v/>
      </c>
      <c r="C313" s="470">
        <f>IFERROR(IF(DB_Customers!D307&lt;&gt;"",DB_Customers!D307,""),"")</f>
        <v/>
      </c>
      <c r="D313" s="471">
        <f>IFERROR(IF(DB_Customers!Q307&lt;&gt;"",DB_Customers!Q307,""),"")</f>
        <v/>
      </c>
      <c r="E313" s="470">
        <f>IFERROR(IF(DB_Customers!R307&lt;&gt;"",DB_Customers!R307,""),"")</f>
        <v/>
      </c>
      <c r="F313" s="470">
        <f>IFERROR(IF(DB_Customers!S307&lt;&gt;"",DB_Customers!S307,""),"")</f>
        <v/>
      </c>
      <c r="G313" s="470">
        <f>IFERROR(IF(DB_Customers!G307&lt;&gt;"",DB_Customers!G307,""),"")</f>
        <v/>
      </c>
      <c r="H313" s="472">
        <f>IFERROR(IF(DB_Customers!H307&lt;&gt;"",DB_Customers!H307,""),"")</f>
        <v/>
      </c>
      <c r="I313" s="473">
        <f>IFERROR(IF(DB_Customers!I307&lt;&gt;"",DB_Customers!I307,""),"")</f>
        <v/>
      </c>
      <c r="J313" s="471">
        <f>IFERROR(IF(DB_Customers!J307&lt;&gt;"",DB_Customers!J307,""),"")</f>
        <v/>
      </c>
      <c r="K313" s="470">
        <f>IFERROR(IF(DB_Customers!E307&lt;&gt;"",DB_Customers!E307,""),"")</f>
        <v/>
      </c>
      <c r="L313" s="470">
        <f>IFERROR(IF(DB_Customers!F307&lt;&gt;"",DB_Customers!F307,""),"")</f>
        <v/>
      </c>
      <c r="M313" s="470">
        <f>IFERROR(IF(DB_Customers!T307&lt;&gt;"",DB_Customers!T307,""),"")</f>
        <v/>
      </c>
      <c r="N313" s="474">
        <f>IFERROR(IF(DB_Customers!A307&lt;&gt;"",IF(DB_Customers!I307&gt;=10,"Active","Inactive"),""),"")</f>
        <v/>
      </c>
    </row>
    <row r="314" ht="18" customHeight="1" s="341">
      <c r="A314" s="461">
        <f>IF(DB_Customers!A308&lt;&gt;"",305,"")</f>
        <v/>
      </c>
      <c r="B314" s="462">
        <f>IFERROR(IF(DB_Customers!A308&lt;&gt;"",DB_Customers!A308,""),"")</f>
        <v/>
      </c>
      <c r="C314" s="463">
        <f>IFERROR(IF(DB_Customers!D308&lt;&gt;"",DB_Customers!D308,""),"")</f>
        <v/>
      </c>
      <c r="D314" s="464">
        <f>IFERROR(IF(DB_Customers!Q308&lt;&gt;"",DB_Customers!Q308,""),"")</f>
        <v/>
      </c>
      <c r="E314" s="463">
        <f>IFERROR(IF(DB_Customers!R308&lt;&gt;"",DB_Customers!R308,""),"")</f>
        <v/>
      </c>
      <c r="F314" s="463">
        <f>IFERROR(IF(DB_Customers!S308&lt;&gt;"",DB_Customers!S308,""),"")</f>
        <v/>
      </c>
      <c r="G314" s="463">
        <f>IFERROR(IF(DB_Customers!G308&lt;&gt;"",DB_Customers!G308,""),"")</f>
        <v/>
      </c>
      <c r="H314" s="465">
        <f>IFERROR(IF(DB_Customers!H308&lt;&gt;"",DB_Customers!H308,""),"")</f>
        <v/>
      </c>
      <c r="I314" s="466">
        <f>IFERROR(IF(DB_Customers!I308&lt;&gt;"",DB_Customers!I308,""),"")</f>
        <v/>
      </c>
      <c r="J314" s="464">
        <f>IFERROR(IF(DB_Customers!J308&lt;&gt;"",DB_Customers!J308,""),"")</f>
        <v/>
      </c>
      <c r="K314" s="463">
        <f>IFERROR(IF(DB_Customers!E308&lt;&gt;"",DB_Customers!E308,""),"")</f>
        <v/>
      </c>
      <c r="L314" s="463">
        <f>IFERROR(IF(DB_Customers!F308&lt;&gt;"",DB_Customers!F308,""),"")</f>
        <v/>
      </c>
      <c r="M314" s="463">
        <f>IFERROR(IF(DB_Customers!T308&lt;&gt;"",DB_Customers!T308,""),"")</f>
        <v/>
      </c>
      <c r="N314" s="467">
        <f>IFERROR(IF(DB_Customers!A308&lt;&gt;"",IF(DB_Customers!I308&gt;=10,"Active","Inactive"),""),"")</f>
        <v/>
      </c>
    </row>
    <row r="315" ht="18" customHeight="1" s="341">
      <c r="A315" s="468">
        <f>IF(DB_Customers!A309&lt;&gt;"",306,"")</f>
        <v/>
      </c>
      <c r="B315" s="469">
        <f>IFERROR(IF(DB_Customers!A309&lt;&gt;"",DB_Customers!A309,""),"")</f>
        <v/>
      </c>
      <c r="C315" s="470">
        <f>IFERROR(IF(DB_Customers!D309&lt;&gt;"",DB_Customers!D309,""),"")</f>
        <v/>
      </c>
      <c r="D315" s="471">
        <f>IFERROR(IF(DB_Customers!Q309&lt;&gt;"",DB_Customers!Q309,""),"")</f>
        <v/>
      </c>
      <c r="E315" s="470">
        <f>IFERROR(IF(DB_Customers!R309&lt;&gt;"",DB_Customers!R309,""),"")</f>
        <v/>
      </c>
      <c r="F315" s="470">
        <f>IFERROR(IF(DB_Customers!S309&lt;&gt;"",DB_Customers!S309,""),"")</f>
        <v/>
      </c>
      <c r="G315" s="470">
        <f>IFERROR(IF(DB_Customers!G309&lt;&gt;"",DB_Customers!G309,""),"")</f>
        <v/>
      </c>
      <c r="H315" s="472">
        <f>IFERROR(IF(DB_Customers!H309&lt;&gt;"",DB_Customers!H309,""),"")</f>
        <v/>
      </c>
      <c r="I315" s="473">
        <f>IFERROR(IF(DB_Customers!I309&lt;&gt;"",DB_Customers!I309,""),"")</f>
        <v/>
      </c>
      <c r="J315" s="471">
        <f>IFERROR(IF(DB_Customers!J309&lt;&gt;"",DB_Customers!J309,""),"")</f>
        <v/>
      </c>
      <c r="K315" s="470">
        <f>IFERROR(IF(DB_Customers!E309&lt;&gt;"",DB_Customers!E309,""),"")</f>
        <v/>
      </c>
      <c r="L315" s="470">
        <f>IFERROR(IF(DB_Customers!F309&lt;&gt;"",DB_Customers!F309,""),"")</f>
        <v/>
      </c>
      <c r="M315" s="470">
        <f>IFERROR(IF(DB_Customers!T309&lt;&gt;"",DB_Customers!T309,""),"")</f>
        <v/>
      </c>
      <c r="N315" s="474">
        <f>IFERROR(IF(DB_Customers!A309&lt;&gt;"",IF(DB_Customers!I309&gt;=10,"Active","Inactive"),""),"")</f>
        <v/>
      </c>
    </row>
    <row r="316" ht="18" customHeight="1" s="341">
      <c r="A316" s="461">
        <f>IF(DB_Customers!A310&lt;&gt;"",307,"")</f>
        <v/>
      </c>
      <c r="B316" s="462">
        <f>IFERROR(IF(DB_Customers!A310&lt;&gt;"",DB_Customers!A310,""),"")</f>
        <v/>
      </c>
      <c r="C316" s="463">
        <f>IFERROR(IF(DB_Customers!D310&lt;&gt;"",DB_Customers!D310,""),"")</f>
        <v/>
      </c>
      <c r="D316" s="464">
        <f>IFERROR(IF(DB_Customers!Q310&lt;&gt;"",DB_Customers!Q310,""),"")</f>
        <v/>
      </c>
      <c r="E316" s="463">
        <f>IFERROR(IF(DB_Customers!R310&lt;&gt;"",DB_Customers!R310,""),"")</f>
        <v/>
      </c>
      <c r="F316" s="463">
        <f>IFERROR(IF(DB_Customers!S310&lt;&gt;"",DB_Customers!S310,""),"")</f>
        <v/>
      </c>
      <c r="G316" s="463">
        <f>IFERROR(IF(DB_Customers!G310&lt;&gt;"",DB_Customers!G310,""),"")</f>
        <v/>
      </c>
      <c r="H316" s="465">
        <f>IFERROR(IF(DB_Customers!H310&lt;&gt;"",DB_Customers!H310,""),"")</f>
        <v/>
      </c>
      <c r="I316" s="466">
        <f>IFERROR(IF(DB_Customers!I310&lt;&gt;"",DB_Customers!I310,""),"")</f>
        <v/>
      </c>
      <c r="J316" s="464">
        <f>IFERROR(IF(DB_Customers!J310&lt;&gt;"",DB_Customers!J310,""),"")</f>
        <v/>
      </c>
      <c r="K316" s="463">
        <f>IFERROR(IF(DB_Customers!E310&lt;&gt;"",DB_Customers!E310,""),"")</f>
        <v/>
      </c>
      <c r="L316" s="463">
        <f>IFERROR(IF(DB_Customers!F310&lt;&gt;"",DB_Customers!F310,""),"")</f>
        <v/>
      </c>
      <c r="M316" s="463">
        <f>IFERROR(IF(DB_Customers!T310&lt;&gt;"",DB_Customers!T310,""),"")</f>
        <v/>
      </c>
      <c r="N316" s="467">
        <f>IFERROR(IF(DB_Customers!A310&lt;&gt;"",IF(DB_Customers!I310&gt;=10,"Active","Inactive"),""),"")</f>
        <v/>
      </c>
    </row>
    <row r="317" ht="18" customHeight="1" s="341">
      <c r="A317" s="468">
        <f>IF(DB_Customers!A311&lt;&gt;"",308,"")</f>
        <v/>
      </c>
      <c r="B317" s="469">
        <f>IFERROR(IF(DB_Customers!A311&lt;&gt;"",DB_Customers!A311,""),"")</f>
        <v/>
      </c>
      <c r="C317" s="470">
        <f>IFERROR(IF(DB_Customers!D311&lt;&gt;"",DB_Customers!D311,""),"")</f>
        <v/>
      </c>
      <c r="D317" s="471">
        <f>IFERROR(IF(DB_Customers!Q311&lt;&gt;"",DB_Customers!Q311,""),"")</f>
        <v/>
      </c>
      <c r="E317" s="470">
        <f>IFERROR(IF(DB_Customers!R311&lt;&gt;"",DB_Customers!R311,""),"")</f>
        <v/>
      </c>
      <c r="F317" s="470">
        <f>IFERROR(IF(DB_Customers!S311&lt;&gt;"",DB_Customers!S311,""),"")</f>
        <v/>
      </c>
      <c r="G317" s="470">
        <f>IFERROR(IF(DB_Customers!G311&lt;&gt;"",DB_Customers!G311,""),"")</f>
        <v/>
      </c>
      <c r="H317" s="472">
        <f>IFERROR(IF(DB_Customers!H311&lt;&gt;"",DB_Customers!H311,""),"")</f>
        <v/>
      </c>
      <c r="I317" s="473">
        <f>IFERROR(IF(DB_Customers!I311&lt;&gt;"",DB_Customers!I311,""),"")</f>
        <v/>
      </c>
      <c r="J317" s="471">
        <f>IFERROR(IF(DB_Customers!J311&lt;&gt;"",DB_Customers!J311,""),"")</f>
        <v/>
      </c>
      <c r="K317" s="470">
        <f>IFERROR(IF(DB_Customers!E311&lt;&gt;"",DB_Customers!E311,""),"")</f>
        <v/>
      </c>
      <c r="L317" s="470">
        <f>IFERROR(IF(DB_Customers!F311&lt;&gt;"",DB_Customers!F311,""),"")</f>
        <v/>
      </c>
      <c r="M317" s="470">
        <f>IFERROR(IF(DB_Customers!T311&lt;&gt;"",DB_Customers!T311,""),"")</f>
        <v/>
      </c>
      <c r="N317" s="474">
        <f>IFERROR(IF(DB_Customers!A311&lt;&gt;"",IF(DB_Customers!I311&gt;=10,"Active","Inactive"),""),"")</f>
        <v/>
      </c>
    </row>
    <row r="318" ht="18" customHeight="1" s="341">
      <c r="A318" s="461">
        <f>IF(DB_Customers!A312&lt;&gt;"",309,"")</f>
        <v/>
      </c>
      <c r="B318" s="462">
        <f>IFERROR(IF(DB_Customers!A312&lt;&gt;"",DB_Customers!A312,""),"")</f>
        <v/>
      </c>
      <c r="C318" s="463">
        <f>IFERROR(IF(DB_Customers!D312&lt;&gt;"",DB_Customers!D312,""),"")</f>
        <v/>
      </c>
      <c r="D318" s="464">
        <f>IFERROR(IF(DB_Customers!Q312&lt;&gt;"",DB_Customers!Q312,""),"")</f>
        <v/>
      </c>
      <c r="E318" s="463">
        <f>IFERROR(IF(DB_Customers!R312&lt;&gt;"",DB_Customers!R312,""),"")</f>
        <v/>
      </c>
      <c r="F318" s="463">
        <f>IFERROR(IF(DB_Customers!S312&lt;&gt;"",DB_Customers!S312,""),"")</f>
        <v/>
      </c>
      <c r="G318" s="463">
        <f>IFERROR(IF(DB_Customers!G312&lt;&gt;"",DB_Customers!G312,""),"")</f>
        <v/>
      </c>
      <c r="H318" s="465">
        <f>IFERROR(IF(DB_Customers!H312&lt;&gt;"",DB_Customers!H312,""),"")</f>
        <v/>
      </c>
      <c r="I318" s="466">
        <f>IFERROR(IF(DB_Customers!I312&lt;&gt;"",DB_Customers!I312,""),"")</f>
        <v/>
      </c>
      <c r="J318" s="464">
        <f>IFERROR(IF(DB_Customers!J312&lt;&gt;"",DB_Customers!J312,""),"")</f>
        <v/>
      </c>
      <c r="K318" s="463">
        <f>IFERROR(IF(DB_Customers!E312&lt;&gt;"",DB_Customers!E312,""),"")</f>
        <v/>
      </c>
      <c r="L318" s="463">
        <f>IFERROR(IF(DB_Customers!F312&lt;&gt;"",DB_Customers!F312,""),"")</f>
        <v/>
      </c>
      <c r="M318" s="463">
        <f>IFERROR(IF(DB_Customers!T312&lt;&gt;"",DB_Customers!T312,""),"")</f>
        <v/>
      </c>
      <c r="N318" s="467">
        <f>IFERROR(IF(DB_Customers!A312&lt;&gt;"",IF(DB_Customers!I312&gt;=10,"Active","Inactive"),""),"")</f>
        <v/>
      </c>
    </row>
    <row r="319" ht="18" customHeight="1" s="341">
      <c r="A319" s="468">
        <f>IF(DB_Customers!A313&lt;&gt;"",310,"")</f>
        <v/>
      </c>
      <c r="B319" s="469">
        <f>IFERROR(IF(DB_Customers!A313&lt;&gt;"",DB_Customers!A313,""),"")</f>
        <v/>
      </c>
      <c r="C319" s="470">
        <f>IFERROR(IF(DB_Customers!D313&lt;&gt;"",DB_Customers!D313,""),"")</f>
        <v/>
      </c>
      <c r="D319" s="471">
        <f>IFERROR(IF(DB_Customers!Q313&lt;&gt;"",DB_Customers!Q313,""),"")</f>
        <v/>
      </c>
      <c r="E319" s="470">
        <f>IFERROR(IF(DB_Customers!R313&lt;&gt;"",DB_Customers!R313,""),"")</f>
        <v/>
      </c>
      <c r="F319" s="470">
        <f>IFERROR(IF(DB_Customers!S313&lt;&gt;"",DB_Customers!S313,""),"")</f>
        <v/>
      </c>
      <c r="G319" s="470">
        <f>IFERROR(IF(DB_Customers!G313&lt;&gt;"",DB_Customers!G313,""),"")</f>
        <v/>
      </c>
      <c r="H319" s="472">
        <f>IFERROR(IF(DB_Customers!H313&lt;&gt;"",DB_Customers!H313,""),"")</f>
        <v/>
      </c>
      <c r="I319" s="473">
        <f>IFERROR(IF(DB_Customers!I313&lt;&gt;"",DB_Customers!I313,""),"")</f>
        <v/>
      </c>
      <c r="J319" s="471">
        <f>IFERROR(IF(DB_Customers!J313&lt;&gt;"",DB_Customers!J313,""),"")</f>
        <v/>
      </c>
      <c r="K319" s="470">
        <f>IFERROR(IF(DB_Customers!E313&lt;&gt;"",DB_Customers!E313,""),"")</f>
        <v/>
      </c>
      <c r="L319" s="470">
        <f>IFERROR(IF(DB_Customers!F313&lt;&gt;"",DB_Customers!F313,""),"")</f>
        <v/>
      </c>
      <c r="M319" s="470">
        <f>IFERROR(IF(DB_Customers!T313&lt;&gt;"",DB_Customers!T313,""),"")</f>
        <v/>
      </c>
      <c r="N319" s="474">
        <f>IFERROR(IF(DB_Customers!A313&lt;&gt;"",IF(DB_Customers!I313&gt;=10,"Active","Inactive"),""),"")</f>
        <v/>
      </c>
    </row>
    <row r="320" ht="18" customHeight="1" s="341">
      <c r="A320" s="461">
        <f>IF(DB_Customers!A314&lt;&gt;"",311,"")</f>
        <v/>
      </c>
      <c r="B320" s="462">
        <f>IFERROR(IF(DB_Customers!A314&lt;&gt;"",DB_Customers!A314,""),"")</f>
        <v/>
      </c>
      <c r="C320" s="463">
        <f>IFERROR(IF(DB_Customers!D314&lt;&gt;"",DB_Customers!D314,""),"")</f>
        <v/>
      </c>
      <c r="D320" s="464">
        <f>IFERROR(IF(DB_Customers!Q314&lt;&gt;"",DB_Customers!Q314,""),"")</f>
        <v/>
      </c>
      <c r="E320" s="463">
        <f>IFERROR(IF(DB_Customers!R314&lt;&gt;"",DB_Customers!R314,""),"")</f>
        <v/>
      </c>
      <c r="F320" s="463">
        <f>IFERROR(IF(DB_Customers!S314&lt;&gt;"",DB_Customers!S314,""),"")</f>
        <v/>
      </c>
      <c r="G320" s="463">
        <f>IFERROR(IF(DB_Customers!G314&lt;&gt;"",DB_Customers!G314,""),"")</f>
        <v/>
      </c>
      <c r="H320" s="465">
        <f>IFERROR(IF(DB_Customers!H314&lt;&gt;"",DB_Customers!H314,""),"")</f>
        <v/>
      </c>
      <c r="I320" s="466">
        <f>IFERROR(IF(DB_Customers!I314&lt;&gt;"",DB_Customers!I314,""),"")</f>
        <v/>
      </c>
      <c r="J320" s="464">
        <f>IFERROR(IF(DB_Customers!J314&lt;&gt;"",DB_Customers!J314,""),"")</f>
        <v/>
      </c>
      <c r="K320" s="463">
        <f>IFERROR(IF(DB_Customers!E314&lt;&gt;"",DB_Customers!E314,""),"")</f>
        <v/>
      </c>
      <c r="L320" s="463">
        <f>IFERROR(IF(DB_Customers!F314&lt;&gt;"",DB_Customers!F314,""),"")</f>
        <v/>
      </c>
      <c r="M320" s="463">
        <f>IFERROR(IF(DB_Customers!T314&lt;&gt;"",DB_Customers!T314,""),"")</f>
        <v/>
      </c>
      <c r="N320" s="467">
        <f>IFERROR(IF(DB_Customers!A314&lt;&gt;"",IF(DB_Customers!I314&gt;=10,"Active","Inactive"),""),"")</f>
        <v/>
      </c>
    </row>
    <row r="321" ht="18" customHeight="1" s="341">
      <c r="A321" s="468">
        <f>IF(DB_Customers!A315&lt;&gt;"",312,"")</f>
        <v/>
      </c>
      <c r="B321" s="469">
        <f>IFERROR(IF(DB_Customers!A315&lt;&gt;"",DB_Customers!A315,""),"")</f>
        <v/>
      </c>
      <c r="C321" s="470">
        <f>IFERROR(IF(DB_Customers!D315&lt;&gt;"",DB_Customers!D315,""),"")</f>
        <v/>
      </c>
      <c r="D321" s="471">
        <f>IFERROR(IF(DB_Customers!Q315&lt;&gt;"",DB_Customers!Q315,""),"")</f>
        <v/>
      </c>
      <c r="E321" s="470">
        <f>IFERROR(IF(DB_Customers!R315&lt;&gt;"",DB_Customers!R315,""),"")</f>
        <v/>
      </c>
      <c r="F321" s="470">
        <f>IFERROR(IF(DB_Customers!S315&lt;&gt;"",DB_Customers!S315,""),"")</f>
        <v/>
      </c>
      <c r="G321" s="470">
        <f>IFERROR(IF(DB_Customers!G315&lt;&gt;"",DB_Customers!G315,""),"")</f>
        <v/>
      </c>
      <c r="H321" s="472">
        <f>IFERROR(IF(DB_Customers!H315&lt;&gt;"",DB_Customers!H315,""),"")</f>
        <v/>
      </c>
      <c r="I321" s="473">
        <f>IFERROR(IF(DB_Customers!I315&lt;&gt;"",DB_Customers!I315,""),"")</f>
        <v/>
      </c>
      <c r="J321" s="471">
        <f>IFERROR(IF(DB_Customers!J315&lt;&gt;"",DB_Customers!J315,""),"")</f>
        <v/>
      </c>
      <c r="K321" s="470">
        <f>IFERROR(IF(DB_Customers!E315&lt;&gt;"",DB_Customers!E315,""),"")</f>
        <v/>
      </c>
      <c r="L321" s="470">
        <f>IFERROR(IF(DB_Customers!F315&lt;&gt;"",DB_Customers!F315,""),"")</f>
        <v/>
      </c>
      <c r="M321" s="470">
        <f>IFERROR(IF(DB_Customers!T315&lt;&gt;"",DB_Customers!T315,""),"")</f>
        <v/>
      </c>
      <c r="N321" s="474">
        <f>IFERROR(IF(DB_Customers!A315&lt;&gt;"",IF(DB_Customers!I315&gt;=10,"Active","Inactive"),""),"")</f>
        <v/>
      </c>
    </row>
    <row r="322" ht="18" customHeight="1" s="341">
      <c r="A322" s="461">
        <f>IF(DB_Customers!A316&lt;&gt;"",313,"")</f>
        <v/>
      </c>
      <c r="B322" s="462">
        <f>IFERROR(IF(DB_Customers!A316&lt;&gt;"",DB_Customers!A316,""),"")</f>
        <v/>
      </c>
      <c r="C322" s="463">
        <f>IFERROR(IF(DB_Customers!D316&lt;&gt;"",DB_Customers!D316,""),"")</f>
        <v/>
      </c>
      <c r="D322" s="464">
        <f>IFERROR(IF(DB_Customers!Q316&lt;&gt;"",DB_Customers!Q316,""),"")</f>
        <v/>
      </c>
      <c r="E322" s="463">
        <f>IFERROR(IF(DB_Customers!R316&lt;&gt;"",DB_Customers!R316,""),"")</f>
        <v/>
      </c>
      <c r="F322" s="463">
        <f>IFERROR(IF(DB_Customers!S316&lt;&gt;"",DB_Customers!S316,""),"")</f>
        <v/>
      </c>
      <c r="G322" s="463">
        <f>IFERROR(IF(DB_Customers!G316&lt;&gt;"",DB_Customers!G316,""),"")</f>
        <v/>
      </c>
      <c r="H322" s="465">
        <f>IFERROR(IF(DB_Customers!H316&lt;&gt;"",DB_Customers!H316,""),"")</f>
        <v/>
      </c>
      <c r="I322" s="466">
        <f>IFERROR(IF(DB_Customers!I316&lt;&gt;"",DB_Customers!I316,""),"")</f>
        <v/>
      </c>
      <c r="J322" s="464">
        <f>IFERROR(IF(DB_Customers!J316&lt;&gt;"",DB_Customers!J316,""),"")</f>
        <v/>
      </c>
      <c r="K322" s="463">
        <f>IFERROR(IF(DB_Customers!E316&lt;&gt;"",DB_Customers!E316,""),"")</f>
        <v/>
      </c>
      <c r="L322" s="463">
        <f>IFERROR(IF(DB_Customers!F316&lt;&gt;"",DB_Customers!F316,""),"")</f>
        <v/>
      </c>
      <c r="M322" s="463">
        <f>IFERROR(IF(DB_Customers!T316&lt;&gt;"",DB_Customers!T316,""),"")</f>
        <v/>
      </c>
      <c r="N322" s="467">
        <f>IFERROR(IF(DB_Customers!A316&lt;&gt;"",IF(DB_Customers!I316&gt;=10,"Active","Inactive"),""),"")</f>
        <v/>
      </c>
    </row>
    <row r="323" ht="18" customHeight="1" s="341">
      <c r="A323" s="468">
        <f>IF(DB_Customers!A317&lt;&gt;"",314,"")</f>
        <v/>
      </c>
      <c r="B323" s="469">
        <f>IFERROR(IF(DB_Customers!A317&lt;&gt;"",DB_Customers!A317,""),"")</f>
        <v/>
      </c>
      <c r="C323" s="470">
        <f>IFERROR(IF(DB_Customers!D317&lt;&gt;"",DB_Customers!D317,""),"")</f>
        <v/>
      </c>
      <c r="D323" s="471">
        <f>IFERROR(IF(DB_Customers!Q317&lt;&gt;"",DB_Customers!Q317,""),"")</f>
        <v/>
      </c>
      <c r="E323" s="470">
        <f>IFERROR(IF(DB_Customers!R317&lt;&gt;"",DB_Customers!R317,""),"")</f>
        <v/>
      </c>
      <c r="F323" s="470">
        <f>IFERROR(IF(DB_Customers!S317&lt;&gt;"",DB_Customers!S317,""),"")</f>
        <v/>
      </c>
      <c r="G323" s="470">
        <f>IFERROR(IF(DB_Customers!G317&lt;&gt;"",DB_Customers!G317,""),"")</f>
        <v/>
      </c>
      <c r="H323" s="472">
        <f>IFERROR(IF(DB_Customers!H317&lt;&gt;"",DB_Customers!H317,""),"")</f>
        <v/>
      </c>
      <c r="I323" s="473">
        <f>IFERROR(IF(DB_Customers!I317&lt;&gt;"",DB_Customers!I317,""),"")</f>
        <v/>
      </c>
      <c r="J323" s="471">
        <f>IFERROR(IF(DB_Customers!J317&lt;&gt;"",DB_Customers!J317,""),"")</f>
        <v/>
      </c>
      <c r="K323" s="470">
        <f>IFERROR(IF(DB_Customers!E317&lt;&gt;"",DB_Customers!E317,""),"")</f>
        <v/>
      </c>
      <c r="L323" s="470">
        <f>IFERROR(IF(DB_Customers!F317&lt;&gt;"",DB_Customers!F317,""),"")</f>
        <v/>
      </c>
      <c r="M323" s="470">
        <f>IFERROR(IF(DB_Customers!T317&lt;&gt;"",DB_Customers!T317,""),"")</f>
        <v/>
      </c>
      <c r="N323" s="474">
        <f>IFERROR(IF(DB_Customers!A317&lt;&gt;"",IF(DB_Customers!I317&gt;=10,"Active","Inactive"),""),"")</f>
        <v/>
      </c>
    </row>
    <row r="324" ht="18" customHeight="1" s="341">
      <c r="A324" s="461">
        <f>IF(DB_Customers!A318&lt;&gt;"",315,"")</f>
        <v/>
      </c>
      <c r="B324" s="462">
        <f>IFERROR(IF(DB_Customers!A318&lt;&gt;"",DB_Customers!A318,""),"")</f>
        <v/>
      </c>
      <c r="C324" s="463">
        <f>IFERROR(IF(DB_Customers!D318&lt;&gt;"",DB_Customers!D318,""),"")</f>
        <v/>
      </c>
      <c r="D324" s="464">
        <f>IFERROR(IF(DB_Customers!Q318&lt;&gt;"",DB_Customers!Q318,""),"")</f>
        <v/>
      </c>
      <c r="E324" s="463">
        <f>IFERROR(IF(DB_Customers!R318&lt;&gt;"",DB_Customers!R318,""),"")</f>
        <v/>
      </c>
      <c r="F324" s="463">
        <f>IFERROR(IF(DB_Customers!S318&lt;&gt;"",DB_Customers!S318,""),"")</f>
        <v/>
      </c>
      <c r="G324" s="463">
        <f>IFERROR(IF(DB_Customers!G318&lt;&gt;"",DB_Customers!G318,""),"")</f>
        <v/>
      </c>
      <c r="H324" s="465">
        <f>IFERROR(IF(DB_Customers!H318&lt;&gt;"",DB_Customers!H318,""),"")</f>
        <v/>
      </c>
      <c r="I324" s="466">
        <f>IFERROR(IF(DB_Customers!I318&lt;&gt;"",DB_Customers!I318,""),"")</f>
        <v/>
      </c>
      <c r="J324" s="464">
        <f>IFERROR(IF(DB_Customers!J318&lt;&gt;"",DB_Customers!J318,""),"")</f>
        <v/>
      </c>
      <c r="K324" s="463">
        <f>IFERROR(IF(DB_Customers!E318&lt;&gt;"",DB_Customers!E318,""),"")</f>
        <v/>
      </c>
      <c r="L324" s="463">
        <f>IFERROR(IF(DB_Customers!F318&lt;&gt;"",DB_Customers!F318,""),"")</f>
        <v/>
      </c>
      <c r="M324" s="463">
        <f>IFERROR(IF(DB_Customers!T318&lt;&gt;"",DB_Customers!T318,""),"")</f>
        <v/>
      </c>
      <c r="N324" s="467">
        <f>IFERROR(IF(DB_Customers!A318&lt;&gt;"",IF(DB_Customers!I318&gt;=10,"Active","Inactive"),""),"")</f>
        <v/>
      </c>
    </row>
    <row r="325" ht="18" customHeight="1" s="341">
      <c r="A325" s="468">
        <f>IF(DB_Customers!A319&lt;&gt;"",316,"")</f>
        <v/>
      </c>
      <c r="B325" s="469">
        <f>IFERROR(IF(DB_Customers!A319&lt;&gt;"",DB_Customers!A319,""),"")</f>
        <v/>
      </c>
      <c r="C325" s="470">
        <f>IFERROR(IF(DB_Customers!D319&lt;&gt;"",DB_Customers!D319,""),"")</f>
        <v/>
      </c>
      <c r="D325" s="471">
        <f>IFERROR(IF(DB_Customers!Q319&lt;&gt;"",DB_Customers!Q319,""),"")</f>
        <v/>
      </c>
      <c r="E325" s="470">
        <f>IFERROR(IF(DB_Customers!R319&lt;&gt;"",DB_Customers!R319,""),"")</f>
        <v/>
      </c>
      <c r="F325" s="470">
        <f>IFERROR(IF(DB_Customers!S319&lt;&gt;"",DB_Customers!S319,""),"")</f>
        <v/>
      </c>
      <c r="G325" s="470">
        <f>IFERROR(IF(DB_Customers!G319&lt;&gt;"",DB_Customers!G319,""),"")</f>
        <v/>
      </c>
      <c r="H325" s="472">
        <f>IFERROR(IF(DB_Customers!H319&lt;&gt;"",DB_Customers!H319,""),"")</f>
        <v/>
      </c>
      <c r="I325" s="473">
        <f>IFERROR(IF(DB_Customers!I319&lt;&gt;"",DB_Customers!I319,""),"")</f>
        <v/>
      </c>
      <c r="J325" s="471">
        <f>IFERROR(IF(DB_Customers!J319&lt;&gt;"",DB_Customers!J319,""),"")</f>
        <v/>
      </c>
      <c r="K325" s="470">
        <f>IFERROR(IF(DB_Customers!E319&lt;&gt;"",DB_Customers!E319,""),"")</f>
        <v/>
      </c>
      <c r="L325" s="470">
        <f>IFERROR(IF(DB_Customers!F319&lt;&gt;"",DB_Customers!F319,""),"")</f>
        <v/>
      </c>
      <c r="M325" s="470">
        <f>IFERROR(IF(DB_Customers!T319&lt;&gt;"",DB_Customers!T319,""),"")</f>
        <v/>
      </c>
      <c r="N325" s="474">
        <f>IFERROR(IF(DB_Customers!A319&lt;&gt;"",IF(DB_Customers!I319&gt;=10,"Active","Inactive"),""),"")</f>
        <v/>
      </c>
    </row>
    <row r="326" ht="18" customHeight="1" s="341">
      <c r="A326" s="461">
        <f>IF(DB_Customers!A320&lt;&gt;"",317,"")</f>
        <v/>
      </c>
      <c r="B326" s="462">
        <f>IFERROR(IF(DB_Customers!A320&lt;&gt;"",DB_Customers!A320,""),"")</f>
        <v/>
      </c>
      <c r="C326" s="463">
        <f>IFERROR(IF(DB_Customers!D320&lt;&gt;"",DB_Customers!D320,""),"")</f>
        <v/>
      </c>
      <c r="D326" s="464">
        <f>IFERROR(IF(DB_Customers!Q320&lt;&gt;"",DB_Customers!Q320,""),"")</f>
        <v/>
      </c>
      <c r="E326" s="463">
        <f>IFERROR(IF(DB_Customers!R320&lt;&gt;"",DB_Customers!R320,""),"")</f>
        <v/>
      </c>
      <c r="F326" s="463">
        <f>IFERROR(IF(DB_Customers!S320&lt;&gt;"",DB_Customers!S320,""),"")</f>
        <v/>
      </c>
      <c r="G326" s="463">
        <f>IFERROR(IF(DB_Customers!G320&lt;&gt;"",DB_Customers!G320,""),"")</f>
        <v/>
      </c>
      <c r="H326" s="465">
        <f>IFERROR(IF(DB_Customers!H320&lt;&gt;"",DB_Customers!H320,""),"")</f>
        <v/>
      </c>
      <c r="I326" s="466">
        <f>IFERROR(IF(DB_Customers!I320&lt;&gt;"",DB_Customers!I320,""),"")</f>
        <v/>
      </c>
      <c r="J326" s="464">
        <f>IFERROR(IF(DB_Customers!J320&lt;&gt;"",DB_Customers!J320,""),"")</f>
        <v/>
      </c>
      <c r="K326" s="463">
        <f>IFERROR(IF(DB_Customers!E320&lt;&gt;"",DB_Customers!E320,""),"")</f>
        <v/>
      </c>
      <c r="L326" s="463">
        <f>IFERROR(IF(DB_Customers!F320&lt;&gt;"",DB_Customers!F320,""),"")</f>
        <v/>
      </c>
      <c r="M326" s="463">
        <f>IFERROR(IF(DB_Customers!T320&lt;&gt;"",DB_Customers!T320,""),"")</f>
        <v/>
      </c>
      <c r="N326" s="467">
        <f>IFERROR(IF(DB_Customers!A320&lt;&gt;"",IF(DB_Customers!I320&gt;=10,"Active","Inactive"),""),"")</f>
        <v/>
      </c>
    </row>
    <row r="327" ht="18" customHeight="1" s="341">
      <c r="A327" s="468">
        <f>IF(DB_Customers!A321&lt;&gt;"",318,"")</f>
        <v/>
      </c>
      <c r="B327" s="469">
        <f>IFERROR(IF(DB_Customers!A321&lt;&gt;"",DB_Customers!A321,""),"")</f>
        <v/>
      </c>
      <c r="C327" s="470">
        <f>IFERROR(IF(DB_Customers!D321&lt;&gt;"",DB_Customers!D321,""),"")</f>
        <v/>
      </c>
      <c r="D327" s="471">
        <f>IFERROR(IF(DB_Customers!Q321&lt;&gt;"",DB_Customers!Q321,""),"")</f>
        <v/>
      </c>
      <c r="E327" s="470">
        <f>IFERROR(IF(DB_Customers!R321&lt;&gt;"",DB_Customers!R321,""),"")</f>
        <v/>
      </c>
      <c r="F327" s="470">
        <f>IFERROR(IF(DB_Customers!S321&lt;&gt;"",DB_Customers!S321,""),"")</f>
        <v/>
      </c>
      <c r="G327" s="470">
        <f>IFERROR(IF(DB_Customers!G321&lt;&gt;"",DB_Customers!G321,""),"")</f>
        <v/>
      </c>
      <c r="H327" s="472">
        <f>IFERROR(IF(DB_Customers!H321&lt;&gt;"",DB_Customers!H321,""),"")</f>
        <v/>
      </c>
      <c r="I327" s="473">
        <f>IFERROR(IF(DB_Customers!I321&lt;&gt;"",DB_Customers!I321,""),"")</f>
        <v/>
      </c>
      <c r="J327" s="471">
        <f>IFERROR(IF(DB_Customers!J321&lt;&gt;"",DB_Customers!J321,""),"")</f>
        <v/>
      </c>
      <c r="K327" s="470">
        <f>IFERROR(IF(DB_Customers!E321&lt;&gt;"",DB_Customers!E321,""),"")</f>
        <v/>
      </c>
      <c r="L327" s="470">
        <f>IFERROR(IF(DB_Customers!F321&lt;&gt;"",DB_Customers!F321,""),"")</f>
        <v/>
      </c>
      <c r="M327" s="470">
        <f>IFERROR(IF(DB_Customers!T321&lt;&gt;"",DB_Customers!T321,""),"")</f>
        <v/>
      </c>
      <c r="N327" s="474">
        <f>IFERROR(IF(DB_Customers!A321&lt;&gt;"",IF(DB_Customers!I321&gt;=10,"Active","Inactive"),""),"")</f>
        <v/>
      </c>
    </row>
    <row r="328" ht="18" customHeight="1" s="341">
      <c r="A328" s="461">
        <f>IF(DB_Customers!A322&lt;&gt;"",319,"")</f>
        <v/>
      </c>
      <c r="B328" s="462">
        <f>IFERROR(IF(DB_Customers!A322&lt;&gt;"",DB_Customers!A322,""),"")</f>
        <v/>
      </c>
      <c r="C328" s="463">
        <f>IFERROR(IF(DB_Customers!D322&lt;&gt;"",DB_Customers!D322,""),"")</f>
        <v/>
      </c>
      <c r="D328" s="464">
        <f>IFERROR(IF(DB_Customers!Q322&lt;&gt;"",DB_Customers!Q322,""),"")</f>
        <v/>
      </c>
      <c r="E328" s="463">
        <f>IFERROR(IF(DB_Customers!R322&lt;&gt;"",DB_Customers!R322,""),"")</f>
        <v/>
      </c>
      <c r="F328" s="463">
        <f>IFERROR(IF(DB_Customers!S322&lt;&gt;"",DB_Customers!S322,""),"")</f>
        <v/>
      </c>
      <c r="G328" s="463">
        <f>IFERROR(IF(DB_Customers!G322&lt;&gt;"",DB_Customers!G322,""),"")</f>
        <v/>
      </c>
      <c r="H328" s="465">
        <f>IFERROR(IF(DB_Customers!H322&lt;&gt;"",DB_Customers!H322,""),"")</f>
        <v/>
      </c>
      <c r="I328" s="466">
        <f>IFERROR(IF(DB_Customers!I322&lt;&gt;"",DB_Customers!I322,""),"")</f>
        <v/>
      </c>
      <c r="J328" s="464">
        <f>IFERROR(IF(DB_Customers!J322&lt;&gt;"",DB_Customers!J322,""),"")</f>
        <v/>
      </c>
      <c r="K328" s="463">
        <f>IFERROR(IF(DB_Customers!E322&lt;&gt;"",DB_Customers!E322,""),"")</f>
        <v/>
      </c>
      <c r="L328" s="463">
        <f>IFERROR(IF(DB_Customers!F322&lt;&gt;"",DB_Customers!F322,""),"")</f>
        <v/>
      </c>
      <c r="M328" s="463">
        <f>IFERROR(IF(DB_Customers!T322&lt;&gt;"",DB_Customers!T322,""),"")</f>
        <v/>
      </c>
      <c r="N328" s="467">
        <f>IFERROR(IF(DB_Customers!A322&lt;&gt;"",IF(DB_Customers!I322&gt;=10,"Active","Inactive"),""),"")</f>
        <v/>
      </c>
    </row>
    <row r="329" ht="18" customHeight="1" s="341">
      <c r="A329" s="468">
        <f>IF(DB_Customers!A323&lt;&gt;"",320,"")</f>
        <v/>
      </c>
      <c r="B329" s="469">
        <f>IFERROR(IF(DB_Customers!A323&lt;&gt;"",DB_Customers!A323,""),"")</f>
        <v/>
      </c>
      <c r="C329" s="470">
        <f>IFERROR(IF(DB_Customers!D323&lt;&gt;"",DB_Customers!D323,""),"")</f>
        <v/>
      </c>
      <c r="D329" s="471">
        <f>IFERROR(IF(DB_Customers!Q323&lt;&gt;"",DB_Customers!Q323,""),"")</f>
        <v/>
      </c>
      <c r="E329" s="470">
        <f>IFERROR(IF(DB_Customers!R323&lt;&gt;"",DB_Customers!R323,""),"")</f>
        <v/>
      </c>
      <c r="F329" s="470">
        <f>IFERROR(IF(DB_Customers!S323&lt;&gt;"",DB_Customers!S323,""),"")</f>
        <v/>
      </c>
      <c r="G329" s="470">
        <f>IFERROR(IF(DB_Customers!G323&lt;&gt;"",DB_Customers!G323,""),"")</f>
        <v/>
      </c>
      <c r="H329" s="472">
        <f>IFERROR(IF(DB_Customers!H323&lt;&gt;"",DB_Customers!H323,""),"")</f>
        <v/>
      </c>
      <c r="I329" s="473">
        <f>IFERROR(IF(DB_Customers!I323&lt;&gt;"",DB_Customers!I323,""),"")</f>
        <v/>
      </c>
      <c r="J329" s="471">
        <f>IFERROR(IF(DB_Customers!J323&lt;&gt;"",DB_Customers!J323,""),"")</f>
        <v/>
      </c>
      <c r="K329" s="470">
        <f>IFERROR(IF(DB_Customers!E323&lt;&gt;"",DB_Customers!E323,""),"")</f>
        <v/>
      </c>
      <c r="L329" s="470">
        <f>IFERROR(IF(DB_Customers!F323&lt;&gt;"",DB_Customers!F323,""),"")</f>
        <v/>
      </c>
      <c r="M329" s="470">
        <f>IFERROR(IF(DB_Customers!T323&lt;&gt;"",DB_Customers!T323,""),"")</f>
        <v/>
      </c>
      <c r="N329" s="474">
        <f>IFERROR(IF(DB_Customers!A323&lt;&gt;"",IF(DB_Customers!I323&gt;=10,"Active","Inactive"),""),"")</f>
        <v/>
      </c>
    </row>
    <row r="330" ht="18" customHeight="1" s="341">
      <c r="A330" s="461">
        <f>IF(DB_Customers!A324&lt;&gt;"",321,"")</f>
        <v/>
      </c>
      <c r="B330" s="462">
        <f>IFERROR(IF(DB_Customers!A324&lt;&gt;"",DB_Customers!A324,""),"")</f>
        <v/>
      </c>
      <c r="C330" s="463">
        <f>IFERROR(IF(DB_Customers!D324&lt;&gt;"",DB_Customers!D324,""),"")</f>
        <v/>
      </c>
      <c r="D330" s="464">
        <f>IFERROR(IF(DB_Customers!Q324&lt;&gt;"",DB_Customers!Q324,""),"")</f>
        <v/>
      </c>
      <c r="E330" s="463">
        <f>IFERROR(IF(DB_Customers!R324&lt;&gt;"",DB_Customers!R324,""),"")</f>
        <v/>
      </c>
      <c r="F330" s="463">
        <f>IFERROR(IF(DB_Customers!S324&lt;&gt;"",DB_Customers!S324,""),"")</f>
        <v/>
      </c>
      <c r="G330" s="463">
        <f>IFERROR(IF(DB_Customers!G324&lt;&gt;"",DB_Customers!G324,""),"")</f>
        <v/>
      </c>
      <c r="H330" s="465">
        <f>IFERROR(IF(DB_Customers!H324&lt;&gt;"",DB_Customers!H324,""),"")</f>
        <v/>
      </c>
      <c r="I330" s="466">
        <f>IFERROR(IF(DB_Customers!I324&lt;&gt;"",DB_Customers!I324,""),"")</f>
        <v/>
      </c>
      <c r="J330" s="464">
        <f>IFERROR(IF(DB_Customers!J324&lt;&gt;"",DB_Customers!J324,""),"")</f>
        <v/>
      </c>
      <c r="K330" s="463">
        <f>IFERROR(IF(DB_Customers!E324&lt;&gt;"",DB_Customers!E324,""),"")</f>
        <v/>
      </c>
      <c r="L330" s="463">
        <f>IFERROR(IF(DB_Customers!F324&lt;&gt;"",DB_Customers!F324,""),"")</f>
        <v/>
      </c>
      <c r="M330" s="463">
        <f>IFERROR(IF(DB_Customers!T324&lt;&gt;"",DB_Customers!T324,""),"")</f>
        <v/>
      </c>
      <c r="N330" s="467">
        <f>IFERROR(IF(DB_Customers!A324&lt;&gt;"",IF(DB_Customers!I324&gt;=10,"Active","Inactive"),""),"")</f>
        <v/>
      </c>
    </row>
    <row r="331" ht="18" customHeight="1" s="341">
      <c r="A331" s="468">
        <f>IF(DB_Customers!A325&lt;&gt;"",322,"")</f>
        <v/>
      </c>
      <c r="B331" s="469">
        <f>IFERROR(IF(DB_Customers!A325&lt;&gt;"",DB_Customers!A325,""),"")</f>
        <v/>
      </c>
      <c r="C331" s="470">
        <f>IFERROR(IF(DB_Customers!D325&lt;&gt;"",DB_Customers!D325,""),"")</f>
        <v/>
      </c>
      <c r="D331" s="471">
        <f>IFERROR(IF(DB_Customers!Q325&lt;&gt;"",DB_Customers!Q325,""),"")</f>
        <v/>
      </c>
      <c r="E331" s="470">
        <f>IFERROR(IF(DB_Customers!R325&lt;&gt;"",DB_Customers!R325,""),"")</f>
        <v/>
      </c>
      <c r="F331" s="470">
        <f>IFERROR(IF(DB_Customers!S325&lt;&gt;"",DB_Customers!S325,""),"")</f>
        <v/>
      </c>
      <c r="G331" s="470">
        <f>IFERROR(IF(DB_Customers!G325&lt;&gt;"",DB_Customers!G325,""),"")</f>
        <v/>
      </c>
      <c r="H331" s="472">
        <f>IFERROR(IF(DB_Customers!H325&lt;&gt;"",DB_Customers!H325,""),"")</f>
        <v/>
      </c>
      <c r="I331" s="473">
        <f>IFERROR(IF(DB_Customers!I325&lt;&gt;"",DB_Customers!I325,""),"")</f>
        <v/>
      </c>
      <c r="J331" s="471">
        <f>IFERROR(IF(DB_Customers!J325&lt;&gt;"",DB_Customers!J325,""),"")</f>
        <v/>
      </c>
      <c r="K331" s="470">
        <f>IFERROR(IF(DB_Customers!E325&lt;&gt;"",DB_Customers!E325,""),"")</f>
        <v/>
      </c>
      <c r="L331" s="470">
        <f>IFERROR(IF(DB_Customers!F325&lt;&gt;"",DB_Customers!F325,""),"")</f>
        <v/>
      </c>
      <c r="M331" s="470">
        <f>IFERROR(IF(DB_Customers!T325&lt;&gt;"",DB_Customers!T325,""),"")</f>
        <v/>
      </c>
      <c r="N331" s="474">
        <f>IFERROR(IF(DB_Customers!A325&lt;&gt;"",IF(DB_Customers!I325&gt;=10,"Active","Inactive"),""),"")</f>
        <v/>
      </c>
    </row>
    <row r="332" ht="18" customHeight="1" s="341">
      <c r="A332" s="461">
        <f>IF(DB_Customers!A326&lt;&gt;"",323,"")</f>
        <v/>
      </c>
      <c r="B332" s="462">
        <f>IFERROR(IF(DB_Customers!A326&lt;&gt;"",DB_Customers!A326,""),"")</f>
        <v/>
      </c>
      <c r="C332" s="463">
        <f>IFERROR(IF(DB_Customers!D326&lt;&gt;"",DB_Customers!D326,""),"")</f>
        <v/>
      </c>
      <c r="D332" s="464">
        <f>IFERROR(IF(DB_Customers!Q326&lt;&gt;"",DB_Customers!Q326,""),"")</f>
        <v/>
      </c>
      <c r="E332" s="463">
        <f>IFERROR(IF(DB_Customers!R326&lt;&gt;"",DB_Customers!R326,""),"")</f>
        <v/>
      </c>
      <c r="F332" s="463">
        <f>IFERROR(IF(DB_Customers!S326&lt;&gt;"",DB_Customers!S326,""),"")</f>
        <v/>
      </c>
      <c r="G332" s="463">
        <f>IFERROR(IF(DB_Customers!G326&lt;&gt;"",DB_Customers!G326,""),"")</f>
        <v/>
      </c>
      <c r="H332" s="465">
        <f>IFERROR(IF(DB_Customers!H326&lt;&gt;"",DB_Customers!H326,""),"")</f>
        <v/>
      </c>
      <c r="I332" s="466">
        <f>IFERROR(IF(DB_Customers!I326&lt;&gt;"",DB_Customers!I326,""),"")</f>
        <v/>
      </c>
      <c r="J332" s="464">
        <f>IFERROR(IF(DB_Customers!J326&lt;&gt;"",DB_Customers!J326,""),"")</f>
        <v/>
      </c>
      <c r="K332" s="463">
        <f>IFERROR(IF(DB_Customers!E326&lt;&gt;"",DB_Customers!E326,""),"")</f>
        <v/>
      </c>
      <c r="L332" s="463">
        <f>IFERROR(IF(DB_Customers!F326&lt;&gt;"",DB_Customers!F326,""),"")</f>
        <v/>
      </c>
      <c r="M332" s="463">
        <f>IFERROR(IF(DB_Customers!T326&lt;&gt;"",DB_Customers!T326,""),"")</f>
        <v/>
      </c>
      <c r="N332" s="467">
        <f>IFERROR(IF(DB_Customers!A326&lt;&gt;"",IF(DB_Customers!I326&gt;=10,"Active","Inactive"),""),"")</f>
        <v/>
      </c>
    </row>
    <row r="333" ht="18" customHeight="1" s="341">
      <c r="A333" s="468">
        <f>IF(DB_Customers!A327&lt;&gt;"",324,"")</f>
        <v/>
      </c>
      <c r="B333" s="469">
        <f>IFERROR(IF(DB_Customers!A327&lt;&gt;"",DB_Customers!A327,""),"")</f>
        <v/>
      </c>
      <c r="C333" s="470">
        <f>IFERROR(IF(DB_Customers!D327&lt;&gt;"",DB_Customers!D327,""),"")</f>
        <v/>
      </c>
      <c r="D333" s="471">
        <f>IFERROR(IF(DB_Customers!Q327&lt;&gt;"",DB_Customers!Q327,""),"")</f>
        <v/>
      </c>
      <c r="E333" s="470">
        <f>IFERROR(IF(DB_Customers!R327&lt;&gt;"",DB_Customers!R327,""),"")</f>
        <v/>
      </c>
      <c r="F333" s="470">
        <f>IFERROR(IF(DB_Customers!S327&lt;&gt;"",DB_Customers!S327,""),"")</f>
        <v/>
      </c>
      <c r="G333" s="470">
        <f>IFERROR(IF(DB_Customers!G327&lt;&gt;"",DB_Customers!G327,""),"")</f>
        <v/>
      </c>
      <c r="H333" s="472">
        <f>IFERROR(IF(DB_Customers!H327&lt;&gt;"",DB_Customers!H327,""),"")</f>
        <v/>
      </c>
      <c r="I333" s="473">
        <f>IFERROR(IF(DB_Customers!I327&lt;&gt;"",DB_Customers!I327,""),"")</f>
        <v/>
      </c>
      <c r="J333" s="471">
        <f>IFERROR(IF(DB_Customers!J327&lt;&gt;"",DB_Customers!J327,""),"")</f>
        <v/>
      </c>
      <c r="K333" s="470">
        <f>IFERROR(IF(DB_Customers!E327&lt;&gt;"",DB_Customers!E327,""),"")</f>
        <v/>
      </c>
      <c r="L333" s="470">
        <f>IFERROR(IF(DB_Customers!F327&lt;&gt;"",DB_Customers!F327,""),"")</f>
        <v/>
      </c>
      <c r="M333" s="470">
        <f>IFERROR(IF(DB_Customers!T327&lt;&gt;"",DB_Customers!T327,""),"")</f>
        <v/>
      </c>
      <c r="N333" s="474">
        <f>IFERROR(IF(DB_Customers!A327&lt;&gt;"",IF(DB_Customers!I327&gt;=10,"Active","Inactive"),""),"")</f>
        <v/>
      </c>
    </row>
    <row r="334" ht="18" customHeight="1" s="341">
      <c r="A334" s="461">
        <f>IF(DB_Customers!A328&lt;&gt;"",325,"")</f>
        <v/>
      </c>
      <c r="B334" s="462">
        <f>IFERROR(IF(DB_Customers!A328&lt;&gt;"",DB_Customers!A328,""),"")</f>
        <v/>
      </c>
      <c r="C334" s="463">
        <f>IFERROR(IF(DB_Customers!D328&lt;&gt;"",DB_Customers!D328,""),"")</f>
        <v/>
      </c>
      <c r="D334" s="464">
        <f>IFERROR(IF(DB_Customers!Q328&lt;&gt;"",DB_Customers!Q328,""),"")</f>
        <v/>
      </c>
      <c r="E334" s="463">
        <f>IFERROR(IF(DB_Customers!R328&lt;&gt;"",DB_Customers!R328,""),"")</f>
        <v/>
      </c>
      <c r="F334" s="463">
        <f>IFERROR(IF(DB_Customers!S328&lt;&gt;"",DB_Customers!S328,""),"")</f>
        <v/>
      </c>
      <c r="G334" s="463">
        <f>IFERROR(IF(DB_Customers!G328&lt;&gt;"",DB_Customers!G328,""),"")</f>
        <v/>
      </c>
      <c r="H334" s="465">
        <f>IFERROR(IF(DB_Customers!H328&lt;&gt;"",DB_Customers!H328,""),"")</f>
        <v/>
      </c>
      <c r="I334" s="466">
        <f>IFERROR(IF(DB_Customers!I328&lt;&gt;"",DB_Customers!I328,""),"")</f>
        <v/>
      </c>
      <c r="J334" s="464">
        <f>IFERROR(IF(DB_Customers!J328&lt;&gt;"",DB_Customers!J328,""),"")</f>
        <v/>
      </c>
      <c r="K334" s="463">
        <f>IFERROR(IF(DB_Customers!E328&lt;&gt;"",DB_Customers!E328,""),"")</f>
        <v/>
      </c>
      <c r="L334" s="463">
        <f>IFERROR(IF(DB_Customers!F328&lt;&gt;"",DB_Customers!F328,""),"")</f>
        <v/>
      </c>
      <c r="M334" s="463">
        <f>IFERROR(IF(DB_Customers!T328&lt;&gt;"",DB_Customers!T328,""),"")</f>
        <v/>
      </c>
      <c r="N334" s="467">
        <f>IFERROR(IF(DB_Customers!A328&lt;&gt;"",IF(DB_Customers!I328&gt;=10,"Active","Inactive"),""),"")</f>
        <v/>
      </c>
    </row>
    <row r="335" ht="18" customHeight="1" s="341">
      <c r="A335" s="468">
        <f>IF(DB_Customers!A329&lt;&gt;"",326,"")</f>
        <v/>
      </c>
      <c r="B335" s="469">
        <f>IFERROR(IF(DB_Customers!A329&lt;&gt;"",DB_Customers!A329,""),"")</f>
        <v/>
      </c>
      <c r="C335" s="470">
        <f>IFERROR(IF(DB_Customers!D329&lt;&gt;"",DB_Customers!D329,""),"")</f>
        <v/>
      </c>
      <c r="D335" s="471">
        <f>IFERROR(IF(DB_Customers!Q329&lt;&gt;"",DB_Customers!Q329,""),"")</f>
        <v/>
      </c>
      <c r="E335" s="470">
        <f>IFERROR(IF(DB_Customers!R329&lt;&gt;"",DB_Customers!R329,""),"")</f>
        <v/>
      </c>
      <c r="F335" s="470">
        <f>IFERROR(IF(DB_Customers!S329&lt;&gt;"",DB_Customers!S329,""),"")</f>
        <v/>
      </c>
      <c r="G335" s="470">
        <f>IFERROR(IF(DB_Customers!G329&lt;&gt;"",DB_Customers!G329,""),"")</f>
        <v/>
      </c>
      <c r="H335" s="472">
        <f>IFERROR(IF(DB_Customers!H329&lt;&gt;"",DB_Customers!H329,""),"")</f>
        <v/>
      </c>
      <c r="I335" s="473">
        <f>IFERROR(IF(DB_Customers!I329&lt;&gt;"",DB_Customers!I329,""),"")</f>
        <v/>
      </c>
      <c r="J335" s="471">
        <f>IFERROR(IF(DB_Customers!J329&lt;&gt;"",DB_Customers!J329,""),"")</f>
        <v/>
      </c>
      <c r="K335" s="470">
        <f>IFERROR(IF(DB_Customers!E329&lt;&gt;"",DB_Customers!E329,""),"")</f>
        <v/>
      </c>
      <c r="L335" s="470">
        <f>IFERROR(IF(DB_Customers!F329&lt;&gt;"",DB_Customers!F329,""),"")</f>
        <v/>
      </c>
      <c r="M335" s="470">
        <f>IFERROR(IF(DB_Customers!T329&lt;&gt;"",DB_Customers!T329,""),"")</f>
        <v/>
      </c>
      <c r="N335" s="474">
        <f>IFERROR(IF(DB_Customers!A329&lt;&gt;"",IF(DB_Customers!I329&gt;=10,"Active","Inactive"),""),"")</f>
        <v/>
      </c>
    </row>
    <row r="336" ht="18" customHeight="1" s="341">
      <c r="A336" s="461">
        <f>IF(DB_Customers!A330&lt;&gt;"",327,"")</f>
        <v/>
      </c>
      <c r="B336" s="462">
        <f>IFERROR(IF(DB_Customers!A330&lt;&gt;"",DB_Customers!A330,""),"")</f>
        <v/>
      </c>
      <c r="C336" s="463">
        <f>IFERROR(IF(DB_Customers!D330&lt;&gt;"",DB_Customers!D330,""),"")</f>
        <v/>
      </c>
      <c r="D336" s="464">
        <f>IFERROR(IF(DB_Customers!Q330&lt;&gt;"",DB_Customers!Q330,""),"")</f>
        <v/>
      </c>
      <c r="E336" s="463">
        <f>IFERROR(IF(DB_Customers!R330&lt;&gt;"",DB_Customers!R330,""),"")</f>
        <v/>
      </c>
      <c r="F336" s="463">
        <f>IFERROR(IF(DB_Customers!S330&lt;&gt;"",DB_Customers!S330,""),"")</f>
        <v/>
      </c>
      <c r="G336" s="463">
        <f>IFERROR(IF(DB_Customers!G330&lt;&gt;"",DB_Customers!G330,""),"")</f>
        <v/>
      </c>
      <c r="H336" s="465">
        <f>IFERROR(IF(DB_Customers!H330&lt;&gt;"",DB_Customers!H330,""),"")</f>
        <v/>
      </c>
      <c r="I336" s="466">
        <f>IFERROR(IF(DB_Customers!I330&lt;&gt;"",DB_Customers!I330,""),"")</f>
        <v/>
      </c>
      <c r="J336" s="464">
        <f>IFERROR(IF(DB_Customers!J330&lt;&gt;"",DB_Customers!J330,""),"")</f>
        <v/>
      </c>
      <c r="K336" s="463">
        <f>IFERROR(IF(DB_Customers!E330&lt;&gt;"",DB_Customers!E330,""),"")</f>
        <v/>
      </c>
      <c r="L336" s="463">
        <f>IFERROR(IF(DB_Customers!F330&lt;&gt;"",DB_Customers!F330,""),"")</f>
        <v/>
      </c>
      <c r="M336" s="463">
        <f>IFERROR(IF(DB_Customers!T330&lt;&gt;"",DB_Customers!T330,""),"")</f>
        <v/>
      </c>
      <c r="N336" s="467">
        <f>IFERROR(IF(DB_Customers!A330&lt;&gt;"",IF(DB_Customers!I330&gt;=10,"Active","Inactive"),""),"")</f>
        <v/>
      </c>
    </row>
    <row r="337" ht="18" customHeight="1" s="341">
      <c r="A337" s="468">
        <f>IF(DB_Customers!A331&lt;&gt;"",328,"")</f>
        <v/>
      </c>
      <c r="B337" s="469">
        <f>IFERROR(IF(DB_Customers!A331&lt;&gt;"",DB_Customers!A331,""),"")</f>
        <v/>
      </c>
      <c r="C337" s="470">
        <f>IFERROR(IF(DB_Customers!D331&lt;&gt;"",DB_Customers!D331,""),"")</f>
        <v/>
      </c>
      <c r="D337" s="471">
        <f>IFERROR(IF(DB_Customers!Q331&lt;&gt;"",DB_Customers!Q331,""),"")</f>
        <v/>
      </c>
      <c r="E337" s="470">
        <f>IFERROR(IF(DB_Customers!R331&lt;&gt;"",DB_Customers!R331,""),"")</f>
        <v/>
      </c>
      <c r="F337" s="470">
        <f>IFERROR(IF(DB_Customers!S331&lt;&gt;"",DB_Customers!S331,""),"")</f>
        <v/>
      </c>
      <c r="G337" s="470">
        <f>IFERROR(IF(DB_Customers!G331&lt;&gt;"",DB_Customers!G331,""),"")</f>
        <v/>
      </c>
      <c r="H337" s="472">
        <f>IFERROR(IF(DB_Customers!H331&lt;&gt;"",DB_Customers!H331,""),"")</f>
        <v/>
      </c>
      <c r="I337" s="473">
        <f>IFERROR(IF(DB_Customers!I331&lt;&gt;"",DB_Customers!I331,""),"")</f>
        <v/>
      </c>
      <c r="J337" s="471">
        <f>IFERROR(IF(DB_Customers!J331&lt;&gt;"",DB_Customers!J331,""),"")</f>
        <v/>
      </c>
      <c r="K337" s="470">
        <f>IFERROR(IF(DB_Customers!E331&lt;&gt;"",DB_Customers!E331,""),"")</f>
        <v/>
      </c>
      <c r="L337" s="470">
        <f>IFERROR(IF(DB_Customers!F331&lt;&gt;"",DB_Customers!F331,""),"")</f>
        <v/>
      </c>
      <c r="M337" s="470">
        <f>IFERROR(IF(DB_Customers!T331&lt;&gt;"",DB_Customers!T331,""),"")</f>
        <v/>
      </c>
      <c r="N337" s="474">
        <f>IFERROR(IF(DB_Customers!A331&lt;&gt;"",IF(DB_Customers!I331&gt;=10,"Active","Inactive"),""),"")</f>
        <v/>
      </c>
    </row>
    <row r="338" ht="18" customHeight="1" s="341">
      <c r="A338" s="461">
        <f>IF(DB_Customers!A332&lt;&gt;"",329,"")</f>
        <v/>
      </c>
      <c r="B338" s="462">
        <f>IFERROR(IF(DB_Customers!A332&lt;&gt;"",DB_Customers!A332,""),"")</f>
        <v/>
      </c>
      <c r="C338" s="463">
        <f>IFERROR(IF(DB_Customers!D332&lt;&gt;"",DB_Customers!D332,""),"")</f>
        <v/>
      </c>
      <c r="D338" s="464">
        <f>IFERROR(IF(DB_Customers!Q332&lt;&gt;"",DB_Customers!Q332,""),"")</f>
        <v/>
      </c>
      <c r="E338" s="463">
        <f>IFERROR(IF(DB_Customers!R332&lt;&gt;"",DB_Customers!R332,""),"")</f>
        <v/>
      </c>
      <c r="F338" s="463">
        <f>IFERROR(IF(DB_Customers!S332&lt;&gt;"",DB_Customers!S332,""),"")</f>
        <v/>
      </c>
      <c r="G338" s="463">
        <f>IFERROR(IF(DB_Customers!G332&lt;&gt;"",DB_Customers!G332,""),"")</f>
        <v/>
      </c>
      <c r="H338" s="465">
        <f>IFERROR(IF(DB_Customers!H332&lt;&gt;"",DB_Customers!H332,""),"")</f>
        <v/>
      </c>
      <c r="I338" s="466">
        <f>IFERROR(IF(DB_Customers!I332&lt;&gt;"",DB_Customers!I332,""),"")</f>
        <v/>
      </c>
      <c r="J338" s="464">
        <f>IFERROR(IF(DB_Customers!J332&lt;&gt;"",DB_Customers!J332,""),"")</f>
        <v/>
      </c>
      <c r="K338" s="463">
        <f>IFERROR(IF(DB_Customers!E332&lt;&gt;"",DB_Customers!E332,""),"")</f>
        <v/>
      </c>
      <c r="L338" s="463">
        <f>IFERROR(IF(DB_Customers!F332&lt;&gt;"",DB_Customers!F332,""),"")</f>
        <v/>
      </c>
      <c r="M338" s="463">
        <f>IFERROR(IF(DB_Customers!T332&lt;&gt;"",DB_Customers!T332,""),"")</f>
        <v/>
      </c>
      <c r="N338" s="467">
        <f>IFERROR(IF(DB_Customers!A332&lt;&gt;"",IF(DB_Customers!I332&gt;=10,"Active","Inactive"),""),"")</f>
        <v/>
      </c>
    </row>
    <row r="339" ht="18" customHeight="1" s="341">
      <c r="A339" s="468">
        <f>IF(DB_Customers!A333&lt;&gt;"",330,"")</f>
        <v/>
      </c>
      <c r="B339" s="469">
        <f>IFERROR(IF(DB_Customers!A333&lt;&gt;"",DB_Customers!A333,""),"")</f>
        <v/>
      </c>
      <c r="C339" s="470">
        <f>IFERROR(IF(DB_Customers!D333&lt;&gt;"",DB_Customers!D333,""),"")</f>
        <v/>
      </c>
      <c r="D339" s="471">
        <f>IFERROR(IF(DB_Customers!Q333&lt;&gt;"",DB_Customers!Q333,""),"")</f>
        <v/>
      </c>
      <c r="E339" s="470">
        <f>IFERROR(IF(DB_Customers!R333&lt;&gt;"",DB_Customers!R333,""),"")</f>
        <v/>
      </c>
      <c r="F339" s="470">
        <f>IFERROR(IF(DB_Customers!S333&lt;&gt;"",DB_Customers!S333,""),"")</f>
        <v/>
      </c>
      <c r="G339" s="470">
        <f>IFERROR(IF(DB_Customers!G333&lt;&gt;"",DB_Customers!G333,""),"")</f>
        <v/>
      </c>
      <c r="H339" s="472">
        <f>IFERROR(IF(DB_Customers!H333&lt;&gt;"",DB_Customers!H333,""),"")</f>
        <v/>
      </c>
      <c r="I339" s="473">
        <f>IFERROR(IF(DB_Customers!I333&lt;&gt;"",DB_Customers!I333,""),"")</f>
        <v/>
      </c>
      <c r="J339" s="471">
        <f>IFERROR(IF(DB_Customers!J333&lt;&gt;"",DB_Customers!J333,""),"")</f>
        <v/>
      </c>
      <c r="K339" s="470">
        <f>IFERROR(IF(DB_Customers!E333&lt;&gt;"",DB_Customers!E333,""),"")</f>
        <v/>
      </c>
      <c r="L339" s="470">
        <f>IFERROR(IF(DB_Customers!F333&lt;&gt;"",DB_Customers!F333,""),"")</f>
        <v/>
      </c>
      <c r="M339" s="470">
        <f>IFERROR(IF(DB_Customers!T333&lt;&gt;"",DB_Customers!T333,""),"")</f>
        <v/>
      </c>
      <c r="N339" s="474">
        <f>IFERROR(IF(DB_Customers!A333&lt;&gt;"",IF(DB_Customers!I333&gt;=10,"Active","Inactive"),""),"")</f>
        <v/>
      </c>
    </row>
    <row r="340" ht="18" customHeight="1" s="341">
      <c r="A340" s="461">
        <f>IF(DB_Customers!A334&lt;&gt;"",331,"")</f>
        <v/>
      </c>
      <c r="B340" s="462">
        <f>IFERROR(IF(DB_Customers!A334&lt;&gt;"",DB_Customers!A334,""),"")</f>
        <v/>
      </c>
      <c r="C340" s="463">
        <f>IFERROR(IF(DB_Customers!D334&lt;&gt;"",DB_Customers!D334,""),"")</f>
        <v/>
      </c>
      <c r="D340" s="464">
        <f>IFERROR(IF(DB_Customers!Q334&lt;&gt;"",DB_Customers!Q334,""),"")</f>
        <v/>
      </c>
      <c r="E340" s="463">
        <f>IFERROR(IF(DB_Customers!R334&lt;&gt;"",DB_Customers!R334,""),"")</f>
        <v/>
      </c>
      <c r="F340" s="463">
        <f>IFERROR(IF(DB_Customers!S334&lt;&gt;"",DB_Customers!S334,""),"")</f>
        <v/>
      </c>
      <c r="G340" s="463">
        <f>IFERROR(IF(DB_Customers!G334&lt;&gt;"",DB_Customers!G334,""),"")</f>
        <v/>
      </c>
      <c r="H340" s="465">
        <f>IFERROR(IF(DB_Customers!H334&lt;&gt;"",DB_Customers!H334,""),"")</f>
        <v/>
      </c>
      <c r="I340" s="466">
        <f>IFERROR(IF(DB_Customers!I334&lt;&gt;"",DB_Customers!I334,""),"")</f>
        <v/>
      </c>
      <c r="J340" s="464">
        <f>IFERROR(IF(DB_Customers!J334&lt;&gt;"",DB_Customers!J334,""),"")</f>
        <v/>
      </c>
      <c r="K340" s="463">
        <f>IFERROR(IF(DB_Customers!E334&lt;&gt;"",DB_Customers!E334,""),"")</f>
        <v/>
      </c>
      <c r="L340" s="463">
        <f>IFERROR(IF(DB_Customers!F334&lt;&gt;"",DB_Customers!F334,""),"")</f>
        <v/>
      </c>
      <c r="M340" s="463">
        <f>IFERROR(IF(DB_Customers!T334&lt;&gt;"",DB_Customers!T334,""),"")</f>
        <v/>
      </c>
      <c r="N340" s="467">
        <f>IFERROR(IF(DB_Customers!A334&lt;&gt;"",IF(DB_Customers!I334&gt;=10,"Active","Inactive"),""),"")</f>
        <v/>
      </c>
    </row>
    <row r="341" ht="18" customHeight="1" s="341">
      <c r="A341" s="468">
        <f>IF(DB_Customers!A335&lt;&gt;"",332,"")</f>
        <v/>
      </c>
      <c r="B341" s="469">
        <f>IFERROR(IF(DB_Customers!A335&lt;&gt;"",DB_Customers!A335,""),"")</f>
        <v/>
      </c>
      <c r="C341" s="470">
        <f>IFERROR(IF(DB_Customers!D335&lt;&gt;"",DB_Customers!D335,""),"")</f>
        <v/>
      </c>
      <c r="D341" s="471">
        <f>IFERROR(IF(DB_Customers!Q335&lt;&gt;"",DB_Customers!Q335,""),"")</f>
        <v/>
      </c>
      <c r="E341" s="470">
        <f>IFERROR(IF(DB_Customers!R335&lt;&gt;"",DB_Customers!R335,""),"")</f>
        <v/>
      </c>
      <c r="F341" s="470">
        <f>IFERROR(IF(DB_Customers!S335&lt;&gt;"",DB_Customers!S335,""),"")</f>
        <v/>
      </c>
      <c r="G341" s="470">
        <f>IFERROR(IF(DB_Customers!G335&lt;&gt;"",DB_Customers!G335,""),"")</f>
        <v/>
      </c>
      <c r="H341" s="472">
        <f>IFERROR(IF(DB_Customers!H335&lt;&gt;"",DB_Customers!H335,""),"")</f>
        <v/>
      </c>
      <c r="I341" s="473">
        <f>IFERROR(IF(DB_Customers!I335&lt;&gt;"",DB_Customers!I335,""),"")</f>
        <v/>
      </c>
      <c r="J341" s="471">
        <f>IFERROR(IF(DB_Customers!J335&lt;&gt;"",DB_Customers!J335,""),"")</f>
        <v/>
      </c>
      <c r="K341" s="470">
        <f>IFERROR(IF(DB_Customers!E335&lt;&gt;"",DB_Customers!E335,""),"")</f>
        <v/>
      </c>
      <c r="L341" s="470">
        <f>IFERROR(IF(DB_Customers!F335&lt;&gt;"",DB_Customers!F335,""),"")</f>
        <v/>
      </c>
      <c r="M341" s="470">
        <f>IFERROR(IF(DB_Customers!T335&lt;&gt;"",DB_Customers!T335,""),"")</f>
        <v/>
      </c>
      <c r="N341" s="474">
        <f>IFERROR(IF(DB_Customers!A335&lt;&gt;"",IF(DB_Customers!I335&gt;=10,"Active","Inactive"),""),"")</f>
        <v/>
      </c>
    </row>
    <row r="342" ht="18" customHeight="1" s="341">
      <c r="A342" s="461">
        <f>IF(DB_Customers!A336&lt;&gt;"",333,"")</f>
        <v/>
      </c>
      <c r="B342" s="462">
        <f>IFERROR(IF(DB_Customers!A336&lt;&gt;"",DB_Customers!A336,""),"")</f>
        <v/>
      </c>
      <c r="C342" s="463">
        <f>IFERROR(IF(DB_Customers!D336&lt;&gt;"",DB_Customers!D336,""),"")</f>
        <v/>
      </c>
      <c r="D342" s="464">
        <f>IFERROR(IF(DB_Customers!Q336&lt;&gt;"",DB_Customers!Q336,""),"")</f>
        <v/>
      </c>
      <c r="E342" s="463">
        <f>IFERROR(IF(DB_Customers!R336&lt;&gt;"",DB_Customers!R336,""),"")</f>
        <v/>
      </c>
      <c r="F342" s="463">
        <f>IFERROR(IF(DB_Customers!S336&lt;&gt;"",DB_Customers!S336,""),"")</f>
        <v/>
      </c>
      <c r="G342" s="463">
        <f>IFERROR(IF(DB_Customers!G336&lt;&gt;"",DB_Customers!G336,""),"")</f>
        <v/>
      </c>
      <c r="H342" s="465">
        <f>IFERROR(IF(DB_Customers!H336&lt;&gt;"",DB_Customers!H336,""),"")</f>
        <v/>
      </c>
      <c r="I342" s="466">
        <f>IFERROR(IF(DB_Customers!I336&lt;&gt;"",DB_Customers!I336,""),"")</f>
        <v/>
      </c>
      <c r="J342" s="464">
        <f>IFERROR(IF(DB_Customers!J336&lt;&gt;"",DB_Customers!J336,""),"")</f>
        <v/>
      </c>
      <c r="K342" s="463">
        <f>IFERROR(IF(DB_Customers!E336&lt;&gt;"",DB_Customers!E336,""),"")</f>
        <v/>
      </c>
      <c r="L342" s="463">
        <f>IFERROR(IF(DB_Customers!F336&lt;&gt;"",DB_Customers!F336,""),"")</f>
        <v/>
      </c>
      <c r="M342" s="463">
        <f>IFERROR(IF(DB_Customers!T336&lt;&gt;"",DB_Customers!T336,""),"")</f>
        <v/>
      </c>
      <c r="N342" s="467">
        <f>IFERROR(IF(DB_Customers!A336&lt;&gt;"",IF(DB_Customers!I336&gt;=10,"Active","Inactive"),""),"")</f>
        <v/>
      </c>
    </row>
    <row r="343" ht="18" customHeight="1" s="341">
      <c r="A343" s="468">
        <f>IF(DB_Customers!A337&lt;&gt;"",334,"")</f>
        <v/>
      </c>
      <c r="B343" s="469">
        <f>IFERROR(IF(DB_Customers!A337&lt;&gt;"",DB_Customers!A337,""),"")</f>
        <v/>
      </c>
      <c r="C343" s="470">
        <f>IFERROR(IF(DB_Customers!D337&lt;&gt;"",DB_Customers!D337,""),"")</f>
        <v/>
      </c>
      <c r="D343" s="471">
        <f>IFERROR(IF(DB_Customers!Q337&lt;&gt;"",DB_Customers!Q337,""),"")</f>
        <v/>
      </c>
      <c r="E343" s="470">
        <f>IFERROR(IF(DB_Customers!R337&lt;&gt;"",DB_Customers!R337,""),"")</f>
        <v/>
      </c>
      <c r="F343" s="470">
        <f>IFERROR(IF(DB_Customers!S337&lt;&gt;"",DB_Customers!S337,""),"")</f>
        <v/>
      </c>
      <c r="G343" s="470">
        <f>IFERROR(IF(DB_Customers!G337&lt;&gt;"",DB_Customers!G337,""),"")</f>
        <v/>
      </c>
      <c r="H343" s="472">
        <f>IFERROR(IF(DB_Customers!H337&lt;&gt;"",DB_Customers!H337,""),"")</f>
        <v/>
      </c>
      <c r="I343" s="473">
        <f>IFERROR(IF(DB_Customers!I337&lt;&gt;"",DB_Customers!I337,""),"")</f>
        <v/>
      </c>
      <c r="J343" s="471">
        <f>IFERROR(IF(DB_Customers!J337&lt;&gt;"",DB_Customers!J337,""),"")</f>
        <v/>
      </c>
      <c r="K343" s="470">
        <f>IFERROR(IF(DB_Customers!E337&lt;&gt;"",DB_Customers!E337,""),"")</f>
        <v/>
      </c>
      <c r="L343" s="470">
        <f>IFERROR(IF(DB_Customers!F337&lt;&gt;"",DB_Customers!F337,""),"")</f>
        <v/>
      </c>
      <c r="M343" s="470">
        <f>IFERROR(IF(DB_Customers!T337&lt;&gt;"",DB_Customers!T337,""),"")</f>
        <v/>
      </c>
      <c r="N343" s="474">
        <f>IFERROR(IF(DB_Customers!A337&lt;&gt;"",IF(DB_Customers!I337&gt;=10,"Active","Inactive"),""),"")</f>
        <v/>
      </c>
    </row>
    <row r="344" ht="18" customHeight="1" s="341">
      <c r="A344" s="461">
        <f>IF(DB_Customers!A338&lt;&gt;"",335,"")</f>
        <v/>
      </c>
      <c r="B344" s="462">
        <f>IFERROR(IF(DB_Customers!A338&lt;&gt;"",DB_Customers!A338,""),"")</f>
        <v/>
      </c>
      <c r="C344" s="463">
        <f>IFERROR(IF(DB_Customers!D338&lt;&gt;"",DB_Customers!D338,""),"")</f>
        <v/>
      </c>
      <c r="D344" s="464">
        <f>IFERROR(IF(DB_Customers!Q338&lt;&gt;"",DB_Customers!Q338,""),"")</f>
        <v/>
      </c>
      <c r="E344" s="463">
        <f>IFERROR(IF(DB_Customers!R338&lt;&gt;"",DB_Customers!R338,""),"")</f>
        <v/>
      </c>
      <c r="F344" s="463">
        <f>IFERROR(IF(DB_Customers!S338&lt;&gt;"",DB_Customers!S338,""),"")</f>
        <v/>
      </c>
      <c r="G344" s="463">
        <f>IFERROR(IF(DB_Customers!G338&lt;&gt;"",DB_Customers!G338,""),"")</f>
        <v/>
      </c>
      <c r="H344" s="465">
        <f>IFERROR(IF(DB_Customers!H338&lt;&gt;"",DB_Customers!H338,""),"")</f>
        <v/>
      </c>
      <c r="I344" s="466">
        <f>IFERROR(IF(DB_Customers!I338&lt;&gt;"",DB_Customers!I338,""),"")</f>
        <v/>
      </c>
      <c r="J344" s="464">
        <f>IFERROR(IF(DB_Customers!J338&lt;&gt;"",DB_Customers!J338,""),"")</f>
        <v/>
      </c>
      <c r="K344" s="463">
        <f>IFERROR(IF(DB_Customers!E338&lt;&gt;"",DB_Customers!E338,""),"")</f>
        <v/>
      </c>
      <c r="L344" s="463">
        <f>IFERROR(IF(DB_Customers!F338&lt;&gt;"",DB_Customers!F338,""),"")</f>
        <v/>
      </c>
      <c r="M344" s="463">
        <f>IFERROR(IF(DB_Customers!T338&lt;&gt;"",DB_Customers!T338,""),"")</f>
        <v/>
      </c>
      <c r="N344" s="467">
        <f>IFERROR(IF(DB_Customers!A338&lt;&gt;"",IF(DB_Customers!I338&gt;=10,"Active","Inactive"),""),"")</f>
        <v/>
      </c>
    </row>
    <row r="345" ht="18" customHeight="1" s="341">
      <c r="A345" s="468">
        <f>IF(DB_Customers!A339&lt;&gt;"",336,"")</f>
        <v/>
      </c>
      <c r="B345" s="469">
        <f>IFERROR(IF(DB_Customers!A339&lt;&gt;"",DB_Customers!A339,""),"")</f>
        <v/>
      </c>
      <c r="C345" s="470">
        <f>IFERROR(IF(DB_Customers!D339&lt;&gt;"",DB_Customers!D339,""),"")</f>
        <v/>
      </c>
      <c r="D345" s="471">
        <f>IFERROR(IF(DB_Customers!Q339&lt;&gt;"",DB_Customers!Q339,""),"")</f>
        <v/>
      </c>
      <c r="E345" s="470">
        <f>IFERROR(IF(DB_Customers!R339&lt;&gt;"",DB_Customers!R339,""),"")</f>
        <v/>
      </c>
      <c r="F345" s="470">
        <f>IFERROR(IF(DB_Customers!S339&lt;&gt;"",DB_Customers!S339,""),"")</f>
        <v/>
      </c>
      <c r="G345" s="470">
        <f>IFERROR(IF(DB_Customers!G339&lt;&gt;"",DB_Customers!G339,""),"")</f>
        <v/>
      </c>
      <c r="H345" s="472">
        <f>IFERROR(IF(DB_Customers!H339&lt;&gt;"",DB_Customers!H339,""),"")</f>
        <v/>
      </c>
      <c r="I345" s="473">
        <f>IFERROR(IF(DB_Customers!I339&lt;&gt;"",DB_Customers!I339,""),"")</f>
        <v/>
      </c>
      <c r="J345" s="471">
        <f>IFERROR(IF(DB_Customers!J339&lt;&gt;"",DB_Customers!J339,""),"")</f>
        <v/>
      </c>
      <c r="K345" s="470">
        <f>IFERROR(IF(DB_Customers!E339&lt;&gt;"",DB_Customers!E339,""),"")</f>
        <v/>
      </c>
      <c r="L345" s="470">
        <f>IFERROR(IF(DB_Customers!F339&lt;&gt;"",DB_Customers!F339,""),"")</f>
        <v/>
      </c>
      <c r="M345" s="470">
        <f>IFERROR(IF(DB_Customers!T339&lt;&gt;"",DB_Customers!T339,""),"")</f>
        <v/>
      </c>
      <c r="N345" s="474">
        <f>IFERROR(IF(DB_Customers!A339&lt;&gt;"",IF(DB_Customers!I339&gt;=10,"Active","Inactive"),""),"")</f>
        <v/>
      </c>
    </row>
    <row r="346" ht="18" customHeight="1" s="341">
      <c r="A346" s="461">
        <f>IF(DB_Customers!A340&lt;&gt;"",337,"")</f>
        <v/>
      </c>
      <c r="B346" s="462">
        <f>IFERROR(IF(DB_Customers!A340&lt;&gt;"",DB_Customers!A340,""),"")</f>
        <v/>
      </c>
      <c r="C346" s="463">
        <f>IFERROR(IF(DB_Customers!D340&lt;&gt;"",DB_Customers!D340,""),"")</f>
        <v/>
      </c>
      <c r="D346" s="464">
        <f>IFERROR(IF(DB_Customers!Q340&lt;&gt;"",DB_Customers!Q340,""),"")</f>
        <v/>
      </c>
      <c r="E346" s="463">
        <f>IFERROR(IF(DB_Customers!R340&lt;&gt;"",DB_Customers!R340,""),"")</f>
        <v/>
      </c>
      <c r="F346" s="463">
        <f>IFERROR(IF(DB_Customers!S340&lt;&gt;"",DB_Customers!S340,""),"")</f>
        <v/>
      </c>
      <c r="G346" s="463">
        <f>IFERROR(IF(DB_Customers!G340&lt;&gt;"",DB_Customers!G340,""),"")</f>
        <v/>
      </c>
      <c r="H346" s="465">
        <f>IFERROR(IF(DB_Customers!H340&lt;&gt;"",DB_Customers!H340,""),"")</f>
        <v/>
      </c>
      <c r="I346" s="466">
        <f>IFERROR(IF(DB_Customers!I340&lt;&gt;"",DB_Customers!I340,""),"")</f>
        <v/>
      </c>
      <c r="J346" s="464">
        <f>IFERROR(IF(DB_Customers!J340&lt;&gt;"",DB_Customers!J340,""),"")</f>
        <v/>
      </c>
      <c r="K346" s="463">
        <f>IFERROR(IF(DB_Customers!E340&lt;&gt;"",DB_Customers!E340,""),"")</f>
        <v/>
      </c>
      <c r="L346" s="463">
        <f>IFERROR(IF(DB_Customers!F340&lt;&gt;"",DB_Customers!F340,""),"")</f>
        <v/>
      </c>
      <c r="M346" s="463">
        <f>IFERROR(IF(DB_Customers!T340&lt;&gt;"",DB_Customers!T340,""),"")</f>
        <v/>
      </c>
      <c r="N346" s="467">
        <f>IFERROR(IF(DB_Customers!A340&lt;&gt;"",IF(DB_Customers!I340&gt;=10,"Active","Inactive"),""),"")</f>
        <v/>
      </c>
    </row>
    <row r="347" ht="18" customHeight="1" s="341">
      <c r="A347" s="468">
        <f>IF(DB_Customers!A341&lt;&gt;"",338,"")</f>
        <v/>
      </c>
      <c r="B347" s="469">
        <f>IFERROR(IF(DB_Customers!A341&lt;&gt;"",DB_Customers!A341,""),"")</f>
        <v/>
      </c>
      <c r="C347" s="470">
        <f>IFERROR(IF(DB_Customers!D341&lt;&gt;"",DB_Customers!D341,""),"")</f>
        <v/>
      </c>
      <c r="D347" s="471">
        <f>IFERROR(IF(DB_Customers!Q341&lt;&gt;"",DB_Customers!Q341,""),"")</f>
        <v/>
      </c>
      <c r="E347" s="470">
        <f>IFERROR(IF(DB_Customers!R341&lt;&gt;"",DB_Customers!R341,""),"")</f>
        <v/>
      </c>
      <c r="F347" s="470">
        <f>IFERROR(IF(DB_Customers!S341&lt;&gt;"",DB_Customers!S341,""),"")</f>
        <v/>
      </c>
      <c r="G347" s="470">
        <f>IFERROR(IF(DB_Customers!G341&lt;&gt;"",DB_Customers!G341,""),"")</f>
        <v/>
      </c>
      <c r="H347" s="472">
        <f>IFERROR(IF(DB_Customers!H341&lt;&gt;"",DB_Customers!H341,""),"")</f>
        <v/>
      </c>
      <c r="I347" s="473">
        <f>IFERROR(IF(DB_Customers!I341&lt;&gt;"",DB_Customers!I341,""),"")</f>
        <v/>
      </c>
      <c r="J347" s="471">
        <f>IFERROR(IF(DB_Customers!J341&lt;&gt;"",DB_Customers!J341,""),"")</f>
        <v/>
      </c>
      <c r="K347" s="470">
        <f>IFERROR(IF(DB_Customers!E341&lt;&gt;"",DB_Customers!E341,""),"")</f>
        <v/>
      </c>
      <c r="L347" s="470">
        <f>IFERROR(IF(DB_Customers!F341&lt;&gt;"",DB_Customers!F341,""),"")</f>
        <v/>
      </c>
      <c r="M347" s="470">
        <f>IFERROR(IF(DB_Customers!T341&lt;&gt;"",DB_Customers!T341,""),"")</f>
        <v/>
      </c>
      <c r="N347" s="474">
        <f>IFERROR(IF(DB_Customers!A341&lt;&gt;"",IF(DB_Customers!I341&gt;=10,"Active","Inactive"),""),"")</f>
        <v/>
      </c>
    </row>
    <row r="348" ht="18" customHeight="1" s="341">
      <c r="A348" s="461">
        <f>IF(DB_Customers!A342&lt;&gt;"",339,"")</f>
        <v/>
      </c>
      <c r="B348" s="462">
        <f>IFERROR(IF(DB_Customers!A342&lt;&gt;"",DB_Customers!A342,""),"")</f>
        <v/>
      </c>
      <c r="C348" s="463">
        <f>IFERROR(IF(DB_Customers!D342&lt;&gt;"",DB_Customers!D342,""),"")</f>
        <v/>
      </c>
      <c r="D348" s="464">
        <f>IFERROR(IF(DB_Customers!Q342&lt;&gt;"",DB_Customers!Q342,""),"")</f>
        <v/>
      </c>
      <c r="E348" s="463">
        <f>IFERROR(IF(DB_Customers!R342&lt;&gt;"",DB_Customers!R342,""),"")</f>
        <v/>
      </c>
      <c r="F348" s="463">
        <f>IFERROR(IF(DB_Customers!S342&lt;&gt;"",DB_Customers!S342,""),"")</f>
        <v/>
      </c>
      <c r="G348" s="463">
        <f>IFERROR(IF(DB_Customers!G342&lt;&gt;"",DB_Customers!G342,""),"")</f>
        <v/>
      </c>
      <c r="H348" s="465">
        <f>IFERROR(IF(DB_Customers!H342&lt;&gt;"",DB_Customers!H342,""),"")</f>
        <v/>
      </c>
      <c r="I348" s="466">
        <f>IFERROR(IF(DB_Customers!I342&lt;&gt;"",DB_Customers!I342,""),"")</f>
        <v/>
      </c>
      <c r="J348" s="464">
        <f>IFERROR(IF(DB_Customers!J342&lt;&gt;"",DB_Customers!J342,""),"")</f>
        <v/>
      </c>
      <c r="K348" s="463">
        <f>IFERROR(IF(DB_Customers!E342&lt;&gt;"",DB_Customers!E342,""),"")</f>
        <v/>
      </c>
      <c r="L348" s="463">
        <f>IFERROR(IF(DB_Customers!F342&lt;&gt;"",DB_Customers!F342,""),"")</f>
        <v/>
      </c>
      <c r="M348" s="463">
        <f>IFERROR(IF(DB_Customers!T342&lt;&gt;"",DB_Customers!T342,""),"")</f>
        <v/>
      </c>
      <c r="N348" s="467">
        <f>IFERROR(IF(DB_Customers!A342&lt;&gt;"",IF(DB_Customers!I342&gt;=10,"Active","Inactive"),""),"")</f>
        <v/>
      </c>
    </row>
    <row r="349" ht="18" customHeight="1" s="341">
      <c r="A349" s="468">
        <f>IF(DB_Customers!A343&lt;&gt;"",340,"")</f>
        <v/>
      </c>
      <c r="B349" s="469">
        <f>IFERROR(IF(DB_Customers!A343&lt;&gt;"",DB_Customers!A343,""),"")</f>
        <v/>
      </c>
      <c r="C349" s="470">
        <f>IFERROR(IF(DB_Customers!D343&lt;&gt;"",DB_Customers!D343,""),"")</f>
        <v/>
      </c>
      <c r="D349" s="471">
        <f>IFERROR(IF(DB_Customers!Q343&lt;&gt;"",DB_Customers!Q343,""),"")</f>
        <v/>
      </c>
      <c r="E349" s="470">
        <f>IFERROR(IF(DB_Customers!R343&lt;&gt;"",DB_Customers!R343,""),"")</f>
        <v/>
      </c>
      <c r="F349" s="470">
        <f>IFERROR(IF(DB_Customers!S343&lt;&gt;"",DB_Customers!S343,""),"")</f>
        <v/>
      </c>
      <c r="G349" s="470">
        <f>IFERROR(IF(DB_Customers!G343&lt;&gt;"",DB_Customers!G343,""),"")</f>
        <v/>
      </c>
      <c r="H349" s="472">
        <f>IFERROR(IF(DB_Customers!H343&lt;&gt;"",DB_Customers!H343,""),"")</f>
        <v/>
      </c>
      <c r="I349" s="473">
        <f>IFERROR(IF(DB_Customers!I343&lt;&gt;"",DB_Customers!I343,""),"")</f>
        <v/>
      </c>
      <c r="J349" s="471">
        <f>IFERROR(IF(DB_Customers!J343&lt;&gt;"",DB_Customers!J343,""),"")</f>
        <v/>
      </c>
      <c r="K349" s="470">
        <f>IFERROR(IF(DB_Customers!E343&lt;&gt;"",DB_Customers!E343,""),"")</f>
        <v/>
      </c>
      <c r="L349" s="470">
        <f>IFERROR(IF(DB_Customers!F343&lt;&gt;"",DB_Customers!F343,""),"")</f>
        <v/>
      </c>
      <c r="M349" s="470">
        <f>IFERROR(IF(DB_Customers!T343&lt;&gt;"",DB_Customers!T343,""),"")</f>
        <v/>
      </c>
      <c r="N349" s="474">
        <f>IFERROR(IF(DB_Customers!A343&lt;&gt;"",IF(DB_Customers!I343&gt;=10,"Active","Inactive"),""),"")</f>
        <v/>
      </c>
    </row>
    <row r="350" ht="18" customHeight="1" s="341">
      <c r="A350" s="461">
        <f>IF(DB_Customers!A344&lt;&gt;"",341,"")</f>
        <v/>
      </c>
      <c r="B350" s="462">
        <f>IFERROR(IF(DB_Customers!A344&lt;&gt;"",DB_Customers!A344,""),"")</f>
        <v/>
      </c>
      <c r="C350" s="463">
        <f>IFERROR(IF(DB_Customers!D344&lt;&gt;"",DB_Customers!D344,""),"")</f>
        <v/>
      </c>
      <c r="D350" s="464">
        <f>IFERROR(IF(DB_Customers!Q344&lt;&gt;"",DB_Customers!Q344,""),"")</f>
        <v/>
      </c>
      <c r="E350" s="463">
        <f>IFERROR(IF(DB_Customers!R344&lt;&gt;"",DB_Customers!R344,""),"")</f>
        <v/>
      </c>
      <c r="F350" s="463">
        <f>IFERROR(IF(DB_Customers!S344&lt;&gt;"",DB_Customers!S344,""),"")</f>
        <v/>
      </c>
      <c r="G350" s="463">
        <f>IFERROR(IF(DB_Customers!G344&lt;&gt;"",DB_Customers!G344,""),"")</f>
        <v/>
      </c>
      <c r="H350" s="465">
        <f>IFERROR(IF(DB_Customers!H344&lt;&gt;"",DB_Customers!H344,""),"")</f>
        <v/>
      </c>
      <c r="I350" s="466">
        <f>IFERROR(IF(DB_Customers!I344&lt;&gt;"",DB_Customers!I344,""),"")</f>
        <v/>
      </c>
      <c r="J350" s="464">
        <f>IFERROR(IF(DB_Customers!J344&lt;&gt;"",DB_Customers!J344,""),"")</f>
        <v/>
      </c>
      <c r="K350" s="463">
        <f>IFERROR(IF(DB_Customers!E344&lt;&gt;"",DB_Customers!E344,""),"")</f>
        <v/>
      </c>
      <c r="L350" s="463">
        <f>IFERROR(IF(DB_Customers!F344&lt;&gt;"",DB_Customers!F344,""),"")</f>
        <v/>
      </c>
      <c r="M350" s="463">
        <f>IFERROR(IF(DB_Customers!T344&lt;&gt;"",DB_Customers!T344,""),"")</f>
        <v/>
      </c>
      <c r="N350" s="467">
        <f>IFERROR(IF(DB_Customers!A344&lt;&gt;"",IF(DB_Customers!I344&gt;=10,"Active","Inactive"),""),"")</f>
        <v/>
      </c>
    </row>
    <row r="351" ht="18" customHeight="1" s="341">
      <c r="A351" s="468">
        <f>IF(DB_Customers!A345&lt;&gt;"",342,"")</f>
        <v/>
      </c>
      <c r="B351" s="469">
        <f>IFERROR(IF(DB_Customers!A345&lt;&gt;"",DB_Customers!A345,""),"")</f>
        <v/>
      </c>
      <c r="C351" s="470">
        <f>IFERROR(IF(DB_Customers!D345&lt;&gt;"",DB_Customers!D345,""),"")</f>
        <v/>
      </c>
      <c r="D351" s="471">
        <f>IFERROR(IF(DB_Customers!Q345&lt;&gt;"",DB_Customers!Q345,""),"")</f>
        <v/>
      </c>
      <c r="E351" s="470">
        <f>IFERROR(IF(DB_Customers!R345&lt;&gt;"",DB_Customers!R345,""),"")</f>
        <v/>
      </c>
      <c r="F351" s="470">
        <f>IFERROR(IF(DB_Customers!S345&lt;&gt;"",DB_Customers!S345,""),"")</f>
        <v/>
      </c>
      <c r="G351" s="470">
        <f>IFERROR(IF(DB_Customers!G345&lt;&gt;"",DB_Customers!G345,""),"")</f>
        <v/>
      </c>
      <c r="H351" s="472">
        <f>IFERROR(IF(DB_Customers!H345&lt;&gt;"",DB_Customers!H345,""),"")</f>
        <v/>
      </c>
      <c r="I351" s="473">
        <f>IFERROR(IF(DB_Customers!I345&lt;&gt;"",DB_Customers!I345,""),"")</f>
        <v/>
      </c>
      <c r="J351" s="471">
        <f>IFERROR(IF(DB_Customers!J345&lt;&gt;"",DB_Customers!J345,""),"")</f>
        <v/>
      </c>
      <c r="K351" s="470">
        <f>IFERROR(IF(DB_Customers!E345&lt;&gt;"",DB_Customers!E345,""),"")</f>
        <v/>
      </c>
      <c r="L351" s="470">
        <f>IFERROR(IF(DB_Customers!F345&lt;&gt;"",DB_Customers!F345,""),"")</f>
        <v/>
      </c>
      <c r="M351" s="470">
        <f>IFERROR(IF(DB_Customers!T345&lt;&gt;"",DB_Customers!T345,""),"")</f>
        <v/>
      </c>
      <c r="N351" s="474">
        <f>IFERROR(IF(DB_Customers!A345&lt;&gt;"",IF(DB_Customers!I345&gt;=10,"Active","Inactive"),""),"")</f>
        <v/>
      </c>
    </row>
    <row r="352" ht="18" customHeight="1" s="341">
      <c r="A352" s="461">
        <f>IF(DB_Customers!A346&lt;&gt;"",343,"")</f>
        <v/>
      </c>
      <c r="B352" s="462">
        <f>IFERROR(IF(DB_Customers!A346&lt;&gt;"",DB_Customers!A346,""),"")</f>
        <v/>
      </c>
      <c r="C352" s="463">
        <f>IFERROR(IF(DB_Customers!D346&lt;&gt;"",DB_Customers!D346,""),"")</f>
        <v/>
      </c>
      <c r="D352" s="464">
        <f>IFERROR(IF(DB_Customers!Q346&lt;&gt;"",DB_Customers!Q346,""),"")</f>
        <v/>
      </c>
      <c r="E352" s="463">
        <f>IFERROR(IF(DB_Customers!R346&lt;&gt;"",DB_Customers!R346,""),"")</f>
        <v/>
      </c>
      <c r="F352" s="463">
        <f>IFERROR(IF(DB_Customers!S346&lt;&gt;"",DB_Customers!S346,""),"")</f>
        <v/>
      </c>
      <c r="G352" s="463">
        <f>IFERROR(IF(DB_Customers!G346&lt;&gt;"",DB_Customers!G346,""),"")</f>
        <v/>
      </c>
      <c r="H352" s="465">
        <f>IFERROR(IF(DB_Customers!H346&lt;&gt;"",DB_Customers!H346,""),"")</f>
        <v/>
      </c>
      <c r="I352" s="466">
        <f>IFERROR(IF(DB_Customers!I346&lt;&gt;"",DB_Customers!I346,""),"")</f>
        <v/>
      </c>
      <c r="J352" s="464">
        <f>IFERROR(IF(DB_Customers!J346&lt;&gt;"",DB_Customers!J346,""),"")</f>
        <v/>
      </c>
      <c r="K352" s="463">
        <f>IFERROR(IF(DB_Customers!E346&lt;&gt;"",DB_Customers!E346,""),"")</f>
        <v/>
      </c>
      <c r="L352" s="463">
        <f>IFERROR(IF(DB_Customers!F346&lt;&gt;"",DB_Customers!F346,""),"")</f>
        <v/>
      </c>
      <c r="M352" s="463">
        <f>IFERROR(IF(DB_Customers!T346&lt;&gt;"",DB_Customers!T346,""),"")</f>
        <v/>
      </c>
      <c r="N352" s="467">
        <f>IFERROR(IF(DB_Customers!A346&lt;&gt;"",IF(DB_Customers!I346&gt;=10,"Active","Inactive"),""),"")</f>
        <v/>
      </c>
    </row>
    <row r="353" ht="18" customHeight="1" s="341">
      <c r="A353" s="468">
        <f>IF(DB_Customers!A347&lt;&gt;"",344,"")</f>
        <v/>
      </c>
      <c r="B353" s="469">
        <f>IFERROR(IF(DB_Customers!A347&lt;&gt;"",DB_Customers!A347,""),"")</f>
        <v/>
      </c>
      <c r="C353" s="470">
        <f>IFERROR(IF(DB_Customers!D347&lt;&gt;"",DB_Customers!D347,""),"")</f>
        <v/>
      </c>
      <c r="D353" s="471">
        <f>IFERROR(IF(DB_Customers!Q347&lt;&gt;"",DB_Customers!Q347,""),"")</f>
        <v/>
      </c>
      <c r="E353" s="470">
        <f>IFERROR(IF(DB_Customers!R347&lt;&gt;"",DB_Customers!R347,""),"")</f>
        <v/>
      </c>
      <c r="F353" s="470">
        <f>IFERROR(IF(DB_Customers!S347&lt;&gt;"",DB_Customers!S347,""),"")</f>
        <v/>
      </c>
      <c r="G353" s="470">
        <f>IFERROR(IF(DB_Customers!G347&lt;&gt;"",DB_Customers!G347,""),"")</f>
        <v/>
      </c>
      <c r="H353" s="472">
        <f>IFERROR(IF(DB_Customers!H347&lt;&gt;"",DB_Customers!H347,""),"")</f>
        <v/>
      </c>
      <c r="I353" s="473">
        <f>IFERROR(IF(DB_Customers!I347&lt;&gt;"",DB_Customers!I347,""),"")</f>
        <v/>
      </c>
      <c r="J353" s="471">
        <f>IFERROR(IF(DB_Customers!J347&lt;&gt;"",DB_Customers!J347,""),"")</f>
        <v/>
      </c>
      <c r="K353" s="470">
        <f>IFERROR(IF(DB_Customers!E347&lt;&gt;"",DB_Customers!E347,""),"")</f>
        <v/>
      </c>
      <c r="L353" s="470">
        <f>IFERROR(IF(DB_Customers!F347&lt;&gt;"",DB_Customers!F347,""),"")</f>
        <v/>
      </c>
      <c r="M353" s="470">
        <f>IFERROR(IF(DB_Customers!T347&lt;&gt;"",DB_Customers!T347,""),"")</f>
        <v/>
      </c>
      <c r="N353" s="474">
        <f>IFERROR(IF(DB_Customers!A347&lt;&gt;"",IF(DB_Customers!I347&gt;=10,"Active","Inactive"),""),"")</f>
        <v/>
      </c>
    </row>
    <row r="354" ht="18" customHeight="1" s="341">
      <c r="A354" s="461">
        <f>IF(DB_Customers!A348&lt;&gt;"",345,"")</f>
        <v/>
      </c>
      <c r="B354" s="462">
        <f>IFERROR(IF(DB_Customers!A348&lt;&gt;"",DB_Customers!A348,""),"")</f>
        <v/>
      </c>
      <c r="C354" s="463">
        <f>IFERROR(IF(DB_Customers!D348&lt;&gt;"",DB_Customers!D348,""),"")</f>
        <v/>
      </c>
      <c r="D354" s="464">
        <f>IFERROR(IF(DB_Customers!Q348&lt;&gt;"",DB_Customers!Q348,""),"")</f>
        <v/>
      </c>
      <c r="E354" s="463">
        <f>IFERROR(IF(DB_Customers!R348&lt;&gt;"",DB_Customers!R348,""),"")</f>
        <v/>
      </c>
      <c r="F354" s="463">
        <f>IFERROR(IF(DB_Customers!S348&lt;&gt;"",DB_Customers!S348,""),"")</f>
        <v/>
      </c>
      <c r="G354" s="463">
        <f>IFERROR(IF(DB_Customers!G348&lt;&gt;"",DB_Customers!G348,""),"")</f>
        <v/>
      </c>
      <c r="H354" s="465">
        <f>IFERROR(IF(DB_Customers!H348&lt;&gt;"",DB_Customers!H348,""),"")</f>
        <v/>
      </c>
      <c r="I354" s="466">
        <f>IFERROR(IF(DB_Customers!I348&lt;&gt;"",DB_Customers!I348,""),"")</f>
        <v/>
      </c>
      <c r="J354" s="464">
        <f>IFERROR(IF(DB_Customers!J348&lt;&gt;"",DB_Customers!J348,""),"")</f>
        <v/>
      </c>
      <c r="K354" s="463">
        <f>IFERROR(IF(DB_Customers!E348&lt;&gt;"",DB_Customers!E348,""),"")</f>
        <v/>
      </c>
      <c r="L354" s="463">
        <f>IFERROR(IF(DB_Customers!F348&lt;&gt;"",DB_Customers!F348,""),"")</f>
        <v/>
      </c>
      <c r="M354" s="463">
        <f>IFERROR(IF(DB_Customers!T348&lt;&gt;"",DB_Customers!T348,""),"")</f>
        <v/>
      </c>
      <c r="N354" s="467">
        <f>IFERROR(IF(DB_Customers!A348&lt;&gt;"",IF(DB_Customers!I348&gt;=10,"Active","Inactive"),""),"")</f>
        <v/>
      </c>
    </row>
    <row r="355" ht="18" customHeight="1" s="341">
      <c r="A355" s="468">
        <f>IF(DB_Customers!A349&lt;&gt;"",346,"")</f>
        <v/>
      </c>
      <c r="B355" s="469">
        <f>IFERROR(IF(DB_Customers!A349&lt;&gt;"",DB_Customers!A349,""),"")</f>
        <v/>
      </c>
      <c r="C355" s="470">
        <f>IFERROR(IF(DB_Customers!D349&lt;&gt;"",DB_Customers!D349,""),"")</f>
        <v/>
      </c>
      <c r="D355" s="471">
        <f>IFERROR(IF(DB_Customers!Q349&lt;&gt;"",DB_Customers!Q349,""),"")</f>
        <v/>
      </c>
      <c r="E355" s="470">
        <f>IFERROR(IF(DB_Customers!R349&lt;&gt;"",DB_Customers!R349,""),"")</f>
        <v/>
      </c>
      <c r="F355" s="470">
        <f>IFERROR(IF(DB_Customers!S349&lt;&gt;"",DB_Customers!S349,""),"")</f>
        <v/>
      </c>
      <c r="G355" s="470">
        <f>IFERROR(IF(DB_Customers!G349&lt;&gt;"",DB_Customers!G349,""),"")</f>
        <v/>
      </c>
      <c r="H355" s="472">
        <f>IFERROR(IF(DB_Customers!H349&lt;&gt;"",DB_Customers!H349,""),"")</f>
        <v/>
      </c>
      <c r="I355" s="473">
        <f>IFERROR(IF(DB_Customers!I349&lt;&gt;"",DB_Customers!I349,""),"")</f>
        <v/>
      </c>
      <c r="J355" s="471">
        <f>IFERROR(IF(DB_Customers!J349&lt;&gt;"",DB_Customers!J349,""),"")</f>
        <v/>
      </c>
      <c r="K355" s="470">
        <f>IFERROR(IF(DB_Customers!E349&lt;&gt;"",DB_Customers!E349,""),"")</f>
        <v/>
      </c>
      <c r="L355" s="470">
        <f>IFERROR(IF(DB_Customers!F349&lt;&gt;"",DB_Customers!F349,""),"")</f>
        <v/>
      </c>
      <c r="M355" s="470">
        <f>IFERROR(IF(DB_Customers!T349&lt;&gt;"",DB_Customers!T349,""),"")</f>
        <v/>
      </c>
      <c r="N355" s="474">
        <f>IFERROR(IF(DB_Customers!A349&lt;&gt;"",IF(DB_Customers!I349&gt;=10,"Active","Inactive"),""),"")</f>
        <v/>
      </c>
    </row>
    <row r="356" ht="18" customHeight="1" s="341">
      <c r="A356" s="461">
        <f>IF(DB_Customers!A350&lt;&gt;"",347,"")</f>
        <v/>
      </c>
      <c r="B356" s="462">
        <f>IFERROR(IF(DB_Customers!A350&lt;&gt;"",DB_Customers!A350,""),"")</f>
        <v/>
      </c>
      <c r="C356" s="463">
        <f>IFERROR(IF(DB_Customers!D350&lt;&gt;"",DB_Customers!D350,""),"")</f>
        <v/>
      </c>
      <c r="D356" s="464">
        <f>IFERROR(IF(DB_Customers!Q350&lt;&gt;"",DB_Customers!Q350,""),"")</f>
        <v/>
      </c>
      <c r="E356" s="463">
        <f>IFERROR(IF(DB_Customers!R350&lt;&gt;"",DB_Customers!R350,""),"")</f>
        <v/>
      </c>
      <c r="F356" s="463">
        <f>IFERROR(IF(DB_Customers!S350&lt;&gt;"",DB_Customers!S350,""),"")</f>
        <v/>
      </c>
      <c r="G356" s="463">
        <f>IFERROR(IF(DB_Customers!G350&lt;&gt;"",DB_Customers!G350,""),"")</f>
        <v/>
      </c>
      <c r="H356" s="465">
        <f>IFERROR(IF(DB_Customers!H350&lt;&gt;"",DB_Customers!H350,""),"")</f>
        <v/>
      </c>
      <c r="I356" s="466">
        <f>IFERROR(IF(DB_Customers!I350&lt;&gt;"",DB_Customers!I350,""),"")</f>
        <v/>
      </c>
      <c r="J356" s="464">
        <f>IFERROR(IF(DB_Customers!J350&lt;&gt;"",DB_Customers!J350,""),"")</f>
        <v/>
      </c>
      <c r="K356" s="463">
        <f>IFERROR(IF(DB_Customers!E350&lt;&gt;"",DB_Customers!E350,""),"")</f>
        <v/>
      </c>
      <c r="L356" s="463">
        <f>IFERROR(IF(DB_Customers!F350&lt;&gt;"",DB_Customers!F350,""),"")</f>
        <v/>
      </c>
      <c r="M356" s="463">
        <f>IFERROR(IF(DB_Customers!T350&lt;&gt;"",DB_Customers!T350,""),"")</f>
        <v/>
      </c>
      <c r="N356" s="467">
        <f>IFERROR(IF(DB_Customers!A350&lt;&gt;"",IF(DB_Customers!I350&gt;=10,"Active","Inactive"),""),"")</f>
        <v/>
      </c>
    </row>
    <row r="357" ht="18" customHeight="1" s="341">
      <c r="A357" s="468">
        <f>IF(DB_Customers!A351&lt;&gt;"",348,"")</f>
        <v/>
      </c>
      <c r="B357" s="469">
        <f>IFERROR(IF(DB_Customers!A351&lt;&gt;"",DB_Customers!A351,""),"")</f>
        <v/>
      </c>
      <c r="C357" s="470">
        <f>IFERROR(IF(DB_Customers!D351&lt;&gt;"",DB_Customers!D351,""),"")</f>
        <v/>
      </c>
      <c r="D357" s="471">
        <f>IFERROR(IF(DB_Customers!Q351&lt;&gt;"",DB_Customers!Q351,""),"")</f>
        <v/>
      </c>
      <c r="E357" s="470">
        <f>IFERROR(IF(DB_Customers!R351&lt;&gt;"",DB_Customers!R351,""),"")</f>
        <v/>
      </c>
      <c r="F357" s="470">
        <f>IFERROR(IF(DB_Customers!S351&lt;&gt;"",DB_Customers!S351,""),"")</f>
        <v/>
      </c>
      <c r="G357" s="470">
        <f>IFERROR(IF(DB_Customers!G351&lt;&gt;"",DB_Customers!G351,""),"")</f>
        <v/>
      </c>
      <c r="H357" s="472">
        <f>IFERROR(IF(DB_Customers!H351&lt;&gt;"",DB_Customers!H351,""),"")</f>
        <v/>
      </c>
      <c r="I357" s="473">
        <f>IFERROR(IF(DB_Customers!I351&lt;&gt;"",DB_Customers!I351,""),"")</f>
        <v/>
      </c>
      <c r="J357" s="471">
        <f>IFERROR(IF(DB_Customers!J351&lt;&gt;"",DB_Customers!J351,""),"")</f>
        <v/>
      </c>
      <c r="K357" s="470">
        <f>IFERROR(IF(DB_Customers!E351&lt;&gt;"",DB_Customers!E351,""),"")</f>
        <v/>
      </c>
      <c r="L357" s="470">
        <f>IFERROR(IF(DB_Customers!F351&lt;&gt;"",DB_Customers!F351,""),"")</f>
        <v/>
      </c>
      <c r="M357" s="470">
        <f>IFERROR(IF(DB_Customers!T351&lt;&gt;"",DB_Customers!T351,""),"")</f>
        <v/>
      </c>
      <c r="N357" s="474">
        <f>IFERROR(IF(DB_Customers!A351&lt;&gt;"",IF(DB_Customers!I351&gt;=10,"Active","Inactive"),""),"")</f>
        <v/>
      </c>
    </row>
    <row r="358" ht="18" customHeight="1" s="341">
      <c r="A358" s="461">
        <f>IF(DB_Customers!A352&lt;&gt;"",349,"")</f>
        <v/>
      </c>
      <c r="B358" s="462">
        <f>IFERROR(IF(DB_Customers!A352&lt;&gt;"",DB_Customers!A352,""),"")</f>
        <v/>
      </c>
      <c r="C358" s="463">
        <f>IFERROR(IF(DB_Customers!D352&lt;&gt;"",DB_Customers!D352,""),"")</f>
        <v/>
      </c>
      <c r="D358" s="464">
        <f>IFERROR(IF(DB_Customers!Q352&lt;&gt;"",DB_Customers!Q352,""),"")</f>
        <v/>
      </c>
      <c r="E358" s="463">
        <f>IFERROR(IF(DB_Customers!R352&lt;&gt;"",DB_Customers!R352,""),"")</f>
        <v/>
      </c>
      <c r="F358" s="463">
        <f>IFERROR(IF(DB_Customers!S352&lt;&gt;"",DB_Customers!S352,""),"")</f>
        <v/>
      </c>
      <c r="G358" s="463">
        <f>IFERROR(IF(DB_Customers!G352&lt;&gt;"",DB_Customers!G352,""),"")</f>
        <v/>
      </c>
      <c r="H358" s="465">
        <f>IFERROR(IF(DB_Customers!H352&lt;&gt;"",DB_Customers!H352,""),"")</f>
        <v/>
      </c>
      <c r="I358" s="466">
        <f>IFERROR(IF(DB_Customers!I352&lt;&gt;"",DB_Customers!I352,""),"")</f>
        <v/>
      </c>
      <c r="J358" s="464">
        <f>IFERROR(IF(DB_Customers!J352&lt;&gt;"",DB_Customers!J352,""),"")</f>
        <v/>
      </c>
      <c r="K358" s="463">
        <f>IFERROR(IF(DB_Customers!E352&lt;&gt;"",DB_Customers!E352,""),"")</f>
        <v/>
      </c>
      <c r="L358" s="463">
        <f>IFERROR(IF(DB_Customers!F352&lt;&gt;"",DB_Customers!F352,""),"")</f>
        <v/>
      </c>
      <c r="M358" s="463">
        <f>IFERROR(IF(DB_Customers!T352&lt;&gt;"",DB_Customers!T352,""),"")</f>
        <v/>
      </c>
      <c r="N358" s="467">
        <f>IFERROR(IF(DB_Customers!A352&lt;&gt;"",IF(DB_Customers!I352&gt;=10,"Active","Inactive"),""),"")</f>
        <v/>
      </c>
    </row>
    <row r="359" ht="18" customHeight="1" s="341">
      <c r="A359" s="468">
        <f>IF(DB_Customers!A353&lt;&gt;"",350,"")</f>
        <v/>
      </c>
      <c r="B359" s="469">
        <f>IFERROR(IF(DB_Customers!A353&lt;&gt;"",DB_Customers!A353,""),"")</f>
        <v/>
      </c>
      <c r="C359" s="470">
        <f>IFERROR(IF(DB_Customers!D353&lt;&gt;"",DB_Customers!D353,""),"")</f>
        <v/>
      </c>
      <c r="D359" s="471">
        <f>IFERROR(IF(DB_Customers!Q353&lt;&gt;"",DB_Customers!Q353,""),"")</f>
        <v/>
      </c>
      <c r="E359" s="470">
        <f>IFERROR(IF(DB_Customers!R353&lt;&gt;"",DB_Customers!R353,""),"")</f>
        <v/>
      </c>
      <c r="F359" s="470">
        <f>IFERROR(IF(DB_Customers!S353&lt;&gt;"",DB_Customers!S353,""),"")</f>
        <v/>
      </c>
      <c r="G359" s="470">
        <f>IFERROR(IF(DB_Customers!G353&lt;&gt;"",DB_Customers!G353,""),"")</f>
        <v/>
      </c>
      <c r="H359" s="472">
        <f>IFERROR(IF(DB_Customers!H353&lt;&gt;"",DB_Customers!H353,""),"")</f>
        <v/>
      </c>
      <c r="I359" s="473">
        <f>IFERROR(IF(DB_Customers!I353&lt;&gt;"",DB_Customers!I353,""),"")</f>
        <v/>
      </c>
      <c r="J359" s="471">
        <f>IFERROR(IF(DB_Customers!J353&lt;&gt;"",DB_Customers!J353,""),"")</f>
        <v/>
      </c>
      <c r="K359" s="470">
        <f>IFERROR(IF(DB_Customers!E353&lt;&gt;"",DB_Customers!E353,""),"")</f>
        <v/>
      </c>
      <c r="L359" s="470">
        <f>IFERROR(IF(DB_Customers!F353&lt;&gt;"",DB_Customers!F353,""),"")</f>
        <v/>
      </c>
      <c r="M359" s="470">
        <f>IFERROR(IF(DB_Customers!T353&lt;&gt;"",DB_Customers!T353,""),"")</f>
        <v/>
      </c>
      <c r="N359" s="474">
        <f>IFERROR(IF(DB_Customers!A353&lt;&gt;"",IF(DB_Customers!I353&gt;=10,"Active","Inactive"),""),"")</f>
        <v/>
      </c>
    </row>
    <row r="360" ht="18" customHeight="1" s="341">
      <c r="A360" s="461">
        <f>IF(DB_Customers!A354&lt;&gt;"",351,"")</f>
        <v/>
      </c>
      <c r="B360" s="462">
        <f>IFERROR(IF(DB_Customers!A354&lt;&gt;"",DB_Customers!A354,""),"")</f>
        <v/>
      </c>
      <c r="C360" s="463">
        <f>IFERROR(IF(DB_Customers!D354&lt;&gt;"",DB_Customers!D354,""),"")</f>
        <v/>
      </c>
      <c r="D360" s="464">
        <f>IFERROR(IF(DB_Customers!Q354&lt;&gt;"",DB_Customers!Q354,""),"")</f>
        <v/>
      </c>
      <c r="E360" s="463">
        <f>IFERROR(IF(DB_Customers!R354&lt;&gt;"",DB_Customers!R354,""),"")</f>
        <v/>
      </c>
      <c r="F360" s="463">
        <f>IFERROR(IF(DB_Customers!S354&lt;&gt;"",DB_Customers!S354,""),"")</f>
        <v/>
      </c>
      <c r="G360" s="463">
        <f>IFERROR(IF(DB_Customers!G354&lt;&gt;"",DB_Customers!G354,""),"")</f>
        <v/>
      </c>
      <c r="H360" s="465">
        <f>IFERROR(IF(DB_Customers!H354&lt;&gt;"",DB_Customers!H354,""),"")</f>
        <v/>
      </c>
      <c r="I360" s="466">
        <f>IFERROR(IF(DB_Customers!I354&lt;&gt;"",DB_Customers!I354,""),"")</f>
        <v/>
      </c>
      <c r="J360" s="464">
        <f>IFERROR(IF(DB_Customers!J354&lt;&gt;"",DB_Customers!J354,""),"")</f>
        <v/>
      </c>
      <c r="K360" s="463">
        <f>IFERROR(IF(DB_Customers!E354&lt;&gt;"",DB_Customers!E354,""),"")</f>
        <v/>
      </c>
      <c r="L360" s="463">
        <f>IFERROR(IF(DB_Customers!F354&lt;&gt;"",DB_Customers!F354,""),"")</f>
        <v/>
      </c>
      <c r="M360" s="463">
        <f>IFERROR(IF(DB_Customers!T354&lt;&gt;"",DB_Customers!T354,""),"")</f>
        <v/>
      </c>
      <c r="N360" s="467">
        <f>IFERROR(IF(DB_Customers!A354&lt;&gt;"",IF(DB_Customers!I354&gt;=10,"Active","Inactive"),""),"")</f>
        <v/>
      </c>
    </row>
    <row r="361" ht="18" customHeight="1" s="341">
      <c r="A361" s="468">
        <f>IF(DB_Customers!A355&lt;&gt;"",352,"")</f>
        <v/>
      </c>
      <c r="B361" s="469">
        <f>IFERROR(IF(DB_Customers!A355&lt;&gt;"",DB_Customers!A355,""),"")</f>
        <v/>
      </c>
      <c r="C361" s="470">
        <f>IFERROR(IF(DB_Customers!D355&lt;&gt;"",DB_Customers!D355,""),"")</f>
        <v/>
      </c>
      <c r="D361" s="471">
        <f>IFERROR(IF(DB_Customers!Q355&lt;&gt;"",DB_Customers!Q355,""),"")</f>
        <v/>
      </c>
      <c r="E361" s="470">
        <f>IFERROR(IF(DB_Customers!R355&lt;&gt;"",DB_Customers!R355,""),"")</f>
        <v/>
      </c>
      <c r="F361" s="470">
        <f>IFERROR(IF(DB_Customers!S355&lt;&gt;"",DB_Customers!S355,""),"")</f>
        <v/>
      </c>
      <c r="G361" s="470">
        <f>IFERROR(IF(DB_Customers!G355&lt;&gt;"",DB_Customers!G355,""),"")</f>
        <v/>
      </c>
      <c r="H361" s="472">
        <f>IFERROR(IF(DB_Customers!H355&lt;&gt;"",DB_Customers!H355,""),"")</f>
        <v/>
      </c>
      <c r="I361" s="473">
        <f>IFERROR(IF(DB_Customers!I355&lt;&gt;"",DB_Customers!I355,""),"")</f>
        <v/>
      </c>
      <c r="J361" s="471">
        <f>IFERROR(IF(DB_Customers!J355&lt;&gt;"",DB_Customers!J355,""),"")</f>
        <v/>
      </c>
      <c r="K361" s="470">
        <f>IFERROR(IF(DB_Customers!E355&lt;&gt;"",DB_Customers!E355,""),"")</f>
        <v/>
      </c>
      <c r="L361" s="470">
        <f>IFERROR(IF(DB_Customers!F355&lt;&gt;"",DB_Customers!F355,""),"")</f>
        <v/>
      </c>
      <c r="M361" s="470">
        <f>IFERROR(IF(DB_Customers!T355&lt;&gt;"",DB_Customers!T355,""),"")</f>
        <v/>
      </c>
      <c r="N361" s="474">
        <f>IFERROR(IF(DB_Customers!A355&lt;&gt;"",IF(DB_Customers!I355&gt;=10,"Active","Inactive"),""),"")</f>
        <v/>
      </c>
    </row>
    <row r="362" ht="18" customHeight="1" s="341">
      <c r="A362" s="461">
        <f>IF(DB_Customers!A356&lt;&gt;"",353,"")</f>
        <v/>
      </c>
      <c r="B362" s="462">
        <f>IFERROR(IF(DB_Customers!A356&lt;&gt;"",DB_Customers!A356,""),"")</f>
        <v/>
      </c>
      <c r="C362" s="463">
        <f>IFERROR(IF(DB_Customers!D356&lt;&gt;"",DB_Customers!D356,""),"")</f>
        <v/>
      </c>
      <c r="D362" s="464">
        <f>IFERROR(IF(DB_Customers!Q356&lt;&gt;"",DB_Customers!Q356,""),"")</f>
        <v/>
      </c>
      <c r="E362" s="463">
        <f>IFERROR(IF(DB_Customers!R356&lt;&gt;"",DB_Customers!R356,""),"")</f>
        <v/>
      </c>
      <c r="F362" s="463">
        <f>IFERROR(IF(DB_Customers!S356&lt;&gt;"",DB_Customers!S356,""),"")</f>
        <v/>
      </c>
      <c r="G362" s="463">
        <f>IFERROR(IF(DB_Customers!G356&lt;&gt;"",DB_Customers!G356,""),"")</f>
        <v/>
      </c>
      <c r="H362" s="465">
        <f>IFERROR(IF(DB_Customers!H356&lt;&gt;"",DB_Customers!H356,""),"")</f>
        <v/>
      </c>
      <c r="I362" s="466">
        <f>IFERROR(IF(DB_Customers!I356&lt;&gt;"",DB_Customers!I356,""),"")</f>
        <v/>
      </c>
      <c r="J362" s="464">
        <f>IFERROR(IF(DB_Customers!J356&lt;&gt;"",DB_Customers!J356,""),"")</f>
        <v/>
      </c>
      <c r="K362" s="463">
        <f>IFERROR(IF(DB_Customers!E356&lt;&gt;"",DB_Customers!E356,""),"")</f>
        <v/>
      </c>
      <c r="L362" s="463">
        <f>IFERROR(IF(DB_Customers!F356&lt;&gt;"",DB_Customers!F356,""),"")</f>
        <v/>
      </c>
      <c r="M362" s="463">
        <f>IFERROR(IF(DB_Customers!T356&lt;&gt;"",DB_Customers!T356,""),"")</f>
        <v/>
      </c>
      <c r="N362" s="467">
        <f>IFERROR(IF(DB_Customers!A356&lt;&gt;"",IF(DB_Customers!I356&gt;=10,"Active","Inactive"),""),"")</f>
        <v/>
      </c>
    </row>
    <row r="363" ht="18" customHeight="1" s="341">
      <c r="A363" s="468">
        <f>IF(DB_Customers!A357&lt;&gt;"",354,"")</f>
        <v/>
      </c>
      <c r="B363" s="469">
        <f>IFERROR(IF(DB_Customers!A357&lt;&gt;"",DB_Customers!A357,""),"")</f>
        <v/>
      </c>
      <c r="C363" s="470">
        <f>IFERROR(IF(DB_Customers!D357&lt;&gt;"",DB_Customers!D357,""),"")</f>
        <v/>
      </c>
      <c r="D363" s="471">
        <f>IFERROR(IF(DB_Customers!Q357&lt;&gt;"",DB_Customers!Q357,""),"")</f>
        <v/>
      </c>
      <c r="E363" s="470">
        <f>IFERROR(IF(DB_Customers!R357&lt;&gt;"",DB_Customers!R357,""),"")</f>
        <v/>
      </c>
      <c r="F363" s="470">
        <f>IFERROR(IF(DB_Customers!S357&lt;&gt;"",DB_Customers!S357,""),"")</f>
        <v/>
      </c>
      <c r="G363" s="470">
        <f>IFERROR(IF(DB_Customers!G357&lt;&gt;"",DB_Customers!G357,""),"")</f>
        <v/>
      </c>
      <c r="H363" s="472">
        <f>IFERROR(IF(DB_Customers!H357&lt;&gt;"",DB_Customers!H357,""),"")</f>
        <v/>
      </c>
      <c r="I363" s="473">
        <f>IFERROR(IF(DB_Customers!I357&lt;&gt;"",DB_Customers!I357,""),"")</f>
        <v/>
      </c>
      <c r="J363" s="471">
        <f>IFERROR(IF(DB_Customers!J357&lt;&gt;"",DB_Customers!J357,""),"")</f>
        <v/>
      </c>
      <c r="K363" s="470">
        <f>IFERROR(IF(DB_Customers!E357&lt;&gt;"",DB_Customers!E357,""),"")</f>
        <v/>
      </c>
      <c r="L363" s="470">
        <f>IFERROR(IF(DB_Customers!F357&lt;&gt;"",DB_Customers!F357,""),"")</f>
        <v/>
      </c>
      <c r="M363" s="470">
        <f>IFERROR(IF(DB_Customers!T357&lt;&gt;"",DB_Customers!T357,""),"")</f>
        <v/>
      </c>
      <c r="N363" s="474">
        <f>IFERROR(IF(DB_Customers!A357&lt;&gt;"",IF(DB_Customers!I357&gt;=10,"Active","Inactive"),""),"")</f>
        <v/>
      </c>
    </row>
    <row r="364" ht="18" customHeight="1" s="341">
      <c r="A364" s="461">
        <f>IF(DB_Customers!A358&lt;&gt;"",355,"")</f>
        <v/>
      </c>
      <c r="B364" s="462">
        <f>IFERROR(IF(DB_Customers!A358&lt;&gt;"",DB_Customers!A358,""),"")</f>
        <v/>
      </c>
      <c r="C364" s="463">
        <f>IFERROR(IF(DB_Customers!D358&lt;&gt;"",DB_Customers!D358,""),"")</f>
        <v/>
      </c>
      <c r="D364" s="464">
        <f>IFERROR(IF(DB_Customers!Q358&lt;&gt;"",DB_Customers!Q358,""),"")</f>
        <v/>
      </c>
      <c r="E364" s="463">
        <f>IFERROR(IF(DB_Customers!R358&lt;&gt;"",DB_Customers!R358,""),"")</f>
        <v/>
      </c>
      <c r="F364" s="463">
        <f>IFERROR(IF(DB_Customers!S358&lt;&gt;"",DB_Customers!S358,""),"")</f>
        <v/>
      </c>
      <c r="G364" s="463">
        <f>IFERROR(IF(DB_Customers!G358&lt;&gt;"",DB_Customers!G358,""),"")</f>
        <v/>
      </c>
      <c r="H364" s="465">
        <f>IFERROR(IF(DB_Customers!H358&lt;&gt;"",DB_Customers!H358,""),"")</f>
        <v/>
      </c>
      <c r="I364" s="466">
        <f>IFERROR(IF(DB_Customers!I358&lt;&gt;"",DB_Customers!I358,""),"")</f>
        <v/>
      </c>
      <c r="J364" s="464">
        <f>IFERROR(IF(DB_Customers!J358&lt;&gt;"",DB_Customers!J358,""),"")</f>
        <v/>
      </c>
      <c r="K364" s="463">
        <f>IFERROR(IF(DB_Customers!E358&lt;&gt;"",DB_Customers!E358,""),"")</f>
        <v/>
      </c>
      <c r="L364" s="463">
        <f>IFERROR(IF(DB_Customers!F358&lt;&gt;"",DB_Customers!F358,""),"")</f>
        <v/>
      </c>
      <c r="M364" s="463">
        <f>IFERROR(IF(DB_Customers!T358&lt;&gt;"",DB_Customers!T358,""),"")</f>
        <v/>
      </c>
      <c r="N364" s="467">
        <f>IFERROR(IF(DB_Customers!A358&lt;&gt;"",IF(DB_Customers!I358&gt;=10,"Active","Inactive"),""),"")</f>
        <v/>
      </c>
    </row>
    <row r="365" ht="18" customHeight="1" s="341">
      <c r="A365" s="468">
        <f>IF(DB_Customers!A359&lt;&gt;"",356,"")</f>
        <v/>
      </c>
      <c r="B365" s="469">
        <f>IFERROR(IF(DB_Customers!A359&lt;&gt;"",DB_Customers!A359,""),"")</f>
        <v/>
      </c>
      <c r="C365" s="470">
        <f>IFERROR(IF(DB_Customers!D359&lt;&gt;"",DB_Customers!D359,""),"")</f>
        <v/>
      </c>
      <c r="D365" s="471">
        <f>IFERROR(IF(DB_Customers!Q359&lt;&gt;"",DB_Customers!Q359,""),"")</f>
        <v/>
      </c>
      <c r="E365" s="470">
        <f>IFERROR(IF(DB_Customers!R359&lt;&gt;"",DB_Customers!R359,""),"")</f>
        <v/>
      </c>
      <c r="F365" s="470">
        <f>IFERROR(IF(DB_Customers!S359&lt;&gt;"",DB_Customers!S359,""),"")</f>
        <v/>
      </c>
      <c r="G365" s="470">
        <f>IFERROR(IF(DB_Customers!G359&lt;&gt;"",DB_Customers!G359,""),"")</f>
        <v/>
      </c>
      <c r="H365" s="472">
        <f>IFERROR(IF(DB_Customers!H359&lt;&gt;"",DB_Customers!H359,""),"")</f>
        <v/>
      </c>
      <c r="I365" s="473">
        <f>IFERROR(IF(DB_Customers!I359&lt;&gt;"",DB_Customers!I359,""),"")</f>
        <v/>
      </c>
      <c r="J365" s="471">
        <f>IFERROR(IF(DB_Customers!J359&lt;&gt;"",DB_Customers!J359,""),"")</f>
        <v/>
      </c>
      <c r="K365" s="470">
        <f>IFERROR(IF(DB_Customers!E359&lt;&gt;"",DB_Customers!E359,""),"")</f>
        <v/>
      </c>
      <c r="L365" s="470">
        <f>IFERROR(IF(DB_Customers!F359&lt;&gt;"",DB_Customers!F359,""),"")</f>
        <v/>
      </c>
      <c r="M365" s="470">
        <f>IFERROR(IF(DB_Customers!T359&lt;&gt;"",DB_Customers!T359,""),"")</f>
        <v/>
      </c>
      <c r="N365" s="474">
        <f>IFERROR(IF(DB_Customers!A359&lt;&gt;"",IF(DB_Customers!I359&gt;=10,"Active","Inactive"),""),"")</f>
        <v/>
      </c>
    </row>
    <row r="366" ht="18" customHeight="1" s="341">
      <c r="A366" s="461">
        <f>IF(DB_Customers!A360&lt;&gt;"",357,"")</f>
        <v/>
      </c>
      <c r="B366" s="462">
        <f>IFERROR(IF(DB_Customers!A360&lt;&gt;"",DB_Customers!A360,""),"")</f>
        <v/>
      </c>
      <c r="C366" s="463">
        <f>IFERROR(IF(DB_Customers!D360&lt;&gt;"",DB_Customers!D360,""),"")</f>
        <v/>
      </c>
      <c r="D366" s="464">
        <f>IFERROR(IF(DB_Customers!Q360&lt;&gt;"",DB_Customers!Q360,""),"")</f>
        <v/>
      </c>
      <c r="E366" s="463">
        <f>IFERROR(IF(DB_Customers!R360&lt;&gt;"",DB_Customers!R360,""),"")</f>
        <v/>
      </c>
      <c r="F366" s="463">
        <f>IFERROR(IF(DB_Customers!S360&lt;&gt;"",DB_Customers!S360,""),"")</f>
        <v/>
      </c>
      <c r="G366" s="463">
        <f>IFERROR(IF(DB_Customers!G360&lt;&gt;"",DB_Customers!G360,""),"")</f>
        <v/>
      </c>
      <c r="H366" s="465">
        <f>IFERROR(IF(DB_Customers!H360&lt;&gt;"",DB_Customers!H360,""),"")</f>
        <v/>
      </c>
      <c r="I366" s="466">
        <f>IFERROR(IF(DB_Customers!I360&lt;&gt;"",DB_Customers!I360,""),"")</f>
        <v/>
      </c>
      <c r="J366" s="464">
        <f>IFERROR(IF(DB_Customers!J360&lt;&gt;"",DB_Customers!J360,""),"")</f>
        <v/>
      </c>
      <c r="K366" s="463">
        <f>IFERROR(IF(DB_Customers!E360&lt;&gt;"",DB_Customers!E360,""),"")</f>
        <v/>
      </c>
      <c r="L366" s="463">
        <f>IFERROR(IF(DB_Customers!F360&lt;&gt;"",DB_Customers!F360,""),"")</f>
        <v/>
      </c>
      <c r="M366" s="463">
        <f>IFERROR(IF(DB_Customers!T360&lt;&gt;"",DB_Customers!T360,""),"")</f>
        <v/>
      </c>
      <c r="N366" s="467">
        <f>IFERROR(IF(DB_Customers!A360&lt;&gt;"",IF(DB_Customers!I360&gt;=10,"Active","Inactive"),""),"")</f>
        <v/>
      </c>
    </row>
    <row r="367" ht="18" customHeight="1" s="341">
      <c r="A367" s="468">
        <f>IF(DB_Customers!A361&lt;&gt;"",358,"")</f>
        <v/>
      </c>
      <c r="B367" s="469">
        <f>IFERROR(IF(DB_Customers!A361&lt;&gt;"",DB_Customers!A361,""),"")</f>
        <v/>
      </c>
      <c r="C367" s="470">
        <f>IFERROR(IF(DB_Customers!D361&lt;&gt;"",DB_Customers!D361,""),"")</f>
        <v/>
      </c>
      <c r="D367" s="471">
        <f>IFERROR(IF(DB_Customers!Q361&lt;&gt;"",DB_Customers!Q361,""),"")</f>
        <v/>
      </c>
      <c r="E367" s="470">
        <f>IFERROR(IF(DB_Customers!R361&lt;&gt;"",DB_Customers!R361,""),"")</f>
        <v/>
      </c>
      <c r="F367" s="470">
        <f>IFERROR(IF(DB_Customers!S361&lt;&gt;"",DB_Customers!S361,""),"")</f>
        <v/>
      </c>
      <c r="G367" s="470">
        <f>IFERROR(IF(DB_Customers!G361&lt;&gt;"",DB_Customers!G361,""),"")</f>
        <v/>
      </c>
      <c r="H367" s="472">
        <f>IFERROR(IF(DB_Customers!H361&lt;&gt;"",DB_Customers!H361,""),"")</f>
        <v/>
      </c>
      <c r="I367" s="473">
        <f>IFERROR(IF(DB_Customers!I361&lt;&gt;"",DB_Customers!I361,""),"")</f>
        <v/>
      </c>
      <c r="J367" s="471">
        <f>IFERROR(IF(DB_Customers!J361&lt;&gt;"",DB_Customers!J361,""),"")</f>
        <v/>
      </c>
      <c r="K367" s="470">
        <f>IFERROR(IF(DB_Customers!E361&lt;&gt;"",DB_Customers!E361,""),"")</f>
        <v/>
      </c>
      <c r="L367" s="470">
        <f>IFERROR(IF(DB_Customers!F361&lt;&gt;"",DB_Customers!F361,""),"")</f>
        <v/>
      </c>
      <c r="M367" s="470">
        <f>IFERROR(IF(DB_Customers!T361&lt;&gt;"",DB_Customers!T361,""),"")</f>
        <v/>
      </c>
      <c r="N367" s="474">
        <f>IFERROR(IF(DB_Customers!A361&lt;&gt;"",IF(DB_Customers!I361&gt;=10,"Active","Inactive"),""),"")</f>
        <v/>
      </c>
    </row>
    <row r="368" ht="18" customHeight="1" s="341">
      <c r="A368" s="461">
        <f>IF(DB_Customers!A362&lt;&gt;"",359,"")</f>
        <v/>
      </c>
      <c r="B368" s="462">
        <f>IFERROR(IF(DB_Customers!A362&lt;&gt;"",DB_Customers!A362,""),"")</f>
        <v/>
      </c>
      <c r="C368" s="463">
        <f>IFERROR(IF(DB_Customers!D362&lt;&gt;"",DB_Customers!D362,""),"")</f>
        <v/>
      </c>
      <c r="D368" s="464">
        <f>IFERROR(IF(DB_Customers!Q362&lt;&gt;"",DB_Customers!Q362,""),"")</f>
        <v/>
      </c>
      <c r="E368" s="463">
        <f>IFERROR(IF(DB_Customers!R362&lt;&gt;"",DB_Customers!R362,""),"")</f>
        <v/>
      </c>
      <c r="F368" s="463">
        <f>IFERROR(IF(DB_Customers!S362&lt;&gt;"",DB_Customers!S362,""),"")</f>
        <v/>
      </c>
      <c r="G368" s="463">
        <f>IFERROR(IF(DB_Customers!G362&lt;&gt;"",DB_Customers!G362,""),"")</f>
        <v/>
      </c>
      <c r="H368" s="465">
        <f>IFERROR(IF(DB_Customers!H362&lt;&gt;"",DB_Customers!H362,""),"")</f>
        <v/>
      </c>
      <c r="I368" s="466">
        <f>IFERROR(IF(DB_Customers!I362&lt;&gt;"",DB_Customers!I362,""),"")</f>
        <v/>
      </c>
      <c r="J368" s="464">
        <f>IFERROR(IF(DB_Customers!J362&lt;&gt;"",DB_Customers!J362,""),"")</f>
        <v/>
      </c>
      <c r="K368" s="463">
        <f>IFERROR(IF(DB_Customers!E362&lt;&gt;"",DB_Customers!E362,""),"")</f>
        <v/>
      </c>
      <c r="L368" s="463">
        <f>IFERROR(IF(DB_Customers!F362&lt;&gt;"",DB_Customers!F362,""),"")</f>
        <v/>
      </c>
      <c r="M368" s="463">
        <f>IFERROR(IF(DB_Customers!T362&lt;&gt;"",DB_Customers!T362,""),"")</f>
        <v/>
      </c>
      <c r="N368" s="467">
        <f>IFERROR(IF(DB_Customers!A362&lt;&gt;"",IF(DB_Customers!I362&gt;=10,"Active","Inactive"),""),"")</f>
        <v/>
      </c>
    </row>
    <row r="369" ht="18" customHeight="1" s="341">
      <c r="A369" s="468">
        <f>IF(DB_Customers!A363&lt;&gt;"",360,"")</f>
        <v/>
      </c>
      <c r="B369" s="469">
        <f>IFERROR(IF(DB_Customers!A363&lt;&gt;"",DB_Customers!A363,""),"")</f>
        <v/>
      </c>
      <c r="C369" s="470">
        <f>IFERROR(IF(DB_Customers!D363&lt;&gt;"",DB_Customers!D363,""),"")</f>
        <v/>
      </c>
      <c r="D369" s="471">
        <f>IFERROR(IF(DB_Customers!Q363&lt;&gt;"",DB_Customers!Q363,""),"")</f>
        <v/>
      </c>
      <c r="E369" s="470">
        <f>IFERROR(IF(DB_Customers!R363&lt;&gt;"",DB_Customers!R363,""),"")</f>
        <v/>
      </c>
      <c r="F369" s="470">
        <f>IFERROR(IF(DB_Customers!S363&lt;&gt;"",DB_Customers!S363,""),"")</f>
        <v/>
      </c>
      <c r="G369" s="470">
        <f>IFERROR(IF(DB_Customers!G363&lt;&gt;"",DB_Customers!G363,""),"")</f>
        <v/>
      </c>
      <c r="H369" s="472">
        <f>IFERROR(IF(DB_Customers!H363&lt;&gt;"",DB_Customers!H363,""),"")</f>
        <v/>
      </c>
      <c r="I369" s="473">
        <f>IFERROR(IF(DB_Customers!I363&lt;&gt;"",DB_Customers!I363,""),"")</f>
        <v/>
      </c>
      <c r="J369" s="471">
        <f>IFERROR(IF(DB_Customers!J363&lt;&gt;"",DB_Customers!J363,""),"")</f>
        <v/>
      </c>
      <c r="K369" s="470">
        <f>IFERROR(IF(DB_Customers!E363&lt;&gt;"",DB_Customers!E363,""),"")</f>
        <v/>
      </c>
      <c r="L369" s="470">
        <f>IFERROR(IF(DB_Customers!F363&lt;&gt;"",DB_Customers!F363,""),"")</f>
        <v/>
      </c>
      <c r="M369" s="470">
        <f>IFERROR(IF(DB_Customers!T363&lt;&gt;"",DB_Customers!T363,""),"")</f>
        <v/>
      </c>
      <c r="N369" s="474">
        <f>IFERROR(IF(DB_Customers!A363&lt;&gt;"",IF(DB_Customers!I363&gt;=10,"Active","Inactive"),""),"")</f>
        <v/>
      </c>
    </row>
    <row r="370" ht="18" customHeight="1" s="341">
      <c r="A370" s="461">
        <f>IF(DB_Customers!A364&lt;&gt;"",361,"")</f>
        <v/>
      </c>
      <c r="B370" s="462">
        <f>IFERROR(IF(DB_Customers!A364&lt;&gt;"",DB_Customers!A364,""),"")</f>
        <v/>
      </c>
      <c r="C370" s="463">
        <f>IFERROR(IF(DB_Customers!D364&lt;&gt;"",DB_Customers!D364,""),"")</f>
        <v/>
      </c>
      <c r="D370" s="464">
        <f>IFERROR(IF(DB_Customers!Q364&lt;&gt;"",DB_Customers!Q364,""),"")</f>
        <v/>
      </c>
      <c r="E370" s="463">
        <f>IFERROR(IF(DB_Customers!R364&lt;&gt;"",DB_Customers!R364,""),"")</f>
        <v/>
      </c>
      <c r="F370" s="463">
        <f>IFERROR(IF(DB_Customers!S364&lt;&gt;"",DB_Customers!S364,""),"")</f>
        <v/>
      </c>
      <c r="G370" s="463">
        <f>IFERROR(IF(DB_Customers!G364&lt;&gt;"",DB_Customers!G364,""),"")</f>
        <v/>
      </c>
      <c r="H370" s="465">
        <f>IFERROR(IF(DB_Customers!H364&lt;&gt;"",DB_Customers!H364,""),"")</f>
        <v/>
      </c>
      <c r="I370" s="466">
        <f>IFERROR(IF(DB_Customers!I364&lt;&gt;"",DB_Customers!I364,""),"")</f>
        <v/>
      </c>
      <c r="J370" s="464">
        <f>IFERROR(IF(DB_Customers!J364&lt;&gt;"",DB_Customers!J364,""),"")</f>
        <v/>
      </c>
      <c r="K370" s="463">
        <f>IFERROR(IF(DB_Customers!E364&lt;&gt;"",DB_Customers!E364,""),"")</f>
        <v/>
      </c>
      <c r="L370" s="463">
        <f>IFERROR(IF(DB_Customers!F364&lt;&gt;"",DB_Customers!F364,""),"")</f>
        <v/>
      </c>
      <c r="M370" s="463">
        <f>IFERROR(IF(DB_Customers!T364&lt;&gt;"",DB_Customers!T364,""),"")</f>
        <v/>
      </c>
      <c r="N370" s="467">
        <f>IFERROR(IF(DB_Customers!A364&lt;&gt;"",IF(DB_Customers!I364&gt;=10,"Active","Inactive"),""),"")</f>
        <v/>
      </c>
    </row>
    <row r="371" ht="18" customHeight="1" s="341">
      <c r="A371" s="468">
        <f>IF(DB_Customers!A365&lt;&gt;"",362,"")</f>
        <v/>
      </c>
      <c r="B371" s="469">
        <f>IFERROR(IF(DB_Customers!A365&lt;&gt;"",DB_Customers!A365,""),"")</f>
        <v/>
      </c>
      <c r="C371" s="470">
        <f>IFERROR(IF(DB_Customers!D365&lt;&gt;"",DB_Customers!D365,""),"")</f>
        <v/>
      </c>
      <c r="D371" s="471">
        <f>IFERROR(IF(DB_Customers!Q365&lt;&gt;"",DB_Customers!Q365,""),"")</f>
        <v/>
      </c>
      <c r="E371" s="470">
        <f>IFERROR(IF(DB_Customers!R365&lt;&gt;"",DB_Customers!R365,""),"")</f>
        <v/>
      </c>
      <c r="F371" s="470">
        <f>IFERROR(IF(DB_Customers!S365&lt;&gt;"",DB_Customers!S365,""),"")</f>
        <v/>
      </c>
      <c r="G371" s="470">
        <f>IFERROR(IF(DB_Customers!G365&lt;&gt;"",DB_Customers!G365,""),"")</f>
        <v/>
      </c>
      <c r="H371" s="472">
        <f>IFERROR(IF(DB_Customers!H365&lt;&gt;"",DB_Customers!H365,""),"")</f>
        <v/>
      </c>
      <c r="I371" s="473">
        <f>IFERROR(IF(DB_Customers!I365&lt;&gt;"",DB_Customers!I365,""),"")</f>
        <v/>
      </c>
      <c r="J371" s="471">
        <f>IFERROR(IF(DB_Customers!J365&lt;&gt;"",DB_Customers!J365,""),"")</f>
        <v/>
      </c>
      <c r="K371" s="470">
        <f>IFERROR(IF(DB_Customers!E365&lt;&gt;"",DB_Customers!E365,""),"")</f>
        <v/>
      </c>
      <c r="L371" s="470">
        <f>IFERROR(IF(DB_Customers!F365&lt;&gt;"",DB_Customers!F365,""),"")</f>
        <v/>
      </c>
      <c r="M371" s="470">
        <f>IFERROR(IF(DB_Customers!T365&lt;&gt;"",DB_Customers!T365,""),"")</f>
        <v/>
      </c>
      <c r="N371" s="474">
        <f>IFERROR(IF(DB_Customers!A365&lt;&gt;"",IF(DB_Customers!I365&gt;=10,"Active","Inactive"),""),"")</f>
        <v/>
      </c>
    </row>
    <row r="372" ht="18" customHeight="1" s="341">
      <c r="A372" s="461">
        <f>IF(DB_Customers!A366&lt;&gt;"",363,"")</f>
        <v/>
      </c>
      <c r="B372" s="462">
        <f>IFERROR(IF(DB_Customers!A366&lt;&gt;"",DB_Customers!A366,""),"")</f>
        <v/>
      </c>
      <c r="C372" s="463">
        <f>IFERROR(IF(DB_Customers!D366&lt;&gt;"",DB_Customers!D366,""),"")</f>
        <v/>
      </c>
      <c r="D372" s="464">
        <f>IFERROR(IF(DB_Customers!Q366&lt;&gt;"",DB_Customers!Q366,""),"")</f>
        <v/>
      </c>
      <c r="E372" s="463">
        <f>IFERROR(IF(DB_Customers!R366&lt;&gt;"",DB_Customers!R366,""),"")</f>
        <v/>
      </c>
      <c r="F372" s="463">
        <f>IFERROR(IF(DB_Customers!S366&lt;&gt;"",DB_Customers!S366,""),"")</f>
        <v/>
      </c>
      <c r="G372" s="463">
        <f>IFERROR(IF(DB_Customers!G366&lt;&gt;"",DB_Customers!G366,""),"")</f>
        <v/>
      </c>
      <c r="H372" s="465">
        <f>IFERROR(IF(DB_Customers!H366&lt;&gt;"",DB_Customers!H366,""),"")</f>
        <v/>
      </c>
      <c r="I372" s="466">
        <f>IFERROR(IF(DB_Customers!I366&lt;&gt;"",DB_Customers!I366,""),"")</f>
        <v/>
      </c>
      <c r="J372" s="464">
        <f>IFERROR(IF(DB_Customers!J366&lt;&gt;"",DB_Customers!J366,""),"")</f>
        <v/>
      </c>
      <c r="K372" s="463">
        <f>IFERROR(IF(DB_Customers!E366&lt;&gt;"",DB_Customers!E366,""),"")</f>
        <v/>
      </c>
      <c r="L372" s="463">
        <f>IFERROR(IF(DB_Customers!F366&lt;&gt;"",DB_Customers!F366,""),"")</f>
        <v/>
      </c>
      <c r="M372" s="463">
        <f>IFERROR(IF(DB_Customers!T366&lt;&gt;"",DB_Customers!T366,""),"")</f>
        <v/>
      </c>
      <c r="N372" s="467">
        <f>IFERROR(IF(DB_Customers!A366&lt;&gt;"",IF(DB_Customers!I366&gt;=10,"Active","Inactive"),""),"")</f>
        <v/>
      </c>
    </row>
    <row r="373" ht="18" customHeight="1" s="341">
      <c r="A373" s="468">
        <f>IF(DB_Customers!A367&lt;&gt;"",364,"")</f>
        <v/>
      </c>
      <c r="B373" s="469">
        <f>IFERROR(IF(DB_Customers!A367&lt;&gt;"",DB_Customers!A367,""),"")</f>
        <v/>
      </c>
      <c r="C373" s="470">
        <f>IFERROR(IF(DB_Customers!D367&lt;&gt;"",DB_Customers!D367,""),"")</f>
        <v/>
      </c>
      <c r="D373" s="471">
        <f>IFERROR(IF(DB_Customers!Q367&lt;&gt;"",DB_Customers!Q367,""),"")</f>
        <v/>
      </c>
      <c r="E373" s="470">
        <f>IFERROR(IF(DB_Customers!R367&lt;&gt;"",DB_Customers!R367,""),"")</f>
        <v/>
      </c>
      <c r="F373" s="470">
        <f>IFERROR(IF(DB_Customers!S367&lt;&gt;"",DB_Customers!S367,""),"")</f>
        <v/>
      </c>
      <c r="G373" s="470">
        <f>IFERROR(IF(DB_Customers!G367&lt;&gt;"",DB_Customers!G367,""),"")</f>
        <v/>
      </c>
      <c r="H373" s="472">
        <f>IFERROR(IF(DB_Customers!H367&lt;&gt;"",DB_Customers!H367,""),"")</f>
        <v/>
      </c>
      <c r="I373" s="473">
        <f>IFERROR(IF(DB_Customers!I367&lt;&gt;"",DB_Customers!I367,""),"")</f>
        <v/>
      </c>
      <c r="J373" s="471">
        <f>IFERROR(IF(DB_Customers!J367&lt;&gt;"",DB_Customers!J367,""),"")</f>
        <v/>
      </c>
      <c r="K373" s="470">
        <f>IFERROR(IF(DB_Customers!E367&lt;&gt;"",DB_Customers!E367,""),"")</f>
        <v/>
      </c>
      <c r="L373" s="470">
        <f>IFERROR(IF(DB_Customers!F367&lt;&gt;"",DB_Customers!F367,""),"")</f>
        <v/>
      </c>
      <c r="M373" s="470">
        <f>IFERROR(IF(DB_Customers!T367&lt;&gt;"",DB_Customers!T367,""),"")</f>
        <v/>
      </c>
      <c r="N373" s="474">
        <f>IFERROR(IF(DB_Customers!A367&lt;&gt;"",IF(DB_Customers!I367&gt;=10,"Active","Inactive"),""),"")</f>
        <v/>
      </c>
    </row>
    <row r="374" ht="18" customHeight="1" s="341">
      <c r="A374" s="461">
        <f>IF(DB_Customers!A368&lt;&gt;"",365,"")</f>
        <v/>
      </c>
      <c r="B374" s="462">
        <f>IFERROR(IF(DB_Customers!A368&lt;&gt;"",DB_Customers!A368,""),"")</f>
        <v/>
      </c>
      <c r="C374" s="463">
        <f>IFERROR(IF(DB_Customers!D368&lt;&gt;"",DB_Customers!D368,""),"")</f>
        <v/>
      </c>
      <c r="D374" s="464">
        <f>IFERROR(IF(DB_Customers!Q368&lt;&gt;"",DB_Customers!Q368,""),"")</f>
        <v/>
      </c>
      <c r="E374" s="463">
        <f>IFERROR(IF(DB_Customers!R368&lt;&gt;"",DB_Customers!R368,""),"")</f>
        <v/>
      </c>
      <c r="F374" s="463">
        <f>IFERROR(IF(DB_Customers!S368&lt;&gt;"",DB_Customers!S368,""),"")</f>
        <v/>
      </c>
      <c r="G374" s="463">
        <f>IFERROR(IF(DB_Customers!G368&lt;&gt;"",DB_Customers!G368,""),"")</f>
        <v/>
      </c>
      <c r="H374" s="465">
        <f>IFERROR(IF(DB_Customers!H368&lt;&gt;"",DB_Customers!H368,""),"")</f>
        <v/>
      </c>
      <c r="I374" s="466">
        <f>IFERROR(IF(DB_Customers!I368&lt;&gt;"",DB_Customers!I368,""),"")</f>
        <v/>
      </c>
      <c r="J374" s="464">
        <f>IFERROR(IF(DB_Customers!J368&lt;&gt;"",DB_Customers!J368,""),"")</f>
        <v/>
      </c>
      <c r="K374" s="463">
        <f>IFERROR(IF(DB_Customers!E368&lt;&gt;"",DB_Customers!E368,""),"")</f>
        <v/>
      </c>
      <c r="L374" s="463">
        <f>IFERROR(IF(DB_Customers!F368&lt;&gt;"",DB_Customers!F368,""),"")</f>
        <v/>
      </c>
      <c r="M374" s="463">
        <f>IFERROR(IF(DB_Customers!T368&lt;&gt;"",DB_Customers!T368,""),"")</f>
        <v/>
      </c>
      <c r="N374" s="467">
        <f>IFERROR(IF(DB_Customers!A368&lt;&gt;"",IF(DB_Customers!I368&gt;=10,"Active","Inactive"),""),"")</f>
        <v/>
      </c>
    </row>
    <row r="375" ht="18" customHeight="1" s="341">
      <c r="A375" s="468">
        <f>IF(DB_Customers!A369&lt;&gt;"",366,"")</f>
        <v/>
      </c>
      <c r="B375" s="469">
        <f>IFERROR(IF(DB_Customers!A369&lt;&gt;"",DB_Customers!A369,""),"")</f>
        <v/>
      </c>
      <c r="C375" s="470">
        <f>IFERROR(IF(DB_Customers!D369&lt;&gt;"",DB_Customers!D369,""),"")</f>
        <v/>
      </c>
      <c r="D375" s="471">
        <f>IFERROR(IF(DB_Customers!Q369&lt;&gt;"",DB_Customers!Q369,""),"")</f>
        <v/>
      </c>
      <c r="E375" s="470">
        <f>IFERROR(IF(DB_Customers!R369&lt;&gt;"",DB_Customers!R369,""),"")</f>
        <v/>
      </c>
      <c r="F375" s="470">
        <f>IFERROR(IF(DB_Customers!S369&lt;&gt;"",DB_Customers!S369,""),"")</f>
        <v/>
      </c>
      <c r="G375" s="470">
        <f>IFERROR(IF(DB_Customers!G369&lt;&gt;"",DB_Customers!G369,""),"")</f>
        <v/>
      </c>
      <c r="H375" s="472">
        <f>IFERROR(IF(DB_Customers!H369&lt;&gt;"",DB_Customers!H369,""),"")</f>
        <v/>
      </c>
      <c r="I375" s="473">
        <f>IFERROR(IF(DB_Customers!I369&lt;&gt;"",DB_Customers!I369,""),"")</f>
        <v/>
      </c>
      <c r="J375" s="471">
        <f>IFERROR(IF(DB_Customers!J369&lt;&gt;"",DB_Customers!J369,""),"")</f>
        <v/>
      </c>
      <c r="K375" s="470">
        <f>IFERROR(IF(DB_Customers!E369&lt;&gt;"",DB_Customers!E369,""),"")</f>
        <v/>
      </c>
      <c r="L375" s="470">
        <f>IFERROR(IF(DB_Customers!F369&lt;&gt;"",DB_Customers!F369,""),"")</f>
        <v/>
      </c>
      <c r="M375" s="470">
        <f>IFERROR(IF(DB_Customers!T369&lt;&gt;"",DB_Customers!T369,""),"")</f>
        <v/>
      </c>
      <c r="N375" s="474">
        <f>IFERROR(IF(DB_Customers!A369&lt;&gt;"",IF(DB_Customers!I369&gt;=10,"Active","Inactive"),""),"")</f>
        <v/>
      </c>
    </row>
    <row r="376" ht="18" customHeight="1" s="341">
      <c r="A376" s="461">
        <f>IF(DB_Customers!A370&lt;&gt;"",367,"")</f>
        <v/>
      </c>
      <c r="B376" s="462">
        <f>IFERROR(IF(DB_Customers!A370&lt;&gt;"",DB_Customers!A370,""),"")</f>
        <v/>
      </c>
      <c r="C376" s="463">
        <f>IFERROR(IF(DB_Customers!D370&lt;&gt;"",DB_Customers!D370,""),"")</f>
        <v/>
      </c>
      <c r="D376" s="464">
        <f>IFERROR(IF(DB_Customers!Q370&lt;&gt;"",DB_Customers!Q370,""),"")</f>
        <v/>
      </c>
      <c r="E376" s="463">
        <f>IFERROR(IF(DB_Customers!R370&lt;&gt;"",DB_Customers!R370,""),"")</f>
        <v/>
      </c>
      <c r="F376" s="463">
        <f>IFERROR(IF(DB_Customers!S370&lt;&gt;"",DB_Customers!S370,""),"")</f>
        <v/>
      </c>
      <c r="G376" s="463">
        <f>IFERROR(IF(DB_Customers!G370&lt;&gt;"",DB_Customers!G370,""),"")</f>
        <v/>
      </c>
      <c r="H376" s="465">
        <f>IFERROR(IF(DB_Customers!H370&lt;&gt;"",DB_Customers!H370,""),"")</f>
        <v/>
      </c>
      <c r="I376" s="466">
        <f>IFERROR(IF(DB_Customers!I370&lt;&gt;"",DB_Customers!I370,""),"")</f>
        <v/>
      </c>
      <c r="J376" s="464">
        <f>IFERROR(IF(DB_Customers!J370&lt;&gt;"",DB_Customers!J370,""),"")</f>
        <v/>
      </c>
      <c r="K376" s="463">
        <f>IFERROR(IF(DB_Customers!E370&lt;&gt;"",DB_Customers!E370,""),"")</f>
        <v/>
      </c>
      <c r="L376" s="463">
        <f>IFERROR(IF(DB_Customers!F370&lt;&gt;"",DB_Customers!F370,""),"")</f>
        <v/>
      </c>
      <c r="M376" s="463">
        <f>IFERROR(IF(DB_Customers!T370&lt;&gt;"",DB_Customers!T370,""),"")</f>
        <v/>
      </c>
      <c r="N376" s="467">
        <f>IFERROR(IF(DB_Customers!A370&lt;&gt;"",IF(DB_Customers!I370&gt;=10,"Active","Inactive"),""),"")</f>
        <v/>
      </c>
    </row>
    <row r="377" ht="18" customHeight="1" s="341">
      <c r="A377" s="468">
        <f>IF(DB_Customers!A371&lt;&gt;"",368,"")</f>
        <v/>
      </c>
      <c r="B377" s="469">
        <f>IFERROR(IF(DB_Customers!A371&lt;&gt;"",DB_Customers!A371,""),"")</f>
        <v/>
      </c>
      <c r="C377" s="470">
        <f>IFERROR(IF(DB_Customers!D371&lt;&gt;"",DB_Customers!D371,""),"")</f>
        <v/>
      </c>
      <c r="D377" s="471">
        <f>IFERROR(IF(DB_Customers!Q371&lt;&gt;"",DB_Customers!Q371,""),"")</f>
        <v/>
      </c>
      <c r="E377" s="470">
        <f>IFERROR(IF(DB_Customers!R371&lt;&gt;"",DB_Customers!R371,""),"")</f>
        <v/>
      </c>
      <c r="F377" s="470">
        <f>IFERROR(IF(DB_Customers!S371&lt;&gt;"",DB_Customers!S371,""),"")</f>
        <v/>
      </c>
      <c r="G377" s="470">
        <f>IFERROR(IF(DB_Customers!G371&lt;&gt;"",DB_Customers!G371,""),"")</f>
        <v/>
      </c>
      <c r="H377" s="472">
        <f>IFERROR(IF(DB_Customers!H371&lt;&gt;"",DB_Customers!H371,""),"")</f>
        <v/>
      </c>
      <c r="I377" s="473">
        <f>IFERROR(IF(DB_Customers!I371&lt;&gt;"",DB_Customers!I371,""),"")</f>
        <v/>
      </c>
      <c r="J377" s="471">
        <f>IFERROR(IF(DB_Customers!J371&lt;&gt;"",DB_Customers!J371,""),"")</f>
        <v/>
      </c>
      <c r="K377" s="470">
        <f>IFERROR(IF(DB_Customers!E371&lt;&gt;"",DB_Customers!E371,""),"")</f>
        <v/>
      </c>
      <c r="L377" s="470">
        <f>IFERROR(IF(DB_Customers!F371&lt;&gt;"",DB_Customers!F371,""),"")</f>
        <v/>
      </c>
      <c r="M377" s="470">
        <f>IFERROR(IF(DB_Customers!T371&lt;&gt;"",DB_Customers!T371,""),"")</f>
        <v/>
      </c>
      <c r="N377" s="474">
        <f>IFERROR(IF(DB_Customers!A371&lt;&gt;"",IF(DB_Customers!I371&gt;=10,"Active","Inactive"),""),"")</f>
        <v/>
      </c>
    </row>
    <row r="378" ht="18" customHeight="1" s="341">
      <c r="A378" s="461">
        <f>IF(DB_Customers!A372&lt;&gt;"",369,"")</f>
        <v/>
      </c>
      <c r="B378" s="462">
        <f>IFERROR(IF(DB_Customers!A372&lt;&gt;"",DB_Customers!A372,""),"")</f>
        <v/>
      </c>
      <c r="C378" s="463">
        <f>IFERROR(IF(DB_Customers!D372&lt;&gt;"",DB_Customers!D372,""),"")</f>
        <v/>
      </c>
      <c r="D378" s="464">
        <f>IFERROR(IF(DB_Customers!Q372&lt;&gt;"",DB_Customers!Q372,""),"")</f>
        <v/>
      </c>
      <c r="E378" s="463">
        <f>IFERROR(IF(DB_Customers!R372&lt;&gt;"",DB_Customers!R372,""),"")</f>
        <v/>
      </c>
      <c r="F378" s="463">
        <f>IFERROR(IF(DB_Customers!S372&lt;&gt;"",DB_Customers!S372,""),"")</f>
        <v/>
      </c>
      <c r="G378" s="463">
        <f>IFERROR(IF(DB_Customers!G372&lt;&gt;"",DB_Customers!G372,""),"")</f>
        <v/>
      </c>
      <c r="H378" s="465">
        <f>IFERROR(IF(DB_Customers!H372&lt;&gt;"",DB_Customers!H372,""),"")</f>
        <v/>
      </c>
      <c r="I378" s="466">
        <f>IFERROR(IF(DB_Customers!I372&lt;&gt;"",DB_Customers!I372,""),"")</f>
        <v/>
      </c>
      <c r="J378" s="464">
        <f>IFERROR(IF(DB_Customers!J372&lt;&gt;"",DB_Customers!J372,""),"")</f>
        <v/>
      </c>
      <c r="K378" s="463">
        <f>IFERROR(IF(DB_Customers!E372&lt;&gt;"",DB_Customers!E372,""),"")</f>
        <v/>
      </c>
      <c r="L378" s="463">
        <f>IFERROR(IF(DB_Customers!F372&lt;&gt;"",DB_Customers!F372,""),"")</f>
        <v/>
      </c>
      <c r="M378" s="463">
        <f>IFERROR(IF(DB_Customers!T372&lt;&gt;"",DB_Customers!T372,""),"")</f>
        <v/>
      </c>
      <c r="N378" s="467">
        <f>IFERROR(IF(DB_Customers!A372&lt;&gt;"",IF(DB_Customers!I372&gt;=10,"Active","Inactive"),""),"")</f>
        <v/>
      </c>
    </row>
    <row r="379" ht="18" customHeight="1" s="341">
      <c r="A379" s="468">
        <f>IF(DB_Customers!A373&lt;&gt;"",370,"")</f>
        <v/>
      </c>
      <c r="B379" s="469">
        <f>IFERROR(IF(DB_Customers!A373&lt;&gt;"",DB_Customers!A373,""),"")</f>
        <v/>
      </c>
      <c r="C379" s="470">
        <f>IFERROR(IF(DB_Customers!D373&lt;&gt;"",DB_Customers!D373,""),"")</f>
        <v/>
      </c>
      <c r="D379" s="471">
        <f>IFERROR(IF(DB_Customers!Q373&lt;&gt;"",DB_Customers!Q373,""),"")</f>
        <v/>
      </c>
      <c r="E379" s="470">
        <f>IFERROR(IF(DB_Customers!R373&lt;&gt;"",DB_Customers!R373,""),"")</f>
        <v/>
      </c>
      <c r="F379" s="470">
        <f>IFERROR(IF(DB_Customers!S373&lt;&gt;"",DB_Customers!S373,""),"")</f>
        <v/>
      </c>
      <c r="G379" s="470">
        <f>IFERROR(IF(DB_Customers!G373&lt;&gt;"",DB_Customers!G373,""),"")</f>
        <v/>
      </c>
      <c r="H379" s="472">
        <f>IFERROR(IF(DB_Customers!H373&lt;&gt;"",DB_Customers!H373,""),"")</f>
        <v/>
      </c>
      <c r="I379" s="473">
        <f>IFERROR(IF(DB_Customers!I373&lt;&gt;"",DB_Customers!I373,""),"")</f>
        <v/>
      </c>
      <c r="J379" s="471">
        <f>IFERROR(IF(DB_Customers!J373&lt;&gt;"",DB_Customers!J373,""),"")</f>
        <v/>
      </c>
      <c r="K379" s="470">
        <f>IFERROR(IF(DB_Customers!E373&lt;&gt;"",DB_Customers!E373,""),"")</f>
        <v/>
      </c>
      <c r="L379" s="470">
        <f>IFERROR(IF(DB_Customers!F373&lt;&gt;"",DB_Customers!F373,""),"")</f>
        <v/>
      </c>
      <c r="M379" s="470">
        <f>IFERROR(IF(DB_Customers!T373&lt;&gt;"",DB_Customers!T373,""),"")</f>
        <v/>
      </c>
      <c r="N379" s="474">
        <f>IFERROR(IF(DB_Customers!A373&lt;&gt;"",IF(DB_Customers!I373&gt;=10,"Active","Inactive"),""),"")</f>
        <v/>
      </c>
    </row>
    <row r="380" ht="18" customHeight="1" s="341">
      <c r="A380" s="461">
        <f>IF(DB_Customers!A374&lt;&gt;"",371,"")</f>
        <v/>
      </c>
      <c r="B380" s="462">
        <f>IFERROR(IF(DB_Customers!A374&lt;&gt;"",DB_Customers!A374,""),"")</f>
        <v/>
      </c>
      <c r="C380" s="463">
        <f>IFERROR(IF(DB_Customers!D374&lt;&gt;"",DB_Customers!D374,""),"")</f>
        <v/>
      </c>
      <c r="D380" s="464">
        <f>IFERROR(IF(DB_Customers!Q374&lt;&gt;"",DB_Customers!Q374,""),"")</f>
        <v/>
      </c>
      <c r="E380" s="463">
        <f>IFERROR(IF(DB_Customers!R374&lt;&gt;"",DB_Customers!R374,""),"")</f>
        <v/>
      </c>
      <c r="F380" s="463">
        <f>IFERROR(IF(DB_Customers!S374&lt;&gt;"",DB_Customers!S374,""),"")</f>
        <v/>
      </c>
      <c r="G380" s="463">
        <f>IFERROR(IF(DB_Customers!G374&lt;&gt;"",DB_Customers!G374,""),"")</f>
        <v/>
      </c>
      <c r="H380" s="465">
        <f>IFERROR(IF(DB_Customers!H374&lt;&gt;"",DB_Customers!H374,""),"")</f>
        <v/>
      </c>
      <c r="I380" s="466">
        <f>IFERROR(IF(DB_Customers!I374&lt;&gt;"",DB_Customers!I374,""),"")</f>
        <v/>
      </c>
      <c r="J380" s="464">
        <f>IFERROR(IF(DB_Customers!J374&lt;&gt;"",DB_Customers!J374,""),"")</f>
        <v/>
      </c>
      <c r="K380" s="463">
        <f>IFERROR(IF(DB_Customers!E374&lt;&gt;"",DB_Customers!E374,""),"")</f>
        <v/>
      </c>
      <c r="L380" s="463">
        <f>IFERROR(IF(DB_Customers!F374&lt;&gt;"",DB_Customers!F374,""),"")</f>
        <v/>
      </c>
      <c r="M380" s="463">
        <f>IFERROR(IF(DB_Customers!T374&lt;&gt;"",DB_Customers!T374,""),"")</f>
        <v/>
      </c>
      <c r="N380" s="467">
        <f>IFERROR(IF(DB_Customers!A374&lt;&gt;"",IF(DB_Customers!I374&gt;=10,"Active","Inactive"),""),"")</f>
        <v/>
      </c>
    </row>
    <row r="381" ht="18" customHeight="1" s="341">
      <c r="A381" s="468">
        <f>IF(DB_Customers!A375&lt;&gt;"",372,"")</f>
        <v/>
      </c>
      <c r="B381" s="469">
        <f>IFERROR(IF(DB_Customers!A375&lt;&gt;"",DB_Customers!A375,""),"")</f>
        <v/>
      </c>
      <c r="C381" s="470">
        <f>IFERROR(IF(DB_Customers!D375&lt;&gt;"",DB_Customers!D375,""),"")</f>
        <v/>
      </c>
      <c r="D381" s="471">
        <f>IFERROR(IF(DB_Customers!Q375&lt;&gt;"",DB_Customers!Q375,""),"")</f>
        <v/>
      </c>
      <c r="E381" s="470">
        <f>IFERROR(IF(DB_Customers!R375&lt;&gt;"",DB_Customers!R375,""),"")</f>
        <v/>
      </c>
      <c r="F381" s="470">
        <f>IFERROR(IF(DB_Customers!S375&lt;&gt;"",DB_Customers!S375,""),"")</f>
        <v/>
      </c>
      <c r="G381" s="470">
        <f>IFERROR(IF(DB_Customers!G375&lt;&gt;"",DB_Customers!G375,""),"")</f>
        <v/>
      </c>
      <c r="H381" s="472">
        <f>IFERROR(IF(DB_Customers!H375&lt;&gt;"",DB_Customers!H375,""),"")</f>
        <v/>
      </c>
      <c r="I381" s="473">
        <f>IFERROR(IF(DB_Customers!I375&lt;&gt;"",DB_Customers!I375,""),"")</f>
        <v/>
      </c>
      <c r="J381" s="471">
        <f>IFERROR(IF(DB_Customers!J375&lt;&gt;"",DB_Customers!J375,""),"")</f>
        <v/>
      </c>
      <c r="K381" s="470">
        <f>IFERROR(IF(DB_Customers!E375&lt;&gt;"",DB_Customers!E375,""),"")</f>
        <v/>
      </c>
      <c r="L381" s="470">
        <f>IFERROR(IF(DB_Customers!F375&lt;&gt;"",DB_Customers!F375,""),"")</f>
        <v/>
      </c>
      <c r="M381" s="470">
        <f>IFERROR(IF(DB_Customers!T375&lt;&gt;"",DB_Customers!T375,""),"")</f>
        <v/>
      </c>
      <c r="N381" s="474">
        <f>IFERROR(IF(DB_Customers!A375&lt;&gt;"",IF(DB_Customers!I375&gt;=10,"Active","Inactive"),""),"")</f>
        <v/>
      </c>
    </row>
    <row r="382" ht="18" customHeight="1" s="341">
      <c r="A382" s="461">
        <f>IF(DB_Customers!A376&lt;&gt;"",373,"")</f>
        <v/>
      </c>
      <c r="B382" s="462">
        <f>IFERROR(IF(DB_Customers!A376&lt;&gt;"",DB_Customers!A376,""),"")</f>
        <v/>
      </c>
      <c r="C382" s="463">
        <f>IFERROR(IF(DB_Customers!D376&lt;&gt;"",DB_Customers!D376,""),"")</f>
        <v/>
      </c>
      <c r="D382" s="464">
        <f>IFERROR(IF(DB_Customers!Q376&lt;&gt;"",DB_Customers!Q376,""),"")</f>
        <v/>
      </c>
      <c r="E382" s="463">
        <f>IFERROR(IF(DB_Customers!R376&lt;&gt;"",DB_Customers!R376,""),"")</f>
        <v/>
      </c>
      <c r="F382" s="463">
        <f>IFERROR(IF(DB_Customers!S376&lt;&gt;"",DB_Customers!S376,""),"")</f>
        <v/>
      </c>
      <c r="G382" s="463">
        <f>IFERROR(IF(DB_Customers!G376&lt;&gt;"",DB_Customers!G376,""),"")</f>
        <v/>
      </c>
      <c r="H382" s="465">
        <f>IFERROR(IF(DB_Customers!H376&lt;&gt;"",DB_Customers!H376,""),"")</f>
        <v/>
      </c>
      <c r="I382" s="466">
        <f>IFERROR(IF(DB_Customers!I376&lt;&gt;"",DB_Customers!I376,""),"")</f>
        <v/>
      </c>
      <c r="J382" s="464">
        <f>IFERROR(IF(DB_Customers!J376&lt;&gt;"",DB_Customers!J376,""),"")</f>
        <v/>
      </c>
      <c r="K382" s="463">
        <f>IFERROR(IF(DB_Customers!E376&lt;&gt;"",DB_Customers!E376,""),"")</f>
        <v/>
      </c>
      <c r="L382" s="463">
        <f>IFERROR(IF(DB_Customers!F376&lt;&gt;"",DB_Customers!F376,""),"")</f>
        <v/>
      </c>
      <c r="M382" s="463">
        <f>IFERROR(IF(DB_Customers!T376&lt;&gt;"",DB_Customers!T376,""),"")</f>
        <v/>
      </c>
      <c r="N382" s="467">
        <f>IFERROR(IF(DB_Customers!A376&lt;&gt;"",IF(DB_Customers!I376&gt;=10,"Active","Inactive"),""),"")</f>
        <v/>
      </c>
    </row>
    <row r="383" ht="18" customHeight="1" s="341">
      <c r="A383" s="468">
        <f>IF(DB_Customers!A377&lt;&gt;"",374,"")</f>
        <v/>
      </c>
      <c r="B383" s="469">
        <f>IFERROR(IF(DB_Customers!A377&lt;&gt;"",DB_Customers!A377,""),"")</f>
        <v/>
      </c>
      <c r="C383" s="470">
        <f>IFERROR(IF(DB_Customers!D377&lt;&gt;"",DB_Customers!D377,""),"")</f>
        <v/>
      </c>
      <c r="D383" s="471">
        <f>IFERROR(IF(DB_Customers!Q377&lt;&gt;"",DB_Customers!Q377,""),"")</f>
        <v/>
      </c>
      <c r="E383" s="470">
        <f>IFERROR(IF(DB_Customers!R377&lt;&gt;"",DB_Customers!R377,""),"")</f>
        <v/>
      </c>
      <c r="F383" s="470">
        <f>IFERROR(IF(DB_Customers!S377&lt;&gt;"",DB_Customers!S377,""),"")</f>
        <v/>
      </c>
      <c r="G383" s="470">
        <f>IFERROR(IF(DB_Customers!G377&lt;&gt;"",DB_Customers!G377,""),"")</f>
        <v/>
      </c>
      <c r="H383" s="472">
        <f>IFERROR(IF(DB_Customers!H377&lt;&gt;"",DB_Customers!H377,""),"")</f>
        <v/>
      </c>
      <c r="I383" s="473">
        <f>IFERROR(IF(DB_Customers!I377&lt;&gt;"",DB_Customers!I377,""),"")</f>
        <v/>
      </c>
      <c r="J383" s="471">
        <f>IFERROR(IF(DB_Customers!J377&lt;&gt;"",DB_Customers!J377,""),"")</f>
        <v/>
      </c>
      <c r="K383" s="470">
        <f>IFERROR(IF(DB_Customers!E377&lt;&gt;"",DB_Customers!E377,""),"")</f>
        <v/>
      </c>
      <c r="L383" s="470">
        <f>IFERROR(IF(DB_Customers!F377&lt;&gt;"",DB_Customers!F377,""),"")</f>
        <v/>
      </c>
      <c r="M383" s="470">
        <f>IFERROR(IF(DB_Customers!T377&lt;&gt;"",DB_Customers!T377,""),"")</f>
        <v/>
      </c>
      <c r="N383" s="474">
        <f>IFERROR(IF(DB_Customers!A377&lt;&gt;"",IF(DB_Customers!I377&gt;=10,"Active","Inactive"),""),"")</f>
        <v/>
      </c>
    </row>
    <row r="384" ht="18" customHeight="1" s="341">
      <c r="A384" s="461">
        <f>IF(DB_Customers!A378&lt;&gt;"",375,"")</f>
        <v/>
      </c>
      <c r="B384" s="462">
        <f>IFERROR(IF(DB_Customers!A378&lt;&gt;"",DB_Customers!A378,""),"")</f>
        <v/>
      </c>
      <c r="C384" s="463">
        <f>IFERROR(IF(DB_Customers!D378&lt;&gt;"",DB_Customers!D378,""),"")</f>
        <v/>
      </c>
      <c r="D384" s="464">
        <f>IFERROR(IF(DB_Customers!Q378&lt;&gt;"",DB_Customers!Q378,""),"")</f>
        <v/>
      </c>
      <c r="E384" s="463">
        <f>IFERROR(IF(DB_Customers!R378&lt;&gt;"",DB_Customers!R378,""),"")</f>
        <v/>
      </c>
      <c r="F384" s="463">
        <f>IFERROR(IF(DB_Customers!S378&lt;&gt;"",DB_Customers!S378,""),"")</f>
        <v/>
      </c>
      <c r="G384" s="463">
        <f>IFERROR(IF(DB_Customers!G378&lt;&gt;"",DB_Customers!G378,""),"")</f>
        <v/>
      </c>
      <c r="H384" s="465">
        <f>IFERROR(IF(DB_Customers!H378&lt;&gt;"",DB_Customers!H378,""),"")</f>
        <v/>
      </c>
      <c r="I384" s="466">
        <f>IFERROR(IF(DB_Customers!I378&lt;&gt;"",DB_Customers!I378,""),"")</f>
        <v/>
      </c>
      <c r="J384" s="464">
        <f>IFERROR(IF(DB_Customers!J378&lt;&gt;"",DB_Customers!J378,""),"")</f>
        <v/>
      </c>
      <c r="K384" s="463">
        <f>IFERROR(IF(DB_Customers!E378&lt;&gt;"",DB_Customers!E378,""),"")</f>
        <v/>
      </c>
      <c r="L384" s="463">
        <f>IFERROR(IF(DB_Customers!F378&lt;&gt;"",DB_Customers!F378,""),"")</f>
        <v/>
      </c>
      <c r="M384" s="463">
        <f>IFERROR(IF(DB_Customers!T378&lt;&gt;"",DB_Customers!T378,""),"")</f>
        <v/>
      </c>
      <c r="N384" s="467">
        <f>IFERROR(IF(DB_Customers!A378&lt;&gt;"",IF(DB_Customers!I378&gt;=10,"Active","Inactive"),""),"")</f>
        <v/>
      </c>
    </row>
    <row r="385" ht="18" customHeight="1" s="341">
      <c r="A385" s="468">
        <f>IF(DB_Customers!A379&lt;&gt;"",376,"")</f>
        <v/>
      </c>
      <c r="B385" s="469">
        <f>IFERROR(IF(DB_Customers!A379&lt;&gt;"",DB_Customers!A379,""),"")</f>
        <v/>
      </c>
      <c r="C385" s="470">
        <f>IFERROR(IF(DB_Customers!D379&lt;&gt;"",DB_Customers!D379,""),"")</f>
        <v/>
      </c>
      <c r="D385" s="471">
        <f>IFERROR(IF(DB_Customers!Q379&lt;&gt;"",DB_Customers!Q379,""),"")</f>
        <v/>
      </c>
      <c r="E385" s="470">
        <f>IFERROR(IF(DB_Customers!R379&lt;&gt;"",DB_Customers!R379,""),"")</f>
        <v/>
      </c>
      <c r="F385" s="470">
        <f>IFERROR(IF(DB_Customers!S379&lt;&gt;"",DB_Customers!S379,""),"")</f>
        <v/>
      </c>
      <c r="G385" s="470">
        <f>IFERROR(IF(DB_Customers!G379&lt;&gt;"",DB_Customers!G379,""),"")</f>
        <v/>
      </c>
      <c r="H385" s="472">
        <f>IFERROR(IF(DB_Customers!H379&lt;&gt;"",DB_Customers!H379,""),"")</f>
        <v/>
      </c>
      <c r="I385" s="473">
        <f>IFERROR(IF(DB_Customers!I379&lt;&gt;"",DB_Customers!I379,""),"")</f>
        <v/>
      </c>
      <c r="J385" s="471">
        <f>IFERROR(IF(DB_Customers!J379&lt;&gt;"",DB_Customers!J379,""),"")</f>
        <v/>
      </c>
      <c r="K385" s="470">
        <f>IFERROR(IF(DB_Customers!E379&lt;&gt;"",DB_Customers!E379,""),"")</f>
        <v/>
      </c>
      <c r="L385" s="470">
        <f>IFERROR(IF(DB_Customers!F379&lt;&gt;"",DB_Customers!F379,""),"")</f>
        <v/>
      </c>
      <c r="M385" s="470">
        <f>IFERROR(IF(DB_Customers!T379&lt;&gt;"",DB_Customers!T379,""),"")</f>
        <v/>
      </c>
      <c r="N385" s="474">
        <f>IFERROR(IF(DB_Customers!A379&lt;&gt;"",IF(DB_Customers!I379&gt;=10,"Active","Inactive"),""),"")</f>
        <v/>
      </c>
    </row>
    <row r="386" ht="18" customHeight="1" s="341">
      <c r="A386" s="461">
        <f>IF(DB_Customers!A380&lt;&gt;"",377,"")</f>
        <v/>
      </c>
      <c r="B386" s="462">
        <f>IFERROR(IF(DB_Customers!A380&lt;&gt;"",DB_Customers!A380,""),"")</f>
        <v/>
      </c>
      <c r="C386" s="463">
        <f>IFERROR(IF(DB_Customers!D380&lt;&gt;"",DB_Customers!D380,""),"")</f>
        <v/>
      </c>
      <c r="D386" s="464">
        <f>IFERROR(IF(DB_Customers!Q380&lt;&gt;"",DB_Customers!Q380,""),"")</f>
        <v/>
      </c>
      <c r="E386" s="463">
        <f>IFERROR(IF(DB_Customers!R380&lt;&gt;"",DB_Customers!R380,""),"")</f>
        <v/>
      </c>
      <c r="F386" s="463">
        <f>IFERROR(IF(DB_Customers!S380&lt;&gt;"",DB_Customers!S380,""),"")</f>
        <v/>
      </c>
      <c r="G386" s="463">
        <f>IFERROR(IF(DB_Customers!G380&lt;&gt;"",DB_Customers!G380,""),"")</f>
        <v/>
      </c>
      <c r="H386" s="465">
        <f>IFERROR(IF(DB_Customers!H380&lt;&gt;"",DB_Customers!H380,""),"")</f>
        <v/>
      </c>
      <c r="I386" s="466">
        <f>IFERROR(IF(DB_Customers!I380&lt;&gt;"",DB_Customers!I380,""),"")</f>
        <v/>
      </c>
      <c r="J386" s="464">
        <f>IFERROR(IF(DB_Customers!J380&lt;&gt;"",DB_Customers!J380,""),"")</f>
        <v/>
      </c>
      <c r="K386" s="463">
        <f>IFERROR(IF(DB_Customers!E380&lt;&gt;"",DB_Customers!E380,""),"")</f>
        <v/>
      </c>
      <c r="L386" s="463">
        <f>IFERROR(IF(DB_Customers!F380&lt;&gt;"",DB_Customers!F380,""),"")</f>
        <v/>
      </c>
      <c r="M386" s="463">
        <f>IFERROR(IF(DB_Customers!T380&lt;&gt;"",DB_Customers!T380,""),"")</f>
        <v/>
      </c>
      <c r="N386" s="467">
        <f>IFERROR(IF(DB_Customers!A380&lt;&gt;"",IF(DB_Customers!I380&gt;=10,"Active","Inactive"),""),"")</f>
        <v/>
      </c>
    </row>
    <row r="387" ht="18" customHeight="1" s="341">
      <c r="A387" s="468">
        <f>IF(DB_Customers!A381&lt;&gt;"",378,"")</f>
        <v/>
      </c>
      <c r="B387" s="469">
        <f>IFERROR(IF(DB_Customers!A381&lt;&gt;"",DB_Customers!A381,""),"")</f>
        <v/>
      </c>
      <c r="C387" s="470">
        <f>IFERROR(IF(DB_Customers!D381&lt;&gt;"",DB_Customers!D381,""),"")</f>
        <v/>
      </c>
      <c r="D387" s="471">
        <f>IFERROR(IF(DB_Customers!Q381&lt;&gt;"",DB_Customers!Q381,""),"")</f>
        <v/>
      </c>
      <c r="E387" s="470">
        <f>IFERROR(IF(DB_Customers!R381&lt;&gt;"",DB_Customers!R381,""),"")</f>
        <v/>
      </c>
      <c r="F387" s="470">
        <f>IFERROR(IF(DB_Customers!S381&lt;&gt;"",DB_Customers!S381,""),"")</f>
        <v/>
      </c>
      <c r="G387" s="470">
        <f>IFERROR(IF(DB_Customers!G381&lt;&gt;"",DB_Customers!G381,""),"")</f>
        <v/>
      </c>
      <c r="H387" s="472">
        <f>IFERROR(IF(DB_Customers!H381&lt;&gt;"",DB_Customers!H381,""),"")</f>
        <v/>
      </c>
      <c r="I387" s="473">
        <f>IFERROR(IF(DB_Customers!I381&lt;&gt;"",DB_Customers!I381,""),"")</f>
        <v/>
      </c>
      <c r="J387" s="471">
        <f>IFERROR(IF(DB_Customers!J381&lt;&gt;"",DB_Customers!J381,""),"")</f>
        <v/>
      </c>
      <c r="K387" s="470">
        <f>IFERROR(IF(DB_Customers!E381&lt;&gt;"",DB_Customers!E381,""),"")</f>
        <v/>
      </c>
      <c r="L387" s="470">
        <f>IFERROR(IF(DB_Customers!F381&lt;&gt;"",DB_Customers!F381,""),"")</f>
        <v/>
      </c>
      <c r="M387" s="470">
        <f>IFERROR(IF(DB_Customers!T381&lt;&gt;"",DB_Customers!T381,""),"")</f>
        <v/>
      </c>
      <c r="N387" s="474">
        <f>IFERROR(IF(DB_Customers!A381&lt;&gt;"",IF(DB_Customers!I381&gt;=10,"Active","Inactive"),""),"")</f>
        <v/>
      </c>
    </row>
    <row r="388" ht="18" customHeight="1" s="341">
      <c r="A388" s="461">
        <f>IF(DB_Customers!A382&lt;&gt;"",379,"")</f>
        <v/>
      </c>
      <c r="B388" s="462">
        <f>IFERROR(IF(DB_Customers!A382&lt;&gt;"",DB_Customers!A382,""),"")</f>
        <v/>
      </c>
      <c r="C388" s="463">
        <f>IFERROR(IF(DB_Customers!D382&lt;&gt;"",DB_Customers!D382,""),"")</f>
        <v/>
      </c>
      <c r="D388" s="464">
        <f>IFERROR(IF(DB_Customers!Q382&lt;&gt;"",DB_Customers!Q382,""),"")</f>
        <v/>
      </c>
      <c r="E388" s="463">
        <f>IFERROR(IF(DB_Customers!R382&lt;&gt;"",DB_Customers!R382,""),"")</f>
        <v/>
      </c>
      <c r="F388" s="463">
        <f>IFERROR(IF(DB_Customers!S382&lt;&gt;"",DB_Customers!S382,""),"")</f>
        <v/>
      </c>
      <c r="G388" s="463">
        <f>IFERROR(IF(DB_Customers!G382&lt;&gt;"",DB_Customers!G382,""),"")</f>
        <v/>
      </c>
      <c r="H388" s="465">
        <f>IFERROR(IF(DB_Customers!H382&lt;&gt;"",DB_Customers!H382,""),"")</f>
        <v/>
      </c>
      <c r="I388" s="466">
        <f>IFERROR(IF(DB_Customers!I382&lt;&gt;"",DB_Customers!I382,""),"")</f>
        <v/>
      </c>
      <c r="J388" s="464">
        <f>IFERROR(IF(DB_Customers!J382&lt;&gt;"",DB_Customers!J382,""),"")</f>
        <v/>
      </c>
      <c r="K388" s="463">
        <f>IFERROR(IF(DB_Customers!E382&lt;&gt;"",DB_Customers!E382,""),"")</f>
        <v/>
      </c>
      <c r="L388" s="463">
        <f>IFERROR(IF(DB_Customers!F382&lt;&gt;"",DB_Customers!F382,""),"")</f>
        <v/>
      </c>
      <c r="M388" s="463">
        <f>IFERROR(IF(DB_Customers!T382&lt;&gt;"",DB_Customers!T382,""),"")</f>
        <v/>
      </c>
      <c r="N388" s="467">
        <f>IFERROR(IF(DB_Customers!A382&lt;&gt;"",IF(DB_Customers!I382&gt;=10,"Active","Inactive"),""),"")</f>
        <v/>
      </c>
    </row>
    <row r="389" ht="18" customHeight="1" s="341">
      <c r="A389" s="468">
        <f>IF(DB_Customers!A383&lt;&gt;"",380,"")</f>
        <v/>
      </c>
      <c r="B389" s="469">
        <f>IFERROR(IF(DB_Customers!A383&lt;&gt;"",DB_Customers!A383,""),"")</f>
        <v/>
      </c>
      <c r="C389" s="470">
        <f>IFERROR(IF(DB_Customers!D383&lt;&gt;"",DB_Customers!D383,""),"")</f>
        <v/>
      </c>
      <c r="D389" s="471">
        <f>IFERROR(IF(DB_Customers!Q383&lt;&gt;"",DB_Customers!Q383,""),"")</f>
        <v/>
      </c>
      <c r="E389" s="470">
        <f>IFERROR(IF(DB_Customers!R383&lt;&gt;"",DB_Customers!R383,""),"")</f>
        <v/>
      </c>
      <c r="F389" s="470">
        <f>IFERROR(IF(DB_Customers!S383&lt;&gt;"",DB_Customers!S383,""),"")</f>
        <v/>
      </c>
      <c r="G389" s="470">
        <f>IFERROR(IF(DB_Customers!G383&lt;&gt;"",DB_Customers!G383,""),"")</f>
        <v/>
      </c>
      <c r="H389" s="472">
        <f>IFERROR(IF(DB_Customers!H383&lt;&gt;"",DB_Customers!H383,""),"")</f>
        <v/>
      </c>
      <c r="I389" s="473">
        <f>IFERROR(IF(DB_Customers!I383&lt;&gt;"",DB_Customers!I383,""),"")</f>
        <v/>
      </c>
      <c r="J389" s="471">
        <f>IFERROR(IF(DB_Customers!J383&lt;&gt;"",DB_Customers!J383,""),"")</f>
        <v/>
      </c>
      <c r="K389" s="470">
        <f>IFERROR(IF(DB_Customers!E383&lt;&gt;"",DB_Customers!E383,""),"")</f>
        <v/>
      </c>
      <c r="L389" s="470">
        <f>IFERROR(IF(DB_Customers!F383&lt;&gt;"",DB_Customers!F383,""),"")</f>
        <v/>
      </c>
      <c r="M389" s="470">
        <f>IFERROR(IF(DB_Customers!T383&lt;&gt;"",DB_Customers!T383,""),"")</f>
        <v/>
      </c>
      <c r="N389" s="474">
        <f>IFERROR(IF(DB_Customers!A383&lt;&gt;"",IF(DB_Customers!I383&gt;=10,"Active","Inactive"),""),"")</f>
        <v/>
      </c>
    </row>
    <row r="390" ht="18" customHeight="1" s="341">
      <c r="A390" s="461">
        <f>IF(DB_Customers!A384&lt;&gt;"",381,"")</f>
        <v/>
      </c>
      <c r="B390" s="462">
        <f>IFERROR(IF(DB_Customers!A384&lt;&gt;"",DB_Customers!A384,""),"")</f>
        <v/>
      </c>
      <c r="C390" s="463">
        <f>IFERROR(IF(DB_Customers!D384&lt;&gt;"",DB_Customers!D384,""),"")</f>
        <v/>
      </c>
      <c r="D390" s="464">
        <f>IFERROR(IF(DB_Customers!Q384&lt;&gt;"",DB_Customers!Q384,""),"")</f>
        <v/>
      </c>
      <c r="E390" s="463">
        <f>IFERROR(IF(DB_Customers!R384&lt;&gt;"",DB_Customers!R384,""),"")</f>
        <v/>
      </c>
      <c r="F390" s="463">
        <f>IFERROR(IF(DB_Customers!S384&lt;&gt;"",DB_Customers!S384,""),"")</f>
        <v/>
      </c>
      <c r="G390" s="463">
        <f>IFERROR(IF(DB_Customers!G384&lt;&gt;"",DB_Customers!G384,""),"")</f>
        <v/>
      </c>
      <c r="H390" s="465">
        <f>IFERROR(IF(DB_Customers!H384&lt;&gt;"",DB_Customers!H384,""),"")</f>
        <v/>
      </c>
      <c r="I390" s="466">
        <f>IFERROR(IF(DB_Customers!I384&lt;&gt;"",DB_Customers!I384,""),"")</f>
        <v/>
      </c>
      <c r="J390" s="464">
        <f>IFERROR(IF(DB_Customers!J384&lt;&gt;"",DB_Customers!J384,""),"")</f>
        <v/>
      </c>
      <c r="K390" s="463">
        <f>IFERROR(IF(DB_Customers!E384&lt;&gt;"",DB_Customers!E384,""),"")</f>
        <v/>
      </c>
      <c r="L390" s="463">
        <f>IFERROR(IF(DB_Customers!F384&lt;&gt;"",DB_Customers!F384,""),"")</f>
        <v/>
      </c>
      <c r="M390" s="463">
        <f>IFERROR(IF(DB_Customers!T384&lt;&gt;"",DB_Customers!T384,""),"")</f>
        <v/>
      </c>
      <c r="N390" s="467">
        <f>IFERROR(IF(DB_Customers!A384&lt;&gt;"",IF(DB_Customers!I384&gt;=10,"Active","Inactive"),""),"")</f>
        <v/>
      </c>
    </row>
    <row r="391" ht="18" customHeight="1" s="341">
      <c r="A391" s="468">
        <f>IF(DB_Customers!A385&lt;&gt;"",382,"")</f>
        <v/>
      </c>
      <c r="B391" s="469">
        <f>IFERROR(IF(DB_Customers!A385&lt;&gt;"",DB_Customers!A385,""),"")</f>
        <v/>
      </c>
      <c r="C391" s="470">
        <f>IFERROR(IF(DB_Customers!D385&lt;&gt;"",DB_Customers!D385,""),"")</f>
        <v/>
      </c>
      <c r="D391" s="471">
        <f>IFERROR(IF(DB_Customers!Q385&lt;&gt;"",DB_Customers!Q385,""),"")</f>
        <v/>
      </c>
      <c r="E391" s="470">
        <f>IFERROR(IF(DB_Customers!R385&lt;&gt;"",DB_Customers!R385,""),"")</f>
        <v/>
      </c>
      <c r="F391" s="470">
        <f>IFERROR(IF(DB_Customers!S385&lt;&gt;"",DB_Customers!S385,""),"")</f>
        <v/>
      </c>
      <c r="G391" s="470">
        <f>IFERROR(IF(DB_Customers!G385&lt;&gt;"",DB_Customers!G385,""),"")</f>
        <v/>
      </c>
      <c r="H391" s="472">
        <f>IFERROR(IF(DB_Customers!H385&lt;&gt;"",DB_Customers!H385,""),"")</f>
        <v/>
      </c>
      <c r="I391" s="473">
        <f>IFERROR(IF(DB_Customers!I385&lt;&gt;"",DB_Customers!I385,""),"")</f>
        <v/>
      </c>
      <c r="J391" s="471">
        <f>IFERROR(IF(DB_Customers!J385&lt;&gt;"",DB_Customers!J385,""),"")</f>
        <v/>
      </c>
      <c r="K391" s="470">
        <f>IFERROR(IF(DB_Customers!E385&lt;&gt;"",DB_Customers!E385,""),"")</f>
        <v/>
      </c>
      <c r="L391" s="470">
        <f>IFERROR(IF(DB_Customers!F385&lt;&gt;"",DB_Customers!F385,""),"")</f>
        <v/>
      </c>
      <c r="M391" s="470">
        <f>IFERROR(IF(DB_Customers!T385&lt;&gt;"",DB_Customers!T385,""),"")</f>
        <v/>
      </c>
      <c r="N391" s="474">
        <f>IFERROR(IF(DB_Customers!A385&lt;&gt;"",IF(DB_Customers!I385&gt;=10,"Active","Inactive"),""),"")</f>
        <v/>
      </c>
    </row>
    <row r="392" ht="18" customHeight="1" s="341">
      <c r="A392" s="461">
        <f>IF(DB_Customers!A386&lt;&gt;"",383,"")</f>
        <v/>
      </c>
      <c r="B392" s="462">
        <f>IFERROR(IF(DB_Customers!A386&lt;&gt;"",DB_Customers!A386,""),"")</f>
        <v/>
      </c>
      <c r="C392" s="463">
        <f>IFERROR(IF(DB_Customers!D386&lt;&gt;"",DB_Customers!D386,""),"")</f>
        <v/>
      </c>
      <c r="D392" s="464">
        <f>IFERROR(IF(DB_Customers!Q386&lt;&gt;"",DB_Customers!Q386,""),"")</f>
        <v/>
      </c>
      <c r="E392" s="463">
        <f>IFERROR(IF(DB_Customers!R386&lt;&gt;"",DB_Customers!R386,""),"")</f>
        <v/>
      </c>
      <c r="F392" s="463">
        <f>IFERROR(IF(DB_Customers!S386&lt;&gt;"",DB_Customers!S386,""),"")</f>
        <v/>
      </c>
      <c r="G392" s="463">
        <f>IFERROR(IF(DB_Customers!G386&lt;&gt;"",DB_Customers!G386,""),"")</f>
        <v/>
      </c>
      <c r="H392" s="465">
        <f>IFERROR(IF(DB_Customers!H386&lt;&gt;"",DB_Customers!H386,""),"")</f>
        <v/>
      </c>
      <c r="I392" s="466">
        <f>IFERROR(IF(DB_Customers!I386&lt;&gt;"",DB_Customers!I386,""),"")</f>
        <v/>
      </c>
      <c r="J392" s="464">
        <f>IFERROR(IF(DB_Customers!J386&lt;&gt;"",DB_Customers!J386,""),"")</f>
        <v/>
      </c>
      <c r="K392" s="463">
        <f>IFERROR(IF(DB_Customers!E386&lt;&gt;"",DB_Customers!E386,""),"")</f>
        <v/>
      </c>
      <c r="L392" s="463">
        <f>IFERROR(IF(DB_Customers!F386&lt;&gt;"",DB_Customers!F386,""),"")</f>
        <v/>
      </c>
      <c r="M392" s="463">
        <f>IFERROR(IF(DB_Customers!T386&lt;&gt;"",DB_Customers!T386,""),"")</f>
        <v/>
      </c>
      <c r="N392" s="467">
        <f>IFERROR(IF(DB_Customers!A386&lt;&gt;"",IF(DB_Customers!I386&gt;=10,"Active","Inactive"),""),"")</f>
        <v/>
      </c>
    </row>
    <row r="393" ht="18" customHeight="1" s="341">
      <c r="A393" s="468">
        <f>IF(DB_Customers!A387&lt;&gt;"",384,"")</f>
        <v/>
      </c>
      <c r="B393" s="469">
        <f>IFERROR(IF(DB_Customers!A387&lt;&gt;"",DB_Customers!A387,""),"")</f>
        <v/>
      </c>
      <c r="C393" s="470">
        <f>IFERROR(IF(DB_Customers!D387&lt;&gt;"",DB_Customers!D387,""),"")</f>
        <v/>
      </c>
      <c r="D393" s="471">
        <f>IFERROR(IF(DB_Customers!Q387&lt;&gt;"",DB_Customers!Q387,""),"")</f>
        <v/>
      </c>
      <c r="E393" s="470">
        <f>IFERROR(IF(DB_Customers!R387&lt;&gt;"",DB_Customers!R387,""),"")</f>
        <v/>
      </c>
      <c r="F393" s="470">
        <f>IFERROR(IF(DB_Customers!S387&lt;&gt;"",DB_Customers!S387,""),"")</f>
        <v/>
      </c>
      <c r="G393" s="470">
        <f>IFERROR(IF(DB_Customers!G387&lt;&gt;"",DB_Customers!G387,""),"")</f>
        <v/>
      </c>
      <c r="H393" s="472">
        <f>IFERROR(IF(DB_Customers!H387&lt;&gt;"",DB_Customers!H387,""),"")</f>
        <v/>
      </c>
      <c r="I393" s="473">
        <f>IFERROR(IF(DB_Customers!I387&lt;&gt;"",DB_Customers!I387,""),"")</f>
        <v/>
      </c>
      <c r="J393" s="471">
        <f>IFERROR(IF(DB_Customers!J387&lt;&gt;"",DB_Customers!J387,""),"")</f>
        <v/>
      </c>
      <c r="K393" s="470">
        <f>IFERROR(IF(DB_Customers!E387&lt;&gt;"",DB_Customers!E387,""),"")</f>
        <v/>
      </c>
      <c r="L393" s="470">
        <f>IFERROR(IF(DB_Customers!F387&lt;&gt;"",DB_Customers!F387,""),"")</f>
        <v/>
      </c>
      <c r="M393" s="470">
        <f>IFERROR(IF(DB_Customers!T387&lt;&gt;"",DB_Customers!T387,""),"")</f>
        <v/>
      </c>
      <c r="N393" s="474">
        <f>IFERROR(IF(DB_Customers!A387&lt;&gt;"",IF(DB_Customers!I387&gt;=10,"Active","Inactive"),""),"")</f>
        <v/>
      </c>
    </row>
    <row r="394" ht="18" customHeight="1" s="341">
      <c r="A394" s="461">
        <f>IF(DB_Customers!A388&lt;&gt;"",385,"")</f>
        <v/>
      </c>
      <c r="B394" s="462">
        <f>IFERROR(IF(DB_Customers!A388&lt;&gt;"",DB_Customers!A388,""),"")</f>
        <v/>
      </c>
      <c r="C394" s="463">
        <f>IFERROR(IF(DB_Customers!D388&lt;&gt;"",DB_Customers!D388,""),"")</f>
        <v/>
      </c>
      <c r="D394" s="464">
        <f>IFERROR(IF(DB_Customers!Q388&lt;&gt;"",DB_Customers!Q388,""),"")</f>
        <v/>
      </c>
      <c r="E394" s="463">
        <f>IFERROR(IF(DB_Customers!R388&lt;&gt;"",DB_Customers!R388,""),"")</f>
        <v/>
      </c>
      <c r="F394" s="463">
        <f>IFERROR(IF(DB_Customers!S388&lt;&gt;"",DB_Customers!S388,""),"")</f>
        <v/>
      </c>
      <c r="G394" s="463">
        <f>IFERROR(IF(DB_Customers!G388&lt;&gt;"",DB_Customers!G388,""),"")</f>
        <v/>
      </c>
      <c r="H394" s="465">
        <f>IFERROR(IF(DB_Customers!H388&lt;&gt;"",DB_Customers!H388,""),"")</f>
        <v/>
      </c>
      <c r="I394" s="466">
        <f>IFERROR(IF(DB_Customers!I388&lt;&gt;"",DB_Customers!I388,""),"")</f>
        <v/>
      </c>
      <c r="J394" s="464">
        <f>IFERROR(IF(DB_Customers!J388&lt;&gt;"",DB_Customers!J388,""),"")</f>
        <v/>
      </c>
      <c r="K394" s="463">
        <f>IFERROR(IF(DB_Customers!E388&lt;&gt;"",DB_Customers!E388,""),"")</f>
        <v/>
      </c>
      <c r="L394" s="463">
        <f>IFERROR(IF(DB_Customers!F388&lt;&gt;"",DB_Customers!F388,""),"")</f>
        <v/>
      </c>
      <c r="M394" s="463">
        <f>IFERROR(IF(DB_Customers!T388&lt;&gt;"",DB_Customers!T388,""),"")</f>
        <v/>
      </c>
      <c r="N394" s="467">
        <f>IFERROR(IF(DB_Customers!A388&lt;&gt;"",IF(DB_Customers!I388&gt;=10,"Active","Inactive"),""),"")</f>
        <v/>
      </c>
    </row>
    <row r="395" ht="18" customHeight="1" s="341">
      <c r="A395" s="468">
        <f>IF(DB_Customers!A389&lt;&gt;"",386,"")</f>
        <v/>
      </c>
      <c r="B395" s="469">
        <f>IFERROR(IF(DB_Customers!A389&lt;&gt;"",DB_Customers!A389,""),"")</f>
        <v/>
      </c>
      <c r="C395" s="470">
        <f>IFERROR(IF(DB_Customers!D389&lt;&gt;"",DB_Customers!D389,""),"")</f>
        <v/>
      </c>
      <c r="D395" s="471">
        <f>IFERROR(IF(DB_Customers!Q389&lt;&gt;"",DB_Customers!Q389,""),"")</f>
        <v/>
      </c>
      <c r="E395" s="470">
        <f>IFERROR(IF(DB_Customers!R389&lt;&gt;"",DB_Customers!R389,""),"")</f>
        <v/>
      </c>
      <c r="F395" s="470">
        <f>IFERROR(IF(DB_Customers!S389&lt;&gt;"",DB_Customers!S389,""),"")</f>
        <v/>
      </c>
      <c r="G395" s="470">
        <f>IFERROR(IF(DB_Customers!G389&lt;&gt;"",DB_Customers!G389,""),"")</f>
        <v/>
      </c>
      <c r="H395" s="472">
        <f>IFERROR(IF(DB_Customers!H389&lt;&gt;"",DB_Customers!H389,""),"")</f>
        <v/>
      </c>
      <c r="I395" s="473">
        <f>IFERROR(IF(DB_Customers!I389&lt;&gt;"",DB_Customers!I389,""),"")</f>
        <v/>
      </c>
      <c r="J395" s="471">
        <f>IFERROR(IF(DB_Customers!J389&lt;&gt;"",DB_Customers!J389,""),"")</f>
        <v/>
      </c>
      <c r="K395" s="470">
        <f>IFERROR(IF(DB_Customers!E389&lt;&gt;"",DB_Customers!E389,""),"")</f>
        <v/>
      </c>
      <c r="L395" s="470">
        <f>IFERROR(IF(DB_Customers!F389&lt;&gt;"",DB_Customers!F389,""),"")</f>
        <v/>
      </c>
      <c r="M395" s="470">
        <f>IFERROR(IF(DB_Customers!T389&lt;&gt;"",DB_Customers!T389,""),"")</f>
        <v/>
      </c>
      <c r="N395" s="474">
        <f>IFERROR(IF(DB_Customers!A389&lt;&gt;"",IF(DB_Customers!I389&gt;=10,"Active","Inactive"),""),"")</f>
        <v/>
      </c>
    </row>
    <row r="396" ht="18" customHeight="1" s="341">
      <c r="A396" s="461">
        <f>IF(DB_Customers!A390&lt;&gt;"",387,"")</f>
        <v/>
      </c>
      <c r="B396" s="462">
        <f>IFERROR(IF(DB_Customers!A390&lt;&gt;"",DB_Customers!A390,""),"")</f>
        <v/>
      </c>
      <c r="C396" s="463">
        <f>IFERROR(IF(DB_Customers!D390&lt;&gt;"",DB_Customers!D390,""),"")</f>
        <v/>
      </c>
      <c r="D396" s="464">
        <f>IFERROR(IF(DB_Customers!Q390&lt;&gt;"",DB_Customers!Q390,""),"")</f>
        <v/>
      </c>
      <c r="E396" s="463">
        <f>IFERROR(IF(DB_Customers!R390&lt;&gt;"",DB_Customers!R390,""),"")</f>
        <v/>
      </c>
      <c r="F396" s="463">
        <f>IFERROR(IF(DB_Customers!S390&lt;&gt;"",DB_Customers!S390,""),"")</f>
        <v/>
      </c>
      <c r="G396" s="463">
        <f>IFERROR(IF(DB_Customers!G390&lt;&gt;"",DB_Customers!G390,""),"")</f>
        <v/>
      </c>
      <c r="H396" s="465">
        <f>IFERROR(IF(DB_Customers!H390&lt;&gt;"",DB_Customers!H390,""),"")</f>
        <v/>
      </c>
      <c r="I396" s="466">
        <f>IFERROR(IF(DB_Customers!I390&lt;&gt;"",DB_Customers!I390,""),"")</f>
        <v/>
      </c>
      <c r="J396" s="464">
        <f>IFERROR(IF(DB_Customers!J390&lt;&gt;"",DB_Customers!J390,""),"")</f>
        <v/>
      </c>
      <c r="K396" s="463">
        <f>IFERROR(IF(DB_Customers!E390&lt;&gt;"",DB_Customers!E390,""),"")</f>
        <v/>
      </c>
      <c r="L396" s="463">
        <f>IFERROR(IF(DB_Customers!F390&lt;&gt;"",DB_Customers!F390,""),"")</f>
        <v/>
      </c>
      <c r="M396" s="463">
        <f>IFERROR(IF(DB_Customers!T390&lt;&gt;"",DB_Customers!T390,""),"")</f>
        <v/>
      </c>
      <c r="N396" s="467">
        <f>IFERROR(IF(DB_Customers!A390&lt;&gt;"",IF(DB_Customers!I390&gt;=10,"Active","Inactive"),""),"")</f>
        <v/>
      </c>
    </row>
    <row r="397" ht="18" customHeight="1" s="341">
      <c r="A397" s="468">
        <f>IF(DB_Customers!A391&lt;&gt;"",388,"")</f>
        <v/>
      </c>
      <c r="B397" s="469">
        <f>IFERROR(IF(DB_Customers!A391&lt;&gt;"",DB_Customers!A391,""),"")</f>
        <v/>
      </c>
      <c r="C397" s="470">
        <f>IFERROR(IF(DB_Customers!D391&lt;&gt;"",DB_Customers!D391,""),"")</f>
        <v/>
      </c>
      <c r="D397" s="471">
        <f>IFERROR(IF(DB_Customers!Q391&lt;&gt;"",DB_Customers!Q391,""),"")</f>
        <v/>
      </c>
      <c r="E397" s="470">
        <f>IFERROR(IF(DB_Customers!R391&lt;&gt;"",DB_Customers!R391,""),"")</f>
        <v/>
      </c>
      <c r="F397" s="470">
        <f>IFERROR(IF(DB_Customers!S391&lt;&gt;"",DB_Customers!S391,""),"")</f>
        <v/>
      </c>
      <c r="G397" s="470">
        <f>IFERROR(IF(DB_Customers!G391&lt;&gt;"",DB_Customers!G391,""),"")</f>
        <v/>
      </c>
      <c r="H397" s="472">
        <f>IFERROR(IF(DB_Customers!H391&lt;&gt;"",DB_Customers!H391,""),"")</f>
        <v/>
      </c>
      <c r="I397" s="473">
        <f>IFERROR(IF(DB_Customers!I391&lt;&gt;"",DB_Customers!I391,""),"")</f>
        <v/>
      </c>
      <c r="J397" s="471">
        <f>IFERROR(IF(DB_Customers!J391&lt;&gt;"",DB_Customers!J391,""),"")</f>
        <v/>
      </c>
      <c r="K397" s="470">
        <f>IFERROR(IF(DB_Customers!E391&lt;&gt;"",DB_Customers!E391,""),"")</f>
        <v/>
      </c>
      <c r="L397" s="470">
        <f>IFERROR(IF(DB_Customers!F391&lt;&gt;"",DB_Customers!F391,""),"")</f>
        <v/>
      </c>
      <c r="M397" s="470">
        <f>IFERROR(IF(DB_Customers!T391&lt;&gt;"",DB_Customers!T391,""),"")</f>
        <v/>
      </c>
      <c r="N397" s="474">
        <f>IFERROR(IF(DB_Customers!A391&lt;&gt;"",IF(DB_Customers!I391&gt;=10,"Active","Inactive"),""),"")</f>
        <v/>
      </c>
    </row>
    <row r="398" ht="18" customHeight="1" s="341">
      <c r="A398" s="461">
        <f>IF(DB_Customers!A392&lt;&gt;"",389,"")</f>
        <v/>
      </c>
      <c r="B398" s="462">
        <f>IFERROR(IF(DB_Customers!A392&lt;&gt;"",DB_Customers!A392,""),"")</f>
        <v/>
      </c>
      <c r="C398" s="463">
        <f>IFERROR(IF(DB_Customers!D392&lt;&gt;"",DB_Customers!D392,""),"")</f>
        <v/>
      </c>
      <c r="D398" s="464">
        <f>IFERROR(IF(DB_Customers!Q392&lt;&gt;"",DB_Customers!Q392,""),"")</f>
        <v/>
      </c>
      <c r="E398" s="463">
        <f>IFERROR(IF(DB_Customers!R392&lt;&gt;"",DB_Customers!R392,""),"")</f>
        <v/>
      </c>
      <c r="F398" s="463">
        <f>IFERROR(IF(DB_Customers!S392&lt;&gt;"",DB_Customers!S392,""),"")</f>
        <v/>
      </c>
      <c r="G398" s="463">
        <f>IFERROR(IF(DB_Customers!G392&lt;&gt;"",DB_Customers!G392,""),"")</f>
        <v/>
      </c>
      <c r="H398" s="465">
        <f>IFERROR(IF(DB_Customers!H392&lt;&gt;"",DB_Customers!H392,""),"")</f>
        <v/>
      </c>
      <c r="I398" s="466">
        <f>IFERROR(IF(DB_Customers!I392&lt;&gt;"",DB_Customers!I392,""),"")</f>
        <v/>
      </c>
      <c r="J398" s="464">
        <f>IFERROR(IF(DB_Customers!J392&lt;&gt;"",DB_Customers!J392,""),"")</f>
        <v/>
      </c>
      <c r="K398" s="463">
        <f>IFERROR(IF(DB_Customers!E392&lt;&gt;"",DB_Customers!E392,""),"")</f>
        <v/>
      </c>
      <c r="L398" s="463">
        <f>IFERROR(IF(DB_Customers!F392&lt;&gt;"",DB_Customers!F392,""),"")</f>
        <v/>
      </c>
      <c r="M398" s="463">
        <f>IFERROR(IF(DB_Customers!T392&lt;&gt;"",DB_Customers!T392,""),"")</f>
        <v/>
      </c>
      <c r="N398" s="467">
        <f>IFERROR(IF(DB_Customers!A392&lt;&gt;"",IF(DB_Customers!I392&gt;=10,"Active","Inactive"),""),"")</f>
        <v/>
      </c>
    </row>
    <row r="399" ht="18" customHeight="1" s="341">
      <c r="A399" s="468">
        <f>IF(DB_Customers!A393&lt;&gt;"",390,"")</f>
        <v/>
      </c>
      <c r="B399" s="469">
        <f>IFERROR(IF(DB_Customers!A393&lt;&gt;"",DB_Customers!A393,""),"")</f>
        <v/>
      </c>
      <c r="C399" s="470">
        <f>IFERROR(IF(DB_Customers!D393&lt;&gt;"",DB_Customers!D393,""),"")</f>
        <v/>
      </c>
      <c r="D399" s="471">
        <f>IFERROR(IF(DB_Customers!Q393&lt;&gt;"",DB_Customers!Q393,""),"")</f>
        <v/>
      </c>
      <c r="E399" s="470">
        <f>IFERROR(IF(DB_Customers!R393&lt;&gt;"",DB_Customers!R393,""),"")</f>
        <v/>
      </c>
      <c r="F399" s="470">
        <f>IFERROR(IF(DB_Customers!S393&lt;&gt;"",DB_Customers!S393,""),"")</f>
        <v/>
      </c>
      <c r="G399" s="470">
        <f>IFERROR(IF(DB_Customers!G393&lt;&gt;"",DB_Customers!G393,""),"")</f>
        <v/>
      </c>
      <c r="H399" s="472">
        <f>IFERROR(IF(DB_Customers!H393&lt;&gt;"",DB_Customers!H393,""),"")</f>
        <v/>
      </c>
      <c r="I399" s="473">
        <f>IFERROR(IF(DB_Customers!I393&lt;&gt;"",DB_Customers!I393,""),"")</f>
        <v/>
      </c>
      <c r="J399" s="471">
        <f>IFERROR(IF(DB_Customers!J393&lt;&gt;"",DB_Customers!J393,""),"")</f>
        <v/>
      </c>
      <c r="K399" s="470">
        <f>IFERROR(IF(DB_Customers!E393&lt;&gt;"",DB_Customers!E393,""),"")</f>
        <v/>
      </c>
      <c r="L399" s="470">
        <f>IFERROR(IF(DB_Customers!F393&lt;&gt;"",DB_Customers!F393,""),"")</f>
        <v/>
      </c>
      <c r="M399" s="470">
        <f>IFERROR(IF(DB_Customers!T393&lt;&gt;"",DB_Customers!T393,""),"")</f>
        <v/>
      </c>
      <c r="N399" s="474">
        <f>IFERROR(IF(DB_Customers!A393&lt;&gt;"",IF(DB_Customers!I393&gt;=10,"Active","Inactive"),""),"")</f>
        <v/>
      </c>
    </row>
    <row r="400" ht="18" customHeight="1" s="341">
      <c r="A400" s="461">
        <f>IF(DB_Customers!A394&lt;&gt;"",391,"")</f>
        <v/>
      </c>
      <c r="B400" s="462">
        <f>IFERROR(IF(DB_Customers!A394&lt;&gt;"",DB_Customers!A394,""),"")</f>
        <v/>
      </c>
      <c r="C400" s="463">
        <f>IFERROR(IF(DB_Customers!D394&lt;&gt;"",DB_Customers!D394,""),"")</f>
        <v/>
      </c>
      <c r="D400" s="464">
        <f>IFERROR(IF(DB_Customers!Q394&lt;&gt;"",DB_Customers!Q394,""),"")</f>
        <v/>
      </c>
      <c r="E400" s="463">
        <f>IFERROR(IF(DB_Customers!R394&lt;&gt;"",DB_Customers!R394,""),"")</f>
        <v/>
      </c>
      <c r="F400" s="463">
        <f>IFERROR(IF(DB_Customers!S394&lt;&gt;"",DB_Customers!S394,""),"")</f>
        <v/>
      </c>
      <c r="G400" s="463">
        <f>IFERROR(IF(DB_Customers!G394&lt;&gt;"",DB_Customers!G394,""),"")</f>
        <v/>
      </c>
      <c r="H400" s="465">
        <f>IFERROR(IF(DB_Customers!H394&lt;&gt;"",DB_Customers!H394,""),"")</f>
        <v/>
      </c>
      <c r="I400" s="466">
        <f>IFERROR(IF(DB_Customers!I394&lt;&gt;"",DB_Customers!I394,""),"")</f>
        <v/>
      </c>
      <c r="J400" s="464">
        <f>IFERROR(IF(DB_Customers!J394&lt;&gt;"",DB_Customers!J394,""),"")</f>
        <v/>
      </c>
      <c r="K400" s="463">
        <f>IFERROR(IF(DB_Customers!E394&lt;&gt;"",DB_Customers!E394,""),"")</f>
        <v/>
      </c>
      <c r="L400" s="463">
        <f>IFERROR(IF(DB_Customers!F394&lt;&gt;"",DB_Customers!F394,""),"")</f>
        <v/>
      </c>
      <c r="M400" s="463">
        <f>IFERROR(IF(DB_Customers!T394&lt;&gt;"",DB_Customers!T394,""),"")</f>
        <v/>
      </c>
      <c r="N400" s="467">
        <f>IFERROR(IF(DB_Customers!A394&lt;&gt;"",IF(DB_Customers!I394&gt;=10,"Active","Inactive"),""),"")</f>
        <v/>
      </c>
    </row>
    <row r="401" ht="18" customHeight="1" s="341">
      <c r="A401" s="468">
        <f>IF(DB_Customers!A395&lt;&gt;"",392,"")</f>
        <v/>
      </c>
      <c r="B401" s="469">
        <f>IFERROR(IF(DB_Customers!A395&lt;&gt;"",DB_Customers!A395,""),"")</f>
        <v/>
      </c>
      <c r="C401" s="470">
        <f>IFERROR(IF(DB_Customers!D395&lt;&gt;"",DB_Customers!D395,""),"")</f>
        <v/>
      </c>
      <c r="D401" s="471">
        <f>IFERROR(IF(DB_Customers!Q395&lt;&gt;"",DB_Customers!Q395,""),"")</f>
        <v/>
      </c>
      <c r="E401" s="470">
        <f>IFERROR(IF(DB_Customers!R395&lt;&gt;"",DB_Customers!R395,""),"")</f>
        <v/>
      </c>
      <c r="F401" s="470">
        <f>IFERROR(IF(DB_Customers!S395&lt;&gt;"",DB_Customers!S395,""),"")</f>
        <v/>
      </c>
      <c r="G401" s="470">
        <f>IFERROR(IF(DB_Customers!G395&lt;&gt;"",DB_Customers!G395,""),"")</f>
        <v/>
      </c>
      <c r="H401" s="472">
        <f>IFERROR(IF(DB_Customers!H395&lt;&gt;"",DB_Customers!H395,""),"")</f>
        <v/>
      </c>
      <c r="I401" s="473">
        <f>IFERROR(IF(DB_Customers!I395&lt;&gt;"",DB_Customers!I395,""),"")</f>
        <v/>
      </c>
      <c r="J401" s="471">
        <f>IFERROR(IF(DB_Customers!J395&lt;&gt;"",DB_Customers!J395,""),"")</f>
        <v/>
      </c>
      <c r="K401" s="470">
        <f>IFERROR(IF(DB_Customers!E395&lt;&gt;"",DB_Customers!E395,""),"")</f>
        <v/>
      </c>
      <c r="L401" s="470">
        <f>IFERROR(IF(DB_Customers!F395&lt;&gt;"",DB_Customers!F395,""),"")</f>
        <v/>
      </c>
      <c r="M401" s="470">
        <f>IFERROR(IF(DB_Customers!T395&lt;&gt;"",DB_Customers!T395,""),"")</f>
        <v/>
      </c>
      <c r="N401" s="474">
        <f>IFERROR(IF(DB_Customers!A395&lt;&gt;"",IF(DB_Customers!I395&gt;=10,"Active","Inactive"),""),"")</f>
        <v/>
      </c>
    </row>
    <row r="402" ht="18" customHeight="1" s="341">
      <c r="A402" s="461">
        <f>IF(DB_Customers!A396&lt;&gt;"",393,"")</f>
        <v/>
      </c>
      <c r="B402" s="462">
        <f>IFERROR(IF(DB_Customers!A396&lt;&gt;"",DB_Customers!A396,""),"")</f>
        <v/>
      </c>
      <c r="C402" s="463">
        <f>IFERROR(IF(DB_Customers!D396&lt;&gt;"",DB_Customers!D396,""),"")</f>
        <v/>
      </c>
      <c r="D402" s="464">
        <f>IFERROR(IF(DB_Customers!Q396&lt;&gt;"",DB_Customers!Q396,""),"")</f>
        <v/>
      </c>
      <c r="E402" s="463">
        <f>IFERROR(IF(DB_Customers!R396&lt;&gt;"",DB_Customers!R396,""),"")</f>
        <v/>
      </c>
      <c r="F402" s="463">
        <f>IFERROR(IF(DB_Customers!S396&lt;&gt;"",DB_Customers!S396,""),"")</f>
        <v/>
      </c>
      <c r="G402" s="463">
        <f>IFERROR(IF(DB_Customers!G396&lt;&gt;"",DB_Customers!G396,""),"")</f>
        <v/>
      </c>
      <c r="H402" s="465">
        <f>IFERROR(IF(DB_Customers!H396&lt;&gt;"",DB_Customers!H396,""),"")</f>
        <v/>
      </c>
      <c r="I402" s="466">
        <f>IFERROR(IF(DB_Customers!I396&lt;&gt;"",DB_Customers!I396,""),"")</f>
        <v/>
      </c>
      <c r="J402" s="464">
        <f>IFERROR(IF(DB_Customers!J396&lt;&gt;"",DB_Customers!J396,""),"")</f>
        <v/>
      </c>
      <c r="K402" s="463">
        <f>IFERROR(IF(DB_Customers!E396&lt;&gt;"",DB_Customers!E396,""),"")</f>
        <v/>
      </c>
      <c r="L402" s="463">
        <f>IFERROR(IF(DB_Customers!F396&lt;&gt;"",DB_Customers!F396,""),"")</f>
        <v/>
      </c>
      <c r="M402" s="463">
        <f>IFERROR(IF(DB_Customers!T396&lt;&gt;"",DB_Customers!T396,""),"")</f>
        <v/>
      </c>
      <c r="N402" s="467">
        <f>IFERROR(IF(DB_Customers!A396&lt;&gt;"",IF(DB_Customers!I396&gt;=10,"Active","Inactive"),""),"")</f>
        <v/>
      </c>
    </row>
    <row r="403" ht="18" customHeight="1" s="341">
      <c r="A403" s="468">
        <f>IF(DB_Customers!A397&lt;&gt;"",394,"")</f>
        <v/>
      </c>
      <c r="B403" s="469">
        <f>IFERROR(IF(DB_Customers!A397&lt;&gt;"",DB_Customers!A397,""),"")</f>
        <v/>
      </c>
      <c r="C403" s="470">
        <f>IFERROR(IF(DB_Customers!D397&lt;&gt;"",DB_Customers!D397,""),"")</f>
        <v/>
      </c>
      <c r="D403" s="471">
        <f>IFERROR(IF(DB_Customers!Q397&lt;&gt;"",DB_Customers!Q397,""),"")</f>
        <v/>
      </c>
      <c r="E403" s="470">
        <f>IFERROR(IF(DB_Customers!R397&lt;&gt;"",DB_Customers!R397,""),"")</f>
        <v/>
      </c>
      <c r="F403" s="470">
        <f>IFERROR(IF(DB_Customers!S397&lt;&gt;"",DB_Customers!S397,""),"")</f>
        <v/>
      </c>
      <c r="G403" s="470">
        <f>IFERROR(IF(DB_Customers!G397&lt;&gt;"",DB_Customers!G397,""),"")</f>
        <v/>
      </c>
      <c r="H403" s="472">
        <f>IFERROR(IF(DB_Customers!H397&lt;&gt;"",DB_Customers!H397,""),"")</f>
        <v/>
      </c>
      <c r="I403" s="473">
        <f>IFERROR(IF(DB_Customers!I397&lt;&gt;"",DB_Customers!I397,""),"")</f>
        <v/>
      </c>
      <c r="J403" s="471">
        <f>IFERROR(IF(DB_Customers!J397&lt;&gt;"",DB_Customers!J397,""),"")</f>
        <v/>
      </c>
      <c r="K403" s="470">
        <f>IFERROR(IF(DB_Customers!E397&lt;&gt;"",DB_Customers!E397,""),"")</f>
        <v/>
      </c>
      <c r="L403" s="470">
        <f>IFERROR(IF(DB_Customers!F397&lt;&gt;"",DB_Customers!F397,""),"")</f>
        <v/>
      </c>
      <c r="M403" s="470">
        <f>IFERROR(IF(DB_Customers!T397&lt;&gt;"",DB_Customers!T397,""),"")</f>
        <v/>
      </c>
      <c r="N403" s="474">
        <f>IFERROR(IF(DB_Customers!A397&lt;&gt;"",IF(DB_Customers!I397&gt;=10,"Active","Inactive"),""),"")</f>
        <v/>
      </c>
    </row>
    <row r="404" ht="18" customHeight="1" s="341">
      <c r="A404" s="461">
        <f>IF(DB_Customers!A398&lt;&gt;"",395,"")</f>
        <v/>
      </c>
      <c r="B404" s="462">
        <f>IFERROR(IF(DB_Customers!A398&lt;&gt;"",DB_Customers!A398,""),"")</f>
        <v/>
      </c>
      <c r="C404" s="463">
        <f>IFERROR(IF(DB_Customers!D398&lt;&gt;"",DB_Customers!D398,""),"")</f>
        <v/>
      </c>
      <c r="D404" s="464">
        <f>IFERROR(IF(DB_Customers!Q398&lt;&gt;"",DB_Customers!Q398,""),"")</f>
        <v/>
      </c>
      <c r="E404" s="463">
        <f>IFERROR(IF(DB_Customers!R398&lt;&gt;"",DB_Customers!R398,""),"")</f>
        <v/>
      </c>
      <c r="F404" s="463">
        <f>IFERROR(IF(DB_Customers!S398&lt;&gt;"",DB_Customers!S398,""),"")</f>
        <v/>
      </c>
      <c r="G404" s="463">
        <f>IFERROR(IF(DB_Customers!G398&lt;&gt;"",DB_Customers!G398,""),"")</f>
        <v/>
      </c>
      <c r="H404" s="465">
        <f>IFERROR(IF(DB_Customers!H398&lt;&gt;"",DB_Customers!H398,""),"")</f>
        <v/>
      </c>
      <c r="I404" s="466">
        <f>IFERROR(IF(DB_Customers!I398&lt;&gt;"",DB_Customers!I398,""),"")</f>
        <v/>
      </c>
      <c r="J404" s="464">
        <f>IFERROR(IF(DB_Customers!J398&lt;&gt;"",DB_Customers!J398,""),"")</f>
        <v/>
      </c>
      <c r="K404" s="463">
        <f>IFERROR(IF(DB_Customers!E398&lt;&gt;"",DB_Customers!E398,""),"")</f>
        <v/>
      </c>
      <c r="L404" s="463">
        <f>IFERROR(IF(DB_Customers!F398&lt;&gt;"",DB_Customers!F398,""),"")</f>
        <v/>
      </c>
      <c r="M404" s="463">
        <f>IFERROR(IF(DB_Customers!T398&lt;&gt;"",DB_Customers!T398,""),"")</f>
        <v/>
      </c>
      <c r="N404" s="467">
        <f>IFERROR(IF(DB_Customers!A398&lt;&gt;"",IF(DB_Customers!I398&gt;=10,"Active","Inactive"),""),"")</f>
        <v/>
      </c>
    </row>
    <row r="405" ht="18" customHeight="1" s="341">
      <c r="A405" s="468">
        <f>IF(DB_Customers!A399&lt;&gt;"",396,"")</f>
        <v/>
      </c>
      <c r="B405" s="469">
        <f>IFERROR(IF(DB_Customers!A399&lt;&gt;"",DB_Customers!A399,""),"")</f>
        <v/>
      </c>
      <c r="C405" s="470">
        <f>IFERROR(IF(DB_Customers!D399&lt;&gt;"",DB_Customers!D399,""),"")</f>
        <v/>
      </c>
      <c r="D405" s="471">
        <f>IFERROR(IF(DB_Customers!Q399&lt;&gt;"",DB_Customers!Q399,""),"")</f>
        <v/>
      </c>
      <c r="E405" s="470">
        <f>IFERROR(IF(DB_Customers!R399&lt;&gt;"",DB_Customers!R399,""),"")</f>
        <v/>
      </c>
      <c r="F405" s="470">
        <f>IFERROR(IF(DB_Customers!S399&lt;&gt;"",DB_Customers!S399,""),"")</f>
        <v/>
      </c>
      <c r="G405" s="470">
        <f>IFERROR(IF(DB_Customers!G399&lt;&gt;"",DB_Customers!G399,""),"")</f>
        <v/>
      </c>
      <c r="H405" s="472">
        <f>IFERROR(IF(DB_Customers!H399&lt;&gt;"",DB_Customers!H399,""),"")</f>
        <v/>
      </c>
      <c r="I405" s="473">
        <f>IFERROR(IF(DB_Customers!I399&lt;&gt;"",DB_Customers!I399,""),"")</f>
        <v/>
      </c>
      <c r="J405" s="471">
        <f>IFERROR(IF(DB_Customers!J399&lt;&gt;"",DB_Customers!J399,""),"")</f>
        <v/>
      </c>
      <c r="K405" s="470">
        <f>IFERROR(IF(DB_Customers!E399&lt;&gt;"",DB_Customers!E399,""),"")</f>
        <v/>
      </c>
      <c r="L405" s="470">
        <f>IFERROR(IF(DB_Customers!F399&lt;&gt;"",DB_Customers!F399,""),"")</f>
        <v/>
      </c>
      <c r="M405" s="470">
        <f>IFERROR(IF(DB_Customers!T399&lt;&gt;"",DB_Customers!T399,""),"")</f>
        <v/>
      </c>
      <c r="N405" s="474">
        <f>IFERROR(IF(DB_Customers!A399&lt;&gt;"",IF(DB_Customers!I399&gt;=10,"Active","Inactive"),""),"")</f>
        <v/>
      </c>
    </row>
    <row r="406" ht="18" customHeight="1" s="341">
      <c r="A406" s="461">
        <f>IF(DB_Customers!A400&lt;&gt;"",397,"")</f>
        <v/>
      </c>
      <c r="B406" s="462">
        <f>IFERROR(IF(DB_Customers!A400&lt;&gt;"",DB_Customers!A400,""),"")</f>
        <v/>
      </c>
      <c r="C406" s="463">
        <f>IFERROR(IF(DB_Customers!D400&lt;&gt;"",DB_Customers!D400,""),"")</f>
        <v/>
      </c>
      <c r="D406" s="464">
        <f>IFERROR(IF(DB_Customers!Q400&lt;&gt;"",DB_Customers!Q400,""),"")</f>
        <v/>
      </c>
      <c r="E406" s="463">
        <f>IFERROR(IF(DB_Customers!R400&lt;&gt;"",DB_Customers!R400,""),"")</f>
        <v/>
      </c>
      <c r="F406" s="463">
        <f>IFERROR(IF(DB_Customers!S400&lt;&gt;"",DB_Customers!S400,""),"")</f>
        <v/>
      </c>
      <c r="G406" s="463">
        <f>IFERROR(IF(DB_Customers!G400&lt;&gt;"",DB_Customers!G400,""),"")</f>
        <v/>
      </c>
      <c r="H406" s="465">
        <f>IFERROR(IF(DB_Customers!H400&lt;&gt;"",DB_Customers!H400,""),"")</f>
        <v/>
      </c>
      <c r="I406" s="466">
        <f>IFERROR(IF(DB_Customers!I400&lt;&gt;"",DB_Customers!I400,""),"")</f>
        <v/>
      </c>
      <c r="J406" s="464">
        <f>IFERROR(IF(DB_Customers!J400&lt;&gt;"",DB_Customers!J400,""),"")</f>
        <v/>
      </c>
      <c r="K406" s="463">
        <f>IFERROR(IF(DB_Customers!E400&lt;&gt;"",DB_Customers!E400,""),"")</f>
        <v/>
      </c>
      <c r="L406" s="463">
        <f>IFERROR(IF(DB_Customers!F400&lt;&gt;"",DB_Customers!F400,""),"")</f>
        <v/>
      </c>
      <c r="M406" s="463">
        <f>IFERROR(IF(DB_Customers!T400&lt;&gt;"",DB_Customers!T400,""),"")</f>
        <v/>
      </c>
      <c r="N406" s="467">
        <f>IFERROR(IF(DB_Customers!A400&lt;&gt;"",IF(DB_Customers!I400&gt;=10,"Active","Inactive"),""),"")</f>
        <v/>
      </c>
    </row>
    <row r="407" ht="18" customHeight="1" s="341">
      <c r="A407" s="468">
        <f>IF(DB_Customers!A401&lt;&gt;"",398,"")</f>
        <v/>
      </c>
      <c r="B407" s="469">
        <f>IFERROR(IF(DB_Customers!A401&lt;&gt;"",DB_Customers!A401,""),"")</f>
        <v/>
      </c>
      <c r="C407" s="470">
        <f>IFERROR(IF(DB_Customers!D401&lt;&gt;"",DB_Customers!D401,""),"")</f>
        <v/>
      </c>
      <c r="D407" s="471">
        <f>IFERROR(IF(DB_Customers!Q401&lt;&gt;"",DB_Customers!Q401,""),"")</f>
        <v/>
      </c>
      <c r="E407" s="470">
        <f>IFERROR(IF(DB_Customers!R401&lt;&gt;"",DB_Customers!R401,""),"")</f>
        <v/>
      </c>
      <c r="F407" s="470">
        <f>IFERROR(IF(DB_Customers!S401&lt;&gt;"",DB_Customers!S401,""),"")</f>
        <v/>
      </c>
      <c r="G407" s="470">
        <f>IFERROR(IF(DB_Customers!G401&lt;&gt;"",DB_Customers!G401,""),"")</f>
        <v/>
      </c>
      <c r="H407" s="472">
        <f>IFERROR(IF(DB_Customers!H401&lt;&gt;"",DB_Customers!H401,""),"")</f>
        <v/>
      </c>
      <c r="I407" s="473">
        <f>IFERROR(IF(DB_Customers!I401&lt;&gt;"",DB_Customers!I401,""),"")</f>
        <v/>
      </c>
      <c r="J407" s="471">
        <f>IFERROR(IF(DB_Customers!J401&lt;&gt;"",DB_Customers!J401,""),"")</f>
        <v/>
      </c>
      <c r="K407" s="470">
        <f>IFERROR(IF(DB_Customers!E401&lt;&gt;"",DB_Customers!E401,""),"")</f>
        <v/>
      </c>
      <c r="L407" s="470">
        <f>IFERROR(IF(DB_Customers!F401&lt;&gt;"",DB_Customers!F401,""),"")</f>
        <v/>
      </c>
      <c r="M407" s="470">
        <f>IFERROR(IF(DB_Customers!T401&lt;&gt;"",DB_Customers!T401,""),"")</f>
        <v/>
      </c>
      <c r="N407" s="474">
        <f>IFERROR(IF(DB_Customers!A401&lt;&gt;"",IF(DB_Customers!I401&gt;=10,"Active","Inactive"),""),"")</f>
        <v/>
      </c>
    </row>
    <row r="408" ht="18" customHeight="1" s="341">
      <c r="A408" s="461">
        <f>IF(DB_Customers!A402&lt;&gt;"",399,"")</f>
        <v/>
      </c>
      <c r="B408" s="462">
        <f>IFERROR(IF(DB_Customers!A402&lt;&gt;"",DB_Customers!A402,""),"")</f>
        <v/>
      </c>
      <c r="C408" s="463">
        <f>IFERROR(IF(DB_Customers!D402&lt;&gt;"",DB_Customers!D402,""),"")</f>
        <v/>
      </c>
      <c r="D408" s="464">
        <f>IFERROR(IF(DB_Customers!Q402&lt;&gt;"",DB_Customers!Q402,""),"")</f>
        <v/>
      </c>
      <c r="E408" s="463">
        <f>IFERROR(IF(DB_Customers!R402&lt;&gt;"",DB_Customers!R402,""),"")</f>
        <v/>
      </c>
      <c r="F408" s="463">
        <f>IFERROR(IF(DB_Customers!S402&lt;&gt;"",DB_Customers!S402,""),"")</f>
        <v/>
      </c>
      <c r="G408" s="463">
        <f>IFERROR(IF(DB_Customers!G402&lt;&gt;"",DB_Customers!G402,""),"")</f>
        <v/>
      </c>
      <c r="H408" s="465">
        <f>IFERROR(IF(DB_Customers!H402&lt;&gt;"",DB_Customers!H402,""),"")</f>
        <v/>
      </c>
      <c r="I408" s="466">
        <f>IFERROR(IF(DB_Customers!I402&lt;&gt;"",DB_Customers!I402,""),"")</f>
        <v/>
      </c>
      <c r="J408" s="464">
        <f>IFERROR(IF(DB_Customers!J402&lt;&gt;"",DB_Customers!J402,""),"")</f>
        <v/>
      </c>
      <c r="K408" s="463">
        <f>IFERROR(IF(DB_Customers!E402&lt;&gt;"",DB_Customers!E402,""),"")</f>
        <v/>
      </c>
      <c r="L408" s="463">
        <f>IFERROR(IF(DB_Customers!F402&lt;&gt;"",DB_Customers!F402,""),"")</f>
        <v/>
      </c>
      <c r="M408" s="463">
        <f>IFERROR(IF(DB_Customers!T402&lt;&gt;"",DB_Customers!T402,""),"")</f>
        <v/>
      </c>
      <c r="N408" s="467">
        <f>IFERROR(IF(DB_Customers!A402&lt;&gt;"",IF(DB_Customers!I402&gt;=10,"Active","Inactive"),""),"")</f>
        <v/>
      </c>
    </row>
    <row r="409" ht="18" customHeight="1" s="341">
      <c r="A409" s="468">
        <f>IF(DB_Customers!A403&lt;&gt;"",400,"")</f>
        <v/>
      </c>
      <c r="B409" s="469">
        <f>IFERROR(IF(DB_Customers!A403&lt;&gt;"",DB_Customers!A403,""),"")</f>
        <v/>
      </c>
      <c r="C409" s="470">
        <f>IFERROR(IF(DB_Customers!D403&lt;&gt;"",DB_Customers!D403,""),"")</f>
        <v/>
      </c>
      <c r="D409" s="471">
        <f>IFERROR(IF(DB_Customers!Q403&lt;&gt;"",DB_Customers!Q403,""),"")</f>
        <v/>
      </c>
      <c r="E409" s="470">
        <f>IFERROR(IF(DB_Customers!R403&lt;&gt;"",DB_Customers!R403,""),"")</f>
        <v/>
      </c>
      <c r="F409" s="470">
        <f>IFERROR(IF(DB_Customers!S403&lt;&gt;"",DB_Customers!S403,""),"")</f>
        <v/>
      </c>
      <c r="G409" s="470">
        <f>IFERROR(IF(DB_Customers!G403&lt;&gt;"",DB_Customers!G403,""),"")</f>
        <v/>
      </c>
      <c r="H409" s="472">
        <f>IFERROR(IF(DB_Customers!H403&lt;&gt;"",DB_Customers!H403,""),"")</f>
        <v/>
      </c>
      <c r="I409" s="473">
        <f>IFERROR(IF(DB_Customers!I403&lt;&gt;"",DB_Customers!I403,""),"")</f>
        <v/>
      </c>
      <c r="J409" s="471">
        <f>IFERROR(IF(DB_Customers!J403&lt;&gt;"",DB_Customers!J403,""),"")</f>
        <v/>
      </c>
      <c r="K409" s="470">
        <f>IFERROR(IF(DB_Customers!E403&lt;&gt;"",DB_Customers!E403,""),"")</f>
        <v/>
      </c>
      <c r="L409" s="470">
        <f>IFERROR(IF(DB_Customers!F403&lt;&gt;"",DB_Customers!F403,""),"")</f>
        <v/>
      </c>
      <c r="M409" s="470">
        <f>IFERROR(IF(DB_Customers!T403&lt;&gt;"",DB_Customers!T403,""),"")</f>
        <v/>
      </c>
      <c r="N409" s="474">
        <f>IFERROR(IF(DB_Customers!A403&lt;&gt;"",IF(DB_Customers!I403&gt;=10,"Active","Inactive"),""),"")</f>
        <v/>
      </c>
    </row>
    <row r="410" ht="18" customHeight="1" s="341">
      <c r="A410" s="461">
        <f>IF(DB_Customers!A404&lt;&gt;"",401,"")</f>
        <v/>
      </c>
      <c r="B410" s="462">
        <f>IFERROR(IF(DB_Customers!A404&lt;&gt;"",DB_Customers!A404,""),"")</f>
        <v/>
      </c>
      <c r="C410" s="463">
        <f>IFERROR(IF(DB_Customers!D404&lt;&gt;"",DB_Customers!D404,""),"")</f>
        <v/>
      </c>
      <c r="D410" s="464">
        <f>IFERROR(IF(DB_Customers!Q404&lt;&gt;"",DB_Customers!Q404,""),"")</f>
        <v/>
      </c>
      <c r="E410" s="463">
        <f>IFERROR(IF(DB_Customers!R404&lt;&gt;"",DB_Customers!R404,""),"")</f>
        <v/>
      </c>
      <c r="F410" s="463">
        <f>IFERROR(IF(DB_Customers!S404&lt;&gt;"",DB_Customers!S404,""),"")</f>
        <v/>
      </c>
      <c r="G410" s="463">
        <f>IFERROR(IF(DB_Customers!G404&lt;&gt;"",DB_Customers!G404,""),"")</f>
        <v/>
      </c>
      <c r="H410" s="465">
        <f>IFERROR(IF(DB_Customers!H404&lt;&gt;"",DB_Customers!H404,""),"")</f>
        <v/>
      </c>
      <c r="I410" s="466">
        <f>IFERROR(IF(DB_Customers!I404&lt;&gt;"",DB_Customers!I404,""),"")</f>
        <v/>
      </c>
      <c r="J410" s="464">
        <f>IFERROR(IF(DB_Customers!J404&lt;&gt;"",DB_Customers!J404,""),"")</f>
        <v/>
      </c>
      <c r="K410" s="463">
        <f>IFERROR(IF(DB_Customers!E404&lt;&gt;"",DB_Customers!E404,""),"")</f>
        <v/>
      </c>
      <c r="L410" s="463">
        <f>IFERROR(IF(DB_Customers!F404&lt;&gt;"",DB_Customers!F404,""),"")</f>
        <v/>
      </c>
      <c r="M410" s="463">
        <f>IFERROR(IF(DB_Customers!T404&lt;&gt;"",DB_Customers!T404,""),"")</f>
        <v/>
      </c>
      <c r="N410" s="467">
        <f>IFERROR(IF(DB_Customers!A404&lt;&gt;"",IF(DB_Customers!I404&gt;=10,"Active","Inactive"),""),"")</f>
        <v/>
      </c>
    </row>
    <row r="411" ht="18" customHeight="1" s="341">
      <c r="A411" s="468">
        <f>IF(DB_Customers!A405&lt;&gt;"",402,"")</f>
        <v/>
      </c>
      <c r="B411" s="469">
        <f>IFERROR(IF(DB_Customers!A405&lt;&gt;"",DB_Customers!A405,""),"")</f>
        <v/>
      </c>
      <c r="C411" s="470">
        <f>IFERROR(IF(DB_Customers!D405&lt;&gt;"",DB_Customers!D405,""),"")</f>
        <v/>
      </c>
      <c r="D411" s="471">
        <f>IFERROR(IF(DB_Customers!Q405&lt;&gt;"",DB_Customers!Q405,""),"")</f>
        <v/>
      </c>
      <c r="E411" s="470">
        <f>IFERROR(IF(DB_Customers!R405&lt;&gt;"",DB_Customers!R405,""),"")</f>
        <v/>
      </c>
      <c r="F411" s="470">
        <f>IFERROR(IF(DB_Customers!S405&lt;&gt;"",DB_Customers!S405,""),"")</f>
        <v/>
      </c>
      <c r="G411" s="470">
        <f>IFERROR(IF(DB_Customers!G405&lt;&gt;"",DB_Customers!G405,""),"")</f>
        <v/>
      </c>
      <c r="H411" s="472">
        <f>IFERROR(IF(DB_Customers!H405&lt;&gt;"",DB_Customers!H405,""),"")</f>
        <v/>
      </c>
      <c r="I411" s="473">
        <f>IFERROR(IF(DB_Customers!I405&lt;&gt;"",DB_Customers!I405,""),"")</f>
        <v/>
      </c>
      <c r="J411" s="471">
        <f>IFERROR(IF(DB_Customers!J405&lt;&gt;"",DB_Customers!J405,""),"")</f>
        <v/>
      </c>
      <c r="K411" s="470">
        <f>IFERROR(IF(DB_Customers!E405&lt;&gt;"",DB_Customers!E405,""),"")</f>
        <v/>
      </c>
      <c r="L411" s="470">
        <f>IFERROR(IF(DB_Customers!F405&lt;&gt;"",DB_Customers!F405,""),"")</f>
        <v/>
      </c>
      <c r="M411" s="470">
        <f>IFERROR(IF(DB_Customers!T405&lt;&gt;"",DB_Customers!T405,""),"")</f>
        <v/>
      </c>
      <c r="N411" s="474">
        <f>IFERROR(IF(DB_Customers!A405&lt;&gt;"",IF(DB_Customers!I405&gt;=10,"Active","Inactive"),""),"")</f>
        <v/>
      </c>
    </row>
    <row r="412" ht="18" customHeight="1" s="341">
      <c r="A412" s="461">
        <f>IF(DB_Customers!A406&lt;&gt;"",403,"")</f>
        <v/>
      </c>
      <c r="B412" s="462">
        <f>IFERROR(IF(DB_Customers!A406&lt;&gt;"",DB_Customers!A406,""),"")</f>
        <v/>
      </c>
      <c r="C412" s="463">
        <f>IFERROR(IF(DB_Customers!D406&lt;&gt;"",DB_Customers!D406,""),"")</f>
        <v/>
      </c>
      <c r="D412" s="464">
        <f>IFERROR(IF(DB_Customers!Q406&lt;&gt;"",DB_Customers!Q406,""),"")</f>
        <v/>
      </c>
      <c r="E412" s="463">
        <f>IFERROR(IF(DB_Customers!R406&lt;&gt;"",DB_Customers!R406,""),"")</f>
        <v/>
      </c>
      <c r="F412" s="463">
        <f>IFERROR(IF(DB_Customers!S406&lt;&gt;"",DB_Customers!S406,""),"")</f>
        <v/>
      </c>
      <c r="G412" s="463">
        <f>IFERROR(IF(DB_Customers!G406&lt;&gt;"",DB_Customers!G406,""),"")</f>
        <v/>
      </c>
      <c r="H412" s="465">
        <f>IFERROR(IF(DB_Customers!H406&lt;&gt;"",DB_Customers!H406,""),"")</f>
        <v/>
      </c>
      <c r="I412" s="466">
        <f>IFERROR(IF(DB_Customers!I406&lt;&gt;"",DB_Customers!I406,""),"")</f>
        <v/>
      </c>
      <c r="J412" s="464">
        <f>IFERROR(IF(DB_Customers!J406&lt;&gt;"",DB_Customers!J406,""),"")</f>
        <v/>
      </c>
      <c r="K412" s="463">
        <f>IFERROR(IF(DB_Customers!E406&lt;&gt;"",DB_Customers!E406,""),"")</f>
        <v/>
      </c>
      <c r="L412" s="463">
        <f>IFERROR(IF(DB_Customers!F406&lt;&gt;"",DB_Customers!F406,""),"")</f>
        <v/>
      </c>
      <c r="M412" s="463">
        <f>IFERROR(IF(DB_Customers!T406&lt;&gt;"",DB_Customers!T406,""),"")</f>
        <v/>
      </c>
      <c r="N412" s="467">
        <f>IFERROR(IF(DB_Customers!A406&lt;&gt;"",IF(DB_Customers!I406&gt;=10,"Active","Inactive"),""),"")</f>
        <v/>
      </c>
    </row>
    <row r="413" ht="18" customHeight="1" s="341">
      <c r="A413" s="468">
        <f>IF(DB_Customers!A407&lt;&gt;"",404,"")</f>
        <v/>
      </c>
      <c r="B413" s="469">
        <f>IFERROR(IF(DB_Customers!A407&lt;&gt;"",DB_Customers!A407,""),"")</f>
        <v/>
      </c>
      <c r="C413" s="470">
        <f>IFERROR(IF(DB_Customers!D407&lt;&gt;"",DB_Customers!D407,""),"")</f>
        <v/>
      </c>
      <c r="D413" s="471">
        <f>IFERROR(IF(DB_Customers!Q407&lt;&gt;"",DB_Customers!Q407,""),"")</f>
        <v/>
      </c>
      <c r="E413" s="470">
        <f>IFERROR(IF(DB_Customers!R407&lt;&gt;"",DB_Customers!R407,""),"")</f>
        <v/>
      </c>
      <c r="F413" s="470">
        <f>IFERROR(IF(DB_Customers!S407&lt;&gt;"",DB_Customers!S407,""),"")</f>
        <v/>
      </c>
      <c r="G413" s="470">
        <f>IFERROR(IF(DB_Customers!G407&lt;&gt;"",DB_Customers!G407,""),"")</f>
        <v/>
      </c>
      <c r="H413" s="472">
        <f>IFERROR(IF(DB_Customers!H407&lt;&gt;"",DB_Customers!H407,""),"")</f>
        <v/>
      </c>
      <c r="I413" s="473">
        <f>IFERROR(IF(DB_Customers!I407&lt;&gt;"",DB_Customers!I407,""),"")</f>
        <v/>
      </c>
      <c r="J413" s="471">
        <f>IFERROR(IF(DB_Customers!J407&lt;&gt;"",DB_Customers!J407,""),"")</f>
        <v/>
      </c>
      <c r="K413" s="470">
        <f>IFERROR(IF(DB_Customers!E407&lt;&gt;"",DB_Customers!E407,""),"")</f>
        <v/>
      </c>
      <c r="L413" s="470">
        <f>IFERROR(IF(DB_Customers!F407&lt;&gt;"",DB_Customers!F407,""),"")</f>
        <v/>
      </c>
      <c r="M413" s="470">
        <f>IFERROR(IF(DB_Customers!T407&lt;&gt;"",DB_Customers!T407,""),"")</f>
        <v/>
      </c>
      <c r="N413" s="474">
        <f>IFERROR(IF(DB_Customers!A407&lt;&gt;"",IF(DB_Customers!I407&gt;=10,"Active","Inactive"),""),"")</f>
        <v/>
      </c>
    </row>
    <row r="414" ht="18" customHeight="1" s="341">
      <c r="A414" s="461">
        <f>IF(DB_Customers!A408&lt;&gt;"",405,"")</f>
        <v/>
      </c>
      <c r="B414" s="462">
        <f>IFERROR(IF(DB_Customers!A408&lt;&gt;"",DB_Customers!A408,""),"")</f>
        <v/>
      </c>
      <c r="C414" s="463">
        <f>IFERROR(IF(DB_Customers!D408&lt;&gt;"",DB_Customers!D408,""),"")</f>
        <v/>
      </c>
      <c r="D414" s="464">
        <f>IFERROR(IF(DB_Customers!Q408&lt;&gt;"",DB_Customers!Q408,""),"")</f>
        <v/>
      </c>
      <c r="E414" s="463">
        <f>IFERROR(IF(DB_Customers!R408&lt;&gt;"",DB_Customers!R408,""),"")</f>
        <v/>
      </c>
      <c r="F414" s="463">
        <f>IFERROR(IF(DB_Customers!S408&lt;&gt;"",DB_Customers!S408,""),"")</f>
        <v/>
      </c>
      <c r="G414" s="463">
        <f>IFERROR(IF(DB_Customers!G408&lt;&gt;"",DB_Customers!G408,""),"")</f>
        <v/>
      </c>
      <c r="H414" s="465">
        <f>IFERROR(IF(DB_Customers!H408&lt;&gt;"",DB_Customers!H408,""),"")</f>
        <v/>
      </c>
      <c r="I414" s="466">
        <f>IFERROR(IF(DB_Customers!I408&lt;&gt;"",DB_Customers!I408,""),"")</f>
        <v/>
      </c>
      <c r="J414" s="464">
        <f>IFERROR(IF(DB_Customers!J408&lt;&gt;"",DB_Customers!J408,""),"")</f>
        <v/>
      </c>
      <c r="K414" s="463">
        <f>IFERROR(IF(DB_Customers!E408&lt;&gt;"",DB_Customers!E408,""),"")</f>
        <v/>
      </c>
      <c r="L414" s="463">
        <f>IFERROR(IF(DB_Customers!F408&lt;&gt;"",DB_Customers!F408,""),"")</f>
        <v/>
      </c>
      <c r="M414" s="463">
        <f>IFERROR(IF(DB_Customers!T408&lt;&gt;"",DB_Customers!T408,""),"")</f>
        <v/>
      </c>
      <c r="N414" s="467">
        <f>IFERROR(IF(DB_Customers!A408&lt;&gt;"",IF(DB_Customers!I408&gt;=10,"Active","Inactive"),""),"")</f>
        <v/>
      </c>
    </row>
    <row r="415" ht="18" customHeight="1" s="341">
      <c r="A415" s="468">
        <f>IF(DB_Customers!A409&lt;&gt;"",406,"")</f>
        <v/>
      </c>
      <c r="B415" s="469">
        <f>IFERROR(IF(DB_Customers!A409&lt;&gt;"",DB_Customers!A409,""),"")</f>
        <v/>
      </c>
      <c r="C415" s="470">
        <f>IFERROR(IF(DB_Customers!D409&lt;&gt;"",DB_Customers!D409,""),"")</f>
        <v/>
      </c>
      <c r="D415" s="471">
        <f>IFERROR(IF(DB_Customers!Q409&lt;&gt;"",DB_Customers!Q409,""),"")</f>
        <v/>
      </c>
      <c r="E415" s="470">
        <f>IFERROR(IF(DB_Customers!R409&lt;&gt;"",DB_Customers!R409,""),"")</f>
        <v/>
      </c>
      <c r="F415" s="470">
        <f>IFERROR(IF(DB_Customers!S409&lt;&gt;"",DB_Customers!S409,""),"")</f>
        <v/>
      </c>
      <c r="G415" s="470">
        <f>IFERROR(IF(DB_Customers!G409&lt;&gt;"",DB_Customers!G409,""),"")</f>
        <v/>
      </c>
      <c r="H415" s="472">
        <f>IFERROR(IF(DB_Customers!H409&lt;&gt;"",DB_Customers!H409,""),"")</f>
        <v/>
      </c>
      <c r="I415" s="473">
        <f>IFERROR(IF(DB_Customers!I409&lt;&gt;"",DB_Customers!I409,""),"")</f>
        <v/>
      </c>
      <c r="J415" s="471">
        <f>IFERROR(IF(DB_Customers!J409&lt;&gt;"",DB_Customers!J409,""),"")</f>
        <v/>
      </c>
      <c r="K415" s="470">
        <f>IFERROR(IF(DB_Customers!E409&lt;&gt;"",DB_Customers!E409,""),"")</f>
        <v/>
      </c>
      <c r="L415" s="470">
        <f>IFERROR(IF(DB_Customers!F409&lt;&gt;"",DB_Customers!F409,""),"")</f>
        <v/>
      </c>
      <c r="M415" s="470">
        <f>IFERROR(IF(DB_Customers!T409&lt;&gt;"",DB_Customers!T409,""),"")</f>
        <v/>
      </c>
      <c r="N415" s="474">
        <f>IFERROR(IF(DB_Customers!A409&lt;&gt;"",IF(DB_Customers!I409&gt;=10,"Active","Inactive"),""),"")</f>
        <v/>
      </c>
    </row>
    <row r="416" ht="18" customHeight="1" s="341">
      <c r="A416" s="461">
        <f>IF(DB_Customers!A410&lt;&gt;"",407,"")</f>
        <v/>
      </c>
      <c r="B416" s="462">
        <f>IFERROR(IF(DB_Customers!A410&lt;&gt;"",DB_Customers!A410,""),"")</f>
        <v/>
      </c>
      <c r="C416" s="463">
        <f>IFERROR(IF(DB_Customers!D410&lt;&gt;"",DB_Customers!D410,""),"")</f>
        <v/>
      </c>
      <c r="D416" s="464">
        <f>IFERROR(IF(DB_Customers!Q410&lt;&gt;"",DB_Customers!Q410,""),"")</f>
        <v/>
      </c>
      <c r="E416" s="463">
        <f>IFERROR(IF(DB_Customers!R410&lt;&gt;"",DB_Customers!R410,""),"")</f>
        <v/>
      </c>
      <c r="F416" s="463">
        <f>IFERROR(IF(DB_Customers!S410&lt;&gt;"",DB_Customers!S410,""),"")</f>
        <v/>
      </c>
      <c r="G416" s="463">
        <f>IFERROR(IF(DB_Customers!G410&lt;&gt;"",DB_Customers!G410,""),"")</f>
        <v/>
      </c>
      <c r="H416" s="465">
        <f>IFERROR(IF(DB_Customers!H410&lt;&gt;"",DB_Customers!H410,""),"")</f>
        <v/>
      </c>
      <c r="I416" s="466">
        <f>IFERROR(IF(DB_Customers!I410&lt;&gt;"",DB_Customers!I410,""),"")</f>
        <v/>
      </c>
      <c r="J416" s="464">
        <f>IFERROR(IF(DB_Customers!J410&lt;&gt;"",DB_Customers!J410,""),"")</f>
        <v/>
      </c>
      <c r="K416" s="463">
        <f>IFERROR(IF(DB_Customers!E410&lt;&gt;"",DB_Customers!E410,""),"")</f>
        <v/>
      </c>
      <c r="L416" s="463">
        <f>IFERROR(IF(DB_Customers!F410&lt;&gt;"",DB_Customers!F410,""),"")</f>
        <v/>
      </c>
      <c r="M416" s="463">
        <f>IFERROR(IF(DB_Customers!T410&lt;&gt;"",DB_Customers!T410,""),"")</f>
        <v/>
      </c>
      <c r="N416" s="467">
        <f>IFERROR(IF(DB_Customers!A410&lt;&gt;"",IF(DB_Customers!I410&gt;=10,"Active","Inactive"),""),"")</f>
        <v/>
      </c>
    </row>
    <row r="417" ht="18" customHeight="1" s="341">
      <c r="A417" s="468">
        <f>IF(DB_Customers!A411&lt;&gt;"",408,"")</f>
        <v/>
      </c>
      <c r="B417" s="469">
        <f>IFERROR(IF(DB_Customers!A411&lt;&gt;"",DB_Customers!A411,""),"")</f>
        <v/>
      </c>
      <c r="C417" s="470">
        <f>IFERROR(IF(DB_Customers!D411&lt;&gt;"",DB_Customers!D411,""),"")</f>
        <v/>
      </c>
      <c r="D417" s="471">
        <f>IFERROR(IF(DB_Customers!Q411&lt;&gt;"",DB_Customers!Q411,""),"")</f>
        <v/>
      </c>
      <c r="E417" s="470">
        <f>IFERROR(IF(DB_Customers!R411&lt;&gt;"",DB_Customers!R411,""),"")</f>
        <v/>
      </c>
      <c r="F417" s="470">
        <f>IFERROR(IF(DB_Customers!S411&lt;&gt;"",DB_Customers!S411,""),"")</f>
        <v/>
      </c>
      <c r="G417" s="470">
        <f>IFERROR(IF(DB_Customers!G411&lt;&gt;"",DB_Customers!G411,""),"")</f>
        <v/>
      </c>
      <c r="H417" s="472">
        <f>IFERROR(IF(DB_Customers!H411&lt;&gt;"",DB_Customers!H411,""),"")</f>
        <v/>
      </c>
      <c r="I417" s="473">
        <f>IFERROR(IF(DB_Customers!I411&lt;&gt;"",DB_Customers!I411,""),"")</f>
        <v/>
      </c>
      <c r="J417" s="471">
        <f>IFERROR(IF(DB_Customers!J411&lt;&gt;"",DB_Customers!J411,""),"")</f>
        <v/>
      </c>
      <c r="K417" s="470">
        <f>IFERROR(IF(DB_Customers!E411&lt;&gt;"",DB_Customers!E411,""),"")</f>
        <v/>
      </c>
      <c r="L417" s="470">
        <f>IFERROR(IF(DB_Customers!F411&lt;&gt;"",DB_Customers!F411,""),"")</f>
        <v/>
      </c>
      <c r="M417" s="470">
        <f>IFERROR(IF(DB_Customers!T411&lt;&gt;"",DB_Customers!T411,""),"")</f>
        <v/>
      </c>
      <c r="N417" s="474">
        <f>IFERROR(IF(DB_Customers!A411&lt;&gt;"",IF(DB_Customers!I411&gt;=10,"Active","Inactive"),""),"")</f>
        <v/>
      </c>
    </row>
    <row r="418" ht="18" customHeight="1" s="341">
      <c r="A418" s="461">
        <f>IF(DB_Customers!A412&lt;&gt;"",409,"")</f>
        <v/>
      </c>
      <c r="B418" s="462">
        <f>IFERROR(IF(DB_Customers!A412&lt;&gt;"",DB_Customers!A412,""),"")</f>
        <v/>
      </c>
      <c r="C418" s="463">
        <f>IFERROR(IF(DB_Customers!D412&lt;&gt;"",DB_Customers!D412,""),"")</f>
        <v/>
      </c>
      <c r="D418" s="464">
        <f>IFERROR(IF(DB_Customers!Q412&lt;&gt;"",DB_Customers!Q412,""),"")</f>
        <v/>
      </c>
      <c r="E418" s="463">
        <f>IFERROR(IF(DB_Customers!R412&lt;&gt;"",DB_Customers!R412,""),"")</f>
        <v/>
      </c>
      <c r="F418" s="463">
        <f>IFERROR(IF(DB_Customers!S412&lt;&gt;"",DB_Customers!S412,""),"")</f>
        <v/>
      </c>
      <c r="G418" s="463">
        <f>IFERROR(IF(DB_Customers!G412&lt;&gt;"",DB_Customers!G412,""),"")</f>
        <v/>
      </c>
      <c r="H418" s="465">
        <f>IFERROR(IF(DB_Customers!H412&lt;&gt;"",DB_Customers!H412,""),"")</f>
        <v/>
      </c>
      <c r="I418" s="466">
        <f>IFERROR(IF(DB_Customers!I412&lt;&gt;"",DB_Customers!I412,""),"")</f>
        <v/>
      </c>
      <c r="J418" s="464">
        <f>IFERROR(IF(DB_Customers!J412&lt;&gt;"",DB_Customers!J412,""),"")</f>
        <v/>
      </c>
      <c r="K418" s="463">
        <f>IFERROR(IF(DB_Customers!E412&lt;&gt;"",DB_Customers!E412,""),"")</f>
        <v/>
      </c>
      <c r="L418" s="463">
        <f>IFERROR(IF(DB_Customers!F412&lt;&gt;"",DB_Customers!F412,""),"")</f>
        <v/>
      </c>
      <c r="M418" s="463">
        <f>IFERROR(IF(DB_Customers!T412&lt;&gt;"",DB_Customers!T412,""),"")</f>
        <v/>
      </c>
      <c r="N418" s="467">
        <f>IFERROR(IF(DB_Customers!A412&lt;&gt;"",IF(DB_Customers!I412&gt;=10,"Active","Inactive"),""),"")</f>
        <v/>
      </c>
    </row>
    <row r="419" ht="18" customHeight="1" s="341">
      <c r="A419" s="468">
        <f>IF(DB_Customers!A413&lt;&gt;"",410,"")</f>
        <v/>
      </c>
      <c r="B419" s="469">
        <f>IFERROR(IF(DB_Customers!A413&lt;&gt;"",DB_Customers!A413,""),"")</f>
        <v/>
      </c>
      <c r="C419" s="470">
        <f>IFERROR(IF(DB_Customers!D413&lt;&gt;"",DB_Customers!D413,""),"")</f>
        <v/>
      </c>
      <c r="D419" s="471">
        <f>IFERROR(IF(DB_Customers!Q413&lt;&gt;"",DB_Customers!Q413,""),"")</f>
        <v/>
      </c>
      <c r="E419" s="470">
        <f>IFERROR(IF(DB_Customers!R413&lt;&gt;"",DB_Customers!R413,""),"")</f>
        <v/>
      </c>
      <c r="F419" s="470">
        <f>IFERROR(IF(DB_Customers!S413&lt;&gt;"",DB_Customers!S413,""),"")</f>
        <v/>
      </c>
      <c r="G419" s="470">
        <f>IFERROR(IF(DB_Customers!G413&lt;&gt;"",DB_Customers!G413,""),"")</f>
        <v/>
      </c>
      <c r="H419" s="472">
        <f>IFERROR(IF(DB_Customers!H413&lt;&gt;"",DB_Customers!H413,""),"")</f>
        <v/>
      </c>
      <c r="I419" s="473">
        <f>IFERROR(IF(DB_Customers!I413&lt;&gt;"",DB_Customers!I413,""),"")</f>
        <v/>
      </c>
      <c r="J419" s="471">
        <f>IFERROR(IF(DB_Customers!J413&lt;&gt;"",DB_Customers!J413,""),"")</f>
        <v/>
      </c>
      <c r="K419" s="470">
        <f>IFERROR(IF(DB_Customers!E413&lt;&gt;"",DB_Customers!E413,""),"")</f>
        <v/>
      </c>
      <c r="L419" s="470">
        <f>IFERROR(IF(DB_Customers!F413&lt;&gt;"",DB_Customers!F413,""),"")</f>
        <v/>
      </c>
      <c r="M419" s="470">
        <f>IFERROR(IF(DB_Customers!T413&lt;&gt;"",DB_Customers!T413,""),"")</f>
        <v/>
      </c>
      <c r="N419" s="474">
        <f>IFERROR(IF(DB_Customers!A413&lt;&gt;"",IF(DB_Customers!I413&gt;=10,"Active","Inactive"),""),"")</f>
        <v/>
      </c>
    </row>
    <row r="420" ht="18" customHeight="1" s="341">
      <c r="A420" s="461">
        <f>IF(DB_Customers!A414&lt;&gt;"",411,"")</f>
        <v/>
      </c>
      <c r="B420" s="462">
        <f>IFERROR(IF(DB_Customers!A414&lt;&gt;"",DB_Customers!A414,""),"")</f>
        <v/>
      </c>
      <c r="C420" s="463">
        <f>IFERROR(IF(DB_Customers!D414&lt;&gt;"",DB_Customers!D414,""),"")</f>
        <v/>
      </c>
      <c r="D420" s="464">
        <f>IFERROR(IF(DB_Customers!Q414&lt;&gt;"",DB_Customers!Q414,""),"")</f>
        <v/>
      </c>
      <c r="E420" s="463">
        <f>IFERROR(IF(DB_Customers!R414&lt;&gt;"",DB_Customers!R414,""),"")</f>
        <v/>
      </c>
      <c r="F420" s="463">
        <f>IFERROR(IF(DB_Customers!S414&lt;&gt;"",DB_Customers!S414,""),"")</f>
        <v/>
      </c>
      <c r="G420" s="463">
        <f>IFERROR(IF(DB_Customers!G414&lt;&gt;"",DB_Customers!G414,""),"")</f>
        <v/>
      </c>
      <c r="H420" s="465">
        <f>IFERROR(IF(DB_Customers!H414&lt;&gt;"",DB_Customers!H414,""),"")</f>
        <v/>
      </c>
      <c r="I420" s="466">
        <f>IFERROR(IF(DB_Customers!I414&lt;&gt;"",DB_Customers!I414,""),"")</f>
        <v/>
      </c>
      <c r="J420" s="464">
        <f>IFERROR(IF(DB_Customers!J414&lt;&gt;"",DB_Customers!J414,""),"")</f>
        <v/>
      </c>
      <c r="K420" s="463">
        <f>IFERROR(IF(DB_Customers!E414&lt;&gt;"",DB_Customers!E414,""),"")</f>
        <v/>
      </c>
      <c r="L420" s="463">
        <f>IFERROR(IF(DB_Customers!F414&lt;&gt;"",DB_Customers!F414,""),"")</f>
        <v/>
      </c>
      <c r="M420" s="463">
        <f>IFERROR(IF(DB_Customers!T414&lt;&gt;"",DB_Customers!T414,""),"")</f>
        <v/>
      </c>
      <c r="N420" s="467">
        <f>IFERROR(IF(DB_Customers!A414&lt;&gt;"",IF(DB_Customers!I414&gt;=10,"Active","Inactive"),""),"")</f>
        <v/>
      </c>
    </row>
    <row r="421" ht="18" customHeight="1" s="341">
      <c r="A421" s="468">
        <f>IF(DB_Customers!A415&lt;&gt;"",412,"")</f>
        <v/>
      </c>
      <c r="B421" s="469">
        <f>IFERROR(IF(DB_Customers!A415&lt;&gt;"",DB_Customers!A415,""),"")</f>
        <v/>
      </c>
      <c r="C421" s="470">
        <f>IFERROR(IF(DB_Customers!D415&lt;&gt;"",DB_Customers!D415,""),"")</f>
        <v/>
      </c>
      <c r="D421" s="471">
        <f>IFERROR(IF(DB_Customers!Q415&lt;&gt;"",DB_Customers!Q415,""),"")</f>
        <v/>
      </c>
      <c r="E421" s="470">
        <f>IFERROR(IF(DB_Customers!R415&lt;&gt;"",DB_Customers!R415,""),"")</f>
        <v/>
      </c>
      <c r="F421" s="470">
        <f>IFERROR(IF(DB_Customers!S415&lt;&gt;"",DB_Customers!S415,""),"")</f>
        <v/>
      </c>
      <c r="G421" s="470">
        <f>IFERROR(IF(DB_Customers!G415&lt;&gt;"",DB_Customers!G415,""),"")</f>
        <v/>
      </c>
      <c r="H421" s="472">
        <f>IFERROR(IF(DB_Customers!H415&lt;&gt;"",DB_Customers!H415,""),"")</f>
        <v/>
      </c>
      <c r="I421" s="473">
        <f>IFERROR(IF(DB_Customers!I415&lt;&gt;"",DB_Customers!I415,""),"")</f>
        <v/>
      </c>
      <c r="J421" s="471">
        <f>IFERROR(IF(DB_Customers!J415&lt;&gt;"",DB_Customers!J415,""),"")</f>
        <v/>
      </c>
      <c r="K421" s="470">
        <f>IFERROR(IF(DB_Customers!E415&lt;&gt;"",DB_Customers!E415,""),"")</f>
        <v/>
      </c>
      <c r="L421" s="470">
        <f>IFERROR(IF(DB_Customers!F415&lt;&gt;"",DB_Customers!F415,""),"")</f>
        <v/>
      </c>
      <c r="M421" s="470">
        <f>IFERROR(IF(DB_Customers!T415&lt;&gt;"",DB_Customers!T415,""),"")</f>
        <v/>
      </c>
      <c r="N421" s="474">
        <f>IFERROR(IF(DB_Customers!A415&lt;&gt;"",IF(DB_Customers!I415&gt;=10,"Active","Inactive"),""),"")</f>
        <v/>
      </c>
    </row>
    <row r="422" ht="18" customHeight="1" s="341">
      <c r="A422" s="461">
        <f>IF(DB_Customers!A416&lt;&gt;"",413,"")</f>
        <v/>
      </c>
      <c r="B422" s="462">
        <f>IFERROR(IF(DB_Customers!A416&lt;&gt;"",DB_Customers!A416,""),"")</f>
        <v/>
      </c>
      <c r="C422" s="463">
        <f>IFERROR(IF(DB_Customers!D416&lt;&gt;"",DB_Customers!D416,""),"")</f>
        <v/>
      </c>
      <c r="D422" s="464">
        <f>IFERROR(IF(DB_Customers!Q416&lt;&gt;"",DB_Customers!Q416,""),"")</f>
        <v/>
      </c>
      <c r="E422" s="463">
        <f>IFERROR(IF(DB_Customers!R416&lt;&gt;"",DB_Customers!R416,""),"")</f>
        <v/>
      </c>
      <c r="F422" s="463">
        <f>IFERROR(IF(DB_Customers!S416&lt;&gt;"",DB_Customers!S416,""),"")</f>
        <v/>
      </c>
      <c r="G422" s="463">
        <f>IFERROR(IF(DB_Customers!G416&lt;&gt;"",DB_Customers!G416,""),"")</f>
        <v/>
      </c>
      <c r="H422" s="465">
        <f>IFERROR(IF(DB_Customers!H416&lt;&gt;"",DB_Customers!H416,""),"")</f>
        <v/>
      </c>
      <c r="I422" s="466">
        <f>IFERROR(IF(DB_Customers!I416&lt;&gt;"",DB_Customers!I416,""),"")</f>
        <v/>
      </c>
      <c r="J422" s="464">
        <f>IFERROR(IF(DB_Customers!J416&lt;&gt;"",DB_Customers!J416,""),"")</f>
        <v/>
      </c>
      <c r="K422" s="463">
        <f>IFERROR(IF(DB_Customers!E416&lt;&gt;"",DB_Customers!E416,""),"")</f>
        <v/>
      </c>
      <c r="L422" s="463">
        <f>IFERROR(IF(DB_Customers!F416&lt;&gt;"",DB_Customers!F416,""),"")</f>
        <v/>
      </c>
      <c r="M422" s="463">
        <f>IFERROR(IF(DB_Customers!T416&lt;&gt;"",DB_Customers!T416,""),"")</f>
        <v/>
      </c>
      <c r="N422" s="467">
        <f>IFERROR(IF(DB_Customers!A416&lt;&gt;"",IF(DB_Customers!I416&gt;=10,"Active","Inactive"),""),"")</f>
        <v/>
      </c>
    </row>
    <row r="423" ht="18" customHeight="1" s="341">
      <c r="A423" s="468">
        <f>IF(DB_Customers!A417&lt;&gt;"",414,"")</f>
        <v/>
      </c>
      <c r="B423" s="469">
        <f>IFERROR(IF(DB_Customers!A417&lt;&gt;"",DB_Customers!A417,""),"")</f>
        <v/>
      </c>
      <c r="C423" s="470">
        <f>IFERROR(IF(DB_Customers!D417&lt;&gt;"",DB_Customers!D417,""),"")</f>
        <v/>
      </c>
      <c r="D423" s="471">
        <f>IFERROR(IF(DB_Customers!Q417&lt;&gt;"",DB_Customers!Q417,""),"")</f>
        <v/>
      </c>
      <c r="E423" s="470">
        <f>IFERROR(IF(DB_Customers!R417&lt;&gt;"",DB_Customers!R417,""),"")</f>
        <v/>
      </c>
      <c r="F423" s="470">
        <f>IFERROR(IF(DB_Customers!S417&lt;&gt;"",DB_Customers!S417,""),"")</f>
        <v/>
      </c>
      <c r="G423" s="470">
        <f>IFERROR(IF(DB_Customers!G417&lt;&gt;"",DB_Customers!G417,""),"")</f>
        <v/>
      </c>
      <c r="H423" s="472">
        <f>IFERROR(IF(DB_Customers!H417&lt;&gt;"",DB_Customers!H417,""),"")</f>
        <v/>
      </c>
      <c r="I423" s="473">
        <f>IFERROR(IF(DB_Customers!I417&lt;&gt;"",DB_Customers!I417,""),"")</f>
        <v/>
      </c>
      <c r="J423" s="471">
        <f>IFERROR(IF(DB_Customers!J417&lt;&gt;"",DB_Customers!J417,""),"")</f>
        <v/>
      </c>
      <c r="K423" s="470">
        <f>IFERROR(IF(DB_Customers!E417&lt;&gt;"",DB_Customers!E417,""),"")</f>
        <v/>
      </c>
      <c r="L423" s="470">
        <f>IFERROR(IF(DB_Customers!F417&lt;&gt;"",DB_Customers!F417,""),"")</f>
        <v/>
      </c>
      <c r="M423" s="470">
        <f>IFERROR(IF(DB_Customers!T417&lt;&gt;"",DB_Customers!T417,""),"")</f>
        <v/>
      </c>
      <c r="N423" s="474">
        <f>IFERROR(IF(DB_Customers!A417&lt;&gt;"",IF(DB_Customers!I417&gt;=10,"Active","Inactive"),""),"")</f>
        <v/>
      </c>
    </row>
    <row r="424" ht="18" customHeight="1" s="341">
      <c r="A424" s="461">
        <f>IF(DB_Customers!A418&lt;&gt;"",415,"")</f>
        <v/>
      </c>
      <c r="B424" s="462">
        <f>IFERROR(IF(DB_Customers!A418&lt;&gt;"",DB_Customers!A418,""),"")</f>
        <v/>
      </c>
      <c r="C424" s="463">
        <f>IFERROR(IF(DB_Customers!D418&lt;&gt;"",DB_Customers!D418,""),"")</f>
        <v/>
      </c>
      <c r="D424" s="464">
        <f>IFERROR(IF(DB_Customers!Q418&lt;&gt;"",DB_Customers!Q418,""),"")</f>
        <v/>
      </c>
      <c r="E424" s="463">
        <f>IFERROR(IF(DB_Customers!R418&lt;&gt;"",DB_Customers!R418,""),"")</f>
        <v/>
      </c>
      <c r="F424" s="463">
        <f>IFERROR(IF(DB_Customers!S418&lt;&gt;"",DB_Customers!S418,""),"")</f>
        <v/>
      </c>
      <c r="G424" s="463">
        <f>IFERROR(IF(DB_Customers!G418&lt;&gt;"",DB_Customers!G418,""),"")</f>
        <v/>
      </c>
      <c r="H424" s="465">
        <f>IFERROR(IF(DB_Customers!H418&lt;&gt;"",DB_Customers!H418,""),"")</f>
        <v/>
      </c>
      <c r="I424" s="466">
        <f>IFERROR(IF(DB_Customers!I418&lt;&gt;"",DB_Customers!I418,""),"")</f>
        <v/>
      </c>
      <c r="J424" s="464">
        <f>IFERROR(IF(DB_Customers!J418&lt;&gt;"",DB_Customers!J418,""),"")</f>
        <v/>
      </c>
      <c r="K424" s="463">
        <f>IFERROR(IF(DB_Customers!E418&lt;&gt;"",DB_Customers!E418,""),"")</f>
        <v/>
      </c>
      <c r="L424" s="463">
        <f>IFERROR(IF(DB_Customers!F418&lt;&gt;"",DB_Customers!F418,""),"")</f>
        <v/>
      </c>
      <c r="M424" s="463">
        <f>IFERROR(IF(DB_Customers!T418&lt;&gt;"",DB_Customers!T418,""),"")</f>
        <v/>
      </c>
      <c r="N424" s="467">
        <f>IFERROR(IF(DB_Customers!A418&lt;&gt;"",IF(DB_Customers!I418&gt;=10,"Active","Inactive"),""),"")</f>
        <v/>
      </c>
    </row>
    <row r="425" ht="18" customHeight="1" s="341">
      <c r="A425" s="468">
        <f>IF(DB_Customers!A419&lt;&gt;"",416,"")</f>
        <v/>
      </c>
      <c r="B425" s="469">
        <f>IFERROR(IF(DB_Customers!A419&lt;&gt;"",DB_Customers!A419,""),"")</f>
        <v/>
      </c>
      <c r="C425" s="470">
        <f>IFERROR(IF(DB_Customers!D419&lt;&gt;"",DB_Customers!D419,""),"")</f>
        <v/>
      </c>
      <c r="D425" s="471">
        <f>IFERROR(IF(DB_Customers!Q419&lt;&gt;"",DB_Customers!Q419,""),"")</f>
        <v/>
      </c>
      <c r="E425" s="470">
        <f>IFERROR(IF(DB_Customers!R419&lt;&gt;"",DB_Customers!R419,""),"")</f>
        <v/>
      </c>
      <c r="F425" s="470">
        <f>IFERROR(IF(DB_Customers!S419&lt;&gt;"",DB_Customers!S419,""),"")</f>
        <v/>
      </c>
      <c r="G425" s="470">
        <f>IFERROR(IF(DB_Customers!G419&lt;&gt;"",DB_Customers!G419,""),"")</f>
        <v/>
      </c>
      <c r="H425" s="472">
        <f>IFERROR(IF(DB_Customers!H419&lt;&gt;"",DB_Customers!H419,""),"")</f>
        <v/>
      </c>
      <c r="I425" s="473">
        <f>IFERROR(IF(DB_Customers!I419&lt;&gt;"",DB_Customers!I419,""),"")</f>
        <v/>
      </c>
      <c r="J425" s="471">
        <f>IFERROR(IF(DB_Customers!J419&lt;&gt;"",DB_Customers!J419,""),"")</f>
        <v/>
      </c>
      <c r="K425" s="470">
        <f>IFERROR(IF(DB_Customers!E419&lt;&gt;"",DB_Customers!E419,""),"")</f>
        <v/>
      </c>
      <c r="L425" s="470">
        <f>IFERROR(IF(DB_Customers!F419&lt;&gt;"",DB_Customers!F419,""),"")</f>
        <v/>
      </c>
      <c r="M425" s="470">
        <f>IFERROR(IF(DB_Customers!T419&lt;&gt;"",DB_Customers!T419,""),"")</f>
        <v/>
      </c>
      <c r="N425" s="474">
        <f>IFERROR(IF(DB_Customers!A419&lt;&gt;"",IF(DB_Customers!I419&gt;=10,"Active","Inactive"),""),"")</f>
        <v/>
      </c>
    </row>
    <row r="426" ht="18" customHeight="1" s="341">
      <c r="A426" s="461">
        <f>IF(DB_Customers!A420&lt;&gt;"",417,"")</f>
        <v/>
      </c>
      <c r="B426" s="462">
        <f>IFERROR(IF(DB_Customers!A420&lt;&gt;"",DB_Customers!A420,""),"")</f>
        <v/>
      </c>
      <c r="C426" s="463">
        <f>IFERROR(IF(DB_Customers!D420&lt;&gt;"",DB_Customers!D420,""),"")</f>
        <v/>
      </c>
      <c r="D426" s="464">
        <f>IFERROR(IF(DB_Customers!Q420&lt;&gt;"",DB_Customers!Q420,""),"")</f>
        <v/>
      </c>
      <c r="E426" s="463">
        <f>IFERROR(IF(DB_Customers!R420&lt;&gt;"",DB_Customers!R420,""),"")</f>
        <v/>
      </c>
      <c r="F426" s="463">
        <f>IFERROR(IF(DB_Customers!S420&lt;&gt;"",DB_Customers!S420,""),"")</f>
        <v/>
      </c>
      <c r="G426" s="463">
        <f>IFERROR(IF(DB_Customers!G420&lt;&gt;"",DB_Customers!G420,""),"")</f>
        <v/>
      </c>
      <c r="H426" s="465">
        <f>IFERROR(IF(DB_Customers!H420&lt;&gt;"",DB_Customers!H420,""),"")</f>
        <v/>
      </c>
      <c r="I426" s="466">
        <f>IFERROR(IF(DB_Customers!I420&lt;&gt;"",DB_Customers!I420,""),"")</f>
        <v/>
      </c>
      <c r="J426" s="464">
        <f>IFERROR(IF(DB_Customers!J420&lt;&gt;"",DB_Customers!J420,""),"")</f>
        <v/>
      </c>
      <c r="K426" s="463">
        <f>IFERROR(IF(DB_Customers!E420&lt;&gt;"",DB_Customers!E420,""),"")</f>
        <v/>
      </c>
      <c r="L426" s="463">
        <f>IFERROR(IF(DB_Customers!F420&lt;&gt;"",DB_Customers!F420,""),"")</f>
        <v/>
      </c>
      <c r="M426" s="463">
        <f>IFERROR(IF(DB_Customers!T420&lt;&gt;"",DB_Customers!T420,""),"")</f>
        <v/>
      </c>
      <c r="N426" s="467">
        <f>IFERROR(IF(DB_Customers!A420&lt;&gt;"",IF(DB_Customers!I420&gt;=10,"Active","Inactive"),""),"")</f>
        <v/>
      </c>
    </row>
    <row r="427" ht="18" customHeight="1" s="341">
      <c r="A427" s="468">
        <f>IF(DB_Customers!A421&lt;&gt;"",418,"")</f>
        <v/>
      </c>
      <c r="B427" s="469">
        <f>IFERROR(IF(DB_Customers!A421&lt;&gt;"",DB_Customers!A421,""),"")</f>
        <v/>
      </c>
      <c r="C427" s="470">
        <f>IFERROR(IF(DB_Customers!D421&lt;&gt;"",DB_Customers!D421,""),"")</f>
        <v/>
      </c>
      <c r="D427" s="471">
        <f>IFERROR(IF(DB_Customers!Q421&lt;&gt;"",DB_Customers!Q421,""),"")</f>
        <v/>
      </c>
      <c r="E427" s="470">
        <f>IFERROR(IF(DB_Customers!R421&lt;&gt;"",DB_Customers!R421,""),"")</f>
        <v/>
      </c>
      <c r="F427" s="470">
        <f>IFERROR(IF(DB_Customers!S421&lt;&gt;"",DB_Customers!S421,""),"")</f>
        <v/>
      </c>
      <c r="G427" s="470">
        <f>IFERROR(IF(DB_Customers!G421&lt;&gt;"",DB_Customers!G421,""),"")</f>
        <v/>
      </c>
      <c r="H427" s="472">
        <f>IFERROR(IF(DB_Customers!H421&lt;&gt;"",DB_Customers!H421,""),"")</f>
        <v/>
      </c>
      <c r="I427" s="473">
        <f>IFERROR(IF(DB_Customers!I421&lt;&gt;"",DB_Customers!I421,""),"")</f>
        <v/>
      </c>
      <c r="J427" s="471">
        <f>IFERROR(IF(DB_Customers!J421&lt;&gt;"",DB_Customers!J421,""),"")</f>
        <v/>
      </c>
      <c r="K427" s="470">
        <f>IFERROR(IF(DB_Customers!E421&lt;&gt;"",DB_Customers!E421,""),"")</f>
        <v/>
      </c>
      <c r="L427" s="470">
        <f>IFERROR(IF(DB_Customers!F421&lt;&gt;"",DB_Customers!F421,""),"")</f>
        <v/>
      </c>
      <c r="M427" s="470">
        <f>IFERROR(IF(DB_Customers!T421&lt;&gt;"",DB_Customers!T421,""),"")</f>
        <v/>
      </c>
      <c r="N427" s="474">
        <f>IFERROR(IF(DB_Customers!A421&lt;&gt;"",IF(DB_Customers!I421&gt;=10,"Active","Inactive"),""),"")</f>
        <v/>
      </c>
    </row>
    <row r="428" ht="18" customHeight="1" s="341">
      <c r="A428" s="461">
        <f>IF(DB_Customers!A422&lt;&gt;"",419,"")</f>
        <v/>
      </c>
      <c r="B428" s="462">
        <f>IFERROR(IF(DB_Customers!A422&lt;&gt;"",DB_Customers!A422,""),"")</f>
        <v/>
      </c>
      <c r="C428" s="463">
        <f>IFERROR(IF(DB_Customers!D422&lt;&gt;"",DB_Customers!D422,""),"")</f>
        <v/>
      </c>
      <c r="D428" s="464">
        <f>IFERROR(IF(DB_Customers!Q422&lt;&gt;"",DB_Customers!Q422,""),"")</f>
        <v/>
      </c>
      <c r="E428" s="463">
        <f>IFERROR(IF(DB_Customers!R422&lt;&gt;"",DB_Customers!R422,""),"")</f>
        <v/>
      </c>
      <c r="F428" s="463">
        <f>IFERROR(IF(DB_Customers!S422&lt;&gt;"",DB_Customers!S422,""),"")</f>
        <v/>
      </c>
      <c r="G428" s="463">
        <f>IFERROR(IF(DB_Customers!G422&lt;&gt;"",DB_Customers!G422,""),"")</f>
        <v/>
      </c>
      <c r="H428" s="465">
        <f>IFERROR(IF(DB_Customers!H422&lt;&gt;"",DB_Customers!H422,""),"")</f>
        <v/>
      </c>
      <c r="I428" s="466">
        <f>IFERROR(IF(DB_Customers!I422&lt;&gt;"",DB_Customers!I422,""),"")</f>
        <v/>
      </c>
      <c r="J428" s="464">
        <f>IFERROR(IF(DB_Customers!J422&lt;&gt;"",DB_Customers!J422,""),"")</f>
        <v/>
      </c>
      <c r="K428" s="463">
        <f>IFERROR(IF(DB_Customers!E422&lt;&gt;"",DB_Customers!E422,""),"")</f>
        <v/>
      </c>
      <c r="L428" s="463">
        <f>IFERROR(IF(DB_Customers!F422&lt;&gt;"",DB_Customers!F422,""),"")</f>
        <v/>
      </c>
      <c r="M428" s="463">
        <f>IFERROR(IF(DB_Customers!T422&lt;&gt;"",DB_Customers!T422,""),"")</f>
        <v/>
      </c>
      <c r="N428" s="467">
        <f>IFERROR(IF(DB_Customers!A422&lt;&gt;"",IF(DB_Customers!I422&gt;=10,"Active","Inactive"),""),"")</f>
        <v/>
      </c>
    </row>
    <row r="429" ht="18" customHeight="1" s="341">
      <c r="A429" s="468">
        <f>IF(DB_Customers!A423&lt;&gt;"",420,"")</f>
        <v/>
      </c>
      <c r="B429" s="469">
        <f>IFERROR(IF(DB_Customers!A423&lt;&gt;"",DB_Customers!A423,""),"")</f>
        <v/>
      </c>
      <c r="C429" s="470">
        <f>IFERROR(IF(DB_Customers!D423&lt;&gt;"",DB_Customers!D423,""),"")</f>
        <v/>
      </c>
      <c r="D429" s="471">
        <f>IFERROR(IF(DB_Customers!Q423&lt;&gt;"",DB_Customers!Q423,""),"")</f>
        <v/>
      </c>
      <c r="E429" s="470">
        <f>IFERROR(IF(DB_Customers!R423&lt;&gt;"",DB_Customers!R423,""),"")</f>
        <v/>
      </c>
      <c r="F429" s="470">
        <f>IFERROR(IF(DB_Customers!S423&lt;&gt;"",DB_Customers!S423,""),"")</f>
        <v/>
      </c>
      <c r="G429" s="470">
        <f>IFERROR(IF(DB_Customers!G423&lt;&gt;"",DB_Customers!G423,""),"")</f>
        <v/>
      </c>
      <c r="H429" s="472">
        <f>IFERROR(IF(DB_Customers!H423&lt;&gt;"",DB_Customers!H423,""),"")</f>
        <v/>
      </c>
      <c r="I429" s="473">
        <f>IFERROR(IF(DB_Customers!I423&lt;&gt;"",DB_Customers!I423,""),"")</f>
        <v/>
      </c>
      <c r="J429" s="471">
        <f>IFERROR(IF(DB_Customers!J423&lt;&gt;"",DB_Customers!J423,""),"")</f>
        <v/>
      </c>
      <c r="K429" s="470">
        <f>IFERROR(IF(DB_Customers!E423&lt;&gt;"",DB_Customers!E423,""),"")</f>
        <v/>
      </c>
      <c r="L429" s="470">
        <f>IFERROR(IF(DB_Customers!F423&lt;&gt;"",DB_Customers!F423,""),"")</f>
        <v/>
      </c>
      <c r="M429" s="470">
        <f>IFERROR(IF(DB_Customers!T423&lt;&gt;"",DB_Customers!T423,""),"")</f>
        <v/>
      </c>
      <c r="N429" s="474">
        <f>IFERROR(IF(DB_Customers!A423&lt;&gt;"",IF(DB_Customers!I423&gt;=10,"Active","Inactive"),""),"")</f>
        <v/>
      </c>
    </row>
    <row r="430" ht="18" customHeight="1" s="341">
      <c r="A430" s="461">
        <f>IF(DB_Customers!A424&lt;&gt;"",421,"")</f>
        <v/>
      </c>
      <c r="B430" s="462">
        <f>IFERROR(IF(DB_Customers!A424&lt;&gt;"",DB_Customers!A424,""),"")</f>
        <v/>
      </c>
      <c r="C430" s="463">
        <f>IFERROR(IF(DB_Customers!D424&lt;&gt;"",DB_Customers!D424,""),"")</f>
        <v/>
      </c>
      <c r="D430" s="464">
        <f>IFERROR(IF(DB_Customers!Q424&lt;&gt;"",DB_Customers!Q424,""),"")</f>
        <v/>
      </c>
      <c r="E430" s="463">
        <f>IFERROR(IF(DB_Customers!R424&lt;&gt;"",DB_Customers!R424,""),"")</f>
        <v/>
      </c>
      <c r="F430" s="463">
        <f>IFERROR(IF(DB_Customers!S424&lt;&gt;"",DB_Customers!S424,""),"")</f>
        <v/>
      </c>
      <c r="G430" s="463">
        <f>IFERROR(IF(DB_Customers!G424&lt;&gt;"",DB_Customers!G424,""),"")</f>
        <v/>
      </c>
      <c r="H430" s="465">
        <f>IFERROR(IF(DB_Customers!H424&lt;&gt;"",DB_Customers!H424,""),"")</f>
        <v/>
      </c>
      <c r="I430" s="466">
        <f>IFERROR(IF(DB_Customers!I424&lt;&gt;"",DB_Customers!I424,""),"")</f>
        <v/>
      </c>
      <c r="J430" s="464">
        <f>IFERROR(IF(DB_Customers!J424&lt;&gt;"",DB_Customers!J424,""),"")</f>
        <v/>
      </c>
      <c r="K430" s="463">
        <f>IFERROR(IF(DB_Customers!E424&lt;&gt;"",DB_Customers!E424,""),"")</f>
        <v/>
      </c>
      <c r="L430" s="463">
        <f>IFERROR(IF(DB_Customers!F424&lt;&gt;"",DB_Customers!F424,""),"")</f>
        <v/>
      </c>
      <c r="M430" s="463">
        <f>IFERROR(IF(DB_Customers!T424&lt;&gt;"",DB_Customers!T424,""),"")</f>
        <v/>
      </c>
      <c r="N430" s="467">
        <f>IFERROR(IF(DB_Customers!A424&lt;&gt;"",IF(DB_Customers!I424&gt;=10,"Active","Inactive"),""),"")</f>
        <v/>
      </c>
    </row>
    <row r="431" ht="18" customHeight="1" s="341">
      <c r="A431" s="468">
        <f>IF(DB_Customers!A425&lt;&gt;"",422,"")</f>
        <v/>
      </c>
      <c r="B431" s="469">
        <f>IFERROR(IF(DB_Customers!A425&lt;&gt;"",DB_Customers!A425,""),"")</f>
        <v/>
      </c>
      <c r="C431" s="470">
        <f>IFERROR(IF(DB_Customers!D425&lt;&gt;"",DB_Customers!D425,""),"")</f>
        <v/>
      </c>
      <c r="D431" s="471">
        <f>IFERROR(IF(DB_Customers!Q425&lt;&gt;"",DB_Customers!Q425,""),"")</f>
        <v/>
      </c>
      <c r="E431" s="470">
        <f>IFERROR(IF(DB_Customers!R425&lt;&gt;"",DB_Customers!R425,""),"")</f>
        <v/>
      </c>
      <c r="F431" s="470">
        <f>IFERROR(IF(DB_Customers!S425&lt;&gt;"",DB_Customers!S425,""),"")</f>
        <v/>
      </c>
      <c r="G431" s="470">
        <f>IFERROR(IF(DB_Customers!G425&lt;&gt;"",DB_Customers!G425,""),"")</f>
        <v/>
      </c>
      <c r="H431" s="472">
        <f>IFERROR(IF(DB_Customers!H425&lt;&gt;"",DB_Customers!H425,""),"")</f>
        <v/>
      </c>
      <c r="I431" s="473">
        <f>IFERROR(IF(DB_Customers!I425&lt;&gt;"",DB_Customers!I425,""),"")</f>
        <v/>
      </c>
      <c r="J431" s="471">
        <f>IFERROR(IF(DB_Customers!J425&lt;&gt;"",DB_Customers!J425,""),"")</f>
        <v/>
      </c>
      <c r="K431" s="470">
        <f>IFERROR(IF(DB_Customers!E425&lt;&gt;"",DB_Customers!E425,""),"")</f>
        <v/>
      </c>
      <c r="L431" s="470">
        <f>IFERROR(IF(DB_Customers!F425&lt;&gt;"",DB_Customers!F425,""),"")</f>
        <v/>
      </c>
      <c r="M431" s="470">
        <f>IFERROR(IF(DB_Customers!T425&lt;&gt;"",DB_Customers!T425,""),"")</f>
        <v/>
      </c>
      <c r="N431" s="474">
        <f>IFERROR(IF(DB_Customers!A425&lt;&gt;"",IF(DB_Customers!I425&gt;=10,"Active","Inactive"),""),"")</f>
        <v/>
      </c>
    </row>
    <row r="432" ht="18" customHeight="1" s="341">
      <c r="A432" s="461">
        <f>IF(DB_Customers!A426&lt;&gt;"",423,"")</f>
        <v/>
      </c>
      <c r="B432" s="462">
        <f>IFERROR(IF(DB_Customers!A426&lt;&gt;"",DB_Customers!A426,""),"")</f>
        <v/>
      </c>
      <c r="C432" s="463">
        <f>IFERROR(IF(DB_Customers!D426&lt;&gt;"",DB_Customers!D426,""),"")</f>
        <v/>
      </c>
      <c r="D432" s="464">
        <f>IFERROR(IF(DB_Customers!Q426&lt;&gt;"",DB_Customers!Q426,""),"")</f>
        <v/>
      </c>
      <c r="E432" s="463">
        <f>IFERROR(IF(DB_Customers!R426&lt;&gt;"",DB_Customers!R426,""),"")</f>
        <v/>
      </c>
      <c r="F432" s="463">
        <f>IFERROR(IF(DB_Customers!S426&lt;&gt;"",DB_Customers!S426,""),"")</f>
        <v/>
      </c>
      <c r="G432" s="463">
        <f>IFERROR(IF(DB_Customers!G426&lt;&gt;"",DB_Customers!G426,""),"")</f>
        <v/>
      </c>
      <c r="H432" s="465">
        <f>IFERROR(IF(DB_Customers!H426&lt;&gt;"",DB_Customers!H426,""),"")</f>
        <v/>
      </c>
      <c r="I432" s="466">
        <f>IFERROR(IF(DB_Customers!I426&lt;&gt;"",DB_Customers!I426,""),"")</f>
        <v/>
      </c>
      <c r="J432" s="464">
        <f>IFERROR(IF(DB_Customers!J426&lt;&gt;"",DB_Customers!J426,""),"")</f>
        <v/>
      </c>
      <c r="K432" s="463">
        <f>IFERROR(IF(DB_Customers!E426&lt;&gt;"",DB_Customers!E426,""),"")</f>
        <v/>
      </c>
      <c r="L432" s="463">
        <f>IFERROR(IF(DB_Customers!F426&lt;&gt;"",DB_Customers!F426,""),"")</f>
        <v/>
      </c>
      <c r="M432" s="463">
        <f>IFERROR(IF(DB_Customers!T426&lt;&gt;"",DB_Customers!T426,""),"")</f>
        <v/>
      </c>
      <c r="N432" s="467">
        <f>IFERROR(IF(DB_Customers!A426&lt;&gt;"",IF(DB_Customers!I426&gt;=10,"Active","Inactive"),""),"")</f>
        <v/>
      </c>
    </row>
    <row r="433" ht="18" customHeight="1" s="341">
      <c r="A433" s="468">
        <f>IF(DB_Customers!A427&lt;&gt;"",424,"")</f>
        <v/>
      </c>
      <c r="B433" s="469">
        <f>IFERROR(IF(DB_Customers!A427&lt;&gt;"",DB_Customers!A427,""),"")</f>
        <v/>
      </c>
      <c r="C433" s="470">
        <f>IFERROR(IF(DB_Customers!D427&lt;&gt;"",DB_Customers!D427,""),"")</f>
        <v/>
      </c>
      <c r="D433" s="471">
        <f>IFERROR(IF(DB_Customers!Q427&lt;&gt;"",DB_Customers!Q427,""),"")</f>
        <v/>
      </c>
      <c r="E433" s="470">
        <f>IFERROR(IF(DB_Customers!R427&lt;&gt;"",DB_Customers!R427,""),"")</f>
        <v/>
      </c>
      <c r="F433" s="470">
        <f>IFERROR(IF(DB_Customers!S427&lt;&gt;"",DB_Customers!S427,""),"")</f>
        <v/>
      </c>
      <c r="G433" s="470">
        <f>IFERROR(IF(DB_Customers!G427&lt;&gt;"",DB_Customers!G427,""),"")</f>
        <v/>
      </c>
      <c r="H433" s="472">
        <f>IFERROR(IF(DB_Customers!H427&lt;&gt;"",DB_Customers!H427,""),"")</f>
        <v/>
      </c>
      <c r="I433" s="473">
        <f>IFERROR(IF(DB_Customers!I427&lt;&gt;"",DB_Customers!I427,""),"")</f>
        <v/>
      </c>
      <c r="J433" s="471">
        <f>IFERROR(IF(DB_Customers!J427&lt;&gt;"",DB_Customers!J427,""),"")</f>
        <v/>
      </c>
      <c r="K433" s="470">
        <f>IFERROR(IF(DB_Customers!E427&lt;&gt;"",DB_Customers!E427,""),"")</f>
        <v/>
      </c>
      <c r="L433" s="470">
        <f>IFERROR(IF(DB_Customers!F427&lt;&gt;"",DB_Customers!F427,""),"")</f>
        <v/>
      </c>
      <c r="M433" s="470">
        <f>IFERROR(IF(DB_Customers!T427&lt;&gt;"",DB_Customers!T427,""),"")</f>
        <v/>
      </c>
      <c r="N433" s="474">
        <f>IFERROR(IF(DB_Customers!A427&lt;&gt;"",IF(DB_Customers!I427&gt;=10,"Active","Inactive"),""),"")</f>
        <v/>
      </c>
    </row>
    <row r="434" ht="18" customHeight="1" s="341">
      <c r="A434" s="461">
        <f>IF(DB_Customers!A428&lt;&gt;"",425,"")</f>
        <v/>
      </c>
      <c r="B434" s="462">
        <f>IFERROR(IF(DB_Customers!A428&lt;&gt;"",DB_Customers!A428,""),"")</f>
        <v/>
      </c>
      <c r="C434" s="463">
        <f>IFERROR(IF(DB_Customers!D428&lt;&gt;"",DB_Customers!D428,""),"")</f>
        <v/>
      </c>
      <c r="D434" s="464">
        <f>IFERROR(IF(DB_Customers!Q428&lt;&gt;"",DB_Customers!Q428,""),"")</f>
        <v/>
      </c>
      <c r="E434" s="463">
        <f>IFERROR(IF(DB_Customers!R428&lt;&gt;"",DB_Customers!R428,""),"")</f>
        <v/>
      </c>
      <c r="F434" s="463">
        <f>IFERROR(IF(DB_Customers!S428&lt;&gt;"",DB_Customers!S428,""),"")</f>
        <v/>
      </c>
      <c r="G434" s="463">
        <f>IFERROR(IF(DB_Customers!G428&lt;&gt;"",DB_Customers!G428,""),"")</f>
        <v/>
      </c>
      <c r="H434" s="465">
        <f>IFERROR(IF(DB_Customers!H428&lt;&gt;"",DB_Customers!H428,""),"")</f>
        <v/>
      </c>
      <c r="I434" s="466">
        <f>IFERROR(IF(DB_Customers!I428&lt;&gt;"",DB_Customers!I428,""),"")</f>
        <v/>
      </c>
      <c r="J434" s="464">
        <f>IFERROR(IF(DB_Customers!J428&lt;&gt;"",DB_Customers!J428,""),"")</f>
        <v/>
      </c>
      <c r="K434" s="463">
        <f>IFERROR(IF(DB_Customers!E428&lt;&gt;"",DB_Customers!E428,""),"")</f>
        <v/>
      </c>
      <c r="L434" s="463">
        <f>IFERROR(IF(DB_Customers!F428&lt;&gt;"",DB_Customers!F428,""),"")</f>
        <v/>
      </c>
      <c r="M434" s="463">
        <f>IFERROR(IF(DB_Customers!T428&lt;&gt;"",DB_Customers!T428,""),"")</f>
        <v/>
      </c>
      <c r="N434" s="467">
        <f>IFERROR(IF(DB_Customers!A428&lt;&gt;"",IF(DB_Customers!I428&gt;=10,"Active","Inactive"),""),"")</f>
        <v/>
      </c>
    </row>
    <row r="435" ht="18" customHeight="1" s="341">
      <c r="A435" s="468">
        <f>IF(DB_Customers!A429&lt;&gt;"",426,"")</f>
        <v/>
      </c>
      <c r="B435" s="469">
        <f>IFERROR(IF(DB_Customers!A429&lt;&gt;"",DB_Customers!A429,""),"")</f>
        <v/>
      </c>
      <c r="C435" s="470">
        <f>IFERROR(IF(DB_Customers!D429&lt;&gt;"",DB_Customers!D429,""),"")</f>
        <v/>
      </c>
      <c r="D435" s="471">
        <f>IFERROR(IF(DB_Customers!Q429&lt;&gt;"",DB_Customers!Q429,""),"")</f>
        <v/>
      </c>
      <c r="E435" s="470">
        <f>IFERROR(IF(DB_Customers!R429&lt;&gt;"",DB_Customers!R429,""),"")</f>
        <v/>
      </c>
      <c r="F435" s="470">
        <f>IFERROR(IF(DB_Customers!S429&lt;&gt;"",DB_Customers!S429,""),"")</f>
        <v/>
      </c>
      <c r="G435" s="470">
        <f>IFERROR(IF(DB_Customers!G429&lt;&gt;"",DB_Customers!G429,""),"")</f>
        <v/>
      </c>
      <c r="H435" s="472">
        <f>IFERROR(IF(DB_Customers!H429&lt;&gt;"",DB_Customers!H429,""),"")</f>
        <v/>
      </c>
      <c r="I435" s="473">
        <f>IFERROR(IF(DB_Customers!I429&lt;&gt;"",DB_Customers!I429,""),"")</f>
        <v/>
      </c>
      <c r="J435" s="471">
        <f>IFERROR(IF(DB_Customers!J429&lt;&gt;"",DB_Customers!J429,""),"")</f>
        <v/>
      </c>
      <c r="K435" s="470">
        <f>IFERROR(IF(DB_Customers!E429&lt;&gt;"",DB_Customers!E429,""),"")</f>
        <v/>
      </c>
      <c r="L435" s="470">
        <f>IFERROR(IF(DB_Customers!F429&lt;&gt;"",DB_Customers!F429,""),"")</f>
        <v/>
      </c>
      <c r="M435" s="470">
        <f>IFERROR(IF(DB_Customers!T429&lt;&gt;"",DB_Customers!T429,""),"")</f>
        <v/>
      </c>
      <c r="N435" s="474">
        <f>IFERROR(IF(DB_Customers!A429&lt;&gt;"",IF(DB_Customers!I429&gt;=10,"Active","Inactive"),""),"")</f>
        <v/>
      </c>
    </row>
    <row r="436" ht="18" customHeight="1" s="341">
      <c r="A436" s="461">
        <f>IF(DB_Customers!A430&lt;&gt;"",427,"")</f>
        <v/>
      </c>
      <c r="B436" s="462">
        <f>IFERROR(IF(DB_Customers!A430&lt;&gt;"",DB_Customers!A430,""),"")</f>
        <v/>
      </c>
      <c r="C436" s="463">
        <f>IFERROR(IF(DB_Customers!D430&lt;&gt;"",DB_Customers!D430,""),"")</f>
        <v/>
      </c>
      <c r="D436" s="464">
        <f>IFERROR(IF(DB_Customers!Q430&lt;&gt;"",DB_Customers!Q430,""),"")</f>
        <v/>
      </c>
      <c r="E436" s="463">
        <f>IFERROR(IF(DB_Customers!R430&lt;&gt;"",DB_Customers!R430,""),"")</f>
        <v/>
      </c>
      <c r="F436" s="463">
        <f>IFERROR(IF(DB_Customers!S430&lt;&gt;"",DB_Customers!S430,""),"")</f>
        <v/>
      </c>
      <c r="G436" s="463">
        <f>IFERROR(IF(DB_Customers!G430&lt;&gt;"",DB_Customers!G430,""),"")</f>
        <v/>
      </c>
      <c r="H436" s="465">
        <f>IFERROR(IF(DB_Customers!H430&lt;&gt;"",DB_Customers!H430,""),"")</f>
        <v/>
      </c>
      <c r="I436" s="466">
        <f>IFERROR(IF(DB_Customers!I430&lt;&gt;"",DB_Customers!I430,""),"")</f>
        <v/>
      </c>
      <c r="J436" s="464">
        <f>IFERROR(IF(DB_Customers!J430&lt;&gt;"",DB_Customers!J430,""),"")</f>
        <v/>
      </c>
      <c r="K436" s="463">
        <f>IFERROR(IF(DB_Customers!E430&lt;&gt;"",DB_Customers!E430,""),"")</f>
        <v/>
      </c>
      <c r="L436" s="463">
        <f>IFERROR(IF(DB_Customers!F430&lt;&gt;"",DB_Customers!F430,""),"")</f>
        <v/>
      </c>
      <c r="M436" s="463">
        <f>IFERROR(IF(DB_Customers!T430&lt;&gt;"",DB_Customers!T430,""),"")</f>
        <v/>
      </c>
      <c r="N436" s="467">
        <f>IFERROR(IF(DB_Customers!A430&lt;&gt;"",IF(DB_Customers!I430&gt;=10,"Active","Inactive"),""),"")</f>
        <v/>
      </c>
    </row>
    <row r="437" ht="18" customHeight="1" s="341">
      <c r="A437" s="468">
        <f>IF(DB_Customers!A431&lt;&gt;"",428,"")</f>
        <v/>
      </c>
      <c r="B437" s="469">
        <f>IFERROR(IF(DB_Customers!A431&lt;&gt;"",DB_Customers!A431,""),"")</f>
        <v/>
      </c>
      <c r="C437" s="470">
        <f>IFERROR(IF(DB_Customers!D431&lt;&gt;"",DB_Customers!D431,""),"")</f>
        <v/>
      </c>
      <c r="D437" s="471">
        <f>IFERROR(IF(DB_Customers!Q431&lt;&gt;"",DB_Customers!Q431,""),"")</f>
        <v/>
      </c>
      <c r="E437" s="470">
        <f>IFERROR(IF(DB_Customers!R431&lt;&gt;"",DB_Customers!R431,""),"")</f>
        <v/>
      </c>
      <c r="F437" s="470">
        <f>IFERROR(IF(DB_Customers!S431&lt;&gt;"",DB_Customers!S431,""),"")</f>
        <v/>
      </c>
      <c r="G437" s="470">
        <f>IFERROR(IF(DB_Customers!G431&lt;&gt;"",DB_Customers!G431,""),"")</f>
        <v/>
      </c>
      <c r="H437" s="472">
        <f>IFERROR(IF(DB_Customers!H431&lt;&gt;"",DB_Customers!H431,""),"")</f>
        <v/>
      </c>
      <c r="I437" s="473">
        <f>IFERROR(IF(DB_Customers!I431&lt;&gt;"",DB_Customers!I431,""),"")</f>
        <v/>
      </c>
      <c r="J437" s="471">
        <f>IFERROR(IF(DB_Customers!J431&lt;&gt;"",DB_Customers!J431,""),"")</f>
        <v/>
      </c>
      <c r="K437" s="470">
        <f>IFERROR(IF(DB_Customers!E431&lt;&gt;"",DB_Customers!E431,""),"")</f>
        <v/>
      </c>
      <c r="L437" s="470">
        <f>IFERROR(IF(DB_Customers!F431&lt;&gt;"",DB_Customers!F431,""),"")</f>
        <v/>
      </c>
      <c r="M437" s="470">
        <f>IFERROR(IF(DB_Customers!T431&lt;&gt;"",DB_Customers!T431,""),"")</f>
        <v/>
      </c>
      <c r="N437" s="474">
        <f>IFERROR(IF(DB_Customers!A431&lt;&gt;"",IF(DB_Customers!I431&gt;=10,"Active","Inactive"),""),"")</f>
        <v/>
      </c>
    </row>
    <row r="438" ht="18" customHeight="1" s="341">
      <c r="A438" s="461">
        <f>IF(DB_Customers!A432&lt;&gt;"",429,"")</f>
        <v/>
      </c>
      <c r="B438" s="462">
        <f>IFERROR(IF(DB_Customers!A432&lt;&gt;"",DB_Customers!A432,""),"")</f>
        <v/>
      </c>
      <c r="C438" s="463">
        <f>IFERROR(IF(DB_Customers!D432&lt;&gt;"",DB_Customers!D432,""),"")</f>
        <v/>
      </c>
      <c r="D438" s="464">
        <f>IFERROR(IF(DB_Customers!Q432&lt;&gt;"",DB_Customers!Q432,""),"")</f>
        <v/>
      </c>
      <c r="E438" s="463">
        <f>IFERROR(IF(DB_Customers!R432&lt;&gt;"",DB_Customers!R432,""),"")</f>
        <v/>
      </c>
      <c r="F438" s="463">
        <f>IFERROR(IF(DB_Customers!S432&lt;&gt;"",DB_Customers!S432,""),"")</f>
        <v/>
      </c>
      <c r="G438" s="463">
        <f>IFERROR(IF(DB_Customers!G432&lt;&gt;"",DB_Customers!G432,""),"")</f>
        <v/>
      </c>
      <c r="H438" s="465">
        <f>IFERROR(IF(DB_Customers!H432&lt;&gt;"",DB_Customers!H432,""),"")</f>
        <v/>
      </c>
      <c r="I438" s="466">
        <f>IFERROR(IF(DB_Customers!I432&lt;&gt;"",DB_Customers!I432,""),"")</f>
        <v/>
      </c>
      <c r="J438" s="464">
        <f>IFERROR(IF(DB_Customers!J432&lt;&gt;"",DB_Customers!J432,""),"")</f>
        <v/>
      </c>
      <c r="K438" s="463">
        <f>IFERROR(IF(DB_Customers!E432&lt;&gt;"",DB_Customers!E432,""),"")</f>
        <v/>
      </c>
      <c r="L438" s="463">
        <f>IFERROR(IF(DB_Customers!F432&lt;&gt;"",DB_Customers!F432,""),"")</f>
        <v/>
      </c>
      <c r="M438" s="463">
        <f>IFERROR(IF(DB_Customers!T432&lt;&gt;"",DB_Customers!T432,""),"")</f>
        <v/>
      </c>
      <c r="N438" s="467">
        <f>IFERROR(IF(DB_Customers!A432&lt;&gt;"",IF(DB_Customers!I432&gt;=10,"Active","Inactive"),""),"")</f>
        <v/>
      </c>
    </row>
    <row r="439" ht="18" customHeight="1" s="341">
      <c r="A439" s="468">
        <f>IF(DB_Customers!A433&lt;&gt;"",430,"")</f>
        <v/>
      </c>
      <c r="B439" s="469">
        <f>IFERROR(IF(DB_Customers!A433&lt;&gt;"",DB_Customers!A433,""),"")</f>
        <v/>
      </c>
      <c r="C439" s="470">
        <f>IFERROR(IF(DB_Customers!D433&lt;&gt;"",DB_Customers!D433,""),"")</f>
        <v/>
      </c>
      <c r="D439" s="471">
        <f>IFERROR(IF(DB_Customers!Q433&lt;&gt;"",DB_Customers!Q433,""),"")</f>
        <v/>
      </c>
      <c r="E439" s="470">
        <f>IFERROR(IF(DB_Customers!R433&lt;&gt;"",DB_Customers!R433,""),"")</f>
        <v/>
      </c>
      <c r="F439" s="470">
        <f>IFERROR(IF(DB_Customers!S433&lt;&gt;"",DB_Customers!S433,""),"")</f>
        <v/>
      </c>
      <c r="G439" s="470">
        <f>IFERROR(IF(DB_Customers!G433&lt;&gt;"",DB_Customers!G433,""),"")</f>
        <v/>
      </c>
      <c r="H439" s="472">
        <f>IFERROR(IF(DB_Customers!H433&lt;&gt;"",DB_Customers!H433,""),"")</f>
        <v/>
      </c>
      <c r="I439" s="473">
        <f>IFERROR(IF(DB_Customers!I433&lt;&gt;"",DB_Customers!I433,""),"")</f>
        <v/>
      </c>
      <c r="J439" s="471">
        <f>IFERROR(IF(DB_Customers!J433&lt;&gt;"",DB_Customers!J433,""),"")</f>
        <v/>
      </c>
      <c r="K439" s="470">
        <f>IFERROR(IF(DB_Customers!E433&lt;&gt;"",DB_Customers!E433,""),"")</f>
        <v/>
      </c>
      <c r="L439" s="470">
        <f>IFERROR(IF(DB_Customers!F433&lt;&gt;"",DB_Customers!F433,""),"")</f>
        <v/>
      </c>
      <c r="M439" s="470">
        <f>IFERROR(IF(DB_Customers!T433&lt;&gt;"",DB_Customers!T433,""),"")</f>
        <v/>
      </c>
      <c r="N439" s="474">
        <f>IFERROR(IF(DB_Customers!A433&lt;&gt;"",IF(DB_Customers!I433&gt;=10,"Active","Inactive"),""),"")</f>
        <v/>
      </c>
    </row>
    <row r="440" ht="18" customHeight="1" s="341">
      <c r="A440" s="461">
        <f>IF(DB_Customers!A434&lt;&gt;"",431,"")</f>
        <v/>
      </c>
      <c r="B440" s="462">
        <f>IFERROR(IF(DB_Customers!A434&lt;&gt;"",DB_Customers!A434,""),"")</f>
        <v/>
      </c>
      <c r="C440" s="463">
        <f>IFERROR(IF(DB_Customers!D434&lt;&gt;"",DB_Customers!D434,""),"")</f>
        <v/>
      </c>
      <c r="D440" s="464">
        <f>IFERROR(IF(DB_Customers!Q434&lt;&gt;"",DB_Customers!Q434,""),"")</f>
        <v/>
      </c>
      <c r="E440" s="463">
        <f>IFERROR(IF(DB_Customers!R434&lt;&gt;"",DB_Customers!R434,""),"")</f>
        <v/>
      </c>
      <c r="F440" s="463">
        <f>IFERROR(IF(DB_Customers!S434&lt;&gt;"",DB_Customers!S434,""),"")</f>
        <v/>
      </c>
      <c r="G440" s="463">
        <f>IFERROR(IF(DB_Customers!G434&lt;&gt;"",DB_Customers!G434,""),"")</f>
        <v/>
      </c>
      <c r="H440" s="465">
        <f>IFERROR(IF(DB_Customers!H434&lt;&gt;"",DB_Customers!H434,""),"")</f>
        <v/>
      </c>
      <c r="I440" s="466">
        <f>IFERROR(IF(DB_Customers!I434&lt;&gt;"",DB_Customers!I434,""),"")</f>
        <v/>
      </c>
      <c r="J440" s="464">
        <f>IFERROR(IF(DB_Customers!J434&lt;&gt;"",DB_Customers!J434,""),"")</f>
        <v/>
      </c>
      <c r="K440" s="463">
        <f>IFERROR(IF(DB_Customers!E434&lt;&gt;"",DB_Customers!E434,""),"")</f>
        <v/>
      </c>
      <c r="L440" s="463">
        <f>IFERROR(IF(DB_Customers!F434&lt;&gt;"",DB_Customers!F434,""),"")</f>
        <v/>
      </c>
      <c r="M440" s="463">
        <f>IFERROR(IF(DB_Customers!T434&lt;&gt;"",DB_Customers!T434,""),"")</f>
        <v/>
      </c>
      <c r="N440" s="467">
        <f>IFERROR(IF(DB_Customers!A434&lt;&gt;"",IF(DB_Customers!I434&gt;=10,"Active","Inactive"),""),"")</f>
        <v/>
      </c>
    </row>
    <row r="441" ht="18" customHeight="1" s="341">
      <c r="A441" s="468">
        <f>IF(DB_Customers!A435&lt;&gt;"",432,"")</f>
        <v/>
      </c>
      <c r="B441" s="469">
        <f>IFERROR(IF(DB_Customers!A435&lt;&gt;"",DB_Customers!A435,""),"")</f>
        <v/>
      </c>
      <c r="C441" s="470">
        <f>IFERROR(IF(DB_Customers!D435&lt;&gt;"",DB_Customers!D435,""),"")</f>
        <v/>
      </c>
      <c r="D441" s="471">
        <f>IFERROR(IF(DB_Customers!Q435&lt;&gt;"",DB_Customers!Q435,""),"")</f>
        <v/>
      </c>
      <c r="E441" s="470">
        <f>IFERROR(IF(DB_Customers!R435&lt;&gt;"",DB_Customers!R435,""),"")</f>
        <v/>
      </c>
      <c r="F441" s="470">
        <f>IFERROR(IF(DB_Customers!S435&lt;&gt;"",DB_Customers!S435,""),"")</f>
        <v/>
      </c>
      <c r="G441" s="470">
        <f>IFERROR(IF(DB_Customers!G435&lt;&gt;"",DB_Customers!G435,""),"")</f>
        <v/>
      </c>
      <c r="H441" s="472">
        <f>IFERROR(IF(DB_Customers!H435&lt;&gt;"",DB_Customers!H435,""),"")</f>
        <v/>
      </c>
      <c r="I441" s="473">
        <f>IFERROR(IF(DB_Customers!I435&lt;&gt;"",DB_Customers!I435,""),"")</f>
        <v/>
      </c>
      <c r="J441" s="471">
        <f>IFERROR(IF(DB_Customers!J435&lt;&gt;"",DB_Customers!J435,""),"")</f>
        <v/>
      </c>
      <c r="K441" s="470">
        <f>IFERROR(IF(DB_Customers!E435&lt;&gt;"",DB_Customers!E435,""),"")</f>
        <v/>
      </c>
      <c r="L441" s="470">
        <f>IFERROR(IF(DB_Customers!F435&lt;&gt;"",DB_Customers!F435,""),"")</f>
        <v/>
      </c>
      <c r="M441" s="470">
        <f>IFERROR(IF(DB_Customers!T435&lt;&gt;"",DB_Customers!T435,""),"")</f>
        <v/>
      </c>
      <c r="N441" s="474">
        <f>IFERROR(IF(DB_Customers!A435&lt;&gt;"",IF(DB_Customers!I435&gt;=10,"Active","Inactive"),""),"")</f>
        <v/>
      </c>
    </row>
    <row r="442" ht="18" customHeight="1" s="341">
      <c r="A442" s="461">
        <f>IF(DB_Customers!A436&lt;&gt;"",433,"")</f>
        <v/>
      </c>
      <c r="B442" s="462">
        <f>IFERROR(IF(DB_Customers!A436&lt;&gt;"",DB_Customers!A436,""),"")</f>
        <v/>
      </c>
      <c r="C442" s="463">
        <f>IFERROR(IF(DB_Customers!D436&lt;&gt;"",DB_Customers!D436,""),"")</f>
        <v/>
      </c>
      <c r="D442" s="464">
        <f>IFERROR(IF(DB_Customers!Q436&lt;&gt;"",DB_Customers!Q436,""),"")</f>
        <v/>
      </c>
      <c r="E442" s="463">
        <f>IFERROR(IF(DB_Customers!R436&lt;&gt;"",DB_Customers!R436,""),"")</f>
        <v/>
      </c>
      <c r="F442" s="463">
        <f>IFERROR(IF(DB_Customers!S436&lt;&gt;"",DB_Customers!S436,""),"")</f>
        <v/>
      </c>
      <c r="G442" s="463">
        <f>IFERROR(IF(DB_Customers!G436&lt;&gt;"",DB_Customers!G436,""),"")</f>
        <v/>
      </c>
      <c r="H442" s="465">
        <f>IFERROR(IF(DB_Customers!H436&lt;&gt;"",DB_Customers!H436,""),"")</f>
        <v/>
      </c>
      <c r="I442" s="466">
        <f>IFERROR(IF(DB_Customers!I436&lt;&gt;"",DB_Customers!I436,""),"")</f>
        <v/>
      </c>
      <c r="J442" s="464">
        <f>IFERROR(IF(DB_Customers!J436&lt;&gt;"",DB_Customers!J436,""),"")</f>
        <v/>
      </c>
      <c r="K442" s="463">
        <f>IFERROR(IF(DB_Customers!E436&lt;&gt;"",DB_Customers!E436,""),"")</f>
        <v/>
      </c>
      <c r="L442" s="463">
        <f>IFERROR(IF(DB_Customers!F436&lt;&gt;"",DB_Customers!F436,""),"")</f>
        <v/>
      </c>
      <c r="M442" s="463">
        <f>IFERROR(IF(DB_Customers!T436&lt;&gt;"",DB_Customers!T436,""),"")</f>
        <v/>
      </c>
      <c r="N442" s="467">
        <f>IFERROR(IF(DB_Customers!A436&lt;&gt;"",IF(DB_Customers!I436&gt;=10,"Active","Inactive"),""),"")</f>
        <v/>
      </c>
    </row>
    <row r="443" ht="18" customHeight="1" s="341">
      <c r="A443" s="468">
        <f>IF(DB_Customers!A437&lt;&gt;"",434,"")</f>
        <v/>
      </c>
      <c r="B443" s="469">
        <f>IFERROR(IF(DB_Customers!A437&lt;&gt;"",DB_Customers!A437,""),"")</f>
        <v/>
      </c>
      <c r="C443" s="470">
        <f>IFERROR(IF(DB_Customers!D437&lt;&gt;"",DB_Customers!D437,""),"")</f>
        <v/>
      </c>
      <c r="D443" s="471">
        <f>IFERROR(IF(DB_Customers!Q437&lt;&gt;"",DB_Customers!Q437,""),"")</f>
        <v/>
      </c>
      <c r="E443" s="470">
        <f>IFERROR(IF(DB_Customers!R437&lt;&gt;"",DB_Customers!R437,""),"")</f>
        <v/>
      </c>
      <c r="F443" s="470">
        <f>IFERROR(IF(DB_Customers!S437&lt;&gt;"",DB_Customers!S437,""),"")</f>
        <v/>
      </c>
      <c r="G443" s="470">
        <f>IFERROR(IF(DB_Customers!G437&lt;&gt;"",DB_Customers!G437,""),"")</f>
        <v/>
      </c>
      <c r="H443" s="472">
        <f>IFERROR(IF(DB_Customers!H437&lt;&gt;"",DB_Customers!H437,""),"")</f>
        <v/>
      </c>
      <c r="I443" s="473">
        <f>IFERROR(IF(DB_Customers!I437&lt;&gt;"",DB_Customers!I437,""),"")</f>
        <v/>
      </c>
      <c r="J443" s="471">
        <f>IFERROR(IF(DB_Customers!J437&lt;&gt;"",DB_Customers!J437,""),"")</f>
        <v/>
      </c>
      <c r="K443" s="470">
        <f>IFERROR(IF(DB_Customers!E437&lt;&gt;"",DB_Customers!E437,""),"")</f>
        <v/>
      </c>
      <c r="L443" s="470">
        <f>IFERROR(IF(DB_Customers!F437&lt;&gt;"",DB_Customers!F437,""),"")</f>
        <v/>
      </c>
      <c r="M443" s="470">
        <f>IFERROR(IF(DB_Customers!T437&lt;&gt;"",DB_Customers!T437,""),"")</f>
        <v/>
      </c>
      <c r="N443" s="474">
        <f>IFERROR(IF(DB_Customers!A437&lt;&gt;"",IF(DB_Customers!I437&gt;=10,"Active","Inactive"),""),"")</f>
        <v/>
      </c>
    </row>
    <row r="444" ht="18" customHeight="1" s="341">
      <c r="A444" s="461">
        <f>IF(DB_Customers!A438&lt;&gt;"",435,"")</f>
        <v/>
      </c>
      <c r="B444" s="462">
        <f>IFERROR(IF(DB_Customers!A438&lt;&gt;"",DB_Customers!A438,""),"")</f>
        <v/>
      </c>
      <c r="C444" s="463">
        <f>IFERROR(IF(DB_Customers!D438&lt;&gt;"",DB_Customers!D438,""),"")</f>
        <v/>
      </c>
      <c r="D444" s="464">
        <f>IFERROR(IF(DB_Customers!Q438&lt;&gt;"",DB_Customers!Q438,""),"")</f>
        <v/>
      </c>
      <c r="E444" s="463">
        <f>IFERROR(IF(DB_Customers!R438&lt;&gt;"",DB_Customers!R438,""),"")</f>
        <v/>
      </c>
      <c r="F444" s="463">
        <f>IFERROR(IF(DB_Customers!S438&lt;&gt;"",DB_Customers!S438,""),"")</f>
        <v/>
      </c>
      <c r="G444" s="463">
        <f>IFERROR(IF(DB_Customers!G438&lt;&gt;"",DB_Customers!G438,""),"")</f>
        <v/>
      </c>
      <c r="H444" s="465">
        <f>IFERROR(IF(DB_Customers!H438&lt;&gt;"",DB_Customers!H438,""),"")</f>
        <v/>
      </c>
      <c r="I444" s="466">
        <f>IFERROR(IF(DB_Customers!I438&lt;&gt;"",DB_Customers!I438,""),"")</f>
        <v/>
      </c>
      <c r="J444" s="464">
        <f>IFERROR(IF(DB_Customers!J438&lt;&gt;"",DB_Customers!J438,""),"")</f>
        <v/>
      </c>
      <c r="K444" s="463">
        <f>IFERROR(IF(DB_Customers!E438&lt;&gt;"",DB_Customers!E438,""),"")</f>
        <v/>
      </c>
      <c r="L444" s="463">
        <f>IFERROR(IF(DB_Customers!F438&lt;&gt;"",DB_Customers!F438,""),"")</f>
        <v/>
      </c>
      <c r="M444" s="463">
        <f>IFERROR(IF(DB_Customers!T438&lt;&gt;"",DB_Customers!T438,""),"")</f>
        <v/>
      </c>
      <c r="N444" s="467">
        <f>IFERROR(IF(DB_Customers!A438&lt;&gt;"",IF(DB_Customers!I438&gt;=10,"Active","Inactive"),""),"")</f>
        <v/>
      </c>
    </row>
    <row r="445" ht="18" customHeight="1" s="341">
      <c r="A445" s="468">
        <f>IF(DB_Customers!A439&lt;&gt;"",436,"")</f>
        <v/>
      </c>
      <c r="B445" s="469">
        <f>IFERROR(IF(DB_Customers!A439&lt;&gt;"",DB_Customers!A439,""),"")</f>
        <v/>
      </c>
      <c r="C445" s="470">
        <f>IFERROR(IF(DB_Customers!D439&lt;&gt;"",DB_Customers!D439,""),"")</f>
        <v/>
      </c>
      <c r="D445" s="471">
        <f>IFERROR(IF(DB_Customers!Q439&lt;&gt;"",DB_Customers!Q439,""),"")</f>
        <v/>
      </c>
      <c r="E445" s="470">
        <f>IFERROR(IF(DB_Customers!R439&lt;&gt;"",DB_Customers!R439,""),"")</f>
        <v/>
      </c>
      <c r="F445" s="470">
        <f>IFERROR(IF(DB_Customers!S439&lt;&gt;"",DB_Customers!S439,""),"")</f>
        <v/>
      </c>
      <c r="G445" s="470">
        <f>IFERROR(IF(DB_Customers!G439&lt;&gt;"",DB_Customers!G439,""),"")</f>
        <v/>
      </c>
      <c r="H445" s="472">
        <f>IFERROR(IF(DB_Customers!H439&lt;&gt;"",DB_Customers!H439,""),"")</f>
        <v/>
      </c>
      <c r="I445" s="473">
        <f>IFERROR(IF(DB_Customers!I439&lt;&gt;"",DB_Customers!I439,""),"")</f>
        <v/>
      </c>
      <c r="J445" s="471">
        <f>IFERROR(IF(DB_Customers!J439&lt;&gt;"",DB_Customers!J439,""),"")</f>
        <v/>
      </c>
      <c r="K445" s="470">
        <f>IFERROR(IF(DB_Customers!E439&lt;&gt;"",DB_Customers!E439,""),"")</f>
        <v/>
      </c>
      <c r="L445" s="470">
        <f>IFERROR(IF(DB_Customers!F439&lt;&gt;"",DB_Customers!F439,""),"")</f>
        <v/>
      </c>
      <c r="M445" s="470">
        <f>IFERROR(IF(DB_Customers!T439&lt;&gt;"",DB_Customers!T439,""),"")</f>
        <v/>
      </c>
      <c r="N445" s="474">
        <f>IFERROR(IF(DB_Customers!A439&lt;&gt;"",IF(DB_Customers!I439&gt;=10,"Active","Inactive"),""),"")</f>
        <v/>
      </c>
    </row>
    <row r="446" ht="18" customHeight="1" s="341">
      <c r="A446" s="461">
        <f>IF(DB_Customers!A440&lt;&gt;"",437,"")</f>
        <v/>
      </c>
      <c r="B446" s="462">
        <f>IFERROR(IF(DB_Customers!A440&lt;&gt;"",DB_Customers!A440,""),"")</f>
        <v/>
      </c>
      <c r="C446" s="463">
        <f>IFERROR(IF(DB_Customers!D440&lt;&gt;"",DB_Customers!D440,""),"")</f>
        <v/>
      </c>
      <c r="D446" s="464">
        <f>IFERROR(IF(DB_Customers!Q440&lt;&gt;"",DB_Customers!Q440,""),"")</f>
        <v/>
      </c>
      <c r="E446" s="463">
        <f>IFERROR(IF(DB_Customers!R440&lt;&gt;"",DB_Customers!R440,""),"")</f>
        <v/>
      </c>
      <c r="F446" s="463">
        <f>IFERROR(IF(DB_Customers!S440&lt;&gt;"",DB_Customers!S440,""),"")</f>
        <v/>
      </c>
      <c r="G446" s="463">
        <f>IFERROR(IF(DB_Customers!G440&lt;&gt;"",DB_Customers!G440,""),"")</f>
        <v/>
      </c>
      <c r="H446" s="465">
        <f>IFERROR(IF(DB_Customers!H440&lt;&gt;"",DB_Customers!H440,""),"")</f>
        <v/>
      </c>
      <c r="I446" s="466">
        <f>IFERROR(IF(DB_Customers!I440&lt;&gt;"",DB_Customers!I440,""),"")</f>
        <v/>
      </c>
      <c r="J446" s="464">
        <f>IFERROR(IF(DB_Customers!J440&lt;&gt;"",DB_Customers!J440,""),"")</f>
        <v/>
      </c>
      <c r="K446" s="463">
        <f>IFERROR(IF(DB_Customers!E440&lt;&gt;"",DB_Customers!E440,""),"")</f>
        <v/>
      </c>
      <c r="L446" s="463">
        <f>IFERROR(IF(DB_Customers!F440&lt;&gt;"",DB_Customers!F440,""),"")</f>
        <v/>
      </c>
      <c r="M446" s="463">
        <f>IFERROR(IF(DB_Customers!T440&lt;&gt;"",DB_Customers!T440,""),"")</f>
        <v/>
      </c>
      <c r="N446" s="467">
        <f>IFERROR(IF(DB_Customers!A440&lt;&gt;"",IF(DB_Customers!I440&gt;=10,"Active","Inactive"),""),"")</f>
        <v/>
      </c>
    </row>
    <row r="447" ht="18" customHeight="1" s="341">
      <c r="A447" s="468">
        <f>IF(DB_Customers!A441&lt;&gt;"",438,"")</f>
        <v/>
      </c>
      <c r="B447" s="469">
        <f>IFERROR(IF(DB_Customers!A441&lt;&gt;"",DB_Customers!A441,""),"")</f>
        <v/>
      </c>
      <c r="C447" s="470">
        <f>IFERROR(IF(DB_Customers!D441&lt;&gt;"",DB_Customers!D441,""),"")</f>
        <v/>
      </c>
      <c r="D447" s="471">
        <f>IFERROR(IF(DB_Customers!Q441&lt;&gt;"",DB_Customers!Q441,""),"")</f>
        <v/>
      </c>
      <c r="E447" s="470">
        <f>IFERROR(IF(DB_Customers!R441&lt;&gt;"",DB_Customers!R441,""),"")</f>
        <v/>
      </c>
      <c r="F447" s="470">
        <f>IFERROR(IF(DB_Customers!S441&lt;&gt;"",DB_Customers!S441,""),"")</f>
        <v/>
      </c>
      <c r="G447" s="470">
        <f>IFERROR(IF(DB_Customers!G441&lt;&gt;"",DB_Customers!G441,""),"")</f>
        <v/>
      </c>
      <c r="H447" s="472">
        <f>IFERROR(IF(DB_Customers!H441&lt;&gt;"",DB_Customers!H441,""),"")</f>
        <v/>
      </c>
      <c r="I447" s="473">
        <f>IFERROR(IF(DB_Customers!I441&lt;&gt;"",DB_Customers!I441,""),"")</f>
        <v/>
      </c>
      <c r="J447" s="471">
        <f>IFERROR(IF(DB_Customers!J441&lt;&gt;"",DB_Customers!J441,""),"")</f>
        <v/>
      </c>
      <c r="K447" s="470">
        <f>IFERROR(IF(DB_Customers!E441&lt;&gt;"",DB_Customers!E441,""),"")</f>
        <v/>
      </c>
      <c r="L447" s="470">
        <f>IFERROR(IF(DB_Customers!F441&lt;&gt;"",DB_Customers!F441,""),"")</f>
        <v/>
      </c>
      <c r="M447" s="470">
        <f>IFERROR(IF(DB_Customers!T441&lt;&gt;"",DB_Customers!T441,""),"")</f>
        <v/>
      </c>
      <c r="N447" s="474">
        <f>IFERROR(IF(DB_Customers!A441&lt;&gt;"",IF(DB_Customers!I441&gt;=10,"Active","Inactive"),""),"")</f>
        <v/>
      </c>
    </row>
    <row r="448" ht="18" customHeight="1" s="341">
      <c r="A448" s="461">
        <f>IF(DB_Customers!A442&lt;&gt;"",439,"")</f>
        <v/>
      </c>
      <c r="B448" s="462">
        <f>IFERROR(IF(DB_Customers!A442&lt;&gt;"",DB_Customers!A442,""),"")</f>
        <v/>
      </c>
      <c r="C448" s="463">
        <f>IFERROR(IF(DB_Customers!D442&lt;&gt;"",DB_Customers!D442,""),"")</f>
        <v/>
      </c>
      <c r="D448" s="464">
        <f>IFERROR(IF(DB_Customers!Q442&lt;&gt;"",DB_Customers!Q442,""),"")</f>
        <v/>
      </c>
      <c r="E448" s="463">
        <f>IFERROR(IF(DB_Customers!R442&lt;&gt;"",DB_Customers!R442,""),"")</f>
        <v/>
      </c>
      <c r="F448" s="463">
        <f>IFERROR(IF(DB_Customers!S442&lt;&gt;"",DB_Customers!S442,""),"")</f>
        <v/>
      </c>
      <c r="G448" s="463">
        <f>IFERROR(IF(DB_Customers!G442&lt;&gt;"",DB_Customers!G442,""),"")</f>
        <v/>
      </c>
      <c r="H448" s="465">
        <f>IFERROR(IF(DB_Customers!H442&lt;&gt;"",DB_Customers!H442,""),"")</f>
        <v/>
      </c>
      <c r="I448" s="466">
        <f>IFERROR(IF(DB_Customers!I442&lt;&gt;"",DB_Customers!I442,""),"")</f>
        <v/>
      </c>
      <c r="J448" s="464">
        <f>IFERROR(IF(DB_Customers!J442&lt;&gt;"",DB_Customers!J442,""),"")</f>
        <v/>
      </c>
      <c r="K448" s="463">
        <f>IFERROR(IF(DB_Customers!E442&lt;&gt;"",DB_Customers!E442,""),"")</f>
        <v/>
      </c>
      <c r="L448" s="463">
        <f>IFERROR(IF(DB_Customers!F442&lt;&gt;"",DB_Customers!F442,""),"")</f>
        <v/>
      </c>
      <c r="M448" s="463">
        <f>IFERROR(IF(DB_Customers!T442&lt;&gt;"",DB_Customers!T442,""),"")</f>
        <v/>
      </c>
      <c r="N448" s="467">
        <f>IFERROR(IF(DB_Customers!A442&lt;&gt;"",IF(DB_Customers!I442&gt;=10,"Active","Inactive"),""),"")</f>
        <v/>
      </c>
    </row>
    <row r="449" ht="18" customHeight="1" s="341">
      <c r="A449" s="468">
        <f>IF(DB_Customers!A443&lt;&gt;"",440,"")</f>
        <v/>
      </c>
      <c r="B449" s="469">
        <f>IFERROR(IF(DB_Customers!A443&lt;&gt;"",DB_Customers!A443,""),"")</f>
        <v/>
      </c>
      <c r="C449" s="470">
        <f>IFERROR(IF(DB_Customers!D443&lt;&gt;"",DB_Customers!D443,""),"")</f>
        <v/>
      </c>
      <c r="D449" s="471">
        <f>IFERROR(IF(DB_Customers!Q443&lt;&gt;"",DB_Customers!Q443,""),"")</f>
        <v/>
      </c>
      <c r="E449" s="470">
        <f>IFERROR(IF(DB_Customers!R443&lt;&gt;"",DB_Customers!R443,""),"")</f>
        <v/>
      </c>
      <c r="F449" s="470">
        <f>IFERROR(IF(DB_Customers!S443&lt;&gt;"",DB_Customers!S443,""),"")</f>
        <v/>
      </c>
      <c r="G449" s="470">
        <f>IFERROR(IF(DB_Customers!G443&lt;&gt;"",DB_Customers!G443,""),"")</f>
        <v/>
      </c>
      <c r="H449" s="472">
        <f>IFERROR(IF(DB_Customers!H443&lt;&gt;"",DB_Customers!H443,""),"")</f>
        <v/>
      </c>
      <c r="I449" s="473">
        <f>IFERROR(IF(DB_Customers!I443&lt;&gt;"",DB_Customers!I443,""),"")</f>
        <v/>
      </c>
      <c r="J449" s="471">
        <f>IFERROR(IF(DB_Customers!J443&lt;&gt;"",DB_Customers!J443,""),"")</f>
        <v/>
      </c>
      <c r="K449" s="470">
        <f>IFERROR(IF(DB_Customers!E443&lt;&gt;"",DB_Customers!E443,""),"")</f>
        <v/>
      </c>
      <c r="L449" s="470">
        <f>IFERROR(IF(DB_Customers!F443&lt;&gt;"",DB_Customers!F443,""),"")</f>
        <v/>
      </c>
      <c r="M449" s="470">
        <f>IFERROR(IF(DB_Customers!T443&lt;&gt;"",DB_Customers!T443,""),"")</f>
        <v/>
      </c>
      <c r="N449" s="474">
        <f>IFERROR(IF(DB_Customers!A443&lt;&gt;"",IF(DB_Customers!I443&gt;=10,"Active","Inactive"),""),"")</f>
        <v/>
      </c>
    </row>
    <row r="450" ht="18" customHeight="1" s="341">
      <c r="A450" s="461">
        <f>IF(DB_Customers!A444&lt;&gt;"",441,"")</f>
        <v/>
      </c>
      <c r="B450" s="462">
        <f>IFERROR(IF(DB_Customers!A444&lt;&gt;"",DB_Customers!A444,""),"")</f>
        <v/>
      </c>
      <c r="C450" s="463">
        <f>IFERROR(IF(DB_Customers!D444&lt;&gt;"",DB_Customers!D444,""),"")</f>
        <v/>
      </c>
      <c r="D450" s="464">
        <f>IFERROR(IF(DB_Customers!Q444&lt;&gt;"",DB_Customers!Q444,""),"")</f>
        <v/>
      </c>
      <c r="E450" s="463">
        <f>IFERROR(IF(DB_Customers!R444&lt;&gt;"",DB_Customers!R444,""),"")</f>
        <v/>
      </c>
      <c r="F450" s="463">
        <f>IFERROR(IF(DB_Customers!S444&lt;&gt;"",DB_Customers!S444,""),"")</f>
        <v/>
      </c>
      <c r="G450" s="463">
        <f>IFERROR(IF(DB_Customers!G444&lt;&gt;"",DB_Customers!G444,""),"")</f>
        <v/>
      </c>
      <c r="H450" s="465">
        <f>IFERROR(IF(DB_Customers!H444&lt;&gt;"",DB_Customers!H444,""),"")</f>
        <v/>
      </c>
      <c r="I450" s="466">
        <f>IFERROR(IF(DB_Customers!I444&lt;&gt;"",DB_Customers!I444,""),"")</f>
        <v/>
      </c>
      <c r="J450" s="464">
        <f>IFERROR(IF(DB_Customers!J444&lt;&gt;"",DB_Customers!J444,""),"")</f>
        <v/>
      </c>
      <c r="K450" s="463">
        <f>IFERROR(IF(DB_Customers!E444&lt;&gt;"",DB_Customers!E444,""),"")</f>
        <v/>
      </c>
      <c r="L450" s="463">
        <f>IFERROR(IF(DB_Customers!F444&lt;&gt;"",DB_Customers!F444,""),"")</f>
        <v/>
      </c>
      <c r="M450" s="463">
        <f>IFERROR(IF(DB_Customers!T444&lt;&gt;"",DB_Customers!T444,""),"")</f>
        <v/>
      </c>
      <c r="N450" s="467">
        <f>IFERROR(IF(DB_Customers!A444&lt;&gt;"",IF(DB_Customers!I444&gt;=10,"Active","Inactive"),""),"")</f>
        <v/>
      </c>
    </row>
    <row r="451" ht="18" customHeight="1" s="341">
      <c r="A451" s="468">
        <f>IF(DB_Customers!A445&lt;&gt;"",442,"")</f>
        <v/>
      </c>
      <c r="B451" s="469">
        <f>IFERROR(IF(DB_Customers!A445&lt;&gt;"",DB_Customers!A445,""),"")</f>
        <v/>
      </c>
      <c r="C451" s="470">
        <f>IFERROR(IF(DB_Customers!D445&lt;&gt;"",DB_Customers!D445,""),"")</f>
        <v/>
      </c>
      <c r="D451" s="471">
        <f>IFERROR(IF(DB_Customers!Q445&lt;&gt;"",DB_Customers!Q445,""),"")</f>
        <v/>
      </c>
      <c r="E451" s="470">
        <f>IFERROR(IF(DB_Customers!R445&lt;&gt;"",DB_Customers!R445,""),"")</f>
        <v/>
      </c>
      <c r="F451" s="470">
        <f>IFERROR(IF(DB_Customers!S445&lt;&gt;"",DB_Customers!S445,""),"")</f>
        <v/>
      </c>
      <c r="G451" s="470">
        <f>IFERROR(IF(DB_Customers!G445&lt;&gt;"",DB_Customers!G445,""),"")</f>
        <v/>
      </c>
      <c r="H451" s="472">
        <f>IFERROR(IF(DB_Customers!H445&lt;&gt;"",DB_Customers!H445,""),"")</f>
        <v/>
      </c>
      <c r="I451" s="473">
        <f>IFERROR(IF(DB_Customers!I445&lt;&gt;"",DB_Customers!I445,""),"")</f>
        <v/>
      </c>
      <c r="J451" s="471">
        <f>IFERROR(IF(DB_Customers!J445&lt;&gt;"",DB_Customers!J445,""),"")</f>
        <v/>
      </c>
      <c r="K451" s="470">
        <f>IFERROR(IF(DB_Customers!E445&lt;&gt;"",DB_Customers!E445,""),"")</f>
        <v/>
      </c>
      <c r="L451" s="470">
        <f>IFERROR(IF(DB_Customers!F445&lt;&gt;"",DB_Customers!F445,""),"")</f>
        <v/>
      </c>
      <c r="M451" s="470">
        <f>IFERROR(IF(DB_Customers!T445&lt;&gt;"",DB_Customers!T445,""),"")</f>
        <v/>
      </c>
      <c r="N451" s="474">
        <f>IFERROR(IF(DB_Customers!A445&lt;&gt;"",IF(DB_Customers!I445&gt;=10,"Active","Inactive"),""),"")</f>
        <v/>
      </c>
    </row>
    <row r="452" ht="18" customHeight="1" s="341">
      <c r="A452" s="461">
        <f>IF(DB_Customers!A446&lt;&gt;"",443,"")</f>
        <v/>
      </c>
      <c r="B452" s="462">
        <f>IFERROR(IF(DB_Customers!A446&lt;&gt;"",DB_Customers!A446,""),"")</f>
        <v/>
      </c>
      <c r="C452" s="463">
        <f>IFERROR(IF(DB_Customers!D446&lt;&gt;"",DB_Customers!D446,""),"")</f>
        <v/>
      </c>
      <c r="D452" s="464">
        <f>IFERROR(IF(DB_Customers!Q446&lt;&gt;"",DB_Customers!Q446,""),"")</f>
        <v/>
      </c>
      <c r="E452" s="463">
        <f>IFERROR(IF(DB_Customers!R446&lt;&gt;"",DB_Customers!R446,""),"")</f>
        <v/>
      </c>
      <c r="F452" s="463">
        <f>IFERROR(IF(DB_Customers!S446&lt;&gt;"",DB_Customers!S446,""),"")</f>
        <v/>
      </c>
      <c r="G452" s="463">
        <f>IFERROR(IF(DB_Customers!G446&lt;&gt;"",DB_Customers!G446,""),"")</f>
        <v/>
      </c>
      <c r="H452" s="465">
        <f>IFERROR(IF(DB_Customers!H446&lt;&gt;"",DB_Customers!H446,""),"")</f>
        <v/>
      </c>
      <c r="I452" s="466">
        <f>IFERROR(IF(DB_Customers!I446&lt;&gt;"",DB_Customers!I446,""),"")</f>
        <v/>
      </c>
      <c r="J452" s="464">
        <f>IFERROR(IF(DB_Customers!J446&lt;&gt;"",DB_Customers!J446,""),"")</f>
        <v/>
      </c>
      <c r="K452" s="463">
        <f>IFERROR(IF(DB_Customers!E446&lt;&gt;"",DB_Customers!E446,""),"")</f>
        <v/>
      </c>
      <c r="L452" s="463">
        <f>IFERROR(IF(DB_Customers!F446&lt;&gt;"",DB_Customers!F446,""),"")</f>
        <v/>
      </c>
      <c r="M452" s="463">
        <f>IFERROR(IF(DB_Customers!T446&lt;&gt;"",DB_Customers!T446,""),"")</f>
        <v/>
      </c>
      <c r="N452" s="467">
        <f>IFERROR(IF(DB_Customers!A446&lt;&gt;"",IF(DB_Customers!I446&gt;=10,"Active","Inactive"),""),"")</f>
        <v/>
      </c>
    </row>
    <row r="453" ht="18" customHeight="1" s="341">
      <c r="A453" s="468">
        <f>IF(DB_Customers!A447&lt;&gt;"",444,"")</f>
        <v/>
      </c>
      <c r="B453" s="469">
        <f>IFERROR(IF(DB_Customers!A447&lt;&gt;"",DB_Customers!A447,""),"")</f>
        <v/>
      </c>
      <c r="C453" s="470">
        <f>IFERROR(IF(DB_Customers!D447&lt;&gt;"",DB_Customers!D447,""),"")</f>
        <v/>
      </c>
      <c r="D453" s="471">
        <f>IFERROR(IF(DB_Customers!Q447&lt;&gt;"",DB_Customers!Q447,""),"")</f>
        <v/>
      </c>
      <c r="E453" s="470">
        <f>IFERROR(IF(DB_Customers!R447&lt;&gt;"",DB_Customers!R447,""),"")</f>
        <v/>
      </c>
      <c r="F453" s="470">
        <f>IFERROR(IF(DB_Customers!S447&lt;&gt;"",DB_Customers!S447,""),"")</f>
        <v/>
      </c>
      <c r="G453" s="470">
        <f>IFERROR(IF(DB_Customers!G447&lt;&gt;"",DB_Customers!G447,""),"")</f>
        <v/>
      </c>
      <c r="H453" s="472">
        <f>IFERROR(IF(DB_Customers!H447&lt;&gt;"",DB_Customers!H447,""),"")</f>
        <v/>
      </c>
      <c r="I453" s="473">
        <f>IFERROR(IF(DB_Customers!I447&lt;&gt;"",DB_Customers!I447,""),"")</f>
        <v/>
      </c>
      <c r="J453" s="471">
        <f>IFERROR(IF(DB_Customers!J447&lt;&gt;"",DB_Customers!J447,""),"")</f>
        <v/>
      </c>
      <c r="K453" s="470">
        <f>IFERROR(IF(DB_Customers!E447&lt;&gt;"",DB_Customers!E447,""),"")</f>
        <v/>
      </c>
      <c r="L453" s="470">
        <f>IFERROR(IF(DB_Customers!F447&lt;&gt;"",DB_Customers!F447,""),"")</f>
        <v/>
      </c>
      <c r="M453" s="470">
        <f>IFERROR(IF(DB_Customers!T447&lt;&gt;"",DB_Customers!T447,""),"")</f>
        <v/>
      </c>
      <c r="N453" s="474">
        <f>IFERROR(IF(DB_Customers!A447&lt;&gt;"",IF(DB_Customers!I447&gt;=10,"Active","Inactive"),""),"")</f>
        <v/>
      </c>
    </row>
    <row r="454" ht="18" customHeight="1" s="341">
      <c r="A454" s="461">
        <f>IF(DB_Customers!A448&lt;&gt;"",445,"")</f>
        <v/>
      </c>
      <c r="B454" s="462">
        <f>IFERROR(IF(DB_Customers!A448&lt;&gt;"",DB_Customers!A448,""),"")</f>
        <v/>
      </c>
      <c r="C454" s="463">
        <f>IFERROR(IF(DB_Customers!D448&lt;&gt;"",DB_Customers!D448,""),"")</f>
        <v/>
      </c>
      <c r="D454" s="464">
        <f>IFERROR(IF(DB_Customers!Q448&lt;&gt;"",DB_Customers!Q448,""),"")</f>
        <v/>
      </c>
      <c r="E454" s="463">
        <f>IFERROR(IF(DB_Customers!R448&lt;&gt;"",DB_Customers!R448,""),"")</f>
        <v/>
      </c>
      <c r="F454" s="463">
        <f>IFERROR(IF(DB_Customers!S448&lt;&gt;"",DB_Customers!S448,""),"")</f>
        <v/>
      </c>
      <c r="G454" s="463">
        <f>IFERROR(IF(DB_Customers!G448&lt;&gt;"",DB_Customers!G448,""),"")</f>
        <v/>
      </c>
      <c r="H454" s="465">
        <f>IFERROR(IF(DB_Customers!H448&lt;&gt;"",DB_Customers!H448,""),"")</f>
        <v/>
      </c>
      <c r="I454" s="466">
        <f>IFERROR(IF(DB_Customers!I448&lt;&gt;"",DB_Customers!I448,""),"")</f>
        <v/>
      </c>
      <c r="J454" s="464">
        <f>IFERROR(IF(DB_Customers!J448&lt;&gt;"",DB_Customers!J448,""),"")</f>
        <v/>
      </c>
      <c r="K454" s="463">
        <f>IFERROR(IF(DB_Customers!E448&lt;&gt;"",DB_Customers!E448,""),"")</f>
        <v/>
      </c>
      <c r="L454" s="463">
        <f>IFERROR(IF(DB_Customers!F448&lt;&gt;"",DB_Customers!F448,""),"")</f>
        <v/>
      </c>
      <c r="M454" s="463">
        <f>IFERROR(IF(DB_Customers!T448&lt;&gt;"",DB_Customers!T448,""),"")</f>
        <v/>
      </c>
      <c r="N454" s="467">
        <f>IFERROR(IF(DB_Customers!A448&lt;&gt;"",IF(DB_Customers!I448&gt;=10,"Active","Inactive"),""),"")</f>
        <v/>
      </c>
    </row>
    <row r="455" ht="18" customHeight="1" s="341">
      <c r="A455" s="468">
        <f>IF(DB_Customers!A449&lt;&gt;"",446,"")</f>
        <v/>
      </c>
      <c r="B455" s="469">
        <f>IFERROR(IF(DB_Customers!A449&lt;&gt;"",DB_Customers!A449,""),"")</f>
        <v/>
      </c>
      <c r="C455" s="470">
        <f>IFERROR(IF(DB_Customers!D449&lt;&gt;"",DB_Customers!D449,""),"")</f>
        <v/>
      </c>
      <c r="D455" s="471">
        <f>IFERROR(IF(DB_Customers!Q449&lt;&gt;"",DB_Customers!Q449,""),"")</f>
        <v/>
      </c>
      <c r="E455" s="470">
        <f>IFERROR(IF(DB_Customers!R449&lt;&gt;"",DB_Customers!R449,""),"")</f>
        <v/>
      </c>
      <c r="F455" s="470">
        <f>IFERROR(IF(DB_Customers!S449&lt;&gt;"",DB_Customers!S449,""),"")</f>
        <v/>
      </c>
      <c r="G455" s="470">
        <f>IFERROR(IF(DB_Customers!G449&lt;&gt;"",DB_Customers!G449,""),"")</f>
        <v/>
      </c>
      <c r="H455" s="472">
        <f>IFERROR(IF(DB_Customers!H449&lt;&gt;"",DB_Customers!H449,""),"")</f>
        <v/>
      </c>
      <c r="I455" s="473">
        <f>IFERROR(IF(DB_Customers!I449&lt;&gt;"",DB_Customers!I449,""),"")</f>
        <v/>
      </c>
      <c r="J455" s="471">
        <f>IFERROR(IF(DB_Customers!J449&lt;&gt;"",DB_Customers!J449,""),"")</f>
        <v/>
      </c>
      <c r="K455" s="470">
        <f>IFERROR(IF(DB_Customers!E449&lt;&gt;"",DB_Customers!E449,""),"")</f>
        <v/>
      </c>
      <c r="L455" s="470">
        <f>IFERROR(IF(DB_Customers!F449&lt;&gt;"",DB_Customers!F449,""),"")</f>
        <v/>
      </c>
      <c r="M455" s="470">
        <f>IFERROR(IF(DB_Customers!T449&lt;&gt;"",DB_Customers!T449,""),"")</f>
        <v/>
      </c>
      <c r="N455" s="474">
        <f>IFERROR(IF(DB_Customers!A449&lt;&gt;"",IF(DB_Customers!I449&gt;=10,"Active","Inactive"),""),"")</f>
        <v/>
      </c>
    </row>
    <row r="456" ht="18" customHeight="1" s="341">
      <c r="A456" s="461">
        <f>IF(DB_Customers!A450&lt;&gt;"",447,"")</f>
        <v/>
      </c>
      <c r="B456" s="462">
        <f>IFERROR(IF(DB_Customers!A450&lt;&gt;"",DB_Customers!A450,""),"")</f>
        <v/>
      </c>
      <c r="C456" s="463">
        <f>IFERROR(IF(DB_Customers!D450&lt;&gt;"",DB_Customers!D450,""),"")</f>
        <v/>
      </c>
      <c r="D456" s="464">
        <f>IFERROR(IF(DB_Customers!Q450&lt;&gt;"",DB_Customers!Q450,""),"")</f>
        <v/>
      </c>
      <c r="E456" s="463">
        <f>IFERROR(IF(DB_Customers!R450&lt;&gt;"",DB_Customers!R450,""),"")</f>
        <v/>
      </c>
      <c r="F456" s="463">
        <f>IFERROR(IF(DB_Customers!S450&lt;&gt;"",DB_Customers!S450,""),"")</f>
        <v/>
      </c>
      <c r="G456" s="463">
        <f>IFERROR(IF(DB_Customers!G450&lt;&gt;"",DB_Customers!G450,""),"")</f>
        <v/>
      </c>
      <c r="H456" s="465">
        <f>IFERROR(IF(DB_Customers!H450&lt;&gt;"",DB_Customers!H450,""),"")</f>
        <v/>
      </c>
      <c r="I456" s="466">
        <f>IFERROR(IF(DB_Customers!I450&lt;&gt;"",DB_Customers!I450,""),"")</f>
        <v/>
      </c>
      <c r="J456" s="464">
        <f>IFERROR(IF(DB_Customers!J450&lt;&gt;"",DB_Customers!J450,""),"")</f>
        <v/>
      </c>
      <c r="K456" s="463">
        <f>IFERROR(IF(DB_Customers!E450&lt;&gt;"",DB_Customers!E450,""),"")</f>
        <v/>
      </c>
      <c r="L456" s="463">
        <f>IFERROR(IF(DB_Customers!F450&lt;&gt;"",DB_Customers!F450,""),"")</f>
        <v/>
      </c>
      <c r="M456" s="463">
        <f>IFERROR(IF(DB_Customers!T450&lt;&gt;"",DB_Customers!T450,""),"")</f>
        <v/>
      </c>
      <c r="N456" s="467">
        <f>IFERROR(IF(DB_Customers!A450&lt;&gt;"",IF(DB_Customers!I450&gt;=10,"Active","Inactive"),""),"")</f>
        <v/>
      </c>
    </row>
    <row r="457" ht="18" customHeight="1" s="341">
      <c r="A457" s="468">
        <f>IF(DB_Customers!A451&lt;&gt;"",448,"")</f>
        <v/>
      </c>
      <c r="B457" s="469">
        <f>IFERROR(IF(DB_Customers!A451&lt;&gt;"",DB_Customers!A451,""),"")</f>
        <v/>
      </c>
      <c r="C457" s="470">
        <f>IFERROR(IF(DB_Customers!D451&lt;&gt;"",DB_Customers!D451,""),"")</f>
        <v/>
      </c>
      <c r="D457" s="471">
        <f>IFERROR(IF(DB_Customers!Q451&lt;&gt;"",DB_Customers!Q451,""),"")</f>
        <v/>
      </c>
      <c r="E457" s="470">
        <f>IFERROR(IF(DB_Customers!R451&lt;&gt;"",DB_Customers!R451,""),"")</f>
        <v/>
      </c>
      <c r="F457" s="470">
        <f>IFERROR(IF(DB_Customers!S451&lt;&gt;"",DB_Customers!S451,""),"")</f>
        <v/>
      </c>
      <c r="G457" s="470">
        <f>IFERROR(IF(DB_Customers!G451&lt;&gt;"",DB_Customers!G451,""),"")</f>
        <v/>
      </c>
      <c r="H457" s="472">
        <f>IFERROR(IF(DB_Customers!H451&lt;&gt;"",DB_Customers!H451,""),"")</f>
        <v/>
      </c>
      <c r="I457" s="473">
        <f>IFERROR(IF(DB_Customers!I451&lt;&gt;"",DB_Customers!I451,""),"")</f>
        <v/>
      </c>
      <c r="J457" s="471">
        <f>IFERROR(IF(DB_Customers!J451&lt;&gt;"",DB_Customers!J451,""),"")</f>
        <v/>
      </c>
      <c r="K457" s="470">
        <f>IFERROR(IF(DB_Customers!E451&lt;&gt;"",DB_Customers!E451,""),"")</f>
        <v/>
      </c>
      <c r="L457" s="470">
        <f>IFERROR(IF(DB_Customers!F451&lt;&gt;"",DB_Customers!F451,""),"")</f>
        <v/>
      </c>
      <c r="M457" s="470">
        <f>IFERROR(IF(DB_Customers!T451&lt;&gt;"",DB_Customers!T451,""),"")</f>
        <v/>
      </c>
      <c r="N457" s="474">
        <f>IFERROR(IF(DB_Customers!A451&lt;&gt;"",IF(DB_Customers!I451&gt;=10,"Active","Inactive"),""),"")</f>
        <v/>
      </c>
    </row>
    <row r="458" ht="18" customHeight="1" s="341">
      <c r="A458" s="461">
        <f>IF(DB_Customers!A452&lt;&gt;"",449,"")</f>
        <v/>
      </c>
      <c r="B458" s="462">
        <f>IFERROR(IF(DB_Customers!A452&lt;&gt;"",DB_Customers!A452,""),"")</f>
        <v/>
      </c>
      <c r="C458" s="463">
        <f>IFERROR(IF(DB_Customers!D452&lt;&gt;"",DB_Customers!D452,""),"")</f>
        <v/>
      </c>
      <c r="D458" s="464">
        <f>IFERROR(IF(DB_Customers!Q452&lt;&gt;"",DB_Customers!Q452,""),"")</f>
        <v/>
      </c>
      <c r="E458" s="463">
        <f>IFERROR(IF(DB_Customers!R452&lt;&gt;"",DB_Customers!R452,""),"")</f>
        <v/>
      </c>
      <c r="F458" s="463">
        <f>IFERROR(IF(DB_Customers!S452&lt;&gt;"",DB_Customers!S452,""),"")</f>
        <v/>
      </c>
      <c r="G458" s="463">
        <f>IFERROR(IF(DB_Customers!G452&lt;&gt;"",DB_Customers!G452,""),"")</f>
        <v/>
      </c>
      <c r="H458" s="465">
        <f>IFERROR(IF(DB_Customers!H452&lt;&gt;"",DB_Customers!H452,""),"")</f>
        <v/>
      </c>
      <c r="I458" s="466">
        <f>IFERROR(IF(DB_Customers!I452&lt;&gt;"",DB_Customers!I452,""),"")</f>
        <v/>
      </c>
      <c r="J458" s="464">
        <f>IFERROR(IF(DB_Customers!J452&lt;&gt;"",DB_Customers!J452,""),"")</f>
        <v/>
      </c>
      <c r="K458" s="463">
        <f>IFERROR(IF(DB_Customers!E452&lt;&gt;"",DB_Customers!E452,""),"")</f>
        <v/>
      </c>
      <c r="L458" s="463">
        <f>IFERROR(IF(DB_Customers!F452&lt;&gt;"",DB_Customers!F452,""),"")</f>
        <v/>
      </c>
      <c r="M458" s="463">
        <f>IFERROR(IF(DB_Customers!T452&lt;&gt;"",DB_Customers!T452,""),"")</f>
        <v/>
      </c>
      <c r="N458" s="467">
        <f>IFERROR(IF(DB_Customers!A452&lt;&gt;"",IF(DB_Customers!I452&gt;=10,"Active","Inactive"),""),"")</f>
        <v/>
      </c>
    </row>
    <row r="459" ht="18" customHeight="1" s="341">
      <c r="A459" s="468">
        <f>IF(DB_Customers!A453&lt;&gt;"",450,"")</f>
        <v/>
      </c>
      <c r="B459" s="469">
        <f>IFERROR(IF(DB_Customers!A453&lt;&gt;"",DB_Customers!A453,""),"")</f>
        <v/>
      </c>
      <c r="C459" s="470">
        <f>IFERROR(IF(DB_Customers!D453&lt;&gt;"",DB_Customers!D453,""),"")</f>
        <v/>
      </c>
      <c r="D459" s="471">
        <f>IFERROR(IF(DB_Customers!Q453&lt;&gt;"",DB_Customers!Q453,""),"")</f>
        <v/>
      </c>
      <c r="E459" s="470">
        <f>IFERROR(IF(DB_Customers!R453&lt;&gt;"",DB_Customers!R453,""),"")</f>
        <v/>
      </c>
      <c r="F459" s="470">
        <f>IFERROR(IF(DB_Customers!S453&lt;&gt;"",DB_Customers!S453,""),"")</f>
        <v/>
      </c>
      <c r="G459" s="470">
        <f>IFERROR(IF(DB_Customers!G453&lt;&gt;"",DB_Customers!G453,""),"")</f>
        <v/>
      </c>
      <c r="H459" s="472">
        <f>IFERROR(IF(DB_Customers!H453&lt;&gt;"",DB_Customers!H453,""),"")</f>
        <v/>
      </c>
      <c r="I459" s="473">
        <f>IFERROR(IF(DB_Customers!I453&lt;&gt;"",DB_Customers!I453,""),"")</f>
        <v/>
      </c>
      <c r="J459" s="471">
        <f>IFERROR(IF(DB_Customers!J453&lt;&gt;"",DB_Customers!J453,""),"")</f>
        <v/>
      </c>
      <c r="K459" s="470">
        <f>IFERROR(IF(DB_Customers!E453&lt;&gt;"",DB_Customers!E453,""),"")</f>
        <v/>
      </c>
      <c r="L459" s="470">
        <f>IFERROR(IF(DB_Customers!F453&lt;&gt;"",DB_Customers!F453,""),"")</f>
        <v/>
      </c>
      <c r="M459" s="470">
        <f>IFERROR(IF(DB_Customers!T453&lt;&gt;"",DB_Customers!T453,""),"")</f>
        <v/>
      </c>
      <c r="N459" s="474">
        <f>IFERROR(IF(DB_Customers!A453&lt;&gt;"",IF(DB_Customers!I453&gt;=10,"Active","Inactive"),""),"")</f>
        <v/>
      </c>
    </row>
    <row r="460" ht="18" customHeight="1" s="341">
      <c r="A460" s="461">
        <f>IF(DB_Customers!A454&lt;&gt;"",451,"")</f>
        <v/>
      </c>
      <c r="B460" s="462">
        <f>IFERROR(IF(DB_Customers!A454&lt;&gt;"",DB_Customers!A454,""),"")</f>
        <v/>
      </c>
      <c r="C460" s="463">
        <f>IFERROR(IF(DB_Customers!D454&lt;&gt;"",DB_Customers!D454,""),"")</f>
        <v/>
      </c>
      <c r="D460" s="464">
        <f>IFERROR(IF(DB_Customers!Q454&lt;&gt;"",DB_Customers!Q454,""),"")</f>
        <v/>
      </c>
      <c r="E460" s="463">
        <f>IFERROR(IF(DB_Customers!R454&lt;&gt;"",DB_Customers!R454,""),"")</f>
        <v/>
      </c>
      <c r="F460" s="463">
        <f>IFERROR(IF(DB_Customers!S454&lt;&gt;"",DB_Customers!S454,""),"")</f>
        <v/>
      </c>
      <c r="G460" s="463">
        <f>IFERROR(IF(DB_Customers!G454&lt;&gt;"",DB_Customers!G454,""),"")</f>
        <v/>
      </c>
      <c r="H460" s="465">
        <f>IFERROR(IF(DB_Customers!H454&lt;&gt;"",DB_Customers!H454,""),"")</f>
        <v/>
      </c>
      <c r="I460" s="466">
        <f>IFERROR(IF(DB_Customers!I454&lt;&gt;"",DB_Customers!I454,""),"")</f>
        <v/>
      </c>
      <c r="J460" s="464">
        <f>IFERROR(IF(DB_Customers!J454&lt;&gt;"",DB_Customers!J454,""),"")</f>
        <v/>
      </c>
      <c r="K460" s="463">
        <f>IFERROR(IF(DB_Customers!E454&lt;&gt;"",DB_Customers!E454,""),"")</f>
        <v/>
      </c>
      <c r="L460" s="463">
        <f>IFERROR(IF(DB_Customers!F454&lt;&gt;"",DB_Customers!F454,""),"")</f>
        <v/>
      </c>
      <c r="M460" s="463">
        <f>IFERROR(IF(DB_Customers!T454&lt;&gt;"",DB_Customers!T454,""),"")</f>
        <v/>
      </c>
      <c r="N460" s="467">
        <f>IFERROR(IF(DB_Customers!A454&lt;&gt;"",IF(DB_Customers!I454&gt;=10,"Active","Inactive"),""),"")</f>
        <v/>
      </c>
    </row>
    <row r="461" ht="18" customHeight="1" s="341">
      <c r="A461" s="468">
        <f>IF(DB_Customers!A455&lt;&gt;"",452,"")</f>
        <v/>
      </c>
      <c r="B461" s="469">
        <f>IFERROR(IF(DB_Customers!A455&lt;&gt;"",DB_Customers!A455,""),"")</f>
        <v/>
      </c>
      <c r="C461" s="470">
        <f>IFERROR(IF(DB_Customers!D455&lt;&gt;"",DB_Customers!D455,""),"")</f>
        <v/>
      </c>
      <c r="D461" s="471">
        <f>IFERROR(IF(DB_Customers!Q455&lt;&gt;"",DB_Customers!Q455,""),"")</f>
        <v/>
      </c>
      <c r="E461" s="470">
        <f>IFERROR(IF(DB_Customers!R455&lt;&gt;"",DB_Customers!R455,""),"")</f>
        <v/>
      </c>
      <c r="F461" s="470">
        <f>IFERROR(IF(DB_Customers!S455&lt;&gt;"",DB_Customers!S455,""),"")</f>
        <v/>
      </c>
      <c r="G461" s="470">
        <f>IFERROR(IF(DB_Customers!G455&lt;&gt;"",DB_Customers!G455,""),"")</f>
        <v/>
      </c>
      <c r="H461" s="472">
        <f>IFERROR(IF(DB_Customers!H455&lt;&gt;"",DB_Customers!H455,""),"")</f>
        <v/>
      </c>
      <c r="I461" s="473">
        <f>IFERROR(IF(DB_Customers!I455&lt;&gt;"",DB_Customers!I455,""),"")</f>
        <v/>
      </c>
      <c r="J461" s="471">
        <f>IFERROR(IF(DB_Customers!J455&lt;&gt;"",DB_Customers!J455,""),"")</f>
        <v/>
      </c>
      <c r="K461" s="470">
        <f>IFERROR(IF(DB_Customers!E455&lt;&gt;"",DB_Customers!E455,""),"")</f>
        <v/>
      </c>
      <c r="L461" s="470">
        <f>IFERROR(IF(DB_Customers!F455&lt;&gt;"",DB_Customers!F455,""),"")</f>
        <v/>
      </c>
      <c r="M461" s="470">
        <f>IFERROR(IF(DB_Customers!T455&lt;&gt;"",DB_Customers!T455,""),"")</f>
        <v/>
      </c>
      <c r="N461" s="474">
        <f>IFERROR(IF(DB_Customers!A455&lt;&gt;"",IF(DB_Customers!I455&gt;=10,"Active","Inactive"),""),"")</f>
        <v/>
      </c>
    </row>
    <row r="462" ht="18" customHeight="1" s="341">
      <c r="A462" s="461">
        <f>IF(DB_Customers!A456&lt;&gt;"",453,"")</f>
        <v/>
      </c>
      <c r="B462" s="462">
        <f>IFERROR(IF(DB_Customers!A456&lt;&gt;"",DB_Customers!A456,""),"")</f>
        <v/>
      </c>
      <c r="C462" s="463">
        <f>IFERROR(IF(DB_Customers!D456&lt;&gt;"",DB_Customers!D456,""),"")</f>
        <v/>
      </c>
      <c r="D462" s="464">
        <f>IFERROR(IF(DB_Customers!Q456&lt;&gt;"",DB_Customers!Q456,""),"")</f>
        <v/>
      </c>
      <c r="E462" s="463">
        <f>IFERROR(IF(DB_Customers!R456&lt;&gt;"",DB_Customers!R456,""),"")</f>
        <v/>
      </c>
      <c r="F462" s="463">
        <f>IFERROR(IF(DB_Customers!S456&lt;&gt;"",DB_Customers!S456,""),"")</f>
        <v/>
      </c>
      <c r="G462" s="463">
        <f>IFERROR(IF(DB_Customers!G456&lt;&gt;"",DB_Customers!G456,""),"")</f>
        <v/>
      </c>
      <c r="H462" s="465">
        <f>IFERROR(IF(DB_Customers!H456&lt;&gt;"",DB_Customers!H456,""),"")</f>
        <v/>
      </c>
      <c r="I462" s="466">
        <f>IFERROR(IF(DB_Customers!I456&lt;&gt;"",DB_Customers!I456,""),"")</f>
        <v/>
      </c>
      <c r="J462" s="464">
        <f>IFERROR(IF(DB_Customers!J456&lt;&gt;"",DB_Customers!J456,""),"")</f>
        <v/>
      </c>
      <c r="K462" s="463">
        <f>IFERROR(IF(DB_Customers!E456&lt;&gt;"",DB_Customers!E456,""),"")</f>
        <v/>
      </c>
      <c r="L462" s="463">
        <f>IFERROR(IF(DB_Customers!F456&lt;&gt;"",DB_Customers!F456,""),"")</f>
        <v/>
      </c>
      <c r="M462" s="463">
        <f>IFERROR(IF(DB_Customers!T456&lt;&gt;"",DB_Customers!T456,""),"")</f>
        <v/>
      </c>
      <c r="N462" s="467">
        <f>IFERROR(IF(DB_Customers!A456&lt;&gt;"",IF(DB_Customers!I456&gt;=10,"Active","Inactive"),""),"")</f>
        <v/>
      </c>
    </row>
    <row r="463" ht="18" customHeight="1" s="341">
      <c r="A463" s="468">
        <f>IF(DB_Customers!A457&lt;&gt;"",454,"")</f>
        <v/>
      </c>
      <c r="B463" s="469">
        <f>IFERROR(IF(DB_Customers!A457&lt;&gt;"",DB_Customers!A457,""),"")</f>
        <v/>
      </c>
      <c r="C463" s="470">
        <f>IFERROR(IF(DB_Customers!D457&lt;&gt;"",DB_Customers!D457,""),"")</f>
        <v/>
      </c>
      <c r="D463" s="471">
        <f>IFERROR(IF(DB_Customers!Q457&lt;&gt;"",DB_Customers!Q457,""),"")</f>
        <v/>
      </c>
      <c r="E463" s="470">
        <f>IFERROR(IF(DB_Customers!R457&lt;&gt;"",DB_Customers!R457,""),"")</f>
        <v/>
      </c>
      <c r="F463" s="470">
        <f>IFERROR(IF(DB_Customers!S457&lt;&gt;"",DB_Customers!S457,""),"")</f>
        <v/>
      </c>
      <c r="G463" s="470">
        <f>IFERROR(IF(DB_Customers!G457&lt;&gt;"",DB_Customers!G457,""),"")</f>
        <v/>
      </c>
      <c r="H463" s="472">
        <f>IFERROR(IF(DB_Customers!H457&lt;&gt;"",DB_Customers!H457,""),"")</f>
        <v/>
      </c>
      <c r="I463" s="473">
        <f>IFERROR(IF(DB_Customers!I457&lt;&gt;"",DB_Customers!I457,""),"")</f>
        <v/>
      </c>
      <c r="J463" s="471">
        <f>IFERROR(IF(DB_Customers!J457&lt;&gt;"",DB_Customers!J457,""),"")</f>
        <v/>
      </c>
      <c r="K463" s="470">
        <f>IFERROR(IF(DB_Customers!E457&lt;&gt;"",DB_Customers!E457,""),"")</f>
        <v/>
      </c>
      <c r="L463" s="470">
        <f>IFERROR(IF(DB_Customers!F457&lt;&gt;"",DB_Customers!F457,""),"")</f>
        <v/>
      </c>
      <c r="M463" s="470">
        <f>IFERROR(IF(DB_Customers!T457&lt;&gt;"",DB_Customers!T457,""),"")</f>
        <v/>
      </c>
      <c r="N463" s="474">
        <f>IFERROR(IF(DB_Customers!A457&lt;&gt;"",IF(DB_Customers!I457&gt;=10,"Active","Inactive"),""),"")</f>
        <v/>
      </c>
    </row>
    <row r="464" ht="18" customHeight="1" s="341">
      <c r="A464" s="461">
        <f>IF(DB_Customers!A458&lt;&gt;"",455,"")</f>
        <v/>
      </c>
      <c r="B464" s="462">
        <f>IFERROR(IF(DB_Customers!A458&lt;&gt;"",DB_Customers!A458,""),"")</f>
        <v/>
      </c>
      <c r="C464" s="463">
        <f>IFERROR(IF(DB_Customers!D458&lt;&gt;"",DB_Customers!D458,""),"")</f>
        <v/>
      </c>
      <c r="D464" s="464">
        <f>IFERROR(IF(DB_Customers!Q458&lt;&gt;"",DB_Customers!Q458,""),"")</f>
        <v/>
      </c>
      <c r="E464" s="463">
        <f>IFERROR(IF(DB_Customers!R458&lt;&gt;"",DB_Customers!R458,""),"")</f>
        <v/>
      </c>
      <c r="F464" s="463">
        <f>IFERROR(IF(DB_Customers!S458&lt;&gt;"",DB_Customers!S458,""),"")</f>
        <v/>
      </c>
      <c r="G464" s="463">
        <f>IFERROR(IF(DB_Customers!G458&lt;&gt;"",DB_Customers!G458,""),"")</f>
        <v/>
      </c>
      <c r="H464" s="465">
        <f>IFERROR(IF(DB_Customers!H458&lt;&gt;"",DB_Customers!H458,""),"")</f>
        <v/>
      </c>
      <c r="I464" s="466">
        <f>IFERROR(IF(DB_Customers!I458&lt;&gt;"",DB_Customers!I458,""),"")</f>
        <v/>
      </c>
      <c r="J464" s="464">
        <f>IFERROR(IF(DB_Customers!J458&lt;&gt;"",DB_Customers!J458,""),"")</f>
        <v/>
      </c>
      <c r="K464" s="463">
        <f>IFERROR(IF(DB_Customers!E458&lt;&gt;"",DB_Customers!E458,""),"")</f>
        <v/>
      </c>
      <c r="L464" s="463">
        <f>IFERROR(IF(DB_Customers!F458&lt;&gt;"",DB_Customers!F458,""),"")</f>
        <v/>
      </c>
      <c r="M464" s="463">
        <f>IFERROR(IF(DB_Customers!T458&lt;&gt;"",DB_Customers!T458,""),"")</f>
        <v/>
      </c>
      <c r="N464" s="467">
        <f>IFERROR(IF(DB_Customers!A458&lt;&gt;"",IF(DB_Customers!I458&gt;=10,"Active","Inactive"),""),"")</f>
        <v/>
      </c>
    </row>
    <row r="465" ht="18" customHeight="1" s="341">
      <c r="A465" s="468">
        <f>IF(DB_Customers!A459&lt;&gt;"",456,"")</f>
        <v/>
      </c>
      <c r="B465" s="469">
        <f>IFERROR(IF(DB_Customers!A459&lt;&gt;"",DB_Customers!A459,""),"")</f>
        <v/>
      </c>
      <c r="C465" s="470">
        <f>IFERROR(IF(DB_Customers!D459&lt;&gt;"",DB_Customers!D459,""),"")</f>
        <v/>
      </c>
      <c r="D465" s="471">
        <f>IFERROR(IF(DB_Customers!Q459&lt;&gt;"",DB_Customers!Q459,""),"")</f>
        <v/>
      </c>
      <c r="E465" s="470">
        <f>IFERROR(IF(DB_Customers!R459&lt;&gt;"",DB_Customers!R459,""),"")</f>
        <v/>
      </c>
      <c r="F465" s="470">
        <f>IFERROR(IF(DB_Customers!S459&lt;&gt;"",DB_Customers!S459,""),"")</f>
        <v/>
      </c>
      <c r="G465" s="470">
        <f>IFERROR(IF(DB_Customers!G459&lt;&gt;"",DB_Customers!G459,""),"")</f>
        <v/>
      </c>
      <c r="H465" s="472">
        <f>IFERROR(IF(DB_Customers!H459&lt;&gt;"",DB_Customers!H459,""),"")</f>
        <v/>
      </c>
      <c r="I465" s="473">
        <f>IFERROR(IF(DB_Customers!I459&lt;&gt;"",DB_Customers!I459,""),"")</f>
        <v/>
      </c>
      <c r="J465" s="471">
        <f>IFERROR(IF(DB_Customers!J459&lt;&gt;"",DB_Customers!J459,""),"")</f>
        <v/>
      </c>
      <c r="K465" s="470">
        <f>IFERROR(IF(DB_Customers!E459&lt;&gt;"",DB_Customers!E459,""),"")</f>
        <v/>
      </c>
      <c r="L465" s="470">
        <f>IFERROR(IF(DB_Customers!F459&lt;&gt;"",DB_Customers!F459,""),"")</f>
        <v/>
      </c>
      <c r="M465" s="470">
        <f>IFERROR(IF(DB_Customers!T459&lt;&gt;"",DB_Customers!T459,""),"")</f>
        <v/>
      </c>
      <c r="N465" s="474">
        <f>IFERROR(IF(DB_Customers!A459&lt;&gt;"",IF(DB_Customers!I459&gt;=10,"Active","Inactive"),""),"")</f>
        <v/>
      </c>
    </row>
    <row r="466" ht="18" customHeight="1" s="341">
      <c r="A466" s="461">
        <f>IF(DB_Customers!A460&lt;&gt;"",457,"")</f>
        <v/>
      </c>
      <c r="B466" s="462">
        <f>IFERROR(IF(DB_Customers!A460&lt;&gt;"",DB_Customers!A460,""),"")</f>
        <v/>
      </c>
      <c r="C466" s="463">
        <f>IFERROR(IF(DB_Customers!D460&lt;&gt;"",DB_Customers!D460,""),"")</f>
        <v/>
      </c>
      <c r="D466" s="464">
        <f>IFERROR(IF(DB_Customers!Q460&lt;&gt;"",DB_Customers!Q460,""),"")</f>
        <v/>
      </c>
      <c r="E466" s="463">
        <f>IFERROR(IF(DB_Customers!R460&lt;&gt;"",DB_Customers!R460,""),"")</f>
        <v/>
      </c>
      <c r="F466" s="463">
        <f>IFERROR(IF(DB_Customers!S460&lt;&gt;"",DB_Customers!S460,""),"")</f>
        <v/>
      </c>
      <c r="G466" s="463">
        <f>IFERROR(IF(DB_Customers!G460&lt;&gt;"",DB_Customers!G460,""),"")</f>
        <v/>
      </c>
      <c r="H466" s="465">
        <f>IFERROR(IF(DB_Customers!H460&lt;&gt;"",DB_Customers!H460,""),"")</f>
        <v/>
      </c>
      <c r="I466" s="466">
        <f>IFERROR(IF(DB_Customers!I460&lt;&gt;"",DB_Customers!I460,""),"")</f>
        <v/>
      </c>
      <c r="J466" s="464">
        <f>IFERROR(IF(DB_Customers!J460&lt;&gt;"",DB_Customers!J460,""),"")</f>
        <v/>
      </c>
      <c r="K466" s="463">
        <f>IFERROR(IF(DB_Customers!E460&lt;&gt;"",DB_Customers!E460,""),"")</f>
        <v/>
      </c>
      <c r="L466" s="463">
        <f>IFERROR(IF(DB_Customers!F460&lt;&gt;"",DB_Customers!F460,""),"")</f>
        <v/>
      </c>
      <c r="M466" s="463">
        <f>IFERROR(IF(DB_Customers!T460&lt;&gt;"",DB_Customers!T460,""),"")</f>
        <v/>
      </c>
      <c r="N466" s="467">
        <f>IFERROR(IF(DB_Customers!A460&lt;&gt;"",IF(DB_Customers!I460&gt;=10,"Active","Inactive"),""),"")</f>
        <v/>
      </c>
    </row>
    <row r="467" ht="18" customHeight="1" s="341">
      <c r="A467" s="468">
        <f>IF(DB_Customers!A461&lt;&gt;"",458,"")</f>
        <v/>
      </c>
      <c r="B467" s="469">
        <f>IFERROR(IF(DB_Customers!A461&lt;&gt;"",DB_Customers!A461,""),"")</f>
        <v/>
      </c>
      <c r="C467" s="470">
        <f>IFERROR(IF(DB_Customers!D461&lt;&gt;"",DB_Customers!D461,""),"")</f>
        <v/>
      </c>
      <c r="D467" s="471">
        <f>IFERROR(IF(DB_Customers!Q461&lt;&gt;"",DB_Customers!Q461,""),"")</f>
        <v/>
      </c>
      <c r="E467" s="470">
        <f>IFERROR(IF(DB_Customers!R461&lt;&gt;"",DB_Customers!R461,""),"")</f>
        <v/>
      </c>
      <c r="F467" s="470">
        <f>IFERROR(IF(DB_Customers!S461&lt;&gt;"",DB_Customers!S461,""),"")</f>
        <v/>
      </c>
      <c r="G467" s="470">
        <f>IFERROR(IF(DB_Customers!G461&lt;&gt;"",DB_Customers!G461,""),"")</f>
        <v/>
      </c>
      <c r="H467" s="472">
        <f>IFERROR(IF(DB_Customers!H461&lt;&gt;"",DB_Customers!H461,""),"")</f>
        <v/>
      </c>
      <c r="I467" s="473">
        <f>IFERROR(IF(DB_Customers!I461&lt;&gt;"",DB_Customers!I461,""),"")</f>
        <v/>
      </c>
      <c r="J467" s="471">
        <f>IFERROR(IF(DB_Customers!J461&lt;&gt;"",DB_Customers!J461,""),"")</f>
        <v/>
      </c>
      <c r="K467" s="470">
        <f>IFERROR(IF(DB_Customers!E461&lt;&gt;"",DB_Customers!E461,""),"")</f>
        <v/>
      </c>
      <c r="L467" s="470">
        <f>IFERROR(IF(DB_Customers!F461&lt;&gt;"",DB_Customers!F461,""),"")</f>
        <v/>
      </c>
      <c r="M467" s="470">
        <f>IFERROR(IF(DB_Customers!T461&lt;&gt;"",DB_Customers!T461,""),"")</f>
        <v/>
      </c>
      <c r="N467" s="474">
        <f>IFERROR(IF(DB_Customers!A461&lt;&gt;"",IF(DB_Customers!I461&gt;=10,"Active","Inactive"),""),"")</f>
        <v/>
      </c>
    </row>
    <row r="468" ht="18" customHeight="1" s="341">
      <c r="A468" s="461">
        <f>IF(DB_Customers!A462&lt;&gt;"",459,"")</f>
        <v/>
      </c>
      <c r="B468" s="462">
        <f>IFERROR(IF(DB_Customers!A462&lt;&gt;"",DB_Customers!A462,""),"")</f>
        <v/>
      </c>
      <c r="C468" s="463">
        <f>IFERROR(IF(DB_Customers!D462&lt;&gt;"",DB_Customers!D462,""),"")</f>
        <v/>
      </c>
      <c r="D468" s="464">
        <f>IFERROR(IF(DB_Customers!Q462&lt;&gt;"",DB_Customers!Q462,""),"")</f>
        <v/>
      </c>
      <c r="E468" s="463">
        <f>IFERROR(IF(DB_Customers!R462&lt;&gt;"",DB_Customers!R462,""),"")</f>
        <v/>
      </c>
      <c r="F468" s="463">
        <f>IFERROR(IF(DB_Customers!S462&lt;&gt;"",DB_Customers!S462,""),"")</f>
        <v/>
      </c>
      <c r="G468" s="463">
        <f>IFERROR(IF(DB_Customers!G462&lt;&gt;"",DB_Customers!G462,""),"")</f>
        <v/>
      </c>
      <c r="H468" s="465">
        <f>IFERROR(IF(DB_Customers!H462&lt;&gt;"",DB_Customers!H462,""),"")</f>
        <v/>
      </c>
      <c r="I468" s="466">
        <f>IFERROR(IF(DB_Customers!I462&lt;&gt;"",DB_Customers!I462,""),"")</f>
        <v/>
      </c>
      <c r="J468" s="464">
        <f>IFERROR(IF(DB_Customers!J462&lt;&gt;"",DB_Customers!J462,""),"")</f>
        <v/>
      </c>
      <c r="K468" s="463">
        <f>IFERROR(IF(DB_Customers!E462&lt;&gt;"",DB_Customers!E462,""),"")</f>
        <v/>
      </c>
      <c r="L468" s="463">
        <f>IFERROR(IF(DB_Customers!F462&lt;&gt;"",DB_Customers!F462,""),"")</f>
        <v/>
      </c>
      <c r="M468" s="463">
        <f>IFERROR(IF(DB_Customers!T462&lt;&gt;"",DB_Customers!T462,""),"")</f>
        <v/>
      </c>
      <c r="N468" s="467">
        <f>IFERROR(IF(DB_Customers!A462&lt;&gt;"",IF(DB_Customers!I462&gt;=10,"Active","Inactive"),""),"")</f>
        <v/>
      </c>
    </row>
    <row r="469" ht="18" customHeight="1" s="341">
      <c r="A469" s="468">
        <f>IF(DB_Customers!A463&lt;&gt;"",460,"")</f>
        <v/>
      </c>
      <c r="B469" s="469">
        <f>IFERROR(IF(DB_Customers!A463&lt;&gt;"",DB_Customers!A463,""),"")</f>
        <v/>
      </c>
      <c r="C469" s="470">
        <f>IFERROR(IF(DB_Customers!D463&lt;&gt;"",DB_Customers!D463,""),"")</f>
        <v/>
      </c>
      <c r="D469" s="471">
        <f>IFERROR(IF(DB_Customers!Q463&lt;&gt;"",DB_Customers!Q463,""),"")</f>
        <v/>
      </c>
      <c r="E469" s="470">
        <f>IFERROR(IF(DB_Customers!R463&lt;&gt;"",DB_Customers!R463,""),"")</f>
        <v/>
      </c>
      <c r="F469" s="470">
        <f>IFERROR(IF(DB_Customers!S463&lt;&gt;"",DB_Customers!S463,""),"")</f>
        <v/>
      </c>
      <c r="G469" s="470">
        <f>IFERROR(IF(DB_Customers!G463&lt;&gt;"",DB_Customers!G463,""),"")</f>
        <v/>
      </c>
      <c r="H469" s="472">
        <f>IFERROR(IF(DB_Customers!H463&lt;&gt;"",DB_Customers!H463,""),"")</f>
        <v/>
      </c>
      <c r="I469" s="473">
        <f>IFERROR(IF(DB_Customers!I463&lt;&gt;"",DB_Customers!I463,""),"")</f>
        <v/>
      </c>
      <c r="J469" s="471">
        <f>IFERROR(IF(DB_Customers!J463&lt;&gt;"",DB_Customers!J463,""),"")</f>
        <v/>
      </c>
      <c r="K469" s="470">
        <f>IFERROR(IF(DB_Customers!E463&lt;&gt;"",DB_Customers!E463,""),"")</f>
        <v/>
      </c>
      <c r="L469" s="470">
        <f>IFERROR(IF(DB_Customers!F463&lt;&gt;"",DB_Customers!F463,""),"")</f>
        <v/>
      </c>
      <c r="M469" s="470">
        <f>IFERROR(IF(DB_Customers!T463&lt;&gt;"",DB_Customers!T463,""),"")</f>
        <v/>
      </c>
      <c r="N469" s="474">
        <f>IFERROR(IF(DB_Customers!A463&lt;&gt;"",IF(DB_Customers!I463&gt;=10,"Active","Inactive"),""),"")</f>
        <v/>
      </c>
    </row>
    <row r="470" ht="18" customHeight="1" s="341">
      <c r="A470" s="461">
        <f>IF(DB_Customers!A464&lt;&gt;"",461,"")</f>
        <v/>
      </c>
      <c r="B470" s="462">
        <f>IFERROR(IF(DB_Customers!A464&lt;&gt;"",DB_Customers!A464,""),"")</f>
        <v/>
      </c>
      <c r="C470" s="463">
        <f>IFERROR(IF(DB_Customers!D464&lt;&gt;"",DB_Customers!D464,""),"")</f>
        <v/>
      </c>
      <c r="D470" s="464">
        <f>IFERROR(IF(DB_Customers!Q464&lt;&gt;"",DB_Customers!Q464,""),"")</f>
        <v/>
      </c>
      <c r="E470" s="463">
        <f>IFERROR(IF(DB_Customers!R464&lt;&gt;"",DB_Customers!R464,""),"")</f>
        <v/>
      </c>
      <c r="F470" s="463">
        <f>IFERROR(IF(DB_Customers!S464&lt;&gt;"",DB_Customers!S464,""),"")</f>
        <v/>
      </c>
      <c r="G470" s="463">
        <f>IFERROR(IF(DB_Customers!G464&lt;&gt;"",DB_Customers!G464,""),"")</f>
        <v/>
      </c>
      <c r="H470" s="465">
        <f>IFERROR(IF(DB_Customers!H464&lt;&gt;"",DB_Customers!H464,""),"")</f>
        <v/>
      </c>
      <c r="I470" s="466">
        <f>IFERROR(IF(DB_Customers!I464&lt;&gt;"",DB_Customers!I464,""),"")</f>
        <v/>
      </c>
      <c r="J470" s="464">
        <f>IFERROR(IF(DB_Customers!J464&lt;&gt;"",DB_Customers!J464,""),"")</f>
        <v/>
      </c>
      <c r="K470" s="463">
        <f>IFERROR(IF(DB_Customers!E464&lt;&gt;"",DB_Customers!E464,""),"")</f>
        <v/>
      </c>
      <c r="L470" s="463">
        <f>IFERROR(IF(DB_Customers!F464&lt;&gt;"",DB_Customers!F464,""),"")</f>
        <v/>
      </c>
      <c r="M470" s="463">
        <f>IFERROR(IF(DB_Customers!T464&lt;&gt;"",DB_Customers!T464,""),"")</f>
        <v/>
      </c>
      <c r="N470" s="467">
        <f>IFERROR(IF(DB_Customers!A464&lt;&gt;"",IF(DB_Customers!I464&gt;=10,"Active","Inactive"),""),"")</f>
        <v/>
      </c>
    </row>
    <row r="471" ht="18" customHeight="1" s="341">
      <c r="A471" s="468">
        <f>IF(DB_Customers!A465&lt;&gt;"",462,"")</f>
        <v/>
      </c>
      <c r="B471" s="469">
        <f>IFERROR(IF(DB_Customers!A465&lt;&gt;"",DB_Customers!A465,""),"")</f>
        <v/>
      </c>
      <c r="C471" s="470">
        <f>IFERROR(IF(DB_Customers!D465&lt;&gt;"",DB_Customers!D465,""),"")</f>
        <v/>
      </c>
      <c r="D471" s="471">
        <f>IFERROR(IF(DB_Customers!Q465&lt;&gt;"",DB_Customers!Q465,""),"")</f>
        <v/>
      </c>
      <c r="E471" s="470">
        <f>IFERROR(IF(DB_Customers!R465&lt;&gt;"",DB_Customers!R465,""),"")</f>
        <v/>
      </c>
      <c r="F471" s="470">
        <f>IFERROR(IF(DB_Customers!S465&lt;&gt;"",DB_Customers!S465,""),"")</f>
        <v/>
      </c>
      <c r="G471" s="470">
        <f>IFERROR(IF(DB_Customers!G465&lt;&gt;"",DB_Customers!G465,""),"")</f>
        <v/>
      </c>
      <c r="H471" s="472">
        <f>IFERROR(IF(DB_Customers!H465&lt;&gt;"",DB_Customers!H465,""),"")</f>
        <v/>
      </c>
      <c r="I471" s="473">
        <f>IFERROR(IF(DB_Customers!I465&lt;&gt;"",DB_Customers!I465,""),"")</f>
        <v/>
      </c>
      <c r="J471" s="471">
        <f>IFERROR(IF(DB_Customers!J465&lt;&gt;"",DB_Customers!J465,""),"")</f>
        <v/>
      </c>
      <c r="K471" s="470">
        <f>IFERROR(IF(DB_Customers!E465&lt;&gt;"",DB_Customers!E465,""),"")</f>
        <v/>
      </c>
      <c r="L471" s="470">
        <f>IFERROR(IF(DB_Customers!F465&lt;&gt;"",DB_Customers!F465,""),"")</f>
        <v/>
      </c>
      <c r="M471" s="470">
        <f>IFERROR(IF(DB_Customers!T465&lt;&gt;"",DB_Customers!T465,""),"")</f>
        <v/>
      </c>
      <c r="N471" s="474">
        <f>IFERROR(IF(DB_Customers!A465&lt;&gt;"",IF(DB_Customers!I465&gt;=10,"Active","Inactive"),""),"")</f>
        <v/>
      </c>
    </row>
    <row r="472" ht="18" customHeight="1" s="341">
      <c r="A472" s="461">
        <f>IF(DB_Customers!A466&lt;&gt;"",463,"")</f>
        <v/>
      </c>
      <c r="B472" s="462">
        <f>IFERROR(IF(DB_Customers!A466&lt;&gt;"",DB_Customers!A466,""),"")</f>
        <v/>
      </c>
      <c r="C472" s="463">
        <f>IFERROR(IF(DB_Customers!D466&lt;&gt;"",DB_Customers!D466,""),"")</f>
        <v/>
      </c>
      <c r="D472" s="464">
        <f>IFERROR(IF(DB_Customers!Q466&lt;&gt;"",DB_Customers!Q466,""),"")</f>
        <v/>
      </c>
      <c r="E472" s="463">
        <f>IFERROR(IF(DB_Customers!R466&lt;&gt;"",DB_Customers!R466,""),"")</f>
        <v/>
      </c>
      <c r="F472" s="463">
        <f>IFERROR(IF(DB_Customers!S466&lt;&gt;"",DB_Customers!S466,""),"")</f>
        <v/>
      </c>
      <c r="G472" s="463">
        <f>IFERROR(IF(DB_Customers!G466&lt;&gt;"",DB_Customers!G466,""),"")</f>
        <v/>
      </c>
      <c r="H472" s="465">
        <f>IFERROR(IF(DB_Customers!H466&lt;&gt;"",DB_Customers!H466,""),"")</f>
        <v/>
      </c>
      <c r="I472" s="466">
        <f>IFERROR(IF(DB_Customers!I466&lt;&gt;"",DB_Customers!I466,""),"")</f>
        <v/>
      </c>
      <c r="J472" s="464">
        <f>IFERROR(IF(DB_Customers!J466&lt;&gt;"",DB_Customers!J466,""),"")</f>
        <v/>
      </c>
      <c r="K472" s="463">
        <f>IFERROR(IF(DB_Customers!E466&lt;&gt;"",DB_Customers!E466,""),"")</f>
        <v/>
      </c>
      <c r="L472" s="463">
        <f>IFERROR(IF(DB_Customers!F466&lt;&gt;"",DB_Customers!F466,""),"")</f>
        <v/>
      </c>
      <c r="M472" s="463">
        <f>IFERROR(IF(DB_Customers!T466&lt;&gt;"",DB_Customers!T466,""),"")</f>
        <v/>
      </c>
      <c r="N472" s="467">
        <f>IFERROR(IF(DB_Customers!A466&lt;&gt;"",IF(DB_Customers!I466&gt;=10,"Active","Inactive"),""),"")</f>
        <v/>
      </c>
    </row>
    <row r="473" ht="18" customHeight="1" s="341">
      <c r="A473" s="468">
        <f>IF(DB_Customers!A467&lt;&gt;"",464,"")</f>
        <v/>
      </c>
      <c r="B473" s="469">
        <f>IFERROR(IF(DB_Customers!A467&lt;&gt;"",DB_Customers!A467,""),"")</f>
        <v/>
      </c>
      <c r="C473" s="470">
        <f>IFERROR(IF(DB_Customers!D467&lt;&gt;"",DB_Customers!D467,""),"")</f>
        <v/>
      </c>
      <c r="D473" s="471">
        <f>IFERROR(IF(DB_Customers!Q467&lt;&gt;"",DB_Customers!Q467,""),"")</f>
        <v/>
      </c>
      <c r="E473" s="470">
        <f>IFERROR(IF(DB_Customers!R467&lt;&gt;"",DB_Customers!R467,""),"")</f>
        <v/>
      </c>
      <c r="F473" s="470">
        <f>IFERROR(IF(DB_Customers!S467&lt;&gt;"",DB_Customers!S467,""),"")</f>
        <v/>
      </c>
      <c r="G473" s="470">
        <f>IFERROR(IF(DB_Customers!G467&lt;&gt;"",DB_Customers!G467,""),"")</f>
        <v/>
      </c>
      <c r="H473" s="472">
        <f>IFERROR(IF(DB_Customers!H467&lt;&gt;"",DB_Customers!H467,""),"")</f>
        <v/>
      </c>
      <c r="I473" s="473">
        <f>IFERROR(IF(DB_Customers!I467&lt;&gt;"",DB_Customers!I467,""),"")</f>
        <v/>
      </c>
      <c r="J473" s="471">
        <f>IFERROR(IF(DB_Customers!J467&lt;&gt;"",DB_Customers!J467,""),"")</f>
        <v/>
      </c>
      <c r="K473" s="470">
        <f>IFERROR(IF(DB_Customers!E467&lt;&gt;"",DB_Customers!E467,""),"")</f>
        <v/>
      </c>
      <c r="L473" s="470">
        <f>IFERROR(IF(DB_Customers!F467&lt;&gt;"",DB_Customers!F467,""),"")</f>
        <v/>
      </c>
      <c r="M473" s="470">
        <f>IFERROR(IF(DB_Customers!T467&lt;&gt;"",DB_Customers!T467,""),"")</f>
        <v/>
      </c>
      <c r="N473" s="474">
        <f>IFERROR(IF(DB_Customers!A467&lt;&gt;"",IF(DB_Customers!I467&gt;=10,"Active","Inactive"),""),"")</f>
        <v/>
      </c>
    </row>
    <row r="474" ht="18" customHeight="1" s="341">
      <c r="A474" s="461">
        <f>IF(DB_Customers!A468&lt;&gt;"",465,"")</f>
        <v/>
      </c>
      <c r="B474" s="462">
        <f>IFERROR(IF(DB_Customers!A468&lt;&gt;"",DB_Customers!A468,""),"")</f>
        <v/>
      </c>
      <c r="C474" s="463">
        <f>IFERROR(IF(DB_Customers!D468&lt;&gt;"",DB_Customers!D468,""),"")</f>
        <v/>
      </c>
      <c r="D474" s="464">
        <f>IFERROR(IF(DB_Customers!Q468&lt;&gt;"",DB_Customers!Q468,""),"")</f>
        <v/>
      </c>
      <c r="E474" s="463">
        <f>IFERROR(IF(DB_Customers!R468&lt;&gt;"",DB_Customers!R468,""),"")</f>
        <v/>
      </c>
      <c r="F474" s="463">
        <f>IFERROR(IF(DB_Customers!S468&lt;&gt;"",DB_Customers!S468,""),"")</f>
        <v/>
      </c>
      <c r="G474" s="463">
        <f>IFERROR(IF(DB_Customers!G468&lt;&gt;"",DB_Customers!G468,""),"")</f>
        <v/>
      </c>
      <c r="H474" s="465">
        <f>IFERROR(IF(DB_Customers!H468&lt;&gt;"",DB_Customers!H468,""),"")</f>
        <v/>
      </c>
      <c r="I474" s="466">
        <f>IFERROR(IF(DB_Customers!I468&lt;&gt;"",DB_Customers!I468,""),"")</f>
        <v/>
      </c>
      <c r="J474" s="464">
        <f>IFERROR(IF(DB_Customers!J468&lt;&gt;"",DB_Customers!J468,""),"")</f>
        <v/>
      </c>
      <c r="K474" s="463">
        <f>IFERROR(IF(DB_Customers!E468&lt;&gt;"",DB_Customers!E468,""),"")</f>
        <v/>
      </c>
      <c r="L474" s="463">
        <f>IFERROR(IF(DB_Customers!F468&lt;&gt;"",DB_Customers!F468,""),"")</f>
        <v/>
      </c>
      <c r="M474" s="463">
        <f>IFERROR(IF(DB_Customers!T468&lt;&gt;"",DB_Customers!T468,""),"")</f>
        <v/>
      </c>
      <c r="N474" s="467">
        <f>IFERROR(IF(DB_Customers!A468&lt;&gt;"",IF(DB_Customers!I468&gt;=10,"Active","Inactive"),""),"")</f>
        <v/>
      </c>
    </row>
    <row r="475" ht="18" customHeight="1" s="341">
      <c r="A475" s="468">
        <f>IF(DB_Customers!A469&lt;&gt;"",466,"")</f>
        <v/>
      </c>
      <c r="B475" s="469">
        <f>IFERROR(IF(DB_Customers!A469&lt;&gt;"",DB_Customers!A469,""),"")</f>
        <v/>
      </c>
      <c r="C475" s="470">
        <f>IFERROR(IF(DB_Customers!D469&lt;&gt;"",DB_Customers!D469,""),"")</f>
        <v/>
      </c>
      <c r="D475" s="471">
        <f>IFERROR(IF(DB_Customers!Q469&lt;&gt;"",DB_Customers!Q469,""),"")</f>
        <v/>
      </c>
      <c r="E475" s="470">
        <f>IFERROR(IF(DB_Customers!R469&lt;&gt;"",DB_Customers!R469,""),"")</f>
        <v/>
      </c>
      <c r="F475" s="470">
        <f>IFERROR(IF(DB_Customers!S469&lt;&gt;"",DB_Customers!S469,""),"")</f>
        <v/>
      </c>
      <c r="G475" s="470">
        <f>IFERROR(IF(DB_Customers!G469&lt;&gt;"",DB_Customers!G469,""),"")</f>
        <v/>
      </c>
      <c r="H475" s="472">
        <f>IFERROR(IF(DB_Customers!H469&lt;&gt;"",DB_Customers!H469,""),"")</f>
        <v/>
      </c>
      <c r="I475" s="473">
        <f>IFERROR(IF(DB_Customers!I469&lt;&gt;"",DB_Customers!I469,""),"")</f>
        <v/>
      </c>
      <c r="J475" s="471">
        <f>IFERROR(IF(DB_Customers!J469&lt;&gt;"",DB_Customers!J469,""),"")</f>
        <v/>
      </c>
      <c r="K475" s="470">
        <f>IFERROR(IF(DB_Customers!E469&lt;&gt;"",DB_Customers!E469,""),"")</f>
        <v/>
      </c>
      <c r="L475" s="470">
        <f>IFERROR(IF(DB_Customers!F469&lt;&gt;"",DB_Customers!F469,""),"")</f>
        <v/>
      </c>
      <c r="M475" s="470">
        <f>IFERROR(IF(DB_Customers!T469&lt;&gt;"",DB_Customers!T469,""),"")</f>
        <v/>
      </c>
      <c r="N475" s="474">
        <f>IFERROR(IF(DB_Customers!A469&lt;&gt;"",IF(DB_Customers!I469&gt;=10,"Active","Inactive"),""),"")</f>
        <v/>
      </c>
    </row>
    <row r="476" ht="18" customHeight="1" s="341">
      <c r="A476" s="461">
        <f>IF(DB_Customers!A470&lt;&gt;"",467,"")</f>
        <v/>
      </c>
      <c r="B476" s="462">
        <f>IFERROR(IF(DB_Customers!A470&lt;&gt;"",DB_Customers!A470,""),"")</f>
        <v/>
      </c>
      <c r="C476" s="463">
        <f>IFERROR(IF(DB_Customers!D470&lt;&gt;"",DB_Customers!D470,""),"")</f>
        <v/>
      </c>
      <c r="D476" s="464">
        <f>IFERROR(IF(DB_Customers!Q470&lt;&gt;"",DB_Customers!Q470,""),"")</f>
        <v/>
      </c>
      <c r="E476" s="463">
        <f>IFERROR(IF(DB_Customers!R470&lt;&gt;"",DB_Customers!R470,""),"")</f>
        <v/>
      </c>
      <c r="F476" s="463">
        <f>IFERROR(IF(DB_Customers!S470&lt;&gt;"",DB_Customers!S470,""),"")</f>
        <v/>
      </c>
      <c r="G476" s="463">
        <f>IFERROR(IF(DB_Customers!G470&lt;&gt;"",DB_Customers!G470,""),"")</f>
        <v/>
      </c>
      <c r="H476" s="465">
        <f>IFERROR(IF(DB_Customers!H470&lt;&gt;"",DB_Customers!H470,""),"")</f>
        <v/>
      </c>
      <c r="I476" s="466">
        <f>IFERROR(IF(DB_Customers!I470&lt;&gt;"",DB_Customers!I470,""),"")</f>
        <v/>
      </c>
      <c r="J476" s="464">
        <f>IFERROR(IF(DB_Customers!J470&lt;&gt;"",DB_Customers!J470,""),"")</f>
        <v/>
      </c>
      <c r="K476" s="463">
        <f>IFERROR(IF(DB_Customers!E470&lt;&gt;"",DB_Customers!E470,""),"")</f>
        <v/>
      </c>
      <c r="L476" s="463">
        <f>IFERROR(IF(DB_Customers!F470&lt;&gt;"",DB_Customers!F470,""),"")</f>
        <v/>
      </c>
      <c r="M476" s="463">
        <f>IFERROR(IF(DB_Customers!T470&lt;&gt;"",DB_Customers!T470,""),"")</f>
        <v/>
      </c>
      <c r="N476" s="467">
        <f>IFERROR(IF(DB_Customers!A470&lt;&gt;"",IF(DB_Customers!I470&gt;=10,"Active","Inactive"),""),"")</f>
        <v/>
      </c>
    </row>
    <row r="477" ht="18" customHeight="1" s="341">
      <c r="A477" s="468">
        <f>IF(DB_Customers!A471&lt;&gt;"",468,"")</f>
        <v/>
      </c>
      <c r="B477" s="469">
        <f>IFERROR(IF(DB_Customers!A471&lt;&gt;"",DB_Customers!A471,""),"")</f>
        <v/>
      </c>
      <c r="C477" s="470">
        <f>IFERROR(IF(DB_Customers!D471&lt;&gt;"",DB_Customers!D471,""),"")</f>
        <v/>
      </c>
      <c r="D477" s="471">
        <f>IFERROR(IF(DB_Customers!Q471&lt;&gt;"",DB_Customers!Q471,""),"")</f>
        <v/>
      </c>
      <c r="E477" s="470">
        <f>IFERROR(IF(DB_Customers!R471&lt;&gt;"",DB_Customers!R471,""),"")</f>
        <v/>
      </c>
      <c r="F477" s="470">
        <f>IFERROR(IF(DB_Customers!S471&lt;&gt;"",DB_Customers!S471,""),"")</f>
        <v/>
      </c>
      <c r="G477" s="470">
        <f>IFERROR(IF(DB_Customers!G471&lt;&gt;"",DB_Customers!G471,""),"")</f>
        <v/>
      </c>
      <c r="H477" s="472">
        <f>IFERROR(IF(DB_Customers!H471&lt;&gt;"",DB_Customers!H471,""),"")</f>
        <v/>
      </c>
      <c r="I477" s="473">
        <f>IFERROR(IF(DB_Customers!I471&lt;&gt;"",DB_Customers!I471,""),"")</f>
        <v/>
      </c>
      <c r="J477" s="471">
        <f>IFERROR(IF(DB_Customers!J471&lt;&gt;"",DB_Customers!J471,""),"")</f>
        <v/>
      </c>
      <c r="K477" s="470">
        <f>IFERROR(IF(DB_Customers!E471&lt;&gt;"",DB_Customers!E471,""),"")</f>
        <v/>
      </c>
      <c r="L477" s="470">
        <f>IFERROR(IF(DB_Customers!F471&lt;&gt;"",DB_Customers!F471,""),"")</f>
        <v/>
      </c>
      <c r="M477" s="470">
        <f>IFERROR(IF(DB_Customers!T471&lt;&gt;"",DB_Customers!T471,""),"")</f>
        <v/>
      </c>
      <c r="N477" s="474">
        <f>IFERROR(IF(DB_Customers!A471&lt;&gt;"",IF(DB_Customers!I471&gt;=10,"Active","Inactive"),""),"")</f>
        <v/>
      </c>
    </row>
    <row r="478" ht="18" customHeight="1" s="341">
      <c r="A478" s="461">
        <f>IF(DB_Customers!A472&lt;&gt;"",469,"")</f>
        <v/>
      </c>
      <c r="B478" s="462">
        <f>IFERROR(IF(DB_Customers!A472&lt;&gt;"",DB_Customers!A472,""),"")</f>
        <v/>
      </c>
      <c r="C478" s="463">
        <f>IFERROR(IF(DB_Customers!D472&lt;&gt;"",DB_Customers!D472,""),"")</f>
        <v/>
      </c>
      <c r="D478" s="464">
        <f>IFERROR(IF(DB_Customers!Q472&lt;&gt;"",DB_Customers!Q472,""),"")</f>
        <v/>
      </c>
      <c r="E478" s="463">
        <f>IFERROR(IF(DB_Customers!R472&lt;&gt;"",DB_Customers!R472,""),"")</f>
        <v/>
      </c>
      <c r="F478" s="463">
        <f>IFERROR(IF(DB_Customers!S472&lt;&gt;"",DB_Customers!S472,""),"")</f>
        <v/>
      </c>
      <c r="G478" s="463">
        <f>IFERROR(IF(DB_Customers!G472&lt;&gt;"",DB_Customers!G472,""),"")</f>
        <v/>
      </c>
      <c r="H478" s="465">
        <f>IFERROR(IF(DB_Customers!H472&lt;&gt;"",DB_Customers!H472,""),"")</f>
        <v/>
      </c>
      <c r="I478" s="466">
        <f>IFERROR(IF(DB_Customers!I472&lt;&gt;"",DB_Customers!I472,""),"")</f>
        <v/>
      </c>
      <c r="J478" s="464">
        <f>IFERROR(IF(DB_Customers!J472&lt;&gt;"",DB_Customers!J472,""),"")</f>
        <v/>
      </c>
      <c r="K478" s="463">
        <f>IFERROR(IF(DB_Customers!E472&lt;&gt;"",DB_Customers!E472,""),"")</f>
        <v/>
      </c>
      <c r="L478" s="463">
        <f>IFERROR(IF(DB_Customers!F472&lt;&gt;"",DB_Customers!F472,""),"")</f>
        <v/>
      </c>
      <c r="M478" s="463">
        <f>IFERROR(IF(DB_Customers!T472&lt;&gt;"",DB_Customers!T472,""),"")</f>
        <v/>
      </c>
      <c r="N478" s="467">
        <f>IFERROR(IF(DB_Customers!A472&lt;&gt;"",IF(DB_Customers!I472&gt;=10,"Active","Inactive"),""),"")</f>
        <v/>
      </c>
    </row>
    <row r="479" ht="18" customHeight="1" s="341">
      <c r="A479" s="468">
        <f>IF(DB_Customers!A473&lt;&gt;"",470,"")</f>
        <v/>
      </c>
      <c r="B479" s="469">
        <f>IFERROR(IF(DB_Customers!A473&lt;&gt;"",DB_Customers!A473,""),"")</f>
        <v/>
      </c>
      <c r="C479" s="470">
        <f>IFERROR(IF(DB_Customers!D473&lt;&gt;"",DB_Customers!D473,""),"")</f>
        <v/>
      </c>
      <c r="D479" s="471">
        <f>IFERROR(IF(DB_Customers!Q473&lt;&gt;"",DB_Customers!Q473,""),"")</f>
        <v/>
      </c>
      <c r="E479" s="470">
        <f>IFERROR(IF(DB_Customers!R473&lt;&gt;"",DB_Customers!R473,""),"")</f>
        <v/>
      </c>
      <c r="F479" s="470">
        <f>IFERROR(IF(DB_Customers!S473&lt;&gt;"",DB_Customers!S473,""),"")</f>
        <v/>
      </c>
      <c r="G479" s="470">
        <f>IFERROR(IF(DB_Customers!G473&lt;&gt;"",DB_Customers!G473,""),"")</f>
        <v/>
      </c>
      <c r="H479" s="472">
        <f>IFERROR(IF(DB_Customers!H473&lt;&gt;"",DB_Customers!H473,""),"")</f>
        <v/>
      </c>
      <c r="I479" s="473">
        <f>IFERROR(IF(DB_Customers!I473&lt;&gt;"",DB_Customers!I473,""),"")</f>
        <v/>
      </c>
      <c r="J479" s="471">
        <f>IFERROR(IF(DB_Customers!J473&lt;&gt;"",DB_Customers!J473,""),"")</f>
        <v/>
      </c>
      <c r="K479" s="470">
        <f>IFERROR(IF(DB_Customers!E473&lt;&gt;"",DB_Customers!E473,""),"")</f>
        <v/>
      </c>
      <c r="L479" s="470">
        <f>IFERROR(IF(DB_Customers!F473&lt;&gt;"",DB_Customers!F473,""),"")</f>
        <v/>
      </c>
      <c r="M479" s="470">
        <f>IFERROR(IF(DB_Customers!T473&lt;&gt;"",DB_Customers!T473,""),"")</f>
        <v/>
      </c>
      <c r="N479" s="474">
        <f>IFERROR(IF(DB_Customers!A473&lt;&gt;"",IF(DB_Customers!I473&gt;=10,"Active","Inactive"),""),"")</f>
        <v/>
      </c>
    </row>
    <row r="480" ht="18" customHeight="1" s="341">
      <c r="A480" s="461">
        <f>IF(DB_Customers!A474&lt;&gt;"",471,"")</f>
        <v/>
      </c>
      <c r="B480" s="462">
        <f>IFERROR(IF(DB_Customers!A474&lt;&gt;"",DB_Customers!A474,""),"")</f>
        <v/>
      </c>
      <c r="C480" s="463">
        <f>IFERROR(IF(DB_Customers!D474&lt;&gt;"",DB_Customers!D474,""),"")</f>
        <v/>
      </c>
      <c r="D480" s="464">
        <f>IFERROR(IF(DB_Customers!Q474&lt;&gt;"",DB_Customers!Q474,""),"")</f>
        <v/>
      </c>
      <c r="E480" s="463">
        <f>IFERROR(IF(DB_Customers!R474&lt;&gt;"",DB_Customers!R474,""),"")</f>
        <v/>
      </c>
      <c r="F480" s="463">
        <f>IFERROR(IF(DB_Customers!S474&lt;&gt;"",DB_Customers!S474,""),"")</f>
        <v/>
      </c>
      <c r="G480" s="463">
        <f>IFERROR(IF(DB_Customers!G474&lt;&gt;"",DB_Customers!G474,""),"")</f>
        <v/>
      </c>
      <c r="H480" s="465">
        <f>IFERROR(IF(DB_Customers!H474&lt;&gt;"",DB_Customers!H474,""),"")</f>
        <v/>
      </c>
      <c r="I480" s="466">
        <f>IFERROR(IF(DB_Customers!I474&lt;&gt;"",DB_Customers!I474,""),"")</f>
        <v/>
      </c>
      <c r="J480" s="464">
        <f>IFERROR(IF(DB_Customers!J474&lt;&gt;"",DB_Customers!J474,""),"")</f>
        <v/>
      </c>
      <c r="K480" s="463">
        <f>IFERROR(IF(DB_Customers!E474&lt;&gt;"",DB_Customers!E474,""),"")</f>
        <v/>
      </c>
      <c r="L480" s="463">
        <f>IFERROR(IF(DB_Customers!F474&lt;&gt;"",DB_Customers!F474,""),"")</f>
        <v/>
      </c>
      <c r="M480" s="463">
        <f>IFERROR(IF(DB_Customers!T474&lt;&gt;"",DB_Customers!T474,""),"")</f>
        <v/>
      </c>
      <c r="N480" s="467">
        <f>IFERROR(IF(DB_Customers!A474&lt;&gt;"",IF(DB_Customers!I474&gt;=10,"Active","Inactive"),""),"")</f>
        <v/>
      </c>
    </row>
    <row r="481" ht="18" customHeight="1" s="341">
      <c r="A481" s="468">
        <f>IF(DB_Customers!A475&lt;&gt;"",472,"")</f>
        <v/>
      </c>
      <c r="B481" s="469">
        <f>IFERROR(IF(DB_Customers!A475&lt;&gt;"",DB_Customers!A475,""),"")</f>
        <v/>
      </c>
      <c r="C481" s="470">
        <f>IFERROR(IF(DB_Customers!D475&lt;&gt;"",DB_Customers!D475,""),"")</f>
        <v/>
      </c>
      <c r="D481" s="471">
        <f>IFERROR(IF(DB_Customers!Q475&lt;&gt;"",DB_Customers!Q475,""),"")</f>
        <v/>
      </c>
      <c r="E481" s="470">
        <f>IFERROR(IF(DB_Customers!R475&lt;&gt;"",DB_Customers!R475,""),"")</f>
        <v/>
      </c>
      <c r="F481" s="470">
        <f>IFERROR(IF(DB_Customers!S475&lt;&gt;"",DB_Customers!S475,""),"")</f>
        <v/>
      </c>
      <c r="G481" s="470">
        <f>IFERROR(IF(DB_Customers!G475&lt;&gt;"",DB_Customers!G475,""),"")</f>
        <v/>
      </c>
      <c r="H481" s="472">
        <f>IFERROR(IF(DB_Customers!H475&lt;&gt;"",DB_Customers!H475,""),"")</f>
        <v/>
      </c>
      <c r="I481" s="473">
        <f>IFERROR(IF(DB_Customers!I475&lt;&gt;"",DB_Customers!I475,""),"")</f>
        <v/>
      </c>
      <c r="J481" s="471">
        <f>IFERROR(IF(DB_Customers!J475&lt;&gt;"",DB_Customers!J475,""),"")</f>
        <v/>
      </c>
      <c r="K481" s="470">
        <f>IFERROR(IF(DB_Customers!E475&lt;&gt;"",DB_Customers!E475,""),"")</f>
        <v/>
      </c>
      <c r="L481" s="470">
        <f>IFERROR(IF(DB_Customers!F475&lt;&gt;"",DB_Customers!F475,""),"")</f>
        <v/>
      </c>
      <c r="M481" s="470">
        <f>IFERROR(IF(DB_Customers!T475&lt;&gt;"",DB_Customers!T475,""),"")</f>
        <v/>
      </c>
      <c r="N481" s="474">
        <f>IFERROR(IF(DB_Customers!A475&lt;&gt;"",IF(DB_Customers!I475&gt;=10,"Active","Inactive"),""),"")</f>
        <v/>
      </c>
    </row>
    <row r="482" ht="18" customHeight="1" s="341">
      <c r="A482" s="461">
        <f>IF(DB_Customers!A476&lt;&gt;"",473,"")</f>
        <v/>
      </c>
      <c r="B482" s="462">
        <f>IFERROR(IF(DB_Customers!A476&lt;&gt;"",DB_Customers!A476,""),"")</f>
        <v/>
      </c>
      <c r="C482" s="463">
        <f>IFERROR(IF(DB_Customers!D476&lt;&gt;"",DB_Customers!D476,""),"")</f>
        <v/>
      </c>
      <c r="D482" s="464">
        <f>IFERROR(IF(DB_Customers!Q476&lt;&gt;"",DB_Customers!Q476,""),"")</f>
        <v/>
      </c>
      <c r="E482" s="463">
        <f>IFERROR(IF(DB_Customers!R476&lt;&gt;"",DB_Customers!R476,""),"")</f>
        <v/>
      </c>
      <c r="F482" s="463">
        <f>IFERROR(IF(DB_Customers!S476&lt;&gt;"",DB_Customers!S476,""),"")</f>
        <v/>
      </c>
      <c r="G482" s="463">
        <f>IFERROR(IF(DB_Customers!G476&lt;&gt;"",DB_Customers!G476,""),"")</f>
        <v/>
      </c>
      <c r="H482" s="465">
        <f>IFERROR(IF(DB_Customers!H476&lt;&gt;"",DB_Customers!H476,""),"")</f>
        <v/>
      </c>
      <c r="I482" s="466">
        <f>IFERROR(IF(DB_Customers!I476&lt;&gt;"",DB_Customers!I476,""),"")</f>
        <v/>
      </c>
      <c r="J482" s="464">
        <f>IFERROR(IF(DB_Customers!J476&lt;&gt;"",DB_Customers!J476,""),"")</f>
        <v/>
      </c>
      <c r="K482" s="463">
        <f>IFERROR(IF(DB_Customers!E476&lt;&gt;"",DB_Customers!E476,""),"")</f>
        <v/>
      </c>
      <c r="L482" s="463">
        <f>IFERROR(IF(DB_Customers!F476&lt;&gt;"",DB_Customers!F476,""),"")</f>
        <v/>
      </c>
      <c r="M482" s="463">
        <f>IFERROR(IF(DB_Customers!T476&lt;&gt;"",DB_Customers!T476,""),"")</f>
        <v/>
      </c>
      <c r="N482" s="467">
        <f>IFERROR(IF(DB_Customers!A476&lt;&gt;"",IF(DB_Customers!I476&gt;=10,"Active","Inactive"),""),"")</f>
        <v/>
      </c>
    </row>
    <row r="483" ht="18" customHeight="1" s="341">
      <c r="A483" s="468">
        <f>IF(DB_Customers!A477&lt;&gt;"",474,"")</f>
        <v/>
      </c>
      <c r="B483" s="469">
        <f>IFERROR(IF(DB_Customers!A477&lt;&gt;"",DB_Customers!A477,""),"")</f>
        <v/>
      </c>
      <c r="C483" s="470">
        <f>IFERROR(IF(DB_Customers!D477&lt;&gt;"",DB_Customers!D477,""),"")</f>
        <v/>
      </c>
      <c r="D483" s="471">
        <f>IFERROR(IF(DB_Customers!Q477&lt;&gt;"",DB_Customers!Q477,""),"")</f>
        <v/>
      </c>
      <c r="E483" s="470">
        <f>IFERROR(IF(DB_Customers!R477&lt;&gt;"",DB_Customers!R477,""),"")</f>
        <v/>
      </c>
      <c r="F483" s="470">
        <f>IFERROR(IF(DB_Customers!S477&lt;&gt;"",DB_Customers!S477,""),"")</f>
        <v/>
      </c>
      <c r="G483" s="470">
        <f>IFERROR(IF(DB_Customers!G477&lt;&gt;"",DB_Customers!G477,""),"")</f>
        <v/>
      </c>
      <c r="H483" s="472">
        <f>IFERROR(IF(DB_Customers!H477&lt;&gt;"",DB_Customers!H477,""),"")</f>
        <v/>
      </c>
      <c r="I483" s="473">
        <f>IFERROR(IF(DB_Customers!I477&lt;&gt;"",DB_Customers!I477,""),"")</f>
        <v/>
      </c>
      <c r="J483" s="471">
        <f>IFERROR(IF(DB_Customers!J477&lt;&gt;"",DB_Customers!J477,""),"")</f>
        <v/>
      </c>
      <c r="K483" s="470">
        <f>IFERROR(IF(DB_Customers!E477&lt;&gt;"",DB_Customers!E477,""),"")</f>
        <v/>
      </c>
      <c r="L483" s="470">
        <f>IFERROR(IF(DB_Customers!F477&lt;&gt;"",DB_Customers!F477,""),"")</f>
        <v/>
      </c>
      <c r="M483" s="470">
        <f>IFERROR(IF(DB_Customers!T477&lt;&gt;"",DB_Customers!T477,""),"")</f>
        <v/>
      </c>
      <c r="N483" s="474">
        <f>IFERROR(IF(DB_Customers!A477&lt;&gt;"",IF(DB_Customers!I477&gt;=10,"Active","Inactive"),""),"")</f>
        <v/>
      </c>
    </row>
    <row r="484" ht="18" customHeight="1" s="341">
      <c r="A484" s="461">
        <f>IF(DB_Customers!A478&lt;&gt;"",475,"")</f>
        <v/>
      </c>
      <c r="B484" s="462">
        <f>IFERROR(IF(DB_Customers!A478&lt;&gt;"",DB_Customers!A478,""),"")</f>
        <v/>
      </c>
      <c r="C484" s="463">
        <f>IFERROR(IF(DB_Customers!D478&lt;&gt;"",DB_Customers!D478,""),"")</f>
        <v/>
      </c>
      <c r="D484" s="464">
        <f>IFERROR(IF(DB_Customers!Q478&lt;&gt;"",DB_Customers!Q478,""),"")</f>
        <v/>
      </c>
      <c r="E484" s="463">
        <f>IFERROR(IF(DB_Customers!R478&lt;&gt;"",DB_Customers!R478,""),"")</f>
        <v/>
      </c>
      <c r="F484" s="463">
        <f>IFERROR(IF(DB_Customers!S478&lt;&gt;"",DB_Customers!S478,""),"")</f>
        <v/>
      </c>
      <c r="G484" s="463">
        <f>IFERROR(IF(DB_Customers!G478&lt;&gt;"",DB_Customers!G478,""),"")</f>
        <v/>
      </c>
      <c r="H484" s="465">
        <f>IFERROR(IF(DB_Customers!H478&lt;&gt;"",DB_Customers!H478,""),"")</f>
        <v/>
      </c>
      <c r="I484" s="466">
        <f>IFERROR(IF(DB_Customers!I478&lt;&gt;"",DB_Customers!I478,""),"")</f>
        <v/>
      </c>
      <c r="J484" s="464">
        <f>IFERROR(IF(DB_Customers!J478&lt;&gt;"",DB_Customers!J478,""),"")</f>
        <v/>
      </c>
      <c r="K484" s="463">
        <f>IFERROR(IF(DB_Customers!E478&lt;&gt;"",DB_Customers!E478,""),"")</f>
        <v/>
      </c>
      <c r="L484" s="463">
        <f>IFERROR(IF(DB_Customers!F478&lt;&gt;"",DB_Customers!F478,""),"")</f>
        <v/>
      </c>
      <c r="M484" s="463">
        <f>IFERROR(IF(DB_Customers!T478&lt;&gt;"",DB_Customers!T478,""),"")</f>
        <v/>
      </c>
      <c r="N484" s="467">
        <f>IFERROR(IF(DB_Customers!A478&lt;&gt;"",IF(DB_Customers!I478&gt;=10,"Active","Inactive"),""),"")</f>
        <v/>
      </c>
    </row>
    <row r="485" ht="18" customHeight="1" s="341">
      <c r="A485" s="468">
        <f>IF(DB_Customers!A479&lt;&gt;"",476,"")</f>
        <v/>
      </c>
      <c r="B485" s="469">
        <f>IFERROR(IF(DB_Customers!A479&lt;&gt;"",DB_Customers!A479,""),"")</f>
        <v/>
      </c>
      <c r="C485" s="470">
        <f>IFERROR(IF(DB_Customers!D479&lt;&gt;"",DB_Customers!D479,""),"")</f>
        <v/>
      </c>
      <c r="D485" s="471">
        <f>IFERROR(IF(DB_Customers!Q479&lt;&gt;"",DB_Customers!Q479,""),"")</f>
        <v/>
      </c>
      <c r="E485" s="470">
        <f>IFERROR(IF(DB_Customers!R479&lt;&gt;"",DB_Customers!R479,""),"")</f>
        <v/>
      </c>
      <c r="F485" s="470">
        <f>IFERROR(IF(DB_Customers!S479&lt;&gt;"",DB_Customers!S479,""),"")</f>
        <v/>
      </c>
      <c r="G485" s="470">
        <f>IFERROR(IF(DB_Customers!G479&lt;&gt;"",DB_Customers!G479,""),"")</f>
        <v/>
      </c>
      <c r="H485" s="472">
        <f>IFERROR(IF(DB_Customers!H479&lt;&gt;"",DB_Customers!H479,""),"")</f>
        <v/>
      </c>
      <c r="I485" s="473">
        <f>IFERROR(IF(DB_Customers!I479&lt;&gt;"",DB_Customers!I479,""),"")</f>
        <v/>
      </c>
      <c r="J485" s="471">
        <f>IFERROR(IF(DB_Customers!J479&lt;&gt;"",DB_Customers!J479,""),"")</f>
        <v/>
      </c>
      <c r="K485" s="470">
        <f>IFERROR(IF(DB_Customers!E479&lt;&gt;"",DB_Customers!E479,""),"")</f>
        <v/>
      </c>
      <c r="L485" s="470">
        <f>IFERROR(IF(DB_Customers!F479&lt;&gt;"",DB_Customers!F479,""),"")</f>
        <v/>
      </c>
      <c r="M485" s="470">
        <f>IFERROR(IF(DB_Customers!T479&lt;&gt;"",DB_Customers!T479,""),"")</f>
        <v/>
      </c>
      <c r="N485" s="474">
        <f>IFERROR(IF(DB_Customers!A479&lt;&gt;"",IF(DB_Customers!I479&gt;=10,"Active","Inactive"),""),"")</f>
        <v/>
      </c>
    </row>
    <row r="486" ht="18" customHeight="1" s="341">
      <c r="A486" s="461">
        <f>IF(DB_Customers!A480&lt;&gt;"",477,"")</f>
        <v/>
      </c>
      <c r="B486" s="462">
        <f>IFERROR(IF(DB_Customers!A480&lt;&gt;"",DB_Customers!A480,""),"")</f>
        <v/>
      </c>
      <c r="C486" s="463">
        <f>IFERROR(IF(DB_Customers!D480&lt;&gt;"",DB_Customers!D480,""),"")</f>
        <v/>
      </c>
      <c r="D486" s="464">
        <f>IFERROR(IF(DB_Customers!Q480&lt;&gt;"",DB_Customers!Q480,""),"")</f>
        <v/>
      </c>
      <c r="E486" s="463">
        <f>IFERROR(IF(DB_Customers!R480&lt;&gt;"",DB_Customers!R480,""),"")</f>
        <v/>
      </c>
      <c r="F486" s="463">
        <f>IFERROR(IF(DB_Customers!S480&lt;&gt;"",DB_Customers!S480,""),"")</f>
        <v/>
      </c>
      <c r="G486" s="463">
        <f>IFERROR(IF(DB_Customers!G480&lt;&gt;"",DB_Customers!G480,""),"")</f>
        <v/>
      </c>
      <c r="H486" s="465">
        <f>IFERROR(IF(DB_Customers!H480&lt;&gt;"",DB_Customers!H480,""),"")</f>
        <v/>
      </c>
      <c r="I486" s="466">
        <f>IFERROR(IF(DB_Customers!I480&lt;&gt;"",DB_Customers!I480,""),"")</f>
        <v/>
      </c>
      <c r="J486" s="464">
        <f>IFERROR(IF(DB_Customers!J480&lt;&gt;"",DB_Customers!J480,""),"")</f>
        <v/>
      </c>
      <c r="K486" s="463">
        <f>IFERROR(IF(DB_Customers!E480&lt;&gt;"",DB_Customers!E480,""),"")</f>
        <v/>
      </c>
      <c r="L486" s="463">
        <f>IFERROR(IF(DB_Customers!F480&lt;&gt;"",DB_Customers!F480,""),"")</f>
        <v/>
      </c>
      <c r="M486" s="463">
        <f>IFERROR(IF(DB_Customers!T480&lt;&gt;"",DB_Customers!T480,""),"")</f>
        <v/>
      </c>
      <c r="N486" s="467">
        <f>IFERROR(IF(DB_Customers!A480&lt;&gt;"",IF(DB_Customers!I480&gt;=10,"Active","Inactive"),""),"")</f>
        <v/>
      </c>
    </row>
    <row r="487" ht="18" customHeight="1" s="341">
      <c r="A487" s="468">
        <f>IF(DB_Customers!A481&lt;&gt;"",478,"")</f>
        <v/>
      </c>
      <c r="B487" s="469">
        <f>IFERROR(IF(DB_Customers!A481&lt;&gt;"",DB_Customers!A481,""),"")</f>
        <v/>
      </c>
      <c r="C487" s="470">
        <f>IFERROR(IF(DB_Customers!D481&lt;&gt;"",DB_Customers!D481,""),"")</f>
        <v/>
      </c>
      <c r="D487" s="471">
        <f>IFERROR(IF(DB_Customers!Q481&lt;&gt;"",DB_Customers!Q481,""),"")</f>
        <v/>
      </c>
      <c r="E487" s="470">
        <f>IFERROR(IF(DB_Customers!R481&lt;&gt;"",DB_Customers!R481,""),"")</f>
        <v/>
      </c>
      <c r="F487" s="470">
        <f>IFERROR(IF(DB_Customers!S481&lt;&gt;"",DB_Customers!S481,""),"")</f>
        <v/>
      </c>
      <c r="G487" s="470">
        <f>IFERROR(IF(DB_Customers!G481&lt;&gt;"",DB_Customers!G481,""),"")</f>
        <v/>
      </c>
      <c r="H487" s="472">
        <f>IFERROR(IF(DB_Customers!H481&lt;&gt;"",DB_Customers!H481,""),"")</f>
        <v/>
      </c>
      <c r="I487" s="473">
        <f>IFERROR(IF(DB_Customers!I481&lt;&gt;"",DB_Customers!I481,""),"")</f>
        <v/>
      </c>
      <c r="J487" s="471">
        <f>IFERROR(IF(DB_Customers!J481&lt;&gt;"",DB_Customers!J481,""),"")</f>
        <v/>
      </c>
      <c r="K487" s="470">
        <f>IFERROR(IF(DB_Customers!E481&lt;&gt;"",DB_Customers!E481,""),"")</f>
        <v/>
      </c>
      <c r="L487" s="470">
        <f>IFERROR(IF(DB_Customers!F481&lt;&gt;"",DB_Customers!F481,""),"")</f>
        <v/>
      </c>
      <c r="M487" s="470">
        <f>IFERROR(IF(DB_Customers!T481&lt;&gt;"",DB_Customers!T481,""),"")</f>
        <v/>
      </c>
      <c r="N487" s="474">
        <f>IFERROR(IF(DB_Customers!A481&lt;&gt;"",IF(DB_Customers!I481&gt;=10,"Active","Inactive"),""),"")</f>
        <v/>
      </c>
    </row>
    <row r="488" ht="18" customHeight="1" s="341">
      <c r="A488" s="461">
        <f>IF(DB_Customers!A482&lt;&gt;"",479,"")</f>
        <v/>
      </c>
      <c r="B488" s="462">
        <f>IFERROR(IF(DB_Customers!A482&lt;&gt;"",DB_Customers!A482,""),"")</f>
        <v/>
      </c>
      <c r="C488" s="463">
        <f>IFERROR(IF(DB_Customers!D482&lt;&gt;"",DB_Customers!D482,""),"")</f>
        <v/>
      </c>
      <c r="D488" s="464">
        <f>IFERROR(IF(DB_Customers!Q482&lt;&gt;"",DB_Customers!Q482,""),"")</f>
        <v/>
      </c>
      <c r="E488" s="463">
        <f>IFERROR(IF(DB_Customers!R482&lt;&gt;"",DB_Customers!R482,""),"")</f>
        <v/>
      </c>
      <c r="F488" s="463">
        <f>IFERROR(IF(DB_Customers!S482&lt;&gt;"",DB_Customers!S482,""),"")</f>
        <v/>
      </c>
      <c r="G488" s="463">
        <f>IFERROR(IF(DB_Customers!G482&lt;&gt;"",DB_Customers!G482,""),"")</f>
        <v/>
      </c>
      <c r="H488" s="465">
        <f>IFERROR(IF(DB_Customers!H482&lt;&gt;"",DB_Customers!H482,""),"")</f>
        <v/>
      </c>
      <c r="I488" s="466">
        <f>IFERROR(IF(DB_Customers!I482&lt;&gt;"",DB_Customers!I482,""),"")</f>
        <v/>
      </c>
      <c r="J488" s="464">
        <f>IFERROR(IF(DB_Customers!J482&lt;&gt;"",DB_Customers!J482,""),"")</f>
        <v/>
      </c>
      <c r="K488" s="463">
        <f>IFERROR(IF(DB_Customers!E482&lt;&gt;"",DB_Customers!E482,""),"")</f>
        <v/>
      </c>
      <c r="L488" s="463">
        <f>IFERROR(IF(DB_Customers!F482&lt;&gt;"",DB_Customers!F482,""),"")</f>
        <v/>
      </c>
      <c r="M488" s="463">
        <f>IFERROR(IF(DB_Customers!T482&lt;&gt;"",DB_Customers!T482,""),"")</f>
        <v/>
      </c>
      <c r="N488" s="467">
        <f>IFERROR(IF(DB_Customers!A482&lt;&gt;"",IF(DB_Customers!I482&gt;=10,"Active","Inactive"),""),"")</f>
        <v/>
      </c>
    </row>
    <row r="489" ht="18" customHeight="1" s="341">
      <c r="A489" s="468">
        <f>IF(DB_Customers!A483&lt;&gt;"",480,"")</f>
        <v/>
      </c>
      <c r="B489" s="469">
        <f>IFERROR(IF(DB_Customers!A483&lt;&gt;"",DB_Customers!A483,""),"")</f>
        <v/>
      </c>
      <c r="C489" s="470">
        <f>IFERROR(IF(DB_Customers!D483&lt;&gt;"",DB_Customers!D483,""),"")</f>
        <v/>
      </c>
      <c r="D489" s="471">
        <f>IFERROR(IF(DB_Customers!Q483&lt;&gt;"",DB_Customers!Q483,""),"")</f>
        <v/>
      </c>
      <c r="E489" s="470">
        <f>IFERROR(IF(DB_Customers!R483&lt;&gt;"",DB_Customers!R483,""),"")</f>
        <v/>
      </c>
      <c r="F489" s="470">
        <f>IFERROR(IF(DB_Customers!S483&lt;&gt;"",DB_Customers!S483,""),"")</f>
        <v/>
      </c>
      <c r="G489" s="470">
        <f>IFERROR(IF(DB_Customers!G483&lt;&gt;"",DB_Customers!G483,""),"")</f>
        <v/>
      </c>
      <c r="H489" s="472">
        <f>IFERROR(IF(DB_Customers!H483&lt;&gt;"",DB_Customers!H483,""),"")</f>
        <v/>
      </c>
      <c r="I489" s="473">
        <f>IFERROR(IF(DB_Customers!I483&lt;&gt;"",DB_Customers!I483,""),"")</f>
        <v/>
      </c>
      <c r="J489" s="471">
        <f>IFERROR(IF(DB_Customers!J483&lt;&gt;"",DB_Customers!J483,""),"")</f>
        <v/>
      </c>
      <c r="K489" s="470">
        <f>IFERROR(IF(DB_Customers!E483&lt;&gt;"",DB_Customers!E483,""),"")</f>
        <v/>
      </c>
      <c r="L489" s="470">
        <f>IFERROR(IF(DB_Customers!F483&lt;&gt;"",DB_Customers!F483,""),"")</f>
        <v/>
      </c>
      <c r="M489" s="470">
        <f>IFERROR(IF(DB_Customers!T483&lt;&gt;"",DB_Customers!T483,""),"")</f>
        <v/>
      </c>
      <c r="N489" s="474">
        <f>IFERROR(IF(DB_Customers!A483&lt;&gt;"",IF(DB_Customers!I483&gt;=10,"Active","Inactive"),""),"")</f>
        <v/>
      </c>
    </row>
    <row r="490" ht="18" customHeight="1" s="341">
      <c r="A490" s="461">
        <f>IF(DB_Customers!A484&lt;&gt;"",481,"")</f>
        <v/>
      </c>
      <c r="B490" s="462">
        <f>IFERROR(IF(DB_Customers!A484&lt;&gt;"",DB_Customers!A484,""),"")</f>
        <v/>
      </c>
      <c r="C490" s="463">
        <f>IFERROR(IF(DB_Customers!D484&lt;&gt;"",DB_Customers!D484,""),"")</f>
        <v/>
      </c>
      <c r="D490" s="464">
        <f>IFERROR(IF(DB_Customers!Q484&lt;&gt;"",DB_Customers!Q484,""),"")</f>
        <v/>
      </c>
      <c r="E490" s="463">
        <f>IFERROR(IF(DB_Customers!R484&lt;&gt;"",DB_Customers!R484,""),"")</f>
        <v/>
      </c>
      <c r="F490" s="463">
        <f>IFERROR(IF(DB_Customers!S484&lt;&gt;"",DB_Customers!S484,""),"")</f>
        <v/>
      </c>
      <c r="G490" s="463">
        <f>IFERROR(IF(DB_Customers!G484&lt;&gt;"",DB_Customers!G484,""),"")</f>
        <v/>
      </c>
      <c r="H490" s="465">
        <f>IFERROR(IF(DB_Customers!H484&lt;&gt;"",DB_Customers!H484,""),"")</f>
        <v/>
      </c>
      <c r="I490" s="466">
        <f>IFERROR(IF(DB_Customers!I484&lt;&gt;"",DB_Customers!I484,""),"")</f>
        <v/>
      </c>
      <c r="J490" s="464">
        <f>IFERROR(IF(DB_Customers!J484&lt;&gt;"",DB_Customers!J484,""),"")</f>
        <v/>
      </c>
      <c r="K490" s="463">
        <f>IFERROR(IF(DB_Customers!E484&lt;&gt;"",DB_Customers!E484,""),"")</f>
        <v/>
      </c>
      <c r="L490" s="463">
        <f>IFERROR(IF(DB_Customers!F484&lt;&gt;"",DB_Customers!F484,""),"")</f>
        <v/>
      </c>
      <c r="M490" s="463">
        <f>IFERROR(IF(DB_Customers!T484&lt;&gt;"",DB_Customers!T484,""),"")</f>
        <v/>
      </c>
      <c r="N490" s="467">
        <f>IFERROR(IF(DB_Customers!A484&lt;&gt;"",IF(DB_Customers!I484&gt;=10,"Active","Inactive"),""),"")</f>
        <v/>
      </c>
    </row>
    <row r="491" ht="18" customHeight="1" s="341">
      <c r="A491" s="468">
        <f>IF(DB_Customers!A485&lt;&gt;"",482,"")</f>
        <v/>
      </c>
      <c r="B491" s="469">
        <f>IFERROR(IF(DB_Customers!A485&lt;&gt;"",DB_Customers!A485,""),"")</f>
        <v/>
      </c>
      <c r="C491" s="470">
        <f>IFERROR(IF(DB_Customers!D485&lt;&gt;"",DB_Customers!D485,""),"")</f>
        <v/>
      </c>
      <c r="D491" s="471">
        <f>IFERROR(IF(DB_Customers!Q485&lt;&gt;"",DB_Customers!Q485,""),"")</f>
        <v/>
      </c>
      <c r="E491" s="470">
        <f>IFERROR(IF(DB_Customers!R485&lt;&gt;"",DB_Customers!R485,""),"")</f>
        <v/>
      </c>
      <c r="F491" s="470">
        <f>IFERROR(IF(DB_Customers!S485&lt;&gt;"",DB_Customers!S485,""),"")</f>
        <v/>
      </c>
      <c r="G491" s="470">
        <f>IFERROR(IF(DB_Customers!G485&lt;&gt;"",DB_Customers!G485,""),"")</f>
        <v/>
      </c>
      <c r="H491" s="472">
        <f>IFERROR(IF(DB_Customers!H485&lt;&gt;"",DB_Customers!H485,""),"")</f>
        <v/>
      </c>
      <c r="I491" s="473">
        <f>IFERROR(IF(DB_Customers!I485&lt;&gt;"",DB_Customers!I485,""),"")</f>
        <v/>
      </c>
      <c r="J491" s="471">
        <f>IFERROR(IF(DB_Customers!J485&lt;&gt;"",DB_Customers!J485,""),"")</f>
        <v/>
      </c>
      <c r="K491" s="470">
        <f>IFERROR(IF(DB_Customers!E485&lt;&gt;"",DB_Customers!E485,""),"")</f>
        <v/>
      </c>
      <c r="L491" s="470">
        <f>IFERROR(IF(DB_Customers!F485&lt;&gt;"",DB_Customers!F485,""),"")</f>
        <v/>
      </c>
      <c r="M491" s="470">
        <f>IFERROR(IF(DB_Customers!T485&lt;&gt;"",DB_Customers!T485,""),"")</f>
        <v/>
      </c>
      <c r="N491" s="474">
        <f>IFERROR(IF(DB_Customers!A485&lt;&gt;"",IF(DB_Customers!I485&gt;=10,"Active","Inactive"),""),"")</f>
        <v/>
      </c>
    </row>
    <row r="492" ht="18" customHeight="1" s="341">
      <c r="A492" s="461">
        <f>IF(DB_Customers!A486&lt;&gt;"",483,"")</f>
        <v/>
      </c>
      <c r="B492" s="462">
        <f>IFERROR(IF(DB_Customers!A486&lt;&gt;"",DB_Customers!A486,""),"")</f>
        <v/>
      </c>
      <c r="C492" s="463">
        <f>IFERROR(IF(DB_Customers!D486&lt;&gt;"",DB_Customers!D486,""),"")</f>
        <v/>
      </c>
      <c r="D492" s="464">
        <f>IFERROR(IF(DB_Customers!Q486&lt;&gt;"",DB_Customers!Q486,""),"")</f>
        <v/>
      </c>
      <c r="E492" s="463">
        <f>IFERROR(IF(DB_Customers!R486&lt;&gt;"",DB_Customers!R486,""),"")</f>
        <v/>
      </c>
      <c r="F492" s="463">
        <f>IFERROR(IF(DB_Customers!S486&lt;&gt;"",DB_Customers!S486,""),"")</f>
        <v/>
      </c>
      <c r="G492" s="463">
        <f>IFERROR(IF(DB_Customers!G486&lt;&gt;"",DB_Customers!G486,""),"")</f>
        <v/>
      </c>
      <c r="H492" s="465">
        <f>IFERROR(IF(DB_Customers!H486&lt;&gt;"",DB_Customers!H486,""),"")</f>
        <v/>
      </c>
      <c r="I492" s="466">
        <f>IFERROR(IF(DB_Customers!I486&lt;&gt;"",DB_Customers!I486,""),"")</f>
        <v/>
      </c>
      <c r="J492" s="464">
        <f>IFERROR(IF(DB_Customers!J486&lt;&gt;"",DB_Customers!J486,""),"")</f>
        <v/>
      </c>
      <c r="K492" s="463">
        <f>IFERROR(IF(DB_Customers!E486&lt;&gt;"",DB_Customers!E486,""),"")</f>
        <v/>
      </c>
      <c r="L492" s="463">
        <f>IFERROR(IF(DB_Customers!F486&lt;&gt;"",DB_Customers!F486,""),"")</f>
        <v/>
      </c>
      <c r="M492" s="463">
        <f>IFERROR(IF(DB_Customers!T486&lt;&gt;"",DB_Customers!T486,""),"")</f>
        <v/>
      </c>
      <c r="N492" s="467">
        <f>IFERROR(IF(DB_Customers!A486&lt;&gt;"",IF(DB_Customers!I486&gt;=10,"Active","Inactive"),""),"")</f>
        <v/>
      </c>
    </row>
    <row r="493" ht="18" customHeight="1" s="341">
      <c r="A493" s="468">
        <f>IF(DB_Customers!A487&lt;&gt;"",484,"")</f>
        <v/>
      </c>
      <c r="B493" s="469">
        <f>IFERROR(IF(DB_Customers!A487&lt;&gt;"",DB_Customers!A487,""),"")</f>
        <v/>
      </c>
      <c r="C493" s="470">
        <f>IFERROR(IF(DB_Customers!D487&lt;&gt;"",DB_Customers!D487,""),"")</f>
        <v/>
      </c>
      <c r="D493" s="471">
        <f>IFERROR(IF(DB_Customers!Q487&lt;&gt;"",DB_Customers!Q487,""),"")</f>
        <v/>
      </c>
      <c r="E493" s="470">
        <f>IFERROR(IF(DB_Customers!R487&lt;&gt;"",DB_Customers!R487,""),"")</f>
        <v/>
      </c>
      <c r="F493" s="470">
        <f>IFERROR(IF(DB_Customers!S487&lt;&gt;"",DB_Customers!S487,""),"")</f>
        <v/>
      </c>
      <c r="G493" s="470">
        <f>IFERROR(IF(DB_Customers!G487&lt;&gt;"",DB_Customers!G487,""),"")</f>
        <v/>
      </c>
      <c r="H493" s="472">
        <f>IFERROR(IF(DB_Customers!H487&lt;&gt;"",DB_Customers!H487,""),"")</f>
        <v/>
      </c>
      <c r="I493" s="473">
        <f>IFERROR(IF(DB_Customers!I487&lt;&gt;"",DB_Customers!I487,""),"")</f>
        <v/>
      </c>
      <c r="J493" s="471">
        <f>IFERROR(IF(DB_Customers!J487&lt;&gt;"",DB_Customers!J487,""),"")</f>
        <v/>
      </c>
      <c r="K493" s="470">
        <f>IFERROR(IF(DB_Customers!E487&lt;&gt;"",DB_Customers!E487,""),"")</f>
        <v/>
      </c>
      <c r="L493" s="470">
        <f>IFERROR(IF(DB_Customers!F487&lt;&gt;"",DB_Customers!F487,""),"")</f>
        <v/>
      </c>
      <c r="M493" s="470">
        <f>IFERROR(IF(DB_Customers!T487&lt;&gt;"",DB_Customers!T487,""),"")</f>
        <v/>
      </c>
      <c r="N493" s="474">
        <f>IFERROR(IF(DB_Customers!A487&lt;&gt;"",IF(DB_Customers!I487&gt;=10,"Active","Inactive"),""),"")</f>
        <v/>
      </c>
    </row>
    <row r="494" ht="18" customHeight="1" s="341">
      <c r="A494" s="461">
        <f>IF(DB_Customers!A488&lt;&gt;"",485,"")</f>
        <v/>
      </c>
      <c r="B494" s="462">
        <f>IFERROR(IF(DB_Customers!A488&lt;&gt;"",DB_Customers!A488,""),"")</f>
        <v/>
      </c>
      <c r="C494" s="463">
        <f>IFERROR(IF(DB_Customers!D488&lt;&gt;"",DB_Customers!D488,""),"")</f>
        <v/>
      </c>
      <c r="D494" s="464">
        <f>IFERROR(IF(DB_Customers!Q488&lt;&gt;"",DB_Customers!Q488,""),"")</f>
        <v/>
      </c>
      <c r="E494" s="463">
        <f>IFERROR(IF(DB_Customers!R488&lt;&gt;"",DB_Customers!R488,""),"")</f>
        <v/>
      </c>
      <c r="F494" s="463">
        <f>IFERROR(IF(DB_Customers!S488&lt;&gt;"",DB_Customers!S488,""),"")</f>
        <v/>
      </c>
      <c r="G494" s="463">
        <f>IFERROR(IF(DB_Customers!G488&lt;&gt;"",DB_Customers!G488,""),"")</f>
        <v/>
      </c>
      <c r="H494" s="465">
        <f>IFERROR(IF(DB_Customers!H488&lt;&gt;"",DB_Customers!H488,""),"")</f>
        <v/>
      </c>
      <c r="I494" s="466">
        <f>IFERROR(IF(DB_Customers!I488&lt;&gt;"",DB_Customers!I488,""),"")</f>
        <v/>
      </c>
      <c r="J494" s="464">
        <f>IFERROR(IF(DB_Customers!J488&lt;&gt;"",DB_Customers!J488,""),"")</f>
        <v/>
      </c>
      <c r="K494" s="463">
        <f>IFERROR(IF(DB_Customers!E488&lt;&gt;"",DB_Customers!E488,""),"")</f>
        <v/>
      </c>
      <c r="L494" s="463">
        <f>IFERROR(IF(DB_Customers!F488&lt;&gt;"",DB_Customers!F488,""),"")</f>
        <v/>
      </c>
      <c r="M494" s="463">
        <f>IFERROR(IF(DB_Customers!T488&lt;&gt;"",DB_Customers!T488,""),"")</f>
        <v/>
      </c>
      <c r="N494" s="467">
        <f>IFERROR(IF(DB_Customers!A488&lt;&gt;"",IF(DB_Customers!I488&gt;=10,"Active","Inactive"),""),"")</f>
        <v/>
      </c>
    </row>
    <row r="495" ht="18" customHeight="1" s="341">
      <c r="A495" s="468">
        <f>IF(DB_Customers!A489&lt;&gt;"",486,"")</f>
        <v/>
      </c>
      <c r="B495" s="469">
        <f>IFERROR(IF(DB_Customers!A489&lt;&gt;"",DB_Customers!A489,""),"")</f>
        <v/>
      </c>
      <c r="C495" s="470">
        <f>IFERROR(IF(DB_Customers!D489&lt;&gt;"",DB_Customers!D489,""),"")</f>
        <v/>
      </c>
      <c r="D495" s="471">
        <f>IFERROR(IF(DB_Customers!Q489&lt;&gt;"",DB_Customers!Q489,""),"")</f>
        <v/>
      </c>
      <c r="E495" s="470">
        <f>IFERROR(IF(DB_Customers!R489&lt;&gt;"",DB_Customers!R489,""),"")</f>
        <v/>
      </c>
      <c r="F495" s="470">
        <f>IFERROR(IF(DB_Customers!S489&lt;&gt;"",DB_Customers!S489,""),"")</f>
        <v/>
      </c>
      <c r="G495" s="470">
        <f>IFERROR(IF(DB_Customers!G489&lt;&gt;"",DB_Customers!G489,""),"")</f>
        <v/>
      </c>
      <c r="H495" s="472">
        <f>IFERROR(IF(DB_Customers!H489&lt;&gt;"",DB_Customers!H489,""),"")</f>
        <v/>
      </c>
      <c r="I495" s="473">
        <f>IFERROR(IF(DB_Customers!I489&lt;&gt;"",DB_Customers!I489,""),"")</f>
        <v/>
      </c>
      <c r="J495" s="471">
        <f>IFERROR(IF(DB_Customers!J489&lt;&gt;"",DB_Customers!J489,""),"")</f>
        <v/>
      </c>
      <c r="K495" s="470">
        <f>IFERROR(IF(DB_Customers!E489&lt;&gt;"",DB_Customers!E489,""),"")</f>
        <v/>
      </c>
      <c r="L495" s="470">
        <f>IFERROR(IF(DB_Customers!F489&lt;&gt;"",DB_Customers!F489,""),"")</f>
        <v/>
      </c>
      <c r="M495" s="470">
        <f>IFERROR(IF(DB_Customers!T489&lt;&gt;"",DB_Customers!T489,""),"")</f>
        <v/>
      </c>
      <c r="N495" s="474">
        <f>IFERROR(IF(DB_Customers!A489&lt;&gt;"",IF(DB_Customers!I489&gt;=10,"Active","Inactive"),""),"")</f>
        <v/>
      </c>
    </row>
    <row r="496" ht="18" customHeight="1" s="341">
      <c r="A496" s="461">
        <f>IF(DB_Customers!A490&lt;&gt;"",487,"")</f>
        <v/>
      </c>
      <c r="B496" s="462">
        <f>IFERROR(IF(DB_Customers!A490&lt;&gt;"",DB_Customers!A490,""),"")</f>
        <v/>
      </c>
      <c r="C496" s="463">
        <f>IFERROR(IF(DB_Customers!D490&lt;&gt;"",DB_Customers!D490,""),"")</f>
        <v/>
      </c>
      <c r="D496" s="464">
        <f>IFERROR(IF(DB_Customers!Q490&lt;&gt;"",DB_Customers!Q490,""),"")</f>
        <v/>
      </c>
      <c r="E496" s="463">
        <f>IFERROR(IF(DB_Customers!R490&lt;&gt;"",DB_Customers!R490,""),"")</f>
        <v/>
      </c>
      <c r="F496" s="463">
        <f>IFERROR(IF(DB_Customers!S490&lt;&gt;"",DB_Customers!S490,""),"")</f>
        <v/>
      </c>
      <c r="G496" s="463">
        <f>IFERROR(IF(DB_Customers!G490&lt;&gt;"",DB_Customers!G490,""),"")</f>
        <v/>
      </c>
      <c r="H496" s="465">
        <f>IFERROR(IF(DB_Customers!H490&lt;&gt;"",DB_Customers!H490,""),"")</f>
        <v/>
      </c>
      <c r="I496" s="466">
        <f>IFERROR(IF(DB_Customers!I490&lt;&gt;"",DB_Customers!I490,""),"")</f>
        <v/>
      </c>
      <c r="J496" s="464">
        <f>IFERROR(IF(DB_Customers!J490&lt;&gt;"",DB_Customers!J490,""),"")</f>
        <v/>
      </c>
      <c r="K496" s="463">
        <f>IFERROR(IF(DB_Customers!E490&lt;&gt;"",DB_Customers!E490,""),"")</f>
        <v/>
      </c>
      <c r="L496" s="463">
        <f>IFERROR(IF(DB_Customers!F490&lt;&gt;"",DB_Customers!F490,""),"")</f>
        <v/>
      </c>
      <c r="M496" s="463">
        <f>IFERROR(IF(DB_Customers!T490&lt;&gt;"",DB_Customers!T490,""),"")</f>
        <v/>
      </c>
      <c r="N496" s="467">
        <f>IFERROR(IF(DB_Customers!A490&lt;&gt;"",IF(DB_Customers!I490&gt;=10,"Active","Inactive"),""),"")</f>
        <v/>
      </c>
    </row>
    <row r="497" ht="18" customHeight="1" s="341">
      <c r="A497" s="468">
        <f>IF(DB_Customers!A491&lt;&gt;"",488,"")</f>
        <v/>
      </c>
      <c r="B497" s="469">
        <f>IFERROR(IF(DB_Customers!A491&lt;&gt;"",DB_Customers!A491,""),"")</f>
        <v/>
      </c>
      <c r="C497" s="470">
        <f>IFERROR(IF(DB_Customers!D491&lt;&gt;"",DB_Customers!D491,""),"")</f>
        <v/>
      </c>
      <c r="D497" s="471">
        <f>IFERROR(IF(DB_Customers!Q491&lt;&gt;"",DB_Customers!Q491,""),"")</f>
        <v/>
      </c>
      <c r="E497" s="470">
        <f>IFERROR(IF(DB_Customers!R491&lt;&gt;"",DB_Customers!R491,""),"")</f>
        <v/>
      </c>
      <c r="F497" s="470">
        <f>IFERROR(IF(DB_Customers!S491&lt;&gt;"",DB_Customers!S491,""),"")</f>
        <v/>
      </c>
      <c r="G497" s="470">
        <f>IFERROR(IF(DB_Customers!G491&lt;&gt;"",DB_Customers!G491,""),"")</f>
        <v/>
      </c>
      <c r="H497" s="472">
        <f>IFERROR(IF(DB_Customers!H491&lt;&gt;"",DB_Customers!H491,""),"")</f>
        <v/>
      </c>
      <c r="I497" s="473">
        <f>IFERROR(IF(DB_Customers!I491&lt;&gt;"",DB_Customers!I491,""),"")</f>
        <v/>
      </c>
      <c r="J497" s="471">
        <f>IFERROR(IF(DB_Customers!J491&lt;&gt;"",DB_Customers!J491,""),"")</f>
        <v/>
      </c>
      <c r="K497" s="470">
        <f>IFERROR(IF(DB_Customers!E491&lt;&gt;"",DB_Customers!E491,""),"")</f>
        <v/>
      </c>
      <c r="L497" s="470">
        <f>IFERROR(IF(DB_Customers!F491&lt;&gt;"",DB_Customers!F491,""),"")</f>
        <v/>
      </c>
      <c r="M497" s="470">
        <f>IFERROR(IF(DB_Customers!T491&lt;&gt;"",DB_Customers!T491,""),"")</f>
        <v/>
      </c>
      <c r="N497" s="474">
        <f>IFERROR(IF(DB_Customers!A491&lt;&gt;"",IF(DB_Customers!I491&gt;=10,"Active","Inactive"),""),"")</f>
        <v/>
      </c>
    </row>
    <row r="498" ht="18" customHeight="1" s="341">
      <c r="A498" s="461">
        <f>IF(DB_Customers!A492&lt;&gt;"",489,"")</f>
        <v/>
      </c>
      <c r="B498" s="462">
        <f>IFERROR(IF(DB_Customers!A492&lt;&gt;"",DB_Customers!A492,""),"")</f>
        <v/>
      </c>
      <c r="C498" s="463">
        <f>IFERROR(IF(DB_Customers!D492&lt;&gt;"",DB_Customers!D492,""),"")</f>
        <v/>
      </c>
      <c r="D498" s="464">
        <f>IFERROR(IF(DB_Customers!Q492&lt;&gt;"",DB_Customers!Q492,""),"")</f>
        <v/>
      </c>
      <c r="E498" s="463">
        <f>IFERROR(IF(DB_Customers!R492&lt;&gt;"",DB_Customers!R492,""),"")</f>
        <v/>
      </c>
      <c r="F498" s="463">
        <f>IFERROR(IF(DB_Customers!S492&lt;&gt;"",DB_Customers!S492,""),"")</f>
        <v/>
      </c>
      <c r="G498" s="463">
        <f>IFERROR(IF(DB_Customers!G492&lt;&gt;"",DB_Customers!G492,""),"")</f>
        <v/>
      </c>
      <c r="H498" s="465">
        <f>IFERROR(IF(DB_Customers!H492&lt;&gt;"",DB_Customers!H492,""),"")</f>
        <v/>
      </c>
      <c r="I498" s="466">
        <f>IFERROR(IF(DB_Customers!I492&lt;&gt;"",DB_Customers!I492,""),"")</f>
        <v/>
      </c>
      <c r="J498" s="464">
        <f>IFERROR(IF(DB_Customers!J492&lt;&gt;"",DB_Customers!J492,""),"")</f>
        <v/>
      </c>
      <c r="K498" s="463">
        <f>IFERROR(IF(DB_Customers!E492&lt;&gt;"",DB_Customers!E492,""),"")</f>
        <v/>
      </c>
      <c r="L498" s="463">
        <f>IFERROR(IF(DB_Customers!F492&lt;&gt;"",DB_Customers!F492,""),"")</f>
        <v/>
      </c>
      <c r="M498" s="463">
        <f>IFERROR(IF(DB_Customers!T492&lt;&gt;"",DB_Customers!T492,""),"")</f>
        <v/>
      </c>
      <c r="N498" s="467">
        <f>IFERROR(IF(DB_Customers!A492&lt;&gt;"",IF(DB_Customers!I492&gt;=10,"Active","Inactive"),""),"")</f>
        <v/>
      </c>
    </row>
    <row r="499" ht="18" customHeight="1" s="341">
      <c r="A499" s="468">
        <f>IF(DB_Customers!A493&lt;&gt;"",490,"")</f>
        <v/>
      </c>
      <c r="B499" s="469">
        <f>IFERROR(IF(DB_Customers!A493&lt;&gt;"",DB_Customers!A493,""),"")</f>
        <v/>
      </c>
      <c r="C499" s="470">
        <f>IFERROR(IF(DB_Customers!D493&lt;&gt;"",DB_Customers!D493,""),"")</f>
        <v/>
      </c>
      <c r="D499" s="471">
        <f>IFERROR(IF(DB_Customers!Q493&lt;&gt;"",DB_Customers!Q493,""),"")</f>
        <v/>
      </c>
      <c r="E499" s="470">
        <f>IFERROR(IF(DB_Customers!R493&lt;&gt;"",DB_Customers!R493,""),"")</f>
        <v/>
      </c>
      <c r="F499" s="470">
        <f>IFERROR(IF(DB_Customers!S493&lt;&gt;"",DB_Customers!S493,""),"")</f>
        <v/>
      </c>
      <c r="G499" s="470">
        <f>IFERROR(IF(DB_Customers!G493&lt;&gt;"",DB_Customers!G493,""),"")</f>
        <v/>
      </c>
      <c r="H499" s="472">
        <f>IFERROR(IF(DB_Customers!H493&lt;&gt;"",DB_Customers!H493,""),"")</f>
        <v/>
      </c>
      <c r="I499" s="473">
        <f>IFERROR(IF(DB_Customers!I493&lt;&gt;"",DB_Customers!I493,""),"")</f>
        <v/>
      </c>
      <c r="J499" s="471">
        <f>IFERROR(IF(DB_Customers!J493&lt;&gt;"",DB_Customers!J493,""),"")</f>
        <v/>
      </c>
      <c r="K499" s="470">
        <f>IFERROR(IF(DB_Customers!E493&lt;&gt;"",DB_Customers!E493,""),"")</f>
        <v/>
      </c>
      <c r="L499" s="470">
        <f>IFERROR(IF(DB_Customers!F493&lt;&gt;"",DB_Customers!F493,""),"")</f>
        <v/>
      </c>
      <c r="M499" s="470">
        <f>IFERROR(IF(DB_Customers!T493&lt;&gt;"",DB_Customers!T493,""),"")</f>
        <v/>
      </c>
      <c r="N499" s="474">
        <f>IFERROR(IF(DB_Customers!A493&lt;&gt;"",IF(DB_Customers!I493&gt;=10,"Active","Inactive"),""),"")</f>
        <v/>
      </c>
    </row>
    <row r="500" ht="18" customHeight="1" s="341">
      <c r="A500" s="461">
        <f>IF(DB_Customers!A494&lt;&gt;"",491,"")</f>
        <v/>
      </c>
      <c r="B500" s="462">
        <f>IFERROR(IF(DB_Customers!A494&lt;&gt;"",DB_Customers!A494,""),"")</f>
        <v/>
      </c>
      <c r="C500" s="463">
        <f>IFERROR(IF(DB_Customers!D494&lt;&gt;"",DB_Customers!D494,""),"")</f>
        <v/>
      </c>
      <c r="D500" s="464">
        <f>IFERROR(IF(DB_Customers!Q494&lt;&gt;"",DB_Customers!Q494,""),"")</f>
        <v/>
      </c>
      <c r="E500" s="463">
        <f>IFERROR(IF(DB_Customers!R494&lt;&gt;"",DB_Customers!R494,""),"")</f>
        <v/>
      </c>
      <c r="F500" s="463">
        <f>IFERROR(IF(DB_Customers!S494&lt;&gt;"",DB_Customers!S494,""),"")</f>
        <v/>
      </c>
      <c r="G500" s="463">
        <f>IFERROR(IF(DB_Customers!G494&lt;&gt;"",DB_Customers!G494,""),"")</f>
        <v/>
      </c>
      <c r="H500" s="465">
        <f>IFERROR(IF(DB_Customers!H494&lt;&gt;"",DB_Customers!H494,""),"")</f>
        <v/>
      </c>
      <c r="I500" s="466">
        <f>IFERROR(IF(DB_Customers!I494&lt;&gt;"",DB_Customers!I494,""),"")</f>
        <v/>
      </c>
      <c r="J500" s="464">
        <f>IFERROR(IF(DB_Customers!J494&lt;&gt;"",DB_Customers!J494,""),"")</f>
        <v/>
      </c>
      <c r="K500" s="463">
        <f>IFERROR(IF(DB_Customers!E494&lt;&gt;"",DB_Customers!E494,""),"")</f>
        <v/>
      </c>
      <c r="L500" s="463">
        <f>IFERROR(IF(DB_Customers!F494&lt;&gt;"",DB_Customers!F494,""),"")</f>
        <v/>
      </c>
      <c r="M500" s="463">
        <f>IFERROR(IF(DB_Customers!T494&lt;&gt;"",DB_Customers!T494,""),"")</f>
        <v/>
      </c>
      <c r="N500" s="467">
        <f>IFERROR(IF(DB_Customers!A494&lt;&gt;"",IF(DB_Customers!I494&gt;=10,"Active","Inactive"),""),"")</f>
        <v/>
      </c>
    </row>
    <row r="501" ht="18" customHeight="1" s="341">
      <c r="A501" s="468">
        <f>IF(DB_Customers!A495&lt;&gt;"",492,"")</f>
        <v/>
      </c>
      <c r="B501" s="469">
        <f>IFERROR(IF(DB_Customers!A495&lt;&gt;"",DB_Customers!A495,""),"")</f>
        <v/>
      </c>
      <c r="C501" s="470">
        <f>IFERROR(IF(DB_Customers!D495&lt;&gt;"",DB_Customers!D495,""),"")</f>
        <v/>
      </c>
      <c r="D501" s="471">
        <f>IFERROR(IF(DB_Customers!Q495&lt;&gt;"",DB_Customers!Q495,""),"")</f>
        <v/>
      </c>
      <c r="E501" s="470">
        <f>IFERROR(IF(DB_Customers!R495&lt;&gt;"",DB_Customers!R495,""),"")</f>
        <v/>
      </c>
      <c r="F501" s="470">
        <f>IFERROR(IF(DB_Customers!S495&lt;&gt;"",DB_Customers!S495,""),"")</f>
        <v/>
      </c>
      <c r="G501" s="470">
        <f>IFERROR(IF(DB_Customers!G495&lt;&gt;"",DB_Customers!G495,""),"")</f>
        <v/>
      </c>
      <c r="H501" s="472">
        <f>IFERROR(IF(DB_Customers!H495&lt;&gt;"",DB_Customers!H495,""),"")</f>
        <v/>
      </c>
      <c r="I501" s="473">
        <f>IFERROR(IF(DB_Customers!I495&lt;&gt;"",DB_Customers!I495,""),"")</f>
        <v/>
      </c>
      <c r="J501" s="471">
        <f>IFERROR(IF(DB_Customers!J495&lt;&gt;"",DB_Customers!J495,""),"")</f>
        <v/>
      </c>
      <c r="K501" s="470">
        <f>IFERROR(IF(DB_Customers!E495&lt;&gt;"",DB_Customers!E495,""),"")</f>
        <v/>
      </c>
      <c r="L501" s="470">
        <f>IFERROR(IF(DB_Customers!F495&lt;&gt;"",DB_Customers!F495,""),"")</f>
        <v/>
      </c>
      <c r="M501" s="470">
        <f>IFERROR(IF(DB_Customers!T495&lt;&gt;"",DB_Customers!T495,""),"")</f>
        <v/>
      </c>
      <c r="N501" s="474">
        <f>IFERROR(IF(DB_Customers!A495&lt;&gt;"",IF(DB_Customers!I495&gt;=10,"Active","Inactive"),""),"")</f>
        <v/>
      </c>
    </row>
    <row r="502" ht="18" customHeight="1" s="341">
      <c r="A502" s="461">
        <f>IF(DB_Customers!A496&lt;&gt;"",493,"")</f>
        <v/>
      </c>
      <c r="B502" s="462">
        <f>IFERROR(IF(DB_Customers!A496&lt;&gt;"",DB_Customers!A496,""),"")</f>
        <v/>
      </c>
      <c r="C502" s="463">
        <f>IFERROR(IF(DB_Customers!D496&lt;&gt;"",DB_Customers!D496,""),"")</f>
        <v/>
      </c>
      <c r="D502" s="464">
        <f>IFERROR(IF(DB_Customers!Q496&lt;&gt;"",DB_Customers!Q496,""),"")</f>
        <v/>
      </c>
      <c r="E502" s="463">
        <f>IFERROR(IF(DB_Customers!R496&lt;&gt;"",DB_Customers!R496,""),"")</f>
        <v/>
      </c>
      <c r="F502" s="463">
        <f>IFERROR(IF(DB_Customers!S496&lt;&gt;"",DB_Customers!S496,""),"")</f>
        <v/>
      </c>
      <c r="G502" s="463">
        <f>IFERROR(IF(DB_Customers!G496&lt;&gt;"",DB_Customers!G496,""),"")</f>
        <v/>
      </c>
      <c r="H502" s="465">
        <f>IFERROR(IF(DB_Customers!H496&lt;&gt;"",DB_Customers!H496,""),"")</f>
        <v/>
      </c>
      <c r="I502" s="466">
        <f>IFERROR(IF(DB_Customers!I496&lt;&gt;"",DB_Customers!I496,""),"")</f>
        <v/>
      </c>
      <c r="J502" s="464">
        <f>IFERROR(IF(DB_Customers!J496&lt;&gt;"",DB_Customers!J496,""),"")</f>
        <v/>
      </c>
      <c r="K502" s="463">
        <f>IFERROR(IF(DB_Customers!E496&lt;&gt;"",DB_Customers!E496,""),"")</f>
        <v/>
      </c>
      <c r="L502" s="463">
        <f>IFERROR(IF(DB_Customers!F496&lt;&gt;"",DB_Customers!F496,""),"")</f>
        <v/>
      </c>
      <c r="M502" s="463">
        <f>IFERROR(IF(DB_Customers!T496&lt;&gt;"",DB_Customers!T496,""),"")</f>
        <v/>
      </c>
      <c r="N502" s="467">
        <f>IFERROR(IF(DB_Customers!A496&lt;&gt;"",IF(DB_Customers!I496&gt;=10,"Active","Inactive"),""),"")</f>
        <v/>
      </c>
    </row>
    <row r="503" ht="18" customHeight="1" s="341">
      <c r="A503" s="468">
        <f>IF(DB_Customers!A497&lt;&gt;"",494,"")</f>
        <v/>
      </c>
      <c r="B503" s="469">
        <f>IFERROR(IF(DB_Customers!A497&lt;&gt;"",DB_Customers!A497,""),"")</f>
        <v/>
      </c>
      <c r="C503" s="470">
        <f>IFERROR(IF(DB_Customers!D497&lt;&gt;"",DB_Customers!D497,""),"")</f>
        <v/>
      </c>
      <c r="D503" s="471">
        <f>IFERROR(IF(DB_Customers!Q497&lt;&gt;"",DB_Customers!Q497,""),"")</f>
        <v/>
      </c>
      <c r="E503" s="470">
        <f>IFERROR(IF(DB_Customers!R497&lt;&gt;"",DB_Customers!R497,""),"")</f>
        <v/>
      </c>
      <c r="F503" s="470">
        <f>IFERROR(IF(DB_Customers!S497&lt;&gt;"",DB_Customers!S497,""),"")</f>
        <v/>
      </c>
      <c r="G503" s="470">
        <f>IFERROR(IF(DB_Customers!G497&lt;&gt;"",DB_Customers!G497,""),"")</f>
        <v/>
      </c>
      <c r="H503" s="472">
        <f>IFERROR(IF(DB_Customers!H497&lt;&gt;"",DB_Customers!H497,""),"")</f>
        <v/>
      </c>
      <c r="I503" s="473">
        <f>IFERROR(IF(DB_Customers!I497&lt;&gt;"",DB_Customers!I497,""),"")</f>
        <v/>
      </c>
      <c r="J503" s="471">
        <f>IFERROR(IF(DB_Customers!J497&lt;&gt;"",DB_Customers!J497,""),"")</f>
        <v/>
      </c>
      <c r="K503" s="470">
        <f>IFERROR(IF(DB_Customers!E497&lt;&gt;"",DB_Customers!E497,""),"")</f>
        <v/>
      </c>
      <c r="L503" s="470">
        <f>IFERROR(IF(DB_Customers!F497&lt;&gt;"",DB_Customers!F497,""),"")</f>
        <v/>
      </c>
      <c r="M503" s="470">
        <f>IFERROR(IF(DB_Customers!T497&lt;&gt;"",DB_Customers!T497,""),"")</f>
        <v/>
      </c>
      <c r="N503" s="474">
        <f>IFERROR(IF(DB_Customers!A497&lt;&gt;"",IF(DB_Customers!I497&gt;=10,"Active","Inactive"),""),"")</f>
        <v/>
      </c>
    </row>
    <row r="504" ht="18" customHeight="1" s="341">
      <c r="A504" s="461">
        <f>IF(DB_Customers!A498&lt;&gt;"",495,"")</f>
        <v/>
      </c>
      <c r="B504" s="462">
        <f>IFERROR(IF(DB_Customers!A498&lt;&gt;"",DB_Customers!A498,""),"")</f>
        <v/>
      </c>
      <c r="C504" s="463">
        <f>IFERROR(IF(DB_Customers!D498&lt;&gt;"",DB_Customers!D498,""),"")</f>
        <v/>
      </c>
      <c r="D504" s="464">
        <f>IFERROR(IF(DB_Customers!Q498&lt;&gt;"",DB_Customers!Q498,""),"")</f>
        <v/>
      </c>
      <c r="E504" s="463">
        <f>IFERROR(IF(DB_Customers!R498&lt;&gt;"",DB_Customers!R498,""),"")</f>
        <v/>
      </c>
      <c r="F504" s="463">
        <f>IFERROR(IF(DB_Customers!S498&lt;&gt;"",DB_Customers!S498,""),"")</f>
        <v/>
      </c>
      <c r="G504" s="463">
        <f>IFERROR(IF(DB_Customers!G498&lt;&gt;"",DB_Customers!G498,""),"")</f>
        <v/>
      </c>
      <c r="H504" s="465">
        <f>IFERROR(IF(DB_Customers!H498&lt;&gt;"",DB_Customers!H498,""),"")</f>
        <v/>
      </c>
      <c r="I504" s="466">
        <f>IFERROR(IF(DB_Customers!I498&lt;&gt;"",DB_Customers!I498,""),"")</f>
        <v/>
      </c>
      <c r="J504" s="464">
        <f>IFERROR(IF(DB_Customers!J498&lt;&gt;"",DB_Customers!J498,""),"")</f>
        <v/>
      </c>
      <c r="K504" s="463">
        <f>IFERROR(IF(DB_Customers!E498&lt;&gt;"",DB_Customers!E498,""),"")</f>
        <v/>
      </c>
      <c r="L504" s="463">
        <f>IFERROR(IF(DB_Customers!F498&lt;&gt;"",DB_Customers!F498,""),"")</f>
        <v/>
      </c>
      <c r="M504" s="463">
        <f>IFERROR(IF(DB_Customers!T498&lt;&gt;"",DB_Customers!T498,""),"")</f>
        <v/>
      </c>
      <c r="N504" s="467">
        <f>IFERROR(IF(DB_Customers!A498&lt;&gt;"",IF(DB_Customers!I498&gt;=10,"Active","Inactive"),""),"")</f>
        <v/>
      </c>
    </row>
    <row r="505" ht="18" customHeight="1" s="341">
      <c r="A505" s="468">
        <f>IF(DB_Customers!A499&lt;&gt;"",496,"")</f>
        <v/>
      </c>
      <c r="B505" s="469">
        <f>IFERROR(IF(DB_Customers!A499&lt;&gt;"",DB_Customers!A499,""),"")</f>
        <v/>
      </c>
      <c r="C505" s="470">
        <f>IFERROR(IF(DB_Customers!D499&lt;&gt;"",DB_Customers!D499,""),"")</f>
        <v/>
      </c>
      <c r="D505" s="471">
        <f>IFERROR(IF(DB_Customers!Q499&lt;&gt;"",DB_Customers!Q499,""),"")</f>
        <v/>
      </c>
      <c r="E505" s="470">
        <f>IFERROR(IF(DB_Customers!R499&lt;&gt;"",DB_Customers!R499,""),"")</f>
        <v/>
      </c>
      <c r="F505" s="470">
        <f>IFERROR(IF(DB_Customers!S499&lt;&gt;"",DB_Customers!S499,""),"")</f>
        <v/>
      </c>
      <c r="G505" s="470">
        <f>IFERROR(IF(DB_Customers!G499&lt;&gt;"",DB_Customers!G499,""),"")</f>
        <v/>
      </c>
      <c r="H505" s="472">
        <f>IFERROR(IF(DB_Customers!H499&lt;&gt;"",DB_Customers!H499,""),"")</f>
        <v/>
      </c>
      <c r="I505" s="473">
        <f>IFERROR(IF(DB_Customers!I499&lt;&gt;"",DB_Customers!I499,""),"")</f>
        <v/>
      </c>
      <c r="J505" s="471">
        <f>IFERROR(IF(DB_Customers!J499&lt;&gt;"",DB_Customers!J499,""),"")</f>
        <v/>
      </c>
      <c r="K505" s="470">
        <f>IFERROR(IF(DB_Customers!E499&lt;&gt;"",DB_Customers!E499,""),"")</f>
        <v/>
      </c>
      <c r="L505" s="470">
        <f>IFERROR(IF(DB_Customers!F499&lt;&gt;"",DB_Customers!F499,""),"")</f>
        <v/>
      </c>
      <c r="M505" s="470">
        <f>IFERROR(IF(DB_Customers!T499&lt;&gt;"",DB_Customers!T499,""),"")</f>
        <v/>
      </c>
      <c r="N505" s="474">
        <f>IFERROR(IF(DB_Customers!A499&lt;&gt;"",IF(DB_Customers!I499&gt;=10,"Active","Inactive"),""),"")</f>
        <v/>
      </c>
    </row>
    <row r="506" ht="18" customHeight="1" s="341">
      <c r="A506" s="461">
        <f>IF(DB_Customers!A500&lt;&gt;"",497,"")</f>
        <v/>
      </c>
      <c r="B506" s="462">
        <f>IFERROR(IF(DB_Customers!A500&lt;&gt;"",DB_Customers!A500,""),"")</f>
        <v/>
      </c>
      <c r="C506" s="463">
        <f>IFERROR(IF(DB_Customers!D500&lt;&gt;"",DB_Customers!D500,""),"")</f>
        <v/>
      </c>
      <c r="D506" s="464">
        <f>IFERROR(IF(DB_Customers!Q500&lt;&gt;"",DB_Customers!Q500,""),"")</f>
        <v/>
      </c>
      <c r="E506" s="463">
        <f>IFERROR(IF(DB_Customers!R500&lt;&gt;"",DB_Customers!R500,""),"")</f>
        <v/>
      </c>
      <c r="F506" s="463">
        <f>IFERROR(IF(DB_Customers!S500&lt;&gt;"",DB_Customers!S500,""),"")</f>
        <v/>
      </c>
      <c r="G506" s="463">
        <f>IFERROR(IF(DB_Customers!G500&lt;&gt;"",DB_Customers!G500,""),"")</f>
        <v/>
      </c>
      <c r="H506" s="465">
        <f>IFERROR(IF(DB_Customers!H500&lt;&gt;"",DB_Customers!H500,""),"")</f>
        <v/>
      </c>
      <c r="I506" s="466">
        <f>IFERROR(IF(DB_Customers!I500&lt;&gt;"",DB_Customers!I500,""),"")</f>
        <v/>
      </c>
      <c r="J506" s="464">
        <f>IFERROR(IF(DB_Customers!J500&lt;&gt;"",DB_Customers!J500,""),"")</f>
        <v/>
      </c>
      <c r="K506" s="463">
        <f>IFERROR(IF(DB_Customers!E500&lt;&gt;"",DB_Customers!E500,""),"")</f>
        <v/>
      </c>
      <c r="L506" s="463">
        <f>IFERROR(IF(DB_Customers!F500&lt;&gt;"",DB_Customers!F500,""),"")</f>
        <v/>
      </c>
      <c r="M506" s="463">
        <f>IFERROR(IF(DB_Customers!T500&lt;&gt;"",DB_Customers!T500,""),"")</f>
        <v/>
      </c>
      <c r="N506" s="467">
        <f>IFERROR(IF(DB_Customers!A500&lt;&gt;"",IF(DB_Customers!I500&gt;=10,"Active","Inactive"),""),"")</f>
        <v/>
      </c>
    </row>
    <row r="507" ht="18" customHeight="1" s="341">
      <c r="A507" s="468">
        <f>IF(DB_Customers!A501&lt;&gt;"",498,"")</f>
        <v/>
      </c>
      <c r="B507" s="469">
        <f>IFERROR(IF(DB_Customers!A501&lt;&gt;"",DB_Customers!A501,""),"")</f>
        <v/>
      </c>
      <c r="C507" s="470">
        <f>IFERROR(IF(DB_Customers!D501&lt;&gt;"",DB_Customers!D501,""),"")</f>
        <v/>
      </c>
      <c r="D507" s="471">
        <f>IFERROR(IF(DB_Customers!Q501&lt;&gt;"",DB_Customers!Q501,""),"")</f>
        <v/>
      </c>
      <c r="E507" s="470">
        <f>IFERROR(IF(DB_Customers!R501&lt;&gt;"",DB_Customers!R501,""),"")</f>
        <v/>
      </c>
      <c r="F507" s="470">
        <f>IFERROR(IF(DB_Customers!S501&lt;&gt;"",DB_Customers!S501,""),"")</f>
        <v/>
      </c>
      <c r="G507" s="470">
        <f>IFERROR(IF(DB_Customers!G501&lt;&gt;"",DB_Customers!G501,""),"")</f>
        <v/>
      </c>
      <c r="H507" s="472">
        <f>IFERROR(IF(DB_Customers!H501&lt;&gt;"",DB_Customers!H501,""),"")</f>
        <v/>
      </c>
      <c r="I507" s="473">
        <f>IFERROR(IF(DB_Customers!I501&lt;&gt;"",DB_Customers!I501,""),"")</f>
        <v/>
      </c>
      <c r="J507" s="471">
        <f>IFERROR(IF(DB_Customers!J501&lt;&gt;"",DB_Customers!J501,""),"")</f>
        <v/>
      </c>
      <c r="K507" s="470">
        <f>IFERROR(IF(DB_Customers!E501&lt;&gt;"",DB_Customers!E501,""),"")</f>
        <v/>
      </c>
      <c r="L507" s="470">
        <f>IFERROR(IF(DB_Customers!F501&lt;&gt;"",DB_Customers!F501,""),"")</f>
        <v/>
      </c>
      <c r="M507" s="470">
        <f>IFERROR(IF(DB_Customers!T501&lt;&gt;"",DB_Customers!T501,""),"")</f>
        <v/>
      </c>
      <c r="N507" s="474">
        <f>IFERROR(IF(DB_Customers!A501&lt;&gt;"",IF(DB_Customers!I501&gt;=10,"Active","Inactive"),""),"")</f>
        <v/>
      </c>
    </row>
    <row r="508" ht="18" customHeight="1" s="341">
      <c r="A508" s="461">
        <f>IF(DB_Customers!A502&lt;&gt;"",499,"")</f>
        <v/>
      </c>
      <c r="B508" s="462">
        <f>IFERROR(IF(DB_Customers!A502&lt;&gt;"",DB_Customers!A502,""),"")</f>
        <v/>
      </c>
      <c r="C508" s="463">
        <f>IFERROR(IF(DB_Customers!D502&lt;&gt;"",DB_Customers!D502,""),"")</f>
        <v/>
      </c>
      <c r="D508" s="464">
        <f>IFERROR(IF(DB_Customers!Q502&lt;&gt;"",DB_Customers!Q502,""),"")</f>
        <v/>
      </c>
      <c r="E508" s="463">
        <f>IFERROR(IF(DB_Customers!R502&lt;&gt;"",DB_Customers!R502,""),"")</f>
        <v/>
      </c>
      <c r="F508" s="463">
        <f>IFERROR(IF(DB_Customers!S502&lt;&gt;"",DB_Customers!S502,""),"")</f>
        <v/>
      </c>
      <c r="G508" s="463">
        <f>IFERROR(IF(DB_Customers!G502&lt;&gt;"",DB_Customers!G502,""),"")</f>
        <v/>
      </c>
      <c r="H508" s="465">
        <f>IFERROR(IF(DB_Customers!H502&lt;&gt;"",DB_Customers!H502,""),"")</f>
        <v/>
      </c>
      <c r="I508" s="466">
        <f>IFERROR(IF(DB_Customers!I502&lt;&gt;"",DB_Customers!I502,""),"")</f>
        <v/>
      </c>
      <c r="J508" s="464">
        <f>IFERROR(IF(DB_Customers!J502&lt;&gt;"",DB_Customers!J502,""),"")</f>
        <v/>
      </c>
      <c r="K508" s="463">
        <f>IFERROR(IF(DB_Customers!E502&lt;&gt;"",DB_Customers!E502,""),"")</f>
        <v/>
      </c>
      <c r="L508" s="463">
        <f>IFERROR(IF(DB_Customers!F502&lt;&gt;"",DB_Customers!F502,""),"")</f>
        <v/>
      </c>
      <c r="M508" s="463">
        <f>IFERROR(IF(DB_Customers!T502&lt;&gt;"",DB_Customers!T502,""),"")</f>
        <v/>
      </c>
      <c r="N508" s="467">
        <f>IFERROR(IF(DB_Customers!A502&lt;&gt;"",IF(DB_Customers!I502&gt;=10,"Active","Inactive"),""),"")</f>
        <v/>
      </c>
    </row>
    <row r="510" ht="25.5" customHeight="1" s="341">
      <c r="A510" s="475" t="inlineStr">
        <is>
          <t>TOTAL ACCOUNTS:</t>
        </is>
      </c>
      <c r="C510" s="476">
        <f>COUNTA(B9:B508)</f>
        <v/>
      </c>
      <c r="D510" s="436" t="n"/>
      <c r="E510" s="436" t="n"/>
      <c r="F510" s="436" t="n"/>
      <c r="G510" s="436" t="n"/>
      <c r="H510" s="436" t="n"/>
      <c r="I510" s="436" t="n"/>
      <c r="J510" s="436" t="n"/>
      <c r="K510" s="436" t="n"/>
      <c r="L510" s="436" t="n"/>
      <c r="M510" s="436" t="n"/>
      <c r="N510" s="436" t="n"/>
    </row>
    <row r="512" ht="24" customHeight="1" s="341">
      <c r="A512" s="477" t="inlineStr">
        <is>
          <t>📋  HOW THIS DATABASE WORKS</t>
        </is>
      </c>
    </row>
    <row r="513" ht="15.75" customHeight="1" s="341">
      <c r="A513" s="478" t="inlineStr">
        <is>
          <t>1. Complete all required fields in the Account Opening form.</t>
        </is>
      </c>
    </row>
    <row r="514" ht="15.75" customHeight="1" s="341">
      <c r="A514" s="478" t="inlineStr">
        <is>
          <t>2. Press CTRL+S (Save) — data automatically transfers here and form clears.</t>
        </is>
      </c>
    </row>
    <row r="515" ht="15.75" customHeight="1" s="341">
      <c r="A515" s="478" t="inlineStr">
        <is>
          <t>3. Account Number is auto-generated (First 3 letters + Year of Birth + Last 4 digits of Phone).</t>
        </is>
      </c>
    </row>
    <row r="516" ht="15.75" customHeight="1" s="341">
      <c r="A516" s="478" t="inlineStr">
        <is>
          <t>4. Use the search boxes above to find any customer by Account No., Name, or Date of Birth.</t>
        </is>
      </c>
    </row>
    <row r="517" ht="15.75" customHeight="1" s="341">
      <c r="A517" s="478" t="inlineStr">
        <is>
          <t>5. Status auto-calculates: 'Active' if opening balance ≥ GHC 10, 'Inactive' otherwise.</t>
        </is>
      </c>
    </row>
    <row r="518" ht="15.75" customHeight="1" s="341">
      <c r="A518" s="478" t="inlineStr">
        <is>
          <t>6. Each agent can only see their own customers (filtered by Assigned Agent column).</t>
        </is>
      </c>
    </row>
  </sheetData>
  <autoFilter ref="A8:N508"/>
  <mergeCells count="7">
    <mergeCell ref="A3:N3"/>
    <mergeCell ref="A6:N6"/>
    <mergeCell ref="A4:N4"/>
    <mergeCell ref="A2:N2"/>
    <mergeCell ref="G5:N5"/>
    <mergeCell ref="C5:F5"/>
    <mergeCell ref="A1:N1"/>
  </mergeCells>
  <conditionalFormatting sqref="A9:N508">
    <cfRule type="expression" rank="0" priority="2" equalAverage="0" aboveAverage="0" dxfId="9" text="" percent="0" bottom="0">
      <formula>AND($C$5&lt;&gt;"",ISNUMBER(SEARCH($C$5,$B9)))</formula>
    </cfRule>
    <cfRule type="expression" rank="0" priority="3" equalAverage="0" aboveAverage="0" dxfId="10" text="" percent="0" bottom="0">
      <formula>AND($C$5&lt;&gt;"",NOT(ISNUMBER(SEARCH($C$5,$B9))))</formula>
    </cfRule>
  </conditionalFormatting>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6.xml><?xml version="1.0" encoding="utf-8"?>
<worksheet xmlns="http://schemas.openxmlformats.org/spreadsheetml/2006/main">
  <sheetPr filterMode="0">
    <tabColor rgb="FF27AE60"/>
    <outlinePr summaryBelow="1" summaryRight="1"/>
    <pageSetUpPr fitToPage="0"/>
  </sheetPr>
  <dimension ref="A1:L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48" activePane="bottomLeft" state="frozen"/>
      <selection pane="topLeft" activeCell="A1" activeCellId="0" sqref="A1"/>
      <selection pane="bottomLeft" activeCell="F13" activeCellId="0" sqref="F13"/>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2" customWidth="1" style="340" min="7" max="7"/>
    <col width="14" customWidth="1" style="340" min="8" max="8"/>
    <col width="22" customWidth="1" style="340" min="9" max="10"/>
  </cols>
  <sheetData>
    <row r="1" ht="31.5" customHeight="1" s="341">
      <c r="A1" s="409" t="inlineStr">
        <is>
          <t>💰  SAMICIOUS MICROFINANCE — AGENT01 SAVINGS</t>
        </is>
      </c>
    </row>
    <row r="2" ht="19.5" customHeight="1" s="341">
      <c r="A2" s="479" t="inlineStr">
        <is>
          <t>Agent: Agent 01  |  Enter Account # → All fields auto-populate  |  Status auto-sets to "Saved"  |  🔑 Security: Enter your 4-digit Agent Code in each row</t>
        </is>
      </c>
    </row>
    <row r="3" ht="18" customHeight="1" s="341">
      <c r="A3" s="364" t="inlineStr">
        <is>
          <t>💰 Total Collected Today</t>
        </is>
      </c>
      <c r="D3" s="367" t="inlineStr">
        <is>
          <t>📊 Transactions Today</t>
        </is>
      </c>
      <c r="G3" s="439" t="inlineStr">
        <is>
          <t>📅 Date</t>
        </is>
      </c>
      <c r="J3" s="340" t="n"/>
    </row>
    <row r="4" ht="27.75" customHeight="1" s="341">
      <c r="A4" s="480" t="n">
        <v>4000</v>
      </c>
      <c r="D4" s="481">
        <f>COUNTIFS(DB_Savings!$G:$G,"Agent 01",DB_Savings!$E:$E,TODAY())</f>
        <v/>
      </c>
      <c r="G4" s="482">
        <f>TEXT(TODAY(),"DDDD, DD MMMM YYYY")</f>
        <v/>
      </c>
      <c r="J4" s="340" t="n"/>
    </row>
    <row r="5" ht="21.75" customHeight="1" s="341">
      <c r="A5" s="483">
        <f>IF(SUMIFS(DB_Savings!$F:$F,DB_Savings!$G:$G,"Agent 01",DB_Savings!$E:$E,TODAY())&gt;=J4,"✅ DAILY TARGET ACHIEVED! Well done Agent 01!","⏳ Collection in progress — Keep going! Remaining: GHC "&amp;TEXT(J4-SUMIFS(DB_Savings!$F:$F,DB_Savings!$G:$G,"Agent 01",DB_Savings!$E:$E,TODAY()),"#,##0.00"))</f>
        <v/>
      </c>
    </row>
    <row r="6" ht="7.5" customHeight="1" s="341"/>
    <row r="7" ht="19.5" customHeight="1" s="341">
      <c r="A7" s="484" t="inlineStr">
        <is>
          <t>📝  ENTRY FORM — Enter Account Number in column A. All other fields auto-populate. Enter Savings Amount in column E then Tab to complete. | Enter Agent Code in 🔑 column to authorize each transaction.</t>
        </is>
      </c>
    </row>
    <row r="8" ht="19.5" customHeight="1" s="341">
      <c r="A8" s="377" t="inlineStr">
        <is>
          <t>Account #</t>
        </is>
      </c>
      <c r="B8" s="377" t="inlineStr">
        <is>
          <t>Customer Name</t>
        </is>
      </c>
      <c r="C8" s="377" t="inlineStr">
        <is>
          <t>Current Balance</t>
        </is>
      </c>
      <c r="D8" s="377" t="inlineStr">
        <is>
          <t>Date</t>
        </is>
      </c>
      <c r="E8" s="377" t="inlineStr">
        <is>
          <t>Savings Amount</t>
        </is>
      </c>
      <c r="F8" s="377" t="inlineStr">
        <is>
          <t>New Balance</t>
        </is>
      </c>
      <c r="G8" s="377" t="inlineStr">
        <is>
          <t>Agent</t>
        </is>
      </c>
      <c r="H8" s="485" t="inlineStr">
        <is>
          <t>🔑 Agent Code</t>
        </is>
      </c>
      <c r="I8" s="377" t="inlineStr">
        <is>
          <t>Status</t>
        </is>
      </c>
      <c r="J8" s="377" t="inlineStr">
        <is>
          <t>Saved At</t>
        </is>
      </c>
      <c r="K8" s="377" t="inlineStr">
        <is>
          <t>Notes</t>
        </is>
      </c>
    </row>
    <row r="9" ht="15" customHeight="1" s="341">
      <c r="A9" s="486" t="n"/>
      <c r="B9" s="378">
        <f>IF(A9="","",IFERROR(VLOOKUP(A9,DB_Customers!$A:$D,4,0),"❌ Account Not Found"))</f>
        <v/>
      </c>
      <c r="C9" s="487">
        <f>IF(A9="","",IFERROR(VLOOKUP(A9,DB_Customers!$A:$N,14,0),""))</f>
        <v/>
      </c>
      <c r="D9" s="488">
        <f>IF(A9="","",TODAY())</f>
        <v/>
      </c>
      <c r="E9" s="489" t="n"/>
      <c r="F9" s="490">
        <f>IF(OR(A9="",E9=""),"",IF(C9="","",C9+E9))</f>
        <v/>
      </c>
      <c r="G9" s="380" t="inlineStr">
        <is>
          <t>Agent 01</t>
        </is>
      </c>
      <c r="H9" s="491" t="n"/>
      <c r="I9" s="492">
        <f>IF(A9="","Pending",IF(H9="","⚠️ Enter Code",IF(IFERROR(VLOOKUP(G9,DB_Agents!$B:$I,8,0),"")=H9,IF(AND(A9&lt;&gt;"",E9&lt;&gt;""),"Saved","Pending"),"🔒 BLOCKED — Wrong Code")))</f>
        <v/>
      </c>
      <c r="J9" s="493">
        <f>IF(I9="Saved",TEXT(TODAY(),"YYYY-MM-DD")&amp;" Auto","—")</f>
        <v/>
      </c>
      <c r="K9" s="494" t="n"/>
    </row>
    <row r="10" ht="15" customHeight="1" s="341">
      <c r="A10" s="495" t="n"/>
      <c r="B10" s="382">
        <f>IF(A10="","",IFERROR(VLOOKUP(A10,DB_Customers!$A:$D,4,0),"❌ Account Not Found"))</f>
        <v/>
      </c>
      <c r="C10" s="496">
        <f>IF(A10="","",IFERROR(VLOOKUP(A10,DB_Customers!$A:$N,14,0),""))</f>
        <v/>
      </c>
      <c r="D10" s="497">
        <f>IF(A10="","",TODAY())</f>
        <v/>
      </c>
      <c r="E10" s="489" t="n"/>
      <c r="F10" s="498">
        <f>IF(OR(A10="",E10=""),"",IF(C10="","",C10+E10))</f>
        <v/>
      </c>
      <c r="G10" s="384" t="inlineStr">
        <is>
          <t>Agent 01</t>
        </is>
      </c>
      <c r="H10" s="491" t="n"/>
      <c r="I10" s="499">
        <f>IF(A10="","Pending",IF(H10="","⚠️ Enter Code",IF(IFERROR(VLOOKUP(G10,DB_Agents!$B:$I,8,0),"")=H10,IF(AND(A10&lt;&gt;"",E10&lt;&gt;""),"Saved","Pending"),"🔒 BLOCKED — Wrong Code")))</f>
        <v/>
      </c>
      <c r="J10" s="500">
        <f>IF(I10="Saved",TEXT(TODAY(),"YYYY-MM-DD")&amp;" Auto","—")</f>
        <v/>
      </c>
      <c r="K10" s="501" t="n"/>
    </row>
    <row r="11" ht="15" customHeight="1" s="341">
      <c r="A11" s="486" t="n"/>
      <c r="B11" s="378">
        <f>IF(A11="","",IFERROR(VLOOKUP(A11,DB_Customers!$A:$D,4,0),"❌ Account Not Found"))</f>
        <v/>
      </c>
      <c r="C11" s="487">
        <f>IF(A11="","",IFERROR(VLOOKUP(A11,DB_Customers!$A:$N,14,0),""))</f>
        <v/>
      </c>
      <c r="D11" s="488">
        <f>IF(A11="","",TODAY())</f>
        <v/>
      </c>
      <c r="E11" s="489" t="n"/>
      <c r="F11" s="490">
        <f>IF(OR(A11="",E11=""),"",IF(C11="","",C11+E11))</f>
        <v/>
      </c>
      <c r="G11" s="380" t="inlineStr">
        <is>
          <t>Agent 01</t>
        </is>
      </c>
      <c r="H11" s="491" t="n"/>
      <c r="I11" s="492">
        <f>IF(A11="","Pending",IF(H11="","⚠️ Enter Code",IF(IFERROR(VLOOKUP(G11,DB_Agents!$B:$I,8,0),"")=H11,IF(AND(A11&lt;&gt;"",E11&lt;&gt;""),"Saved","Pending"),"🔒 BLOCKED — Wrong Code")))</f>
        <v/>
      </c>
      <c r="J11" s="493">
        <f>IF(I11="Saved",TEXT(TODAY(),"YYYY-MM-DD")&amp;" Auto","—")</f>
        <v/>
      </c>
      <c r="K11" s="494" t="n"/>
    </row>
    <row r="12" ht="15" customHeight="1" s="341">
      <c r="A12" s="495" t="n"/>
      <c r="B12" s="382">
        <f>IF(A12="","",IFERROR(VLOOKUP(A12,DB_Customers!$A:$D,4,0),"❌ Account Not Found"))</f>
        <v/>
      </c>
      <c r="C12" s="496">
        <f>IF(A12="","",IFERROR(VLOOKUP(A12,DB_Customers!$A:$N,14,0),""))</f>
        <v/>
      </c>
      <c r="D12" s="497">
        <f>IF(A12="","",TODAY())</f>
        <v/>
      </c>
      <c r="E12" s="489" t="n"/>
      <c r="F12" s="498">
        <f>IF(OR(A12="",E12=""),"",IF(C12="","",C12+E12))</f>
        <v/>
      </c>
      <c r="G12" s="384" t="inlineStr">
        <is>
          <t>Agent 01</t>
        </is>
      </c>
      <c r="H12" s="491" t="n"/>
      <c r="I12" s="499">
        <f>IF(A12="","Pending",IF(H12="","⚠️ Enter Code",IF(IFERROR(VLOOKUP(G12,DB_Agents!$B:$I,8,0),"")=H12,IF(AND(A12&lt;&gt;"",E12&lt;&gt;""),"Saved","Pending"),"🔒 BLOCKED — Wrong Code")))</f>
        <v/>
      </c>
      <c r="J12" s="500">
        <f>IF(I12="Saved",TEXT(TODAY(),"YYYY-MM-DD")&amp;" Auto","—")</f>
        <v/>
      </c>
      <c r="K12" s="501" t="n"/>
    </row>
    <row r="13" ht="15" customHeight="1" s="341">
      <c r="A13" s="486" t="n"/>
      <c r="B13" s="378">
        <f>IF(A13="","",IFERROR(VLOOKUP(A13,DB_Customers!$A:$D,4,0),"❌ Account Not Found"))</f>
        <v/>
      </c>
      <c r="C13" s="487">
        <f>IF(A13="","",IFERROR(VLOOKUP(A13,DB_Customers!$A:$N,14,0),""))</f>
        <v/>
      </c>
      <c r="D13" s="488">
        <f>IF(A13="","",TODAY())</f>
        <v/>
      </c>
      <c r="E13" s="489" t="n"/>
      <c r="F13" s="490">
        <f>IF(OR(A13="",E13=""),"",IF(C13="","",C13+E13))</f>
        <v/>
      </c>
      <c r="G13" s="380" t="inlineStr">
        <is>
          <t>Agent 01</t>
        </is>
      </c>
      <c r="H13" s="491" t="n"/>
      <c r="I13" s="492">
        <f>IF(A13="","Pending",IF(H13="","⚠️ Enter Code",IF(IFERROR(VLOOKUP(G13,DB_Agents!$B:$I,8,0),"")=H13,IF(AND(A13&lt;&gt;"",E13&lt;&gt;""),"Saved","Pending"),"🔒 BLOCKED — Wrong Code")))</f>
        <v/>
      </c>
      <c r="J13" s="493">
        <f>IF(I13="Saved",TEXT(TODAY(),"YYYY-MM-DD")&amp;" Auto","—")</f>
        <v/>
      </c>
      <c r="K13" s="494" t="n"/>
    </row>
    <row r="14" ht="15" customHeight="1" s="341">
      <c r="A14" s="495" t="n"/>
      <c r="B14" s="382">
        <f>IF(A14="","",IFERROR(VLOOKUP(A14,DB_Customers!$A:$D,4,0),"❌ Account Not Found"))</f>
        <v/>
      </c>
      <c r="C14" s="496">
        <f>IF(A14="","",IFERROR(VLOOKUP(A14,DB_Customers!$A:$N,14,0),""))</f>
        <v/>
      </c>
      <c r="D14" s="497">
        <f>IF(A14="","",TODAY())</f>
        <v/>
      </c>
      <c r="E14" s="489" t="n"/>
      <c r="F14" s="498">
        <f>IF(OR(A14="",E14=""),"",IF(C14="","",C14+E14))</f>
        <v/>
      </c>
      <c r="G14" s="384" t="inlineStr">
        <is>
          <t>Agent 01</t>
        </is>
      </c>
      <c r="H14" s="491" t="n"/>
      <c r="I14" s="499">
        <f>IF(A14="","Pending",IF(H14="","⚠️ Enter Code",IF(IFERROR(VLOOKUP(G14,DB_Agents!$B:$I,8,0),"")=H14,IF(AND(A14&lt;&gt;"",E14&lt;&gt;""),"Saved","Pending"),"🔒 BLOCKED — Wrong Code")))</f>
        <v/>
      </c>
      <c r="J14" s="500">
        <f>IF(I14="Saved",TEXT(TODAY(),"YYYY-MM-DD")&amp;" Auto","—")</f>
        <v/>
      </c>
      <c r="K14" s="501" t="n"/>
    </row>
    <row r="15" ht="15" customHeight="1" s="341">
      <c r="A15" s="486" t="n"/>
      <c r="B15" s="378">
        <f>IF(A15="","",IFERROR(VLOOKUP(A15,DB_Customers!$A:$D,4,0),"❌ Account Not Found"))</f>
        <v/>
      </c>
      <c r="C15" s="487">
        <f>IF(A15="","",IFERROR(VLOOKUP(A15,DB_Customers!$A:$N,14,0),""))</f>
        <v/>
      </c>
      <c r="D15" s="488">
        <f>IF(A15="","",TODAY())</f>
        <v/>
      </c>
      <c r="E15" s="489" t="n"/>
      <c r="F15" s="490">
        <f>IF(OR(A15="",E15=""),"",IF(C15="","",C15+E15))</f>
        <v/>
      </c>
      <c r="G15" s="380" t="inlineStr">
        <is>
          <t>Agent 01</t>
        </is>
      </c>
      <c r="H15" s="491" t="n"/>
      <c r="I15" s="492">
        <f>IF(A15="","Pending",IF(H15="","⚠️ Enter Code",IF(IFERROR(VLOOKUP(G15,DB_Agents!$B:$I,8,0),"")=H15,IF(AND(A15&lt;&gt;"",E15&lt;&gt;""),"Saved","Pending"),"🔒 BLOCKED — Wrong Code")))</f>
        <v/>
      </c>
      <c r="J15" s="493">
        <f>IF(I15="Saved",TEXT(TODAY(),"YYYY-MM-DD")&amp;" Auto","—")</f>
        <v/>
      </c>
      <c r="K15" s="494" t="n"/>
    </row>
    <row r="16" ht="15" customHeight="1" s="341">
      <c r="A16" s="495" t="n"/>
      <c r="B16" s="382">
        <f>IF(A16="","",IFERROR(VLOOKUP(A16,DB_Customers!$A:$D,4,0),"❌ Account Not Found"))</f>
        <v/>
      </c>
      <c r="C16" s="496">
        <f>IF(A16="","",IFERROR(VLOOKUP(A16,DB_Customers!$A:$N,14,0),""))</f>
        <v/>
      </c>
      <c r="D16" s="497">
        <f>IF(A16="","",TODAY())</f>
        <v/>
      </c>
      <c r="E16" s="489" t="n"/>
      <c r="F16" s="498">
        <f>IF(OR(A16="",E16=""),"",IF(C16="","",C16+E16))</f>
        <v/>
      </c>
      <c r="G16" s="384" t="inlineStr">
        <is>
          <t>Agent 01</t>
        </is>
      </c>
      <c r="H16" s="491" t="n"/>
      <c r="I16" s="499">
        <f>IF(A16="","Pending",IF(H16="","⚠️ Enter Code",IF(IFERROR(VLOOKUP(G16,DB_Agents!$B:$I,8,0),"")=H16,IF(AND(A16&lt;&gt;"",E16&lt;&gt;""),"Saved","Pending"),"🔒 BLOCKED — Wrong Code")))</f>
        <v/>
      </c>
      <c r="J16" s="500">
        <f>IF(I16="Saved",TEXT(TODAY(),"YYYY-MM-DD")&amp;" Auto","—")</f>
        <v/>
      </c>
      <c r="K16" s="501" t="n"/>
    </row>
    <row r="17" ht="15" customHeight="1" s="341">
      <c r="A17" s="486" t="n"/>
      <c r="B17" s="378">
        <f>IF(A17="","",IFERROR(VLOOKUP(A17,DB_Customers!$A:$D,4,0),"❌ Account Not Found"))</f>
        <v/>
      </c>
      <c r="C17" s="487">
        <f>IF(A17="","",IFERROR(VLOOKUP(A17,DB_Customers!$A:$N,14,0),""))</f>
        <v/>
      </c>
      <c r="D17" s="488">
        <f>IF(A17="","",TODAY())</f>
        <v/>
      </c>
      <c r="E17" s="489" t="n"/>
      <c r="F17" s="490">
        <f>IF(OR(A17="",E17=""),"",IF(C17="","",C17+E17))</f>
        <v/>
      </c>
      <c r="G17" s="380" t="inlineStr">
        <is>
          <t>Agent 01</t>
        </is>
      </c>
      <c r="H17" s="491" t="n"/>
      <c r="I17" s="492">
        <f>IF(A17="","Pending",IF(H17="","⚠️ Enter Code",IF(IFERROR(VLOOKUP(G17,DB_Agents!$B:$I,8,0),"")=H17,IF(AND(A17&lt;&gt;"",E17&lt;&gt;""),"Saved","Pending"),"🔒 BLOCKED — Wrong Code")))</f>
        <v/>
      </c>
      <c r="J17" s="493">
        <f>IF(I17="Saved",TEXT(TODAY(),"YYYY-MM-DD")&amp;" Auto","—")</f>
        <v/>
      </c>
      <c r="K17" s="494" t="n"/>
    </row>
    <row r="18" ht="15" customHeight="1" s="341">
      <c r="A18" s="495" t="n"/>
      <c r="B18" s="382">
        <f>IF(A18="","",IFERROR(VLOOKUP(A18,DB_Customers!$A:$D,4,0),"❌ Account Not Found"))</f>
        <v/>
      </c>
      <c r="C18" s="496">
        <f>IF(A18="","",IFERROR(VLOOKUP(A18,DB_Customers!$A:$N,14,0),""))</f>
        <v/>
      </c>
      <c r="D18" s="497">
        <f>IF(A18="","",TODAY())</f>
        <v/>
      </c>
      <c r="E18" s="489" t="n"/>
      <c r="F18" s="498">
        <f>IF(OR(A18="",E18=""),"",IF(C18="","",C18+E18))</f>
        <v/>
      </c>
      <c r="G18" s="384" t="inlineStr">
        <is>
          <t>Agent 01</t>
        </is>
      </c>
      <c r="H18" s="491" t="n"/>
      <c r="I18" s="499">
        <f>IF(A18="","Pending",IF(H18="","⚠️ Enter Code",IF(IFERROR(VLOOKUP(G18,DB_Agents!$B:$I,8,0),"")=H18,IF(AND(A18&lt;&gt;"",E18&lt;&gt;""),"Saved","Pending"),"🔒 BLOCKED — Wrong Code")))</f>
        <v/>
      </c>
      <c r="J18" s="500">
        <f>IF(I18="Saved",TEXT(TODAY(),"YYYY-MM-DD")&amp;" Auto","—")</f>
        <v/>
      </c>
      <c r="K18" s="501" t="n"/>
    </row>
    <row r="19" ht="15" customHeight="1" s="341">
      <c r="A19" s="486" t="n"/>
      <c r="B19" s="378">
        <f>IF(A19="","",IFERROR(VLOOKUP(A19,DB_Customers!$A:$D,4,0),"❌ Account Not Found"))</f>
        <v/>
      </c>
      <c r="C19" s="487">
        <f>IF(A19="","",IFERROR(VLOOKUP(A19,DB_Customers!$A:$N,14,0),""))</f>
        <v/>
      </c>
      <c r="D19" s="488">
        <f>IF(A19="","",TODAY())</f>
        <v/>
      </c>
      <c r="E19" s="489" t="n"/>
      <c r="F19" s="490">
        <f>IF(OR(A19="",E19=""),"",IF(C19="","",C19+E19))</f>
        <v/>
      </c>
      <c r="G19" s="380" t="inlineStr">
        <is>
          <t>Agent 01</t>
        </is>
      </c>
      <c r="H19" s="491" t="n"/>
      <c r="I19" s="492">
        <f>IF(A19="","Pending",IF(H19="","⚠️ Enter Code",IF(IFERROR(VLOOKUP(G19,DB_Agents!$B:$I,8,0),"")=H19,IF(AND(A19&lt;&gt;"",E19&lt;&gt;""),"Saved","Pending"),"🔒 BLOCKED — Wrong Code")))</f>
        <v/>
      </c>
      <c r="J19" s="493">
        <f>IF(I19="Saved",TEXT(TODAY(),"YYYY-MM-DD")&amp;" Auto","—")</f>
        <v/>
      </c>
      <c r="K19" s="494" t="n"/>
    </row>
    <row r="20" ht="15" customHeight="1" s="341">
      <c r="A20" s="495" t="n"/>
      <c r="B20" s="382">
        <f>IF(A20="","",IFERROR(VLOOKUP(A20,DB_Customers!$A:$D,4,0),"❌ Account Not Found"))</f>
        <v/>
      </c>
      <c r="C20" s="496">
        <f>IF(A20="","",IFERROR(VLOOKUP(A20,DB_Customers!$A:$N,14,0),""))</f>
        <v/>
      </c>
      <c r="D20" s="497">
        <f>IF(A20="","",TODAY())</f>
        <v/>
      </c>
      <c r="E20" s="489" t="n"/>
      <c r="F20" s="498">
        <f>IF(OR(A20="",E20=""),"",IF(C20="","",C20+E20))</f>
        <v/>
      </c>
      <c r="G20" s="384" t="inlineStr">
        <is>
          <t>Agent 01</t>
        </is>
      </c>
      <c r="H20" s="491" t="n"/>
      <c r="I20" s="499">
        <f>IF(A20="","Pending",IF(H20="","⚠️ Enter Code",IF(IFERROR(VLOOKUP(G20,DB_Agents!$B:$I,8,0),"")=H20,IF(AND(A20&lt;&gt;"",E20&lt;&gt;""),"Saved","Pending"),"🔒 BLOCKED — Wrong Code")))</f>
        <v/>
      </c>
      <c r="J20" s="500">
        <f>IF(I20="Saved",TEXT(TODAY(),"YYYY-MM-DD")&amp;" Auto","—")</f>
        <v/>
      </c>
      <c r="K20" s="501" t="n"/>
    </row>
    <row r="21" ht="15" customHeight="1" s="341">
      <c r="A21" s="486" t="n"/>
      <c r="B21" s="378">
        <f>IF(A21="","",IFERROR(VLOOKUP(A21,DB_Customers!$A:$D,4,0),"❌ Account Not Found"))</f>
        <v/>
      </c>
      <c r="C21" s="487">
        <f>IF(A21="","",IFERROR(VLOOKUP(A21,DB_Customers!$A:$N,14,0),""))</f>
        <v/>
      </c>
      <c r="D21" s="488">
        <f>IF(A21="","",TODAY())</f>
        <v/>
      </c>
      <c r="E21" s="489" t="n"/>
      <c r="F21" s="490">
        <f>IF(OR(A21="",E21=""),"",IF(C21="","",C21+E21))</f>
        <v/>
      </c>
      <c r="G21" s="380" t="inlineStr">
        <is>
          <t>Agent 01</t>
        </is>
      </c>
      <c r="H21" s="491" t="n"/>
      <c r="I21" s="492">
        <f>IF(A21="","Pending",IF(H21="","⚠️ Enter Code",IF(IFERROR(VLOOKUP(G21,DB_Agents!$B:$I,8,0),"")=H21,IF(AND(A21&lt;&gt;"",E21&lt;&gt;""),"Saved","Pending"),"🔒 BLOCKED — Wrong Code")))</f>
        <v/>
      </c>
      <c r="J21" s="493">
        <f>IF(I21="Saved",TEXT(TODAY(),"YYYY-MM-DD")&amp;" Auto","—")</f>
        <v/>
      </c>
      <c r="K21" s="494" t="n"/>
    </row>
    <row r="22" ht="15" customHeight="1" s="341">
      <c r="A22" s="495" t="n"/>
      <c r="B22" s="382">
        <f>IF(A22="","",IFERROR(VLOOKUP(A22,DB_Customers!$A:$D,4,0),"❌ Account Not Found"))</f>
        <v/>
      </c>
      <c r="C22" s="496">
        <f>IF(A22="","",IFERROR(VLOOKUP(A22,DB_Customers!$A:$N,14,0),""))</f>
        <v/>
      </c>
      <c r="D22" s="497">
        <f>IF(A22="","",TODAY())</f>
        <v/>
      </c>
      <c r="E22" s="489" t="n"/>
      <c r="F22" s="498">
        <f>IF(OR(A22="",E22=""),"",IF(C22="","",C22+E22))</f>
        <v/>
      </c>
      <c r="G22" s="384" t="inlineStr">
        <is>
          <t>Agent 01</t>
        </is>
      </c>
      <c r="H22" s="491" t="n"/>
      <c r="I22" s="499">
        <f>IF(A22="","Pending",IF(H22="","⚠️ Enter Code",IF(IFERROR(VLOOKUP(G22,DB_Agents!$B:$I,8,0),"")=H22,IF(AND(A22&lt;&gt;"",E22&lt;&gt;""),"Saved","Pending"),"🔒 BLOCKED — Wrong Code")))</f>
        <v/>
      </c>
      <c r="J22" s="500">
        <f>IF(I22="Saved",TEXT(TODAY(),"YYYY-MM-DD")&amp;" Auto","—")</f>
        <v/>
      </c>
      <c r="K22" s="501" t="n"/>
    </row>
    <row r="23" ht="15" customHeight="1" s="341">
      <c r="A23" s="486" t="n"/>
      <c r="B23" s="378">
        <f>IF(A23="","",IFERROR(VLOOKUP(A23,DB_Customers!$A:$D,4,0),"❌ Account Not Found"))</f>
        <v/>
      </c>
      <c r="C23" s="487">
        <f>IF(A23="","",IFERROR(VLOOKUP(A23,DB_Customers!$A:$N,14,0),""))</f>
        <v/>
      </c>
      <c r="D23" s="488">
        <f>IF(A23="","",TODAY())</f>
        <v/>
      </c>
      <c r="E23" s="489" t="n"/>
      <c r="F23" s="490">
        <f>IF(OR(A23="",E23=""),"",IF(C23="","",C23+E23))</f>
        <v/>
      </c>
      <c r="G23" s="380" t="inlineStr">
        <is>
          <t>Agent 01</t>
        </is>
      </c>
      <c r="H23" s="491" t="n"/>
      <c r="I23" s="492">
        <f>IF(A23="","Pending",IF(H23="","⚠️ Enter Code",IF(IFERROR(VLOOKUP(G23,DB_Agents!$B:$I,8,0),"")=H23,IF(AND(A23&lt;&gt;"",E23&lt;&gt;""),"Saved","Pending"),"🔒 BLOCKED — Wrong Code")))</f>
        <v/>
      </c>
      <c r="J23" s="493">
        <f>IF(I23="Saved",TEXT(TODAY(),"YYYY-MM-DD")&amp;" Auto","—")</f>
        <v/>
      </c>
      <c r="K23" s="494" t="n"/>
    </row>
    <row r="24" ht="15" customHeight="1" s="341">
      <c r="A24" s="495" t="n"/>
      <c r="B24" s="382">
        <f>IF(A24="","",IFERROR(VLOOKUP(A24,DB_Customers!$A:$D,4,0),"❌ Account Not Found"))</f>
        <v/>
      </c>
      <c r="C24" s="496">
        <f>IF(A24="","",IFERROR(VLOOKUP(A24,DB_Customers!$A:$N,14,0),""))</f>
        <v/>
      </c>
      <c r="D24" s="497">
        <f>IF(A24="","",TODAY())</f>
        <v/>
      </c>
      <c r="E24" s="489" t="n"/>
      <c r="F24" s="498">
        <f>IF(OR(A24="",E24=""),"",IF(C24="","",C24+E24))</f>
        <v/>
      </c>
      <c r="G24" s="384" t="inlineStr">
        <is>
          <t>Agent 01</t>
        </is>
      </c>
      <c r="H24" s="491" t="n"/>
      <c r="I24" s="499">
        <f>IF(A24="","Pending",IF(H24="","⚠️ Enter Code",IF(IFERROR(VLOOKUP(G24,DB_Agents!$B:$I,8,0),"")=H24,IF(AND(A24&lt;&gt;"",E24&lt;&gt;""),"Saved","Pending"),"🔒 BLOCKED — Wrong Code")))</f>
        <v/>
      </c>
      <c r="J24" s="500">
        <f>IF(I24="Saved",TEXT(TODAY(),"YYYY-MM-DD")&amp;" Auto","—")</f>
        <v/>
      </c>
      <c r="K24" s="501" t="n"/>
    </row>
    <row r="25" ht="15" customHeight="1" s="341">
      <c r="A25" s="486" t="n"/>
      <c r="B25" s="378">
        <f>IF(A25="","",IFERROR(VLOOKUP(A25,DB_Customers!$A:$D,4,0),"❌ Account Not Found"))</f>
        <v/>
      </c>
      <c r="C25" s="487">
        <f>IF(A25="","",IFERROR(VLOOKUP(A25,DB_Customers!$A:$N,14,0),""))</f>
        <v/>
      </c>
      <c r="D25" s="488">
        <f>IF(A25="","",TODAY())</f>
        <v/>
      </c>
      <c r="E25" s="489" t="n"/>
      <c r="F25" s="490">
        <f>IF(OR(A25="",E25=""),"",IF(C25="","",C25+E25))</f>
        <v/>
      </c>
      <c r="G25" s="380" t="inlineStr">
        <is>
          <t>Agent 01</t>
        </is>
      </c>
      <c r="H25" s="491" t="n"/>
      <c r="I25" s="492">
        <f>IF(A25="","Pending",IF(H25="","⚠️ Enter Code",IF(IFERROR(VLOOKUP(G25,DB_Agents!$B:$I,8,0),"")=H25,IF(AND(A25&lt;&gt;"",E25&lt;&gt;""),"Saved","Pending"),"🔒 BLOCKED — Wrong Code")))</f>
        <v/>
      </c>
      <c r="J25" s="493">
        <f>IF(I25="Saved",TEXT(TODAY(),"YYYY-MM-DD")&amp;" Auto","—")</f>
        <v/>
      </c>
      <c r="K25" s="494" t="n"/>
    </row>
    <row r="26" ht="15" customHeight="1" s="341">
      <c r="A26" s="495" t="n"/>
      <c r="B26" s="382">
        <f>IF(A26="","",IFERROR(VLOOKUP(A26,DB_Customers!$A:$D,4,0),"❌ Account Not Found"))</f>
        <v/>
      </c>
      <c r="C26" s="496">
        <f>IF(A26="","",IFERROR(VLOOKUP(A26,DB_Customers!$A:$N,14,0),""))</f>
        <v/>
      </c>
      <c r="D26" s="497">
        <f>IF(A26="","",TODAY())</f>
        <v/>
      </c>
      <c r="E26" s="489" t="n"/>
      <c r="F26" s="498">
        <f>IF(OR(A26="",E26=""),"",IF(C26="","",C26+E26))</f>
        <v/>
      </c>
      <c r="G26" s="384" t="inlineStr">
        <is>
          <t>Agent 01</t>
        </is>
      </c>
      <c r="H26" s="491" t="n"/>
      <c r="I26" s="499">
        <f>IF(A26="","Pending",IF(H26="","⚠️ Enter Code",IF(IFERROR(VLOOKUP(G26,DB_Agents!$B:$I,8,0),"")=H26,IF(AND(A26&lt;&gt;"",E26&lt;&gt;""),"Saved","Pending"),"🔒 BLOCKED — Wrong Code")))</f>
        <v/>
      </c>
      <c r="J26" s="500">
        <f>IF(I26="Saved",TEXT(TODAY(),"YYYY-MM-DD")&amp;" Auto","—")</f>
        <v/>
      </c>
      <c r="K26" s="501" t="n"/>
    </row>
    <row r="27" ht="15" customHeight="1" s="341">
      <c r="A27" s="486" t="n"/>
      <c r="B27" s="378">
        <f>IF(A27="","",IFERROR(VLOOKUP(A27,DB_Customers!$A:$D,4,0),"❌ Account Not Found"))</f>
        <v/>
      </c>
      <c r="C27" s="487">
        <f>IF(A27="","",IFERROR(VLOOKUP(A27,DB_Customers!$A:$N,14,0),""))</f>
        <v/>
      </c>
      <c r="D27" s="488">
        <f>IF(A27="","",TODAY())</f>
        <v/>
      </c>
      <c r="E27" s="489" t="n"/>
      <c r="F27" s="490">
        <f>IF(OR(A27="",E27=""),"",IF(C27="","",C27+E27))</f>
        <v/>
      </c>
      <c r="G27" s="380" t="inlineStr">
        <is>
          <t>Agent 01</t>
        </is>
      </c>
      <c r="H27" s="491" t="n"/>
      <c r="I27" s="492">
        <f>IF(A27="","Pending",IF(H27="","⚠️ Enter Code",IF(IFERROR(VLOOKUP(G27,DB_Agents!$B:$I,8,0),"")=H27,IF(AND(A27&lt;&gt;"",E27&lt;&gt;""),"Saved","Pending"),"🔒 BLOCKED — Wrong Code")))</f>
        <v/>
      </c>
      <c r="J27" s="493">
        <f>IF(I27="Saved",TEXT(TODAY(),"YYYY-MM-DD")&amp;" Auto","—")</f>
        <v/>
      </c>
      <c r="K27" s="494" t="n"/>
    </row>
    <row r="28" ht="15" customHeight="1" s="341">
      <c r="A28" s="495" t="n"/>
      <c r="B28" s="382">
        <f>IF(A28="","",IFERROR(VLOOKUP(A28,DB_Customers!$A:$D,4,0),"❌ Account Not Found"))</f>
        <v/>
      </c>
      <c r="C28" s="496">
        <f>IF(A28="","",IFERROR(VLOOKUP(A28,DB_Customers!$A:$N,14,0),""))</f>
        <v/>
      </c>
      <c r="D28" s="497">
        <f>IF(A28="","",TODAY())</f>
        <v/>
      </c>
      <c r="E28" s="489" t="n"/>
      <c r="F28" s="498">
        <f>IF(OR(A28="",E28=""),"",IF(C28="","",C28+E28))</f>
        <v/>
      </c>
      <c r="G28" s="384" t="inlineStr">
        <is>
          <t>Agent 01</t>
        </is>
      </c>
      <c r="H28" s="491" t="n"/>
      <c r="I28" s="499">
        <f>IF(A28="","Pending",IF(H28="","⚠️ Enter Code",IF(IFERROR(VLOOKUP(G28,DB_Agents!$B:$I,8,0),"")=H28,IF(AND(A28&lt;&gt;"",E28&lt;&gt;""),"Saved","Pending"),"🔒 BLOCKED — Wrong Code")))</f>
        <v/>
      </c>
      <c r="J28" s="500">
        <f>IF(I28="Saved",TEXT(TODAY(),"YYYY-MM-DD")&amp;" Auto","—")</f>
        <v/>
      </c>
      <c r="K28" s="501" t="n"/>
    </row>
    <row r="29" ht="15" customHeight="1" s="341">
      <c r="A29" s="486" t="n"/>
      <c r="B29" s="378">
        <f>IF(A29="","",IFERROR(VLOOKUP(A29,DB_Customers!$A:$D,4,0),"❌ Account Not Found"))</f>
        <v/>
      </c>
      <c r="C29" s="487">
        <f>IF(A29="","",IFERROR(VLOOKUP(A29,DB_Customers!$A:$N,14,0),""))</f>
        <v/>
      </c>
      <c r="D29" s="488">
        <f>IF(A29="","",TODAY())</f>
        <v/>
      </c>
      <c r="E29" s="489" t="n"/>
      <c r="F29" s="490">
        <f>IF(OR(A29="",E29=""),"",IF(C29="","",C29+E29))</f>
        <v/>
      </c>
      <c r="G29" s="380" t="inlineStr">
        <is>
          <t>Agent 01</t>
        </is>
      </c>
      <c r="H29" s="491" t="n"/>
      <c r="I29" s="492">
        <f>IF(A29="","Pending",IF(H29="","⚠️ Enter Code",IF(IFERROR(VLOOKUP(G29,DB_Agents!$B:$I,8,0),"")=H29,IF(AND(A29&lt;&gt;"",E29&lt;&gt;""),"Saved","Pending"),"🔒 BLOCKED — Wrong Code")))</f>
        <v/>
      </c>
      <c r="J29" s="493">
        <f>IF(I29="Saved",TEXT(TODAY(),"YYYY-MM-DD")&amp;" Auto","—")</f>
        <v/>
      </c>
      <c r="K29" s="494" t="n"/>
    </row>
    <row r="30" ht="15" customHeight="1" s="341">
      <c r="A30" s="495" t="n"/>
      <c r="B30" s="382">
        <f>IF(A30="","",IFERROR(VLOOKUP(A30,DB_Customers!$A:$D,4,0),"❌ Account Not Found"))</f>
        <v/>
      </c>
      <c r="C30" s="496">
        <f>IF(A30="","",IFERROR(VLOOKUP(A30,DB_Customers!$A:$N,14,0),""))</f>
        <v/>
      </c>
      <c r="D30" s="497">
        <f>IF(A30="","",TODAY())</f>
        <v/>
      </c>
      <c r="E30" s="489" t="n"/>
      <c r="F30" s="498">
        <f>IF(OR(A30="",E30=""),"",IF(C30="","",C30+E30))</f>
        <v/>
      </c>
      <c r="G30" s="384" t="inlineStr">
        <is>
          <t>Agent 01</t>
        </is>
      </c>
      <c r="H30" s="491" t="n"/>
      <c r="I30" s="499">
        <f>IF(A30="","Pending",IF(H30="","⚠️ Enter Code",IF(IFERROR(VLOOKUP(G30,DB_Agents!$B:$I,8,0),"")=H30,IF(AND(A30&lt;&gt;"",E30&lt;&gt;""),"Saved","Pending"),"🔒 BLOCKED — Wrong Code")))</f>
        <v/>
      </c>
      <c r="J30" s="500">
        <f>IF(I30="Saved",TEXT(TODAY(),"YYYY-MM-DD")&amp;" Auto","—")</f>
        <v/>
      </c>
      <c r="K30" s="501" t="n"/>
    </row>
    <row r="31" ht="15" customHeight="1" s="341">
      <c r="A31" s="486" t="n"/>
      <c r="B31" s="378">
        <f>IF(A31="","",IFERROR(VLOOKUP(A31,DB_Customers!$A:$D,4,0),"❌ Account Not Found"))</f>
        <v/>
      </c>
      <c r="C31" s="487">
        <f>IF(A31="","",IFERROR(VLOOKUP(A31,DB_Customers!$A:$N,14,0),""))</f>
        <v/>
      </c>
      <c r="D31" s="488">
        <f>IF(A31="","",TODAY())</f>
        <v/>
      </c>
      <c r="E31" s="489" t="n"/>
      <c r="F31" s="490">
        <f>IF(OR(A31="",E31=""),"",IF(C31="","",C31+E31))</f>
        <v/>
      </c>
      <c r="G31" s="380" t="inlineStr">
        <is>
          <t>Agent 01</t>
        </is>
      </c>
      <c r="H31" s="491" t="n"/>
      <c r="I31" s="492">
        <f>IF(A31="","Pending",IF(H31="","⚠️ Enter Code",IF(IFERROR(VLOOKUP(G31,DB_Agents!$B:$I,8,0),"")=H31,IF(AND(A31&lt;&gt;"",E31&lt;&gt;""),"Saved","Pending"),"🔒 BLOCKED — Wrong Code")))</f>
        <v/>
      </c>
      <c r="J31" s="493">
        <f>IF(I31="Saved",TEXT(TODAY(),"YYYY-MM-DD")&amp;" Auto","—")</f>
        <v/>
      </c>
      <c r="K31" s="494" t="n"/>
    </row>
    <row r="32" ht="15" customHeight="1" s="341">
      <c r="A32" s="495" t="n"/>
      <c r="B32" s="382">
        <f>IF(A32="","",IFERROR(VLOOKUP(A32,DB_Customers!$A:$D,4,0),"❌ Account Not Found"))</f>
        <v/>
      </c>
      <c r="C32" s="496">
        <f>IF(A32="","",IFERROR(VLOOKUP(A32,DB_Customers!$A:$N,14,0),""))</f>
        <v/>
      </c>
      <c r="D32" s="497">
        <f>IF(A32="","",TODAY())</f>
        <v/>
      </c>
      <c r="E32" s="489" t="n"/>
      <c r="F32" s="498">
        <f>IF(OR(A32="",E32=""),"",IF(C32="","",C32+E32))</f>
        <v/>
      </c>
      <c r="G32" s="384" t="inlineStr">
        <is>
          <t>Agent 01</t>
        </is>
      </c>
      <c r="H32" s="491" t="n"/>
      <c r="I32" s="499">
        <f>IF(A32="","Pending",IF(H32="","⚠️ Enter Code",IF(IFERROR(VLOOKUP(G32,DB_Agents!$B:$I,8,0),"")=H32,IF(AND(A32&lt;&gt;"",E32&lt;&gt;""),"Saved","Pending"),"🔒 BLOCKED — Wrong Code")))</f>
        <v/>
      </c>
      <c r="J32" s="500">
        <f>IF(I32="Saved",TEXT(TODAY(),"YYYY-MM-DD")&amp;" Auto","—")</f>
        <v/>
      </c>
      <c r="K32" s="501" t="n"/>
    </row>
    <row r="33" ht="15" customHeight="1" s="341">
      <c r="A33" s="486" t="n"/>
      <c r="B33" s="378">
        <f>IF(A33="","",IFERROR(VLOOKUP(A33,DB_Customers!$A:$D,4,0),"❌ Account Not Found"))</f>
        <v/>
      </c>
      <c r="C33" s="487">
        <f>IF(A33="","",IFERROR(VLOOKUP(A33,DB_Customers!$A:$N,14,0),""))</f>
        <v/>
      </c>
      <c r="D33" s="488">
        <f>IF(A33="","",TODAY())</f>
        <v/>
      </c>
      <c r="E33" s="489" t="n"/>
      <c r="F33" s="490">
        <f>IF(OR(A33="",E33=""),"",IF(C33="","",C33+E33))</f>
        <v/>
      </c>
      <c r="G33" s="380" t="inlineStr">
        <is>
          <t>Agent 01</t>
        </is>
      </c>
      <c r="H33" s="491" t="n"/>
      <c r="I33" s="492">
        <f>IF(A33="","Pending",IF(H33="","⚠️ Enter Code",IF(IFERROR(VLOOKUP(G33,DB_Agents!$B:$I,8,0),"")=H33,IF(AND(A33&lt;&gt;"",E33&lt;&gt;""),"Saved","Pending"),"🔒 BLOCKED — Wrong Code")))</f>
        <v/>
      </c>
      <c r="J33" s="493">
        <f>IF(I33="Saved",TEXT(TODAY(),"YYYY-MM-DD")&amp;" Auto","—")</f>
        <v/>
      </c>
      <c r="K33" s="494" t="n"/>
    </row>
    <row r="34" ht="15" customHeight="1" s="341">
      <c r="A34" s="495" t="n"/>
      <c r="B34" s="382">
        <f>IF(A34="","",IFERROR(VLOOKUP(A34,DB_Customers!$A:$D,4,0),"❌ Account Not Found"))</f>
        <v/>
      </c>
      <c r="C34" s="496">
        <f>IF(A34="","",IFERROR(VLOOKUP(A34,DB_Customers!$A:$N,14,0),""))</f>
        <v/>
      </c>
      <c r="D34" s="497">
        <f>IF(A34="","",TODAY())</f>
        <v/>
      </c>
      <c r="E34" s="489" t="n"/>
      <c r="F34" s="498">
        <f>IF(OR(A34="",E34=""),"",IF(C34="","",C34+E34))</f>
        <v/>
      </c>
      <c r="G34" s="384" t="inlineStr">
        <is>
          <t>Agent 01</t>
        </is>
      </c>
      <c r="H34" s="491" t="n"/>
      <c r="I34" s="499">
        <f>IF(A34="","Pending",IF(H34="","⚠️ Enter Code",IF(IFERROR(VLOOKUP(G34,DB_Agents!$B:$I,8,0),"")=H34,IF(AND(A34&lt;&gt;"",E34&lt;&gt;""),"Saved","Pending"),"🔒 BLOCKED — Wrong Code")))</f>
        <v/>
      </c>
      <c r="J34" s="500">
        <f>IF(I34="Saved",TEXT(TODAY(),"YYYY-MM-DD")&amp;" Auto","—")</f>
        <v/>
      </c>
      <c r="K34" s="501" t="n"/>
    </row>
    <row r="35" ht="15" customHeight="1" s="341">
      <c r="A35" s="486" t="n"/>
      <c r="B35" s="378">
        <f>IF(A35="","",IFERROR(VLOOKUP(A35,DB_Customers!$A:$D,4,0),"❌ Account Not Found"))</f>
        <v/>
      </c>
      <c r="C35" s="487">
        <f>IF(A35="","",IFERROR(VLOOKUP(A35,DB_Customers!$A:$N,14,0),""))</f>
        <v/>
      </c>
      <c r="D35" s="488">
        <f>IF(A35="","",TODAY())</f>
        <v/>
      </c>
      <c r="E35" s="489" t="n"/>
      <c r="F35" s="490">
        <f>IF(OR(A35="",E35=""),"",IF(C35="","",C35+E35))</f>
        <v/>
      </c>
      <c r="G35" s="380" t="inlineStr">
        <is>
          <t>Agent 01</t>
        </is>
      </c>
      <c r="H35" s="491" t="n"/>
      <c r="I35" s="492">
        <f>IF(A35="","Pending",IF(H35="","⚠️ Enter Code",IF(IFERROR(VLOOKUP(G35,DB_Agents!$B:$I,8,0),"")=H35,IF(AND(A35&lt;&gt;"",E35&lt;&gt;""),"Saved","Pending"),"🔒 BLOCKED — Wrong Code")))</f>
        <v/>
      </c>
      <c r="J35" s="493">
        <f>IF(I35="Saved",TEXT(TODAY(),"YYYY-MM-DD")&amp;" Auto","—")</f>
        <v/>
      </c>
      <c r="K35" s="494" t="n"/>
    </row>
    <row r="36" ht="15" customHeight="1" s="341">
      <c r="A36" s="495" t="n"/>
      <c r="B36" s="382">
        <f>IF(A36="","",IFERROR(VLOOKUP(A36,DB_Customers!$A:$D,4,0),"❌ Account Not Found"))</f>
        <v/>
      </c>
      <c r="C36" s="496">
        <f>IF(A36="","",IFERROR(VLOOKUP(A36,DB_Customers!$A:$N,14,0),""))</f>
        <v/>
      </c>
      <c r="D36" s="497">
        <f>IF(A36="","",TODAY())</f>
        <v/>
      </c>
      <c r="E36" s="489" t="n"/>
      <c r="F36" s="498">
        <f>IF(OR(A36="",E36=""),"",IF(C36="","",C36+E36))</f>
        <v/>
      </c>
      <c r="G36" s="384" t="inlineStr">
        <is>
          <t>Agent 01</t>
        </is>
      </c>
      <c r="H36" s="491" t="n"/>
      <c r="I36" s="499">
        <f>IF(A36="","Pending",IF(H36="","⚠️ Enter Code",IF(IFERROR(VLOOKUP(G36,DB_Agents!$B:$I,8,0),"")=H36,IF(AND(A36&lt;&gt;"",E36&lt;&gt;""),"Saved","Pending"),"🔒 BLOCKED — Wrong Code")))</f>
        <v/>
      </c>
      <c r="J36" s="500">
        <f>IF(I36="Saved",TEXT(TODAY(),"YYYY-MM-DD")&amp;" Auto","—")</f>
        <v/>
      </c>
      <c r="K36" s="501" t="n"/>
    </row>
    <row r="37" ht="15" customHeight="1" s="341">
      <c r="A37" s="486" t="n"/>
      <c r="B37" s="378">
        <f>IF(A37="","",IFERROR(VLOOKUP(A37,DB_Customers!$A:$D,4,0),"❌ Account Not Found"))</f>
        <v/>
      </c>
      <c r="C37" s="487">
        <f>IF(A37="","",IFERROR(VLOOKUP(A37,DB_Customers!$A:$N,14,0),""))</f>
        <v/>
      </c>
      <c r="D37" s="488">
        <f>IF(A37="","",TODAY())</f>
        <v/>
      </c>
      <c r="E37" s="489" t="n"/>
      <c r="F37" s="490">
        <f>IF(OR(A37="",E37=""),"",IF(C37="","",C37+E37))</f>
        <v/>
      </c>
      <c r="G37" s="380" t="inlineStr">
        <is>
          <t>Agent 01</t>
        </is>
      </c>
      <c r="H37" s="491" t="n"/>
      <c r="I37" s="492">
        <f>IF(A37="","Pending",IF(H37="","⚠️ Enter Code",IF(IFERROR(VLOOKUP(G37,DB_Agents!$B:$I,8,0),"")=H37,IF(AND(A37&lt;&gt;"",E37&lt;&gt;""),"Saved","Pending"),"🔒 BLOCKED — Wrong Code")))</f>
        <v/>
      </c>
      <c r="J37" s="493">
        <f>IF(I37="Saved",TEXT(TODAY(),"YYYY-MM-DD")&amp;" Auto","—")</f>
        <v/>
      </c>
      <c r="K37" s="494" t="n"/>
    </row>
    <row r="38" ht="15" customHeight="1" s="341">
      <c r="A38" s="495" t="n"/>
      <c r="B38" s="382">
        <f>IF(A38="","",IFERROR(VLOOKUP(A38,DB_Customers!$A:$D,4,0),"❌ Account Not Found"))</f>
        <v/>
      </c>
      <c r="C38" s="496">
        <f>IF(A38="","",IFERROR(VLOOKUP(A38,DB_Customers!$A:$N,14,0),""))</f>
        <v/>
      </c>
      <c r="D38" s="497">
        <f>IF(A38="","",TODAY())</f>
        <v/>
      </c>
      <c r="E38" s="489" t="n"/>
      <c r="F38" s="498">
        <f>IF(OR(A38="",E38=""),"",IF(C38="","",C38+E38))</f>
        <v/>
      </c>
      <c r="G38" s="384" t="inlineStr">
        <is>
          <t>Agent 01</t>
        </is>
      </c>
      <c r="H38" s="491" t="n"/>
      <c r="I38" s="499">
        <f>IF(A38="","Pending",IF(H38="","⚠️ Enter Code",IF(IFERROR(VLOOKUP(G38,DB_Agents!$B:$I,8,0),"")=H38,IF(AND(A38&lt;&gt;"",E38&lt;&gt;""),"Saved","Pending"),"🔒 BLOCKED — Wrong Code")))</f>
        <v/>
      </c>
      <c r="J38" s="500">
        <f>IF(I38="Saved",TEXT(TODAY(),"YYYY-MM-DD")&amp;" Auto","—")</f>
        <v/>
      </c>
      <c r="K38" s="501" t="n"/>
    </row>
    <row r="39" ht="15" customHeight="1" s="341">
      <c r="A39" s="486" t="n"/>
      <c r="B39" s="378">
        <f>IF(A39="","",IFERROR(VLOOKUP(A39,DB_Customers!$A:$D,4,0),"❌ Account Not Found"))</f>
        <v/>
      </c>
      <c r="C39" s="487">
        <f>IF(A39="","",IFERROR(VLOOKUP(A39,DB_Customers!$A:$N,14,0),""))</f>
        <v/>
      </c>
      <c r="D39" s="488">
        <f>IF(A39="","",TODAY())</f>
        <v/>
      </c>
      <c r="E39" s="489" t="n"/>
      <c r="F39" s="490">
        <f>IF(OR(A39="",E39=""),"",IF(C39="","",C39+E39))</f>
        <v/>
      </c>
      <c r="G39" s="380" t="inlineStr">
        <is>
          <t>Agent 01</t>
        </is>
      </c>
      <c r="H39" s="491" t="n"/>
      <c r="I39" s="492">
        <f>IF(A39="","Pending",IF(H39="","⚠️ Enter Code",IF(IFERROR(VLOOKUP(G39,DB_Agents!$B:$I,8,0),"")=H39,IF(AND(A39&lt;&gt;"",E39&lt;&gt;""),"Saved","Pending"),"🔒 BLOCKED — Wrong Code")))</f>
        <v/>
      </c>
      <c r="J39" s="493">
        <f>IF(I39="Saved",TEXT(TODAY(),"YYYY-MM-DD")&amp;" Auto","—")</f>
        <v/>
      </c>
      <c r="K39" s="494" t="n"/>
    </row>
    <row r="40" ht="15" customHeight="1" s="341">
      <c r="A40" s="495" t="n"/>
      <c r="B40" s="382">
        <f>IF(A40="","",IFERROR(VLOOKUP(A40,DB_Customers!$A:$D,4,0),"❌ Account Not Found"))</f>
        <v/>
      </c>
      <c r="C40" s="496">
        <f>IF(A40="","",IFERROR(VLOOKUP(A40,DB_Customers!$A:$N,14,0),""))</f>
        <v/>
      </c>
      <c r="D40" s="497">
        <f>IF(A40="","",TODAY())</f>
        <v/>
      </c>
      <c r="E40" s="489" t="n"/>
      <c r="F40" s="498">
        <f>IF(OR(A40="",E40=""),"",IF(C40="","",C40+E40))</f>
        <v/>
      </c>
      <c r="G40" s="384" t="inlineStr">
        <is>
          <t>Agent 01</t>
        </is>
      </c>
      <c r="H40" s="491" t="n"/>
      <c r="I40" s="499">
        <f>IF(A40="","Pending",IF(H40="","⚠️ Enter Code",IF(IFERROR(VLOOKUP(G40,DB_Agents!$B:$I,8,0),"")=H40,IF(AND(A40&lt;&gt;"",E40&lt;&gt;""),"Saved","Pending"),"🔒 BLOCKED — Wrong Code")))</f>
        <v/>
      </c>
      <c r="J40" s="500">
        <f>IF(I40="Saved",TEXT(TODAY(),"YYYY-MM-DD")&amp;" Auto","—")</f>
        <v/>
      </c>
      <c r="K40" s="501" t="n"/>
    </row>
    <row r="41" ht="15" customHeight="1" s="341">
      <c r="A41" s="486" t="n"/>
      <c r="B41" s="378">
        <f>IF(A41="","",IFERROR(VLOOKUP(A41,DB_Customers!$A:$D,4,0),"❌ Account Not Found"))</f>
        <v/>
      </c>
      <c r="C41" s="487">
        <f>IF(A41="","",IFERROR(VLOOKUP(A41,DB_Customers!$A:$N,14,0),""))</f>
        <v/>
      </c>
      <c r="D41" s="488">
        <f>IF(A41="","",TODAY())</f>
        <v/>
      </c>
      <c r="E41" s="489" t="n"/>
      <c r="F41" s="490">
        <f>IF(OR(A41="",E41=""),"",IF(C41="","",C41+E41))</f>
        <v/>
      </c>
      <c r="G41" s="380" t="inlineStr">
        <is>
          <t>Agent 01</t>
        </is>
      </c>
      <c r="H41" s="491" t="n"/>
      <c r="I41" s="492">
        <f>IF(A41="","Pending",IF(H41="","⚠️ Enter Code",IF(IFERROR(VLOOKUP(G41,DB_Agents!$B:$I,8,0),"")=H41,IF(AND(A41&lt;&gt;"",E41&lt;&gt;""),"Saved","Pending"),"🔒 BLOCKED — Wrong Code")))</f>
        <v/>
      </c>
      <c r="J41" s="493">
        <f>IF(I41="Saved",TEXT(TODAY(),"YYYY-MM-DD")&amp;" Auto","—")</f>
        <v/>
      </c>
      <c r="K41" s="494" t="n"/>
    </row>
    <row r="42" ht="15" customHeight="1" s="341">
      <c r="A42" s="495" t="n"/>
      <c r="B42" s="382">
        <f>IF(A42="","",IFERROR(VLOOKUP(A42,DB_Customers!$A:$D,4,0),"❌ Account Not Found"))</f>
        <v/>
      </c>
      <c r="C42" s="496">
        <f>IF(A42="","",IFERROR(VLOOKUP(A42,DB_Customers!$A:$N,14,0),""))</f>
        <v/>
      </c>
      <c r="D42" s="497">
        <f>IF(A42="","",TODAY())</f>
        <v/>
      </c>
      <c r="E42" s="489" t="n"/>
      <c r="F42" s="498">
        <f>IF(OR(A42="",E42=""),"",IF(C42="","",C42+E42))</f>
        <v/>
      </c>
      <c r="G42" s="384" t="inlineStr">
        <is>
          <t>Agent 01</t>
        </is>
      </c>
      <c r="H42" s="491" t="n"/>
      <c r="I42" s="499">
        <f>IF(A42="","Pending",IF(H42="","⚠️ Enter Code",IF(IFERROR(VLOOKUP(G42,DB_Agents!$B:$I,8,0),"")=H42,IF(AND(A42&lt;&gt;"",E42&lt;&gt;""),"Saved","Pending"),"🔒 BLOCKED — Wrong Code")))</f>
        <v/>
      </c>
      <c r="J42" s="500">
        <f>IF(I42="Saved",TEXT(TODAY(),"YYYY-MM-DD")&amp;" Auto","—")</f>
        <v/>
      </c>
      <c r="K42" s="501" t="n"/>
    </row>
    <row r="43" ht="15" customHeight="1" s="341">
      <c r="A43" s="486" t="n"/>
      <c r="B43" s="378">
        <f>IF(A43="","",IFERROR(VLOOKUP(A43,DB_Customers!$A:$D,4,0),"❌ Account Not Found"))</f>
        <v/>
      </c>
      <c r="C43" s="487">
        <f>IF(A43="","",IFERROR(VLOOKUP(A43,DB_Customers!$A:$N,14,0),""))</f>
        <v/>
      </c>
      <c r="D43" s="488">
        <f>IF(A43="","",TODAY())</f>
        <v/>
      </c>
      <c r="E43" s="489" t="n"/>
      <c r="F43" s="490">
        <f>IF(OR(A43="",E43=""),"",IF(C43="","",C43+E43))</f>
        <v/>
      </c>
      <c r="G43" s="380" t="inlineStr">
        <is>
          <t>Agent 01</t>
        </is>
      </c>
      <c r="H43" s="491" t="n"/>
      <c r="I43" s="492">
        <f>IF(A43="","Pending",IF(H43="","⚠️ Enter Code",IF(IFERROR(VLOOKUP(G43,DB_Agents!$B:$I,8,0),"")=H43,IF(AND(A43&lt;&gt;"",E43&lt;&gt;""),"Saved","Pending"),"🔒 BLOCKED — Wrong Code")))</f>
        <v/>
      </c>
      <c r="J43" s="493">
        <f>IF(I43="Saved",TEXT(TODAY(),"YYYY-MM-DD")&amp;" Auto","—")</f>
        <v/>
      </c>
      <c r="K43" s="494" t="n"/>
    </row>
    <row r="44" ht="15" customHeight="1" s="341">
      <c r="A44" s="495" t="n"/>
      <c r="B44" s="382">
        <f>IF(A44="","",IFERROR(VLOOKUP(A44,DB_Customers!$A:$D,4,0),"❌ Account Not Found"))</f>
        <v/>
      </c>
      <c r="C44" s="496">
        <f>IF(A44="","",IFERROR(VLOOKUP(A44,DB_Customers!$A:$N,14,0),""))</f>
        <v/>
      </c>
      <c r="D44" s="497">
        <f>IF(A44="","",TODAY())</f>
        <v/>
      </c>
      <c r="E44" s="489" t="n"/>
      <c r="F44" s="498">
        <f>IF(OR(A44="",E44=""),"",IF(C44="","",C44+E44))</f>
        <v/>
      </c>
      <c r="G44" s="384" t="inlineStr">
        <is>
          <t>Agent 01</t>
        </is>
      </c>
      <c r="H44" s="491" t="n"/>
      <c r="I44" s="499">
        <f>IF(A44="","Pending",IF(H44="","⚠️ Enter Code",IF(IFERROR(VLOOKUP(G44,DB_Agents!$B:$I,8,0),"")=H44,IF(AND(A44&lt;&gt;"",E44&lt;&gt;""),"Saved","Pending"),"🔒 BLOCKED — Wrong Code")))</f>
        <v/>
      </c>
      <c r="J44" s="500">
        <f>IF(I44="Saved",TEXT(TODAY(),"YYYY-MM-DD")&amp;" Auto","—")</f>
        <v/>
      </c>
      <c r="K44" s="501" t="n"/>
    </row>
    <row r="45" ht="15" customHeight="1" s="341">
      <c r="A45" s="486" t="n"/>
      <c r="B45" s="378">
        <f>IF(A45="","",IFERROR(VLOOKUP(A45,DB_Customers!$A:$D,4,0),"❌ Account Not Found"))</f>
        <v/>
      </c>
      <c r="C45" s="487">
        <f>IF(A45="","",IFERROR(VLOOKUP(A45,DB_Customers!$A:$N,14,0),""))</f>
        <v/>
      </c>
      <c r="D45" s="488">
        <f>IF(A45="","",TODAY())</f>
        <v/>
      </c>
      <c r="E45" s="489" t="n"/>
      <c r="F45" s="490">
        <f>IF(OR(A45="",E45=""),"",IF(C45="","",C45+E45))</f>
        <v/>
      </c>
      <c r="G45" s="380" t="inlineStr">
        <is>
          <t>Agent 01</t>
        </is>
      </c>
      <c r="H45" s="491" t="n"/>
      <c r="I45" s="492">
        <f>IF(A45="","Pending",IF(H45="","⚠️ Enter Code",IF(IFERROR(VLOOKUP(G45,DB_Agents!$B:$I,8,0),"")=H45,IF(AND(A45&lt;&gt;"",E45&lt;&gt;""),"Saved","Pending"),"🔒 BLOCKED — Wrong Code")))</f>
        <v/>
      </c>
      <c r="J45" s="493">
        <f>IF(I45="Saved",TEXT(TODAY(),"YYYY-MM-DD")&amp;" Auto","—")</f>
        <v/>
      </c>
      <c r="K45" s="494" t="n"/>
    </row>
    <row r="46" ht="15" customHeight="1" s="341">
      <c r="A46" s="495" t="n"/>
      <c r="B46" s="382">
        <f>IF(A46="","",IFERROR(VLOOKUP(A46,DB_Customers!$A:$D,4,0),"❌ Account Not Found"))</f>
        <v/>
      </c>
      <c r="C46" s="496">
        <f>IF(A46="","",IFERROR(VLOOKUP(A46,DB_Customers!$A:$N,14,0),""))</f>
        <v/>
      </c>
      <c r="D46" s="497">
        <f>IF(A46="","",TODAY())</f>
        <v/>
      </c>
      <c r="E46" s="489" t="n"/>
      <c r="F46" s="498">
        <f>IF(OR(A46="",E46=""),"",IF(C46="","",C46+E46))</f>
        <v/>
      </c>
      <c r="G46" s="384" t="inlineStr">
        <is>
          <t>Agent 01</t>
        </is>
      </c>
      <c r="H46" s="491" t="n"/>
      <c r="I46" s="499">
        <f>IF(A46="","Pending",IF(H46="","⚠️ Enter Code",IF(IFERROR(VLOOKUP(G46,DB_Agents!$B:$I,8,0),"")=H46,IF(AND(A46&lt;&gt;"",E46&lt;&gt;""),"Saved","Pending"),"🔒 BLOCKED — Wrong Code")))</f>
        <v/>
      </c>
      <c r="J46" s="500">
        <f>IF(I46="Saved",TEXT(TODAY(),"YYYY-MM-DD")&amp;" Auto","—")</f>
        <v/>
      </c>
      <c r="K46" s="501" t="n"/>
    </row>
    <row r="47" ht="15" customHeight="1" s="341">
      <c r="A47" s="486" t="n"/>
      <c r="B47" s="378">
        <f>IF(A47="","",IFERROR(VLOOKUP(A47,DB_Customers!$A:$D,4,0),"❌ Account Not Found"))</f>
        <v/>
      </c>
      <c r="C47" s="487">
        <f>IF(A47="","",IFERROR(VLOOKUP(A47,DB_Customers!$A:$N,14,0),""))</f>
        <v/>
      </c>
      <c r="D47" s="488">
        <f>IF(A47="","",TODAY())</f>
        <v/>
      </c>
      <c r="E47" s="489" t="n"/>
      <c r="F47" s="490">
        <f>IF(OR(A47="",E47=""),"",IF(C47="","",C47+E47))</f>
        <v/>
      </c>
      <c r="G47" s="380" t="inlineStr">
        <is>
          <t>Agent 01</t>
        </is>
      </c>
      <c r="H47" s="491" t="n"/>
      <c r="I47" s="492">
        <f>IF(A47="","Pending",IF(H47="","⚠️ Enter Code",IF(IFERROR(VLOOKUP(G47,DB_Agents!$B:$I,8,0),"")=H47,IF(AND(A47&lt;&gt;"",E47&lt;&gt;""),"Saved","Pending"),"🔒 BLOCKED — Wrong Code")))</f>
        <v/>
      </c>
      <c r="J47" s="493">
        <f>IF(I47="Saved",TEXT(TODAY(),"YYYY-MM-DD")&amp;" Auto","—")</f>
        <v/>
      </c>
      <c r="K47" s="494" t="n"/>
    </row>
    <row r="48" ht="15" customHeight="1" s="341">
      <c r="A48" s="495" t="n"/>
      <c r="B48" s="382">
        <f>IF(A48="","",IFERROR(VLOOKUP(A48,DB_Customers!$A:$D,4,0),"❌ Account Not Found"))</f>
        <v/>
      </c>
      <c r="C48" s="496">
        <f>IF(A48="","",IFERROR(VLOOKUP(A48,DB_Customers!$A:$N,14,0),""))</f>
        <v/>
      </c>
      <c r="D48" s="497">
        <f>IF(A48="","",TODAY())</f>
        <v/>
      </c>
      <c r="E48" s="489" t="n"/>
      <c r="F48" s="498">
        <f>IF(OR(A48="",E48=""),"",IF(C48="","",C48+E48))</f>
        <v/>
      </c>
      <c r="G48" s="384" t="inlineStr">
        <is>
          <t>Agent 01</t>
        </is>
      </c>
      <c r="H48" s="491" t="n"/>
      <c r="I48" s="499">
        <f>IF(A48="","Pending",IF(H48="","⚠️ Enter Code",IF(IFERROR(VLOOKUP(G48,DB_Agents!$B:$I,8,0),"")=H48,IF(AND(A48&lt;&gt;"",E48&lt;&gt;""),"Saved","Pending"),"🔒 BLOCKED — Wrong Code")))</f>
        <v/>
      </c>
      <c r="J48" s="500">
        <f>IF(I48="Saved",TEXT(TODAY(),"YYYY-MM-DD")&amp;" Auto","—")</f>
        <v/>
      </c>
      <c r="K48" s="501" t="n"/>
    </row>
    <row r="49" ht="15" customHeight="1" s="341">
      <c r="A49" s="486" t="n"/>
      <c r="B49" s="378">
        <f>IF(A49="","",IFERROR(VLOOKUP(A49,DB_Customers!$A:$D,4,0),"❌ Account Not Found"))</f>
        <v/>
      </c>
      <c r="C49" s="487">
        <f>IF(A49="","",IFERROR(VLOOKUP(A49,DB_Customers!$A:$N,14,0),""))</f>
        <v/>
      </c>
      <c r="D49" s="488">
        <f>IF(A49="","",TODAY())</f>
        <v/>
      </c>
      <c r="E49" s="489" t="n"/>
      <c r="F49" s="490">
        <f>IF(OR(A49="",E49=""),"",IF(C49="","",C49+E49))</f>
        <v/>
      </c>
      <c r="G49" s="380" t="inlineStr">
        <is>
          <t>Agent 01</t>
        </is>
      </c>
      <c r="H49" s="491" t="n"/>
      <c r="I49" s="492">
        <f>IF(A49="","Pending",IF(H49="","⚠️ Enter Code",IF(IFERROR(VLOOKUP(G49,DB_Agents!$B:$I,8,0),"")=H49,IF(AND(A49&lt;&gt;"",E49&lt;&gt;""),"Saved","Pending"),"🔒 BLOCKED — Wrong Code")))</f>
        <v/>
      </c>
      <c r="J49" s="493">
        <f>IF(I49="Saved",TEXT(TODAY(),"YYYY-MM-DD")&amp;" Auto","—")</f>
        <v/>
      </c>
      <c r="K49" s="494" t="n"/>
    </row>
    <row r="50" ht="15" customHeight="1" s="341">
      <c r="A50" s="495" t="n"/>
      <c r="B50" s="382">
        <f>IF(A50="","",IFERROR(VLOOKUP(A50,DB_Customers!$A:$D,4,0),"❌ Account Not Found"))</f>
        <v/>
      </c>
      <c r="C50" s="496">
        <f>IF(A50="","",IFERROR(VLOOKUP(A50,DB_Customers!$A:$N,14,0),""))</f>
        <v/>
      </c>
      <c r="D50" s="497">
        <f>IF(A50="","",TODAY())</f>
        <v/>
      </c>
      <c r="E50" s="489" t="n"/>
      <c r="F50" s="498">
        <f>IF(OR(A50="",E50=""),"",IF(C50="","",C50+E50))</f>
        <v/>
      </c>
      <c r="G50" s="384" t="inlineStr">
        <is>
          <t>Agent 01</t>
        </is>
      </c>
      <c r="H50" s="491" t="n"/>
      <c r="I50" s="499">
        <f>IF(A50="","Pending",IF(H50="","⚠️ Enter Code",IF(IFERROR(VLOOKUP(G50,DB_Agents!$B:$I,8,0),"")=H50,IF(AND(A50&lt;&gt;"",E50&lt;&gt;""),"Saved","Pending"),"🔒 BLOCKED — Wrong Code")))</f>
        <v/>
      </c>
      <c r="J50" s="500">
        <f>IF(I50="Saved",TEXT(TODAY(),"YYYY-MM-DD")&amp;" Auto","—")</f>
        <v/>
      </c>
      <c r="K50" s="501" t="n"/>
    </row>
    <row r="51" ht="15" customHeight="1" s="341">
      <c r="A51" s="486" t="n"/>
      <c r="B51" s="378">
        <f>IF(A51="","",IFERROR(VLOOKUP(A51,DB_Customers!$A:$D,4,0),"❌ Account Not Found"))</f>
        <v/>
      </c>
      <c r="C51" s="487">
        <f>IF(A51="","",IFERROR(VLOOKUP(A51,DB_Customers!$A:$N,14,0),""))</f>
        <v/>
      </c>
      <c r="D51" s="488">
        <f>IF(A51="","",TODAY())</f>
        <v/>
      </c>
      <c r="E51" s="489" t="n"/>
      <c r="F51" s="490">
        <f>IF(OR(A51="",E51=""),"",IF(C51="","",C51+E51))</f>
        <v/>
      </c>
      <c r="G51" s="380" t="inlineStr">
        <is>
          <t>Agent 01</t>
        </is>
      </c>
      <c r="H51" s="491" t="n"/>
      <c r="I51" s="492">
        <f>IF(A51="","Pending",IF(H51="","⚠️ Enter Code",IF(IFERROR(VLOOKUP(G51,DB_Agents!$B:$I,8,0),"")=H51,IF(AND(A51&lt;&gt;"",E51&lt;&gt;""),"Saved","Pending"),"🔒 BLOCKED — Wrong Code")))</f>
        <v/>
      </c>
      <c r="J51" s="493">
        <f>IF(I51="Saved",TEXT(TODAY(),"YYYY-MM-DD")&amp;" Auto","—")</f>
        <v/>
      </c>
      <c r="K51" s="494" t="n"/>
    </row>
    <row r="52" ht="15" customHeight="1" s="341">
      <c r="A52" s="495" t="n"/>
      <c r="B52" s="382">
        <f>IF(A52="","",IFERROR(VLOOKUP(A52,DB_Customers!$A:$D,4,0),"❌ Account Not Found"))</f>
        <v/>
      </c>
      <c r="C52" s="496">
        <f>IF(A52="","",IFERROR(VLOOKUP(A52,DB_Customers!$A:$N,14,0),""))</f>
        <v/>
      </c>
      <c r="D52" s="497">
        <f>IF(A52="","",TODAY())</f>
        <v/>
      </c>
      <c r="E52" s="489" t="n"/>
      <c r="F52" s="498">
        <f>IF(OR(A52="",E52=""),"",IF(C52="","",C52+E52))</f>
        <v/>
      </c>
      <c r="G52" s="384" t="inlineStr">
        <is>
          <t>Agent 01</t>
        </is>
      </c>
      <c r="H52" s="491" t="n"/>
      <c r="I52" s="499">
        <f>IF(A52="","Pending",IF(H52="","⚠️ Enter Code",IF(IFERROR(VLOOKUP(G52,DB_Agents!$B:$I,8,0),"")=H52,IF(AND(A52&lt;&gt;"",E52&lt;&gt;""),"Saved","Pending"),"🔒 BLOCKED — Wrong Code")))</f>
        <v/>
      </c>
      <c r="J52" s="500">
        <f>IF(I52="Saved",TEXT(TODAY(),"YYYY-MM-DD")&amp;" Auto","—")</f>
        <v/>
      </c>
      <c r="K52" s="501" t="n"/>
    </row>
    <row r="53" ht="15" customHeight="1" s="341">
      <c r="A53" s="486" t="n"/>
      <c r="B53" s="378">
        <f>IF(A53="","",IFERROR(VLOOKUP(A53,DB_Customers!$A:$D,4,0),"❌ Account Not Found"))</f>
        <v/>
      </c>
      <c r="C53" s="487">
        <f>IF(A53="","",IFERROR(VLOOKUP(A53,DB_Customers!$A:$N,14,0),""))</f>
        <v/>
      </c>
      <c r="D53" s="488">
        <f>IF(A53="","",TODAY())</f>
        <v/>
      </c>
      <c r="E53" s="489" t="n"/>
      <c r="F53" s="490">
        <f>IF(OR(A53="",E53=""),"",IF(C53="","",C53+E53))</f>
        <v/>
      </c>
      <c r="G53" s="380" t="inlineStr">
        <is>
          <t>Agent 01</t>
        </is>
      </c>
      <c r="H53" s="491" t="n"/>
      <c r="I53" s="492">
        <f>IF(A53="","Pending",IF(H53="","⚠️ Enter Code",IF(IFERROR(VLOOKUP(G53,DB_Agents!$B:$I,8,0),"")=H53,IF(AND(A53&lt;&gt;"",E53&lt;&gt;""),"Saved","Pending"),"🔒 BLOCKED — Wrong Code")))</f>
        <v/>
      </c>
      <c r="J53" s="493">
        <f>IF(I53="Saved",TEXT(TODAY(),"YYYY-MM-DD")&amp;" Auto","—")</f>
        <v/>
      </c>
      <c r="K53" s="494" t="n"/>
    </row>
    <row r="54" ht="15" customHeight="1" s="341">
      <c r="A54" s="495" t="n"/>
      <c r="B54" s="382">
        <f>IF(A54="","",IFERROR(VLOOKUP(A54,DB_Customers!$A:$D,4,0),"❌ Account Not Found"))</f>
        <v/>
      </c>
      <c r="C54" s="496">
        <f>IF(A54="","",IFERROR(VLOOKUP(A54,DB_Customers!$A:$N,14,0),""))</f>
        <v/>
      </c>
      <c r="D54" s="497">
        <f>IF(A54="","",TODAY())</f>
        <v/>
      </c>
      <c r="E54" s="489" t="n"/>
      <c r="F54" s="498">
        <f>IF(OR(A54="",E54=""),"",IF(C54="","",C54+E54))</f>
        <v/>
      </c>
      <c r="G54" s="384" t="inlineStr">
        <is>
          <t>Agent 01</t>
        </is>
      </c>
      <c r="H54" s="491" t="n"/>
      <c r="I54" s="499">
        <f>IF(A54="","Pending",IF(H54="","⚠️ Enter Code",IF(IFERROR(VLOOKUP(G54,DB_Agents!$B:$I,8,0),"")=H54,IF(AND(A54&lt;&gt;"",E54&lt;&gt;""),"Saved","Pending"),"🔒 BLOCKED — Wrong Code")))</f>
        <v/>
      </c>
      <c r="J54" s="500">
        <f>IF(I54="Saved",TEXT(TODAY(),"YYYY-MM-DD")&amp;" Auto","—")</f>
        <v/>
      </c>
      <c r="K54" s="501" t="n"/>
    </row>
    <row r="55" ht="15" customHeight="1" s="341">
      <c r="A55" s="486" t="n"/>
      <c r="B55" s="378">
        <f>IF(A55="","",IFERROR(VLOOKUP(A55,DB_Customers!$A:$D,4,0),"❌ Account Not Found"))</f>
        <v/>
      </c>
      <c r="C55" s="487">
        <f>IF(A55="","",IFERROR(VLOOKUP(A55,DB_Customers!$A:$N,14,0),""))</f>
        <v/>
      </c>
      <c r="D55" s="488">
        <f>IF(A55="","",TODAY())</f>
        <v/>
      </c>
      <c r="E55" s="489" t="n"/>
      <c r="F55" s="490">
        <f>IF(OR(A55="",E55=""),"",IF(C55="","",C55+E55))</f>
        <v/>
      </c>
      <c r="G55" s="380" t="inlineStr">
        <is>
          <t>Agent 01</t>
        </is>
      </c>
      <c r="H55" s="491" t="n"/>
      <c r="I55" s="492">
        <f>IF(A55="","Pending",IF(H55="","⚠️ Enter Code",IF(IFERROR(VLOOKUP(G55,DB_Agents!$B:$I,8,0),"")=H55,IF(AND(A55&lt;&gt;"",E55&lt;&gt;""),"Saved","Pending"),"🔒 BLOCKED — Wrong Code")))</f>
        <v/>
      </c>
      <c r="J55" s="493">
        <f>IF(I55="Saved",TEXT(TODAY(),"YYYY-MM-DD")&amp;" Auto","—")</f>
        <v/>
      </c>
      <c r="K55" s="494" t="n"/>
    </row>
    <row r="56" ht="15" customHeight="1" s="341">
      <c r="A56" s="495" t="n"/>
      <c r="B56" s="382">
        <f>IF(A56="","",IFERROR(VLOOKUP(A56,DB_Customers!$A:$D,4,0),"❌ Account Not Found"))</f>
        <v/>
      </c>
      <c r="C56" s="496">
        <f>IF(A56="","",IFERROR(VLOOKUP(A56,DB_Customers!$A:$N,14,0),""))</f>
        <v/>
      </c>
      <c r="D56" s="497">
        <f>IF(A56="","",TODAY())</f>
        <v/>
      </c>
      <c r="E56" s="489" t="n"/>
      <c r="F56" s="498">
        <f>IF(OR(A56="",E56=""),"",IF(C56="","",C56+E56))</f>
        <v/>
      </c>
      <c r="G56" s="384" t="inlineStr">
        <is>
          <t>Agent 01</t>
        </is>
      </c>
      <c r="H56" s="491" t="n"/>
      <c r="I56" s="499">
        <f>IF(A56="","Pending",IF(H56="","⚠️ Enter Code",IF(IFERROR(VLOOKUP(G56,DB_Agents!$B:$I,8,0),"")=H56,IF(AND(A56&lt;&gt;"",E56&lt;&gt;""),"Saved","Pending"),"🔒 BLOCKED — Wrong Code")))</f>
        <v/>
      </c>
      <c r="J56" s="500">
        <f>IF(I56="Saved",TEXT(TODAY(),"YYYY-MM-DD")&amp;" Auto","—")</f>
        <v/>
      </c>
      <c r="K56" s="501" t="n"/>
    </row>
    <row r="57" ht="15" customHeight="1" s="341">
      <c r="A57" s="486" t="n"/>
      <c r="B57" s="378">
        <f>IF(A57="","",IFERROR(VLOOKUP(A57,DB_Customers!$A:$D,4,0),"❌ Account Not Found"))</f>
        <v/>
      </c>
      <c r="C57" s="487">
        <f>IF(A57="","",IFERROR(VLOOKUP(A57,DB_Customers!$A:$N,14,0),""))</f>
        <v/>
      </c>
      <c r="D57" s="488">
        <f>IF(A57="","",TODAY())</f>
        <v/>
      </c>
      <c r="E57" s="489" t="n"/>
      <c r="F57" s="490">
        <f>IF(OR(A57="",E57=""),"",IF(C57="","",C57+E57))</f>
        <v/>
      </c>
      <c r="G57" s="380" t="inlineStr">
        <is>
          <t>Agent 01</t>
        </is>
      </c>
      <c r="H57" s="491" t="n"/>
      <c r="I57" s="492">
        <f>IF(A57="","Pending",IF(H57="","⚠️ Enter Code",IF(IFERROR(VLOOKUP(G57,DB_Agents!$B:$I,8,0),"")=H57,IF(AND(A57&lt;&gt;"",E57&lt;&gt;""),"Saved","Pending"),"🔒 BLOCKED — Wrong Code")))</f>
        <v/>
      </c>
      <c r="J57" s="493">
        <f>IF(I57="Saved",TEXT(TODAY(),"YYYY-MM-DD")&amp;" Auto","—")</f>
        <v/>
      </c>
      <c r="K57" s="494" t="n"/>
    </row>
    <row r="58" ht="15" customHeight="1" s="341">
      <c r="A58" s="495" t="n"/>
      <c r="B58" s="382">
        <f>IF(A58="","",IFERROR(VLOOKUP(A58,DB_Customers!$A:$D,4,0),"❌ Account Not Found"))</f>
        <v/>
      </c>
      <c r="C58" s="496">
        <f>IF(A58="","",IFERROR(VLOOKUP(A58,DB_Customers!$A:$N,14,0),""))</f>
        <v/>
      </c>
      <c r="D58" s="497">
        <f>IF(A58="","",TODAY())</f>
        <v/>
      </c>
      <c r="E58" s="489" t="n"/>
      <c r="F58" s="498">
        <f>IF(OR(A58="",E58=""),"",IF(C58="","",C58+E58))</f>
        <v/>
      </c>
      <c r="G58" s="384" t="inlineStr">
        <is>
          <t>Agent 01</t>
        </is>
      </c>
      <c r="H58" s="491" t="n"/>
      <c r="I58" s="499">
        <f>IF(A58="","Pending",IF(H58="","⚠️ Enter Code",IF(IFERROR(VLOOKUP(G58,DB_Agents!$B:$I,8,0),"")=H58,IF(AND(A58&lt;&gt;"",E58&lt;&gt;""),"Saved","Pending"),"🔒 BLOCKED — Wrong Code")))</f>
        <v/>
      </c>
      <c r="J58" s="500">
        <f>IF(I58="Saved",TEXT(TODAY(),"YYYY-MM-DD")&amp;" Auto","—")</f>
        <v/>
      </c>
      <c r="K58" s="501" t="n"/>
    </row>
    <row r="59" ht="15" customHeight="1" s="341">
      <c r="A59" s="486" t="n"/>
      <c r="B59" s="378">
        <f>IF(A59="","",IFERROR(VLOOKUP(A59,DB_Customers!$A:$D,4,0),"❌ Account Not Found"))</f>
        <v/>
      </c>
      <c r="C59" s="487">
        <f>IF(A59="","",IFERROR(VLOOKUP(A59,DB_Customers!$A:$N,14,0),""))</f>
        <v/>
      </c>
      <c r="D59" s="488">
        <f>IF(A59="","",TODAY())</f>
        <v/>
      </c>
      <c r="E59" s="489" t="n"/>
      <c r="F59" s="490">
        <f>IF(OR(A59="",E59=""),"",IF(C59="","",C59+E59))</f>
        <v/>
      </c>
      <c r="G59" s="380" t="inlineStr">
        <is>
          <t>Agent 01</t>
        </is>
      </c>
      <c r="H59" s="491" t="n"/>
      <c r="I59" s="492">
        <f>IF(A59="","Pending",IF(H59="","⚠️ Enter Code",IF(IFERROR(VLOOKUP(G59,DB_Agents!$B:$I,8,0),"")=H59,IF(AND(A59&lt;&gt;"",E59&lt;&gt;""),"Saved","Pending"),"🔒 BLOCKED — Wrong Code")))</f>
        <v/>
      </c>
      <c r="J59" s="493">
        <f>IF(I59="Saved",TEXT(TODAY(),"YYYY-MM-DD")&amp;" Auto","—")</f>
        <v/>
      </c>
      <c r="K59" s="494" t="n"/>
    </row>
    <row r="60" ht="15" customHeight="1" s="341">
      <c r="A60" s="495" t="n"/>
      <c r="B60" s="382">
        <f>IF(A60="","",IFERROR(VLOOKUP(A60,DB_Customers!$A:$D,4,0),"❌ Account Not Found"))</f>
        <v/>
      </c>
      <c r="C60" s="496">
        <f>IF(A60="","",IFERROR(VLOOKUP(A60,DB_Customers!$A:$N,14,0),""))</f>
        <v/>
      </c>
      <c r="D60" s="497">
        <f>IF(A60="","",TODAY())</f>
        <v/>
      </c>
      <c r="E60" s="489" t="n"/>
      <c r="F60" s="498">
        <f>IF(OR(A60="",E60=""),"",IF(C60="","",C60+E60))</f>
        <v/>
      </c>
      <c r="G60" s="384" t="inlineStr">
        <is>
          <t>Agent 01</t>
        </is>
      </c>
      <c r="H60" s="491" t="n"/>
      <c r="I60" s="499">
        <f>IF(A60="","Pending",IF(H60="","⚠️ Enter Code",IF(IFERROR(VLOOKUP(G60,DB_Agents!$B:$I,8,0),"")=H60,IF(AND(A60&lt;&gt;"",E60&lt;&gt;""),"Saved","Pending"),"🔒 BLOCKED — Wrong Code")))</f>
        <v/>
      </c>
      <c r="J60" s="500">
        <f>IF(I60="Saved",TEXT(TODAY(),"YYYY-MM-DD")&amp;" Auto","—")</f>
        <v/>
      </c>
      <c r="K60" s="501" t="n"/>
    </row>
    <row r="61" ht="15" customHeight="1" s="341">
      <c r="A61" s="486" t="n"/>
      <c r="B61" s="378">
        <f>IF(A61="","",IFERROR(VLOOKUP(A61,DB_Customers!$A:$D,4,0),"❌ Account Not Found"))</f>
        <v/>
      </c>
      <c r="C61" s="487">
        <f>IF(A61="","",IFERROR(VLOOKUP(A61,DB_Customers!$A:$N,14,0),""))</f>
        <v/>
      </c>
      <c r="D61" s="488">
        <f>IF(A61="","",TODAY())</f>
        <v/>
      </c>
      <c r="E61" s="489" t="n"/>
      <c r="F61" s="490">
        <f>IF(OR(A61="",E61=""),"",IF(C61="","",C61+E61))</f>
        <v/>
      </c>
      <c r="G61" s="380" t="inlineStr">
        <is>
          <t>Agent 01</t>
        </is>
      </c>
      <c r="H61" s="491" t="n"/>
      <c r="I61" s="492">
        <f>IF(A61="","Pending",IF(H61="","⚠️ Enter Code",IF(IFERROR(VLOOKUP(G61,DB_Agents!$B:$I,8,0),"")=H61,IF(AND(A61&lt;&gt;"",E61&lt;&gt;""),"Saved","Pending"),"🔒 BLOCKED — Wrong Code")))</f>
        <v/>
      </c>
      <c r="J61" s="493">
        <f>IF(I61="Saved",TEXT(TODAY(),"YYYY-MM-DD")&amp;" Auto","—")</f>
        <v/>
      </c>
      <c r="K61" s="494" t="n"/>
    </row>
    <row r="62" ht="15" customHeight="1" s="341">
      <c r="A62" s="495" t="n"/>
      <c r="B62" s="382">
        <f>IF(A62="","",IFERROR(VLOOKUP(A62,DB_Customers!$A:$D,4,0),"❌ Account Not Found"))</f>
        <v/>
      </c>
      <c r="C62" s="496">
        <f>IF(A62="","",IFERROR(VLOOKUP(A62,DB_Customers!$A:$N,14,0),""))</f>
        <v/>
      </c>
      <c r="D62" s="497">
        <f>IF(A62="","",TODAY())</f>
        <v/>
      </c>
      <c r="E62" s="489" t="n"/>
      <c r="F62" s="498">
        <f>IF(OR(A62="",E62=""),"",IF(C62="","",C62+E62))</f>
        <v/>
      </c>
      <c r="G62" s="384" t="inlineStr">
        <is>
          <t>Agent 01</t>
        </is>
      </c>
      <c r="H62" s="491" t="n"/>
      <c r="I62" s="499">
        <f>IF(A62="","Pending",IF(H62="","⚠️ Enter Code",IF(IFERROR(VLOOKUP(G62,DB_Agents!$B:$I,8,0),"")=H62,IF(AND(A62&lt;&gt;"",E62&lt;&gt;""),"Saved","Pending"),"🔒 BLOCKED — Wrong Code")))</f>
        <v/>
      </c>
      <c r="J62" s="500">
        <f>IF(I62="Saved",TEXT(TODAY(),"YYYY-MM-DD")&amp;" Auto","—")</f>
        <v/>
      </c>
      <c r="K62" s="501" t="n"/>
    </row>
    <row r="63" ht="15" customHeight="1" s="341">
      <c r="A63" s="486" t="n"/>
      <c r="B63" s="378">
        <f>IF(A63="","",IFERROR(VLOOKUP(A63,DB_Customers!$A:$D,4,0),"❌ Account Not Found"))</f>
        <v/>
      </c>
      <c r="C63" s="487">
        <f>IF(A63="","",IFERROR(VLOOKUP(A63,DB_Customers!$A:$N,14,0),""))</f>
        <v/>
      </c>
      <c r="D63" s="488">
        <f>IF(A63="","",TODAY())</f>
        <v/>
      </c>
      <c r="E63" s="489" t="n"/>
      <c r="F63" s="490">
        <f>IF(OR(A63="",E63=""),"",IF(C63="","",C63+E63))</f>
        <v/>
      </c>
      <c r="G63" s="380" t="inlineStr">
        <is>
          <t>Agent 01</t>
        </is>
      </c>
      <c r="H63" s="491" t="n"/>
      <c r="I63" s="492">
        <f>IF(A63="","Pending",IF(H63="","⚠️ Enter Code",IF(IFERROR(VLOOKUP(G63,DB_Agents!$B:$I,8,0),"")=H63,IF(AND(A63&lt;&gt;"",E63&lt;&gt;""),"Saved","Pending"),"🔒 BLOCKED — Wrong Code")))</f>
        <v/>
      </c>
      <c r="J63" s="493">
        <f>IF(I63="Saved",TEXT(TODAY(),"YYYY-MM-DD")&amp;" Auto","—")</f>
        <v/>
      </c>
      <c r="K63" s="494" t="n"/>
    </row>
    <row r="64" ht="15" customHeight="1" s="341">
      <c r="A64" s="495" t="n"/>
      <c r="B64" s="382">
        <f>IF(A64="","",IFERROR(VLOOKUP(A64,DB_Customers!$A:$D,4,0),"❌ Account Not Found"))</f>
        <v/>
      </c>
      <c r="C64" s="496">
        <f>IF(A64="","",IFERROR(VLOOKUP(A64,DB_Customers!$A:$N,14,0),""))</f>
        <v/>
      </c>
      <c r="D64" s="497">
        <f>IF(A64="","",TODAY())</f>
        <v/>
      </c>
      <c r="E64" s="489" t="n"/>
      <c r="F64" s="498">
        <f>IF(OR(A64="",E64=""),"",IF(C64="","",C64+E64))</f>
        <v/>
      </c>
      <c r="G64" s="384" t="inlineStr">
        <is>
          <t>Agent 01</t>
        </is>
      </c>
      <c r="H64" s="491" t="n"/>
      <c r="I64" s="499">
        <f>IF(A64="","Pending",IF(H64="","⚠️ Enter Code",IF(IFERROR(VLOOKUP(G64,DB_Agents!$B:$I,8,0),"")=H64,IF(AND(A64&lt;&gt;"",E64&lt;&gt;""),"Saved","Pending"),"🔒 BLOCKED — Wrong Code")))</f>
        <v/>
      </c>
      <c r="J64" s="500">
        <f>IF(I64="Saved",TEXT(TODAY(),"YYYY-MM-DD")&amp;" Auto","—")</f>
        <v/>
      </c>
      <c r="K64" s="501" t="n"/>
    </row>
    <row r="65" ht="15" customHeight="1" s="341">
      <c r="A65" s="486" t="n"/>
      <c r="B65" s="378">
        <f>IF(A65="","",IFERROR(VLOOKUP(A65,DB_Customers!$A:$D,4,0),"❌ Account Not Found"))</f>
        <v/>
      </c>
      <c r="C65" s="487">
        <f>IF(A65="","",IFERROR(VLOOKUP(A65,DB_Customers!$A:$N,14,0),""))</f>
        <v/>
      </c>
      <c r="D65" s="488">
        <f>IF(A65="","",TODAY())</f>
        <v/>
      </c>
      <c r="E65" s="489" t="n"/>
      <c r="F65" s="490">
        <f>IF(OR(A65="",E65=""),"",IF(C65="","",C65+E65))</f>
        <v/>
      </c>
      <c r="G65" s="380" t="inlineStr">
        <is>
          <t>Agent 01</t>
        </is>
      </c>
      <c r="H65" s="491" t="n"/>
      <c r="I65" s="492">
        <f>IF(A65="","Pending",IF(H65="","⚠️ Enter Code",IF(IFERROR(VLOOKUP(G65,DB_Agents!$B:$I,8,0),"")=H65,IF(AND(A65&lt;&gt;"",E65&lt;&gt;""),"Saved","Pending"),"🔒 BLOCKED — Wrong Code")))</f>
        <v/>
      </c>
      <c r="J65" s="493">
        <f>IF(I65="Saved",TEXT(TODAY(),"YYYY-MM-DD")&amp;" Auto","—")</f>
        <v/>
      </c>
      <c r="K65" s="494" t="n"/>
    </row>
    <row r="66" ht="15" customHeight="1" s="341">
      <c r="A66" s="495" t="n"/>
      <c r="B66" s="382">
        <f>IF(A66="","",IFERROR(VLOOKUP(A66,DB_Customers!$A:$D,4,0),"❌ Account Not Found"))</f>
        <v/>
      </c>
      <c r="C66" s="496">
        <f>IF(A66="","",IFERROR(VLOOKUP(A66,DB_Customers!$A:$N,14,0),""))</f>
        <v/>
      </c>
      <c r="D66" s="497">
        <f>IF(A66="","",TODAY())</f>
        <v/>
      </c>
      <c r="E66" s="489" t="n"/>
      <c r="F66" s="498">
        <f>IF(OR(A66="",E66=""),"",IF(C66="","",C66+E66))</f>
        <v/>
      </c>
      <c r="G66" s="384" t="inlineStr">
        <is>
          <t>Agent 01</t>
        </is>
      </c>
      <c r="H66" s="491" t="n"/>
      <c r="I66" s="499">
        <f>IF(A66="","Pending",IF(H66="","⚠️ Enter Code",IF(IFERROR(VLOOKUP(G66,DB_Agents!$B:$I,8,0),"")=H66,IF(AND(A66&lt;&gt;"",E66&lt;&gt;""),"Saved","Pending"),"🔒 BLOCKED — Wrong Code")))</f>
        <v/>
      </c>
      <c r="J66" s="500">
        <f>IF(I66="Saved",TEXT(TODAY(),"YYYY-MM-DD")&amp;" Auto","—")</f>
        <v/>
      </c>
      <c r="K66" s="501" t="n"/>
    </row>
    <row r="67" ht="15" customHeight="1" s="341">
      <c r="A67" s="486" t="n"/>
      <c r="B67" s="378">
        <f>IF(A67="","",IFERROR(VLOOKUP(A67,DB_Customers!$A:$D,4,0),"❌ Account Not Found"))</f>
        <v/>
      </c>
      <c r="C67" s="487">
        <f>IF(A67="","",IFERROR(VLOOKUP(A67,DB_Customers!$A:$N,14,0),""))</f>
        <v/>
      </c>
      <c r="D67" s="488">
        <f>IF(A67="","",TODAY())</f>
        <v/>
      </c>
      <c r="E67" s="489" t="n"/>
      <c r="F67" s="490">
        <f>IF(OR(A67="",E67=""),"",IF(C67="","",C67+E67))</f>
        <v/>
      </c>
      <c r="G67" s="380" t="inlineStr">
        <is>
          <t>Agent 01</t>
        </is>
      </c>
      <c r="H67" s="491" t="n"/>
      <c r="I67" s="492">
        <f>IF(A67="","Pending",IF(H67="","⚠️ Enter Code",IF(IFERROR(VLOOKUP(G67,DB_Agents!$B:$I,8,0),"")=H67,IF(AND(A67&lt;&gt;"",E67&lt;&gt;""),"Saved","Pending"),"🔒 BLOCKED — Wrong Code")))</f>
        <v/>
      </c>
      <c r="J67" s="493">
        <f>IF(I67="Saved",TEXT(TODAY(),"YYYY-MM-DD")&amp;" Auto","—")</f>
        <v/>
      </c>
      <c r="K67" s="494" t="n"/>
    </row>
    <row r="68" ht="15" customHeight="1" s="341">
      <c r="A68" s="495" t="n"/>
      <c r="B68" s="382">
        <f>IF(A68="","",IFERROR(VLOOKUP(A68,DB_Customers!$A:$D,4,0),"❌ Account Not Found"))</f>
        <v/>
      </c>
      <c r="C68" s="496">
        <f>IF(A68="","",IFERROR(VLOOKUP(A68,DB_Customers!$A:$N,14,0),""))</f>
        <v/>
      </c>
      <c r="D68" s="497">
        <f>IF(A68="","",TODAY())</f>
        <v/>
      </c>
      <c r="E68" s="489" t="n"/>
      <c r="F68" s="498">
        <f>IF(OR(A68="",E68=""),"",IF(C68="","",C68+E68))</f>
        <v/>
      </c>
      <c r="G68" s="384" t="inlineStr">
        <is>
          <t>Agent 01</t>
        </is>
      </c>
      <c r="H68" s="491" t="n"/>
      <c r="I68" s="499">
        <f>IF(A68="","Pending",IF(H68="","⚠️ Enter Code",IF(IFERROR(VLOOKUP(G68,DB_Agents!$B:$I,8,0),"")=H68,IF(AND(A68&lt;&gt;"",E68&lt;&gt;""),"Saved","Pending"),"🔒 BLOCKED — Wrong Code")))</f>
        <v/>
      </c>
      <c r="J68" s="500">
        <f>IF(I68="Saved",TEXT(TODAY(),"YYYY-MM-DD")&amp;" Auto","—")</f>
        <v/>
      </c>
      <c r="K68" s="501" t="n"/>
    </row>
    <row r="69" ht="15" customHeight="1" s="341">
      <c r="A69" s="486" t="n"/>
      <c r="B69" s="378">
        <f>IF(A69="","",IFERROR(VLOOKUP(A69,DB_Customers!$A:$D,4,0),"❌ Account Not Found"))</f>
        <v/>
      </c>
      <c r="C69" s="487">
        <f>IF(A69="","",IFERROR(VLOOKUP(A69,DB_Customers!$A:$N,14,0),""))</f>
        <v/>
      </c>
      <c r="D69" s="488">
        <f>IF(A69="","",TODAY())</f>
        <v/>
      </c>
      <c r="E69" s="489" t="n"/>
      <c r="F69" s="490">
        <f>IF(OR(A69="",E69=""),"",IF(C69="","",C69+E69))</f>
        <v/>
      </c>
      <c r="G69" s="380" t="inlineStr">
        <is>
          <t>Agent 01</t>
        </is>
      </c>
      <c r="H69" s="491" t="n"/>
      <c r="I69" s="492">
        <f>IF(A69="","Pending",IF(H69="","⚠️ Enter Code",IF(IFERROR(VLOOKUP(G69,DB_Agents!$B:$I,8,0),"")=H69,IF(AND(A69&lt;&gt;"",E69&lt;&gt;""),"Saved","Pending"),"🔒 BLOCKED — Wrong Code")))</f>
        <v/>
      </c>
      <c r="J69" s="493">
        <f>IF(I69="Saved",TEXT(TODAY(),"YYYY-MM-DD")&amp;" Auto","—")</f>
        <v/>
      </c>
      <c r="K69" s="494" t="n"/>
    </row>
    <row r="70" ht="15" customHeight="1" s="341">
      <c r="A70" s="495" t="n"/>
      <c r="B70" s="382">
        <f>IF(A70="","",IFERROR(VLOOKUP(A70,DB_Customers!$A:$D,4,0),"❌ Account Not Found"))</f>
        <v/>
      </c>
      <c r="C70" s="496">
        <f>IF(A70="","",IFERROR(VLOOKUP(A70,DB_Customers!$A:$N,14,0),""))</f>
        <v/>
      </c>
      <c r="D70" s="497">
        <f>IF(A70="","",TODAY())</f>
        <v/>
      </c>
      <c r="E70" s="489" t="n"/>
      <c r="F70" s="498">
        <f>IF(OR(A70="",E70=""),"",IF(C70="","",C70+E70))</f>
        <v/>
      </c>
      <c r="G70" s="384" t="inlineStr">
        <is>
          <t>Agent 01</t>
        </is>
      </c>
      <c r="H70" s="491" t="n"/>
      <c r="I70" s="499">
        <f>IF(A70="","Pending",IF(H70="","⚠️ Enter Code",IF(IFERROR(VLOOKUP(G70,DB_Agents!$B:$I,8,0),"")=H70,IF(AND(A70&lt;&gt;"",E70&lt;&gt;""),"Saved","Pending"),"🔒 BLOCKED — Wrong Code")))</f>
        <v/>
      </c>
      <c r="J70" s="500">
        <f>IF(I70="Saved",TEXT(TODAY(),"YYYY-MM-DD")&amp;" Auto","—")</f>
        <v/>
      </c>
      <c r="K70" s="501" t="n"/>
    </row>
    <row r="71" ht="15" customHeight="1" s="341">
      <c r="A71" s="486" t="n"/>
      <c r="B71" s="378">
        <f>IF(A71="","",IFERROR(VLOOKUP(A71,DB_Customers!$A:$D,4,0),"❌ Account Not Found"))</f>
        <v/>
      </c>
      <c r="C71" s="487">
        <f>IF(A71="","",IFERROR(VLOOKUP(A71,DB_Customers!$A:$N,14,0),""))</f>
        <v/>
      </c>
      <c r="D71" s="488">
        <f>IF(A71="","",TODAY())</f>
        <v/>
      </c>
      <c r="E71" s="489" t="n"/>
      <c r="F71" s="490">
        <f>IF(OR(A71="",E71=""),"",IF(C71="","",C71+E71))</f>
        <v/>
      </c>
      <c r="G71" s="380" t="inlineStr">
        <is>
          <t>Agent 01</t>
        </is>
      </c>
      <c r="H71" s="491" t="n"/>
      <c r="I71" s="492">
        <f>IF(A71="","Pending",IF(H71="","⚠️ Enter Code",IF(IFERROR(VLOOKUP(G71,DB_Agents!$B:$I,8,0),"")=H71,IF(AND(A71&lt;&gt;"",E71&lt;&gt;""),"Saved","Pending"),"🔒 BLOCKED — Wrong Code")))</f>
        <v/>
      </c>
      <c r="J71" s="493">
        <f>IF(I71="Saved",TEXT(TODAY(),"YYYY-MM-DD")&amp;" Auto","—")</f>
        <v/>
      </c>
      <c r="K71" s="494" t="n"/>
    </row>
    <row r="72" ht="15" customHeight="1" s="341">
      <c r="A72" s="495" t="n"/>
      <c r="B72" s="382">
        <f>IF(A72="","",IFERROR(VLOOKUP(A72,DB_Customers!$A:$D,4,0),"❌ Account Not Found"))</f>
        <v/>
      </c>
      <c r="C72" s="496">
        <f>IF(A72="","",IFERROR(VLOOKUP(A72,DB_Customers!$A:$N,14,0),""))</f>
        <v/>
      </c>
      <c r="D72" s="497">
        <f>IF(A72="","",TODAY())</f>
        <v/>
      </c>
      <c r="E72" s="489" t="n"/>
      <c r="F72" s="498">
        <f>IF(OR(A72="",E72=""),"",IF(C72="","",C72+E72))</f>
        <v/>
      </c>
      <c r="G72" s="384" t="inlineStr">
        <is>
          <t>Agent 01</t>
        </is>
      </c>
      <c r="H72" s="491" t="n"/>
      <c r="I72" s="499">
        <f>IF(A72="","Pending",IF(H72="","⚠️ Enter Code",IF(IFERROR(VLOOKUP(G72,DB_Agents!$B:$I,8,0),"")=H72,IF(AND(A72&lt;&gt;"",E72&lt;&gt;""),"Saved","Pending"),"🔒 BLOCKED — Wrong Code")))</f>
        <v/>
      </c>
      <c r="J72" s="500">
        <f>IF(I72="Saved",TEXT(TODAY(),"YYYY-MM-DD")&amp;" Auto","—")</f>
        <v/>
      </c>
      <c r="K72" s="501" t="n"/>
    </row>
    <row r="73" ht="15" customHeight="1" s="341">
      <c r="A73" s="486" t="n"/>
      <c r="B73" s="378">
        <f>IF(A73="","",IFERROR(VLOOKUP(A73,DB_Customers!$A:$D,4,0),"❌ Account Not Found"))</f>
        <v/>
      </c>
      <c r="C73" s="487">
        <f>IF(A73="","",IFERROR(VLOOKUP(A73,DB_Customers!$A:$N,14,0),""))</f>
        <v/>
      </c>
      <c r="D73" s="488">
        <f>IF(A73="","",TODAY())</f>
        <v/>
      </c>
      <c r="E73" s="489" t="n"/>
      <c r="F73" s="490">
        <f>IF(OR(A73="",E73=""),"",IF(C73="","",C73+E73))</f>
        <v/>
      </c>
      <c r="G73" s="380" t="inlineStr">
        <is>
          <t>Agent 01</t>
        </is>
      </c>
      <c r="H73" s="491" t="n"/>
      <c r="I73" s="492">
        <f>IF(A73="","Pending",IF(H73="","⚠️ Enter Code",IF(IFERROR(VLOOKUP(G73,DB_Agents!$B:$I,8,0),"")=H73,IF(AND(A73&lt;&gt;"",E73&lt;&gt;""),"Saved","Pending"),"🔒 BLOCKED — Wrong Code")))</f>
        <v/>
      </c>
      <c r="J73" s="493">
        <f>IF(I73="Saved",TEXT(TODAY(),"YYYY-MM-DD")&amp;" Auto","—")</f>
        <v/>
      </c>
      <c r="K73" s="494" t="n"/>
    </row>
    <row r="74" ht="15" customHeight="1" s="341">
      <c r="A74" s="495" t="n"/>
      <c r="B74" s="382">
        <f>IF(A74="","",IFERROR(VLOOKUP(A74,DB_Customers!$A:$D,4,0),"❌ Account Not Found"))</f>
        <v/>
      </c>
      <c r="C74" s="496">
        <f>IF(A74="","",IFERROR(VLOOKUP(A74,DB_Customers!$A:$N,14,0),""))</f>
        <v/>
      </c>
      <c r="D74" s="497">
        <f>IF(A74="","",TODAY())</f>
        <v/>
      </c>
      <c r="E74" s="489" t="n"/>
      <c r="F74" s="498">
        <f>IF(OR(A74="",E74=""),"",IF(C74="","",C74+E74))</f>
        <v/>
      </c>
      <c r="G74" s="384" t="inlineStr">
        <is>
          <t>Agent 01</t>
        </is>
      </c>
      <c r="H74" s="491" t="n"/>
      <c r="I74" s="499">
        <f>IF(A74="","Pending",IF(H74="","⚠️ Enter Code",IF(IFERROR(VLOOKUP(G74,DB_Agents!$B:$I,8,0),"")=H74,IF(AND(A74&lt;&gt;"",E74&lt;&gt;""),"Saved","Pending"),"🔒 BLOCKED — Wrong Code")))</f>
        <v/>
      </c>
      <c r="J74" s="500">
        <f>IF(I74="Saved",TEXT(TODAY(),"YYYY-MM-DD")&amp;" Auto","—")</f>
        <v/>
      </c>
      <c r="K74" s="501" t="n"/>
    </row>
    <row r="75" ht="15" customHeight="1" s="341">
      <c r="A75" s="486" t="n"/>
      <c r="B75" s="378">
        <f>IF(A75="","",IFERROR(VLOOKUP(A75,DB_Customers!$A:$D,4,0),"❌ Account Not Found"))</f>
        <v/>
      </c>
      <c r="C75" s="487">
        <f>IF(A75="","",IFERROR(VLOOKUP(A75,DB_Customers!$A:$N,14,0),""))</f>
        <v/>
      </c>
      <c r="D75" s="488">
        <f>IF(A75="","",TODAY())</f>
        <v/>
      </c>
      <c r="E75" s="489" t="n"/>
      <c r="F75" s="490">
        <f>IF(OR(A75="",E75=""),"",IF(C75="","",C75+E75))</f>
        <v/>
      </c>
      <c r="G75" s="380" t="inlineStr">
        <is>
          <t>Agent 01</t>
        </is>
      </c>
      <c r="H75" s="491" t="n"/>
      <c r="I75" s="492">
        <f>IF(A75="","Pending",IF(H75="","⚠️ Enter Code",IF(IFERROR(VLOOKUP(G75,DB_Agents!$B:$I,8,0),"")=H75,IF(AND(A75&lt;&gt;"",E75&lt;&gt;""),"Saved","Pending"),"🔒 BLOCKED — Wrong Code")))</f>
        <v/>
      </c>
      <c r="J75" s="493">
        <f>IF(I75="Saved",TEXT(TODAY(),"YYYY-MM-DD")&amp;" Auto","—")</f>
        <v/>
      </c>
      <c r="K75" s="494" t="n"/>
    </row>
    <row r="76" ht="15" customHeight="1" s="341">
      <c r="A76" s="495" t="n"/>
      <c r="B76" s="382">
        <f>IF(A76="","",IFERROR(VLOOKUP(A76,DB_Customers!$A:$D,4,0),"❌ Account Not Found"))</f>
        <v/>
      </c>
      <c r="C76" s="496">
        <f>IF(A76="","",IFERROR(VLOOKUP(A76,DB_Customers!$A:$N,14,0),""))</f>
        <v/>
      </c>
      <c r="D76" s="497">
        <f>IF(A76="","",TODAY())</f>
        <v/>
      </c>
      <c r="E76" s="489" t="n"/>
      <c r="F76" s="498">
        <f>IF(OR(A76="",E76=""),"",IF(C76="","",C76+E76))</f>
        <v/>
      </c>
      <c r="G76" s="384" t="inlineStr">
        <is>
          <t>Agent 01</t>
        </is>
      </c>
      <c r="H76" s="491" t="n"/>
      <c r="I76" s="499">
        <f>IF(A76="","Pending",IF(H76="","⚠️ Enter Code",IF(IFERROR(VLOOKUP(G76,DB_Agents!$B:$I,8,0),"")=H76,IF(AND(A76&lt;&gt;"",E76&lt;&gt;""),"Saved","Pending"),"🔒 BLOCKED — Wrong Code")))</f>
        <v/>
      </c>
      <c r="J76" s="500">
        <f>IF(I76="Saved",TEXT(TODAY(),"YYYY-MM-DD")&amp;" Auto","—")</f>
        <v/>
      </c>
      <c r="K76" s="501" t="n"/>
    </row>
    <row r="77" ht="15" customHeight="1" s="341">
      <c r="A77" s="486" t="n"/>
      <c r="B77" s="378">
        <f>IF(A77="","",IFERROR(VLOOKUP(A77,DB_Customers!$A:$D,4,0),"❌ Account Not Found"))</f>
        <v/>
      </c>
      <c r="C77" s="487">
        <f>IF(A77="","",IFERROR(VLOOKUP(A77,DB_Customers!$A:$N,14,0),""))</f>
        <v/>
      </c>
      <c r="D77" s="488">
        <f>IF(A77="","",TODAY())</f>
        <v/>
      </c>
      <c r="E77" s="489" t="n"/>
      <c r="F77" s="490">
        <f>IF(OR(A77="",E77=""),"",IF(C77="","",C77+E77))</f>
        <v/>
      </c>
      <c r="G77" s="380" t="inlineStr">
        <is>
          <t>Agent 01</t>
        </is>
      </c>
      <c r="H77" s="491" t="n"/>
      <c r="I77" s="492">
        <f>IF(A77="","Pending",IF(H77="","⚠️ Enter Code",IF(IFERROR(VLOOKUP(G77,DB_Agents!$B:$I,8,0),"")=H77,IF(AND(A77&lt;&gt;"",E77&lt;&gt;""),"Saved","Pending"),"🔒 BLOCKED — Wrong Code")))</f>
        <v/>
      </c>
      <c r="J77" s="493">
        <f>IF(I77="Saved",TEXT(TODAY(),"YYYY-MM-DD")&amp;" Auto","—")</f>
        <v/>
      </c>
      <c r="K77" s="494" t="n"/>
    </row>
    <row r="78" ht="15" customHeight="1" s="341">
      <c r="A78" s="495" t="n"/>
      <c r="B78" s="382">
        <f>IF(A78="","",IFERROR(VLOOKUP(A78,DB_Customers!$A:$D,4,0),"❌ Account Not Found"))</f>
        <v/>
      </c>
      <c r="C78" s="496">
        <f>IF(A78="","",IFERROR(VLOOKUP(A78,DB_Customers!$A:$N,14,0),""))</f>
        <v/>
      </c>
      <c r="D78" s="497">
        <f>IF(A78="","",TODAY())</f>
        <v/>
      </c>
      <c r="E78" s="489" t="n"/>
      <c r="F78" s="498">
        <f>IF(OR(A78="",E78=""),"",IF(C78="","",C78+E78))</f>
        <v/>
      </c>
      <c r="G78" s="384" t="inlineStr">
        <is>
          <t>Agent 01</t>
        </is>
      </c>
      <c r="H78" s="491" t="n"/>
      <c r="I78" s="499">
        <f>IF(A78="","Pending",IF(H78="","⚠️ Enter Code",IF(IFERROR(VLOOKUP(G78,DB_Agents!$B:$I,8,0),"")=H78,IF(AND(A78&lt;&gt;"",E78&lt;&gt;""),"Saved","Pending"),"🔒 BLOCKED — Wrong Code")))</f>
        <v/>
      </c>
      <c r="J78" s="500">
        <f>IF(I78="Saved",TEXT(TODAY(),"YYYY-MM-DD")&amp;" Auto","—")</f>
        <v/>
      </c>
      <c r="K78" s="501" t="n"/>
    </row>
    <row r="79" ht="15" customHeight="1" s="341">
      <c r="A79" s="486" t="n"/>
      <c r="B79" s="378">
        <f>IF(A79="","",IFERROR(VLOOKUP(A79,DB_Customers!$A:$D,4,0),"❌ Account Not Found"))</f>
        <v/>
      </c>
      <c r="C79" s="487">
        <f>IF(A79="","",IFERROR(VLOOKUP(A79,DB_Customers!$A:$N,14,0),""))</f>
        <v/>
      </c>
      <c r="D79" s="488">
        <f>IF(A79="","",TODAY())</f>
        <v/>
      </c>
      <c r="E79" s="489" t="n"/>
      <c r="F79" s="490">
        <f>IF(OR(A79="",E79=""),"",IF(C79="","",C79+E79))</f>
        <v/>
      </c>
      <c r="G79" s="380" t="inlineStr">
        <is>
          <t>Agent 01</t>
        </is>
      </c>
      <c r="H79" s="491" t="n"/>
      <c r="I79" s="492">
        <f>IF(A79="","Pending",IF(H79="","⚠️ Enter Code",IF(IFERROR(VLOOKUP(G79,DB_Agents!$B:$I,8,0),"")=H79,IF(AND(A79&lt;&gt;"",E79&lt;&gt;""),"Saved","Pending"),"🔒 BLOCKED — Wrong Code")))</f>
        <v/>
      </c>
      <c r="J79" s="493">
        <f>IF(I79="Saved",TEXT(TODAY(),"YYYY-MM-DD")&amp;" Auto","—")</f>
        <v/>
      </c>
      <c r="K79" s="494" t="n"/>
    </row>
    <row r="80" ht="15" customHeight="1" s="341">
      <c r="A80" s="495" t="n"/>
      <c r="B80" s="382">
        <f>IF(A80="","",IFERROR(VLOOKUP(A80,DB_Customers!$A:$D,4,0),"❌ Account Not Found"))</f>
        <v/>
      </c>
      <c r="C80" s="496">
        <f>IF(A80="","",IFERROR(VLOOKUP(A80,DB_Customers!$A:$N,14,0),""))</f>
        <v/>
      </c>
      <c r="D80" s="497">
        <f>IF(A80="","",TODAY())</f>
        <v/>
      </c>
      <c r="E80" s="489" t="n"/>
      <c r="F80" s="498">
        <f>IF(OR(A80="",E80=""),"",IF(C80="","",C80+E80))</f>
        <v/>
      </c>
      <c r="G80" s="384" t="inlineStr">
        <is>
          <t>Agent 01</t>
        </is>
      </c>
      <c r="H80" s="491" t="n"/>
      <c r="I80" s="499">
        <f>IF(A80="","Pending",IF(H80="","⚠️ Enter Code",IF(IFERROR(VLOOKUP(G80,DB_Agents!$B:$I,8,0),"")=H80,IF(AND(A80&lt;&gt;"",E80&lt;&gt;""),"Saved","Pending"),"🔒 BLOCKED — Wrong Code")))</f>
        <v/>
      </c>
      <c r="J80" s="500">
        <f>IF(I80="Saved",TEXT(TODAY(),"YYYY-MM-DD")&amp;" Auto","—")</f>
        <v/>
      </c>
      <c r="K80" s="501" t="n"/>
    </row>
    <row r="81" ht="15" customHeight="1" s="341">
      <c r="A81" s="486" t="n"/>
      <c r="B81" s="378">
        <f>IF(A81="","",IFERROR(VLOOKUP(A81,DB_Customers!$A:$D,4,0),"❌ Account Not Found"))</f>
        <v/>
      </c>
      <c r="C81" s="487">
        <f>IF(A81="","",IFERROR(VLOOKUP(A81,DB_Customers!$A:$N,14,0),""))</f>
        <v/>
      </c>
      <c r="D81" s="488">
        <f>IF(A81="","",TODAY())</f>
        <v/>
      </c>
      <c r="E81" s="489" t="n"/>
      <c r="F81" s="490">
        <f>IF(OR(A81="",E81=""),"",IF(C81="","",C81+E81))</f>
        <v/>
      </c>
      <c r="G81" s="380" t="inlineStr">
        <is>
          <t>Agent 01</t>
        </is>
      </c>
      <c r="H81" s="491" t="n"/>
      <c r="I81" s="492">
        <f>IF(A81="","Pending",IF(H81="","⚠️ Enter Code",IF(IFERROR(VLOOKUP(G81,DB_Agents!$B:$I,8,0),"")=H81,IF(AND(A81&lt;&gt;"",E81&lt;&gt;""),"Saved","Pending"),"🔒 BLOCKED — Wrong Code")))</f>
        <v/>
      </c>
      <c r="J81" s="493">
        <f>IF(I81="Saved",TEXT(TODAY(),"YYYY-MM-DD")&amp;" Auto","—")</f>
        <v/>
      </c>
      <c r="K81" s="494" t="n"/>
    </row>
    <row r="82" ht="15" customHeight="1" s="341">
      <c r="A82" s="495" t="n"/>
      <c r="B82" s="382">
        <f>IF(A82="","",IFERROR(VLOOKUP(A82,DB_Customers!$A:$D,4,0),"❌ Account Not Found"))</f>
        <v/>
      </c>
      <c r="C82" s="496">
        <f>IF(A82="","",IFERROR(VLOOKUP(A82,DB_Customers!$A:$N,14,0),""))</f>
        <v/>
      </c>
      <c r="D82" s="497">
        <f>IF(A82="","",TODAY())</f>
        <v/>
      </c>
      <c r="E82" s="489" t="n"/>
      <c r="F82" s="498">
        <f>IF(OR(A82="",E82=""),"",IF(C82="","",C82+E82))</f>
        <v/>
      </c>
      <c r="G82" s="384" t="inlineStr">
        <is>
          <t>Agent 01</t>
        </is>
      </c>
      <c r="H82" s="491" t="n"/>
      <c r="I82" s="499">
        <f>IF(A82="","Pending",IF(H82="","⚠️ Enter Code",IF(IFERROR(VLOOKUP(G82,DB_Agents!$B:$I,8,0),"")=H82,IF(AND(A82&lt;&gt;"",E82&lt;&gt;""),"Saved","Pending"),"🔒 BLOCKED — Wrong Code")))</f>
        <v/>
      </c>
      <c r="J82" s="500">
        <f>IF(I82="Saved",TEXT(TODAY(),"YYYY-MM-DD")&amp;" Auto","—")</f>
        <v/>
      </c>
      <c r="K82" s="501" t="n"/>
    </row>
    <row r="83" ht="15" customHeight="1" s="341">
      <c r="A83" s="486" t="n"/>
      <c r="B83" s="378">
        <f>IF(A83="","",IFERROR(VLOOKUP(A83,DB_Customers!$A:$D,4,0),"❌ Account Not Found"))</f>
        <v/>
      </c>
      <c r="C83" s="487">
        <f>IF(A83="","",IFERROR(VLOOKUP(A83,DB_Customers!$A:$N,14,0),""))</f>
        <v/>
      </c>
      <c r="D83" s="488">
        <f>IF(A83="","",TODAY())</f>
        <v/>
      </c>
      <c r="E83" s="489" t="n"/>
      <c r="F83" s="490">
        <f>IF(OR(A83="",E83=""),"",IF(C83="","",C83+E83))</f>
        <v/>
      </c>
      <c r="G83" s="380" t="inlineStr">
        <is>
          <t>Agent 01</t>
        </is>
      </c>
      <c r="H83" s="491" t="n"/>
      <c r="I83" s="492">
        <f>IF(A83="","Pending",IF(H83="","⚠️ Enter Code",IF(IFERROR(VLOOKUP(G83,DB_Agents!$B:$I,8,0),"")=H83,IF(AND(A83&lt;&gt;"",E83&lt;&gt;""),"Saved","Pending"),"🔒 BLOCKED — Wrong Code")))</f>
        <v/>
      </c>
      <c r="J83" s="493">
        <f>IF(I83="Saved",TEXT(TODAY(),"YYYY-MM-DD")&amp;" Auto","—")</f>
        <v/>
      </c>
      <c r="K83" s="494" t="n"/>
    </row>
    <row r="84" ht="15" customHeight="1" s="341">
      <c r="A84" s="495" t="n"/>
      <c r="B84" s="382">
        <f>IF(A84="","",IFERROR(VLOOKUP(A84,DB_Customers!$A:$D,4,0),"❌ Account Not Found"))</f>
        <v/>
      </c>
      <c r="C84" s="496">
        <f>IF(A84="","",IFERROR(VLOOKUP(A84,DB_Customers!$A:$N,14,0),""))</f>
        <v/>
      </c>
      <c r="D84" s="497">
        <f>IF(A84="","",TODAY())</f>
        <v/>
      </c>
      <c r="E84" s="489" t="n"/>
      <c r="F84" s="498">
        <f>IF(OR(A84="",E84=""),"",IF(C84="","",C84+E84))</f>
        <v/>
      </c>
      <c r="G84" s="384" t="inlineStr">
        <is>
          <t>Agent 01</t>
        </is>
      </c>
      <c r="H84" s="491" t="n"/>
      <c r="I84" s="499">
        <f>IF(A84="","Pending",IF(H84="","⚠️ Enter Code",IF(IFERROR(VLOOKUP(G84,DB_Agents!$B:$I,8,0),"")=H84,IF(AND(A84&lt;&gt;"",E84&lt;&gt;""),"Saved","Pending"),"🔒 BLOCKED — Wrong Code")))</f>
        <v/>
      </c>
      <c r="J84" s="500">
        <f>IF(I84="Saved",TEXT(TODAY(),"YYYY-MM-DD")&amp;" Auto","—")</f>
        <v/>
      </c>
      <c r="K84" s="501" t="n"/>
    </row>
    <row r="85" ht="15" customHeight="1" s="341">
      <c r="A85" s="486" t="n"/>
      <c r="B85" s="378">
        <f>IF(A85="","",IFERROR(VLOOKUP(A85,DB_Customers!$A:$D,4,0),"❌ Account Not Found"))</f>
        <v/>
      </c>
      <c r="C85" s="487">
        <f>IF(A85="","",IFERROR(VLOOKUP(A85,DB_Customers!$A:$N,14,0),""))</f>
        <v/>
      </c>
      <c r="D85" s="488">
        <f>IF(A85="","",TODAY())</f>
        <v/>
      </c>
      <c r="E85" s="489" t="n"/>
      <c r="F85" s="490">
        <f>IF(OR(A85="",E85=""),"",IF(C85="","",C85+E85))</f>
        <v/>
      </c>
      <c r="G85" s="380" t="inlineStr">
        <is>
          <t>Agent 01</t>
        </is>
      </c>
      <c r="H85" s="491" t="n"/>
      <c r="I85" s="492">
        <f>IF(A85="","Pending",IF(H85="","⚠️ Enter Code",IF(IFERROR(VLOOKUP(G85,DB_Agents!$B:$I,8,0),"")=H85,IF(AND(A85&lt;&gt;"",E85&lt;&gt;""),"Saved","Pending"),"🔒 BLOCKED — Wrong Code")))</f>
        <v/>
      </c>
      <c r="J85" s="493">
        <f>IF(I85="Saved",TEXT(TODAY(),"YYYY-MM-DD")&amp;" Auto","—")</f>
        <v/>
      </c>
      <c r="K85" s="494" t="n"/>
    </row>
    <row r="86" ht="15" customHeight="1" s="341">
      <c r="A86" s="495" t="n"/>
      <c r="B86" s="382">
        <f>IF(A86="","",IFERROR(VLOOKUP(A86,DB_Customers!$A:$D,4,0),"❌ Account Not Found"))</f>
        <v/>
      </c>
      <c r="C86" s="496">
        <f>IF(A86="","",IFERROR(VLOOKUP(A86,DB_Customers!$A:$N,14,0),""))</f>
        <v/>
      </c>
      <c r="D86" s="497">
        <f>IF(A86="","",TODAY())</f>
        <v/>
      </c>
      <c r="E86" s="489" t="n"/>
      <c r="F86" s="498">
        <f>IF(OR(A86="",E86=""),"",IF(C86="","",C86+E86))</f>
        <v/>
      </c>
      <c r="G86" s="384" t="inlineStr">
        <is>
          <t>Agent 01</t>
        </is>
      </c>
      <c r="H86" s="491" t="n"/>
      <c r="I86" s="499">
        <f>IF(A86="","Pending",IF(H86="","⚠️ Enter Code",IF(IFERROR(VLOOKUP(G86,DB_Agents!$B:$I,8,0),"")=H86,IF(AND(A86&lt;&gt;"",E86&lt;&gt;""),"Saved","Pending"),"🔒 BLOCKED — Wrong Code")))</f>
        <v/>
      </c>
      <c r="J86" s="500">
        <f>IF(I86="Saved",TEXT(TODAY(),"YYYY-MM-DD")&amp;" Auto","—")</f>
        <v/>
      </c>
      <c r="K86" s="501" t="n"/>
    </row>
    <row r="87" ht="15" customHeight="1" s="341">
      <c r="A87" s="486" t="n"/>
      <c r="B87" s="378">
        <f>IF(A87="","",IFERROR(VLOOKUP(A87,DB_Customers!$A:$D,4,0),"❌ Account Not Found"))</f>
        <v/>
      </c>
      <c r="C87" s="487">
        <f>IF(A87="","",IFERROR(VLOOKUP(A87,DB_Customers!$A:$N,14,0),""))</f>
        <v/>
      </c>
      <c r="D87" s="488">
        <f>IF(A87="","",TODAY())</f>
        <v/>
      </c>
      <c r="E87" s="489" t="n"/>
      <c r="F87" s="490">
        <f>IF(OR(A87="",E87=""),"",IF(C87="","",C87+E87))</f>
        <v/>
      </c>
      <c r="G87" s="380" t="inlineStr">
        <is>
          <t>Agent 01</t>
        </is>
      </c>
      <c r="H87" s="491" t="n"/>
      <c r="I87" s="492">
        <f>IF(A87="","Pending",IF(H87="","⚠️ Enter Code",IF(IFERROR(VLOOKUP(G87,DB_Agents!$B:$I,8,0),"")=H87,IF(AND(A87&lt;&gt;"",E87&lt;&gt;""),"Saved","Pending"),"🔒 BLOCKED — Wrong Code")))</f>
        <v/>
      </c>
      <c r="J87" s="493">
        <f>IF(I87="Saved",TEXT(TODAY(),"YYYY-MM-DD")&amp;" Auto","—")</f>
        <v/>
      </c>
      <c r="K87" s="494" t="n"/>
    </row>
    <row r="88" ht="15" customHeight="1" s="341">
      <c r="A88" s="495" t="n"/>
      <c r="B88" s="382">
        <f>IF(A88="","",IFERROR(VLOOKUP(A88,DB_Customers!$A:$D,4,0),"❌ Account Not Found"))</f>
        <v/>
      </c>
      <c r="C88" s="496">
        <f>IF(A88="","",IFERROR(VLOOKUP(A88,DB_Customers!$A:$N,14,0),""))</f>
        <v/>
      </c>
      <c r="D88" s="497">
        <f>IF(A88="","",TODAY())</f>
        <v/>
      </c>
      <c r="E88" s="489" t="n"/>
      <c r="F88" s="498">
        <f>IF(OR(A88="",E88=""),"",IF(C88="","",C88+E88))</f>
        <v/>
      </c>
      <c r="G88" s="384" t="inlineStr">
        <is>
          <t>Agent 01</t>
        </is>
      </c>
      <c r="H88" s="491" t="n"/>
      <c r="I88" s="499">
        <f>IF(A88="","Pending",IF(H88="","⚠️ Enter Code",IF(IFERROR(VLOOKUP(G88,DB_Agents!$B:$I,8,0),"")=H88,IF(AND(A88&lt;&gt;"",E88&lt;&gt;""),"Saved","Pending"),"🔒 BLOCKED — Wrong Code")))</f>
        <v/>
      </c>
      <c r="J88" s="500">
        <f>IF(I88="Saved",TEXT(TODAY(),"YYYY-MM-DD")&amp;" Auto","—")</f>
        <v/>
      </c>
      <c r="K88" s="501" t="n"/>
    </row>
    <row r="89" ht="15" customHeight="1" s="341">
      <c r="A89" s="486" t="n"/>
      <c r="B89" s="378">
        <f>IF(A89="","",IFERROR(VLOOKUP(A89,DB_Customers!$A:$D,4,0),"❌ Account Not Found"))</f>
        <v/>
      </c>
      <c r="C89" s="487">
        <f>IF(A89="","",IFERROR(VLOOKUP(A89,DB_Customers!$A:$N,14,0),""))</f>
        <v/>
      </c>
      <c r="D89" s="488">
        <f>IF(A89="","",TODAY())</f>
        <v/>
      </c>
      <c r="E89" s="489" t="n"/>
      <c r="F89" s="490">
        <f>IF(OR(A89="",E89=""),"",IF(C89="","",C89+E89))</f>
        <v/>
      </c>
      <c r="G89" s="380" t="inlineStr">
        <is>
          <t>Agent 01</t>
        </is>
      </c>
      <c r="H89" s="491" t="n"/>
      <c r="I89" s="492">
        <f>IF(A89="","Pending",IF(H89="","⚠️ Enter Code",IF(IFERROR(VLOOKUP(G89,DB_Agents!$B:$I,8,0),"")=H89,IF(AND(A89&lt;&gt;"",E89&lt;&gt;""),"Saved","Pending"),"🔒 BLOCKED — Wrong Code")))</f>
        <v/>
      </c>
      <c r="J89" s="493">
        <f>IF(I89="Saved",TEXT(TODAY(),"YYYY-MM-DD")&amp;" Auto","—")</f>
        <v/>
      </c>
      <c r="K89" s="494" t="n"/>
    </row>
    <row r="90" ht="15" customHeight="1" s="341">
      <c r="A90" s="495" t="n"/>
      <c r="B90" s="382">
        <f>IF(A90="","",IFERROR(VLOOKUP(A90,DB_Customers!$A:$D,4,0),"❌ Account Not Found"))</f>
        <v/>
      </c>
      <c r="C90" s="496">
        <f>IF(A90="","",IFERROR(VLOOKUP(A90,DB_Customers!$A:$N,14,0),""))</f>
        <v/>
      </c>
      <c r="D90" s="497">
        <f>IF(A90="","",TODAY())</f>
        <v/>
      </c>
      <c r="E90" s="489" t="n"/>
      <c r="F90" s="498">
        <f>IF(OR(A90="",E90=""),"",IF(C90="","",C90+E90))</f>
        <v/>
      </c>
      <c r="G90" s="384" t="inlineStr">
        <is>
          <t>Agent 01</t>
        </is>
      </c>
      <c r="H90" s="491" t="n"/>
      <c r="I90" s="499">
        <f>IF(A90="","Pending",IF(H90="","⚠️ Enter Code",IF(IFERROR(VLOOKUP(G90,DB_Agents!$B:$I,8,0),"")=H90,IF(AND(A90&lt;&gt;"",E90&lt;&gt;""),"Saved","Pending"),"🔒 BLOCKED — Wrong Code")))</f>
        <v/>
      </c>
      <c r="J90" s="500">
        <f>IF(I90="Saved",TEXT(TODAY(),"YYYY-MM-DD")&amp;" Auto","—")</f>
        <v/>
      </c>
      <c r="K90" s="501" t="n"/>
    </row>
    <row r="91" ht="15" customHeight="1" s="341">
      <c r="A91" s="486" t="n"/>
      <c r="B91" s="378">
        <f>IF(A91="","",IFERROR(VLOOKUP(A91,DB_Customers!$A:$D,4,0),"❌ Account Not Found"))</f>
        <v/>
      </c>
      <c r="C91" s="487">
        <f>IF(A91="","",IFERROR(VLOOKUP(A91,DB_Customers!$A:$N,14,0),""))</f>
        <v/>
      </c>
      <c r="D91" s="488">
        <f>IF(A91="","",TODAY())</f>
        <v/>
      </c>
      <c r="E91" s="489" t="n"/>
      <c r="F91" s="490">
        <f>IF(OR(A91="",E91=""),"",IF(C91="","",C91+E91))</f>
        <v/>
      </c>
      <c r="G91" s="380" t="inlineStr">
        <is>
          <t>Agent 01</t>
        </is>
      </c>
      <c r="H91" s="491" t="n"/>
      <c r="I91" s="492">
        <f>IF(A91="","Pending",IF(H91="","⚠️ Enter Code",IF(IFERROR(VLOOKUP(G91,DB_Agents!$B:$I,8,0),"")=H91,IF(AND(A91&lt;&gt;"",E91&lt;&gt;""),"Saved","Pending"),"🔒 BLOCKED — Wrong Code")))</f>
        <v/>
      </c>
      <c r="J91" s="493">
        <f>IF(I91="Saved",TEXT(TODAY(),"YYYY-MM-DD")&amp;" Auto","—")</f>
        <v/>
      </c>
      <c r="K91" s="494" t="n"/>
    </row>
    <row r="92" ht="15" customHeight="1" s="341">
      <c r="A92" s="495" t="n"/>
      <c r="B92" s="382">
        <f>IF(A92="","",IFERROR(VLOOKUP(A92,DB_Customers!$A:$D,4,0),"❌ Account Not Found"))</f>
        <v/>
      </c>
      <c r="C92" s="496">
        <f>IF(A92="","",IFERROR(VLOOKUP(A92,DB_Customers!$A:$N,14,0),""))</f>
        <v/>
      </c>
      <c r="D92" s="497">
        <f>IF(A92="","",TODAY())</f>
        <v/>
      </c>
      <c r="E92" s="489" t="n"/>
      <c r="F92" s="498">
        <f>IF(OR(A92="",E92=""),"",IF(C92="","",C92+E92))</f>
        <v/>
      </c>
      <c r="G92" s="384" t="inlineStr">
        <is>
          <t>Agent 01</t>
        </is>
      </c>
      <c r="H92" s="491" t="n"/>
      <c r="I92" s="499">
        <f>IF(A92="","Pending",IF(H92="","⚠️ Enter Code",IF(IFERROR(VLOOKUP(G92,DB_Agents!$B:$I,8,0),"")=H92,IF(AND(A92&lt;&gt;"",E92&lt;&gt;""),"Saved","Pending"),"🔒 BLOCKED — Wrong Code")))</f>
        <v/>
      </c>
      <c r="J92" s="500">
        <f>IF(I92="Saved",TEXT(TODAY(),"YYYY-MM-DD")&amp;" Auto","—")</f>
        <v/>
      </c>
      <c r="K92" s="501" t="n"/>
    </row>
    <row r="93" ht="15" customHeight="1" s="341">
      <c r="A93" s="486" t="n"/>
      <c r="B93" s="378">
        <f>IF(A93="","",IFERROR(VLOOKUP(A93,DB_Customers!$A:$D,4,0),"❌ Account Not Found"))</f>
        <v/>
      </c>
      <c r="C93" s="487">
        <f>IF(A93="","",IFERROR(VLOOKUP(A93,DB_Customers!$A:$N,14,0),""))</f>
        <v/>
      </c>
      <c r="D93" s="488">
        <f>IF(A93="","",TODAY())</f>
        <v/>
      </c>
      <c r="E93" s="489" t="n"/>
      <c r="F93" s="490">
        <f>IF(OR(A93="",E93=""),"",IF(C93="","",C93+E93))</f>
        <v/>
      </c>
      <c r="G93" s="380" t="inlineStr">
        <is>
          <t>Agent 01</t>
        </is>
      </c>
      <c r="H93" s="491" t="n"/>
      <c r="I93" s="492">
        <f>IF(A93="","Pending",IF(H93="","⚠️ Enter Code",IF(IFERROR(VLOOKUP(G93,DB_Agents!$B:$I,8,0),"")=H93,IF(AND(A93&lt;&gt;"",E93&lt;&gt;""),"Saved","Pending"),"🔒 BLOCKED — Wrong Code")))</f>
        <v/>
      </c>
      <c r="J93" s="493">
        <f>IF(I93="Saved",TEXT(TODAY(),"YYYY-MM-DD")&amp;" Auto","—")</f>
        <v/>
      </c>
      <c r="K93" s="494" t="n"/>
    </row>
    <row r="94" ht="15" customHeight="1" s="341">
      <c r="A94" s="495" t="n"/>
      <c r="B94" s="382">
        <f>IF(A94="","",IFERROR(VLOOKUP(A94,DB_Customers!$A:$D,4,0),"❌ Account Not Found"))</f>
        <v/>
      </c>
      <c r="C94" s="496">
        <f>IF(A94="","",IFERROR(VLOOKUP(A94,DB_Customers!$A:$N,14,0),""))</f>
        <v/>
      </c>
      <c r="D94" s="497">
        <f>IF(A94="","",TODAY())</f>
        <v/>
      </c>
      <c r="E94" s="489" t="n"/>
      <c r="F94" s="498">
        <f>IF(OR(A94="",E94=""),"",IF(C94="","",C94+E94))</f>
        <v/>
      </c>
      <c r="G94" s="384" t="inlineStr">
        <is>
          <t>Agent 01</t>
        </is>
      </c>
      <c r="H94" s="491" t="n"/>
      <c r="I94" s="499">
        <f>IF(A94="","Pending",IF(H94="","⚠️ Enter Code",IF(IFERROR(VLOOKUP(G94,DB_Agents!$B:$I,8,0),"")=H94,IF(AND(A94&lt;&gt;"",E94&lt;&gt;""),"Saved","Pending"),"🔒 BLOCKED — Wrong Code")))</f>
        <v/>
      </c>
      <c r="J94" s="500">
        <f>IF(I94="Saved",TEXT(TODAY(),"YYYY-MM-DD")&amp;" Auto","—")</f>
        <v/>
      </c>
      <c r="K94" s="501" t="n"/>
    </row>
    <row r="95" ht="15" customHeight="1" s="341">
      <c r="A95" s="486" t="n"/>
      <c r="B95" s="378">
        <f>IF(A95="","",IFERROR(VLOOKUP(A95,DB_Customers!$A:$D,4,0),"❌ Account Not Found"))</f>
        <v/>
      </c>
      <c r="C95" s="487">
        <f>IF(A95="","",IFERROR(VLOOKUP(A95,DB_Customers!$A:$N,14,0),""))</f>
        <v/>
      </c>
      <c r="D95" s="488">
        <f>IF(A95="","",TODAY())</f>
        <v/>
      </c>
      <c r="E95" s="489" t="n"/>
      <c r="F95" s="490">
        <f>IF(OR(A95="",E95=""),"",IF(C95="","",C95+E95))</f>
        <v/>
      </c>
      <c r="G95" s="380" t="inlineStr">
        <is>
          <t>Agent 01</t>
        </is>
      </c>
      <c r="H95" s="491" t="n"/>
      <c r="I95" s="492">
        <f>IF(A95="","Pending",IF(H95="","⚠️ Enter Code",IF(IFERROR(VLOOKUP(G95,DB_Agents!$B:$I,8,0),"")=H95,IF(AND(A95&lt;&gt;"",E95&lt;&gt;""),"Saved","Pending"),"🔒 BLOCKED — Wrong Code")))</f>
        <v/>
      </c>
      <c r="J95" s="493">
        <f>IF(I95="Saved",TEXT(TODAY(),"YYYY-MM-DD")&amp;" Auto","—")</f>
        <v/>
      </c>
      <c r="K95" s="494" t="n"/>
    </row>
    <row r="96" ht="15" customHeight="1" s="341">
      <c r="A96" s="495" t="n"/>
      <c r="B96" s="382">
        <f>IF(A96="","",IFERROR(VLOOKUP(A96,DB_Customers!$A:$D,4,0),"❌ Account Not Found"))</f>
        <v/>
      </c>
      <c r="C96" s="496">
        <f>IF(A96="","",IFERROR(VLOOKUP(A96,DB_Customers!$A:$N,14,0),""))</f>
        <v/>
      </c>
      <c r="D96" s="497">
        <f>IF(A96="","",TODAY())</f>
        <v/>
      </c>
      <c r="E96" s="489" t="n"/>
      <c r="F96" s="498">
        <f>IF(OR(A96="",E96=""),"",IF(C96="","",C96+E96))</f>
        <v/>
      </c>
      <c r="G96" s="384" t="inlineStr">
        <is>
          <t>Agent 01</t>
        </is>
      </c>
      <c r="H96" s="491" t="n"/>
      <c r="I96" s="499">
        <f>IF(A96="","Pending",IF(H96="","⚠️ Enter Code",IF(IFERROR(VLOOKUP(G96,DB_Agents!$B:$I,8,0),"")=H96,IF(AND(A96&lt;&gt;"",E96&lt;&gt;""),"Saved","Pending"),"🔒 BLOCKED — Wrong Code")))</f>
        <v/>
      </c>
      <c r="J96" s="500">
        <f>IF(I96="Saved",TEXT(TODAY(),"YYYY-MM-DD")&amp;" Auto","—")</f>
        <v/>
      </c>
      <c r="K96" s="501" t="n"/>
    </row>
    <row r="97" ht="15" customHeight="1" s="341">
      <c r="A97" s="486" t="n"/>
      <c r="B97" s="378">
        <f>IF(A97="","",IFERROR(VLOOKUP(A97,DB_Customers!$A:$D,4,0),"❌ Account Not Found"))</f>
        <v/>
      </c>
      <c r="C97" s="487">
        <f>IF(A97="","",IFERROR(VLOOKUP(A97,DB_Customers!$A:$N,14,0),""))</f>
        <v/>
      </c>
      <c r="D97" s="488">
        <f>IF(A97="","",TODAY())</f>
        <v/>
      </c>
      <c r="E97" s="489" t="n"/>
      <c r="F97" s="490">
        <f>IF(OR(A97="",E97=""),"",IF(C97="","",C97+E97))</f>
        <v/>
      </c>
      <c r="G97" s="380" t="inlineStr">
        <is>
          <t>Agent 01</t>
        </is>
      </c>
      <c r="H97" s="491" t="n"/>
      <c r="I97" s="492">
        <f>IF(A97="","Pending",IF(H97="","⚠️ Enter Code",IF(IFERROR(VLOOKUP(G97,DB_Agents!$B:$I,8,0),"")=H97,IF(AND(A97&lt;&gt;"",E97&lt;&gt;""),"Saved","Pending"),"🔒 BLOCKED — Wrong Code")))</f>
        <v/>
      </c>
      <c r="J97" s="493">
        <f>IF(I97="Saved",TEXT(TODAY(),"YYYY-MM-DD")&amp;" Auto","—")</f>
        <v/>
      </c>
      <c r="K97" s="494" t="n"/>
    </row>
    <row r="98" ht="15" customHeight="1" s="341">
      <c r="A98" s="495" t="n"/>
      <c r="B98" s="382">
        <f>IF(A98="","",IFERROR(VLOOKUP(A98,DB_Customers!$A:$D,4,0),"❌ Account Not Found"))</f>
        <v/>
      </c>
      <c r="C98" s="496">
        <f>IF(A98="","",IFERROR(VLOOKUP(A98,DB_Customers!$A:$N,14,0),""))</f>
        <v/>
      </c>
      <c r="D98" s="497">
        <f>IF(A98="","",TODAY())</f>
        <v/>
      </c>
      <c r="E98" s="489" t="n"/>
      <c r="F98" s="498">
        <f>IF(OR(A98="",E98=""),"",IF(C98="","",C98+E98))</f>
        <v/>
      </c>
      <c r="G98" s="384" t="inlineStr">
        <is>
          <t>Agent 01</t>
        </is>
      </c>
      <c r="H98" s="491" t="n"/>
      <c r="I98" s="499">
        <f>IF(A98="","Pending",IF(H98="","⚠️ Enter Code",IF(IFERROR(VLOOKUP(G98,DB_Agents!$B:$I,8,0),"")=H98,IF(AND(A98&lt;&gt;"",E98&lt;&gt;""),"Saved","Pending"),"🔒 BLOCKED — Wrong Code")))</f>
        <v/>
      </c>
      <c r="J98" s="500">
        <f>IF(I98="Saved",TEXT(TODAY(),"YYYY-MM-DD")&amp;" Auto","—")</f>
        <v/>
      </c>
      <c r="K98" s="501" t="n"/>
    </row>
    <row r="99" ht="15" customHeight="1" s="341">
      <c r="A99" s="486" t="n"/>
      <c r="B99" s="378">
        <f>IF(A99="","",IFERROR(VLOOKUP(A99,DB_Customers!$A:$D,4,0),"❌ Account Not Found"))</f>
        <v/>
      </c>
      <c r="C99" s="487">
        <f>IF(A99="","",IFERROR(VLOOKUP(A99,DB_Customers!$A:$N,14,0),""))</f>
        <v/>
      </c>
      <c r="D99" s="488">
        <f>IF(A99="","",TODAY())</f>
        <v/>
      </c>
      <c r="E99" s="489" t="n"/>
      <c r="F99" s="490">
        <f>IF(OR(A99="",E99=""),"",IF(C99="","",C99+E99))</f>
        <v/>
      </c>
      <c r="G99" s="380" t="inlineStr">
        <is>
          <t>Agent 01</t>
        </is>
      </c>
      <c r="H99" s="491" t="n"/>
      <c r="I99" s="492">
        <f>IF(A99="","Pending",IF(H99="","⚠️ Enter Code",IF(IFERROR(VLOOKUP(G99,DB_Agents!$B:$I,8,0),"")=H99,IF(AND(A99&lt;&gt;"",E99&lt;&gt;""),"Saved","Pending"),"🔒 BLOCKED — Wrong Code")))</f>
        <v/>
      </c>
      <c r="J99" s="493">
        <f>IF(I99="Saved",TEXT(TODAY(),"YYYY-MM-DD")&amp;" Auto","—")</f>
        <v/>
      </c>
      <c r="K99" s="494" t="n"/>
    </row>
    <row r="100" ht="15" customHeight="1" s="341">
      <c r="A100" s="495" t="n"/>
      <c r="B100" s="382">
        <f>IF(A100="","",IFERROR(VLOOKUP(A100,DB_Customers!$A:$D,4,0),"❌ Account Not Found"))</f>
        <v/>
      </c>
      <c r="C100" s="496">
        <f>IF(A100="","",IFERROR(VLOOKUP(A100,DB_Customers!$A:$N,14,0),""))</f>
        <v/>
      </c>
      <c r="D100" s="497">
        <f>IF(A100="","",TODAY())</f>
        <v/>
      </c>
      <c r="E100" s="489" t="n"/>
      <c r="F100" s="498">
        <f>IF(OR(A100="",E100=""),"",IF(C100="","",C100+E100))</f>
        <v/>
      </c>
      <c r="G100" s="384" t="inlineStr">
        <is>
          <t>Agent 01</t>
        </is>
      </c>
      <c r="H100" s="491" t="n"/>
      <c r="I100" s="499">
        <f>IF(A100="","Pending",IF(H100="","⚠️ Enter Code",IF(IFERROR(VLOOKUP(G100,DB_Agents!$B:$I,8,0),"")=H100,IF(AND(A100&lt;&gt;"",E100&lt;&gt;""),"Saved","Pending"),"🔒 BLOCKED — Wrong Code")))</f>
        <v/>
      </c>
      <c r="J100" s="500">
        <f>IF(I100="Saved",TEXT(TODAY(),"YYYY-MM-DD")&amp;" Auto","—")</f>
        <v/>
      </c>
      <c r="K100" s="501" t="n"/>
    </row>
    <row r="101" ht="15" customHeight="1" s="341">
      <c r="A101" s="486" t="n"/>
      <c r="B101" s="378">
        <f>IF(A101="","",IFERROR(VLOOKUP(A101,DB_Customers!$A:$D,4,0),"❌ Account Not Found"))</f>
        <v/>
      </c>
      <c r="C101" s="487">
        <f>IF(A101="","",IFERROR(VLOOKUP(A101,DB_Customers!$A:$N,14,0),""))</f>
        <v/>
      </c>
      <c r="D101" s="488">
        <f>IF(A101="","",TODAY())</f>
        <v/>
      </c>
      <c r="E101" s="489" t="n"/>
      <c r="F101" s="490">
        <f>IF(OR(A101="",E101=""),"",IF(C101="","",C101+E101))</f>
        <v/>
      </c>
      <c r="G101" s="380" t="inlineStr">
        <is>
          <t>Agent 01</t>
        </is>
      </c>
      <c r="H101" s="491" t="n"/>
      <c r="I101" s="492">
        <f>IF(A101="","Pending",IF(H101="","⚠️ Enter Code",IF(IFERROR(VLOOKUP(G101,DB_Agents!$B:$I,8,0),"")=H101,IF(AND(A101&lt;&gt;"",E101&lt;&gt;""),"Saved","Pending"),"🔒 BLOCKED — Wrong Code")))</f>
        <v/>
      </c>
      <c r="J101" s="493">
        <f>IF(I101="Saved",TEXT(TODAY(),"YYYY-MM-DD")&amp;" Auto","—")</f>
        <v/>
      </c>
      <c r="K101" s="494" t="n"/>
    </row>
    <row r="102" ht="15" customHeight="1" s="341">
      <c r="A102" s="495" t="n"/>
      <c r="B102" s="382">
        <f>IF(A102="","",IFERROR(VLOOKUP(A102,DB_Customers!$A:$D,4,0),"❌ Account Not Found"))</f>
        <v/>
      </c>
      <c r="C102" s="496">
        <f>IF(A102="","",IFERROR(VLOOKUP(A102,DB_Customers!$A:$N,14,0),""))</f>
        <v/>
      </c>
      <c r="D102" s="497">
        <f>IF(A102="","",TODAY())</f>
        <v/>
      </c>
      <c r="E102" s="489" t="n"/>
      <c r="F102" s="498">
        <f>IF(OR(A102="",E102=""),"",IF(C102="","",C102+E102))</f>
        <v/>
      </c>
      <c r="G102" s="384" t="inlineStr">
        <is>
          <t>Agent 01</t>
        </is>
      </c>
      <c r="H102" s="491" t="n"/>
      <c r="I102" s="499">
        <f>IF(A102="","Pending",IF(H102="","⚠️ Enter Code",IF(IFERROR(VLOOKUP(G102,DB_Agents!$B:$I,8,0),"")=H102,IF(AND(A102&lt;&gt;"",E102&lt;&gt;""),"Saved","Pending"),"🔒 BLOCKED — Wrong Code")))</f>
        <v/>
      </c>
      <c r="J102" s="500">
        <f>IF(I102="Saved",TEXT(TODAY(),"YYYY-MM-DD")&amp;" Auto","—")</f>
        <v/>
      </c>
      <c r="K102" s="501" t="n"/>
    </row>
    <row r="103" ht="15" customHeight="1" s="341">
      <c r="A103" s="486" t="n"/>
      <c r="B103" s="378">
        <f>IF(A103="","",IFERROR(VLOOKUP(A103,DB_Customers!$A:$D,4,0),"❌ Account Not Found"))</f>
        <v/>
      </c>
      <c r="C103" s="487">
        <f>IF(A103="","",IFERROR(VLOOKUP(A103,DB_Customers!$A:$N,14,0),""))</f>
        <v/>
      </c>
      <c r="D103" s="488">
        <f>IF(A103="","",TODAY())</f>
        <v/>
      </c>
      <c r="E103" s="489" t="n"/>
      <c r="F103" s="490">
        <f>IF(OR(A103="",E103=""),"",IF(C103="","",C103+E103))</f>
        <v/>
      </c>
      <c r="G103" s="380" t="inlineStr">
        <is>
          <t>Agent 01</t>
        </is>
      </c>
      <c r="H103" s="491" t="n"/>
      <c r="I103" s="492">
        <f>IF(A103="","Pending",IF(H103="","⚠️ Enter Code",IF(IFERROR(VLOOKUP(G103,DB_Agents!$B:$I,8,0),"")=H103,IF(AND(A103&lt;&gt;"",E103&lt;&gt;""),"Saved","Pending"),"🔒 BLOCKED — Wrong Code")))</f>
        <v/>
      </c>
      <c r="J103" s="493">
        <f>IF(I103="Saved",TEXT(TODAY(),"YYYY-MM-DD")&amp;" Auto","—")</f>
        <v/>
      </c>
      <c r="K103" s="494" t="n"/>
    </row>
    <row r="104" ht="15" customHeight="1" s="341">
      <c r="A104" s="495" t="n"/>
      <c r="B104" s="382">
        <f>IF(A104="","",IFERROR(VLOOKUP(A104,DB_Customers!$A:$D,4,0),"❌ Account Not Found"))</f>
        <v/>
      </c>
      <c r="C104" s="496">
        <f>IF(A104="","",IFERROR(VLOOKUP(A104,DB_Customers!$A:$N,14,0),""))</f>
        <v/>
      </c>
      <c r="D104" s="497">
        <f>IF(A104="","",TODAY())</f>
        <v/>
      </c>
      <c r="E104" s="489" t="n"/>
      <c r="F104" s="498">
        <f>IF(OR(A104="",E104=""),"",IF(C104="","",C104+E104))</f>
        <v/>
      </c>
      <c r="G104" s="384" t="inlineStr">
        <is>
          <t>Agent 01</t>
        </is>
      </c>
      <c r="H104" s="491" t="n"/>
      <c r="I104" s="499">
        <f>IF(A104="","Pending",IF(H104="","⚠️ Enter Code",IF(IFERROR(VLOOKUP(G104,DB_Agents!$B:$I,8,0),"")=H104,IF(AND(A104&lt;&gt;"",E104&lt;&gt;""),"Saved","Pending"),"🔒 BLOCKED — Wrong Code")))</f>
        <v/>
      </c>
      <c r="J104" s="500">
        <f>IF(I104="Saved",TEXT(TODAY(),"YYYY-MM-DD")&amp;" Auto","—")</f>
        <v/>
      </c>
      <c r="K104" s="501" t="n"/>
    </row>
    <row r="105" ht="15" customHeight="1" s="341">
      <c r="A105" s="486" t="n"/>
      <c r="B105" s="378">
        <f>IF(A105="","",IFERROR(VLOOKUP(A105,DB_Customers!$A:$D,4,0),"❌ Account Not Found"))</f>
        <v/>
      </c>
      <c r="C105" s="487">
        <f>IF(A105="","",IFERROR(VLOOKUP(A105,DB_Customers!$A:$N,14,0),""))</f>
        <v/>
      </c>
      <c r="D105" s="488">
        <f>IF(A105="","",TODAY())</f>
        <v/>
      </c>
      <c r="E105" s="489" t="n"/>
      <c r="F105" s="490">
        <f>IF(OR(A105="",E105=""),"",IF(C105="","",C105+E105))</f>
        <v/>
      </c>
      <c r="G105" s="380" t="inlineStr">
        <is>
          <t>Agent 01</t>
        </is>
      </c>
      <c r="H105" s="491" t="n"/>
      <c r="I105" s="492">
        <f>IF(A105="","Pending",IF(H105="","⚠️ Enter Code",IF(IFERROR(VLOOKUP(G105,DB_Agents!$B:$I,8,0),"")=H105,IF(AND(A105&lt;&gt;"",E105&lt;&gt;""),"Saved","Pending"),"🔒 BLOCKED — Wrong Code")))</f>
        <v/>
      </c>
      <c r="J105" s="493">
        <f>IF(I105="Saved",TEXT(TODAY(),"YYYY-MM-DD")&amp;" Auto","—")</f>
        <v/>
      </c>
      <c r="K105" s="494" t="n"/>
    </row>
    <row r="106" ht="15" customHeight="1" s="341">
      <c r="A106" s="495" t="n"/>
      <c r="B106" s="382">
        <f>IF(A106="","",IFERROR(VLOOKUP(A106,DB_Customers!$A:$D,4,0),"❌ Account Not Found"))</f>
        <v/>
      </c>
      <c r="C106" s="496">
        <f>IF(A106="","",IFERROR(VLOOKUP(A106,DB_Customers!$A:$N,14,0),""))</f>
        <v/>
      </c>
      <c r="D106" s="497">
        <f>IF(A106="","",TODAY())</f>
        <v/>
      </c>
      <c r="E106" s="489" t="n"/>
      <c r="F106" s="498">
        <f>IF(OR(A106="",E106=""),"",IF(C106="","",C106+E106))</f>
        <v/>
      </c>
      <c r="G106" s="384" t="inlineStr">
        <is>
          <t>Agent 01</t>
        </is>
      </c>
      <c r="H106" s="491" t="n"/>
      <c r="I106" s="499">
        <f>IF(A106="","Pending",IF(H106="","⚠️ Enter Code",IF(IFERROR(VLOOKUP(G106,DB_Agents!$B:$I,8,0),"")=H106,IF(AND(A106&lt;&gt;"",E106&lt;&gt;""),"Saved","Pending"),"🔒 BLOCKED — Wrong Code")))</f>
        <v/>
      </c>
      <c r="J106" s="500">
        <f>IF(I106="Saved",TEXT(TODAY(),"YYYY-MM-DD")&amp;" Auto","—")</f>
        <v/>
      </c>
      <c r="K106" s="501" t="n"/>
    </row>
    <row r="107" ht="15" customHeight="1" s="341">
      <c r="A107" s="486" t="n"/>
      <c r="B107" s="378">
        <f>IF(A107="","",IFERROR(VLOOKUP(A107,DB_Customers!$A:$D,4,0),"❌ Account Not Found"))</f>
        <v/>
      </c>
      <c r="C107" s="487">
        <f>IF(A107="","",IFERROR(VLOOKUP(A107,DB_Customers!$A:$N,14,0),""))</f>
        <v/>
      </c>
      <c r="D107" s="488">
        <f>IF(A107="","",TODAY())</f>
        <v/>
      </c>
      <c r="E107" s="489" t="n"/>
      <c r="F107" s="490">
        <f>IF(OR(A107="",E107=""),"",IF(C107="","",C107+E107))</f>
        <v/>
      </c>
      <c r="G107" s="380" t="inlineStr">
        <is>
          <t>Agent 01</t>
        </is>
      </c>
      <c r="H107" s="491" t="n"/>
      <c r="I107" s="492">
        <f>IF(A107="","Pending",IF(H107="","⚠️ Enter Code",IF(IFERROR(VLOOKUP(G107,DB_Agents!$B:$I,8,0),"")=H107,IF(AND(A107&lt;&gt;"",E107&lt;&gt;""),"Saved","Pending"),"🔒 BLOCKED — Wrong Code")))</f>
        <v/>
      </c>
      <c r="J107" s="493">
        <f>IF(I107="Saved",TEXT(TODAY(),"YYYY-MM-DD")&amp;" Auto","—")</f>
        <v/>
      </c>
      <c r="K107" s="494" t="n"/>
    </row>
    <row r="108" ht="15" customHeight="1" s="341">
      <c r="A108" s="495" t="n"/>
      <c r="B108" s="382">
        <f>IF(A108="","",IFERROR(VLOOKUP(A108,DB_Customers!$A:$D,4,0),"❌ Account Not Found"))</f>
        <v/>
      </c>
      <c r="C108" s="496">
        <f>IF(A108="","",IFERROR(VLOOKUP(A108,DB_Customers!$A:$N,14,0),""))</f>
        <v/>
      </c>
      <c r="D108" s="497">
        <f>IF(A108="","",TODAY())</f>
        <v/>
      </c>
      <c r="E108" s="489" t="n"/>
      <c r="F108" s="498">
        <f>IF(OR(A108="",E108=""),"",IF(C108="","",C108+E108))</f>
        <v/>
      </c>
      <c r="G108" s="384" t="inlineStr">
        <is>
          <t>Agent 01</t>
        </is>
      </c>
      <c r="H108" s="491" t="n"/>
      <c r="I108" s="499">
        <f>IF(A108="","Pending",IF(H108="","⚠️ Enter Code",IF(IFERROR(VLOOKUP(G108,DB_Agents!$B:$I,8,0),"")=H108,IF(AND(A108&lt;&gt;"",E108&lt;&gt;""),"Saved","Pending"),"🔒 BLOCKED — Wrong Code")))</f>
        <v/>
      </c>
      <c r="J108" s="500">
        <f>IF(I108="Saved",TEXT(TODAY(),"YYYY-MM-DD")&amp;" Auto","—")</f>
        <v/>
      </c>
      <c r="K108" s="501" t="n"/>
    </row>
    <row r="109" ht="15" customHeight="1" s="341">
      <c r="A109" s="486" t="n"/>
      <c r="B109" s="378">
        <f>IF(A109="","",IFERROR(VLOOKUP(A109,DB_Customers!$A:$D,4,0),"❌ Account Not Found"))</f>
        <v/>
      </c>
      <c r="C109" s="487">
        <f>IF(A109="","",IFERROR(VLOOKUP(A109,DB_Customers!$A:$N,14,0),""))</f>
        <v/>
      </c>
      <c r="D109" s="488">
        <f>IF(A109="","",TODAY())</f>
        <v/>
      </c>
      <c r="E109" s="489" t="n"/>
      <c r="F109" s="490">
        <f>IF(OR(A109="",E109=""),"",IF(C109="","",C109+E109))</f>
        <v/>
      </c>
      <c r="G109" s="380" t="inlineStr">
        <is>
          <t>Agent 01</t>
        </is>
      </c>
      <c r="H109" s="491" t="n"/>
      <c r="I109" s="492">
        <f>IF(A109="","Pending",IF(H109="","⚠️ Enter Code",IF(IFERROR(VLOOKUP(G109,DB_Agents!$B:$I,8,0),"")=H109,IF(AND(A109&lt;&gt;"",E109&lt;&gt;""),"Saved","Pending"),"🔒 BLOCKED — Wrong Code")))</f>
        <v/>
      </c>
      <c r="J109" s="493">
        <f>IF(I109="Saved",TEXT(TODAY(),"YYYY-MM-DD")&amp;" Auto","—")</f>
        <v/>
      </c>
      <c r="K109" s="494" t="n"/>
    </row>
    <row r="110" ht="15" customHeight="1" s="341">
      <c r="A110" s="495" t="n"/>
      <c r="B110" s="382">
        <f>IF(A110="","",IFERROR(VLOOKUP(A110,DB_Customers!$A:$D,4,0),"❌ Account Not Found"))</f>
        <v/>
      </c>
      <c r="C110" s="496">
        <f>IF(A110="","",IFERROR(VLOOKUP(A110,DB_Customers!$A:$N,14,0),""))</f>
        <v/>
      </c>
      <c r="D110" s="497">
        <f>IF(A110="","",TODAY())</f>
        <v/>
      </c>
      <c r="E110" s="489" t="n"/>
      <c r="F110" s="498">
        <f>IF(OR(A110="",E110=""),"",IF(C110="","",C110+E110))</f>
        <v/>
      </c>
      <c r="G110" s="384" t="inlineStr">
        <is>
          <t>Agent 01</t>
        </is>
      </c>
      <c r="H110" s="491" t="n"/>
      <c r="I110" s="499">
        <f>IF(A110="","Pending",IF(H110="","⚠️ Enter Code",IF(IFERROR(VLOOKUP(G110,DB_Agents!$B:$I,8,0),"")=H110,IF(AND(A110&lt;&gt;"",E110&lt;&gt;""),"Saved","Pending"),"🔒 BLOCKED — Wrong Code")))</f>
        <v/>
      </c>
      <c r="J110" s="500">
        <f>IF(I110="Saved",TEXT(TODAY(),"YYYY-MM-DD")&amp;" Auto","—")</f>
        <v/>
      </c>
      <c r="K110" s="501" t="n"/>
    </row>
    <row r="111" ht="15" customHeight="1" s="341">
      <c r="A111" s="486" t="n"/>
      <c r="B111" s="378">
        <f>IF(A111="","",IFERROR(VLOOKUP(A111,DB_Customers!$A:$D,4,0),"❌ Account Not Found"))</f>
        <v/>
      </c>
      <c r="C111" s="487">
        <f>IF(A111="","",IFERROR(VLOOKUP(A111,DB_Customers!$A:$N,14,0),""))</f>
        <v/>
      </c>
      <c r="D111" s="488">
        <f>IF(A111="","",TODAY())</f>
        <v/>
      </c>
      <c r="E111" s="489" t="n"/>
      <c r="F111" s="490">
        <f>IF(OR(A111="",E111=""),"",IF(C111="","",C111+E111))</f>
        <v/>
      </c>
      <c r="G111" s="380" t="inlineStr">
        <is>
          <t>Agent 01</t>
        </is>
      </c>
      <c r="H111" s="491" t="n"/>
      <c r="I111" s="492">
        <f>IF(A111="","Pending",IF(H111="","⚠️ Enter Code",IF(IFERROR(VLOOKUP(G111,DB_Agents!$B:$I,8,0),"")=H111,IF(AND(A111&lt;&gt;"",E111&lt;&gt;""),"Saved","Pending"),"🔒 BLOCKED — Wrong Code")))</f>
        <v/>
      </c>
      <c r="J111" s="493">
        <f>IF(I111="Saved",TEXT(TODAY(),"YYYY-MM-DD")&amp;" Auto","—")</f>
        <v/>
      </c>
      <c r="K111" s="494" t="n"/>
    </row>
    <row r="112" ht="15" customHeight="1" s="341">
      <c r="A112" s="495" t="n"/>
      <c r="B112" s="382">
        <f>IF(A112="","",IFERROR(VLOOKUP(A112,DB_Customers!$A:$D,4,0),"❌ Account Not Found"))</f>
        <v/>
      </c>
      <c r="C112" s="496">
        <f>IF(A112="","",IFERROR(VLOOKUP(A112,DB_Customers!$A:$N,14,0),""))</f>
        <v/>
      </c>
      <c r="D112" s="497">
        <f>IF(A112="","",TODAY())</f>
        <v/>
      </c>
      <c r="E112" s="489" t="n"/>
      <c r="F112" s="498">
        <f>IF(OR(A112="",E112=""),"",IF(C112="","",C112+E112))</f>
        <v/>
      </c>
      <c r="G112" s="384" t="inlineStr">
        <is>
          <t>Agent 01</t>
        </is>
      </c>
      <c r="H112" s="491" t="n"/>
      <c r="I112" s="499">
        <f>IF(A112="","Pending",IF(H112="","⚠️ Enter Code",IF(IFERROR(VLOOKUP(G112,DB_Agents!$B:$I,8,0),"")=H112,IF(AND(A112&lt;&gt;"",E112&lt;&gt;""),"Saved","Pending"),"🔒 BLOCKED — Wrong Code")))</f>
        <v/>
      </c>
      <c r="J112" s="500">
        <f>IF(I112="Saved",TEXT(TODAY(),"YYYY-MM-DD")&amp;" Auto","—")</f>
        <v/>
      </c>
      <c r="K112" s="501" t="n"/>
    </row>
    <row r="113" ht="15" customHeight="1" s="341">
      <c r="A113" s="486" t="n"/>
      <c r="B113" s="378">
        <f>IF(A113="","",IFERROR(VLOOKUP(A113,DB_Customers!$A:$D,4,0),"❌ Account Not Found"))</f>
        <v/>
      </c>
      <c r="C113" s="487">
        <f>IF(A113="","",IFERROR(VLOOKUP(A113,DB_Customers!$A:$N,14,0),""))</f>
        <v/>
      </c>
      <c r="D113" s="488">
        <f>IF(A113="","",TODAY())</f>
        <v/>
      </c>
      <c r="E113" s="489" t="n"/>
      <c r="F113" s="490">
        <f>IF(OR(A113="",E113=""),"",IF(C113="","",C113+E113))</f>
        <v/>
      </c>
      <c r="G113" s="380" t="inlineStr">
        <is>
          <t>Agent 01</t>
        </is>
      </c>
      <c r="H113" s="491" t="n"/>
      <c r="I113" s="492">
        <f>IF(A113="","Pending",IF(H113="","⚠️ Enter Code",IF(IFERROR(VLOOKUP(G113,DB_Agents!$B:$I,8,0),"")=H113,IF(AND(A113&lt;&gt;"",E113&lt;&gt;""),"Saved","Pending"),"🔒 BLOCKED — Wrong Code")))</f>
        <v/>
      </c>
      <c r="J113" s="493">
        <f>IF(I113="Saved",TEXT(TODAY(),"YYYY-MM-DD")&amp;" Auto","—")</f>
        <v/>
      </c>
      <c r="K113" s="494" t="n"/>
    </row>
    <row r="114" ht="15" customHeight="1" s="341">
      <c r="A114" s="495" t="n"/>
      <c r="B114" s="382">
        <f>IF(A114="","",IFERROR(VLOOKUP(A114,DB_Customers!$A:$D,4,0),"❌ Account Not Found"))</f>
        <v/>
      </c>
      <c r="C114" s="496">
        <f>IF(A114="","",IFERROR(VLOOKUP(A114,DB_Customers!$A:$N,14,0),""))</f>
        <v/>
      </c>
      <c r="D114" s="497">
        <f>IF(A114="","",TODAY())</f>
        <v/>
      </c>
      <c r="E114" s="489" t="n"/>
      <c r="F114" s="498">
        <f>IF(OR(A114="",E114=""),"",IF(C114="","",C114+E114))</f>
        <v/>
      </c>
      <c r="G114" s="384" t="inlineStr">
        <is>
          <t>Agent 01</t>
        </is>
      </c>
      <c r="H114" s="491" t="n"/>
      <c r="I114" s="499">
        <f>IF(A114="","Pending",IF(H114="","⚠️ Enter Code",IF(IFERROR(VLOOKUP(G114,DB_Agents!$B:$I,8,0),"")=H114,IF(AND(A114&lt;&gt;"",E114&lt;&gt;""),"Saved","Pending"),"🔒 BLOCKED — Wrong Code")))</f>
        <v/>
      </c>
      <c r="J114" s="500">
        <f>IF(I114="Saved",TEXT(TODAY(),"YYYY-MM-DD")&amp;" Auto","—")</f>
        <v/>
      </c>
      <c r="K114" s="501" t="n"/>
    </row>
    <row r="115" ht="15" customHeight="1" s="341">
      <c r="A115" s="486" t="n"/>
      <c r="B115" s="378">
        <f>IF(A115="","",IFERROR(VLOOKUP(A115,DB_Customers!$A:$D,4,0),"❌ Account Not Found"))</f>
        <v/>
      </c>
      <c r="C115" s="487">
        <f>IF(A115="","",IFERROR(VLOOKUP(A115,DB_Customers!$A:$N,14,0),""))</f>
        <v/>
      </c>
      <c r="D115" s="488">
        <f>IF(A115="","",TODAY())</f>
        <v/>
      </c>
      <c r="E115" s="489" t="n"/>
      <c r="F115" s="490">
        <f>IF(OR(A115="",E115=""),"",IF(C115="","",C115+E115))</f>
        <v/>
      </c>
      <c r="G115" s="380" t="inlineStr">
        <is>
          <t>Agent 01</t>
        </is>
      </c>
      <c r="H115" s="491" t="n"/>
      <c r="I115" s="492">
        <f>IF(A115="","Pending",IF(H115="","⚠️ Enter Code",IF(IFERROR(VLOOKUP(G115,DB_Agents!$B:$I,8,0),"")=H115,IF(AND(A115&lt;&gt;"",E115&lt;&gt;""),"Saved","Pending"),"🔒 BLOCKED — Wrong Code")))</f>
        <v/>
      </c>
      <c r="J115" s="493">
        <f>IF(I115="Saved",TEXT(TODAY(),"YYYY-MM-DD")&amp;" Auto","—")</f>
        <v/>
      </c>
      <c r="K115" s="494" t="n"/>
    </row>
    <row r="116" ht="15" customHeight="1" s="341">
      <c r="A116" s="495" t="n"/>
      <c r="B116" s="382">
        <f>IF(A116="","",IFERROR(VLOOKUP(A116,DB_Customers!$A:$D,4,0),"❌ Account Not Found"))</f>
        <v/>
      </c>
      <c r="C116" s="496">
        <f>IF(A116="","",IFERROR(VLOOKUP(A116,DB_Customers!$A:$N,14,0),""))</f>
        <v/>
      </c>
      <c r="D116" s="497">
        <f>IF(A116="","",TODAY())</f>
        <v/>
      </c>
      <c r="E116" s="489" t="n"/>
      <c r="F116" s="498">
        <f>IF(OR(A116="",E116=""),"",IF(C116="","",C116+E116))</f>
        <v/>
      </c>
      <c r="G116" s="384" t="inlineStr">
        <is>
          <t>Agent 01</t>
        </is>
      </c>
      <c r="H116" s="491" t="n"/>
      <c r="I116" s="499">
        <f>IF(A116="","Pending",IF(H116="","⚠️ Enter Code",IF(IFERROR(VLOOKUP(G116,DB_Agents!$B:$I,8,0),"")=H116,IF(AND(A116&lt;&gt;"",E116&lt;&gt;""),"Saved","Pending"),"🔒 BLOCKED — Wrong Code")))</f>
        <v/>
      </c>
      <c r="J116" s="500">
        <f>IF(I116="Saved",TEXT(TODAY(),"YYYY-MM-DD")&amp;" Auto","—")</f>
        <v/>
      </c>
      <c r="K116" s="501" t="n"/>
    </row>
    <row r="117" ht="15" customHeight="1" s="341">
      <c r="A117" s="486" t="n"/>
      <c r="B117" s="378">
        <f>IF(A117="","",IFERROR(VLOOKUP(A117,DB_Customers!$A:$D,4,0),"❌ Account Not Found"))</f>
        <v/>
      </c>
      <c r="C117" s="487">
        <f>IF(A117="","",IFERROR(VLOOKUP(A117,DB_Customers!$A:$N,14,0),""))</f>
        <v/>
      </c>
      <c r="D117" s="488">
        <f>IF(A117="","",TODAY())</f>
        <v/>
      </c>
      <c r="E117" s="489" t="n"/>
      <c r="F117" s="490">
        <f>IF(OR(A117="",E117=""),"",IF(C117="","",C117+E117))</f>
        <v/>
      </c>
      <c r="G117" s="380" t="inlineStr">
        <is>
          <t>Agent 01</t>
        </is>
      </c>
      <c r="H117" s="491" t="n"/>
      <c r="I117" s="492">
        <f>IF(A117="","Pending",IF(H117="","⚠️ Enter Code",IF(IFERROR(VLOOKUP(G117,DB_Agents!$B:$I,8,0),"")=H117,IF(AND(A117&lt;&gt;"",E117&lt;&gt;""),"Saved","Pending"),"🔒 BLOCKED — Wrong Code")))</f>
        <v/>
      </c>
      <c r="J117" s="493">
        <f>IF(I117="Saved",TEXT(TODAY(),"YYYY-MM-DD")&amp;" Auto","—")</f>
        <v/>
      </c>
      <c r="K117" s="494" t="n"/>
    </row>
    <row r="118" ht="15" customHeight="1" s="341">
      <c r="A118" s="495" t="n"/>
      <c r="B118" s="382">
        <f>IF(A118="","",IFERROR(VLOOKUP(A118,DB_Customers!$A:$D,4,0),"❌ Account Not Found"))</f>
        <v/>
      </c>
      <c r="C118" s="496">
        <f>IF(A118="","",IFERROR(VLOOKUP(A118,DB_Customers!$A:$N,14,0),""))</f>
        <v/>
      </c>
      <c r="D118" s="497">
        <f>IF(A118="","",TODAY())</f>
        <v/>
      </c>
      <c r="E118" s="489" t="n"/>
      <c r="F118" s="498">
        <f>IF(OR(A118="",E118=""),"",IF(C118="","",C118+E118))</f>
        <v/>
      </c>
      <c r="G118" s="384" t="inlineStr">
        <is>
          <t>Agent 01</t>
        </is>
      </c>
      <c r="H118" s="491" t="n"/>
      <c r="I118" s="499">
        <f>IF(A118="","Pending",IF(H118="","⚠️ Enter Code",IF(IFERROR(VLOOKUP(G118,DB_Agents!$B:$I,8,0),"")=H118,IF(AND(A118&lt;&gt;"",E118&lt;&gt;""),"Saved","Pending"),"🔒 BLOCKED — Wrong Code")))</f>
        <v/>
      </c>
      <c r="J118" s="500">
        <f>IF(I118="Saved",TEXT(TODAY(),"YYYY-MM-DD")&amp;" Auto","—")</f>
        <v/>
      </c>
      <c r="K118" s="501" t="n"/>
    </row>
    <row r="119" ht="15" customHeight="1" s="341">
      <c r="A119" s="486" t="n"/>
      <c r="B119" s="378">
        <f>IF(A119="","",IFERROR(VLOOKUP(A119,DB_Customers!$A:$D,4,0),"❌ Account Not Found"))</f>
        <v/>
      </c>
      <c r="C119" s="487">
        <f>IF(A119="","",IFERROR(VLOOKUP(A119,DB_Customers!$A:$N,14,0),""))</f>
        <v/>
      </c>
      <c r="D119" s="488">
        <f>IF(A119="","",TODAY())</f>
        <v/>
      </c>
      <c r="E119" s="489" t="n"/>
      <c r="F119" s="490">
        <f>IF(OR(A119="",E119=""),"",IF(C119="","",C119+E119))</f>
        <v/>
      </c>
      <c r="G119" s="380" t="inlineStr">
        <is>
          <t>Agent 01</t>
        </is>
      </c>
      <c r="H119" s="491" t="n"/>
      <c r="I119" s="492">
        <f>IF(A119="","Pending",IF(H119="","⚠️ Enter Code",IF(IFERROR(VLOOKUP(G119,DB_Agents!$B:$I,8,0),"")=H119,IF(AND(A119&lt;&gt;"",E119&lt;&gt;""),"Saved","Pending"),"🔒 BLOCKED — Wrong Code")))</f>
        <v/>
      </c>
      <c r="J119" s="493">
        <f>IF(I119="Saved",TEXT(TODAY(),"YYYY-MM-DD")&amp;" Auto","—")</f>
        <v/>
      </c>
      <c r="K119" s="494" t="n"/>
    </row>
    <row r="120" ht="15" customHeight="1" s="341">
      <c r="A120" s="495" t="n"/>
      <c r="B120" s="382">
        <f>IF(A120="","",IFERROR(VLOOKUP(A120,DB_Customers!$A:$D,4,0),"❌ Account Not Found"))</f>
        <v/>
      </c>
      <c r="C120" s="496">
        <f>IF(A120="","",IFERROR(VLOOKUP(A120,DB_Customers!$A:$N,14,0),""))</f>
        <v/>
      </c>
      <c r="D120" s="497">
        <f>IF(A120="","",TODAY())</f>
        <v/>
      </c>
      <c r="E120" s="489" t="n"/>
      <c r="F120" s="498">
        <f>IF(OR(A120="",E120=""),"",IF(C120="","",C120+E120))</f>
        <v/>
      </c>
      <c r="G120" s="384" t="inlineStr">
        <is>
          <t>Agent 01</t>
        </is>
      </c>
      <c r="H120" s="491" t="n"/>
      <c r="I120" s="499">
        <f>IF(A120="","Pending",IF(H120="","⚠️ Enter Code",IF(IFERROR(VLOOKUP(G120,DB_Agents!$B:$I,8,0),"")=H120,IF(AND(A120&lt;&gt;"",E120&lt;&gt;""),"Saved","Pending"),"🔒 BLOCKED — Wrong Code")))</f>
        <v/>
      </c>
      <c r="J120" s="500">
        <f>IF(I120="Saved",TEXT(TODAY(),"YYYY-MM-DD")&amp;" Auto","—")</f>
        <v/>
      </c>
      <c r="K120" s="501" t="n"/>
    </row>
    <row r="121" ht="15" customHeight="1" s="341">
      <c r="A121" s="486" t="n"/>
      <c r="B121" s="378">
        <f>IF(A121="","",IFERROR(VLOOKUP(A121,DB_Customers!$A:$D,4,0),"❌ Account Not Found"))</f>
        <v/>
      </c>
      <c r="C121" s="487">
        <f>IF(A121="","",IFERROR(VLOOKUP(A121,DB_Customers!$A:$N,14,0),""))</f>
        <v/>
      </c>
      <c r="D121" s="488">
        <f>IF(A121="","",TODAY())</f>
        <v/>
      </c>
      <c r="E121" s="489" t="n"/>
      <c r="F121" s="490">
        <f>IF(OR(A121="",E121=""),"",IF(C121="","",C121+E121))</f>
        <v/>
      </c>
      <c r="G121" s="380" t="inlineStr">
        <is>
          <t>Agent 01</t>
        </is>
      </c>
      <c r="H121" s="491" t="n"/>
      <c r="I121" s="492">
        <f>IF(A121="","Pending",IF(H121="","⚠️ Enter Code",IF(IFERROR(VLOOKUP(G121,DB_Agents!$B:$I,8,0),"")=H121,IF(AND(A121&lt;&gt;"",E121&lt;&gt;""),"Saved","Pending"),"🔒 BLOCKED — Wrong Code")))</f>
        <v/>
      </c>
      <c r="J121" s="493">
        <f>IF(I121="Saved",TEXT(TODAY(),"YYYY-MM-DD")&amp;" Auto","—")</f>
        <v/>
      </c>
      <c r="K121" s="494" t="n"/>
    </row>
    <row r="122" ht="15" customHeight="1" s="341">
      <c r="A122" s="495" t="n"/>
      <c r="B122" s="382">
        <f>IF(A122="","",IFERROR(VLOOKUP(A122,DB_Customers!$A:$D,4,0),"❌ Account Not Found"))</f>
        <v/>
      </c>
      <c r="C122" s="496">
        <f>IF(A122="","",IFERROR(VLOOKUP(A122,DB_Customers!$A:$N,14,0),""))</f>
        <v/>
      </c>
      <c r="D122" s="497">
        <f>IF(A122="","",TODAY())</f>
        <v/>
      </c>
      <c r="E122" s="489" t="n"/>
      <c r="F122" s="498">
        <f>IF(OR(A122="",E122=""),"",IF(C122="","",C122+E122))</f>
        <v/>
      </c>
      <c r="G122" s="384" t="inlineStr">
        <is>
          <t>Agent 01</t>
        </is>
      </c>
      <c r="H122" s="491" t="n"/>
      <c r="I122" s="499">
        <f>IF(A122="","Pending",IF(H122="","⚠️ Enter Code",IF(IFERROR(VLOOKUP(G122,DB_Agents!$B:$I,8,0),"")=H122,IF(AND(A122&lt;&gt;"",E122&lt;&gt;""),"Saved","Pending"),"🔒 BLOCKED — Wrong Code")))</f>
        <v/>
      </c>
      <c r="J122" s="500">
        <f>IF(I122="Saved",TEXT(TODAY(),"YYYY-MM-DD")&amp;" Auto","—")</f>
        <v/>
      </c>
      <c r="K122" s="501" t="n"/>
    </row>
    <row r="123" ht="15" customHeight="1" s="341">
      <c r="A123" s="486" t="n"/>
      <c r="B123" s="378">
        <f>IF(A123="","",IFERROR(VLOOKUP(A123,DB_Customers!$A:$D,4,0),"❌ Account Not Found"))</f>
        <v/>
      </c>
      <c r="C123" s="487">
        <f>IF(A123="","",IFERROR(VLOOKUP(A123,DB_Customers!$A:$N,14,0),""))</f>
        <v/>
      </c>
      <c r="D123" s="488">
        <f>IF(A123="","",TODAY())</f>
        <v/>
      </c>
      <c r="E123" s="489" t="n"/>
      <c r="F123" s="490">
        <f>IF(OR(A123="",E123=""),"",IF(C123="","",C123+E123))</f>
        <v/>
      </c>
      <c r="G123" s="380" t="inlineStr">
        <is>
          <t>Agent 01</t>
        </is>
      </c>
      <c r="H123" s="491" t="n"/>
      <c r="I123" s="492">
        <f>IF(A123="","Pending",IF(H123="","⚠️ Enter Code",IF(IFERROR(VLOOKUP(G123,DB_Agents!$B:$I,8,0),"")=H123,IF(AND(A123&lt;&gt;"",E123&lt;&gt;""),"Saved","Pending"),"🔒 BLOCKED — Wrong Code")))</f>
        <v/>
      </c>
      <c r="J123" s="493">
        <f>IF(I123="Saved",TEXT(TODAY(),"YYYY-MM-DD")&amp;" Auto","—")</f>
        <v/>
      </c>
      <c r="K123" s="494" t="n"/>
    </row>
    <row r="124" ht="15" customHeight="1" s="341">
      <c r="A124" s="495" t="n"/>
      <c r="B124" s="382">
        <f>IF(A124="","",IFERROR(VLOOKUP(A124,DB_Customers!$A:$D,4,0),"❌ Account Not Found"))</f>
        <v/>
      </c>
      <c r="C124" s="496">
        <f>IF(A124="","",IFERROR(VLOOKUP(A124,DB_Customers!$A:$N,14,0),""))</f>
        <v/>
      </c>
      <c r="D124" s="497">
        <f>IF(A124="","",TODAY())</f>
        <v/>
      </c>
      <c r="E124" s="489" t="n"/>
      <c r="F124" s="498">
        <f>IF(OR(A124="",E124=""),"",IF(C124="","",C124+E124))</f>
        <v/>
      </c>
      <c r="G124" s="384" t="inlineStr">
        <is>
          <t>Agent 01</t>
        </is>
      </c>
      <c r="H124" s="491" t="n"/>
      <c r="I124" s="499">
        <f>IF(A124="","Pending",IF(H124="","⚠️ Enter Code",IF(IFERROR(VLOOKUP(G124,DB_Agents!$B:$I,8,0),"")=H124,IF(AND(A124&lt;&gt;"",E124&lt;&gt;""),"Saved","Pending"),"🔒 BLOCKED — Wrong Code")))</f>
        <v/>
      </c>
      <c r="J124" s="500">
        <f>IF(I124="Saved",TEXT(TODAY(),"YYYY-MM-DD")&amp;" Auto","—")</f>
        <v/>
      </c>
      <c r="K124" s="501" t="n"/>
    </row>
    <row r="125" ht="15" customHeight="1" s="341">
      <c r="A125" s="486" t="n"/>
      <c r="B125" s="378">
        <f>IF(A125="","",IFERROR(VLOOKUP(A125,DB_Customers!$A:$D,4,0),"❌ Account Not Found"))</f>
        <v/>
      </c>
      <c r="C125" s="487">
        <f>IF(A125="","",IFERROR(VLOOKUP(A125,DB_Customers!$A:$N,14,0),""))</f>
        <v/>
      </c>
      <c r="D125" s="488">
        <f>IF(A125="","",TODAY())</f>
        <v/>
      </c>
      <c r="E125" s="489" t="n"/>
      <c r="F125" s="490">
        <f>IF(OR(A125="",E125=""),"",IF(C125="","",C125+E125))</f>
        <v/>
      </c>
      <c r="G125" s="380" t="inlineStr">
        <is>
          <t>Agent 01</t>
        </is>
      </c>
      <c r="H125" s="491" t="n"/>
      <c r="I125" s="492">
        <f>IF(A125="","Pending",IF(H125="","⚠️ Enter Code",IF(IFERROR(VLOOKUP(G125,DB_Agents!$B:$I,8,0),"")=H125,IF(AND(A125&lt;&gt;"",E125&lt;&gt;""),"Saved","Pending"),"🔒 BLOCKED — Wrong Code")))</f>
        <v/>
      </c>
      <c r="J125" s="493">
        <f>IF(I125="Saved",TEXT(TODAY(),"YYYY-MM-DD")&amp;" Auto","—")</f>
        <v/>
      </c>
      <c r="K125" s="494" t="n"/>
    </row>
    <row r="126" ht="15" customHeight="1" s="341">
      <c r="A126" s="495" t="n"/>
      <c r="B126" s="382">
        <f>IF(A126="","",IFERROR(VLOOKUP(A126,DB_Customers!$A:$D,4,0),"❌ Account Not Found"))</f>
        <v/>
      </c>
      <c r="C126" s="496">
        <f>IF(A126="","",IFERROR(VLOOKUP(A126,DB_Customers!$A:$N,14,0),""))</f>
        <v/>
      </c>
      <c r="D126" s="497">
        <f>IF(A126="","",TODAY())</f>
        <v/>
      </c>
      <c r="E126" s="489" t="n"/>
      <c r="F126" s="498">
        <f>IF(OR(A126="",E126=""),"",IF(C126="","",C126+E126))</f>
        <v/>
      </c>
      <c r="G126" s="384" t="inlineStr">
        <is>
          <t>Agent 01</t>
        </is>
      </c>
      <c r="H126" s="491" t="n"/>
      <c r="I126" s="499">
        <f>IF(A126="","Pending",IF(H126="","⚠️ Enter Code",IF(IFERROR(VLOOKUP(G126,DB_Agents!$B:$I,8,0),"")=H126,IF(AND(A126&lt;&gt;"",E126&lt;&gt;""),"Saved","Pending"),"🔒 BLOCKED — Wrong Code")))</f>
        <v/>
      </c>
      <c r="J126" s="500">
        <f>IF(I126="Saved",TEXT(TODAY(),"YYYY-MM-DD")&amp;" Auto","—")</f>
        <v/>
      </c>
      <c r="K126" s="501" t="n"/>
    </row>
    <row r="127" ht="15" customHeight="1" s="341">
      <c r="A127" s="486" t="n"/>
      <c r="B127" s="378">
        <f>IF(A127="","",IFERROR(VLOOKUP(A127,DB_Customers!$A:$D,4,0),"❌ Account Not Found"))</f>
        <v/>
      </c>
      <c r="C127" s="487">
        <f>IF(A127="","",IFERROR(VLOOKUP(A127,DB_Customers!$A:$N,14,0),""))</f>
        <v/>
      </c>
      <c r="D127" s="488">
        <f>IF(A127="","",TODAY())</f>
        <v/>
      </c>
      <c r="E127" s="489" t="n"/>
      <c r="F127" s="490">
        <f>IF(OR(A127="",E127=""),"",IF(C127="","",C127+E127))</f>
        <v/>
      </c>
      <c r="G127" s="380" t="inlineStr">
        <is>
          <t>Agent 01</t>
        </is>
      </c>
      <c r="H127" s="491" t="n"/>
      <c r="I127" s="492">
        <f>IF(A127="","Pending",IF(H127="","⚠️ Enter Code",IF(IFERROR(VLOOKUP(G127,DB_Agents!$B:$I,8,0),"")=H127,IF(AND(A127&lt;&gt;"",E127&lt;&gt;""),"Saved","Pending"),"🔒 BLOCKED — Wrong Code")))</f>
        <v/>
      </c>
      <c r="J127" s="493">
        <f>IF(I127="Saved",TEXT(TODAY(),"YYYY-MM-DD")&amp;" Auto","—")</f>
        <v/>
      </c>
      <c r="K127" s="494" t="n"/>
    </row>
    <row r="128" ht="15" customHeight="1" s="341">
      <c r="A128" s="495" t="n"/>
      <c r="B128" s="382">
        <f>IF(A128="","",IFERROR(VLOOKUP(A128,DB_Customers!$A:$D,4,0),"❌ Account Not Found"))</f>
        <v/>
      </c>
      <c r="C128" s="496">
        <f>IF(A128="","",IFERROR(VLOOKUP(A128,DB_Customers!$A:$N,14,0),""))</f>
        <v/>
      </c>
      <c r="D128" s="497">
        <f>IF(A128="","",TODAY())</f>
        <v/>
      </c>
      <c r="E128" s="489" t="n"/>
      <c r="F128" s="498">
        <f>IF(OR(A128="",E128=""),"",IF(C128="","",C128+E128))</f>
        <v/>
      </c>
      <c r="G128" s="384" t="inlineStr">
        <is>
          <t>Agent 01</t>
        </is>
      </c>
      <c r="H128" s="491" t="n"/>
      <c r="I128" s="499">
        <f>IF(A128="","Pending",IF(H128="","⚠️ Enter Code",IF(IFERROR(VLOOKUP(G128,DB_Agents!$B:$I,8,0),"")=H128,IF(AND(A128&lt;&gt;"",E128&lt;&gt;""),"Saved","Pending"),"🔒 BLOCKED — Wrong Code")))</f>
        <v/>
      </c>
      <c r="J128" s="500">
        <f>IF(I128="Saved",TEXT(TODAY(),"YYYY-MM-DD")&amp;" Auto","—")</f>
        <v/>
      </c>
      <c r="K128" s="501" t="n"/>
    </row>
    <row r="129" ht="15" customHeight="1" s="341">
      <c r="A129" s="486" t="n"/>
      <c r="B129" s="378">
        <f>IF(A129="","",IFERROR(VLOOKUP(A129,DB_Customers!$A:$D,4,0),"❌ Account Not Found"))</f>
        <v/>
      </c>
      <c r="C129" s="487">
        <f>IF(A129="","",IFERROR(VLOOKUP(A129,DB_Customers!$A:$N,14,0),""))</f>
        <v/>
      </c>
      <c r="D129" s="488">
        <f>IF(A129="","",TODAY())</f>
        <v/>
      </c>
      <c r="E129" s="489" t="n"/>
      <c r="F129" s="490">
        <f>IF(OR(A129="",E129=""),"",IF(C129="","",C129+E129))</f>
        <v/>
      </c>
      <c r="G129" s="380" t="inlineStr">
        <is>
          <t>Agent 01</t>
        </is>
      </c>
      <c r="H129" s="491" t="n"/>
      <c r="I129" s="492">
        <f>IF(A129="","Pending",IF(H129="","⚠️ Enter Code",IF(IFERROR(VLOOKUP(G129,DB_Agents!$B:$I,8,0),"")=H129,IF(AND(A129&lt;&gt;"",E129&lt;&gt;""),"Saved","Pending"),"🔒 BLOCKED — Wrong Code")))</f>
        <v/>
      </c>
      <c r="J129" s="493">
        <f>IF(I129="Saved",TEXT(TODAY(),"YYYY-MM-DD")&amp;" Auto","—")</f>
        <v/>
      </c>
      <c r="K129" s="494" t="n"/>
    </row>
    <row r="130" ht="15" customHeight="1" s="341">
      <c r="A130" s="495" t="n"/>
      <c r="B130" s="382">
        <f>IF(A130="","",IFERROR(VLOOKUP(A130,DB_Customers!$A:$D,4,0),"❌ Account Not Found"))</f>
        <v/>
      </c>
      <c r="C130" s="496">
        <f>IF(A130="","",IFERROR(VLOOKUP(A130,DB_Customers!$A:$N,14,0),""))</f>
        <v/>
      </c>
      <c r="D130" s="497">
        <f>IF(A130="","",TODAY())</f>
        <v/>
      </c>
      <c r="E130" s="489" t="n"/>
      <c r="F130" s="498">
        <f>IF(OR(A130="",E130=""),"",IF(C130="","",C130+E130))</f>
        <v/>
      </c>
      <c r="G130" s="384" t="inlineStr">
        <is>
          <t>Agent 01</t>
        </is>
      </c>
      <c r="H130" s="491" t="n"/>
      <c r="I130" s="499">
        <f>IF(A130="","Pending",IF(H130="","⚠️ Enter Code",IF(IFERROR(VLOOKUP(G130,DB_Agents!$B:$I,8,0),"")=H130,IF(AND(A130&lt;&gt;"",E130&lt;&gt;""),"Saved","Pending"),"🔒 BLOCKED — Wrong Code")))</f>
        <v/>
      </c>
      <c r="J130" s="500">
        <f>IF(I130="Saved",TEXT(TODAY(),"YYYY-MM-DD")&amp;" Auto","—")</f>
        <v/>
      </c>
      <c r="K130" s="501" t="n"/>
    </row>
    <row r="131" ht="15" customHeight="1" s="341">
      <c r="A131" s="486" t="n"/>
      <c r="B131" s="378">
        <f>IF(A131="","",IFERROR(VLOOKUP(A131,DB_Customers!$A:$D,4,0),"❌ Account Not Found"))</f>
        <v/>
      </c>
      <c r="C131" s="487">
        <f>IF(A131="","",IFERROR(VLOOKUP(A131,DB_Customers!$A:$N,14,0),""))</f>
        <v/>
      </c>
      <c r="D131" s="488">
        <f>IF(A131="","",TODAY())</f>
        <v/>
      </c>
      <c r="E131" s="489" t="n"/>
      <c r="F131" s="490">
        <f>IF(OR(A131="",E131=""),"",IF(C131="","",C131+E131))</f>
        <v/>
      </c>
      <c r="G131" s="380" t="inlineStr">
        <is>
          <t>Agent 01</t>
        </is>
      </c>
      <c r="H131" s="491" t="n"/>
      <c r="I131" s="492">
        <f>IF(A131="","Pending",IF(H131="","⚠️ Enter Code",IF(IFERROR(VLOOKUP(G131,DB_Agents!$B:$I,8,0),"")=H131,IF(AND(A131&lt;&gt;"",E131&lt;&gt;""),"Saved","Pending"),"🔒 BLOCKED — Wrong Code")))</f>
        <v/>
      </c>
      <c r="J131" s="493">
        <f>IF(I131="Saved",TEXT(TODAY(),"YYYY-MM-DD")&amp;" Auto","—")</f>
        <v/>
      </c>
      <c r="K131" s="494" t="n"/>
    </row>
    <row r="132" ht="15" customHeight="1" s="341">
      <c r="A132" s="495" t="n"/>
      <c r="B132" s="382">
        <f>IF(A132="","",IFERROR(VLOOKUP(A132,DB_Customers!$A:$D,4,0),"❌ Account Not Found"))</f>
        <v/>
      </c>
      <c r="C132" s="496">
        <f>IF(A132="","",IFERROR(VLOOKUP(A132,DB_Customers!$A:$N,14,0),""))</f>
        <v/>
      </c>
      <c r="D132" s="497">
        <f>IF(A132="","",TODAY())</f>
        <v/>
      </c>
      <c r="E132" s="489" t="n"/>
      <c r="F132" s="498">
        <f>IF(OR(A132="",E132=""),"",IF(C132="","",C132+E132))</f>
        <v/>
      </c>
      <c r="G132" s="384" t="inlineStr">
        <is>
          <t>Agent 01</t>
        </is>
      </c>
      <c r="H132" s="491" t="n"/>
      <c r="I132" s="499">
        <f>IF(A132="","Pending",IF(H132="","⚠️ Enter Code",IF(IFERROR(VLOOKUP(G132,DB_Agents!$B:$I,8,0),"")=H132,IF(AND(A132&lt;&gt;"",E132&lt;&gt;""),"Saved","Pending"),"🔒 BLOCKED — Wrong Code")))</f>
        <v/>
      </c>
      <c r="J132" s="500">
        <f>IF(I132="Saved",TEXT(TODAY(),"YYYY-MM-DD")&amp;" Auto","—")</f>
        <v/>
      </c>
      <c r="K132" s="501" t="n"/>
    </row>
    <row r="133" ht="15" customHeight="1" s="341">
      <c r="A133" s="486" t="n"/>
      <c r="B133" s="378">
        <f>IF(A133="","",IFERROR(VLOOKUP(A133,DB_Customers!$A:$D,4,0),"❌ Account Not Found"))</f>
        <v/>
      </c>
      <c r="C133" s="487">
        <f>IF(A133="","",IFERROR(VLOOKUP(A133,DB_Customers!$A:$N,14,0),""))</f>
        <v/>
      </c>
      <c r="D133" s="488">
        <f>IF(A133="","",TODAY())</f>
        <v/>
      </c>
      <c r="E133" s="489" t="n"/>
      <c r="F133" s="490">
        <f>IF(OR(A133="",E133=""),"",IF(C133="","",C133+E133))</f>
        <v/>
      </c>
      <c r="G133" s="380" t="inlineStr">
        <is>
          <t>Agent 01</t>
        </is>
      </c>
      <c r="H133" s="491" t="n"/>
      <c r="I133" s="492">
        <f>IF(A133="","Pending",IF(H133="","⚠️ Enter Code",IF(IFERROR(VLOOKUP(G133,DB_Agents!$B:$I,8,0),"")=H133,IF(AND(A133&lt;&gt;"",E133&lt;&gt;""),"Saved","Pending"),"🔒 BLOCKED — Wrong Code")))</f>
        <v/>
      </c>
      <c r="J133" s="493">
        <f>IF(I133="Saved",TEXT(TODAY(),"YYYY-MM-DD")&amp;" Auto","—")</f>
        <v/>
      </c>
      <c r="K133" s="494" t="n"/>
    </row>
    <row r="134" ht="15" customHeight="1" s="341">
      <c r="A134" s="495" t="n"/>
      <c r="B134" s="382">
        <f>IF(A134="","",IFERROR(VLOOKUP(A134,DB_Customers!$A:$D,4,0),"❌ Account Not Found"))</f>
        <v/>
      </c>
      <c r="C134" s="496">
        <f>IF(A134="","",IFERROR(VLOOKUP(A134,DB_Customers!$A:$N,14,0),""))</f>
        <v/>
      </c>
      <c r="D134" s="497">
        <f>IF(A134="","",TODAY())</f>
        <v/>
      </c>
      <c r="E134" s="489" t="n"/>
      <c r="F134" s="498">
        <f>IF(OR(A134="",E134=""),"",IF(C134="","",C134+E134))</f>
        <v/>
      </c>
      <c r="G134" s="384" t="inlineStr">
        <is>
          <t>Agent 01</t>
        </is>
      </c>
      <c r="H134" s="491" t="n"/>
      <c r="I134" s="499">
        <f>IF(A134="","Pending",IF(H134="","⚠️ Enter Code",IF(IFERROR(VLOOKUP(G134,DB_Agents!$B:$I,8,0),"")=H134,IF(AND(A134&lt;&gt;"",E134&lt;&gt;""),"Saved","Pending"),"🔒 BLOCKED — Wrong Code")))</f>
        <v/>
      </c>
      <c r="J134" s="500">
        <f>IF(I134="Saved",TEXT(TODAY(),"YYYY-MM-DD")&amp;" Auto","—")</f>
        <v/>
      </c>
      <c r="K134" s="501" t="n"/>
    </row>
    <row r="135" ht="15" customHeight="1" s="341">
      <c r="A135" s="486" t="n"/>
      <c r="B135" s="378">
        <f>IF(A135="","",IFERROR(VLOOKUP(A135,DB_Customers!$A:$D,4,0),"❌ Account Not Found"))</f>
        <v/>
      </c>
      <c r="C135" s="487">
        <f>IF(A135="","",IFERROR(VLOOKUP(A135,DB_Customers!$A:$N,14,0),""))</f>
        <v/>
      </c>
      <c r="D135" s="488">
        <f>IF(A135="","",TODAY())</f>
        <v/>
      </c>
      <c r="E135" s="489" t="n"/>
      <c r="F135" s="490">
        <f>IF(OR(A135="",E135=""),"",IF(C135="","",C135+E135))</f>
        <v/>
      </c>
      <c r="G135" s="380" t="inlineStr">
        <is>
          <t>Agent 01</t>
        </is>
      </c>
      <c r="H135" s="491" t="n"/>
      <c r="I135" s="492">
        <f>IF(A135="","Pending",IF(H135="","⚠️ Enter Code",IF(IFERROR(VLOOKUP(G135,DB_Agents!$B:$I,8,0),"")=H135,IF(AND(A135&lt;&gt;"",E135&lt;&gt;""),"Saved","Pending"),"🔒 BLOCKED — Wrong Code")))</f>
        <v/>
      </c>
      <c r="J135" s="493">
        <f>IF(I135="Saved",TEXT(TODAY(),"YYYY-MM-DD")&amp;" Auto","—")</f>
        <v/>
      </c>
      <c r="K135" s="494" t="n"/>
    </row>
    <row r="136" ht="15" customHeight="1" s="341">
      <c r="A136" s="495" t="n"/>
      <c r="B136" s="382">
        <f>IF(A136="","",IFERROR(VLOOKUP(A136,DB_Customers!$A:$D,4,0),"❌ Account Not Found"))</f>
        <v/>
      </c>
      <c r="C136" s="496">
        <f>IF(A136="","",IFERROR(VLOOKUP(A136,DB_Customers!$A:$N,14,0),""))</f>
        <v/>
      </c>
      <c r="D136" s="497">
        <f>IF(A136="","",TODAY())</f>
        <v/>
      </c>
      <c r="E136" s="489" t="n"/>
      <c r="F136" s="498">
        <f>IF(OR(A136="",E136=""),"",IF(C136="","",C136+E136))</f>
        <v/>
      </c>
      <c r="G136" s="384" t="inlineStr">
        <is>
          <t>Agent 01</t>
        </is>
      </c>
      <c r="H136" s="491" t="n"/>
      <c r="I136" s="499">
        <f>IF(A136="","Pending",IF(H136="","⚠️ Enter Code",IF(IFERROR(VLOOKUP(G136,DB_Agents!$B:$I,8,0),"")=H136,IF(AND(A136&lt;&gt;"",E136&lt;&gt;""),"Saved","Pending"),"🔒 BLOCKED — Wrong Code")))</f>
        <v/>
      </c>
      <c r="J136" s="500">
        <f>IF(I136="Saved",TEXT(TODAY(),"YYYY-MM-DD")&amp;" Auto","—")</f>
        <v/>
      </c>
      <c r="K136" s="501" t="n"/>
    </row>
    <row r="137" ht="15" customHeight="1" s="341">
      <c r="A137" s="486" t="n"/>
      <c r="B137" s="378">
        <f>IF(A137="","",IFERROR(VLOOKUP(A137,DB_Customers!$A:$D,4,0),"❌ Account Not Found"))</f>
        <v/>
      </c>
      <c r="C137" s="487">
        <f>IF(A137="","",IFERROR(VLOOKUP(A137,DB_Customers!$A:$N,14,0),""))</f>
        <v/>
      </c>
      <c r="D137" s="488">
        <f>IF(A137="","",TODAY())</f>
        <v/>
      </c>
      <c r="E137" s="489" t="n"/>
      <c r="F137" s="490">
        <f>IF(OR(A137="",E137=""),"",IF(C137="","",C137+E137))</f>
        <v/>
      </c>
      <c r="G137" s="380" t="inlineStr">
        <is>
          <t>Agent 01</t>
        </is>
      </c>
      <c r="H137" s="491" t="n"/>
      <c r="I137" s="492">
        <f>IF(A137="","Pending",IF(H137="","⚠️ Enter Code",IF(IFERROR(VLOOKUP(G137,DB_Agents!$B:$I,8,0),"")=H137,IF(AND(A137&lt;&gt;"",E137&lt;&gt;""),"Saved","Pending"),"🔒 BLOCKED — Wrong Code")))</f>
        <v/>
      </c>
      <c r="J137" s="493">
        <f>IF(I137="Saved",TEXT(TODAY(),"YYYY-MM-DD")&amp;" Auto","—")</f>
        <v/>
      </c>
      <c r="K137" s="494" t="n"/>
    </row>
    <row r="138" ht="15" customHeight="1" s="341">
      <c r="A138" s="495" t="n"/>
      <c r="B138" s="382">
        <f>IF(A138="","",IFERROR(VLOOKUP(A138,DB_Customers!$A:$D,4,0),"❌ Account Not Found"))</f>
        <v/>
      </c>
      <c r="C138" s="496">
        <f>IF(A138="","",IFERROR(VLOOKUP(A138,DB_Customers!$A:$N,14,0),""))</f>
        <v/>
      </c>
      <c r="D138" s="497">
        <f>IF(A138="","",TODAY())</f>
        <v/>
      </c>
      <c r="E138" s="489" t="n"/>
      <c r="F138" s="498">
        <f>IF(OR(A138="",E138=""),"",IF(C138="","",C138+E138))</f>
        <v/>
      </c>
      <c r="G138" s="384" t="inlineStr">
        <is>
          <t>Agent 01</t>
        </is>
      </c>
      <c r="H138" s="491" t="n"/>
      <c r="I138" s="499">
        <f>IF(A138="","Pending",IF(H138="","⚠️ Enter Code",IF(IFERROR(VLOOKUP(G138,DB_Agents!$B:$I,8,0),"")=H138,IF(AND(A138&lt;&gt;"",E138&lt;&gt;""),"Saved","Pending"),"🔒 BLOCKED — Wrong Code")))</f>
        <v/>
      </c>
      <c r="J138" s="500">
        <f>IF(I138="Saved",TEXT(TODAY(),"YYYY-MM-DD")&amp;" Auto","—")</f>
        <v/>
      </c>
      <c r="K138" s="501" t="n"/>
    </row>
    <row r="139" ht="15" customHeight="1" s="341">
      <c r="A139" s="486" t="n"/>
      <c r="B139" s="378">
        <f>IF(A139="","",IFERROR(VLOOKUP(A139,DB_Customers!$A:$D,4,0),"❌ Account Not Found"))</f>
        <v/>
      </c>
      <c r="C139" s="487">
        <f>IF(A139="","",IFERROR(VLOOKUP(A139,DB_Customers!$A:$N,14,0),""))</f>
        <v/>
      </c>
      <c r="D139" s="488">
        <f>IF(A139="","",TODAY())</f>
        <v/>
      </c>
      <c r="E139" s="489" t="n"/>
      <c r="F139" s="490">
        <f>IF(OR(A139="",E139=""),"",IF(C139="","",C139+E139))</f>
        <v/>
      </c>
      <c r="G139" s="380" t="inlineStr">
        <is>
          <t>Agent 01</t>
        </is>
      </c>
      <c r="H139" s="491" t="n"/>
      <c r="I139" s="492">
        <f>IF(A139="","Pending",IF(H139="","⚠️ Enter Code",IF(IFERROR(VLOOKUP(G139,DB_Agents!$B:$I,8,0),"")=H139,IF(AND(A139&lt;&gt;"",E139&lt;&gt;""),"Saved","Pending"),"🔒 BLOCKED — Wrong Code")))</f>
        <v/>
      </c>
      <c r="J139" s="493">
        <f>IF(I139="Saved",TEXT(TODAY(),"YYYY-MM-DD")&amp;" Auto","—")</f>
        <v/>
      </c>
      <c r="K139" s="494" t="n"/>
    </row>
    <row r="140" ht="15" customHeight="1" s="341">
      <c r="A140" s="495" t="n"/>
      <c r="B140" s="382">
        <f>IF(A140="","",IFERROR(VLOOKUP(A140,DB_Customers!$A:$D,4,0),"❌ Account Not Found"))</f>
        <v/>
      </c>
      <c r="C140" s="496">
        <f>IF(A140="","",IFERROR(VLOOKUP(A140,DB_Customers!$A:$N,14,0),""))</f>
        <v/>
      </c>
      <c r="D140" s="497">
        <f>IF(A140="","",TODAY())</f>
        <v/>
      </c>
      <c r="E140" s="489" t="n"/>
      <c r="F140" s="498">
        <f>IF(OR(A140="",E140=""),"",IF(C140="","",C140+E140))</f>
        <v/>
      </c>
      <c r="G140" s="384" t="inlineStr">
        <is>
          <t>Agent 01</t>
        </is>
      </c>
      <c r="H140" s="491" t="n"/>
      <c r="I140" s="499">
        <f>IF(A140="","Pending",IF(H140="","⚠️ Enter Code",IF(IFERROR(VLOOKUP(G140,DB_Agents!$B:$I,8,0),"")=H140,IF(AND(A140&lt;&gt;"",E140&lt;&gt;""),"Saved","Pending"),"🔒 BLOCKED — Wrong Code")))</f>
        <v/>
      </c>
      <c r="J140" s="500">
        <f>IF(I140="Saved",TEXT(TODAY(),"YYYY-MM-DD")&amp;" Auto","—")</f>
        <v/>
      </c>
      <c r="K140" s="501" t="n"/>
    </row>
    <row r="141" ht="15" customHeight="1" s="341">
      <c r="A141" s="486" t="n"/>
      <c r="B141" s="378">
        <f>IF(A141="","",IFERROR(VLOOKUP(A141,DB_Customers!$A:$D,4,0),"❌ Account Not Found"))</f>
        <v/>
      </c>
      <c r="C141" s="487">
        <f>IF(A141="","",IFERROR(VLOOKUP(A141,DB_Customers!$A:$N,14,0),""))</f>
        <v/>
      </c>
      <c r="D141" s="488">
        <f>IF(A141="","",TODAY())</f>
        <v/>
      </c>
      <c r="E141" s="489" t="n"/>
      <c r="F141" s="490">
        <f>IF(OR(A141="",E141=""),"",IF(C141="","",C141+E141))</f>
        <v/>
      </c>
      <c r="G141" s="380" t="inlineStr">
        <is>
          <t>Agent 01</t>
        </is>
      </c>
      <c r="H141" s="491" t="n"/>
      <c r="I141" s="492">
        <f>IF(A141="","Pending",IF(H141="","⚠️ Enter Code",IF(IFERROR(VLOOKUP(G141,DB_Agents!$B:$I,8,0),"")=H141,IF(AND(A141&lt;&gt;"",E141&lt;&gt;""),"Saved","Pending"),"🔒 BLOCKED — Wrong Code")))</f>
        <v/>
      </c>
      <c r="J141" s="493">
        <f>IF(I141="Saved",TEXT(TODAY(),"YYYY-MM-DD")&amp;" Auto","—")</f>
        <v/>
      </c>
      <c r="K141" s="494" t="n"/>
    </row>
    <row r="142" ht="15" customHeight="1" s="341">
      <c r="A142" s="495" t="n"/>
      <c r="B142" s="382">
        <f>IF(A142="","",IFERROR(VLOOKUP(A142,DB_Customers!$A:$D,4,0),"❌ Account Not Found"))</f>
        <v/>
      </c>
      <c r="C142" s="496">
        <f>IF(A142="","",IFERROR(VLOOKUP(A142,DB_Customers!$A:$N,14,0),""))</f>
        <v/>
      </c>
      <c r="D142" s="497">
        <f>IF(A142="","",TODAY())</f>
        <v/>
      </c>
      <c r="E142" s="489" t="n"/>
      <c r="F142" s="498">
        <f>IF(OR(A142="",E142=""),"",IF(C142="","",C142+E142))</f>
        <v/>
      </c>
      <c r="G142" s="384" t="inlineStr">
        <is>
          <t>Agent 01</t>
        </is>
      </c>
      <c r="H142" s="491" t="n"/>
      <c r="I142" s="499">
        <f>IF(A142="","Pending",IF(H142="","⚠️ Enter Code",IF(IFERROR(VLOOKUP(G142,DB_Agents!$B:$I,8,0),"")=H142,IF(AND(A142&lt;&gt;"",E142&lt;&gt;""),"Saved","Pending"),"🔒 BLOCKED — Wrong Code")))</f>
        <v/>
      </c>
      <c r="J142" s="500">
        <f>IF(I142="Saved",TEXT(TODAY(),"YYYY-MM-DD")&amp;" Auto","—")</f>
        <v/>
      </c>
      <c r="K142" s="501" t="n"/>
    </row>
    <row r="143" ht="15" customHeight="1" s="341">
      <c r="A143" s="486" t="n"/>
      <c r="B143" s="378">
        <f>IF(A143="","",IFERROR(VLOOKUP(A143,DB_Customers!$A:$D,4,0),"❌ Account Not Found"))</f>
        <v/>
      </c>
      <c r="C143" s="487">
        <f>IF(A143="","",IFERROR(VLOOKUP(A143,DB_Customers!$A:$N,14,0),""))</f>
        <v/>
      </c>
      <c r="D143" s="488">
        <f>IF(A143="","",TODAY())</f>
        <v/>
      </c>
      <c r="E143" s="489" t="n"/>
      <c r="F143" s="490">
        <f>IF(OR(A143="",E143=""),"",IF(C143="","",C143+E143))</f>
        <v/>
      </c>
      <c r="G143" s="380" t="inlineStr">
        <is>
          <t>Agent 01</t>
        </is>
      </c>
      <c r="H143" s="491" t="n"/>
      <c r="I143" s="492">
        <f>IF(A143="","Pending",IF(H143="","⚠️ Enter Code",IF(IFERROR(VLOOKUP(G143,DB_Agents!$B:$I,8,0),"")=H143,IF(AND(A143&lt;&gt;"",E143&lt;&gt;""),"Saved","Pending"),"🔒 BLOCKED — Wrong Code")))</f>
        <v/>
      </c>
      <c r="J143" s="493">
        <f>IF(I143="Saved",TEXT(TODAY(),"YYYY-MM-DD")&amp;" Auto","—")</f>
        <v/>
      </c>
      <c r="K143" s="494" t="n"/>
    </row>
    <row r="144" ht="15" customHeight="1" s="341">
      <c r="A144" s="495" t="n"/>
      <c r="B144" s="382">
        <f>IF(A144="","",IFERROR(VLOOKUP(A144,DB_Customers!$A:$D,4,0),"❌ Account Not Found"))</f>
        <v/>
      </c>
      <c r="C144" s="496">
        <f>IF(A144="","",IFERROR(VLOOKUP(A144,DB_Customers!$A:$N,14,0),""))</f>
        <v/>
      </c>
      <c r="D144" s="497">
        <f>IF(A144="","",TODAY())</f>
        <v/>
      </c>
      <c r="E144" s="489" t="n"/>
      <c r="F144" s="498">
        <f>IF(OR(A144="",E144=""),"",IF(C144="","",C144+E144))</f>
        <v/>
      </c>
      <c r="G144" s="384" t="inlineStr">
        <is>
          <t>Agent 01</t>
        </is>
      </c>
      <c r="H144" s="491" t="n"/>
      <c r="I144" s="499">
        <f>IF(A144="","Pending",IF(H144="","⚠️ Enter Code",IF(IFERROR(VLOOKUP(G144,DB_Agents!$B:$I,8,0),"")=H144,IF(AND(A144&lt;&gt;"",E144&lt;&gt;""),"Saved","Pending"),"🔒 BLOCKED — Wrong Code")))</f>
        <v/>
      </c>
      <c r="J144" s="500">
        <f>IF(I144="Saved",TEXT(TODAY(),"YYYY-MM-DD")&amp;" Auto","—")</f>
        <v/>
      </c>
      <c r="K144" s="501" t="n"/>
    </row>
    <row r="145" ht="15" customHeight="1" s="341">
      <c r="A145" s="486" t="n"/>
      <c r="B145" s="378">
        <f>IF(A145="","",IFERROR(VLOOKUP(A145,DB_Customers!$A:$D,4,0),"❌ Account Not Found"))</f>
        <v/>
      </c>
      <c r="C145" s="487">
        <f>IF(A145="","",IFERROR(VLOOKUP(A145,DB_Customers!$A:$N,14,0),""))</f>
        <v/>
      </c>
      <c r="D145" s="488">
        <f>IF(A145="","",TODAY())</f>
        <v/>
      </c>
      <c r="E145" s="489" t="n"/>
      <c r="F145" s="490">
        <f>IF(OR(A145="",E145=""),"",IF(C145="","",C145+E145))</f>
        <v/>
      </c>
      <c r="G145" s="380" t="inlineStr">
        <is>
          <t>Agent 01</t>
        </is>
      </c>
      <c r="H145" s="491" t="n"/>
      <c r="I145" s="492">
        <f>IF(A145="","Pending",IF(H145="","⚠️ Enter Code",IF(IFERROR(VLOOKUP(G145,DB_Agents!$B:$I,8,0),"")=H145,IF(AND(A145&lt;&gt;"",E145&lt;&gt;""),"Saved","Pending"),"🔒 BLOCKED — Wrong Code")))</f>
        <v/>
      </c>
      <c r="J145" s="493">
        <f>IF(I145="Saved",TEXT(TODAY(),"YYYY-MM-DD")&amp;" Auto","—")</f>
        <v/>
      </c>
      <c r="K145" s="494" t="n"/>
    </row>
    <row r="146" ht="15" customHeight="1" s="341">
      <c r="A146" s="495" t="n"/>
      <c r="B146" s="382">
        <f>IF(A146="","",IFERROR(VLOOKUP(A146,DB_Customers!$A:$D,4,0),"❌ Account Not Found"))</f>
        <v/>
      </c>
      <c r="C146" s="496">
        <f>IF(A146="","",IFERROR(VLOOKUP(A146,DB_Customers!$A:$N,14,0),""))</f>
        <v/>
      </c>
      <c r="D146" s="497">
        <f>IF(A146="","",TODAY())</f>
        <v/>
      </c>
      <c r="E146" s="489" t="n"/>
      <c r="F146" s="498">
        <f>IF(OR(A146="",E146=""),"",IF(C146="","",C146+E146))</f>
        <v/>
      </c>
      <c r="G146" s="384" t="inlineStr">
        <is>
          <t>Agent 01</t>
        </is>
      </c>
      <c r="H146" s="491" t="n"/>
      <c r="I146" s="499">
        <f>IF(A146="","Pending",IF(H146="","⚠️ Enter Code",IF(IFERROR(VLOOKUP(G146,DB_Agents!$B:$I,8,0),"")=H146,IF(AND(A146&lt;&gt;"",E146&lt;&gt;""),"Saved","Pending"),"🔒 BLOCKED — Wrong Code")))</f>
        <v/>
      </c>
      <c r="J146" s="500">
        <f>IF(I146="Saved",TEXT(TODAY(),"YYYY-MM-DD")&amp;" Auto","—")</f>
        <v/>
      </c>
      <c r="K146" s="501" t="n"/>
    </row>
    <row r="147" ht="15" customHeight="1" s="341">
      <c r="A147" s="486" t="n"/>
      <c r="B147" s="378">
        <f>IF(A147="","",IFERROR(VLOOKUP(A147,DB_Customers!$A:$D,4,0),"❌ Account Not Found"))</f>
        <v/>
      </c>
      <c r="C147" s="487">
        <f>IF(A147="","",IFERROR(VLOOKUP(A147,DB_Customers!$A:$N,14,0),""))</f>
        <v/>
      </c>
      <c r="D147" s="488">
        <f>IF(A147="","",TODAY())</f>
        <v/>
      </c>
      <c r="E147" s="489" t="n"/>
      <c r="F147" s="490">
        <f>IF(OR(A147="",E147=""),"",IF(C147="","",C147+E147))</f>
        <v/>
      </c>
      <c r="G147" s="380" t="inlineStr">
        <is>
          <t>Agent 01</t>
        </is>
      </c>
      <c r="H147" s="491" t="n"/>
      <c r="I147" s="492">
        <f>IF(A147="","Pending",IF(H147="","⚠️ Enter Code",IF(IFERROR(VLOOKUP(G147,DB_Agents!$B:$I,8,0),"")=H147,IF(AND(A147&lt;&gt;"",E147&lt;&gt;""),"Saved","Pending"),"🔒 BLOCKED — Wrong Code")))</f>
        <v/>
      </c>
      <c r="J147" s="493">
        <f>IF(I147="Saved",TEXT(TODAY(),"YYYY-MM-DD")&amp;" Auto","—")</f>
        <v/>
      </c>
      <c r="K147" s="494" t="n"/>
    </row>
    <row r="148" ht="15" customHeight="1" s="341">
      <c r="A148" s="495" t="n"/>
      <c r="B148" s="382">
        <f>IF(A148="","",IFERROR(VLOOKUP(A148,DB_Customers!$A:$D,4,0),"❌ Account Not Found"))</f>
        <v/>
      </c>
      <c r="C148" s="496">
        <f>IF(A148="","",IFERROR(VLOOKUP(A148,DB_Customers!$A:$N,14,0),""))</f>
        <v/>
      </c>
      <c r="D148" s="497">
        <f>IF(A148="","",TODAY())</f>
        <v/>
      </c>
      <c r="E148" s="489" t="n"/>
      <c r="F148" s="498">
        <f>IF(OR(A148="",E148=""),"",IF(C148="","",C148+E148))</f>
        <v/>
      </c>
      <c r="G148" s="384" t="inlineStr">
        <is>
          <t>Agent 01</t>
        </is>
      </c>
      <c r="H148" s="491" t="n"/>
      <c r="I148" s="499">
        <f>IF(A148="","Pending",IF(H148="","⚠️ Enter Code",IF(IFERROR(VLOOKUP(G148,DB_Agents!$B:$I,8,0),"")=H148,IF(AND(A148&lt;&gt;"",E148&lt;&gt;""),"Saved","Pending"),"🔒 BLOCKED — Wrong Code")))</f>
        <v/>
      </c>
      <c r="J148" s="500">
        <f>IF(I148="Saved",TEXT(TODAY(),"YYYY-MM-DD")&amp;" Auto","—")</f>
        <v/>
      </c>
      <c r="K148" s="501" t="n"/>
    </row>
    <row r="149" ht="15" customHeight="1" s="341">
      <c r="A149" s="486" t="n"/>
      <c r="B149" s="378">
        <f>IF(A149="","",IFERROR(VLOOKUP(A149,DB_Customers!$A:$D,4,0),"❌ Account Not Found"))</f>
        <v/>
      </c>
      <c r="C149" s="487">
        <f>IF(A149="","",IFERROR(VLOOKUP(A149,DB_Customers!$A:$N,14,0),""))</f>
        <v/>
      </c>
      <c r="D149" s="488">
        <f>IF(A149="","",TODAY())</f>
        <v/>
      </c>
      <c r="E149" s="489" t="n"/>
      <c r="F149" s="490">
        <f>IF(OR(A149="",E149=""),"",IF(C149="","",C149+E149))</f>
        <v/>
      </c>
      <c r="G149" s="380" t="inlineStr">
        <is>
          <t>Agent 01</t>
        </is>
      </c>
      <c r="H149" s="491" t="n"/>
      <c r="I149" s="492">
        <f>IF(A149="","Pending",IF(H149="","⚠️ Enter Code",IF(IFERROR(VLOOKUP(G149,DB_Agents!$B:$I,8,0),"")=H149,IF(AND(A149&lt;&gt;"",E149&lt;&gt;""),"Saved","Pending"),"🔒 BLOCKED — Wrong Code")))</f>
        <v/>
      </c>
      <c r="J149" s="493">
        <f>IF(I149="Saved",TEXT(TODAY(),"YYYY-MM-DD")&amp;" Auto","—")</f>
        <v/>
      </c>
      <c r="K149" s="494" t="n"/>
    </row>
    <row r="150" ht="15" customHeight="1" s="341">
      <c r="A150" s="495" t="n"/>
      <c r="B150" s="382">
        <f>IF(A150="","",IFERROR(VLOOKUP(A150,DB_Customers!$A:$D,4,0),"❌ Account Not Found"))</f>
        <v/>
      </c>
      <c r="C150" s="496">
        <f>IF(A150="","",IFERROR(VLOOKUP(A150,DB_Customers!$A:$N,14,0),""))</f>
        <v/>
      </c>
      <c r="D150" s="497">
        <f>IF(A150="","",TODAY())</f>
        <v/>
      </c>
      <c r="E150" s="489" t="n"/>
      <c r="F150" s="498">
        <f>IF(OR(A150="",E150=""),"",IF(C150="","",C150+E150))</f>
        <v/>
      </c>
      <c r="G150" s="384" t="inlineStr">
        <is>
          <t>Agent 01</t>
        </is>
      </c>
      <c r="H150" s="491" t="n"/>
      <c r="I150" s="499">
        <f>IF(A150="","Pending",IF(H150="","⚠️ Enter Code",IF(IFERROR(VLOOKUP(G150,DB_Agents!$B:$I,8,0),"")=H150,IF(AND(A150&lt;&gt;"",E150&lt;&gt;""),"Saved","Pending"),"🔒 BLOCKED — Wrong Code")))</f>
        <v/>
      </c>
      <c r="J150" s="500">
        <f>IF(I150="Saved",TEXT(TODAY(),"YYYY-MM-DD")&amp;" Auto","—")</f>
        <v/>
      </c>
      <c r="K150" s="501" t="n"/>
    </row>
    <row r="151" ht="15" customHeight="1" s="341">
      <c r="A151" s="486" t="n"/>
      <c r="B151" s="378">
        <f>IF(A151="","",IFERROR(VLOOKUP(A151,DB_Customers!$A:$D,4,0),"❌ Account Not Found"))</f>
        <v/>
      </c>
      <c r="C151" s="487">
        <f>IF(A151="","",IFERROR(VLOOKUP(A151,DB_Customers!$A:$N,14,0),""))</f>
        <v/>
      </c>
      <c r="D151" s="488">
        <f>IF(A151="","",TODAY())</f>
        <v/>
      </c>
      <c r="E151" s="489" t="n"/>
      <c r="F151" s="490">
        <f>IF(OR(A151="",E151=""),"",IF(C151="","",C151+E151))</f>
        <v/>
      </c>
      <c r="G151" s="380" t="inlineStr">
        <is>
          <t>Agent 01</t>
        </is>
      </c>
      <c r="H151" s="491" t="n"/>
      <c r="I151" s="492">
        <f>IF(A151="","Pending",IF(H151="","⚠️ Enter Code",IF(IFERROR(VLOOKUP(G151,DB_Agents!$B:$I,8,0),"")=H151,IF(AND(A151&lt;&gt;"",E151&lt;&gt;""),"Saved","Pending"),"🔒 BLOCKED — Wrong Code")))</f>
        <v/>
      </c>
      <c r="J151" s="493">
        <f>IF(I151="Saved",TEXT(TODAY(),"YYYY-MM-DD")&amp;" Auto","—")</f>
        <v/>
      </c>
      <c r="K151" s="494" t="n"/>
    </row>
    <row r="152" ht="15" customHeight="1" s="341">
      <c r="A152" s="495" t="n"/>
      <c r="B152" s="382">
        <f>IF(A152="","",IFERROR(VLOOKUP(A152,DB_Customers!$A:$D,4,0),"❌ Account Not Found"))</f>
        <v/>
      </c>
      <c r="C152" s="496">
        <f>IF(A152="","",IFERROR(VLOOKUP(A152,DB_Customers!$A:$N,14,0),""))</f>
        <v/>
      </c>
      <c r="D152" s="497">
        <f>IF(A152="","",TODAY())</f>
        <v/>
      </c>
      <c r="E152" s="489" t="n"/>
      <c r="F152" s="498">
        <f>IF(OR(A152="",E152=""),"",IF(C152="","",C152+E152))</f>
        <v/>
      </c>
      <c r="G152" s="384" t="inlineStr">
        <is>
          <t>Agent 01</t>
        </is>
      </c>
      <c r="H152" s="491" t="n"/>
      <c r="I152" s="499">
        <f>IF(A152="","Pending",IF(H152="","⚠️ Enter Code",IF(IFERROR(VLOOKUP(G152,DB_Agents!$B:$I,8,0),"")=H152,IF(AND(A152&lt;&gt;"",E152&lt;&gt;""),"Saved","Pending"),"🔒 BLOCKED — Wrong Code")))</f>
        <v/>
      </c>
      <c r="J152" s="500">
        <f>IF(I152="Saved",TEXT(TODAY(),"YYYY-MM-DD")&amp;" Auto","—")</f>
        <v/>
      </c>
      <c r="K152" s="501" t="n"/>
    </row>
    <row r="153" ht="15" customHeight="1" s="341">
      <c r="A153" s="486" t="n"/>
      <c r="B153" s="378">
        <f>IF(A153="","",IFERROR(VLOOKUP(A153,DB_Customers!$A:$D,4,0),"❌ Account Not Found"))</f>
        <v/>
      </c>
      <c r="C153" s="487">
        <f>IF(A153="","",IFERROR(VLOOKUP(A153,DB_Customers!$A:$N,14,0),""))</f>
        <v/>
      </c>
      <c r="D153" s="488">
        <f>IF(A153="","",TODAY())</f>
        <v/>
      </c>
      <c r="E153" s="489" t="n"/>
      <c r="F153" s="490">
        <f>IF(OR(A153="",E153=""),"",IF(C153="","",C153+E153))</f>
        <v/>
      </c>
      <c r="G153" s="380" t="inlineStr">
        <is>
          <t>Agent 01</t>
        </is>
      </c>
      <c r="H153" s="491" t="n"/>
      <c r="I153" s="492">
        <f>IF(A153="","Pending",IF(H153="","⚠️ Enter Code",IF(IFERROR(VLOOKUP(G153,DB_Agents!$B:$I,8,0),"")=H153,IF(AND(A153&lt;&gt;"",E153&lt;&gt;""),"Saved","Pending"),"🔒 BLOCKED — Wrong Code")))</f>
        <v/>
      </c>
      <c r="J153" s="493">
        <f>IF(I153="Saved",TEXT(TODAY(),"YYYY-MM-DD")&amp;" Auto","—")</f>
        <v/>
      </c>
      <c r="K153" s="494" t="n"/>
    </row>
    <row r="154" ht="15" customHeight="1" s="341">
      <c r="A154" s="495" t="n"/>
      <c r="B154" s="382">
        <f>IF(A154="","",IFERROR(VLOOKUP(A154,DB_Customers!$A:$D,4,0),"❌ Account Not Found"))</f>
        <v/>
      </c>
      <c r="C154" s="496">
        <f>IF(A154="","",IFERROR(VLOOKUP(A154,DB_Customers!$A:$N,14,0),""))</f>
        <v/>
      </c>
      <c r="D154" s="497">
        <f>IF(A154="","",TODAY())</f>
        <v/>
      </c>
      <c r="E154" s="489" t="n"/>
      <c r="F154" s="498">
        <f>IF(OR(A154="",E154=""),"",IF(C154="","",C154+E154))</f>
        <v/>
      </c>
      <c r="G154" s="384" t="inlineStr">
        <is>
          <t>Agent 01</t>
        </is>
      </c>
      <c r="H154" s="491" t="n"/>
      <c r="I154" s="499">
        <f>IF(A154="","Pending",IF(H154="","⚠️ Enter Code",IF(IFERROR(VLOOKUP(G154,DB_Agents!$B:$I,8,0),"")=H154,IF(AND(A154&lt;&gt;"",E154&lt;&gt;""),"Saved","Pending"),"🔒 BLOCKED — Wrong Code")))</f>
        <v/>
      </c>
      <c r="J154" s="500">
        <f>IF(I154="Saved",TEXT(TODAY(),"YYYY-MM-DD")&amp;" Auto","—")</f>
        <v/>
      </c>
      <c r="K154" s="501" t="n"/>
    </row>
    <row r="155" ht="15" customHeight="1" s="341">
      <c r="A155" s="486" t="n"/>
      <c r="B155" s="378">
        <f>IF(A155="","",IFERROR(VLOOKUP(A155,DB_Customers!$A:$D,4,0),"❌ Account Not Found"))</f>
        <v/>
      </c>
      <c r="C155" s="487">
        <f>IF(A155="","",IFERROR(VLOOKUP(A155,DB_Customers!$A:$N,14,0),""))</f>
        <v/>
      </c>
      <c r="D155" s="488">
        <f>IF(A155="","",TODAY())</f>
        <v/>
      </c>
      <c r="E155" s="489" t="n"/>
      <c r="F155" s="490">
        <f>IF(OR(A155="",E155=""),"",IF(C155="","",C155+E155))</f>
        <v/>
      </c>
      <c r="G155" s="380" t="inlineStr">
        <is>
          <t>Agent 01</t>
        </is>
      </c>
      <c r="H155" s="491" t="n"/>
      <c r="I155" s="492">
        <f>IF(A155="","Pending",IF(H155="","⚠️ Enter Code",IF(IFERROR(VLOOKUP(G155,DB_Agents!$B:$I,8,0),"")=H155,IF(AND(A155&lt;&gt;"",E155&lt;&gt;""),"Saved","Pending"),"🔒 BLOCKED — Wrong Code")))</f>
        <v/>
      </c>
      <c r="J155" s="493">
        <f>IF(I155="Saved",TEXT(TODAY(),"YYYY-MM-DD")&amp;" Auto","—")</f>
        <v/>
      </c>
      <c r="K155" s="494" t="n"/>
    </row>
    <row r="156" ht="15" customHeight="1" s="341">
      <c r="A156" s="495" t="n"/>
      <c r="B156" s="382">
        <f>IF(A156="","",IFERROR(VLOOKUP(A156,DB_Customers!$A:$D,4,0),"❌ Account Not Found"))</f>
        <v/>
      </c>
      <c r="C156" s="496">
        <f>IF(A156="","",IFERROR(VLOOKUP(A156,DB_Customers!$A:$N,14,0),""))</f>
        <v/>
      </c>
      <c r="D156" s="497">
        <f>IF(A156="","",TODAY())</f>
        <v/>
      </c>
      <c r="E156" s="489" t="n"/>
      <c r="F156" s="498">
        <f>IF(OR(A156="",E156=""),"",IF(C156="","",C156+E156))</f>
        <v/>
      </c>
      <c r="G156" s="384" t="inlineStr">
        <is>
          <t>Agent 01</t>
        </is>
      </c>
      <c r="H156" s="491" t="n"/>
      <c r="I156" s="499">
        <f>IF(A156="","Pending",IF(H156="","⚠️ Enter Code",IF(IFERROR(VLOOKUP(G156,DB_Agents!$B:$I,8,0),"")=H156,IF(AND(A156&lt;&gt;"",E156&lt;&gt;""),"Saved","Pending"),"🔒 BLOCKED — Wrong Code")))</f>
        <v/>
      </c>
      <c r="J156" s="500">
        <f>IF(I156="Saved",TEXT(TODAY(),"YYYY-MM-DD")&amp;" Auto","—")</f>
        <v/>
      </c>
      <c r="K156" s="501" t="n"/>
    </row>
    <row r="157" ht="15" customHeight="1" s="341">
      <c r="A157" s="486" t="n"/>
      <c r="B157" s="378">
        <f>IF(A157="","",IFERROR(VLOOKUP(A157,DB_Customers!$A:$D,4,0),"❌ Account Not Found"))</f>
        <v/>
      </c>
      <c r="C157" s="487">
        <f>IF(A157="","",IFERROR(VLOOKUP(A157,DB_Customers!$A:$N,14,0),""))</f>
        <v/>
      </c>
      <c r="D157" s="488">
        <f>IF(A157="","",TODAY())</f>
        <v/>
      </c>
      <c r="E157" s="489" t="n"/>
      <c r="F157" s="490">
        <f>IF(OR(A157="",E157=""),"",IF(C157="","",C157+E157))</f>
        <v/>
      </c>
      <c r="G157" s="380" t="inlineStr">
        <is>
          <t>Agent 01</t>
        </is>
      </c>
      <c r="H157" s="491" t="n"/>
      <c r="I157" s="492">
        <f>IF(A157="","Pending",IF(H157="","⚠️ Enter Code",IF(IFERROR(VLOOKUP(G157,DB_Agents!$B:$I,8,0),"")=H157,IF(AND(A157&lt;&gt;"",E157&lt;&gt;""),"Saved","Pending"),"🔒 BLOCKED — Wrong Code")))</f>
        <v/>
      </c>
      <c r="J157" s="493">
        <f>IF(I157="Saved",TEXT(TODAY(),"YYYY-MM-DD")&amp;" Auto","—")</f>
        <v/>
      </c>
      <c r="K157" s="494" t="n"/>
    </row>
    <row r="158" ht="15" customHeight="1" s="341">
      <c r="A158" s="495" t="n"/>
      <c r="B158" s="382">
        <f>IF(A158="","",IFERROR(VLOOKUP(A158,DB_Customers!$A:$D,4,0),"❌ Account Not Found"))</f>
        <v/>
      </c>
      <c r="C158" s="496">
        <f>IF(A158="","",IFERROR(VLOOKUP(A158,DB_Customers!$A:$N,14,0),""))</f>
        <v/>
      </c>
      <c r="D158" s="497">
        <f>IF(A158="","",TODAY())</f>
        <v/>
      </c>
      <c r="E158" s="489" t="n"/>
      <c r="F158" s="498">
        <f>IF(OR(A158="",E158=""),"",IF(C158="","",C158+E158))</f>
        <v/>
      </c>
      <c r="G158" s="384" t="inlineStr">
        <is>
          <t>Agent 01</t>
        </is>
      </c>
      <c r="H158" s="491" t="n"/>
      <c r="I158" s="499">
        <f>IF(A158="","Pending",IF(H158="","⚠️ Enter Code",IF(IFERROR(VLOOKUP(G158,DB_Agents!$B:$I,8,0),"")=H158,IF(AND(A158&lt;&gt;"",E158&lt;&gt;""),"Saved","Pending"),"🔒 BLOCKED — Wrong Code")))</f>
        <v/>
      </c>
      <c r="J158" s="500">
        <f>IF(I158="Saved",TEXT(TODAY(),"YYYY-MM-DD")&amp;" Auto","—")</f>
        <v/>
      </c>
      <c r="K158" s="501" t="n"/>
    </row>
    <row r="159" ht="15" customHeight="1" s="341">
      <c r="A159" s="486" t="n"/>
      <c r="B159" s="378">
        <f>IF(A159="","",IFERROR(VLOOKUP(A159,DB_Customers!$A:$D,4,0),"❌ Account Not Found"))</f>
        <v/>
      </c>
      <c r="C159" s="487">
        <f>IF(A159="","",IFERROR(VLOOKUP(A159,DB_Customers!$A:$N,14,0),""))</f>
        <v/>
      </c>
      <c r="D159" s="488">
        <f>IF(A159="","",TODAY())</f>
        <v/>
      </c>
      <c r="E159" s="489" t="n"/>
      <c r="F159" s="490">
        <f>IF(OR(A159="",E159=""),"",IF(C159="","",C159+E159))</f>
        <v/>
      </c>
      <c r="G159" s="380" t="inlineStr">
        <is>
          <t>Agent 01</t>
        </is>
      </c>
      <c r="H159" s="491" t="n"/>
      <c r="I159" s="492">
        <f>IF(A159="","Pending",IF(H159="","⚠️ Enter Code",IF(IFERROR(VLOOKUP(G159,DB_Agents!$B:$I,8,0),"")=H159,IF(AND(A159&lt;&gt;"",E159&lt;&gt;""),"Saved","Pending"),"🔒 BLOCKED — Wrong Code")))</f>
        <v/>
      </c>
      <c r="J159" s="493">
        <f>IF(I159="Saved",TEXT(TODAY(),"YYYY-MM-DD")&amp;" Auto","—")</f>
        <v/>
      </c>
      <c r="K159" s="494" t="n"/>
    </row>
    <row r="160" ht="15" customHeight="1" s="341">
      <c r="A160" s="495" t="n"/>
      <c r="B160" s="382">
        <f>IF(A160="","",IFERROR(VLOOKUP(A160,DB_Customers!$A:$D,4,0),"❌ Account Not Found"))</f>
        <v/>
      </c>
      <c r="C160" s="496">
        <f>IF(A160="","",IFERROR(VLOOKUP(A160,DB_Customers!$A:$N,14,0),""))</f>
        <v/>
      </c>
      <c r="D160" s="497">
        <f>IF(A160="","",TODAY())</f>
        <v/>
      </c>
      <c r="E160" s="489" t="n"/>
      <c r="F160" s="498">
        <f>IF(OR(A160="",E160=""),"",IF(C160="","",C160+E160))</f>
        <v/>
      </c>
      <c r="G160" s="384" t="inlineStr">
        <is>
          <t>Agent 01</t>
        </is>
      </c>
      <c r="H160" s="491" t="n"/>
      <c r="I160" s="499">
        <f>IF(A160="","Pending",IF(H160="","⚠️ Enter Code",IF(IFERROR(VLOOKUP(G160,DB_Agents!$B:$I,8,0),"")=H160,IF(AND(A160&lt;&gt;"",E160&lt;&gt;""),"Saved","Pending"),"🔒 BLOCKED — Wrong Code")))</f>
        <v/>
      </c>
      <c r="J160" s="500">
        <f>IF(I160="Saved",TEXT(TODAY(),"YYYY-MM-DD")&amp;" Auto","—")</f>
        <v/>
      </c>
      <c r="K160" s="501" t="n"/>
    </row>
    <row r="161" ht="15" customHeight="1" s="341">
      <c r="A161" s="486" t="n"/>
      <c r="B161" s="378">
        <f>IF(A161="","",IFERROR(VLOOKUP(A161,DB_Customers!$A:$D,4,0),"❌ Account Not Found"))</f>
        <v/>
      </c>
      <c r="C161" s="487">
        <f>IF(A161="","",IFERROR(VLOOKUP(A161,DB_Customers!$A:$N,14,0),""))</f>
        <v/>
      </c>
      <c r="D161" s="488">
        <f>IF(A161="","",TODAY())</f>
        <v/>
      </c>
      <c r="E161" s="489" t="n"/>
      <c r="F161" s="490">
        <f>IF(OR(A161="",E161=""),"",IF(C161="","",C161+E161))</f>
        <v/>
      </c>
      <c r="G161" s="380" t="inlineStr">
        <is>
          <t>Agent 01</t>
        </is>
      </c>
      <c r="H161" s="491" t="n"/>
      <c r="I161" s="492">
        <f>IF(A161="","Pending",IF(H161="","⚠️ Enter Code",IF(IFERROR(VLOOKUP(G161,DB_Agents!$B:$I,8,0),"")=H161,IF(AND(A161&lt;&gt;"",E161&lt;&gt;""),"Saved","Pending"),"🔒 BLOCKED — Wrong Code")))</f>
        <v/>
      </c>
      <c r="J161" s="493">
        <f>IF(I161="Saved",TEXT(TODAY(),"YYYY-MM-DD")&amp;" Auto","—")</f>
        <v/>
      </c>
      <c r="K161" s="494" t="n"/>
    </row>
    <row r="162" ht="15" customHeight="1" s="341">
      <c r="A162" s="495" t="n"/>
      <c r="B162" s="382">
        <f>IF(A162="","",IFERROR(VLOOKUP(A162,DB_Customers!$A:$D,4,0),"❌ Account Not Found"))</f>
        <v/>
      </c>
      <c r="C162" s="496">
        <f>IF(A162="","",IFERROR(VLOOKUP(A162,DB_Customers!$A:$N,14,0),""))</f>
        <v/>
      </c>
      <c r="D162" s="497">
        <f>IF(A162="","",TODAY())</f>
        <v/>
      </c>
      <c r="E162" s="489" t="n"/>
      <c r="F162" s="498">
        <f>IF(OR(A162="",E162=""),"",IF(C162="","",C162+E162))</f>
        <v/>
      </c>
      <c r="G162" s="384" t="inlineStr">
        <is>
          <t>Agent 01</t>
        </is>
      </c>
      <c r="H162" s="491" t="n"/>
      <c r="I162" s="499">
        <f>IF(A162="","Pending",IF(H162="","⚠️ Enter Code",IF(IFERROR(VLOOKUP(G162,DB_Agents!$B:$I,8,0),"")=H162,IF(AND(A162&lt;&gt;"",E162&lt;&gt;""),"Saved","Pending"),"🔒 BLOCKED — Wrong Code")))</f>
        <v/>
      </c>
      <c r="J162" s="500">
        <f>IF(I162="Saved",TEXT(TODAY(),"YYYY-MM-DD")&amp;" Auto","—")</f>
        <v/>
      </c>
      <c r="K162" s="501" t="n"/>
    </row>
    <row r="163" ht="15" customHeight="1" s="341">
      <c r="A163" s="486" t="n"/>
      <c r="B163" s="378">
        <f>IF(A163="","",IFERROR(VLOOKUP(A163,DB_Customers!$A:$D,4,0),"❌ Account Not Found"))</f>
        <v/>
      </c>
      <c r="C163" s="487">
        <f>IF(A163="","",IFERROR(VLOOKUP(A163,DB_Customers!$A:$N,14,0),""))</f>
        <v/>
      </c>
      <c r="D163" s="488">
        <f>IF(A163="","",TODAY())</f>
        <v/>
      </c>
      <c r="E163" s="489" t="n"/>
      <c r="F163" s="490">
        <f>IF(OR(A163="",E163=""),"",IF(C163="","",C163+E163))</f>
        <v/>
      </c>
      <c r="G163" s="380" t="inlineStr">
        <is>
          <t>Agent 01</t>
        </is>
      </c>
      <c r="H163" s="491" t="n"/>
      <c r="I163" s="492">
        <f>IF(A163="","Pending",IF(H163="","⚠️ Enter Code",IF(IFERROR(VLOOKUP(G163,DB_Agents!$B:$I,8,0),"")=H163,IF(AND(A163&lt;&gt;"",E163&lt;&gt;""),"Saved","Pending"),"🔒 BLOCKED — Wrong Code")))</f>
        <v/>
      </c>
      <c r="J163" s="493">
        <f>IF(I163="Saved",TEXT(TODAY(),"YYYY-MM-DD")&amp;" Auto","—")</f>
        <v/>
      </c>
      <c r="K163" s="494" t="n"/>
    </row>
    <row r="164" ht="15" customHeight="1" s="341">
      <c r="A164" s="495" t="n"/>
      <c r="B164" s="382">
        <f>IF(A164="","",IFERROR(VLOOKUP(A164,DB_Customers!$A:$D,4,0),"❌ Account Not Found"))</f>
        <v/>
      </c>
      <c r="C164" s="496">
        <f>IF(A164="","",IFERROR(VLOOKUP(A164,DB_Customers!$A:$N,14,0),""))</f>
        <v/>
      </c>
      <c r="D164" s="497">
        <f>IF(A164="","",TODAY())</f>
        <v/>
      </c>
      <c r="E164" s="489" t="n"/>
      <c r="F164" s="498">
        <f>IF(OR(A164="",E164=""),"",IF(C164="","",C164+E164))</f>
        <v/>
      </c>
      <c r="G164" s="384" t="inlineStr">
        <is>
          <t>Agent 01</t>
        </is>
      </c>
      <c r="H164" s="491" t="n"/>
      <c r="I164" s="499">
        <f>IF(A164="","Pending",IF(H164="","⚠️ Enter Code",IF(IFERROR(VLOOKUP(G164,DB_Agents!$B:$I,8,0),"")=H164,IF(AND(A164&lt;&gt;"",E164&lt;&gt;""),"Saved","Pending"),"🔒 BLOCKED — Wrong Code")))</f>
        <v/>
      </c>
      <c r="J164" s="500">
        <f>IF(I164="Saved",TEXT(TODAY(),"YYYY-MM-DD")&amp;" Auto","—")</f>
        <v/>
      </c>
      <c r="K164" s="501" t="n"/>
    </row>
    <row r="165" ht="15" customHeight="1" s="341">
      <c r="A165" s="486" t="n"/>
      <c r="B165" s="378">
        <f>IF(A165="","",IFERROR(VLOOKUP(A165,DB_Customers!$A:$D,4,0),"❌ Account Not Found"))</f>
        <v/>
      </c>
      <c r="C165" s="487">
        <f>IF(A165="","",IFERROR(VLOOKUP(A165,DB_Customers!$A:$N,14,0),""))</f>
        <v/>
      </c>
      <c r="D165" s="488">
        <f>IF(A165="","",TODAY())</f>
        <v/>
      </c>
      <c r="E165" s="489" t="n"/>
      <c r="F165" s="490">
        <f>IF(OR(A165="",E165=""),"",IF(C165="","",C165+E165))</f>
        <v/>
      </c>
      <c r="G165" s="380" t="inlineStr">
        <is>
          <t>Agent 01</t>
        </is>
      </c>
      <c r="H165" s="491" t="n"/>
      <c r="I165" s="492">
        <f>IF(A165="","Pending",IF(H165="","⚠️ Enter Code",IF(IFERROR(VLOOKUP(G165,DB_Agents!$B:$I,8,0),"")=H165,IF(AND(A165&lt;&gt;"",E165&lt;&gt;""),"Saved","Pending"),"🔒 BLOCKED — Wrong Code")))</f>
        <v/>
      </c>
      <c r="J165" s="493">
        <f>IF(I165="Saved",TEXT(TODAY(),"YYYY-MM-DD")&amp;" Auto","—")</f>
        <v/>
      </c>
      <c r="K165" s="494" t="n"/>
    </row>
    <row r="166" ht="15" customHeight="1" s="341">
      <c r="A166" s="495" t="n"/>
      <c r="B166" s="382">
        <f>IF(A166="","",IFERROR(VLOOKUP(A166,DB_Customers!$A:$D,4,0),"❌ Account Not Found"))</f>
        <v/>
      </c>
      <c r="C166" s="496">
        <f>IF(A166="","",IFERROR(VLOOKUP(A166,DB_Customers!$A:$N,14,0),""))</f>
        <v/>
      </c>
      <c r="D166" s="497">
        <f>IF(A166="","",TODAY())</f>
        <v/>
      </c>
      <c r="E166" s="489" t="n"/>
      <c r="F166" s="498">
        <f>IF(OR(A166="",E166=""),"",IF(C166="","",C166+E166))</f>
        <v/>
      </c>
      <c r="G166" s="384" t="inlineStr">
        <is>
          <t>Agent 01</t>
        </is>
      </c>
      <c r="H166" s="491" t="n"/>
      <c r="I166" s="499">
        <f>IF(A166="","Pending",IF(H166="","⚠️ Enter Code",IF(IFERROR(VLOOKUP(G166,DB_Agents!$B:$I,8,0),"")=H166,IF(AND(A166&lt;&gt;"",E166&lt;&gt;""),"Saved","Pending"),"🔒 BLOCKED — Wrong Code")))</f>
        <v/>
      </c>
      <c r="J166" s="500">
        <f>IF(I166="Saved",TEXT(TODAY(),"YYYY-MM-DD")&amp;" Auto","—")</f>
        <v/>
      </c>
      <c r="K166" s="501" t="n"/>
    </row>
    <row r="167" ht="15" customHeight="1" s="341">
      <c r="A167" s="486" t="n"/>
      <c r="B167" s="378">
        <f>IF(A167="","",IFERROR(VLOOKUP(A167,DB_Customers!$A:$D,4,0),"❌ Account Not Found"))</f>
        <v/>
      </c>
      <c r="C167" s="487">
        <f>IF(A167="","",IFERROR(VLOOKUP(A167,DB_Customers!$A:$N,14,0),""))</f>
        <v/>
      </c>
      <c r="D167" s="488">
        <f>IF(A167="","",TODAY())</f>
        <v/>
      </c>
      <c r="E167" s="489" t="n"/>
      <c r="F167" s="490">
        <f>IF(OR(A167="",E167=""),"",IF(C167="","",C167+E167))</f>
        <v/>
      </c>
      <c r="G167" s="380" t="inlineStr">
        <is>
          <t>Agent 01</t>
        </is>
      </c>
      <c r="H167" s="491" t="n"/>
      <c r="I167" s="492">
        <f>IF(A167="","Pending",IF(H167="","⚠️ Enter Code",IF(IFERROR(VLOOKUP(G167,DB_Agents!$B:$I,8,0),"")=H167,IF(AND(A167&lt;&gt;"",E167&lt;&gt;""),"Saved","Pending"),"🔒 BLOCKED — Wrong Code")))</f>
        <v/>
      </c>
      <c r="J167" s="493">
        <f>IF(I167="Saved",TEXT(TODAY(),"YYYY-MM-DD")&amp;" Auto","—")</f>
        <v/>
      </c>
      <c r="K167" s="494" t="n"/>
    </row>
    <row r="168" ht="15" customHeight="1" s="341">
      <c r="A168" s="495" t="n"/>
      <c r="B168" s="382">
        <f>IF(A168="","",IFERROR(VLOOKUP(A168,DB_Customers!$A:$D,4,0),"❌ Account Not Found"))</f>
        <v/>
      </c>
      <c r="C168" s="496">
        <f>IF(A168="","",IFERROR(VLOOKUP(A168,DB_Customers!$A:$N,14,0),""))</f>
        <v/>
      </c>
      <c r="D168" s="497">
        <f>IF(A168="","",TODAY())</f>
        <v/>
      </c>
      <c r="E168" s="489" t="n"/>
      <c r="F168" s="498">
        <f>IF(OR(A168="",E168=""),"",IF(C168="","",C168+E168))</f>
        <v/>
      </c>
      <c r="G168" s="384" t="inlineStr">
        <is>
          <t>Agent 01</t>
        </is>
      </c>
      <c r="H168" s="491" t="n"/>
      <c r="I168" s="499">
        <f>IF(A168="","Pending",IF(H168="","⚠️ Enter Code",IF(IFERROR(VLOOKUP(G168,DB_Agents!$B:$I,8,0),"")=H168,IF(AND(A168&lt;&gt;"",E168&lt;&gt;""),"Saved","Pending"),"🔒 BLOCKED — Wrong Code")))</f>
        <v/>
      </c>
      <c r="J168" s="500">
        <f>IF(I168="Saved",TEXT(TODAY(),"YYYY-MM-DD")&amp;" Auto","—")</f>
        <v/>
      </c>
      <c r="K168" s="501" t="n"/>
    </row>
    <row r="169" ht="15" customHeight="1" s="341">
      <c r="A169" s="486" t="n"/>
      <c r="B169" s="378">
        <f>IF(A169="","",IFERROR(VLOOKUP(A169,DB_Customers!$A:$D,4,0),"❌ Account Not Found"))</f>
        <v/>
      </c>
      <c r="C169" s="487">
        <f>IF(A169="","",IFERROR(VLOOKUP(A169,DB_Customers!$A:$N,14,0),""))</f>
        <v/>
      </c>
      <c r="D169" s="488">
        <f>IF(A169="","",TODAY())</f>
        <v/>
      </c>
      <c r="E169" s="489" t="n"/>
      <c r="F169" s="490">
        <f>IF(OR(A169="",E169=""),"",IF(C169="","",C169+E169))</f>
        <v/>
      </c>
      <c r="G169" s="380" t="inlineStr">
        <is>
          <t>Agent 01</t>
        </is>
      </c>
      <c r="H169" s="491" t="n"/>
      <c r="I169" s="492">
        <f>IF(A169="","Pending",IF(H169="","⚠️ Enter Code",IF(IFERROR(VLOOKUP(G169,DB_Agents!$B:$I,8,0),"")=H169,IF(AND(A169&lt;&gt;"",E169&lt;&gt;""),"Saved","Pending"),"🔒 BLOCKED — Wrong Code")))</f>
        <v/>
      </c>
      <c r="J169" s="493">
        <f>IF(I169="Saved",TEXT(TODAY(),"YYYY-MM-DD")&amp;" Auto","—")</f>
        <v/>
      </c>
      <c r="K169" s="494" t="n"/>
    </row>
    <row r="170" ht="15" customHeight="1" s="341">
      <c r="A170" s="495" t="n"/>
      <c r="B170" s="382">
        <f>IF(A170="","",IFERROR(VLOOKUP(A170,DB_Customers!$A:$D,4,0),"❌ Account Not Found"))</f>
        <v/>
      </c>
      <c r="C170" s="496">
        <f>IF(A170="","",IFERROR(VLOOKUP(A170,DB_Customers!$A:$N,14,0),""))</f>
        <v/>
      </c>
      <c r="D170" s="497">
        <f>IF(A170="","",TODAY())</f>
        <v/>
      </c>
      <c r="E170" s="489" t="n"/>
      <c r="F170" s="498">
        <f>IF(OR(A170="",E170=""),"",IF(C170="","",C170+E170))</f>
        <v/>
      </c>
      <c r="G170" s="384" t="inlineStr">
        <is>
          <t>Agent 01</t>
        </is>
      </c>
      <c r="H170" s="491" t="n"/>
      <c r="I170" s="499">
        <f>IF(A170="","Pending",IF(H170="","⚠️ Enter Code",IF(IFERROR(VLOOKUP(G170,DB_Agents!$B:$I,8,0),"")=H170,IF(AND(A170&lt;&gt;"",E170&lt;&gt;""),"Saved","Pending"),"🔒 BLOCKED — Wrong Code")))</f>
        <v/>
      </c>
      <c r="J170" s="500">
        <f>IF(I170="Saved",TEXT(TODAY(),"YYYY-MM-DD")&amp;" Auto","—")</f>
        <v/>
      </c>
      <c r="K170" s="501" t="n"/>
    </row>
    <row r="171" ht="15" customHeight="1" s="341">
      <c r="A171" s="486" t="n"/>
      <c r="B171" s="378">
        <f>IF(A171="","",IFERROR(VLOOKUP(A171,DB_Customers!$A:$D,4,0),"❌ Account Not Found"))</f>
        <v/>
      </c>
      <c r="C171" s="487">
        <f>IF(A171="","",IFERROR(VLOOKUP(A171,DB_Customers!$A:$N,14,0),""))</f>
        <v/>
      </c>
      <c r="D171" s="488">
        <f>IF(A171="","",TODAY())</f>
        <v/>
      </c>
      <c r="E171" s="489" t="n"/>
      <c r="F171" s="490">
        <f>IF(OR(A171="",E171=""),"",IF(C171="","",C171+E171))</f>
        <v/>
      </c>
      <c r="G171" s="380" t="inlineStr">
        <is>
          <t>Agent 01</t>
        </is>
      </c>
      <c r="H171" s="491" t="n"/>
      <c r="I171" s="492">
        <f>IF(A171="","Pending",IF(H171="","⚠️ Enter Code",IF(IFERROR(VLOOKUP(G171,DB_Agents!$B:$I,8,0),"")=H171,IF(AND(A171&lt;&gt;"",E171&lt;&gt;""),"Saved","Pending"),"🔒 BLOCKED — Wrong Code")))</f>
        <v/>
      </c>
      <c r="J171" s="493">
        <f>IF(I171="Saved",TEXT(TODAY(),"YYYY-MM-DD")&amp;" Auto","—")</f>
        <v/>
      </c>
      <c r="K171" s="494" t="n"/>
    </row>
    <row r="172" ht="15" customHeight="1" s="341">
      <c r="A172" s="495" t="n"/>
      <c r="B172" s="382">
        <f>IF(A172="","",IFERROR(VLOOKUP(A172,DB_Customers!$A:$D,4,0),"❌ Account Not Found"))</f>
        <v/>
      </c>
      <c r="C172" s="496">
        <f>IF(A172="","",IFERROR(VLOOKUP(A172,DB_Customers!$A:$N,14,0),""))</f>
        <v/>
      </c>
      <c r="D172" s="497">
        <f>IF(A172="","",TODAY())</f>
        <v/>
      </c>
      <c r="E172" s="489" t="n"/>
      <c r="F172" s="498">
        <f>IF(OR(A172="",E172=""),"",IF(C172="","",C172+E172))</f>
        <v/>
      </c>
      <c r="G172" s="384" t="inlineStr">
        <is>
          <t>Agent 01</t>
        </is>
      </c>
      <c r="H172" s="491" t="n"/>
      <c r="I172" s="499">
        <f>IF(A172="","Pending",IF(H172="","⚠️ Enter Code",IF(IFERROR(VLOOKUP(G172,DB_Agents!$B:$I,8,0),"")=H172,IF(AND(A172&lt;&gt;"",E172&lt;&gt;""),"Saved","Pending"),"🔒 BLOCKED — Wrong Code")))</f>
        <v/>
      </c>
      <c r="J172" s="500">
        <f>IF(I172="Saved",TEXT(TODAY(),"YYYY-MM-DD")&amp;" Auto","—")</f>
        <v/>
      </c>
      <c r="K172" s="501" t="n"/>
    </row>
    <row r="173" ht="15" customHeight="1" s="341">
      <c r="A173" s="486" t="n"/>
      <c r="B173" s="378">
        <f>IF(A173="","",IFERROR(VLOOKUP(A173,DB_Customers!$A:$D,4,0),"❌ Account Not Found"))</f>
        <v/>
      </c>
      <c r="C173" s="487">
        <f>IF(A173="","",IFERROR(VLOOKUP(A173,DB_Customers!$A:$N,14,0),""))</f>
        <v/>
      </c>
      <c r="D173" s="488">
        <f>IF(A173="","",TODAY())</f>
        <v/>
      </c>
      <c r="E173" s="489" t="n"/>
      <c r="F173" s="490">
        <f>IF(OR(A173="",E173=""),"",IF(C173="","",C173+E173))</f>
        <v/>
      </c>
      <c r="G173" s="380" t="inlineStr">
        <is>
          <t>Agent 01</t>
        </is>
      </c>
      <c r="H173" s="491" t="n"/>
      <c r="I173" s="492">
        <f>IF(A173="","Pending",IF(H173="","⚠️ Enter Code",IF(IFERROR(VLOOKUP(G173,DB_Agents!$B:$I,8,0),"")=H173,IF(AND(A173&lt;&gt;"",E173&lt;&gt;""),"Saved","Pending"),"🔒 BLOCKED — Wrong Code")))</f>
        <v/>
      </c>
      <c r="J173" s="493">
        <f>IF(I173="Saved",TEXT(TODAY(),"YYYY-MM-DD")&amp;" Auto","—")</f>
        <v/>
      </c>
      <c r="K173" s="494" t="n"/>
    </row>
    <row r="174" ht="15" customHeight="1" s="341">
      <c r="A174" s="495" t="n"/>
      <c r="B174" s="382">
        <f>IF(A174="","",IFERROR(VLOOKUP(A174,DB_Customers!$A:$D,4,0),"❌ Account Not Found"))</f>
        <v/>
      </c>
      <c r="C174" s="496">
        <f>IF(A174="","",IFERROR(VLOOKUP(A174,DB_Customers!$A:$N,14,0),""))</f>
        <v/>
      </c>
      <c r="D174" s="497">
        <f>IF(A174="","",TODAY())</f>
        <v/>
      </c>
      <c r="E174" s="489" t="n"/>
      <c r="F174" s="498">
        <f>IF(OR(A174="",E174=""),"",IF(C174="","",C174+E174))</f>
        <v/>
      </c>
      <c r="G174" s="384" t="inlineStr">
        <is>
          <t>Agent 01</t>
        </is>
      </c>
      <c r="H174" s="491" t="n"/>
      <c r="I174" s="499">
        <f>IF(A174="","Pending",IF(H174="","⚠️ Enter Code",IF(IFERROR(VLOOKUP(G174,DB_Agents!$B:$I,8,0),"")=H174,IF(AND(A174&lt;&gt;"",E174&lt;&gt;""),"Saved","Pending"),"🔒 BLOCKED — Wrong Code")))</f>
        <v/>
      </c>
      <c r="J174" s="500">
        <f>IF(I174="Saved",TEXT(TODAY(),"YYYY-MM-DD")&amp;" Auto","—")</f>
        <v/>
      </c>
      <c r="K174" s="501" t="n"/>
    </row>
    <row r="175" ht="15" customHeight="1" s="341">
      <c r="A175" s="486" t="n"/>
      <c r="B175" s="378">
        <f>IF(A175="","",IFERROR(VLOOKUP(A175,DB_Customers!$A:$D,4,0),"❌ Account Not Found"))</f>
        <v/>
      </c>
      <c r="C175" s="487">
        <f>IF(A175="","",IFERROR(VLOOKUP(A175,DB_Customers!$A:$N,14,0),""))</f>
        <v/>
      </c>
      <c r="D175" s="488">
        <f>IF(A175="","",TODAY())</f>
        <v/>
      </c>
      <c r="E175" s="489" t="n"/>
      <c r="F175" s="490">
        <f>IF(OR(A175="",E175=""),"",IF(C175="","",C175+E175))</f>
        <v/>
      </c>
      <c r="G175" s="380" t="inlineStr">
        <is>
          <t>Agent 01</t>
        </is>
      </c>
      <c r="H175" s="491" t="n"/>
      <c r="I175" s="492">
        <f>IF(A175="","Pending",IF(H175="","⚠️ Enter Code",IF(IFERROR(VLOOKUP(G175,DB_Agents!$B:$I,8,0),"")=H175,IF(AND(A175&lt;&gt;"",E175&lt;&gt;""),"Saved","Pending"),"🔒 BLOCKED — Wrong Code")))</f>
        <v/>
      </c>
      <c r="J175" s="493">
        <f>IF(I175="Saved",TEXT(TODAY(),"YYYY-MM-DD")&amp;" Auto","—")</f>
        <v/>
      </c>
      <c r="K175" s="494" t="n"/>
    </row>
    <row r="176" ht="15" customHeight="1" s="341">
      <c r="A176" s="495" t="n"/>
      <c r="B176" s="382">
        <f>IF(A176="","",IFERROR(VLOOKUP(A176,DB_Customers!$A:$D,4,0),"❌ Account Not Found"))</f>
        <v/>
      </c>
      <c r="C176" s="496">
        <f>IF(A176="","",IFERROR(VLOOKUP(A176,DB_Customers!$A:$N,14,0),""))</f>
        <v/>
      </c>
      <c r="D176" s="497">
        <f>IF(A176="","",TODAY())</f>
        <v/>
      </c>
      <c r="E176" s="489" t="n"/>
      <c r="F176" s="498">
        <f>IF(OR(A176="",E176=""),"",IF(C176="","",C176+E176))</f>
        <v/>
      </c>
      <c r="G176" s="384" t="inlineStr">
        <is>
          <t>Agent 01</t>
        </is>
      </c>
      <c r="H176" s="491" t="n"/>
      <c r="I176" s="499">
        <f>IF(A176="","Pending",IF(H176="","⚠️ Enter Code",IF(IFERROR(VLOOKUP(G176,DB_Agents!$B:$I,8,0),"")=H176,IF(AND(A176&lt;&gt;"",E176&lt;&gt;""),"Saved","Pending"),"🔒 BLOCKED — Wrong Code")))</f>
        <v/>
      </c>
      <c r="J176" s="500">
        <f>IF(I176="Saved",TEXT(TODAY(),"YYYY-MM-DD")&amp;" Auto","—")</f>
        <v/>
      </c>
      <c r="K176" s="501" t="n"/>
    </row>
    <row r="177" ht="15" customHeight="1" s="341">
      <c r="A177" s="486" t="n"/>
      <c r="B177" s="378">
        <f>IF(A177="","",IFERROR(VLOOKUP(A177,DB_Customers!$A:$D,4,0),"❌ Account Not Found"))</f>
        <v/>
      </c>
      <c r="C177" s="487">
        <f>IF(A177="","",IFERROR(VLOOKUP(A177,DB_Customers!$A:$N,14,0),""))</f>
        <v/>
      </c>
      <c r="D177" s="488">
        <f>IF(A177="","",TODAY())</f>
        <v/>
      </c>
      <c r="E177" s="489" t="n"/>
      <c r="F177" s="490">
        <f>IF(OR(A177="",E177=""),"",IF(C177="","",C177+E177))</f>
        <v/>
      </c>
      <c r="G177" s="380" t="inlineStr">
        <is>
          <t>Agent 01</t>
        </is>
      </c>
      <c r="H177" s="491" t="n"/>
      <c r="I177" s="492">
        <f>IF(A177="","Pending",IF(H177="","⚠️ Enter Code",IF(IFERROR(VLOOKUP(G177,DB_Agents!$B:$I,8,0),"")=H177,IF(AND(A177&lt;&gt;"",E177&lt;&gt;""),"Saved","Pending"),"🔒 BLOCKED — Wrong Code")))</f>
        <v/>
      </c>
      <c r="J177" s="493">
        <f>IF(I177="Saved",TEXT(TODAY(),"YYYY-MM-DD")&amp;" Auto","—")</f>
        <v/>
      </c>
      <c r="K177" s="494" t="n"/>
    </row>
    <row r="178" ht="15" customHeight="1" s="341">
      <c r="A178" s="495" t="n"/>
      <c r="B178" s="382">
        <f>IF(A178="","",IFERROR(VLOOKUP(A178,DB_Customers!$A:$D,4,0),"❌ Account Not Found"))</f>
        <v/>
      </c>
      <c r="C178" s="496">
        <f>IF(A178="","",IFERROR(VLOOKUP(A178,DB_Customers!$A:$N,14,0),""))</f>
        <v/>
      </c>
      <c r="D178" s="497">
        <f>IF(A178="","",TODAY())</f>
        <v/>
      </c>
      <c r="E178" s="489" t="n"/>
      <c r="F178" s="498">
        <f>IF(OR(A178="",E178=""),"",IF(C178="","",C178+E178))</f>
        <v/>
      </c>
      <c r="G178" s="384" t="inlineStr">
        <is>
          <t>Agent 01</t>
        </is>
      </c>
      <c r="H178" s="491" t="n"/>
      <c r="I178" s="499">
        <f>IF(A178="","Pending",IF(H178="","⚠️ Enter Code",IF(IFERROR(VLOOKUP(G178,DB_Agents!$B:$I,8,0),"")=H178,IF(AND(A178&lt;&gt;"",E178&lt;&gt;""),"Saved","Pending"),"🔒 BLOCKED — Wrong Code")))</f>
        <v/>
      </c>
      <c r="J178" s="500">
        <f>IF(I178="Saved",TEXT(TODAY(),"YYYY-MM-DD")&amp;" Auto","—")</f>
        <v/>
      </c>
      <c r="K178" s="501" t="n"/>
    </row>
    <row r="179" ht="15" customHeight="1" s="341">
      <c r="A179" s="486" t="n"/>
      <c r="B179" s="378">
        <f>IF(A179="","",IFERROR(VLOOKUP(A179,DB_Customers!$A:$D,4,0),"❌ Account Not Found"))</f>
        <v/>
      </c>
      <c r="C179" s="487">
        <f>IF(A179="","",IFERROR(VLOOKUP(A179,DB_Customers!$A:$N,14,0),""))</f>
        <v/>
      </c>
      <c r="D179" s="488">
        <f>IF(A179="","",TODAY())</f>
        <v/>
      </c>
      <c r="E179" s="489" t="n"/>
      <c r="F179" s="490">
        <f>IF(OR(A179="",E179=""),"",IF(C179="","",C179+E179))</f>
        <v/>
      </c>
      <c r="G179" s="380" t="inlineStr">
        <is>
          <t>Agent 01</t>
        </is>
      </c>
      <c r="H179" s="491" t="n"/>
      <c r="I179" s="492">
        <f>IF(A179="","Pending",IF(H179="","⚠️ Enter Code",IF(IFERROR(VLOOKUP(G179,DB_Agents!$B:$I,8,0),"")=H179,IF(AND(A179&lt;&gt;"",E179&lt;&gt;""),"Saved","Pending"),"🔒 BLOCKED — Wrong Code")))</f>
        <v/>
      </c>
      <c r="J179" s="493">
        <f>IF(I179="Saved",TEXT(TODAY(),"YYYY-MM-DD")&amp;" Auto","—")</f>
        <v/>
      </c>
      <c r="K179" s="494" t="n"/>
    </row>
    <row r="180" ht="15" customHeight="1" s="341">
      <c r="A180" s="495" t="n"/>
      <c r="B180" s="382">
        <f>IF(A180="","",IFERROR(VLOOKUP(A180,DB_Customers!$A:$D,4,0),"❌ Account Not Found"))</f>
        <v/>
      </c>
      <c r="C180" s="496">
        <f>IF(A180="","",IFERROR(VLOOKUP(A180,DB_Customers!$A:$N,14,0),""))</f>
        <v/>
      </c>
      <c r="D180" s="497">
        <f>IF(A180="","",TODAY())</f>
        <v/>
      </c>
      <c r="E180" s="489" t="n"/>
      <c r="F180" s="498">
        <f>IF(OR(A180="",E180=""),"",IF(C180="","",C180+E180))</f>
        <v/>
      </c>
      <c r="G180" s="384" t="inlineStr">
        <is>
          <t>Agent 01</t>
        </is>
      </c>
      <c r="H180" s="491" t="n"/>
      <c r="I180" s="499">
        <f>IF(A180="","Pending",IF(H180="","⚠️ Enter Code",IF(IFERROR(VLOOKUP(G180,DB_Agents!$B:$I,8,0),"")=H180,IF(AND(A180&lt;&gt;"",E180&lt;&gt;""),"Saved","Pending"),"🔒 BLOCKED — Wrong Code")))</f>
        <v/>
      </c>
      <c r="J180" s="500">
        <f>IF(I180="Saved",TEXT(TODAY(),"YYYY-MM-DD")&amp;" Auto","—")</f>
        <v/>
      </c>
      <c r="K180" s="501" t="n"/>
    </row>
    <row r="181" ht="15" customHeight="1" s="341">
      <c r="A181" s="486" t="n"/>
      <c r="B181" s="378">
        <f>IF(A181="","",IFERROR(VLOOKUP(A181,DB_Customers!$A:$D,4,0),"❌ Account Not Found"))</f>
        <v/>
      </c>
      <c r="C181" s="487">
        <f>IF(A181="","",IFERROR(VLOOKUP(A181,DB_Customers!$A:$N,14,0),""))</f>
        <v/>
      </c>
      <c r="D181" s="488">
        <f>IF(A181="","",TODAY())</f>
        <v/>
      </c>
      <c r="E181" s="489" t="n"/>
      <c r="F181" s="490">
        <f>IF(OR(A181="",E181=""),"",IF(C181="","",C181+E181))</f>
        <v/>
      </c>
      <c r="G181" s="380" t="inlineStr">
        <is>
          <t>Agent 01</t>
        </is>
      </c>
      <c r="H181" s="491" t="n"/>
      <c r="I181" s="492">
        <f>IF(A181="","Pending",IF(H181="","⚠️ Enter Code",IF(IFERROR(VLOOKUP(G181,DB_Agents!$B:$I,8,0),"")=H181,IF(AND(A181&lt;&gt;"",E181&lt;&gt;""),"Saved","Pending"),"🔒 BLOCKED — Wrong Code")))</f>
        <v/>
      </c>
      <c r="J181" s="493">
        <f>IF(I181="Saved",TEXT(TODAY(),"YYYY-MM-DD")&amp;" Auto","—")</f>
        <v/>
      </c>
      <c r="K181" s="494" t="n"/>
    </row>
    <row r="182" ht="15" customHeight="1" s="341">
      <c r="A182" s="495" t="n"/>
      <c r="B182" s="382">
        <f>IF(A182="","",IFERROR(VLOOKUP(A182,DB_Customers!$A:$D,4,0),"❌ Account Not Found"))</f>
        <v/>
      </c>
      <c r="C182" s="496">
        <f>IF(A182="","",IFERROR(VLOOKUP(A182,DB_Customers!$A:$N,14,0),""))</f>
        <v/>
      </c>
      <c r="D182" s="497">
        <f>IF(A182="","",TODAY())</f>
        <v/>
      </c>
      <c r="E182" s="489" t="n"/>
      <c r="F182" s="498">
        <f>IF(OR(A182="",E182=""),"",IF(C182="","",C182+E182))</f>
        <v/>
      </c>
      <c r="G182" s="384" t="inlineStr">
        <is>
          <t>Agent 01</t>
        </is>
      </c>
      <c r="H182" s="491" t="n"/>
      <c r="I182" s="499">
        <f>IF(A182="","Pending",IF(H182="","⚠️ Enter Code",IF(IFERROR(VLOOKUP(G182,DB_Agents!$B:$I,8,0),"")=H182,IF(AND(A182&lt;&gt;"",E182&lt;&gt;""),"Saved","Pending"),"🔒 BLOCKED — Wrong Code")))</f>
        <v/>
      </c>
      <c r="J182" s="500">
        <f>IF(I182="Saved",TEXT(TODAY(),"YYYY-MM-DD")&amp;" Auto","—")</f>
        <v/>
      </c>
      <c r="K182" s="501" t="n"/>
    </row>
    <row r="183" ht="15" customHeight="1" s="341">
      <c r="A183" s="486" t="n"/>
      <c r="B183" s="378">
        <f>IF(A183="","",IFERROR(VLOOKUP(A183,DB_Customers!$A:$D,4,0),"❌ Account Not Found"))</f>
        <v/>
      </c>
      <c r="C183" s="487">
        <f>IF(A183="","",IFERROR(VLOOKUP(A183,DB_Customers!$A:$N,14,0),""))</f>
        <v/>
      </c>
      <c r="D183" s="488">
        <f>IF(A183="","",TODAY())</f>
        <v/>
      </c>
      <c r="E183" s="489" t="n"/>
      <c r="F183" s="490">
        <f>IF(OR(A183="",E183=""),"",IF(C183="","",C183+E183))</f>
        <v/>
      </c>
      <c r="G183" s="380" t="inlineStr">
        <is>
          <t>Agent 01</t>
        </is>
      </c>
      <c r="H183" s="491" t="n"/>
      <c r="I183" s="492">
        <f>IF(A183="","Pending",IF(H183="","⚠️ Enter Code",IF(IFERROR(VLOOKUP(G183,DB_Agents!$B:$I,8,0),"")=H183,IF(AND(A183&lt;&gt;"",E183&lt;&gt;""),"Saved","Pending"),"🔒 BLOCKED — Wrong Code")))</f>
        <v/>
      </c>
      <c r="J183" s="493">
        <f>IF(I183="Saved",TEXT(TODAY(),"YYYY-MM-DD")&amp;" Auto","—")</f>
        <v/>
      </c>
      <c r="K183" s="494" t="n"/>
    </row>
    <row r="184" ht="15" customHeight="1" s="341">
      <c r="A184" s="495" t="n"/>
      <c r="B184" s="382">
        <f>IF(A184="","",IFERROR(VLOOKUP(A184,DB_Customers!$A:$D,4,0),"❌ Account Not Found"))</f>
        <v/>
      </c>
      <c r="C184" s="496">
        <f>IF(A184="","",IFERROR(VLOOKUP(A184,DB_Customers!$A:$N,14,0),""))</f>
        <v/>
      </c>
      <c r="D184" s="497">
        <f>IF(A184="","",TODAY())</f>
        <v/>
      </c>
      <c r="E184" s="489" t="n"/>
      <c r="F184" s="498">
        <f>IF(OR(A184="",E184=""),"",IF(C184="","",C184+E184))</f>
        <v/>
      </c>
      <c r="G184" s="384" t="inlineStr">
        <is>
          <t>Agent 01</t>
        </is>
      </c>
      <c r="H184" s="491" t="n"/>
      <c r="I184" s="499">
        <f>IF(A184="","Pending",IF(H184="","⚠️ Enter Code",IF(IFERROR(VLOOKUP(G184,DB_Agents!$B:$I,8,0),"")=H184,IF(AND(A184&lt;&gt;"",E184&lt;&gt;""),"Saved","Pending"),"🔒 BLOCKED — Wrong Code")))</f>
        <v/>
      </c>
      <c r="J184" s="500">
        <f>IF(I184="Saved",TEXT(TODAY(),"YYYY-MM-DD")&amp;" Auto","—")</f>
        <v/>
      </c>
      <c r="K184" s="501" t="n"/>
    </row>
    <row r="185" ht="15" customHeight="1" s="341">
      <c r="A185" s="486" t="n"/>
      <c r="B185" s="378">
        <f>IF(A185="","",IFERROR(VLOOKUP(A185,DB_Customers!$A:$D,4,0),"❌ Account Not Found"))</f>
        <v/>
      </c>
      <c r="C185" s="487">
        <f>IF(A185="","",IFERROR(VLOOKUP(A185,DB_Customers!$A:$N,14,0),""))</f>
        <v/>
      </c>
      <c r="D185" s="488">
        <f>IF(A185="","",TODAY())</f>
        <v/>
      </c>
      <c r="E185" s="489" t="n"/>
      <c r="F185" s="490">
        <f>IF(OR(A185="",E185=""),"",IF(C185="","",C185+E185))</f>
        <v/>
      </c>
      <c r="G185" s="380" t="inlineStr">
        <is>
          <t>Agent 01</t>
        </is>
      </c>
      <c r="H185" s="491" t="n"/>
      <c r="I185" s="492">
        <f>IF(A185="","Pending",IF(H185="","⚠️ Enter Code",IF(IFERROR(VLOOKUP(G185,DB_Agents!$B:$I,8,0),"")=H185,IF(AND(A185&lt;&gt;"",E185&lt;&gt;""),"Saved","Pending"),"🔒 BLOCKED — Wrong Code")))</f>
        <v/>
      </c>
      <c r="J185" s="493">
        <f>IF(I185="Saved",TEXT(TODAY(),"YYYY-MM-DD")&amp;" Auto","—")</f>
        <v/>
      </c>
      <c r="K185" s="494" t="n"/>
    </row>
    <row r="186" ht="15" customHeight="1" s="341">
      <c r="A186" s="495" t="n"/>
      <c r="B186" s="382">
        <f>IF(A186="","",IFERROR(VLOOKUP(A186,DB_Customers!$A:$D,4,0),"❌ Account Not Found"))</f>
        <v/>
      </c>
      <c r="C186" s="496">
        <f>IF(A186="","",IFERROR(VLOOKUP(A186,DB_Customers!$A:$N,14,0),""))</f>
        <v/>
      </c>
      <c r="D186" s="497">
        <f>IF(A186="","",TODAY())</f>
        <v/>
      </c>
      <c r="E186" s="489" t="n"/>
      <c r="F186" s="498">
        <f>IF(OR(A186="",E186=""),"",IF(C186="","",C186+E186))</f>
        <v/>
      </c>
      <c r="G186" s="384" t="inlineStr">
        <is>
          <t>Agent 01</t>
        </is>
      </c>
      <c r="H186" s="491" t="n"/>
      <c r="I186" s="499">
        <f>IF(A186="","Pending",IF(H186="","⚠️ Enter Code",IF(IFERROR(VLOOKUP(G186,DB_Agents!$B:$I,8,0),"")=H186,IF(AND(A186&lt;&gt;"",E186&lt;&gt;""),"Saved","Pending"),"🔒 BLOCKED — Wrong Code")))</f>
        <v/>
      </c>
      <c r="J186" s="500">
        <f>IF(I186="Saved",TEXT(TODAY(),"YYYY-MM-DD")&amp;" Auto","—")</f>
        <v/>
      </c>
      <c r="K186" s="501" t="n"/>
    </row>
    <row r="187" ht="15" customHeight="1" s="341">
      <c r="A187" s="486" t="n"/>
      <c r="B187" s="378">
        <f>IF(A187="","",IFERROR(VLOOKUP(A187,DB_Customers!$A:$D,4,0),"❌ Account Not Found"))</f>
        <v/>
      </c>
      <c r="C187" s="487">
        <f>IF(A187="","",IFERROR(VLOOKUP(A187,DB_Customers!$A:$N,14,0),""))</f>
        <v/>
      </c>
      <c r="D187" s="488">
        <f>IF(A187="","",TODAY())</f>
        <v/>
      </c>
      <c r="E187" s="489" t="n"/>
      <c r="F187" s="490">
        <f>IF(OR(A187="",E187=""),"",IF(C187="","",C187+E187))</f>
        <v/>
      </c>
      <c r="G187" s="380" t="inlineStr">
        <is>
          <t>Agent 01</t>
        </is>
      </c>
      <c r="H187" s="491" t="n"/>
      <c r="I187" s="492">
        <f>IF(A187="","Pending",IF(H187="","⚠️ Enter Code",IF(IFERROR(VLOOKUP(G187,DB_Agents!$B:$I,8,0),"")=H187,IF(AND(A187&lt;&gt;"",E187&lt;&gt;""),"Saved","Pending"),"🔒 BLOCKED — Wrong Code")))</f>
        <v/>
      </c>
      <c r="J187" s="493">
        <f>IF(I187="Saved",TEXT(TODAY(),"YYYY-MM-DD")&amp;" Auto","—")</f>
        <v/>
      </c>
      <c r="K187" s="494" t="n"/>
    </row>
    <row r="188" ht="15" customHeight="1" s="341">
      <c r="A188" s="495" t="n"/>
      <c r="B188" s="382">
        <f>IF(A188="","",IFERROR(VLOOKUP(A188,DB_Customers!$A:$D,4,0),"❌ Account Not Found"))</f>
        <v/>
      </c>
      <c r="C188" s="496">
        <f>IF(A188="","",IFERROR(VLOOKUP(A188,DB_Customers!$A:$N,14,0),""))</f>
        <v/>
      </c>
      <c r="D188" s="497">
        <f>IF(A188="","",TODAY())</f>
        <v/>
      </c>
      <c r="E188" s="489" t="n"/>
      <c r="F188" s="498">
        <f>IF(OR(A188="",E188=""),"",IF(C188="","",C188+E188))</f>
        <v/>
      </c>
      <c r="G188" s="384" t="inlineStr">
        <is>
          <t>Agent 01</t>
        </is>
      </c>
      <c r="H188" s="491" t="n"/>
      <c r="I188" s="499">
        <f>IF(A188="","Pending",IF(H188="","⚠️ Enter Code",IF(IFERROR(VLOOKUP(G188,DB_Agents!$B:$I,8,0),"")=H188,IF(AND(A188&lt;&gt;"",E188&lt;&gt;""),"Saved","Pending"),"🔒 BLOCKED — Wrong Code")))</f>
        <v/>
      </c>
      <c r="J188" s="500">
        <f>IF(I188="Saved",TEXT(TODAY(),"YYYY-MM-DD")&amp;" Auto","—")</f>
        <v/>
      </c>
      <c r="K188" s="501" t="n"/>
    </row>
    <row r="189" ht="15" customHeight="1" s="341">
      <c r="A189" s="486" t="n"/>
      <c r="B189" s="378">
        <f>IF(A189="","",IFERROR(VLOOKUP(A189,DB_Customers!$A:$D,4,0),"❌ Account Not Found"))</f>
        <v/>
      </c>
      <c r="C189" s="487">
        <f>IF(A189="","",IFERROR(VLOOKUP(A189,DB_Customers!$A:$N,14,0),""))</f>
        <v/>
      </c>
      <c r="D189" s="488">
        <f>IF(A189="","",TODAY())</f>
        <v/>
      </c>
      <c r="E189" s="489" t="n"/>
      <c r="F189" s="490">
        <f>IF(OR(A189="",E189=""),"",IF(C189="","",C189+E189))</f>
        <v/>
      </c>
      <c r="G189" s="380" t="inlineStr">
        <is>
          <t>Agent 01</t>
        </is>
      </c>
      <c r="H189" s="491" t="n"/>
      <c r="I189" s="492">
        <f>IF(A189="","Pending",IF(H189="","⚠️ Enter Code",IF(IFERROR(VLOOKUP(G189,DB_Agents!$B:$I,8,0),"")=H189,IF(AND(A189&lt;&gt;"",E189&lt;&gt;""),"Saved","Pending"),"🔒 BLOCKED — Wrong Code")))</f>
        <v/>
      </c>
      <c r="J189" s="493">
        <f>IF(I189="Saved",TEXT(TODAY(),"YYYY-MM-DD")&amp;" Auto","—")</f>
        <v/>
      </c>
      <c r="K189" s="494" t="n"/>
    </row>
    <row r="190" ht="15" customHeight="1" s="341">
      <c r="A190" s="495" t="n"/>
      <c r="B190" s="382">
        <f>IF(A190="","",IFERROR(VLOOKUP(A190,DB_Customers!$A:$D,4,0),"❌ Account Not Found"))</f>
        <v/>
      </c>
      <c r="C190" s="496">
        <f>IF(A190="","",IFERROR(VLOOKUP(A190,DB_Customers!$A:$N,14,0),""))</f>
        <v/>
      </c>
      <c r="D190" s="497">
        <f>IF(A190="","",TODAY())</f>
        <v/>
      </c>
      <c r="E190" s="489" t="n"/>
      <c r="F190" s="498">
        <f>IF(OR(A190="",E190=""),"",IF(C190="","",C190+E190))</f>
        <v/>
      </c>
      <c r="G190" s="384" t="inlineStr">
        <is>
          <t>Agent 01</t>
        </is>
      </c>
      <c r="H190" s="491" t="n"/>
      <c r="I190" s="499">
        <f>IF(A190="","Pending",IF(H190="","⚠️ Enter Code",IF(IFERROR(VLOOKUP(G190,DB_Agents!$B:$I,8,0),"")=H190,IF(AND(A190&lt;&gt;"",E190&lt;&gt;""),"Saved","Pending"),"🔒 BLOCKED — Wrong Code")))</f>
        <v/>
      </c>
      <c r="J190" s="500">
        <f>IF(I190="Saved",TEXT(TODAY(),"YYYY-MM-DD")&amp;" Auto","—")</f>
        <v/>
      </c>
      <c r="K190" s="501" t="n"/>
    </row>
    <row r="191" ht="15" customHeight="1" s="341">
      <c r="A191" s="486" t="n"/>
      <c r="B191" s="378">
        <f>IF(A191="","",IFERROR(VLOOKUP(A191,DB_Customers!$A:$D,4,0),"❌ Account Not Found"))</f>
        <v/>
      </c>
      <c r="C191" s="487">
        <f>IF(A191="","",IFERROR(VLOOKUP(A191,DB_Customers!$A:$N,14,0),""))</f>
        <v/>
      </c>
      <c r="D191" s="488">
        <f>IF(A191="","",TODAY())</f>
        <v/>
      </c>
      <c r="E191" s="489" t="n"/>
      <c r="F191" s="490">
        <f>IF(OR(A191="",E191=""),"",IF(C191="","",C191+E191))</f>
        <v/>
      </c>
      <c r="G191" s="380" t="inlineStr">
        <is>
          <t>Agent 01</t>
        </is>
      </c>
      <c r="H191" s="491" t="n"/>
      <c r="I191" s="492">
        <f>IF(A191="","Pending",IF(H191="","⚠️ Enter Code",IF(IFERROR(VLOOKUP(G191,DB_Agents!$B:$I,8,0),"")=H191,IF(AND(A191&lt;&gt;"",E191&lt;&gt;""),"Saved","Pending"),"🔒 BLOCKED — Wrong Code")))</f>
        <v/>
      </c>
      <c r="J191" s="493">
        <f>IF(I191="Saved",TEXT(TODAY(),"YYYY-MM-DD")&amp;" Auto","—")</f>
        <v/>
      </c>
      <c r="K191" s="494" t="n"/>
    </row>
    <row r="192" ht="15" customHeight="1" s="341">
      <c r="A192" s="495" t="n"/>
      <c r="B192" s="382">
        <f>IF(A192="","",IFERROR(VLOOKUP(A192,DB_Customers!$A:$D,4,0),"❌ Account Not Found"))</f>
        <v/>
      </c>
      <c r="C192" s="496">
        <f>IF(A192="","",IFERROR(VLOOKUP(A192,DB_Customers!$A:$N,14,0),""))</f>
        <v/>
      </c>
      <c r="D192" s="497">
        <f>IF(A192="","",TODAY())</f>
        <v/>
      </c>
      <c r="E192" s="489" t="n"/>
      <c r="F192" s="498">
        <f>IF(OR(A192="",E192=""),"",IF(C192="","",C192+E192))</f>
        <v/>
      </c>
      <c r="G192" s="384" t="inlineStr">
        <is>
          <t>Agent 01</t>
        </is>
      </c>
      <c r="H192" s="491" t="n"/>
      <c r="I192" s="499">
        <f>IF(A192="","Pending",IF(H192="","⚠️ Enter Code",IF(IFERROR(VLOOKUP(G192,DB_Agents!$B:$I,8,0),"")=H192,IF(AND(A192&lt;&gt;"",E192&lt;&gt;""),"Saved","Pending"),"🔒 BLOCKED — Wrong Code")))</f>
        <v/>
      </c>
      <c r="J192" s="500">
        <f>IF(I192="Saved",TEXT(TODAY(),"YYYY-MM-DD")&amp;" Auto","—")</f>
        <v/>
      </c>
      <c r="K192" s="501" t="n"/>
    </row>
    <row r="193" ht="15" customHeight="1" s="341">
      <c r="A193" s="486" t="n"/>
      <c r="B193" s="378">
        <f>IF(A193="","",IFERROR(VLOOKUP(A193,DB_Customers!$A:$D,4,0),"❌ Account Not Found"))</f>
        <v/>
      </c>
      <c r="C193" s="487">
        <f>IF(A193="","",IFERROR(VLOOKUP(A193,DB_Customers!$A:$N,14,0),""))</f>
        <v/>
      </c>
      <c r="D193" s="488">
        <f>IF(A193="","",TODAY())</f>
        <v/>
      </c>
      <c r="E193" s="489" t="n"/>
      <c r="F193" s="490">
        <f>IF(OR(A193="",E193=""),"",IF(C193="","",C193+E193))</f>
        <v/>
      </c>
      <c r="G193" s="380" t="inlineStr">
        <is>
          <t>Agent 01</t>
        </is>
      </c>
      <c r="H193" s="491" t="n"/>
      <c r="I193" s="492">
        <f>IF(A193="","Pending",IF(H193="","⚠️ Enter Code",IF(IFERROR(VLOOKUP(G193,DB_Agents!$B:$I,8,0),"")=H193,IF(AND(A193&lt;&gt;"",E193&lt;&gt;""),"Saved","Pending"),"🔒 BLOCKED — Wrong Code")))</f>
        <v/>
      </c>
      <c r="J193" s="493">
        <f>IF(I193="Saved",TEXT(TODAY(),"YYYY-MM-DD")&amp;" Auto","—")</f>
        <v/>
      </c>
      <c r="K193" s="494" t="n"/>
    </row>
    <row r="194" ht="15" customHeight="1" s="341">
      <c r="A194" s="495" t="n"/>
      <c r="B194" s="382">
        <f>IF(A194="","",IFERROR(VLOOKUP(A194,DB_Customers!$A:$D,4,0),"❌ Account Not Found"))</f>
        <v/>
      </c>
      <c r="C194" s="496">
        <f>IF(A194="","",IFERROR(VLOOKUP(A194,DB_Customers!$A:$N,14,0),""))</f>
        <v/>
      </c>
      <c r="D194" s="497">
        <f>IF(A194="","",TODAY())</f>
        <v/>
      </c>
      <c r="E194" s="489" t="n"/>
      <c r="F194" s="498">
        <f>IF(OR(A194="",E194=""),"",IF(C194="","",C194+E194))</f>
        <v/>
      </c>
      <c r="G194" s="384" t="inlineStr">
        <is>
          <t>Agent 01</t>
        </is>
      </c>
      <c r="H194" s="491" t="n"/>
      <c r="I194" s="499">
        <f>IF(A194="","Pending",IF(H194="","⚠️ Enter Code",IF(IFERROR(VLOOKUP(G194,DB_Agents!$B:$I,8,0),"")=H194,IF(AND(A194&lt;&gt;"",E194&lt;&gt;""),"Saved","Pending"),"🔒 BLOCKED — Wrong Code")))</f>
        <v/>
      </c>
      <c r="J194" s="500">
        <f>IF(I194="Saved",TEXT(TODAY(),"YYYY-MM-DD")&amp;" Auto","—")</f>
        <v/>
      </c>
      <c r="K194" s="501" t="n"/>
    </row>
    <row r="195" ht="15" customHeight="1" s="341">
      <c r="A195" s="486" t="n"/>
      <c r="B195" s="378">
        <f>IF(A195="","",IFERROR(VLOOKUP(A195,DB_Customers!$A:$D,4,0),"❌ Account Not Found"))</f>
        <v/>
      </c>
      <c r="C195" s="487">
        <f>IF(A195="","",IFERROR(VLOOKUP(A195,DB_Customers!$A:$N,14,0),""))</f>
        <v/>
      </c>
      <c r="D195" s="488">
        <f>IF(A195="","",TODAY())</f>
        <v/>
      </c>
      <c r="E195" s="489" t="n"/>
      <c r="F195" s="490">
        <f>IF(OR(A195="",E195=""),"",IF(C195="","",C195+E195))</f>
        <v/>
      </c>
      <c r="G195" s="380" t="inlineStr">
        <is>
          <t>Agent 01</t>
        </is>
      </c>
      <c r="H195" s="491" t="n"/>
      <c r="I195" s="492">
        <f>IF(A195="","Pending",IF(H195="","⚠️ Enter Code",IF(IFERROR(VLOOKUP(G195,DB_Agents!$B:$I,8,0),"")=H195,IF(AND(A195&lt;&gt;"",E195&lt;&gt;""),"Saved","Pending"),"🔒 BLOCKED — Wrong Code")))</f>
        <v/>
      </c>
      <c r="J195" s="493">
        <f>IF(I195="Saved",TEXT(TODAY(),"YYYY-MM-DD")&amp;" Auto","—")</f>
        <v/>
      </c>
      <c r="K195" s="494" t="n"/>
    </row>
    <row r="196" ht="15" customHeight="1" s="341">
      <c r="A196" s="495" t="n"/>
      <c r="B196" s="382">
        <f>IF(A196="","",IFERROR(VLOOKUP(A196,DB_Customers!$A:$D,4,0),"❌ Account Not Found"))</f>
        <v/>
      </c>
      <c r="C196" s="496">
        <f>IF(A196="","",IFERROR(VLOOKUP(A196,DB_Customers!$A:$N,14,0),""))</f>
        <v/>
      </c>
      <c r="D196" s="497">
        <f>IF(A196="","",TODAY())</f>
        <v/>
      </c>
      <c r="E196" s="489" t="n"/>
      <c r="F196" s="498">
        <f>IF(OR(A196="",E196=""),"",IF(C196="","",C196+E196))</f>
        <v/>
      </c>
      <c r="G196" s="384" t="inlineStr">
        <is>
          <t>Agent 01</t>
        </is>
      </c>
      <c r="H196" s="491" t="n"/>
      <c r="I196" s="499">
        <f>IF(A196="","Pending",IF(H196="","⚠️ Enter Code",IF(IFERROR(VLOOKUP(G196,DB_Agents!$B:$I,8,0),"")=H196,IF(AND(A196&lt;&gt;"",E196&lt;&gt;""),"Saved","Pending"),"🔒 BLOCKED — Wrong Code")))</f>
        <v/>
      </c>
      <c r="J196" s="500">
        <f>IF(I196="Saved",TEXT(TODAY(),"YYYY-MM-DD")&amp;" Auto","—")</f>
        <v/>
      </c>
      <c r="K196" s="501" t="n"/>
    </row>
    <row r="197" ht="15" customHeight="1" s="341">
      <c r="A197" s="486" t="n"/>
      <c r="B197" s="378">
        <f>IF(A197="","",IFERROR(VLOOKUP(A197,DB_Customers!$A:$D,4,0),"❌ Account Not Found"))</f>
        <v/>
      </c>
      <c r="C197" s="487">
        <f>IF(A197="","",IFERROR(VLOOKUP(A197,DB_Customers!$A:$N,14,0),""))</f>
        <v/>
      </c>
      <c r="D197" s="488">
        <f>IF(A197="","",TODAY())</f>
        <v/>
      </c>
      <c r="E197" s="489" t="n"/>
      <c r="F197" s="490">
        <f>IF(OR(A197="",E197=""),"",IF(C197="","",C197+E197))</f>
        <v/>
      </c>
      <c r="G197" s="380" t="inlineStr">
        <is>
          <t>Agent 01</t>
        </is>
      </c>
      <c r="H197" s="491" t="n"/>
      <c r="I197" s="492">
        <f>IF(A197="","Pending",IF(H197="","⚠️ Enter Code",IF(IFERROR(VLOOKUP(G197,DB_Agents!$B:$I,8,0),"")=H197,IF(AND(A197&lt;&gt;"",E197&lt;&gt;""),"Saved","Pending"),"🔒 BLOCKED — Wrong Code")))</f>
        <v/>
      </c>
      <c r="J197" s="493">
        <f>IF(I197="Saved",TEXT(TODAY(),"YYYY-MM-DD")&amp;" Auto","—")</f>
        <v/>
      </c>
      <c r="K197" s="494" t="n"/>
    </row>
    <row r="198" ht="15" customHeight="1" s="341">
      <c r="A198" s="495" t="n"/>
      <c r="B198" s="382">
        <f>IF(A198="","",IFERROR(VLOOKUP(A198,DB_Customers!$A:$D,4,0),"❌ Account Not Found"))</f>
        <v/>
      </c>
      <c r="C198" s="496">
        <f>IF(A198="","",IFERROR(VLOOKUP(A198,DB_Customers!$A:$N,14,0),""))</f>
        <v/>
      </c>
      <c r="D198" s="497">
        <f>IF(A198="","",TODAY())</f>
        <v/>
      </c>
      <c r="E198" s="489" t="n"/>
      <c r="F198" s="498">
        <f>IF(OR(A198="",E198=""),"",IF(C198="","",C198+E198))</f>
        <v/>
      </c>
      <c r="G198" s="384" t="inlineStr">
        <is>
          <t>Agent 01</t>
        </is>
      </c>
      <c r="H198" s="491" t="n"/>
      <c r="I198" s="499">
        <f>IF(A198="","Pending",IF(H198="","⚠️ Enter Code",IF(IFERROR(VLOOKUP(G198,DB_Agents!$B:$I,8,0),"")=H198,IF(AND(A198&lt;&gt;"",E198&lt;&gt;""),"Saved","Pending"),"🔒 BLOCKED — Wrong Code")))</f>
        <v/>
      </c>
      <c r="J198" s="500">
        <f>IF(I198="Saved",TEXT(TODAY(),"YYYY-MM-DD")&amp;" Auto","—")</f>
        <v/>
      </c>
      <c r="K198" s="501" t="n"/>
    </row>
    <row r="199" ht="15" customHeight="1" s="341">
      <c r="A199" s="486" t="n"/>
      <c r="B199" s="378">
        <f>IF(A199="","",IFERROR(VLOOKUP(A199,DB_Customers!$A:$D,4,0),"❌ Account Not Found"))</f>
        <v/>
      </c>
      <c r="C199" s="487">
        <f>IF(A199="","",IFERROR(VLOOKUP(A199,DB_Customers!$A:$N,14,0),""))</f>
        <v/>
      </c>
      <c r="D199" s="488">
        <f>IF(A199="","",TODAY())</f>
        <v/>
      </c>
      <c r="E199" s="489" t="n"/>
      <c r="F199" s="490">
        <f>IF(OR(A199="",E199=""),"",IF(C199="","",C199+E199))</f>
        <v/>
      </c>
      <c r="G199" s="380" t="inlineStr">
        <is>
          <t>Agent 01</t>
        </is>
      </c>
      <c r="H199" s="491" t="n"/>
      <c r="I199" s="492">
        <f>IF(A199="","Pending",IF(H199="","⚠️ Enter Code",IF(IFERROR(VLOOKUP(G199,DB_Agents!$B:$I,8,0),"")=H199,IF(AND(A199&lt;&gt;"",E199&lt;&gt;""),"Saved","Pending"),"🔒 BLOCKED — Wrong Code")))</f>
        <v/>
      </c>
      <c r="J199" s="493">
        <f>IF(I199="Saved",TEXT(TODAY(),"YYYY-MM-DD")&amp;" Auto","—")</f>
        <v/>
      </c>
      <c r="K199" s="494" t="n"/>
    </row>
    <row r="200" ht="15" customHeight="1" s="341">
      <c r="A200" s="495" t="n"/>
      <c r="B200" s="382">
        <f>IF(A200="","",IFERROR(VLOOKUP(A200,DB_Customers!$A:$D,4,0),"❌ Account Not Found"))</f>
        <v/>
      </c>
      <c r="C200" s="496">
        <f>IF(A200="","",IFERROR(VLOOKUP(A200,DB_Customers!$A:$N,14,0),""))</f>
        <v/>
      </c>
      <c r="D200" s="497">
        <f>IF(A200="","",TODAY())</f>
        <v/>
      </c>
      <c r="E200" s="489" t="n"/>
      <c r="F200" s="498">
        <f>IF(OR(A200="",E200=""),"",IF(C200="","",C200+E200))</f>
        <v/>
      </c>
      <c r="G200" s="384" t="inlineStr">
        <is>
          <t>Agent 01</t>
        </is>
      </c>
      <c r="H200" s="491" t="n"/>
      <c r="I200" s="499">
        <f>IF(A200="","Pending",IF(H200="","⚠️ Enter Code",IF(IFERROR(VLOOKUP(G200,DB_Agents!$B:$I,8,0),"")=H200,IF(AND(A200&lt;&gt;"",E200&lt;&gt;""),"Saved","Pending"),"🔒 BLOCKED — Wrong Code")))</f>
        <v/>
      </c>
      <c r="J200" s="500">
        <f>IF(I200="Saved",TEXT(TODAY(),"YYYY-MM-DD")&amp;" Auto","—")</f>
        <v/>
      </c>
      <c r="K200" s="501" t="n"/>
    </row>
    <row r="201" ht="15" customHeight="1" s="341">
      <c r="A201" s="486" t="n"/>
      <c r="B201" s="378">
        <f>IF(A201="","",IFERROR(VLOOKUP(A201,DB_Customers!$A:$D,4,0),"❌ Account Not Found"))</f>
        <v/>
      </c>
      <c r="C201" s="487">
        <f>IF(A201="","",IFERROR(VLOOKUP(A201,DB_Customers!$A:$N,14,0),""))</f>
        <v/>
      </c>
      <c r="D201" s="488">
        <f>IF(A201="","",TODAY())</f>
        <v/>
      </c>
      <c r="E201" s="489" t="n"/>
      <c r="F201" s="490">
        <f>IF(OR(A201="",E201=""),"",IF(C201="","",C201+E201))</f>
        <v/>
      </c>
      <c r="G201" s="380" t="inlineStr">
        <is>
          <t>Agent 01</t>
        </is>
      </c>
      <c r="H201" s="491" t="n"/>
      <c r="I201" s="492">
        <f>IF(A201="","Pending",IF(H201="","⚠️ Enter Code",IF(IFERROR(VLOOKUP(G201,DB_Agents!$B:$I,8,0),"")=H201,IF(AND(A201&lt;&gt;"",E201&lt;&gt;""),"Saved","Pending"),"🔒 BLOCKED — Wrong Code")))</f>
        <v/>
      </c>
      <c r="J201" s="493">
        <f>IF(I201="Saved",TEXT(TODAY(),"YYYY-MM-DD")&amp;" Auto","—")</f>
        <v/>
      </c>
      <c r="K201" s="494" t="n"/>
    </row>
    <row r="202" ht="15" customHeight="1" s="341">
      <c r="A202" s="495" t="n"/>
      <c r="B202" s="382">
        <f>IF(A202="","",IFERROR(VLOOKUP(A202,DB_Customers!$A:$D,4,0),"❌ Account Not Found"))</f>
        <v/>
      </c>
      <c r="C202" s="496">
        <f>IF(A202="","",IFERROR(VLOOKUP(A202,DB_Customers!$A:$N,14,0),""))</f>
        <v/>
      </c>
      <c r="D202" s="497">
        <f>IF(A202="","",TODAY())</f>
        <v/>
      </c>
      <c r="E202" s="489" t="n"/>
      <c r="F202" s="498">
        <f>IF(OR(A202="",E202=""),"",IF(C202="","",C202+E202))</f>
        <v/>
      </c>
      <c r="G202" s="384" t="inlineStr">
        <is>
          <t>Agent 01</t>
        </is>
      </c>
      <c r="H202" s="491" t="n"/>
      <c r="I202" s="499">
        <f>IF(A202="","Pending",IF(H202="","⚠️ Enter Code",IF(IFERROR(VLOOKUP(G202,DB_Agents!$B:$I,8,0),"")=H202,IF(AND(A202&lt;&gt;"",E202&lt;&gt;""),"Saved","Pending"),"🔒 BLOCKED — Wrong Code")))</f>
        <v/>
      </c>
      <c r="J202" s="500">
        <f>IF(I202="Saved",TEXT(TODAY(),"YYYY-MM-DD")&amp;" Auto","—")</f>
        <v/>
      </c>
      <c r="K202" s="501" t="n"/>
    </row>
    <row r="203" ht="15" customHeight="1" s="341">
      <c r="A203" s="486" t="n"/>
      <c r="B203" s="378">
        <f>IF(A203="","",IFERROR(VLOOKUP(A203,DB_Customers!$A:$D,4,0),"❌ Account Not Found"))</f>
        <v/>
      </c>
      <c r="C203" s="487">
        <f>IF(A203="","",IFERROR(VLOOKUP(A203,DB_Customers!$A:$N,14,0),""))</f>
        <v/>
      </c>
      <c r="D203" s="488">
        <f>IF(A203="","",TODAY())</f>
        <v/>
      </c>
      <c r="E203" s="489" t="n"/>
      <c r="F203" s="490">
        <f>IF(OR(A203="",E203=""),"",IF(C203="","",C203+E203))</f>
        <v/>
      </c>
      <c r="G203" s="380" t="inlineStr">
        <is>
          <t>Agent 01</t>
        </is>
      </c>
      <c r="H203" s="491" t="n"/>
      <c r="I203" s="492">
        <f>IF(A203="","Pending",IF(H203="","⚠️ Enter Code",IF(IFERROR(VLOOKUP(G203,DB_Agents!$B:$I,8,0),"")=H203,IF(AND(A203&lt;&gt;"",E203&lt;&gt;""),"Saved","Pending"),"🔒 BLOCKED — Wrong Code")))</f>
        <v/>
      </c>
      <c r="J203" s="493">
        <f>IF(I203="Saved",TEXT(TODAY(),"YYYY-MM-DD")&amp;" Auto","—")</f>
        <v/>
      </c>
      <c r="K203" s="494" t="n"/>
    </row>
    <row r="204" ht="15" customHeight="1" s="341">
      <c r="A204" s="495" t="n"/>
      <c r="B204" s="382">
        <f>IF(A204="","",IFERROR(VLOOKUP(A204,DB_Customers!$A:$D,4,0),"❌ Account Not Found"))</f>
        <v/>
      </c>
      <c r="C204" s="496">
        <f>IF(A204="","",IFERROR(VLOOKUP(A204,DB_Customers!$A:$N,14,0),""))</f>
        <v/>
      </c>
      <c r="D204" s="497">
        <f>IF(A204="","",TODAY())</f>
        <v/>
      </c>
      <c r="E204" s="489" t="n"/>
      <c r="F204" s="498">
        <f>IF(OR(A204="",E204=""),"",IF(C204="","",C204+E204))</f>
        <v/>
      </c>
      <c r="G204" s="384" t="inlineStr">
        <is>
          <t>Agent 01</t>
        </is>
      </c>
      <c r="H204" s="491" t="n"/>
      <c r="I204" s="499">
        <f>IF(A204="","Pending",IF(H204="","⚠️ Enter Code",IF(IFERROR(VLOOKUP(G204,DB_Agents!$B:$I,8,0),"")=H204,IF(AND(A204&lt;&gt;"",E204&lt;&gt;""),"Saved","Pending"),"🔒 BLOCKED — Wrong Code")))</f>
        <v/>
      </c>
      <c r="J204" s="500">
        <f>IF(I204="Saved",TEXT(TODAY(),"YYYY-MM-DD")&amp;" Auto","—")</f>
        <v/>
      </c>
      <c r="K204" s="501" t="n"/>
    </row>
    <row r="205" ht="15" customHeight="1" s="341">
      <c r="A205" s="486" t="n"/>
      <c r="B205" s="378">
        <f>IF(A205="","",IFERROR(VLOOKUP(A205,DB_Customers!$A:$D,4,0),"❌ Account Not Found"))</f>
        <v/>
      </c>
      <c r="C205" s="487">
        <f>IF(A205="","",IFERROR(VLOOKUP(A205,DB_Customers!$A:$N,14,0),""))</f>
        <v/>
      </c>
      <c r="D205" s="488">
        <f>IF(A205="","",TODAY())</f>
        <v/>
      </c>
      <c r="E205" s="489" t="n"/>
      <c r="F205" s="490">
        <f>IF(OR(A205="",E205=""),"",IF(C205="","",C205+E205))</f>
        <v/>
      </c>
      <c r="G205" s="380" t="inlineStr">
        <is>
          <t>Agent 01</t>
        </is>
      </c>
      <c r="H205" s="491" t="n"/>
      <c r="I205" s="492">
        <f>IF(A205="","Pending",IF(H205="","⚠️ Enter Code",IF(IFERROR(VLOOKUP(G205,DB_Agents!$B:$I,8,0),"")=H205,IF(AND(A205&lt;&gt;"",E205&lt;&gt;""),"Saved","Pending"),"🔒 BLOCKED — Wrong Code")))</f>
        <v/>
      </c>
      <c r="J205" s="493">
        <f>IF(I205="Saved",TEXT(TODAY(),"YYYY-MM-DD")&amp;" Auto","—")</f>
        <v/>
      </c>
      <c r="K205" s="494" t="n"/>
    </row>
    <row r="206" ht="15" customHeight="1" s="341">
      <c r="A206" s="495" t="n"/>
      <c r="B206" s="382">
        <f>IF(A206="","",IFERROR(VLOOKUP(A206,DB_Customers!$A:$D,4,0),"❌ Account Not Found"))</f>
        <v/>
      </c>
      <c r="C206" s="496">
        <f>IF(A206="","",IFERROR(VLOOKUP(A206,DB_Customers!$A:$N,14,0),""))</f>
        <v/>
      </c>
      <c r="D206" s="497">
        <f>IF(A206="","",TODAY())</f>
        <v/>
      </c>
      <c r="E206" s="489" t="n"/>
      <c r="F206" s="498">
        <f>IF(OR(A206="",E206=""),"",IF(C206="","",C206+E206))</f>
        <v/>
      </c>
      <c r="G206" s="384" t="inlineStr">
        <is>
          <t>Agent 01</t>
        </is>
      </c>
      <c r="H206" s="491" t="n"/>
      <c r="I206" s="499">
        <f>IF(A206="","Pending",IF(H206="","⚠️ Enter Code",IF(IFERROR(VLOOKUP(G206,DB_Agents!$B:$I,8,0),"")=H206,IF(AND(A206&lt;&gt;"",E206&lt;&gt;""),"Saved","Pending"),"🔒 BLOCKED — Wrong Code")))</f>
        <v/>
      </c>
      <c r="J206" s="500">
        <f>IF(I206="Saved",TEXT(TODAY(),"YYYY-MM-DD")&amp;" Auto","—")</f>
        <v/>
      </c>
      <c r="K206" s="501" t="n"/>
    </row>
    <row r="207" ht="15" customHeight="1" s="341">
      <c r="A207" s="486" t="n"/>
      <c r="B207" s="378">
        <f>IF(A207="","",IFERROR(VLOOKUP(A207,DB_Customers!$A:$D,4,0),"❌ Account Not Found"))</f>
        <v/>
      </c>
      <c r="C207" s="487">
        <f>IF(A207="","",IFERROR(VLOOKUP(A207,DB_Customers!$A:$N,14,0),""))</f>
        <v/>
      </c>
      <c r="D207" s="488">
        <f>IF(A207="","",TODAY())</f>
        <v/>
      </c>
      <c r="E207" s="489" t="n"/>
      <c r="F207" s="490">
        <f>IF(OR(A207="",E207=""),"",IF(C207="","",C207+E207))</f>
        <v/>
      </c>
      <c r="G207" s="380" t="inlineStr">
        <is>
          <t>Agent 01</t>
        </is>
      </c>
      <c r="H207" s="491" t="n"/>
      <c r="I207" s="492">
        <f>IF(A207="","Pending",IF(H207="","⚠️ Enter Code",IF(IFERROR(VLOOKUP(G207,DB_Agents!$B:$I,8,0),"")=H207,IF(AND(A207&lt;&gt;"",E207&lt;&gt;""),"Saved","Pending"),"🔒 BLOCKED — Wrong Code")))</f>
        <v/>
      </c>
      <c r="J207" s="493">
        <f>IF(I207="Saved",TEXT(TODAY(),"YYYY-MM-DD")&amp;" Auto","—")</f>
        <v/>
      </c>
      <c r="K207" s="494" t="n"/>
    </row>
    <row r="208" ht="15" customHeight="1" s="341">
      <c r="A208" s="495" t="n"/>
      <c r="B208" s="382">
        <f>IF(A208="","",IFERROR(VLOOKUP(A208,DB_Customers!$A:$D,4,0),"❌ Account Not Found"))</f>
        <v/>
      </c>
      <c r="C208" s="496">
        <f>IF(A208="","",IFERROR(VLOOKUP(A208,DB_Customers!$A:$N,14,0),""))</f>
        <v/>
      </c>
      <c r="D208" s="497">
        <f>IF(A208="","",TODAY())</f>
        <v/>
      </c>
      <c r="E208" s="489" t="n"/>
      <c r="F208" s="498">
        <f>IF(OR(A208="",E208=""),"",IF(C208="","",C208+E208))</f>
        <v/>
      </c>
      <c r="G208" s="384" t="inlineStr">
        <is>
          <t>Agent 01</t>
        </is>
      </c>
      <c r="H208" s="491" t="n"/>
      <c r="I208" s="499">
        <f>IF(A208="","Pending",IF(H208="","⚠️ Enter Code",IF(IFERROR(VLOOKUP(G208,DB_Agents!$B:$I,8,0),"")=H208,IF(AND(A208&lt;&gt;"",E208&lt;&gt;""),"Saved","Pending"),"🔒 BLOCKED — Wrong Code")))</f>
        <v/>
      </c>
      <c r="J208" s="500">
        <f>IF(I208="Saved",TEXT(TODAY(),"YYYY-MM-DD")&amp;" Auto","—")</f>
        <v/>
      </c>
      <c r="K208" s="501" t="n"/>
    </row>
  </sheetData>
  <mergeCells count="12">
    <mergeCell ref="A2:L2"/>
    <mergeCell ref="A7:L7"/>
    <mergeCell ref="A1:L1"/>
    <mergeCell ref="A5:L5"/>
    <mergeCell ref="D4:F4"/>
    <mergeCell ref="D3:F3"/>
    <mergeCell ref="A3:C3"/>
    <mergeCell ref="G3:I3"/>
    <mergeCell ref="G4:I4"/>
    <mergeCell ref="J4:L4"/>
    <mergeCell ref="A4:C4"/>
    <mergeCell ref="J3:L3"/>
  </mergeCells>
  <conditionalFormatting sqref="H9:H208">
    <cfRule type="cellIs" rank="0" priority="2" equalAverage="0" operator="equal" aboveAverage="0" dxfId="0" text="" percent="0" bottom="0">
      <formula>"Saved"</formula>
    </cfRule>
    <cfRule type="cellIs" rank="0" priority="3" equalAverage="0" operator="equal" aboveAverage="0" dxfId="11" text="" percent="0" bottom="0">
      <formula>"Pending"</formula>
    </cfRule>
  </conditionalFormatting>
  <conditionalFormatting sqref="A9:J208">
    <cfRule type="expression" rank="0" priority="4" equalAverage="0" aboveAverage="0" dxfId="12" text="" percent="0" bottom="0">
      <formula>$H9="Saved"</formula>
    </cfRule>
  </conditionalFormatting>
  <dataValidations count="2">
    <dataValidation sqref="G9:G208" showDropDown="0" showInputMessage="0" showErrorMessage="0" allowBlank="0" type="list" errorStyle="stop" operator="between">
      <formula1>"Agent 01,Agent 02,Agent 03,Agent 04,Agent 05,Agent 06,Agent 07,Agent 08,Agent 09,Agent 10"</formula1>
      <formula2>0</formula2>
    </dataValidation>
    <dataValidation sqref="E9:E208" showDropDown="0" showInputMessage="0" showErrorMessage="1" allowBlank="0" error="Must be &gt; 0" type="decimal" errorStyle="stop" operator="greaterThan">
      <formula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7.xml><?xml version="1.0" encoding="utf-8"?>
<worksheet xmlns="http://schemas.openxmlformats.org/spreadsheetml/2006/main">
  <sheetPr filterMode="0">
    <tabColor rgb="FFC0392B"/>
    <outlinePr summaryBelow="1" summaryRight="1"/>
    <pageSetUpPr fitToPage="0"/>
  </sheetPr>
  <dimension ref="A1:M208"/>
  <sheetViews>
    <sheetView showFormulas="0" showGridLines="1" showRowColHeaders="1" showZeros="1" rightToLeft="0" tabSelected="0" showOutlineSymbols="1" defaultGridColor="1" view="normal" topLeftCell="B1" colorId="64" zoomScale="100" zoomScaleNormal="100" zoomScalePageLayoutView="100" workbookViewId="0">
      <pane xSplit="0" ySplit="8" topLeftCell="A9" activePane="bottomLeft" state="frozen"/>
      <selection pane="topLeft" activeCell="B1" activeCellId="0" sqref="B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5" customWidth="1" style="340" min="7" max="7"/>
    <col width="12" customWidth="1" style="340" min="8" max="8"/>
    <col width="14" customWidth="1" style="340" min="9" max="9"/>
    <col width="22" customWidth="1" style="340" min="10" max="10"/>
    <col width="20" customWidth="1" style="340" min="11" max="11"/>
  </cols>
  <sheetData>
    <row r="1" ht="31.5" customHeight="1" s="341">
      <c r="A1" s="502" t="inlineStr">
        <is>
          <t>🏧  SAMICIOUS MICROFINANCE — AGENT01 WITHDRAWALS</t>
        </is>
      </c>
    </row>
    <row r="2" ht="19.5" customHeight="1" s="341">
      <c r="A2" s="503" t="inlineStr">
        <is>
          <t>Agent: Agent 01  |  Status auto: "Successful" or "Unsuccessful" based on balance check  |  🔑 Security: Enter your 4-digit Agent Code in each row</t>
        </is>
      </c>
    </row>
    <row r="3" ht="18" customHeight="1" s="341">
      <c r="A3" s="365" t="inlineStr">
        <is>
          <t>🏧 Total Withdrawn Today</t>
        </is>
      </c>
      <c r="D3" s="364" t="inlineStr">
        <is>
          <t>✅ Successful</t>
        </is>
      </c>
      <c r="G3" s="368" t="inlineStr">
        <is>
          <t>❌ Unsuccessful</t>
        </is>
      </c>
      <c r="K3" s="439" t="inlineStr">
        <is>
          <t>📅 Date</t>
        </is>
      </c>
    </row>
    <row r="4" ht="27.75" customHeight="1" s="341">
      <c r="A4" s="504">
        <f>SUMIFS(DB_Withdrawals!$G:$G,DB_Withdrawals!$J:$J,"Agent 01",DB_Withdrawals!$F:$F,TODAY())</f>
        <v/>
      </c>
      <c r="D4" s="505">
        <f>COUNTIFS(DB_Withdrawals!$J:$J,"Agent 01",DB_Withdrawals!$K:$K,"Successful",DB_Withdrawals!$F:$F,TODAY())</f>
        <v/>
      </c>
      <c r="G4" s="506">
        <f>COUNTIFS(DB_Withdrawals!$J:$J,"Agent 01",DB_Withdrawals!$K:$K,"Unsuccessful",DB_Withdrawals!$F:$F,TODAY())</f>
        <v/>
      </c>
      <c r="K4" s="482">
        <f>TEXT(TODAY(),"DD MMM YYYY")</f>
        <v/>
      </c>
    </row>
    <row r="5" ht="19.5" customHeight="1" s="341">
      <c r="A5" s="507" t="inlineStr">
        <is>
          <t>⚠️  WITHDRAWALS — System auto-validates balance. Insufficient funds will show "Unsuccessful" status.</t>
        </is>
      </c>
    </row>
    <row r="6" ht="7.5" customHeight="1" s="341"/>
    <row r="7" ht="19.5" customHeight="1" s="341">
      <c r="A7" s="508" t="inlineStr">
        <is>
          <t>📝  ENTRY FORM — Enter Account # → Name, Balance, Date auto-populate. Enter Withdrawal Amount &amp; Authorized By. | Enter Agent Code in 🔑 column to authorize each transaction.</t>
        </is>
      </c>
    </row>
    <row r="8" ht="19.5" customHeight="1" s="341">
      <c r="A8" s="509" t="inlineStr">
        <is>
          <t>Account #</t>
        </is>
      </c>
      <c r="B8" s="509" t="inlineStr">
        <is>
          <t>Customer Name</t>
        </is>
      </c>
      <c r="C8" s="509" t="inlineStr">
        <is>
          <t>Available Balance</t>
        </is>
      </c>
      <c r="D8" s="509" t="inlineStr">
        <is>
          <t>Date</t>
        </is>
      </c>
      <c r="E8" s="509" t="inlineStr">
        <is>
          <t>Withdrawal Amt</t>
        </is>
      </c>
      <c r="F8" s="509" t="inlineStr">
        <is>
          <t>Authorized By</t>
        </is>
      </c>
      <c r="G8" s="509" t="inlineStr">
        <is>
          <t>New Balance</t>
        </is>
      </c>
      <c r="H8" s="509" t="inlineStr">
        <is>
          <t>Agent</t>
        </is>
      </c>
      <c r="I8" s="485" t="inlineStr">
        <is>
          <t>🔑 Agent Code</t>
        </is>
      </c>
      <c r="J8" s="509" t="inlineStr">
        <is>
          <t>Status</t>
        </is>
      </c>
      <c r="K8" s="509" t="inlineStr">
        <is>
          <t>Saved At</t>
        </is>
      </c>
      <c r="L8" s="509" t="inlineStr">
        <is>
          <t>Notes</t>
        </is>
      </c>
    </row>
    <row r="9" ht="15" customHeight="1" s="341">
      <c r="A9" s="486" t="n"/>
      <c r="B9" s="378">
        <f>IF(A9="","",IFERROR(VLOOKUP(A9,DB_Customers!$A:$D,4,0),"❌ Account Not Found"))</f>
        <v/>
      </c>
      <c r="C9" s="487">
        <f>IF(A9="","",IFERROR(VLOOKUP(A9,DB_Customers!$A:$N,14,0),""))</f>
        <v/>
      </c>
      <c r="D9" s="488">
        <f>IF(A9="","",TODAY())</f>
        <v/>
      </c>
      <c r="E9" s="510" t="n"/>
      <c r="F9" s="378" t="n"/>
      <c r="G9" s="511">
        <f>IF(OR(A9="",E9=""),"",IF(C9="","",C9-E9))</f>
        <v/>
      </c>
      <c r="H9" s="380" t="inlineStr">
        <is>
          <t>Agent 01</t>
        </is>
      </c>
      <c r="I9" s="491" t="n"/>
      <c r="J9" s="492">
        <f>IF(AND(A9&lt;&gt;"",E9&lt;&gt;""),IF(I9="","⚠️ Enter Code",IF(IFERROR(VLOOKUP(H9,DB_Agents!$B:$I,8,0),"")=I9,IF(C9&gt;=E9,"Successful","Unsuccessful"),"🔒 BLOCKED — Wrong Code")),"—")</f>
        <v/>
      </c>
      <c r="K9" s="493">
        <f>IF(J9="Successful",TEXT(TODAY(),"YYYY-MM-DD")&amp;" Auto","—")</f>
        <v/>
      </c>
      <c r="L9" s="494" t="n"/>
    </row>
    <row r="10" ht="15" customHeight="1" s="341">
      <c r="A10" s="495" t="n"/>
      <c r="B10" s="382">
        <f>IF(A10="","",IFERROR(VLOOKUP(A10,DB_Customers!$A:$D,4,0),"❌ Account Not Found"))</f>
        <v/>
      </c>
      <c r="C10" s="496">
        <f>IF(A10="","",IFERROR(VLOOKUP(A10,DB_Customers!$A:$N,14,0),""))</f>
        <v/>
      </c>
      <c r="D10" s="497">
        <f>IF(A10="","",TODAY())</f>
        <v/>
      </c>
      <c r="E10" s="510" t="n"/>
      <c r="F10" s="382" t="n"/>
      <c r="G10" s="512">
        <f>IF(OR(A10="",E10=""),"",IF(C10="","",C10-E10))</f>
        <v/>
      </c>
      <c r="H10" s="384" t="inlineStr">
        <is>
          <t>Agent 01</t>
        </is>
      </c>
      <c r="I10" s="491" t="n"/>
      <c r="J10" s="499">
        <f>IF(AND(A10&lt;&gt;"",E10&lt;&gt;""),IF(I10="","⚠️ Enter Code",IF(IFERROR(VLOOKUP(H10,DB_Agents!$B:$I,8,0),"")=I10,IF(C10&gt;=E10,"Successful","Unsuccessful"),"🔒 BLOCKED — Wrong Code")),"—")</f>
        <v/>
      </c>
      <c r="K10" s="500">
        <f>IF(J10="Successful",TEXT(TODAY(),"YYYY-MM-DD")&amp;" Auto","—")</f>
        <v/>
      </c>
      <c r="L10" s="501" t="n"/>
    </row>
    <row r="11" ht="15" customHeight="1" s="341">
      <c r="A11" s="486" t="n"/>
      <c r="B11" s="378">
        <f>IF(A11="","",IFERROR(VLOOKUP(A11,DB_Customers!$A:$D,4,0),"❌ Account Not Found"))</f>
        <v/>
      </c>
      <c r="C11" s="487">
        <f>IF(A11="","",IFERROR(VLOOKUP(A11,DB_Customers!$A:$N,14,0),""))</f>
        <v/>
      </c>
      <c r="D11" s="488">
        <f>IF(A11="","",TODAY())</f>
        <v/>
      </c>
      <c r="E11" s="510" t="n"/>
      <c r="F11" s="378" t="n"/>
      <c r="G11" s="511">
        <f>IF(OR(A11="",E11=""),"",IF(C11="","",C11-E11))</f>
        <v/>
      </c>
      <c r="H11" s="380" t="inlineStr">
        <is>
          <t>Agent 01</t>
        </is>
      </c>
      <c r="I11" s="491" t="n"/>
      <c r="J11" s="492">
        <f>IF(AND(A11&lt;&gt;"",E11&lt;&gt;""),IF(I11="","⚠️ Enter Code",IF(IFERROR(VLOOKUP(H11,DB_Agents!$B:$I,8,0),"")=I11,IF(C11&gt;=E11,"Successful","Unsuccessful"),"🔒 BLOCKED — Wrong Code")),"—")</f>
        <v/>
      </c>
      <c r="K11" s="493">
        <f>IF(J11="Successful",TEXT(TODAY(),"YYYY-MM-DD")&amp;" Auto","—")</f>
        <v/>
      </c>
      <c r="L11" s="494" t="n"/>
    </row>
    <row r="12" ht="15" customHeight="1" s="341">
      <c r="A12" s="495" t="n"/>
      <c r="B12" s="382">
        <f>IF(A12="","",IFERROR(VLOOKUP(A12,DB_Customers!$A:$D,4,0),"❌ Account Not Found"))</f>
        <v/>
      </c>
      <c r="C12" s="496">
        <f>IF(A12="","",IFERROR(VLOOKUP(A12,DB_Customers!$A:$N,14,0),""))</f>
        <v/>
      </c>
      <c r="D12" s="497">
        <f>IF(A12="","",TODAY())</f>
        <v/>
      </c>
      <c r="E12" s="510" t="n"/>
      <c r="F12" s="382" t="n"/>
      <c r="G12" s="512">
        <f>IF(OR(A12="",E12=""),"",IF(C12="","",C12-E12))</f>
        <v/>
      </c>
      <c r="H12" s="384" t="inlineStr">
        <is>
          <t>Agent 01</t>
        </is>
      </c>
      <c r="I12" s="491" t="n"/>
      <c r="J12" s="499">
        <f>IF(AND(A12&lt;&gt;"",E12&lt;&gt;""),IF(I12="","⚠️ Enter Code",IF(IFERROR(VLOOKUP(H12,DB_Agents!$B:$I,8,0),"")=I12,IF(C12&gt;=E12,"Successful","Unsuccessful"),"🔒 BLOCKED — Wrong Code")),"—")</f>
        <v/>
      </c>
      <c r="K12" s="500">
        <f>IF(J12="Successful",TEXT(TODAY(),"YYYY-MM-DD")&amp;" Auto","—")</f>
        <v/>
      </c>
      <c r="L12" s="501" t="n"/>
    </row>
    <row r="13" ht="15" customHeight="1" s="341">
      <c r="A13" s="486" t="n"/>
      <c r="B13" s="378">
        <f>IF(A13="","",IFERROR(VLOOKUP(A13,DB_Customers!$A:$D,4,0),"❌ Account Not Found"))</f>
        <v/>
      </c>
      <c r="C13" s="487">
        <f>IF(A13="","",IFERROR(VLOOKUP(A13,DB_Customers!$A:$N,14,0),""))</f>
        <v/>
      </c>
      <c r="D13" s="488">
        <f>IF(A13="","",TODAY())</f>
        <v/>
      </c>
      <c r="E13" s="510" t="n"/>
      <c r="F13" s="378" t="n"/>
      <c r="G13" s="511">
        <f>IF(OR(A13="",E13=""),"",IF(C13="","",C13-E13))</f>
        <v/>
      </c>
      <c r="H13" s="380" t="inlineStr">
        <is>
          <t>Agent 01</t>
        </is>
      </c>
      <c r="I13" s="491" t="n"/>
      <c r="J13" s="492">
        <f>IF(AND(A13&lt;&gt;"",E13&lt;&gt;""),IF(I13="","⚠️ Enter Code",IF(IFERROR(VLOOKUP(H13,DB_Agents!$B:$I,8,0),"")=I13,IF(C13&gt;=E13,"Successful","Unsuccessful"),"🔒 BLOCKED — Wrong Code")),"—")</f>
        <v/>
      </c>
      <c r="K13" s="493">
        <f>IF(J13="Successful",TEXT(TODAY(),"YYYY-MM-DD")&amp;" Auto","—")</f>
        <v/>
      </c>
      <c r="L13" s="494" t="n"/>
    </row>
    <row r="14" ht="15" customHeight="1" s="341">
      <c r="A14" s="495" t="n"/>
      <c r="B14" s="382">
        <f>IF(A14="","",IFERROR(VLOOKUP(A14,DB_Customers!$A:$D,4,0),"❌ Account Not Found"))</f>
        <v/>
      </c>
      <c r="C14" s="496">
        <f>IF(A14="","",IFERROR(VLOOKUP(A14,DB_Customers!$A:$N,14,0),""))</f>
        <v/>
      </c>
      <c r="D14" s="497">
        <f>IF(A14="","",TODAY())</f>
        <v/>
      </c>
      <c r="E14" s="510" t="n"/>
      <c r="F14" s="382" t="n"/>
      <c r="G14" s="512">
        <f>IF(OR(A14="",E14=""),"",IF(C14="","",C14-E14))</f>
        <v/>
      </c>
      <c r="H14" s="384" t="inlineStr">
        <is>
          <t>Agent 01</t>
        </is>
      </c>
      <c r="I14" s="491" t="n"/>
      <c r="J14" s="499">
        <f>IF(AND(A14&lt;&gt;"",E14&lt;&gt;""),IF(I14="","⚠️ Enter Code",IF(IFERROR(VLOOKUP(H14,DB_Agents!$B:$I,8,0),"")=I14,IF(C14&gt;=E14,"Successful","Unsuccessful"),"🔒 BLOCKED — Wrong Code")),"—")</f>
        <v/>
      </c>
      <c r="K14" s="500">
        <f>IF(J14="Successful",TEXT(TODAY(),"YYYY-MM-DD")&amp;" Auto","—")</f>
        <v/>
      </c>
      <c r="L14" s="501" t="n"/>
    </row>
    <row r="15" ht="15" customHeight="1" s="341">
      <c r="A15" s="486" t="n"/>
      <c r="B15" s="378">
        <f>IF(A15="","",IFERROR(VLOOKUP(A15,DB_Customers!$A:$D,4,0),"❌ Account Not Found"))</f>
        <v/>
      </c>
      <c r="C15" s="487">
        <f>IF(A15="","",IFERROR(VLOOKUP(A15,DB_Customers!$A:$N,14,0),""))</f>
        <v/>
      </c>
      <c r="D15" s="488">
        <f>IF(A15="","",TODAY())</f>
        <v/>
      </c>
      <c r="E15" s="510" t="n"/>
      <c r="F15" s="378" t="n"/>
      <c r="G15" s="511">
        <f>IF(OR(A15="",E15=""),"",IF(C15="","",C15-E15))</f>
        <v/>
      </c>
      <c r="H15" s="380" t="inlineStr">
        <is>
          <t>Agent 01</t>
        </is>
      </c>
      <c r="I15" s="491" t="n"/>
      <c r="J15" s="492">
        <f>IF(AND(A15&lt;&gt;"",E15&lt;&gt;""),IF(I15="","⚠️ Enter Code",IF(IFERROR(VLOOKUP(H15,DB_Agents!$B:$I,8,0),"")=I15,IF(C15&gt;=E15,"Successful","Unsuccessful"),"🔒 BLOCKED — Wrong Code")),"—")</f>
        <v/>
      </c>
      <c r="K15" s="493">
        <f>IF(J15="Successful",TEXT(TODAY(),"YYYY-MM-DD")&amp;" Auto","—")</f>
        <v/>
      </c>
      <c r="L15" s="494" t="n"/>
    </row>
    <row r="16" ht="15" customHeight="1" s="341">
      <c r="A16" s="495" t="n"/>
      <c r="B16" s="382">
        <f>IF(A16="","",IFERROR(VLOOKUP(A16,DB_Customers!$A:$D,4,0),"❌ Account Not Found"))</f>
        <v/>
      </c>
      <c r="C16" s="496">
        <f>IF(A16="","",IFERROR(VLOOKUP(A16,DB_Customers!$A:$N,14,0),""))</f>
        <v/>
      </c>
      <c r="D16" s="497">
        <f>IF(A16="","",TODAY())</f>
        <v/>
      </c>
      <c r="E16" s="510" t="n"/>
      <c r="F16" s="382" t="n"/>
      <c r="G16" s="512">
        <f>IF(OR(A16="",E16=""),"",IF(C16="","",C16-E16))</f>
        <v/>
      </c>
      <c r="H16" s="384" t="inlineStr">
        <is>
          <t>Agent 01</t>
        </is>
      </c>
      <c r="I16" s="491" t="n"/>
      <c r="J16" s="499">
        <f>IF(AND(A16&lt;&gt;"",E16&lt;&gt;""),IF(I16="","⚠️ Enter Code",IF(IFERROR(VLOOKUP(H16,DB_Agents!$B:$I,8,0),"")=I16,IF(C16&gt;=E16,"Successful","Unsuccessful"),"🔒 BLOCKED — Wrong Code")),"—")</f>
        <v/>
      </c>
      <c r="K16" s="500">
        <f>IF(J16="Successful",TEXT(TODAY(),"YYYY-MM-DD")&amp;" Auto","—")</f>
        <v/>
      </c>
      <c r="L16" s="501" t="n"/>
    </row>
    <row r="17" ht="15" customHeight="1" s="341">
      <c r="A17" s="486" t="n"/>
      <c r="B17" s="378">
        <f>IF(A17="","",IFERROR(VLOOKUP(A17,DB_Customers!$A:$D,4,0),"❌ Account Not Found"))</f>
        <v/>
      </c>
      <c r="C17" s="487">
        <f>IF(A17="","",IFERROR(VLOOKUP(A17,DB_Customers!$A:$N,14,0),""))</f>
        <v/>
      </c>
      <c r="D17" s="488">
        <f>IF(A17="","",TODAY())</f>
        <v/>
      </c>
      <c r="E17" s="510" t="n"/>
      <c r="F17" s="378" t="n"/>
      <c r="G17" s="511">
        <f>IF(OR(A17="",E17=""),"",IF(C17="","",C17-E17))</f>
        <v/>
      </c>
      <c r="H17" s="380" t="inlineStr">
        <is>
          <t>Agent 01</t>
        </is>
      </c>
      <c r="I17" s="491" t="n"/>
      <c r="J17" s="492">
        <f>IF(AND(A17&lt;&gt;"",E17&lt;&gt;""),IF(I17="","⚠️ Enter Code",IF(IFERROR(VLOOKUP(H17,DB_Agents!$B:$I,8,0),"")=I17,IF(C17&gt;=E17,"Successful","Unsuccessful"),"🔒 BLOCKED — Wrong Code")),"—")</f>
        <v/>
      </c>
      <c r="K17" s="493">
        <f>IF(J17="Successful",TEXT(TODAY(),"YYYY-MM-DD")&amp;" Auto","—")</f>
        <v/>
      </c>
      <c r="L17" s="494" t="n"/>
    </row>
    <row r="18" ht="15" customHeight="1" s="341">
      <c r="A18" s="495" t="n"/>
      <c r="B18" s="382">
        <f>IF(A18="","",IFERROR(VLOOKUP(A18,DB_Customers!$A:$D,4,0),"❌ Account Not Found"))</f>
        <v/>
      </c>
      <c r="C18" s="496">
        <f>IF(A18="","",IFERROR(VLOOKUP(A18,DB_Customers!$A:$N,14,0),""))</f>
        <v/>
      </c>
      <c r="D18" s="497">
        <f>IF(A18="","",TODAY())</f>
        <v/>
      </c>
      <c r="E18" s="510" t="n"/>
      <c r="F18" s="382" t="n"/>
      <c r="G18" s="512">
        <f>IF(OR(A18="",E18=""),"",IF(C18="","",C18-E18))</f>
        <v/>
      </c>
      <c r="H18" s="384" t="inlineStr">
        <is>
          <t>Agent 01</t>
        </is>
      </c>
      <c r="I18" s="491" t="n"/>
      <c r="J18" s="499">
        <f>IF(AND(A18&lt;&gt;"",E18&lt;&gt;""),IF(I18="","⚠️ Enter Code",IF(IFERROR(VLOOKUP(H18,DB_Agents!$B:$I,8,0),"")=I18,IF(C18&gt;=E18,"Successful","Unsuccessful"),"🔒 BLOCKED — Wrong Code")),"—")</f>
        <v/>
      </c>
      <c r="K18" s="500">
        <f>IF(J18="Successful",TEXT(TODAY(),"YYYY-MM-DD")&amp;" Auto","—")</f>
        <v/>
      </c>
      <c r="L18" s="501" t="n"/>
    </row>
    <row r="19" ht="15" customHeight="1" s="341">
      <c r="A19" s="486" t="n"/>
      <c r="B19" s="378">
        <f>IF(A19="","",IFERROR(VLOOKUP(A19,DB_Customers!$A:$D,4,0),"❌ Account Not Found"))</f>
        <v/>
      </c>
      <c r="C19" s="487">
        <f>IF(A19="","",IFERROR(VLOOKUP(A19,DB_Customers!$A:$N,14,0),""))</f>
        <v/>
      </c>
      <c r="D19" s="488">
        <f>IF(A19="","",TODAY())</f>
        <v/>
      </c>
      <c r="E19" s="510" t="n"/>
      <c r="F19" s="378" t="n"/>
      <c r="G19" s="511">
        <f>IF(OR(A19="",E19=""),"",IF(C19="","",C19-E19))</f>
        <v/>
      </c>
      <c r="H19" s="380" t="inlineStr">
        <is>
          <t>Agent 01</t>
        </is>
      </c>
      <c r="I19" s="491" t="n"/>
      <c r="J19" s="492">
        <f>IF(AND(A19&lt;&gt;"",E19&lt;&gt;""),IF(I19="","⚠️ Enter Code",IF(IFERROR(VLOOKUP(H19,DB_Agents!$B:$I,8,0),"")=I19,IF(C19&gt;=E19,"Successful","Unsuccessful"),"🔒 BLOCKED — Wrong Code")),"—")</f>
        <v/>
      </c>
      <c r="K19" s="493">
        <f>IF(J19="Successful",TEXT(TODAY(),"YYYY-MM-DD")&amp;" Auto","—")</f>
        <v/>
      </c>
      <c r="L19" s="494" t="n"/>
    </row>
    <row r="20" ht="15" customHeight="1" s="341">
      <c r="A20" s="495" t="n"/>
      <c r="B20" s="382">
        <f>IF(A20="","",IFERROR(VLOOKUP(A20,DB_Customers!$A:$D,4,0),"❌ Account Not Found"))</f>
        <v/>
      </c>
      <c r="C20" s="496">
        <f>IF(A20="","",IFERROR(VLOOKUP(A20,DB_Customers!$A:$N,14,0),""))</f>
        <v/>
      </c>
      <c r="D20" s="497">
        <f>IF(A20="","",TODAY())</f>
        <v/>
      </c>
      <c r="E20" s="510" t="n"/>
      <c r="F20" s="382" t="n"/>
      <c r="G20" s="512">
        <f>IF(OR(A20="",E20=""),"",IF(C20="","",C20-E20))</f>
        <v/>
      </c>
      <c r="H20" s="384" t="inlineStr">
        <is>
          <t>Agent 01</t>
        </is>
      </c>
      <c r="I20" s="491" t="n"/>
      <c r="J20" s="499">
        <f>IF(AND(A20&lt;&gt;"",E20&lt;&gt;""),IF(I20="","⚠️ Enter Code",IF(IFERROR(VLOOKUP(H20,DB_Agents!$B:$I,8,0),"")=I20,IF(C20&gt;=E20,"Successful","Unsuccessful"),"🔒 BLOCKED — Wrong Code")),"—")</f>
        <v/>
      </c>
      <c r="K20" s="500">
        <f>IF(J20="Successful",TEXT(TODAY(),"YYYY-MM-DD")&amp;" Auto","—")</f>
        <v/>
      </c>
      <c r="L20" s="501" t="n"/>
    </row>
    <row r="21" ht="15" customHeight="1" s="341">
      <c r="A21" s="486" t="n"/>
      <c r="B21" s="378">
        <f>IF(A21="","",IFERROR(VLOOKUP(A21,DB_Customers!$A:$D,4,0),"❌ Account Not Found"))</f>
        <v/>
      </c>
      <c r="C21" s="487">
        <f>IF(A21="","",IFERROR(VLOOKUP(A21,DB_Customers!$A:$N,14,0),""))</f>
        <v/>
      </c>
      <c r="D21" s="488">
        <f>IF(A21="","",TODAY())</f>
        <v/>
      </c>
      <c r="E21" s="510" t="n"/>
      <c r="F21" s="378" t="n"/>
      <c r="G21" s="511">
        <f>IF(OR(A21="",E21=""),"",IF(C21="","",C21-E21))</f>
        <v/>
      </c>
      <c r="H21" s="380" t="inlineStr">
        <is>
          <t>Agent 01</t>
        </is>
      </c>
      <c r="I21" s="491" t="n"/>
      <c r="J21" s="492">
        <f>IF(AND(A21&lt;&gt;"",E21&lt;&gt;""),IF(I21="","⚠️ Enter Code",IF(IFERROR(VLOOKUP(H21,DB_Agents!$B:$I,8,0),"")=I21,IF(C21&gt;=E21,"Successful","Unsuccessful"),"🔒 BLOCKED — Wrong Code")),"—")</f>
        <v/>
      </c>
      <c r="K21" s="493">
        <f>IF(J21="Successful",TEXT(TODAY(),"YYYY-MM-DD")&amp;" Auto","—")</f>
        <v/>
      </c>
      <c r="L21" s="494" t="n"/>
    </row>
    <row r="22" ht="15" customHeight="1" s="341">
      <c r="A22" s="495" t="n"/>
      <c r="B22" s="382">
        <f>IF(A22="","",IFERROR(VLOOKUP(A22,DB_Customers!$A:$D,4,0),"❌ Account Not Found"))</f>
        <v/>
      </c>
      <c r="C22" s="496">
        <f>IF(A22="","",IFERROR(VLOOKUP(A22,DB_Customers!$A:$N,14,0),""))</f>
        <v/>
      </c>
      <c r="D22" s="497">
        <f>IF(A22="","",TODAY())</f>
        <v/>
      </c>
      <c r="E22" s="510" t="n"/>
      <c r="F22" s="382" t="n"/>
      <c r="G22" s="512">
        <f>IF(OR(A22="",E22=""),"",IF(C22="","",C22-E22))</f>
        <v/>
      </c>
      <c r="H22" s="384" t="inlineStr">
        <is>
          <t>Agent 01</t>
        </is>
      </c>
      <c r="I22" s="491" t="n"/>
      <c r="J22" s="499">
        <f>IF(AND(A22&lt;&gt;"",E22&lt;&gt;""),IF(I22="","⚠️ Enter Code",IF(IFERROR(VLOOKUP(H22,DB_Agents!$B:$I,8,0),"")=I22,IF(C22&gt;=E22,"Successful","Unsuccessful"),"🔒 BLOCKED — Wrong Code")),"—")</f>
        <v/>
      </c>
      <c r="K22" s="500">
        <f>IF(J22="Successful",TEXT(TODAY(),"YYYY-MM-DD")&amp;" Auto","—")</f>
        <v/>
      </c>
      <c r="L22" s="501" t="n"/>
    </row>
    <row r="23" ht="15" customHeight="1" s="341">
      <c r="A23" s="486" t="n"/>
      <c r="B23" s="378">
        <f>IF(A23="","",IFERROR(VLOOKUP(A23,DB_Customers!$A:$D,4,0),"❌ Account Not Found"))</f>
        <v/>
      </c>
      <c r="C23" s="487">
        <f>IF(A23="","",IFERROR(VLOOKUP(A23,DB_Customers!$A:$N,14,0),""))</f>
        <v/>
      </c>
      <c r="D23" s="488">
        <f>IF(A23="","",TODAY())</f>
        <v/>
      </c>
      <c r="E23" s="510" t="n"/>
      <c r="F23" s="378" t="n"/>
      <c r="G23" s="511">
        <f>IF(OR(A23="",E23=""),"",IF(C23="","",C23-E23))</f>
        <v/>
      </c>
      <c r="H23" s="380" t="inlineStr">
        <is>
          <t>Agent 01</t>
        </is>
      </c>
      <c r="I23" s="491" t="n"/>
      <c r="J23" s="492">
        <f>IF(AND(A23&lt;&gt;"",E23&lt;&gt;""),IF(I23="","⚠️ Enter Code",IF(IFERROR(VLOOKUP(H23,DB_Agents!$B:$I,8,0),"")=I23,IF(C23&gt;=E23,"Successful","Unsuccessful"),"🔒 BLOCKED — Wrong Code")),"—")</f>
        <v/>
      </c>
      <c r="K23" s="493">
        <f>IF(J23="Successful",TEXT(TODAY(),"YYYY-MM-DD")&amp;" Auto","—")</f>
        <v/>
      </c>
      <c r="L23" s="494" t="n"/>
    </row>
    <row r="24" ht="15" customHeight="1" s="341">
      <c r="A24" s="495" t="n"/>
      <c r="B24" s="382">
        <f>IF(A24="","",IFERROR(VLOOKUP(A24,DB_Customers!$A:$D,4,0),"❌ Account Not Found"))</f>
        <v/>
      </c>
      <c r="C24" s="496">
        <f>IF(A24="","",IFERROR(VLOOKUP(A24,DB_Customers!$A:$N,14,0),""))</f>
        <v/>
      </c>
      <c r="D24" s="497">
        <f>IF(A24="","",TODAY())</f>
        <v/>
      </c>
      <c r="E24" s="510" t="n"/>
      <c r="F24" s="382" t="n"/>
      <c r="G24" s="512">
        <f>IF(OR(A24="",E24=""),"",IF(C24="","",C24-E24))</f>
        <v/>
      </c>
      <c r="H24" s="384" t="inlineStr">
        <is>
          <t>Agent 01</t>
        </is>
      </c>
      <c r="I24" s="491" t="n"/>
      <c r="J24" s="499">
        <f>IF(AND(A24&lt;&gt;"",E24&lt;&gt;""),IF(I24="","⚠️ Enter Code",IF(IFERROR(VLOOKUP(H24,DB_Agents!$B:$I,8,0),"")=I24,IF(C24&gt;=E24,"Successful","Unsuccessful"),"🔒 BLOCKED — Wrong Code")),"—")</f>
        <v/>
      </c>
      <c r="K24" s="500">
        <f>IF(J24="Successful",TEXT(TODAY(),"YYYY-MM-DD")&amp;" Auto","—")</f>
        <v/>
      </c>
      <c r="L24" s="501" t="n"/>
    </row>
    <row r="25" ht="15" customHeight="1" s="341">
      <c r="A25" s="486" t="n"/>
      <c r="B25" s="378">
        <f>IF(A25="","",IFERROR(VLOOKUP(A25,DB_Customers!$A:$D,4,0),"❌ Account Not Found"))</f>
        <v/>
      </c>
      <c r="C25" s="487">
        <f>IF(A25="","",IFERROR(VLOOKUP(A25,DB_Customers!$A:$N,14,0),""))</f>
        <v/>
      </c>
      <c r="D25" s="488">
        <f>IF(A25="","",TODAY())</f>
        <v/>
      </c>
      <c r="E25" s="510" t="n"/>
      <c r="F25" s="378" t="n"/>
      <c r="G25" s="511">
        <f>IF(OR(A25="",E25=""),"",IF(C25="","",C25-E25))</f>
        <v/>
      </c>
      <c r="H25" s="380" t="inlineStr">
        <is>
          <t>Agent 01</t>
        </is>
      </c>
      <c r="I25" s="491" t="n"/>
      <c r="J25" s="492">
        <f>IF(AND(A25&lt;&gt;"",E25&lt;&gt;""),IF(I25="","⚠️ Enter Code",IF(IFERROR(VLOOKUP(H25,DB_Agents!$B:$I,8,0),"")=I25,IF(C25&gt;=E25,"Successful","Unsuccessful"),"🔒 BLOCKED — Wrong Code")),"—")</f>
        <v/>
      </c>
      <c r="K25" s="493">
        <f>IF(J25="Successful",TEXT(TODAY(),"YYYY-MM-DD")&amp;" Auto","—")</f>
        <v/>
      </c>
      <c r="L25" s="494" t="n"/>
    </row>
    <row r="26" ht="15" customHeight="1" s="341">
      <c r="A26" s="495" t="n"/>
      <c r="B26" s="382">
        <f>IF(A26="","",IFERROR(VLOOKUP(A26,DB_Customers!$A:$D,4,0),"❌ Account Not Found"))</f>
        <v/>
      </c>
      <c r="C26" s="496">
        <f>IF(A26="","",IFERROR(VLOOKUP(A26,DB_Customers!$A:$N,14,0),""))</f>
        <v/>
      </c>
      <c r="D26" s="497">
        <f>IF(A26="","",TODAY())</f>
        <v/>
      </c>
      <c r="E26" s="510" t="n"/>
      <c r="F26" s="382" t="n"/>
      <c r="G26" s="512">
        <f>IF(OR(A26="",E26=""),"",IF(C26="","",C26-E26))</f>
        <v/>
      </c>
      <c r="H26" s="384" t="inlineStr">
        <is>
          <t>Agent 01</t>
        </is>
      </c>
      <c r="I26" s="491" t="n"/>
      <c r="J26" s="499">
        <f>IF(AND(A26&lt;&gt;"",E26&lt;&gt;""),IF(I26="","⚠️ Enter Code",IF(IFERROR(VLOOKUP(H26,DB_Agents!$B:$I,8,0),"")=I26,IF(C26&gt;=E26,"Successful","Unsuccessful"),"🔒 BLOCKED — Wrong Code")),"—")</f>
        <v/>
      </c>
      <c r="K26" s="500">
        <f>IF(J26="Successful",TEXT(TODAY(),"YYYY-MM-DD")&amp;" Auto","—")</f>
        <v/>
      </c>
      <c r="L26" s="501" t="n"/>
    </row>
    <row r="27" ht="15" customHeight="1" s="341">
      <c r="A27" s="486" t="n"/>
      <c r="B27" s="378">
        <f>IF(A27="","",IFERROR(VLOOKUP(A27,DB_Customers!$A:$D,4,0),"❌ Account Not Found"))</f>
        <v/>
      </c>
      <c r="C27" s="487">
        <f>IF(A27="","",IFERROR(VLOOKUP(A27,DB_Customers!$A:$N,14,0),""))</f>
        <v/>
      </c>
      <c r="D27" s="488">
        <f>IF(A27="","",TODAY())</f>
        <v/>
      </c>
      <c r="E27" s="510" t="n"/>
      <c r="F27" s="378" t="n"/>
      <c r="G27" s="511">
        <f>IF(OR(A27="",E27=""),"",IF(C27="","",C27-E27))</f>
        <v/>
      </c>
      <c r="H27" s="380" t="inlineStr">
        <is>
          <t>Agent 01</t>
        </is>
      </c>
      <c r="I27" s="491" t="n"/>
      <c r="J27" s="492">
        <f>IF(AND(A27&lt;&gt;"",E27&lt;&gt;""),IF(I27="","⚠️ Enter Code",IF(IFERROR(VLOOKUP(H27,DB_Agents!$B:$I,8,0),"")=I27,IF(C27&gt;=E27,"Successful","Unsuccessful"),"🔒 BLOCKED — Wrong Code")),"—")</f>
        <v/>
      </c>
      <c r="K27" s="493">
        <f>IF(J27="Successful",TEXT(TODAY(),"YYYY-MM-DD")&amp;" Auto","—")</f>
        <v/>
      </c>
      <c r="L27" s="494" t="n"/>
    </row>
    <row r="28" ht="15" customHeight="1" s="341">
      <c r="A28" s="495" t="n"/>
      <c r="B28" s="382">
        <f>IF(A28="","",IFERROR(VLOOKUP(A28,DB_Customers!$A:$D,4,0),"❌ Account Not Found"))</f>
        <v/>
      </c>
      <c r="C28" s="496">
        <f>IF(A28="","",IFERROR(VLOOKUP(A28,DB_Customers!$A:$N,14,0),""))</f>
        <v/>
      </c>
      <c r="D28" s="497">
        <f>IF(A28="","",TODAY())</f>
        <v/>
      </c>
      <c r="E28" s="510" t="n"/>
      <c r="F28" s="382" t="n"/>
      <c r="G28" s="512">
        <f>IF(OR(A28="",E28=""),"",IF(C28="","",C28-E28))</f>
        <v/>
      </c>
      <c r="H28" s="384" t="inlineStr">
        <is>
          <t>Agent 01</t>
        </is>
      </c>
      <c r="I28" s="491" t="n"/>
      <c r="J28" s="499">
        <f>IF(AND(A28&lt;&gt;"",E28&lt;&gt;""),IF(I28="","⚠️ Enter Code",IF(IFERROR(VLOOKUP(H28,DB_Agents!$B:$I,8,0),"")=I28,IF(C28&gt;=E28,"Successful","Unsuccessful"),"🔒 BLOCKED — Wrong Code")),"—")</f>
        <v/>
      </c>
      <c r="K28" s="500">
        <f>IF(J28="Successful",TEXT(TODAY(),"YYYY-MM-DD")&amp;" Auto","—")</f>
        <v/>
      </c>
      <c r="L28" s="501" t="n"/>
    </row>
    <row r="29" ht="15" customHeight="1" s="341">
      <c r="A29" s="486" t="n"/>
      <c r="B29" s="378">
        <f>IF(A29="","",IFERROR(VLOOKUP(A29,DB_Customers!$A:$D,4,0),"❌ Account Not Found"))</f>
        <v/>
      </c>
      <c r="C29" s="487">
        <f>IF(A29="","",IFERROR(VLOOKUP(A29,DB_Customers!$A:$N,14,0),""))</f>
        <v/>
      </c>
      <c r="D29" s="488">
        <f>IF(A29="","",TODAY())</f>
        <v/>
      </c>
      <c r="E29" s="510" t="n"/>
      <c r="F29" s="378" t="n"/>
      <c r="G29" s="511">
        <f>IF(OR(A29="",E29=""),"",IF(C29="","",C29-E29))</f>
        <v/>
      </c>
      <c r="H29" s="380" t="inlineStr">
        <is>
          <t>Agent 01</t>
        </is>
      </c>
      <c r="I29" s="491" t="n"/>
      <c r="J29" s="492">
        <f>IF(AND(A29&lt;&gt;"",E29&lt;&gt;""),IF(I29="","⚠️ Enter Code",IF(IFERROR(VLOOKUP(H29,DB_Agents!$B:$I,8,0),"")=I29,IF(C29&gt;=E29,"Successful","Unsuccessful"),"🔒 BLOCKED — Wrong Code")),"—")</f>
        <v/>
      </c>
      <c r="K29" s="493">
        <f>IF(J29="Successful",TEXT(TODAY(),"YYYY-MM-DD")&amp;" Auto","—")</f>
        <v/>
      </c>
      <c r="L29" s="494" t="n"/>
    </row>
    <row r="30" ht="15" customHeight="1" s="341">
      <c r="A30" s="495" t="n"/>
      <c r="B30" s="382">
        <f>IF(A30="","",IFERROR(VLOOKUP(A30,DB_Customers!$A:$D,4,0),"❌ Account Not Found"))</f>
        <v/>
      </c>
      <c r="C30" s="496">
        <f>IF(A30="","",IFERROR(VLOOKUP(A30,DB_Customers!$A:$N,14,0),""))</f>
        <v/>
      </c>
      <c r="D30" s="497">
        <f>IF(A30="","",TODAY())</f>
        <v/>
      </c>
      <c r="E30" s="510" t="n"/>
      <c r="F30" s="382" t="n"/>
      <c r="G30" s="512">
        <f>IF(OR(A30="",E30=""),"",IF(C30="","",C30-E30))</f>
        <v/>
      </c>
      <c r="H30" s="384" t="inlineStr">
        <is>
          <t>Agent 01</t>
        </is>
      </c>
      <c r="I30" s="491" t="n"/>
      <c r="J30" s="499">
        <f>IF(AND(A30&lt;&gt;"",E30&lt;&gt;""),IF(I30="","⚠️ Enter Code",IF(IFERROR(VLOOKUP(H30,DB_Agents!$B:$I,8,0),"")=I30,IF(C30&gt;=E30,"Successful","Unsuccessful"),"🔒 BLOCKED — Wrong Code")),"—")</f>
        <v/>
      </c>
      <c r="K30" s="500">
        <f>IF(J30="Successful",TEXT(TODAY(),"YYYY-MM-DD")&amp;" Auto","—")</f>
        <v/>
      </c>
      <c r="L30" s="501" t="n"/>
    </row>
    <row r="31" ht="15" customHeight="1" s="341">
      <c r="A31" s="486" t="n"/>
      <c r="B31" s="378">
        <f>IF(A31="","",IFERROR(VLOOKUP(A31,DB_Customers!$A:$D,4,0),"❌ Account Not Found"))</f>
        <v/>
      </c>
      <c r="C31" s="487">
        <f>IF(A31="","",IFERROR(VLOOKUP(A31,DB_Customers!$A:$N,14,0),""))</f>
        <v/>
      </c>
      <c r="D31" s="488">
        <f>IF(A31="","",TODAY())</f>
        <v/>
      </c>
      <c r="E31" s="510" t="n"/>
      <c r="F31" s="378" t="n"/>
      <c r="G31" s="511">
        <f>IF(OR(A31="",E31=""),"",IF(C31="","",C31-E31))</f>
        <v/>
      </c>
      <c r="H31" s="380" t="inlineStr">
        <is>
          <t>Agent 01</t>
        </is>
      </c>
      <c r="I31" s="491" t="n"/>
      <c r="J31" s="492">
        <f>IF(AND(A31&lt;&gt;"",E31&lt;&gt;""),IF(I31="","⚠️ Enter Code",IF(IFERROR(VLOOKUP(H31,DB_Agents!$B:$I,8,0),"")=I31,IF(C31&gt;=E31,"Successful","Unsuccessful"),"🔒 BLOCKED — Wrong Code")),"—")</f>
        <v/>
      </c>
      <c r="K31" s="493">
        <f>IF(J31="Successful",TEXT(TODAY(),"YYYY-MM-DD")&amp;" Auto","—")</f>
        <v/>
      </c>
      <c r="L31" s="494" t="n"/>
    </row>
    <row r="32" ht="15" customHeight="1" s="341">
      <c r="A32" s="495" t="n"/>
      <c r="B32" s="382">
        <f>IF(A32="","",IFERROR(VLOOKUP(A32,DB_Customers!$A:$D,4,0),"❌ Account Not Found"))</f>
        <v/>
      </c>
      <c r="C32" s="496">
        <f>IF(A32="","",IFERROR(VLOOKUP(A32,DB_Customers!$A:$N,14,0),""))</f>
        <v/>
      </c>
      <c r="D32" s="497">
        <f>IF(A32="","",TODAY())</f>
        <v/>
      </c>
      <c r="E32" s="510" t="n"/>
      <c r="F32" s="382" t="n"/>
      <c r="G32" s="512">
        <f>IF(OR(A32="",E32=""),"",IF(C32="","",C32-E32))</f>
        <v/>
      </c>
      <c r="H32" s="384" t="inlineStr">
        <is>
          <t>Agent 01</t>
        </is>
      </c>
      <c r="I32" s="491" t="n"/>
      <c r="J32" s="499">
        <f>IF(AND(A32&lt;&gt;"",E32&lt;&gt;""),IF(I32="","⚠️ Enter Code",IF(IFERROR(VLOOKUP(H32,DB_Agents!$B:$I,8,0),"")=I32,IF(C32&gt;=E32,"Successful","Unsuccessful"),"🔒 BLOCKED — Wrong Code")),"—")</f>
        <v/>
      </c>
      <c r="K32" s="500">
        <f>IF(J32="Successful",TEXT(TODAY(),"YYYY-MM-DD")&amp;" Auto","—")</f>
        <v/>
      </c>
      <c r="L32" s="501" t="n"/>
    </row>
    <row r="33" ht="15" customHeight="1" s="341">
      <c r="A33" s="486" t="n"/>
      <c r="B33" s="378">
        <f>IF(A33="","",IFERROR(VLOOKUP(A33,DB_Customers!$A:$D,4,0),"❌ Account Not Found"))</f>
        <v/>
      </c>
      <c r="C33" s="487">
        <f>IF(A33="","",IFERROR(VLOOKUP(A33,DB_Customers!$A:$N,14,0),""))</f>
        <v/>
      </c>
      <c r="D33" s="488">
        <f>IF(A33="","",TODAY())</f>
        <v/>
      </c>
      <c r="E33" s="510" t="n"/>
      <c r="F33" s="378" t="n"/>
      <c r="G33" s="511">
        <f>IF(OR(A33="",E33=""),"",IF(C33="","",C33-E33))</f>
        <v/>
      </c>
      <c r="H33" s="380" t="inlineStr">
        <is>
          <t>Agent 01</t>
        </is>
      </c>
      <c r="I33" s="491" t="n"/>
      <c r="J33" s="492">
        <f>IF(AND(A33&lt;&gt;"",E33&lt;&gt;""),IF(I33="","⚠️ Enter Code",IF(IFERROR(VLOOKUP(H33,DB_Agents!$B:$I,8,0),"")=I33,IF(C33&gt;=E33,"Successful","Unsuccessful"),"🔒 BLOCKED — Wrong Code")),"—")</f>
        <v/>
      </c>
      <c r="K33" s="493">
        <f>IF(J33="Successful",TEXT(TODAY(),"YYYY-MM-DD")&amp;" Auto","—")</f>
        <v/>
      </c>
      <c r="L33" s="494" t="n"/>
    </row>
    <row r="34" ht="15" customHeight="1" s="341">
      <c r="A34" s="495" t="n"/>
      <c r="B34" s="382">
        <f>IF(A34="","",IFERROR(VLOOKUP(A34,DB_Customers!$A:$D,4,0),"❌ Account Not Found"))</f>
        <v/>
      </c>
      <c r="C34" s="496">
        <f>IF(A34="","",IFERROR(VLOOKUP(A34,DB_Customers!$A:$N,14,0),""))</f>
        <v/>
      </c>
      <c r="D34" s="497">
        <f>IF(A34="","",TODAY())</f>
        <v/>
      </c>
      <c r="E34" s="510" t="n"/>
      <c r="F34" s="382" t="n"/>
      <c r="G34" s="512">
        <f>IF(OR(A34="",E34=""),"",IF(C34="","",C34-E34))</f>
        <v/>
      </c>
      <c r="H34" s="384" t="inlineStr">
        <is>
          <t>Agent 01</t>
        </is>
      </c>
      <c r="I34" s="491" t="n"/>
      <c r="J34" s="499">
        <f>IF(AND(A34&lt;&gt;"",E34&lt;&gt;""),IF(I34="","⚠️ Enter Code",IF(IFERROR(VLOOKUP(H34,DB_Agents!$B:$I,8,0),"")=I34,IF(C34&gt;=E34,"Successful","Unsuccessful"),"🔒 BLOCKED — Wrong Code")),"—")</f>
        <v/>
      </c>
      <c r="K34" s="500">
        <f>IF(J34="Successful",TEXT(TODAY(),"YYYY-MM-DD")&amp;" Auto","—")</f>
        <v/>
      </c>
      <c r="L34" s="501" t="n"/>
    </row>
    <row r="35" ht="15" customHeight="1" s="341">
      <c r="A35" s="486" t="n"/>
      <c r="B35" s="378">
        <f>IF(A35="","",IFERROR(VLOOKUP(A35,DB_Customers!$A:$D,4,0),"❌ Account Not Found"))</f>
        <v/>
      </c>
      <c r="C35" s="487">
        <f>IF(A35="","",IFERROR(VLOOKUP(A35,DB_Customers!$A:$N,14,0),""))</f>
        <v/>
      </c>
      <c r="D35" s="488">
        <f>IF(A35="","",TODAY())</f>
        <v/>
      </c>
      <c r="E35" s="510" t="n"/>
      <c r="F35" s="378" t="n"/>
      <c r="G35" s="511">
        <f>IF(OR(A35="",E35=""),"",IF(C35="","",C35-E35))</f>
        <v/>
      </c>
      <c r="H35" s="380" t="inlineStr">
        <is>
          <t>Agent 01</t>
        </is>
      </c>
      <c r="I35" s="491" t="n"/>
      <c r="J35" s="492">
        <f>IF(AND(A35&lt;&gt;"",E35&lt;&gt;""),IF(I35="","⚠️ Enter Code",IF(IFERROR(VLOOKUP(H35,DB_Agents!$B:$I,8,0),"")=I35,IF(C35&gt;=E35,"Successful","Unsuccessful"),"🔒 BLOCKED — Wrong Code")),"—")</f>
        <v/>
      </c>
      <c r="K35" s="493">
        <f>IF(J35="Successful",TEXT(TODAY(),"YYYY-MM-DD")&amp;" Auto","—")</f>
        <v/>
      </c>
      <c r="L35" s="494" t="n"/>
    </row>
    <row r="36" ht="15" customHeight="1" s="341">
      <c r="A36" s="495" t="n"/>
      <c r="B36" s="382">
        <f>IF(A36="","",IFERROR(VLOOKUP(A36,DB_Customers!$A:$D,4,0),"❌ Account Not Found"))</f>
        <v/>
      </c>
      <c r="C36" s="496">
        <f>IF(A36="","",IFERROR(VLOOKUP(A36,DB_Customers!$A:$N,14,0),""))</f>
        <v/>
      </c>
      <c r="D36" s="497">
        <f>IF(A36="","",TODAY())</f>
        <v/>
      </c>
      <c r="E36" s="510" t="n"/>
      <c r="F36" s="382" t="n"/>
      <c r="G36" s="512">
        <f>IF(OR(A36="",E36=""),"",IF(C36="","",C36-E36))</f>
        <v/>
      </c>
      <c r="H36" s="384" t="inlineStr">
        <is>
          <t>Agent 01</t>
        </is>
      </c>
      <c r="I36" s="491" t="n"/>
      <c r="J36" s="499">
        <f>IF(AND(A36&lt;&gt;"",E36&lt;&gt;""),IF(I36="","⚠️ Enter Code",IF(IFERROR(VLOOKUP(H36,DB_Agents!$B:$I,8,0),"")=I36,IF(C36&gt;=E36,"Successful","Unsuccessful"),"🔒 BLOCKED — Wrong Code")),"—")</f>
        <v/>
      </c>
      <c r="K36" s="500">
        <f>IF(J36="Successful",TEXT(TODAY(),"YYYY-MM-DD")&amp;" Auto","—")</f>
        <v/>
      </c>
      <c r="L36" s="501" t="n"/>
    </row>
    <row r="37" ht="15" customHeight="1" s="341">
      <c r="A37" s="486" t="n"/>
      <c r="B37" s="378">
        <f>IF(A37="","",IFERROR(VLOOKUP(A37,DB_Customers!$A:$D,4,0),"❌ Account Not Found"))</f>
        <v/>
      </c>
      <c r="C37" s="487">
        <f>IF(A37="","",IFERROR(VLOOKUP(A37,DB_Customers!$A:$N,14,0),""))</f>
        <v/>
      </c>
      <c r="D37" s="488">
        <f>IF(A37="","",TODAY())</f>
        <v/>
      </c>
      <c r="E37" s="510" t="n"/>
      <c r="F37" s="378" t="n"/>
      <c r="G37" s="511">
        <f>IF(OR(A37="",E37=""),"",IF(C37="","",C37-E37))</f>
        <v/>
      </c>
      <c r="H37" s="380" t="inlineStr">
        <is>
          <t>Agent 01</t>
        </is>
      </c>
      <c r="I37" s="491" t="n"/>
      <c r="J37" s="492">
        <f>IF(AND(A37&lt;&gt;"",E37&lt;&gt;""),IF(I37="","⚠️ Enter Code",IF(IFERROR(VLOOKUP(H37,DB_Agents!$B:$I,8,0),"")=I37,IF(C37&gt;=E37,"Successful","Unsuccessful"),"🔒 BLOCKED — Wrong Code")),"—")</f>
        <v/>
      </c>
      <c r="K37" s="493">
        <f>IF(J37="Successful",TEXT(TODAY(),"YYYY-MM-DD")&amp;" Auto","—")</f>
        <v/>
      </c>
      <c r="L37" s="494" t="n"/>
    </row>
    <row r="38" ht="15" customHeight="1" s="341">
      <c r="A38" s="495" t="n"/>
      <c r="B38" s="382">
        <f>IF(A38="","",IFERROR(VLOOKUP(A38,DB_Customers!$A:$D,4,0),"❌ Account Not Found"))</f>
        <v/>
      </c>
      <c r="C38" s="496">
        <f>IF(A38="","",IFERROR(VLOOKUP(A38,DB_Customers!$A:$N,14,0),""))</f>
        <v/>
      </c>
      <c r="D38" s="497">
        <f>IF(A38="","",TODAY())</f>
        <v/>
      </c>
      <c r="E38" s="510" t="n"/>
      <c r="F38" s="382" t="n"/>
      <c r="G38" s="512">
        <f>IF(OR(A38="",E38=""),"",IF(C38="","",C38-E38))</f>
        <v/>
      </c>
      <c r="H38" s="384" t="inlineStr">
        <is>
          <t>Agent 01</t>
        </is>
      </c>
      <c r="I38" s="491" t="n"/>
      <c r="J38" s="499">
        <f>IF(AND(A38&lt;&gt;"",E38&lt;&gt;""),IF(I38="","⚠️ Enter Code",IF(IFERROR(VLOOKUP(H38,DB_Agents!$B:$I,8,0),"")=I38,IF(C38&gt;=E38,"Successful","Unsuccessful"),"🔒 BLOCKED — Wrong Code")),"—")</f>
        <v/>
      </c>
      <c r="K38" s="500">
        <f>IF(J38="Successful",TEXT(TODAY(),"YYYY-MM-DD")&amp;" Auto","—")</f>
        <v/>
      </c>
      <c r="L38" s="501" t="n"/>
    </row>
    <row r="39" ht="15" customHeight="1" s="341">
      <c r="A39" s="486" t="n"/>
      <c r="B39" s="378">
        <f>IF(A39="","",IFERROR(VLOOKUP(A39,DB_Customers!$A:$D,4,0),"❌ Account Not Found"))</f>
        <v/>
      </c>
      <c r="C39" s="487">
        <f>IF(A39="","",IFERROR(VLOOKUP(A39,DB_Customers!$A:$N,14,0),""))</f>
        <v/>
      </c>
      <c r="D39" s="488">
        <f>IF(A39="","",TODAY())</f>
        <v/>
      </c>
      <c r="E39" s="510" t="n"/>
      <c r="F39" s="378" t="n"/>
      <c r="G39" s="511">
        <f>IF(OR(A39="",E39=""),"",IF(C39="","",C39-E39))</f>
        <v/>
      </c>
      <c r="H39" s="380" t="inlineStr">
        <is>
          <t>Agent 01</t>
        </is>
      </c>
      <c r="I39" s="491" t="n"/>
      <c r="J39" s="492">
        <f>IF(AND(A39&lt;&gt;"",E39&lt;&gt;""),IF(I39="","⚠️ Enter Code",IF(IFERROR(VLOOKUP(H39,DB_Agents!$B:$I,8,0),"")=I39,IF(C39&gt;=E39,"Successful","Unsuccessful"),"🔒 BLOCKED — Wrong Code")),"—")</f>
        <v/>
      </c>
      <c r="K39" s="493">
        <f>IF(J39="Successful",TEXT(TODAY(),"YYYY-MM-DD")&amp;" Auto","—")</f>
        <v/>
      </c>
      <c r="L39" s="494" t="n"/>
    </row>
    <row r="40" ht="15" customHeight="1" s="341">
      <c r="A40" s="495" t="n"/>
      <c r="B40" s="382">
        <f>IF(A40="","",IFERROR(VLOOKUP(A40,DB_Customers!$A:$D,4,0),"❌ Account Not Found"))</f>
        <v/>
      </c>
      <c r="C40" s="496">
        <f>IF(A40="","",IFERROR(VLOOKUP(A40,DB_Customers!$A:$N,14,0),""))</f>
        <v/>
      </c>
      <c r="D40" s="497">
        <f>IF(A40="","",TODAY())</f>
        <v/>
      </c>
      <c r="E40" s="510" t="n"/>
      <c r="F40" s="382" t="n"/>
      <c r="G40" s="512">
        <f>IF(OR(A40="",E40=""),"",IF(C40="","",C40-E40))</f>
        <v/>
      </c>
      <c r="H40" s="384" t="inlineStr">
        <is>
          <t>Agent 01</t>
        </is>
      </c>
      <c r="I40" s="491" t="n"/>
      <c r="J40" s="499">
        <f>IF(AND(A40&lt;&gt;"",E40&lt;&gt;""),IF(I40="","⚠️ Enter Code",IF(IFERROR(VLOOKUP(H40,DB_Agents!$B:$I,8,0),"")=I40,IF(C40&gt;=E40,"Successful","Unsuccessful"),"🔒 BLOCKED — Wrong Code")),"—")</f>
        <v/>
      </c>
      <c r="K40" s="500">
        <f>IF(J40="Successful",TEXT(TODAY(),"YYYY-MM-DD")&amp;" Auto","—")</f>
        <v/>
      </c>
      <c r="L40" s="501" t="n"/>
    </row>
    <row r="41" ht="15" customHeight="1" s="341">
      <c r="A41" s="486" t="n"/>
      <c r="B41" s="378">
        <f>IF(A41="","",IFERROR(VLOOKUP(A41,DB_Customers!$A:$D,4,0),"❌ Account Not Found"))</f>
        <v/>
      </c>
      <c r="C41" s="487">
        <f>IF(A41="","",IFERROR(VLOOKUP(A41,DB_Customers!$A:$N,14,0),""))</f>
        <v/>
      </c>
      <c r="D41" s="488">
        <f>IF(A41="","",TODAY())</f>
        <v/>
      </c>
      <c r="E41" s="510" t="n"/>
      <c r="F41" s="378" t="n"/>
      <c r="G41" s="511">
        <f>IF(OR(A41="",E41=""),"",IF(C41="","",C41-E41))</f>
        <v/>
      </c>
      <c r="H41" s="380" t="inlineStr">
        <is>
          <t>Agent 01</t>
        </is>
      </c>
      <c r="I41" s="491" t="n"/>
      <c r="J41" s="492">
        <f>IF(AND(A41&lt;&gt;"",E41&lt;&gt;""),IF(I41="","⚠️ Enter Code",IF(IFERROR(VLOOKUP(H41,DB_Agents!$B:$I,8,0),"")=I41,IF(C41&gt;=E41,"Successful","Unsuccessful"),"🔒 BLOCKED — Wrong Code")),"—")</f>
        <v/>
      </c>
      <c r="K41" s="493">
        <f>IF(J41="Successful",TEXT(TODAY(),"YYYY-MM-DD")&amp;" Auto","—")</f>
        <v/>
      </c>
      <c r="L41" s="494" t="n"/>
    </row>
    <row r="42" ht="15" customHeight="1" s="341">
      <c r="A42" s="495" t="n"/>
      <c r="B42" s="382">
        <f>IF(A42="","",IFERROR(VLOOKUP(A42,DB_Customers!$A:$D,4,0),"❌ Account Not Found"))</f>
        <v/>
      </c>
      <c r="C42" s="496">
        <f>IF(A42="","",IFERROR(VLOOKUP(A42,DB_Customers!$A:$N,14,0),""))</f>
        <v/>
      </c>
      <c r="D42" s="497">
        <f>IF(A42="","",TODAY())</f>
        <v/>
      </c>
      <c r="E42" s="510" t="n"/>
      <c r="F42" s="382" t="n"/>
      <c r="G42" s="512">
        <f>IF(OR(A42="",E42=""),"",IF(C42="","",C42-E42))</f>
        <v/>
      </c>
      <c r="H42" s="384" t="inlineStr">
        <is>
          <t>Agent 01</t>
        </is>
      </c>
      <c r="I42" s="491" t="n"/>
      <c r="J42" s="499">
        <f>IF(AND(A42&lt;&gt;"",E42&lt;&gt;""),IF(I42="","⚠️ Enter Code",IF(IFERROR(VLOOKUP(H42,DB_Agents!$B:$I,8,0),"")=I42,IF(C42&gt;=E42,"Successful","Unsuccessful"),"🔒 BLOCKED — Wrong Code")),"—")</f>
        <v/>
      </c>
      <c r="K42" s="500">
        <f>IF(J42="Successful",TEXT(TODAY(),"YYYY-MM-DD")&amp;" Auto","—")</f>
        <v/>
      </c>
      <c r="L42" s="501" t="n"/>
    </row>
    <row r="43" ht="15" customHeight="1" s="341">
      <c r="A43" s="486" t="n"/>
      <c r="B43" s="378">
        <f>IF(A43="","",IFERROR(VLOOKUP(A43,DB_Customers!$A:$D,4,0),"❌ Account Not Found"))</f>
        <v/>
      </c>
      <c r="C43" s="487">
        <f>IF(A43="","",IFERROR(VLOOKUP(A43,DB_Customers!$A:$N,14,0),""))</f>
        <v/>
      </c>
      <c r="D43" s="488">
        <f>IF(A43="","",TODAY())</f>
        <v/>
      </c>
      <c r="E43" s="510" t="n"/>
      <c r="F43" s="378" t="n"/>
      <c r="G43" s="511">
        <f>IF(OR(A43="",E43=""),"",IF(C43="","",C43-E43))</f>
        <v/>
      </c>
      <c r="H43" s="380" t="inlineStr">
        <is>
          <t>Agent 01</t>
        </is>
      </c>
      <c r="I43" s="491" t="n"/>
      <c r="J43" s="492">
        <f>IF(AND(A43&lt;&gt;"",E43&lt;&gt;""),IF(I43="","⚠️ Enter Code",IF(IFERROR(VLOOKUP(H43,DB_Agents!$B:$I,8,0),"")=I43,IF(C43&gt;=E43,"Successful","Unsuccessful"),"🔒 BLOCKED — Wrong Code")),"—")</f>
        <v/>
      </c>
      <c r="K43" s="493">
        <f>IF(J43="Successful",TEXT(TODAY(),"YYYY-MM-DD")&amp;" Auto","—")</f>
        <v/>
      </c>
      <c r="L43" s="494" t="n"/>
    </row>
    <row r="44" ht="15" customHeight="1" s="341">
      <c r="A44" s="495" t="n"/>
      <c r="B44" s="382">
        <f>IF(A44="","",IFERROR(VLOOKUP(A44,DB_Customers!$A:$D,4,0),"❌ Account Not Found"))</f>
        <v/>
      </c>
      <c r="C44" s="496">
        <f>IF(A44="","",IFERROR(VLOOKUP(A44,DB_Customers!$A:$N,14,0),""))</f>
        <v/>
      </c>
      <c r="D44" s="497">
        <f>IF(A44="","",TODAY())</f>
        <v/>
      </c>
      <c r="E44" s="510" t="n"/>
      <c r="F44" s="382" t="n"/>
      <c r="G44" s="512">
        <f>IF(OR(A44="",E44=""),"",IF(C44="","",C44-E44))</f>
        <v/>
      </c>
      <c r="H44" s="384" t="inlineStr">
        <is>
          <t>Agent 01</t>
        </is>
      </c>
      <c r="I44" s="491" t="n"/>
      <c r="J44" s="499">
        <f>IF(AND(A44&lt;&gt;"",E44&lt;&gt;""),IF(I44="","⚠️ Enter Code",IF(IFERROR(VLOOKUP(H44,DB_Agents!$B:$I,8,0),"")=I44,IF(C44&gt;=E44,"Successful","Unsuccessful"),"🔒 BLOCKED — Wrong Code")),"—")</f>
        <v/>
      </c>
      <c r="K44" s="500">
        <f>IF(J44="Successful",TEXT(TODAY(),"YYYY-MM-DD")&amp;" Auto","—")</f>
        <v/>
      </c>
      <c r="L44" s="501" t="n"/>
    </row>
    <row r="45" ht="15" customHeight="1" s="341">
      <c r="A45" s="486" t="n"/>
      <c r="B45" s="378">
        <f>IF(A45="","",IFERROR(VLOOKUP(A45,DB_Customers!$A:$D,4,0),"❌ Account Not Found"))</f>
        <v/>
      </c>
      <c r="C45" s="487">
        <f>IF(A45="","",IFERROR(VLOOKUP(A45,DB_Customers!$A:$N,14,0),""))</f>
        <v/>
      </c>
      <c r="D45" s="488">
        <f>IF(A45="","",TODAY())</f>
        <v/>
      </c>
      <c r="E45" s="510" t="n"/>
      <c r="F45" s="378" t="n"/>
      <c r="G45" s="511">
        <f>IF(OR(A45="",E45=""),"",IF(C45="","",C45-E45))</f>
        <v/>
      </c>
      <c r="H45" s="380" t="inlineStr">
        <is>
          <t>Agent 01</t>
        </is>
      </c>
      <c r="I45" s="491" t="n"/>
      <c r="J45" s="492">
        <f>IF(AND(A45&lt;&gt;"",E45&lt;&gt;""),IF(I45="","⚠️ Enter Code",IF(IFERROR(VLOOKUP(H45,DB_Agents!$B:$I,8,0),"")=I45,IF(C45&gt;=E45,"Successful","Unsuccessful"),"🔒 BLOCKED — Wrong Code")),"—")</f>
        <v/>
      </c>
      <c r="K45" s="493">
        <f>IF(J45="Successful",TEXT(TODAY(),"YYYY-MM-DD")&amp;" Auto","—")</f>
        <v/>
      </c>
      <c r="L45" s="494" t="n"/>
    </row>
    <row r="46" ht="15" customHeight="1" s="341">
      <c r="A46" s="495" t="n"/>
      <c r="B46" s="382">
        <f>IF(A46="","",IFERROR(VLOOKUP(A46,DB_Customers!$A:$D,4,0),"❌ Account Not Found"))</f>
        <v/>
      </c>
      <c r="C46" s="496">
        <f>IF(A46="","",IFERROR(VLOOKUP(A46,DB_Customers!$A:$N,14,0),""))</f>
        <v/>
      </c>
      <c r="D46" s="497">
        <f>IF(A46="","",TODAY())</f>
        <v/>
      </c>
      <c r="E46" s="510" t="n"/>
      <c r="F46" s="382" t="n"/>
      <c r="G46" s="512">
        <f>IF(OR(A46="",E46=""),"",IF(C46="","",C46-E46))</f>
        <v/>
      </c>
      <c r="H46" s="384" t="inlineStr">
        <is>
          <t>Agent 01</t>
        </is>
      </c>
      <c r="I46" s="491" t="n"/>
      <c r="J46" s="499">
        <f>IF(AND(A46&lt;&gt;"",E46&lt;&gt;""),IF(I46="","⚠️ Enter Code",IF(IFERROR(VLOOKUP(H46,DB_Agents!$B:$I,8,0),"")=I46,IF(C46&gt;=E46,"Successful","Unsuccessful"),"🔒 BLOCKED — Wrong Code")),"—")</f>
        <v/>
      </c>
      <c r="K46" s="500">
        <f>IF(J46="Successful",TEXT(TODAY(),"YYYY-MM-DD")&amp;" Auto","—")</f>
        <v/>
      </c>
      <c r="L46" s="501" t="n"/>
    </row>
    <row r="47" ht="15" customHeight="1" s="341">
      <c r="A47" s="486" t="n"/>
      <c r="B47" s="378">
        <f>IF(A47="","",IFERROR(VLOOKUP(A47,DB_Customers!$A:$D,4,0),"❌ Account Not Found"))</f>
        <v/>
      </c>
      <c r="C47" s="487">
        <f>IF(A47="","",IFERROR(VLOOKUP(A47,DB_Customers!$A:$N,14,0),""))</f>
        <v/>
      </c>
      <c r="D47" s="488">
        <f>IF(A47="","",TODAY())</f>
        <v/>
      </c>
      <c r="E47" s="510" t="n"/>
      <c r="F47" s="378" t="n"/>
      <c r="G47" s="511">
        <f>IF(OR(A47="",E47=""),"",IF(C47="","",C47-E47))</f>
        <v/>
      </c>
      <c r="H47" s="380" t="inlineStr">
        <is>
          <t>Agent 01</t>
        </is>
      </c>
      <c r="I47" s="491" t="n"/>
      <c r="J47" s="492">
        <f>IF(AND(A47&lt;&gt;"",E47&lt;&gt;""),IF(I47="","⚠️ Enter Code",IF(IFERROR(VLOOKUP(H47,DB_Agents!$B:$I,8,0),"")=I47,IF(C47&gt;=E47,"Successful","Unsuccessful"),"🔒 BLOCKED — Wrong Code")),"—")</f>
        <v/>
      </c>
      <c r="K47" s="493">
        <f>IF(J47="Successful",TEXT(TODAY(),"YYYY-MM-DD")&amp;" Auto","—")</f>
        <v/>
      </c>
      <c r="L47" s="494" t="n"/>
    </row>
    <row r="48" ht="15" customHeight="1" s="341">
      <c r="A48" s="495" t="n"/>
      <c r="B48" s="382">
        <f>IF(A48="","",IFERROR(VLOOKUP(A48,DB_Customers!$A:$D,4,0),"❌ Account Not Found"))</f>
        <v/>
      </c>
      <c r="C48" s="496">
        <f>IF(A48="","",IFERROR(VLOOKUP(A48,DB_Customers!$A:$N,14,0),""))</f>
        <v/>
      </c>
      <c r="D48" s="497">
        <f>IF(A48="","",TODAY())</f>
        <v/>
      </c>
      <c r="E48" s="510" t="n"/>
      <c r="F48" s="382" t="n"/>
      <c r="G48" s="512">
        <f>IF(OR(A48="",E48=""),"",IF(C48="","",C48-E48))</f>
        <v/>
      </c>
      <c r="H48" s="384" t="inlineStr">
        <is>
          <t>Agent 01</t>
        </is>
      </c>
      <c r="I48" s="491" t="n"/>
      <c r="J48" s="499">
        <f>IF(AND(A48&lt;&gt;"",E48&lt;&gt;""),IF(I48="","⚠️ Enter Code",IF(IFERROR(VLOOKUP(H48,DB_Agents!$B:$I,8,0),"")=I48,IF(C48&gt;=E48,"Successful","Unsuccessful"),"🔒 BLOCKED — Wrong Code")),"—")</f>
        <v/>
      </c>
      <c r="K48" s="500">
        <f>IF(J48="Successful",TEXT(TODAY(),"YYYY-MM-DD")&amp;" Auto","—")</f>
        <v/>
      </c>
      <c r="L48" s="501" t="n"/>
    </row>
    <row r="49" ht="15" customHeight="1" s="341">
      <c r="A49" s="486" t="n"/>
      <c r="B49" s="378">
        <f>IF(A49="","",IFERROR(VLOOKUP(A49,DB_Customers!$A:$D,4,0),"❌ Account Not Found"))</f>
        <v/>
      </c>
      <c r="C49" s="487">
        <f>IF(A49="","",IFERROR(VLOOKUP(A49,DB_Customers!$A:$N,14,0),""))</f>
        <v/>
      </c>
      <c r="D49" s="488">
        <f>IF(A49="","",TODAY())</f>
        <v/>
      </c>
      <c r="E49" s="510" t="n"/>
      <c r="F49" s="378" t="n"/>
      <c r="G49" s="511">
        <f>IF(OR(A49="",E49=""),"",IF(C49="","",C49-E49))</f>
        <v/>
      </c>
      <c r="H49" s="380" t="inlineStr">
        <is>
          <t>Agent 01</t>
        </is>
      </c>
      <c r="I49" s="491" t="n"/>
      <c r="J49" s="492">
        <f>IF(AND(A49&lt;&gt;"",E49&lt;&gt;""),IF(I49="","⚠️ Enter Code",IF(IFERROR(VLOOKUP(H49,DB_Agents!$B:$I,8,0),"")=I49,IF(C49&gt;=E49,"Successful","Unsuccessful"),"🔒 BLOCKED — Wrong Code")),"—")</f>
        <v/>
      </c>
      <c r="K49" s="493">
        <f>IF(J49="Successful",TEXT(TODAY(),"YYYY-MM-DD")&amp;" Auto","—")</f>
        <v/>
      </c>
      <c r="L49" s="494" t="n"/>
    </row>
    <row r="50" ht="15" customHeight="1" s="341">
      <c r="A50" s="495" t="n"/>
      <c r="B50" s="382">
        <f>IF(A50="","",IFERROR(VLOOKUP(A50,DB_Customers!$A:$D,4,0),"❌ Account Not Found"))</f>
        <v/>
      </c>
      <c r="C50" s="496">
        <f>IF(A50="","",IFERROR(VLOOKUP(A50,DB_Customers!$A:$N,14,0),""))</f>
        <v/>
      </c>
      <c r="D50" s="497">
        <f>IF(A50="","",TODAY())</f>
        <v/>
      </c>
      <c r="E50" s="510" t="n"/>
      <c r="F50" s="382" t="n"/>
      <c r="G50" s="512">
        <f>IF(OR(A50="",E50=""),"",IF(C50="","",C50-E50))</f>
        <v/>
      </c>
      <c r="H50" s="384" t="inlineStr">
        <is>
          <t>Agent 01</t>
        </is>
      </c>
      <c r="I50" s="491" t="n"/>
      <c r="J50" s="499">
        <f>IF(AND(A50&lt;&gt;"",E50&lt;&gt;""),IF(I50="","⚠️ Enter Code",IF(IFERROR(VLOOKUP(H50,DB_Agents!$B:$I,8,0),"")=I50,IF(C50&gt;=E50,"Successful","Unsuccessful"),"🔒 BLOCKED — Wrong Code")),"—")</f>
        <v/>
      </c>
      <c r="K50" s="500">
        <f>IF(J50="Successful",TEXT(TODAY(),"YYYY-MM-DD")&amp;" Auto","—")</f>
        <v/>
      </c>
      <c r="L50" s="501" t="n"/>
    </row>
    <row r="51" ht="15" customHeight="1" s="341">
      <c r="A51" s="486" t="n"/>
      <c r="B51" s="378">
        <f>IF(A51="","",IFERROR(VLOOKUP(A51,DB_Customers!$A:$D,4,0),"❌ Account Not Found"))</f>
        <v/>
      </c>
      <c r="C51" s="487">
        <f>IF(A51="","",IFERROR(VLOOKUP(A51,DB_Customers!$A:$N,14,0),""))</f>
        <v/>
      </c>
      <c r="D51" s="488">
        <f>IF(A51="","",TODAY())</f>
        <v/>
      </c>
      <c r="E51" s="510" t="n"/>
      <c r="F51" s="378" t="n"/>
      <c r="G51" s="511">
        <f>IF(OR(A51="",E51=""),"",IF(C51="","",C51-E51))</f>
        <v/>
      </c>
      <c r="H51" s="380" t="inlineStr">
        <is>
          <t>Agent 01</t>
        </is>
      </c>
      <c r="I51" s="491" t="n"/>
      <c r="J51" s="492">
        <f>IF(AND(A51&lt;&gt;"",E51&lt;&gt;""),IF(I51="","⚠️ Enter Code",IF(IFERROR(VLOOKUP(H51,DB_Agents!$B:$I,8,0),"")=I51,IF(C51&gt;=E51,"Successful","Unsuccessful"),"🔒 BLOCKED — Wrong Code")),"—")</f>
        <v/>
      </c>
      <c r="K51" s="493">
        <f>IF(J51="Successful",TEXT(TODAY(),"YYYY-MM-DD")&amp;" Auto","—")</f>
        <v/>
      </c>
      <c r="L51" s="494" t="n"/>
    </row>
    <row r="52" ht="15" customHeight="1" s="341">
      <c r="A52" s="495" t="n"/>
      <c r="B52" s="382">
        <f>IF(A52="","",IFERROR(VLOOKUP(A52,DB_Customers!$A:$D,4,0),"❌ Account Not Found"))</f>
        <v/>
      </c>
      <c r="C52" s="496">
        <f>IF(A52="","",IFERROR(VLOOKUP(A52,DB_Customers!$A:$N,14,0),""))</f>
        <v/>
      </c>
      <c r="D52" s="497">
        <f>IF(A52="","",TODAY())</f>
        <v/>
      </c>
      <c r="E52" s="510" t="n"/>
      <c r="F52" s="382" t="n"/>
      <c r="G52" s="512">
        <f>IF(OR(A52="",E52=""),"",IF(C52="","",C52-E52))</f>
        <v/>
      </c>
      <c r="H52" s="384" t="inlineStr">
        <is>
          <t>Agent 01</t>
        </is>
      </c>
      <c r="I52" s="491" t="n"/>
      <c r="J52" s="499">
        <f>IF(AND(A52&lt;&gt;"",E52&lt;&gt;""),IF(I52="","⚠️ Enter Code",IF(IFERROR(VLOOKUP(H52,DB_Agents!$B:$I,8,0),"")=I52,IF(C52&gt;=E52,"Successful","Unsuccessful"),"🔒 BLOCKED — Wrong Code")),"—")</f>
        <v/>
      </c>
      <c r="K52" s="500">
        <f>IF(J52="Successful",TEXT(TODAY(),"YYYY-MM-DD")&amp;" Auto","—")</f>
        <v/>
      </c>
      <c r="L52" s="501" t="n"/>
    </row>
    <row r="53" ht="15" customHeight="1" s="341">
      <c r="A53" s="486" t="n"/>
      <c r="B53" s="378">
        <f>IF(A53="","",IFERROR(VLOOKUP(A53,DB_Customers!$A:$D,4,0),"❌ Account Not Found"))</f>
        <v/>
      </c>
      <c r="C53" s="487">
        <f>IF(A53="","",IFERROR(VLOOKUP(A53,DB_Customers!$A:$N,14,0),""))</f>
        <v/>
      </c>
      <c r="D53" s="488">
        <f>IF(A53="","",TODAY())</f>
        <v/>
      </c>
      <c r="E53" s="510" t="n"/>
      <c r="F53" s="378" t="n"/>
      <c r="G53" s="511">
        <f>IF(OR(A53="",E53=""),"",IF(C53="","",C53-E53))</f>
        <v/>
      </c>
      <c r="H53" s="380" t="inlineStr">
        <is>
          <t>Agent 01</t>
        </is>
      </c>
      <c r="I53" s="491" t="n"/>
      <c r="J53" s="492">
        <f>IF(AND(A53&lt;&gt;"",E53&lt;&gt;""),IF(I53="","⚠️ Enter Code",IF(IFERROR(VLOOKUP(H53,DB_Agents!$B:$I,8,0),"")=I53,IF(C53&gt;=E53,"Successful","Unsuccessful"),"🔒 BLOCKED — Wrong Code")),"—")</f>
        <v/>
      </c>
      <c r="K53" s="493">
        <f>IF(J53="Successful",TEXT(TODAY(),"YYYY-MM-DD")&amp;" Auto","—")</f>
        <v/>
      </c>
      <c r="L53" s="494" t="n"/>
    </row>
    <row r="54" ht="15" customHeight="1" s="341">
      <c r="A54" s="495" t="n"/>
      <c r="B54" s="382">
        <f>IF(A54="","",IFERROR(VLOOKUP(A54,DB_Customers!$A:$D,4,0),"❌ Account Not Found"))</f>
        <v/>
      </c>
      <c r="C54" s="496">
        <f>IF(A54="","",IFERROR(VLOOKUP(A54,DB_Customers!$A:$N,14,0),""))</f>
        <v/>
      </c>
      <c r="D54" s="497">
        <f>IF(A54="","",TODAY())</f>
        <v/>
      </c>
      <c r="E54" s="510" t="n"/>
      <c r="F54" s="382" t="n"/>
      <c r="G54" s="512">
        <f>IF(OR(A54="",E54=""),"",IF(C54="","",C54-E54))</f>
        <v/>
      </c>
      <c r="H54" s="384" t="inlineStr">
        <is>
          <t>Agent 01</t>
        </is>
      </c>
      <c r="I54" s="491" t="n"/>
      <c r="J54" s="499">
        <f>IF(AND(A54&lt;&gt;"",E54&lt;&gt;""),IF(I54="","⚠️ Enter Code",IF(IFERROR(VLOOKUP(H54,DB_Agents!$B:$I,8,0),"")=I54,IF(C54&gt;=E54,"Successful","Unsuccessful"),"🔒 BLOCKED — Wrong Code")),"—")</f>
        <v/>
      </c>
      <c r="K54" s="500">
        <f>IF(J54="Successful",TEXT(TODAY(),"YYYY-MM-DD")&amp;" Auto","—")</f>
        <v/>
      </c>
      <c r="L54" s="501" t="n"/>
    </row>
    <row r="55" ht="15" customHeight="1" s="341">
      <c r="A55" s="486" t="n"/>
      <c r="B55" s="378">
        <f>IF(A55="","",IFERROR(VLOOKUP(A55,DB_Customers!$A:$D,4,0),"❌ Account Not Found"))</f>
        <v/>
      </c>
      <c r="C55" s="487">
        <f>IF(A55="","",IFERROR(VLOOKUP(A55,DB_Customers!$A:$N,14,0),""))</f>
        <v/>
      </c>
      <c r="D55" s="488">
        <f>IF(A55="","",TODAY())</f>
        <v/>
      </c>
      <c r="E55" s="510" t="n"/>
      <c r="F55" s="378" t="n"/>
      <c r="G55" s="511">
        <f>IF(OR(A55="",E55=""),"",IF(C55="","",C55-E55))</f>
        <v/>
      </c>
      <c r="H55" s="380" t="inlineStr">
        <is>
          <t>Agent 01</t>
        </is>
      </c>
      <c r="I55" s="491" t="n"/>
      <c r="J55" s="492">
        <f>IF(AND(A55&lt;&gt;"",E55&lt;&gt;""),IF(I55="","⚠️ Enter Code",IF(IFERROR(VLOOKUP(H55,DB_Agents!$B:$I,8,0),"")=I55,IF(C55&gt;=E55,"Successful","Unsuccessful"),"🔒 BLOCKED — Wrong Code")),"—")</f>
        <v/>
      </c>
      <c r="K55" s="493">
        <f>IF(J55="Successful",TEXT(TODAY(),"YYYY-MM-DD")&amp;" Auto","—")</f>
        <v/>
      </c>
      <c r="L55" s="494" t="n"/>
    </row>
    <row r="56" ht="15" customHeight="1" s="341">
      <c r="A56" s="495" t="n"/>
      <c r="B56" s="382">
        <f>IF(A56="","",IFERROR(VLOOKUP(A56,DB_Customers!$A:$D,4,0),"❌ Account Not Found"))</f>
        <v/>
      </c>
      <c r="C56" s="496">
        <f>IF(A56="","",IFERROR(VLOOKUP(A56,DB_Customers!$A:$N,14,0),""))</f>
        <v/>
      </c>
      <c r="D56" s="497">
        <f>IF(A56="","",TODAY())</f>
        <v/>
      </c>
      <c r="E56" s="510" t="n"/>
      <c r="F56" s="382" t="n"/>
      <c r="G56" s="512">
        <f>IF(OR(A56="",E56=""),"",IF(C56="","",C56-E56))</f>
        <v/>
      </c>
      <c r="H56" s="384" t="inlineStr">
        <is>
          <t>Agent 01</t>
        </is>
      </c>
      <c r="I56" s="491" t="n"/>
      <c r="J56" s="499">
        <f>IF(AND(A56&lt;&gt;"",E56&lt;&gt;""),IF(I56="","⚠️ Enter Code",IF(IFERROR(VLOOKUP(H56,DB_Agents!$B:$I,8,0),"")=I56,IF(C56&gt;=E56,"Successful","Unsuccessful"),"🔒 BLOCKED — Wrong Code")),"—")</f>
        <v/>
      </c>
      <c r="K56" s="500">
        <f>IF(J56="Successful",TEXT(TODAY(),"YYYY-MM-DD")&amp;" Auto","—")</f>
        <v/>
      </c>
      <c r="L56" s="501" t="n"/>
    </row>
    <row r="57" ht="15" customHeight="1" s="341">
      <c r="A57" s="486" t="n"/>
      <c r="B57" s="378">
        <f>IF(A57="","",IFERROR(VLOOKUP(A57,DB_Customers!$A:$D,4,0),"❌ Account Not Found"))</f>
        <v/>
      </c>
      <c r="C57" s="487">
        <f>IF(A57="","",IFERROR(VLOOKUP(A57,DB_Customers!$A:$N,14,0),""))</f>
        <v/>
      </c>
      <c r="D57" s="488">
        <f>IF(A57="","",TODAY())</f>
        <v/>
      </c>
      <c r="E57" s="510" t="n"/>
      <c r="F57" s="378" t="n"/>
      <c r="G57" s="511">
        <f>IF(OR(A57="",E57=""),"",IF(C57="","",C57-E57))</f>
        <v/>
      </c>
      <c r="H57" s="380" t="inlineStr">
        <is>
          <t>Agent 01</t>
        </is>
      </c>
      <c r="I57" s="491" t="n"/>
      <c r="J57" s="492">
        <f>IF(AND(A57&lt;&gt;"",E57&lt;&gt;""),IF(I57="","⚠️ Enter Code",IF(IFERROR(VLOOKUP(H57,DB_Agents!$B:$I,8,0),"")=I57,IF(C57&gt;=E57,"Successful","Unsuccessful"),"🔒 BLOCKED — Wrong Code")),"—")</f>
        <v/>
      </c>
      <c r="K57" s="493">
        <f>IF(J57="Successful",TEXT(TODAY(),"YYYY-MM-DD")&amp;" Auto","—")</f>
        <v/>
      </c>
      <c r="L57" s="494" t="n"/>
    </row>
    <row r="58" ht="15" customHeight="1" s="341">
      <c r="A58" s="495" t="n"/>
      <c r="B58" s="382">
        <f>IF(A58="","",IFERROR(VLOOKUP(A58,DB_Customers!$A:$D,4,0),"❌ Account Not Found"))</f>
        <v/>
      </c>
      <c r="C58" s="496">
        <f>IF(A58="","",IFERROR(VLOOKUP(A58,DB_Customers!$A:$N,14,0),""))</f>
        <v/>
      </c>
      <c r="D58" s="497">
        <f>IF(A58="","",TODAY())</f>
        <v/>
      </c>
      <c r="E58" s="510" t="n"/>
      <c r="F58" s="382" t="n"/>
      <c r="G58" s="512">
        <f>IF(OR(A58="",E58=""),"",IF(C58="","",C58-E58))</f>
        <v/>
      </c>
      <c r="H58" s="384" t="inlineStr">
        <is>
          <t>Agent 01</t>
        </is>
      </c>
      <c r="I58" s="491" t="n"/>
      <c r="J58" s="499">
        <f>IF(AND(A58&lt;&gt;"",E58&lt;&gt;""),IF(I58="","⚠️ Enter Code",IF(IFERROR(VLOOKUP(H58,DB_Agents!$B:$I,8,0),"")=I58,IF(C58&gt;=E58,"Successful","Unsuccessful"),"🔒 BLOCKED — Wrong Code")),"—")</f>
        <v/>
      </c>
      <c r="K58" s="500">
        <f>IF(J58="Successful",TEXT(TODAY(),"YYYY-MM-DD")&amp;" Auto","—")</f>
        <v/>
      </c>
      <c r="L58" s="501" t="n"/>
    </row>
    <row r="59" ht="15" customHeight="1" s="341">
      <c r="A59" s="486" t="n"/>
      <c r="B59" s="378">
        <f>IF(A59="","",IFERROR(VLOOKUP(A59,DB_Customers!$A:$D,4,0),"❌ Account Not Found"))</f>
        <v/>
      </c>
      <c r="C59" s="487">
        <f>IF(A59="","",IFERROR(VLOOKUP(A59,DB_Customers!$A:$N,14,0),""))</f>
        <v/>
      </c>
      <c r="D59" s="488">
        <f>IF(A59="","",TODAY())</f>
        <v/>
      </c>
      <c r="E59" s="510" t="n"/>
      <c r="F59" s="378" t="n"/>
      <c r="G59" s="511">
        <f>IF(OR(A59="",E59=""),"",IF(C59="","",C59-E59))</f>
        <v/>
      </c>
      <c r="H59" s="380" t="inlineStr">
        <is>
          <t>Agent 01</t>
        </is>
      </c>
      <c r="I59" s="491" t="n"/>
      <c r="J59" s="492">
        <f>IF(AND(A59&lt;&gt;"",E59&lt;&gt;""),IF(I59="","⚠️ Enter Code",IF(IFERROR(VLOOKUP(H59,DB_Agents!$B:$I,8,0),"")=I59,IF(C59&gt;=E59,"Successful","Unsuccessful"),"🔒 BLOCKED — Wrong Code")),"—")</f>
        <v/>
      </c>
      <c r="K59" s="493">
        <f>IF(J59="Successful",TEXT(TODAY(),"YYYY-MM-DD")&amp;" Auto","—")</f>
        <v/>
      </c>
      <c r="L59" s="494" t="n"/>
    </row>
    <row r="60" ht="15" customHeight="1" s="341">
      <c r="A60" s="495" t="n"/>
      <c r="B60" s="382">
        <f>IF(A60="","",IFERROR(VLOOKUP(A60,DB_Customers!$A:$D,4,0),"❌ Account Not Found"))</f>
        <v/>
      </c>
      <c r="C60" s="496">
        <f>IF(A60="","",IFERROR(VLOOKUP(A60,DB_Customers!$A:$N,14,0),""))</f>
        <v/>
      </c>
      <c r="D60" s="497">
        <f>IF(A60="","",TODAY())</f>
        <v/>
      </c>
      <c r="E60" s="510" t="n"/>
      <c r="F60" s="382" t="n"/>
      <c r="G60" s="512">
        <f>IF(OR(A60="",E60=""),"",IF(C60="","",C60-E60))</f>
        <v/>
      </c>
      <c r="H60" s="384" t="inlineStr">
        <is>
          <t>Agent 01</t>
        </is>
      </c>
      <c r="I60" s="491" t="n"/>
      <c r="J60" s="499">
        <f>IF(AND(A60&lt;&gt;"",E60&lt;&gt;""),IF(I60="","⚠️ Enter Code",IF(IFERROR(VLOOKUP(H60,DB_Agents!$B:$I,8,0),"")=I60,IF(C60&gt;=E60,"Successful","Unsuccessful"),"🔒 BLOCKED — Wrong Code")),"—")</f>
        <v/>
      </c>
      <c r="K60" s="500">
        <f>IF(J60="Successful",TEXT(TODAY(),"YYYY-MM-DD")&amp;" Auto","—")</f>
        <v/>
      </c>
      <c r="L60" s="501" t="n"/>
    </row>
    <row r="61" ht="15" customHeight="1" s="341">
      <c r="A61" s="486" t="n"/>
      <c r="B61" s="378">
        <f>IF(A61="","",IFERROR(VLOOKUP(A61,DB_Customers!$A:$D,4,0),"❌ Account Not Found"))</f>
        <v/>
      </c>
      <c r="C61" s="487">
        <f>IF(A61="","",IFERROR(VLOOKUP(A61,DB_Customers!$A:$N,14,0),""))</f>
        <v/>
      </c>
      <c r="D61" s="488">
        <f>IF(A61="","",TODAY())</f>
        <v/>
      </c>
      <c r="E61" s="510" t="n"/>
      <c r="F61" s="378" t="n"/>
      <c r="G61" s="511">
        <f>IF(OR(A61="",E61=""),"",IF(C61="","",C61-E61))</f>
        <v/>
      </c>
      <c r="H61" s="380" t="inlineStr">
        <is>
          <t>Agent 01</t>
        </is>
      </c>
      <c r="I61" s="491" t="n"/>
      <c r="J61" s="492">
        <f>IF(AND(A61&lt;&gt;"",E61&lt;&gt;""),IF(I61="","⚠️ Enter Code",IF(IFERROR(VLOOKUP(H61,DB_Agents!$B:$I,8,0),"")=I61,IF(C61&gt;=E61,"Successful","Unsuccessful"),"🔒 BLOCKED — Wrong Code")),"—")</f>
        <v/>
      </c>
      <c r="K61" s="493">
        <f>IF(J61="Successful",TEXT(TODAY(),"YYYY-MM-DD")&amp;" Auto","—")</f>
        <v/>
      </c>
      <c r="L61" s="494" t="n"/>
    </row>
    <row r="62" ht="15" customHeight="1" s="341">
      <c r="A62" s="495" t="n"/>
      <c r="B62" s="382">
        <f>IF(A62="","",IFERROR(VLOOKUP(A62,DB_Customers!$A:$D,4,0),"❌ Account Not Found"))</f>
        <v/>
      </c>
      <c r="C62" s="496">
        <f>IF(A62="","",IFERROR(VLOOKUP(A62,DB_Customers!$A:$N,14,0),""))</f>
        <v/>
      </c>
      <c r="D62" s="497">
        <f>IF(A62="","",TODAY())</f>
        <v/>
      </c>
      <c r="E62" s="510" t="n"/>
      <c r="F62" s="382" t="n"/>
      <c r="G62" s="512">
        <f>IF(OR(A62="",E62=""),"",IF(C62="","",C62-E62))</f>
        <v/>
      </c>
      <c r="H62" s="384" t="inlineStr">
        <is>
          <t>Agent 01</t>
        </is>
      </c>
      <c r="I62" s="491" t="n"/>
      <c r="J62" s="499">
        <f>IF(AND(A62&lt;&gt;"",E62&lt;&gt;""),IF(I62="","⚠️ Enter Code",IF(IFERROR(VLOOKUP(H62,DB_Agents!$B:$I,8,0),"")=I62,IF(C62&gt;=E62,"Successful","Unsuccessful"),"🔒 BLOCKED — Wrong Code")),"—")</f>
        <v/>
      </c>
      <c r="K62" s="500">
        <f>IF(J62="Successful",TEXT(TODAY(),"YYYY-MM-DD")&amp;" Auto","—")</f>
        <v/>
      </c>
      <c r="L62" s="501" t="n"/>
    </row>
    <row r="63" ht="15" customHeight="1" s="341">
      <c r="A63" s="486" t="n"/>
      <c r="B63" s="378">
        <f>IF(A63="","",IFERROR(VLOOKUP(A63,DB_Customers!$A:$D,4,0),"❌ Account Not Found"))</f>
        <v/>
      </c>
      <c r="C63" s="487">
        <f>IF(A63="","",IFERROR(VLOOKUP(A63,DB_Customers!$A:$N,14,0),""))</f>
        <v/>
      </c>
      <c r="D63" s="488">
        <f>IF(A63="","",TODAY())</f>
        <v/>
      </c>
      <c r="E63" s="510" t="n"/>
      <c r="F63" s="378" t="n"/>
      <c r="G63" s="511">
        <f>IF(OR(A63="",E63=""),"",IF(C63="","",C63-E63))</f>
        <v/>
      </c>
      <c r="H63" s="380" t="inlineStr">
        <is>
          <t>Agent 01</t>
        </is>
      </c>
      <c r="I63" s="491" t="n"/>
      <c r="J63" s="492">
        <f>IF(AND(A63&lt;&gt;"",E63&lt;&gt;""),IF(I63="","⚠️ Enter Code",IF(IFERROR(VLOOKUP(H63,DB_Agents!$B:$I,8,0),"")=I63,IF(C63&gt;=E63,"Successful","Unsuccessful"),"🔒 BLOCKED — Wrong Code")),"—")</f>
        <v/>
      </c>
      <c r="K63" s="493">
        <f>IF(J63="Successful",TEXT(TODAY(),"YYYY-MM-DD")&amp;" Auto","—")</f>
        <v/>
      </c>
      <c r="L63" s="494" t="n"/>
    </row>
    <row r="64" ht="15" customHeight="1" s="341">
      <c r="A64" s="495" t="n"/>
      <c r="B64" s="382">
        <f>IF(A64="","",IFERROR(VLOOKUP(A64,DB_Customers!$A:$D,4,0),"❌ Account Not Found"))</f>
        <v/>
      </c>
      <c r="C64" s="496">
        <f>IF(A64="","",IFERROR(VLOOKUP(A64,DB_Customers!$A:$N,14,0),""))</f>
        <v/>
      </c>
      <c r="D64" s="497">
        <f>IF(A64="","",TODAY())</f>
        <v/>
      </c>
      <c r="E64" s="510" t="n"/>
      <c r="F64" s="382" t="n"/>
      <c r="G64" s="512">
        <f>IF(OR(A64="",E64=""),"",IF(C64="","",C64-E64))</f>
        <v/>
      </c>
      <c r="H64" s="384" t="inlineStr">
        <is>
          <t>Agent 01</t>
        </is>
      </c>
      <c r="I64" s="491" t="n"/>
      <c r="J64" s="499">
        <f>IF(AND(A64&lt;&gt;"",E64&lt;&gt;""),IF(I64="","⚠️ Enter Code",IF(IFERROR(VLOOKUP(H64,DB_Agents!$B:$I,8,0),"")=I64,IF(C64&gt;=E64,"Successful","Unsuccessful"),"🔒 BLOCKED — Wrong Code")),"—")</f>
        <v/>
      </c>
      <c r="K64" s="500">
        <f>IF(J64="Successful",TEXT(TODAY(),"YYYY-MM-DD")&amp;" Auto","—")</f>
        <v/>
      </c>
      <c r="L64" s="501" t="n"/>
    </row>
    <row r="65" ht="15" customHeight="1" s="341">
      <c r="A65" s="486" t="n"/>
      <c r="B65" s="378">
        <f>IF(A65="","",IFERROR(VLOOKUP(A65,DB_Customers!$A:$D,4,0),"❌ Account Not Found"))</f>
        <v/>
      </c>
      <c r="C65" s="487">
        <f>IF(A65="","",IFERROR(VLOOKUP(A65,DB_Customers!$A:$N,14,0),""))</f>
        <v/>
      </c>
      <c r="D65" s="488">
        <f>IF(A65="","",TODAY())</f>
        <v/>
      </c>
      <c r="E65" s="510" t="n"/>
      <c r="F65" s="378" t="n"/>
      <c r="G65" s="511">
        <f>IF(OR(A65="",E65=""),"",IF(C65="","",C65-E65))</f>
        <v/>
      </c>
      <c r="H65" s="380" t="inlineStr">
        <is>
          <t>Agent 01</t>
        </is>
      </c>
      <c r="I65" s="491" t="n"/>
      <c r="J65" s="492">
        <f>IF(AND(A65&lt;&gt;"",E65&lt;&gt;""),IF(I65="","⚠️ Enter Code",IF(IFERROR(VLOOKUP(H65,DB_Agents!$B:$I,8,0),"")=I65,IF(C65&gt;=E65,"Successful","Unsuccessful"),"🔒 BLOCKED — Wrong Code")),"—")</f>
        <v/>
      </c>
      <c r="K65" s="493">
        <f>IF(J65="Successful",TEXT(TODAY(),"YYYY-MM-DD")&amp;" Auto","—")</f>
        <v/>
      </c>
      <c r="L65" s="494" t="n"/>
    </row>
    <row r="66" ht="15" customHeight="1" s="341">
      <c r="A66" s="495" t="n"/>
      <c r="B66" s="382">
        <f>IF(A66="","",IFERROR(VLOOKUP(A66,DB_Customers!$A:$D,4,0),"❌ Account Not Found"))</f>
        <v/>
      </c>
      <c r="C66" s="496">
        <f>IF(A66="","",IFERROR(VLOOKUP(A66,DB_Customers!$A:$N,14,0),""))</f>
        <v/>
      </c>
      <c r="D66" s="497">
        <f>IF(A66="","",TODAY())</f>
        <v/>
      </c>
      <c r="E66" s="510" t="n"/>
      <c r="F66" s="382" t="n"/>
      <c r="G66" s="512">
        <f>IF(OR(A66="",E66=""),"",IF(C66="","",C66-E66))</f>
        <v/>
      </c>
      <c r="H66" s="384" t="inlineStr">
        <is>
          <t>Agent 01</t>
        </is>
      </c>
      <c r="I66" s="491" t="n"/>
      <c r="J66" s="499">
        <f>IF(AND(A66&lt;&gt;"",E66&lt;&gt;""),IF(I66="","⚠️ Enter Code",IF(IFERROR(VLOOKUP(H66,DB_Agents!$B:$I,8,0),"")=I66,IF(C66&gt;=E66,"Successful","Unsuccessful"),"🔒 BLOCKED — Wrong Code")),"—")</f>
        <v/>
      </c>
      <c r="K66" s="500">
        <f>IF(J66="Successful",TEXT(TODAY(),"YYYY-MM-DD")&amp;" Auto","—")</f>
        <v/>
      </c>
      <c r="L66" s="501" t="n"/>
    </row>
    <row r="67" ht="15" customHeight="1" s="341">
      <c r="A67" s="486" t="n"/>
      <c r="B67" s="378">
        <f>IF(A67="","",IFERROR(VLOOKUP(A67,DB_Customers!$A:$D,4,0),"❌ Account Not Found"))</f>
        <v/>
      </c>
      <c r="C67" s="487">
        <f>IF(A67="","",IFERROR(VLOOKUP(A67,DB_Customers!$A:$N,14,0),""))</f>
        <v/>
      </c>
      <c r="D67" s="488">
        <f>IF(A67="","",TODAY())</f>
        <v/>
      </c>
      <c r="E67" s="510" t="n"/>
      <c r="F67" s="378" t="n"/>
      <c r="G67" s="511">
        <f>IF(OR(A67="",E67=""),"",IF(C67="","",C67-E67))</f>
        <v/>
      </c>
      <c r="H67" s="380" t="inlineStr">
        <is>
          <t>Agent 01</t>
        </is>
      </c>
      <c r="I67" s="491" t="n"/>
      <c r="J67" s="492">
        <f>IF(AND(A67&lt;&gt;"",E67&lt;&gt;""),IF(I67="","⚠️ Enter Code",IF(IFERROR(VLOOKUP(H67,DB_Agents!$B:$I,8,0),"")=I67,IF(C67&gt;=E67,"Successful","Unsuccessful"),"🔒 BLOCKED — Wrong Code")),"—")</f>
        <v/>
      </c>
      <c r="K67" s="493">
        <f>IF(J67="Successful",TEXT(TODAY(),"YYYY-MM-DD")&amp;" Auto","—")</f>
        <v/>
      </c>
      <c r="L67" s="494" t="n"/>
    </row>
    <row r="68" ht="15" customHeight="1" s="341">
      <c r="A68" s="495" t="n"/>
      <c r="B68" s="382">
        <f>IF(A68="","",IFERROR(VLOOKUP(A68,DB_Customers!$A:$D,4,0),"❌ Account Not Found"))</f>
        <v/>
      </c>
      <c r="C68" s="496">
        <f>IF(A68="","",IFERROR(VLOOKUP(A68,DB_Customers!$A:$N,14,0),""))</f>
        <v/>
      </c>
      <c r="D68" s="497">
        <f>IF(A68="","",TODAY())</f>
        <v/>
      </c>
      <c r="E68" s="510" t="n"/>
      <c r="F68" s="382" t="n"/>
      <c r="G68" s="512">
        <f>IF(OR(A68="",E68=""),"",IF(C68="","",C68-E68))</f>
        <v/>
      </c>
      <c r="H68" s="384" t="inlineStr">
        <is>
          <t>Agent 01</t>
        </is>
      </c>
      <c r="I68" s="491" t="n"/>
      <c r="J68" s="499">
        <f>IF(AND(A68&lt;&gt;"",E68&lt;&gt;""),IF(I68="","⚠️ Enter Code",IF(IFERROR(VLOOKUP(H68,DB_Agents!$B:$I,8,0),"")=I68,IF(C68&gt;=E68,"Successful","Unsuccessful"),"🔒 BLOCKED — Wrong Code")),"—")</f>
        <v/>
      </c>
      <c r="K68" s="500">
        <f>IF(J68="Successful",TEXT(TODAY(),"YYYY-MM-DD")&amp;" Auto","—")</f>
        <v/>
      </c>
      <c r="L68" s="501" t="n"/>
    </row>
    <row r="69" ht="15" customHeight="1" s="341">
      <c r="A69" s="486" t="n"/>
      <c r="B69" s="378">
        <f>IF(A69="","",IFERROR(VLOOKUP(A69,DB_Customers!$A:$D,4,0),"❌ Account Not Found"))</f>
        <v/>
      </c>
      <c r="C69" s="487">
        <f>IF(A69="","",IFERROR(VLOOKUP(A69,DB_Customers!$A:$N,14,0),""))</f>
        <v/>
      </c>
      <c r="D69" s="488">
        <f>IF(A69="","",TODAY())</f>
        <v/>
      </c>
      <c r="E69" s="510" t="n"/>
      <c r="F69" s="378" t="n"/>
      <c r="G69" s="511">
        <f>IF(OR(A69="",E69=""),"",IF(C69="","",C69-E69))</f>
        <v/>
      </c>
      <c r="H69" s="380" t="inlineStr">
        <is>
          <t>Agent 01</t>
        </is>
      </c>
      <c r="I69" s="491" t="n"/>
      <c r="J69" s="492">
        <f>IF(AND(A69&lt;&gt;"",E69&lt;&gt;""),IF(I69="","⚠️ Enter Code",IF(IFERROR(VLOOKUP(H69,DB_Agents!$B:$I,8,0),"")=I69,IF(C69&gt;=E69,"Successful","Unsuccessful"),"🔒 BLOCKED — Wrong Code")),"—")</f>
        <v/>
      </c>
      <c r="K69" s="493">
        <f>IF(J69="Successful",TEXT(TODAY(),"YYYY-MM-DD")&amp;" Auto","—")</f>
        <v/>
      </c>
      <c r="L69" s="494" t="n"/>
    </row>
    <row r="70" ht="15" customHeight="1" s="341">
      <c r="A70" s="495" t="n"/>
      <c r="B70" s="382">
        <f>IF(A70="","",IFERROR(VLOOKUP(A70,DB_Customers!$A:$D,4,0),"❌ Account Not Found"))</f>
        <v/>
      </c>
      <c r="C70" s="496">
        <f>IF(A70="","",IFERROR(VLOOKUP(A70,DB_Customers!$A:$N,14,0),""))</f>
        <v/>
      </c>
      <c r="D70" s="497">
        <f>IF(A70="","",TODAY())</f>
        <v/>
      </c>
      <c r="E70" s="510" t="n"/>
      <c r="F70" s="382" t="n"/>
      <c r="G70" s="512">
        <f>IF(OR(A70="",E70=""),"",IF(C70="","",C70-E70))</f>
        <v/>
      </c>
      <c r="H70" s="384" t="inlineStr">
        <is>
          <t>Agent 01</t>
        </is>
      </c>
      <c r="I70" s="491" t="n"/>
      <c r="J70" s="499">
        <f>IF(AND(A70&lt;&gt;"",E70&lt;&gt;""),IF(I70="","⚠️ Enter Code",IF(IFERROR(VLOOKUP(H70,DB_Agents!$B:$I,8,0),"")=I70,IF(C70&gt;=E70,"Successful","Unsuccessful"),"🔒 BLOCKED — Wrong Code")),"—")</f>
        <v/>
      </c>
      <c r="K70" s="500">
        <f>IF(J70="Successful",TEXT(TODAY(),"YYYY-MM-DD")&amp;" Auto","—")</f>
        <v/>
      </c>
      <c r="L70" s="501" t="n"/>
    </row>
    <row r="71" ht="15" customHeight="1" s="341">
      <c r="A71" s="486" t="n"/>
      <c r="B71" s="378">
        <f>IF(A71="","",IFERROR(VLOOKUP(A71,DB_Customers!$A:$D,4,0),"❌ Account Not Found"))</f>
        <v/>
      </c>
      <c r="C71" s="487">
        <f>IF(A71="","",IFERROR(VLOOKUP(A71,DB_Customers!$A:$N,14,0),""))</f>
        <v/>
      </c>
      <c r="D71" s="488">
        <f>IF(A71="","",TODAY())</f>
        <v/>
      </c>
      <c r="E71" s="510" t="n"/>
      <c r="F71" s="378" t="n"/>
      <c r="G71" s="511">
        <f>IF(OR(A71="",E71=""),"",IF(C71="","",C71-E71))</f>
        <v/>
      </c>
      <c r="H71" s="380" t="inlineStr">
        <is>
          <t>Agent 01</t>
        </is>
      </c>
      <c r="I71" s="491" t="n"/>
      <c r="J71" s="492">
        <f>IF(AND(A71&lt;&gt;"",E71&lt;&gt;""),IF(I71="","⚠️ Enter Code",IF(IFERROR(VLOOKUP(H71,DB_Agents!$B:$I,8,0),"")=I71,IF(C71&gt;=E71,"Successful","Unsuccessful"),"🔒 BLOCKED — Wrong Code")),"—")</f>
        <v/>
      </c>
      <c r="K71" s="493">
        <f>IF(J71="Successful",TEXT(TODAY(),"YYYY-MM-DD")&amp;" Auto","—")</f>
        <v/>
      </c>
      <c r="L71" s="494" t="n"/>
    </row>
    <row r="72" ht="15" customHeight="1" s="341">
      <c r="A72" s="495" t="n"/>
      <c r="B72" s="382">
        <f>IF(A72="","",IFERROR(VLOOKUP(A72,DB_Customers!$A:$D,4,0),"❌ Account Not Found"))</f>
        <v/>
      </c>
      <c r="C72" s="496">
        <f>IF(A72="","",IFERROR(VLOOKUP(A72,DB_Customers!$A:$N,14,0),""))</f>
        <v/>
      </c>
      <c r="D72" s="497">
        <f>IF(A72="","",TODAY())</f>
        <v/>
      </c>
      <c r="E72" s="510" t="n"/>
      <c r="F72" s="382" t="n"/>
      <c r="G72" s="512">
        <f>IF(OR(A72="",E72=""),"",IF(C72="","",C72-E72))</f>
        <v/>
      </c>
      <c r="H72" s="384" t="inlineStr">
        <is>
          <t>Agent 01</t>
        </is>
      </c>
      <c r="I72" s="491" t="n"/>
      <c r="J72" s="499">
        <f>IF(AND(A72&lt;&gt;"",E72&lt;&gt;""),IF(I72="","⚠️ Enter Code",IF(IFERROR(VLOOKUP(H72,DB_Agents!$B:$I,8,0),"")=I72,IF(C72&gt;=E72,"Successful","Unsuccessful"),"🔒 BLOCKED — Wrong Code")),"—")</f>
        <v/>
      </c>
      <c r="K72" s="500">
        <f>IF(J72="Successful",TEXT(TODAY(),"YYYY-MM-DD")&amp;" Auto","—")</f>
        <v/>
      </c>
      <c r="L72" s="501" t="n"/>
    </row>
    <row r="73" ht="15" customHeight="1" s="341">
      <c r="A73" s="486" t="n"/>
      <c r="B73" s="378">
        <f>IF(A73="","",IFERROR(VLOOKUP(A73,DB_Customers!$A:$D,4,0),"❌ Account Not Found"))</f>
        <v/>
      </c>
      <c r="C73" s="487">
        <f>IF(A73="","",IFERROR(VLOOKUP(A73,DB_Customers!$A:$N,14,0),""))</f>
        <v/>
      </c>
      <c r="D73" s="488">
        <f>IF(A73="","",TODAY())</f>
        <v/>
      </c>
      <c r="E73" s="510" t="n"/>
      <c r="F73" s="378" t="n"/>
      <c r="G73" s="511">
        <f>IF(OR(A73="",E73=""),"",IF(C73="","",C73-E73))</f>
        <v/>
      </c>
      <c r="H73" s="380" t="inlineStr">
        <is>
          <t>Agent 01</t>
        </is>
      </c>
      <c r="I73" s="491" t="n"/>
      <c r="J73" s="492">
        <f>IF(AND(A73&lt;&gt;"",E73&lt;&gt;""),IF(I73="","⚠️ Enter Code",IF(IFERROR(VLOOKUP(H73,DB_Agents!$B:$I,8,0),"")=I73,IF(C73&gt;=E73,"Successful","Unsuccessful"),"🔒 BLOCKED — Wrong Code")),"—")</f>
        <v/>
      </c>
      <c r="K73" s="493">
        <f>IF(J73="Successful",TEXT(TODAY(),"YYYY-MM-DD")&amp;" Auto","—")</f>
        <v/>
      </c>
      <c r="L73" s="494" t="n"/>
    </row>
    <row r="74" ht="15" customHeight="1" s="341">
      <c r="A74" s="495" t="n"/>
      <c r="B74" s="382">
        <f>IF(A74="","",IFERROR(VLOOKUP(A74,DB_Customers!$A:$D,4,0),"❌ Account Not Found"))</f>
        <v/>
      </c>
      <c r="C74" s="496">
        <f>IF(A74="","",IFERROR(VLOOKUP(A74,DB_Customers!$A:$N,14,0),""))</f>
        <v/>
      </c>
      <c r="D74" s="497">
        <f>IF(A74="","",TODAY())</f>
        <v/>
      </c>
      <c r="E74" s="510" t="n"/>
      <c r="F74" s="382" t="n"/>
      <c r="G74" s="512">
        <f>IF(OR(A74="",E74=""),"",IF(C74="","",C74-E74))</f>
        <v/>
      </c>
      <c r="H74" s="384" t="inlineStr">
        <is>
          <t>Agent 01</t>
        </is>
      </c>
      <c r="I74" s="491" t="n"/>
      <c r="J74" s="499">
        <f>IF(AND(A74&lt;&gt;"",E74&lt;&gt;""),IF(I74="","⚠️ Enter Code",IF(IFERROR(VLOOKUP(H74,DB_Agents!$B:$I,8,0),"")=I74,IF(C74&gt;=E74,"Successful","Unsuccessful"),"🔒 BLOCKED — Wrong Code")),"—")</f>
        <v/>
      </c>
      <c r="K74" s="500">
        <f>IF(J74="Successful",TEXT(TODAY(),"YYYY-MM-DD")&amp;" Auto","—")</f>
        <v/>
      </c>
      <c r="L74" s="501" t="n"/>
    </row>
    <row r="75" ht="15" customHeight="1" s="341">
      <c r="A75" s="486" t="n"/>
      <c r="B75" s="378">
        <f>IF(A75="","",IFERROR(VLOOKUP(A75,DB_Customers!$A:$D,4,0),"❌ Account Not Found"))</f>
        <v/>
      </c>
      <c r="C75" s="487">
        <f>IF(A75="","",IFERROR(VLOOKUP(A75,DB_Customers!$A:$N,14,0),""))</f>
        <v/>
      </c>
      <c r="D75" s="488">
        <f>IF(A75="","",TODAY())</f>
        <v/>
      </c>
      <c r="E75" s="510" t="n"/>
      <c r="F75" s="378" t="n"/>
      <c r="G75" s="511">
        <f>IF(OR(A75="",E75=""),"",IF(C75="","",C75-E75))</f>
        <v/>
      </c>
      <c r="H75" s="380" t="inlineStr">
        <is>
          <t>Agent 01</t>
        </is>
      </c>
      <c r="I75" s="491" t="n"/>
      <c r="J75" s="492">
        <f>IF(AND(A75&lt;&gt;"",E75&lt;&gt;""),IF(I75="","⚠️ Enter Code",IF(IFERROR(VLOOKUP(H75,DB_Agents!$B:$I,8,0),"")=I75,IF(C75&gt;=E75,"Successful","Unsuccessful"),"🔒 BLOCKED — Wrong Code")),"—")</f>
        <v/>
      </c>
      <c r="K75" s="493">
        <f>IF(J75="Successful",TEXT(TODAY(),"YYYY-MM-DD")&amp;" Auto","—")</f>
        <v/>
      </c>
      <c r="L75" s="494" t="n"/>
    </row>
    <row r="76" ht="15" customHeight="1" s="341">
      <c r="A76" s="495" t="n"/>
      <c r="B76" s="382">
        <f>IF(A76="","",IFERROR(VLOOKUP(A76,DB_Customers!$A:$D,4,0),"❌ Account Not Found"))</f>
        <v/>
      </c>
      <c r="C76" s="496">
        <f>IF(A76="","",IFERROR(VLOOKUP(A76,DB_Customers!$A:$N,14,0),""))</f>
        <v/>
      </c>
      <c r="D76" s="497">
        <f>IF(A76="","",TODAY())</f>
        <v/>
      </c>
      <c r="E76" s="510" t="n"/>
      <c r="F76" s="382" t="n"/>
      <c r="G76" s="512">
        <f>IF(OR(A76="",E76=""),"",IF(C76="","",C76-E76))</f>
        <v/>
      </c>
      <c r="H76" s="384" t="inlineStr">
        <is>
          <t>Agent 01</t>
        </is>
      </c>
      <c r="I76" s="491" t="n"/>
      <c r="J76" s="499">
        <f>IF(AND(A76&lt;&gt;"",E76&lt;&gt;""),IF(I76="","⚠️ Enter Code",IF(IFERROR(VLOOKUP(H76,DB_Agents!$B:$I,8,0),"")=I76,IF(C76&gt;=E76,"Successful","Unsuccessful"),"🔒 BLOCKED — Wrong Code")),"—")</f>
        <v/>
      </c>
      <c r="K76" s="500">
        <f>IF(J76="Successful",TEXT(TODAY(),"YYYY-MM-DD")&amp;" Auto","—")</f>
        <v/>
      </c>
      <c r="L76" s="501" t="n"/>
    </row>
    <row r="77" ht="15" customHeight="1" s="341">
      <c r="A77" s="486" t="n"/>
      <c r="B77" s="378">
        <f>IF(A77="","",IFERROR(VLOOKUP(A77,DB_Customers!$A:$D,4,0),"❌ Account Not Found"))</f>
        <v/>
      </c>
      <c r="C77" s="487">
        <f>IF(A77="","",IFERROR(VLOOKUP(A77,DB_Customers!$A:$N,14,0),""))</f>
        <v/>
      </c>
      <c r="D77" s="488">
        <f>IF(A77="","",TODAY())</f>
        <v/>
      </c>
      <c r="E77" s="510" t="n"/>
      <c r="F77" s="378" t="n"/>
      <c r="G77" s="511">
        <f>IF(OR(A77="",E77=""),"",IF(C77="","",C77-E77))</f>
        <v/>
      </c>
      <c r="H77" s="380" t="inlineStr">
        <is>
          <t>Agent 01</t>
        </is>
      </c>
      <c r="I77" s="491" t="n"/>
      <c r="J77" s="492">
        <f>IF(AND(A77&lt;&gt;"",E77&lt;&gt;""),IF(I77="","⚠️ Enter Code",IF(IFERROR(VLOOKUP(H77,DB_Agents!$B:$I,8,0),"")=I77,IF(C77&gt;=E77,"Successful","Unsuccessful"),"🔒 BLOCKED — Wrong Code")),"—")</f>
        <v/>
      </c>
      <c r="K77" s="493">
        <f>IF(J77="Successful",TEXT(TODAY(),"YYYY-MM-DD")&amp;" Auto","—")</f>
        <v/>
      </c>
      <c r="L77" s="494" t="n"/>
    </row>
    <row r="78" ht="15" customHeight="1" s="341">
      <c r="A78" s="495" t="n"/>
      <c r="B78" s="382">
        <f>IF(A78="","",IFERROR(VLOOKUP(A78,DB_Customers!$A:$D,4,0),"❌ Account Not Found"))</f>
        <v/>
      </c>
      <c r="C78" s="496">
        <f>IF(A78="","",IFERROR(VLOOKUP(A78,DB_Customers!$A:$N,14,0),""))</f>
        <v/>
      </c>
      <c r="D78" s="497">
        <f>IF(A78="","",TODAY())</f>
        <v/>
      </c>
      <c r="E78" s="510" t="n"/>
      <c r="F78" s="382" t="n"/>
      <c r="G78" s="512">
        <f>IF(OR(A78="",E78=""),"",IF(C78="","",C78-E78))</f>
        <v/>
      </c>
      <c r="H78" s="384" t="inlineStr">
        <is>
          <t>Agent 01</t>
        </is>
      </c>
      <c r="I78" s="491" t="n"/>
      <c r="J78" s="499">
        <f>IF(AND(A78&lt;&gt;"",E78&lt;&gt;""),IF(I78="","⚠️ Enter Code",IF(IFERROR(VLOOKUP(H78,DB_Agents!$B:$I,8,0),"")=I78,IF(C78&gt;=E78,"Successful","Unsuccessful"),"🔒 BLOCKED — Wrong Code")),"—")</f>
        <v/>
      </c>
      <c r="K78" s="500">
        <f>IF(J78="Successful",TEXT(TODAY(),"YYYY-MM-DD")&amp;" Auto","—")</f>
        <v/>
      </c>
      <c r="L78" s="501" t="n"/>
    </row>
    <row r="79" ht="15" customHeight="1" s="341">
      <c r="A79" s="486" t="n"/>
      <c r="B79" s="378">
        <f>IF(A79="","",IFERROR(VLOOKUP(A79,DB_Customers!$A:$D,4,0),"❌ Account Not Found"))</f>
        <v/>
      </c>
      <c r="C79" s="487">
        <f>IF(A79="","",IFERROR(VLOOKUP(A79,DB_Customers!$A:$N,14,0),""))</f>
        <v/>
      </c>
      <c r="D79" s="488">
        <f>IF(A79="","",TODAY())</f>
        <v/>
      </c>
      <c r="E79" s="510" t="n"/>
      <c r="F79" s="378" t="n"/>
      <c r="G79" s="511">
        <f>IF(OR(A79="",E79=""),"",IF(C79="","",C79-E79))</f>
        <v/>
      </c>
      <c r="H79" s="380" t="inlineStr">
        <is>
          <t>Agent 01</t>
        </is>
      </c>
      <c r="I79" s="491" t="n"/>
      <c r="J79" s="492">
        <f>IF(AND(A79&lt;&gt;"",E79&lt;&gt;""),IF(I79="","⚠️ Enter Code",IF(IFERROR(VLOOKUP(H79,DB_Agents!$B:$I,8,0),"")=I79,IF(C79&gt;=E79,"Successful","Unsuccessful"),"🔒 BLOCKED — Wrong Code")),"—")</f>
        <v/>
      </c>
      <c r="K79" s="493">
        <f>IF(J79="Successful",TEXT(TODAY(),"YYYY-MM-DD")&amp;" Auto","—")</f>
        <v/>
      </c>
      <c r="L79" s="494" t="n"/>
    </row>
    <row r="80" ht="15" customHeight="1" s="341">
      <c r="A80" s="495" t="n"/>
      <c r="B80" s="382">
        <f>IF(A80="","",IFERROR(VLOOKUP(A80,DB_Customers!$A:$D,4,0),"❌ Account Not Found"))</f>
        <v/>
      </c>
      <c r="C80" s="496">
        <f>IF(A80="","",IFERROR(VLOOKUP(A80,DB_Customers!$A:$N,14,0),""))</f>
        <v/>
      </c>
      <c r="D80" s="497">
        <f>IF(A80="","",TODAY())</f>
        <v/>
      </c>
      <c r="E80" s="510" t="n"/>
      <c r="F80" s="382" t="n"/>
      <c r="G80" s="512">
        <f>IF(OR(A80="",E80=""),"",IF(C80="","",C80-E80))</f>
        <v/>
      </c>
      <c r="H80" s="384" t="inlineStr">
        <is>
          <t>Agent 01</t>
        </is>
      </c>
      <c r="I80" s="491" t="n"/>
      <c r="J80" s="499">
        <f>IF(AND(A80&lt;&gt;"",E80&lt;&gt;""),IF(I80="","⚠️ Enter Code",IF(IFERROR(VLOOKUP(H80,DB_Agents!$B:$I,8,0),"")=I80,IF(C80&gt;=E80,"Successful","Unsuccessful"),"🔒 BLOCKED — Wrong Code")),"—")</f>
        <v/>
      </c>
      <c r="K80" s="500">
        <f>IF(J80="Successful",TEXT(TODAY(),"YYYY-MM-DD")&amp;" Auto","—")</f>
        <v/>
      </c>
      <c r="L80" s="501" t="n"/>
    </row>
    <row r="81" ht="15" customHeight="1" s="341">
      <c r="A81" s="486" t="n"/>
      <c r="B81" s="378">
        <f>IF(A81="","",IFERROR(VLOOKUP(A81,DB_Customers!$A:$D,4,0),"❌ Account Not Found"))</f>
        <v/>
      </c>
      <c r="C81" s="487">
        <f>IF(A81="","",IFERROR(VLOOKUP(A81,DB_Customers!$A:$N,14,0),""))</f>
        <v/>
      </c>
      <c r="D81" s="488">
        <f>IF(A81="","",TODAY())</f>
        <v/>
      </c>
      <c r="E81" s="510" t="n"/>
      <c r="F81" s="378" t="n"/>
      <c r="G81" s="511">
        <f>IF(OR(A81="",E81=""),"",IF(C81="","",C81-E81))</f>
        <v/>
      </c>
      <c r="H81" s="380" t="inlineStr">
        <is>
          <t>Agent 01</t>
        </is>
      </c>
      <c r="I81" s="491" t="n"/>
      <c r="J81" s="492">
        <f>IF(AND(A81&lt;&gt;"",E81&lt;&gt;""),IF(I81="","⚠️ Enter Code",IF(IFERROR(VLOOKUP(H81,DB_Agents!$B:$I,8,0),"")=I81,IF(C81&gt;=E81,"Successful","Unsuccessful"),"🔒 BLOCKED — Wrong Code")),"—")</f>
        <v/>
      </c>
      <c r="K81" s="493">
        <f>IF(J81="Successful",TEXT(TODAY(),"YYYY-MM-DD")&amp;" Auto","—")</f>
        <v/>
      </c>
      <c r="L81" s="494" t="n"/>
    </row>
    <row r="82" ht="15" customHeight="1" s="341">
      <c r="A82" s="495" t="n"/>
      <c r="B82" s="382">
        <f>IF(A82="","",IFERROR(VLOOKUP(A82,DB_Customers!$A:$D,4,0),"❌ Account Not Found"))</f>
        <v/>
      </c>
      <c r="C82" s="496">
        <f>IF(A82="","",IFERROR(VLOOKUP(A82,DB_Customers!$A:$N,14,0),""))</f>
        <v/>
      </c>
      <c r="D82" s="497">
        <f>IF(A82="","",TODAY())</f>
        <v/>
      </c>
      <c r="E82" s="510" t="n"/>
      <c r="F82" s="382" t="n"/>
      <c r="G82" s="512">
        <f>IF(OR(A82="",E82=""),"",IF(C82="","",C82-E82))</f>
        <v/>
      </c>
      <c r="H82" s="384" t="inlineStr">
        <is>
          <t>Agent 01</t>
        </is>
      </c>
      <c r="I82" s="491" t="n"/>
      <c r="J82" s="499">
        <f>IF(AND(A82&lt;&gt;"",E82&lt;&gt;""),IF(I82="","⚠️ Enter Code",IF(IFERROR(VLOOKUP(H82,DB_Agents!$B:$I,8,0),"")=I82,IF(C82&gt;=E82,"Successful","Unsuccessful"),"🔒 BLOCKED — Wrong Code")),"—")</f>
        <v/>
      </c>
      <c r="K82" s="500">
        <f>IF(J82="Successful",TEXT(TODAY(),"YYYY-MM-DD")&amp;" Auto","—")</f>
        <v/>
      </c>
      <c r="L82" s="501" t="n"/>
    </row>
    <row r="83" ht="15" customHeight="1" s="341">
      <c r="A83" s="486" t="n"/>
      <c r="B83" s="378">
        <f>IF(A83="","",IFERROR(VLOOKUP(A83,DB_Customers!$A:$D,4,0),"❌ Account Not Found"))</f>
        <v/>
      </c>
      <c r="C83" s="487">
        <f>IF(A83="","",IFERROR(VLOOKUP(A83,DB_Customers!$A:$N,14,0),""))</f>
        <v/>
      </c>
      <c r="D83" s="488">
        <f>IF(A83="","",TODAY())</f>
        <v/>
      </c>
      <c r="E83" s="510" t="n"/>
      <c r="F83" s="378" t="n"/>
      <c r="G83" s="511">
        <f>IF(OR(A83="",E83=""),"",IF(C83="","",C83-E83))</f>
        <v/>
      </c>
      <c r="H83" s="380" t="inlineStr">
        <is>
          <t>Agent 01</t>
        </is>
      </c>
      <c r="I83" s="491" t="n"/>
      <c r="J83" s="492">
        <f>IF(AND(A83&lt;&gt;"",E83&lt;&gt;""),IF(I83="","⚠️ Enter Code",IF(IFERROR(VLOOKUP(H83,DB_Agents!$B:$I,8,0),"")=I83,IF(C83&gt;=E83,"Successful","Unsuccessful"),"🔒 BLOCKED — Wrong Code")),"—")</f>
        <v/>
      </c>
      <c r="K83" s="493">
        <f>IF(J83="Successful",TEXT(TODAY(),"YYYY-MM-DD")&amp;" Auto","—")</f>
        <v/>
      </c>
      <c r="L83" s="494" t="n"/>
    </row>
    <row r="84" ht="15" customHeight="1" s="341">
      <c r="A84" s="495" t="n"/>
      <c r="B84" s="382">
        <f>IF(A84="","",IFERROR(VLOOKUP(A84,DB_Customers!$A:$D,4,0),"❌ Account Not Found"))</f>
        <v/>
      </c>
      <c r="C84" s="496">
        <f>IF(A84="","",IFERROR(VLOOKUP(A84,DB_Customers!$A:$N,14,0),""))</f>
        <v/>
      </c>
      <c r="D84" s="497">
        <f>IF(A84="","",TODAY())</f>
        <v/>
      </c>
      <c r="E84" s="510" t="n"/>
      <c r="F84" s="382" t="n"/>
      <c r="G84" s="512">
        <f>IF(OR(A84="",E84=""),"",IF(C84="","",C84-E84))</f>
        <v/>
      </c>
      <c r="H84" s="384" t="inlineStr">
        <is>
          <t>Agent 01</t>
        </is>
      </c>
      <c r="I84" s="491" t="n"/>
      <c r="J84" s="499">
        <f>IF(AND(A84&lt;&gt;"",E84&lt;&gt;""),IF(I84="","⚠️ Enter Code",IF(IFERROR(VLOOKUP(H84,DB_Agents!$B:$I,8,0),"")=I84,IF(C84&gt;=E84,"Successful","Unsuccessful"),"🔒 BLOCKED — Wrong Code")),"—")</f>
        <v/>
      </c>
      <c r="K84" s="500">
        <f>IF(J84="Successful",TEXT(TODAY(),"YYYY-MM-DD")&amp;" Auto","—")</f>
        <v/>
      </c>
      <c r="L84" s="501" t="n"/>
    </row>
    <row r="85" ht="15" customHeight="1" s="341">
      <c r="A85" s="486" t="n"/>
      <c r="B85" s="378">
        <f>IF(A85="","",IFERROR(VLOOKUP(A85,DB_Customers!$A:$D,4,0),"❌ Account Not Found"))</f>
        <v/>
      </c>
      <c r="C85" s="487">
        <f>IF(A85="","",IFERROR(VLOOKUP(A85,DB_Customers!$A:$N,14,0),""))</f>
        <v/>
      </c>
      <c r="D85" s="488">
        <f>IF(A85="","",TODAY())</f>
        <v/>
      </c>
      <c r="E85" s="510" t="n"/>
      <c r="F85" s="378" t="n"/>
      <c r="G85" s="511">
        <f>IF(OR(A85="",E85=""),"",IF(C85="","",C85-E85))</f>
        <v/>
      </c>
      <c r="H85" s="380" t="inlineStr">
        <is>
          <t>Agent 01</t>
        </is>
      </c>
      <c r="I85" s="491" t="n"/>
      <c r="J85" s="492">
        <f>IF(AND(A85&lt;&gt;"",E85&lt;&gt;""),IF(I85="","⚠️ Enter Code",IF(IFERROR(VLOOKUP(H85,DB_Agents!$B:$I,8,0),"")=I85,IF(C85&gt;=E85,"Successful","Unsuccessful"),"🔒 BLOCKED — Wrong Code")),"—")</f>
        <v/>
      </c>
      <c r="K85" s="493">
        <f>IF(J85="Successful",TEXT(TODAY(),"YYYY-MM-DD")&amp;" Auto","—")</f>
        <v/>
      </c>
      <c r="L85" s="494" t="n"/>
    </row>
    <row r="86" ht="15" customHeight="1" s="341">
      <c r="A86" s="495" t="n"/>
      <c r="B86" s="382">
        <f>IF(A86="","",IFERROR(VLOOKUP(A86,DB_Customers!$A:$D,4,0),"❌ Account Not Found"))</f>
        <v/>
      </c>
      <c r="C86" s="496">
        <f>IF(A86="","",IFERROR(VLOOKUP(A86,DB_Customers!$A:$N,14,0),""))</f>
        <v/>
      </c>
      <c r="D86" s="497">
        <f>IF(A86="","",TODAY())</f>
        <v/>
      </c>
      <c r="E86" s="510" t="n"/>
      <c r="F86" s="382" t="n"/>
      <c r="G86" s="512">
        <f>IF(OR(A86="",E86=""),"",IF(C86="","",C86-E86))</f>
        <v/>
      </c>
      <c r="H86" s="384" t="inlineStr">
        <is>
          <t>Agent 01</t>
        </is>
      </c>
      <c r="I86" s="491" t="n"/>
      <c r="J86" s="499">
        <f>IF(AND(A86&lt;&gt;"",E86&lt;&gt;""),IF(I86="","⚠️ Enter Code",IF(IFERROR(VLOOKUP(H86,DB_Agents!$B:$I,8,0),"")=I86,IF(C86&gt;=E86,"Successful","Unsuccessful"),"🔒 BLOCKED — Wrong Code")),"—")</f>
        <v/>
      </c>
      <c r="K86" s="500">
        <f>IF(J86="Successful",TEXT(TODAY(),"YYYY-MM-DD")&amp;" Auto","—")</f>
        <v/>
      </c>
      <c r="L86" s="501" t="n"/>
    </row>
    <row r="87" ht="15" customHeight="1" s="341">
      <c r="A87" s="486" t="n"/>
      <c r="B87" s="378">
        <f>IF(A87="","",IFERROR(VLOOKUP(A87,DB_Customers!$A:$D,4,0),"❌ Account Not Found"))</f>
        <v/>
      </c>
      <c r="C87" s="487">
        <f>IF(A87="","",IFERROR(VLOOKUP(A87,DB_Customers!$A:$N,14,0),""))</f>
        <v/>
      </c>
      <c r="D87" s="488">
        <f>IF(A87="","",TODAY())</f>
        <v/>
      </c>
      <c r="E87" s="510" t="n"/>
      <c r="F87" s="378" t="n"/>
      <c r="G87" s="511">
        <f>IF(OR(A87="",E87=""),"",IF(C87="","",C87-E87))</f>
        <v/>
      </c>
      <c r="H87" s="380" t="inlineStr">
        <is>
          <t>Agent 01</t>
        </is>
      </c>
      <c r="I87" s="491" t="n"/>
      <c r="J87" s="492">
        <f>IF(AND(A87&lt;&gt;"",E87&lt;&gt;""),IF(I87="","⚠️ Enter Code",IF(IFERROR(VLOOKUP(H87,DB_Agents!$B:$I,8,0),"")=I87,IF(C87&gt;=E87,"Successful","Unsuccessful"),"🔒 BLOCKED — Wrong Code")),"—")</f>
        <v/>
      </c>
      <c r="K87" s="493">
        <f>IF(J87="Successful",TEXT(TODAY(),"YYYY-MM-DD")&amp;" Auto","—")</f>
        <v/>
      </c>
      <c r="L87" s="494" t="n"/>
    </row>
    <row r="88" ht="15" customHeight="1" s="341">
      <c r="A88" s="495" t="n"/>
      <c r="B88" s="382">
        <f>IF(A88="","",IFERROR(VLOOKUP(A88,DB_Customers!$A:$D,4,0),"❌ Account Not Found"))</f>
        <v/>
      </c>
      <c r="C88" s="496">
        <f>IF(A88="","",IFERROR(VLOOKUP(A88,DB_Customers!$A:$N,14,0),""))</f>
        <v/>
      </c>
      <c r="D88" s="497">
        <f>IF(A88="","",TODAY())</f>
        <v/>
      </c>
      <c r="E88" s="510" t="n"/>
      <c r="F88" s="382" t="n"/>
      <c r="G88" s="512">
        <f>IF(OR(A88="",E88=""),"",IF(C88="","",C88-E88))</f>
        <v/>
      </c>
      <c r="H88" s="384" t="inlineStr">
        <is>
          <t>Agent 01</t>
        </is>
      </c>
      <c r="I88" s="491" t="n"/>
      <c r="J88" s="499">
        <f>IF(AND(A88&lt;&gt;"",E88&lt;&gt;""),IF(I88="","⚠️ Enter Code",IF(IFERROR(VLOOKUP(H88,DB_Agents!$B:$I,8,0),"")=I88,IF(C88&gt;=E88,"Successful","Unsuccessful"),"🔒 BLOCKED — Wrong Code")),"—")</f>
        <v/>
      </c>
      <c r="K88" s="500">
        <f>IF(J88="Successful",TEXT(TODAY(),"YYYY-MM-DD")&amp;" Auto","—")</f>
        <v/>
      </c>
      <c r="L88" s="501" t="n"/>
    </row>
    <row r="89" ht="15" customHeight="1" s="341">
      <c r="A89" s="486" t="n"/>
      <c r="B89" s="378">
        <f>IF(A89="","",IFERROR(VLOOKUP(A89,DB_Customers!$A:$D,4,0),"❌ Account Not Found"))</f>
        <v/>
      </c>
      <c r="C89" s="487">
        <f>IF(A89="","",IFERROR(VLOOKUP(A89,DB_Customers!$A:$N,14,0),""))</f>
        <v/>
      </c>
      <c r="D89" s="488">
        <f>IF(A89="","",TODAY())</f>
        <v/>
      </c>
      <c r="E89" s="510" t="n"/>
      <c r="F89" s="378" t="n"/>
      <c r="G89" s="511">
        <f>IF(OR(A89="",E89=""),"",IF(C89="","",C89-E89))</f>
        <v/>
      </c>
      <c r="H89" s="380" t="inlineStr">
        <is>
          <t>Agent 01</t>
        </is>
      </c>
      <c r="I89" s="491" t="n"/>
      <c r="J89" s="492">
        <f>IF(AND(A89&lt;&gt;"",E89&lt;&gt;""),IF(I89="","⚠️ Enter Code",IF(IFERROR(VLOOKUP(H89,DB_Agents!$B:$I,8,0),"")=I89,IF(C89&gt;=E89,"Successful","Unsuccessful"),"🔒 BLOCKED — Wrong Code")),"—")</f>
        <v/>
      </c>
      <c r="K89" s="493">
        <f>IF(J89="Successful",TEXT(TODAY(),"YYYY-MM-DD")&amp;" Auto","—")</f>
        <v/>
      </c>
      <c r="L89" s="494" t="n"/>
    </row>
    <row r="90" ht="15" customHeight="1" s="341">
      <c r="A90" s="495" t="n"/>
      <c r="B90" s="382">
        <f>IF(A90="","",IFERROR(VLOOKUP(A90,DB_Customers!$A:$D,4,0),"❌ Account Not Found"))</f>
        <v/>
      </c>
      <c r="C90" s="496">
        <f>IF(A90="","",IFERROR(VLOOKUP(A90,DB_Customers!$A:$N,14,0),""))</f>
        <v/>
      </c>
      <c r="D90" s="497">
        <f>IF(A90="","",TODAY())</f>
        <v/>
      </c>
      <c r="E90" s="510" t="n"/>
      <c r="F90" s="382" t="n"/>
      <c r="G90" s="512">
        <f>IF(OR(A90="",E90=""),"",IF(C90="","",C90-E90))</f>
        <v/>
      </c>
      <c r="H90" s="384" t="inlineStr">
        <is>
          <t>Agent 01</t>
        </is>
      </c>
      <c r="I90" s="491" t="n"/>
      <c r="J90" s="499">
        <f>IF(AND(A90&lt;&gt;"",E90&lt;&gt;""),IF(I90="","⚠️ Enter Code",IF(IFERROR(VLOOKUP(H90,DB_Agents!$B:$I,8,0),"")=I90,IF(C90&gt;=E90,"Successful","Unsuccessful"),"🔒 BLOCKED — Wrong Code")),"—")</f>
        <v/>
      </c>
      <c r="K90" s="500">
        <f>IF(J90="Successful",TEXT(TODAY(),"YYYY-MM-DD")&amp;" Auto","—")</f>
        <v/>
      </c>
      <c r="L90" s="501" t="n"/>
    </row>
    <row r="91" ht="15" customHeight="1" s="341">
      <c r="A91" s="486" t="n"/>
      <c r="B91" s="378">
        <f>IF(A91="","",IFERROR(VLOOKUP(A91,DB_Customers!$A:$D,4,0),"❌ Account Not Found"))</f>
        <v/>
      </c>
      <c r="C91" s="487">
        <f>IF(A91="","",IFERROR(VLOOKUP(A91,DB_Customers!$A:$N,14,0),""))</f>
        <v/>
      </c>
      <c r="D91" s="488">
        <f>IF(A91="","",TODAY())</f>
        <v/>
      </c>
      <c r="E91" s="510" t="n"/>
      <c r="F91" s="378" t="n"/>
      <c r="G91" s="511">
        <f>IF(OR(A91="",E91=""),"",IF(C91="","",C91-E91))</f>
        <v/>
      </c>
      <c r="H91" s="380" t="inlineStr">
        <is>
          <t>Agent 01</t>
        </is>
      </c>
      <c r="I91" s="491" t="n"/>
      <c r="J91" s="492">
        <f>IF(AND(A91&lt;&gt;"",E91&lt;&gt;""),IF(I91="","⚠️ Enter Code",IF(IFERROR(VLOOKUP(H91,DB_Agents!$B:$I,8,0),"")=I91,IF(C91&gt;=E91,"Successful","Unsuccessful"),"🔒 BLOCKED — Wrong Code")),"—")</f>
        <v/>
      </c>
      <c r="K91" s="493">
        <f>IF(J91="Successful",TEXT(TODAY(),"YYYY-MM-DD")&amp;" Auto","—")</f>
        <v/>
      </c>
      <c r="L91" s="494" t="n"/>
    </row>
    <row r="92" ht="15" customHeight="1" s="341">
      <c r="A92" s="495" t="n"/>
      <c r="B92" s="382">
        <f>IF(A92="","",IFERROR(VLOOKUP(A92,DB_Customers!$A:$D,4,0),"❌ Account Not Found"))</f>
        <v/>
      </c>
      <c r="C92" s="496">
        <f>IF(A92="","",IFERROR(VLOOKUP(A92,DB_Customers!$A:$N,14,0),""))</f>
        <v/>
      </c>
      <c r="D92" s="497">
        <f>IF(A92="","",TODAY())</f>
        <v/>
      </c>
      <c r="E92" s="510" t="n"/>
      <c r="F92" s="382" t="n"/>
      <c r="G92" s="512">
        <f>IF(OR(A92="",E92=""),"",IF(C92="","",C92-E92))</f>
        <v/>
      </c>
      <c r="H92" s="384" t="inlineStr">
        <is>
          <t>Agent 01</t>
        </is>
      </c>
      <c r="I92" s="491" t="n"/>
      <c r="J92" s="499">
        <f>IF(AND(A92&lt;&gt;"",E92&lt;&gt;""),IF(I92="","⚠️ Enter Code",IF(IFERROR(VLOOKUP(H92,DB_Agents!$B:$I,8,0),"")=I92,IF(C92&gt;=E92,"Successful","Unsuccessful"),"🔒 BLOCKED — Wrong Code")),"—")</f>
        <v/>
      </c>
      <c r="K92" s="500">
        <f>IF(J92="Successful",TEXT(TODAY(),"YYYY-MM-DD")&amp;" Auto","—")</f>
        <v/>
      </c>
      <c r="L92" s="501" t="n"/>
    </row>
    <row r="93" ht="15" customHeight="1" s="341">
      <c r="A93" s="486" t="n"/>
      <c r="B93" s="378">
        <f>IF(A93="","",IFERROR(VLOOKUP(A93,DB_Customers!$A:$D,4,0),"❌ Account Not Found"))</f>
        <v/>
      </c>
      <c r="C93" s="487">
        <f>IF(A93="","",IFERROR(VLOOKUP(A93,DB_Customers!$A:$N,14,0),""))</f>
        <v/>
      </c>
      <c r="D93" s="488">
        <f>IF(A93="","",TODAY())</f>
        <v/>
      </c>
      <c r="E93" s="510" t="n"/>
      <c r="F93" s="378" t="n"/>
      <c r="G93" s="511">
        <f>IF(OR(A93="",E93=""),"",IF(C93="","",C93-E93))</f>
        <v/>
      </c>
      <c r="H93" s="380" t="inlineStr">
        <is>
          <t>Agent 01</t>
        </is>
      </c>
      <c r="I93" s="491" t="n"/>
      <c r="J93" s="492">
        <f>IF(AND(A93&lt;&gt;"",E93&lt;&gt;""),IF(I93="","⚠️ Enter Code",IF(IFERROR(VLOOKUP(H93,DB_Agents!$B:$I,8,0),"")=I93,IF(C93&gt;=E93,"Successful","Unsuccessful"),"🔒 BLOCKED — Wrong Code")),"—")</f>
        <v/>
      </c>
      <c r="K93" s="493">
        <f>IF(J93="Successful",TEXT(TODAY(),"YYYY-MM-DD")&amp;" Auto","—")</f>
        <v/>
      </c>
      <c r="L93" s="494" t="n"/>
    </row>
    <row r="94" ht="15" customHeight="1" s="341">
      <c r="A94" s="495" t="n"/>
      <c r="B94" s="382">
        <f>IF(A94="","",IFERROR(VLOOKUP(A94,DB_Customers!$A:$D,4,0),"❌ Account Not Found"))</f>
        <v/>
      </c>
      <c r="C94" s="496">
        <f>IF(A94="","",IFERROR(VLOOKUP(A94,DB_Customers!$A:$N,14,0),""))</f>
        <v/>
      </c>
      <c r="D94" s="497">
        <f>IF(A94="","",TODAY())</f>
        <v/>
      </c>
      <c r="E94" s="510" t="n"/>
      <c r="F94" s="382" t="n"/>
      <c r="G94" s="512">
        <f>IF(OR(A94="",E94=""),"",IF(C94="","",C94-E94))</f>
        <v/>
      </c>
      <c r="H94" s="384" t="inlineStr">
        <is>
          <t>Agent 01</t>
        </is>
      </c>
      <c r="I94" s="491" t="n"/>
      <c r="J94" s="499">
        <f>IF(AND(A94&lt;&gt;"",E94&lt;&gt;""),IF(I94="","⚠️ Enter Code",IF(IFERROR(VLOOKUP(H94,DB_Agents!$B:$I,8,0),"")=I94,IF(C94&gt;=E94,"Successful","Unsuccessful"),"🔒 BLOCKED — Wrong Code")),"—")</f>
        <v/>
      </c>
      <c r="K94" s="500">
        <f>IF(J94="Successful",TEXT(TODAY(),"YYYY-MM-DD")&amp;" Auto","—")</f>
        <v/>
      </c>
      <c r="L94" s="501" t="n"/>
    </row>
    <row r="95" ht="15" customHeight="1" s="341">
      <c r="A95" s="486" t="n"/>
      <c r="B95" s="378">
        <f>IF(A95="","",IFERROR(VLOOKUP(A95,DB_Customers!$A:$D,4,0),"❌ Account Not Found"))</f>
        <v/>
      </c>
      <c r="C95" s="487">
        <f>IF(A95="","",IFERROR(VLOOKUP(A95,DB_Customers!$A:$N,14,0),""))</f>
        <v/>
      </c>
      <c r="D95" s="488">
        <f>IF(A95="","",TODAY())</f>
        <v/>
      </c>
      <c r="E95" s="510" t="n"/>
      <c r="F95" s="378" t="n"/>
      <c r="G95" s="511">
        <f>IF(OR(A95="",E95=""),"",IF(C95="","",C95-E95))</f>
        <v/>
      </c>
      <c r="H95" s="380" t="inlineStr">
        <is>
          <t>Agent 01</t>
        </is>
      </c>
      <c r="I95" s="491" t="n"/>
      <c r="J95" s="492">
        <f>IF(AND(A95&lt;&gt;"",E95&lt;&gt;""),IF(I95="","⚠️ Enter Code",IF(IFERROR(VLOOKUP(H95,DB_Agents!$B:$I,8,0),"")=I95,IF(C95&gt;=E95,"Successful","Unsuccessful"),"🔒 BLOCKED — Wrong Code")),"—")</f>
        <v/>
      </c>
      <c r="K95" s="493">
        <f>IF(J95="Successful",TEXT(TODAY(),"YYYY-MM-DD")&amp;" Auto","—")</f>
        <v/>
      </c>
      <c r="L95" s="494" t="n"/>
    </row>
    <row r="96" ht="15" customHeight="1" s="341">
      <c r="A96" s="495" t="n"/>
      <c r="B96" s="382">
        <f>IF(A96="","",IFERROR(VLOOKUP(A96,DB_Customers!$A:$D,4,0),"❌ Account Not Found"))</f>
        <v/>
      </c>
      <c r="C96" s="496">
        <f>IF(A96="","",IFERROR(VLOOKUP(A96,DB_Customers!$A:$N,14,0),""))</f>
        <v/>
      </c>
      <c r="D96" s="497">
        <f>IF(A96="","",TODAY())</f>
        <v/>
      </c>
      <c r="E96" s="510" t="n"/>
      <c r="F96" s="382" t="n"/>
      <c r="G96" s="512">
        <f>IF(OR(A96="",E96=""),"",IF(C96="","",C96-E96))</f>
        <v/>
      </c>
      <c r="H96" s="384" t="inlineStr">
        <is>
          <t>Agent 01</t>
        </is>
      </c>
      <c r="I96" s="491" t="n"/>
      <c r="J96" s="499">
        <f>IF(AND(A96&lt;&gt;"",E96&lt;&gt;""),IF(I96="","⚠️ Enter Code",IF(IFERROR(VLOOKUP(H96,DB_Agents!$B:$I,8,0),"")=I96,IF(C96&gt;=E96,"Successful","Unsuccessful"),"🔒 BLOCKED — Wrong Code")),"—")</f>
        <v/>
      </c>
      <c r="K96" s="500">
        <f>IF(J96="Successful",TEXT(TODAY(),"YYYY-MM-DD")&amp;" Auto","—")</f>
        <v/>
      </c>
      <c r="L96" s="501" t="n"/>
    </row>
    <row r="97" ht="15" customHeight="1" s="341">
      <c r="A97" s="486" t="n"/>
      <c r="B97" s="378">
        <f>IF(A97="","",IFERROR(VLOOKUP(A97,DB_Customers!$A:$D,4,0),"❌ Account Not Found"))</f>
        <v/>
      </c>
      <c r="C97" s="487">
        <f>IF(A97="","",IFERROR(VLOOKUP(A97,DB_Customers!$A:$N,14,0),""))</f>
        <v/>
      </c>
      <c r="D97" s="488">
        <f>IF(A97="","",TODAY())</f>
        <v/>
      </c>
      <c r="E97" s="510" t="n"/>
      <c r="F97" s="378" t="n"/>
      <c r="G97" s="511">
        <f>IF(OR(A97="",E97=""),"",IF(C97="","",C97-E97))</f>
        <v/>
      </c>
      <c r="H97" s="380" t="inlineStr">
        <is>
          <t>Agent 01</t>
        </is>
      </c>
      <c r="I97" s="491" t="n"/>
      <c r="J97" s="492">
        <f>IF(AND(A97&lt;&gt;"",E97&lt;&gt;""),IF(I97="","⚠️ Enter Code",IF(IFERROR(VLOOKUP(H97,DB_Agents!$B:$I,8,0),"")=I97,IF(C97&gt;=E97,"Successful","Unsuccessful"),"🔒 BLOCKED — Wrong Code")),"—")</f>
        <v/>
      </c>
      <c r="K97" s="493">
        <f>IF(J97="Successful",TEXT(TODAY(),"YYYY-MM-DD")&amp;" Auto","—")</f>
        <v/>
      </c>
      <c r="L97" s="494" t="n"/>
    </row>
    <row r="98" ht="15" customHeight="1" s="341">
      <c r="A98" s="495" t="n"/>
      <c r="B98" s="382">
        <f>IF(A98="","",IFERROR(VLOOKUP(A98,DB_Customers!$A:$D,4,0),"❌ Account Not Found"))</f>
        <v/>
      </c>
      <c r="C98" s="496">
        <f>IF(A98="","",IFERROR(VLOOKUP(A98,DB_Customers!$A:$N,14,0),""))</f>
        <v/>
      </c>
      <c r="D98" s="497">
        <f>IF(A98="","",TODAY())</f>
        <v/>
      </c>
      <c r="E98" s="510" t="n"/>
      <c r="F98" s="382" t="n"/>
      <c r="G98" s="512">
        <f>IF(OR(A98="",E98=""),"",IF(C98="","",C98-E98))</f>
        <v/>
      </c>
      <c r="H98" s="384" t="inlineStr">
        <is>
          <t>Agent 01</t>
        </is>
      </c>
      <c r="I98" s="491" t="n"/>
      <c r="J98" s="499">
        <f>IF(AND(A98&lt;&gt;"",E98&lt;&gt;""),IF(I98="","⚠️ Enter Code",IF(IFERROR(VLOOKUP(H98,DB_Agents!$B:$I,8,0),"")=I98,IF(C98&gt;=E98,"Successful","Unsuccessful"),"🔒 BLOCKED — Wrong Code")),"—")</f>
        <v/>
      </c>
      <c r="K98" s="500">
        <f>IF(J98="Successful",TEXT(TODAY(),"YYYY-MM-DD")&amp;" Auto","—")</f>
        <v/>
      </c>
      <c r="L98" s="501" t="n"/>
    </row>
    <row r="99" ht="15" customHeight="1" s="341">
      <c r="A99" s="486" t="n"/>
      <c r="B99" s="378">
        <f>IF(A99="","",IFERROR(VLOOKUP(A99,DB_Customers!$A:$D,4,0),"❌ Account Not Found"))</f>
        <v/>
      </c>
      <c r="C99" s="487">
        <f>IF(A99="","",IFERROR(VLOOKUP(A99,DB_Customers!$A:$N,14,0),""))</f>
        <v/>
      </c>
      <c r="D99" s="488">
        <f>IF(A99="","",TODAY())</f>
        <v/>
      </c>
      <c r="E99" s="510" t="n"/>
      <c r="F99" s="378" t="n"/>
      <c r="G99" s="511">
        <f>IF(OR(A99="",E99=""),"",IF(C99="","",C99-E99))</f>
        <v/>
      </c>
      <c r="H99" s="380" t="inlineStr">
        <is>
          <t>Agent 01</t>
        </is>
      </c>
      <c r="I99" s="491" t="n"/>
      <c r="J99" s="492">
        <f>IF(AND(A99&lt;&gt;"",E99&lt;&gt;""),IF(I99="","⚠️ Enter Code",IF(IFERROR(VLOOKUP(H99,DB_Agents!$B:$I,8,0),"")=I99,IF(C99&gt;=E99,"Successful","Unsuccessful"),"🔒 BLOCKED — Wrong Code")),"—")</f>
        <v/>
      </c>
      <c r="K99" s="493">
        <f>IF(J99="Successful",TEXT(TODAY(),"YYYY-MM-DD")&amp;" Auto","—")</f>
        <v/>
      </c>
      <c r="L99" s="494" t="n"/>
    </row>
    <row r="100" ht="15" customHeight="1" s="341">
      <c r="A100" s="495" t="n"/>
      <c r="B100" s="382">
        <f>IF(A100="","",IFERROR(VLOOKUP(A100,DB_Customers!$A:$D,4,0),"❌ Account Not Found"))</f>
        <v/>
      </c>
      <c r="C100" s="496">
        <f>IF(A100="","",IFERROR(VLOOKUP(A100,DB_Customers!$A:$N,14,0),""))</f>
        <v/>
      </c>
      <c r="D100" s="497">
        <f>IF(A100="","",TODAY())</f>
        <v/>
      </c>
      <c r="E100" s="510" t="n"/>
      <c r="F100" s="382" t="n"/>
      <c r="G100" s="512">
        <f>IF(OR(A100="",E100=""),"",IF(C100="","",C100-E100))</f>
        <v/>
      </c>
      <c r="H100" s="384" t="inlineStr">
        <is>
          <t>Agent 01</t>
        </is>
      </c>
      <c r="I100" s="491" t="n"/>
      <c r="J100" s="499">
        <f>IF(AND(A100&lt;&gt;"",E100&lt;&gt;""),IF(I100="","⚠️ Enter Code",IF(IFERROR(VLOOKUP(H100,DB_Agents!$B:$I,8,0),"")=I100,IF(C100&gt;=E100,"Successful","Unsuccessful"),"🔒 BLOCKED — Wrong Code")),"—")</f>
        <v/>
      </c>
      <c r="K100" s="500">
        <f>IF(J100="Successful",TEXT(TODAY(),"YYYY-MM-DD")&amp;" Auto","—")</f>
        <v/>
      </c>
      <c r="L100" s="501" t="n"/>
    </row>
    <row r="101" ht="15" customHeight="1" s="341">
      <c r="A101" s="486" t="n"/>
      <c r="B101" s="378">
        <f>IF(A101="","",IFERROR(VLOOKUP(A101,DB_Customers!$A:$D,4,0),"❌ Account Not Found"))</f>
        <v/>
      </c>
      <c r="C101" s="487">
        <f>IF(A101="","",IFERROR(VLOOKUP(A101,DB_Customers!$A:$N,14,0),""))</f>
        <v/>
      </c>
      <c r="D101" s="488">
        <f>IF(A101="","",TODAY())</f>
        <v/>
      </c>
      <c r="E101" s="510" t="n"/>
      <c r="F101" s="378" t="n"/>
      <c r="G101" s="511">
        <f>IF(OR(A101="",E101=""),"",IF(C101="","",C101-E101))</f>
        <v/>
      </c>
      <c r="H101" s="380" t="inlineStr">
        <is>
          <t>Agent 01</t>
        </is>
      </c>
      <c r="I101" s="491" t="n"/>
      <c r="J101" s="492">
        <f>IF(AND(A101&lt;&gt;"",E101&lt;&gt;""),IF(I101="","⚠️ Enter Code",IF(IFERROR(VLOOKUP(H101,DB_Agents!$B:$I,8,0),"")=I101,IF(C101&gt;=E101,"Successful","Unsuccessful"),"🔒 BLOCKED — Wrong Code")),"—")</f>
        <v/>
      </c>
      <c r="K101" s="493">
        <f>IF(J101="Successful",TEXT(TODAY(),"YYYY-MM-DD")&amp;" Auto","—")</f>
        <v/>
      </c>
      <c r="L101" s="494" t="n"/>
    </row>
    <row r="102" ht="15" customHeight="1" s="341">
      <c r="A102" s="495" t="n"/>
      <c r="B102" s="382">
        <f>IF(A102="","",IFERROR(VLOOKUP(A102,DB_Customers!$A:$D,4,0),"❌ Account Not Found"))</f>
        <v/>
      </c>
      <c r="C102" s="496">
        <f>IF(A102="","",IFERROR(VLOOKUP(A102,DB_Customers!$A:$N,14,0),""))</f>
        <v/>
      </c>
      <c r="D102" s="497">
        <f>IF(A102="","",TODAY())</f>
        <v/>
      </c>
      <c r="E102" s="510" t="n"/>
      <c r="F102" s="382" t="n"/>
      <c r="G102" s="512">
        <f>IF(OR(A102="",E102=""),"",IF(C102="","",C102-E102))</f>
        <v/>
      </c>
      <c r="H102" s="384" t="inlineStr">
        <is>
          <t>Agent 01</t>
        </is>
      </c>
      <c r="I102" s="491" t="n"/>
      <c r="J102" s="499">
        <f>IF(AND(A102&lt;&gt;"",E102&lt;&gt;""),IF(I102="","⚠️ Enter Code",IF(IFERROR(VLOOKUP(H102,DB_Agents!$B:$I,8,0),"")=I102,IF(C102&gt;=E102,"Successful","Unsuccessful"),"🔒 BLOCKED — Wrong Code")),"—")</f>
        <v/>
      </c>
      <c r="K102" s="500">
        <f>IF(J102="Successful",TEXT(TODAY(),"YYYY-MM-DD")&amp;" Auto","—")</f>
        <v/>
      </c>
      <c r="L102" s="501" t="n"/>
    </row>
    <row r="103" ht="15" customHeight="1" s="341">
      <c r="A103" s="486" t="n"/>
      <c r="B103" s="378">
        <f>IF(A103="","",IFERROR(VLOOKUP(A103,DB_Customers!$A:$D,4,0),"❌ Account Not Found"))</f>
        <v/>
      </c>
      <c r="C103" s="487">
        <f>IF(A103="","",IFERROR(VLOOKUP(A103,DB_Customers!$A:$N,14,0),""))</f>
        <v/>
      </c>
      <c r="D103" s="488">
        <f>IF(A103="","",TODAY())</f>
        <v/>
      </c>
      <c r="E103" s="510" t="n"/>
      <c r="F103" s="378" t="n"/>
      <c r="G103" s="511">
        <f>IF(OR(A103="",E103=""),"",IF(C103="","",C103-E103))</f>
        <v/>
      </c>
      <c r="H103" s="380" t="inlineStr">
        <is>
          <t>Agent 01</t>
        </is>
      </c>
      <c r="I103" s="491" t="n"/>
      <c r="J103" s="492">
        <f>IF(AND(A103&lt;&gt;"",E103&lt;&gt;""),IF(I103="","⚠️ Enter Code",IF(IFERROR(VLOOKUP(H103,DB_Agents!$B:$I,8,0),"")=I103,IF(C103&gt;=E103,"Successful","Unsuccessful"),"🔒 BLOCKED — Wrong Code")),"—")</f>
        <v/>
      </c>
      <c r="K103" s="493">
        <f>IF(J103="Successful",TEXT(TODAY(),"YYYY-MM-DD")&amp;" Auto","—")</f>
        <v/>
      </c>
      <c r="L103" s="494" t="n"/>
    </row>
    <row r="104" ht="15" customHeight="1" s="341">
      <c r="A104" s="495" t="n"/>
      <c r="B104" s="382">
        <f>IF(A104="","",IFERROR(VLOOKUP(A104,DB_Customers!$A:$D,4,0),"❌ Account Not Found"))</f>
        <v/>
      </c>
      <c r="C104" s="496">
        <f>IF(A104="","",IFERROR(VLOOKUP(A104,DB_Customers!$A:$N,14,0),""))</f>
        <v/>
      </c>
      <c r="D104" s="497">
        <f>IF(A104="","",TODAY())</f>
        <v/>
      </c>
      <c r="E104" s="510" t="n"/>
      <c r="F104" s="382" t="n"/>
      <c r="G104" s="512">
        <f>IF(OR(A104="",E104=""),"",IF(C104="","",C104-E104))</f>
        <v/>
      </c>
      <c r="H104" s="384" t="inlineStr">
        <is>
          <t>Agent 01</t>
        </is>
      </c>
      <c r="I104" s="491" t="n"/>
      <c r="J104" s="499">
        <f>IF(AND(A104&lt;&gt;"",E104&lt;&gt;""),IF(I104="","⚠️ Enter Code",IF(IFERROR(VLOOKUP(H104,DB_Agents!$B:$I,8,0),"")=I104,IF(C104&gt;=E104,"Successful","Unsuccessful"),"🔒 BLOCKED — Wrong Code")),"—")</f>
        <v/>
      </c>
      <c r="K104" s="500">
        <f>IF(J104="Successful",TEXT(TODAY(),"YYYY-MM-DD")&amp;" Auto","—")</f>
        <v/>
      </c>
      <c r="L104" s="501" t="n"/>
    </row>
    <row r="105" ht="15" customHeight="1" s="341">
      <c r="A105" s="486" t="n"/>
      <c r="B105" s="378">
        <f>IF(A105="","",IFERROR(VLOOKUP(A105,DB_Customers!$A:$D,4,0),"❌ Account Not Found"))</f>
        <v/>
      </c>
      <c r="C105" s="487">
        <f>IF(A105="","",IFERROR(VLOOKUP(A105,DB_Customers!$A:$N,14,0),""))</f>
        <v/>
      </c>
      <c r="D105" s="488">
        <f>IF(A105="","",TODAY())</f>
        <v/>
      </c>
      <c r="E105" s="510" t="n"/>
      <c r="F105" s="378" t="n"/>
      <c r="G105" s="511">
        <f>IF(OR(A105="",E105=""),"",IF(C105="","",C105-E105))</f>
        <v/>
      </c>
      <c r="H105" s="380" t="inlineStr">
        <is>
          <t>Agent 01</t>
        </is>
      </c>
      <c r="I105" s="491" t="n"/>
      <c r="J105" s="492">
        <f>IF(AND(A105&lt;&gt;"",E105&lt;&gt;""),IF(I105="","⚠️ Enter Code",IF(IFERROR(VLOOKUP(H105,DB_Agents!$B:$I,8,0),"")=I105,IF(C105&gt;=E105,"Successful","Unsuccessful"),"🔒 BLOCKED — Wrong Code")),"—")</f>
        <v/>
      </c>
      <c r="K105" s="493">
        <f>IF(J105="Successful",TEXT(TODAY(),"YYYY-MM-DD")&amp;" Auto","—")</f>
        <v/>
      </c>
      <c r="L105" s="494" t="n"/>
    </row>
    <row r="106" ht="15" customHeight="1" s="341">
      <c r="A106" s="495" t="n"/>
      <c r="B106" s="382">
        <f>IF(A106="","",IFERROR(VLOOKUP(A106,DB_Customers!$A:$D,4,0),"❌ Account Not Found"))</f>
        <v/>
      </c>
      <c r="C106" s="496">
        <f>IF(A106="","",IFERROR(VLOOKUP(A106,DB_Customers!$A:$N,14,0),""))</f>
        <v/>
      </c>
      <c r="D106" s="497">
        <f>IF(A106="","",TODAY())</f>
        <v/>
      </c>
      <c r="E106" s="510" t="n"/>
      <c r="F106" s="382" t="n"/>
      <c r="G106" s="512">
        <f>IF(OR(A106="",E106=""),"",IF(C106="","",C106-E106))</f>
        <v/>
      </c>
      <c r="H106" s="384" t="inlineStr">
        <is>
          <t>Agent 01</t>
        </is>
      </c>
      <c r="I106" s="491" t="n"/>
      <c r="J106" s="499">
        <f>IF(AND(A106&lt;&gt;"",E106&lt;&gt;""),IF(I106="","⚠️ Enter Code",IF(IFERROR(VLOOKUP(H106,DB_Agents!$B:$I,8,0),"")=I106,IF(C106&gt;=E106,"Successful","Unsuccessful"),"🔒 BLOCKED — Wrong Code")),"—")</f>
        <v/>
      </c>
      <c r="K106" s="500">
        <f>IF(J106="Successful",TEXT(TODAY(),"YYYY-MM-DD")&amp;" Auto","—")</f>
        <v/>
      </c>
      <c r="L106" s="501" t="n"/>
    </row>
    <row r="107" ht="15" customHeight="1" s="341">
      <c r="A107" s="486" t="n"/>
      <c r="B107" s="378">
        <f>IF(A107="","",IFERROR(VLOOKUP(A107,DB_Customers!$A:$D,4,0),"❌ Account Not Found"))</f>
        <v/>
      </c>
      <c r="C107" s="487">
        <f>IF(A107="","",IFERROR(VLOOKUP(A107,DB_Customers!$A:$N,14,0),""))</f>
        <v/>
      </c>
      <c r="D107" s="488">
        <f>IF(A107="","",TODAY())</f>
        <v/>
      </c>
      <c r="E107" s="510" t="n"/>
      <c r="F107" s="378" t="n"/>
      <c r="G107" s="511">
        <f>IF(OR(A107="",E107=""),"",IF(C107="","",C107-E107))</f>
        <v/>
      </c>
      <c r="H107" s="380" t="inlineStr">
        <is>
          <t>Agent 01</t>
        </is>
      </c>
      <c r="I107" s="491" t="n"/>
      <c r="J107" s="492">
        <f>IF(AND(A107&lt;&gt;"",E107&lt;&gt;""),IF(I107="","⚠️ Enter Code",IF(IFERROR(VLOOKUP(H107,DB_Agents!$B:$I,8,0),"")=I107,IF(C107&gt;=E107,"Successful","Unsuccessful"),"🔒 BLOCKED — Wrong Code")),"—")</f>
        <v/>
      </c>
      <c r="K107" s="493">
        <f>IF(J107="Successful",TEXT(TODAY(),"YYYY-MM-DD")&amp;" Auto","—")</f>
        <v/>
      </c>
      <c r="L107" s="494" t="n"/>
    </row>
    <row r="108" ht="15" customHeight="1" s="341">
      <c r="A108" s="495" t="n"/>
      <c r="B108" s="382">
        <f>IF(A108="","",IFERROR(VLOOKUP(A108,DB_Customers!$A:$D,4,0),"❌ Account Not Found"))</f>
        <v/>
      </c>
      <c r="C108" s="496">
        <f>IF(A108="","",IFERROR(VLOOKUP(A108,DB_Customers!$A:$N,14,0),""))</f>
        <v/>
      </c>
      <c r="D108" s="497">
        <f>IF(A108="","",TODAY())</f>
        <v/>
      </c>
      <c r="E108" s="510" t="n"/>
      <c r="F108" s="382" t="n"/>
      <c r="G108" s="512">
        <f>IF(OR(A108="",E108=""),"",IF(C108="","",C108-E108))</f>
        <v/>
      </c>
      <c r="H108" s="384" t="inlineStr">
        <is>
          <t>Agent 01</t>
        </is>
      </c>
      <c r="I108" s="491" t="n"/>
      <c r="J108" s="499">
        <f>IF(AND(A108&lt;&gt;"",E108&lt;&gt;""),IF(I108="","⚠️ Enter Code",IF(IFERROR(VLOOKUP(H108,DB_Agents!$B:$I,8,0),"")=I108,IF(C108&gt;=E108,"Successful","Unsuccessful"),"🔒 BLOCKED — Wrong Code")),"—")</f>
        <v/>
      </c>
      <c r="K108" s="500">
        <f>IF(J108="Successful",TEXT(TODAY(),"YYYY-MM-DD")&amp;" Auto","—")</f>
        <v/>
      </c>
      <c r="L108" s="501" t="n"/>
    </row>
    <row r="109" ht="15" customHeight="1" s="341">
      <c r="A109" s="486" t="n"/>
      <c r="B109" s="378">
        <f>IF(A109="","",IFERROR(VLOOKUP(A109,DB_Customers!$A:$D,4,0),"❌ Account Not Found"))</f>
        <v/>
      </c>
      <c r="C109" s="487">
        <f>IF(A109="","",IFERROR(VLOOKUP(A109,DB_Customers!$A:$N,14,0),""))</f>
        <v/>
      </c>
      <c r="D109" s="488">
        <f>IF(A109="","",TODAY())</f>
        <v/>
      </c>
      <c r="E109" s="510" t="n"/>
      <c r="F109" s="378" t="n"/>
      <c r="G109" s="511">
        <f>IF(OR(A109="",E109=""),"",IF(C109="","",C109-E109))</f>
        <v/>
      </c>
      <c r="H109" s="380" t="inlineStr">
        <is>
          <t>Agent 01</t>
        </is>
      </c>
      <c r="I109" s="491" t="n"/>
      <c r="J109" s="492">
        <f>IF(AND(A109&lt;&gt;"",E109&lt;&gt;""),IF(I109="","⚠️ Enter Code",IF(IFERROR(VLOOKUP(H109,DB_Agents!$B:$I,8,0),"")=I109,IF(C109&gt;=E109,"Successful","Unsuccessful"),"🔒 BLOCKED — Wrong Code")),"—")</f>
        <v/>
      </c>
      <c r="K109" s="493">
        <f>IF(J109="Successful",TEXT(TODAY(),"YYYY-MM-DD")&amp;" Auto","—")</f>
        <v/>
      </c>
      <c r="L109" s="494" t="n"/>
    </row>
    <row r="110" ht="15" customHeight="1" s="341">
      <c r="A110" s="495" t="n"/>
      <c r="B110" s="382">
        <f>IF(A110="","",IFERROR(VLOOKUP(A110,DB_Customers!$A:$D,4,0),"❌ Account Not Found"))</f>
        <v/>
      </c>
      <c r="C110" s="496">
        <f>IF(A110="","",IFERROR(VLOOKUP(A110,DB_Customers!$A:$N,14,0),""))</f>
        <v/>
      </c>
      <c r="D110" s="497">
        <f>IF(A110="","",TODAY())</f>
        <v/>
      </c>
      <c r="E110" s="510" t="n"/>
      <c r="F110" s="382" t="n"/>
      <c r="G110" s="512">
        <f>IF(OR(A110="",E110=""),"",IF(C110="","",C110-E110))</f>
        <v/>
      </c>
      <c r="H110" s="384" t="inlineStr">
        <is>
          <t>Agent 01</t>
        </is>
      </c>
      <c r="I110" s="491" t="n"/>
      <c r="J110" s="499">
        <f>IF(AND(A110&lt;&gt;"",E110&lt;&gt;""),IF(I110="","⚠️ Enter Code",IF(IFERROR(VLOOKUP(H110,DB_Agents!$B:$I,8,0),"")=I110,IF(C110&gt;=E110,"Successful","Unsuccessful"),"🔒 BLOCKED — Wrong Code")),"—")</f>
        <v/>
      </c>
      <c r="K110" s="500">
        <f>IF(J110="Successful",TEXT(TODAY(),"YYYY-MM-DD")&amp;" Auto","—")</f>
        <v/>
      </c>
      <c r="L110" s="501" t="n"/>
    </row>
    <row r="111" ht="15" customHeight="1" s="341">
      <c r="A111" s="486" t="n"/>
      <c r="B111" s="378">
        <f>IF(A111="","",IFERROR(VLOOKUP(A111,DB_Customers!$A:$D,4,0),"❌ Account Not Found"))</f>
        <v/>
      </c>
      <c r="C111" s="487">
        <f>IF(A111="","",IFERROR(VLOOKUP(A111,DB_Customers!$A:$N,14,0),""))</f>
        <v/>
      </c>
      <c r="D111" s="488">
        <f>IF(A111="","",TODAY())</f>
        <v/>
      </c>
      <c r="E111" s="510" t="n"/>
      <c r="F111" s="378" t="n"/>
      <c r="G111" s="511">
        <f>IF(OR(A111="",E111=""),"",IF(C111="","",C111-E111))</f>
        <v/>
      </c>
      <c r="H111" s="380" t="inlineStr">
        <is>
          <t>Agent 01</t>
        </is>
      </c>
      <c r="I111" s="491" t="n"/>
      <c r="J111" s="492">
        <f>IF(AND(A111&lt;&gt;"",E111&lt;&gt;""),IF(I111="","⚠️ Enter Code",IF(IFERROR(VLOOKUP(H111,DB_Agents!$B:$I,8,0),"")=I111,IF(C111&gt;=E111,"Successful","Unsuccessful"),"🔒 BLOCKED — Wrong Code")),"—")</f>
        <v/>
      </c>
      <c r="K111" s="493">
        <f>IF(J111="Successful",TEXT(TODAY(),"YYYY-MM-DD")&amp;" Auto","—")</f>
        <v/>
      </c>
      <c r="L111" s="494" t="n"/>
    </row>
    <row r="112" ht="15" customHeight="1" s="341">
      <c r="A112" s="495" t="n"/>
      <c r="B112" s="382">
        <f>IF(A112="","",IFERROR(VLOOKUP(A112,DB_Customers!$A:$D,4,0),"❌ Account Not Found"))</f>
        <v/>
      </c>
      <c r="C112" s="496">
        <f>IF(A112="","",IFERROR(VLOOKUP(A112,DB_Customers!$A:$N,14,0),""))</f>
        <v/>
      </c>
      <c r="D112" s="497">
        <f>IF(A112="","",TODAY())</f>
        <v/>
      </c>
      <c r="E112" s="510" t="n"/>
      <c r="F112" s="382" t="n"/>
      <c r="G112" s="512">
        <f>IF(OR(A112="",E112=""),"",IF(C112="","",C112-E112))</f>
        <v/>
      </c>
      <c r="H112" s="384" t="inlineStr">
        <is>
          <t>Agent 01</t>
        </is>
      </c>
      <c r="I112" s="491" t="n"/>
      <c r="J112" s="499">
        <f>IF(AND(A112&lt;&gt;"",E112&lt;&gt;""),IF(I112="","⚠️ Enter Code",IF(IFERROR(VLOOKUP(H112,DB_Agents!$B:$I,8,0),"")=I112,IF(C112&gt;=E112,"Successful","Unsuccessful"),"🔒 BLOCKED — Wrong Code")),"—")</f>
        <v/>
      </c>
      <c r="K112" s="500">
        <f>IF(J112="Successful",TEXT(TODAY(),"YYYY-MM-DD")&amp;" Auto","—")</f>
        <v/>
      </c>
      <c r="L112" s="501" t="n"/>
    </row>
    <row r="113" ht="15" customHeight="1" s="341">
      <c r="A113" s="486" t="n"/>
      <c r="B113" s="378">
        <f>IF(A113="","",IFERROR(VLOOKUP(A113,DB_Customers!$A:$D,4,0),"❌ Account Not Found"))</f>
        <v/>
      </c>
      <c r="C113" s="487">
        <f>IF(A113="","",IFERROR(VLOOKUP(A113,DB_Customers!$A:$N,14,0),""))</f>
        <v/>
      </c>
      <c r="D113" s="488">
        <f>IF(A113="","",TODAY())</f>
        <v/>
      </c>
      <c r="E113" s="510" t="n"/>
      <c r="F113" s="378" t="n"/>
      <c r="G113" s="511">
        <f>IF(OR(A113="",E113=""),"",IF(C113="","",C113-E113))</f>
        <v/>
      </c>
      <c r="H113" s="380" t="inlineStr">
        <is>
          <t>Agent 01</t>
        </is>
      </c>
      <c r="I113" s="491" t="n"/>
      <c r="J113" s="492">
        <f>IF(AND(A113&lt;&gt;"",E113&lt;&gt;""),IF(I113="","⚠️ Enter Code",IF(IFERROR(VLOOKUP(H113,DB_Agents!$B:$I,8,0),"")=I113,IF(C113&gt;=E113,"Successful","Unsuccessful"),"🔒 BLOCKED — Wrong Code")),"—")</f>
        <v/>
      </c>
      <c r="K113" s="493">
        <f>IF(J113="Successful",TEXT(TODAY(),"YYYY-MM-DD")&amp;" Auto","—")</f>
        <v/>
      </c>
      <c r="L113" s="494" t="n"/>
    </row>
    <row r="114" ht="15" customHeight="1" s="341">
      <c r="A114" s="495" t="n"/>
      <c r="B114" s="382">
        <f>IF(A114="","",IFERROR(VLOOKUP(A114,DB_Customers!$A:$D,4,0),"❌ Account Not Found"))</f>
        <v/>
      </c>
      <c r="C114" s="496">
        <f>IF(A114="","",IFERROR(VLOOKUP(A114,DB_Customers!$A:$N,14,0),""))</f>
        <v/>
      </c>
      <c r="D114" s="497">
        <f>IF(A114="","",TODAY())</f>
        <v/>
      </c>
      <c r="E114" s="510" t="n"/>
      <c r="F114" s="382" t="n"/>
      <c r="G114" s="512">
        <f>IF(OR(A114="",E114=""),"",IF(C114="","",C114-E114))</f>
        <v/>
      </c>
      <c r="H114" s="384" t="inlineStr">
        <is>
          <t>Agent 01</t>
        </is>
      </c>
      <c r="I114" s="491" t="n"/>
      <c r="J114" s="499">
        <f>IF(AND(A114&lt;&gt;"",E114&lt;&gt;""),IF(I114="","⚠️ Enter Code",IF(IFERROR(VLOOKUP(H114,DB_Agents!$B:$I,8,0),"")=I114,IF(C114&gt;=E114,"Successful","Unsuccessful"),"🔒 BLOCKED — Wrong Code")),"—")</f>
        <v/>
      </c>
      <c r="K114" s="500">
        <f>IF(J114="Successful",TEXT(TODAY(),"YYYY-MM-DD")&amp;" Auto","—")</f>
        <v/>
      </c>
      <c r="L114" s="501" t="n"/>
    </row>
    <row r="115" ht="15" customHeight="1" s="341">
      <c r="A115" s="486" t="n"/>
      <c r="B115" s="378">
        <f>IF(A115="","",IFERROR(VLOOKUP(A115,DB_Customers!$A:$D,4,0),"❌ Account Not Found"))</f>
        <v/>
      </c>
      <c r="C115" s="487">
        <f>IF(A115="","",IFERROR(VLOOKUP(A115,DB_Customers!$A:$N,14,0),""))</f>
        <v/>
      </c>
      <c r="D115" s="488">
        <f>IF(A115="","",TODAY())</f>
        <v/>
      </c>
      <c r="E115" s="510" t="n"/>
      <c r="F115" s="378" t="n"/>
      <c r="G115" s="511">
        <f>IF(OR(A115="",E115=""),"",IF(C115="","",C115-E115))</f>
        <v/>
      </c>
      <c r="H115" s="380" t="inlineStr">
        <is>
          <t>Agent 01</t>
        </is>
      </c>
      <c r="I115" s="491" t="n"/>
      <c r="J115" s="492">
        <f>IF(AND(A115&lt;&gt;"",E115&lt;&gt;""),IF(I115="","⚠️ Enter Code",IF(IFERROR(VLOOKUP(H115,DB_Agents!$B:$I,8,0),"")=I115,IF(C115&gt;=E115,"Successful","Unsuccessful"),"🔒 BLOCKED — Wrong Code")),"—")</f>
        <v/>
      </c>
      <c r="K115" s="493">
        <f>IF(J115="Successful",TEXT(TODAY(),"YYYY-MM-DD")&amp;" Auto","—")</f>
        <v/>
      </c>
      <c r="L115" s="494" t="n"/>
    </row>
    <row r="116" ht="15" customHeight="1" s="341">
      <c r="A116" s="495" t="n"/>
      <c r="B116" s="382">
        <f>IF(A116="","",IFERROR(VLOOKUP(A116,DB_Customers!$A:$D,4,0),"❌ Account Not Found"))</f>
        <v/>
      </c>
      <c r="C116" s="496">
        <f>IF(A116="","",IFERROR(VLOOKUP(A116,DB_Customers!$A:$N,14,0),""))</f>
        <v/>
      </c>
      <c r="D116" s="497">
        <f>IF(A116="","",TODAY())</f>
        <v/>
      </c>
      <c r="E116" s="510" t="n"/>
      <c r="F116" s="382" t="n"/>
      <c r="G116" s="512">
        <f>IF(OR(A116="",E116=""),"",IF(C116="","",C116-E116))</f>
        <v/>
      </c>
      <c r="H116" s="384" t="inlineStr">
        <is>
          <t>Agent 01</t>
        </is>
      </c>
      <c r="I116" s="491" t="n"/>
      <c r="J116" s="499">
        <f>IF(AND(A116&lt;&gt;"",E116&lt;&gt;""),IF(I116="","⚠️ Enter Code",IF(IFERROR(VLOOKUP(H116,DB_Agents!$B:$I,8,0),"")=I116,IF(C116&gt;=E116,"Successful","Unsuccessful"),"🔒 BLOCKED — Wrong Code")),"—")</f>
        <v/>
      </c>
      <c r="K116" s="500">
        <f>IF(J116="Successful",TEXT(TODAY(),"YYYY-MM-DD")&amp;" Auto","—")</f>
        <v/>
      </c>
      <c r="L116" s="501" t="n"/>
    </row>
    <row r="117" ht="15" customHeight="1" s="341">
      <c r="A117" s="486" t="n"/>
      <c r="B117" s="378">
        <f>IF(A117="","",IFERROR(VLOOKUP(A117,DB_Customers!$A:$D,4,0),"❌ Account Not Found"))</f>
        <v/>
      </c>
      <c r="C117" s="487">
        <f>IF(A117="","",IFERROR(VLOOKUP(A117,DB_Customers!$A:$N,14,0),""))</f>
        <v/>
      </c>
      <c r="D117" s="488">
        <f>IF(A117="","",TODAY())</f>
        <v/>
      </c>
      <c r="E117" s="510" t="n"/>
      <c r="F117" s="378" t="n"/>
      <c r="G117" s="511">
        <f>IF(OR(A117="",E117=""),"",IF(C117="","",C117-E117))</f>
        <v/>
      </c>
      <c r="H117" s="380" t="inlineStr">
        <is>
          <t>Agent 01</t>
        </is>
      </c>
      <c r="I117" s="491" t="n"/>
      <c r="J117" s="492">
        <f>IF(AND(A117&lt;&gt;"",E117&lt;&gt;""),IF(I117="","⚠️ Enter Code",IF(IFERROR(VLOOKUP(H117,DB_Agents!$B:$I,8,0),"")=I117,IF(C117&gt;=E117,"Successful","Unsuccessful"),"🔒 BLOCKED — Wrong Code")),"—")</f>
        <v/>
      </c>
      <c r="K117" s="493">
        <f>IF(J117="Successful",TEXT(TODAY(),"YYYY-MM-DD")&amp;" Auto","—")</f>
        <v/>
      </c>
      <c r="L117" s="494" t="n"/>
    </row>
    <row r="118" ht="15" customHeight="1" s="341">
      <c r="A118" s="495" t="n"/>
      <c r="B118" s="382">
        <f>IF(A118="","",IFERROR(VLOOKUP(A118,DB_Customers!$A:$D,4,0),"❌ Account Not Found"))</f>
        <v/>
      </c>
      <c r="C118" s="496">
        <f>IF(A118="","",IFERROR(VLOOKUP(A118,DB_Customers!$A:$N,14,0),""))</f>
        <v/>
      </c>
      <c r="D118" s="497">
        <f>IF(A118="","",TODAY())</f>
        <v/>
      </c>
      <c r="E118" s="510" t="n"/>
      <c r="F118" s="382" t="n"/>
      <c r="G118" s="512">
        <f>IF(OR(A118="",E118=""),"",IF(C118="","",C118-E118))</f>
        <v/>
      </c>
      <c r="H118" s="384" t="inlineStr">
        <is>
          <t>Agent 01</t>
        </is>
      </c>
      <c r="I118" s="491" t="n"/>
      <c r="J118" s="499">
        <f>IF(AND(A118&lt;&gt;"",E118&lt;&gt;""),IF(I118="","⚠️ Enter Code",IF(IFERROR(VLOOKUP(H118,DB_Agents!$B:$I,8,0),"")=I118,IF(C118&gt;=E118,"Successful","Unsuccessful"),"🔒 BLOCKED — Wrong Code")),"—")</f>
        <v/>
      </c>
      <c r="K118" s="500">
        <f>IF(J118="Successful",TEXT(TODAY(),"YYYY-MM-DD")&amp;" Auto","—")</f>
        <v/>
      </c>
      <c r="L118" s="501" t="n"/>
    </row>
    <row r="119" ht="15" customHeight="1" s="341">
      <c r="A119" s="486" t="n"/>
      <c r="B119" s="378">
        <f>IF(A119="","",IFERROR(VLOOKUP(A119,DB_Customers!$A:$D,4,0),"❌ Account Not Found"))</f>
        <v/>
      </c>
      <c r="C119" s="487">
        <f>IF(A119="","",IFERROR(VLOOKUP(A119,DB_Customers!$A:$N,14,0),""))</f>
        <v/>
      </c>
      <c r="D119" s="488">
        <f>IF(A119="","",TODAY())</f>
        <v/>
      </c>
      <c r="E119" s="510" t="n"/>
      <c r="F119" s="378" t="n"/>
      <c r="G119" s="511">
        <f>IF(OR(A119="",E119=""),"",IF(C119="","",C119-E119))</f>
        <v/>
      </c>
      <c r="H119" s="380" t="inlineStr">
        <is>
          <t>Agent 01</t>
        </is>
      </c>
      <c r="I119" s="491" t="n"/>
      <c r="J119" s="492">
        <f>IF(AND(A119&lt;&gt;"",E119&lt;&gt;""),IF(I119="","⚠️ Enter Code",IF(IFERROR(VLOOKUP(H119,DB_Agents!$B:$I,8,0),"")=I119,IF(C119&gt;=E119,"Successful","Unsuccessful"),"🔒 BLOCKED — Wrong Code")),"—")</f>
        <v/>
      </c>
      <c r="K119" s="493">
        <f>IF(J119="Successful",TEXT(TODAY(),"YYYY-MM-DD")&amp;" Auto","—")</f>
        <v/>
      </c>
      <c r="L119" s="494" t="n"/>
    </row>
    <row r="120" ht="15" customHeight="1" s="341">
      <c r="A120" s="495" t="n"/>
      <c r="B120" s="382">
        <f>IF(A120="","",IFERROR(VLOOKUP(A120,DB_Customers!$A:$D,4,0),"❌ Account Not Found"))</f>
        <v/>
      </c>
      <c r="C120" s="496">
        <f>IF(A120="","",IFERROR(VLOOKUP(A120,DB_Customers!$A:$N,14,0),""))</f>
        <v/>
      </c>
      <c r="D120" s="497">
        <f>IF(A120="","",TODAY())</f>
        <v/>
      </c>
      <c r="E120" s="510" t="n"/>
      <c r="F120" s="382" t="n"/>
      <c r="G120" s="512">
        <f>IF(OR(A120="",E120=""),"",IF(C120="","",C120-E120))</f>
        <v/>
      </c>
      <c r="H120" s="384" t="inlineStr">
        <is>
          <t>Agent 01</t>
        </is>
      </c>
      <c r="I120" s="491" t="n"/>
      <c r="J120" s="499">
        <f>IF(AND(A120&lt;&gt;"",E120&lt;&gt;""),IF(I120="","⚠️ Enter Code",IF(IFERROR(VLOOKUP(H120,DB_Agents!$B:$I,8,0),"")=I120,IF(C120&gt;=E120,"Successful","Unsuccessful"),"🔒 BLOCKED — Wrong Code")),"—")</f>
        <v/>
      </c>
      <c r="K120" s="500">
        <f>IF(J120="Successful",TEXT(TODAY(),"YYYY-MM-DD")&amp;" Auto","—")</f>
        <v/>
      </c>
      <c r="L120" s="501" t="n"/>
    </row>
    <row r="121" ht="15" customHeight="1" s="341">
      <c r="A121" s="486" t="n"/>
      <c r="B121" s="378">
        <f>IF(A121="","",IFERROR(VLOOKUP(A121,DB_Customers!$A:$D,4,0),"❌ Account Not Found"))</f>
        <v/>
      </c>
      <c r="C121" s="487">
        <f>IF(A121="","",IFERROR(VLOOKUP(A121,DB_Customers!$A:$N,14,0),""))</f>
        <v/>
      </c>
      <c r="D121" s="488">
        <f>IF(A121="","",TODAY())</f>
        <v/>
      </c>
      <c r="E121" s="510" t="n"/>
      <c r="F121" s="378" t="n"/>
      <c r="G121" s="511">
        <f>IF(OR(A121="",E121=""),"",IF(C121="","",C121-E121))</f>
        <v/>
      </c>
      <c r="H121" s="380" t="inlineStr">
        <is>
          <t>Agent 01</t>
        </is>
      </c>
      <c r="I121" s="491" t="n"/>
      <c r="J121" s="492">
        <f>IF(AND(A121&lt;&gt;"",E121&lt;&gt;""),IF(I121="","⚠️ Enter Code",IF(IFERROR(VLOOKUP(H121,DB_Agents!$B:$I,8,0),"")=I121,IF(C121&gt;=E121,"Successful","Unsuccessful"),"🔒 BLOCKED — Wrong Code")),"—")</f>
        <v/>
      </c>
      <c r="K121" s="493">
        <f>IF(J121="Successful",TEXT(TODAY(),"YYYY-MM-DD")&amp;" Auto","—")</f>
        <v/>
      </c>
      <c r="L121" s="494" t="n"/>
    </row>
    <row r="122" ht="15" customHeight="1" s="341">
      <c r="A122" s="495" t="n"/>
      <c r="B122" s="382">
        <f>IF(A122="","",IFERROR(VLOOKUP(A122,DB_Customers!$A:$D,4,0),"❌ Account Not Found"))</f>
        <v/>
      </c>
      <c r="C122" s="496">
        <f>IF(A122="","",IFERROR(VLOOKUP(A122,DB_Customers!$A:$N,14,0),""))</f>
        <v/>
      </c>
      <c r="D122" s="497">
        <f>IF(A122="","",TODAY())</f>
        <v/>
      </c>
      <c r="E122" s="510" t="n"/>
      <c r="F122" s="382" t="n"/>
      <c r="G122" s="512">
        <f>IF(OR(A122="",E122=""),"",IF(C122="","",C122-E122))</f>
        <v/>
      </c>
      <c r="H122" s="384" t="inlineStr">
        <is>
          <t>Agent 01</t>
        </is>
      </c>
      <c r="I122" s="491" t="n"/>
      <c r="J122" s="499">
        <f>IF(AND(A122&lt;&gt;"",E122&lt;&gt;""),IF(I122="","⚠️ Enter Code",IF(IFERROR(VLOOKUP(H122,DB_Agents!$B:$I,8,0),"")=I122,IF(C122&gt;=E122,"Successful","Unsuccessful"),"🔒 BLOCKED — Wrong Code")),"—")</f>
        <v/>
      </c>
      <c r="K122" s="500">
        <f>IF(J122="Successful",TEXT(TODAY(),"YYYY-MM-DD")&amp;" Auto","—")</f>
        <v/>
      </c>
      <c r="L122" s="501" t="n"/>
    </row>
    <row r="123" ht="15" customHeight="1" s="341">
      <c r="A123" s="486" t="n"/>
      <c r="B123" s="378">
        <f>IF(A123="","",IFERROR(VLOOKUP(A123,DB_Customers!$A:$D,4,0),"❌ Account Not Found"))</f>
        <v/>
      </c>
      <c r="C123" s="487">
        <f>IF(A123="","",IFERROR(VLOOKUP(A123,DB_Customers!$A:$N,14,0),""))</f>
        <v/>
      </c>
      <c r="D123" s="488">
        <f>IF(A123="","",TODAY())</f>
        <v/>
      </c>
      <c r="E123" s="510" t="n"/>
      <c r="F123" s="378" t="n"/>
      <c r="G123" s="511">
        <f>IF(OR(A123="",E123=""),"",IF(C123="","",C123-E123))</f>
        <v/>
      </c>
      <c r="H123" s="380" t="inlineStr">
        <is>
          <t>Agent 01</t>
        </is>
      </c>
      <c r="I123" s="491" t="n"/>
      <c r="J123" s="492">
        <f>IF(AND(A123&lt;&gt;"",E123&lt;&gt;""),IF(I123="","⚠️ Enter Code",IF(IFERROR(VLOOKUP(H123,DB_Agents!$B:$I,8,0),"")=I123,IF(C123&gt;=E123,"Successful","Unsuccessful"),"🔒 BLOCKED — Wrong Code")),"—")</f>
        <v/>
      </c>
      <c r="K123" s="493">
        <f>IF(J123="Successful",TEXT(TODAY(),"YYYY-MM-DD")&amp;" Auto","—")</f>
        <v/>
      </c>
      <c r="L123" s="494" t="n"/>
    </row>
    <row r="124" ht="15" customHeight="1" s="341">
      <c r="A124" s="495" t="n"/>
      <c r="B124" s="382">
        <f>IF(A124="","",IFERROR(VLOOKUP(A124,DB_Customers!$A:$D,4,0),"❌ Account Not Found"))</f>
        <v/>
      </c>
      <c r="C124" s="496">
        <f>IF(A124="","",IFERROR(VLOOKUP(A124,DB_Customers!$A:$N,14,0),""))</f>
        <v/>
      </c>
      <c r="D124" s="497">
        <f>IF(A124="","",TODAY())</f>
        <v/>
      </c>
      <c r="E124" s="510" t="n"/>
      <c r="F124" s="382" t="n"/>
      <c r="G124" s="512">
        <f>IF(OR(A124="",E124=""),"",IF(C124="","",C124-E124))</f>
        <v/>
      </c>
      <c r="H124" s="384" t="inlineStr">
        <is>
          <t>Agent 01</t>
        </is>
      </c>
      <c r="I124" s="491" t="n"/>
      <c r="J124" s="499">
        <f>IF(AND(A124&lt;&gt;"",E124&lt;&gt;""),IF(I124="","⚠️ Enter Code",IF(IFERROR(VLOOKUP(H124,DB_Agents!$B:$I,8,0),"")=I124,IF(C124&gt;=E124,"Successful","Unsuccessful"),"🔒 BLOCKED — Wrong Code")),"—")</f>
        <v/>
      </c>
      <c r="K124" s="500">
        <f>IF(J124="Successful",TEXT(TODAY(),"YYYY-MM-DD")&amp;" Auto","—")</f>
        <v/>
      </c>
      <c r="L124" s="501" t="n"/>
    </row>
    <row r="125" ht="15" customHeight="1" s="341">
      <c r="A125" s="486" t="n"/>
      <c r="B125" s="378">
        <f>IF(A125="","",IFERROR(VLOOKUP(A125,DB_Customers!$A:$D,4,0),"❌ Account Not Found"))</f>
        <v/>
      </c>
      <c r="C125" s="487">
        <f>IF(A125="","",IFERROR(VLOOKUP(A125,DB_Customers!$A:$N,14,0),""))</f>
        <v/>
      </c>
      <c r="D125" s="488">
        <f>IF(A125="","",TODAY())</f>
        <v/>
      </c>
      <c r="E125" s="510" t="n"/>
      <c r="F125" s="378" t="n"/>
      <c r="G125" s="511">
        <f>IF(OR(A125="",E125=""),"",IF(C125="","",C125-E125))</f>
        <v/>
      </c>
      <c r="H125" s="380" t="inlineStr">
        <is>
          <t>Agent 01</t>
        </is>
      </c>
      <c r="I125" s="491" t="n"/>
      <c r="J125" s="492">
        <f>IF(AND(A125&lt;&gt;"",E125&lt;&gt;""),IF(I125="","⚠️ Enter Code",IF(IFERROR(VLOOKUP(H125,DB_Agents!$B:$I,8,0),"")=I125,IF(C125&gt;=E125,"Successful","Unsuccessful"),"🔒 BLOCKED — Wrong Code")),"—")</f>
        <v/>
      </c>
      <c r="K125" s="493">
        <f>IF(J125="Successful",TEXT(TODAY(),"YYYY-MM-DD")&amp;" Auto","—")</f>
        <v/>
      </c>
      <c r="L125" s="494" t="n"/>
    </row>
    <row r="126" ht="15" customHeight="1" s="341">
      <c r="A126" s="495" t="n"/>
      <c r="B126" s="382">
        <f>IF(A126="","",IFERROR(VLOOKUP(A126,DB_Customers!$A:$D,4,0),"❌ Account Not Found"))</f>
        <v/>
      </c>
      <c r="C126" s="496">
        <f>IF(A126="","",IFERROR(VLOOKUP(A126,DB_Customers!$A:$N,14,0),""))</f>
        <v/>
      </c>
      <c r="D126" s="497">
        <f>IF(A126="","",TODAY())</f>
        <v/>
      </c>
      <c r="E126" s="510" t="n"/>
      <c r="F126" s="382" t="n"/>
      <c r="G126" s="512">
        <f>IF(OR(A126="",E126=""),"",IF(C126="","",C126-E126))</f>
        <v/>
      </c>
      <c r="H126" s="384" t="inlineStr">
        <is>
          <t>Agent 01</t>
        </is>
      </c>
      <c r="I126" s="491" t="n"/>
      <c r="J126" s="499">
        <f>IF(AND(A126&lt;&gt;"",E126&lt;&gt;""),IF(I126="","⚠️ Enter Code",IF(IFERROR(VLOOKUP(H126,DB_Agents!$B:$I,8,0),"")=I126,IF(C126&gt;=E126,"Successful","Unsuccessful"),"🔒 BLOCKED — Wrong Code")),"—")</f>
        <v/>
      </c>
      <c r="K126" s="500">
        <f>IF(J126="Successful",TEXT(TODAY(),"YYYY-MM-DD")&amp;" Auto","—")</f>
        <v/>
      </c>
      <c r="L126" s="501" t="n"/>
    </row>
    <row r="127" ht="15" customHeight="1" s="341">
      <c r="A127" s="486" t="n"/>
      <c r="B127" s="378">
        <f>IF(A127="","",IFERROR(VLOOKUP(A127,DB_Customers!$A:$D,4,0),"❌ Account Not Found"))</f>
        <v/>
      </c>
      <c r="C127" s="487">
        <f>IF(A127="","",IFERROR(VLOOKUP(A127,DB_Customers!$A:$N,14,0),""))</f>
        <v/>
      </c>
      <c r="D127" s="488">
        <f>IF(A127="","",TODAY())</f>
        <v/>
      </c>
      <c r="E127" s="510" t="n"/>
      <c r="F127" s="378" t="n"/>
      <c r="G127" s="511">
        <f>IF(OR(A127="",E127=""),"",IF(C127="","",C127-E127))</f>
        <v/>
      </c>
      <c r="H127" s="380" t="inlineStr">
        <is>
          <t>Agent 01</t>
        </is>
      </c>
      <c r="I127" s="491" t="n"/>
      <c r="J127" s="492">
        <f>IF(AND(A127&lt;&gt;"",E127&lt;&gt;""),IF(I127="","⚠️ Enter Code",IF(IFERROR(VLOOKUP(H127,DB_Agents!$B:$I,8,0),"")=I127,IF(C127&gt;=E127,"Successful","Unsuccessful"),"🔒 BLOCKED — Wrong Code")),"—")</f>
        <v/>
      </c>
      <c r="K127" s="493">
        <f>IF(J127="Successful",TEXT(TODAY(),"YYYY-MM-DD")&amp;" Auto","—")</f>
        <v/>
      </c>
      <c r="L127" s="494" t="n"/>
    </row>
    <row r="128" ht="15" customHeight="1" s="341">
      <c r="A128" s="495" t="n"/>
      <c r="B128" s="382">
        <f>IF(A128="","",IFERROR(VLOOKUP(A128,DB_Customers!$A:$D,4,0),"❌ Account Not Found"))</f>
        <v/>
      </c>
      <c r="C128" s="496">
        <f>IF(A128="","",IFERROR(VLOOKUP(A128,DB_Customers!$A:$N,14,0),""))</f>
        <v/>
      </c>
      <c r="D128" s="497">
        <f>IF(A128="","",TODAY())</f>
        <v/>
      </c>
      <c r="E128" s="510" t="n"/>
      <c r="F128" s="382" t="n"/>
      <c r="G128" s="512">
        <f>IF(OR(A128="",E128=""),"",IF(C128="","",C128-E128))</f>
        <v/>
      </c>
      <c r="H128" s="384" t="inlineStr">
        <is>
          <t>Agent 01</t>
        </is>
      </c>
      <c r="I128" s="491" t="n"/>
      <c r="J128" s="499">
        <f>IF(AND(A128&lt;&gt;"",E128&lt;&gt;""),IF(I128="","⚠️ Enter Code",IF(IFERROR(VLOOKUP(H128,DB_Agents!$B:$I,8,0),"")=I128,IF(C128&gt;=E128,"Successful","Unsuccessful"),"🔒 BLOCKED — Wrong Code")),"—")</f>
        <v/>
      </c>
      <c r="K128" s="500">
        <f>IF(J128="Successful",TEXT(TODAY(),"YYYY-MM-DD")&amp;" Auto","—")</f>
        <v/>
      </c>
      <c r="L128" s="501" t="n"/>
    </row>
    <row r="129" ht="15" customHeight="1" s="341">
      <c r="A129" s="486" t="n"/>
      <c r="B129" s="378">
        <f>IF(A129="","",IFERROR(VLOOKUP(A129,DB_Customers!$A:$D,4,0),"❌ Account Not Found"))</f>
        <v/>
      </c>
      <c r="C129" s="487">
        <f>IF(A129="","",IFERROR(VLOOKUP(A129,DB_Customers!$A:$N,14,0),""))</f>
        <v/>
      </c>
      <c r="D129" s="488">
        <f>IF(A129="","",TODAY())</f>
        <v/>
      </c>
      <c r="E129" s="510" t="n"/>
      <c r="F129" s="378" t="n"/>
      <c r="G129" s="511">
        <f>IF(OR(A129="",E129=""),"",IF(C129="","",C129-E129))</f>
        <v/>
      </c>
      <c r="H129" s="380" t="inlineStr">
        <is>
          <t>Agent 01</t>
        </is>
      </c>
      <c r="I129" s="491" t="n"/>
      <c r="J129" s="492">
        <f>IF(AND(A129&lt;&gt;"",E129&lt;&gt;""),IF(I129="","⚠️ Enter Code",IF(IFERROR(VLOOKUP(H129,DB_Agents!$B:$I,8,0),"")=I129,IF(C129&gt;=E129,"Successful","Unsuccessful"),"🔒 BLOCKED — Wrong Code")),"—")</f>
        <v/>
      </c>
      <c r="K129" s="493">
        <f>IF(J129="Successful",TEXT(TODAY(),"YYYY-MM-DD")&amp;" Auto","—")</f>
        <v/>
      </c>
      <c r="L129" s="494" t="n"/>
    </row>
    <row r="130" ht="15" customHeight="1" s="341">
      <c r="A130" s="495" t="n"/>
      <c r="B130" s="382">
        <f>IF(A130="","",IFERROR(VLOOKUP(A130,DB_Customers!$A:$D,4,0),"❌ Account Not Found"))</f>
        <v/>
      </c>
      <c r="C130" s="496">
        <f>IF(A130="","",IFERROR(VLOOKUP(A130,DB_Customers!$A:$N,14,0),""))</f>
        <v/>
      </c>
      <c r="D130" s="497">
        <f>IF(A130="","",TODAY())</f>
        <v/>
      </c>
      <c r="E130" s="510" t="n"/>
      <c r="F130" s="382" t="n"/>
      <c r="G130" s="512">
        <f>IF(OR(A130="",E130=""),"",IF(C130="","",C130-E130))</f>
        <v/>
      </c>
      <c r="H130" s="384" t="inlineStr">
        <is>
          <t>Agent 01</t>
        </is>
      </c>
      <c r="I130" s="491" t="n"/>
      <c r="J130" s="499">
        <f>IF(AND(A130&lt;&gt;"",E130&lt;&gt;""),IF(I130="","⚠️ Enter Code",IF(IFERROR(VLOOKUP(H130,DB_Agents!$B:$I,8,0),"")=I130,IF(C130&gt;=E130,"Successful","Unsuccessful"),"🔒 BLOCKED — Wrong Code")),"—")</f>
        <v/>
      </c>
      <c r="K130" s="500">
        <f>IF(J130="Successful",TEXT(TODAY(),"YYYY-MM-DD")&amp;" Auto","—")</f>
        <v/>
      </c>
      <c r="L130" s="501" t="n"/>
    </row>
    <row r="131" ht="15" customHeight="1" s="341">
      <c r="A131" s="486" t="n"/>
      <c r="B131" s="378">
        <f>IF(A131="","",IFERROR(VLOOKUP(A131,DB_Customers!$A:$D,4,0),"❌ Account Not Found"))</f>
        <v/>
      </c>
      <c r="C131" s="487">
        <f>IF(A131="","",IFERROR(VLOOKUP(A131,DB_Customers!$A:$N,14,0),""))</f>
        <v/>
      </c>
      <c r="D131" s="488">
        <f>IF(A131="","",TODAY())</f>
        <v/>
      </c>
      <c r="E131" s="510" t="n"/>
      <c r="F131" s="378" t="n"/>
      <c r="G131" s="511">
        <f>IF(OR(A131="",E131=""),"",IF(C131="","",C131-E131))</f>
        <v/>
      </c>
      <c r="H131" s="380" t="inlineStr">
        <is>
          <t>Agent 01</t>
        </is>
      </c>
      <c r="I131" s="491" t="n"/>
      <c r="J131" s="492">
        <f>IF(AND(A131&lt;&gt;"",E131&lt;&gt;""),IF(I131="","⚠️ Enter Code",IF(IFERROR(VLOOKUP(H131,DB_Agents!$B:$I,8,0),"")=I131,IF(C131&gt;=E131,"Successful","Unsuccessful"),"🔒 BLOCKED — Wrong Code")),"—")</f>
        <v/>
      </c>
      <c r="K131" s="493">
        <f>IF(J131="Successful",TEXT(TODAY(),"YYYY-MM-DD")&amp;" Auto","—")</f>
        <v/>
      </c>
      <c r="L131" s="494" t="n"/>
    </row>
    <row r="132" ht="15" customHeight="1" s="341">
      <c r="A132" s="495" t="n"/>
      <c r="B132" s="382">
        <f>IF(A132="","",IFERROR(VLOOKUP(A132,DB_Customers!$A:$D,4,0),"❌ Account Not Found"))</f>
        <v/>
      </c>
      <c r="C132" s="496">
        <f>IF(A132="","",IFERROR(VLOOKUP(A132,DB_Customers!$A:$N,14,0),""))</f>
        <v/>
      </c>
      <c r="D132" s="497">
        <f>IF(A132="","",TODAY())</f>
        <v/>
      </c>
      <c r="E132" s="510" t="n"/>
      <c r="F132" s="382" t="n"/>
      <c r="G132" s="512">
        <f>IF(OR(A132="",E132=""),"",IF(C132="","",C132-E132))</f>
        <v/>
      </c>
      <c r="H132" s="384" t="inlineStr">
        <is>
          <t>Agent 01</t>
        </is>
      </c>
      <c r="I132" s="491" t="n"/>
      <c r="J132" s="499">
        <f>IF(AND(A132&lt;&gt;"",E132&lt;&gt;""),IF(I132="","⚠️ Enter Code",IF(IFERROR(VLOOKUP(H132,DB_Agents!$B:$I,8,0),"")=I132,IF(C132&gt;=E132,"Successful","Unsuccessful"),"🔒 BLOCKED — Wrong Code")),"—")</f>
        <v/>
      </c>
      <c r="K132" s="500">
        <f>IF(J132="Successful",TEXT(TODAY(),"YYYY-MM-DD")&amp;" Auto","—")</f>
        <v/>
      </c>
      <c r="L132" s="501" t="n"/>
    </row>
    <row r="133" ht="15" customHeight="1" s="341">
      <c r="A133" s="486" t="n"/>
      <c r="B133" s="378">
        <f>IF(A133="","",IFERROR(VLOOKUP(A133,DB_Customers!$A:$D,4,0),"❌ Account Not Found"))</f>
        <v/>
      </c>
      <c r="C133" s="487">
        <f>IF(A133="","",IFERROR(VLOOKUP(A133,DB_Customers!$A:$N,14,0),""))</f>
        <v/>
      </c>
      <c r="D133" s="488">
        <f>IF(A133="","",TODAY())</f>
        <v/>
      </c>
      <c r="E133" s="510" t="n"/>
      <c r="F133" s="378" t="n"/>
      <c r="G133" s="511">
        <f>IF(OR(A133="",E133=""),"",IF(C133="","",C133-E133))</f>
        <v/>
      </c>
      <c r="H133" s="380" t="inlineStr">
        <is>
          <t>Agent 01</t>
        </is>
      </c>
      <c r="I133" s="491" t="n"/>
      <c r="J133" s="492">
        <f>IF(AND(A133&lt;&gt;"",E133&lt;&gt;""),IF(I133="","⚠️ Enter Code",IF(IFERROR(VLOOKUP(H133,DB_Agents!$B:$I,8,0),"")=I133,IF(C133&gt;=E133,"Successful","Unsuccessful"),"🔒 BLOCKED — Wrong Code")),"—")</f>
        <v/>
      </c>
      <c r="K133" s="493">
        <f>IF(J133="Successful",TEXT(TODAY(),"YYYY-MM-DD")&amp;" Auto","—")</f>
        <v/>
      </c>
      <c r="L133" s="494" t="n"/>
    </row>
    <row r="134" ht="15" customHeight="1" s="341">
      <c r="A134" s="495" t="n"/>
      <c r="B134" s="382">
        <f>IF(A134="","",IFERROR(VLOOKUP(A134,DB_Customers!$A:$D,4,0),"❌ Account Not Found"))</f>
        <v/>
      </c>
      <c r="C134" s="496">
        <f>IF(A134="","",IFERROR(VLOOKUP(A134,DB_Customers!$A:$N,14,0),""))</f>
        <v/>
      </c>
      <c r="D134" s="497">
        <f>IF(A134="","",TODAY())</f>
        <v/>
      </c>
      <c r="E134" s="510" t="n"/>
      <c r="F134" s="382" t="n"/>
      <c r="G134" s="512">
        <f>IF(OR(A134="",E134=""),"",IF(C134="","",C134-E134))</f>
        <v/>
      </c>
      <c r="H134" s="384" t="inlineStr">
        <is>
          <t>Agent 01</t>
        </is>
      </c>
      <c r="I134" s="491" t="n"/>
      <c r="J134" s="499">
        <f>IF(AND(A134&lt;&gt;"",E134&lt;&gt;""),IF(I134="","⚠️ Enter Code",IF(IFERROR(VLOOKUP(H134,DB_Agents!$B:$I,8,0),"")=I134,IF(C134&gt;=E134,"Successful","Unsuccessful"),"🔒 BLOCKED — Wrong Code")),"—")</f>
        <v/>
      </c>
      <c r="K134" s="500">
        <f>IF(J134="Successful",TEXT(TODAY(),"YYYY-MM-DD")&amp;" Auto","—")</f>
        <v/>
      </c>
      <c r="L134" s="501" t="n"/>
    </row>
    <row r="135" ht="15" customHeight="1" s="341">
      <c r="A135" s="486" t="n"/>
      <c r="B135" s="378">
        <f>IF(A135="","",IFERROR(VLOOKUP(A135,DB_Customers!$A:$D,4,0),"❌ Account Not Found"))</f>
        <v/>
      </c>
      <c r="C135" s="487">
        <f>IF(A135="","",IFERROR(VLOOKUP(A135,DB_Customers!$A:$N,14,0),""))</f>
        <v/>
      </c>
      <c r="D135" s="488">
        <f>IF(A135="","",TODAY())</f>
        <v/>
      </c>
      <c r="E135" s="510" t="n"/>
      <c r="F135" s="378" t="n"/>
      <c r="G135" s="511">
        <f>IF(OR(A135="",E135=""),"",IF(C135="","",C135-E135))</f>
        <v/>
      </c>
      <c r="H135" s="380" t="inlineStr">
        <is>
          <t>Agent 01</t>
        </is>
      </c>
      <c r="I135" s="491" t="n"/>
      <c r="J135" s="492">
        <f>IF(AND(A135&lt;&gt;"",E135&lt;&gt;""),IF(I135="","⚠️ Enter Code",IF(IFERROR(VLOOKUP(H135,DB_Agents!$B:$I,8,0),"")=I135,IF(C135&gt;=E135,"Successful","Unsuccessful"),"🔒 BLOCKED — Wrong Code")),"—")</f>
        <v/>
      </c>
      <c r="K135" s="493">
        <f>IF(J135="Successful",TEXT(TODAY(),"YYYY-MM-DD")&amp;" Auto","—")</f>
        <v/>
      </c>
      <c r="L135" s="494" t="n"/>
    </row>
    <row r="136" ht="15" customHeight="1" s="341">
      <c r="A136" s="495" t="n"/>
      <c r="B136" s="382">
        <f>IF(A136="","",IFERROR(VLOOKUP(A136,DB_Customers!$A:$D,4,0),"❌ Account Not Found"))</f>
        <v/>
      </c>
      <c r="C136" s="496">
        <f>IF(A136="","",IFERROR(VLOOKUP(A136,DB_Customers!$A:$N,14,0),""))</f>
        <v/>
      </c>
      <c r="D136" s="497">
        <f>IF(A136="","",TODAY())</f>
        <v/>
      </c>
      <c r="E136" s="510" t="n"/>
      <c r="F136" s="382" t="n"/>
      <c r="G136" s="512">
        <f>IF(OR(A136="",E136=""),"",IF(C136="","",C136-E136))</f>
        <v/>
      </c>
      <c r="H136" s="384" t="inlineStr">
        <is>
          <t>Agent 01</t>
        </is>
      </c>
      <c r="I136" s="491" t="n"/>
      <c r="J136" s="499">
        <f>IF(AND(A136&lt;&gt;"",E136&lt;&gt;""),IF(I136="","⚠️ Enter Code",IF(IFERROR(VLOOKUP(H136,DB_Agents!$B:$I,8,0),"")=I136,IF(C136&gt;=E136,"Successful","Unsuccessful"),"🔒 BLOCKED — Wrong Code")),"—")</f>
        <v/>
      </c>
      <c r="K136" s="500">
        <f>IF(J136="Successful",TEXT(TODAY(),"YYYY-MM-DD")&amp;" Auto","—")</f>
        <v/>
      </c>
      <c r="L136" s="501" t="n"/>
    </row>
    <row r="137" ht="15" customHeight="1" s="341">
      <c r="A137" s="486" t="n"/>
      <c r="B137" s="378">
        <f>IF(A137="","",IFERROR(VLOOKUP(A137,DB_Customers!$A:$D,4,0),"❌ Account Not Found"))</f>
        <v/>
      </c>
      <c r="C137" s="487">
        <f>IF(A137="","",IFERROR(VLOOKUP(A137,DB_Customers!$A:$N,14,0),""))</f>
        <v/>
      </c>
      <c r="D137" s="488">
        <f>IF(A137="","",TODAY())</f>
        <v/>
      </c>
      <c r="E137" s="510" t="n"/>
      <c r="F137" s="378" t="n"/>
      <c r="G137" s="511">
        <f>IF(OR(A137="",E137=""),"",IF(C137="","",C137-E137))</f>
        <v/>
      </c>
      <c r="H137" s="380" t="inlineStr">
        <is>
          <t>Agent 01</t>
        </is>
      </c>
      <c r="I137" s="491" t="n"/>
      <c r="J137" s="492">
        <f>IF(AND(A137&lt;&gt;"",E137&lt;&gt;""),IF(I137="","⚠️ Enter Code",IF(IFERROR(VLOOKUP(H137,DB_Agents!$B:$I,8,0),"")=I137,IF(C137&gt;=E137,"Successful","Unsuccessful"),"🔒 BLOCKED — Wrong Code")),"—")</f>
        <v/>
      </c>
      <c r="K137" s="493">
        <f>IF(J137="Successful",TEXT(TODAY(),"YYYY-MM-DD")&amp;" Auto","—")</f>
        <v/>
      </c>
      <c r="L137" s="494" t="n"/>
    </row>
    <row r="138" ht="15" customHeight="1" s="341">
      <c r="A138" s="495" t="n"/>
      <c r="B138" s="382">
        <f>IF(A138="","",IFERROR(VLOOKUP(A138,DB_Customers!$A:$D,4,0),"❌ Account Not Found"))</f>
        <v/>
      </c>
      <c r="C138" s="496">
        <f>IF(A138="","",IFERROR(VLOOKUP(A138,DB_Customers!$A:$N,14,0),""))</f>
        <v/>
      </c>
      <c r="D138" s="497">
        <f>IF(A138="","",TODAY())</f>
        <v/>
      </c>
      <c r="E138" s="510" t="n"/>
      <c r="F138" s="382" t="n"/>
      <c r="G138" s="512">
        <f>IF(OR(A138="",E138=""),"",IF(C138="","",C138-E138))</f>
        <v/>
      </c>
      <c r="H138" s="384" t="inlineStr">
        <is>
          <t>Agent 01</t>
        </is>
      </c>
      <c r="I138" s="491" t="n"/>
      <c r="J138" s="499">
        <f>IF(AND(A138&lt;&gt;"",E138&lt;&gt;""),IF(I138="","⚠️ Enter Code",IF(IFERROR(VLOOKUP(H138,DB_Agents!$B:$I,8,0),"")=I138,IF(C138&gt;=E138,"Successful","Unsuccessful"),"🔒 BLOCKED — Wrong Code")),"—")</f>
        <v/>
      </c>
      <c r="K138" s="500">
        <f>IF(J138="Successful",TEXT(TODAY(),"YYYY-MM-DD")&amp;" Auto","—")</f>
        <v/>
      </c>
      <c r="L138" s="501" t="n"/>
    </row>
    <row r="139" ht="15" customHeight="1" s="341">
      <c r="A139" s="486" t="n"/>
      <c r="B139" s="378">
        <f>IF(A139="","",IFERROR(VLOOKUP(A139,DB_Customers!$A:$D,4,0),"❌ Account Not Found"))</f>
        <v/>
      </c>
      <c r="C139" s="487">
        <f>IF(A139="","",IFERROR(VLOOKUP(A139,DB_Customers!$A:$N,14,0),""))</f>
        <v/>
      </c>
      <c r="D139" s="488">
        <f>IF(A139="","",TODAY())</f>
        <v/>
      </c>
      <c r="E139" s="510" t="n"/>
      <c r="F139" s="378" t="n"/>
      <c r="G139" s="511">
        <f>IF(OR(A139="",E139=""),"",IF(C139="","",C139-E139))</f>
        <v/>
      </c>
      <c r="H139" s="380" t="inlineStr">
        <is>
          <t>Agent 01</t>
        </is>
      </c>
      <c r="I139" s="491" t="n"/>
      <c r="J139" s="492">
        <f>IF(AND(A139&lt;&gt;"",E139&lt;&gt;""),IF(I139="","⚠️ Enter Code",IF(IFERROR(VLOOKUP(H139,DB_Agents!$B:$I,8,0),"")=I139,IF(C139&gt;=E139,"Successful","Unsuccessful"),"🔒 BLOCKED — Wrong Code")),"—")</f>
        <v/>
      </c>
      <c r="K139" s="493">
        <f>IF(J139="Successful",TEXT(TODAY(),"YYYY-MM-DD")&amp;" Auto","—")</f>
        <v/>
      </c>
      <c r="L139" s="494" t="n"/>
    </row>
    <row r="140" ht="15" customHeight="1" s="341">
      <c r="A140" s="495" t="n"/>
      <c r="B140" s="382">
        <f>IF(A140="","",IFERROR(VLOOKUP(A140,DB_Customers!$A:$D,4,0),"❌ Account Not Found"))</f>
        <v/>
      </c>
      <c r="C140" s="496">
        <f>IF(A140="","",IFERROR(VLOOKUP(A140,DB_Customers!$A:$N,14,0),""))</f>
        <v/>
      </c>
      <c r="D140" s="497">
        <f>IF(A140="","",TODAY())</f>
        <v/>
      </c>
      <c r="E140" s="510" t="n"/>
      <c r="F140" s="382" t="n"/>
      <c r="G140" s="512">
        <f>IF(OR(A140="",E140=""),"",IF(C140="","",C140-E140))</f>
        <v/>
      </c>
      <c r="H140" s="384" t="inlineStr">
        <is>
          <t>Agent 01</t>
        </is>
      </c>
      <c r="I140" s="491" t="n"/>
      <c r="J140" s="499">
        <f>IF(AND(A140&lt;&gt;"",E140&lt;&gt;""),IF(I140="","⚠️ Enter Code",IF(IFERROR(VLOOKUP(H140,DB_Agents!$B:$I,8,0),"")=I140,IF(C140&gt;=E140,"Successful","Unsuccessful"),"🔒 BLOCKED — Wrong Code")),"—")</f>
        <v/>
      </c>
      <c r="K140" s="500">
        <f>IF(J140="Successful",TEXT(TODAY(),"YYYY-MM-DD")&amp;" Auto","—")</f>
        <v/>
      </c>
      <c r="L140" s="501" t="n"/>
    </row>
    <row r="141" ht="15" customHeight="1" s="341">
      <c r="A141" s="486" t="n"/>
      <c r="B141" s="378">
        <f>IF(A141="","",IFERROR(VLOOKUP(A141,DB_Customers!$A:$D,4,0),"❌ Account Not Found"))</f>
        <v/>
      </c>
      <c r="C141" s="487">
        <f>IF(A141="","",IFERROR(VLOOKUP(A141,DB_Customers!$A:$N,14,0),""))</f>
        <v/>
      </c>
      <c r="D141" s="488">
        <f>IF(A141="","",TODAY())</f>
        <v/>
      </c>
      <c r="E141" s="510" t="n"/>
      <c r="F141" s="378" t="n"/>
      <c r="G141" s="511">
        <f>IF(OR(A141="",E141=""),"",IF(C141="","",C141-E141))</f>
        <v/>
      </c>
      <c r="H141" s="380" t="inlineStr">
        <is>
          <t>Agent 01</t>
        </is>
      </c>
      <c r="I141" s="491" t="n"/>
      <c r="J141" s="492">
        <f>IF(AND(A141&lt;&gt;"",E141&lt;&gt;""),IF(I141="","⚠️ Enter Code",IF(IFERROR(VLOOKUP(H141,DB_Agents!$B:$I,8,0),"")=I141,IF(C141&gt;=E141,"Successful","Unsuccessful"),"🔒 BLOCKED — Wrong Code")),"—")</f>
        <v/>
      </c>
      <c r="K141" s="493">
        <f>IF(J141="Successful",TEXT(TODAY(),"YYYY-MM-DD")&amp;" Auto","—")</f>
        <v/>
      </c>
      <c r="L141" s="494" t="n"/>
    </row>
    <row r="142" ht="15" customHeight="1" s="341">
      <c r="A142" s="495" t="n"/>
      <c r="B142" s="382">
        <f>IF(A142="","",IFERROR(VLOOKUP(A142,DB_Customers!$A:$D,4,0),"❌ Account Not Found"))</f>
        <v/>
      </c>
      <c r="C142" s="496">
        <f>IF(A142="","",IFERROR(VLOOKUP(A142,DB_Customers!$A:$N,14,0),""))</f>
        <v/>
      </c>
      <c r="D142" s="497">
        <f>IF(A142="","",TODAY())</f>
        <v/>
      </c>
      <c r="E142" s="510" t="n"/>
      <c r="F142" s="382" t="n"/>
      <c r="G142" s="512">
        <f>IF(OR(A142="",E142=""),"",IF(C142="","",C142-E142))</f>
        <v/>
      </c>
      <c r="H142" s="384" t="inlineStr">
        <is>
          <t>Agent 01</t>
        </is>
      </c>
      <c r="I142" s="491" t="n"/>
      <c r="J142" s="499">
        <f>IF(AND(A142&lt;&gt;"",E142&lt;&gt;""),IF(I142="","⚠️ Enter Code",IF(IFERROR(VLOOKUP(H142,DB_Agents!$B:$I,8,0),"")=I142,IF(C142&gt;=E142,"Successful","Unsuccessful"),"🔒 BLOCKED — Wrong Code")),"—")</f>
        <v/>
      </c>
      <c r="K142" s="500">
        <f>IF(J142="Successful",TEXT(TODAY(),"YYYY-MM-DD")&amp;" Auto","—")</f>
        <v/>
      </c>
      <c r="L142" s="501" t="n"/>
    </row>
    <row r="143" ht="15" customHeight="1" s="341">
      <c r="A143" s="486" t="n"/>
      <c r="B143" s="378">
        <f>IF(A143="","",IFERROR(VLOOKUP(A143,DB_Customers!$A:$D,4,0),"❌ Account Not Found"))</f>
        <v/>
      </c>
      <c r="C143" s="487">
        <f>IF(A143="","",IFERROR(VLOOKUP(A143,DB_Customers!$A:$N,14,0),""))</f>
        <v/>
      </c>
      <c r="D143" s="488">
        <f>IF(A143="","",TODAY())</f>
        <v/>
      </c>
      <c r="E143" s="510" t="n"/>
      <c r="F143" s="378" t="n"/>
      <c r="G143" s="511">
        <f>IF(OR(A143="",E143=""),"",IF(C143="","",C143-E143))</f>
        <v/>
      </c>
      <c r="H143" s="380" t="inlineStr">
        <is>
          <t>Agent 01</t>
        </is>
      </c>
      <c r="I143" s="491" t="n"/>
      <c r="J143" s="492">
        <f>IF(AND(A143&lt;&gt;"",E143&lt;&gt;""),IF(I143="","⚠️ Enter Code",IF(IFERROR(VLOOKUP(H143,DB_Agents!$B:$I,8,0),"")=I143,IF(C143&gt;=E143,"Successful","Unsuccessful"),"🔒 BLOCKED — Wrong Code")),"—")</f>
        <v/>
      </c>
      <c r="K143" s="493">
        <f>IF(J143="Successful",TEXT(TODAY(),"YYYY-MM-DD")&amp;" Auto","—")</f>
        <v/>
      </c>
      <c r="L143" s="494" t="n"/>
    </row>
    <row r="144" ht="15" customHeight="1" s="341">
      <c r="A144" s="495" t="n"/>
      <c r="B144" s="382">
        <f>IF(A144="","",IFERROR(VLOOKUP(A144,DB_Customers!$A:$D,4,0),"❌ Account Not Found"))</f>
        <v/>
      </c>
      <c r="C144" s="496">
        <f>IF(A144="","",IFERROR(VLOOKUP(A144,DB_Customers!$A:$N,14,0),""))</f>
        <v/>
      </c>
      <c r="D144" s="497">
        <f>IF(A144="","",TODAY())</f>
        <v/>
      </c>
      <c r="E144" s="510" t="n"/>
      <c r="F144" s="382" t="n"/>
      <c r="G144" s="512">
        <f>IF(OR(A144="",E144=""),"",IF(C144="","",C144-E144))</f>
        <v/>
      </c>
      <c r="H144" s="384" t="inlineStr">
        <is>
          <t>Agent 01</t>
        </is>
      </c>
      <c r="I144" s="491" t="n"/>
      <c r="J144" s="499">
        <f>IF(AND(A144&lt;&gt;"",E144&lt;&gt;""),IF(I144="","⚠️ Enter Code",IF(IFERROR(VLOOKUP(H144,DB_Agents!$B:$I,8,0),"")=I144,IF(C144&gt;=E144,"Successful","Unsuccessful"),"🔒 BLOCKED — Wrong Code")),"—")</f>
        <v/>
      </c>
      <c r="K144" s="500">
        <f>IF(J144="Successful",TEXT(TODAY(),"YYYY-MM-DD")&amp;" Auto","—")</f>
        <v/>
      </c>
      <c r="L144" s="501" t="n"/>
    </row>
    <row r="145" ht="15" customHeight="1" s="341">
      <c r="A145" s="486" t="n"/>
      <c r="B145" s="378">
        <f>IF(A145="","",IFERROR(VLOOKUP(A145,DB_Customers!$A:$D,4,0),"❌ Account Not Found"))</f>
        <v/>
      </c>
      <c r="C145" s="487">
        <f>IF(A145="","",IFERROR(VLOOKUP(A145,DB_Customers!$A:$N,14,0),""))</f>
        <v/>
      </c>
      <c r="D145" s="488">
        <f>IF(A145="","",TODAY())</f>
        <v/>
      </c>
      <c r="E145" s="510" t="n"/>
      <c r="F145" s="378" t="n"/>
      <c r="G145" s="511">
        <f>IF(OR(A145="",E145=""),"",IF(C145="","",C145-E145))</f>
        <v/>
      </c>
      <c r="H145" s="380" t="inlineStr">
        <is>
          <t>Agent 01</t>
        </is>
      </c>
      <c r="I145" s="491" t="n"/>
      <c r="J145" s="492">
        <f>IF(AND(A145&lt;&gt;"",E145&lt;&gt;""),IF(I145="","⚠️ Enter Code",IF(IFERROR(VLOOKUP(H145,DB_Agents!$B:$I,8,0),"")=I145,IF(C145&gt;=E145,"Successful","Unsuccessful"),"🔒 BLOCKED — Wrong Code")),"—")</f>
        <v/>
      </c>
      <c r="K145" s="493">
        <f>IF(J145="Successful",TEXT(TODAY(),"YYYY-MM-DD")&amp;" Auto","—")</f>
        <v/>
      </c>
      <c r="L145" s="494" t="n"/>
    </row>
    <row r="146" ht="15" customHeight="1" s="341">
      <c r="A146" s="495" t="n"/>
      <c r="B146" s="382">
        <f>IF(A146="","",IFERROR(VLOOKUP(A146,DB_Customers!$A:$D,4,0),"❌ Account Not Found"))</f>
        <v/>
      </c>
      <c r="C146" s="496">
        <f>IF(A146="","",IFERROR(VLOOKUP(A146,DB_Customers!$A:$N,14,0),""))</f>
        <v/>
      </c>
      <c r="D146" s="497">
        <f>IF(A146="","",TODAY())</f>
        <v/>
      </c>
      <c r="E146" s="510" t="n"/>
      <c r="F146" s="382" t="n"/>
      <c r="G146" s="512">
        <f>IF(OR(A146="",E146=""),"",IF(C146="","",C146-E146))</f>
        <v/>
      </c>
      <c r="H146" s="384" t="inlineStr">
        <is>
          <t>Agent 01</t>
        </is>
      </c>
      <c r="I146" s="491" t="n"/>
      <c r="J146" s="499">
        <f>IF(AND(A146&lt;&gt;"",E146&lt;&gt;""),IF(I146="","⚠️ Enter Code",IF(IFERROR(VLOOKUP(H146,DB_Agents!$B:$I,8,0),"")=I146,IF(C146&gt;=E146,"Successful","Unsuccessful"),"🔒 BLOCKED — Wrong Code")),"—")</f>
        <v/>
      </c>
      <c r="K146" s="500">
        <f>IF(J146="Successful",TEXT(TODAY(),"YYYY-MM-DD")&amp;" Auto","—")</f>
        <v/>
      </c>
      <c r="L146" s="501" t="n"/>
    </row>
    <row r="147" ht="15" customHeight="1" s="341">
      <c r="A147" s="486" t="n"/>
      <c r="B147" s="378">
        <f>IF(A147="","",IFERROR(VLOOKUP(A147,DB_Customers!$A:$D,4,0),"❌ Account Not Found"))</f>
        <v/>
      </c>
      <c r="C147" s="487">
        <f>IF(A147="","",IFERROR(VLOOKUP(A147,DB_Customers!$A:$N,14,0),""))</f>
        <v/>
      </c>
      <c r="D147" s="488">
        <f>IF(A147="","",TODAY())</f>
        <v/>
      </c>
      <c r="E147" s="510" t="n"/>
      <c r="F147" s="378" t="n"/>
      <c r="G147" s="511">
        <f>IF(OR(A147="",E147=""),"",IF(C147="","",C147-E147))</f>
        <v/>
      </c>
      <c r="H147" s="380" t="inlineStr">
        <is>
          <t>Agent 01</t>
        </is>
      </c>
      <c r="I147" s="491" t="n"/>
      <c r="J147" s="492">
        <f>IF(AND(A147&lt;&gt;"",E147&lt;&gt;""),IF(I147="","⚠️ Enter Code",IF(IFERROR(VLOOKUP(H147,DB_Agents!$B:$I,8,0),"")=I147,IF(C147&gt;=E147,"Successful","Unsuccessful"),"🔒 BLOCKED — Wrong Code")),"—")</f>
        <v/>
      </c>
      <c r="K147" s="493">
        <f>IF(J147="Successful",TEXT(TODAY(),"YYYY-MM-DD")&amp;" Auto","—")</f>
        <v/>
      </c>
      <c r="L147" s="494" t="n"/>
    </row>
    <row r="148" ht="15" customHeight="1" s="341">
      <c r="A148" s="495" t="n"/>
      <c r="B148" s="382">
        <f>IF(A148="","",IFERROR(VLOOKUP(A148,DB_Customers!$A:$D,4,0),"❌ Account Not Found"))</f>
        <v/>
      </c>
      <c r="C148" s="496">
        <f>IF(A148="","",IFERROR(VLOOKUP(A148,DB_Customers!$A:$N,14,0),""))</f>
        <v/>
      </c>
      <c r="D148" s="497">
        <f>IF(A148="","",TODAY())</f>
        <v/>
      </c>
      <c r="E148" s="510" t="n"/>
      <c r="F148" s="382" t="n"/>
      <c r="G148" s="512">
        <f>IF(OR(A148="",E148=""),"",IF(C148="","",C148-E148))</f>
        <v/>
      </c>
      <c r="H148" s="384" t="inlineStr">
        <is>
          <t>Agent 01</t>
        </is>
      </c>
      <c r="I148" s="491" t="n"/>
      <c r="J148" s="499">
        <f>IF(AND(A148&lt;&gt;"",E148&lt;&gt;""),IF(I148="","⚠️ Enter Code",IF(IFERROR(VLOOKUP(H148,DB_Agents!$B:$I,8,0),"")=I148,IF(C148&gt;=E148,"Successful","Unsuccessful"),"🔒 BLOCKED — Wrong Code")),"—")</f>
        <v/>
      </c>
      <c r="K148" s="500">
        <f>IF(J148="Successful",TEXT(TODAY(),"YYYY-MM-DD")&amp;" Auto","—")</f>
        <v/>
      </c>
      <c r="L148" s="501" t="n"/>
    </row>
    <row r="149" ht="15" customHeight="1" s="341">
      <c r="A149" s="486" t="n"/>
      <c r="B149" s="378">
        <f>IF(A149="","",IFERROR(VLOOKUP(A149,DB_Customers!$A:$D,4,0),"❌ Account Not Found"))</f>
        <v/>
      </c>
      <c r="C149" s="487">
        <f>IF(A149="","",IFERROR(VLOOKUP(A149,DB_Customers!$A:$N,14,0),""))</f>
        <v/>
      </c>
      <c r="D149" s="488">
        <f>IF(A149="","",TODAY())</f>
        <v/>
      </c>
      <c r="E149" s="510" t="n"/>
      <c r="F149" s="378" t="n"/>
      <c r="G149" s="511">
        <f>IF(OR(A149="",E149=""),"",IF(C149="","",C149-E149))</f>
        <v/>
      </c>
      <c r="H149" s="380" t="inlineStr">
        <is>
          <t>Agent 01</t>
        </is>
      </c>
      <c r="I149" s="491" t="n"/>
      <c r="J149" s="492">
        <f>IF(AND(A149&lt;&gt;"",E149&lt;&gt;""),IF(I149="","⚠️ Enter Code",IF(IFERROR(VLOOKUP(H149,DB_Agents!$B:$I,8,0),"")=I149,IF(C149&gt;=E149,"Successful","Unsuccessful"),"🔒 BLOCKED — Wrong Code")),"—")</f>
        <v/>
      </c>
      <c r="K149" s="493">
        <f>IF(J149="Successful",TEXT(TODAY(),"YYYY-MM-DD")&amp;" Auto","—")</f>
        <v/>
      </c>
      <c r="L149" s="494" t="n"/>
    </row>
    <row r="150" ht="15" customHeight="1" s="341">
      <c r="A150" s="495" t="n"/>
      <c r="B150" s="382">
        <f>IF(A150="","",IFERROR(VLOOKUP(A150,DB_Customers!$A:$D,4,0),"❌ Account Not Found"))</f>
        <v/>
      </c>
      <c r="C150" s="496">
        <f>IF(A150="","",IFERROR(VLOOKUP(A150,DB_Customers!$A:$N,14,0),""))</f>
        <v/>
      </c>
      <c r="D150" s="497">
        <f>IF(A150="","",TODAY())</f>
        <v/>
      </c>
      <c r="E150" s="510" t="n"/>
      <c r="F150" s="382" t="n"/>
      <c r="G150" s="512">
        <f>IF(OR(A150="",E150=""),"",IF(C150="","",C150-E150))</f>
        <v/>
      </c>
      <c r="H150" s="384" t="inlineStr">
        <is>
          <t>Agent 01</t>
        </is>
      </c>
      <c r="I150" s="491" t="n"/>
      <c r="J150" s="499">
        <f>IF(AND(A150&lt;&gt;"",E150&lt;&gt;""),IF(I150="","⚠️ Enter Code",IF(IFERROR(VLOOKUP(H150,DB_Agents!$B:$I,8,0),"")=I150,IF(C150&gt;=E150,"Successful","Unsuccessful"),"🔒 BLOCKED — Wrong Code")),"—")</f>
        <v/>
      </c>
      <c r="K150" s="500">
        <f>IF(J150="Successful",TEXT(TODAY(),"YYYY-MM-DD")&amp;" Auto","—")</f>
        <v/>
      </c>
      <c r="L150" s="501" t="n"/>
    </row>
    <row r="151" ht="15" customHeight="1" s="341">
      <c r="A151" s="486" t="n"/>
      <c r="B151" s="378">
        <f>IF(A151="","",IFERROR(VLOOKUP(A151,DB_Customers!$A:$D,4,0),"❌ Account Not Found"))</f>
        <v/>
      </c>
      <c r="C151" s="487">
        <f>IF(A151="","",IFERROR(VLOOKUP(A151,DB_Customers!$A:$N,14,0),""))</f>
        <v/>
      </c>
      <c r="D151" s="488">
        <f>IF(A151="","",TODAY())</f>
        <v/>
      </c>
      <c r="E151" s="510" t="n"/>
      <c r="F151" s="378" t="n"/>
      <c r="G151" s="511">
        <f>IF(OR(A151="",E151=""),"",IF(C151="","",C151-E151))</f>
        <v/>
      </c>
      <c r="H151" s="380" t="inlineStr">
        <is>
          <t>Agent 01</t>
        </is>
      </c>
      <c r="I151" s="491" t="n"/>
      <c r="J151" s="492">
        <f>IF(AND(A151&lt;&gt;"",E151&lt;&gt;""),IF(I151="","⚠️ Enter Code",IF(IFERROR(VLOOKUP(H151,DB_Agents!$B:$I,8,0),"")=I151,IF(C151&gt;=E151,"Successful","Unsuccessful"),"🔒 BLOCKED — Wrong Code")),"—")</f>
        <v/>
      </c>
      <c r="K151" s="493">
        <f>IF(J151="Successful",TEXT(TODAY(),"YYYY-MM-DD")&amp;" Auto","—")</f>
        <v/>
      </c>
      <c r="L151" s="494" t="n"/>
    </row>
    <row r="152" ht="15" customHeight="1" s="341">
      <c r="A152" s="495" t="n"/>
      <c r="B152" s="382">
        <f>IF(A152="","",IFERROR(VLOOKUP(A152,DB_Customers!$A:$D,4,0),"❌ Account Not Found"))</f>
        <v/>
      </c>
      <c r="C152" s="496">
        <f>IF(A152="","",IFERROR(VLOOKUP(A152,DB_Customers!$A:$N,14,0),""))</f>
        <v/>
      </c>
      <c r="D152" s="497">
        <f>IF(A152="","",TODAY())</f>
        <v/>
      </c>
      <c r="E152" s="510" t="n"/>
      <c r="F152" s="382" t="n"/>
      <c r="G152" s="512">
        <f>IF(OR(A152="",E152=""),"",IF(C152="","",C152-E152))</f>
        <v/>
      </c>
      <c r="H152" s="384" t="inlineStr">
        <is>
          <t>Agent 01</t>
        </is>
      </c>
      <c r="I152" s="491" t="n"/>
      <c r="J152" s="499">
        <f>IF(AND(A152&lt;&gt;"",E152&lt;&gt;""),IF(I152="","⚠️ Enter Code",IF(IFERROR(VLOOKUP(H152,DB_Agents!$B:$I,8,0),"")=I152,IF(C152&gt;=E152,"Successful","Unsuccessful"),"🔒 BLOCKED — Wrong Code")),"—")</f>
        <v/>
      </c>
      <c r="K152" s="500">
        <f>IF(J152="Successful",TEXT(TODAY(),"YYYY-MM-DD")&amp;" Auto","—")</f>
        <v/>
      </c>
      <c r="L152" s="501" t="n"/>
    </row>
    <row r="153" ht="15" customHeight="1" s="341">
      <c r="A153" s="486" t="n"/>
      <c r="B153" s="378">
        <f>IF(A153="","",IFERROR(VLOOKUP(A153,DB_Customers!$A:$D,4,0),"❌ Account Not Found"))</f>
        <v/>
      </c>
      <c r="C153" s="487">
        <f>IF(A153="","",IFERROR(VLOOKUP(A153,DB_Customers!$A:$N,14,0),""))</f>
        <v/>
      </c>
      <c r="D153" s="488">
        <f>IF(A153="","",TODAY())</f>
        <v/>
      </c>
      <c r="E153" s="510" t="n"/>
      <c r="F153" s="378" t="n"/>
      <c r="G153" s="511">
        <f>IF(OR(A153="",E153=""),"",IF(C153="","",C153-E153))</f>
        <v/>
      </c>
      <c r="H153" s="380" t="inlineStr">
        <is>
          <t>Agent 01</t>
        </is>
      </c>
      <c r="I153" s="491" t="n"/>
      <c r="J153" s="492">
        <f>IF(AND(A153&lt;&gt;"",E153&lt;&gt;""),IF(I153="","⚠️ Enter Code",IF(IFERROR(VLOOKUP(H153,DB_Agents!$B:$I,8,0),"")=I153,IF(C153&gt;=E153,"Successful","Unsuccessful"),"🔒 BLOCKED — Wrong Code")),"—")</f>
        <v/>
      </c>
      <c r="K153" s="493">
        <f>IF(J153="Successful",TEXT(TODAY(),"YYYY-MM-DD")&amp;" Auto","—")</f>
        <v/>
      </c>
      <c r="L153" s="494" t="n"/>
    </row>
    <row r="154" ht="15" customHeight="1" s="341">
      <c r="A154" s="495" t="n"/>
      <c r="B154" s="382">
        <f>IF(A154="","",IFERROR(VLOOKUP(A154,DB_Customers!$A:$D,4,0),"❌ Account Not Found"))</f>
        <v/>
      </c>
      <c r="C154" s="496">
        <f>IF(A154="","",IFERROR(VLOOKUP(A154,DB_Customers!$A:$N,14,0),""))</f>
        <v/>
      </c>
      <c r="D154" s="497">
        <f>IF(A154="","",TODAY())</f>
        <v/>
      </c>
      <c r="E154" s="510" t="n"/>
      <c r="F154" s="382" t="n"/>
      <c r="G154" s="512">
        <f>IF(OR(A154="",E154=""),"",IF(C154="","",C154-E154))</f>
        <v/>
      </c>
      <c r="H154" s="384" t="inlineStr">
        <is>
          <t>Agent 01</t>
        </is>
      </c>
      <c r="I154" s="491" t="n"/>
      <c r="J154" s="499">
        <f>IF(AND(A154&lt;&gt;"",E154&lt;&gt;""),IF(I154="","⚠️ Enter Code",IF(IFERROR(VLOOKUP(H154,DB_Agents!$B:$I,8,0),"")=I154,IF(C154&gt;=E154,"Successful","Unsuccessful"),"🔒 BLOCKED — Wrong Code")),"—")</f>
        <v/>
      </c>
      <c r="K154" s="500">
        <f>IF(J154="Successful",TEXT(TODAY(),"YYYY-MM-DD")&amp;" Auto","—")</f>
        <v/>
      </c>
      <c r="L154" s="501" t="n"/>
    </row>
    <row r="155" ht="15" customHeight="1" s="341">
      <c r="A155" s="486" t="n"/>
      <c r="B155" s="378">
        <f>IF(A155="","",IFERROR(VLOOKUP(A155,DB_Customers!$A:$D,4,0),"❌ Account Not Found"))</f>
        <v/>
      </c>
      <c r="C155" s="487">
        <f>IF(A155="","",IFERROR(VLOOKUP(A155,DB_Customers!$A:$N,14,0),""))</f>
        <v/>
      </c>
      <c r="D155" s="488">
        <f>IF(A155="","",TODAY())</f>
        <v/>
      </c>
      <c r="E155" s="510" t="n"/>
      <c r="F155" s="378" t="n"/>
      <c r="G155" s="511">
        <f>IF(OR(A155="",E155=""),"",IF(C155="","",C155-E155))</f>
        <v/>
      </c>
      <c r="H155" s="380" t="inlineStr">
        <is>
          <t>Agent 01</t>
        </is>
      </c>
      <c r="I155" s="491" t="n"/>
      <c r="J155" s="492">
        <f>IF(AND(A155&lt;&gt;"",E155&lt;&gt;""),IF(I155="","⚠️ Enter Code",IF(IFERROR(VLOOKUP(H155,DB_Agents!$B:$I,8,0),"")=I155,IF(C155&gt;=E155,"Successful","Unsuccessful"),"🔒 BLOCKED — Wrong Code")),"—")</f>
        <v/>
      </c>
      <c r="K155" s="493">
        <f>IF(J155="Successful",TEXT(TODAY(),"YYYY-MM-DD")&amp;" Auto","—")</f>
        <v/>
      </c>
      <c r="L155" s="494" t="n"/>
    </row>
    <row r="156" ht="15" customHeight="1" s="341">
      <c r="A156" s="495" t="n"/>
      <c r="B156" s="382">
        <f>IF(A156="","",IFERROR(VLOOKUP(A156,DB_Customers!$A:$D,4,0),"❌ Account Not Found"))</f>
        <v/>
      </c>
      <c r="C156" s="496">
        <f>IF(A156="","",IFERROR(VLOOKUP(A156,DB_Customers!$A:$N,14,0),""))</f>
        <v/>
      </c>
      <c r="D156" s="497">
        <f>IF(A156="","",TODAY())</f>
        <v/>
      </c>
      <c r="E156" s="510" t="n"/>
      <c r="F156" s="382" t="n"/>
      <c r="G156" s="512">
        <f>IF(OR(A156="",E156=""),"",IF(C156="","",C156-E156))</f>
        <v/>
      </c>
      <c r="H156" s="384" t="inlineStr">
        <is>
          <t>Agent 01</t>
        </is>
      </c>
      <c r="I156" s="491" t="n"/>
      <c r="J156" s="499">
        <f>IF(AND(A156&lt;&gt;"",E156&lt;&gt;""),IF(I156="","⚠️ Enter Code",IF(IFERROR(VLOOKUP(H156,DB_Agents!$B:$I,8,0),"")=I156,IF(C156&gt;=E156,"Successful","Unsuccessful"),"🔒 BLOCKED — Wrong Code")),"—")</f>
        <v/>
      </c>
      <c r="K156" s="500">
        <f>IF(J156="Successful",TEXT(TODAY(),"YYYY-MM-DD")&amp;" Auto","—")</f>
        <v/>
      </c>
      <c r="L156" s="501" t="n"/>
    </row>
    <row r="157" ht="15" customHeight="1" s="341">
      <c r="A157" s="486" t="n"/>
      <c r="B157" s="378">
        <f>IF(A157="","",IFERROR(VLOOKUP(A157,DB_Customers!$A:$D,4,0),"❌ Account Not Found"))</f>
        <v/>
      </c>
      <c r="C157" s="487">
        <f>IF(A157="","",IFERROR(VLOOKUP(A157,DB_Customers!$A:$N,14,0),""))</f>
        <v/>
      </c>
      <c r="D157" s="488">
        <f>IF(A157="","",TODAY())</f>
        <v/>
      </c>
      <c r="E157" s="510" t="n"/>
      <c r="F157" s="378" t="n"/>
      <c r="G157" s="511">
        <f>IF(OR(A157="",E157=""),"",IF(C157="","",C157-E157))</f>
        <v/>
      </c>
      <c r="H157" s="380" t="inlineStr">
        <is>
          <t>Agent 01</t>
        </is>
      </c>
      <c r="I157" s="491" t="n"/>
      <c r="J157" s="492">
        <f>IF(AND(A157&lt;&gt;"",E157&lt;&gt;""),IF(I157="","⚠️ Enter Code",IF(IFERROR(VLOOKUP(H157,DB_Agents!$B:$I,8,0),"")=I157,IF(C157&gt;=E157,"Successful","Unsuccessful"),"🔒 BLOCKED — Wrong Code")),"—")</f>
        <v/>
      </c>
      <c r="K157" s="493">
        <f>IF(J157="Successful",TEXT(TODAY(),"YYYY-MM-DD")&amp;" Auto","—")</f>
        <v/>
      </c>
      <c r="L157" s="494" t="n"/>
    </row>
    <row r="158" ht="15" customHeight="1" s="341">
      <c r="A158" s="495" t="n"/>
      <c r="B158" s="382">
        <f>IF(A158="","",IFERROR(VLOOKUP(A158,DB_Customers!$A:$D,4,0),"❌ Account Not Found"))</f>
        <v/>
      </c>
      <c r="C158" s="496">
        <f>IF(A158="","",IFERROR(VLOOKUP(A158,DB_Customers!$A:$N,14,0),""))</f>
        <v/>
      </c>
      <c r="D158" s="497">
        <f>IF(A158="","",TODAY())</f>
        <v/>
      </c>
      <c r="E158" s="510" t="n"/>
      <c r="F158" s="382" t="n"/>
      <c r="G158" s="512">
        <f>IF(OR(A158="",E158=""),"",IF(C158="","",C158-E158))</f>
        <v/>
      </c>
      <c r="H158" s="384" t="inlineStr">
        <is>
          <t>Agent 01</t>
        </is>
      </c>
      <c r="I158" s="491" t="n"/>
      <c r="J158" s="499">
        <f>IF(AND(A158&lt;&gt;"",E158&lt;&gt;""),IF(I158="","⚠️ Enter Code",IF(IFERROR(VLOOKUP(H158,DB_Agents!$B:$I,8,0),"")=I158,IF(C158&gt;=E158,"Successful","Unsuccessful"),"🔒 BLOCKED — Wrong Code")),"—")</f>
        <v/>
      </c>
      <c r="K158" s="500">
        <f>IF(J158="Successful",TEXT(TODAY(),"YYYY-MM-DD")&amp;" Auto","—")</f>
        <v/>
      </c>
      <c r="L158" s="501" t="n"/>
    </row>
    <row r="159" ht="15" customHeight="1" s="341">
      <c r="A159" s="486" t="n"/>
      <c r="B159" s="378">
        <f>IF(A159="","",IFERROR(VLOOKUP(A159,DB_Customers!$A:$D,4,0),"❌ Account Not Found"))</f>
        <v/>
      </c>
      <c r="C159" s="487">
        <f>IF(A159="","",IFERROR(VLOOKUP(A159,DB_Customers!$A:$N,14,0),""))</f>
        <v/>
      </c>
      <c r="D159" s="488">
        <f>IF(A159="","",TODAY())</f>
        <v/>
      </c>
      <c r="E159" s="510" t="n"/>
      <c r="F159" s="378" t="n"/>
      <c r="G159" s="511">
        <f>IF(OR(A159="",E159=""),"",IF(C159="","",C159-E159))</f>
        <v/>
      </c>
      <c r="H159" s="380" t="inlineStr">
        <is>
          <t>Agent 01</t>
        </is>
      </c>
      <c r="I159" s="491" t="n"/>
      <c r="J159" s="492">
        <f>IF(AND(A159&lt;&gt;"",E159&lt;&gt;""),IF(I159="","⚠️ Enter Code",IF(IFERROR(VLOOKUP(H159,DB_Agents!$B:$I,8,0),"")=I159,IF(C159&gt;=E159,"Successful","Unsuccessful"),"🔒 BLOCKED — Wrong Code")),"—")</f>
        <v/>
      </c>
      <c r="K159" s="493">
        <f>IF(J159="Successful",TEXT(TODAY(),"YYYY-MM-DD")&amp;" Auto","—")</f>
        <v/>
      </c>
      <c r="L159" s="494" t="n"/>
    </row>
    <row r="160" ht="15" customHeight="1" s="341">
      <c r="A160" s="495" t="n"/>
      <c r="B160" s="382">
        <f>IF(A160="","",IFERROR(VLOOKUP(A160,DB_Customers!$A:$D,4,0),"❌ Account Not Found"))</f>
        <v/>
      </c>
      <c r="C160" s="496">
        <f>IF(A160="","",IFERROR(VLOOKUP(A160,DB_Customers!$A:$N,14,0),""))</f>
        <v/>
      </c>
      <c r="D160" s="497">
        <f>IF(A160="","",TODAY())</f>
        <v/>
      </c>
      <c r="E160" s="510" t="n"/>
      <c r="F160" s="382" t="n"/>
      <c r="G160" s="512">
        <f>IF(OR(A160="",E160=""),"",IF(C160="","",C160-E160))</f>
        <v/>
      </c>
      <c r="H160" s="384" t="inlineStr">
        <is>
          <t>Agent 01</t>
        </is>
      </c>
      <c r="I160" s="491" t="n"/>
      <c r="J160" s="499">
        <f>IF(AND(A160&lt;&gt;"",E160&lt;&gt;""),IF(I160="","⚠️ Enter Code",IF(IFERROR(VLOOKUP(H160,DB_Agents!$B:$I,8,0),"")=I160,IF(C160&gt;=E160,"Successful","Unsuccessful"),"🔒 BLOCKED — Wrong Code")),"—")</f>
        <v/>
      </c>
      <c r="K160" s="500">
        <f>IF(J160="Successful",TEXT(TODAY(),"YYYY-MM-DD")&amp;" Auto","—")</f>
        <v/>
      </c>
      <c r="L160" s="501" t="n"/>
    </row>
    <row r="161" ht="15" customHeight="1" s="341">
      <c r="A161" s="486" t="n"/>
      <c r="B161" s="378">
        <f>IF(A161="","",IFERROR(VLOOKUP(A161,DB_Customers!$A:$D,4,0),"❌ Account Not Found"))</f>
        <v/>
      </c>
      <c r="C161" s="487">
        <f>IF(A161="","",IFERROR(VLOOKUP(A161,DB_Customers!$A:$N,14,0),""))</f>
        <v/>
      </c>
      <c r="D161" s="488">
        <f>IF(A161="","",TODAY())</f>
        <v/>
      </c>
      <c r="E161" s="510" t="n"/>
      <c r="F161" s="378" t="n"/>
      <c r="G161" s="511">
        <f>IF(OR(A161="",E161=""),"",IF(C161="","",C161-E161))</f>
        <v/>
      </c>
      <c r="H161" s="380" t="inlineStr">
        <is>
          <t>Agent 01</t>
        </is>
      </c>
      <c r="I161" s="491" t="n"/>
      <c r="J161" s="492">
        <f>IF(AND(A161&lt;&gt;"",E161&lt;&gt;""),IF(I161="","⚠️ Enter Code",IF(IFERROR(VLOOKUP(H161,DB_Agents!$B:$I,8,0),"")=I161,IF(C161&gt;=E161,"Successful","Unsuccessful"),"🔒 BLOCKED — Wrong Code")),"—")</f>
        <v/>
      </c>
      <c r="K161" s="493">
        <f>IF(J161="Successful",TEXT(TODAY(),"YYYY-MM-DD")&amp;" Auto","—")</f>
        <v/>
      </c>
      <c r="L161" s="494" t="n"/>
    </row>
    <row r="162" ht="15" customHeight="1" s="341">
      <c r="A162" s="495" t="n"/>
      <c r="B162" s="382">
        <f>IF(A162="","",IFERROR(VLOOKUP(A162,DB_Customers!$A:$D,4,0),"❌ Account Not Found"))</f>
        <v/>
      </c>
      <c r="C162" s="496">
        <f>IF(A162="","",IFERROR(VLOOKUP(A162,DB_Customers!$A:$N,14,0),""))</f>
        <v/>
      </c>
      <c r="D162" s="497">
        <f>IF(A162="","",TODAY())</f>
        <v/>
      </c>
      <c r="E162" s="510" t="n"/>
      <c r="F162" s="382" t="n"/>
      <c r="G162" s="512">
        <f>IF(OR(A162="",E162=""),"",IF(C162="","",C162-E162))</f>
        <v/>
      </c>
      <c r="H162" s="384" t="inlineStr">
        <is>
          <t>Agent 01</t>
        </is>
      </c>
      <c r="I162" s="491" t="n"/>
      <c r="J162" s="499">
        <f>IF(AND(A162&lt;&gt;"",E162&lt;&gt;""),IF(I162="","⚠️ Enter Code",IF(IFERROR(VLOOKUP(H162,DB_Agents!$B:$I,8,0),"")=I162,IF(C162&gt;=E162,"Successful","Unsuccessful"),"🔒 BLOCKED — Wrong Code")),"—")</f>
        <v/>
      </c>
      <c r="K162" s="500">
        <f>IF(J162="Successful",TEXT(TODAY(),"YYYY-MM-DD")&amp;" Auto","—")</f>
        <v/>
      </c>
      <c r="L162" s="501" t="n"/>
    </row>
    <row r="163" ht="15" customHeight="1" s="341">
      <c r="A163" s="486" t="n"/>
      <c r="B163" s="378">
        <f>IF(A163="","",IFERROR(VLOOKUP(A163,DB_Customers!$A:$D,4,0),"❌ Account Not Found"))</f>
        <v/>
      </c>
      <c r="C163" s="487">
        <f>IF(A163="","",IFERROR(VLOOKUP(A163,DB_Customers!$A:$N,14,0),""))</f>
        <v/>
      </c>
      <c r="D163" s="488">
        <f>IF(A163="","",TODAY())</f>
        <v/>
      </c>
      <c r="E163" s="510" t="n"/>
      <c r="F163" s="378" t="n"/>
      <c r="G163" s="511">
        <f>IF(OR(A163="",E163=""),"",IF(C163="","",C163-E163))</f>
        <v/>
      </c>
      <c r="H163" s="380" t="inlineStr">
        <is>
          <t>Agent 01</t>
        </is>
      </c>
      <c r="I163" s="491" t="n"/>
      <c r="J163" s="492">
        <f>IF(AND(A163&lt;&gt;"",E163&lt;&gt;""),IF(I163="","⚠️ Enter Code",IF(IFERROR(VLOOKUP(H163,DB_Agents!$B:$I,8,0),"")=I163,IF(C163&gt;=E163,"Successful","Unsuccessful"),"🔒 BLOCKED — Wrong Code")),"—")</f>
        <v/>
      </c>
      <c r="K163" s="493">
        <f>IF(J163="Successful",TEXT(TODAY(),"YYYY-MM-DD")&amp;" Auto","—")</f>
        <v/>
      </c>
      <c r="L163" s="494" t="n"/>
    </row>
    <row r="164" ht="15" customHeight="1" s="341">
      <c r="A164" s="495" t="n"/>
      <c r="B164" s="382">
        <f>IF(A164="","",IFERROR(VLOOKUP(A164,DB_Customers!$A:$D,4,0),"❌ Account Not Found"))</f>
        <v/>
      </c>
      <c r="C164" s="496">
        <f>IF(A164="","",IFERROR(VLOOKUP(A164,DB_Customers!$A:$N,14,0),""))</f>
        <v/>
      </c>
      <c r="D164" s="497">
        <f>IF(A164="","",TODAY())</f>
        <v/>
      </c>
      <c r="E164" s="510" t="n"/>
      <c r="F164" s="382" t="n"/>
      <c r="G164" s="512">
        <f>IF(OR(A164="",E164=""),"",IF(C164="","",C164-E164))</f>
        <v/>
      </c>
      <c r="H164" s="384" t="inlineStr">
        <is>
          <t>Agent 01</t>
        </is>
      </c>
      <c r="I164" s="491" t="n"/>
      <c r="J164" s="499">
        <f>IF(AND(A164&lt;&gt;"",E164&lt;&gt;""),IF(I164="","⚠️ Enter Code",IF(IFERROR(VLOOKUP(H164,DB_Agents!$B:$I,8,0),"")=I164,IF(C164&gt;=E164,"Successful","Unsuccessful"),"🔒 BLOCKED — Wrong Code")),"—")</f>
        <v/>
      </c>
      <c r="K164" s="500">
        <f>IF(J164="Successful",TEXT(TODAY(),"YYYY-MM-DD")&amp;" Auto","—")</f>
        <v/>
      </c>
      <c r="L164" s="501" t="n"/>
    </row>
    <row r="165" ht="15" customHeight="1" s="341">
      <c r="A165" s="486" t="n"/>
      <c r="B165" s="378">
        <f>IF(A165="","",IFERROR(VLOOKUP(A165,DB_Customers!$A:$D,4,0),"❌ Account Not Found"))</f>
        <v/>
      </c>
      <c r="C165" s="487">
        <f>IF(A165="","",IFERROR(VLOOKUP(A165,DB_Customers!$A:$N,14,0),""))</f>
        <v/>
      </c>
      <c r="D165" s="488">
        <f>IF(A165="","",TODAY())</f>
        <v/>
      </c>
      <c r="E165" s="510" t="n"/>
      <c r="F165" s="378" t="n"/>
      <c r="G165" s="511">
        <f>IF(OR(A165="",E165=""),"",IF(C165="","",C165-E165))</f>
        <v/>
      </c>
      <c r="H165" s="380" t="inlineStr">
        <is>
          <t>Agent 01</t>
        </is>
      </c>
      <c r="I165" s="491" t="n"/>
      <c r="J165" s="492">
        <f>IF(AND(A165&lt;&gt;"",E165&lt;&gt;""),IF(I165="","⚠️ Enter Code",IF(IFERROR(VLOOKUP(H165,DB_Agents!$B:$I,8,0),"")=I165,IF(C165&gt;=E165,"Successful","Unsuccessful"),"🔒 BLOCKED — Wrong Code")),"—")</f>
        <v/>
      </c>
      <c r="K165" s="493">
        <f>IF(J165="Successful",TEXT(TODAY(),"YYYY-MM-DD")&amp;" Auto","—")</f>
        <v/>
      </c>
      <c r="L165" s="494" t="n"/>
    </row>
    <row r="166" ht="15" customHeight="1" s="341">
      <c r="A166" s="495" t="n"/>
      <c r="B166" s="382">
        <f>IF(A166="","",IFERROR(VLOOKUP(A166,DB_Customers!$A:$D,4,0),"❌ Account Not Found"))</f>
        <v/>
      </c>
      <c r="C166" s="496">
        <f>IF(A166="","",IFERROR(VLOOKUP(A166,DB_Customers!$A:$N,14,0),""))</f>
        <v/>
      </c>
      <c r="D166" s="497">
        <f>IF(A166="","",TODAY())</f>
        <v/>
      </c>
      <c r="E166" s="510" t="n"/>
      <c r="F166" s="382" t="n"/>
      <c r="G166" s="512">
        <f>IF(OR(A166="",E166=""),"",IF(C166="","",C166-E166))</f>
        <v/>
      </c>
      <c r="H166" s="384" t="inlineStr">
        <is>
          <t>Agent 01</t>
        </is>
      </c>
      <c r="I166" s="491" t="n"/>
      <c r="J166" s="499">
        <f>IF(AND(A166&lt;&gt;"",E166&lt;&gt;""),IF(I166="","⚠️ Enter Code",IF(IFERROR(VLOOKUP(H166,DB_Agents!$B:$I,8,0),"")=I166,IF(C166&gt;=E166,"Successful","Unsuccessful"),"🔒 BLOCKED — Wrong Code")),"—")</f>
        <v/>
      </c>
      <c r="K166" s="500">
        <f>IF(J166="Successful",TEXT(TODAY(),"YYYY-MM-DD")&amp;" Auto","—")</f>
        <v/>
      </c>
      <c r="L166" s="501" t="n"/>
    </row>
    <row r="167" ht="15" customHeight="1" s="341">
      <c r="A167" s="486" t="n"/>
      <c r="B167" s="378">
        <f>IF(A167="","",IFERROR(VLOOKUP(A167,DB_Customers!$A:$D,4,0),"❌ Account Not Found"))</f>
        <v/>
      </c>
      <c r="C167" s="487">
        <f>IF(A167="","",IFERROR(VLOOKUP(A167,DB_Customers!$A:$N,14,0),""))</f>
        <v/>
      </c>
      <c r="D167" s="488">
        <f>IF(A167="","",TODAY())</f>
        <v/>
      </c>
      <c r="E167" s="510" t="n"/>
      <c r="F167" s="378" t="n"/>
      <c r="G167" s="511">
        <f>IF(OR(A167="",E167=""),"",IF(C167="","",C167-E167))</f>
        <v/>
      </c>
      <c r="H167" s="380" t="inlineStr">
        <is>
          <t>Agent 01</t>
        </is>
      </c>
      <c r="I167" s="491" t="n"/>
      <c r="J167" s="492">
        <f>IF(AND(A167&lt;&gt;"",E167&lt;&gt;""),IF(I167="","⚠️ Enter Code",IF(IFERROR(VLOOKUP(H167,DB_Agents!$B:$I,8,0),"")=I167,IF(C167&gt;=E167,"Successful","Unsuccessful"),"🔒 BLOCKED — Wrong Code")),"—")</f>
        <v/>
      </c>
      <c r="K167" s="493">
        <f>IF(J167="Successful",TEXT(TODAY(),"YYYY-MM-DD")&amp;" Auto","—")</f>
        <v/>
      </c>
      <c r="L167" s="494" t="n"/>
    </row>
    <row r="168" ht="15" customHeight="1" s="341">
      <c r="A168" s="495" t="n"/>
      <c r="B168" s="382">
        <f>IF(A168="","",IFERROR(VLOOKUP(A168,DB_Customers!$A:$D,4,0),"❌ Account Not Found"))</f>
        <v/>
      </c>
      <c r="C168" s="496">
        <f>IF(A168="","",IFERROR(VLOOKUP(A168,DB_Customers!$A:$N,14,0),""))</f>
        <v/>
      </c>
      <c r="D168" s="497">
        <f>IF(A168="","",TODAY())</f>
        <v/>
      </c>
      <c r="E168" s="510" t="n"/>
      <c r="F168" s="382" t="n"/>
      <c r="G168" s="512">
        <f>IF(OR(A168="",E168=""),"",IF(C168="","",C168-E168))</f>
        <v/>
      </c>
      <c r="H168" s="384" t="inlineStr">
        <is>
          <t>Agent 01</t>
        </is>
      </c>
      <c r="I168" s="491" t="n"/>
      <c r="J168" s="499">
        <f>IF(AND(A168&lt;&gt;"",E168&lt;&gt;""),IF(I168="","⚠️ Enter Code",IF(IFERROR(VLOOKUP(H168,DB_Agents!$B:$I,8,0),"")=I168,IF(C168&gt;=E168,"Successful","Unsuccessful"),"🔒 BLOCKED — Wrong Code")),"—")</f>
        <v/>
      </c>
      <c r="K168" s="500">
        <f>IF(J168="Successful",TEXT(TODAY(),"YYYY-MM-DD")&amp;" Auto","—")</f>
        <v/>
      </c>
      <c r="L168" s="501" t="n"/>
    </row>
    <row r="169" ht="15" customHeight="1" s="341">
      <c r="A169" s="486" t="n"/>
      <c r="B169" s="378">
        <f>IF(A169="","",IFERROR(VLOOKUP(A169,DB_Customers!$A:$D,4,0),"❌ Account Not Found"))</f>
        <v/>
      </c>
      <c r="C169" s="487">
        <f>IF(A169="","",IFERROR(VLOOKUP(A169,DB_Customers!$A:$N,14,0),""))</f>
        <v/>
      </c>
      <c r="D169" s="488">
        <f>IF(A169="","",TODAY())</f>
        <v/>
      </c>
      <c r="E169" s="510" t="n"/>
      <c r="F169" s="378" t="n"/>
      <c r="G169" s="511">
        <f>IF(OR(A169="",E169=""),"",IF(C169="","",C169-E169))</f>
        <v/>
      </c>
      <c r="H169" s="380" t="inlineStr">
        <is>
          <t>Agent 01</t>
        </is>
      </c>
      <c r="I169" s="491" t="n"/>
      <c r="J169" s="492">
        <f>IF(AND(A169&lt;&gt;"",E169&lt;&gt;""),IF(I169="","⚠️ Enter Code",IF(IFERROR(VLOOKUP(H169,DB_Agents!$B:$I,8,0),"")=I169,IF(C169&gt;=E169,"Successful","Unsuccessful"),"🔒 BLOCKED — Wrong Code")),"—")</f>
        <v/>
      </c>
      <c r="K169" s="493">
        <f>IF(J169="Successful",TEXT(TODAY(),"YYYY-MM-DD")&amp;" Auto","—")</f>
        <v/>
      </c>
      <c r="L169" s="494" t="n"/>
    </row>
    <row r="170" ht="15" customHeight="1" s="341">
      <c r="A170" s="495" t="n"/>
      <c r="B170" s="382">
        <f>IF(A170="","",IFERROR(VLOOKUP(A170,DB_Customers!$A:$D,4,0),"❌ Account Not Found"))</f>
        <v/>
      </c>
      <c r="C170" s="496">
        <f>IF(A170="","",IFERROR(VLOOKUP(A170,DB_Customers!$A:$N,14,0),""))</f>
        <v/>
      </c>
      <c r="D170" s="497">
        <f>IF(A170="","",TODAY())</f>
        <v/>
      </c>
      <c r="E170" s="510" t="n"/>
      <c r="F170" s="382" t="n"/>
      <c r="G170" s="512">
        <f>IF(OR(A170="",E170=""),"",IF(C170="","",C170-E170))</f>
        <v/>
      </c>
      <c r="H170" s="384" t="inlineStr">
        <is>
          <t>Agent 01</t>
        </is>
      </c>
      <c r="I170" s="491" t="n"/>
      <c r="J170" s="499">
        <f>IF(AND(A170&lt;&gt;"",E170&lt;&gt;""),IF(I170="","⚠️ Enter Code",IF(IFERROR(VLOOKUP(H170,DB_Agents!$B:$I,8,0),"")=I170,IF(C170&gt;=E170,"Successful","Unsuccessful"),"🔒 BLOCKED — Wrong Code")),"—")</f>
        <v/>
      </c>
      <c r="K170" s="500">
        <f>IF(J170="Successful",TEXT(TODAY(),"YYYY-MM-DD")&amp;" Auto","—")</f>
        <v/>
      </c>
      <c r="L170" s="501" t="n"/>
    </row>
    <row r="171" ht="15" customHeight="1" s="341">
      <c r="A171" s="486" t="n"/>
      <c r="B171" s="378">
        <f>IF(A171="","",IFERROR(VLOOKUP(A171,DB_Customers!$A:$D,4,0),"❌ Account Not Found"))</f>
        <v/>
      </c>
      <c r="C171" s="487">
        <f>IF(A171="","",IFERROR(VLOOKUP(A171,DB_Customers!$A:$N,14,0),""))</f>
        <v/>
      </c>
      <c r="D171" s="488">
        <f>IF(A171="","",TODAY())</f>
        <v/>
      </c>
      <c r="E171" s="510" t="n"/>
      <c r="F171" s="378" t="n"/>
      <c r="G171" s="511">
        <f>IF(OR(A171="",E171=""),"",IF(C171="","",C171-E171))</f>
        <v/>
      </c>
      <c r="H171" s="380" t="inlineStr">
        <is>
          <t>Agent 01</t>
        </is>
      </c>
      <c r="I171" s="491" t="n"/>
      <c r="J171" s="492">
        <f>IF(AND(A171&lt;&gt;"",E171&lt;&gt;""),IF(I171="","⚠️ Enter Code",IF(IFERROR(VLOOKUP(H171,DB_Agents!$B:$I,8,0),"")=I171,IF(C171&gt;=E171,"Successful","Unsuccessful"),"🔒 BLOCKED — Wrong Code")),"—")</f>
        <v/>
      </c>
      <c r="K171" s="493">
        <f>IF(J171="Successful",TEXT(TODAY(),"YYYY-MM-DD")&amp;" Auto","—")</f>
        <v/>
      </c>
      <c r="L171" s="494" t="n"/>
    </row>
    <row r="172" ht="15" customHeight="1" s="341">
      <c r="A172" s="495" t="n"/>
      <c r="B172" s="382">
        <f>IF(A172="","",IFERROR(VLOOKUP(A172,DB_Customers!$A:$D,4,0),"❌ Account Not Found"))</f>
        <v/>
      </c>
      <c r="C172" s="496">
        <f>IF(A172="","",IFERROR(VLOOKUP(A172,DB_Customers!$A:$N,14,0),""))</f>
        <v/>
      </c>
      <c r="D172" s="497">
        <f>IF(A172="","",TODAY())</f>
        <v/>
      </c>
      <c r="E172" s="510" t="n"/>
      <c r="F172" s="382" t="n"/>
      <c r="G172" s="512">
        <f>IF(OR(A172="",E172=""),"",IF(C172="","",C172-E172))</f>
        <v/>
      </c>
      <c r="H172" s="384" t="inlineStr">
        <is>
          <t>Agent 01</t>
        </is>
      </c>
      <c r="I172" s="491" t="n"/>
      <c r="J172" s="499">
        <f>IF(AND(A172&lt;&gt;"",E172&lt;&gt;""),IF(I172="","⚠️ Enter Code",IF(IFERROR(VLOOKUP(H172,DB_Agents!$B:$I,8,0),"")=I172,IF(C172&gt;=E172,"Successful","Unsuccessful"),"🔒 BLOCKED — Wrong Code")),"—")</f>
        <v/>
      </c>
      <c r="K172" s="500">
        <f>IF(J172="Successful",TEXT(TODAY(),"YYYY-MM-DD")&amp;" Auto","—")</f>
        <v/>
      </c>
      <c r="L172" s="501" t="n"/>
    </row>
    <row r="173" ht="15" customHeight="1" s="341">
      <c r="A173" s="486" t="n"/>
      <c r="B173" s="378">
        <f>IF(A173="","",IFERROR(VLOOKUP(A173,DB_Customers!$A:$D,4,0),"❌ Account Not Found"))</f>
        <v/>
      </c>
      <c r="C173" s="487">
        <f>IF(A173="","",IFERROR(VLOOKUP(A173,DB_Customers!$A:$N,14,0),""))</f>
        <v/>
      </c>
      <c r="D173" s="488">
        <f>IF(A173="","",TODAY())</f>
        <v/>
      </c>
      <c r="E173" s="510" t="n"/>
      <c r="F173" s="378" t="n"/>
      <c r="G173" s="511">
        <f>IF(OR(A173="",E173=""),"",IF(C173="","",C173-E173))</f>
        <v/>
      </c>
      <c r="H173" s="380" t="inlineStr">
        <is>
          <t>Agent 01</t>
        </is>
      </c>
      <c r="I173" s="491" t="n"/>
      <c r="J173" s="492">
        <f>IF(AND(A173&lt;&gt;"",E173&lt;&gt;""),IF(I173="","⚠️ Enter Code",IF(IFERROR(VLOOKUP(H173,DB_Agents!$B:$I,8,0),"")=I173,IF(C173&gt;=E173,"Successful","Unsuccessful"),"🔒 BLOCKED — Wrong Code")),"—")</f>
        <v/>
      </c>
      <c r="K173" s="493">
        <f>IF(J173="Successful",TEXT(TODAY(),"YYYY-MM-DD")&amp;" Auto","—")</f>
        <v/>
      </c>
      <c r="L173" s="494" t="n"/>
    </row>
    <row r="174" ht="15" customHeight="1" s="341">
      <c r="A174" s="495" t="n"/>
      <c r="B174" s="382">
        <f>IF(A174="","",IFERROR(VLOOKUP(A174,DB_Customers!$A:$D,4,0),"❌ Account Not Found"))</f>
        <v/>
      </c>
      <c r="C174" s="496">
        <f>IF(A174="","",IFERROR(VLOOKUP(A174,DB_Customers!$A:$N,14,0),""))</f>
        <v/>
      </c>
      <c r="D174" s="497">
        <f>IF(A174="","",TODAY())</f>
        <v/>
      </c>
      <c r="E174" s="510" t="n"/>
      <c r="F174" s="382" t="n"/>
      <c r="G174" s="512">
        <f>IF(OR(A174="",E174=""),"",IF(C174="","",C174-E174))</f>
        <v/>
      </c>
      <c r="H174" s="384" t="inlineStr">
        <is>
          <t>Agent 01</t>
        </is>
      </c>
      <c r="I174" s="491" t="n"/>
      <c r="J174" s="499">
        <f>IF(AND(A174&lt;&gt;"",E174&lt;&gt;""),IF(I174="","⚠️ Enter Code",IF(IFERROR(VLOOKUP(H174,DB_Agents!$B:$I,8,0),"")=I174,IF(C174&gt;=E174,"Successful","Unsuccessful"),"🔒 BLOCKED — Wrong Code")),"—")</f>
        <v/>
      </c>
      <c r="K174" s="500">
        <f>IF(J174="Successful",TEXT(TODAY(),"YYYY-MM-DD")&amp;" Auto","—")</f>
        <v/>
      </c>
      <c r="L174" s="501" t="n"/>
    </row>
    <row r="175" ht="15" customHeight="1" s="341">
      <c r="A175" s="486" t="n"/>
      <c r="B175" s="378">
        <f>IF(A175="","",IFERROR(VLOOKUP(A175,DB_Customers!$A:$D,4,0),"❌ Account Not Found"))</f>
        <v/>
      </c>
      <c r="C175" s="487">
        <f>IF(A175="","",IFERROR(VLOOKUP(A175,DB_Customers!$A:$N,14,0),""))</f>
        <v/>
      </c>
      <c r="D175" s="488">
        <f>IF(A175="","",TODAY())</f>
        <v/>
      </c>
      <c r="E175" s="510" t="n"/>
      <c r="F175" s="378" t="n"/>
      <c r="G175" s="511">
        <f>IF(OR(A175="",E175=""),"",IF(C175="","",C175-E175))</f>
        <v/>
      </c>
      <c r="H175" s="380" t="inlineStr">
        <is>
          <t>Agent 01</t>
        </is>
      </c>
      <c r="I175" s="491" t="n"/>
      <c r="J175" s="492">
        <f>IF(AND(A175&lt;&gt;"",E175&lt;&gt;""),IF(I175="","⚠️ Enter Code",IF(IFERROR(VLOOKUP(H175,DB_Agents!$B:$I,8,0),"")=I175,IF(C175&gt;=E175,"Successful","Unsuccessful"),"🔒 BLOCKED — Wrong Code")),"—")</f>
        <v/>
      </c>
      <c r="K175" s="493">
        <f>IF(J175="Successful",TEXT(TODAY(),"YYYY-MM-DD")&amp;" Auto","—")</f>
        <v/>
      </c>
      <c r="L175" s="494" t="n"/>
    </row>
    <row r="176" ht="15" customHeight="1" s="341">
      <c r="A176" s="495" t="n"/>
      <c r="B176" s="382">
        <f>IF(A176="","",IFERROR(VLOOKUP(A176,DB_Customers!$A:$D,4,0),"❌ Account Not Found"))</f>
        <v/>
      </c>
      <c r="C176" s="496">
        <f>IF(A176="","",IFERROR(VLOOKUP(A176,DB_Customers!$A:$N,14,0),""))</f>
        <v/>
      </c>
      <c r="D176" s="497">
        <f>IF(A176="","",TODAY())</f>
        <v/>
      </c>
      <c r="E176" s="510" t="n"/>
      <c r="F176" s="382" t="n"/>
      <c r="G176" s="512">
        <f>IF(OR(A176="",E176=""),"",IF(C176="","",C176-E176))</f>
        <v/>
      </c>
      <c r="H176" s="384" t="inlineStr">
        <is>
          <t>Agent 01</t>
        </is>
      </c>
      <c r="I176" s="491" t="n"/>
      <c r="J176" s="499">
        <f>IF(AND(A176&lt;&gt;"",E176&lt;&gt;""),IF(I176="","⚠️ Enter Code",IF(IFERROR(VLOOKUP(H176,DB_Agents!$B:$I,8,0),"")=I176,IF(C176&gt;=E176,"Successful","Unsuccessful"),"🔒 BLOCKED — Wrong Code")),"—")</f>
        <v/>
      </c>
      <c r="K176" s="500">
        <f>IF(J176="Successful",TEXT(TODAY(),"YYYY-MM-DD")&amp;" Auto","—")</f>
        <v/>
      </c>
      <c r="L176" s="501" t="n"/>
    </row>
    <row r="177" ht="15" customHeight="1" s="341">
      <c r="A177" s="486" t="n"/>
      <c r="B177" s="378">
        <f>IF(A177="","",IFERROR(VLOOKUP(A177,DB_Customers!$A:$D,4,0),"❌ Account Not Found"))</f>
        <v/>
      </c>
      <c r="C177" s="487">
        <f>IF(A177="","",IFERROR(VLOOKUP(A177,DB_Customers!$A:$N,14,0),""))</f>
        <v/>
      </c>
      <c r="D177" s="488">
        <f>IF(A177="","",TODAY())</f>
        <v/>
      </c>
      <c r="E177" s="510" t="n"/>
      <c r="F177" s="378" t="n"/>
      <c r="G177" s="511">
        <f>IF(OR(A177="",E177=""),"",IF(C177="","",C177-E177))</f>
        <v/>
      </c>
      <c r="H177" s="380" t="inlineStr">
        <is>
          <t>Agent 01</t>
        </is>
      </c>
      <c r="I177" s="491" t="n"/>
      <c r="J177" s="492">
        <f>IF(AND(A177&lt;&gt;"",E177&lt;&gt;""),IF(I177="","⚠️ Enter Code",IF(IFERROR(VLOOKUP(H177,DB_Agents!$B:$I,8,0),"")=I177,IF(C177&gt;=E177,"Successful","Unsuccessful"),"🔒 BLOCKED — Wrong Code")),"—")</f>
        <v/>
      </c>
      <c r="K177" s="493">
        <f>IF(J177="Successful",TEXT(TODAY(),"YYYY-MM-DD")&amp;" Auto","—")</f>
        <v/>
      </c>
      <c r="L177" s="494" t="n"/>
    </row>
    <row r="178" ht="15" customHeight="1" s="341">
      <c r="A178" s="495" t="n"/>
      <c r="B178" s="382">
        <f>IF(A178="","",IFERROR(VLOOKUP(A178,DB_Customers!$A:$D,4,0),"❌ Account Not Found"))</f>
        <v/>
      </c>
      <c r="C178" s="496">
        <f>IF(A178="","",IFERROR(VLOOKUP(A178,DB_Customers!$A:$N,14,0),""))</f>
        <v/>
      </c>
      <c r="D178" s="497">
        <f>IF(A178="","",TODAY())</f>
        <v/>
      </c>
      <c r="E178" s="510" t="n"/>
      <c r="F178" s="382" t="n"/>
      <c r="G178" s="512">
        <f>IF(OR(A178="",E178=""),"",IF(C178="","",C178-E178))</f>
        <v/>
      </c>
      <c r="H178" s="384" t="inlineStr">
        <is>
          <t>Agent 01</t>
        </is>
      </c>
      <c r="I178" s="491" t="n"/>
      <c r="J178" s="499">
        <f>IF(AND(A178&lt;&gt;"",E178&lt;&gt;""),IF(I178="","⚠️ Enter Code",IF(IFERROR(VLOOKUP(H178,DB_Agents!$B:$I,8,0),"")=I178,IF(C178&gt;=E178,"Successful","Unsuccessful"),"🔒 BLOCKED — Wrong Code")),"—")</f>
        <v/>
      </c>
      <c r="K178" s="500">
        <f>IF(J178="Successful",TEXT(TODAY(),"YYYY-MM-DD")&amp;" Auto","—")</f>
        <v/>
      </c>
      <c r="L178" s="501" t="n"/>
    </row>
    <row r="179" ht="15" customHeight="1" s="341">
      <c r="A179" s="486" t="n"/>
      <c r="B179" s="378">
        <f>IF(A179="","",IFERROR(VLOOKUP(A179,DB_Customers!$A:$D,4,0),"❌ Account Not Found"))</f>
        <v/>
      </c>
      <c r="C179" s="487">
        <f>IF(A179="","",IFERROR(VLOOKUP(A179,DB_Customers!$A:$N,14,0),""))</f>
        <v/>
      </c>
      <c r="D179" s="488">
        <f>IF(A179="","",TODAY())</f>
        <v/>
      </c>
      <c r="E179" s="510" t="n"/>
      <c r="F179" s="378" t="n"/>
      <c r="G179" s="511">
        <f>IF(OR(A179="",E179=""),"",IF(C179="","",C179-E179))</f>
        <v/>
      </c>
      <c r="H179" s="380" t="inlineStr">
        <is>
          <t>Agent 01</t>
        </is>
      </c>
      <c r="I179" s="491" t="n"/>
      <c r="J179" s="492">
        <f>IF(AND(A179&lt;&gt;"",E179&lt;&gt;""),IF(I179="","⚠️ Enter Code",IF(IFERROR(VLOOKUP(H179,DB_Agents!$B:$I,8,0),"")=I179,IF(C179&gt;=E179,"Successful","Unsuccessful"),"🔒 BLOCKED — Wrong Code")),"—")</f>
        <v/>
      </c>
      <c r="K179" s="493">
        <f>IF(J179="Successful",TEXT(TODAY(),"YYYY-MM-DD")&amp;" Auto","—")</f>
        <v/>
      </c>
      <c r="L179" s="494" t="n"/>
    </row>
    <row r="180" ht="15" customHeight="1" s="341">
      <c r="A180" s="495" t="n"/>
      <c r="B180" s="382">
        <f>IF(A180="","",IFERROR(VLOOKUP(A180,DB_Customers!$A:$D,4,0),"❌ Account Not Found"))</f>
        <v/>
      </c>
      <c r="C180" s="496">
        <f>IF(A180="","",IFERROR(VLOOKUP(A180,DB_Customers!$A:$N,14,0),""))</f>
        <v/>
      </c>
      <c r="D180" s="497">
        <f>IF(A180="","",TODAY())</f>
        <v/>
      </c>
      <c r="E180" s="510" t="n"/>
      <c r="F180" s="382" t="n"/>
      <c r="G180" s="512">
        <f>IF(OR(A180="",E180=""),"",IF(C180="","",C180-E180))</f>
        <v/>
      </c>
      <c r="H180" s="384" t="inlineStr">
        <is>
          <t>Agent 01</t>
        </is>
      </c>
      <c r="I180" s="491" t="n"/>
      <c r="J180" s="499">
        <f>IF(AND(A180&lt;&gt;"",E180&lt;&gt;""),IF(I180="","⚠️ Enter Code",IF(IFERROR(VLOOKUP(H180,DB_Agents!$B:$I,8,0),"")=I180,IF(C180&gt;=E180,"Successful","Unsuccessful"),"🔒 BLOCKED — Wrong Code")),"—")</f>
        <v/>
      </c>
      <c r="K180" s="500">
        <f>IF(J180="Successful",TEXT(TODAY(),"YYYY-MM-DD")&amp;" Auto","—")</f>
        <v/>
      </c>
      <c r="L180" s="501" t="n"/>
    </row>
    <row r="181" ht="15" customHeight="1" s="341">
      <c r="A181" s="486" t="n"/>
      <c r="B181" s="378">
        <f>IF(A181="","",IFERROR(VLOOKUP(A181,DB_Customers!$A:$D,4,0),"❌ Account Not Found"))</f>
        <v/>
      </c>
      <c r="C181" s="487">
        <f>IF(A181="","",IFERROR(VLOOKUP(A181,DB_Customers!$A:$N,14,0),""))</f>
        <v/>
      </c>
      <c r="D181" s="488">
        <f>IF(A181="","",TODAY())</f>
        <v/>
      </c>
      <c r="E181" s="510" t="n"/>
      <c r="F181" s="378" t="n"/>
      <c r="G181" s="511">
        <f>IF(OR(A181="",E181=""),"",IF(C181="","",C181-E181))</f>
        <v/>
      </c>
      <c r="H181" s="380" t="inlineStr">
        <is>
          <t>Agent 01</t>
        </is>
      </c>
      <c r="I181" s="491" t="n"/>
      <c r="J181" s="492">
        <f>IF(AND(A181&lt;&gt;"",E181&lt;&gt;""),IF(I181="","⚠️ Enter Code",IF(IFERROR(VLOOKUP(H181,DB_Agents!$B:$I,8,0),"")=I181,IF(C181&gt;=E181,"Successful","Unsuccessful"),"🔒 BLOCKED — Wrong Code")),"—")</f>
        <v/>
      </c>
      <c r="K181" s="493">
        <f>IF(J181="Successful",TEXT(TODAY(),"YYYY-MM-DD")&amp;" Auto","—")</f>
        <v/>
      </c>
      <c r="L181" s="494" t="n"/>
    </row>
    <row r="182" ht="15" customHeight="1" s="341">
      <c r="A182" s="495" t="n"/>
      <c r="B182" s="382">
        <f>IF(A182="","",IFERROR(VLOOKUP(A182,DB_Customers!$A:$D,4,0),"❌ Account Not Found"))</f>
        <v/>
      </c>
      <c r="C182" s="496">
        <f>IF(A182="","",IFERROR(VLOOKUP(A182,DB_Customers!$A:$N,14,0),""))</f>
        <v/>
      </c>
      <c r="D182" s="497">
        <f>IF(A182="","",TODAY())</f>
        <v/>
      </c>
      <c r="E182" s="510" t="n"/>
      <c r="F182" s="382" t="n"/>
      <c r="G182" s="512">
        <f>IF(OR(A182="",E182=""),"",IF(C182="","",C182-E182))</f>
        <v/>
      </c>
      <c r="H182" s="384" t="inlineStr">
        <is>
          <t>Agent 01</t>
        </is>
      </c>
      <c r="I182" s="491" t="n"/>
      <c r="J182" s="499">
        <f>IF(AND(A182&lt;&gt;"",E182&lt;&gt;""),IF(I182="","⚠️ Enter Code",IF(IFERROR(VLOOKUP(H182,DB_Agents!$B:$I,8,0),"")=I182,IF(C182&gt;=E182,"Successful","Unsuccessful"),"🔒 BLOCKED — Wrong Code")),"—")</f>
        <v/>
      </c>
      <c r="K182" s="500">
        <f>IF(J182="Successful",TEXT(TODAY(),"YYYY-MM-DD")&amp;" Auto","—")</f>
        <v/>
      </c>
      <c r="L182" s="501" t="n"/>
    </row>
    <row r="183" ht="15" customHeight="1" s="341">
      <c r="A183" s="486" t="n"/>
      <c r="B183" s="378">
        <f>IF(A183="","",IFERROR(VLOOKUP(A183,DB_Customers!$A:$D,4,0),"❌ Account Not Found"))</f>
        <v/>
      </c>
      <c r="C183" s="487">
        <f>IF(A183="","",IFERROR(VLOOKUP(A183,DB_Customers!$A:$N,14,0),""))</f>
        <v/>
      </c>
      <c r="D183" s="488">
        <f>IF(A183="","",TODAY())</f>
        <v/>
      </c>
      <c r="E183" s="510" t="n"/>
      <c r="F183" s="378" t="n"/>
      <c r="G183" s="511">
        <f>IF(OR(A183="",E183=""),"",IF(C183="","",C183-E183))</f>
        <v/>
      </c>
      <c r="H183" s="380" t="inlineStr">
        <is>
          <t>Agent 01</t>
        </is>
      </c>
      <c r="I183" s="491" t="n"/>
      <c r="J183" s="492">
        <f>IF(AND(A183&lt;&gt;"",E183&lt;&gt;""),IF(I183="","⚠️ Enter Code",IF(IFERROR(VLOOKUP(H183,DB_Agents!$B:$I,8,0),"")=I183,IF(C183&gt;=E183,"Successful","Unsuccessful"),"🔒 BLOCKED — Wrong Code")),"—")</f>
        <v/>
      </c>
      <c r="K183" s="493">
        <f>IF(J183="Successful",TEXT(TODAY(),"YYYY-MM-DD")&amp;" Auto","—")</f>
        <v/>
      </c>
      <c r="L183" s="494" t="n"/>
    </row>
    <row r="184" ht="15" customHeight="1" s="341">
      <c r="A184" s="495" t="n"/>
      <c r="B184" s="382">
        <f>IF(A184="","",IFERROR(VLOOKUP(A184,DB_Customers!$A:$D,4,0),"❌ Account Not Found"))</f>
        <v/>
      </c>
      <c r="C184" s="496">
        <f>IF(A184="","",IFERROR(VLOOKUP(A184,DB_Customers!$A:$N,14,0),""))</f>
        <v/>
      </c>
      <c r="D184" s="497">
        <f>IF(A184="","",TODAY())</f>
        <v/>
      </c>
      <c r="E184" s="510" t="n"/>
      <c r="F184" s="382" t="n"/>
      <c r="G184" s="512">
        <f>IF(OR(A184="",E184=""),"",IF(C184="","",C184-E184))</f>
        <v/>
      </c>
      <c r="H184" s="384" t="inlineStr">
        <is>
          <t>Agent 01</t>
        </is>
      </c>
      <c r="I184" s="491" t="n"/>
      <c r="J184" s="499">
        <f>IF(AND(A184&lt;&gt;"",E184&lt;&gt;""),IF(I184="","⚠️ Enter Code",IF(IFERROR(VLOOKUP(H184,DB_Agents!$B:$I,8,0),"")=I184,IF(C184&gt;=E184,"Successful","Unsuccessful"),"🔒 BLOCKED — Wrong Code")),"—")</f>
        <v/>
      </c>
      <c r="K184" s="500">
        <f>IF(J184="Successful",TEXT(TODAY(),"YYYY-MM-DD")&amp;" Auto","—")</f>
        <v/>
      </c>
      <c r="L184" s="501" t="n"/>
    </row>
    <row r="185" ht="15" customHeight="1" s="341">
      <c r="A185" s="486" t="n"/>
      <c r="B185" s="378">
        <f>IF(A185="","",IFERROR(VLOOKUP(A185,DB_Customers!$A:$D,4,0),"❌ Account Not Found"))</f>
        <v/>
      </c>
      <c r="C185" s="487">
        <f>IF(A185="","",IFERROR(VLOOKUP(A185,DB_Customers!$A:$N,14,0),""))</f>
        <v/>
      </c>
      <c r="D185" s="488">
        <f>IF(A185="","",TODAY())</f>
        <v/>
      </c>
      <c r="E185" s="510" t="n"/>
      <c r="F185" s="378" t="n"/>
      <c r="G185" s="511">
        <f>IF(OR(A185="",E185=""),"",IF(C185="","",C185-E185))</f>
        <v/>
      </c>
      <c r="H185" s="380" t="inlineStr">
        <is>
          <t>Agent 01</t>
        </is>
      </c>
      <c r="I185" s="491" t="n"/>
      <c r="J185" s="492">
        <f>IF(AND(A185&lt;&gt;"",E185&lt;&gt;""),IF(I185="","⚠️ Enter Code",IF(IFERROR(VLOOKUP(H185,DB_Agents!$B:$I,8,0),"")=I185,IF(C185&gt;=E185,"Successful","Unsuccessful"),"🔒 BLOCKED — Wrong Code")),"—")</f>
        <v/>
      </c>
      <c r="K185" s="493">
        <f>IF(J185="Successful",TEXT(TODAY(),"YYYY-MM-DD")&amp;" Auto","—")</f>
        <v/>
      </c>
      <c r="L185" s="494" t="n"/>
    </row>
    <row r="186" ht="15" customHeight="1" s="341">
      <c r="A186" s="495" t="n"/>
      <c r="B186" s="382">
        <f>IF(A186="","",IFERROR(VLOOKUP(A186,DB_Customers!$A:$D,4,0),"❌ Account Not Found"))</f>
        <v/>
      </c>
      <c r="C186" s="496">
        <f>IF(A186="","",IFERROR(VLOOKUP(A186,DB_Customers!$A:$N,14,0),""))</f>
        <v/>
      </c>
      <c r="D186" s="497">
        <f>IF(A186="","",TODAY())</f>
        <v/>
      </c>
      <c r="E186" s="510" t="n"/>
      <c r="F186" s="382" t="n"/>
      <c r="G186" s="512">
        <f>IF(OR(A186="",E186=""),"",IF(C186="","",C186-E186))</f>
        <v/>
      </c>
      <c r="H186" s="384" t="inlineStr">
        <is>
          <t>Agent 01</t>
        </is>
      </c>
      <c r="I186" s="491" t="n"/>
      <c r="J186" s="499">
        <f>IF(AND(A186&lt;&gt;"",E186&lt;&gt;""),IF(I186="","⚠️ Enter Code",IF(IFERROR(VLOOKUP(H186,DB_Agents!$B:$I,8,0),"")=I186,IF(C186&gt;=E186,"Successful","Unsuccessful"),"🔒 BLOCKED — Wrong Code")),"—")</f>
        <v/>
      </c>
      <c r="K186" s="500">
        <f>IF(J186="Successful",TEXT(TODAY(),"YYYY-MM-DD")&amp;" Auto","—")</f>
        <v/>
      </c>
      <c r="L186" s="501" t="n"/>
    </row>
    <row r="187" ht="15" customHeight="1" s="341">
      <c r="A187" s="486" t="n"/>
      <c r="B187" s="378">
        <f>IF(A187="","",IFERROR(VLOOKUP(A187,DB_Customers!$A:$D,4,0),"❌ Account Not Found"))</f>
        <v/>
      </c>
      <c r="C187" s="487">
        <f>IF(A187="","",IFERROR(VLOOKUP(A187,DB_Customers!$A:$N,14,0),""))</f>
        <v/>
      </c>
      <c r="D187" s="488">
        <f>IF(A187="","",TODAY())</f>
        <v/>
      </c>
      <c r="E187" s="510" t="n"/>
      <c r="F187" s="378" t="n"/>
      <c r="G187" s="511">
        <f>IF(OR(A187="",E187=""),"",IF(C187="","",C187-E187))</f>
        <v/>
      </c>
      <c r="H187" s="380" t="inlineStr">
        <is>
          <t>Agent 01</t>
        </is>
      </c>
      <c r="I187" s="491" t="n"/>
      <c r="J187" s="492">
        <f>IF(AND(A187&lt;&gt;"",E187&lt;&gt;""),IF(I187="","⚠️ Enter Code",IF(IFERROR(VLOOKUP(H187,DB_Agents!$B:$I,8,0),"")=I187,IF(C187&gt;=E187,"Successful","Unsuccessful"),"🔒 BLOCKED — Wrong Code")),"—")</f>
        <v/>
      </c>
      <c r="K187" s="493">
        <f>IF(J187="Successful",TEXT(TODAY(),"YYYY-MM-DD")&amp;" Auto","—")</f>
        <v/>
      </c>
      <c r="L187" s="494" t="n"/>
    </row>
    <row r="188" ht="15" customHeight="1" s="341">
      <c r="A188" s="495" t="n"/>
      <c r="B188" s="382">
        <f>IF(A188="","",IFERROR(VLOOKUP(A188,DB_Customers!$A:$D,4,0),"❌ Account Not Found"))</f>
        <v/>
      </c>
      <c r="C188" s="496">
        <f>IF(A188="","",IFERROR(VLOOKUP(A188,DB_Customers!$A:$N,14,0),""))</f>
        <v/>
      </c>
      <c r="D188" s="497">
        <f>IF(A188="","",TODAY())</f>
        <v/>
      </c>
      <c r="E188" s="510" t="n"/>
      <c r="F188" s="382" t="n"/>
      <c r="G188" s="512">
        <f>IF(OR(A188="",E188=""),"",IF(C188="","",C188-E188))</f>
        <v/>
      </c>
      <c r="H188" s="384" t="inlineStr">
        <is>
          <t>Agent 01</t>
        </is>
      </c>
      <c r="I188" s="491" t="n"/>
      <c r="J188" s="499">
        <f>IF(AND(A188&lt;&gt;"",E188&lt;&gt;""),IF(I188="","⚠️ Enter Code",IF(IFERROR(VLOOKUP(H188,DB_Agents!$B:$I,8,0),"")=I188,IF(C188&gt;=E188,"Successful","Unsuccessful"),"🔒 BLOCKED — Wrong Code")),"—")</f>
        <v/>
      </c>
      <c r="K188" s="500">
        <f>IF(J188="Successful",TEXT(TODAY(),"YYYY-MM-DD")&amp;" Auto","—")</f>
        <v/>
      </c>
      <c r="L188" s="501" t="n"/>
    </row>
    <row r="189" ht="15" customHeight="1" s="341">
      <c r="A189" s="486" t="n"/>
      <c r="B189" s="378">
        <f>IF(A189="","",IFERROR(VLOOKUP(A189,DB_Customers!$A:$D,4,0),"❌ Account Not Found"))</f>
        <v/>
      </c>
      <c r="C189" s="487">
        <f>IF(A189="","",IFERROR(VLOOKUP(A189,DB_Customers!$A:$N,14,0),""))</f>
        <v/>
      </c>
      <c r="D189" s="488">
        <f>IF(A189="","",TODAY())</f>
        <v/>
      </c>
      <c r="E189" s="510" t="n"/>
      <c r="F189" s="378" t="n"/>
      <c r="G189" s="511">
        <f>IF(OR(A189="",E189=""),"",IF(C189="","",C189-E189))</f>
        <v/>
      </c>
      <c r="H189" s="380" t="inlineStr">
        <is>
          <t>Agent 01</t>
        </is>
      </c>
      <c r="I189" s="491" t="n"/>
      <c r="J189" s="492">
        <f>IF(AND(A189&lt;&gt;"",E189&lt;&gt;""),IF(I189="","⚠️ Enter Code",IF(IFERROR(VLOOKUP(H189,DB_Agents!$B:$I,8,0),"")=I189,IF(C189&gt;=E189,"Successful","Unsuccessful"),"🔒 BLOCKED — Wrong Code")),"—")</f>
        <v/>
      </c>
      <c r="K189" s="493">
        <f>IF(J189="Successful",TEXT(TODAY(),"YYYY-MM-DD")&amp;" Auto","—")</f>
        <v/>
      </c>
      <c r="L189" s="494" t="n"/>
    </row>
    <row r="190" ht="15" customHeight="1" s="341">
      <c r="A190" s="495" t="n"/>
      <c r="B190" s="382">
        <f>IF(A190="","",IFERROR(VLOOKUP(A190,DB_Customers!$A:$D,4,0),"❌ Account Not Found"))</f>
        <v/>
      </c>
      <c r="C190" s="496">
        <f>IF(A190="","",IFERROR(VLOOKUP(A190,DB_Customers!$A:$N,14,0),""))</f>
        <v/>
      </c>
      <c r="D190" s="497">
        <f>IF(A190="","",TODAY())</f>
        <v/>
      </c>
      <c r="E190" s="510" t="n"/>
      <c r="F190" s="382" t="n"/>
      <c r="G190" s="512">
        <f>IF(OR(A190="",E190=""),"",IF(C190="","",C190-E190))</f>
        <v/>
      </c>
      <c r="H190" s="384" t="inlineStr">
        <is>
          <t>Agent 01</t>
        </is>
      </c>
      <c r="I190" s="491" t="n"/>
      <c r="J190" s="499">
        <f>IF(AND(A190&lt;&gt;"",E190&lt;&gt;""),IF(I190="","⚠️ Enter Code",IF(IFERROR(VLOOKUP(H190,DB_Agents!$B:$I,8,0),"")=I190,IF(C190&gt;=E190,"Successful","Unsuccessful"),"🔒 BLOCKED — Wrong Code")),"—")</f>
        <v/>
      </c>
      <c r="K190" s="500">
        <f>IF(J190="Successful",TEXT(TODAY(),"YYYY-MM-DD")&amp;" Auto","—")</f>
        <v/>
      </c>
      <c r="L190" s="501" t="n"/>
    </row>
    <row r="191" ht="15" customHeight="1" s="341">
      <c r="A191" s="486" t="n"/>
      <c r="B191" s="378">
        <f>IF(A191="","",IFERROR(VLOOKUP(A191,DB_Customers!$A:$D,4,0),"❌ Account Not Found"))</f>
        <v/>
      </c>
      <c r="C191" s="487">
        <f>IF(A191="","",IFERROR(VLOOKUP(A191,DB_Customers!$A:$N,14,0),""))</f>
        <v/>
      </c>
      <c r="D191" s="488">
        <f>IF(A191="","",TODAY())</f>
        <v/>
      </c>
      <c r="E191" s="510" t="n"/>
      <c r="F191" s="378" t="n"/>
      <c r="G191" s="511">
        <f>IF(OR(A191="",E191=""),"",IF(C191="","",C191-E191))</f>
        <v/>
      </c>
      <c r="H191" s="380" t="inlineStr">
        <is>
          <t>Agent 01</t>
        </is>
      </c>
      <c r="I191" s="491" t="n"/>
      <c r="J191" s="492">
        <f>IF(AND(A191&lt;&gt;"",E191&lt;&gt;""),IF(I191="","⚠️ Enter Code",IF(IFERROR(VLOOKUP(H191,DB_Agents!$B:$I,8,0),"")=I191,IF(C191&gt;=E191,"Successful","Unsuccessful"),"🔒 BLOCKED — Wrong Code")),"—")</f>
        <v/>
      </c>
      <c r="K191" s="493">
        <f>IF(J191="Successful",TEXT(TODAY(),"YYYY-MM-DD")&amp;" Auto","—")</f>
        <v/>
      </c>
      <c r="L191" s="494" t="n"/>
    </row>
    <row r="192" ht="15" customHeight="1" s="341">
      <c r="A192" s="495" t="n"/>
      <c r="B192" s="382">
        <f>IF(A192="","",IFERROR(VLOOKUP(A192,DB_Customers!$A:$D,4,0),"❌ Account Not Found"))</f>
        <v/>
      </c>
      <c r="C192" s="496">
        <f>IF(A192="","",IFERROR(VLOOKUP(A192,DB_Customers!$A:$N,14,0),""))</f>
        <v/>
      </c>
      <c r="D192" s="497">
        <f>IF(A192="","",TODAY())</f>
        <v/>
      </c>
      <c r="E192" s="510" t="n"/>
      <c r="F192" s="382" t="n"/>
      <c r="G192" s="512">
        <f>IF(OR(A192="",E192=""),"",IF(C192="","",C192-E192))</f>
        <v/>
      </c>
      <c r="H192" s="384" t="inlineStr">
        <is>
          <t>Agent 01</t>
        </is>
      </c>
      <c r="I192" s="491" t="n"/>
      <c r="J192" s="499">
        <f>IF(AND(A192&lt;&gt;"",E192&lt;&gt;""),IF(I192="","⚠️ Enter Code",IF(IFERROR(VLOOKUP(H192,DB_Agents!$B:$I,8,0),"")=I192,IF(C192&gt;=E192,"Successful","Unsuccessful"),"🔒 BLOCKED — Wrong Code")),"—")</f>
        <v/>
      </c>
      <c r="K192" s="500">
        <f>IF(J192="Successful",TEXT(TODAY(),"YYYY-MM-DD")&amp;" Auto","—")</f>
        <v/>
      </c>
      <c r="L192" s="501" t="n"/>
    </row>
    <row r="193" ht="15" customHeight="1" s="341">
      <c r="A193" s="486" t="n"/>
      <c r="B193" s="378">
        <f>IF(A193="","",IFERROR(VLOOKUP(A193,DB_Customers!$A:$D,4,0),"❌ Account Not Found"))</f>
        <v/>
      </c>
      <c r="C193" s="487">
        <f>IF(A193="","",IFERROR(VLOOKUP(A193,DB_Customers!$A:$N,14,0),""))</f>
        <v/>
      </c>
      <c r="D193" s="488">
        <f>IF(A193="","",TODAY())</f>
        <v/>
      </c>
      <c r="E193" s="510" t="n"/>
      <c r="F193" s="378" t="n"/>
      <c r="G193" s="511">
        <f>IF(OR(A193="",E193=""),"",IF(C193="","",C193-E193))</f>
        <v/>
      </c>
      <c r="H193" s="380" t="inlineStr">
        <is>
          <t>Agent 01</t>
        </is>
      </c>
      <c r="I193" s="491" t="n"/>
      <c r="J193" s="492">
        <f>IF(AND(A193&lt;&gt;"",E193&lt;&gt;""),IF(I193="","⚠️ Enter Code",IF(IFERROR(VLOOKUP(H193,DB_Agents!$B:$I,8,0),"")=I193,IF(C193&gt;=E193,"Successful","Unsuccessful"),"🔒 BLOCKED — Wrong Code")),"—")</f>
        <v/>
      </c>
      <c r="K193" s="493">
        <f>IF(J193="Successful",TEXT(TODAY(),"YYYY-MM-DD")&amp;" Auto","—")</f>
        <v/>
      </c>
      <c r="L193" s="494" t="n"/>
    </row>
    <row r="194" ht="15" customHeight="1" s="341">
      <c r="A194" s="495" t="n"/>
      <c r="B194" s="382">
        <f>IF(A194="","",IFERROR(VLOOKUP(A194,DB_Customers!$A:$D,4,0),"❌ Account Not Found"))</f>
        <v/>
      </c>
      <c r="C194" s="496">
        <f>IF(A194="","",IFERROR(VLOOKUP(A194,DB_Customers!$A:$N,14,0),""))</f>
        <v/>
      </c>
      <c r="D194" s="497">
        <f>IF(A194="","",TODAY())</f>
        <v/>
      </c>
      <c r="E194" s="510" t="n"/>
      <c r="F194" s="382" t="n"/>
      <c r="G194" s="512">
        <f>IF(OR(A194="",E194=""),"",IF(C194="","",C194-E194))</f>
        <v/>
      </c>
      <c r="H194" s="384" t="inlineStr">
        <is>
          <t>Agent 01</t>
        </is>
      </c>
      <c r="I194" s="491" t="n"/>
      <c r="J194" s="499">
        <f>IF(AND(A194&lt;&gt;"",E194&lt;&gt;""),IF(I194="","⚠️ Enter Code",IF(IFERROR(VLOOKUP(H194,DB_Agents!$B:$I,8,0),"")=I194,IF(C194&gt;=E194,"Successful","Unsuccessful"),"🔒 BLOCKED — Wrong Code")),"—")</f>
        <v/>
      </c>
      <c r="K194" s="500">
        <f>IF(J194="Successful",TEXT(TODAY(),"YYYY-MM-DD")&amp;" Auto","—")</f>
        <v/>
      </c>
      <c r="L194" s="501" t="n"/>
    </row>
    <row r="195" ht="15" customHeight="1" s="341">
      <c r="A195" s="486" t="n"/>
      <c r="B195" s="378">
        <f>IF(A195="","",IFERROR(VLOOKUP(A195,DB_Customers!$A:$D,4,0),"❌ Account Not Found"))</f>
        <v/>
      </c>
      <c r="C195" s="487">
        <f>IF(A195="","",IFERROR(VLOOKUP(A195,DB_Customers!$A:$N,14,0),""))</f>
        <v/>
      </c>
      <c r="D195" s="488">
        <f>IF(A195="","",TODAY())</f>
        <v/>
      </c>
      <c r="E195" s="510" t="n"/>
      <c r="F195" s="378" t="n"/>
      <c r="G195" s="511">
        <f>IF(OR(A195="",E195=""),"",IF(C195="","",C195-E195))</f>
        <v/>
      </c>
      <c r="H195" s="380" t="inlineStr">
        <is>
          <t>Agent 01</t>
        </is>
      </c>
      <c r="I195" s="491" t="n"/>
      <c r="J195" s="492">
        <f>IF(AND(A195&lt;&gt;"",E195&lt;&gt;""),IF(I195="","⚠️ Enter Code",IF(IFERROR(VLOOKUP(H195,DB_Agents!$B:$I,8,0),"")=I195,IF(C195&gt;=E195,"Successful","Unsuccessful"),"🔒 BLOCKED — Wrong Code")),"—")</f>
        <v/>
      </c>
      <c r="K195" s="493">
        <f>IF(J195="Successful",TEXT(TODAY(),"YYYY-MM-DD")&amp;" Auto","—")</f>
        <v/>
      </c>
      <c r="L195" s="494" t="n"/>
    </row>
    <row r="196" ht="15" customHeight="1" s="341">
      <c r="A196" s="495" t="n"/>
      <c r="B196" s="382">
        <f>IF(A196="","",IFERROR(VLOOKUP(A196,DB_Customers!$A:$D,4,0),"❌ Account Not Found"))</f>
        <v/>
      </c>
      <c r="C196" s="496">
        <f>IF(A196="","",IFERROR(VLOOKUP(A196,DB_Customers!$A:$N,14,0),""))</f>
        <v/>
      </c>
      <c r="D196" s="497">
        <f>IF(A196="","",TODAY())</f>
        <v/>
      </c>
      <c r="E196" s="510" t="n"/>
      <c r="F196" s="382" t="n"/>
      <c r="G196" s="512">
        <f>IF(OR(A196="",E196=""),"",IF(C196="","",C196-E196))</f>
        <v/>
      </c>
      <c r="H196" s="384" t="inlineStr">
        <is>
          <t>Agent 01</t>
        </is>
      </c>
      <c r="I196" s="491" t="n"/>
      <c r="J196" s="499">
        <f>IF(AND(A196&lt;&gt;"",E196&lt;&gt;""),IF(I196="","⚠️ Enter Code",IF(IFERROR(VLOOKUP(H196,DB_Agents!$B:$I,8,0),"")=I196,IF(C196&gt;=E196,"Successful","Unsuccessful"),"🔒 BLOCKED — Wrong Code")),"—")</f>
        <v/>
      </c>
      <c r="K196" s="500">
        <f>IF(J196="Successful",TEXT(TODAY(),"YYYY-MM-DD")&amp;" Auto","—")</f>
        <v/>
      </c>
      <c r="L196" s="501" t="n"/>
    </row>
    <row r="197" ht="15" customHeight="1" s="341">
      <c r="A197" s="486" t="n"/>
      <c r="B197" s="378">
        <f>IF(A197="","",IFERROR(VLOOKUP(A197,DB_Customers!$A:$D,4,0),"❌ Account Not Found"))</f>
        <v/>
      </c>
      <c r="C197" s="487">
        <f>IF(A197="","",IFERROR(VLOOKUP(A197,DB_Customers!$A:$N,14,0),""))</f>
        <v/>
      </c>
      <c r="D197" s="488">
        <f>IF(A197="","",TODAY())</f>
        <v/>
      </c>
      <c r="E197" s="510" t="n"/>
      <c r="F197" s="378" t="n"/>
      <c r="G197" s="511">
        <f>IF(OR(A197="",E197=""),"",IF(C197="","",C197-E197))</f>
        <v/>
      </c>
      <c r="H197" s="380" t="inlineStr">
        <is>
          <t>Agent 01</t>
        </is>
      </c>
      <c r="I197" s="491" t="n"/>
      <c r="J197" s="492">
        <f>IF(AND(A197&lt;&gt;"",E197&lt;&gt;""),IF(I197="","⚠️ Enter Code",IF(IFERROR(VLOOKUP(H197,DB_Agents!$B:$I,8,0),"")=I197,IF(C197&gt;=E197,"Successful","Unsuccessful"),"🔒 BLOCKED — Wrong Code")),"—")</f>
        <v/>
      </c>
      <c r="K197" s="493">
        <f>IF(J197="Successful",TEXT(TODAY(),"YYYY-MM-DD")&amp;" Auto","—")</f>
        <v/>
      </c>
      <c r="L197" s="494" t="n"/>
    </row>
    <row r="198" ht="15" customHeight="1" s="341">
      <c r="A198" s="495" t="n"/>
      <c r="B198" s="382">
        <f>IF(A198="","",IFERROR(VLOOKUP(A198,DB_Customers!$A:$D,4,0),"❌ Account Not Found"))</f>
        <v/>
      </c>
      <c r="C198" s="496">
        <f>IF(A198="","",IFERROR(VLOOKUP(A198,DB_Customers!$A:$N,14,0),""))</f>
        <v/>
      </c>
      <c r="D198" s="497">
        <f>IF(A198="","",TODAY())</f>
        <v/>
      </c>
      <c r="E198" s="510" t="n"/>
      <c r="F198" s="382" t="n"/>
      <c r="G198" s="512">
        <f>IF(OR(A198="",E198=""),"",IF(C198="","",C198-E198))</f>
        <v/>
      </c>
      <c r="H198" s="384" t="inlineStr">
        <is>
          <t>Agent 01</t>
        </is>
      </c>
      <c r="I198" s="491" t="n"/>
      <c r="J198" s="499">
        <f>IF(AND(A198&lt;&gt;"",E198&lt;&gt;""),IF(I198="","⚠️ Enter Code",IF(IFERROR(VLOOKUP(H198,DB_Agents!$B:$I,8,0),"")=I198,IF(C198&gt;=E198,"Successful","Unsuccessful"),"🔒 BLOCKED — Wrong Code")),"—")</f>
        <v/>
      </c>
      <c r="K198" s="500">
        <f>IF(J198="Successful",TEXT(TODAY(),"YYYY-MM-DD")&amp;" Auto","—")</f>
        <v/>
      </c>
      <c r="L198" s="501" t="n"/>
    </row>
    <row r="199" ht="15" customHeight="1" s="341">
      <c r="A199" s="486" t="n"/>
      <c r="B199" s="378">
        <f>IF(A199="","",IFERROR(VLOOKUP(A199,DB_Customers!$A:$D,4,0),"❌ Account Not Found"))</f>
        <v/>
      </c>
      <c r="C199" s="487">
        <f>IF(A199="","",IFERROR(VLOOKUP(A199,DB_Customers!$A:$N,14,0),""))</f>
        <v/>
      </c>
      <c r="D199" s="488">
        <f>IF(A199="","",TODAY())</f>
        <v/>
      </c>
      <c r="E199" s="510" t="n"/>
      <c r="F199" s="378" t="n"/>
      <c r="G199" s="511">
        <f>IF(OR(A199="",E199=""),"",IF(C199="","",C199-E199))</f>
        <v/>
      </c>
      <c r="H199" s="380" t="inlineStr">
        <is>
          <t>Agent 01</t>
        </is>
      </c>
      <c r="I199" s="491" t="n"/>
      <c r="J199" s="492">
        <f>IF(AND(A199&lt;&gt;"",E199&lt;&gt;""),IF(I199="","⚠️ Enter Code",IF(IFERROR(VLOOKUP(H199,DB_Agents!$B:$I,8,0),"")=I199,IF(C199&gt;=E199,"Successful","Unsuccessful"),"🔒 BLOCKED — Wrong Code")),"—")</f>
        <v/>
      </c>
      <c r="K199" s="493">
        <f>IF(J199="Successful",TEXT(TODAY(),"YYYY-MM-DD")&amp;" Auto","—")</f>
        <v/>
      </c>
      <c r="L199" s="494" t="n"/>
    </row>
    <row r="200" ht="15" customHeight="1" s="341">
      <c r="A200" s="495" t="n"/>
      <c r="B200" s="382">
        <f>IF(A200="","",IFERROR(VLOOKUP(A200,DB_Customers!$A:$D,4,0),"❌ Account Not Found"))</f>
        <v/>
      </c>
      <c r="C200" s="496">
        <f>IF(A200="","",IFERROR(VLOOKUP(A200,DB_Customers!$A:$N,14,0),""))</f>
        <v/>
      </c>
      <c r="D200" s="497">
        <f>IF(A200="","",TODAY())</f>
        <v/>
      </c>
      <c r="E200" s="510" t="n"/>
      <c r="F200" s="382" t="n"/>
      <c r="G200" s="512">
        <f>IF(OR(A200="",E200=""),"",IF(C200="","",C200-E200))</f>
        <v/>
      </c>
      <c r="H200" s="384" t="inlineStr">
        <is>
          <t>Agent 01</t>
        </is>
      </c>
      <c r="I200" s="491" t="n"/>
      <c r="J200" s="499">
        <f>IF(AND(A200&lt;&gt;"",E200&lt;&gt;""),IF(I200="","⚠️ Enter Code",IF(IFERROR(VLOOKUP(H200,DB_Agents!$B:$I,8,0),"")=I200,IF(C200&gt;=E200,"Successful","Unsuccessful"),"🔒 BLOCKED — Wrong Code")),"—")</f>
        <v/>
      </c>
      <c r="K200" s="500">
        <f>IF(J200="Successful",TEXT(TODAY(),"YYYY-MM-DD")&amp;" Auto","—")</f>
        <v/>
      </c>
      <c r="L200" s="501" t="n"/>
    </row>
    <row r="201" ht="15" customHeight="1" s="341">
      <c r="A201" s="486" t="n"/>
      <c r="B201" s="378">
        <f>IF(A201="","",IFERROR(VLOOKUP(A201,DB_Customers!$A:$D,4,0),"❌ Account Not Found"))</f>
        <v/>
      </c>
      <c r="C201" s="487">
        <f>IF(A201="","",IFERROR(VLOOKUP(A201,DB_Customers!$A:$N,14,0),""))</f>
        <v/>
      </c>
      <c r="D201" s="488">
        <f>IF(A201="","",TODAY())</f>
        <v/>
      </c>
      <c r="E201" s="510" t="n"/>
      <c r="F201" s="378" t="n"/>
      <c r="G201" s="511">
        <f>IF(OR(A201="",E201=""),"",IF(C201="","",C201-E201))</f>
        <v/>
      </c>
      <c r="H201" s="380" t="inlineStr">
        <is>
          <t>Agent 01</t>
        </is>
      </c>
      <c r="I201" s="491" t="n"/>
      <c r="J201" s="492">
        <f>IF(AND(A201&lt;&gt;"",E201&lt;&gt;""),IF(I201="","⚠️ Enter Code",IF(IFERROR(VLOOKUP(H201,DB_Agents!$B:$I,8,0),"")=I201,IF(C201&gt;=E201,"Successful","Unsuccessful"),"🔒 BLOCKED — Wrong Code")),"—")</f>
        <v/>
      </c>
      <c r="K201" s="493">
        <f>IF(J201="Successful",TEXT(TODAY(),"YYYY-MM-DD")&amp;" Auto","—")</f>
        <v/>
      </c>
      <c r="L201" s="494" t="n"/>
    </row>
    <row r="202" ht="15" customHeight="1" s="341">
      <c r="A202" s="495" t="n"/>
      <c r="B202" s="382">
        <f>IF(A202="","",IFERROR(VLOOKUP(A202,DB_Customers!$A:$D,4,0),"❌ Account Not Found"))</f>
        <v/>
      </c>
      <c r="C202" s="496">
        <f>IF(A202="","",IFERROR(VLOOKUP(A202,DB_Customers!$A:$N,14,0),""))</f>
        <v/>
      </c>
      <c r="D202" s="497">
        <f>IF(A202="","",TODAY())</f>
        <v/>
      </c>
      <c r="E202" s="510" t="n"/>
      <c r="F202" s="382" t="n"/>
      <c r="G202" s="512">
        <f>IF(OR(A202="",E202=""),"",IF(C202="","",C202-E202))</f>
        <v/>
      </c>
      <c r="H202" s="384" t="inlineStr">
        <is>
          <t>Agent 01</t>
        </is>
      </c>
      <c r="I202" s="491" t="n"/>
      <c r="J202" s="499">
        <f>IF(AND(A202&lt;&gt;"",E202&lt;&gt;""),IF(I202="","⚠️ Enter Code",IF(IFERROR(VLOOKUP(H202,DB_Agents!$B:$I,8,0),"")=I202,IF(C202&gt;=E202,"Successful","Unsuccessful"),"🔒 BLOCKED — Wrong Code")),"—")</f>
        <v/>
      </c>
      <c r="K202" s="500">
        <f>IF(J202="Successful",TEXT(TODAY(),"YYYY-MM-DD")&amp;" Auto","—")</f>
        <v/>
      </c>
      <c r="L202" s="501" t="n"/>
    </row>
    <row r="203" ht="15" customHeight="1" s="341">
      <c r="A203" s="486" t="n"/>
      <c r="B203" s="378">
        <f>IF(A203="","",IFERROR(VLOOKUP(A203,DB_Customers!$A:$D,4,0),"❌ Account Not Found"))</f>
        <v/>
      </c>
      <c r="C203" s="487">
        <f>IF(A203="","",IFERROR(VLOOKUP(A203,DB_Customers!$A:$N,14,0),""))</f>
        <v/>
      </c>
      <c r="D203" s="488">
        <f>IF(A203="","",TODAY())</f>
        <v/>
      </c>
      <c r="E203" s="510" t="n"/>
      <c r="F203" s="378" t="n"/>
      <c r="G203" s="511">
        <f>IF(OR(A203="",E203=""),"",IF(C203="","",C203-E203))</f>
        <v/>
      </c>
      <c r="H203" s="380" t="inlineStr">
        <is>
          <t>Agent 01</t>
        </is>
      </c>
      <c r="I203" s="491" t="n"/>
      <c r="J203" s="492">
        <f>IF(AND(A203&lt;&gt;"",E203&lt;&gt;""),IF(I203="","⚠️ Enter Code",IF(IFERROR(VLOOKUP(H203,DB_Agents!$B:$I,8,0),"")=I203,IF(C203&gt;=E203,"Successful","Unsuccessful"),"🔒 BLOCKED — Wrong Code")),"—")</f>
        <v/>
      </c>
      <c r="K203" s="493">
        <f>IF(J203="Successful",TEXT(TODAY(),"YYYY-MM-DD")&amp;" Auto","—")</f>
        <v/>
      </c>
      <c r="L203" s="494" t="n"/>
    </row>
    <row r="204" ht="15" customHeight="1" s="341">
      <c r="A204" s="495" t="n"/>
      <c r="B204" s="382">
        <f>IF(A204="","",IFERROR(VLOOKUP(A204,DB_Customers!$A:$D,4,0),"❌ Account Not Found"))</f>
        <v/>
      </c>
      <c r="C204" s="496">
        <f>IF(A204="","",IFERROR(VLOOKUP(A204,DB_Customers!$A:$N,14,0),""))</f>
        <v/>
      </c>
      <c r="D204" s="497">
        <f>IF(A204="","",TODAY())</f>
        <v/>
      </c>
      <c r="E204" s="510" t="n"/>
      <c r="F204" s="382" t="n"/>
      <c r="G204" s="512">
        <f>IF(OR(A204="",E204=""),"",IF(C204="","",C204-E204))</f>
        <v/>
      </c>
      <c r="H204" s="384" t="inlineStr">
        <is>
          <t>Agent 01</t>
        </is>
      </c>
      <c r="I204" s="491" t="n"/>
      <c r="J204" s="499">
        <f>IF(AND(A204&lt;&gt;"",E204&lt;&gt;""),IF(I204="","⚠️ Enter Code",IF(IFERROR(VLOOKUP(H204,DB_Agents!$B:$I,8,0),"")=I204,IF(C204&gt;=E204,"Successful","Unsuccessful"),"🔒 BLOCKED — Wrong Code")),"—")</f>
        <v/>
      </c>
      <c r="K204" s="500">
        <f>IF(J204="Successful",TEXT(TODAY(),"YYYY-MM-DD")&amp;" Auto","—")</f>
        <v/>
      </c>
      <c r="L204" s="501" t="n"/>
    </row>
    <row r="205" ht="15" customHeight="1" s="341">
      <c r="A205" s="486" t="n"/>
      <c r="B205" s="378">
        <f>IF(A205="","",IFERROR(VLOOKUP(A205,DB_Customers!$A:$D,4,0),"❌ Account Not Found"))</f>
        <v/>
      </c>
      <c r="C205" s="487">
        <f>IF(A205="","",IFERROR(VLOOKUP(A205,DB_Customers!$A:$N,14,0),""))</f>
        <v/>
      </c>
      <c r="D205" s="488">
        <f>IF(A205="","",TODAY())</f>
        <v/>
      </c>
      <c r="E205" s="510" t="n"/>
      <c r="F205" s="378" t="n"/>
      <c r="G205" s="511">
        <f>IF(OR(A205="",E205=""),"",IF(C205="","",C205-E205))</f>
        <v/>
      </c>
      <c r="H205" s="380" t="inlineStr">
        <is>
          <t>Agent 01</t>
        </is>
      </c>
      <c r="I205" s="491" t="n"/>
      <c r="J205" s="492">
        <f>IF(AND(A205&lt;&gt;"",E205&lt;&gt;""),IF(I205="","⚠️ Enter Code",IF(IFERROR(VLOOKUP(H205,DB_Agents!$B:$I,8,0),"")=I205,IF(C205&gt;=E205,"Successful","Unsuccessful"),"🔒 BLOCKED — Wrong Code")),"—")</f>
        <v/>
      </c>
      <c r="K205" s="493">
        <f>IF(J205="Successful",TEXT(TODAY(),"YYYY-MM-DD")&amp;" Auto","—")</f>
        <v/>
      </c>
      <c r="L205" s="494" t="n"/>
    </row>
    <row r="206" ht="15" customHeight="1" s="341">
      <c r="A206" s="495" t="n"/>
      <c r="B206" s="382">
        <f>IF(A206="","",IFERROR(VLOOKUP(A206,DB_Customers!$A:$D,4,0),"❌ Account Not Found"))</f>
        <v/>
      </c>
      <c r="C206" s="496">
        <f>IF(A206="","",IFERROR(VLOOKUP(A206,DB_Customers!$A:$N,14,0),""))</f>
        <v/>
      </c>
      <c r="D206" s="497">
        <f>IF(A206="","",TODAY())</f>
        <v/>
      </c>
      <c r="E206" s="510" t="n"/>
      <c r="F206" s="382" t="n"/>
      <c r="G206" s="512">
        <f>IF(OR(A206="",E206=""),"",IF(C206="","",C206-E206))</f>
        <v/>
      </c>
      <c r="H206" s="384" t="inlineStr">
        <is>
          <t>Agent 01</t>
        </is>
      </c>
      <c r="I206" s="491" t="n"/>
      <c r="J206" s="499">
        <f>IF(AND(A206&lt;&gt;"",E206&lt;&gt;""),IF(I206="","⚠️ Enter Code",IF(IFERROR(VLOOKUP(H206,DB_Agents!$B:$I,8,0),"")=I206,IF(C206&gt;=E206,"Successful","Unsuccessful"),"🔒 BLOCKED — Wrong Code")),"—")</f>
        <v/>
      </c>
      <c r="K206" s="500">
        <f>IF(J206="Successful",TEXT(TODAY(),"YYYY-MM-DD")&amp;" Auto","—")</f>
        <v/>
      </c>
      <c r="L206" s="501" t="n"/>
    </row>
    <row r="207" ht="15" customHeight="1" s="341">
      <c r="A207" s="486" t="n"/>
      <c r="B207" s="378">
        <f>IF(A207="","",IFERROR(VLOOKUP(A207,DB_Customers!$A:$D,4,0),"❌ Account Not Found"))</f>
        <v/>
      </c>
      <c r="C207" s="487">
        <f>IF(A207="","",IFERROR(VLOOKUP(A207,DB_Customers!$A:$N,14,0),""))</f>
        <v/>
      </c>
      <c r="D207" s="488">
        <f>IF(A207="","",TODAY())</f>
        <v/>
      </c>
      <c r="E207" s="510" t="n"/>
      <c r="F207" s="378" t="n"/>
      <c r="G207" s="511">
        <f>IF(OR(A207="",E207=""),"",IF(C207="","",C207-E207))</f>
        <v/>
      </c>
      <c r="H207" s="380" t="inlineStr">
        <is>
          <t>Agent 01</t>
        </is>
      </c>
      <c r="I207" s="491" t="n"/>
      <c r="J207" s="492">
        <f>IF(AND(A207&lt;&gt;"",E207&lt;&gt;""),IF(I207="","⚠️ Enter Code",IF(IFERROR(VLOOKUP(H207,DB_Agents!$B:$I,8,0),"")=I207,IF(C207&gt;=E207,"Successful","Unsuccessful"),"🔒 BLOCKED — Wrong Code")),"—")</f>
        <v/>
      </c>
      <c r="K207" s="493">
        <f>IF(J207="Successful",TEXT(TODAY(),"YYYY-MM-DD")&amp;" Auto","—")</f>
        <v/>
      </c>
      <c r="L207" s="494" t="n"/>
    </row>
    <row r="208" ht="15" customHeight="1" s="341">
      <c r="A208" s="495" t="n"/>
      <c r="B208" s="382">
        <f>IF(A208="","",IFERROR(VLOOKUP(A208,DB_Customers!$A:$D,4,0),"❌ Account Not Found"))</f>
        <v/>
      </c>
      <c r="C208" s="496">
        <f>IF(A208="","",IFERROR(VLOOKUP(A208,DB_Customers!$A:$N,14,0),""))</f>
        <v/>
      </c>
      <c r="D208" s="497">
        <f>IF(A208="","",TODAY())</f>
        <v/>
      </c>
      <c r="E208" s="510" t="n"/>
      <c r="F208" s="382" t="n"/>
      <c r="G208" s="512">
        <f>IF(OR(A208="",E208=""),"",IF(C208="","",C208-E208))</f>
        <v/>
      </c>
      <c r="H208" s="384" t="inlineStr">
        <is>
          <t>Agent 01</t>
        </is>
      </c>
      <c r="I208" s="491" t="n"/>
      <c r="J208" s="499">
        <f>IF(AND(A208&lt;&gt;"",E208&lt;&gt;""),IF(I208="","⚠️ Enter Code",IF(IFERROR(VLOOKUP(H208,DB_Agents!$B:$I,8,0),"")=I208,IF(C208&gt;=E208,"Successful","Unsuccessful"),"🔒 BLOCKED — Wrong Code")),"—")</f>
        <v/>
      </c>
      <c r="K208" s="500">
        <f>IF(J208="Successful",TEXT(TODAY(),"YYYY-MM-DD")&amp;" Auto","—")</f>
        <v/>
      </c>
      <c r="L208" s="501" t="n"/>
    </row>
  </sheetData>
  <mergeCells count="8">
    <mergeCell ref="A1:M1"/>
    <mergeCell ref="A5:M5"/>
    <mergeCell ref="D4:F4"/>
    <mergeCell ref="D3:F3"/>
    <mergeCell ref="A3:C3"/>
    <mergeCell ref="A7:M7"/>
    <mergeCell ref="A4:C4"/>
    <mergeCell ref="A2:M2"/>
  </mergeCells>
  <conditionalFormatting sqref="I9:I208">
    <cfRule type="cellIs" rank="0" priority="2" equalAverage="0" operator="equal" aboveAverage="0" dxfId="0" text="" percent="0" bottom="0">
      <formula>"Successful"</formula>
    </cfRule>
    <cfRule type="cellIs" rank="0" priority="3" equalAverage="0" operator="equal" aboveAverage="0" dxfId="1" text="" percent="0" bottom="0">
      <formula>"Unsuccessful"</formula>
    </cfRule>
  </conditionalFormatting>
  <conditionalFormatting sqref="A9:K208">
    <cfRule type="expression" rank="0" priority="4" equalAverage="0" aboveAverage="0" dxfId="13" text="" percent="0" bottom="0">
      <formula>$I9="Unsuccessful"</formula>
    </cfRule>
  </conditionalFormatting>
  <conditionalFormatting sqref="G9:G208">
    <cfRule type="cellIs" rank="0" priority="5" equalAverage="0" operator="lessThan" aboveAverage="0" dxfId="1" text="" percent="0" bottom="0">
      <formula>0</formula>
    </cfRule>
  </conditionalFormatting>
  <dataValidations count="1">
    <dataValidation sqref="H9:H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8.xml><?xml version="1.0" encoding="utf-8"?>
<worksheet xmlns="http://schemas.openxmlformats.org/spreadsheetml/2006/main">
  <sheetPr filterMode="0">
    <tabColor rgb="FFE67E22"/>
    <outlinePr summaryBelow="1" summaryRight="1"/>
    <pageSetUpPr fitToPage="0"/>
  </sheetPr>
  <dimension ref="A1:N213"/>
  <sheetViews>
    <sheetView showFormulas="0" showGridLines="1" showRowColHeaders="1" showZeros="1" rightToLeft="0" tabSelected="0" showOutlineSymbols="1" defaultGridColor="1" view="normal" topLeftCell="A1" colorId="64" zoomScale="100" zoomScaleNormal="100" zoomScalePageLayoutView="100" workbookViewId="0">
      <pane xSplit="0" ySplit="13" topLeftCell="A14" activePane="bottomLeft" state="frozen"/>
      <selection pane="topLeft" activeCell="A1" activeCellId="0" sqref="A1"/>
      <selection pane="bottomLeft" activeCell="B6" activeCellId="0" sqref="B6"/>
    </sheetView>
  </sheetViews>
  <sheetFormatPr baseColWidth="8" defaultColWidth="8.71484375" defaultRowHeight="15" zeroHeight="0" outlineLevelRow="0"/>
  <cols>
    <col width="22" customWidth="1" style="340" min="1" max="1"/>
    <col width="16" customWidth="1" style="340" min="2" max="2"/>
    <col width="22" customWidth="1" style="340" min="3" max="3"/>
    <col width="13" customWidth="1" style="340" min="4" max="4"/>
    <col width="14" customWidth="1" style="340" min="5" max="5"/>
    <col width="22" customWidth="1" style="340" min="6" max="6"/>
    <col width="9" customWidth="1" style="340" min="7" max="7"/>
    <col width="8" customWidth="1" style="340" min="8" max="8"/>
    <col width="16" customWidth="1" style="340" min="9" max="9"/>
    <col width="15" customWidth="1" style="340" min="10" max="10"/>
    <col width="14" customWidth="1" style="340" min="11" max="11"/>
    <col width="12" customWidth="1" style="340" min="12" max="12"/>
    <col width="14" customWidth="1" style="340" min="13" max="13"/>
  </cols>
  <sheetData>
    <row r="1" ht="31.5" customHeight="1" s="341">
      <c r="A1" s="513" t="inlineStr">
        <is>
          <t>🏦  SAMICIOUS MICROFINANCE — AGENT01 LOAN REQUESTS</t>
        </is>
      </c>
    </row>
    <row r="2" ht="19.5" customHeight="1" s="341">
      <c r="A2" s="514" t="inlineStr">
        <is>
          <t>Total Repayable = Loan Amount + (Loan Amount × Rate% × Months) | Status: Pending → Approved when credited</t>
        </is>
      </c>
    </row>
    <row r="4" ht="21.75" customHeight="1" s="341">
      <c r="A4" s="515" t="inlineStr">
        <is>
          <t>🔢  INSTANT LOAN CALCULATOR</t>
        </is>
      </c>
    </row>
    <row r="5" ht="19.5" customHeight="1" s="341">
      <c r="A5" s="516" t="inlineStr">
        <is>
          <t>Loan Amount (GHC):</t>
        </is>
      </c>
      <c r="B5" s="517" t="n"/>
      <c r="C5" s="453" t="n"/>
      <c r="D5" s="518" t="n"/>
    </row>
    <row r="6" ht="19.5" customHeight="1" s="341">
      <c r="A6" s="516" t="inlineStr">
        <is>
          <t>Duration (Months):</t>
        </is>
      </c>
      <c r="B6" s="517" t="n"/>
      <c r="C6" s="453" t="n"/>
      <c r="D6" s="518" t="n"/>
    </row>
    <row r="7" ht="19.5" customHeight="1" s="341">
      <c r="A7" s="519" t="inlineStr">
        <is>
          <t>Interest Rate (%/month):</t>
        </is>
      </c>
      <c r="B7" s="520" t="n">
        <v>2.5</v>
      </c>
      <c r="C7" s="393" t="n"/>
      <c r="D7" s="521" t="n"/>
    </row>
    <row r="8" ht="19.5" customHeight="1" s="341">
      <c r="A8" s="519" t="inlineStr">
        <is>
          <t>━ Total Interest:</t>
        </is>
      </c>
      <c r="B8" s="522">
        <f>IF(B5="","",B5*B7/100*B6)</f>
        <v/>
      </c>
      <c r="C8" s="393" t="n"/>
      <c r="D8" s="521" t="n"/>
    </row>
    <row r="9" ht="19.5" customHeight="1" s="341">
      <c r="A9" s="519" t="n"/>
      <c r="B9" s="523">
        <f>IF(B5="","",B5+(B5*B7/100*B6))</f>
        <v/>
      </c>
      <c r="C9" s="393" t="n"/>
      <c r="D9" s="521" t="n"/>
    </row>
    <row r="10" ht="19.5" customHeight="1" s="341">
      <c r="A10" s="519" t="n"/>
      <c r="B10" s="523">
        <f>IFERROR(B9/B6,"")</f>
        <v/>
      </c>
      <c r="C10" s="393" t="n"/>
      <c r="D10" s="521" t="n"/>
    </row>
    <row r="11" ht="7.5" customHeight="1" s="341"/>
    <row r="12" ht="21.75" customHeight="1" s="341">
      <c r="A12" s="524" t="n"/>
    </row>
    <row r="13" ht="19.5" customHeight="1" s="341">
      <c r="A13" s="525" t="n"/>
      <c r="B13" s="525" t="n"/>
      <c r="C13" s="525" t="n"/>
      <c r="D13" s="525" t="n"/>
      <c r="E13" s="525" t="n"/>
      <c r="F13" s="525" t="n"/>
      <c r="G13" s="525" t="n"/>
      <c r="H13" s="525" t="n"/>
      <c r="I13" s="525" t="n"/>
      <c r="J13" s="525" t="n"/>
      <c r="K13" s="525" t="n"/>
      <c r="L13" s="525" t="inlineStr">
        <is>
          <t>Agent</t>
        </is>
      </c>
      <c r="M13" s="485" t="n"/>
      <c r="N13" s="525" t="n"/>
    </row>
    <row r="14" ht="15" customHeight="1" s="341">
      <c r="A14" s="499">
        <f>IF(B14="","",IF(C14="❌ Account Not Found","INVALID","LN"&amp;TEXT(D14,"YYYYMMDD")&amp;TEXT(ROW()-13,"0000")))</f>
        <v/>
      </c>
      <c r="B14" s="495" t="n"/>
      <c r="C14" s="382">
        <f>IF(B14="","",IFERROR(VLOOKUP(B14,DB_Customers!$A:$D,4,0),"❌ Account Not Found"))</f>
        <v/>
      </c>
      <c r="D14" s="497">
        <f>IF(B14="","",TODAY())</f>
        <v/>
      </c>
      <c r="E14" s="526" t="n"/>
      <c r="F14" s="382" t="n"/>
      <c r="G14" s="527" t="n"/>
      <c r="H14" s="528" t="n"/>
      <c r="I14" s="529">
        <f>IF(E14="","",E14+(E14*H14/100*G14))</f>
        <v/>
      </c>
      <c r="J14" s="530">
        <f>IFERROR(I14/G14,"")</f>
        <v/>
      </c>
      <c r="K14" s="531">
        <f>IF(B14="","Pending",IF(M14="","⚠️ Enter Code",IF(IFERROR(VLOOKUP(L14,DB_Agents!$B:$I,8,0),"")=M14,"Pending","🔒 BLOCKED — Wrong Code")))</f>
        <v/>
      </c>
      <c r="L14" s="384" t="inlineStr">
        <is>
          <t>Agent 01</t>
        </is>
      </c>
      <c r="M14" s="491" t="n"/>
      <c r="N14" s="501" t="n"/>
    </row>
    <row r="15" ht="15" customHeight="1" s="341">
      <c r="A15" s="492">
        <f>IF(B15="","",IF(C15="❌ Account Not Found","INVALID","LN"&amp;TEXT(D15,"YYYYMMDD")&amp;TEXT(ROW()-13,"0000")))</f>
        <v/>
      </c>
      <c r="B15" s="486" t="n"/>
      <c r="C15" s="378">
        <f>IF(B15="","",IFERROR(VLOOKUP(B15,DB_Customers!$A:$D,4,0),"❌ Account Not Found"))</f>
        <v/>
      </c>
      <c r="D15" s="488">
        <f>IF(B15="","",TODAY())</f>
        <v/>
      </c>
      <c r="E15" s="526" t="n"/>
      <c r="F15" s="378" t="n"/>
      <c r="G15" s="532" t="n"/>
      <c r="H15" s="533" t="n"/>
      <c r="I15" s="529">
        <f>IF(E15="","",E15+(E15*H15/100*G15))</f>
        <v/>
      </c>
      <c r="J15" s="534">
        <f>IFERROR(I15/G15,"")</f>
        <v/>
      </c>
      <c r="K15" s="535">
        <f>IF(B15="","Pending",IF(M15="","⚠️ Enter Code",IF(IFERROR(VLOOKUP(L15,DB_Agents!$B:$I,8,0),"")=M15,"Pending","🔒 BLOCKED — Wrong Code")))</f>
        <v/>
      </c>
      <c r="L15" s="380" t="inlineStr">
        <is>
          <t>Agent 01</t>
        </is>
      </c>
      <c r="M15" s="491" t="n"/>
      <c r="N15" s="494" t="n"/>
    </row>
    <row r="16" ht="15" customHeight="1" s="341">
      <c r="A16" s="499">
        <f>IF(B16="","",IF(C16="❌ Account Not Found","INVALID","LN"&amp;TEXT(D16,"YYYYMMDD")&amp;TEXT(ROW()-13,"0000")))</f>
        <v/>
      </c>
      <c r="B16" s="495" t="n"/>
      <c r="C16" s="382">
        <f>IF(B16="","",IFERROR(VLOOKUP(B16,DB_Customers!$A:$D,4,0),"❌ Account Not Found"))</f>
        <v/>
      </c>
      <c r="D16" s="497">
        <f>IF(B16="","",TODAY())</f>
        <v/>
      </c>
      <c r="E16" s="526" t="n"/>
      <c r="F16" s="382" t="n"/>
      <c r="G16" s="527" t="n"/>
      <c r="H16" s="528" t="n"/>
      <c r="I16" s="529">
        <f>IF(E16="","",E16+(E16*H16/100*G16))</f>
        <v/>
      </c>
      <c r="J16" s="530">
        <f>IFERROR(I16/G16,"")</f>
        <v/>
      </c>
      <c r="K16" s="531">
        <f>IF(B16="","Pending",IF(M16="","⚠️ Enter Code",IF(IFERROR(VLOOKUP(L16,DB_Agents!$B:$I,8,0),"")=M16,"Pending","🔒 BLOCKED — Wrong Code")))</f>
        <v/>
      </c>
      <c r="L16" s="384" t="inlineStr">
        <is>
          <t>Agent 01</t>
        </is>
      </c>
      <c r="M16" s="491" t="n"/>
      <c r="N16" s="501" t="n"/>
    </row>
    <row r="17" ht="15" customHeight="1" s="341">
      <c r="A17" s="492">
        <f>IF(B17="","",IF(C17="❌ Account Not Found","INVALID","LN"&amp;TEXT(D17,"YYYYMMDD")&amp;TEXT(ROW()-13,"0000")))</f>
        <v/>
      </c>
      <c r="B17" s="486" t="n"/>
      <c r="C17" s="378">
        <f>IF(B17="","",IFERROR(VLOOKUP(B17,DB_Customers!$A:$D,4,0),"❌ Account Not Found"))</f>
        <v/>
      </c>
      <c r="D17" s="488">
        <f>IF(B17="","",TODAY())</f>
        <v/>
      </c>
      <c r="E17" s="526" t="n"/>
      <c r="F17" s="378" t="n"/>
      <c r="G17" s="532" t="n"/>
      <c r="H17" s="533" t="n"/>
      <c r="I17" s="529">
        <f>IF(E17="","",E17+(E17*H17/100*G17))</f>
        <v/>
      </c>
      <c r="J17" s="534">
        <f>IFERROR(I17/G17,"")</f>
        <v/>
      </c>
      <c r="K17" s="535">
        <f>IF(B17="","Pending",IF(M17="","⚠️ Enter Code",IF(IFERROR(VLOOKUP(L17,DB_Agents!$B:$I,8,0),"")=M17,"Pending","🔒 BLOCKED — Wrong Code")))</f>
        <v/>
      </c>
      <c r="L17" s="380" t="inlineStr">
        <is>
          <t>Agent 01</t>
        </is>
      </c>
      <c r="M17" s="491" t="n"/>
      <c r="N17" s="494" t="n"/>
    </row>
    <row r="18" ht="15" customHeight="1" s="341">
      <c r="A18" s="499">
        <f>IF(B18="","",IF(C18="❌ Account Not Found","INVALID","LN"&amp;TEXT(D18,"YYYYMMDD")&amp;TEXT(ROW()-13,"0000")))</f>
        <v/>
      </c>
      <c r="B18" s="495" t="n"/>
      <c r="C18" s="382">
        <f>IF(B18="","",IFERROR(VLOOKUP(B18,DB_Customers!$A:$D,4,0),"❌ Account Not Found"))</f>
        <v/>
      </c>
      <c r="D18" s="497">
        <f>IF(B18="","",TODAY())</f>
        <v/>
      </c>
      <c r="E18" s="526" t="n"/>
      <c r="F18" s="382" t="n"/>
      <c r="G18" s="527" t="n"/>
      <c r="H18" s="528" t="n"/>
      <c r="I18" s="529">
        <f>IF(E18="","",E18+(E18*H18/100*G18))</f>
        <v/>
      </c>
      <c r="J18" s="530">
        <f>IFERROR(I18/G18,"")</f>
        <v/>
      </c>
      <c r="K18" s="531">
        <f>IF(B18="","Pending",IF(M18="","⚠️ Enter Code",IF(IFERROR(VLOOKUP(L18,DB_Agents!$B:$I,8,0),"")=M18,"Pending","🔒 BLOCKED — Wrong Code")))</f>
        <v/>
      </c>
      <c r="L18" s="384" t="inlineStr">
        <is>
          <t>Agent 01</t>
        </is>
      </c>
      <c r="M18" s="491" t="n"/>
      <c r="N18" s="501" t="n"/>
    </row>
    <row r="19" ht="15" customHeight="1" s="341">
      <c r="A19" s="492">
        <f>IF(B19="","",IF(C19="❌ Account Not Found","INVALID","LN"&amp;TEXT(D19,"YYYYMMDD")&amp;TEXT(ROW()-13,"0000")))</f>
        <v/>
      </c>
      <c r="B19" s="486" t="n"/>
      <c r="C19" s="378">
        <f>IF(B19="","",IFERROR(VLOOKUP(B19,DB_Customers!$A:$D,4,0),"❌ Account Not Found"))</f>
        <v/>
      </c>
      <c r="D19" s="488">
        <f>IF(B19="","",TODAY())</f>
        <v/>
      </c>
      <c r="E19" s="526" t="n"/>
      <c r="F19" s="378" t="n"/>
      <c r="G19" s="532" t="n"/>
      <c r="H19" s="533" t="n"/>
      <c r="I19" s="529">
        <f>IF(E19="","",E19+(E19*H19/100*G19))</f>
        <v/>
      </c>
      <c r="J19" s="534">
        <f>IFERROR(I19/G19,"")</f>
        <v/>
      </c>
      <c r="K19" s="535">
        <f>IF(B19="","Pending",IF(M19="","⚠️ Enter Code",IF(IFERROR(VLOOKUP(L19,DB_Agents!$B:$I,8,0),"")=M19,"Pending","🔒 BLOCKED — Wrong Code")))</f>
        <v/>
      </c>
      <c r="L19" s="380" t="inlineStr">
        <is>
          <t>Agent 01</t>
        </is>
      </c>
      <c r="M19" s="491" t="n"/>
      <c r="N19" s="494" t="n"/>
    </row>
    <row r="20" ht="15" customHeight="1" s="341">
      <c r="A20" s="499">
        <f>IF(B20="","",IF(C20="❌ Account Not Found","INVALID","LN"&amp;TEXT(D20,"YYYYMMDD")&amp;TEXT(ROW()-13,"0000")))</f>
        <v/>
      </c>
      <c r="B20" s="495" t="n"/>
      <c r="C20" s="382">
        <f>IF(B20="","",IFERROR(VLOOKUP(B20,DB_Customers!$A:$D,4,0),"❌ Account Not Found"))</f>
        <v/>
      </c>
      <c r="D20" s="497">
        <f>IF(B20="","",TODAY())</f>
        <v/>
      </c>
      <c r="E20" s="526" t="n"/>
      <c r="F20" s="382" t="n"/>
      <c r="G20" s="527" t="n"/>
      <c r="H20" s="528" t="n"/>
      <c r="I20" s="529">
        <f>IF(E20="","",E20+(E20*H20/100*G20))</f>
        <v/>
      </c>
      <c r="J20" s="530">
        <f>IFERROR(I20/G20,"")</f>
        <v/>
      </c>
      <c r="K20" s="531">
        <f>IF(B20="","Pending",IF(M20="","⚠️ Enter Code",IF(IFERROR(VLOOKUP(L20,DB_Agents!$B:$I,8,0),"")=M20,"Pending","🔒 BLOCKED — Wrong Code")))</f>
        <v/>
      </c>
      <c r="L20" s="384" t="inlineStr">
        <is>
          <t>Agent 01</t>
        </is>
      </c>
      <c r="M20" s="491" t="n"/>
      <c r="N20" s="501" t="n"/>
    </row>
    <row r="21" ht="15" customHeight="1" s="341">
      <c r="A21" s="492">
        <f>IF(B21="","",IF(C21="❌ Account Not Found","INVALID","LN"&amp;TEXT(D21,"YYYYMMDD")&amp;TEXT(ROW()-13,"0000")))</f>
        <v/>
      </c>
      <c r="B21" s="486" t="n"/>
      <c r="C21" s="378">
        <f>IF(B21="","",IFERROR(VLOOKUP(B21,DB_Customers!$A:$D,4,0),"❌ Account Not Found"))</f>
        <v/>
      </c>
      <c r="D21" s="488">
        <f>IF(B21="","",TODAY())</f>
        <v/>
      </c>
      <c r="E21" s="526" t="n"/>
      <c r="F21" s="378" t="n"/>
      <c r="G21" s="532" t="n"/>
      <c r="H21" s="533" t="n"/>
      <c r="I21" s="529">
        <f>IF(E21="","",E21+(E21*H21/100*G21))</f>
        <v/>
      </c>
      <c r="J21" s="534">
        <f>IFERROR(I21/G21,"")</f>
        <v/>
      </c>
      <c r="K21" s="535">
        <f>IF(B21="","Pending",IF(M21="","⚠️ Enter Code",IF(IFERROR(VLOOKUP(L21,DB_Agents!$B:$I,8,0),"")=M21,"Pending","🔒 BLOCKED — Wrong Code")))</f>
        <v/>
      </c>
      <c r="L21" s="380" t="inlineStr">
        <is>
          <t>Agent 01</t>
        </is>
      </c>
      <c r="M21" s="491" t="n"/>
      <c r="N21" s="494" t="n"/>
    </row>
    <row r="22" ht="15" customHeight="1" s="341">
      <c r="A22" s="499">
        <f>IF(B22="","",IF(C22="❌ Account Not Found","INVALID","LN"&amp;TEXT(D22,"YYYYMMDD")&amp;TEXT(ROW()-13,"0000")))</f>
        <v/>
      </c>
      <c r="B22" s="495" t="n"/>
      <c r="C22" s="382">
        <f>IF(B22="","",IFERROR(VLOOKUP(B22,DB_Customers!$A:$D,4,0),"❌ Account Not Found"))</f>
        <v/>
      </c>
      <c r="D22" s="497">
        <f>IF(B22="","",TODAY())</f>
        <v/>
      </c>
      <c r="E22" s="526" t="n"/>
      <c r="F22" s="382" t="n"/>
      <c r="G22" s="527" t="n"/>
      <c r="H22" s="528" t="n"/>
      <c r="I22" s="529">
        <f>IF(E22="","",E22+(E22*H22/100*G22))</f>
        <v/>
      </c>
      <c r="J22" s="530">
        <f>IFERROR(I22/G22,"")</f>
        <v/>
      </c>
      <c r="K22" s="531">
        <f>IF(B22="","Pending",IF(M22="","⚠️ Enter Code",IF(IFERROR(VLOOKUP(L22,DB_Agents!$B:$I,8,0),"")=M22,"Pending","🔒 BLOCKED — Wrong Code")))</f>
        <v/>
      </c>
      <c r="L22" s="384" t="inlineStr">
        <is>
          <t>Agent 01</t>
        </is>
      </c>
      <c r="M22" s="491" t="n"/>
      <c r="N22" s="501" t="n"/>
    </row>
    <row r="23" ht="15" customHeight="1" s="341">
      <c r="A23" s="492">
        <f>IF(B23="","",IF(C23="❌ Account Not Found","INVALID","LN"&amp;TEXT(D23,"YYYYMMDD")&amp;TEXT(ROW()-13,"0000")))</f>
        <v/>
      </c>
      <c r="B23" s="486" t="n"/>
      <c r="C23" s="378">
        <f>IF(B23="","",IFERROR(VLOOKUP(B23,DB_Customers!$A:$D,4,0),"❌ Account Not Found"))</f>
        <v/>
      </c>
      <c r="D23" s="488">
        <f>IF(B23="","",TODAY())</f>
        <v/>
      </c>
      <c r="E23" s="526" t="n"/>
      <c r="F23" s="378" t="n"/>
      <c r="G23" s="532" t="n"/>
      <c r="H23" s="533" t="n"/>
      <c r="I23" s="529">
        <f>IF(E23="","",E23+(E23*H23/100*G23))</f>
        <v/>
      </c>
      <c r="J23" s="534">
        <f>IFERROR(I23/G23,"")</f>
        <v/>
      </c>
      <c r="K23" s="535">
        <f>IF(B23="","Pending",IF(M23="","⚠️ Enter Code",IF(IFERROR(VLOOKUP(L23,DB_Agents!$B:$I,8,0),"")=M23,"Pending","🔒 BLOCKED — Wrong Code")))</f>
        <v/>
      </c>
      <c r="L23" s="380" t="inlineStr">
        <is>
          <t>Agent 01</t>
        </is>
      </c>
      <c r="M23" s="491" t="n"/>
      <c r="N23" s="494" t="n"/>
    </row>
    <row r="24" ht="15" customHeight="1" s="341">
      <c r="A24" s="499">
        <f>IF(B24="","",IF(C24="❌ Account Not Found","INVALID","LN"&amp;TEXT(D24,"YYYYMMDD")&amp;TEXT(ROW()-13,"0000")))</f>
        <v/>
      </c>
      <c r="B24" s="495" t="n"/>
      <c r="C24" s="382">
        <f>IF(B24="","",IFERROR(VLOOKUP(B24,DB_Customers!$A:$D,4,0),"❌ Account Not Found"))</f>
        <v/>
      </c>
      <c r="D24" s="497">
        <f>IF(B24="","",TODAY())</f>
        <v/>
      </c>
      <c r="E24" s="526" t="n"/>
      <c r="F24" s="382" t="n"/>
      <c r="G24" s="527" t="n"/>
      <c r="H24" s="528" t="n"/>
      <c r="I24" s="529">
        <f>IF(E24="","",E24+(E24*H24/100*G24))</f>
        <v/>
      </c>
      <c r="J24" s="530">
        <f>IFERROR(I24/G24,"")</f>
        <v/>
      </c>
      <c r="K24" s="531">
        <f>IF(B24="","Pending",IF(M24="","⚠️ Enter Code",IF(IFERROR(VLOOKUP(L24,DB_Agents!$B:$I,8,0),"")=M24,"Pending","🔒 BLOCKED — Wrong Code")))</f>
        <v/>
      </c>
      <c r="L24" s="384" t="inlineStr">
        <is>
          <t>Agent 01</t>
        </is>
      </c>
      <c r="M24" s="491" t="n"/>
      <c r="N24" s="501" t="n"/>
    </row>
    <row r="25" ht="15" customHeight="1" s="341">
      <c r="A25" s="492">
        <f>IF(B25="","",IF(C25="❌ Account Not Found","INVALID","LN"&amp;TEXT(D25,"YYYYMMDD")&amp;TEXT(ROW()-13,"0000")))</f>
        <v/>
      </c>
      <c r="B25" s="486" t="n"/>
      <c r="C25" s="378">
        <f>IF(B25="","",IFERROR(VLOOKUP(B25,DB_Customers!$A:$D,4,0),"❌ Account Not Found"))</f>
        <v/>
      </c>
      <c r="D25" s="488">
        <f>IF(B25="","",TODAY())</f>
        <v/>
      </c>
      <c r="E25" s="526" t="n"/>
      <c r="F25" s="378" t="n"/>
      <c r="G25" s="532" t="n"/>
      <c r="H25" s="533" t="n"/>
      <c r="I25" s="529">
        <f>IF(E25="","",E25+(E25*H25/100*G25))</f>
        <v/>
      </c>
      <c r="J25" s="534">
        <f>IFERROR(I25/G25,"")</f>
        <v/>
      </c>
      <c r="K25" s="535">
        <f>IF(B25="","Pending",IF(M25="","⚠️ Enter Code",IF(IFERROR(VLOOKUP(L25,DB_Agents!$B:$I,8,0),"")=M25,"Pending","🔒 BLOCKED — Wrong Code")))</f>
        <v/>
      </c>
      <c r="L25" s="380" t="inlineStr">
        <is>
          <t>Agent 01</t>
        </is>
      </c>
      <c r="M25" s="491" t="n"/>
      <c r="N25" s="494" t="n"/>
    </row>
    <row r="26" ht="15" customHeight="1" s="341">
      <c r="A26" s="499">
        <f>IF(B26="","",IF(C26="❌ Account Not Found","INVALID","LN"&amp;TEXT(D26,"YYYYMMDD")&amp;TEXT(ROW()-13,"0000")))</f>
        <v/>
      </c>
      <c r="B26" s="495" t="n"/>
      <c r="C26" s="382">
        <f>IF(B26="","",IFERROR(VLOOKUP(B26,DB_Customers!$A:$D,4,0),"❌ Account Not Found"))</f>
        <v/>
      </c>
      <c r="D26" s="497">
        <f>IF(B26="","",TODAY())</f>
        <v/>
      </c>
      <c r="E26" s="526" t="n"/>
      <c r="F26" s="382" t="n"/>
      <c r="G26" s="527" t="n"/>
      <c r="H26" s="528" t="n"/>
      <c r="I26" s="529">
        <f>IF(E26="","",E26+(E26*H26/100*G26))</f>
        <v/>
      </c>
      <c r="J26" s="530">
        <f>IFERROR(I26/G26,"")</f>
        <v/>
      </c>
      <c r="K26" s="531">
        <f>IF(B26="","Pending",IF(M26="","⚠️ Enter Code",IF(IFERROR(VLOOKUP(L26,DB_Agents!$B:$I,8,0),"")=M26,"Pending","🔒 BLOCKED — Wrong Code")))</f>
        <v/>
      </c>
      <c r="L26" s="384" t="inlineStr">
        <is>
          <t>Agent 01</t>
        </is>
      </c>
      <c r="M26" s="491" t="n"/>
      <c r="N26" s="501" t="n"/>
    </row>
    <row r="27" ht="15" customHeight="1" s="341">
      <c r="A27" s="492">
        <f>IF(B27="","",IF(C27="❌ Account Not Found","INVALID","LN"&amp;TEXT(D27,"YYYYMMDD")&amp;TEXT(ROW()-13,"0000")))</f>
        <v/>
      </c>
      <c r="B27" s="486" t="n"/>
      <c r="C27" s="378">
        <f>IF(B27="","",IFERROR(VLOOKUP(B27,DB_Customers!$A:$D,4,0),"❌ Account Not Found"))</f>
        <v/>
      </c>
      <c r="D27" s="488">
        <f>IF(B27="","",TODAY())</f>
        <v/>
      </c>
      <c r="E27" s="526" t="n"/>
      <c r="F27" s="378" t="n"/>
      <c r="G27" s="532" t="n"/>
      <c r="H27" s="533" t="n"/>
      <c r="I27" s="529">
        <f>IF(E27="","",E27+(E27*H27/100*G27))</f>
        <v/>
      </c>
      <c r="J27" s="534">
        <f>IFERROR(I27/G27,"")</f>
        <v/>
      </c>
      <c r="K27" s="535">
        <f>IF(B27="","Pending",IF(M27="","⚠️ Enter Code",IF(IFERROR(VLOOKUP(L27,DB_Agents!$B:$I,8,0),"")=M27,"Pending","🔒 BLOCKED — Wrong Code")))</f>
        <v/>
      </c>
      <c r="L27" s="380" t="inlineStr">
        <is>
          <t>Agent 01</t>
        </is>
      </c>
      <c r="M27" s="491" t="n"/>
      <c r="N27" s="494" t="n"/>
    </row>
    <row r="28" ht="15" customHeight="1" s="341">
      <c r="A28" s="499">
        <f>IF(B28="","",IF(C28="❌ Account Not Found","INVALID","LN"&amp;TEXT(D28,"YYYYMMDD")&amp;TEXT(ROW()-13,"0000")))</f>
        <v/>
      </c>
      <c r="B28" s="495" t="n"/>
      <c r="C28" s="382">
        <f>IF(B28="","",IFERROR(VLOOKUP(B28,DB_Customers!$A:$D,4,0),"❌ Account Not Found"))</f>
        <v/>
      </c>
      <c r="D28" s="497">
        <f>IF(B28="","",TODAY())</f>
        <v/>
      </c>
      <c r="E28" s="526" t="n"/>
      <c r="F28" s="382" t="n"/>
      <c r="G28" s="527" t="n"/>
      <c r="H28" s="528" t="n"/>
      <c r="I28" s="529">
        <f>IF(E28="","",E28+(E28*H28/100*G28))</f>
        <v/>
      </c>
      <c r="J28" s="530">
        <f>IFERROR(I28/G28,"")</f>
        <v/>
      </c>
      <c r="K28" s="531">
        <f>IF(B28="","Pending",IF(M28="","⚠️ Enter Code",IF(IFERROR(VLOOKUP(L28,DB_Agents!$B:$I,8,0),"")=M28,"Pending","🔒 BLOCKED — Wrong Code")))</f>
        <v/>
      </c>
      <c r="L28" s="384" t="inlineStr">
        <is>
          <t>Agent 01</t>
        </is>
      </c>
      <c r="M28" s="491" t="n"/>
      <c r="N28" s="501" t="n"/>
    </row>
    <row r="29" ht="15" customHeight="1" s="341">
      <c r="A29" s="492">
        <f>IF(B29="","",IF(C29="❌ Account Not Found","INVALID","LN"&amp;TEXT(D29,"YYYYMMDD")&amp;TEXT(ROW()-13,"0000")))</f>
        <v/>
      </c>
      <c r="B29" s="486" t="n"/>
      <c r="C29" s="378">
        <f>IF(B29="","",IFERROR(VLOOKUP(B29,DB_Customers!$A:$D,4,0),"❌ Account Not Found"))</f>
        <v/>
      </c>
      <c r="D29" s="488">
        <f>IF(B29="","",TODAY())</f>
        <v/>
      </c>
      <c r="E29" s="526" t="n"/>
      <c r="F29" s="378" t="n"/>
      <c r="G29" s="532" t="n"/>
      <c r="H29" s="533" t="n"/>
      <c r="I29" s="529">
        <f>IF(E29="","",E29+(E29*H29/100*G29))</f>
        <v/>
      </c>
      <c r="J29" s="534">
        <f>IFERROR(I29/G29,"")</f>
        <v/>
      </c>
      <c r="K29" s="535">
        <f>IF(B29="","Pending",IF(M29="","⚠️ Enter Code",IF(IFERROR(VLOOKUP(L29,DB_Agents!$B:$I,8,0),"")=M29,"Pending","🔒 BLOCKED — Wrong Code")))</f>
        <v/>
      </c>
      <c r="L29" s="380" t="inlineStr">
        <is>
          <t>Agent 01</t>
        </is>
      </c>
      <c r="M29" s="491" t="n"/>
      <c r="N29" s="494" t="n"/>
    </row>
    <row r="30" ht="15" customHeight="1" s="341">
      <c r="A30" s="499">
        <f>IF(B30="","",IF(C30="❌ Account Not Found","INVALID","LN"&amp;TEXT(D30,"YYYYMMDD")&amp;TEXT(ROW()-13,"0000")))</f>
        <v/>
      </c>
      <c r="B30" s="495" t="n"/>
      <c r="C30" s="382">
        <f>IF(B30="","",IFERROR(VLOOKUP(B30,DB_Customers!$A:$D,4,0),"❌ Account Not Found"))</f>
        <v/>
      </c>
      <c r="D30" s="497">
        <f>IF(B30="","",TODAY())</f>
        <v/>
      </c>
      <c r="E30" s="526" t="n"/>
      <c r="F30" s="382" t="n"/>
      <c r="G30" s="527" t="n"/>
      <c r="H30" s="528" t="n"/>
      <c r="I30" s="529">
        <f>IF(E30="","",E30+(E30*H30/100*G30))</f>
        <v/>
      </c>
      <c r="J30" s="530">
        <f>IFERROR(I30/G30,"")</f>
        <v/>
      </c>
      <c r="K30" s="531">
        <f>IF(B30="","Pending",IF(M30="","⚠️ Enter Code",IF(IFERROR(VLOOKUP(L30,DB_Agents!$B:$I,8,0),"")=M30,"Pending","🔒 BLOCKED — Wrong Code")))</f>
        <v/>
      </c>
      <c r="L30" s="384" t="inlineStr">
        <is>
          <t>Agent 01</t>
        </is>
      </c>
      <c r="M30" s="491" t="n"/>
      <c r="N30" s="501" t="n"/>
    </row>
    <row r="31" ht="15" customHeight="1" s="341">
      <c r="A31" s="492">
        <f>IF(B31="","",IF(C31="❌ Account Not Found","INVALID","LN"&amp;TEXT(D31,"YYYYMMDD")&amp;TEXT(ROW()-13,"0000")))</f>
        <v/>
      </c>
      <c r="B31" s="486" t="n"/>
      <c r="C31" s="378">
        <f>IF(B31="","",IFERROR(VLOOKUP(B31,DB_Customers!$A:$D,4,0),"❌ Account Not Found"))</f>
        <v/>
      </c>
      <c r="D31" s="488">
        <f>IF(B31="","",TODAY())</f>
        <v/>
      </c>
      <c r="E31" s="526" t="n"/>
      <c r="F31" s="378" t="n"/>
      <c r="G31" s="532" t="n"/>
      <c r="H31" s="533" t="n"/>
      <c r="I31" s="529">
        <f>IF(E31="","",E31+(E31*H31/100*G31))</f>
        <v/>
      </c>
      <c r="J31" s="534">
        <f>IFERROR(I31/G31,"")</f>
        <v/>
      </c>
      <c r="K31" s="535">
        <f>IF(B31="","Pending",IF(M31="","⚠️ Enter Code",IF(IFERROR(VLOOKUP(L31,DB_Agents!$B:$I,8,0),"")=M31,"Pending","🔒 BLOCKED — Wrong Code")))</f>
        <v/>
      </c>
      <c r="L31" s="380" t="inlineStr">
        <is>
          <t>Agent 01</t>
        </is>
      </c>
      <c r="M31" s="491" t="n"/>
      <c r="N31" s="494" t="n"/>
    </row>
    <row r="32" ht="15" customHeight="1" s="341">
      <c r="A32" s="499">
        <f>IF(B32="","",IF(C32="❌ Account Not Found","INVALID","LN"&amp;TEXT(D32,"YYYYMMDD")&amp;TEXT(ROW()-13,"0000")))</f>
        <v/>
      </c>
      <c r="B32" s="495" t="n"/>
      <c r="C32" s="382">
        <f>IF(B32="","",IFERROR(VLOOKUP(B32,DB_Customers!$A:$D,4,0),"❌ Account Not Found"))</f>
        <v/>
      </c>
      <c r="D32" s="497">
        <f>IF(B32="","",TODAY())</f>
        <v/>
      </c>
      <c r="E32" s="526" t="n"/>
      <c r="F32" s="382" t="n"/>
      <c r="G32" s="527" t="n"/>
      <c r="H32" s="528" t="n"/>
      <c r="I32" s="529">
        <f>IF(E32="","",E32+(E32*H32/100*G32))</f>
        <v/>
      </c>
      <c r="J32" s="530">
        <f>IFERROR(I32/G32,"")</f>
        <v/>
      </c>
      <c r="K32" s="531">
        <f>IF(B32="","Pending",IF(M32="","⚠️ Enter Code",IF(IFERROR(VLOOKUP(L32,DB_Agents!$B:$I,8,0),"")=M32,"Pending","🔒 BLOCKED — Wrong Code")))</f>
        <v/>
      </c>
      <c r="L32" s="384" t="inlineStr">
        <is>
          <t>Agent 01</t>
        </is>
      </c>
      <c r="M32" s="491" t="n"/>
      <c r="N32" s="501" t="n"/>
    </row>
    <row r="33" ht="15" customHeight="1" s="341">
      <c r="A33" s="492">
        <f>IF(B33="","",IF(C33="❌ Account Not Found","INVALID","LN"&amp;TEXT(D33,"YYYYMMDD")&amp;TEXT(ROW()-13,"0000")))</f>
        <v/>
      </c>
      <c r="B33" s="486" t="n"/>
      <c r="C33" s="378">
        <f>IF(B33="","",IFERROR(VLOOKUP(B33,DB_Customers!$A:$D,4,0),"❌ Account Not Found"))</f>
        <v/>
      </c>
      <c r="D33" s="488">
        <f>IF(B33="","",TODAY())</f>
        <v/>
      </c>
      <c r="E33" s="526" t="n"/>
      <c r="F33" s="378" t="n"/>
      <c r="G33" s="532" t="n"/>
      <c r="H33" s="533" t="n"/>
      <c r="I33" s="529">
        <f>IF(E33="","",E33+(E33*H33/100*G33))</f>
        <v/>
      </c>
      <c r="J33" s="534">
        <f>IFERROR(I33/G33,"")</f>
        <v/>
      </c>
      <c r="K33" s="535">
        <f>IF(B33="","Pending",IF(M33="","⚠️ Enter Code",IF(IFERROR(VLOOKUP(L33,DB_Agents!$B:$I,8,0),"")=M33,"Pending","🔒 BLOCKED — Wrong Code")))</f>
        <v/>
      </c>
      <c r="L33" s="380" t="inlineStr">
        <is>
          <t>Agent 01</t>
        </is>
      </c>
      <c r="M33" s="491" t="n"/>
      <c r="N33" s="494" t="n"/>
    </row>
    <row r="34" ht="15" customHeight="1" s="341">
      <c r="A34" s="499">
        <f>IF(B34="","",IF(C34="❌ Account Not Found","INVALID","LN"&amp;TEXT(D34,"YYYYMMDD")&amp;TEXT(ROW()-13,"0000")))</f>
        <v/>
      </c>
      <c r="B34" s="495" t="n"/>
      <c r="C34" s="382">
        <f>IF(B34="","",IFERROR(VLOOKUP(B34,DB_Customers!$A:$D,4,0),"❌ Account Not Found"))</f>
        <v/>
      </c>
      <c r="D34" s="497">
        <f>IF(B34="","",TODAY())</f>
        <v/>
      </c>
      <c r="E34" s="526" t="n"/>
      <c r="F34" s="382" t="n"/>
      <c r="G34" s="527" t="n"/>
      <c r="H34" s="528" t="n"/>
      <c r="I34" s="529">
        <f>IF(E34="","",E34+(E34*H34/100*G34))</f>
        <v/>
      </c>
      <c r="J34" s="530">
        <f>IFERROR(I34/G34,"")</f>
        <v/>
      </c>
      <c r="K34" s="531">
        <f>IF(B34="","Pending",IF(M34="","⚠️ Enter Code",IF(IFERROR(VLOOKUP(L34,DB_Agents!$B:$I,8,0),"")=M34,"Pending","🔒 BLOCKED — Wrong Code")))</f>
        <v/>
      </c>
      <c r="L34" s="384" t="inlineStr">
        <is>
          <t>Agent 01</t>
        </is>
      </c>
      <c r="M34" s="491" t="n"/>
      <c r="N34" s="501" t="n"/>
    </row>
    <row r="35" ht="15" customHeight="1" s="341">
      <c r="A35" s="492">
        <f>IF(B35="","",IF(C35="❌ Account Not Found","INVALID","LN"&amp;TEXT(D35,"YYYYMMDD")&amp;TEXT(ROW()-13,"0000")))</f>
        <v/>
      </c>
      <c r="B35" s="486" t="n"/>
      <c r="C35" s="378">
        <f>IF(B35="","",IFERROR(VLOOKUP(B35,DB_Customers!$A:$D,4,0),"❌ Account Not Found"))</f>
        <v/>
      </c>
      <c r="D35" s="488">
        <f>IF(B35="","",TODAY())</f>
        <v/>
      </c>
      <c r="E35" s="526" t="n"/>
      <c r="F35" s="378" t="n"/>
      <c r="G35" s="532" t="n"/>
      <c r="H35" s="533" t="n"/>
      <c r="I35" s="529">
        <f>IF(E35="","",E35+(E35*H35/100*G35))</f>
        <v/>
      </c>
      <c r="J35" s="534">
        <f>IFERROR(I35/G35,"")</f>
        <v/>
      </c>
      <c r="K35" s="535">
        <f>IF(B35="","Pending",IF(M35="","⚠️ Enter Code",IF(IFERROR(VLOOKUP(L35,DB_Agents!$B:$I,8,0),"")=M35,"Pending","🔒 BLOCKED — Wrong Code")))</f>
        <v/>
      </c>
      <c r="L35" s="380" t="inlineStr">
        <is>
          <t>Agent 01</t>
        </is>
      </c>
      <c r="M35" s="491" t="n"/>
      <c r="N35" s="494" t="n"/>
    </row>
    <row r="36" ht="15" customHeight="1" s="341">
      <c r="A36" s="499">
        <f>IF(B36="","",IF(C36="❌ Account Not Found","INVALID","LN"&amp;TEXT(D36,"YYYYMMDD")&amp;TEXT(ROW()-13,"0000")))</f>
        <v/>
      </c>
      <c r="B36" s="495" t="n"/>
      <c r="C36" s="382">
        <f>IF(B36="","",IFERROR(VLOOKUP(B36,DB_Customers!$A:$D,4,0),"❌ Account Not Found"))</f>
        <v/>
      </c>
      <c r="D36" s="497">
        <f>IF(B36="","",TODAY())</f>
        <v/>
      </c>
      <c r="E36" s="526" t="n"/>
      <c r="F36" s="382" t="n"/>
      <c r="G36" s="527" t="n"/>
      <c r="H36" s="528" t="n"/>
      <c r="I36" s="529">
        <f>IF(E36="","",E36+(E36*H36/100*G36))</f>
        <v/>
      </c>
      <c r="J36" s="530">
        <f>IFERROR(I36/G36,"")</f>
        <v/>
      </c>
      <c r="K36" s="531">
        <f>IF(B36="","Pending",IF(M36="","⚠️ Enter Code",IF(IFERROR(VLOOKUP(L36,DB_Agents!$B:$I,8,0),"")=M36,"Pending","🔒 BLOCKED — Wrong Code")))</f>
        <v/>
      </c>
      <c r="L36" s="384" t="inlineStr">
        <is>
          <t>Agent 01</t>
        </is>
      </c>
      <c r="M36" s="491" t="n"/>
      <c r="N36" s="501" t="n"/>
    </row>
    <row r="37" ht="15" customHeight="1" s="341">
      <c r="A37" s="492">
        <f>IF(B37="","",IF(C37="❌ Account Not Found","INVALID","LN"&amp;TEXT(D37,"YYYYMMDD")&amp;TEXT(ROW()-13,"0000")))</f>
        <v/>
      </c>
      <c r="B37" s="486" t="n"/>
      <c r="C37" s="378">
        <f>IF(B37="","",IFERROR(VLOOKUP(B37,DB_Customers!$A:$D,4,0),"❌ Account Not Found"))</f>
        <v/>
      </c>
      <c r="D37" s="488">
        <f>IF(B37="","",TODAY())</f>
        <v/>
      </c>
      <c r="E37" s="526" t="n"/>
      <c r="F37" s="378" t="n"/>
      <c r="G37" s="532" t="n"/>
      <c r="H37" s="533" t="n"/>
      <c r="I37" s="529">
        <f>IF(E37="","",E37+(E37*H37/100*G37))</f>
        <v/>
      </c>
      <c r="J37" s="534">
        <f>IFERROR(I37/G37,"")</f>
        <v/>
      </c>
      <c r="K37" s="535">
        <f>IF(B37="","Pending",IF(M37="","⚠️ Enter Code",IF(IFERROR(VLOOKUP(L37,DB_Agents!$B:$I,8,0),"")=M37,"Pending","🔒 BLOCKED — Wrong Code")))</f>
        <v/>
      </c>
      <c r="L37" s="380" t="inlineStr">
        <is>
          <t>Agent 01</t>
        </is>
      </c>
      <c r="M37" s="491" t="n"/>
      <c r="N37" s="494" t="n"/>
    </row>
    <row r="38" ht="15" customHeight="1" s="341">
      <c r="A38" s="499">
        <f>IF(B38="","",IF(C38="❌ Account Not Found","INVALID","LN"&amp;TEXT(D38,"YYYYMMDD")&amp;TEXT(ROW()-13,"0000")))</f>
        <v/>
      </c>
      <c r="B38" s="495" t="n"/>
      <c r="C38" s="382">
        <f>IF(B38="","",IFERROR(VLOOKUP(B38,DB_Customers!$A:$D,4,0),"❌ Account Not Found"))</f>
        <v/>
      </c>
      <c r="D38" s="497">
        <f>IF(B38="","",TODAY())</f>
        <v/>
      </c>
      <c r="E38" s="526" t="n"/>
      <c r="F38" s="382" t="n"/>
      <c r="G38" s="527" t="n"/>
      <c r="H38" s="528" t="n"/>
      <c r="I38" s="529">
        <f>IF(E38="","",E38+(E38*H38/100*G38))</f>
        <v/>
      </c>
      <c r="J38" s="530">
        <f>IFERROR(I38/G38,"")</f>
        <v/>
      </c>
      <c r="K38" s="531">
        <f>IF(B38="","Pending",IF(M38="","⚠️ Enter Code",IF(IFERROR(VLOOKUP(L38,DB_Agents!$B:$I,8,0),"")=M38,"Pending","🔒 BLOCKED — Wrong Code")))</f>
        <v/>
      </c>
      <c r="L38" s="384" t="inlineStr">
        <is>
          <t>Agent 01</t>
        </is>
      </c>
      <c r="M38" s="491" t="n"/>
      <c r="N38" s="501" t="n"/>
    </row>
    <row r="39" ht="15" customHeight="1" s="341">
      <c r="A39" s="492">
        <f>IF(B39="","",IF(C39="❌ Account Not Found","INVALID","LN"&amp;TEXT(D39,"YYYYMMDD")&amp;TEXT(ROW()-13,"0000")))</f>
        <v/>
      </c>
      <c r="B39" s="486" t="n"/>
      <c r="C39" s="378">
        <f>IF(B39="","",IFERROR(VLOOKUP(B39,DB_Customers!$A:$D,4,0),"❌ Account Not Found"))</f>
        <v/>
      </c>
      <c r="D39" s="488">
        <f>IF(B39="","",TODAY())</f>
        <v/>
      </c>
      <c r="E39" s="526" t="n"/>
      <c r="F39" s="378" t="n"/>
      <c r="G39" s="532" t="n"/>
      <c r="H39" s="533" t="n"/>
      <c r="I39" s="529">
        <f>IF(E39="","",E39+(E39*H39/100*G39))</f>
        <v/>
      </c>
      <c r="J39" s="534">
        <f>IFERROR(I39/G39,"")</f>
        <v/>
      </c>
      <c r="K39" s="535">
        <f>IF(B39="","Pending",IF(M39="","⚠️ Enter Code",IF(IFERROR(VLOOKUP(L39,DB_Agents!$B:$I,8,0),"")=M39,"Pending","🔒 BLOCKED — Wrong Code")))</f>
        <v/>
      </c>
      <c r="L39" s="380" t="inlineStr">
        <is>
          <t>Agent 01</t>
        </is>
      </c>
      <c r="M39" s="491" t="n"/>
      <c r="N39" s="494" t="n"/>
    </row>
    <row r="40" ht="15" customHeight="1" s="341">
      <c r="A40" s="499">
        <f>IF(B40="","",IF(C40="❌ Account Not Found","INVALID","LN"&amp;TEXT(D40,"YYYYMMDD")&amp;TEXT(ROW()-13,"0000")))</f>
        <v/>
      </c>
      <c r="B40" s="495" t="n"/>
      <c r="C40" s="382">
        <f>IF(B40="","",IFERROR(VLOOKUP(B40,DB_Customers!$A:$D,4,0),"❌ Account Not Found"))</f>
        <v/>
      </c>
      <c r="D40" s="497">
        <f>IF(B40="","",TODAY())</f>
        <v/>
      </c>
      <c r="E40" s="526" t="n"/>
      <c r="F40" s="382" t="n"/>
      <c r="G40" s="527" t="n"/>
      <c r="H40" s="528" t="n"/>
      <c r="I40" s="529">
        <f>IF(E40="","",E40+(E40*H40/100*G40))</f>
        <v/>
      </c>
      <c r="J40" s="530">
        <f>IFERROR(I40/G40,"")</f>
        <v/>
      </c>
      <c r="K40" s="531">
        <f>IF(B40="","Pending",IF(M40="","⚠️ Enter Code",IF(IFERROR(VLOOKUP(L40,DB_Agents!$B:$I,8,0),"")=M40,"Pending","🔒 BLOCKED — Wrong Code")))</f>
        <v/>
      </c>
      <c r="L40" s="384" t="inlineStr">
        <is>
          <t>Agent 01</t>
        </is>
      </c>
      <c r="M40" s="491" t="n"/>
      <c r="N40" s="501" t="n"/>
    </row>
    <row r="41" ht="15" customHeight="1" s="341">
      <c r="A41" s="492">
        <f>IF(B41="","",IF(C41="❌ Account Not Found","INVALID","LN"&amp;TEXT(D41,"YYYYMMDD")&amp;TEXT(ROW()-13,"0000")))</f>
        <v/>
      </c>
      <c r="B41" s="486" t="n"/>
      <c r="C41" s="378">
        <f>IF(B41="","",IFERROR(VLOOKUP(B41,DB_Customers!$A:$D,4,0),"❌ Account Not Found"))</f>
        <v/>
      </c>
      <c r="D41" s="488">
        <f>IF(B41="","",TODAY())</f>
        <v/>
      </c>
      <c r="E41" s="526" t="n"/>
      <c r="F41" s="378" t="n"/>
      <c r="G41" s="532" t="n"/>
      <c r="H41" s="533" t="n"/>
      <c r="I41" s="529">
        <f>IF(E41="","",E41+(E41*H41/100*G41))</f>
        <v/>
      </c>
      <c r="J41" s="534">
        <f>IFERROR(I41/G41,"")</f>
        <v/>
      </c>
      <c r="K41" s="535">
        <f>IF(B41="","Pending",IF(M41="","⚠️ Enter Code",IF(IFERROR(VLOOKUP(L41,DB_Agents!$B:$I,8,0),"")=M41,"Pending","🔒 BLOCKED — Wrong Code")))</f>
        <v/>
      </c>
      <c r="L41" s="380" t="inlineStr">
        <is>
          <t>Agent 01</t>
        </is>
      </c>
      <c r="M41" s="491" t="n"/>
      <c r="N41" s="494" t="n"/>
    </row>
    <row r="42" ht="15" customHeight="1" s="341">
      <c r="A42" s="499">
        <f>IF(B42="","",IF(C42="❌ Account Not Found","INVALID","LN"&amp;TEXT(D42,"YYYYMMDD")&amp;TEXT(ROW()-13,"0000")))</f>
        <v/>
      </c>
      <c r="B42" s="495" t="n"/>
      <c r="C42" s="382">
        <f>IF(B42="","",IFERROR(VLOOKUP(B42,DB_Customers!$A:$D,4,0),"❌ Account Not Found"))</f>
        <v/>
      </c>
      <c r="D42" s="497">
        <f>IF(B42="","",TODAY())</f>
        <v/>
      </c>
      <c r="E42" s="526" t="n"/>
      <c r="F42" s="382" t="n"/>
      <c r="G42" s="527" t="n"/>
      <c r="H42" s="528" t="n"/>
      <c r="I42" s="529">
        <f>IF(E42="","",E42+(E42*H42/100*G42))</f>
        <v/>
      </c>
      <c r="J42" s="530">
        <f>IFERROR(I42/G42,"")</f>
        <v/>
      </c>
      <c r="K42" s="531">
        <f>IF(B42="","Pending",IF(M42="","⚠️ Enter Code",IF(IFERROR(VLOOKUP(L42,DB_Agents!$B:$I,8,0),"")=M42,"Pending","🔒 BLOCKED — Wrong Code")))</f>
        <v/>
      </c>
      <c r="L42" s="384" t="inlineStr">
        <is>
          <t>Agent 01</t>
        </is>
      </c>
      <c r="M42" s="491" t="n"/>
      <c r="N42" s="501" t="n"/>
    </row>
    <row r="43" ht="15" customHeight="1" s="341">
      <c r="A43" s="492">
        <f>IF(B43="","",IF(C43="❌ Account Not Found","INVALID","LN"&amp;TEXT(D43,"YYYYMMDD")&amp;TEXT(ROW()-13,"0000")))</f>
        <v/>
      </c>
      <c r="B43" s="486" t="n"/>
      <c r="C43" s="378">
        <f>IF(B43="","",IFERROR(VLOOKUP(B43,DB_Customers!$A:$D,4,0),"❌ Account Not Found"))</f>
        <v/>
      </c>
      <c r="D43" s="488">
        <f>IF(B43="","",TODAY())</f>
        <v/>
      </c>
      <c r="E43" s="526" t="n"/>
      <c r="F43" s="378" t="n"/>
      <c r="G43" s="532" t="n"/>
      <c r="H43" s="533" t="n"/>
      <c r="I43" s="529">
        <f>IF(E43="","",E43+(E43*H43/100*G43))</f>
        <v/>
      </c>
      <c r="J43" s="534">
        <f>IFERROR(I43/G43,"")</f>
        <v/>
      </c>
      <c r="K43" s="535">
        <f>IF(B43="","Pending",IF(M43="","⚠️ Enter Code",IF(IFERROR(VLOOKUP(L43,DB_Agents!$B:$I,8,0),"")=M43,"Pending","🔒 BLOCKED — Wrong Code")))</f>
        <v/>
      </c>
      <c r="L43" s="380" t="inlineStr">
        <is>
          <t>Agent 01</t>
        </is>
      </c>
      <c r="M43" s="491" t="n"/>
      <c r="N43" s="494" t="n"/>
    </row>
    <row r="44" ht="15" customHeight="1" s="341">
      <c r="A44" s="499">
        <f>IF(B44="","",IF(C44="❌ Account Not Found","INVALID","LN"&amp;TEXT(D44,"YYYYMMDD")&amp;TEXT(ROW()-13,"0000")))</f>
        <v/>
      </c>
      <c r="B44" s="495" t="n"/>
      <c r="C44" s="382">
        <f>IF(B44="","",IFERROR(VLOOKUP(B44,DB_Customers!$A:$D,4,0),"❌ Account Not Found"))</f>
        <v/>
      </c>
      <c r="D44" s="497">
        <f>IF(B44="","",TODAY())</f>
        <v/>
      </c>
      <c r="E44" s="526" t="n"/>
      <c r="F44" s="382" t="n"/>
      <c r="G44" s="527" t="n"/>
      <c r="H44" s="528" t="n"/>
      <c r="I44" s="529">
        <f>IF(E44="","",E44+(E44*H44/100*G44))</f>
        <v/>
      </c>
      <c r="J44" s="530">
        <f>IFERROR(I44/G44,"")</f>
        <v/>
      </c>
      <c r="K44" s="531">
        <f>IF(B44="","Pending",IF(M44="","⚠️ Enter Code",IF(IFERROR(VLOOKUP(L44,DB_Agents!$B:$I,8,0),"")=M44,"Pending","🔒 BLOCKED — Wrong Code")))</f>
        <v/>
      </c>
      <c r="L44" s="384" t="inlineStr">
        <is>
          <t>Agent 01</t>
        </is>
      </c>
      <c r="M44" s="491" t="n"/>
      <c r="N44" s="501" t="n"/>
    </row>
    <row r="45" ht="15" customHeight="1" s="341">
      <c r="A45" s="492">
        <f>IF(B45="","",IF(C45="❌ Account Not Found","INVALID","LN"&amp;TEXT(D45,"YYYYMMDD")&amp;TEXT(ROW()-13,"0000")))</f>
        <v/>
      </c>
      <c r="B45" s="486" t="n"/>
      <c r="C45" s="378">
        <f>IF(B45="","",IFERROR(VLOOKUP(B45,DB_Customers!$A:$D,4,0),"❌ Account Not Found"))</f>
        <v/>
      </c>
      <c r="D45" s="488">
        <f>IF(B45="","",TODAY())</f>
        <v/>
      </c>
      <c r="E45" s="526" t="n"/>
      <c r="F45" s="378" t="n"/>
      <c r="G45" s="532" t="n"/>
      <c r="H45" s="533" t="n"/>
      <c r="I45" s="529">
        <f>IF(E45="","",E45+(E45*H45/100*G45))</f>
        <v/>
      </c>
      <c r="J45" s="534">
        <f>IFERROR(I45/G45,"")</f>
        <v/>
      </c>
      <c r="K45" s="535">
        <f>IF(B45="","Pending",IF(M45="","⚠️ Enter Code",IF(IFERROR(VLOOKUP(L45,DB_Agents!$B:$I,8,0),"")=M45,"Pending","🔒 BLOCKED — Wrong Code")))</f>
        <v/>
      </c>
      <c r="L45" s="380" t="inlineStr">
        <is>
          <t>Agent 01</t>
        </is>
      </c>
      <c r="M45" s="491" t="n"/>
      <c r="N45" s="494" t="n"/>
    </row>
    <row r="46" ht="15" customHeight="1" s="341">
      <c r="A46" s="499">
        <f>IF(B46="","",IF(C46="❌ Account Not Found","INVALID","LN"&amp;TEXT(D46,"YYYYMMDD")&amp;TEXT(ROW()-13,"0000")))</f>
        <v/>
      </c>
      <c r="B46" s="495" t="n"/>
      <c r="C46" s="382">
        <f>IF(B46="","",IFERROR(VLOOKUP(B46,DB_Customers!$A:$D,4,0),"❌ Account Not Found"))</f>
        <v/>
      </c>
      <c r="D46" s="497">
        <f>IF(B46="","",TODAY())</f>
        <v/>
      </c>
      <c r="E46" s="526" t="n"/>
      <c r="F46" s="382" t="n"/>
      <c r="G46" s="527" t="n"/>
      <c r="H46" s="528" t="n"/>
      <c r="I46" s="529">
        <f>IF(E46="","",E46+(E46*H46/100*G46))</f>
        <v/>
      </c>
      <c r="J46" s="530">
        <f>IFERROR(I46/G46,"")</f>
        <v/>
      </c>
      <c r="K46" s="531">
        <f>IF(B46="","Pending",IF(M46="","⚠️ Enter Code",IF(IFERROR(VLOOKUP(L46,DB_Agents!$B:$I,8,0),"")=M46,"Pending","🔒 BLOCKED — Wrong Code")))</f>
        <v/>
      </c>
      <c r="L46" s="384" t="inlineStr">
        <is>
          <t>Agent 01</t>
        </is>
      </c>
      <c r="M46" s="491" t="n"/>
      <c r="N46" s="501" t="n"/>
    </row>
    <row r="47" ht="15" customHeight="1" s="341">
      <c r="A47" s="492">
        <f>IF(B47="","",IF(C47="❌ Account Not Found","INVALID","LN"&amp;TEXT(D47,"YYYYMMDD")&amp;TEXT(ROW()-13,"0000")))</f>
        <v/>
      </c>
      <c r="B47" s="486" t="n"/>
      <c r="C47" s="378">
        <f>IF(B47="","",IFERROR(VLOOKUP(B47,DB_Customers!$A:$D,4,0),"❌ Account Not Found"))</f>
        <v/>
      </c>
      <c r="D47" s="488">
        <f>IF(B47="","",TODAY())</f>
        <v/>
      </c>
      <c r="E47" s="526" t="n"/>
      <c r="F47" s="378" t="n"/>
      <c r="G47" s="532" t="n"/>
      <c r="H47" s="533" t="n"/>
      <c r="I47" s="529">
        <f>IF(E47="","",E47+(E47*H47/100*G47))</f>
        <v/>
      </c>
      <c r="J47" s="534">
        <f>IFERROR(I47/G47,"")</f>
        <v/>
      </c>
      <c r="K47" s="535">
        <f>IF(B47="","Pending",IF(M47="","⚠️ Enter Code",IF(IFERROR(VLOOKUP(L47,DB_Agents!$B:$I,8,0),"")=M47,"Pending","🔒 BLOCKED — Wrong Code")))</f>
        <v/>
      </c>
      <c r="L47" s="380" t="inlineStr">
        <is>
          <t>Agent 01</t>
        </is>
      </c>
      <c r="M47" s="491" t="n"/>
      <c r="N47" s="494" t="n"/>
    </row>
    <row r="48" ht="15" customHeight="1" s="341">
      <c r="A48" s="499">
        <f>IF(B48="","",IF(C48="❌ Account Not Found","INVALID","LN"&amp;TEXT(D48,"YYYYMMDD")&amp;TEXT(ROW()-13,"0000")))</f>
        <v/>
      </c>
      <c r="B48" s="495" t="n"/>
      <c r="C48" s="382">
        <f>IF(B48="","",IFERROR(VLOOKUP(B48,DB_Customers!$A:$D,4,0),"❌ Account Not Found"))</f>
        <v/>
      </c>
      <c r="D48" s="497">
        <f>IF(B48="","",TODAY())</f>
        <v/>
      </c>
      <c r="E48" s="526" t="n"/>
      <c r="F48" s="382" t="n"/>
      <c r="G48" s="527" t="n"/>
      <c r="H48" s="528" t="n"/>
      <c r="I48" s="529">
        <f>IF(E48="","",E48+(E48*H48/100*G48))</f>
        <v/>
      </c>
      <c r="J48" s="530">
        <f>IFERROR(I48/G48,"")</f>
        <v/>
      </c>
      <c r="K48" s="531">
        <f>IF(B48="","Pending",IF(M48="","⚠️ Enter Code",IF(IFERROR(VLOOKUP(L48,DB_Agents!$B:$I,8,0),"")=M48,"Pending","🔒 BLOCKED — Wrong Code")))</f>
        <v/>
      </c>
      <c r="L48" s="384" t="inlineStr">
        <is>
          <t>Agent 01</t>
        </is>
      </c>
      <c r="M48" s="491" t="n"/>
      <c r="N48" s="501" t="n"/>
    </row>
    <row r="49" ht="15" customHeight="1" s="341">
      <c r="A49" s="492">
        <f>IF(B49="","",IF(C49="❌ Account Not Found","INVALID","LN"&amp;TEXT(D49,"YYYYMMDD")&amp;TEXT(ROW()-13,"0000")))</f>
        <v/>
      </c>
      <c r="B49" s="486" t="n"/>
      <c r="C49" s="378">
        <f>IF(B49="","",IFERROR(VLOOKUP(B49,DB_Customers!$A:$D,4,0),"❌ Account Not Found"))</f>
        <v/>
      </c>
      <c r="D49" s="488">
        <f>IF(B49="","",TODAY())</f>
        <v/>
      </c>
      <c r="E49" s="526" t="n"/>
      <c r="F49" s="378" t="n"/>
      <c r="G49" s="532" t="n"/>
      <c r="H49" s="533" t="n"/>
      <c r="I49" s="529">
        <f>IF(E49="","",E49+(E49*H49/100*G49))</f>
        <v/>
      </c>
      <c r="J49" s="534">
        <f>IFERROR(I49/G49,"")</f>
        <v/>
      </c>
      <c r="K49" s="535">
        <f>IF(B49="","Pending",IF(M49="","⚠️ Enter Code",IF(IFERROR(VLOOKUP(L49,DB_Agents!$B:$I,8,0),"")=M49,"Pending","🔒 BLOCKED — Wrong Code")))</f>
        <v/>
      </c>
      <c r="L49" s="380" t="inlineStr">
        <is>
          <t>Agent 01</t>
        </is>
      </c>
      <c r="M49" s="491" t="n"/>
      <c r="N49" s="494" t="n"/>
    </row>
    <row r="50" ht="15" customHeight="1" s="341">
      <c r="A50" s="499">
        <f>IF(B50="","",IF(C50="❌ Account Not Found","INVALID","LN"&amp;TEXT(D50,"YYYYMMDD")&amp;TEXT(ROW()-13,"0000")))</f>
        <v/>
      </c>
      <c r="B50" s="495" t="n"/>
      <c r="C50" s="382">
        <f>IF(B50="","",IFERROR(VLOOKUP(B50,DB_Customers!$A:$D,4,0),"❌ Account Not Found"))</f>
        <v/>
      </c>
      <c r="D50" s="497">
        <f>IF(B50="","",TODAY())</f>
        <v/>
      </c>
      <c r="E50" s="526" t="n"/>
      <c r="F50" s="382" t="n"/>
      <c r="G50" s="527" t="n"/>
      <c r="H50" s="528" t="n"/>
      <c r="I50" s="529">
        <f>IF(E50="","",E50+(E50*H50/100*G50))</f>
        <v/>
      </c>
      <c r="J50" s="530">
        <f>IFERROR(I50/G50,"")</f>
        <v/>
      </c>
      <c r="K50" s="531">
        <f>IF(B50="","Pending",IF(M50="","⚠️ Enter Code",IF(IFERROR(VLOOKUP(L50,DB_Agents!$B:$I,8,0),"")=M50,"Pending","🔒 BLOCKED — Wrong Code")))</f>
        <v/>
      </c>
      <c r="L50" s="384" t="inlineStr">
        <is>
          <t>Agent 01</t>
        </is>
      </c>
      <c r="M50" s="491" t="n"/>
      <c r="N50" s="501" t="n"/>
    </row>
    <row r="51" ht="15" customHeight="1" s="341">
      <c r="A51" s="492">
        <f>IF(B51="","",IF(C51="❌ Account Not Found","INVALID","LN"&amp;TEXT(D51,"YYYYMMDD")&amp;TEXT(ROW()-13,"0000")))</f>
        <v/>
      </c>
      <c r="B51" s="486" t="n"/>
      <c r="C51" s="378">
        <f>IF(B51="","",IFERROR(VLOOKUP(B51,DB_Customers!$A:$D,4,0),"❌ Account Not Found"))</f>
        <v/>
      </c>
      <c r="D51" s="488">
        <f>IF(B51="","",TODAY())</f>
        <v/>
      </c>
      <c r="E51" s="526" t="n"/>
      <c r="F51" s="378" t="n"/>
      <c r="G51" s="532" t="n"/>
      <c r="H51" s="533" t="n"/>
      <c r="I51" s="529">
        <f>IF(E51="","",E51+(E51*H51/100*G51))</f>
        <v/>
      </c>
      <c r="J51" s="534">
        <f>IFERROR(I51/G51,"")</f>
        <v/>
      </c>
      <c r="K51" s="535">
        <f>IF(B51="","Pending",IF(M51="","⚠️ Enter Code",IF(IFERROR(VLOOKUP(L51,DB_Agents!$B:$I,8,0),"")=M51,"Pending","🔒 BLOCKED — Wrong Code")))</f>
        <v/>
      </c>
      <c r="L51" s="380" t="inlineStr">
        <is>
          <t>Agent 01</t>
        </is>
      </c>
      <c r="M51" s="491" t="n"/>
      <c r="N51" s="494" t="n"/>
    </row>
    <row r="52" ht="15" customHeight="1" s="341">
      <c r="A52" s="499">
        <f>IF(B52="","",IF(C52="❌ Account Not Found","INVALID","LN"&amp;TEXT(D52,"YYYYMMDD")&amp;TEXT(ROW()-13,"0000")))</f>
        <v/>
      </c>
      <c r="B52" s="495" t="n"/>
      <c r="C52" s="382">
        <f>IF(B52="","",IFERROR(VLOOKUP(B52,DB_Customers!$A:$D,4,0),"❌ Account Not Found"))</f>
        <v/>
      </c>
      <c r="D52" s="497">
        <f>IF(B52="","",TODAY())</f>
        <v/>
      </c>
      <c r="E52" s="526" t="n"/>
      <c r="F52" s="382" t="n"/>
      <c r="G52" s="527" t="n"/>
      <c r="H52" s="528" t="n"/>
      <c r="I52" s="529">
        <f>IF(E52="","",E52+(E52*H52/100*G52))</f>
        <v/>
      </c>
      <c r="J52" s="530">
        <f>IFERROR(I52/G52,"")</f>
        <v/>
      </c>
      <c r="K52" s="531">
        <f>IF(B52="","Pending",IF(M52="","⚠️ Enter Code",IF(IFERROR(VLOOKUP(L52,DB_Agents!$B:$I,8,0),"")=M52,"Pending","🔒 BLOCKED — Wrong Code")))</f>
        <v/>
      </c>
      <c r="L52" s="384" t="inlineStr">
        <is>
          <t>Agent 01</t>
        </is>
      </c>
      <c r="M52" s="491" t="n"/>
      <c r="N52" s="501" t="n"/>
    </row>
    <row r="53" ht="15" customHeight="1" s="341">
      <c r="A53" s="492">
        <f>IF(B53="","",IF(C53="❌ Account Not Found","INVALID","LN"&amp;TEXT(D53,"YYYYMMDD")&amp;TEXT(ROW()-13,"0000")))</f>
        <v/>
      </c>
      <c r="B53" s="486" t="n"/>
      <c r="C53" s="378">
        <f>IF(B53="","",IFERROR(VLOOKUP(B53,DB_Customers!$A:$D,4,0),"❌ Account Not Found"))</f>
        <v/>
      </c>
      <c r="D53" s="488">
        <f>IF(B53="","",TODAY())</f>
        <v/>
      </c>
      <c r="E53" s="526" t="n"/>
      <c r="F53" s="378" t="n"/>
      <c r="G53" s="532" t="n"/>
      <c r="H53" s="533" t="n"/>
      <c r="I53" s="529">
        <f>IF(E53="","",E53+(E53*H53/100*G53))</f>
        <v/>
      </c>
      <c r="J53" s="534">
        <f>IFERROR(I53/G53,"")</f>
        <v/>
      </c>
      <c r="K53" s="535">
        <f>IF(B53="","Pending",IF(M53="","⚠️ Enter Code",IF(IFERROR(VLOOKUP(L53,DB_Agents!$B:$I,8,0),"")=M53,"Pending","🔒 BLOCKED — Wrong Code")))</f>
        <v/>
      </c>
      <c r="L53" s="380" t="inlineStr">
        <is>
          <t>Agent 01</t>
        </is>
      </c>
      <c r="M53" s="491" t="n"/>
      <c r="N53" s="494" t="n"/>
    </row>
    <row r="54" ht="15" customHeight="1" s="341">
      <c r="A54" s="499">
        <f>IF(B54="","",IF(C54="❌ Account Not Found","INVALID","LN"&amp;TEXT(D54,"YYYYMMDD")&amp;TEXT(ROW()-13,"0000")))</f>
        <v/>
      </c>
      <c r="B54" s="495" t="n"/>
      <c r="C54" s="382">
        <f>IF(B54="","",IFERROR(VLOOKUP(B54,DB_Customers!$A:$D,4,0),"❌ Account Not Found"))</f>
        <v/>
      </c>
      <c r="D54" s="497">
        <f>IF(B54="","",TODAY())</f>
        <v/>
      </c>
      <c r="E54" s="526" t="n"/>
      <c r="F54" s="382" t="n"/>
      <c r="G54" s="527" t="n"/>
      <c r="H54" s="528" t="n"/>
      <c r="I54" s="529">
        <f>IF(E54="","",E54+(E54*H54/100*G54))</f>
        <v/>
      </c>
      <c r="J54" s="530">
        <f>IFERROR(I54/G54,"")</f>
        <v/>
      </c>
      <c r="K54" s="531">
        <f>IF(B54="","Pending",IF(M54="","⚠️ Enter Code",IF(IFERROR(VLOOKUP(L54,DB_Agents!$B:$I,8,0),"")=M54,"Pending","🔒 BLOCKED — Wrong Code")))</f>
        <v/>
      </c>
      <c r="L54" s="384" t="inlineStr">
        <is>
          <t>Agent 01</t>
        </is>
      </c>
      <c r="M54" s="491" t="n"/>
      <c r="N54" s="501" t="n"/>
    </row>
    <row r="55" ht="15" customHeight="1" s="341">
      <c r="A55" s="492">
        <f>IF(B55="","",IF(C55="❌ Account Not Found","INVALID","LN"&amp;TEXT(D55,"YYYYMMDD")&amp;TEXT(ROW()-13,"0000")))</f>
        <v/>
      </c>
      <c r="B55" s="486" t="n"/>
      <c r="C55" s="378">
        <f>IF(B55="","",IFERROR(VLOOKUP(B55,DB_Customers!$A:$D,4,0),"❌ Account Not Found"))</f>
        <v/>
      </c>
      <c r="D55" s="488">
        <f>IF(B55="","",TODAY())</f>
        <v/>
      </c>
      <c r="E55" s="526" t="n"/>
      <c r="F55" s="378" t="n"/>
      <c r="G55" s="532" t="n"/>
      <c r="H55" s="533" t="n"/>
      <c r="I55" s="529">
        <f>IF(E55="","",E55+(E55*H55/100*G55))</f>
        <v/>
      </c>
      <c r="J55" s="534">
        <f>IFERROR(I55/G55,"")</f>
        <v/>
      </c>
      <c r="K55" s="535">
        <f>IF(B55="","Pending",IF(M55="","⚠️ Enter Code",IF(IFERROR(VLOOKUP(L55,DB_Agents!$B:$I,8,0),"")=M55,"Pending","🔒 BLOCKED — Wrong Code")))</f>
        <v/>
      </c>
      <c r="L55" s="380" t="inlineStr">
        <is>
          <t>Agent 01</t>
        </is>
      </c>
      <c r="M55" s="491" t="n"/>
      <c r="N55" s="494" t="n"/>
    </row>
    <row r="56" ht="15" customHeight="1" s="341">
      <c r="A56" s="499">
        <f>IF(B56="","",IF(C56="❌ Account Not Found","INVALID","LN"&amp;TEXT(D56,"YYYYMMDD")&amp;TEXT(ROW()-13,"0000")))</f>
        <v/>
      </c>
      <c r="B56" s="495" t="n"/>
      <c r="C56" s="382">
        <f>IF(B56="","",IFERROR(VLOOKUP(B56,DB_Customers!$A:$D,4,0),"❌ Account Not Found"))</f>
        <v/>
      </c>
      <c r="D56" s="497">
        <f>IF(B56="","",TODAY())</f>
        <v/>
      </c>
      <c r="E56" s="526" t="n"/>
      <c r="F56" s="382" t="n"/>
      <c r="G56" s="527" t="n"/>
      <c r="H56" s="528" t="n"/>
      <c r="I56" s="529">
        <f>IF(E56="","",E56+(E56*H56/100*G56))</f>
        <v/>
      </c>
      <c r="J56" s="530">
        <f>IFERROR(I56/G56,"")</f>
        <v/>
      </c>
      <c r="K56" s="531">
        <f>IF(B56="","Pending",IF(M56="","⚠️ Enter Code",IF(IFERROR(VLOOKUP(L56,DB_Agents!$B:$I,8,0),"")=M56,"Pending","🔒 BLOCKED — Wrong Code")))</f>
        <v/>
      </c>
      <c r="L56" s="384" t="inlineStr">
        <is>
          <t>Agent 01</t>
        </is>
      </c>
      <c r="M56" s="491" t="n"/>
      <c r="N56" s="501" t="n"/>
    </row>
    <row r="57" ht="15" customHeight="1" s="341">
      <c r="A57" s="492">
        <f>IF(B57="","",IF(C57="❌ Account Not Found","INVALID","LN"&amp;TEXT(D57,"YYYYMMDD")&amp;TEXT(ROW()-13,"0000")))</f>
        <v/>
      </c>
      <c r="B57" s="486" t="n"/>
      <c r="C57" s="378">
        <f>IF(B57="","",IFERROR(VLOOKUP(B57,DB_Customers!$A:$D,4,0),"❌ Account Not Found"))</f>
        <v/>
      </c>
      <c r="D57" s="488">
        <f>IF(B57="","",TODAY())</f>
        <v/>
      </c>
      <c r="E57" s="526" t="n"/>
      <c r="F57" s="378" t="n"/>
      <c r="G57" s="532" t="n"/>
      <c r="H57" s="533" t="n"/>
      <c r="I57" s="529">
        <f>IF(E57="","",E57+(E57*H57/100*G57))</f>
        <v/>
      </c>
      <c r="J57" s="534">
        <f>IFERROR(I57/G57,"")</f>
        <v/>
      </c>
      <c r="K57" s="535">
        <f>IF(B57="","Pending",IF(M57="","⚠️ Enter Code",IF(IFERROR(VLOOKUP(L57,DB_Agents!$B:$I,8,0),"")=M57,"Pending","🔒 BLOCKED — Wrong Code")))</f>
        <v/>
      </c>
      <c r="L57" s="380" t="inlineStr">
        <is>
          <t>Agent 01</t>
        </is>
      </c>
      <c r="M57" s="491" t="n"/>
      <c r="N57" s="494" t="n"/>
    </row>
    <row r="58" ht="15" customHeight="1" s="341">
      <c r="A58" s="499">
        <f>IF(B58="","",IF(C58="❌ Account Not Found","INVALID","LN"&amp;TEXT(D58,"YYYYMMDD")&amp;TEXT(ROW()-13,"0000")))</f>
        <v/>
      </c>
      <c r="B58" s="495" t="n"/>
      <c r="C58" s="382">
        <f>IF(B58="","",IFERROR(VLOOKUP(B58,DB_Customers!$A:$D,4,0),"❌ Account Not Found"))</f>
        <v/>
      </c>
      <c r="D58" s="497">
        <f>IF(B58="","",TODAY())</f>
        <v/>
      </c>
      <c r="E58" s="526" t="n"/>
      <c r="F58" s="382" t="n"/>
      <c r="G58" s="527" t="n"/>
      <c r="H58" s="528" t="n"/>
      <c r="I58" s="529">
        <f>IF(E58="","",E58+(E58*H58/100*G58))</f>
        <v/>
      </c>
      <c r="J58" s="530">
        <f>IFERROR(I58/G58,"")</f>
        <v/>
      </c>
      <c r="K58" s="531">
        <f>IF(B58="","Pending",IF(M58="","⚠️ Enter Code",IF(IFERROR(VLOOKUP(L58,DB_Agents!$B:$I,8,0),"")=M58,"Pending","🔒 BLOCKED — Wrong Code")))</f>
        <v/>
      </c>
      <c r="L58" s="384" t="inlineStr">
        <is>
          <t>Agent 01</t>
        </is>
      </c>
      <c r="M58" s="491" t="n"/>
      <c r="N58" s="501" t="n"/>
    </row>
    <row r="59" ht="15" customHeight="1" s="341">
      <c r="A59" s="492">
        <f>IF(B59="","",IF(C59="❌ Account Not Found","INVALID","LN"&amp;TEXT(D59,"YYYYMMDD")&amp;TEXT(ROW()-13,"0000")))</f>
        <v/>
      </c>
      <c r="B59" s="486" t="n"/>
      <c r="C59" s="378">
        <f>IF(B59="","",IFERROR(VLOOKUP(B59,DB_Customers!$A:$D,4,0),"❌ Account Not Found"))</f>
        <v/>
      </c>
      <c r="D59" s="488">
        <f>IF(B59="","",TODAY())</f>
        <v/>
      </c>
      <c r="E59" s="526" t="n"/>
      <c r="F59" s="378" t="n"/>
      <c r="G59" s="532" t="n"/>
      <c r="H59" s="533" t="n"/>
      <c r="I59" s="529">
        <f>IF(E59="","",E59+(E59*H59/100*G59))</f>
        <v/>
      </c>
      <c r="J59" s="534">
        <f>IFERROR(I59/G59,"")</f>
        <v/>
      </c>
      <c r="K59" s="535">
        <f>IF(B59="","Pending",IF(M59="","⚠️ Enter Code",IF(IFERROR(VLOOKUP(L59,DB_Agents!$B:$I,8,0),"")=M59,"Pending","🔒 BLOCKED — Wrong Code")))</f>
        <v/>
      </c>
      <c r="L59" s="380" t="inlineStr">
        <is>
          <t>Agent 01</t>
        </is>
      </c>
      <c r="M59" s="491" t="n"/>
      <c r="N59" s="494" t="n"/>
    </row>
    <row r="60" ht="15" customHeight="1" s="341">
      <c r="A60" s="499">
        <f>IF(B60="","",IF(C60="❌ Account Not Found","INVALID","LN"&amp;TEXT(D60,"YYYYMMDD")&amp;TEXT(ROW()-13,"0000")))</f>
        <v/>
      </c>
      <c r="B60" s="495" t="n"/>
      <c r="C60" s="382">
        <f>IF(B60="","",IFERROR(VLOOKUP(B60,DB_Customers!$A:$D,4,0),"❌ Account Not Found"))</f>
        <v/>
      </c>
      <c r="D60" s="497">
        <f>IF(B60="","",TODAY())</f>
        <v/>
      </c>
      <c r="E60" s="526" t="n"/>
      <c r="F60" s="382" t="n"/>
      <c r="G60" s="527" t="n"/>
      <c r="H60" s="528" t="n"/>
      <c r="I60" s="529">
        <f>IF(E60="","",E60+(E60*H60/100*G60))</f>
        <v/>
      </c>
      <c r="J60" s="530">
        <f>IFERROR(I60/G60,"")</f>
        <v/>
      </c>
      <c r="K60" s="531">
        <f>IF(B60="","Pending",IF(M60="","⚠️ Enter Code",IF(IFERROR(VLOOKUP(L60,DB_Agents!$B:$I,8,0),"")=M60,"Pending","🔒 BLOCKED — Wrong Code")))</f>
        <v/>
      </c>
      <c r="L60" s="384" t="inlineStr">
        <is>
          <t>Agent 01</t>
        </is>
      </c>
      <c r="M60" s="491" t="n"/>
      <c r="N60" s="501" t="n"/>
    </row>
    <row r="61" ht="15" customHeight="1" s="341">
      <c r="A61" s="492">
        <f>IF(B61="","",IF(C61="❌ Account Not Found","INVALID","LN"&amp;TEXT(D61,"YYYYMMDD")&amp;TEXT(ROW()-13,"0000")))</f>
        <v/>
      </c>
      <c r="B61" s="486" t="n"/>
      <c r="C61" s="378">
        <f>IF(B61="","",IFERROR(VLOOKUP(B61,DB_Customers!$A:$D,4,0),"❌ Account Not Found"))</f>
        <v/>
      </c>
      <c r="D61" s="488">
        <f>IF(B61="","",TODAY())</f>
        <v/>
      </c>
      <c r="E61" s="526" t="n"/>
      <c r="F61" s="378" t="n"/>
      <c r="G61" s="532" t="n"/>
      <c r="H61" s="533" t="n"/>
      <c r="I61" s="529">
        <f>IF(E61="","",E61+(E61*H61/100*G61))</f>
        <v/>
      </c>
      <c r="J61" s="534">
        <f>IFERROR(I61/G61,"")</f>
        <v/>
      </c>
      <c r="K61" s="535">
        <f>IF(B61="","Pending",IF(M61="","⚠️ Enter Code",IF(IFERROR(VLOOKUP(L61,DB_Agents!$B:$I,8,0),"")=M61,"Pending","🔒 BLOCKED — Wrong Code")))</f>
        <v/>
      </c>
      <c r="L61" s="380" t="inlineStr">
        <is>
          <t>Agent 01</t>
        </is>
      </c>
      <c r="M61" s="491" t="n"/>
      <c r="N61" s="494" t="n"/>
    </row>
    <row r="62" ht="15" customHeight="1" s="341">
      <c r="A62" s="499">
        <f>IF(B62="","",IF(C62="❌ Account Not Found","INVALID","LN"&amp;TEXT(D62,"YYYYMMDD")&amp;TEXT(ROW()-13,"0000")))</f>
        <v/>
      </c>
      <c r="B62" s="495" t="n"/>
      <c r="C62" s="382">
        <f>IF(B62="","",IFERROR(VLOOKUP(B62,DB_Customers!$A:$D,4,0),"❌ Account Not Found"))</f>
        <v/>
      </c>
      <c r="D62" s="497">
        <f>IF(B62="","",TODAY())</f>
        <v/>
      </c>
      <c r="E62" s="526" t="n"/>
      <c r="F62" s="382" t="n"/>
      <c r="G62" s="527" t="n"/>
      <c r="H62" s="528" t="n"/>
      <c r="I62" s="529">
        <f>IF(E62="","",E62+(E62*H62/100*G62))</f>
        <v/>
      </c>
      <c r="J62" s="530">
        <f>IFERROR(I62/G62,"")</f>
        <v/>
      </c>
      <c r="K62" s="531">
        <f>IF(B62="","Pending",IF(M62="","⚠️ Enter Code",IF(IFERROR(VLOOKUP(L62,DB_Agents!$B:$I,8,0),"")=M62,"Pending","🔒 BLOCKED — Wrong Code")))</f>
        <v/>
      </c>
      <c r="L62" s="384" t="inlineStr">
        <is>
          <t>Agent 01</t>
        </is>
      </c>
      <c r="M62" s="491" t="n"/>
      <c r="N62" s="501" t="n"/>
    </row>
    <row r="63" ht="15" customHeight="1" s="341">
      <c r="A63" s="492">
        <f>IF(B63="","",IF(C63="❌ Account Not Found","INVALID","LN"&amp;TEXT(D63,"YYYYMMDD")&amp;TEXT(ROW()-13,"0000")))</f>
        <v/>
      </c>
      <c r="B63" s="486" t="n"/>
      <c r="C63" s="378">
        <f>IF(B63="","",IFERROR(VLOOKUP(B63,DB_Customers!$A:$D,4,0),"❌ Account Not Found"))</f>
        <v/>
      </c>
      <c r="D63" s="488">
        <f>IF(B63="","",TODAY())</f>
        <v/>
      </c>
      <c r="E63" s="526" t="n"/>
      <c r="F63" s="378" t="n"/>
      <c r="G63" s="532" t="n"/>
      <c r="H63" s="533" t="n"/>
      <c r="I63" s="529">
        <f>IF(E63="","",E63+(E63*H63/100*G63))</f>
        <v/>
      </c>
      <c r="J63" s="534">
        <f>IFERROR(I63/G63,"")</f>
        <v/>
      </c>
      <c r="K63" s="535">
        <f>IF(B63="","Pending",IF(M63="","⚠️ Enter Code",IF(IFERROR(VLOOKUP(L63,DB_Agents!$B:$I,8,0),"")=M63,"Pending","🔒 BLOCKED — Wrong Code")))</f>
        <v/>
      </c>
      <c r="L63" s="380" t="inlineStr">
        <is>
          <t>Agent 01</t>
        </is>
      </c>
      <c r="M63" s="491" t="n"/>
      <c r="N63" s="494" t="n"/>
    </row>
    <row r="64" ht="15" customHeight="1" s="341">
      <c r="A64" s="499">
        <f>IF(B64="","",IF(C64="❌ Account Not Found","INVALID","LN"&amp;TEXT(D64,"YYYYMMDD")&amp;TEXT(ROW()-13,"0000")))</f>
        <v/>
      </c>
      <c r="B64" s="495" t="n"/>
      <c r="C64" s="382">
        <f>IF(B64="","",IFERROR(VLOOKUP(B64,DB_Customers!$A:$D,4,0),"❌ Account Not Found"))</f>
        <v/>
      </c>
      <c r="D64" s="497">
        <f>IF(B64="","",TODAY())</f>
        <v/>
      </c>
      <c r="E64" s="526" t="n"/>
      <c r="F64" s="382" t="n"/>
      <c r="G64" s="527" t="n"/>
      <c r="H64" s="528" t="n"/>
      <c r="I64" s="529">
        <f>IF(E64="","",E64+(E64*H64/100*G64))</f>
        <v/>
      </c>
      <c r="J64" s="530">
        <f>IFERROR(I64/G64,"")</f>
        <v/>
      </c>
      <c r="K64" s="531">
        <f>IF(B64="","Pending",IF(M64="","⚠️ Enter Code",IF(IFERROR(VLOOKUP(L64,DB_Agents!$B:$I,8,0),"")=M64,"Pending","🔒 BLOCKED — Wrong Code")))</f>
        <v/>
      </c>
      <c r="L64" s="384" t="inlineStr">
        <is>
          <t>Agent 01</t>
        </is>
      </c>
      <c r="M64" s="491" t="n"/>
      <c r="N64" s="501" t="n"/>
    </row>
    <row r="65" ht="15" customHeight="1" s="341">
      <c r="A65" s="492">
        <f>IF(B65="","",IF(C65="❌ Account Not Found","INVALID","LN"&amp;TEXT(D65,"YYYYMMDD")&amp;TEXT(ROW()-13,"0000")))</f>
        <v/>
      </c>
      <c r="B65" s="486" t="n"/>
      <c r="C65" s="378">
        <f>IF(B65="","",IFERROR(VLOOKUP(B65,DB_Customers!$A:$D,4,0),"❌ Account Not Found"))</f>
        <v/>
      </c>
      <c r="D65" s="488">
        <f>IF(B65="","",TODAY())</f>
        <v/>
      </c>
      <c r="E65" s="526" t="n"/>
      <c r="F65" s="378" t="n"/>
      <c r="G65" s="532" t="n"/>
      <c r="H65" s="533" t="n"/>
      <c r="I65" s="529">
        <f>IF(E65="","",E65+(E65*H65/100*G65))</f>
        <v/>
      </c>
      <c r="J65" s="534">
        <f>IFERROR(I65/G65,"")</f>
        <v/>
      </c>
      <c r="K65" s="535">
        <f>IF(B65="","Pending",IF(M65="","⚠️ Enter Code",IF(IFERROR(VLOOKUP(L65,DB_Agents!$B:$I,8,0),"")=M65,"Pending","🔒 BLOCKED — Wrong Code")))</f>
        <v/>
      </c>
      <c r="L65" s="380" t="inlineStr">
        <is>
          <t>Agent 01</t>
        </is>
      </c>
      <c r="M65" s="491" t="n"/>
      <c r="N65" s="494" t="n"/>
    </row>
    <row r="66" ht="15" customHeight="1" s="341">
      <c r="A66" s="499">
        <f>IF(B66="","",IF(C66="❌ Account Not Found","INVALID","LN"&amp;TEXT(D66,"YYYYMMDD")&amp;TEXT(ROW()-13,"0000")))</f>
        <v/>
      </c>
      <c r="B66" s="495" t="n"/>
      <c r="C66" s="382">
        <f>IF(B66="","",IFERROR(VLOOKUP(B66,DB_Customers!$A:$D,4,0),"❌ Account Not Found"))</f>
        <v/>
      </c>
      <c r="D66" s="497">
        <f>IF(B66="","",TODAY())</f>
        <v/>
      </c>
      <c r="E66" s="526" t="n"/>
      <c r="F66" s="382" t="n"/>
      <c r="G66" s="527" t="n"/>
      <c r="H66" s="528" t="n"/>
      <c r="I66" s="529">
        <f>IF(E66="","",E66+(E66*H66/100*G66))</f>
        <v/>
      </c>
      <c r="J66" s="530">
        <f>IFERROR(I66/G66,"")</f>
        <v/>
      </c>
      <c r="K66" s="531">
        <f>IF(B66="","Pending",IF(M66="","⚠️ Enter Code",IF(IFERROR(VLOOKUP(L66,DB_Agents!$B:$I,8,0),"")=M66,"Pending","🔒 BLOCKED — Wrong Code")))</f>
        <v/>
      </c>
      <c r="L66" s="384" t="inlineStr">
        <is>
          <t>Agent 01</t>
        </is>
      </c>
      <c r="M66" s="491" t="n"/>
      <c r="N66" s="501" t="n"/>
    </row>
    <row r="67" ht="15" customHeight="1" s="341">
      <c r="A67" s="492">
        <f>IF(B67="","",IF(C67="❌ Account Not Found","INVALID","LN"&amp;TEXT(D67,"YYYYMMDD")&amp;TEXT(ROW()-13,"0000")))</f>
        <v/>
      </c>
      <c r="B67" s="486" t="n"/>
      <c r="C67" s="378">
        <f>IF(B67="","",IFERROR(VLOOKUP(B67,DB_Customers!$A:$D,4,0),"❌ Account Not Found"))</f>
        <v/>
      </c>
      <c r="D67" s="488">
        <f>IF(B67="","",TODAY())</f>
        <v/>
      </c>
      <c r="E67" s="526" t="n"/>
      <c r="F67" s="378" t="n"/>
      <c r="G67" s="532" t="n"/>
      <c r="H67" s="533" t="n"/>
      <c r="I67" s="529">
        <f>IF(E67="","",E67+(E67*H67/100*G67))</f>
        <v/>
      </c>
      <c r="J67" s="534">
        <f>IFERROR(I67/G67,"")</f>
        <v/>
      </c>
      <c r="K67" s="535">
        <f>IF(B67="","Pending",IF(M67="","⚠️ Enter Code",IF(IFERROR(VLOOKUP(L67,DB_Agents!$B:$I,8,0),"")=M67,"Pending","🔒 BLOCKED — Wrong Code")))</f>
        <v/>
      </c>
      <c r="L67" s="380" t="inlineStr">
        <is>
          <t>Agent 01</t>
        </is>
      </c>
      <c r="M67" s="491" t="n"/>
      <c r="N67" s="494" t="n"/>
    </row>
    <row r="68" ht="15" customHeight="1" s="341">
      <c r="A68" s="499">
        <f>IF(B68="","",IF(C68="❌ Account Not Found","INVALID","LN"&amp;TEXT(D68,"YYYYMMDD")&amp;TEXT(ROW()-13,"0000")))</f>
        <v/>
      </c>
      <c r="B68" s="495" t="n"/>
      <c r="C68" s="382">
        <f>IF(B68="","",IFERROR(VLOOKUP(B68,DB_Customers!$A:$D,4,0),"❌ Account Not Found"))</f>
        <v/>
      </c>
      <c r="D68" s="497">
        <f>IF(B68="","",TODAY())</f>
        <v/>
      </c>
      <c r="E68" s="526" t="n"/>
      <c r="F68" s="382" t="n"/>
      <c r="G68" s="527" t="n"/>
      <c r="H68" s="528" t="n"/>
      <c r="I68" s="529">
        <f>IF(E68="","",E68+(E68*H68/100*G68))</f>
        <v/>
      </c>
      <c r="J68" s="530">
        <f>IFERROR(I68/G68,"")</f>
        <v/>
      </c>
      <c r="K68" s="531">
        <f>IF(B68="","Pending",IF(M68="","⚠️ Enter Code",IF(IFERROR(VLOOKUP(L68,DB_Agents!$B:$I,8,0),"")=M68,"Pending","🔒 BLOCKED — Wrong Code")))</f>
        <v/>
      </c>
      <c r="L68" s="384" t="inlineStr">
        <is>
          <t>Agent 01</t>
        </is>
      </c>
      <c r="M68" s="491" t="n"/>
      <c r="N68" s="501" t="n"/>
    </row>
    <row r="69" ht="15" customHeight="1" s="341">
      <c r="A69" s="492">
        <f>IF(B69="","",IF(C69="❌ Account Not Found","INVALID","LN"&amp;TEXT(D69,"YYYYMMDD")&amp;TEXT(ROW()-13,"0000")))</f>
        <v/>
      </c>
      <c r="B69" s="486" t="n"/>
      <c r="C69" s="378">
        <f>IF(B69="","",IFERROR(VLOOKUP(B69,DB_Customers!$A:$D,4,0),"❌ Account Not Found"))</f>
        <v/>
      </c>
      <c r="D69" s="488">
        <f>IF(B69="","",TODAY())</f>
        <v/>
      </c>
      <c r="E69" s="526" t="n"/>
      <c r="F69" s="378" t="n"/>
      <c r="G69" s="532" t="n"/>
      <c r="H69" s="533" t="n"/>
      <c r="I69" s="529">
        <f>IF(E69="","",E69+(E69*H69/100*G69))</f>
        <v/>
      </c>
      <c r="J69" s="534">
        <f>IFERROR(I69/G69,"")</f>
        <v/>
      </c>
      <c r="K69" s="535">
        <f>IF(B69="","Pending",IF(M69="","⚠️ Enter Code",IF(IFERROR(VLOOKUP(L69,DB_Agents!$B:$I,8,0),"")=M69,"Pending","🔒 BLOCKED — Wrong Code")))</f>
        <v/>
      </c>
      <c r="L69" s="380" t="inlineStr">
        <is>
          <t>Agent 01</t>
        </is>
      </c>
      <c r="M69" s="491" t="n"/>
      <c r="N69" s="494" t="n"/>
    </row>
    <row r="70" ht="15" customHeight="1" s="341">
      <c r="A70" s="499">
        <f>IF(B70="","",IF(C70="❌ Account Not Found","INVALID","LN"&amp;TEXT(D70,"YYYYMMDD")&amp;TEXT(ROW()-13,"0000")))</f>
        <v/>
      </c>
      <c r="B70" s="495" t="n"/>
      <c r="C70" s="382">
        <f>IF(B70="","",IFERROR(VLOOKUP(B70,DB_Customers!$A:$D,4,0),"❌ Account Not Found"))</f>
        <v/>
      </c>
      <c r="D70" s="497">
        <f>IF(B70="","",TODAY())</f>
        <v/>
      </c>
      <c r="E70" s="526" t="n"/>
      <c r="F70" s="382" t="n"/>
      <c r="G70" s="527" t="n"/>
      <c r="H70" s="528" t="n"/>
      <c r="I70" s="529">
        <f>IF(E70="","",E70+(E70*H70/100*G70))</f>
        <v/>
      </c>
      <c r="J70" s="530">
        <f>IFERROR(I70/G70,"")</f>
        <v/>
      </c>
      <c r="K70" s="531">
        <f>IF(B70="","Pending",IF(M70="","⚠️ Enter Code",IF(IFERROR(VLOOKUP(L70,DB_Agents!$B:$I,8,0),"")=M70,"Pending","🔒 BLOCKED — Wrong Code")))</f>
        <v/>
      </c>
      <c r="L70" s="384" t="inlineStr">
        <is>
          <t>Agent 01</t>
        </is>
      </c>
      <c r="M70" s="491" t="n"/>
      <c r="N70" s="501" t="n"/>
    </row>
    <row r="71" ht="15" customHeight="1" s="341">
      <c r="A71" s="492">
        <f>IF(B71="","",IF(C71="❌ Account Not Found","INVALID","LN"&amp;TEXT(D71,"YYYYMMDD")&amp;TEXT(ROW()-13,"0000")))</f>
        <v/>
      </c>
      <c r="B71" s="486" t="n"/>
      <c r="C71" s="378">
        <f>IF(B71="","",IFERROR(VLOOKUP(B71,DB_Customers!$A:$D,4,0),"❌ Account Not Found"))</f>
        <v/>
      </c>
      <c r="D71" s="488">
        <f>IF(B71="","",TODAY())</f>
        <v/>
      </c>
      <c r="E71" s="526" t="n"/>
      <c r="F71" s="378" t="n"/>
      <c r="G71" s="532" t="n"/>
      <c r="H71" s="533" t="n"/>
      <c r="I71" s="529">
        <f>IF(E71="","",E71+(E71*H71/100*G71))</f>
        <v/>
      </c>
      <c r="J71" s="534">
        <f>IFERROR(I71/G71,"")</f>
        <v/>
      </c>
      <c r="K71" s="535">
        <f>IF(B71="","Pending",IF(M71="","⚠️ Enter Code",IF(IFERROR(VLOOKUP(L71,DB_Agents!$B:$I,8,0),"")=M71,"Pending","🔒 BLOCKED — Wrong Code")))</f>
        <v/>
      </c>
      <c r="L71" s="380" t="inlineStr">
        <is>
          <t>Agent 01</t>
        </is>
      </c>
      <c r="M71" s="491" t="n"/>
      <c r="N71" s="494" t="n"/>
    </row>
    <row r="72" ht="15" customHeight="1" s="341">
      <c r="A72" s="499">
        <f>IF(B72="","",IF(C72="❌ Account Not Found","INVALID","LN"&amp;TEXT(D72,"YYYYMMDD")&amp;TEXT(ROW()-13,"0000")))</f>
        <v/>
      </c>
      <c r="B72" s="495" t="n"/>
      <c r="C72" s="382">
        <f>IF(B72="","",IFERROR(VLOOKUP(B72,DB_Customers!$A:$D,4,0),"❌ Account Not Found"))</f>
        <v/>
      </c>
      <c r="D72" s="497">
        <f>IF(B72="","",TODAY())</f>
        <v/>
      </c>
      <c r="E72" s="526" t="n"/>
      <c r="F72" s="382" t="n"/>
      <c r="G72" s="527" t="n"/>
      <c r="H72" s="528" t="n"/>
      <c r="I72" s="529">
        <f>IF(E72="","",E72+(E72*H72/100*G72))</f>
        <v/>
      </c>
      <c r="J72" s="530">
        <f>IFERROR(I72/G72,"")</f>
        <v/>
      </c>
      <c r="K72" s="531">
        <f>IF(B72="","Pending",IF(M72="","⚠️ Enter Code",IF(IFERROR(VLOOKUP(L72,DB_Agents!$B:$I,8,0),"")=M72,"Pending","🔒 BLOCKED — Wrong Code")))</f>
        <v/>
      </c>
      <c r="L72" s="384" t="inlineStr">
        <is>
          <t>Agent 01</t>
        </is>
      </c>
      <c r="M72" s="491" t="n"/>
      <c r="N72" s="501" t="n"/>
    </row>
    <row r="73" ht="15" customHeight="1" s="341">
      <c r="A73" s="492">
        <f>IF(B73="","",IF(C73="❌ Account Not Found","INVALID","LN"&amp;TEXT(D73,"YYYYMMDD")&amp;TEXT(ROW()-13,"0000")))</f>
        <v/>
      </c>
      <c r="B73" s="486" t="n"/>
      <c r="C73" s="378">
        <f>IF(B73="","",IFERROR(VLOOKUP(B73,DB_Customers!$A:$D,4,0),"❌ Account Not Found"))</f>
        <v/>
      </c>
      <c r="D73" s="488">
        <f>IF(B73="","",TODAY())</f>
        <v/>
      </c>
      <c r="E73" s="526" t="n"/>
      <c r="F73" s="378" t="n"/>
      <c r="G73" s="532" t="n"/>
      <c r="H73" s="533" t="n"/>
      <c r="I73" s="529">
        <f>IF(E73="","",E73+(E73*H73/100*G73))</f>
        <v/>
      </c>
      <c r="J73" s="534">
        <f>IFERROR(I73/G73,"")</f>
        <v/>
      </c>
      <c r="K73" s="535">
        <f>IF(B73="","Pending",IF(M73="","⚠️ Enter Code",IF(IFERROR(VLOOKUP(L73,DB_Agents!$B:$I,8,0),"")=M73,"Pending","🔒 BLOCKED — Wrong Code")))</f>
        <v/>
      </c>
      <c r="L73" s="380" t="inlineStr">
        <is>
          <t>Agent 01</t>
        </is>
      </c>
      <c r="M73" s="491" t="n"/>
      <c r="N73" s="494" t="n"/>
    </row>
    <row r="74" ht="15" customHeight="1" s="341">
      <c r="A74" s="499">
        <f>IF(B74="","",IF(C74="❌ Account Not Found","INVALID","LN"&amp;TEXT(D74,"YYYYMMDD")&amp;TEXT(ROW()-13,"0000")))</f>
        <v/>
      </c>
      <c r="B74" s="495" t="n"/>
      <c r="C74" s="382">
        <f>IF(B74="","",IFERROR(VLOOKUP(B74,DB_Customers!$A:$D,4,0),"❌ Account Not Found"))</f>
        <v/>
      </c>
      <c r="D74" s="497">
        <f>IF(B74="","",TODAY())</f>
        <v/>
      </c>
      <c r="E74" s="526" t="n"/>
      <c r="F74" s="382" t="n"/>
      <c r="G74" s="527" t="n"/>
      <c r="H74" s="528" t="n"/>
      <c r="I74" s="529">
        <f>IF(E74="","",E74+(E74*H74/100*G74))</f>
        <v/>
      </c>
      <c r="J74" s="530">
        <f>IFERROR(I74/G74,"")</f>
        <v/>
      </c>
      <c r="K74" s="531">
        <f>IF(B74="","Pending",IF(M74="","⚠️ Enter Code",IF(IFERROR(VLOOKUP(L74,DB_Agents!$B:$I,8,0),"")=M74,"Pending","🔒 BLOCKED — Wrong Code")))</f>
        <v/>
      </c>
      <c r="L74" s="384" t="inlineStr">
        <is>
          <t>Agent 01</t>
        </is>
      </c>
      <c r="M74" s="491" t="n"/>
      <c r="N74" s="501" t="n"/>
    </row>
    <row r="75" ht="15" customHeight="1" s="341">
      <c r="A75" s="492">
        <f>IF(B75="","",IF(C75="❌ Account Not Found","INVALID","LN"&amp;TEXT(D75,"YYYYMMDD")&amp;TEXT(ROW()-13,"0000")))</f>
        <v/>
      </c>
      <c r="B75" s="486" t="n"/>
      <c r="C75" s="378">
        <f>IF(B75="","",IFERROR(VLOOKUP(B75,DB_Customers!$A:$D,4,0),"❌ Account Not Found"))</f>
        <v/>
      </c>
      <c r="D75" s="488">
        <f>IF(B75="","",TODAY())</f>
        <v/>
      </c>
      <c r="E75" s="526" t="n"/>
      <c r="F75" s="378" t="n"/>
      <c r="G75" s="532" t="n"/>
      <c r="H75" s="533" t="n"/>
      <c r="I75" s="529">
        <f>IF(E75="","",E75+(E75*H75/100*G75))</f>
        <v/>
      </c>
      <c r="J75" s="534">
        <f>IFERROR(I75/G75,"")</f>
        <v/>
      </c>
      <c r="K75" s="535">
        <f>IF(B75="","Pending",IF(M75="","⚠️ Enter Code",IF(IFERROR(VLOOKUP(L75,DB_Agents!$B:$I,8,0),"")=M75,"Pending","🔒 BLOCKED — Wrong Code")))</f>
        <v/>
      </c>
      <c r="L75" s="380" t="inlineStr">
        <is>
          <t>Agent 01</t>
        </is>
      </c>
      <c r="M75" s="491" t="n"/>
      <c r="N75" s="494" t="n"/>
    </row>
    <row r="76" ht="15" customHeight="1" s="341">
      <c r="A76" s="499">
        <f>IF(B76="","",IF(C76="❌ Account Not Found","INVALID","LN"&amp;TEXT(D76,"YYYYMMDD")&amp;TEXT(ROW()-13,"0000")))</f>
        <v/>
      </c>
      <c r="B76" s="495" t="n"/>
      <c r="C76" s="382">
        <f>IF(B76="","",IFERROR(VLOOKUP(B76,DB_Customers!$A:$D,4,0),"❌ Account Not Found"))</f>
        <v/>
      </c>
      <c r="D76" s="497">
        <f>IF(B76="","",TODAY())</f>
        <v/>
      </c>
      <c r="E76" s="526" t="n"/>
      <c r="F76" s="382" t="n"/>
      <c r="G76" s="527" t="n"/>
      <c r="H76" s="528" t="n"/>
      <c r="I76" s="529">
        <f>IF(E76="","",E76+(E76*H76/100*G76))</f>
        <v/>
      </c>
      <c r="J76" s="530">
        <f>IFERROR(I76/G76,"")</f>
        <v/>
      </c>
      <c r="K76" s="531">
        <f>IF(B76="","Pending",IF(M76="","⚠️ Enter Code",IF(IFERROR(VLOOKUP(L76,DB_Agents!$B:$I,8,0),"")=M76,"Pending","🔒 BLOCKED — Wrong Code")))</f>
        <v/>
      </c>
      <c r="L76" s="384" t="inlineStr">
        <is>
          <t>Agent 01</t>
        </is>
      </c>
      <c r="M76" s="491" t="n"/>
      <c r="N76" s="501" t="n"/>
    </row>
    <row r="77" ht="15" customHeight="1" s="341">
      <c r="A77" s="492">
        <f>IF(B77="","",IF(C77="❌ Account Not Found","INVALID","LN"&amp;TEXT(D77,"YYYYMMDD")&amp;TEXT(ROW()-13,"0000")))</f>
        <v/>
      </c>
      <c r="B77" s="486" t="n"/>
      <c r="C77" s="378">
        <f>IF(B77="","",IFERROR(VLOOKUP(B77,DB_Customers!$A:$D,4,0),"❌ Account Not Found"))</f>
        <v/>
      </c>
      <c r="D77" s="488">
        <f>IF(B77="","",TODAY())</f>
        <v/>
      </c>
      <c r="E77" s="526" t="n"/>
      <c r="F77" s="378" t="n"/>
      <c r="G77" s="532" t="n"/>
      <c r="H77" s="533" t="n"/>
      <c r="I77" s="529">
        <f>IF(E77="","",E77+(E77*H77/100*G77))</f>
        <v/>
      </c>
      <c r="J77" s="534">
        <f>IFERROR(I77/G77,"")</f>
        <v/>
      </c>
      <c r="K77" s="535">
        <f>IF(B77="","Pending",IF(M77="","⚠️ Enter Code",IF(IFERROR(VLOOKUP(L77,DB_Agents!$B:$I,8,0),"")=M77,"Pending","🔒 BLOCKED — Wrong Code")))</f>
        <v/>
      </c>
      <c r="L77" s="380" t="inlineStr">
        <is>
          <t>Agent 01</t>
        </is>
      </c>
      <c r="M77" s="491" t="n"/>
      <c r="N77" s="494" t="n"/>
    </row>
    <row r="78" ht="15" customHeight="1" s="341">
      <c r="A78" s="499">
        <f>IF(B78="","",IF(C78="❌ Account Not Found","INVALID","LN"&amp;TEXT(D78,"YYYYMMDD")&amp;TEXT(ROW()-13,"0000")))</f>
        <v/>
      </c>
      <c r="B78" s="495" t="n"/>
      <c r="C78" s="382">
        <f>IF(B78="","",IFERROR(VLOOKUP(B78,DB_Customers!$A:$D,4,0),"❌ Account Not Found"))</f>
        <v/>
      </c>
      <c r="D78" s="497">
        <f>IF(B78="","",TODAY())</f>
        <v/>
      </c>
      <c r="E78" s="526" t="n"/>
      <c r="F78" s="382" t="n"/>
      <c r="G78" s="527" t="n"/>
      <c r="H78" s="528" t="n"/>
      <c r="I78" s="529">
        <f>IF(E78="","",E78+(E78*H78/100*G78))</f>
        <v/>
      </c>
      <c r="J78" s="530">
        <f>IFERROR(I78/G78,"")</f>
        <v/>
      </c>
      <c r="K78" s="531">
        <f>IF(B78="","Pending",IF(M78="","⚠️ Enter Code",IF(IFERROR(VLOOKUP(L78,DB_Agents!$B:$I,8,0),"")=M78,"Pending","🔒 BLOCKED — Wrong Code")))</f>
        <v/>
      </c>
      <c r="L78" s="384" t="inlineStr">
        <is>
          <t>Agent 01</t>
        </is>
      </c>
      <c r="M78" s="491" t="n"/>
      <c r="N78" s="501" t="n"/>
    </row>
    <row r="79" ht="15" customHeight="1" s="341">
      <c r="A79" s="492">
        <f>IF(B79="","",IF(C79="❌ Account Not Found","INVALID","LN"&amp;TEXT(D79,"YYYYMMDD")&amp;TEXT(ROW()-13,"0000")))</f>
        <v/>
      </c>
      <c r="B79" s="486" t="n"/>
      <c r="C79" s="378">
        <f>IF(B79="","",IFERROR(VLOOKUP(B79,DB_Customers!$A:$D,4,0),"❌ Account Not Found"))</f>
        <v/>
      </c>
      <c r="D79" s="488">
        <f>IF(B79="","",TODAY())</f>
        <v/>
      </c>
      <c r="E79" s="526" t="n"/>
      <c r="F79" s="378" t="n"/>
      <c r="G79" s="532" t="n"/>
      <c r="H79" s="533" t="n"/>
      <c r="I79" s="529">
        <f>IF(E79="","",E79+(E79*H79/100*G79))</f>
        <v/>
      </c>
      <c r="J79" s="534">
        <f>IFERROR(I79/G79,"")</f>
        <v/>
      </c>
      <c r="K79" s="535">
        <f>IF(B79="","Pending",IF(M79="","⚠️ Enter Code",IF(IFERROR(VLOOKUP(L79,DB_Agents!$B:$I,8,0),"")=M79,"Pending","🔒 BLOCKED — Wrong Code")))</f>
        <v/>
      </c>
      <c r="L79" s="380" t="inlineStr">
        <is>
          <t>Agent 01</t>
        </is>
      </c>
      <c r="M79" s="491" t="n"/>
      <c r="N79" s="494" t="n"/>
    </row>
    <row r="80" ht="15" customHeight="1" s="341">
      <c r="A80" s="499">
        <f>IF(B80="","",IF(C80="❌ Account Not Found","INVALID","LN"&amp;TEXT(D80,"YYYYMMDD")&amp;TEXT(ROW()-13,"0000")))</f>
        <v/>
      </c>
      <c r="B80" s="495" t="n"/>
      <c r="C80" s="382">
        <f>IF(B80="","",IFERROR(VLOOKUP(B80,DB_Customers!$A:$D,4,0),"❌ Account Not Found"))</f>
        <v/>
      </c>
      <c r="D80" s="497">
        <f>IF(B80="","",TODAY())</f>
        <v/>
      </c>
      <c r="E80" s="526" t="n"/>
      <c r="F80" s="382" t="n"/>
      <c r="G80" s="527" t="n"/>
      <c r="H80" s="528" t="n"/>
      <c r="I80" s="529">
        <f>IF(E80="","",E80+(E80*H80/100*G80))</f>
        <v/>
      </c>
      <c r="J80" s="530">
        <f>IFERROR(I80/G80,"")</f>
        <v/>
      </c>
      <c r="K80" s="531">
        <f>IF(B80="","Pending",IF(M80="","⚠️ Enter Code",IF(IFERROR(VLOOKUP(L80,DB_Agents!$B:$I,8,0),"")=M80,"Pending","🔒 BLOCKED — Wrong Code")))</f>
        <v/>
      </c>
      <c r="L80" s="384" t="inlineStr">
        <is>
          <t>Agent 01</t>
        </is>
      </c>
      <c r="M80" s="491" t="n"/>
      <c r="N80" s="501" t="n"/>
    </row>
    <row r="81" ht="15" customHeight="1" s="341">
      <c r="A81" s="492">
        <f>IF(B81="","",IF(C81="❌ Account Not Found","INVALID","LN"&amp;TEXT(D81,"YYYYMMDD")&amp;TEXT(ROW()-13,"0000")))</f>
        <v/>
      </c>
      <c r="B81" s="486" t="n"/>
      <c r="C81" s="378">
        <f>IF(B81="","",IFERROR(VLOOKUP(B81,DB_Customers!$A:$D,4,0),"❌ Account Not Found"))</f>
        <v/>
      </c>
      <c r="D81" s="488">
        <f>IF(B81="","",TODAY())</f>
        <v/>
      </c>
      <c r="E81" s="526" t="n"/>
      <c r="F81" s="378" t="n"/>
      <c r="G81" s="532" t="n"/>
      <c r="H81" s="533" t="n"/>
      <c r="I81" s="529">
        <f>IF(E81="","",E81+(E81*H81/100*G81))</f>
        <v/>
      </c>
      <c r="J81" s="534">
        <f>IFERROR(I81/G81,"")</f>
        <v/>
      </c>
      <c r="K81" s="535">
        <f>IF(B81="","Pending",IF(M81="","⚠️ Enter Code",IF(IFERROR(VLOOKUP(L81,DB_Agents!$B:$I,8,0),"")=M81,"Pending","🔒 BLOCKED — Wrong Code")))</f>
        <v/>
      </c>
      <c r="L81" s="380" t="inlineStr">
        <is>
          <t>Agent 01</t>
        </is>
      </c>
      <c r="M81" s="491" t="n"/>
      <c r="N81" s="494" t="n"/>
    </row>
    <row r="82" ht="15" customHeight="1" s="341">
      <c r="A82" s="499">
        <f>IF(B82="","",IF(C82="❌ Account Not Found","INVALID","LN"&amp;TEXT(D82,"YYYYMMDD")&amp;TEXT(ROW()-13,"0000")))</f>
        <v/>
      </c>
      <c r="B82" s="495" t="n"/>
      <c r="C82" s="382">
        <f>IF(B82="","",IFERROR(VLOOKUP(B82,DB_Customers!$A:$D,4,0),"❌ Account Not Found"))</f>
        <v/>
      </c>
      <c r="D82" s="497">
        <f>IF(B82="","",TODAY())</f>
        <v/>
      </c>
      <c r="E82" s="526" t="n"/>
      <c r="F82" s="382" t="n"/>
      <c r="G82" s="527" t="n"/>
      <c r="H82" s="528" t="n"/>
      <c r="I82" s="529">
        <f>IF(E82="","",E82+(E82*H82/100*G82))</f>
        <v/>
      </c>
      <c r="J82" s="530">
        <f>IFERROR(I82/G82,"")</f>
        <v/>
      </c>
      <c r="K82" s="531">
        <f>IF(B82="","Pending",IF(M82="","⚠️ Enter Code",IF(IFERROR(VLOOKUP(L82,DB_Agents!$B:$I,8,0),"")=M82,"Pending","🔒 BLOCKED — Wrong Code")))</f>
        <v/>
      </c>
      <c r="L82" s="384" t="inlineStr">
        <is>
          <t>Agent 01</t>
        </is>
      </c>
      <c r="M82" s="491" t="n"/>
      <c r="N82" s="501" t="n"/>
    </row>
    <row r="83" ht="15" customHeight="1" s="341">
      <c r="A83" s="492">
        <f>IF(B83="","",IF(C83="❌ Account Not Found","INVALID","LN"&amp;TEXT(D83,"YYYYMMDD")&amp;TEXT(ROW()-13,"0000")))</f>
        <v/>
      </c>
      <c r="B83" s="486" t="n"/>
      <c r="C83" s="378">
        <f>IF(B83="","",IFERROR(VLOOKUP(B83,DB_Customers!$A:$D,4,0),"❌ Account Not Found"))</f>
        <v/>
      </c>
      <c r="D83" s="488">
        <f>IF(B83="","",TODAY())</f>
        <v/>
      </c>
      <c r="E83" s="526" t="n"/>
      <c r="F83" s="378" t="n"/>
      <c r="G83" s="532" t="n"/>
      <c r="H83" s="533" t="n"/>
      <c r="I83" s="529">
        <f>IF(E83="","",E83+(E83*H83/100*G83))</f>
        <v/>
      </c>
      <c r="J83" s="534">
        <f>IFERROR(I83/G83,"")</f>
        <v/>
      </c>
      <c r="K83" s="535">
        <f>IF(B83="","Pending",IF(M83="","⚠️ Enter Code",IF(IFERROR(VLOOKUP(L83,DB_Agents!$B:$I,8,0),"")=M83,"Pending","🔒 BLOCKED — Wrong Code")))</f>
        <v/>
      </c>
      <c r="L83" s="380" t="inlineStr">
        <is>
          <t>Agent 01</t>
        </is>
      </c>
      <c r="M83" s="491" t="n"/>
      <c r="N83" s="494" t="n"/>
    </row>
    <row r="84" ht="15" customHeight="1" s="341">
      <c r="A84" s="499">
        <f>IF(B84="","",IF(C84="❌ Account Not Found","INVALID","LN"&amp;TEXT(D84,"YYYYMMDD")&amp;TEXT(ROW()-13,"0000")))</f>
        <v/>
      </c>
      <c r="B84" s="495" t="n"/>
      <c r="C84" s="382">
        <f>IF(B84="","",IFERROR(VLOOKUP(B84,DB_Customers!$A:$D,4,0),"❌ Account Not Found"))</f>
        <v/>
      </c>
      <c r="D84" s="497">
        <f>IF(B84="","",TODAY())</f>
        <v/>
      </c>
      <c r="E84" s="526" t="n"/>
      <c r="F84" s="382" t="n"/>
      <c r="G84" s="527" t="n"/>
      <c r="H84" s="528" t="n"/>
      <c r="I84" s="529">
        <f>IF(E84="","",E84+(E84*H84/100*G84))</f>
        <v/>
      </c>
      <c r="J84" s="530">
        <f>IFERROR(I84/G84,"")</f>
        <v/>
      </c>
      <c r="K84" s="531">
        <f>IF(B84="","Pending",IF(M84="","⚠️ Enter Code",IF(IFERROR(VLOOKUP(L84,DB_Agents!$B:$I,8,0),"")=M84,"Pending","🔒 BLOCKED — Wrong Code")))</f>
        <v/>
      </c>
      <c r="L84" s="384" t="inlineStr">
        <is>
          <t>Agent 01</t>
        </is>
      </c>
      <c r="M84" s="491" t="n"/>
      <c r="N84" s="501" t="n"/>
    </row>
    <row r="85" ht="15" customHeight="1" s="341">
      <c r="A85" s="492">
        <f>IF(B85="","",IF(C85="❌ Account Not Found","INVALID","LN"&amp;TEXT(D85,"YYYYMMDD")&amp;TEXT(ROW()-13,"0000")))</f>
        <v/>
      </c>
      <c r="B85" s="486" t="n"/>
      <c r="C85" s="378">
        <f>IF(B85="","",IFERROR(VLOOKUP(B85,DB_Customers!$A:$D,4,0),"❌ Account Not Found"))</f>
        <v/>
      </c>
      <c r="D85" s="488">
        <f>IF(B85="","",TODAY())</f>
        <v/>
      </c>
      <c r="E85" s="526" t="n"/>
      <c r="F85" s="378" t="n"/>
      <c r="G85" s="532" t="n"/>
      <c r="H85" s="533" t="n"/>
      <c r="I85" s="529">
        <f>IF(E85="","",E85+(E85*H85/100*G85))</f>
        <v/>
      </c>
      <c r="J85" s="534">
        <f>IFERROR(I85/G85,"")</f>
        <v/>
      </c>
      <c r="K85" s="535">
        <f>IF(B85="","Pending",IF(M85="","⚠️ Enter Code",IF(IFERROR(VLOOKUP(L85,DB_Agents!$B:$I,8,0),"")=M85,"Pending","🔒 BLOCKED — Wrong Code")))</f>
        <v/>
      </c>
      <c r="L85" s="380" t="inlineStr">
        <is>
          <t>Agent 01</t>
        </is>
      </c>
      <c r="M85" s="491" t="n"/>
      <c r="N85" s="494" t="n"/>
    </row>
    <row r="86" ht="15" customHeight="1" s="341">
      <c r="A86" s="499">
        <f>IF(B86="","",IF(C86="❌ Account Not Found","INVALID","LN"&amp;TEXT(D86,"YYYYMMDD")&amp;TEXT(ROW()-13,"0000")))</f>
        <v/>
      </c>
      <c r="B86" s="495" t="n"/>
      <c r="C86" s="382">
        <f>IF(B86="","",IFERROR(VLOOKUP(B86,DB_Customers!$A:$D,4,0),"❌ Account Not Found"))</f>
        <v/>
      </c>
      <c r="D86" s="497">
        <f>IF(B86="","",TODAY())</f>
        <v/>
      </c>
      <c r="E86" s="526" t="n"/>
      <c r="F86" s="382" t="n"/>
      <c r="G86" s="527" t="n"/>
      <c r="H86" s="528" t="n"/>
      <c r="I86" s="529">
        <f>IF(E86="","",E86+(E86*H86/100*G86))</f>
        <v/>
      </c>
      <c r="J86" s="530">
        <f>IFERROR(I86/G86,"")</f>
        <v/>
      </c>
      <c r="K86" s="531">
        <f>IF(B86="","Pending",IF(M86="","⚠️ Enter Code",IF(IFERROR(VLOOKUP(L86,DB_Agents!$B:$I,8,0),"")=M86,"Pending","🔒 BLOCKED — Wrong Code")))</f>
        <v/>
      </c>
      <c r="L86" s="384" t="inlineStr">
        <is>
          <t>Agent 01</t>
        </is>
      </c>
      <c r="M86" s="491" t="n"/>
      <c r="N86" s="501" t="n"/>
    </row>
    <row r="87" ht="15" customHeight="1" s="341">
      <c r="A87" s="492">
        <f>IF(B87="","",IF(C87="❌ Account Not Found","INVALID","LN"&amp;TEXT(D87,"YYYYMMDD")&amp;TEXT(ROW()-13,"0000")))</f>
        <v/>
      </c>
      <c r="B87" s="486" t="n"/>
      <c r="C87" s="378">
        <f>IF(B87="","",IFERROR(VLOOKUP(B87,DB_Customers!$A:$D,4,0),"❌ Account Not Found"))</f>
        <v/>
      </c>
      <c r="D87" s="488">
        <f>IF(B87="","",TODAY())</f>
        <v/>
      </c>
      <c r="E87" s="526" t="n"/>
      <c r="F87" s="378" t="n"/>
      <c r="G87" s="532" t="n"/>
      <c r="H87" s="533" t="n"/>
      <c r="I87" s="529">
        <f>IF(E87="","",E87+(E87*H87/100*G87))</f>
        <v/>
      </c>
      <c r="J87" s="534">
        <f>IFERROR(I87/G87,"")</f>
        <v/>
      </c>
      <c r="K87" s="535">
        <f>IF(B87="","Pending",IF(M87="","⚠️ Enter Code",IF(IFERROR(VLOOKUP(L87,DB_Agents!$B:$I,8,0),"")=M87,"Pending","🔒 BLOCKED — Wrong Code")))</f>
        <v/>
      </c>
      <c r="L87" s="380" t="inlineStr">
        <is>
          <t>Agent 01</t>
        </is>
      </c>
      <c r="M87" s="491" t="n"/>
      <c r="N87" s="494" t="n"/>
    </row>
    <row r="88" ht="15" customHeight="1" s="341">
      <c r="A88" s="499">
        <f>IF(B88="","",IF(C88="❌ Account Not Found","INVALID","LN"&amp;TEXT(D88,"YYYYMMDD")&amp;TEXT(ROW()-13,"0000")))</f>
        <v/>
      </c>
      <c r="B88" s="495" t="n"/>
      <c r="C88" s="382">
        <f>IF(B88="","",IFERROR(VLOOKUP(B88,DB_Customers!$A:$D,4,0),"❌ Account Not Found"))</f>
        <v/>
      </c>
      <c r="D88" s="497">
        <f>IF(B88="","",TODAY())</f>
        <v/>
      </c>
      <c r="E88" s="526" t="n"/>
      <c r="F88" s="382" t="n"/>
      <c r="G88" s="527" t="n"/>
      <c r="H88" s="528" t="n"/>
      <c r="I88" s="529">
        <f>IF(E88="","",E88+(E88*H88/100*G88))</f>
        <v/>
      </c>
      <c r="J88" s="530">
        <f>IFERROR(I88/G88,"")</f>
        <v/>
      </c>
      <c r="K88" s="531">
        <f>IF(B88="","Pending",IF(M88="","⚠️ Enter Code",IF(IFERROR(VLOOKUP(L88,DB_Agents!$B:$I,8,0),"")=M88,"Pending","🔒 BLOCKED — Wrong Code")))</f>
        <v/>
      </c>
      <c r="L88" s="384" t="inlineStr">
        <is>
          <t>Agent 01</t>
        </is>
      </c>
      <c r="M88" s="491" t="n"/>
      <c r="N88" s="501" t="n"/>
    </row>
    <row r="89" ht="15" customHeight="1" s="341">
      <c r="A89" s="492">
        <f>IF(B89="","",IF(C89="❌ Account Not Found","INVALID","LN"&amp;TEXT(D89,"YYYYMMDD")&amp;TEXT(ROW()-13,"0000")))</f>
        <v/>
      </c>
      <c r="B89" s="486" t="n"/>
      <c r="C89" s="378">
        <f>IF(B89="","",IFERROR(VLOOKUP(B89,DB_Customers!$A:$D,4,0),"❌ Account Not Found"))</f>
        <v/>
      </c>
      <c r="D89" s="488">
        <f>IF(B89="","",TODAY())</f>
        <v/>
      </c>
      <c r="E89" s="526" t="n"/>
      <c r="F89" s="378" t="n"/>
      <c r="G89" s="532" t="n"/>
      <c r="H89" s="533" t="n"/>
      <c r="I89" s="529">
        <f>IF(E89="","",E89+(E89*H89/100*G89))</f>
        <v/>
      </c>
      <c r="J89" s="534">
        <f>IFERROR(I89/G89,"")</f>
        <v/>
      </c>
      <c r="K89" s="535">
        <f>IF(B89="","Pending",IF(M89="","⚠️ Enter Code",IF(IFERROR(VLOOKUP(L89,DB_Agents!$B:$I,8,0),"")=M89,"Pending","🔒 BLOCKED — Wrong Code")))</f>
        <v/>
      </c>
      <c r="L89" s="380" t="inlineStr">
        <is>
          <t>Agent 01</t>
        </is>
      </c>
      <c r="M89" s="491" t="n"/>
      <c r="N89" s="494" t="n"/>
    </row>
    <row r="90" ht="15" customHeight="1" s="341">
      <c r="A90" s="499">
        <f>IF(B90="","",IF(C90="❌ Account Not Found","INVALID","LN"&amp;TEXT(D90,"YYYYMMDD")&amp;TEXT(ROW()-13,"0000")))</f>
        <v/>
      </c>
      <c r="B90" s="495" t="n"/>
      <c r="C90" s="382">
        <f>IF(B90="","",IFERROR(VLOOKUP(B90,DB_Customers!$A:$D,4,0),"❌ Account Not Found"))</f>
        <v/>
      </c>
      <c r="D90" s="497">
        <f>IF(B90="","",TODAY())</f>
        <v/>
      </c>
      <c r="E90" s="526" t="n"/>
      <c r="F90" s="382" t="n"/>
      <c r="G90" s="527" t="n"/>
      <c r="H90" s="528" t="n"/>
      <c r="I90" s="529">
        <f>IF(E90="","",E90+(E90*H90/100*G90))</f>
        <v/>
      </c>
      <c r="J90" s="530">
        <f>IFERROR(I90/G90,"")</f>
        <v/>
      </c>
      <c r="K90" s="531">
        <f>IF(B90="","Pending",IF(M90="","⚠️ Enter Code",IF(IFERROR(VLOOKUP(L90,DB_Agents!$B:$I,8,0),"")=M90,"Pending","🔒 BLOCKED — Wrong Code")))</f>
        <v/>
      </c>
      <c r="L90" s="384" t="inlineStr">
        <is>
          <t>Agent 01</t>
        </is>
      </c>
      <c r="M90" s="491" t="n"/>
      <c r="N90" s="501" t="n"/>
    </row>
    <row r="91" ht="15" customHeight="1" s="341">
      <c r="A91" s="492">
        <f>IF(B91="","",IF(C91="❌ Account Not Found","INVALID","LN"&amp;TEXT(D91,"YYYYMMDD")&amp;TEXT(ROW()-13,"0000")))</f>
        <v/>
      </c>
      <c r="B91" s="486" t="n"/>
      <c r="C91" s="378">
        <f>IF(B91="","",IFERROR(VLOOKUP(B91,DB_Customers!$A:$D,4,0),"❌ Account Not Found"))</f>
        <v/>
      </c>
      <c r="D91" s="488">
        <f>IF(B91="","",TODAY())</f>
        <v/>
      </c>
      <c r="E91" s="526" t="n"/>
      <c r="F91" s="378" t="n"/>
      <c r="G91" s="532" t="n"/>
      <c r="H91" s="533" t="n"/>
      <c r="I91" s="529">
        <f>IF(E91="","",E91+(E91*H91/100*G91))</f>
        <v/>
      </c>
      <c r="J91" s="534">
        <f>IFERROR(I91/G91,"")</f>
        <v/>
      </c>
      <c r="K91" s="535">
        <f>IF(B91="","Pending",IF(M91="","⚠️ Enter Code",IF(IFERROR(VLOOKUP(L91,DB_Agents!$B:$I,8,0),"")=M91,"Pending","🔒 BLOCKED — Wrong Code")))</f>
        <v/>
      </c>
      <c r="L91" s="380" t="inlineStr">
        <is>
          <t>Agent 01</t>
        </is>
      </c>
      <c r="M91" s="491" t="n"/>
      <c r="N91" s="494" t="n"/>
    </row>
    <row r="92" ht="15" customHeight="1" s="341">
      <c r="A92" s="499">
        <f>IF(B92="","",IF(C92="❌ Account Not Found","INVALID","LN"&amp;TEXT(D92,"YYYYMMDD")&amp;TEXT(ROW()-13,"0000")))</f>
        <v/>
      </c>
      <c r="B92" s="495" t="n"/>
      <c r="C92" s="382">
        <f>IF(B92="","",IFERROR(VLOOKUP(B92,DB_Customers!$A:$D,4,0),"❌ Account Not Found"))</f>
        <v/>
      </c>
      <c r="D92" s="497">
        <f>IF(B92="","",TODAY())</f>
        <v/>
      </c>
      <c r="E92" s="526" t="n"/>
      <c r="F92" s="382" t="n"/>
      <c r="G92" s="527" t="n"/>
      <c r="H92" s="528" t="n"/>
      <c r="I92" s="529">
        <f>IF(E92="","",E92+(E92*H92/100*G92))</f>
        <v/>
      </c>
      <c r="J92" s="530">
        <f>IFERROR(I92/G92,"")</f>
        <v/>
      </c>
      <c r="K92" s="531">
        <f>IF(B92="","Pending",IF(M92="","⚠️ Enter Code",IF(IFERROR(VLOOKUP(L92,DB_Agents!$B:$I,8,0),"")=M92,"Pending","🔒 BLOCKED — Wrong Code")))</f>
        <v/>
      </c>
      <c r="L92" s="384" t="inlineStr">
        <is>
          <t>Agent 01</t>
        </is>
      </c>
      <c r="M92" s="491" t="n"/>
      <c r="N92" s="501" t="n"/>
    </row>
    <row r="93" ht="15" customHeight="1" s="341">
      <c r="A93" s="492">
        <f>IF(B93="","",IF(C93="❌ Account Not Found","INVALID","LN"&amp;TEXT(D93,"YYYYMMDD")&amp;TEXT(ROW()-13,"0000")))</f>
        <v/>
      </c>
      <c r="B93" s="486" t="n"/>
      <c r="C93" s="378">
        <f>IF(B93="","",IFERROR(VLOOKUP(B93,DB_Customers!$A:$D,4,0),"❌ Account Not Found"))</f>
        <v/>
      </c>
      <c r="D93" s="488">
        <f>IF(B93="","",TODAY())</f>
        <v/>
      </c>
      <c r="E93" s="526" t="n"/>
      <c r="F93" s="378" t="n"/>
      <c r="G93" s="532" t="n"/>
      <c r="H93" s="533" t="n"/>
      <c r="I93" s="529">
        <f>IF(E93="","",E93+(E93*H93/100*G93))</f>
        <v/>
      </c>
      <c r="J93" s="534">
        <f>IFERROR(I93/G93,"")</f>
        <v/>
      </c>
      <c r="K93" s="535">
        <f>IF(B93="","Pending",IF(M93="","⚠️ Enter Code",IF(IFERROR(VLOOKUP(L93,DB_Agents!$B:$I,8,0),"")=M93,"Pending","🔒 BLOCKED — Wrong Code")))</f>
        <v/>
      </c>
      <c r="L93" s="380" t="inlineStr">
        <is>
          <t>Agent 01</t>
        </is>
      </c>
      <c r="M93" s="491" t="n"/>
      <c r="N93" s="494" t="n"/>
    </row>
    <row r="94" ht="15" customHeight="1" s="341">
      <c r="A94" s="499">
        <f>IF(B94="","",IF(C94="❌ Account Not Found","INVALID","LN"&amp;TEXT(D94,"YYYYMMDD")&amp;TEXT(ROW()-13,"0000")))</f>
        <v/>
      </c>
      <c r="B94" s="495" t="n"/>
      <c r="C94" s="382">
        <f>IF(B94="","",IFERROR(VLOOKUP(B94,DB_Customers!$A:$D,4,0),"❌ Account Not Found"))</f>
        <v/>
      </c>
      <c r="D94" s="497">
        <f>IF(B94="","",TODAY())</f>
        <v/>
      </c>
      <c r="E94" s="526" t="n"/>
      <c r="F94" s="382" t="n"/>
      <c r="G94" s="527" t="n"/>
      <c r="H94" s="528" t="n"/>
      <c r="I94" s="529">
        <f>IF(E94="","",E94+(E94*H94/100*G94))</f>
        <v/>
      </c>
      <c r="J94" s="530">
        <f>IFERROR(I94/G94,"")</f>
        <v/>
      </c>
      <c r="K94" s="531">
        <f>IF(B94="","Pending",IF(M94="","⚠️ Enter Code",IF(IFERROR(VLOOKUP(L94,DB_Agents!$B:$I,8,0),"")=M94,"Pending","🔒 BLOCKED — Wrong Code")))</f>
        <v/>
      </c>
      <c r="L94" s="384" t="inlineStr">
        <is>
          <t>Agent 01</t>
        </is>
      </c>
      <c r="M94" s="491" t="n"/>
      <c r="N94" s="501" t="n"/>
    </row>
    <row r="95" ht="15" customHeight="1" s="341">
      <c r="A95" s="492">
        <f>IF(B95="","",IF(C95="❌ Account Not Found","INVALID","LN"&amp;TEXT(D95,"YYYYMMDD")&amp;TEXT(ROW()-13,"0000")))</f>
        <v/>
      </c>
      <c r="B95" s="486" t="n"/>
      <c r="C95" s="378">
        <f>IF(B95="","",IFERROR(VLOOKUP(B95,DB_Customers!$A:$D,4,0),"❌ Account Not Found"))</f>
        <v/>
      </c>
      <c r="D95" s="488">
        <f>IF(B95="","",TODAY())</f>
        <v/>
      </c>
      <c r="E95" s="526" t="n"/>
      <c r="F95" s="378" t="n"/>
      <c r="G95" s="532" t="n"/>
      <c r="H95" s="533" t="n"/>
      <c r="I95" s="529">
        <f>IF(E95="","",E95+(E95*H95/100*G95))</f>
        <v/>
      </c>
      <c r="J95" s="534">
        <f>IFERROR(I95/G95,"")</f>
        <v/>
      </c>
      <c r="K95" s="535">
        <f>IF(B95="","Pending",IF(M95="","⚠️ Enter Code",IF(IFERROR(VLOOKUP(L95,DB_Agents!$B:$I,8,0),"")=M95,"Pending","🔒 BLOCKED — Wrong Code")))</f>
        <v/>
      </c>
      <c r="L95" s="380" t="inlineStr">
        <is>
          <t>Agent 01</t>
        </is>
      </c>
      <c r="M95" s="491" t="n"/>
      <c r="N95" s="494" t="n"/>
    </row>
    <row r="96" ht="15" customHeight="1" s="341">
      <c r="A96" s="499">
        <f>IF(B96="","",IF(C96="❌ Account Not Found","INVALID","LN"&amp;TEXT(D96,"YYYYMMDD")&amp;TEXT(ROW()-13,"0000")))</f>
        <v/>
      </c>
      <c r="B96" s="495" t="n"/>
      <c r="C96" s="382">
        <f>IF(B96="","",IFERROR(VLOOKUP(B96,DB_Customers!$A:$D,4,0),"❌ Account Not Found"))</f>
        <v/>
      </c>
      <c r="D96" s="497">
        <f>IF(B96="","",TODAY())</f>
        <v/>
      </c>
      <c r="E96" s="526" t="n"/>
      <c r="F96" s="382" t="n"/>
      <c r="G96" s="527" t="n"/>
      <c r="H96" s="528" t="n"/>
      <c r="I96" s="529">
        <f>IF(E96="","",E96+(E96*H96/100*G96))</f>
        <v/>
      </c>
      <c r="J96" s="530">
        <f>IFERROR(I96/G96,"")</f>
        <v/>
      </c>
      <c r="K96" s="531">
        <f>IF(B96="","Pending",IF(M96="","⚠️ Enter Code",IF(IFERROR(VLOOKUP(L96,DB_Agents!$B:$I,8,0),"")=M96,"Pending","🔒 BLOCKED — Wrong Code")))</f>
        <v/>
      </c>
      <c r="L96" s="384" t="inlineStr">
        <is>
          <t>Agent 01</t>
        </is>
      </c>
      <c r="M96" s="491" t="n"/>
      <c r="N96" s="501" t="n"/>
    </row>
    <row r="97" ht="15" customHeight="1" s="341">
      <c r="A97" s="492">
        <f>IF(B97="","",IF(C97="❌ Account Not Found","INVALID","LN"&amp;TEXT(D97,"YYYYMMDD")&amp;TEXT(ROW()-13,"0000")))</f>
        <v/>
      </c>
      <c r="B97" s="486" t="n"/>
      <c r="C97" s="378">
        <f>IF(B97="","",IFERROR(VLOOKUP(B97,DB_Customers!$A:$D,4,0),"❌ Account Not Found"))</f>
        <v/>
      </c>
      <c r="D97" s="488">
        <f>IF(B97="","",TODAY())</f>
        <v/>
      </c>
      <c r="E97" s="526" t="n"/>
      <c r="F97" s="378" t="n"/>
      <c r="G97" s="532" t="n"/>
      <c r="H97" s="533" t="n"/>
      <c r="I97" s="529">
        <f>IF(E97="","",E97+(E97*H97/100*G97))</f>
        <v/>
      </c>
      <c r="J97" s="534">
        <f>IFERROR(I97/G97,"")</f>
        <v/>
      </c>
      <c r="K97" s="535">
        <f>IF(B97="","Pending",IF(M97="","⚠️ Enter Code",IF(IFERROR(VLOOKUP(L97,DB_Agents!$B:$I,8,0),"")=M97,"Pending","🔒 BLOCKED — Wrong Code")))</f>
        <v/>
      </c>
      <c r="L97" s="380" t="inlineStr">
        <is>
          <t>Agent 01</t>
        </is>
      </c>
      <c r="M97" s="491" t="n"/>
      <c r="N97" s="494" t="n"/>
    </row>
    <row r="98" ht="15" customHeight="1" s="341">
      <c r="A98" s="499">
        <f>IF(B98="","",IF(C98="❌ Account Not Found","INVALID","LN"&amp;TEXT(D98,"YYYYMMDD")&amp;TEXT(ROW()-13,"0000")))</f>
        <v/>
      </c>
      <c r="B98" s="495" t="n"/>
      <c r="C98" s="382">
        <f>IF(B98="","",IFERROR(VLOOKUP(B98,DB_Customers!$A:$D,4,0),"❌ Account Not Found"))</f>
        <v/>
      </c>
      <c r="D98" s="497">
        <f>IF(B98="","",TODAY())</f>
        <v/>
      </c>
      <c r="E98" s="526" t="n"/>
      <c r="F98" s="382" t="n"/>
      <c r="G98" s="527" t="n"/>
      <c r="H98" s="528" t="n"/>
      <c r="I98" s="529">
        <f>IF(E98="","",E98+(E98*H98/100*G98))</f>
        <v/>
      </c>
      <c r="J98" s="530">
        <f>IFERROR(I98/G98,"")</f>
        <v/>
      </c>
      <c r="K98" s="531">
        <f>IF(B98="","Pending",IF(M98="","⚠️ Enter Code",IF(IFERROR(VLOOKUP(L98,DB_Agents!$B:$I,8,0),"")=M98,"Pending","🔒 BLOCKED — Wrong Code")))</f>
        <v/>
      </c>
      <c r="L98" s="384" t="inlineStr">
        <is>
          <t>Agent 01</t>
        </is>
      </c>
      <c r="M98" s="491" t="n"/>
      <c r="N98" s="501" t="n"/>
    </row>
    <row r="99" ht="15" customHeight="1" s="341">
      <c r="A99" s="492">
        <f>IF(B99="","",IF(C99="❌ Account Not Found","INVALID","LN"&amp;TEXT(D99,"YYYYMMDD")&amp;TEXT(ROW()-13,"0000")))</f>
        <v/>
      </c>
      <c r="B99" s="486" t="n"/>
      <c r="C99" s="378">
        <f>IF(B99="","",IFERROR(VLOOKUP(B99,DB_Customers!$A:$D,4,0),"❌ Account Not Found"))</f>
        <v/>
      </c>
      <c r="D99" s="488">
        <f>IF(B99="","",TODAY())</f>
        <v/>
      </c>
      <c r="E99" s="526" t="n"/>
      <c r="F99" s="378" t="n"/>
      <c r="G99" s="532" t="n"/>
      <c r="H99" s="533" t="n"/>
      <c r="I99" s="529">
        <f>IF(E99="","",E99+(E99*H99/100*G99))</f>
        <v/>
      </c>
      <c r="J99" s="534">
        <f>IFERROR(I99/G99,"")</f>
        <v/>
      </c>
      <c r="K99" s="535">
        <f>IF(B99="","Pending",IF(M99="","⚠️ Enter Code",IF(IFERROR(VLOOKUP(L99,DB_Agents!$B:$I,8,0),"")=M99,"Pending","🔒 BLOCKED — Wrong Code")))</f>
        <v/>
      </c>
      <c r="L99" s="380" t="inlineStr">
        <is>
          <t>Agent 01</t>
        </is>
      </c>
      <c r="M99" s="491" t="n"/>
      <c r="N99" s="494" t="n"/>
    </row>
    <row r="100" ht="15" customHeight="1" s="341">
      <c r="A100" s="499">
        <f>IF(B100="","",IF(C100="❌ Account Not Found","INVALID","LN"&amp;TEXT(D100,"YYYYMMDD")&amp;TEXT(ROW()-13,"0000")))</f>
        <v/>
      </c>
      <c r="B100" s="495" t="n"/>
      <c r="C100" s="382">
        <f>IF(B100="","",IFERROR(VLOOKUP(B100,DB_Customers!$A:$D,4,0),"❌ Account Not Found"))</f>
        <v/>
      </c>
      <c r="D100" s="497">
        <f>IF(B100="","",TODAY())</f>
        <v/>
      </c>
      <c r="E100" s="526" t="n"/>
      <c r="F100" s="382" t="n"/>
      <c r="G100" s="527" t="n"/>
      <c r="H100" s="528" t="n"/>
      <c r="I100" s="529">
        <f>IF(E100="","",E100+(E100*H100/100*G100))</f>
        <v/>
      </c>
      <c r="J100" s="530">
        <f>IFERROR(I100/G100,"")</f>
        <v/>
      </c>
      <c r="K100" s="531">
        <f>IF(B100="","Pending",IF(M100="","⚠️ Enter Code",IF(IFERROR(VLOOKUP(L100,DB_Agents!$B:$I,8,0),"")=M100,"Pending","🔒 BLOCKED — Wrong Code")))</f>
        <v/>
      </c>
      <c r="L100" s="384" t="inlineStr">
        <is>
          <t>Agent 01</t>
        </is>
      </c>
      <c r="M100" s="491" t="n"/>
      <c r="N100" s="501" t="n"/>
    </row>
    <row r="101" ht="15" customHeight="1" s="341">
      <c r="A101" s="492">
        <f>IF(B101="","",IF(C101="❌ Account Not Found","INVALID","LN"&amp;TEXT(D101,"YYYYMMDD")&amp;TEXT(ROW()-13,"0000")))</f>
        <v/>
      </c>
      <c r="B101" s="486" t="n"/>
      <c r="C101" s="378">
        <f>IF(B101="","",IFERROR(VLOOKUP(B101,DB_Customers!$A:$D,4,0),"❌ Account Not Found"))</f>
        <v/>
      </c>
      <c r="D101" s="488">
        <f>IF(B101="","",TODAY())</f>
        <v/>
      </c>
      <c r="E101" s="526" t="n"/>
      <c r="F101" s="378" t="n"/>
      <c r="G101" s="532" t="n"/>
      <c r="H101" s="533" t="n"/>
      <c r="I101" s="529">
        <f>IF(E101="","",E101+(E101*H101/100*G101))</f>
        <v/>
      </c>
      <c r="J101" s="534">
        <f>IFERROR(I101/G101,"")</f>
        <v/>
      </c>
      <c r="K101" s="535">
        <f>IF(B101="","Pending",IF(M101="","⚠️ Enter Code",IF(IFERROR(VLOOKUP(L101,DB_Agents!$B:$I,8,0),"")=M101,"Pending","🔒 BLOCKED — Wrong Code")))</f>
        <v/>
      </c>
      <c r="L101" s="380" t="inlineStr">
        <is>
          <t>Agent 01</t>
        </is>
      </c>
      <c r="M101" s="491" t="n"/>
      <c r="N101" s="494" t="n"/>
    </row>
    <row r="102" ht="15" customHeight="1" s="341">
      <c r="A102" s="499">
        <f>IF(B102="","",IF(C102="❌ Account Not Found","INVALID","LN"&amp;TEXT(D102,"YYYYMMDD")&amp;TEXT(ROW()-13,"0000")))</f>
        <v/>
      </c>
      <c r="B102" s="495" t="n"/>
      <c r="C102" s="382">
        <f>IF(B102="","",IFERROR(VLOOKUP(B102,DB_Customers!$A:$D,4,0),"❌ Account Not Found"))</f>
        <v/>
      </c>
      <c r="D102" s="497">
        <f>IF(B102="","",TODAY())</f>
        <v/>
      </c>
      <c r="E102" s="526" t="n"/>
      <c r="F102" s="382" t="n"/>
      <c r="G102" s="527" t="n"/>
      <c r="H102" s="528" t="n"/>
      <c r="I102" s="529">
        <f>IF(E102="","",E102+(E102*H102/100*G102))</f>
        <v/>
      </c>
      <c r="J102" s="530">
        <f>IFERROR(I102/G102,"")</f>
        <v/>
      </c>
      <c r="K102" s="531">
        <f>IF(B102="","Pending",IF(M102="","⚠️ Enter Code",IF(IFERROR(VLOOKUP(L102,DB_Agents!$B:$I,8,0),"")=M102,"Pending","🔒 BLOCKED — Wrong Code")))</f>
        <v/>
      </c>
      <c r="L102" s="384" t="inlineStr">
        <is>
          <t>Agent 01</t>
        </is>
      </c>
      <c r="M102" s="491" t="n"/>
      <c r="N102" s="501" t="n"/>
    </row>
    <row r="103" ht="15" customHeight="1" s="341">
      <c r="A103" s="492">
        <f>IF(B103="","",IF(C103="❌ Account Not Found","INVALID","LN"&amp;TEXT(D103,"YYYYMMDD")&amp;TEXT(ROW()-13,"0000")))</f>
        <v/>
      </c>
      <c r="B103" s="486" t="n"/>
      <c r="C103" s="378">
        <f>IF(B103="","",IFERROR(VLOOKUP(B103,DB_Customers!$A:$D,4,0),"❌ Account Not Found"))</f>
        <v/>
      </c>
      <c r="D103" s="488">
        <f>IF(B103="","",TODAY())</f>
        <v/>
      </c>
      <c r="E103" s="526" t="n"/>
      <c r="F103" s="378" t="n"/>
      <c r="G103" s="532" t="n"/>
      <c r="H103" s="533" t="n"/>
      <c r="I103" s="529">
        <f>IF(E103="","",E103+(E103*H103/100*G103))</f>
        <v/>
      </c>
      <c r="J103" s="534">
        <f>IFERROR(I103/G103,"")</f>
        <v/>
      </c>
      <c r="K103" s="535">
        <f>IF(B103="","Pending",IF(M103="","⚠️ Enter Code",IF(IFERROR(VLOOKUP(L103,DB_Agents!$B:$I,8,0),"")=M103,"Pending","🔒 BLOCKED — Wrong Code")))</f>
        <v/>
      </c>
      <c r="L103" s="380" t="inlineStr">
        <is>
          <t>Agent 01</t>
        </is>
      </c>
      <c r="M103" s="491" t="n"/>
      <c r="N103" s="494" t="n"/>
    </row>
    <row r="104" ht="15" customHeight="1" s="341">
      <c r="A104" s="499">
        <f>IF(B104="","",IF(C104="❌ Account Not Found","INVALID","LN"&amp;TEXT(D104,"YYYYMMDD")&amp;TEXT(ROW()-13,"0000")))</f>
        <v/>
      </c>
      <c r="B104" s="495" t="n"/>
      <c r="C104" s="382">
        <f>IF(B104="","",IFERROR(VLOOKUP(B104,DB_Customers!$A:$D,4,0),"❌ Account Not Found"))</f>
        <v/>
      </c>
      <c r="D104" s="497">
        <f>IF(B104="","",TODAY())</f>
        <v/>
      </c>
      <c r="E104" s="526" t="n"/>
      <c r="F104" s="382" t="n"/>
      <c r="G104" s="527" t="n"/>
      <c r="H104" s="528" t="n"/>
      <c r="I104" s="529">
        <f>IF(E104="","",E104+(E104*H104/100*G104))</f>
        <v/>
      </c>
      <c r="J104" s="530">
        <f>IFERROR(I104/G104,"")</f>
        <v/>
      </c>
      <c r="K104" s="531">
        <f>IF(B104="","Pending",IF(M104="","⚠️ Enter Code",IF(IFERROR(VLOOKUP(L104,DB_Agents!$B:$I,8,0),"")=M104,"Pending","🔒 BLOCKED — Wrong Code")))</f>
        <v/>
      </c>
      <c r="L104" s="384" t="inlineStr">
        <is>
          <t>Agent 01</t>
        </is>
      </c>
      <c r="M104" s="491" t="n"/>
      <c r="N104" s="501" t="n"/>
    </row>
    <row r="105" ht="15" customHeight="1" s="341">
      <c r="A105" s="492">
        <f>IF(B105="","",IF(C105="❌ Account Not Found","INVALID","LN"&amp;TEXT(D105,"YYYYMMDD")&amp;TEXT(ROW()-13,"0000")))</f>
        <v/>
      </c>
      <c r="B105" s="486" t="n"/>
      <c r="C105" s="378">
        <f>IF(B105="","",IFERROR(VLOOKUP(B105,DB_Customers!$A:$D,4,0),"❌ Account Not Found"))</f>
        <v/>
      </c>
      <c r="D105" s="488">
        <f>IF(B105="","",TODAY())</f>
        <v/>
      </c>
      <c r="E105" s="526" t="n"/>
      <c r="F105" s="378" t="n"/>
      <c r="G105" s="532" t="n"/>
      <c r="H105" s="533" t="n"/>
      <c r="I105" s="529">
        <f>IF(E105="","",E105+(E105*H105/100*G105))</f>
        <v/>
      </c>
      <c r="J105" s="534">
        <f>IFERROR(I105/G105,"")</f>
        <v/>
      </c>
      <c r="K105" s="535">
        <f>IF(B105="","Pending",IF(M105="","⚠️ Enter Code",IF(IFERROR(VLOOKUP(L105,DB_Agents!$B:$I,8,0),"")=M105,"Pending","🔒 BLOCKED — Wrong Code")))</f>
        <v/>
      </c>
      <c r="L105" s="380" t="inlineStr">
        <is>
          <t>Agent 01</t>
        </is>
      </c>
      <c r="M105" s="491" t="n"/>
      <c r="N105" s="494" t="n"/>
    </row>
    <row r="106" ht="15" customHeight="1" s="341">
      <c r="A106" s="499">
        <f>IF(B106="","",IF(C106="❌ Account Not Found","INVALID","LN"&amp;TEXT(D106,"YYYYMMDD")&amp;TEXT(ROW()-13,"0000")))</f>
        <v/>
      </c>
      <c r="B106" s="495" t="n"/>
      <c r="C106" s="382">
        <f>IF(B106="","",IFERROR(VLOOKUP(B106,DB_Customers!$A:$D,4,0),"❌ Account Not Found"))</f>
        <v/>
      </c>
      <c r="D106" s="497">
        <f>IF(B106="","",TODAY())</f>
        <v/>
      </c>
      <c r="E106" s="526" t="n"/>
      <c r="F106" s="382" t="n"/>
      <c r="G106" s="527" t="n"/>
      <c r="H106" s="528" t="n"/>
      <c r="I106" s="529">
        <f>IF(E106="","",E106+(E106*H106/100*G106))</f>
        <v/>
      </c>
      <c r="J106" s="530">
        <f>IFERROR(I106/G106,"")</f>
        <v/>
      </c>
      <c r="K106" s="531">
        <f>IF(B106="","Pending",IF(M106="","⚠️ Enter Code",IF(IFERROR(VLOOKUP(L106,DB_Agents!$B:$I,8,0),"")=M106,"Pending","🔒 BLOCKED — Wrong Code")))</f>
        <v/>
      </c>
      <c r="L106" s="384" t="inlineStr">
        <is>
          <t>Agent 01</t>
        </is>
      </c>
      <c r="M106" s="491" t="n"/>
      <c r="N106" s="501" t="n"/>
    </row>
    <row r="107" ht="15" customHeight="1" s="341">
      <c r="A107" s="492">
        <f>IF(B107="","",IF(C107="❌ Account Not Found","INVALID","LN"&amp;TEXT(D107,"YYYYMMDD")&amp;TEXT(ROW()-13,"0000")))</f>
        <v/>
      </c>
      <c r="B107" s="486" t="n"/>
      <c r="C107" s="378">
        <f>IF(B107="","",IFERROR(VLOOKUP(B107,DB_Customers!$A:$D,4,0),"❌ Account Not Found"))</f>
        <v/>
      </c>
      <c r="D107" s="488">
        <f>IF(B107="","",TODAY())</f>
        <v/>
      </c>
      <c r="E107" s="526" t="n"/>
      <c r="F107" s="378" t="n"/>
      <c r="G107" s="532" t="n"/>
      <c r="H107" s="533" t="n"/>
      <c r="I107" s="529">
        <f>IF(E107="","",E107+(E107*H107/100*G107))</f>
        <v/>
      </c>
      <c r="J107" s="534">
        <f>IFERROR(I107/G107,"")</f>
        <v/>
      </c>
      <c r="K107" s="535">
        <f>IF(B107="","Pending",IF(M107="","⚠️ Enter Code",IF(IFERROR(VLOOKUP(L107,DB_Agents!$B:$I,8,0),"")=M107,"Pending","🔒 BLOCKED — Wrong Code")))</f>
        <v/>
      </c>
      <c r="L107" s="380" t="inlineStr">
        <is>
          <t>Agent 01</t>
        </is>
      </c>
      <c r="M107" s="491" t="n"/>
      <c r="N107" s="494" t="n"/>
    </row>
    <row r="108" ht="15" customHeight="1" s="341">
      <c r="A108" s="499">
        <f>IF(B108="","",IF(C108="❌ Account Not Found","INVALID","LN"&amp;TEXT(D108,"YYYYMMDD")&amp;TEXT(ROW()-13,"0000")))</f>
        <v/>
      </c>
      <c r="B108" s="495" t="n"/>
      <c r="C108" s="382">
        <f>IF(B108="","",IFERROR(VLOOKUP(B108,DB_Customers!$A:$D,4,0),"❌ Account Not Found"))</f>
        <v/>
      </c>
      <c r="D108" s="497">
        <f>IF(B108="","",TODAY())</f>
        <v/>
      </c>
      <c r="E108" s="526" t="n"/>
      <c r="F108" s="382" t="n"/>
      <c r="G108" s="527" t="n"/>
      <c r="H108" s="528" t="n"/>
      <c r="I108" s="529">
        <f>IF(E108="","",E108+(E108*H108/100*G108))</f>
        <v/>
      </c>
      <c r="J108" s="530">
        <f>IFERROR(I108/G108,"")</f>
        <v/>
      </c>
      <c r="K108" s="531">
        <f>IF(B108="","Pending",IF(M108="","⚠️ Enter Code",IF(IFERROR(VLOOKUP(L108,DB_Agents!$B:$I,8,0),"")=M108,"Pending","🔒 BLOCKED — Wrong Code")))</f>
        <v/>
      </c>
      <c r="L108" s="384" t="inlineStr">
        <is>
          <t>Agent 01</t>
        </is>
      </c>
      <c r="M108" s="491" t="n"/>
      <c r="N108" s="501" t="n"/>
    </row>
    <row r="109" ht="15" customHeight="1" s="341">
      <c r="A109" s="492">
        <f>IF(B109="","",IF(C109="❌ Account Not Found","INVALID","LN"&amp;TEXT(D109,"YYYYMMDD")&amp;TEXT(ROW()-13,"0000")))</f>
        <v/>
      </c>
      <c r="B109" s="486" t="n"/>
      <c r="C109" s="378">
        <f>IF(B109="","",IFERROR(VLOOKUP(B109,DB_Customers!$A:$D,4,0),"❌ Account Not Found"))</f>
        <v/>
      </c>
      <c r="D109" s="488">
        <f>IF(B109="","",TODAY())</f>
        <v/>
      </c>
      <c r="E109" s="526" t="n"/>
      <c r="F109" s="378" t="n"/>
      <c r="G109" s="532" t="n"/>
      <c r="H109" s="533" t="n"/>
      <c r="I109" s="529">
        <f>IF(E109="","",E109+(E109*H109/100*G109))</f>
        <v/>
      </c>
      <c r="J109" s="534">
        <f>IFERROR(I109/G109,"")</f>
        <v/>
      </c>
      <c r="K109" s="535">
        <f>IF(B109="","Pending",IF(M109="","⚠️ Enter Code",IF(IFERROR(VLOOKUP(L109,DB_Agents!$B:$I,8,0),"")=M109,"Pending","🔒 BLOCKED — Wrong Code")))</f>
        <v/>
      </c>
      <c r="L109" s="380" t="inlineStr">
        <is>
          <t>Agent 01</t>
        </is>
      </c>
      <c r="M109" s="491" t="n"/>
      <c r="N109" s="494" t="n"/>
    </row>
    <row r="110" ht="15" customHeight="1" s="341">
      <c r="A110" s="499">
        <f>IF(B110="","",IF(C110="❌ Account Not Found","INVALID","LN"&amp;TEXT(D110,"YYYYMMDD")&amp;TEXT(ROW()-13,"0000")))</f>
        <v/>
      </c>
      <c r="B110" s="495" t="n"/>
      <c r="C110" s="382">
        <f>IF(B110="","",IFERROR(VLOOKUP(B110,DB_Customers!$A:$D,4,0),"❌ Account Not Found"))</f>
        <v/>
      </c>
      <c r="D110" s="497">
        <f>IF(B110="","",TODAY())</f>
        <v/>
      </c>
      <c r="E110" s="526" t="n"/>
      <c r="F110" s="382" t="n"/>
      <c r="G110" s="527" t="n"/>
      <c r="H110" s="528" t="n"/>
      <c r="I110" s="529">
        <f>IF(E110="","",E110+(E110*H110/100*G110))</f>
        <v/>
      </c>
      <c r="J110" s="530">
        <f>IFERROR(I110/G110,"")</f>
        <v/>
      </c>
      <c r="K110" s="531">
        <f>IF(B110="","Pending",IF(M110="","⚠️ Enter Code",IF(IFERROR(VLOOKUP(L110,DB_Agents!$B:$I,8,0),"")=M110,"Pending","🔒 BLOCKED — Wrong Code")))</f>
        <v/>
      </c>
      <c r="L110" s="384" t="inlineStr">
        <is>
          <t>Agent 01</t>
        </is>
      </c>
      <c r="M110" s="491" t="n"/>
      <c r="N110" s="501" t="n"/>
    </row>
    <row r="111" ht="15" customHeight="1" s="341">
      <c r="A111" s="492">
        <f>IF(B111="","",IF(C111="❌ Account Not Found","INVALID","LN"&amp;TEXT(D111,"YYYYMMDD")&amp;TEXT(ROW()-13,"0000")))</f>
        <v/>
      </c>
      <c r="B111" s="486" t="n"/>
      <c r="C111" s="378">
        <f>IF(B111="","",IFERROR(VLOOKUP(B111,DB_Customers!$A:$D,4,0),"❌ Account Not Found"))</f>
        <v/>
      </c>
      <c r="D111" s="488">
        <f>IF(B111="","",TODAY())</f>
        <v/>
      </c>
      <c r="E111" s="526" t="n"/>
      <c r="F111" s="378" t="n"/>
      <c r="G111" s="532" t="n"/>
      <c r="H111" s="533" t="n"/>
      <c r="I111" s="529">
        <f>IF(E111="","",E111+(E111*H111/100*G111))</f>
        <v/>
      </c>
      <c r="J111" s="534">
        <f>IFERROR(I111/G111,"")</f>
        <v/>
      </c>
      <c r="K111" s="535">
        <f>IF(B111="","Pending",IF(M111="","⚠️ Enter Code",IF(IFERROR(VLOOKUP(L111,DB_Agents!$B:$I,8,0),"")=M111,"Pending","🔒 BLOCKED — Wrong Code")))</f>
        <v/>
      </c>
      <c r="L111" s="380" t="inlineStr">
        <is>
          <t>Agent 01</t>
        </is>
      </c>
      <c r="M111" s="491" t="n"/>
      <c r="N111" s="494" t="n"/>
    </row>
    <row r="112" ht="15" customHeight="1" s="341">
      <c r="A112" s="499">
        <f>IF(B112="","",IF(C112="❌ Account Not Found","INVALID","LN"&amp;TEXT(D112,"YYYYMMDD")&amp;TEXT(ROW()-13,"0000")))</f>
        <v/>
      </c>
      <c r="B112" s="495" t="n"/>
      <c r="C112" s="382">
        <f>IF(B112="","",IFERROR(VLOOKUP(B112,DB_Customers!$A:$D,4,0),"❌ Account Not Found"))</f>
        <v/>
      </c>
      <c r="D112" s="497">
        <f>IF(B112="","",TODAY())</f>
        <v/>
      </c>
      <c r="E112" s="526" t="n"/>
      <c r="F112" s="382" t="n"/>
      <c r="G112" s="527" t="n"/>
      <c r="H112" s="528" t="n"/>
      <c r="I112" s="529">
        <f>IF(E112="","",E112+(E112*H112/100*G112))</f>
        <v/>
      </c>
      <c r="J112" s="530">
        <f>IFERROR(I112/G112,"")</f>
        <v/>
      </c>
      <c r="K112" s="531">
        <f>IF(B112="","Pending",IF(M112="","⚠️ Enter Code",IF(IFERROR(VLOOKUP(L112,DB_Agents!$B:$I,8,0),"")=M112,"Pending","🔒 BLOCKED — Wrong Code")))</f>
        <v/>
      </c>
      <c r="L112" s="384" t="inlineStr">
        <is>
          <t>Agent 01</t>
        </is>
      </c>
      <c r="M112" s="491" t="n"/>
      <c r="N112" s="501" t="n"/>
    </row>
    <row r="113" ht="15" customHeight="1" s="341">
      <c r="A113" s="492">
        <f>IF(B113="","",IF(C113="❌ Account Not Found","INVALID","LN"&amp;TEXT(D113,"YYYYMMDD")&amp;TEXT(ROW()-13,"0000")))</f>
        <v/>
      </c>
      <c r="B113" s="486" t="n"/>
      <c r="C113" s="378">
        <f>IF(B113="","",IFERROR(VLOOKUP(B113,DB_Customers!$A:$D,4,0),"❌ Account Not Found"))</f>
        <v/>
      </c>
      <c r="D113" s="488">
        <f>IF(B113="","",TODAY())</f>
        <v/>
      </c>
      <c r="E113" s="526" t="n"/>
      <c r="F113" s="378" t="n"/>
      <c r="G113" s="532" t="n"/>
      <c r="H113" s="533" t="n"/>
      <c r="I113" s="529">
        <f>IF(E113="","",E113+(E113*H113/100*G113))</f>
        <v/>
      </c>
      <c r="J113" s="534">
        <f>IFERROR(I113/G113,"")</f>
        <v/>
      </c>
      <c r="K113" s="535">
        <f>IF(B113="","Pending",IF(M113="","⚠️ Enter Code",IF(IFERROR(VLOOKUP(L113,DB_Agents!$B:$I,8,0),"")=M113,"Pending","🔒 BLOCKED — Wrong Code")))</f>
        <v/>
      </c>
      <c r="L113" s="380" t="inlineStr">
        <is>
          <t>Agent 01</t>
        </is>
      </c>
      <c r="M113" s="491" t="n"/>
      <c r="N113" s="494" t="n"/>
    </row>
    <row r="114" ht="15" customHeight="1" s="341">
      <c r="H114" s="536" t="n"/>
      <c r="K114" s="537">
        <f>IF(B114="","Pending",IF(M114="","⚠️ Enter Code",IF(IFERROR(VLOOKUP(L114,DB_Agents!$B:$I,8,0),"")=M114,"Pending","🔒 BLOCKED — Wrong Code")))</f>
        <v/>
      </c>
      <c r="M114" s="491" t="n"/>
    </row>
    <row r="115" ht="15" customHeight="1" s="341">
      <c r="H115" s="536" t="n"/>
      <c r="K115" s="342">
        <f>IF(B115="","Pending",IF(M115="","⚠️ Enter Code",IF(IFERROR(VLOOKUP(L115,DB_Agents!$B:$I,8,0),"")=M115,"Pending","🔒 BLOCKED — Wrong Code")))</f>
        <v/>
      </c>
      <c r="M115" s="491" t="n"/>
    </row>
    <row r="116" ht="15" customHeight="1" s="341">
      <c r="H116" s="536" t="n"/>
      <c r="K116" s="537">
        <f>IF(B116="","Pending",IF(M116="","⚠️ Enter Code",IF(IFERROR(VLOOKUP(L116,DB_Agents!$B:$I,8,0),"")=M116,"Pending","🔒 BLOCKED — Wrong Code")))</f>
        <v/>
      </c>
      <c r="M116" s="491" t="n"/>
    </row>
    <row r="117" ht="15" customHeight="1" s="341">
      <c r="H117" s="536" t="n"/>
      <c r="K117" s="342">
        <f>IF(B117="","Pending",IF(M117="","⚠️ Enter Code",IF(IFERROR(VLOOKUP(L117,DB_Agents!$B:$I,8,0),"")=M117,"Pending","🔒 BLOCKED — Wrong Code")))</f>
        <v/>
      </c>
      <c r="M117" s="491" t="n"/>
    </row>
    <row r="118" ht="15" customHeight="1" s="341">
      <c r="H118" s="536" t="n"/>
      <c r="K118" s="537">
        <f>IF(B118="","Pending",IF(M118="","⚠️ Enter Code",IF(IFERROR(VLOOKUP(L118,DB_Agents!$B:$I,8,0),"")=M118,"Pending","🔒 BLOCKED — Wrong Code")))</f>
        <v/>
      </c>
      <c r="M118" s="491" t="n"/>
    </row>
    <row r="119" ht="15" customHeight="1" s="341">
      <c r="H119" s="536" t="n"/>
      <c r="K119" s="342">
        <f>IF(B119="","Pending",IF(M119="","⚠️ Enter Code",IF(IFERROR(VLOOKUP(L119,DB_Agents!$B:$I,8,0),"")=M119,"Pending","🔒 BLOCKED — Wrong Code")))</f>
        <v/>
      </c>
      <c r="M119" s="491" t="n"/>
    </row>
    <row r="120" ht="15" customHeight="1" s="341">
      <c r="H120" s="536" t="n"/>
      <c r="K120" s="537">
        <f>IF(B120="","Pending",IF(M120="","⚠️ Enter Code",IF(IFERROR(VLOOKUP(L120,DB_Agents!$B:$I,8,0),"")=M120,"Pending","🔒 BLOCKED — Wrong Code")))</f>
        <v/>
      </c>
      <c r="M120" s="491" t="n"/>
    </row>
    <row r="121" ht="15" customHeight="1" s="341">
      <c r="H121" s="536" t="n"/>
      <c r="K121" s="342">
        <f>IF(B121="","Pending",IF(M121="","⚠️ Enter Code",IF(IFERROR(VLOOKUP(L121,DB_Agents!$B:$I,8,0),"")=M121,"Pending","🔒 BLOCKED — Wrong Code")))</f>
        <v/>
      </c>
      <c r="M121" s="491" t="n"/>
    </row>
    <row r="122" ht="15" customHeight="1" s="341">
      <c r="H122" s="536" t="n"/>
      <c r="K122" s="537">
        <f>IF(B122="","Pending",IF(M122="","⚠️ Enter Code",IF(IFERROR(VLOOKUP(L122,DB_Agents!$B:$I,8,0),"")=M122,"Pending","🔒 BLOCKED — Wrong Code")))</f>
        <v/>
      </c>
      <c r="M122" s="491" t="n"/>
    </row>
    <row r="123" ht="15" customHeight="1" s="341">
      <c r="H123" s="536" t="n"/>
      <c r="K123" s="342">
        <f>IF(B123="","Pending",IF(M123="","⚠️ Enter Code",IF(IFERROR(VLOOKUP(L123,DB_Agents!$B:$I,8,0),"")=M123,"Pending","🔒 BLOCKED — Wrong Code")))</f>
        <v/>
      </c>
      <c r="M123" s="491" t="n"/>
    </row>
    <row r="124" ht="15" customHeight="1" s="341">
      <c r="H124" s="536" t="n"/>
      <c r="K124" s="537">
        <f>IF(B124="","Pending",IF(M124="","⚠️ Enter Code",IF(IFERROR(VLOOKUP(L124,DB_Agents!$B:$I,8,0),"")=M124,"Pending","🔒 BLOCKED — Wrong Code")))</f>
        <v/>
      </c>
      <c r="M124" s="491" t="n"/>
    </row>
    <row r="125" ht="15" customHeight="1" s="341">
      <c r="H125" s="536" t="n"/>
      <c r="K125" s="342">
        <f>IF(B125="","Pending",IF(M125="","⚠️ Enter Code",IF(IFERROR(VLOOKUP(L125,DB_Agents!$B:$I,8,0),"")=M125,"Pending","🔒 BLOCKED — Wrong Code")))</f>
        <v/>
      </c>
      <c r="M125" s="491" t="n"/>
    </row>
    <row r="126" ht="15" customHeight="1" s="341">
      <c r="H126" s="536" t="n"/>
      <c r="K126" s="537">
        <f>IF(B126="","Pending",IF(M126="","⚠️ Enter Code",IF(IFERROR(VLOOKUP(L126,DB_Agents!$B:$I,8,0),"")=M126,"Pending","🔒 BLOCKED — Wrong Code")))</f>
        <v/>
      </c>
      <c r="M126" s="491" t="n"/>
    </row>
    <row r="127" ht="15" customHeight="1" s="341">
      <c r="H127" s="536" t="n"/>
      <c r="K127" s="342">
        <f>IF(B127="","Pending",IF(M127="","⚠️ Enter Code",IF(IFERROR(VLOOKUP(L127,DB_Agents!$B:$I,8,0),"")=M127,"Pending","🔒 BLOCKED — Wrong Code")))</f>
        <v/>
      </c>
      <c r="M127" s="491" t="n"/>
    </row>
    <row r="128" ht="15" customHeight="1" s="341">
      <c r="H128" s="536" t="n"/>
      <c r="K128" s="537">
        <f>IF(B128="","Pending",IF(M128="","⚠️ Enter Code",IF(IFERROR(VLOOKUP(L128,DB_Agents!$B:$I,8,0),"")=M128,"Pending","🔒 BLOCKED — Wrong Code")))</f>
        <v/>
      </c>
      <c r="M128" s="491" t="n"/>
    </row>
    <row r="129" ht="15" customHeight="1" s="341">
      <c r="H129" s="536" t="n"/>
      <c r="K129" s="342">
        <f>IF(B129="","Pending",IF(M129="","⚠️ Enter Code",IF(IFERROR(VLOOKUP(L129,DB_Agents!$B:$I,8,0),"")=M129,"Pending","🔒 BLOCKED — Wrong Code")))</f>
        <v/>
      </c>
      <c r="M129" s="491" t="n"/>
    </row>
    <row r="130" ht="15" customHeight="1" s="341">
      <c r="H130" s="536" t="n"/>
      <c r="K130" s="537">
        <f>IF(B130="","Pending",IF(M130="","⚠️ Enter Code",IF(IFERROR(VLOOKUP(L130,DB_Agents!$B:$I,8,0),"")=M130,"Pending","🔒 BLOCKED — Wrong Code")))</f>
        <v/>
      </c>
      <c r="M130" s="491" t="n"/>
    </row>
    <row r="131" ht="15" customHeight="1" s="341">
      <c r="H131" s="536" t="n"/>
      <c r="K131" s="342">
        <f>IF(B131="","Pending",IF(M131="","⚠️ Enter Code",IF(IFERROR(VLOOKUP(L131,DB_Agents!$B:$I,8,0),"")=M131,"Pending","🔒 BLOCKED — Wrong Code")))</f>
        <v/>
      </c>
      <c r="M131" s="491" t="n"/>
    </row>
    <row r="132" ht="15" customHeight="1" s="341">
      <c r="H132" s="536" t="n"/>
      <c r="K132" s="537">
        <f>IF(B132="","Pending",IF(M132="","⚠️ Enter Code",IF(IFERROR(VLOOKUP(L132,DB_Agents!$B:$I,8,0),"")=M132,"Pending","🔒 BLOCKED — Wrong Code")))</f>
        <v/>
      </c>
      <c r="M132" s="491" t="n"/>
    </row>
    <row r="133" ht="15" customHeight="1" s="341">
      <c r="H133" s="536" t="n"/>
      <c r="K133" s="342">
        <f>IF(B133="","Pending",IF(M133="","⚠️ Enter Code",IF(IFERROR(VLOOKUP(L133,DB_Agents!$B:$I,8,0),"")=M133,"Pending","🔒 BLOCKED — Wrong Code")))</f>
        <v/>
      </c>
      <c r="M133" s="491" t="n"/>
    </row>
    <row r="134" ht="15" customHeight="1" s="341">
      <c r="H134" s="536" t="n"/>
      <c r="K134" s="537">
        <f>IF(B134="","Pending",IF(M134="","⚠️ Enter Code",IF(IFERROR(VLOOKUP(L134,DB_Agents!$B:$I,8,0),"")=M134,"Pending","🔒 BLOCKED — Wrong Code")))</f>
        <v/>
      </c>
      <c r="M134" s="491" t="n"/>
    </row>
    <row r="135" ht="15" customHeight="1" s="341">
      <c r="H135" s="536" t="n"/>
      <c r="K135" s="342">
        <f>IF(B135="","Pending",IF(M135="","⚠️ Enter Code",IF(IFERROR(VLOOKUP(L135,DB_Agents!$B:$I,8,0),"")=M135,"Pending","🔒 BLOCKED — Wrong Code")))</f>
        <v/>
      </c>
      <c r="M135" s="491" t="n"/>
    </row>
    <row r="136" ht="15" customHeight="1" s="341">
      <c r="H136" s="536" t="n"/>
      <c r="K136" s="537">
        <f>IF(B136="","Pending",IF(M136="","⚠️ Enter Code",IF(IFERROR(VLOOKUP(L136,DB_Agents!$B:$I,8,0),"")=M136,"Pending","🔒 BLOCKED — Wrong Code")))</f>
        <v/>
      </c>
      <c r="M136" s="491" t="n"/>
    </row>
    <row r="137" ht="15" customHeight="1" s="341">
      <c r="H137" s="536" t="n"/>
      <c r="K137" s="342">
        <f>IF(B137="","Pending",IF(M137="","⚠️ Enter Code",IF(IFERROR(VLOOKUP(L137,DB_Agents!$B:$I,8,0),"")=M137,"Pending","🔒 BLOCKED — Wrong Code")))</f>
        <v/>
      </c>
      <c r="M137" s="491" t="n"/>
    </row>
    <row r="138" ht="15" customHeight="1" s="341">
      <c r="H138" s="536" t="n"/>
      <c r="K138" s="537">
        <f>IF(B138="","Pending",IF(M138="","⚠️ Enter Code",IF(IFERROR(VLOOKUP(L138,DB_Agents!$B:$I,8,0),"")=M138,"Pending","🔒 BLOCKED — Wrong Code")))</f>
        <v/>
      </c>
      <c r="M138" s="491" t="n"/>
    </row>
    <row r="139" ht="15" customHeight="1" s="341">
      <c r="H139" s="536" t="n"/>
      <c r="K139" s="342">
        <f>IF(B139="","Pending",IF(M139="","⚠️ Enter Code",IF(IFERROR(VLOOKUP(L139,DB_Agents!$B:$I,8,0),"")=M139,"Pending","🔒 BLOCKED — Wrong Code")))</f>
        <v/>
      </c>
      <c r="M139" s="491" t="n"/>
    </row>
    <row r="140" ht="15" customHeight="1" s="341">
      <c r="H140" s="536" t="n"/>
      <c r="K140" s="537">
        <f>IF(B140="","Pending",IF(M140="","⚠️ Enter Code",IF(IFERROR(VLOOKUP(L140,DB_Agents!$B:$I,8,0),"")=M140,"Pending","🔒 BLOCKED — Wrong Code")))</f>
        <v/>
      </c>
      <c r="M140" s="491" t="n"/>
    </row>
    <row r="141" ht="15" customHeight="1" s="341">
      <c r="H141" s="536" t="n"/>
      <c r="K141" s="342">
        <f>IF(B141="","Pending",IF(M141="","⚠️ Enter Code",IF(IFERROR(VLOOKUP(L141,DB_Agents!$B:$I,8,0),"")=M141,"Pending","🔒 BLOCKED — Wrong Code")))</f>
        <v/>
      </c>
      <c r="M141" s="491" t="n"/>
    </row>
    <row r="142" ht="15" customHeight="1" s="341">
      <c r="H142" s="536" t="n"/>
      <c r="K142" s="537">
        <f>IF(B142="","Pending",IF(M142="","⚠️ Enter Code",IF(IFERROR(VLOOKUP(L142,DB_Agents!$B:$I,8,0),"")=M142,"Pending","🔒 BLOCKED — Wrong Code")))</f>
        <v/>
      </c>
      <c r="M142" s="491" t="n"/>
    </row>
    <row r="143" ht="15" customHeight="1" s="341">
      <c r="H143" s="536" t="n"/>
      <c r="K143" s="342">
        <f>IF(B143="","Pending",IF(M143="","⚠️ Enter Code",IF(IFERROR(VLOOKUP(L143,DB_Agents!$B:$I,8,0),"")=M143,"Pending","🔒 BLOCKED — Wrong Code")))</f>
        <v/>
      </c>
      <c r="M143" s="491" t="n"/>
    </row>
    <row r="144" ht="15" customHeight="1" s="341">
      <c r="H144" s="536" t="n"/>
      <c r="K144" s="537">
        <f>IF(B144="","Pending",IF(M144="","⚠️ Enter Code",IF(IFERROR(VLOOKUP(L144,DB_Agents!$B:$I,8,0),"")=M144,"Pending","🔒 BLOCKED — Wrong Code")))</f>
        <v/>
      </c>
      <c r="M144" s="491" t="n"/>
    </row>
    <row r="145" ht="15" customHeight="1" s="341">
      <c r="H145" s="536" t="n"/>
      <c r="K145" s="342">
        <f>IF(B145="","Pending",IF(M145="","⚠️ Enter Code",IF(IFERROR(VLOOKUP(L145,DB_Agents!$B:$I,8,0),"")=M145,"Pending","🔒 BLOCKED — Wrong Code")))</f>
        <v/>
      </c>
      <c r="M145" s="491" t="n"/>
    </row>
    <row r="146" ht="15" customHeight="1" s="341">
      <c r="H146" s="536" t="n"/>
      <c r="K146" s="537">
        <f>IF(B146="","Pending",IF(M146="","⚠️ Enter Code",IF(IFERROR(VLOOKUP(L146,DB_Agents!$B:$I,8,0),"")=M146,"Pending","🔒 BLOCKED — Wrong Code")))</f>
        <v/>
      </c>
      <c r="M146" s="491" t="n"/>
    </row>
    <row r="147" ht="15" customHeight="1" s="341">
      <c r="H147" s="536" t="n"/>
      <c r="K147" s="342">
        <f>IF(B147="","Pending",IF(M147="","⚠️ Enter Code",IF(IFERROR(VLOOKUP(L147,DB_Agents!$B:$I,8,0),"")=M147,"Pending","🔒 BLOCKED — Wrong Code")))</f>
        <v/>
      </c>
      <c r="M147" s="491" t="n"/>
    </row>
    <row r="148" ht="15" customHeight="1" s="341">
      <c r="H148" s="536" t="n"/>
      <c r="K148" s="537">
        <f>IF(B148="","Pending",IF(M148="","⚠️ Enter Code",IF(IFERROR(VLOOKUP(L148,DB_Agents!$B:$I,8,0),"")=M148,"Pending","🔒 BLOCKED — Wrong Code")))</f>
        <v/>
      </c>
      <c r="M148" s="491" t="n"/>
    </row>
    <row r="149" ht="15" customHeight="1" s="341">
      <c r="H149" s="536" t="n"/>
      <c r="K149" s="342">
        <f>IF(B149="","Pending",IF(M149="","⚠️ Enter Code",IF(IFERROR(VLOOKUP(L149,DB_Agents!$B:$I,8,0),"")=M149,"Pending","🔒 BLOCKED — Wrong Code")))</f>
        <v/>
      </c>
      <c r="M149" s="491" t="n"/>
    </row>
    <row r="150" ht="15" customHeight="1" s="341">
      <c r="H150" s="536" t="n"/>
      <c r="K150" s="537">
        <f>IF(B150="","Pending",IF(M150="","⚠️ Enter Code",IF(IFERROR(VLOOKUP(L150,DB_Agents!$B:$I,8,0),"")=M150,"Pending","🔒 BLOCKED — Wrong Code")))</f>
        <v/>
      </c>
      <c r="M150" s="491" t="n"/>
    </row>
    <row r="151" ht="15" customHeight="1" s="341">
      <c r="H151" s="536" t="n"/>
      <c r="K151" s="342">
        <f>IF(B151="","Pending",IF(M151="","⚠️ Enter Code",IF(IFERROR(VLOOKUP(L151,DB_Agents!$B:$I,8,0),"")=M151,"Pending","🔒 BLOCKED — Wrong Code")))</f>
        <v/>
      </c>
      <c r="M151" s="491" t="n"/>
    </row>
    <row r="152" ht="15" customHeight="1" s="341">
      <c r="H152" s="536" t="n"/>
      <c r="K152" s="537">
        <f>IF(B152="","Pending",IF(M152="","⚠️ Enter Code",IF(IFERROR(VLOOKUP(L152,DB_Agents!$B:$I,8,0),"")=M152,"Pending","🔒 BLOCKED — Wrong Code")))</f>
        <v/>
      </c>
      <c r="M152" s="491" t="n"/>
    </row>
    <row r="153" ht="15" customHeight="1" s="341">
      <c r="H153" s="536" t="n"/>
      <c r="K153" s="342">
        <f>IF(B153="","Pending",IF(M153="","⚠️ Enter Code",IF(IFERROR(VLOOKUP(L153,DB_Agents!$B:$I,8,0),"")=M153,"Pending","🔒 BLOCKED — Wrong Code")))</f>
        <v/>
      </c>
      <c r="M153" s="491" t="n"/>
    </row>
    <row r="154" ht="15" customHeight="1" s="341">
      <c r="H154" s="536" t="n"/>
      <c r="K154" s="537">
        <f>IF(B154="","Pending",IF(M154="","⚠️ Enter Code",IF(IFERROR(VLOOKUP(L154,DB_Agents!$B:$I,8,0),"")=M154,"Pending","🔒 BLOCKED — Wrong Code")))</f>
        <v/>
      </c>
      <c r="M154" s="491" t="n"/>
    </row>
    <row r="155" ht="15" customHeight="1" s="341">
      <c r="H155" s="536" t="n"/>
      <c r="K155" s="342">
        <f>IF(B155="","Pending",IF(M155="","⚠️ Enter Code",IF(IFERROR(VLOOKUP(L155,DB_Agents!$B:$I,8,0),"")=M155,"Pending","🔒 BLOCKED — Wrong Code")))</f>
        <v/>
      </c>
      <c r="M155" s="491" t="n"/>
    </row>
    <row r="156" ht="15" customHeight="1" s="341">
      <c r="H156" s="536" t="n"/>
      <c r="K156" s="537">
        <f>IF(B156="","Pending",IF(M156="","⚠️ Enter Code",IF(IFERROR(VLOOKUP(L156,DB_Agents!$B:$I,8,0),"")=M156,"Pending","🔒 BLOCKED — Wrong Code")))</f>
        <v/>
      </c>
      <c r="M156" s="491" t="n"/>
    </row>
    <row r="157" ht="15" customHeight="1" s="341">
      <c r="H157" s="536" t="n"/>
      <c r="K157" s="342">
        <f>IF(B157="","Pending",IF(M157="","⚠️ Enter Code",IF(IFERROR(VLOOKUP(L157,DB_Agents!$B:$I,8,0),"")=M157,"Pending","🔒 BLOCKED — Wrong Code")))</f>
        <v/>
      </c>
      <c r="M157" s="491" t="n"/>
    </row>
    <row r="158" ht="15" customHeight="1" s="341">
      <c r="H158" s="536" t="n"/>
      <c r="K158" s="537">
        <f>IF(B158="","Pending",IF(M158="","⚠️ Enter Code",IF(IFERROR(VLOOKUP(L158,DB_Agents!$B:$I,8,0),"")=M158,"Pending","🔒 BLOCKED — Wrong Code")))</f>
        <v/>
      </c>
      <c r="M158" s="491" t="n"/>
    </row>
    <row r="159" ht="15" customHeight="1" s="341">
      <c r="H159" s="536" t="n"/>
      <c r="K159" s="342">
        <f>IF(B159="","Pending",IF(M159="","⚠️ Enter Code",IF(IFERROR(VLOOKUP(L159,DB_Agents!$B:$I,8,0),"")=M159,"Pending","🔒 BLOCKED — Wrong Code")))</f>
        <v/>
      </c>
      <c r="M159" s="491" t="n"/>
    </row>
    <row r="160" ht="15" customHeight="1" s="341">
      <c r="H160" s="536" t="n"/>
      <c r="K160" s="537">
        <f>IF(B160="","Pending",IF(M160="","⚠️ Enter Code",IF(IFERROR(VLOOKUP(L160,DB_Agents!$B:$I,8,0),"")=M160,"Pending","🔒 BLOCKED — Wrong Code")))</f>
        <v/>
      </c>
      <c r="M160" s="491" t="n"/>
    </row>
    <row r="161" ht="15" customHeight="1" s="341">
      <c r="H161" s="536" t="n"/>
      <c r="K161" s="342">
        <f>IF(B161="","Pending",IF(M161="","⚠️ Enter Code",IF(IFERROR(VLOOKUP(L161,DB_Agents!$B:$I,8,0),"")=M161,"Pending","🔒 BLOCKED — Wrong Code")))</f>
        <v/>
      </c>
      <c r="M161" s="491" t="n"/>
    </row>
    <row r="162" ht="15" customHeight="1" s="341">
      <c r="H162" s="536" t="n"/>
      <c r="K162" s="537">
        <f>IF(B162="","Pending",IF(M162="","⚠️ Enter Code",IF(IFERROR(VLOOKUP(L162,DB_Agents!$B:$I,8,0),"")=M162,"Pending","🔒 BLOCKED — Wrong Code")))</f>
        <v/>
      </c>
      <c r="M162" s="491" t="n"/>
    </row>
    <row r="163" ht="15" customHeight="1" s="341">
      <c r="H163" s="536" t="n"/>
      <c r="K163" s="342">
        <f>IF(B163="","Pending",IF(M163="","⚠️ Enter Code",IF(IFERROR(VLOOKUP(L163,DB_Agents!$B:$I,8,0),"")=M163,"Pending","🔒 BLOCKED — Wrong Code")))</f>
        <v/>
      </c>
      <c r="M163" s="491" t="n"/>
    </row>
    <row r="164" ht="15" customHeight="1" s="341">
      <c r="H164" s="536" t="n"/>
      <c r="K164" s="537">
        <f>IF(B164="","Pending",IF(M164="","⚠️ Enter Code",IF(IFERROR(VLOOKUP(L164,DB_Agents!$B:$I,8,0),"")=M164,"Pending","🔒 BLOCKED — Wrong Code")))</f>
        <v/>
      </c>
      <c r="M164" s="491" t="n"/>
    </row>
    <row r="165" ht="15" customHeight="1" s="341">
      <c r="H165" s="536" t="n"/>
      <c r="K165" s="342">
        <f>IF(B165="","Pending",IF(M165="","⚠️ Enter Code",IF(IFERROR(VLOOKUP(L165,DB_Agents!$B:$I,8,0),"")=M165,"Pending","🔒 BLOCKED — Wrong Code")))</f>
        <v/>
      </c>
      <c r="M165" s="491" t="n"/>
    </row>
    <row r="166" ht="15" customHeight="1" s="341">
      <c r="H166" s="536" t="n"/>
      <c r="K166" s="537">
        <f>IF(B166="","Pending",IF(M166="","⚠️ Enter Code",IF(IFERROR(VLOOKUP(L166,DB_Agents!$B:$I,8,0),"")=M166,"Pending","🔒 BLOCKED — Wrong Code")))</f>
        <v/>
      </c>
      <c r="M166" s="491" t="n"/>
    </row>
    <row r="167" ht="15" customHeight="1" s="341">
      <c r="H167" s="536" t="n"/>
      <c r="K167" s="342">
        <f>IF(B167="","Pending",IF(M167="","⚠️ Enter Code",IF(IFERROR(VLOOKUP(L167,DB_Agents!$B:$I,8,0),"")=M167,"Pending","🔒 BLOCKED — Wrong Code")))</f>
        <v/>
      </c>
      <c r="M167" s="491" t="n"/>
    </row>
    <row r="168" ht="15" customHeight="1" s="341">
      <c r="H168" s="536" t="n"/>
      <c r="K168" s="537">
        <f>IF(B168="","Pending",IF(M168="","⚠️ Enter Code",IF(IFERROR(VLOOKUP(L168,DB_Agents!$B:$I,8,0),"")=M168,"Pending","🔒 BLOCKED — Wrong Code")))</f>
        <v/>
      </c>
      <c r="M168" s="491" t="n"/>
    </row>
    <row r="169" ht="15" customHeight="1" s="341">
      <c r="H169" s="536" t="n"/>
      <c r="K169" s="342">
        <f>IF(B169="","Pending",IF(M169="","⚠️ Enter Code",IF(IFERROR(VLOOKUP(L169,DB_Agents!$B:$I,8,0),"")=M169,"Pending","🔒 BLOCKED — Wrong Code")))</f>
        <v/>
      </c>
      <c r="M169" s="491" t="n"/>
    </row>
    <row r="170" ht="15" customHeight="1" s="341">
      <c r="H170" s="536" t="n"/>
      <c r="K170" s="537">
        <f>IF(B170="","Pending",IF(M170="","⚠️ Enter Code",IF(IFERROR(VLOOKUP(L170,DB_Agents!$B:$I,8,0),"")=M170,"Pending","🔒 BLOCKED — Wrong Code")))</f>
        <v/>
      </c>
      <c r="M170" s="491" t="n"/>
    </row>
    <row r="171" ht="15" customHeight="1" s="341">
      <c r="H171" s="536" t="n"/>
      <c r="K171" s="342">
        <f>IF(B171="","Pending",IF(M171="","⚠️ Enter Code",IF(IFERROR(VLOOKUP(L171,DB_Agents!$B:$I,8,0),"")=M171,"Pending","🔒 BLOCKED — Wrong Code")))</f>
        <v/>
      </c>
      <c r="M171" s="491" t="n"/>
    </row>
    <row r="172" ht="15" customHeight="1" s="341">
      <c r="H172" s="536" t="n"/>
      <c r="K172" s="537">
        <f>IF(B172="","Pending",IF(M172="","⚠️ Enter Code",IF(IFERROR(VLOOKUP(L172,DB_Agents!$B:$I,8,0),"")=M172,"Pending","🔒 BLOCKED — Wrong Code")))</f>
        <v/>
      </c>
      <c r="M172" s="491" t="n"/>
    </row>
    <row r="173" ht="15" customHeight="1" s="341">
      <c r="H173" s="536" t="n"/>
      <c r="K173" s="342">
        <f>IF(B173="","Pending",IF(M173="","⚠️ Enter Code",IF(IFERROR(VLOOKUP(L173,DB_Agents!$B:$I,8,0),"")=M173,"Pending","🔒 BLOCKED — Wrong Code")))</f>
        <v/>
      </c>
      <c r="M173" s="491" t="n"/>
    </row>
    <row r="174" ht="15" customHeight="1" s="341">
      <c r="H174" s="536" t="n"/>
      <c r="K174" s="537">
        <f>IF(B174="","Pending",IF(M174="","⚠️ Enter Code",IF(IFERROR(VLOOKUP(L174,DB_Agents!$B:$I,8,0),"")=M174,"Pending","🔒 BLOCKED — Wrong Code")))</f>
        <v/>
      </c>
      <c r="M174" s="491" t="n"/>
    </row>
    <row r="175" ht="15" customHeight="1" s="341">
      <c r="H175" s="536" t="n"/>
      <c r="K175" s="342">
        <f>IF(B175="","Pending",IF(M175="","⚠️ Enter Code",IF(IFERROR(VLOOKUP(L175,DB_Agents!$B:$I,8,0),"")=M175,"Pending","🔒 BLOCKED — Wrong Code")))</f>
        <v/>
      </c>
      <c r="M175" s="491" t="n"/>
    </row>
    <row r="176" ht="15" customHeight="1" s="341">
      <c r="H176" s="536" t="n"/>
      <c r="K176" s="537">
        <f>IF(B176="","Pending",IF(M176="","⚠️ Enter Code",IF(IFERROR(VLOOKUP(L176,DB_Agents!$B:$I,8,0),"")=M176,"Pending","🔒 BLOCKED — Wrong Code")))</f>
        <v/>
      </c>
      <c r="M176" s="491" t="n"/>
    </row>
    <row r="177" ht="15" customHeight="1" s="341">
      <c r="H177" s="536" t="n"/>
      <c r="K177" s="342">
        <f>IF(B177="","Pending",IF(M177="","⚠️ Enter Code",IF(IFERROR(VLOOKUP(L177,DB_Agents!$B:$I,8,0),"")=M177,"Pending","🔒 BLOCKED — Wrong Code")))</f>
        <v/>
      </c>
      <c r="M177" s="491" t="n"/>
    </row>
    <row r="178" ht="15" customHeight="1" s="341">
      <c r="H178" s="536" t="n"/>
      <c r="K178" s="537">
        <f>IF(B178="","Pending",IF(M178="","⚠️ Enter Code",IF(IFERROR(VLOOKUP(L178,DB_Agents!$B:$I,8,0),"")=M178,"Pending","🔒 BLOCKED — Wrong Code")))</f>
        <v/>
      </c>
      <c r="M178" s="491" t="n"/>
    </row>
    <row r="179" ht="15" customHeight="1" s="341">
      <c r="H179" s="536" t="n"/>
      <c r="K179" s="342">
        <f>IF(B179="","Pending",IF(M179="","⚠️ Enter Code",IF(IFERROR(VLOOKUP(L179,DB_Agents!$B:$I,8,0),"")=M179,"Pending","🔒 BLOCKED — Wrong Code")))</f>
        <v/>
      </c>
      <c r="M179" s="491" t="n"/>
    </row>
    <row r="180" ht="15" customHeight="1" s="341">
      <c r="H180" s="536" t="n"/>
      <c r="K180" s="537">
        <f>IF(B180="","Pending",IF(M180="","⚠️ Enter Code",IF(IFERROR(VLOOKUP(L180,DB_Agents!$B:$I,8,0),"")=M180,"Pending","🔒 BLOCKED — Wrong Code")))</f>
        <v/>
      </c>
      <c r="M180" s="491" t="n"/>
    </row>
    <row r="181" ht="15" customHeight="1" s="341">
      <c r="H181" s="536" t="n"/>
      <c r="K181" s="342">
        <f>IF(B181="","Pending",IF(M181="","⚠️ Enter Code",IF(IFERROR(VLOOKUP(L181,DB_Agents!$B:$I,8,0),"")=M181,"Pending","🔒 BLOCKED — Wrong Code")))</f>
        <v/>
      </c>
      <c r="M181" s="491" t="n"/>
    </row>
    <row r="182" ht="15" customHeight="1" s="341">
      <c r="H182" s="536" t="n"/>
      <c r="K182" s="537">
        <f>IF(B182="","Pending",IF(M182="","⚠️ Enter Code",IF(IFERROR(VLOOKUP(L182,DB_Agents!$B:$I,8,0),"")=M182,"Pending","🔒 BLOCKED — Wrong Code")))</f>
        <v/>
      </c>
      <c r="M182" s="491" t="n"/>
    </row>
    <row r="183" ht="15" customHeight="1" s="341">
      <c r="H183" s="536" t="n"/>
      <c r="K183" s="342">
        <f>IF(B183="","Pending",IF(M183="","⚠️ Enter Code",IF(IFERROR(VLOOKUP(L183,DB_Agents!$B:$I,8,0),"")=M183,"Pending","🔒 BLOCKED — Wrong Code")))</f>
        <v/>
      </c>
      <c r="M183" s="491" t="n"/>
    </row>
    <row r="184" ht="15" customHeight="1" s="341">
      <c r="H184" s="536" t="n"/>
      <c r="K184" s="537">
        <f>IF(B184="","Pending",IF(M184="","⚠️ Enter Code",IF(IFERROR(VLOOKUP(L184,DB_Agents!$B:$I,8,0),"")=M184,"Pending","🔒 BLOCKED — Wrong Code")))</f>
        <v/>
      </c>
      <c r="M184" s="491" t="n"/>
    </row>
    <row r="185" ht="15" customHeight="1" s="341">
      <c r="H185" s="536" t="n"/>
      <c r="K185" s="342">
        <f>IF(B185="","Pending",IF(M185="","⚠️ Enter Code",IF(IFERROR(VLOOKUP(L185,DB_Agents!$B:$I,8,0),"")=M185,"Pending","🔒 BLOCKED — Wrong Code")))</f>
        <v/>
      </c>
      <c r="M185" s="491" t="n"/>
    </row>
    <row r="186" ht="15" customHeight="1" s="341">
      <c r="H186" s="536" t="n"/>
      <c r="K186" s="537">
        <f>IF(B186="","Pending",IF(M186="","⚠️ Enter Code",IF(IFERROR(VLOOKUP(L186,DB_Agents!$B:$I,8,0),"")=M186,"Pending","🔒 BLOCKED — Wrong Code")))</f>
        <v/>
      </c>
      <c r="M186" s="491" t="n"/>
    </row>
    <row r="187" ht="15" customHeight="1" s="341">
      <c r="H187" s="536" t="n"/>
      <c r="K187" s="342">
        <f>IF(B187="","Pending",IF(M187="","⚠️ Enter Code",IF(IFERROR(VLOOKUP(L187,DB_Agents!$B:$I,8,0),"")=M187,"Pending","🔒 BLOCKED — Wrong Code")))</f>
        <v/>
      </c>
      <c r="M187" s="491" t="n"/>
    </row>
    <row r="188" ht="15" customHeight="1" s="341">
      <c r="H188" s="536" t="n"/>
      <c r="K188" s="537">
        <f>IF(B188="","Pending",IF(M188="","⚠️ Enter Code",IF(IFERROR(VLOOKUP(L188,DB_Agents!$B:$I,8,0),"")=M188,"Pending","🔒 BLOCKED — Wrong Code")))</f>
        <v/>
      </c>
      <c r="M188" s="491" t="n"/>
    </row>
    <row r="189" ht="15" customHeight="1" s="341">
      <c r="H189" s="536" t="n"/>
      <c r="K189" s="342">
        <f>IF(B189="","Pending",IF(M189="","⚠️ Enter Code",IF(IFERROR(VLOOKUP(L189,DB_Agents!$B:$I,8,0),"")=M189,"Pending","🔒 BLOCKED — Wrong Code")))</f>
        <v/>
      </c>
      <c r="M189" s="491" t="n"/>
    </row>
    <row r="190" ht="15" customHeight="1" s="341">
      <c r="H190" s="536" t="n"/>
      <c r="K190" s="537">
        <f>IF(B190="","Pending",IF(M190="","⚠️ Enter Code",IF(IFERROR(VLOOKUP(L190,DB_Agents!$B:$I,8,0),"")=M190,"Pending","🔒 BLOCKED — Wrong Code")))</f>
        <v/>
      </c>
      <c r="M190" s="491" t="n"/>
    </row>
    <row r="191" ht="15" customHeight="1" s="341">
      <c r="H191" s="536" t="n"/>
      <c r="K191" s="342">
        <f>IF(B191="","Pending",IF(M191="","⚠️ Enter Code",IF(IFERROR(VLOOKUP(L191,DB_Agents!$B:$I,8,0),"")=M191,"Pending","🔒 BLOCKED — Wrong Code")))</f>
        <v/>
      </c>
      <c r="M191" s="491" t="n"/>
    </row>
    <row r="192" ht="15" customHeight="1" s="341">
      <c r="H192" s="536" t="n"/>
      <c r="K192" s="537">
        <f>IF(B192="","Pending",IF(M192="","⚠️ Enter Code",IF(IFERROR(VLOOKUP(L192,DB_Agents!$B:$I,8,0),"")=M192,"Pending","🔒 BLOCKED — Wrong Code")))</f>
        <v/>
      </c>
      <c r="M192" s="491" t="n"/>
    </row>
    <row r="193" ht="15" customHeight="1" s="341">
      <c r="H193" s="536" t="n"/>
      <c r="K193" s="342">
        <f>IF(B193="","Pending",IF(M193="","⚠️ Enter Code",IF(IFERROR(VLOOKUP(L193,DB_Agents!$B:$I,8,0),"")=M193,"Pending","🔒 BLOCKED — Wrong Code")))</f>
        <v/>
      </c>
      <c r="M193" s="491" t="n"/>
    </row>
    <row r="194" ht="15" customHeight="1" s="341">
      <c r="H194" s="536" t="n"/>
      <c r="K194" s="537">
        <f>IF(B194="","Pending",IF(M194="","⚠️ Enter Code",IF(IFERROR(VLOOKUP(L194,DB_Agents!$B:$I,8,0),"")=M194,"Pending","🔒 BLOCKED — Wrong Code")))</f>
        <v/>
      </c>
      <c r="M194" s="491" t="n"/>
    </row>
    <row r="195" ht="15" customHeight="1" s="341">
      <c r="H195" s="536" t="n"/>
      <c r="K195" s="342">
        <f>IF(B195="","Pending",IF(M195="","⚠️ Enter Code",IF(IFERROR(VLOOKUP(L195,DB_Agents!$B:$I,8,0),"")=M195,"Pending","🔒 BLOCKED — Wrong Code")))</f>
        <v/>
      </c>
      <c r="M195" s="491" t="n"/>
    </row>
    <row r="196" ht="15" customHeight="1" s="341">
      <c r="H196" s="536" t="n"/>
      <c r="K196" s="537">
        <f>IF(B196="","Pending",IF(M196="","⚠️ Enter Code",IF(IFERROR(VLOOKUP(L196,DB_Agents!$B:$I,8,0),"")=M196,"Pending","🔒 BLOCKED — Wrong Code")))</f>
        <v/>
      </c>
      <c r="M196" s="491" t="n"/>
    </row>
    <row r="197" ht="15" customHeight="1" s="341">
      <c r="H197" s="536" t="n"/>
      <c r="K197" s="342">
        <f>IF(B197="","Pending",IF(M197="","⚠️ Enter Code",IF(IFERROR(VLOOKUP(L197,DB_Agents!$B:$I,8,0),"")=M197,"Pending","🔒 BLOCKED — Wrong Code")))</f>
        <v/>
      </c>
      <c r="M197" s="491" t="n"/>
    </row>
    <row r="198" ht="15" customHeight="1" s="341">
      <c r="H198" s="536" t="n"/>
      <c r="K198" s="537">
        <f>IF(B198="","Pending",IF(M198="","⚠️ Enter Code",IF(IFERROR(VLOOKUP(L198,DB_Agents!$B:$I,8,0),"")=M198,"Pending","🔒 BLOCKED — Wrong Code")))</f>
        <v/>
      </c>
      <c r="M198" s="491" t="n"/>
    </row>
    <row r="199" ht="15" customHeight="1" s="341">
      <c r="H199" s="536" t="n"/>
      <c r="K199" s="342">
        <f>IF(B199="","Pending",IF(M199="","⚠️ Enter Code",IF(IFERROR(VLOOKUP(L199,DB_Agents!$B:$I,8,0),"")=M199,"Pending","🔒 BLOCKED — Wrong Code")))</f>
        <v/>
      </c>
      <c r="M199" s="491" t="n"/>
    </row>
    <row r="200" ht="15" customHeight="1" s="341">
      <c r="H200" s="536" t="n"/>
      <c r="K200" s="537">
        <f>IF(B200="","Pending",IF(M200="","⚠️ Enter Code",IF(IFERROR(VLOOKUP(L200,DB_Agents!$B:$I,8,0),"")=M200,"Pending","🔒 BLOCKED — Wrong Code")))</f>
        <v/>
      </c>
      <c r="M200" s="491" t="n"/>
    </row>
    <row r="201" ht="15" customHeight="1" s="341">
      <c r="K201" s="342">
        <f>IF(B201="","Pending",IF(M201="","⚠️ Enter Code",IF(IFERROR(VLOOKUP(L201,DB_Agents!$B:$I,8,0),"")=M201,"Pending","🔒 BLOCKED — Wrong Code")))</f>
        <v/>
      </c>
      <c r="M201" s="491" t="n"/>
    </row>
    <row r="202" ht="15" customHeight="1" s="341">
      <c r="K202" s="537">
        <f>IF(B202="","Pending",IF(M202="","⚠️ Enter Code",IF(IFERROR(VLOOKUP(L202,DB_Agents!$B:$I,8,0),"")=M202,"Pending","🔒 BLOCKED — Wrong Code")))</f>
        <v/>
      </c>
      <c r="M202" s="491" t="n"/>
    </row>
    <row r="203" ht="15" customHeight="1" s="341">
      <c r="K203" s="342">
        <f>IF(B203="","Pending",IF(M203="","⚠️ Enter Code",IF(IFERROR(VLOOKUP(L203,DB_Agents!$B:$I,8,0),"")=M203,"Pending","🔒 BLOCKED — Wrong Code")))</f>
        <v/>
      </c>
      <c r="M203" s="491" t="n"/>
    </row>
    <row r="204" ht="15" customHeight="1" s="341">
      <c r="K204" s="537">
        <f>IF(B204="","Pending",IF(M204="","⚠️ Enter Code",IF(IFERROR(VLOOKUP(L204,DB_Agents!$B:$I,8,0),"")=M204,"Pending","🔒 BLOCKED — Wrong Code")))</f>
        <v/>
      </c>
      <c r="M204" s="491" t="n"/>
    </row>
    <row r="205" ht="15" customHeight="1" s="341">
      <c r="K205" s="342">
        <f>IF(B205="","Pending",IF(M205="","⚠️ Enter Code",IF(IFERROR(VLOOKUP(L205,DB_Agents!$B:$I,8,0),"")=M205,"Pending","🔒 BLOCKED — Wrong Code")))</f>
        <v/>
      </c>
      <c r="M205" s="491" t="n"/>
    </row>
    <row r="206" ht="15" customHeight="1" s="341">
      <c r="K206" s="537">
        <f>IF(B206="","Pending",IF(M206="","⚠️ Enter Code",IF(IFERROR(VLOOKUP(L206,DB_Agents!$B:$I,8,0),"")=M206,"Pending","🔒 BLOCKED — Wrong Code")))</f>
        <v/>
      </c>
      <c r="M206" s="491" t="n"/>
    </row>
    <row r="207" ht="15" customHeight="1" s="341">
      <c r="K207" s="342">
        <f>IF(B207="","Pending",IF(M207="","⚠️ Enter Code",IF(IFERROR(VLOOKUP(L207,DB_Agents!$B:$I,8,0),"")=M207,"Pending","🔒 BLOCKED — Wrong Code")))</f>
        <v/>
      </c>
      <c r="M207" s="491" t="n"/>
    </row>
    <row r="208" ht="15" customHeight="1" s="341">
      <c r="K208" s="537">
        <f>IF(B208="","Pending",IF(M208="","⚠️ Enter Code",IF(IFERROR(VLOOKUP(L208,DB_Agents!$B:$I,8,0),"")=M208,"Pending","🔒 BLOCKED — Wrong Code")))</f>
        <v/>
      </c>
      <c r="M208" s="491" t="n"/>
    </row>
    <row r="209" ht="15" customHeight="1" s="341">
      <c r="K209" s="342">
        <f>IF(B209="","Pending",IF(M209="","⚠️ Enter Code",IF(IFERROR(VLOOKUP(L209,DB_Agents!$B:$I,8,0),"")=M209,"Pending","🔒 BLOCKED — Wrong Code")))</f>
        <v/>
      </c>
      <c r="M209" s="491" t="n"/>
    </row>
    <row r="210" ht="15" customHeight="1" s="341">
      <c r="K210" s="537">
        <f>IF(B210="","Pending",IF(M210="","⚠️ Enter Code",IF(IFERROR(VLOOKUP(L210,DB_Agents!$B:$I,8,0),"")=M210,"Pending","🔒 BLOCKED — Wrong Code")))</f>
        <v/>
      </c>
      <c r="M210" s="491" t="n"/>
    </row>
    <row r="211" ht="15" customHeight="1" s="341">
      <c r="K211" s="342">
        <f>IF(B211="","Pending",IF(M211="","⚠️ Enter Code",IF(IFERROR(VLOOKUP(L211,DB_Agents!$B:$I,8,0),"")=M211,"Pending","🔒 BLOCKED — Wrong Code")))</f>
        <v/>
      </c>
      <c r="M211" s="491" t="n"/>
    </row>
    <row r="212" ht="15" customHeight="1" s="341">
      <c r="K212" s="537">
        <f>IF(B212="","Pending",IF(M212="","⚠️ Enter Code",IF(IFERROR(VLOOKUP(L212,DB_Agents!$B:$I,8,0),"")=M212,"Pending","🔒 BLOCKED — Wrong Code")))</f>
        <v/>
      </c>
      <c r="M212" s="491" t="n"/>
    </row>
    <row r="213" ht="15" customHeight="1" s="341">
      <c r="K213" s="342">
        <f>IF(B213="","Pending",IF(M213="","⚠️ Enter Code",IF(IFERROR(VLOOKUP(L213,DB_Agents!$B:$I,8,0),"")=M213,"Pending","🔒 BLOCKED — Wrong Code")))</f>
        <v/>
      </c>
      <c r="M213" s="491" t="n"/>
    </row>
  </sheetData>
  <mergeCells count="10">
    <mergeCell ref="B10:D10"/>
    <mergeCell ref="B5:D5"/>
    <mergeCell ref="A12:N12"/>
    <mergeCell ref="A4:D4"/>
    <mergeCell ref="B8:D8"/>
    <mergeCell ref="A2:N2"/>
    <mergeCell ref="B9:D9"/>
    <mergeCell ref="B7:D7"/>
    <mergeCell ref="B6:D6"/>
    <mergeCell ref="A1:N1"/>
  </mergeCells>
  <conditionalFormatting sqref="K14:K113">
    <cfRule type="cellIs" rank="0" priority="2" equalAverage="0" operator="equal" aboveAverage="0" dxfId="0" text="" percent="0" bottom="0">
      <formula>"Approved"</formula>
    </cfRule>
    <cfRule type="cellIs" rank="0" priority="3" equalAverage="0" operator="equal" aboveAverage="0" dxfId="11" text="" percent="0" bottom="0">
      <formula>"Pending"</formula>
    </cfRule>
    <cfRule type="cellIs" rank="0" priority="4" equalAverage="0" operator="equal" aboveAverage="0" dxfId="1" text="" percent="0" bottom="0">
      <formula>"Rejected"</formula>
    </cfRule>
  </conditionalFormatting>
  <dataValidations count="2">
    <dataValidation sqref="G14:G113" showDropDown="0" showInputMessage="0" showErrorMessage="1" allowBlank="0" error="Enter 1-36 months" type="whole" errorStyle="stop" operator="between">
      <formula1>1</formula1>
      <formula2>36</formula2>
    </dataValidation>
    <dataValidation sqref="L14:L113"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9.xml><?xml version="1.0" encoding="utf-8"?>
<worksheet xmlns="http://schemas.openxmlformats.org/spreadsheetml/2006/main">
  <sheetPr filterMode="0">
    <tabColor rgb="FF27AE60"/>
    <outlinePr summaryBelow="1" summaryRight="1"/>
    <pageSetUpPr fitToPage="0"/>
  </sheetPr>
  <dimension ref="A1:L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2" customWidth="1" style="340" min="7" max="7"/>
    <col width="14" customWidth="1" style="340" min="8" max="8"/>
    <col width="22" customWidth="1" style="340" min="9" max="10"/>
  </cols>
  <sheetData>
    <row r="1" ht="31.5" customHeight="1" s="341">
      <c r="A1" s="409" t="inlineStr">
        <is>
          <t>💰  SAMICIOUS MICROFINANCE — AGENT02 SAVINGS</t>
        </is>
      </c>
    </row>
    <row r="2" ht="19.5" customHeight="1" s="341">
      <c r="A2" s="479" t="inlineStr">
        <is>
          <t>Agent: Agent 02  |  Enter Account # → All fields auto-populate  |  Status auto-sets to "Saved"  |  🔑 Security: Enter your 4-digit Agent Code in each row</t>
        </is>
      </c>
    </row>
    <row r="3" ht="18" customHeight="1" s="341">
      <c r="A3" s="364" t="inlineStr">
        <is>
          <t>💰 Total Collected Today</t>
        </is>
      </c>
      <c r="D3" s="367" t="inlineStr">
        <is>
          <t>📊 Transactions Today</t>
        </is>
      </c>
      <c r="G3" s="439" t="inlineStr">
        <is>
          <t>📅 Date</t>
        </is>
      </c>
      <c r="J3" s="340" t="n"/>
    </row>
    <row r="4" ht="27.75" customHeight="1" s="341">
      <c r="A4" s="480">
        <f>SUMIFS(DB_Savings!$F:$F,DB_Savings!$G:$G,"Agent 02",DB_Savings!$E:$E,TODAY())</f>
        <v/>
      </c>
      <c r="D4" s="481">
        <f>COUNTIFS(DB_Savings!$G:$G,"Agent 02",DB_Savings!$E:$E,TODAY())</f>
        <v/>
      </c>
      <c r="G4" s="482">
        <f>TEXT(TODAY(),"DDDD, DD MMMM YYYY")</f>
        <v/>
      </c>
      <c r="J4" s="340" t="n"/>
    </row>
    <row r="5" ht="21.75" customHeight="1" s="341">
      <c r="A5" s="483">
        <f>IF(SUMIFS(DB_Savings!$F:$F,DB_Savings!$G:$G,"Agent 02",DB_Savings!$E:$E,TODAY())&gt;=J4,"✅ DAILY TARGET ACHIEVED! Well done Agent 02!","⏳ Collection in progress — Keep going! Remaining: GHC "&amp;TEXT(J4-SUMIFS(DB_Savings!$F:$F,DB_Savings!$G:$G,"Agent 02",DB_Savings!$E:$E,TODAY()),"#,##0.00"))</f>
        <v/>
      </c>
    </row>
    <row r="6" ht="7.5" customHeight="1" s="341"/>
    <row r="7" ht="19.5" customHeight="1" s="341">
      <c r="A7" s="484" t="inlineStr">
        <is>
          <t>📝  ENTRY FORM — Enter Account Number in column A. All other fields auto-populate. Enter Savings Amount in column E then Tab to complete. | Enter Agent Code in 🔑 column to authorize each transaction.</t>
        </is>
      </c>
    </row>
    <row r="8" ht="19.5" customHeight="1" s="341">
      <c r="A8" s="377" t="inlineStr">
        <is>
          <t>Account #</t>
        </is>
      </c>
      <c r="B8" s="377" t="inlineStr">
        <is>
          <t>Customer Name</t>
        </is>
      </c>
      <c r="C8" s="377" t="inlineStr">
        <is>
          <t>Current Balance</t>
        </is>
      </c>
      <c r="D8" s="377" t="inlineStr">
        <is>
          <t>Date</t>
        </is>
      </c>
      <c r="E8" s="377" t="inlineStr">
        <is>
          <t>Savings Amount</t>
        </is>
      </c>
      <c r="F8" s="377" t="inlineStr">
        <is>
          <t>New Balance</t>
        </is>
      </c>
      <c r="G8" s="377" t="inlineStr">
        <is>
          <t>Agent</t>
        </is>
      </c>
      <c r="H8" s="485" t="inlineStr">
        <is>
          <t>🔑 Agent Code</t>
        </is>
      </c>
      <c r="I8" s="377" t="inlineStr">
        <is>
          <t>Status</t>
        </is>
      </c>
      <c r="J8" s="377" t="inlineStr">
        <is>
          <t>Saved At</t>
        </is>
      </c>
      <c r="K8" s="377" t="inlineStr">
        <is>
          <t>Notes</t>
        </is>
      </c>
    </row>
    <row r="9" ht="15" customHeight="1" s="341">
      <c r="A9" s="486" t="n"/>
      <c r="B9" s="378">
        <f>IF(A9="","",IFERROR(VLOOKUP(A9,DB_Customers!$A:$D,4,0),"❌ Account Not Found"))</f>
        <v/>
      </c>
      <c r="C9" s="487">
        <f>IF(A9="","",IFERROR(VLOOKUP(A9,DB_Customers!$A:$N,14,0),""))</f>
        <v/>
      </c>
      <c r="D9" s="488">
        <f>IF(A9="","",TODAY())</f>
        <v/>
      </c>
      <c r="E9" s="489" t="n"/>
      <c r="F9" s="490">
        <f>IF(OR(A9="",E9=""),"",IF(C9="","",C9+E9))</f>
        <v/>
      </c>
      <c r="G9" s="380" t="inlineStr">
        <is>
          <t>Agent 02</t>
        </is>
      </c>
      <c r="H9" s="491" t="n"/>
      <c r="I9" s="492">
        <f>IF(A9="","Pending",IF(H9="","⚠️ Enter Code",IF(IFERROR(VLOOKUP(G9,DB_Agents!$B:$I,8,0),"")=H9,IF(AND(A9&lt;&gt;"",E9&lt;&gt;""),"Saved","Pending"),"🔒 BLOCKED — Wrong Code")))</f>
        <v/>
      </c>
      <c r="J9" s="493">
        <f>IF(I9="Saved",TEXT(TODAY(),"YYYY-MM-DD")&amp;" Auto","—")</f>
        <v/>
      </c>
      <c r="K9" s="494" t="n"/>
    </row>
    <row r="10" ht="15" customHeight="1" s="341">
      <c r="A10" s="495" t="n"/>
      <c r="B10" s="382">
        <f>IF(A10="","",IFERROR(VLOOKUP(A10,DB_Customers!$A:$D,4,0),"❌ Account Not Found"))</f>
        <v/>
      </c>
      <c r="C10" s="496">
        <f>IF(A10="","",IFERROR(VLOOKUP(A10,DB_Customers!$A:$N,14,0),""))</f>
        <v/>
      </c>
      <c r="D10" s="497">
        <f>IF(A10="","",TODAY())</f>
        <v/>
      </c>
      <c r="E10" s="489" t="n"/>
      <c r="F10" s="498">
        <f>IF(OR(A10="",E10=""),"",IF(C10="","",C10+E10))</f>
        <v/>
      </c>
      <c r="G10" s="384" t="inlineStr">
        <is>
          <t>Agent 02</t>
        </is>
      </c>
      <c r="H10" s="491" t="n"/>
      <c r="I10" s="499">
        <f>IF(A10="","Pending",IF(H10="","⚠️ Enter Code",IF(IFERROR(VLOOKUP(G10,DB_Agents!$B:$I,8,0),"")=H10,IF(AND(A10&lt;&gt;"",E10&lt;&gt;""),"Saved","Pending"),"🔒 BLOCKED — Wrong Code")))</f>
        <v/>
      </c>
      <c r="J10" s="500">
        <f>IF(I10="Saved",TEXT(TODAY(),"YYYY-MM-DD")&amp;" Auto","—")</f>
        <v/>
      </c>
      <c r="K10" s="501" t="n"/>
    </row>
    <row r="11" ht="15" customHeight="1" s="341">
      <c r="A11" s="486" t="n"/>
      <c r="B11" s="378">
        <f>IF(A11="","",IFERROR(VLOOKUP(A11,DB_Customers!$A:$D,4,0),"❌ Account Not Found"))</f>
        <v/>
      </c>
      <c r="C11" s="487">
        <f>IF(A11="","",IFERROR(VLOOKUP(A11,DB_Customers!$A:$N,14,0),""))</f>
        <v/>
      </c>
      <c r="D11" s="488">
        <f>IF(A11="","",TODAY())</f>
        <v/>
      </c>
      <c r="E11" s="489" t="n"/>
      <c r="F11" s="490">
        <f>IF(OR(A11="",E11=""),"",IF(C11="","",C11+E11))</f>
        <v/>
      </c>
      <c r="G11" s="380" t="inlineStr">
        <is>
          <t>Agent 02</t>
        </is>
      </c>
      <c r="H11" s="491" t="n"/>
      <c r="I11" s="492">
        <f>IF(A11="","Pending",IF(H11="","⚠️ Enter Code",IF(IFERROR(VLOOKUP(G11,DB_Agents!$B:$I,8,0),"")=H11,IF(AND(A11&lt;&gt;"",E11&lt;&gt;""),"Saved","Pending"),"🔒 BLOCKED — Wrong Code")))</f>
        <v/>
      </c>
      <c r="J11" s="493">
        <f>IF(I11="Saved",TEXT(TODAY(),"YYYY-MM-DD")&amp;" Auto","—")</f>
        <v/>
      </c>
      <c r="K11" s="494" t="n"/>
    </row>
    <row r="12" ht="15" customHeight="1" s="341">
      <c r="A12" s="495" t="n"/>
      <c r="B12" s="382">
        <f>IF(A12="","",IFERROR(VLOOKUP(A12,DB_Customers!$A:$D,4,0),"❌ Account Not Found"))</f>
        <v/>
      </c>
      <c r="C12" s="496">
        <f>IF(A12="","",IFERROR(VLOOKUP(A12,DB_Customers!$A:$N,14,0),""))</f>
        <v/>
      </c>
      <c r="D12" s="497">
        <f>IF(A12="","",TODAY())</f>
        <v/>
      </c>
      <c r="E12" s="489" t="n"/>
      <c r="F12" s="498">
        <f>IF(OR(A12="",E12=""),"",IF(C12="","",C12+E12))</f>
        <v/>
      </c>
      <c r="G12" s="384" t="inlineStr">
        <is>
          <t>Agent 02</t>
        </is>
      </c>
      <c r="H12" s="491" t="n"/>
      <c r="I12" s="499">
        <f>IF(A12="","Pending",IF(H12="","⚠️ Enter Code",IF(IFERROR(VLOOKUP(G12,DB_Agents!$B:$I,8,0),"")=H12,IF(AND(A12&lt;&gt;"",E12&lt;&gt;""),"Saved","Pending"),"🔒 BLOCKED — Wrong Code")))</f>
        <v/>
      </c>
      <c r="J12" s="500">
        <f>IF(I12="Saved",TEXT(TODAY(),"YYYY-MM-DD")&amp;" Auto","—")</f>
        <v/>
      </c>
      <c r="K12" s="501" t="n"/>
    </row>
    <row r="13" ht="15" customHeight="1" s="341">
      <c r="A13" s="486" t="n"/>
      <c r="B13" s="378">
        <f>IF(A13="","",IFERROR(VLOOKUP(A13,DB_Customers!$A:$D,4,0),"❌ Account Not Found"))</f>
        <v/>
      </c>
      <c r="C13" s="487">
        <f>IF(A13="","",IFERROR(VLOOKUP(A13,DB_Customers!$A:$N,14,0),""))</f>
        <v/>
      </c>
      <c r="D13" s="488">
        <f>IF(A13="","",TODAY())</f>
        <v/>
      </c>
      <c r="E13" s="489" t="n"/>
      <c r="F13" s="490">
        <f>IF(OR(A13="",E13=""),"",IF(C13="","",C13+E13))</f>
        <v/>
      </c>
      <c r="G13" s="380" t="inlineStr">
        <is>
          <t>Agent 02</t>
        </is>
      </c>
      <c r="H13" s="491" t="n"/>
      <c r="I13" s="492">
        <f>IF(A13="","Pending",IF(H13="","⚠️ Enter Code",IF(IFERROR(VLOOKUP(G13,DB_Agents!$B:$I,8,0),"")=H13,IF(AND(A13&lt;&gt;"",E13&lt;&gt;""),"Saved","Pending"),"🔒 BLOCKED — Wrong Code")))</f>
        <v/>
      </c>
      <c r="J13" s="493">
        <f>IF(I13="Saved",TEXT(TODAY(),"YYYY-MM-DD")&amp;" Auto","—")</f>
        <v/>
      </c>
      <c r="K13" s="494" t="n"/>
    </row>
    <row r="14" ht="15" customHeight="1" s="341">
      <c r="A14" s="495" t="n"/>
      <c r="B14" s="382">
        <f>IF(A14="","",IFERROR(VLOOKUP(A14,DB_Customers!$A:$D,4,0),"❌ Account Not Found"))</f>
        <v/>
      </c>
      <c r="C14" s="496">
        <f>IF(A14="","",IFERROR(VLOOKUP(A14,DB_Customers!$A:$N,14,0),""))</f>
        <v/>
      </c>
      <c r="D14" s="497">
        <f>IF(A14="","",TODAY())</f>
        <v/>
      </c>
      <c r="E14" s="489" t="n"/>
      <c r="F14" s="498">
        <f>IF(OR(A14="",E14=""),"",IF(C14="","",C14+E14))</f>
        <v/>
      </c>
      <c r="G14" s="384" t="inlineStr">
        <is>
          <t>Agent 02</t>
        </is>
      </c>
      <c r="H14" s="491" t="n"/>
      <c r="I14" s="499">
        <f>IF(A14="","Pending",IF(H14="","⚠️ Enter Code",IF(IFERROR(VLOOKUP(G14,DB_Agents!$B:$I,8,0),"")=H14,IF(AND(A14&lt;&gt;"",E14&lt;&gt;""),"Saved","Pending"),"🔒 BLOCKED — Wrong Code")))</f>
        <v/>
      </c>
      <c r="J14" s="500">
        <f>IF(I14="Saved",TEXT(TODAY(),"YYYY-MM-DD")&amp;" Auto","—")</f>
        <v/>
      </c>
      <c r="K14" s="501" t="n"/>
    </row>
    <row r="15" ht="15" customHeight="1" s="341">
      <c r="A15" s="486" t="n"/>
      <c r="B15" s="378">
        <f>IF(A15="","",IFERROR(VLOOKUP(A15,DB_Customers!$A:$D,4,0),"❌ Account Not Found"))</f>
        <v/>
      </c>
      <c r="C15" s="487">
        <f>IF(A15="","",IFERROR(VLOOKUP(A15,DB_Customers!$A:$N,14,0),""))</f>
        <v/>
      </c>
      <c r="D15" s="488">
        <f>IF(A15="","",TODAY())</f>
        <v/>
      </c>
      <c r="E15" s="489" t="n"/>
      <c r="F15" s="490">
        <f>IF(OR(A15="",E15=""),"",IF(C15="","",C15+E15))</f>
        <v/>
      </c>
      <c r="G15" s="380" t="inlineStr">
        <is>
          <t>Agent 02</t>
        </is>
      </c>
      <c r="H15" s="491" t="n"/>
      <c r="I15" s="492">
        <f>IF(A15="","Pending",IF(H15="","⚠️ Enter Code",IF(IFERROR(VLOOKUP(G15,DB_Agents!$B:$I,8,0),"")=H15,IF(AND(A15&lt;&gt;"",E15&lt;&gt;""),"Saved","Pending"),"🔒 BLOCKED — Wrong Code")))</f>
        <v/>
      </c>
      <c r="J15" s="493">
        <f>IF(I15="Saved",TEXT(TODAY(),"YYYY-MM-DD")&amp;" Auto","—")</f>
        <v/>
      </c>
      <c r="K15" s="494" t="n"/>
    </row>
    <row r="16" ht="15" customHeight="1" s="341">
      <c r="A16" s="495" t="n"/>
      <c r="B16" s="382">
        <f>IF(A16="","",IFERROR(VLOOKUP(A16,DB_Customers!$A:$D,4,0),"❌ Account Not Found"))</f>
        <v/>
      </c>
      <c r="C16" s="496">
        <f>IF(A16="","",IFERROR(VLOOKUP(A16,DB_Customers!$A:$N,14,0),""))</f>
        <v/>
      </c>
      <c r="D16" s="497">
        <f>IF(A16="","",TODAY())</f>
        <v/>
      </c>
      <c r="E16" s="489" t="n"/>
      <c r="F16" s="498">
        <f>IF(OR(A16="",E16=""),"",IF(C16="","",C16+E16))</f>
        <v/>
      </c>
      <c r="G16" s="384" t="inlineStr">
        <is>
          <t>Agent 02</t>
        </is>
      </c>
      <c r="H16" s="491" t="n"/>
      <c r="I16" s="499">
        <f>IF(A16="","Pending",IF(H16="","⚠️ Enter Code",IF(IFERROR(VLOOKUP(G16,DB_Agents!$B:$I,8,0),"")=H16,IF(AND(A16&lt;&gt;"",E16&lt;&gt;""),"Saved","Pending"),"🔒 BLOCKED — Wrong Code")))</f>
        <v/>
      </c>
      <c r="J16" s="500">
        <f>IF(I16="Saved",TEXT(TODAY(),"YYYY-MM-DD")&amp;" Auto","—")</f>
        <v/>
      </c>
      <c r="K16" s="501" t="n"/>
    </row>
    <row r="17" ht="15" customHeight="1" s="341">
      <c r="A17" s="486" t="n"/>
      <c r="B17" s="378">
        <f>IF(A17="","",IFERROR(VLOOKUP(A17,DB_Customers!$A:$D,4,0),"❌ Account Not Found"))</f>
        <v/>
      </c>
      <c r="C17" s="487">
        <f>IF(A17="","",IFERROR(VLOOKUP(A17,DB_Customers!$A:$N,14,0),""))</f>
        <v/>
      </c>
      <c r="D17" s="488">
        <f>IF(A17="","",TODAY())</f>
        <v/>
      </c>
      <c r="E17" s="489" t="n"/>
      <c r="F17" s="490">
        <f>IF(OR(A17="",E17=""),"",IF(C17="","",C17+E17))</f>
        <v/>
      </c>
      <c r="G17" s="380" t="inlineStr">
        <is>
          <t>Agent 02</t>
        </is>
      </c>
      <c r="H17" s="491" t="n"/>
      <c r="I17" s="492">
        <f>IF(A17="","Pending",IF(H17="","⚠️ Enter Code",IF(IFERROR(VLOOKUP(G17,DB_Agents!$B:$I,8,0),"")=H17,IF(AND(A17&lt;&gt;"",E17&lt;&gt;""),"Saved","Pending"),"🔒 BLOCKED — Wrong Code")))</f>
        <v/>
      </c>
      <c r="J17" s="493">
        <f>IF(I17="Saved",TEXT(TODAY(),"YYYY-MM-DD")&amp;" Auto","—")</f>
        <v/>
      </c>
      <c r="K17" s="494" t="n"/>
    </row>
    <row r="18" ht="15" customHeight="1" s="341">
      <c r="A18" s="495" t="n"/>
      <c r="B18" s="382">
        <f>IF(A18="","",IFERROR(VLOOKUP(A18,DB_Customers!$A:$D,4,0),"❌ Account Not Found"))</f>
        <v/>
      </c>
      <c r="C18" s="496">
        <f>IF(A18="","",IFERROR(VLOOKUP(A18,DB_Customers!$A:$N,14,0),""))</f>
        <v/>
      </c>
      <c r="D18" s="497">
        <f>IF(A18="","",TODAY())</f>
        <v/>
      </c>
      <c r="E18" s="489" t="n"/>
      <c r="F18" s="498">
        <f>IF(OR(A18="",E18=""),"",IF(C18="","",C18+E18))</f>
        <v/>
      </c>
      <c r="G18" s="384" t="inlineStr">
        <is>
          <t>Agent 02</t>
        </is>
      </c>
      <c r="H18" s="491" t="n"/>
      <c r="I18" s="499">
        <f>IF(A18="","Pending",IF(H18="","⚠️ Enter Code",IF(IFERROR(VLOOKUP(G18,DB_Agents!$B:$I,8,0),"")=H18,IF(AND(A18&lt;&gt;"",E18&lt;&gt;""),"Saved","Pending"),"🔒 BLOCKED — Wrong Code")))</f>
        <v/>
      </c>
      <c r="J18" s="500">
        <f>IF(I18="Saved",TEXT(TODAY(),"YYYY-MM-DD")&amp;" Auto","—")</f>
        <v/>
      </c>
      <c r="K18" s="501" t="n"/>
    </row>
    <row r="19" ht="15" customHeight="1" s="341">
      <c r="A19" s="486" t="n"/>
      <c r="B19" s="378">
        <f>IF(A19="","",IFERROR(VLOOKUP(A19,DB_Customers!$A:$D,4,0),"❌ Account Not Found"))</f>
        <v/>
      </c>
      <c r="C19" s="487">
        <f>IF(A19="","",IFERROR(VLOOKUP(A19,DB_Customers!$A:$N,14,0),""))</f>
        <v/>
      </c>
      <c r="D19" s="488">
        <f>IF(A19="","",TODAY())</f>
        <v/>
      </c>
      <c r="E19" s="489" t="n"/>
      <c r="F19" s="490">
        <f>IF(OR(A19="",E19=""),"",IF(C19="","",C19+E19))</f>
        <v/>
      </c>
      <c r="G19" s="380" t="inlineStr">
        <is>
          <t>Agent 02</t>
        </is>
      </c>
      <c r="H19" s="491" t="n"/>
      <c r="I19" s="492">
        <f>IF(A19="","Pending",IF(H19="","⚠️ Enter Code",IF(IFERROR(VLOOKUP(G19,DB_Agents!$B:$I,8,0),"")=H19,IF(AND(A19&lt;&gt;"",E19&lt;&gt;""),"Saved","Pending"),"🔒 BLOCKED — Wrong Code")))</f>
        <v/>
      </c>
      <c r="J19" s="493">
        <f>IF(I19="Saved",TEXT(TODAY(),"YYYY-MM-DD")&amp;" Auto","—")</f>
        <v/>
      </c>
      <c r="K19" s="494" t="n"/>
    </row>
    <row r="20" ht="15" customHeight="1" s="341">
      <c r="A20" s="495" t="n"/>
      <c r="B20" s="382">
        <f>IF(A20="","",IFERROR(VLOOKUP(A20,DB_Customers!$A:$D,4,0),"❌ Account Not Found"))</f>
        <v/>
      </c>
      <c r="C20" s="496">
        <f>IF(A20="","",IFERROR(VLOOKUP(A20,DB_Customers!$A:$N,14,0),""))</f>
        <v/>
      </c>
      <c r="D20" s="497">
        <f>IF(A20="","",TODAY())</f>
        <v/>
      </c>
      <c r="E20" s="489" t="n"/>
      <c r="F20" s="498">
        <f>IF(OR(A20="",E20=""),"",IF(C20="","",C20+E20))</f>
        <v/>
      </c>
      <c r="G20" s="384" t="inlineStr">
        <is>
          <t>Agent 02</t>
        </is>
      </c>
      <c r="H20" s="491" t="n"/>
      <c r="I20" s="499">
        <f>IF(A20="","Pending",IF(H20="","⚠️ Enter Code",IF(IFERROR(VLOOKUP(G20,DB_Agents!$B:$I,8,0),"")=H20,IF(AND(A20&lt;&gt;"",E20&lt;&gt;""),"Saved","Pending"),"🔒 BLOCKED — Wrong Code")))</f>
        <v/>
      </c>
      <c r="J20" s="500">
        <f>IF(I20="Saved",TEXT(TODAY(),"YYYY-MM-DD")&amp;" Auto","—")</f>
        <v/>
      </c>
      <c r="K20" s="501" t="n"/>
    </row>
    <row r="21" ht="15" customHeight="1" s="341">
      <c r="A21" s="486" t="n"/>
      <c r="B21" s="378">
        <f>IF(A21="","",IFERROR(VLOOKUP(A21,DB_Customers!$A:$D,4,0),"❌ Account Not Found"))</f>
        <v/>
      </c>
      <c r="C21" s="487">
        <f>IF(A21="","",IFERROR(VLOOKUP(A21,DB_Customers!$A:$N,14,0),""))</f>
        <v/>
      </c>
      <c r="D21" s="488">
        <f>IF(A21="","",TODAY())</f>
        <v/>
      </c>
      <c r="E21" s="489" t="n"/>
      <c r="F21" s="490">
        <f>IF(OR(A21="",E21=""),"",IF(C21="","",C21+E21))</f>
        <v/>
      </c>
      <c r="G21" s="380" t="inlineStr">
        <is>
          <t>Agent 02</t>
        </is>
      </c>
      <c r="H21" s="491" t="n"/>
      <c r="I21" s="492">
        <f>IF(A21="","Pending",IF(H21="","⚠️ Enter Code",IF(IFERROR(VLOOKUP(G21,DB_Agents!$B:$I,8,0),"")=H21,IF(AND(A21&lt;&gt;"",E21&lt;&gt;""),"Saved","Pending"),"🔒 BLOCKED — Wrong Code")))</f>
        <v/>
      </c>
      <c r="J21" s="493">
        <f>IF(I21="Saved",TEXT(TODAY(),"YYYY-MM-DD")&amp;" Auto","—")</f>
        <v/>
      </c>
      <c r="K21" s="494" t="n"/>
    </row>
    <row r="22" ht="15" customHeight="1" s="341">
      <c r="A22" s="495" t="n"/>
      <c r="B22" s="382">
        <f>IF(A22="","",IFERROR(VLOOKUP(A22,DB_Customers!$A:$D,4,0),"❌ Account Not Found"))</f>
        <v/>
      </c>
      <c r="C22" s="496">
        <f>IF(A22="","",IFERROR(VLOOKUP(A22,DB_Customers!$A:$N,14,0),""))</f>
        <v/>
      </c>
      <c r="D22" s="497">
        <f>IF(A22="","",TODAY())</f>
        <v/>
      </c>
      <c r="E22" s="489" t="n"/>
      <c r="F22" s="498">
        <f>IF(OR(A22="",E22=""),"",IF(C22="","",C22+E22))</f>
        <v/>
      </c>
      <c r="G22" s="384" t="inlineStr">
        <is>
          <t>Agent 02</t>
        </is>
      </c>
      <c r="H22" s="491" t="n"/>
      <c r="I22" s="499">
        <f>IF(A22="","Pending",IF(H22="","⚠️ Enter Code",IF(IFERROR(VLOOKUP(G22,DB_Agents!$B:$I,8,0),"")=H22,IF(AND(A22&lt;&gt;"",E22&lt;&gt;""),"Saved","Pending"),"🔒 BLOCKED — Wrong Code")))</f>
        <v/>
      </c>
      <c r="J22" s="500">
        <f>IF(I22="Saved",TEXT(TODAY(),"YYYY-MM-DD")&amp;" Auto","—")</f>
        <v/>
      </c>
      <c r="K22" s="501" t="n"/>
    </row>
    <row r="23" ht="15" customHeight="1" s="341">
      <c r="A23" s="486" t="n"/>
      <c r="B23" s="378">
        <f>IF(A23="","",IFERROR(VLOOKUP(A23,DB_Customers!$A:$D,4,0),"❌ Account Not Found"))</f>
        <v/>
      </c>
      <c r="C23" s="487">
        <f>IF(A23="","",IFERROR(VLOOKUP(A23,DB_Customers!$A:$N,14,0),""))</f>
        <v/>
      </c>
      <c r="D23" s="488">
        <f>IF(A23="","",TODAY())</f>
        <v/>
      </c>
      <c r="E23" s="489" t="n"/>
      <c r="F23" s="490">
        <f>IF(OR(A23="",E23=""),"",IF(C23="","",C23+E23))</f>
        <v/>
      </c>
      <c r="G23" s="380" t="inlineStr">
        <is>
          <t>Agent 02</t>
        </is>
      </c>
      <c r="H23" s="491" t="n"/>
      <c r="I23" s="492">
        <f>IF(A23="","Pending",IF(H23="","⚠️ Enter Code",IF(IFERROR(VLOOKUP(G23,DB_Agents!$B:$I,8,0),"")=H23,IF(AND(A23&lt;&gt;"",E23&lt;&gt;""),"Saved","Pending"),"🔒 BLOCKED — Wrong Code")))</f>
        <v/>
      </c>
      <c r="J23" s="493">
        <f>IF(I23="Saved",TEXT(TODAY(),"YYYY-MM-DD")&amp;" Auto","—")</f>
        <v/>
      </c>
      <c r="K23" s="494" t="n"/>
    </row>
    <row r="24" ht="15" customHeight="1" s="341">
      <c r="A24" s="495" t="n"/>
      <c r="B24" s="382">
        <f>IF(A24="","",IFERROR(VLOOKUP(A24,DB_Customers!$A:$D,4,0),"❌ Account Not Found"))</f>
        <v/>
      </c>
      <c r="C24" s="496">
        <f>IF(A24="","",IFERROR(VLOOKUP(A24,DB_Customers!$A:$N,14,0),""))</f>
        <v/>
      </c>
      <c r="D24" s="497">
        <f>IF(A24="","",TODAY())</f>
        <v/>
      </c>
      <c r="E24" s="489" t="n"/>
      <c r="F24" s="498">
        <f>IF(OR(A24="",E24=""),"",IF(C24="","",C24+E24))</f>
        <v/>
      </c>
      <c r="G24" s="384" t="inlineStr">
        <is>
          <t>Agent 02</t>
        </is>
      </c>
      <c r="H24" s="491" t="n"/>
      <c r="I24" s="499">
        <f>IF(A24="","Pending",IF(H24="","⚠️ Enter Code",IF(IFERROR(VLOOKUP(G24,DB_Agents!$B:$I,8,0),"")=H24,IF(AND(A24&lt;&gt;"",E24&lt;&gt;""),"Saved","Pending"),"🔒 BLOCKED — Wrong Code")))</f>
        <v/>
      </c>
      <c r="J24" s="500">
        <f>IF(I24="Saved",TEXT(TODAY(),"YYYY-MM-DD")&amp;" Auto","—")</f>
        <v/>
      </c>
      <c r="K24" s="501" t="n"/>
    </row>
    <row r="25" ht="15" customHeight="1" s="341">
      <c r="A25" s="486" t="n"/>
      <c r="B25" s="378">
        <f>IF(A25="","",IFERROR(VLOOKUP(A25,DB_Customers!$A:$D,4,0),"❌ Account Not Found"))</f>
        <v/>
      </c>
      <c r="C25" s="487">
        <f>IF(A25="","",IFERROR(VLOOKUP(A25,DB_Customers!$A:$N,14,0),""))</f>
        <v/>
      </c>
      <c r="D25" s="488">
        <f>IF(A25="","",TODAY())</f>
        <v/>
      </c>
      <c r="E25" s="489" t="n"/>
      <c r="F25" s="490">
        <f>IF(OR(A25="",E25=""),"",IF(C25="","",C25+E25))</f>
        <v/>
      </c>
      <c r="G25" s="380" t="inlineStr">
        <is>
          <t>Agent 02</t>
        </is>
      </c>
      <c r="H25" s="491" t="n"/>
      <c r="I25" s="492">
        <f>IF(A25="","Pending",IF(H25="","⚠️ Enter Code",IF(IFERROR(VLOOKUP(G25,DB_Agents!$B:$I,8,0),"")=H25,IF(AND(A25&lt;&gt;"",E25&lt;&gt;""),"Saved","Pending"),"🔒 BLOCKED — Wrong Code")))</f>
        <v/>
      </c>
      <c r="J25" s="493">
        <f>IF(I25="Saved",TEXT(TODAY(),"YYYY-MM-DD")&amp;" Auto","—")</f>
        <v/>
      </c>
      <c r="K25" s="494" t="n"/>
    </row>
    <row r="26" ht="15" customHeight="1" s="341">
      <c r="A26" s="495" t="n"/>
      <c r="B26" s="382">
        <f>IF(A26="","",IFERROR(VLOOKUP(A26,DB_Customers!$A:$D,4,0),"❌ Account Not Found"))</f>
        <v/>
      </c>
      <c r="C26" s="496">
        <f>IF(A26="","",IFERROR(VLOOKUP(A26,DB_Customers!$A:$N,14,0),""))</f>
        <v/>
      </c>
      <c r="D26" s="497">
        <f>IF(A26="","",TODAY())</f>
        <v/>
      </c>
      <c r="E26" s="489" t="n"/>
      <c r="F26" s="498">
        <f>IF(OR(A26="",E26=""),"",IF(C26="","",C26+E26))</f>
        <v/>
      </c>
      <c r="G26" s="384" t="inlineStr">
        <is>
          <t>Agent 02</t>
        </is>
      </c>
      <c r="H26" s="491" t="n"/>
      <c r="I26" s="499">
        <f>IF(A26="","Pending",IF(H26="","⚠️ Enter Code",IF(IFERROR(VLOOKUP(G26,DB_Agents!$B:$I,8,0),"")=H26,IF(AND(A26&lt;&gt;"",E26&lt;&gt;""),"Saved","Pending"),"🔒 BLOCKED — Wrong Code")))</f>
        <v/>
      </c>
      <c r="J26" s="500">
        <f>IF(I26="Saved",TEXT(TODAY(),"YYYY-MM-DD")&amp;" Auto","—")</f>
        <v/>
      </c>
      <c r="K26" s="501" t="n"/>
    </row>
    <row r="27" ht="15" customHeight="1" s="341">
      <c r="A27" s="486" t="n"/>
      <c r="B27" s="378">
        <f>IF(A27="","",IFERROR(VLOOKUP(A27,DB_Customers!$A:$D,4,0),"❌ Account Not Found"))</f>
        <v/>
      </c>
      <c r="C27" s="487">
        <f>IF(A27="","",IFERROR(VLOOKUP(A27,DB_Customers!$A:$N,14,0),""))</f>
        <v/>
      </c>
      <c r="D27" s="488">
        <f>IF(A27="","",TODAY())</f>
        <v/>
      </c>
      <c r="E27" s="489" t="n"/>
      <c r="F27" s="490">
        <f>IF(OR(A27="",E27=""),"",IF(C27="","",C27+E27))</f>
        <v/>
      </c>
      <c r="G27" s="380" t="inlineStr">
        <is>
          <t>Agent 02</t>
        </is>
      </c>
      <c r="H27" s="491" t="n"/>
      <c r="I27" s="492">
        <f>IF(A27="","Pending",IF(H27="","⚠️ Enter Code",IF(IFERROR(VLOOKUP(G27,DB_Agents!$B:$I,8,0),"")=H27,IF(AND(A27&lt;&gt;"",E27&lt;&gt;""),"Saved","Pending"),"🔒 BLOCKED — Wrong Code")))</f>
        <v/>
      </c>
      <c r="J27" s="493">
        <f>IF(I27="Saved",TEXT(TODAY(),"YYYY-MM-DD")&amp;" Auto","—")</f>
        <v/>
      </c>
      <c r="K27" s="494" t="n"/>
    </row>
    <row r="28" ht="15" customHeight="1" s="341">
      <c r="A28" s="495" t="n"/>
      <c r="B28" s="382">
        <f>IF(A28="","",IFERROR(VLOOKUP(A28,DB_Customers!$A:$D,4,0),"❌ Account Not Found"))</f>
        <v/>
      </c>
      <c r="C28" s="496">
        <f>IF(A28="","",IFERROR(VLOOKUP(A28,DB_Customers!$A:$N,14,0),""))</f>
        <v/>
      </c>
      <c r="D28" s="497">
        <f>IF(A28="","",TODAY())</f>
        <v/>
      </c>
      <c r="E28" s="489" t="n"/>
      <c r="F28" s="498">
        <f>IF(OR(A28="",E28=""),"",IF(C28="","",C28+E28))</f>
        <v/>
      </c>
      <c r="G28" s="384" t="inlineStr">
        <is>
          <t>Agent 02</t>
        </is>
      </c>
      <c r="H28" s="491" t="n"/>
      <c r="I28" s="499">
        <f>IF(A28="","Pending",IF(H28="","⚠️ Enter Code",IF(IFERROR(VLOOKUP(G28,DB_Agents!$B:$I,8,0),"")=H28,IF(AND(A28&lt;&gt;"",E28&lt;&gt;""),"Saved","Pending"),"🔒 BLOCKED — Wrong Code")))</f>
        <v/>
      </c>
      <c r="J28" s="500">
        <f>IF(I28="Saved",TEXT(TODAY(),"YYYY-MM-DD")&amp;" Auto","—")</f>
        <v/>
      </c>
      <c r="K28" s="501" t="n"/>
    </row>
    <row r="29" ht="15" customHeight="1" s="341">
      <c r="A29" s="486" t="n"/>
      <c r="B29" s="378">
        <f>IF(A29="","",IFERROR(VLOOKUP(A29,DB_Customers!$A:$D,4,0),"❌ Account Not Found"))</f>
        <v/>
      </c>
      <c r="C29" s="487">
        <f>IF(A29="","",IFERROR(VLOOKUP(A29,DB_Customers!$A:$N,14,0),""))</f>
        <v/>
      </c>
      <c r="D29" s="488">
        <f>IF(A29="","",TODAY())</f>
        <v/>
      </c>
      <c r="E29" s="489" t="n"/>
      <c r="F29" s="490">
        <f>IF(OR(A29="",E29=""),"",IF(C29="","",C29+E29))</f>
        <v/>
      </c>
      <c r="G29" s="380" t="inlineStr">
        <is>
          <t>Agent 02</t>
        </is>
      </c>
      <c r="H29" s="491" t="n"/>
      <c r="I29" s="492">
        <f>IF(A29="","Pending",IF(H29="","⚠️ Enter Code",IF(IFERROR(VLOOKUP(G29,DB_Agents!$B:$I,8,0),"")=H29,IF(AND(A29&lt;&gt;"",E29&lt;&gt;""),"Saved","Pending"),"🔒 BLOCKED — Wrong Code")))</f>
        <v/>
      </c>
      <c r="J29" s="493">
        <f>IF(I29="Saved",TEXT(TODAY(),"YYYY-MM-DD")&amp;" Auto","—")</f>
        <v/>
      </c>
      <c r="K29" s="494" t="n"/>
    </row>
    <row r="30" ht="15" customHeight="1" s="341">
      <c r="A30" s="495" t="n"/>
      <c r="B30" s="382">
        <f>IF(A30="","",IFERROR(VLOOKUP(A30,DB_Customers!$A:$D,4,0),"❌ Account Not Found"))</f>
        <v/>
      </c>
      <c r="C30" s="496">
        <f>IF(A30="","",IFERROR(VLOOKUP(A30,DB_Customers!$A:$N,14,0),""))</f>
        <v/>
      </c>
      <c r="D30" s="497">
        <f>IF(A30="","",TODAY())</f>
        <v/>
      </c>
      <c r="E30" s="489" t="n"/>
      <c r="F30" s="498">
        <f>IF(OR(A30="",E30=""),"",IF(C30="","",C30+E30))</f>
        <v/>
      </c>
      <c r="G30" s="384" t="inlineStr">
        <is>
          <t>Agent 02</t>
        </is>
      </c>
      <c r="H30" s="491" t="n"/>
      <c r="I30" s="499">
        <f>IF(A30="","Pending",IF(H30="","⚠️ Enter Code",IF(IFERROR(VLOOKUP(G30,DB_Agents!$B:$I,8,0),"")=H30,IF(AND(A30&lt;&gt;"",E30&lt;&gt;""),"Saved","Pending"),"🔒 BLOCKED — Wrong Code")))</f>
        <v/>
      </c>
      <c r="J30" s="500">
        <f>IF(I30="Saved",TEXT(TODAY(),"YYYY-MM-DD")&amp;" Auto","—")</f>
        <v/>
      </c>
      <c r="K30" s="501" t="n"/>
    </row>
    <row r="31" ht="15" customHeight="1" s="341">
      <c r="A31" s="486" t="n"/>
      <c r="B31" s="378">
        <f>IF(A31="","",IFERROR(VLOOKUP(A31,DB_Customers!$A:$D,4,0),"❌ Account Not Found"))</f>
        <v/>
      </c>
      <c r="C31" s="487">
        <f>IF(A31="","",IFERROR(VLOOKUP(A31,DB_Customers!$A:$N,14,0),""))</f>
        <v/>
      </c>
      <c r="D31" s="488">
        <f>IF(A31="","",TODAY())</f>
        <v/>
      </c>
      <c r="E31" s="489" t="n"/>
      <c r="F31" s="490">
        <f>IF(OR(A31="",E31=""),"",IF(C31="","",C31+E31))</f>
        <v/>
      </c>
      <c r="G31" s="380" t="inlineStr">
        <is>
          <t>Agent 02</t>
        </is>
      </c>
      <c r="H31" s="491" t="n"/>
      <c r="I31" s="492">
        <f>IF(A31="","Pending",IF(H31="","⚠️ Enter Code",IF(IFERROR(VLOOKUP(G31,DB_Agents!$B:$I,8,0),"")=H31,IF(AND(A31&lt;&gt;"",E31&lt;&gt;""),"Saved","Pending"),"🔒 BLOCKED — Wrong Code")))</f>
        <v/>
      </c>
      <c r="J31" s="493">
        <f>IF(I31="Saved",TEXT(TODAY(),"YYYY-MM-DD")&amp;" Auto","—")</f>
        <v/>
      </c>
      <c r="K31" s="494" t="n"/>
    </row>
    <row r="32" ht="15" customHeight="1" s="341">
      <c r="A32" s="495" t="n"/>
      <c r="B32" s="382">
        <f>IF(A32="","",IFERROR(VLOOKUP(A32,DB_Customers!$A:$D,4,0),"❌ Account Not Found"))</f>
        <v/>
      </c>
      <c r="C32" s="496">
        <f>IF(A32="","",IFERROR(VLOOKUP(A32,DB_Customers!$A:$N,14,0),""))</f>
        <v/>
      </c>
      <c r="D32" s="497">
        <f>IF(A32="","",TODAY())</f>
        <v/>
      </c>
      <c r="E32" s="489" t="n"/>
      <c r="F32" s="498">
        <f>IF(OR(A32="",E32=""),"",IF(C32="","",C32+E32))</f>
        <v/>
      </c>
      <c r="G32" s="384" t="inlineStr">
        <is>
          <t>Agent 02</t>
        </is>
      </c>
      <c r="H32" s="491" t="n"/>
      <c r="I32" s="499">
        <f>IF(A32="","Pending",IF(H32="","⚠️ Enter Code",IF(IFERROR(VLOOKUP(G32,DB_Agents!$B:$I,8,0),"")=H32,IF(AND(A32&lt;&gt;"",E32&lt;&gt;""),"Saved","Pending"),"🔒 BLOCKED — Wrong Code")))</f>
        <v/>
      </c>
      <c r="J32" s="500">
        <f>IF(I32="Saved",TEXT(TODAY(),"YYYY-MM-DD")&amp;" Auto","—")</f>
        <v/>
      </c>
      <c r="K32" s="501" t="n"/>
    </row>
    <row r="33" ht="15" customHeight="1" s="341">
      <c r="A33" s="486" t="n"/>
      <c r="B33" s="378">
        <f>IF(A33="","",IFERROR(VLOOKUP(A33,DB_Customers!$A:$D,4,0),"❌ Account Not Found"))</f>
        <v/>
      </c>
      <c r="C33" s="487">
        <f>IF(A33="","",IFERROR(VLOOKUP(A33,DB_Customers!$A:$N,14,0),""))</f>
        <v/>
      </c>
      <c r="D33" s="488">
        <f>IF(A33="","",TODAY())</f>
        <v/>
      </c>
      <c r="E33" s="489" t="n"/>
      <c r="F33" s="490">
        <f>IF(OR(A33="",E33=""),"",IF(C33="","",C33+E33))</f>
        <v/>
      </c>
      <c r="G33" s="380" t="inlineStr">
        <is>
          <t>Agent 02</t>
        </is>
      </c>
      <c r="H33" s="491" t="n"/>
      <c r="I33" s="492">
        <f>IF(A33="","Pending",IF(H33="","⚠️ Enter Code",IF(IFERROR(VLOOKUP(G33,DB_Agents!$B:$I,8,0),"")=H33,IF(AND(A33&lt;&gt;"",E33&lt;&gt;""),"Saved","Pending"),"🔒 BLOCKED — Wrong Code")))</f>
        <v/>
      </c>
      <c r="J33" s="493">
        <f>IF(I33="Saved",TEXT(TODAY(),"YYYY-MM-DD")&amp;" Auto","—")</f>
        <v/>
      </c>
      <c r="K33" s="494" t="n"/>
    </row>
    <row r="34" ht="15" customHeight="1" s="341">
      <c r="A34" s="495" t="n"/>
      <c r="B34" s="382">
        <f>IF(A34="","",IFERROR(VLOOKUP(A34,DB_Customers!$A:$D,4,0),"❌ Account Not Found"))</f>
        <v/>
      </c>
      <c r="C34" s="496">
        <f>IF(A34="","",IFERROR(VLOOKUP(A34,DB_Customers!$A:$N,14,0),""))</f>
        <v/>
      </c>
      <c r="D34" s="497">
        <f>IF(A34="","",TODAY())</f>
        <v/>
      </c>
      <c r="E34" s="489" t="n"/>
      <c r="F34" s="498">
        <f>IF(OR(A34="",E34=""),"",IF(C34="","",C34+E34))</f>
        <v/>
      </c>
      <c r="G34" s="384" t="inlineStr">
        <is>
          <t>Agent 02</t>
        </is>
      </c>
      <c r="H34" s="491" t="n"/>
      <c r="I34" s="499">
        <f>IF(A34="","Pending",IF(H34="","⚠️ Enter Code",IF(IFERROR(VLOOKUP(G34,DB_Agents!$B:$I,8,0),"")=H34,IF(AND(A34&lt;&gt;"",E34&lt;&gt;""),"Saved","Pending"),"🔒 BLOCKED — Wrong Code")))</f>
        <v/>
      </c>
      <c r="J34" s="500">
        <f>IF(I34="Saved",TEXT(TODAY(),"YYYY-MM-DD")&amp;" Auto","—")</f>
        <v/>
      </c>
      <c r="K34" s="501" t="n"/>
    </row>
    <row r="35" ht="15" customHeight="1" s="341">
      <c r="A35" s="486" t="n"/>
      <c r="B35" s="378">
        <f>IF(A35="","",IFERROR(VLOOKUP(A35,DB_Customers!$A:$D,4,0),"❌ Account Not Found"))</f>
        <v/>
      </c>
      <c r="C35" s="487">
        <f>IF(A35="","",IFERROR(VLOOKUP(A35,DB_Customers!$A:$N,14,0),""))</f>
        <v/>
      </c>
      <c r="D35" s="488">
        <f>IF(A35="","",TODAY())</f>
        <v/>
      </c>
      <c r="E35" s="489" t="n"/>
      <c r="F35" s="490">
        <f>IF(OR(A35="",E35=""),"",IF(C35="","",C35+E35))</f>
        <v/>
      </c>
      <c r="G35" s="380" t="inlineStr">
        <is>
          <t>Agent 02</t>
        </is>
      </c>
      <c r="H35" s="491" t="n"/>
      <c r="I35" s="492">
        <f>IF(A35="","Pending",IF(H35="","⚠️ Enter Code",IF(IFERROR(VLOOKUP(G35,DB_Agents!$B:$I,8,0),"")=H35,IF(AND(A35&lt;&gt;"",E35&lt;&gt;""),"Saved","Pending"),"🔒 BLOCKED — Wrong Code")))</f>
        <v/>
      </c>
      <c r="J35" s="493">
        <f>IF(I35="Saved",TEXT(TODAY(),"YYYY-MM-DD")&amp;" Auto","—")</f>
        <v/>
      </c>
      <c r="K35" s="494" t="n"/>
    </row>
    <row r="36" ht="15" customHeight="1" s="341">
      <c r="A36" s="495" t="n"/>
      <c r="B36" s="382">
        <f>IF(A36="","",IFERROR(VLOOKUP(A36,DB_Customers!$A:$D,4,0),"❌ Account Not Found"))</f>
        <v/>
      </c>
      <c r="C36" s="496">
        <f>IF(A36="","",IFERROR(VLOOKUP(A36,DB_Customers!$A:$N,14,0),""))</f>
        <v/>
      </c>
      <c r="D36" s="497">
        <f>IF(A36="","",TODAY())</f>
        <v/>
      </c>
      <c r="E36" s="489" t="n"/>
      <c r="F36" s="498">
        <f>IF(OR(A36="",E36=""),"",IF(C36="","",C36+E36))</f>
        <v/>
      </c>
      <c r="G36" s="384" t="inlineStr">
        <is>
          <t>Agent 02</t>
        </is>
      </c>
      <c r="H36" s="491" t="n"/>
      <c r="I36" s="499">
        <f>IF(A36="","Pending",IF(H36="","⚠️ Enter Code",IF(IFERROR(VLOOKUP(G36,DB_Agents!$B:$I,8,0),"")=H36,IF(AND(A36&lt;&gt;"",E36&lt;&gt;""),"Saved","Pending"),"🔒 BLOCKED — Wrong Code")))</f>
        <v/>
      </c>
      <c r="J36" s="500">
        <f>IF(I36="Saved",TEXT(TODAY(),"YYYY-MM-DD")&amp;" Auto","—")</f>
        <v/>
      </c>
      <c r="K36" s="501" t="n"/>
    </row>
    <row r="37" ht="15" customHeight="1" s="341">
      <c r="A37" s="486" t="n"/>
      <c r="B37" s="378">
        <f>IF(A37="","",IFERROR(VLOOKUP(A37,DB_Customers!$A:$D,4,0),"❌ Account Not Found"))</f>
        <v/>
      </c>
      <c r="C37" s="487">
        <f>IF(A37="","",IFERROR(VLOOKUP(A37,DB_Customers!$A:$N,14,0),""))</f>
        <v/>
      </c>
      <c r="D37" s="488">
        <f>IF(A37="","",TODAY())</f>
        <v/>
      </c>
      <c r="E37" s="489" t="n"/>
      <c r="F37" s="490">
        <f>IF(OR(A37="",E37=""),"",IF(C37="","",C37+E37))</f>
        <v/>
      </c>
      <c r="G37" s="380" t="inlineStr">
        <is>
          <t>Agent 02</t>
        </is>
      </c>
      <c r="H37" s="491" t="n"/>
      <c r="I37" s="492">
        <f>IF(A37="","Pending",IF(H37="","⚠️ Enter Code",IF(IFERROR(VLOOKUP(G37,DB_Agents!$B:$I,8,0),"")=H37,IF(AND(A37&lt;&gt;"",E37&lt;&gt;""),"Saved","Pending"),"🔒 BLOCKED — Wrong Code")))</f>
        <v/>
      </c>
      <c r="J37" s="493">
        <f>IF(I37="Saved",TEXT(TODAY(),"YYYY-MM-DD")&amp;" Auto","—")</f>
        <v/>
      </c>
      <c r="K37" s="494" t="n"/>
    </row>
    <row r="38" ht="15" customHeight="1" s="341">
      <c r="A38" s="495" t="n"/>
      <c r="B38" s="382">
        <f>IF(A38="","",IFERROR(VLOOKUP(A38,DB_Customers!$A:$D,4,0),"❌ Account Not Found"))</f>
        <v/>
      </c>
      <c r="C38" s="496">
        <f>IF(A38="","",IFERROR(VLOOKUP(A38,DB_Customers!$A:$N,14,0),""))</f>
        <v/>
      </c>
      <c r="D38" s="497">
        <f>IF(A38="","",TODAY())</f>
        <v/>
      </c>
      <c r="E38" s="489" t="n"/>
      <c r="F38" s="498">
        <f>IF(OR(A38="",E38=""),"",IF(C38="","",C38+E38))</f>
        <v/>
      </c>
      <c r="G38" s="384" t="inlineStr">
        <is>
          <t>Agent 02</t>
        </is>
      </c>
      <c r="H38" s="491" t="n"/>
      <c r="I38" s="499">
        <f>IF(A38="","Pending",IF(H38="","⚠️ Enter Code",IF(IFERROR(VLOOKUP(G38,DB_Agents!$B:$I,8,0),"")=H38,IF(AND(A38&lt;&gt;"",E38&lt;&gt;""),"Saved","Pending"),"🔒 BLOCKED — Wrong Code")))</f>
        <v/>
      </c>
      <c r="J38" s="500">
        <f>IF(I38="Saved",TEXT(TODAY(),"YYYY-MM-DD")&amp;" Auto","—")</f>
        <v/>
      </c>
      <c r="K38" s="501" t="n"/>
    </row>
    <row r="39" ht="15" customHeight="1" s="341">
      <c r="A39" s="486" t="n"/>
      <c r="B39" s="378">
        <f>IF(A39="","",IFERROR(VLOOKUP(A39,DB_Customers!$A:$D,4,0),"❌ Account Not Found"))</f>
        <v/>
      </c>
      <c r="C39" s="487">
        <f>IF(A39="","",IFERROR(VLOOKUP(A39,DB_Customers!$A:$N,14,0),""))</f>
        <v/>
      </c>
      <c r="D39" s="488">
        <f>IF(A39="","",TODAY())</f>
        <v/>
      </c>
      <c r="E39" s="489" t="n"/>
      <c r="F39" s="490">
        <f>IF(OR(A39="",E39=""),"",IF(C39="","",C39+E39))</f>
        <v/>
      </c>
      <c r="G39" s="380" t="inlineStr">
        <is>
          <t>Agent 02</t>
        </is>
      </c>
      <c r="H39" s="491" t="n"/>
      <c r="I39" s="492">
        <f>IF(A39="","Pending",IF(H39="","⚠️ Enter Code",IF(IFERROR(VLOOKUP(G39,DB_Agents!$B:$I,8,0),"")=H39,IF(AND(A39&lt;&gt;"",E39&lt;&gt;""),"Saved","Pending"),"🔒 BLOCKED — Wrong Code")))</f>
        <v/>
      </c>
      <c r="J39" s="493">
        <f>IF(I39="Saved",TEXT(TODAY(),"YYYY-MM-DD")&amp;" Auto","—")</f>
        <v/>
      </c>
      <c r="K39" s="494" t="n"/>
    </row>
    <row r="40" ht="15" customHeight="1" s="341">
      <c r="A40" s="495" t="n"/>
      <c r="B40" s="382">
        <f>IF(A40="","",IFERROR(VLOOKUP(A40,DB_Customers!$A:$D,4,0),"❌ Account Not Found"))</f>
        <v/>
      </c>
      <c r="C40" s="496">
        <f>IF(A40="","",IFERROR(VLOOKUP(A40,DB_Customers!$A:$N,14,0),""))</f>
        <v/>
      </c>
      <c r="D40" s="497">
        <f>IF(A40="","",TODAY())</f>
        <v/>
      </c>
      <c r="E40" s="489" t="n"/>
      <c r="F40" s="498">
        <f>IF(OR(A40="",E40=""),"",IF(C40="","",C40+E40))</f>
        <v/>
      </c>
      <c r="G40" s="384" t="inlineStr">
        <is>
          <t>Agent 02</t>
        </is>
      </c>
      <c r="H40" s="491" t="n"/>
      <c r="I40" s="499">
        <f>IF(A40="","Pending",IF(H40="","⚠️ Enter Code",IF(IFERROR(VLOOKUP(G40,DB_Agents!$B:$I,8,0),"")=H40,IF(AND(A40&lt;&gt;"",E40&lt;&gt;""),"Saved","Pending"),"🔒 BLOCKED — Wrong Code")))</f>
        <v/>
      </c>
      <c r="J40" s="500">
        <f>IF(I40="Saved",TEXT(TODAY(),"YYYY-MM-DD")&amp;" Auto","—")</f>
        <v/>
      </c>
      <c r="K40" s="501" t="n"/>
    </row>
    <row r="41" ht="15" customHeight="1" s="341">
      <c r="A41" s="486" t="n"/>
      <c r="B41" s="378">
        <f>IF(A41="","",IFERROR(VLOOKUP(A41,DB_Customers!$A:$D,4,0),"❌ Account Not Found"))</f>
        <v/>
      </c>
      <c r="C41" s="487">
        <f>IF(A41="","",IFERROR(VLOOKUP(A41,DB_Customers!$A:$N,14,0),""))</f>
        <v/>
      </c>
      <c r="D41" s="488">
        <f>IF(A41="","",TODAY())</f>
        <v/>
      </c>
      <c r="E41" s="489" t="n"/>
      <c r="F41" s="490">
        <f>IF(OR(A41="",E41=""),"",IF(C41="","",C41+E41))</f>
        <v/>
      </c>
      <c r="G41" s="380" t="inlineStr">
        <is>
          <t>Agent 02</t>
        </is>
      </c>
      <c r="H41" s="491" t="n"/>
      <c r="I41" s="492">
        <f>IF(A41="","Pending",IF(H41="","⚠️ Enter Code",IF(IFERROR(VLOOKUP(G41,DB_Agents!$B:$I,8,0),"")=H41,IF(AND(A41&lt;&gt;"",E41&lt;&gt;""),"Saved","Pending"),"🔒 BLOCKED — Wrong Code")))</f>
        <v/>
      </c>
      <c r="J41" s="493">
        <f>IF(I41="Saved",TEXT(TODAY(),"YYYY-MM-DD")&amp;" Auto","—")</f>
        <v/>
      </c>
      <c r="K41" s="494" t="n"/>
    </row>
    <row r="42" ht="15" customHeight="1" s="341">
      <c r="A42" s="495" t="n"/>
      <c r="B42" s="382">
        <f>IF(A42="","",IFERROR(VLOOKUP(A42,DB_Customers!$A:$D,4,0),"❌ Account Not Found"))</f>
        <v/>
      </c>
      <c r="C42" s="496">
        <f>IF(A42="","",IFERROR(VLOOKUP(A42,DB_Customers!$A:$N,14,0),""))</f>
        <v/>
      </c>
      <c r="D42" s="497">
        <f>IF(A42="","",TODAY())</f>
        <v/>
      </c>
      <c r="E42" s="489" t="n"/>
      <c r="F42" s="498">
        <f>IF(OR(A42="",E42=""),"",IF(C42="","",C42+E42))</f>
        <v/>
      </c>
      <c r="G42" s="384" t="inlineStr">
        <is>
          <t>Agent 02</t>
        </is>
      </c>
      <c r="H42" s="491" t="n"/>
      <c r="I42" s="499">
        <f>IF(A42="","Pending",IF(H42="","⚠️ Enter Code",IF(IFERROR(VLOOKUP(G42,DB_Agents!$B:$I,8,0),"")=H42,IF(AND(A42&lt;&gt;"",E42&lt;&gt;""),"Saved","Pending"),"🔒 BLOCKED — Wrong Code")))</f>
        <v/>
      </c>
      <c r="J42" s="500">
        <f>IF(I42="Saved",TEXT(TODAY(),"YYYY-MM-DD")&amp;" Auto","—")</f>
        <v/>
      </c>
      <c r="K42" s="501" t="n"/>
    </row>
    <row r="43" ht="15" customHeight="1" s="341">
      <c r="A43" s="486" t="n"/>
      <c r="B43" s="378">
        <f>IF(A43="","",IFERROR(VLOOKUP(A43,DB_Customers!$A:$D,4,0),"❌ Account Not Found"))</f>
        <v/>
      </c>
      <c r="C43" s="487">
        <f>IF(A43="","",IFERROR(VLOOKUP(A43,DB_Customers!$A:$N,14,0),""))</f>
        <v/>
      </c>
      <c r="D43" s="488">
        <f>IF(A43="","",TODAY())</f>
        <v/>
      </c>
      <c r="E43" s="489" t="n"/>
      <c r="F43" s="490">
        <f>IF(OR(A43="",E43=""),"",IF(C43="","",C43+E43))</f>
        <v/>
      </c>
      <c r="G43" s="380" t="inlineStr">
        <is>
          <t>Agent 02</t>
        </is>
      </c>
      <c r="H43" s="491" t="n"/>
      <c r="I43" s="492">
        <f>IF(A43="","Pending",IF(H43="","⚠️ Enter Code",IF(IFERROR(VLOOKUP(G43,DB_Agents!$B:$I,8,0),"")=H43,IF(AND(A43&lt;&gt;"",E43&lt;&gt;""),"Saved","Pending"),"🔒 BLOCKED — Wrong Code")))</f>
        <v/>
      </c>
      <c r="J43" s="493">
        <f>IF(I43="Saved",TEXT(TODAY(),"YYYY-MM-DD")&amp;" Auto","—")</f>
        <v/>
      </c>
      <c r="K43" s="494" t="n"/>
    </row>
    <row r="44" ht="15" customHeight="1" s="341">
      <c r="A44" s="495" t="n"/>
      <c r="B44" s="382">
        <f>IF(A44="","",IFERROR(VLOOKUP(A44,DB_Customers!$A:$D,4,0),"❌ Account Not Found"))</f>
        <v/>
      </c>
      <c r="C44" s="496">
        <f>IF(A44="","",IFERROR(VLOOKUP(A44,DB_Customers!$A:$N,14,0),""))</f>
        <v/>
      </c>
      <c r="D44" s="497">
        <f>IF(A44="","",TODAY())</f>
        <v/>
      </c>
      <c r="E44" s="489" t="n"/>
      <c r="F44" s="498">
        <f>IF(OR(A44="",E44=""),"",IF(C44="","",C44+E44))</f>
        <v/>
      </c>
      <c r="G44" s="384" t="inlineStr">
        <is>
          <t>Agent 02</t>
        </is>
      </c>
      <c r="H44" s="491" t="n"/>
      <c r="I44" s="499">
        <f>IF(A44="","Pending",IF(H44="","⚠️ Enter Code",IF(IFERROR(VLOOKUP(G44,DB_Agents!$B:$I,8,0),"")=H44,IF(AND(A44&lt;&gt;"",E44&lt;&gt;""),"Saved","Pending"),"🔒 BLOCKED — Wrong Code")))</f>
        <v/>
      </c>
      <c r="J44" s="500">
        <f>IF(I44="Saved",TEXT(TODAY(),"YYYY-MM-DD")&amp;" Auto","—")</f>
        <v/>
      </c>
      <c r="K44" s="501" t="n"/>
    </row>
    <row r="45" ht="15" customHeight="1" s="341">
      <c r="A45" s="486" t="n"/>
      <c r="B45" s="378">
        <f>IF(A45="","",IFERROR(VLOOKUP(A45,DB_Customers!$A:$D,4,0),"❌ Account Not Found"))</f>
        <v/>
      </c>
      <c r="C45" s="487">
        <f>IF(A45="","",IFERROR(VLOOKUP(A45,DB_Customers!$A:$N,14,0),""))</f>
        <v/>
      </c>
      <c r="D45" s="488">
        <f>IF(A45="","",TODAY())</f>
        <v/>
      </c>
      <c r="E45" s="489" t="n"/>
      <c r="F45" s="490">
        <f>IF(OR(A45="",E45=""),"",IF(C45="","",C45+E45))</f>
        <v/>
      </c>
      <c r="G45" s="380" t="inlineStr">
        <is>
          <t>Agent 02</t>
        </is>
      </c>
      <c r="H45" s="491" t="n"/>
      <c r="I45" s="492">
        <f>IF(A45="","Pending",IF(H45="","⚠️ Enter Code",IF(IFERROR(VLOOKUP(G45,DB_Agents!$B:$I,8,0),"")=H45,IF(AND(A45&lt;&gt;"",E45&lt;&gt;""),"Saved","Pending"),"🔒 BLOCKED — Wrong Code")))</f>
        <v/>
      </c>
      <c r="J45" s="493">
        <f>IF(I45="Saved",TEXT(TODAY(),"YYYY-MM-DD")&amp;" Auto","—")</f>
        <v/>
      </c>
      <c r="K45" s="494" t="n"/>
    </row>
    <row r="46" ht="15" customHeight="1" s="341">
      <c r="A46" s="495" t="n"/>
      <c r="B46" s="382">
        <f>IF(A46="","",IFERROR(VLOOKUP(A46,DB_Customers!$A:$D,4,0),"❌ Account Not Found"))</f>
        <v/>
      </c>
      <c r="C46" s="496">
        <f>IF(A46="","",IFERROR(VLOOKUP(A46,DB_Customers!$A:$N,14,0),""))</f>
        <v/>
      </c>
      <c r="D46" s="497">
        <f>IF(A46="","",TODAY())</f>
        <v/>
      </c>
      <c r="E46" s="489" t="n"/>
      <c r="F46" s="498">
        <f>IF(OR(A46="",E46=""),"",IF(C46="","",C46+E46))</f>
        <v/>
      </c>
      <c r="G46" s="384" t="inlineStr">
        <is>
          <t>Agent 02</t>
        </is>
      </c>
      <c r="H46" s="491" t="n"/>
      <c r="I46" s="499">
        <f>IF(A46="","Pending",IF(H46="","⚠️ Enter Code",IF(IFERROR(VLOOKUP(G46,DB_Agents!$B:$I,8,0),"")=H46,IF(AND(A46&lt;&gt;"",E46&lt;&gt;""),"Saved","Pending"),"🔒 BLOCKED — Wrong Code")))</f>
        <v/>
      </c>
      <c r="J46" s="500">
        <f>IF(I46="Saved",TEXT(TODAY(),"YYYY-MM-DD")&amp;" Auto","—")</f>
        <v/>
      </c>
      <c r="K46" s="501" t="n"/>
    </row>
    <row r="47" ht="15" customHeight="1" s="341">
      <c r="A47" s="486" t="n"/>
      <c r="B47" s="378">
        <f>IF(A47="","",IFERROR(VLOOKUP(A47,DB_Customers!$A:$D,4,0),"❌ Account Not Found"))</f>
        <v/>
      </c>
      <c r="C47" s="487">
        <f>IF(A47="","",IFERROR(VLOOKUP(A47,DB_Customers!$A:$N,14,0),""))</f>
        <v/>
      </c>
      <c r="D47" s="488">
        <f>IF(A47="","",TODAY())</f>
        <v/>
      </c>
      <c r="E47" s="489" t="n"/>
      <c r="F47" s="490">
        <f>IF(OR(A47="",E47=""),"",IF(C47="","",C47+E47))</f>
        <v/>
      </c>
      <c r="G47" s="380" t="inlineStr">
        <is>
          <t>Agent 02</t>
        </is>
      </c>
      <c r="H47" s="491" t="n"/>
      <c r="I47" s="492">
        <f>IF(A47="","Pending",IF(H47="","⚠️ Enter Code",IF(IFERROR(VLOOKUP(G47,DB_Agents!$B:$I,8,0),"")=H47,IF(AND(A47&lt;&gt;"",E47&lt;&gt;""),"Saved","Pending"),"🔒 BLOCKED — Wrong Code")))</f>
        <v/>
      </c>
      <c r="J47" s="493">
        <f>IF(I47="Saved",TEXT(TODAY(),"YYYY-MM-DD")&amp;" Auto","—")</f>
        <v/>
      </c>
      <c r="K47" s="494" t="n"/>
    </row>
    <row r="48" ht="15" customHeight="1" s="341">
      <c r="A48" s="495" t="n"/>
      <c r="B48" s="382">
        <f>IF(A48="","",IFERROR(VLOOKUP(A48,DB_Customers!$A:$D,4,0),"❌ Account Not Found"))</f>
        <v/>
      </c>
      <c r="C48" s="496">
        <f>IF(A48="","",IFERROR(VLOOKUP(A48,DB_Customers!$A:$N,14,0),""))</f>
        <v/>
      </c>
      <c r="D48" s="497">
        <f>IF(A48="","",TODAY())</f>
        <v/>
      </c>
      <c r="E48" s="489" t="n"/>
      <c r="F48" s="498">
        <f>IF(OR(A48="",E48=""),"",IF(C48="","",C48+E48))</f>
        <v/>
      </c>
      <c r="G48" s="384" t="inlineStr">
        <is>
          <t>Agent 02</t>
        </is>
      </c>
      <c r="H48" s="491" t="n"/>
      <c r="I48" s="499">
        <f>IF(A48="","Pending",IF(H48="","⚠️ Enter Code",IF(IFERROR(VLOOKUP(G48,DB_Agents!$B:$I,8,0),"")=H48,IF(AND(A48&lt;&gt;"",E48&lt;&gt;""),"Saved","Pending"),"🔒 BLOCKED — Wrong Code")))</f>
        <v/>
      </c>
      <c r="J48" s="500">
        <f>IF(I48="Saved",TEXT(TODAY(),"YYYY-MM-DD")&amp;" Auto","—")</f>
        <v/>
      </c>
      <c r="K48" s="501" t="n"/>
    </row>
    <row r="49" ht="15" customHeight="1" s="341">
      <c r="A49" s="486" t="n"/>
      <c r="B49" s="378">
        <f>IF(A49="","",IFERROR(VLOOKUP(A49,DB_Customers!$A:$D,4,0),"❌ Account Not Found"))</f>
        <v/>
      </c>
      <c r="C49" s="487">
        <f>IF(A49="","",IFERROR(VLOOKUP(A49,DB_Customers!$A:$N,14,0),""))</f>
        <v/>
      </c>
      <c r="D49" s="488">
        <f>IF(A49="","",TODAY())</f>
        <v/>
      </c>
      <c r="E49" s="489" t="n"/>
      <c r="F49" s="490">
        <f>IF(OR(A49="",E49=""),"",IF(C49="","",C49+E49))</f>
        <v/>
      </c>
      <c r="G49" s="380" t="inlineStr">
        <is>
          <t>Agent 02</t>
        </is>
      </c>
      <c r="H49" s="491" t="n"/>
      <c r="I49" s="492">
        <f>IF(A49="","Pending",IF(H49="","⚠️ Enter Code",IF(IFERROR(VLOOKUP(G49,DB_Agents!$B:$I,8,0),"")=H49,IF(AND(A49&lt;&gt;"",E49&lt;&gt;""),"Saved","Pending"),"🔒 BLOCKED — Wrong Code")))</f>
        <v/>
      </c>
      <c r="J49" s="493">
        <f>IF(I49="Saved",TEXT(TODAY(),"YYYY-MM-DD")&amp;" Auto","—")</f>
        <v/>
      </c>
      <c r="K49" s="494" t="n"/>
    </row>
    <row r="50" ht="15" customHeight="1" s="341">
      <c r="A50" s="495" t="n"/>
      <c r="B50" s="382">
        <f>IF(A50="","",IFERROR(VLOOKUP(A50,DB_Customers!$A:$D,4,0),"❌ Account Not Found"))</f>
        <v/>
      </c>
      <c r="C50" s="496">
        <f>IF(A50="","",IFERROR(VLOOKUP(A50,DB_Customers!$A:$N,14,0),""))</f>
        <v/>
      </c>
      <c r="D50" s="497">
        <f>IF(A50="","",TODAY())</f>
        <v/>
      </c>
      <c r="E50" s="489" t="n"/>
      <c r="F50" s="498">
        <f>IF(OR(A50="",E50=""),"",IF(C50="","",C50+E50))</f>
        <v/>
      </c>
      <c r="G50" s="384" t="inlineStr">
        <is>
          <t>Agent 02</t>
        </is>
      </c>
      <c r="H50" s="491" t="n"/>
      <c r="I50" s="499">
        <f>IF(A50="","Pending",IF(H50="","⚠️ Enter Code",IF(IFERROR(VLOOKUP(G50,DB_Agents!$B:$I,8,0),"")=H50,IF(AND(A50&lt;&gt;"",E50&lt;&gt;""),"Saved","Pending"),"🔒 BLOCKED — Wrong Code")))</f>
        <v/>
      </c>
      <c r="J50" s="500">
        <f>IF(I50="Saved",TEXT(TODAY(),"YYYY-MM-DD")&amp;" Auto","—")</f>
        <v/>
      </c>
      <c r="K50" s="501" t="n"/>
    </row>
    <row r="51" ht="15" customHeight="1" s="341">
      <c r="A51" s="486" t="n"/>
      <c r="B51" s="378">
        <f>IF(A51="","",IFERROR(VLOOKUP(A51,DB_Customers!$A:$D,4,0),"❌ Account Not Found"))</f>
        <v/>
      </c>
      <c r="C51" s="487">
        <f>IF(A51="","",IFERROR(VLOOKUP(A51,DB_Customers!$A:$N,14,0),""))</f>
        <v/>
      </c>
      <c r="D51" s="488">
        <f>IF(A51="","",TODAY())</f>
        <v/>
      </c>
      <c r="E51" s="489" t="n"/>
      <c r="F51" s="490">
        <f>IF(OR(A51="",E51=""),"",IF(C51="","",C51+E51))</f>
        <v/>
      </c>
      <c r="G51" s="380" t="inlineStr">
        <is>
          <t>Agent 02</t>
        </is>
      </c>
      <c r="H51" s="491" t="n"/>
      <c r="I51" s="492">
        <f>IF(A51="","Pending",IF(H51="","⚠️ Enter Code",IF(IFERROR(VLOOKUP(G51,DB_Agents!$B:$I,8,0),"")=H51,IF(AND(A51&lt;&gt;"",E51&lt;&gt;""),"Saved","Pending"),"🔒 BLOCKED — Wrong Code")))</f>
        <v/>
      </c>
      <c r="J51" s="493">
        <f>IF(I51="Saved",TEXT(TODAY(),"YYYY-MM-DD")&amp;" Auto","—")</f>
        <v/>
      </c>
      <c r="K51" s="494" t="n"/>
    </row>
    <row r="52" ht="15" customHeight="1" s="341">
      <c r="A52" s="495" t="n"/>
      <c r="B52" s="382">
        <f>IF(A52="","",IFERROR(VLOOKUP(A52,DB_Customers!$A:$D,4,0),"❌ Account Not Found"))</f>
        <v/>
      </c>
      <c r="C52" s="496">
        <f>IF(A52="","",IFERROR(VLOOKUP(A52,DB_Customers!$A:$N,14,0),""))</f>
        <v/>
      </c>
      <c r="D52" s="497">
        <f>IF(A52="","",TODAY())</f>
        <v/>
      </c>
      <c r="E52" s="489" t="n"/>
      <c r="F52" s="498">
        <f>IF(OR(A52="",E52=""),"",IF(C52="","",C52+E52))</f>
        <v/>
      </c>
      <c r="G52" s="384" t="inlineStr">
        <is>
          <t>Agent 02</t>
        </is>
      </c>
      <c r="H52" s="491" t="n"/>
      <c r="I52" s="499">
        <f>IF(A52="","Pending",IF(H52="","⚠️ Enter Code",IF(IFERROR(VLOOKUP(G52,DB_Agents!$B:$I,8,0),"")=H52,IF(AND(A52&lt;&gt;"",E52&lt;&gt;""),"Saved","Pending"),"🔒 BLOCKED — Wrong Code")))</f>
        <v/>
      </c>
      <c r="J52" s="500">
        <f>IF(I52="Saved",TEXT(TODAY(),"YYYY-MM-DD")&amp;" Auto","—")</f>
        <v/>
      </c>
      <c r="K52" s="501" t="n"/>
    </row>
    <row r="53" ht="15" customHeight="1" s="341">
      <c r="A53" s="486" t="n"/>
      <c r="B53" s="378">
        <f>IF(A53="","",IFERROR(VLOOKUP(A53,DB_Customers!$A:$D,4,0),"❌ Account Not Found"))</f>
        <v/>
      </c>
      <c r="C53" s="487">
        <f>IF(A53="","",IFERROR(VLOOKUP(A53,DB_Customers!$A:$N,14,0),""))</f>
        <v/>
      </c>
      <c r="D53" s="488">
        <f>IF(A53="","",TODAY())</f>
        <v/>
      </c>
      <c r="E53" s="489" t="n"/>
      <c r="F53" s="490">
        <f>IF(OR(A53="",E53=""),"",IF(C53="","",C53+E53))</f>
        <v/>
      </c>
      <c r="G53" s="380" t="inlineStr">
        <is>
          <t>Agent 02</t>
        </is>
      </c>
      <c r="H53" s="491" t="n"/>
      <c r="I53" s="492">
        <f>IF(A53="","Pending",IF(H53="","⚠️ Enter Code",IF(IFERROR(VLOOKUP(G53,DB_Agents!$B:$I,8,0),"")=H53,IF(AND(A53&lt;&gt;"",E53&lt;&gt;""),"Saved","Pending"),"🔒 BLOCKED — Wrong Code")))</f>
        <v/>
      </c>
      <c r="J53" s="493">
        <f>IF(I53="Saved",TEXT(TODAY(),"YYYY-MM-DD")&amp;" Auto","—")</f>
        <v/>
      </c>
      <c r="K53" s="494" t="n"/>
    </row>
    <row r="54" ht="15" customHeight="1" s="341">
      <c r="A54" s="495" t="n"/>
      <c r="B54" s="382">
        <f>IF(A54="","",IFERROR(VLOOKUP(A54,DB_Customers!$A:$D,4,0),"❌ Account Not Found"))</f>
        <v/>
      </c>
      <c r="C54" s="496">
        <f>IF(A54="","",IFERROR(VLOOKUP(A54,DB_Customers!$A:$N,14,0),""))</f>
        <v/>
      </c>
      <c r="D54" s="497">
        <f>IF(A54="","",TODAY())</f>
        <v/>
      </c>
      <c r="E54" s="489" t="n"/>
      <c r="F54" s="498">
        <f>IF(OR(A54="",E54=""),"",IF(C54="","",C54+E54))</f>
        <v/>
      </c>
      <c r="G54" s="384" t="inlineStr">
        <is>
          <t>Agent 02</t>
        </is>
      </c>
      <c r="H54" s="491" t="n"/>
      <c r="I54" s="499">
        <f>IF(A54="","Pending",IF(H54="","⚠️ Enter Code",IF(IFERROR(VLOOKUP(G54,DB_Agents!$B:$I,8,0),"")=H54,IF(AND(A54&lt;&gt;"",E54&lt;&gt;""),"Saved","Pending"),"🔒 BLOCKED — Wrong Code")))</f>
        <v/>
      </c>
      <c r="J54" s="500">
        <f>IF(I54="Saved",TEXT(TODAY(),"YYYY-MM-DD")&amp;" Auto","—")</f>
        <v/>
      </c>
      <c r="K54" s="501" t="n"/>
    </row>
    <row r="55" ht="15" customHeight="1" s="341">
      <c r="A55" s="486" t="n"/>
      <c r="B55" s="378">
        <f>IF(A55="","",IFERROR(VLOOKUP(A55,DB_Customers!$A:$D,4,0),"❌ Account Not Found"))</f>
        <v/>
      </c>
      <c r="C55" s="487">
        <f>IF(A55="","",IFERROR(VLOOKUP(A55,DB_Customers!$A:$N,14,0),""))</f>
        <v/>
      </c>
      <c r="D55" s="488">
        <f>IF(A55="","",TODAY())</f>
        <v/>
      </c>
      <c r="E55" s="489" t="n"/>
      <c r="F55" s="490">
        <f>IF(OR(A55="",E55=""),"",IF(C55="","",C55+E55))</f>
        <v/>
      </c>
      <c r="G55" s="380" t="inlineStr">
        <is>
          <t>Agent 02</t>
        </is>
      </c>
      <c r="H55" s="491" t="n"/>
      <c r="I55" s="492">
        <f>IF(A55="","Pending",IF(H55="","⚠️ Enter Code",IF(IFERROR(VLOOKUP(G55,DB_Agents!$B:$I,8,0),"")=H55,IF(AND(A55&lt;&gt;"",E55&lt;&gt;""),"Saved","Pending"),"🔒 BLOCKED — Wrong Code")))</f>
        <v/>
      </c>
      <c r="J55" s="493">
        <f>IF(I55="Saved",TEXT(TODAY(),"YYYY-MM-DD")&amp;" Auto","—")</f>
        <v/>
      </c>
      <c r="K55" s="494" t="n"/>
    </row>
    <row r="56" ht="15" customHeight="1" s="341">
      <c r="A56" s="495" t="n"/>
      <c r="B56" s="382">
        <f>IF(A56="","",IFERROR(VLOOKUP(A56,DB_Customers!$A:$D,4,0),"❌ Account Not Found"))</f>
        <v/>
      </c>
      <c r="C56" s="496">
        <f>IF(A56="","",IFERROR(VLOOKUP(A56,DB_Customers!$A:$N,14,0),""))</f>
        <v/>
      </c>
      <c r="D56" s="497">
        <f>IF(A56="","",TODAY())</f>
        <v/>
      </c>
      <c r="E56" s="489" t="n"/>
      <c r="F56" s="498">
        <f>IF(OR(A56="",E56=""),"",IF(C56="","",C56+E56))</f>
        <v/>
      </c>
      <c r="G56" s="384" t="inlineStr">
        <is>
          <t>Agent 02</t>
        </is>
      </c>
      <c r="H56" s="491" t="n"/>
      <c r="I56" s="499">
        <f>IF(A56="","Pending",IF(H56="","⚠️ Enter Code",IF(IFERROR(VLOOKUP(G56,DB_Agents!$B:$I,8,0),"")=H56,IF(AND(A56&lt;&gt;"",E56&lt;&gt;""),"Saved","Pending"),"🔒 BLOCKED — Wrong Code")))</f>
        <v/>
      </c>
      <c r="J56" s="500">
        <f>IF(I56="Saved",TEXT(TODAY(),"YYYY-MM-DD")&amp;" Auto","—")</f>
        <v/>
      </c>
      <c r="K56" s="501" t="n"/>
    </row>
    <row r="57" ht="15" customHeight="1" s="341">
      <c r="A57" s="486" t="n"/>
      <c r="B57" s="378">
        <f>IF(A57="","",IFERROR(VLOOKUP(A57,DB_Customers!$A:$D,4,0),"❌ Account Not Found"))</f>
        <v/>
      </c>
      <c r="C57" s="487">
        <f>IF(A57="","",IFERROR(VLOOKUP(A57,DB_Customers!$A:$N,14,0),""))</f>
        <v/>
      </c>
      <c r="D57" s="488">
        <f>IF(A57="","",TODAY())</f>
        <v/>
      </c>
      <c r="E57" s="489" t="n"/>
      <c r="F57" s="490">
        <f>IF(OR(A57="",E57=""),"",IF(C57="","",C57+E57))</f>
        <v/>
      </c>
      <c r="G57" s="380" t="inlineStr">
        <is>
          <t>Agent 02</t>
        </is>
      </c>
      <c r="H57" s="491" t="n"/>
      <c r="I57" s="492">
        <f>IF(A57="","Pending",IF(H57="","⚠️ Enter Code",IF(IFERROR(VLOOKUP(G57,DB_Agents!$B:$I,8,0),"")=H57,IF(AND(A57&lt;&gt;"",E57&lt;&gt;""),"Saved","Pending"),"🔒 BLOCKED — Wrong Code")))</f>
        <v/>
      </c>
      <c r="J57" s="493">
        <f>IF(I57="Saved",TEXT(TODAY(),"YYYY-MM-DD")&amp;" Auto","—")</f>
        <v/>
      </c>
      <c r="K57" s="494" t="n"/>
    </row>
    <row r="58" ht="15" customHeight="1" s="341">
      <c r="A58" s="495" t="n"/>
      <c r="B58" s="382">
        <f>IF(A58="","",IFERROR(VLOOKUP(A58,DB_Customers!$A:$D,4,0),"❌ Account Not Found"))</f>
        <v/>
      </c>
      <c r="C58" s="496">
        <f>IF(A58="","",IFERROR(VLOOKUP(A58,DB_Customers!$A:$N,14,0),""))</f>
        <v/>
      </c>
      <c r="D58" s="497">
        <f>IF(A58="","",TODAY())</f>
        <v/>
      </c>
      <c r="E58" s="489" t="n"/>
      <c r="F58" s="498">
        <f>IF(OR(A58="",E58=""),"",IF(C58="","",C58+E58))</f>
        <v/>
      </c>
      <c r="G58" s="384" t="inlineStr">
        <is>
          <t>Agent 02</t>
        </is>
      </c>
      <c r="H58" s="491" t="n"/>
      <c r="I58" s="499">
        <f>IF(A58="","Pending",IF(H58="","⚠️ Enter Code",IF(IFERROR(VLOOKUP(G58,DB_Agents!$B:$I,8,0),"")=H58,IF(AND(A58&lt;&gt;"",E58&lt;&gt;""),"Saved","Pending"),"🔒 BLOCKED — Wrong Code")))</f>
        <v/>
      </c>
      <c r="J58" s="500">
        <f>IF(I58="Saved",TEXT(TODAY(),"YYYY-MM-DD")&amp;" Auto","—")</f>
        <v/>
      </c>
      <c r="K58" s="501" t="n"/>
    </row>
    <row r="59" ht="15" customHeight="1" s="341">
      <c r="A59" s="486" t="n"/>
      <c r="B59" s="378">
        <f>IF(A59="","",IFERROR(VLOOKUP(A59,DB_Customers!$A:$D,4,0),"❌ Account Not Found"))</f>
        <v/>
      </c>
      <c r="C59" s="487">
        <f>IF(A59="","",IFERROR(VLOOKUP(A59,DB_Customers!$A:$N,14,0),""))</f>
        <v/>
      </c>
      <c r="D59" s="488">
        <f>IF(A59="","",TODAY())</f>
        <v/>
      </c>
      <c r="E59" s="489" t="n"/>
      <c r="F59" s="490">
        <f>IF(OR(A59="",E59=""),"",IF(C59="","",C59+E59))</f>
        <v/>
      </c>
      <c r="G59" s="380" t="inlineStr">
        <is>
          <t>Agent 02</t>
        </is>
      </c>
      <c r="H59" s="491" t="n"/>
      <c r="I59" s="492">
        <f>IF(A59="","Pending",IF(H59="","⚠️ Enter Code",IF(IFERROR(VLOOKUP(G59,DB_Agents!$B:$I,8,0),"")=H59,IF(AND(A59&lt;&gt;"",E59&lt;&gt;""),"Saved","Pending"),"🔒 BLOCKED — Wrong Code")))</f>
        <v/>
      </c>
      <c r="J59" s="493">
        <f>IF(I59="Saved",TEXT(TODAY(),"YYYY-MM-DD")&amp;" Auto","—")</f>
        <v/>
      </c>
      <c r="K59" s="494" t="n"/>
    </row>
    <row r="60" ht="15" customHeight="1" s="341">
      <c r="A60" s="495" t="n"/>
      <c r="B60" s="382">
        <f>IF(A60="","",IFERROR(VLOOKUP(A60,DB_Customers!$A:$D,4,0),"❌ Account Not Found"))</f>
        <v/>
      </c>
      <c r="C60" s="496">
        <f>IF(A60="","",IFERROR(VLOOKUP(A60,DB_Customers!$A:$N,14,0),""))</f>
        <v/>
      </c>
      <c r="D60" s="497">
        <f>IF(A60="","",TODAY())</f>
        <v/>
      </c>
      <c r="E60" s="489" t="n"/>
      <c r="F60" s="498">
        <f>IF(OR(A60="",E60=""),"",IF(C60="","",C60+E60))</f>
        <v/>
      </c>
      <c r="G60" s="384" t="inlineStr">
        <is>
          <t>Agent 02</t>
        </is>
      </c>
      <c r="H60" s="491" t="n"/>
      <c r="I60" s="499">
        <f>IF(A60="","Pending",IF(H60="","⚠️ Enter Code",IF(IFERROR(VLOOKUP(G60,DB_Agents!$B:$I,8,0),"")=H60,IF(AND(A60&lt;&gt;"",E60&lt;&gt;""),"Saved","Pending"),"🔒 BLOCKED — Wrong Code")))</f>
        <v/>
      </c>
      <c r="J60" s="500">
        <f>IF(I60="Saved",TEXT(TODAY(),"YYYY-MM-DD")&amp;" Auto","—")</f>
        <v/>
      </c>
      <c r="K60" s="501" t="n"/>
    </row>
    <row r="61" ht="15" customHeight="1" s="341">
      <c r="A61" s="486" t="n"/>
      <c r="B61" s="378">
        <f>IF(A61="","",IFERROR(VLOOKUP(A61,DB_Customers!$A:$D,4,0),"❌ Account Not Found"))</f>
        <v/>
      </c>
      <c r="C61" s="487">
        <f>IF(A61="","",IFERROR(VLOOKUP(A61,DB_Customers!$A:$N,14,0),""))</f>
        <v/>
      </c>
      <c r="D61" s="488">
        <f>IF(A61="","",TODAY())</f>
        <v/>
      </c>
      <c r="E61" s="489" t="n"/>
      <c r="F61" s="490">
        <f>IF(OR(A61="",E61=""),"",IF(C61="","",C61+E61))</f>
        <v/>
      </c>
      <c r="G61" s="380" t="inlineStr">
        <is>
          <t>Agent 02</t>
        </is>
      </c>
      <c r="H61" s="491" t="n"/>
      <c r="I61" s="492">
        <f>IF(A61="","Pending",IF(H61="","⚠️ Enter Code",IF(IFERROR(VLOOKUP(G61,DB_Agents!$B:$I,8,0),"")=H61,IF(AND(A61&lt;&gt;"",E61&lt;&gt;""),"Saved","Pending"),"🔒 BLOCKED — Wrong Code")))</f>
        <v/>
      </c>
      <c r="J61" s="493">
        <f>IF(I61="Saved",TEXT(TODAY(),"YYYY-MM-DD")&amp;" Auto","—")</f>
        <v/>
      </c>
      <c r="K61" s="494" t="n"/>
    </row>
    <row r="62" ht="15" customHeight="1" s="341">
      <c r="A62" s="495" t="n"/>
      <c r="B62" s="382">
        <f>IF(A62="","",IFERROR(VLOOKUP(A62,DB_Customers!$A:$D,4,0),"❌ Account Not Found"))</f>
        <v/>
      </c>
      <c r="C62" s="496">
        <f>IF(A62="","",IFERROR(VLOOKUP(A62,DB_Customers!$A:$N,14,0),""))</f>
        <v/>
      </c>
      <c r="D62" s="497">
        <f>IF(A62="","",TODAY())</f>
        <v/>
      </c>
      <c r="E62" s="489" t="n"/>
      <c r="F62" s="498">
        <f>IF(OR(A62="",E62=""),"",IF(C62="","",C62+E62))</f>
        <v/>
      </c>
      <c r="G62" s="384" t="inlineStr">
        <is>
          <t>Agent 02</t>
        </is>
      </c>
      <c r="H62" s="491" t="n"/>
      <c r="I62" s="499">
        <f>IF(A62="","Pending",IF(H62="","⚠️ Enter Code",IF(IFERROR(VLOOKUP(G62,DB_Agents!$B:$I,8,0),"")=H62,IF(AND(A62&lt;&gt;"",E62&lt;&gt;""),"Saved","Pending"),"🔒 BLOCKED — Wrong Code")))</f>
        <v/>
      </c>
      <c r="J62" s="500">
        <f>IF(I62="Saved",TEXT(TODAY(),"YYYY-MM-DD")&amp;" Auto","—")</f>
        <v/>
      </c>
      <c r="K62" s="501" t="n"/>
    </row>
    <row r="63" ht="15" customHeight="1" s="341">
      <c r="A63" s="486" t="n"/>
      <c r="B63" s="378">
        <f>IF(A63="","",IFERROR(VLOOKUP(A63,DB_Customers!$A:$D,4,0),"❌ Account Not Found"))</f>
        <v/>
      </c>
      <c r="C63" s="487">
        <f>IF(A63="","",IFERROR(VLOOKUP(A63,DB_Customers!$A:$N,14,0),""))</f>
        <v/>
      </c>
      <c r="D63" s="488">
        <f>IF(A63="","",TODAY())</f>
        <v/>
      </c>
      <c r="E63" s="489" t="n"/>
      <c r="F63" s="490">
        <f>IF(OR(A63="",E63=""),"",IF(C63="","",C63+E63))</f>
        <v/>
      </c>
      <c r="G63" s="380" t="inlineStr">
        <is>
          <t>Agent 02</t>
        </is>
      </c>
      <c r="H63" s="491" t="n"/>
      <c r="I63" s="492">
        <f>IF(A63="","Pending",IF(H63="","⚠️ Enter Code",IF(IFERROR(VLOOKUP(G63,DB_Agents!$B:$I,8,0),"")=H63,IF(AND(A63&lt;&gt;"",E63&lt;&gt;""),"Saved","Pending"),"🔒 BLOCKED — Wrong Code")))</f>
        <v/>
      </c>
      <c r="J63" s="493">
        <f>IF(I63="Saved",TEXT(TODAY(),"YYYY-MM-DD")&amp;" Auto","—")</f>
        <v/>
      </c>
      <c r="K63" s="494" t="n"/>
    </row>
    <row r="64" ht="15" customHeight="1" s="341">
      <c r="A64" s="495" t="n"/>
      <c r="B64" s="382">
        <f>IF(A64="","",IFERROR(VLOOKUP(A64,DB_Customers!$A:$D,4,0),"❌ Account Not Found"))</f>
        <v/>
      </c>
      <c r="C64" s="496">
        <f>IF(A64="","",IFERROR(VLOOKUP(A64,DB_Customers!$A:$N,14,0),""))</f>
        <v/>
      </c>
      <c r="D64" s="497">
        <f>IF(A64="","",TODAY())</f>
        <v/>
      </c>
      <c r="E64" s="489" t="n"/>
      <c r="F64" s="498">
        <f>IF(OR(A64="",E64=""),"",IF(C64="","",C64+E64))</f>
        <v/>
      </c>
      <c r="G64" s="384" t="inlineStr">
        <is>
          <t>Agent 02</t>
        </is>
      </c>
      <c r="H64" s="491" t="n"/>
      <c r="I64" s="499">
        <f>IF(A64="","Pending",IF(H64="","⚠️ Enter Code",IF(IFERROR(VLOOKUP(G64,DB_Agents!$B:$I,8,0),"")=H64,IF(AND(A64&lt;&gt;"",E64&lt;&gt;""),"Saved","Pending"),"🔒 BLOCKED — Wrong Code")))</f>
        <v/>
      </c>
      <c r="J64" s="500">
        <f>IF(I64="Saved",TEXT(TODAY(),"YYYY-MM-DD")&amp;" Auto","—")</f>
        <v/>
      </c>
      <c r="K64" s="501" t="n"/>
    </row>
    <row r="65" ht="15" customHeight="1" s="341">
      <c r="A65" s="486" t="n"/>
      <c r="B65" s="378">
        <f>IF(A65="","",IFERROR(VLOOKUP(A65,DB_Customers!$A:$D,4,0),"❌ Account Not Found"))</f>
        <v/>
      </c>
      <c r="C65" s="487">
        <f>IF(A65="","",IFERROR(VLOOKUP(A65,DB_Customers!$A:$N,14,0),""))</f>
        <v/>
      </c>
      <c r="D65" s="488">
        <f>IF(A65="","",TODAY())</f>
        <v/>
      </c>
      <c r="E65" s="489" t="n"/>
      <c r="F65" s="490">
        <f>IF(OR(A65="",E65=""),"",IF(C65="","",C65+E65))</f>
        <v/>
      </c>
      <c r="G65" s="380" t="inlineStr">
        <is>
          <t>Agent 02</t>
        </is>
      </c>
      <c r="H65" s="491" t="n"/>
      <c r="I65" s="492">
        <f>IF(A65="","Pending",IF(H65="","⚠️ Enter Code",IF(IFERROR(VLOOKUP(G65,DB_Agents!$B:$I,8,0),"")=H65,IF(AND(A65&lt;&gt;"",E65&lt;&gt;""),"Saved","Pending"),"🔒 BLOCKED — Wrong Code")))</f>
        <v/>
      </c>
      <c r="J65" s="493">
        <f>IF(I65="Saved",TEXT(TODAY(),"YYYY-MM-DD")&amp;" Auto","—")</f>
        <v/>
      </c>
      <c r="K65" s="494" t="n"/>
    </row>
    <row r="66" ht="15" customHeight="1" s="341">
      <c r="A66" s="495" t="n"/>
      <c r="B66" s="382">
        <f>IF(A66="","",IFERROR(VLOOKUP(A66,DB_Customers!$A:$D,4,0),"❌ Account Not Found"))</f>
        <v/>
      </c>
      <c r="C66" s="496">
        <f>IF(A66="","",IFERROR(VLOOKUP(A66,DB_Customers!$A:$N,14,0),""))</f>
        <v/>
      </c>
      <c r="D66" s="497">
        <f>IF(A66="","",TODAY())</f>
        <v/>
      </c>
      <c r="E66" s="489" t="n"/>
      <c r="F66" s="498">
        <f>IF(OR(A66="",E66=""),"",IF(C66="","",C66+E66))</f>
        <v/>
      </c>
      <c r="G66" s="384" t="inlineStr">
        <is>
          <t>Agent 02</t>
        </is>
      </c>
      <c r="H66" s="491" t="n"/>
      <c r="I66" s="499">
        <f>IF(A66="","Pending",IF(H66="","⚠️ Enter Code",IF(IFERROR(VLOOKUP(G66,DB_Agents!$B:$I,8,0),"")=H66,IF(AND(A66&lt;&gt;"",E66&lt;&gt;""),"Saved","Pending"),"🔒 BLOCKED — Wrong Code")))</f>
        <v/>
      </c>
      <c r="J66" s="500">
        <f>IF(I66="Saved",TEXT(TODAY(),"YYYY-MM-DD")&amp;" Auto","—")</f>
        <v/>
      </c>
      <c r="K66" s="501" t="n"/>
    </row>
    <row r="67" ht="15" customHeight="1" s="341">
      <c r="A67" s="486" t="n"/>
      <c r="B67" s="378">
        <f>IF(A67="","",IFERROR(VLOOKUP(A67,DB_Customers!$A:$D,4,0),"❌ Account Not Found"))</f>
        <v/>
      </c>
      <c r="C67" s="487">
        <f>IF(A67="","",IFERROR(VLOOKUP(A67,DB_Customers!$A:$N,14,0),""))</f>
        <v/>
      </c>
      <c r="D67" s="488">
        <f>IF(A67="","",TODAY())</f>
        <v/>
      </c>
      <c r="E67" s="489" t="n"/>
      <c r="F67" s="490">
        <f>IF(OR(A67="",E67=""),"",IF(C67="","",C67+E67))</f>
        <v/>
      </c>
      <c r="G67" s="380" t="inlineStr">
        <is>
          <t>Agent 02</t>
        </is>
      </c>
      <c r="H67" s="491" t="n"/>
      <c r="I67" s="492">
        <f>IF(A67="","Pending",IF(H67="","⚠️ Enter Code",IF(IFERROR(VLOOKUP(G67,DB_Agents!$B:$I,8,0),"")=H67,IF(AND(A67&lt;&gt;"",E67&lt;&gt;""),"Saved","Pending"),"🔒 BLOCKED — Wrong Code")))</f>
        <v/>
      </c>
      <c r="J67" s="493">
        <f>IF(I67="Saved",TEXT(TODAY(),"YYYY-MM-DD")&amp;" Auto","—")</f>
        <v/>
      </c>
      <c r="K67" s="494" t="n"/>
    </row>
    <row r="68" ht="15" customHeight="1" s="341">
      <c r="A68" s="495" t="n"/>
      <c r="B68" s="382">
        <f>IF(A68="","",IFERROR(VLOOKUP(A68,DB_Customers!$A:$D,4,0),"❌ Account Not Found"))</f>
        <v/>
      </c>
      <c r="C68" s="496">
        <f>IF(A68="","",IFERROR(VLOOKUP(A68,DB_Customers!$A:$N,14,0),""))</f>
        <v/>
      </c>
      <c r="D68" s="497">
        <f>IF(A68="","",TODAY())</f>
        <v/>
      </c>
      <c r="E68" s="489" t="n"/>
      <c r="F68" s="498">
        <f>IF(OR(A68="",E68=""),"",IF(C68="","",C68+E68))</f>
        <v/>
      </c>
      <c r="G68" s="384" t="inlineStr">
        <is>
          <t>Agent 02</t>
        </is>
      </c>
      <c r="H68" s="491" t="n"/>
      <c r="I68" s="499">
        <f>IF(A68="","Pending",IF(H68="","⚠️ Enter Code",IF(IFERROR(VLOOKUP(G68,DB_Agents!$B:$I,8,0),"")=H68,IF(AND(A68&lt;&gt;"",E68&lt;&gt;""),"Saved","Pending"),"🔒 BLOCKED — Wrong Code")))</f>
        <v/>
      </c>
      <c r="J68" s="500">
        <f>IF(I68="Saved",TEXT(TODAY(),"YYYY-MM-DD")&amp;" Auto","—")</f>
        <v/>
      </c>
      <c r="K68" s="501" t="n"/>
    </row>
    <row r="69" ht="15" customHeight="1" s="341">
      <c r="A69" s="486" t="n"/>
      <c r="B69" s="378">
        <f>IF(A69="","",IFERROR(VLOOKUP(A69,DB_Customers!$A:$D,4,0),"❌ Account Not Found"))</f>
        <v/>
      </c>
      <c r="C69" s="487">
        <f>IF(A69="","",IFERROR(VLOOKUP(A69,DB_Customers!$A:$N,14,0),""))</f>
        <v/>
      </c>
      <c r="D69" s="488">
        <f>IF(A69="","",TODAY())</f>
        <v/>
      </c>
      <c r="E69" s="489" t="n"/>
      <c r="F69" s="490">
        <f>IF(OR(A69="",E69=""),"",IF(C69="","",C69+E69))</f>
        <v/>
      </c>
      <c r="G69" s="380" t="inlineStr">
        <is>
          <t>Agent 02</t>
        </is>
      </c>
      <c r="H69" s="491" t="n"/>
      <c r="I69" s="492">
        <f>IF(A69="","Pending",IF(H69="","⚠️ Enter Code",IF(IFERROR(VLOOKUP(G69,DB_Agents!$B:$I,8,0),"")=H69,IF(AND(A69&lt;&gt;"",E69&lt;&gt;""),"Saved","Pending"),"🔒 BLOCKED — Wrong Code")))</f>
        <v/>
      </c>
      <c r="J69" s="493">
        <f>IF(I69="Saved",TEXT(TODAY(),"YYYY-MM-DD")&amp;" Auto","—")</f>
        <v/>
      </c>
      <c r="K69" s="494" t="n"/>
    </row>
    <row r="70" ht="15" customHeight="1" s="341">
      <c r="A70" s="495" t="n"/>
      <c r="B70" s="382">
        <f>IF(A70="","",IFERROR(VLOOKUP(A70,DB_Customers!$A:$D,4,0),"❌ Account Not Found"))</f>
        <v/>
      </c>
      <c r="C70" s="496">
        <f>IF(A70="","",IFERROR(VLOOKUP(A70,DB_Customers!$A:$N,14,0),""))</f>
        <v/>
      </c>
      <c r="D70" s="497">
        <f>IF(A70="","",TODAY())</f>
        <v/>
      </c>
      <c r="E70" s="489" t="n"/>
      <c r="F70" s="498">
        <f>IF(OR(A70="",E70=""),"",IF(C70="","",C70+E70))</f>
        <v/>
      </c>
      <c r="G70" s="384" t="inlineStr">
        <is>
          <t>Agent 02</t>
        </is>
      </c>
      <c r="H70" s="491" t="n"/>
      <c r="I70" s="499">
        <f>IF(A70="","Pending",IF(H70="","⚠️ Enter Code",IF(IFERROR(VLOOKUP(G70,DB_Agents!$B:$I,8,0),"")=H70,IF(AND(A70&lt;&gt;"",E70&lt;&gt;""),"Saved","Pending"),"🔒 BLOCKED — Wrong Code")))</f>
        <v/>
      </c>
      <c r="J70" s="500">
        <f>IF(I70="Saved",TEXT(TODAY(),"YYYY-MM-DD")&amp;" Auto","—")</f>
        <v/>
      </c>
      <c r="K70" s="501" t="n"/>
    </row>
    <row r="71" ht="15" customHeight="1" s="341">
      <c r="A71" s="486" t="n"/>
      <c r="B71" s="378">
        <f>IF(A71="","",IFERROR(VLOOKUP(A71,DB_Customers!$A:$D,4,0),"❌ Account Not Found"))</f>
        <v/>
      </c>
      <c r="C71" s="487">
        <f>IF(A71="","",IFERROR(VLOOKUP(A71,DB_Customers!$A:$N,14,0),""))</f>
        <v/>
      </c>
      <c r="D71" s="488">
        <f>IF(A71="","",TODAY())</f>
        <v/>
      </c>
      <c r="E71" s="489" t="n"/>
      <c r="F71" s="490">
        <f>IF(OR(A71="",E71=""),"",IF(C71="","",C71+E71))</f>
        <v/>
      </c>
      <c r="G71" s="380" t="inlineStr">
        <is>
          <t>Agent 02</t>
        </is>
      </c>
      <c r="H71" s="491" t="n"/>
      <c r="I71" s="492">
        <f>IF(A71="","Pending",IF(H71="","⚠️ Enter Code",IF(IFERROR(VLOOKUP(G71,DB_Agents!$B:$I,8,0),"")=H71,IF(AND(A71&lt;&gt;"",E71&lt;&gt;""),"Saved","Pending"),"🔒 BLOCKED — Wrong Code")))</f>
        <v/>
      </c>
      <c r="J71" s="493">
        <f>IF(I71="Saved",TEXT(TODAY(),"YYYY-MM-DD")&amp;" Auto","—")</f>
        <v/>
      </c>
      <c r="K71" s="494" t="n"/>
    </row>
    <row r="72" ht="15" customHeight="1" s="341">
      <c r="A72" s="495" t="n"/>
      <c r="B72" s="382">
        <f>IF(A72="","",IFERROR(VLOOKUP(A72,DB_Customers!$A:$D,4,0),"❌ Account Not Found"))</f>
        <v/>
      </c>
      <c r="C72" s="496">
        <f>IF(A72="","",IFERROR(VLOOKUP(A72,DB_Customers!$A:$N,14,0),""))</f>
        <v/>
      </c>
      <c r="D72" s="497">
        <f>IF(A72="","",TODAY())</f>
        <v/>
      </c>
      <c r="E72" s="489" t="n"/>
      <c r="F72" s="498">
        <f>IF(OR(A72="",E72=""),"",IF(C72="","",C72+E72))</f>
        <v/>
      </c>
      <c r="G72" s="384" t="inlineStr">
        <is>
          <t>Agent 02</t>
        </is>
      </c>
      <c r="H72" s="491" t="n"/>
      <c r="I72" s="499">
        <f>IF(A72="","Pending",IF(H72="","⚠️ Enter Code",IF(IFERROR(VLOOKUP(G72,DB_Agents!$B:$I,8,0),"")=H72,IF(AND(A72&lt;&gt;"",E72&lt;&gt;""),"Saved","Pending"),"🔒 BLOCKED — Wrong Code")))</f>
        <v/>
      </c>
      <c r="J72" s="500">
        <f>IF(I72="Saved",TEXT(TODAY(),"YYYY-MM-DD")&amp;" Auto","—")</f>
        <v/>
      </c>
      <c r="K72" s="501" t="n"/>
    </row>
    <row r="73" ht="15" customHeight="1" s="341">
      <c r="A73" s="486" t="n"/>
      <c r="B73" s="378">
        <f>IF(A73="","",IFERROR(VLOOKUP(A73,DB_Customers!$A:$D,4,0),"❌ Account Not Found"))</f>
        <v/>
      </c>
      <c r="C73" s="487">
        <f>IF(A73="","",IFERROR(VLOOKUP(A73,DB_Customers!$A:$N,14,0),""))</f>
        <v/>
      </c>
      <c r="D73" s="488">
        <f>IF(A73="","",TODAY())</f>
        <v/>
      </c>
      <c r="E73" s="489" t="n"/>
      <c r="F73" s="490">
        <f>IF(OR(A73="",E73=""),"",IF(C73="","",C73+E73))</f>
        <v/>
      </c>
      <c r="G73" s="380" t="inlineStr">
        <is>
          <t>Agent 02</t>
        </is>
      </c>
      <c r="H73" s="491" t="n"/>
      <c r="I73" s="492">
        <f>IF(A73="","Pending",IF(H73="","⚠️ Enter Code",IF(IFERROR(VLOOKUP(G73,DB_Agents!$B:$I,8,0),"")=H73,IF(AND(A73&lt;&gt;"",E73&lt;&gt;""),"Saved","Pending"),"🔒 BLOCKED — Wrong Code")))</f>
        <v/>
      </c>
      <c r="J73" s="493">
        <f>IF(I73="Saved",TEXT(TODAY(),"YYYY-MM-DD")&amp;" Auto","—")</f>
        <v/>
      </c>
      <c r="K73" s="494" t="n"/>
    </row>
    <row r="74" ht="15" customHeight="1" s="341">
      <c r="A74" s="495" t="n"/>
      <c r="B74" s="382">
        <f>IF(A74="","",IFERROR(VLOOKUP(A74,DB_Customers!$A:$D,4,0),"❌ Account Not Found"))</f>
        <v/>
      </c>
      <c r="C74" s="496">
        <f>IF(A74="","",IFERROR(VLOOKUP(A74,DB_Customers!$A:$N,14,0),""))</f>
        <v/>
      </c>
      <c r="D74" s="497">
        <f>IF(A74="","",TODAY())</f>
        <v/>
      </c>
      <c r="E74" s="489" t="n"/>
      <c r="F74" s="498">
        <f>IF(OR(A74="",E74=""),"",IF(C74="","",C74+E74))</f>
        <v/>
      </c>
      <c r="G74" s="384" t="inlineStr">
        <is>
          <t>Agent 02</t>
        </is>
      </c>
      <c r="H74" s="491" t="n"/>
      <c r="I74" s="499">
        <f>IF(A74="","Pending",IF(H74="","⚠️ Enter Code",IF(IFERROR(VLOOKUP(G74,DB_Agents!$B:$I,8,0),"")=H74,IF(AND(A74&lt;&gt;"",E74&lt;&gt;""),"Saved","Pending"),"🔒 BLOCKED — Wrong Code")))</f>
        <v/>
      </c>
      <c r="J74" s="500">
        <f>IF(I74="Saved",TEXT(TODAY(),"YYYY-MM-DD")&amp;" Auto","—")</f>
        <v/>
      </c>
      <c r="K74" s="501" t="n"/>
    </row>
    <row r="75" ht="15" customHeight="1" s="341">
      <c r="A75" s="486" t="n"/>
      <c r="B75" s="378">
        <f>IF(A75="","",IFERROR(VLOOKUP(A75,DB_Customers!$A:$D,4,0),"❌ Account Not Found"))</f>
        <v/>
      </c>
      <c r="C75" s="487">
        <f>IF(A75="","",IFERROR(VLOOKUP(A75,DB_Customers!$A:$N,14,0),""))</f>
        <v/>
      </c>
      <c r="D75" s="488">
        <f>IF(A75="","",TODAY())</f>
        <v/>
      </c>
      <c r="E75" s="489" t="n"/>
      <c r="F75" s="490">
        <f>IF(OR(A75="",E75=""),"",IF(C75="","",C75+E75))</f>
        <v/>
      </c>
      <c r="G75" s="380" t="inlineStr">
        <is>
          <t>Agent 02</t>
        </is>
      </c>
      <c r="H75" s="491" t="n"/>
      <c r="I75" s="492">
        <f>IF(A75="","Pending",IF(H75="","⚠️ Enter Code",IF(IFERROR(VLOOKUP(G75,DB_Agents!$B:$I,8,0),"")=H75,IF(AND(A75&lt;&gt;"",E75&lt;&gt;""),"Saved","Pending"),"🔒 BLOCKED — Wrong Code")))</f>
        <v/>
      </c>
      <c r="J75" s="493">
        <f>IF(I75="Saved",TEXT(TODAY(),"YYYY-MM-DD")&amp;" Auto","—")</f>
        <v/>
      </c>
      <c r="K75" s="494" t="n"/>
    </row>
    <row r="76" ht="15" customHeight="1" s="341">
      <c r="A76" s="495" t="n"/>
      <c r="B76" s="382">
        <f>IF(A76="","",IFERROR(VLOOKUP(A76,DB_Customers!$A:$D,4,0),"❌ Account Not Found"))</f>
        <v/>
      </c>
      <c r="C76" s="496">
        <f>IF(A76="","",IFERROR(VLOOKUP(A76,DB_Customers!$A:$N,14,0),""))</f>
        <v/>
      </c>
      <c r="D76" s="497">
        <f>IF(A76="","",TODAY())</f>
        <v/>
      </c>
      <c r="E76" s="489" t="n"/>
      <c r="F76" s="498">
        <f>IF(OR(A76="",E76=""),"",IF(C76="","",C76+E76))</f>
        <v/>
      </c>
      <c r="G76" s="384" t="inlineStr">
        <is>
          <t>Agent 02</t>
        </is>
      </c>
      <c r="H76" s="491" t="n"/>
      <c r="I76" s="499">
        <f>IF(A76="","Pending",IF(H76="","⚠️ Enter Code",IF(IFERROR(VLOOKUP(G76,DB_Agents!$B:$I,8,0),"")=H76,IF(AND(A76&lt;&gt;"",E76&lt;&gt;""),"Saved","Pending"),"🔒 BLOCKED — Wrong Code")))</f>
        <v/>
      </c>
      <c r="J76" s="500">
        <f>IF(I76="Saved",TEXT(TODAY(),"YYYY-MM-DD")&amp;" Auto","—")</f>
        <v/>
      </c>
      <c r="K76" s="501" t="n"/>
    </row>
    <row r="77" ht="15" customHeight="1" s="341">
      <c r="A77" s="486" t="n"/>
      <c r="B77" s="378">
        <f>IF(A77="","",IFERROR(VLOOKUP(A77,DB_Customers!$A:$D,4,0),"❌ Account Not Found"))</f>
        <v/>
      </c>
      <c r="C77" s="487">
        <f>IF(A77="","",IFERROR(VLOOKUP(A77,DB_Customers!$A:$N,14,0),""))</f>
        <v/>
      </c>
      <c r="D77" s="488">
        <f>IF(A77="","",TODAY())</f>
        <v/>
      </c>
      <c r="E77" s="489" t="n"/>
      <c r="F77" s="490">
        <f>IF(OR(A77="",E77=""),"",IF(C77="","",C77+E77))</f>
        <v/>
      </c>
      <c r="G77" s="380" t="inlineStr">
        <is>
          <t>Agent 02</t>
        </is>
      </c>
      <c r="H77" s="491" t="n"/>
      <c r="I77" s="492">
        <f>IF(A77="","Pending",IF(H77="","⚠️ Enter Code",IF(IFERROR(VLOOKUP(G77,DB_Agents!$B:$I,8,0),"")=H77,IF(AND(A77&lt;&gt;"",E77&lt;&gt;""),"Saved","Pending"),"🔒 BLOCKED — Wrong Code")))</f>
        <v/>
      </c>
      <c r="J77" s="493">
        <f>IF(I77="Saved",TEXT(TODAY(),"YYYY-MM-DD")&amp;" Auto","—")</f>
        <v/>
      </c>
      <c r="K77" s="494" t="n"/>
    </row>
    <row r="78" ht="15" customHeight="1" s="341">
      <c r="A78" s="495" t="n"/>
      <c r="B78" s="382">
        <f>IF(A78="","",IFERROR(VLOOKUP(A78,DB_Customers!$A:$D,4,0),"❌ Account Not Found"))</f>
        <v/>
      </c>
      <c r="C78" s="496">
        <f>IF(A78="","",IFERROR(VLOOKUP(A78,DB_Customers!$A:$N,14,0),""))</f>
        <v/>
      </c>
      <c r="D78" s="497">
        <f>IF(A78="","",TODAY())</f>
        <v/>
      </c>
      <c r="E78" s="489" t="n"/>
      <c r="F78" s="498">
        <f>IF(OR(A78="",E78=""),"",IF(C78="","",C78+E78))</f>
        <v/>
      </c>
      <c r="G78" s="384" t="inlineStr">
        <is>
          <t>Agent 02</t>
        </is>
      </c>
      <c r="H78" s="491" t="n"/>
      <c r="I78" s="499">
        <f>IF(A78="","Pending",IF(H78="","⚠️ Enter Code",IF(IFERROR(VLOOKUP(G78,DB_Agents!$B:$I,8,0),"")=H78,IF(AND(A78&lt;&gt;"",E78&lt;&gt;""),"Saved","Pending"),"🔒 BLOCKED — Wrong Code")))</f>
        <v/>
      </c>
      <c r="J78" s="500">
        <f>IF(I78="Saved",TEXT(TODAY(),"YYYY-MM-DD")&amp;" Auto","—")</f>
        <v/>
      </c>
      <c r="K78" s="501" t="n"/>
    </row>
    <row r="79" ht="15" customHeight="1" s="341">
      <c r="A79" s="486" t="n"/>
      <c r="B79" s="378">
        <f>IF(A79="","",IFERROR(VLOOKUP(A79,DB_Customers!$A:$D,4,0),"❌ Account Not Found"))</f>
        <v/>
      </c>
      <c r="C79" s="487">
        <f>IF(A79="","",IFERROR(VLOOKUP(A79,DB_Customers!$A:$N,14,0),""))</f>
        <v/>
      </c>
      <c r="D79" s="488">
        <f>IF(A79="","",TODAY())</f>
        <v/>
      </c>
      <c r="E79" s="489" t="n"/>
      <c r="F79" s="490">
        <f>IF(OR(A79="",E79=""),"",IF(C79="","",C79+E79))</f>
        <v/>
      </c>
      <c r="G79" s="380" t="inlineStr">
        <is>
          <t>Agent 02</t>
        </is>
      </c>
      <c r="H79" s="491" t="n"/>
      <c r="I79" s="492">
        <f>IF(A79="","Pending",IF(H79="","⚠️ Enter Code",IF(IFERROR(VLOOKUP(G79,DB_Agents!$B:$I,8,0),"")=H79,IF(AND(A79&lt;&gt;"",E79&lt;&gt;""),"Saved","Pending"),"🔒 BLOCKED — Wrong Code")))</f>
        <v/>
      </c>
      <c r="J79" s="493">
        <f>IF(I79="Saved",TEXT(TODAY(),"YYYY-MM-DD")&amp;" Auto","—")</f>
        <v/>
      </c>
      <c r="K79" s="494" t="n"/>
    </row>
    <row r="80" ht="15" customHeight="1" s="341">
      <c r="A80" s="495" t="n"/>
      <c r="B80" s="382">
        <f>IF(A80="","",IFERROR(VLOOKUP(A80,DB_Customers!$A:$D,4,0),"❌ Account Not Found"))</f>
        <v/>
      </c>
      <c r="C80" s="496">
        <f>IF(A80="","",IFERROR(VLOOKUP(A80,DB_Customers!$A:$N,14,0),""))</f>
        <v/>
      </c>
      <c r="D80" s="497">
        <f>IF(A80="","",TODAY())</f>
        <v/>
      </c>
      <c r="E80" s="489" t="n"/>
      <c r="F80" s="498">
        <f>IF(OR(A80="",E80=""),"",IF(C80="","",C80+E80))</f>
        <v/>
      </c>
      <c r="G80" s="384" t="inlineStr">
        <is>
          <t>Agent 02</t>
        </is>
      </c>
      <c r="H80" s="491" t="n"/>
      <c r="I80" s="499">
        <f>IF(A80="","Pending",IF(H80="","⚠️ Enter Code",IF(IFERROR(VLOOKUP(G80,DB_Agents!$B:$I,8,0),"")=H80,IF(AND(A80&lt;&gt;"",E80&lt;&gt;""),"Saved","Pending"),"🔒 BLOCKED — Wrong Code")))</f>
        <v/>
      </c>
      <c r="J80" s="500">
        <f>IF(I80="Saved",TEXT(TODAY(),"YYYY-MM-DD")&amp;" Auto","—")</f>
        <v/>
      </c>
      <c r="K80" s="501" t="n"/>
    </row>
    <row r="81" ht="15" customHeight="1" s="341">
      <c r="A81" s="486" t="n"/>
      <c r="B81" s="378">
        <f>IF(A81="","",IFERROR(VLOOKUP(A81,DB_Customers!$A:$D,4,0),"❌ Account Not Found"))</f>
        <v/>
      </c>
      <c r="C81" s="487">
        <f>IF(A81="","",IFERROR(VLOOKUP(A81,DB_Customers!$A:$N,14,0),""))</f>
        <v/>
      </c>
      <c r="D81" s="488">
        <f>IF(A81="","",TODAY())</f>
        <v/>
      </c>
      <c r="E81" s="489" t="n"/>
      <c r="F81" s="490">
        <f>IF(OR(A81="",E81=""),"",IF(C81="","",C81+E81))</f>
        <v/>
      </c>
      <c r="G81" s="380" t="inlineStr">
        <is>
          <t>Agent 02</t>
        </is>
      </c>
      <c r="H81" s="491" t="n"/>
      <c r="I81" s="492">
        <f>IF(A81="","Pending",IF(H81="","⚠️ Enter Code",IF(IFERROR(VLOOKUP(G81,DB_Agents!$B:$I,8,0),"")=H81,IF(AND(A81&lt;&gt;"",E81&lt;&gt;""),"Saved","Pending"),"🔒 BLOCKED — Wrong Code")))</f>
        <v/>
      </c>
      <c r="J81" s="493">
        <f>IF(I81="Saved",TEXT(TODAY(),"YYYY-MM-DD")&amp;" Auto","—")</f>
        <v/>
      </c>
      <c r="K81" s="494" t="n"/>
    </row>
    <row r="82" ht="15" customHeight="1" s="341">
      <c r="A82" s="495" t="n"/>
      <c r="B82" s="382">
        <f>IF(A82="","",IFERROR(VLOOKUP(A82,DB_Customers!$A:$D,4,0),"❌ Account Not Found"))</f>
        <v/>
      </c>
      <c r="C82" s="496">
        <f>IF(A82="","",IFERROR(VLOOKUP(A82,DB_Customers!$A:$N,14,0),""))</f>
        <v/>
      </c>
      <c r="D82" s="497">
        <f>IF(A82="","",TODAY())</f>
        <v/>
      </c>
      <c r="E82" s="489" t="n"/>
      <c r="F82" s="498">
        <f>IF(OR(A82="",E82=""),"",IF(C82="","",C82+E82))</f>
        <v/>
      </c>
      <c r="G82" s="384" t="inlineStr">
        <is>
          <t>Agent 02</t>
        </is>
      </c>
      <c r="H82" s="491" t="n"/>
      <c r="I82" s="499">
        <f>IF(A82="","Pending",IF(H82="","⚠️ Enter Code",IF(IFERROR(VLOOKUP(G82,DB_Agents!$B:$I,8,0),"")=H82,IF(AND(A82&lt;&gt;"",E82&lt;&gt;""),"Saved","Pending"),"🔒 BLOCKED — Wrong Code")))</f>
        <v/>
      </c>
      <c r="J82" s="500">
        <f>IF(I82="Saved",TEXT(TODAY(),"YYYY-MM-DD")&amp;" Auto","—")</f>
        <v/>
      </c>
      <c r="K82" s="501" t="n"/>
    </row>
    <row r="83" ht="15" customHeight="1" s="341">
      <c r="A83" s="486" t="n"/>
      <c r="B83" s="378">
        <f>IF(A83="","",IFERROR(VLOOKUP(A83,DB_Customers!$A:$D,4,0),"❌ Account Not Found"))</f>
        <v/>
      </c>
      <c r="C83" s="487">
        <f>IF(A83="","",IFERROR(VLOOKUP(A83,DB_Customers!$A:$N,14,0),""))</f>
        <v/>
      </c>
      <c r="D83" s="488">
        <f>IF(A83="","",TODAY())</f>
        <v/>
      </c>
      <c r="E83" s="489" t="n"/>
      <c r="F83" s="490">
        <f>IF(OR(A83="",E83=""),"",IF(C83="","",C83+E83))</f>
        <v/>
      </c>
      <c r="G83" s="380" t="inlineStr">
        <is>
          <t>Agent 02</t>
        </is>
      </c>
      <c r="H83" s="491" t="n"/>
      <c r="I83" s="492">
        <f>IF(A83="","Pending",IF(H83="","⚠️ Enter Code",IF(IFERROR(VLOOKUP(G83,DB_Agents!$B:$I,8,0),"")=H83,IF(AND(A83&lt;&gt;"",E83&lt;&gt;""),"Saved","Pending"),"🔒 BLOCKED — Wrong Code")))</f>
        <v/>
      </c>
      <c r="J83" s="493">
        <f>IF(I83="Saved",TEXT(TODAY(),"YYYY-MM-DD")&amp;" Auto","—")</f>
        <v/>
      </c>
      <c r="K83" s="494" t="n"/>
    </row>
    <row r="84" ht="15" customHeight="1" s="341">
      <c r="A84" s="495" t="n"/>
      <c r="B84" s="382">
        <f>IF(A84="","",IFERROR(VLOOKUP(A84,DB_Customers!$A:$D,4,0),"❌ Account Not Found"))</f>
        <v/>
      </c>
      <c r="C84" s="496">
        <f>IF(A84="","",IFERROR(VLOOKUP(A84,DB_Customers!$A:$N,14,0),""))</f>
        <v/>
      </c>
      <c r="D84" s="497">
        <f>IF(A84="","",TODAY())</f>
        <v/>
      </c>
      <c r="E84" s="489" t="n"/>
      <c r="F84" s="498">
        <f>IF(OR(A84="",E84=""),"",IF(C84="","",C84+E84))</f>
        <v/>
      </c>
      <c r="G84" s="384" t="inlineStr">
        <is>
          <t>Agent 02</t>
        </is>
      </c>
      <c r="H84" s="491" t="n"/>
      <c r="I84" s="499">
        <f>IF(A84="","Pending",IF(H84="","⚠️ Enter Code",IF(IFERROR(VLOOKUP(G84,DB_Agents!$B:$I,8,0),"")=H84,IF(AND(A84&lt;&gt;"",E84&lt;&gt;""),"Saved","Pending"),"🔒 BLOCKED — Wrong Code")))</f>
        <v/>
      </c>
      <c r="J84" s="500">
        <f>IF(I84="Saved",TEXT(TODAY(),"YYYY-MM-DD")&amp;" Auto","—")</f>
        <v/>
      </c>
      <c r="K84" s="501" t="n"/>
    </row>
    <row r="85" ht="15" customHeight="1" s="341">
      <c r="A85" s="486" t="n"/>
      <c r="B85" s="378">
        <f>IF(A85="","",IFERROR(VLOOKUP(A85,DB_Customers!$A:$D,4,0),"❌ Account Not Found"))</f>
        <v/>
      </c>
      <c r="C85" s="487">
        <f>IF(A85="","",IFERROR(VLOOKUP(A85,DB_Customers!$A:$N,14,0),""))</f>
        <v/>
      </c>
      <c r="D85" s="488">
        <f>IF(A85="","",TODAY())</f>
        <v/>
      </c>
      <c r="E85" s="489" t="n"/>
      <c r="F85" s="490">
        <f>IF(OR(A85="",E85=""),"",IF(C85="","",C85+E85))</f>
        <v/>
      </c>
      <c r="G85" s="380" t="inlineStr">
        <is>
          <t>Agent 02</t>
        </is>
      </c>
      <c r="H85" s="491" t="n"/>
      <c r="I85" s="492">
        <f>IF(A85="","Pending",IF(H85="","⚠️ Enter Code",IF(IFERROR(VLOOKUP(G85,DB_Agents!$B:$I,8,0),"")=H85,IF(AND(A85&lt;&gt;"",E85&lt;&gt;""),"Saved","Pending"),"🔒 BLOCKED — Wrong Code")))</f>
        <v/>
      </c>
      <c r="J85" s="493">
        <f>IF(I85="Saved",TEXT(TODAY(),"YYYY-MM-DD")&amp;" Auto","—")</f>
        <v/>
      </c>
      <c r="K85" s="494" t="n"/>
    </row>
    <row r="86" ht="15" customHeight="1" s="341">
      <c r="A86" s="495" t="n"/>
      <c r="B86" s="382">
        <f>IF(A86="","",IFERROR(VLOOKUP(A86,DB_Customers!$A:$D,4,0),"❌ Account Not Found"))</f>
        <v/>
      </c>
      <c r="C86" s="496">
        <f>IF(A86="","",IFERROR(VLOOKUP(A86,DB_Customers!$A:$N,14,0),""))</f>
        <v/>
      </c>
      <c r="D86" s="497">
        <f>IF(A86="","",TODAY())</f>
        <v/>
      </c>
      <c r="E86" s="489" t="n"/>
      <c r="F86" s="498">
        <f>IF(OR(A86="",E86=""),"",IF(C86="","",C86+E86))</f>
        <v/>
      </c>
      <c r="G86" s="384" t="inlineStr">
        <is>
          <t>Agent 02</t>
        </is>
      </c>
      <c r="H86" s="491" t="n"/>
      <c r="I86" s="499">
        <f>IF(A86="","Pending",IF(H86="","⚠️ Enter Code",IF(IFERROR(VLOOKUP(G86,DB_Agents!$B:$I,8,0),"")=H86,IF(AND(A86&lt;&gt;"",E86&lt;&gt;""),"Saved","Pending"),"🔒 BLOCKED — Wrong Code")))</f>
        <v/>
      </c>
      <c r="J86" s="500">
        <f>IF(I86="Saved",TEXT(TODAY(),"YYYY-MM-DD")&amp;" Auto","—")</f>
        <v/>
      </c>
      <c r="K86" s="501" t="n"/>
    </row>
    <row r="87" ht="15" customHeight="1" s="341">
      <c r="A87" s="486" t="n"/>
      <c r="B87" s="378">
        <f>IF(A87="","",IFERROR(VLOOKUP(A87,DB_Customers!$A:$D,4,0),"❌ Account Not Found"))</f>
        <v/>
      </c>
      <c r="C87" s="487">
        <f>IF(A87="","",IFERROR(VLOOKUP(A87,DB_Customers!$A:$N,14,0),""))</f>
        <v/>
      </c>
      <c r="D87" s="488">
        <f>IF(A87="","",TODAY())</f>
        <v/>
      </c>
      <c r="E87" s="489" t="n"/>
      <c r="F87" s="490">
        <f>IF(OR(A87="",E87=""),"",IF(C87="","",C87+E87))</f>
        <v/>
      </c>
      <c r="G87" s="380" t="inlineStr">
        <is>
          <t>Agent 02</t>
        </is>
      </c>
      <c r="H87" s="491" t="n"/>
      <c r="I87" s="492">
        <f>IF(A87="","Pending",IF(H87="","⚠️ Enter Code",IF(IFERROR(VLOOKUP(G87,DB_Agents!$B:$I,8,0),"")=H87,IF(AND(A87&lt;&gt;"",E87&lt;&gt;""),"Saved","Pending"),"🔒 BLOCKED — Wrong Code")))</f>
        <v/>
      </c>
      <c r="J87" s="493">
        <f>IF(I87="Saved",TEXT(TODAY(),"YYYY-MM-DD")&amp;" Auto","—")</f>
        <v/>
      </c>
      <c r="K87" s="494" t="n"/>
    </row>
    <row r="88" ht="15" customHeight="1" s="341">
      <c r="A88" s="495" t="n"/>
      <c r="B88" s="382">
        <f>IF(A88="","",IFERROR(VLOOKUP(A88,DB_Customers!$A:$D,4,0),"❌ Account Not Found"))</f>
        <v/>
      </c>
      <c r="C88" s="496">
        <f>IF(A88="","",IFERROR(VLOOKUP(A88,DB_Customers!$A:$N,14,0),""))</f>
        <v/>
      </c>
      <c r="D88" s="497">
        <f>IF(A88="","",TODAY())</f>
        <v/>
      </c>
      <c r="E88" s="489" t="n"/>
      <c r="F88" s="498">
        <f>IF(OR(A88="",E88=""),"",IF(C88="","",C88+E88))</f>
        <v/>
      </c>
      <c r="G88" s="384" t="inlineStr">
        <is>
          <t>Agent 02</t>
        </is>
      </c>
      <c r="H88" s="491" t="n"/>
      <c r="I88" s="499">
        <f>IF(A88="","Pending",IF(H88="","⚠️ Enter Code",IF(IFERROR(VLOOKUP(G88,DB_Agents!$B:$I,8,0),"")=H88,IF(AND(A88&lt;&gt;"",E88&lt;&gt;""),"Saved","Pending"),"🔒 BLOCKED — Wrong Code")))</f>
        <v/>
      </c>
      <c r="J88" s="500">
        <f>IF(I88="Saved",TEXT(TODAY(),"YYYY-MM-DD")&amp;" Auto","—")</f>
        <v/>
      </c>
      <c r="K88" s="501" t="n"/>
    </row>
    <row r="89" ht="15" customHeight="1" s="341">
      <c r="A89" s="486" t="n"/>
      <c r="B89" s="378">
        <f>IF(A89="","",IFERROR(VLOOKUP(A89,DB_Customers!$A:$D,4,0),"❌ Account Not Found"))</f>
        <v/>
      </c>
      <c r="C89" s="487">
        <f>IF(A89="","",IFERROR(VLOOKUP(A89,DB_Customers!$A:$N,14,0),""))</f>
        <v/>
      </c>
      <c r="D89" s="488">
        <f>IF(A89="","",TODAY())</f>
        <v/>
      </c>
      <c r="E89" s="489" t="n"/>
      <c r="F89" s="490">
        <f>IF(OR(A89="",E89=""),"",IF(C89="","",C89+E89))</f>
        <v/>
      </c>
      <c r="G89" s="380" t="inlineStr">
        <is>
          <t>Agent 02</t>
        </is>
      </c>
      <c r="H89" s="491" t="n"/>
      <c r="I89" s="492">
        <f>IF(A89="","Pending",IF(H89="","⚠️ Enter Code",IF(IFERROR(VLOOKUP(G89,DB_Agents!$B:$I,8,0),"")=H89,IF(AND(A89&lt;&gt;"",E89&lt;&gt;""),"Saved","Pending"),"🔒 BLOCKED — Wrong Code")))</f>
        <v/>
      </c>
      <c r="J89" s="493">
        <f>IF(I89="Saved",TEXT(TODAY(),"YYYY-MM-DD")&amp;" Auto","—")</f>
        <v/>
      </c>
      <c r="K89" s="494" t="n"/>
    </row>
    <row r="90" ht="15" customHeight="1" s="341">
      <c r="A90" s="495" t="n"/>
      <c r="B90" s="382">
        <f>IF(A90="","",IFERROR(VLOOKUP(A90,DB_Customers!$A:$D,4,0),"❌ Account Not Found"))</f>
        <v/>
      </c>
      <c r="C90" s="496">
        <f>IF(A90="","",IFERROR(VLOOKUP(A90,DB_Customers!$A:$N,14,0),""))</f>
        <v/>
      </c>
      <c r="D90" s="497">
        <f>IF(A90="","",TODAY())</f>
        <v/>
      </c>
      <c r="E90" s="489" t="n"/>
      <c r="F90" s="498">
        <f>IF(OR(A90="",E90=""),"",IF(C90="","",C90+E90))</f>
        <v/>
      </c>
      <c r="G90" s="384" t="inlineStr">
        <is>
          <t>Agent 02</t>
        </is>
      </c>
      <c r="H90" s="491" t="n"/>
      <c r="I90" s="499">
        <f>IF(A90="","Pending",IF(H90="","⚠️ Enter Code",IF(IFERROR(VLOOKUP(G90,DB_Agents!$B:$I,8,0),"")=H90,IF(AND(A90&lt;&gt;"",E90&lt;&gt;""),"Saved","Pending"),"🔒 BLOCKED — Wrong Code")))</f>
        <v/>
      </c>
      <c r="J90" s="500">
        <f>IF(I90="Saved",TEXT(TODAY(),"YYYY-MM-DD")&amp;" Auto","—")</f>
        <v/>
      </c>
      <c r="K90" s="501" t="n"/>
    </row>
    <row r="91" ht="15" customHeight="1" s="341">
      <c r="A91" s="486" t="n"/>
      <c r="B91" s="378">
        <f>IF(A91="","",IFERROR(VLOOKUP(A91,DB_Customers!$A:$D,4,0),"❌ Account Not Found"))</f>
        <v/>
      </c>
      <c r="C91" s="487">
        <f>IF(A91="","",IFERROR(VLOOKUP(A91,DB_Customers!$A:$N,14,0),""))</f>
        <v/>
      </c>
      <c r="D91" s="488">
        <f>IF(A91="","",TODAY())</f>
        <v/>
      </c>
      <c r="E91" s="489" t="n"/>
      <c r="F91" s="490">
        <f>IF(OR(A91="",E91=""),"",IF(C91="","",C91+E91))</f>
        <v/>
      </c>
      <c r="G91" s="380" t="inlineStr">
        <is>
          <t>Agent 02</t>
        </is>
      </c>
      <c r="H91" s="491" t="n"/>
      <c r="I91" s="492">
        <f>IF(A91="","Pending",IF(H91="","⚠️ Enter Code",IF(IFERROR(VLOOKUP(G91,DB_Agents!$B:$I,8,0),"")=H91,IF(AND(A91&lt;&gt;"",E91&lt;&gt;""),"Saved","Pending"),"🔒 BLOCKED — Wrong Code")))</f>
        <v/>
      </c>
      <c r="J91" s="493">
        <f>IF(I91="Saved",TEXT(TODAY(),"YYYY-MM-DD")&amp;" Auto","—")</f>
        <v/>
      </c>
      <c r="K91" s="494" t="n"/>
    </row>
    <row r="92" ht="15" customHeight="1" s="341">
      <c r="A92" s="495" t="n"/>
      <c r="B92" s="382">
        <f>IF(A92="","",IFERROR(VLOOKUP(A92,DB_Customers!$A:$D,4,0),"❌ Account Not Found"))</f>
        <v/>
      </c>
      <c r="C92" s="496">
        <f>IF(A92="","",IFERROR(VLOOKUP(A92,DB_Customers!$A:$N,14,0),""))</f>
        <v/>
      </c>
      <c r="D92" s="497">
        <f>IF(A92="","",TODAY())</f>
        <v/>
      </c>
      <c r="E92" s="489" t="n"/>
      <c r="F92" s="498">
        <f>IF(OR(A92="",E92=""),"",IF(C92="","",C92+E92))</f>
        <v/>
      </c>
      <c r="G92" s="384" t="inlineStr">
        <is>
          <t>Agent 02</t>
        </is>
      </c>
      <c r="H92" s="491" t="n"/>
      <c r="I92" s="499">
        <f>IF(A92="","Pending",IF(H92="","⚠️ Enter Code",IF(IFERROR(VLOOKUP(G92,DB_Agents!$B:$I,8,0),"")=H92,IF(AND(A92&lt;&gt;"",E92&lt;&gt;""),"Saved","Pending"),"🔒 BLOCKED — Wrong Code")))</f>
        <v/>
      </c>
      <c r="J92" s="500">
        <f>IF(I92="Saved",TEXT(TODAY(),"YYYY-MM-DD")&amp;" Auto","—")</f>
        <v/>
      </c>
      <c r="K92" s="501" t="n"/>
    </row>
    <row r="93" ht="15" customHeight="1" s="341">
      <c r="A93" s="486" t="n"/>
      <c r="B93" s="378">
        <f>IF(A93="","",IFERROR(VLOOKUP(A93,DB_Customers!$A:$D,4,0),"❌ Account Not Found"))</f>
        <v/>
      </c>
      <c r="C93" s="487">
        <f>IF(A93="","",IFERROR(VLOOKUP(A93,DB_Customers!$A:$N,14,0),""))</f>
        <v/>
      </c>
      <c r="D93" s="488">
        <f>IF(A93="","",TODAY())</f>
        <v/>
      </c>
      <c r="E93" s="489" t="n"/>
      <c r="F93" s="490">
        <f>IF(OR(A93="",E93=""),"",IF(C93="","",C93+E93))</f>
        <v/>
      </c>
      <c r="G93" s="380" t="inlineStr">
        <is>
          <t>Agent 02</t>
        </is>
      </c>
      <c r="H93" s="491" t="n"/>
      <c r="I93" s="492">
        <f>IF(A93="","Pending",IF(H93="","⚠️ Enter Code",IF(IFERROR(VLOOKUP(G93,DB_Agents!$B:$I,8,0),"")=H93,IF(AND(A93&lt;&gt;"",E93&lt;&gt;""),"Saved","Pending"),"🔒 BLOCKED — Wrong Code")))</f>
        <v/>
      </c>
      <c r="J93" s="493">
        <f>IF(I93="Saved",TEXT(TODAY(),"YYYY-MM-DD")&amp;" Auto","—")</f>
        <v/>
      </c>
      <c r="K93" s="494" t="n"/>
    </row>
    <row r="94" ht="15" customHeight="1" s="341">
      <c r="A94" s="495" t="n"/>
      <c r="B94" s="382">
        <f>IF(A94="","",IFERROR(VLOOKUP(A94,DB_Customers!$A:$D,4,0),"❌ Account Not Found"))</f>
        <v/>
      </c>
      <c r="C94" s="496">
        <f>IF(A94="","",IFERROR(VLOOKUP(A94,DB_Customers!$A:$N,14,0),""))</f>
        <v/>
      </c>
      <c r="D94" s="497">
        <f>IF(A94="","",TODAY())</f>
        <v/>
      </c>
      <c r="E94" s="489" t="n"/>
      <c r="F94" s="498">
        <f>IF(OR(A94="",E94=""),"",IF(C94="","",C94+E94))</f>
        <v/>
      </c>
      <c r="G94" s="384" t="inlineStr">
        <is>
          <t>Agent 02</t>
        </is>
      </c>
      <c r="H94" s="491" t="n"/>
      <c r="I94" s="499">
        <f>IF(A94="","Pending",IF(H94="","⚠️ Enter Code",IF(IFERROR(VLOOKUP(G94,DB_Agents!$B:$I,8,0),"")=H94,IF(AND(A94&lt;&gt;"",E94&lt;&gt;""),"Saved","Pending"),"🔒 BLOCKED — Wrong Code")))</f>
        <v/>
      </c>
      <c r="J94" s="500">
        <f>IF(I94="Saved",TEXT(TODAY(),"YYYY-MM-DD")&amp;" Auto","—")</f>
        <v/>
      </c>
      <c r="K94" s="501" t="n"/>
    </row>
    <row r="95" ht="15" customHeight="1" s="341">
      <c r="A95" s="486" t="n"/>
      <c r="B95" s="378">
        <f>IF(A95="","",IFERROR(VLOOKUP(A95,DB_Customers!$A:$D,4,0),"❌ Account Not Found"))</f>
        <v/>
      </c>
      <c r="C95" s="487">
        <f>IF(A95="","",IFERROR(VLOOKUP(A95,DB_Customers!$A:$N,14,0),""))</f>
        <v/>
      </c>
      <c r="D95" s="488">
        <f>IF(A95="","",TODAY())</f>
        <v/>
      </c>
      <c r="E95" s="489" t="n"/>
      <c r="F95" s="490">
        <f>IF(OR(A95="",E95=""),"",IF(C95="","",C95+E95))</f>
        <v/>
      </c>
      <c r="G95" s="380" t="inlineStr">
        <is>
          <t>Agent 02</t>
        </is>
      </c>
      <c r="H95" s="491" t="n"/>
      <c r="I95" s="492">
        <f>IF(A95="","Pending",IF(H95="","⚠️ Enter Code",IF(IFERROR(VLOOKUP(G95,DB_Agents!$B:$I,8,0),"")=H95,IF(AND(A95&lt;&gt;"",E95&lt;&gt;""),"Saved","Pending"),"🔒 BLOCKED — Wrong Code")))</f>
        <v/>
      </c>
      <c r="J95" s="493">
        <f>IF(I95="Saved",TEXT(TODAY(),"YYYY-MM-DD")&amp;" Auto","—")</f>
        <v/>
      </c>
      <c r="K95" s="494" t="n"/>
    </row>
    <row r="96" ht="15" customHeight="1" s="341">
      <c r="A96" s="495" t="n"/>
      <c r="B96" s="382">
        <f>IF(A96="","",IFERROR(VLOOKUP(A96,DB_Customers!$A:$D,4,0),"❌ Account Not Found"))</f>
        <v/>
      </c>
      <c r="C96" s="496">
        <f>IF(A96="","",IFERROR(VLOOKUP(A96,DB_Customers!$A:$N,14,0),""))</f>
        <v/>
      </c>
      <c r="D96" s="497">
        <f>IF(A96="","",TODAY())</f>
        <v/>
      </c>
      <c r="E96" s="489" t="n"/>
      <c r="F96" s="498">
        <f>IF(OR(A96="",E96=""),"",IF(C96="","",C96+E96))</f>
        <v/>
      </c>
      <c r="G96" s="384" t="inlineStr">
        <is>
          <t>Agent 02</t>
        </is>
      </c>
      <c r="H96" s="491" t="n"/>
      <c r="I96" s="499">
        <f>IF(A96="","Pending",IF(H96="","⚠️ Enter Code",IF(IFERROR(VLOOKUP(G96,DB_Agents!$B:$I,8,0),"")=H96,IF(AND(A96&lt;&gt;"",E96&lt;&gt;""),"Saved","Pending"),"🔒 BLOCKED — Wrong Code")))</f>
        <v/>
      </c>
      <c r="J96" s="500">
        <f>IF(I96="Saved",TEXT(TODAY(),"YYYY-MM-DD")&amp;" Auto","—")</f>
        <v/>
      </c>
      <c r="K96" s="501" t="n"/>
    </row>
    <row r="97" ht="15" customHeight="1" s="341">
      <c r="A97" s="486" t="n"/>
      <c r="B97" s="378">
        <f>IF(A97="","",IFERROR(VLOOKUP(A97,DB_Customers!$A:$D,4,0),"❌ Account Not Found"))</f>
        <v/>
      </c>
      <c r="C97" s="487">
        <f>IF(A97="","",IFERROR(VLOOKUP(A97,DB_Customers!$A:$N,14,0),""))</f>
        <v/>
      </c>
      <c r="D97" s="488">
        <f>IF(A97="","",TODAY())</f>
        <v/>
      </c>
      <c r="E97" s="489" t="n"/>
      <c r="F97" s="490">
        <f>IF(OR(A97="",E97=""),"",IF(C97="","",C97+E97))</f>
        <v/>
      </c>
      <c r="G97" s="380" t="inlineStr">
        <is>
          <t>Agent 02</t>
        </is>
      </c>
      <c r="H97" s="491" t="n"/>
      <c r="I97" s="492">
        <f>IF(A97="","Pending",IF(H97="","⚠️ Enter Code",IF(IFERROR(VLOOKUP(G97,DB_Agents!$B:$I,8,0),"")=H97,IF(AND(A97&lt;&gt;"",E97&lt;&gt;""),"Saved","Pending"),"🔒 BLOCKED — Wrong Code")))</f>
        <v/>
      </c>
      <c r="J97" s="493">
        <f>IF(I97="Saved",TEXT(TODAY(),"YYYY-MM-DD")&amp;" Auto","—")</f>
        <v/>
      </c>
      <c r="K97" s="494" t="n"/>
    </row>
    <row r="98" ht="15" customHeight="1" s="341">
      <c r="A98" s="495" t="n"/>
      <c r="B98" s="382">
        <f>IF(A98="","",IFERROR(VLOOKUP(A98,DB_Customers!$A:$D,4,0),"❌ Account Not Found"))</f>
        <v/>
      </c>
      <c r="C98" s="496">
        <f>IF(A98="","",IFERROR(VLOOKUP(A98,DB_Customers!$A:$N,14,0),""))</f>
        <v/>
      </c>
      <c r="D98" s="497">
        <f>IF(A98="","",TODAY())</f>
        <v/>
      </c>
      <c r="E98" s="489" t="n"/>
      <c r="F98" s="498">
        <f>IF(OR(A98="",E98=""),"",IF(C98="","",C98+E98))</f>
        <v/>
      </c>
      <c r="G98" s="384" t="inlineStr">
        <is>
          <t>Agent 02</t>
        </is>
      </c>
      <c r="H98" s="491" t="n"/>
      <c r="I98" s="499">
        <f>IF(A98="","Pending",IF(H98="","⚠️ Enter Code",IF(IFERROR(VLOOKUP(G98,DB_Agents!$B:$I,8,0),"")=H98,IF(AND(A98&lt;&gt;"",E98&lt;&gt;""),"Saved","Pending"),"🔒 BLOCKED — Wrong Code")))</f>
        <v/>
      </c>
      <c r="J98" s="500">
        <f>IF(I98="Saved",TEXT(TODAY(),"YYYY-MM-DD")&amp;" Auto","—")</f>
        <v/>
      </c>
      <c r="K98" s="501" t="n"/>
    </row>
    <row r="99" ht="15" customHeight="1" s="341">
      <c r="A99" s="486" t="n"/>
      <c r="B99" s="378">
        <f>IF(A99="","",IFERROR(VLOOKUP(A99,DB_Customers!$A:$D,4,0),"❌ Account Not Found"))</f>
        <v/>
      </c>
      <c r="C99" s="487">
        <f>IF(A99="","",IFERROR(VLOOKUP(A99,DB_Customers!$A:$N,14,0),""))</f>
        <v/>
      </c>
      <c r="D99" s="488">
        <f>IF(A99="","",TODAY())</f>
        <v/>
      </c>
      <c r="E99" s="489" t="n"/>
      <c r="F99" s="490">
        <f>IF(OR(A99="",E99=""),"",IF(C99="","",C99+E99))</f>
        <v/>
      </c>
      <c r="G99" s="380" t="inlineStr">
        <is>
          <t>Agent 02</t>
        </is>
      </c>
      <c r="H99" s="491" t="n"/>
      <c r="I99" s="492">
        <f>IF(A99="","Pending",IF(H99="","⚠️ Enter Code",IF(IFERROR(VLOOKUP(G99,DB_Agents!$B:$I,8,0),"")=H99,IF(AND(A99&lt;&gt;"",E99&lt;&gt;""),"Saved","Pending"),"🔒 BLOCKED — Wrong Code")))</f>
        <v/>
      </c>
      <c r="J99" s="493">
        <f>IF(I99="Saved",TEXT(TODAY(),"YYYY-MM-DD")&amp;" Auto","—")</f>
        <v/>
      </c>
      <c r="K99" s="494" t="n"/>
    </row>
    <row r="100" ht="15" customHeight="1" s="341">
      <c r="A100" s="495" t="n"/>
      <c r="B100" s="382">
        <f>IF(A100="","",IFERROR(VLOOKUP(A100,DB_Customers!$A:$D,4,0),"❌ Account Not Found"))</f>
        <v/>
      </c>
      <c r="C100" s="496">
        <f>IF(A100="","",IFERROR(VLOOKUP(A100,DB_Customers!$A:$N,14,0),""))</f>
        <v/>
      </c>
      <c r="D100" s="497">
        <f>IF(A100="","",TODAY())</f>
        <v/>
      </c>
      <c r="E100" s="489" t="n"/>
      <c r="F100" s="498">
        <f>IF(OR(A100="",E100=""),"",IF(C100="","",C100+E100))</f>
        <v/>
      </c>
      <c r="G100" s="384" t="inlineStr">
        <is>
          <t>Agent 02</t>
        </is>
      </c>
      <c r="H100" s="491" t="n"/>
      <c r="I100" s="499">
        <f>IF(A100="","Pending",IF(H100="","⚠️ Enter Code",IF(IFERROR(VLOOKUP(G100,DB_Agents!$B:$I,8,0),"")=H100,IF(AND(A100&lt;&gt;"",E100&lt;&gt;""),"Saved","Pending"),"🔒 BLOCKED — Wrong Code")))</f>
        <v/>
      </c>
      <c r="J100" s="500">
        <f>IF(I100="Saved",TEXT(TODAY(),"YYYY-MM-DD")&amp;" Auto","—")</f>
        <v/>
      </c>
      <c r="K100" s="501" t="n"/>
    </row>
    <row r="101" ht="15" customHeight="1" s="341">
      <c r="A101" s="486" t="n"/>
      <c r="B101" s="378">
        <f>IF(A101="","",IFERROR(VLOOKUP(A101,DB_Customers!$A:$D,4,0),"❌ Account Not Found"))</f>
        <v/>
      </c>
      <c r="C101" s="487">
        <f>IF(A101="","",IFERROR(VLOOKUP(A101,DB_Customers!$A:$N,14,0),""))</f>
        <v/>
      </c>
      <c r="D101" s="488">
        <f>IF(A101="","",TODAY())</f>
        <v/>
      </c>
      <c r="E101" s="489" t="n"/>
      <c r="F101" s="490">
        <f>IF(OR(A101="",E101=""),"",IF(C101="","",C101+E101))</f>
        <v/>
      </c>
      <c r="G101" s="380" t="inlineStr">
        <is>
          <t>Agent 02</t>
        </is>
      </c>
      <c r="H101" s="491" t="n"/>
      <c r="I101" s="492">
        <f>IF(A101="","Pending",IF(H101="","⚠️ Enter Code",IF(IFERROR(VLOOKUP(G101,DB_Agents!$B:$I,8,0),"")=H101,IF(AND(A101&lt;&gt;"",E101&lt;&gt;""),"Saved","Pending"),"🔒 BLOCKED — Wrong Code")))</f>
        <v/>
      </c>
      <c r="J101" s="493">
        <f>IF(I101="Saved",TEXT(TODAY(),"YYYY-MM-DD")&amp;" Auto","—")</f>
        <v/>
      </c>
      <c r="K101" s="494" t="n"/>
    </row>
    <row r="102" ht="15" customHeight="1" s="341">
      <c r="A102" s="495" t="n"/>
      <c r="B102" s="382">
        <f>IF(A102="","",IFERROR(VLOOKUP(A102,DB_Customers!$A:$D,4,0),"❌ Account Not Found"))</f>
        <v/>
      </c>
      <c r="C102" s="496">
        <f>IF(A102="","",IFERROR(VLOOKUP(A102,DB_Customers!$A:$N,14,0),""))</f>
        <v/>
      </c>
      <c r="D102" s="497">
        <f>IF(A102="","",TODAY())</f>
        <v/>
      </c>
      <c r="E102" s="489" t="n"/>
      <c r="F102" s="498">
        <f>IF(OR(A102="",E102=""),"",IF(C102="","",C102+E102))</f>
        <v/>
      </c>
      <c r="G102" s="384" t="inlineStr">
        <is>
          <t>Agent 02</t>
        </is>
      </c>
      <c r="H102" s="491" t="n"/>
      <c r="I102" s="499">
        <f>IF(A102="","Pending",IF(H102="","⚠️ Enter Code",IF(IFERROR(VLOOKUP(G102,DB_Agents!$B:$I,8,0),"")=H102,IF(AND(A102&lt;&gt;"",E102&lt;&gt;""),"Saved","Pending"),"🔒 BLOCKED — Wrong Code")))</f>
        <v/>
      </c>
      <c r="J102" s="500">
        <f>IF(I102="Saved",TEXT(TODAY(),"YYYY-MM-DD")&amp;" Auto","—")</f>
        <v/>
      </c>
      <c r="K102" s="501" t="n"/>
    </row>
    <row r="103" ht="15" customHeight="1" s="341">
      <c r="A103" s="486" t="n"/>
      <c r="B103" s="378">
        <f>IF(A103="","",IFERROR(VLOOKUP(A103,DB_Customers!$A:$D,4,0),"❌ Account Not Found"))</f>
        <v/>
      </c>
      <c r="C103" s="487">
        <f>IF(A103="","",IFERROR(VLOOKUP(A103,DB_Customers!$A:$N,14,0),""))</f>
        <v/>
      </c>
      <c r="D103" s="488">
        <f>IF(A103="","",TODAY())</f>
        <v/>
      </c>
      <c r="E103" s="489" t="n"/>
      <c r="F103" s="490">
        <f>IF(OR(A103="",E103=""),"",IF(C103="","",C103+E103))</f>
        <v/>
      </c>
      <c r="G103" s="380" t="inlineStr">
        <is>
          <t>Agent 02</t>
        </is>
      </c>
      <c r="H103" s="491" t="n"/>
      <c r="I103" s="492">
        <f>IF(A103="","Pending",IF(H103="","⚠️ Enter Code",IF(IFERROR(VLOOKUP(G103,DB_Agents!$B:$I,8,0),"")=H103,IF(AND(A103&lt;&gt;"",E103&lt;&gt;""),"Saved","Pending"),"🔒 BLOCKED — Wrong Code")))</f>
        <v/>
      </c>
      <c r="J103" s="493">
        <f>IF(I103="Saved",TEXT(TODAY(),"YYYY-MM-DD")&amp;" Auto","—")</f>
        <v/>
      </c>
      <c r="K103" s="494" t="n"/>
    </row>
    <row r="104" ht="15" customHeight="1" s="341">
      <c r="A104" s="495" t="n"/>
      <c r="B104" s="382">
        <f>IF(A104="","",IFERROR(VLOOKUP(A104,DB_Customers!$A:$D,4,0),"❌ Account Not Found"))</f>
        <v/>
      </c>
      <c r="C104" s="496">
        <f>IF(A104="","",IFERROR(VLOOKUP(A104,DB_Customers!$A:$N,14,0),""))</f>
        <v/>
      </c>
      <c r="D104" s="497">
        <f>IF(A104="","",TODAY())</f>
        <v/>
      </c>
      <c r="E104" s="489" t="n"/>
      <c r="F104" s="498">
        <f>IF(OR(A104="",E104=""),"",IF(C104="","",C104+E104))</f>
        <v/>
      </c>
      <c r="G104" s="384" t="inlineStr">
        <is>
          <t>Agent 02</t>
        </is>
      </c>
      <c r="H104" s="491" t="n"/>
      <c r="I104" s="499">
        <f>IF(A104="","Pending",IF(H104="","⚠️ Enter Code",IF(IFERROR(VLOOKUP(G104,DB_Agents!$B:$I,8,0),"")=H104,IF(AND(A104&lt;&gt;"",E104&lt;&gt;""),"Saved","Pending"),"🔒 BLOCKED — Wrong Code")))</f>
        <v/>
      </c>
      <c r="J104" s="500">
        <f>IF(I104="Saved",TEXT(TODAY(),"YYYY-MM-DD")&amp;" Auto","—")</f>
        <v/>
      </c>
      <c r="K104" s="501" t="n"/>
    </row>
    <row r="105" ht="15" customHeight="1" s="341">
      <c r="A105" s="486" t="n"/>
      <c r="B105" s="378">
        <f>IF(A105="","",IFERROR(VLOOKUP(A105,DB_Customers!$A:$D,4,0),"❌ Account Not Found"))</f>
        <v/>
      </c>
      <c r="C105" s="487">
        <f>IF(A105="","",IFERROR(VLOOKUP(A105,DB_Customers!$A:$N,14,0),""))</f>
        <v/>
      </c>
      <c r="D105" s="488">
        <f>IF(A105="","",TODAY())</f>
        <v/>
      </c>
      <c r="E105" s="489" t="n"/>
      <c r="F105" s="490">
        <f>IF(OR(A105="",E105=""),"",IF(C105="","",C105+E105))</f>
        <v/>
      </c>
      <c r="G105" s="380" t="inlineStr">
        <is>
          <t>Agent 02</t>
        </is>
      </c>
      <c r="H105" s="491" t="n"/>
      <c r="I105" s="492">
        <f>IF(A105="","Pending",IF(H105="","⚠️ Enter Code",IF(IFERROR(VLOOKUP(G105,DB_Agents!$B:$I,8,0),"")=H105,IF(AND(A105&lt;&gt;"",E105&lt;&gt;""),"Saved","Pending"),"🔒 BLOCKED — Wrong Code")))</f>
        <v/>
      </c>
      <c r="J105" s="493">
        <f>IF(I105="Saved",TEXT(TODAY(),"YYYY-MM-DD")&amp;" Auto","—")</f>
        <v/>
      </c>
      <c r="K105" s="494" t="n"/>
    </row>
    <row r="106" ht="15" customHeight="1" s="341">
      <c r="A106" s="495" t="n"/>
      <c r="B106" s="382">
        <f>IF(A106="","",IFERROR(VLOOKUP(A106,DB_Customers!$A:$D,4,0),"❌ Account Not Found"))</f>
        <v/>
      </c>
      <c r="C106" s="496">
        <f>IF(A106="","",IFERROR(VLOOKUP(A106,DB_Customers!$A:$N,14,0),""))</f>
        <v/>
      </c>
      <c r="D106" s="497">
        <f>IF(A106="","",TODAY())</f>
        <v/>
      </c>
      <c r="E106" s="489" t="n"/>
      <c r="F106" s="498">
        <f>IF(OR(A106="",E106=""),"",IF(C106="","",C106+E106))</f>
        <v/>
      </c>
      <c r="G106" s="384" t="inlineStr">
        <is>
          <t>Agent 02</t>
        </is>
      </c>
      <c r="H106" s="491" t="n"/>
      <c r="I106" s="499">
        <f>IF(A106="","Pending",IF(H106="","⚠️ Enter Code",IF(IFERROR(VLOOKUP(G106,DB_Agents!$B:$I,8,0),"")=H106,IF(AND(A106&lt;&gt;"",E106&lt;&gt;""),"Saved","Pending"),"🔒 BLOCKED — Wrong Code")))</f>
        <v/>
      </c>
      <c r="J106" s="500">
        <f>IF(I106="Saved",TEXT(TODAY(),"YYYY-MM-DD")&amp;" Auto","—")</f>
        <v/>
      </c>
      <c r="K106" s="501" t="n"/>
    </row>
    <row r="107" ht="15" customHeight="1" s="341">
      <c r="A107" s="486" t="n"/>
      <c r="B107" s="378">
        <f>IF(A107="","",IFERROR(VLOOKUP(A107,DB_Customers!$A:$D,4,0),"❌ Account Not Found"))</f>
        <v/>
      </c>
      <c r="C107" s="487">
        <f>IF(A107="","",IFERROR(VLOOKUP(A107,DB_Customers!$A:$N,14,0),""))</f>
        <v/>
      </c>
      <c r="D107" s="488">
        <f>IF(A107="","",TODAY())</f>
        <v/>
      </c>
      <c r="E107" s="489" t="n"/>
      <c r="F107" s="490">
        <f>IF(OR(A107="",E107=""),"",IF(C107="","",C107+E107))</f>
        <v/>
      </c>
      <c r="G107" s="380" t="inlineStr">
        <is>
          <t>Agent 02</t>
        </is>
      </c>
      <c r="H107" s="491" t="n"/>
      <c r="I107" s="492">
        <f>IF(A107="","Pending",IF(H107="","⚠️ Enter Code",IF(IFERROR(VLOOKUP(G107,DB_Agents!$B:$I,8,0),"")=H107,IF(AND(A107&lt;&gt;"",E107&lt;&gt;""),"Saved","Pending"),"🔒 BLOCKED — Wrong Code")))</f>
        <v/>
      </c>
      <c r="J107" s="493">
        <f>IF(I107="Saved",TEXT(TODAY(),"YYYY-MM-DD")&amp;" Auto","—")</f>
        <v/>
      </c>
      <c r="K107" s="494" t="n"/>
    </row>
    <row r="108" ht="15" customHeight="1" s="341">
      <c r="A108" s="495" t="n"/>
      <c r="B108" s="382">
        <f>IF(A108="","",IFERROR(VLOOKUP(A108,DB_Customers!$A:$D,4,0),"❌ Account Not Found"))</f>
        <v/>
      </c>
      <c r="C108" s="496">
        <f>IF(A108="","",IFERROR(VLOOKUP(A108,DB_Customers!$A:$N,14,0),""))</f>
        <v/>
      </c>
      <c r="D108" s="497">
        <f>IF(A108="","",TODAY())</f>
        <v/>
      </c>
      <c r="E108" s="489" t="n"/>
      <c r="F108" s="498">
        <f>IF(OR(A108="",E108=""),"",IF(C108="","",C108+E108))</f>
        <v/>
      </c>
      <c r="G108" s="384" t="inlineStr">
        <is>
          <t>Agent 02</t>
        </is>
      </c>
      <c r="H108" s="491" t="n"/>
      <c r="I108" s="499">
        <f>IF(A108="","Pending",IF(H108="","⚠️ Enter Code",IF(IFERROR(VLOOKUP(G108,DB_Agents!$B:$I,8,0),"")=H108,IF(AND(A108&lt;&gt;"",E108&lt;&gt;""),"Saved","Pending"),"🔒 BLOCKED — Wrong Code")))</f>
        <v/>
      </c>
      <c r="J108" s="500">
        <f>IF(I108="Saved",TEXT(TODAY(),"YYYY-MM-DD")&amp;" Auto","—")</f>
        <v/>
      </c>
      <c r="K108" s="501" t="n"/>
    </row>
    <row r="109" ht="15" customHeight="1" s="341">
      <c r="A109" s="486" t="n"/>
      <c r="B109" s="378">
        <f>IF(A109="","",IFERROR(VLOOKUP(A109,DB_Customers!$A:$D,4,0),"❌ Account Not Found"))</f>
        <v/>
      </c>
      <c r="C109" s="487">
        <f>IF(A109="","",IFERROR(VLOOKUP(A109,DB_Customers!$A:$N,14,0),""))</f>
        <v/>
      </c>
      <c r="D109" s="488">
        <f>IF(A109="","",TODAY())</f>
        <v/>
      </c>
      <c r="E109" s="489" t="n"/>
      <c r="F109" s="490">
        <f>IF(OR(A109="",E109=""),"",IF(C109="","",C109+E109))</f>
        <v/>
      </c>
      <c r="G109" s="380" t="inlineStr">
        <is>
          <t>Agent 02</t>
        </is>
      </c>
      <c r="H109" s="491" t="n"/>
      <c r="I109" s="492">
        <f>IF(A109="","Pending",IF(H109="","⚠️ Enter Code",IF(IFERROR(VLOOKUP(G109,DB_Agents!$B:$I,8,0),"")=H109,IF(AND(A109&lt;&gt;"",E109&lt;&gt;""),"Saved","Pending"),"🔒 BLOCKED — Wrong Code")))</f>
        <v/>
      </c>
      <c r="J109" s="493">
        <f>IF(I109="Saved",TEXT(TODAY(),"YYYY-MM-DD")&amp;" Auto","—")</f>
        <v/>
      </c>
      <c r="K109" s="494" t="n"/>
    </row>
    <row r="110" ht="15" customHeight="1" s="341">
      <c r="A110" s="495" t="n"/>
      <c r="B110" s="382">
        <f>IF(A110="","",IFERROR(VLOOKUP(A110,DB_Customers!$A:$D,4,0),"❌ Account Not Found"))</f>
        <v/>
      </c>
      <c r="C110" s="496">
        <f>IF(A110="","",IFERROR(VLOOKUP(A110,DB_Customers!$A:$N,14,0),""))</f>
        <v/>
      </c>
      <c r="D110" s="497">
        <f>IF(A110="","",TODAY())</f>
        <v/>
      </c>
      <c r="E110" s="489" t="n"/>
      <c r="F110" s="498">
        <f>IF(OR(A110="",E110=""),"",IF(C110="","",C110+E110))</f>
        <v/>
      </c>
      <c r="G110" s="384" t="inlineStr">
        <is>
          <t>Agent 02</t>
        </is>
      </c>
      <c r="H110" s="491" t="n"/>
      <c r="I110" s="499">
        <f>IF(A110="","Pending",IF(H110="","⚠️ Enter Code",IF(IFERROR(VLOOKUP(G110,DB_Agents!$B:$I,8,0),"")=H110,IF(AND(A110&lt;&gt;"",E110&lt;&gt;""),"Saved","Pending"),"🔒 BLOCKED — Wrong Code")))</f>
        <v/>
      </c>
      <c r="J110" s="500">
        <f>IF(I110="Saved",TEXT(TODAY(),"YYYY-MM-DD")&amp;" Auto","—")</f>
        <v/>
      </c>
      <c r="K110" s="501" t="n"/>
    </row>
    <row r="111" ht="15" customHeight="1" s="341">
      <c r="A111" s="486" t="n"/>
      <c r="B111" s="378">
        <f>IF(A111="","",IFERROR(VLOOKUP(A111,DB_Customers!$A:$D,4,0),"❌ Account Not Found"))</f>
        <v/>
      </c>
      <c r="C111" s="487">
        <f>IF(A111="","",IFERROR(VLOOKUP(A111,DB_Customers!$A:$N,14,0),""))</f>
        <v/>
      </c>
      <c r="D111" s="488">
        <f>IF(A111="","",TODAY())</f>
        <v/>
      </c>
      <c r="E111" s="489" t="n"/>
      <c r="F111" s="490">
        <f>IF(OR(A111="",E111=""),"",IF(C111="","",C111+E111))</f>
        <v/>
      </c>
      <c r="G111" s="380" t="inlineStr">
        <is>
          <t>Agent 02</t>
        </is>
      </c>
      <c r="H111" s="491" t="n"/>
      <c r="I111" s="492">
        <f>IF(A111="","Pending",IF(H111="","⚠️ Enter Code",IF(IFERROR(VLOOKUP(G111,DB_Agents!$B:$I,8,0),"")=H111,IF(AND(A111&lt;&gt;"",E111&lt;&gt;""),"Saved","Pending"),"🔒 BLOCKED — Wrong Code")))</f>
        <v/>
      </c>
      <c r="J111" s="493">
        <f>IF(I111="Saved",TEXT(TODAY(),"YYYY-MM-DD")&amp;" Auto","—")</f>
        <v/>
      </c>
      <c r="K111" s="494" t="n"/>
    </row>
    <row r="112" ht="15" customHeight="1" s="341">
      <c r="A112" s="495" t="n"/>
      <c r="B112" s="382">
        <f>IF(A112="","",IFERROR(VLOOKUP(A112,DB_Customers!$A:$D,4,0),"❌ Account Not Found"))</f>
        <v/>
      </c>
      <c r="C112" s="496">
        <f>IF(A112="","",IFERROR(VLOOKUP(A112,DB_Customers!$A:$N,14,0),""))</f>
        <v/>
      </c>
      <c r="D112" s="497">
        <f>IF(A112="","",TODAY())</f>
        <v/>
      </c>
      <c r="E112" s="489" t="n"/>
      <c r="F112" s="498">
        <f>IF(OR(A112="",E112=""),"",IF(C112="","",C112+E112))</f>
        <v/>
      </c>
      <c r="G112" s="384" t="inlineStr">
        <is>
          <t>Agent 02</t>
        </is>
      </c>
      <c r="H112" s="491" t="n"/>
      <c r="I112" s="499">
        <f>IF(A112="","Pending",IF(H112="","⚠️ Enter Code",IF(IFERROR(VLOOKUP(G112,DB_Agents!$B:$I,8,0),"")=H112,IF(AND(A112&lt;&gt;"",E112&lt;&gt;""),"Saved","Pending"),"🔒 BLOCKED — Wrong Code")))</f>
        <v/>
      </c>
      <c r="J112" s="500">
        <f>IF(I112="Saved",TEXT(TODAY(),"YYYY-MM-DD")&amp;" Auto","—")</f>
        <v/>
      </c>
      <c r="K112" s="501" t="n"/>
    </row>
    <row r="113" ht="15" customHeight="1" s="341">
      <c r="A113" s="486" t="n"/>
      <c r="B113" s="378">
        <f>IF(A113="","",IFERROR(VLOOKUP(A113,DB_Customers!$A:$D,4,0),"❌ Account Not Found"))</f>
        <v/>
      </c>
      <c r="C113" s="487">
        <f>IF(A113="","",IFERROR(VLOOKUP(A113,DB_Customers!$A:$N,14,0),""))</f>
        <v/>
      </c>
      <c r="D113" s="488">
        <f>IF(A113="","",TODAY())</f>
        <v/>
      </c>
      <c r="E113" s="489" t="n"/>
      <c r="F113" s="490">
        <f>IF(OR(A113="",E113=""),"",IF(C113="","",C113+E113))</f>
        <v/>
      </c>
      <c r="G113" s="380" t="inlineStr">
        <is>
          <t>Agent 02</t>
        </is>
      </c>
      <c r="H113" s="491" t="n"/>
      <c r="I113" s="492">
        <f>IF(A113="","Pending",IF(H113="","⚠️ Enter Code",IF(IFERROR(VLOOKUP(G113,DB_Agents!$B:$I,8,0),"")=H113,IF(AND(A113&lt;&gt;"",E113&lt;&gt;""),"Saved","Pending"),"🔒 BLOCKED — Wrong Code")))</f>
        <v/>
      </c>
      <c r="J113" s="493">
        <f>IF(I113="Saved",TEXT(TODAY(),"YYYY-MM-DD")&amp;" Auto","—")</f>
        <v/>
      </c>
      <c r="K113" s="494" t="n"/>
    </row>
    <row r="114" ht="15" customHeight="1" s="341">
      <c r="A114" s="495" t="n"/>
      <c r="B114" s="382">
        <f>IF(A114="","",IFERROR(VLOOKUP(A114,DB_Customers!$A:$D,4,0),"❌ Account Not Found"))</f>
        <v/>
      </c>
      <c r="C114" s="496">
        <f>IF(A114="","",IFERROR(VLOOKUP(A114,DB_Customers!$A:$N,14,0),""))</f>
        <v/>
      </c>
      <c r="D114" s="497">
        <f>IF(A114="","",TODAY())</f>
        <v/>
      </c>
      <c r="E114" s="489" t="n"/>
      <c r="F114" s="498">
        <f>IF(OR(A114="",E114=""),"",IF(C114="","",C114+E114))</f>
        <v/>
      </c>
      <c r="G114" s="384" t="inlineStr">
        <is>
          <t>Agent 02</t>
        </is>
      </c>
      <c r="H114" s="491" t="n"/>
      <c r="I114" s="499">
        <f>IF(A114="","Pending",IF(H114="","⚠️ Enter Code",IF(IFERROR(VLOOKUP(G114,DB_Agents!$B:$I,8,0),"")=H114,IF(AND(A114&lt;&gt;"",E114&lt;&gt;""),"Saved","Pending"),"🔒 BLOCKED — Wrong Code")))</f>
        <v/>
      </c>
      <c r="J114" s="500">
        <f>IF(I114="Saved",TEXT(TODAY(),"YYYY-MM-DD")&amp;" Auto","—")</f>
        <v/>
      </c>
      <c r="K114" s="501" t="n"/>
    </row>
    <row r="115" ht="15" customHeight="1" s="341">
      <c r="A115" s="486" t="n"/>
      <c r="B115" s="378">
        <f>IF(A115="","",IFERROR(VLOOKUP(A115,DB_Customers!$A:$D,4,0),"❌ Account Not Found"))</f>
        <v/>
      </c>
      <c r="C115" s="487">
        <f>IF(A115="","",IFERROR(VLOOKUP(A115,DB_Customers!$A:$N,14,0),""))</f>
        <v/>
      </c>
      <c r="D115" s="488">
        <f>IF(A115="","",TODAY())</f>
        <v/>
      </c>
      <c r="E115" s="489" t="n"/>
      <c r="F115" s="490">
        <f>IF(OR(A115="",E115=""),"",IF(C115="","",C115+E115))</f>
        <v/>
      </c>
      <c r="G115" s="380" t="inlineStr">
        <is>
          <t>Agent 02</t>
        </is>
      </c>
      <c r="H115" s="491" t="n"/>
      <c r="I115" s="492">
        <f>IF(A115="","Pending",IF(H115="","⚠️ Enter Code",IF(IFERROR(VLOOKUP(G115,DB_Agents!$B:$I,8,0),"")=H115,IF(AND(A115&lt;&gt;"",E115&lt;&gt;""),"Saved","Pending"),"🔒 BLOCKED — Wrong Code")))</f>
        <v/>
      </c>
      <c r="J115" s="493">
        <f>IF(I115="Saved",TEXT(TODAY(),"YYYY-MM-DD")&amp;" Auto","—")</f>
        <v/>
      </c>
      <c r="K115" s="494" t="n"/>
    </row>
    <row r="116" ht="15" customHeight="1" s="341">
      <c r="A116" s="495" t="n"/>
      <c r="B116" s="382">
        <f>IF(A116="","",IFERROR(VLOOKUP(A116,DB_Customers!$A:$D,4,0),"❌ Account Not Found"))</f>
        <v/>
      </c>
      <c r="C116" s="496">
        <f>IF(A116="","",IFERROR(VLOOKUP(A116,DB_Customers!$A:$N,14,0),""))</f>
        <v/>
      </c>
      <c r="D116" s="497">
        <f>IF(A116="","",TODAY())</f>
        <v/>
      </c>
      <c r="E116" s="489" t="n"/>
      <c r="F116" s="498">
        <f>IF(OR(A116="",E116=""),"",IF(C116="","",C116+E116))</f>
        <v/>
      </c>
      <c r="G116" s="384" t="inlineStr">
        <is>
          <t>Agent 02</t>
        </is>
      </c>
      <c r="H116" s="491" t="n"/>
      <c r="I116" s="499">
        <f>IF(A116="","Pending",IF(H116="","⚠️ Enter Code",IF(IFERROR(VLOOKUP(G116,DB_Agents!$B:$I,8,0),"")=H116,IF(AND(A116&lt;&gt;"",E116&lt;&gt;""),"Saved","Pending"),"🔒 BLOCKED — Wrong Code")))</f>
        <v/>
      </c>
      <c r="J116" s="500">
        <f>IF(I116="Saved",TEXT(TODAY(),"YYYY-MM-DD")&amp;" Auto","—")</f>
        <v/>
      </c>
      <c r="K116" s="501" t="n"/>
    </row>
    <row r="117" ht="15" customHeight="1" s="341">
      <c r="A117" s="486" t="n"/>
      <c r="B117" s="378">
        <f>IF(A117="","",IFERROR(VLOOKUP(A117,DB_Customers!$A:$D,4,0),"❌ Account Not Found"))</f>
        <v/>
      </c>
      <c r="C117" s="487">
        <f>IF(A117="","",IFERROR(VLOOKUP(A117,DB_Customers!$A:$N,14,0),""))</f>
        <v/>
      </c>
      <c r="D117" s="488">
        <f>IF(A117="","",TODAY())</f>
        <v/>
      </c>
      <c r="E117" s="489" t="n"/>
      <c r="F117" s="490">
        <f>IF(OR(A117="",E117=""),"",IF(C117="","",C117+E117))</f>
        <v/>
      </c>
      <c r="G117" s="380" t="inlineStr">
        <is>
          <t>Agent 02</t>
        </is>
      </c>
      <c r="H117" s="491" t="n"/>
      <c r="I117" s="492">
        <f>IF(A117="","Pending",IF(H117="","⚠️ Enter Code",IF(IFERROR(VLOOKUP(G117,DB_Agents!$B:$I,8,0),"")=H117,IF(AND(A117&lt;&gt;"",E117&lt;&gt;""),"Saved","Pending"),"🔒 BLOCKED — Wrong Code")))</f>
        <v/>
      </c>
      <c r="J117" s="493">
        <f>IF(I117="Saved",TEXT(TODAY(),"YYYY-MM-DD")&amp;" Auto","—")</f>
        <v/>
      </c>
      <c r="K117" s="494" t="n"/>
    </row>
    <row r="118" ht="15" customHeight="1" s="341">
      <c r="A118" s="495" t="n"/>
      <c r="B118" s="382">
        <f>IF(A118="","",IFERROR(VLOOKUP(A118,DB_Customers!$A:$D,4,0),"❌ Account Not Found"))</f>
        <v/>
      </c>
      <c r="C118" s="496">
        <f>IF(A118="","",IFERROR(VLOOKUP(A118,DB_Customers!$A:$N,14,0),""))</f>
        <v/>
      </c>
      <c r="D118" s="497">
        <f>IF(A118="","",TODAY())</f>
        <v/>
      </c>
      <c r="E118" s="489" t="n"/>
      <c r="F118" s="498">
        <f>IF(OR(A118="",E118=""),"",IF(C118="","",C118+E118))</f>
        <v/>
      </c>
      <c r="G118" s="384" t="inlineStr">
        <is>
          <t>Agent 02</t>
        </is>
      </c>
      <c r="H118" s="491" t="n"/>
      <c r="I118" s="499">
        <f>IF(A118="","Pending",IF(H118="","⚠️ Enter Code",IF(IFERROR(VLOOKUP(G118,DB_Agents!$B:$I,8,0),"")=H118,IF(AND(A118&lt;&gt;"",E118&lt;&gt;""),"Saved","Pending"),"🔒 BLOCKED — Wrong Code")))</f>
        <v/>
      </c>
      <c r="J118" s="500">
        <f>IF(I118="Saved",TEXT(TODAY(),"YYYY-MM-DD")&amp;" Auto","—")</f>
        <v/>
      </c>
      <c r="K118" s="501" t="n"/>
    </row>
    <row r="119" ht="15" customHeight="1" s="341">
      <c r="A119" s="486" t="n"/>
      <c r="B119" s="378">
        <f>IF(A119="","",IFERROR(VLOOKUP(A119,DB_Customers!$A:$D,4,0),"❌ Account Not Found"))</f>
        <v/>
      </c>
      <c r="C119" s="487">
        <f>IF(A119="","",IFERROR(VLOOKUP(A119,DB_Customers!$A:$N,14,0),""))</f>
        <v/>
      </c>
      <c r="D119" s="488">
        <f>IF(A119="","",TODAY())</f>
        <v/>
      </c>
      <c r="E119" s="489" t="n"/>
      <c r="F119" s="490">
        <f>IF(OR(A119="",E119=""),"",IF(C119="","",C119+E119))</f>
        <v/>
      </c>
      <c r="G119" s="380" t="inlineStr">
        <is>
          <t>Agent 02</t>
        </is>
      </c>
      <c r="H119" s="491" t="n"/>
      <c r="I119" s="492">
        <f>IF(A119="","Pending",IF(H119="","⚠️ Enter Code",IF(IFERROR(VLOOKUP(G119,DB_Agents!$B:$I,8,0),"")=H119,IF(AND(A119&lt;&gt;"",E119&lt;&gt;""),"Saved","Pending"),"🔒 BLOCKED — Wrong Code")))</f>
        <v/>
      </c>
      <c r="J119" s="493">
        <f>IF(I119="Saved",TEXT(TODAY(),"YYYY-MM-DD")&amp;" Auto","—")</f>
        <v/>
      </c>
      <c r="K119" s="494" t="n"/>
    </row>
    <row r="120" ht="15" customHeight="1" s="341">
      <c r="A120" s="495" t="n"/>
      <c r="B120" s="382">
        <f>IF(A120="","",IFERROR(VLOOKUP(A120,DB_Customers!$A:$D,4,0),"❌ Account Not Found"))</f>
        <v/>
      </c>
      <c r="C120" s="496">
        <f>IF(A120="","",IFERROR(VLOOKUP(A120,DB_Customers!$A:$N,14,0),""))</f>
        <v/>
      </c>
      <c r="D120" s="497">
        <f>IF(A120="","",TODAY())</f>
        <v/>
      </c>
      <c r="E120" s="489" t="n"/>
      <c r="F120" s="498">
        <f>IF(OR(A120="",E120=""),"",IF(C120="","",C120+E120))</f>
        <v/>
      </c>
      <c r="G120" s="384" t="inlineStr">
        <is>
          <t>Agent 02</t>
        </is>
      </c>
      <c r="H120" s="491" t="n"/>
      <c r="I120" s="499">
        <f>IF(A120="","Pending",IF(H120="","⚠️ Enter Code",IF(IFERROR(VLOOKUP(G120,DB_Agents!$B:$I,8,0),"")=H120,IF(AND(A120&lt;&gt;"",E120&lt;&gt;""),"Saved","Pending"),"🔒 BLOCKED — Wrong Code")))</f>
        <v/>
      </c>
      <c r="J120" s="500">
        <f>IF(I120="Saved",TEXT(TODAY(),"YYYY-MM-DD")&amp;" Auto","—")</f>
        <v/>
      </c>
      <c r="K120" s="501" t="n"/>
    </row>
    <row r="121" ht="15" customHeight="1" s="341">
      <c r="A121" s="486" t="n"/>
      <c r="B121" s="378">
        <f>IF(A121="","",IFERROR(VLOOKUP(A121,DB_Customers!$A:$D,4,0),"❌ Account Not Found"))</f>
        <v/>
      </c>
      <c r="C121" s="487">
        <f>IF(A121="","",IFERROR(VLOOKUP(A121,DB_Customers!$A:$N,14,0),""))</f>
        <v/>
      </c>
      <c r="D121" s="488">
        <f>IF(A121="","",TODAY())</f>
        <v/>
      </c>
      <c r="E121" s="489" t="n"/>
      <c r="F121" s="490">
        <f>IF(OR(A121="",E121=""),"",IF(C121="","",C121+E121))</f>
        <v/>
      </c>
      <c r="G121" s="380" t="inlineStr">
        <is>
          <t>Agent 02</t>
        </is>
      </c>
      <c r="H121" s="491" t="n"/>
      <c r="I121" s="492">
        <f>IF(A121="","Pending",IF(H121="","⚠️ Enter Code",IF(IFERROR(VLOOKUP(G121,DB_Agents!$B:$I,8,0),"")=H121,IF(AND(A121&lt;&gt;"",E121&lt;&gt;""),"Saved","Pending"),"🔒 BLOCKED — Wrong Code")))</f>
        <v/>
      </c>
      <c r="J121" s="493">
        <f>IF(I121="Saved",TEXT(TODAY(),"YYYY-MM-DD")&amp;" Auto","—")</f>
        <v/>
      </c>
      <c r="K121" s="494" t="n"/>
    </row>
    <row r="122" ht="15" customHeight="1" s="341">
      <c r="A122" s="495" t="n"/>
      <c r="B122" s="382">
        <f>IF(A122="","",IFERROR(VLOOKUP(A122,DB_Customers!$A:$D,4,0),"❌ Account Not Found"))</f>
        <v/>
      </c>
      <c r="C122" s="496">
        <f>IF(A122="","",IFERROR(VLOOKUP(A122,DB_Customers!$A:$N,14,0),""))</f>
        <v/>
      </c>
      <c r="D122" s="497">
        <f>IF(A122="","",TODAY())</f>
        <v/>
      </c>
      <c r="E122" s="489" t="n"/>
      <c r="F122" s="498">
        <f>IF(OR(A122="",E122=""),"",IF(C122="","",C122+E122))</f>
        <v/>
      </c>
      <c r="G122" s="384" t="inlineStr">
        <is>
          <t>Agent 02</t>
        </is>
      </c>
      <c r="H122" s="491" t="n"/>
      <c r="I122" s="499">
        <f>IF(A122="","Pending",IF(H122="","⚠️ Enter Code",IF(IFERROR(VLOOKUP(G122,DB_Agents!$B:$I,8,0),"")=H122,IF(AND(A122&lt;&gt;"",E122&lt;&gt;""),"Saved","Pending"),"🔒 BLOCKED — Wrong Code")))</f>
        <v/>
      </c>
      <c r="J122" s="500">
        <f>IF(I122="Saved",TEXT(TODAY(),"YYYY-MM-DD")&amp;" Auto","—")</f>
        <v/>
      </c>
      <c r="K122" s="501" t="n"/>
    </row>
    <row r="123" ht="15" customHeight="1" s="341">
      <c r="A123" s="486" t="n"/>
      <c r="B123" s="378">
        <f>IF(A123="","",IFERROR(VLOOKUP(A123,DB_Customers!$A:$D,4,0),"❌ Account Not Found"))</f>
        <v/>
      </c>
      <c r="C123" s="487">
        <f>IF(A123="","",IFERROR(VLOOKUP(A123,DB_Customers!$A:$N,14,0),""))</f>
        <v/>
      </c>
      <c r="D123" s="488">
        <f>IF(A123="","",TODAY())</f>
        <v/>
      </c>
      <c r="E123" s="489" t="n"/>
      <c r="F123" s="490">
        <f>IF(OR(A123="",E123=""),"",IF(C123="","",C123+E123))</f>
        <v/>
      </c>
      <c r="G123" s="380" t="inlineStr">
        <is>
          <t>Agent 02</t>
        </is>
      </c>
      <c r="H123" s="491" t="n"/>
      <c r="I123" s="492">
        <f>IF(A123="","Pending",IF(H123="","⚠️ Enter Code",IF(IFERROR(VLOOKUP(G123,DB_Agents!$B:$I,8,0),"")=H123,IF(AND(A123&lt;&gt;"",E123&lt;&gt;""),"Saved","Pending"),"🔒 BLOCKED — Wrong Code")))</f>
        <v/>
      </c>
      <c r="J123" s="493">
        <f>IF(I123="Saved",TEXT(TODAY(),"YYYY-MM-DD")&amp;" Auto","—")</f>
        <v/>
      </c>
      <c r="K123" s="494" t="n"/>
    </row>
    <row r="124" ht="15" customHeight="1" s="341">
      <c r="A124" s="495" t="n"/>
      <c r="B124" s="382">
        <f>IF(A124="","",IFERROR(VLOOKUP(A124,DB_Customers!$A:$D,4,0),"❌ Account Not Found"))</f>
        <v/>
      </c>
      <c r="C124" s="496">
        <f>IF(A124="","",IFERROR(VLOOKUP(A124,DB_Customers!$A:$N,14,0),""))</f>
        <v/>
      </c>
      <c r="D124" s="497">
        <f>IF(A124="","",TODAY())</f>
        <v/>
      </c>
      <c r="E124" s="489" t="n"/>
      <c r="F124" s="498">
        <f>IF(OR(A124="",E124=""),"",IF(C124="","",C124+E124))</f>
        <v/>
      </c>
      <c r="G124" s="384" t="inlineStr">
        <is>
          <t>Agent 02</t>
        </is>
      </c>
      <c r="H124" s="491" t="n"/>
      <c r="I124" s="499">
        <f>IF(A124="","Pending",IF(H124="","⚠️ Enter Code",IF(IFERROR(VLOOKUP(G124,DB_Agents!$B:$I,8,0),"")=H124,IF(AND(A124&lt;&gt;"",E124&lt;&gt;""),"Saved","Pending"),"🔒 BLOCKED — Wrong Code")))</f>
        <v/>
      </c>
      <c r="J124" s="500">
        <f>IF(I124="Saved",TEXT(TODAY(),"YYYY-MM-DD")&amp;" Auto","—")</f>
        <v/>
      </c>
      <c r="K124" s="501" t="n"/>
    </row>
    <row r="125" ht="15" customHeight="1" s="341">
      <c r="A125" s="486" t="n"/>
      <c r="B125" s="378">
        <f>IF(A125="","",IFERROR(VLOOKUP(A125,DB_Customers!$A:$D,4,0),"❌ Account Not Found"))</f>
        <v/>
      </c>
      <c r="C125" s="487">
        <f>IF(A125="","",IFERROR(VLOOKUP(A125,DB_Customers!$A:$N,14,0),""))</f>
        <v/>
      </c>
      <c r="D125" s="488">
        <f>IF(A125="","",TODAY())</f>
        <v/>
      </c>
      <c r="E125" s="489" t="n"/>
      <c r="F125" s="490">
        <f>IF(OR(A125="",E125=""),"",IF(C125="","",C125+E125))</f>
        <v/>
      </c>
      <c r="G125" s="380" t="inlineStr">
        <is>
          <t>Agent 02</t>
        </is>
      </c>
      <c r="H125" s="491" t="n"/>
      <c r="I125" s="492">
        <f>IF(A125="","Pending",IF(H125="","⚠️ Enter Code",IF(IFERROR(VLOOKUP(G125,DB_Agents!$B:$I,8,0),"")=H125,IF(AND(A125&lt;&gt;"",E125&lt;&gt;""),"Saved","Pending"),"🔒 BLOCKED — Wrong Code")))</f>
        <v/>
      </c>
      <c r="J125" s="493">
        <f>IF(I125="Saved",TEXT(TODAY(),"YYYY-MM-DD")&amp;" Auto","—")</f>
        <v/>
      </c>
      <c r="K125" s="494" t="n"/>
    </row>
    <row r="126" ht="15" customHeight="1" s="341">
      <c r="A126" s="495" t="n"/>
      <c r="B126" s="382">
        <f>IF(A126="","",IFERROR(VLOOKUP(A126,DB_Customers!$A:$D,4,0),"❌ Account Not Found"))</f>
        <v/>
      </c>
      <c r="C126" s="496">
        <f>IF(A126="","",IFERROR(VLOOKUP(A126,DB_Customers!$A:$N,14,0),""))</f>
        <v/>
      </c>
      <c r="D126" s="497">
        <f>IF(A126="","",TODAY())</f>
        <v/>
      </c>
      <c r="E126" s="489" t="n"/>
      <c r="F126" s="498">
        <f>IF(OR(A126="",E126=""),"",IF(C126="","",C126+E126))</f>
        <v/>
      </c>
      <c r="G126" s="384" t="inlineStr">
        <is>
          <t>Agent 02</t>
        </is>
      </c>
      <c r="H126" s="491" t="n"/>
      <c r="I126" s="499">
        <f>IF(A126="","Pending",IF(H126="","⚠️ Enter Code",IF(IFERROR(VLOOKUP(G126,DB_Agents!$B:$I,8,0),"")=H126,IF(AND(A126&lt;&gt;"",E126&lt;&gt;""),"Saved","Pending"),"🔒 BLOCKED — Wrong Code")))</f>
        <v/>
      </c>
      <c r="J126" s="500">
        <f>IF(I126="Saved",TEXT(TODAY(),"YYYY-MM-DD")&amp;" Auto","—")</f>
        <v/>
      </c>
      <c r="K126" s="501" t="n"/>
    </row>
    <row r="127" ht="15" customHeight="1" s="341">
      <c r="A127" s="486" t="n"/>
      <c r="B127" s="378">
        <f>IF(A127="","",IFERROR(VLOOKUP(A127,DB_Customers!$A:$D,4,0),"❌ Account Not Found"))</f>
        <v/>
      </c>
      <c r="C127" s="487">
        <f>IF(A127="","",IFERROR(VLOOKUP(A127,DB_Customers!$A:$N,14,0),""))</f>
        <v/>
      </c>
      <c r="D127" s="488">
        <f>IF(A127="","",TODAY())</f>
        <v/>
      </c>
      <c r="E127" s="489" t="n"/>
      <c r="F127" s="490">
        <f>IF(OR(A127="",E127=""),"",IF(C127="","",C127+E127))</f>
        <v/>
      </c>
      <c r="G127" s="380" t="inlineStr">
        <is>
          <t>Agent 02</t>
        </is>
      </c>
      <c r="H127" s="491" t="n"/>
      <c r="I127" s="492">
        <f>IF(A127="","Pending",IF(H127="","⚠️ Enter Code",IF(IFERROR(VLOOKUP(G127,DB_Agents!$B:$I,8,0),"")=H127,IF(AND(A127&lt;&gt;"",E127&lt;&gt;""),"Saved","Pending"),"🔒 BLOCKED — Wrong Code")))</f>
        <v/>
      </c>
      <c r="J127" s="493">
        <f>IF(I127="Saved",TEXT(TODAY(),"YYYY-MM-DD")&amp;" Auto","—")</f>
        <v/>
      </c>
      <c r="K127" s="494" t="n"/>
    </row>
    <row r="128" ht="15" customHeight="1" s="341">
      <c r="A128" s="495" t="n"/>
      <c r="B128" s="382">
        <f>IF(A128="","",IFERROR(VLOOKUP(A128,DB_Customers!$A:$D,4,0),"❌ Account Not Found"))</f>
        <v/>
      </c>
      <c r="C128" s="496">
        <f>IF(A128="","",IFERROR(VLOOKUP(A128,DB_Customers!$A:$N,14,0),""))</f>
        <v/>
      </c>
      <c r="D128" s="497">
        <f>IF(A128="","",TODAY())</f>
        <v/>
      </c>
      <c r="E128" s="489" t="n"/>
      <c r="F128" s="498">
        <f>IF(OR(A128="",E128=""),"",IF(C128="","",C128+E128))</f>
        <v/>
      </c>
      <c r="G128" s="384" t="inlineStr">
        <is>
          <t>Agent 02</t>
        </is>
      </c>
      <c r="H128" s="491" t="n"/>
      <c r="I128" s="499">
        <f>IF(A128="","Pending",IF(H128="","⚠️ Enter Code",IF(IFERROR(VLOOKUP(G128,DB_Agents!$B:$I,8,0),"")=H128,IF(AND(A128&lt;&gt;"",E128&lt;&gt;""),"Saved","Pending"),"🔒 BLOCKED — Wrong Code")))</f>
        <v/>
      </c>
      <c r="J128" s="500">
        <f>IF(I128="Saved",TEXT(TODAY(),"YYYY-MM-DD")&amp;" Auto","—")</f>
        <v/>
      </c>
      <c r="K128" s="501" t="n"/>
    </row>
    <row r="129" ht="15" customHeight="1" s="341">
      <c r="A129" s="486" t="n"/>
      <c r="B129" s="378">
        <f>IF(A129="","",IFERROR(VLOOKUP(A129,DB_Customers!$A:$D,4,0),"❌ Account Not Found"))</f>
        <v/>
      </c>
      <c r="C129" s="487">
        <f>IF(A129="","",IFERROR(VLOOKUP(A129,DB_Customers!$A:$N,14,0),""))</f>
        <v/>
      </c>
      <c r="D129" s="488">
        <f>IF(A129="","",TODAY())</f>
        <v/>
      </c>
      <c r="E129" s="489" t="n"/>
      <c r="F129" s="490">
        <f>IF(OR(A129="",E129=""),"",IF(C129="","",C129+E129))</f>
        <v/>
      </c>
      <c r="G129" s="380" t="inlineStr">
        <is>
          <t>Agent 02</t>
        </is>
      </c>
      <c r="H129" s="491" t="n"/>
      <c r="I129" s="492">
        <f>IF(A129="","Pending",IF(H129="","⚠️ Enter Code",IF(IFERROR(VLOOKUP(G129,DB_Agents!$B:$I,8,0),"")=H129,IF(AND(A129&lt;&gt;"",E129&lt;&gt;""),"Saved","Pending"),"🔒 BLOCKED — Wrong Code")))</f>
        <v/>
      </c>
      <c r="J129" s="493">
        <f>IF(I129="Saved",TEXT(TODAY(),"YYYY-MM-DD")&amp;" Auto","—")</f>
        <v/>
      </c>
      <c r="K129" s="494" t="n"/>
    </row>
    <row r="130" ht="15" customHeight="1" s="341">
      <c r="A130" s="495" t="n"/>
      <c r="B130" s="382">
        <f>IF(A130="","",IFERROR(VLOOKUP(A130,DB_Customers!$A:$D,4,0),"❌ Account Not Found"))</f>
        <v/>
      </c>
      <c r="C130" s="496">
        <f>IF(A130="","",IFERROR(VLOOKUP(A130,DB_Customers!$A:$N,14,0),""))</f>
        <v/>
      </c>
      <c r="D130" s="497">
        <f>IF(A130="","",TODAY())</f>
        <v/>
      </c>
      <c r="E130" s="489" t="n"/>
      <c r="F130" s="498">
        <f>IF(OR(A130="",E130=""),"",IF(C130="","",C130+E130))</f>
        <v/>
      </c>
      <c r="G130" s="384" t="inlineStr">
        <is>
          <t>Agent 02</t>
        </is>
      </c>
      <c r="H130" s="491" t="n"/>
      <c r="I130" s="499">
        <f>IF(A130="","Pending",IF(H130="","⚠️ Enter Code",IF(IFERROR(VLOOKUP(G130,DB_Agents!$B:$I,8,0),"")=H130,IF(AND(A130&lt;&gt;"",E130&lt;&gt;""),"Saved","Pending"),"🔒 BLOCKED — Wrong Code")))</f>
        <v/>
      </c>
      <c r="J130" s="500">
        <f>IF(I130="Saved",TEXT(TODAY(),"YYYY-MM-DD")&amp;" Auto","—")</f>
        <v/>
      </c>
      <c r="K130" s="501" t="n"/>
    </row>
    <row r="131" ht="15" customHeight="1" s="341">
      <c r="A131" s="486" t="n"/>
      <c r="B131" s="378">
        <f>IF(A131="","",IFERROR(VLOOKUP(A131,DB_Customers!$A:$D,4,0),"❌ Account Not Found"))</f>
        <v/>
      </c>
      <c r="C131" s="487">
        <f>IF(A131="","",IFERROR(VLOOKUP(A131,DB_Customers!$A:$N,14,0),""))</f>
        <v/>
      </c>
      <c r="D131" s="488">
        <f>IF(A131="","",TODAY())</f>
        <v/>
      </c>
      <c r="E131" s="489" t="n"/>
      <c r="F131" s="490">
        <f>IF(OR(A131="",E131=""),"",IF(C131="","",C131+E131))</f>
        <v/>
      </c>
      <c r="G131" s="380" t="inlineStr">
        <is>
          <t>Agent 02</t>
        </is>
      </c>
      <c r="H131" s="491" t="n"/>
      <c r="I131" s="492">
        <f>IF(A131="","Pending",IF(H131="","⚠️ Enter Code",IF(IFERROR(VLOOKUP(G131,DB_Agents!$B:$I,8,0),"")=H131,IF(AND(A131&lt;&gt;"",E131&lt;&gt;""),"Saved","Pending"),"🔒 BLOCKED — Wrong Code")))</f>
        <v/>
      </c>
      <c r="J131" s="493">
        <f>IF(I131="Saved",TEXT(TODAY(),"YYYY-MM-DD")&amp;" Auto","—")</f>
        <v/>
      </c>
      <c r="K131" s="494" t="n"/>
    </row>
    <row r="132" ht="15" customHeight="1" s="341">
      <c r="A132" s="495" t="n"/>
      <c r="B132" s="382">
        <f>IF(A132="","",IFERROR(VLOOKUP(A132,DB_Customers!$A:$D,4,0),"❌ Account Not Found"))</f>
        <v/>
      </c>
      <c r="C132" s="496">
        <f>IF(A132="","",IFERROR(VLOOKUP(A132,DB_Customers!$A:$N,14,0),""))</f>
        <v/>
      </c>
      <c r="D132" s="497">
        <f>IF(A132="","",TODAY())</f>
        <v/>
      </c>
      <c r="E132" s="489" t="n"/>
      <c r="F132" s="498">
        <f>IF(OR(A132="",E132=""),"",IF(C132="","",C132+E132))</f>
        <v/>
      </c>
      <c r="G132" s="384" t="inlineStr">
        <is>
          <t>Agent 02</t>
        </is>
      </c>
      <c r="H132" s="491" t="n"/>
      <c r="I132" s="499">
        <f>IF(A132="","Pending",IF(H132="","⚠️ Enter Code",IF(IFERROR(VLOOKUP(G132,DB_Agents!$B:$I,8,0),"")=H132,IF(AND(A132&lt;&gt;"",E132&lt;&gt;""),"Saved","Pending"),"🔒 BLOCKED — Wrong Code")))</f>
        <v/>
      </c>
      <c r="J132" s="500">
        <f>IF(I132="Saved",TEXT(TODAY(),"YYYY-MM-DD")&amp;" Auto","—")</f>
        <v/>
      </c>
      <c r="K132" s="501" t="n"/>
    </row>
    <row r="133" ht="15" customHeight="1" s="341">
      <c r="A133" s="486" t="n"/>
      <c r="B133" s="378">
        <f>IF(A133="","",IFERROR(VLOOKUP(A133,DB_Customers!$A:$D,4,0),"❌ Account Not Found"))</f>
        <v/>
      </c>
      <c r="C133" s="487">
        <f>IF(A133="","",IFERROR(VLOOKUP(A133,DB_Customers!$A:$N,14,0),""))</f>
        <v/>
      </c>
      <c r="D133" s="488">
        <f>IF(A133="","",TODAY())</f>
        <v/>
      </c>
      <c r="E133" s="489" t="n"/>
      <c r="F133" s="490">
        <f>IF(OR(A133="",E133=""),"",IF(C133="","",C133+E133))</f>
        <v/>
      </c>
      <c r="G133" s="380" t="inlineStr">
        <is>
          <t>Agent 02</t>
        </is>
      </c>
      <c r="H133" s="491" t="n"/>
      <c r="I133" s="492">
        <f>IF(A133="","Pending",IF(H133="","⚠️ Enter Code",IF(IFERROR(VLOOKUP(G133,DB_Agents!$B:$I,8,0),"")=H133,IF(AND(A133&lt;&gt;"",E133&lt;&gt;""),"Saved","Pending"),"🔒 BLOCKED — Wrong Code")))</f>
        <v/>
      </c>
      <c r="J133" s="493">
        <f>IF(I133="Saved",TEXT(TODAY(),"YYYY-MM-DD")&amp;" Auto","—")</f>
        <v/>
      </c>
      <c r="K133" s="494" t="n"/>
    </row>
    <row r="134" ht="15" customHeight="1" s="341">
      <c r="A134" s="495" t="n"/>
      <c r="B134" s="382">
        <f>IF(A134="","",IFERROR(VLOOKUP(A134,DB_Customers!$A:$D,4,0),"❌ Account Not Found"))</f>
        <v/>
      </c>
      <c r="C134" s="496">
        <f>IF(A134="","",IFERROR(VLOOKUP(A134,DB_Customers!$A:$N,14,0),""))</f>
        <v/>
      </c>
      <c r="D134" s="497">
        <f>IF(A134="","",TODAY())</f>
        <v/>
      </c>
      <c r="E134" s="489" t="n"/>
      <c r="F134" s="498">
        <f>IF(OR(A134="",E134=""),"",IF(C134="","",C134+E134))</f>
        <v/>
      </c>
      <c r="G134" s="384" t="inlineStr">
        <is>
          <t>Agent 02</t>
        </is>
      </c>
      <c r="H134" s="491" t="n"/>
      <c r="I134" s="499">
        <f>IF(A134="","Pending",IF(H134="","⚠️ Enter Code",IF(IFERROR(VLOOKUP(G134,DB_Agents!$B:$I,8,0),"")=H134,IF(AND(A134&lt;&gt;"",E134&lt;&gt;""),"Saved","Pending"),"🔒 BLOCKED — Wrong Code")))</f>
        <v/>
      </c>
      <c r="J134" s="500">
        <f>IF(I134="Saved",TEXT(TODAY(),"YYYY-MM-DD")&amp;" Auto","—")</f>
        <v/>
      </c>
      <c r="K134" s="501" t="n"/>
    </row>
    <row r="135" ht="15" customHeight="1" s="341">
      <c r="A135" s="486" t="n"/>
      <c r="B135" s="378">
        <f>IF(A135="","",IFERROR(VLOOKUP(A135,DB_Customers!$A:$D,4,0),"❌ Account Not Found"))</f>
        <v/>
      </c>
      <c r="C135" s="487">
        <f>IF(A135="","",IFERROR(VLOOKUP(A135,DB_Customers!$A:$N,14,0),""))</f>
        <v/>
      </c>
      <c r="D135" s="488">
        <f>IF(A135="","",TODAY())</f>
        <v/>
      </c>
      <c r="E135" s="489" t="n"/>
      <c r="F135" s="490">
        <f>IF(OR(A135="",E135=""),"",IF(C135="","",C135+E135))</f>
        <v/>
      </c>
      <c r="G135" s="380" t="inlineStr">
        <is>
          <t>Agent 02</t>
        </is>
      </c>
      <c r="H135" s="491" t="n"/>
      <c r="I135" s="492">
        <f>IF(A135="","Pending",IF(H135="","⚠️ Enter Code",IF(IFERROR(VLOOKUP(G135,DB_Agents!$B:$I,8,0),"")=H135,IF(AND(A135&lt;&gt;"",E135&lt;&gt;""),"Saved","Pending"),"🔒 BLOCKED — Wrong Code")))</f>
        <v/>
      </c>
      <c r="J135" s="493">
        <f>IF(I135="Saved",TEXT(TODAY(),"YYYY-MM-DD")&amp;" Auto","—")</f>
        <v/>
      </c>
      <c r="K135" s="494" t="n"/>
    </row>
    <row r="136" ht="15" customHeight="1" s="341">
      <c r="A136" s="495" t="n"/>
      <c r="B136" s="382">
        <f>IF(A136="","",IFERROR(VLOOKUP(A136,DB_Customers!$A:$D,4,0),"❌ Account Not Found"))</f>
        <v/>
      </c>
      <c r="C136" s="496">
        <f>IF(A136="","",IFERROR(VLOOKUP(A136,DB_Customers!$A:$N,14,0),""))</f>
        <v/>
      </c>
      <c r="D136" s="497">
        <f>IF(A136="","",TODAY())</f>
        <v/>
      </c>
      <c r="E136" s="489" t="n"/>
      <c r="F136" s="498">
        <f>IF(OR(A136="",E136=""),"",IF(C136="","",C136+E136))</f>
        <v/>
      </c>
      <c r="G136" s="384" t="inlineStr">
        <is>
          <t>Agent 02</t>
        </is>
      </c>
      <c r="H136" s="491" t="n"/>
      <c r="I136" s="499">
        <f>IF(A136="","Pending",IF(H136="","⚠️ Enter Code",IF(IFERROR(VLOOKUP(G136,DB_Agents!$B:$I,8,0),"")=H136,IF(AND(A136&lt;&gt;"",E136&lt;&gt;""),"Saved","Pending"),"🔒 BLOCKED — Wrong Code")))</f>
        <v/>
      </c>
      <c r="J136" s="500">
        <f>IF(I136="Saved",TEXT(TODAY(),"YYYY-MM-DD")&amp;" Auto","—")</f>
        <v/>
      </c>
      <c r="K136" s="501" t="n"/>
    </row>
    <row r="137" ht="15" customHeight="1" s="341">
      <c r="A137" s="486" t="n"/>
      <c r="B137" s="378">
        <f>IF(A137="","",IFERROR(VLOOKUP(A137,DB_Customers!$A:$D,4,0),"❌ Account Not Found"))</f>
        <v/>
      </c>
      <c r="C137" s="487">
        <f>IF(A137="","",IFERROR(VLOOKUP(A137,DB_Customers!$A:$N,14,0),""))</f>
        <v/>
      </c>
      <c r="D137" s="488">
        <f>IF(A137="","",TODAY())</f>
        <v/>
      </c>
      <c r="E137" s="489" t="n"/>
      <c r="F137" s="490">
        <f>IF(OR(A137="",E137=""),"",IF(C137="","",C137+E137))</f>
        <v/>
      </c>
      <c r="G137" s="380" t="inlineStr">
        <is>
          <t>Agent 02</t>
        </is>
      </c>
      <c r="H137" s="491" t="n"/>
      <c r="I137" s="492">
        <f>IF(A137="","Pending",IF(H137="","⚠️ Enter Code",IF(IFERROR(VLOOKUP(G137,DB_Agents!$B:$I,8,0),"")=H137,IF(AND(A137&lt;&gt;"",E137&lt;&gt;""),"Saved","Pending"),"🔒 BLOCKED — Wrong Code")))</f>
        <v/>
      </c>
      <c r="J137" s="493">
        <f>IF(I137="Saved",TEXT(TODAY(),"YYYY-MM-DD")&amp;" Auto","—")</f>
        <v/>
      </c>
      <c r="K137" s="494" t="n"/>
    </row>
    <row r="138" ht="15" customHeight="1" s="341">
      <c r="A138" s="495" t="n"/>
      <c r="B138" s="382">
        <f>IF(A138="","",IFERROR(VLOOKUP(A138,DB_Customers!$A:$D,4,0),"❌ Account Not Found"))</f>
        <v/>
      </c>
      <c r="C138" s="496">
        <f>IF(A138="","",IFERROR(VLOOKUP(A138,DB_Customers!$A:$N,14,0),""))</f>
        <v/>
      </c>
      <c r="D138" s="497">
        <f>IF(A138="","",TODAY())</f>
        <v/>
      </c>
      <c r="E138" s="489" t="n"/>
      <c r="F138" s="498">
        <f>IF(OR(A138="",E138=""),"",IF(C138="","",C138+E138))</f>
        <v/>
      </c>
      <c r="G138" s="384" t="inlineStr">
        <is>
          <t>Agent 02</t>
        </is>
      </c>
      <c r="H138" s="491" t="n"/>
      <c r="I138" s="499">
        <f>IF(A138="","Pending",IF(H138="","⚠️ Enter Code",IF(IFERROR(VLOOKUP(G138,DB_Agents!$B:$I,8,0),"")=H138,IF(AND(A138&lt;&gt;"",E138&lt;&gt;""),"Saved","Pending"),"🔒 BLOCKED — Wrong Code")))</f>
        <v/>
      </c>
      <c r="J138" s="500">
        <f>IF(I138="Saved",TEXT(TODAY(),"YYYY-MM-DD")&amp;" Auto","—")</f>
        <v/>
      </c>
      <c r="K138" s="501" t="n"/>
    </row>
    <row r="139" ht="15" customHeight="1" s="341">
      <c r="A139" s="486" t="n"/>
      <c r="B139" s="378">
        <f>IF(A139="","",IFERROR(VLOOKUP(A139,DB_Customers!$A:$D,4,0),"❌ Account Not Found"))</f>
        <v/>
      </c>
      <c r="C139" s="487">
        <f>IF(A139="","",IFERROR(VLOOKUP(A139,DB_Customers!$A:$N,14,0),""))</f>
        <v/>
      </c>
      <c r="D139" s="488">
        <f>IF(A139="","",TODAY())</f>
        <v/>
      </c>
      <c r="E139" s="489" t="n"/>
      <c r="F139" s="490">
        <f>IF(OR(A139="",E139=""),"",IF(C139="","",C139+E139))</f>
        <v/>
      </c>
      <c r="G139" s="380" t="inlineStr">
        <is>
          <t>Agent 02</t>
        </is>
      </c>
      <c r="H139" s="491" t="n"/>
      <c r="I139" s="492">
        <f>IF(A139="","Pending",IF(H139="","⚠️ Enter Code",IF(IFERROR(VLOOKUP(G139,DB_Agents!$B:$I,8,0),"")=H139,IF(AND(A139&lt;&gt;"",E139&lt;&gt;""),"Saved","Pending"),"🔒 BLOCKED — Wrong Code")))</f>
        <v/>
      </c>
      <c r="J139" s="493">
        <f>IF(I139="Saved",TEXT(TODAY(),"YYYY-MM-DD")&amp;" Auto","—")</f>
        <v/>
      </c>
      <c r="K139" s="494" t="n"/>
    </row>
    <row r="140" ht="15" customHeight="1" s="341">
      <c r="A140" s="495" t="n"/>
      <c r="B140" s="382">
        <f>IF(A140="","",IFERROR(VLOOKUP(A140,DB_Customers!$A:$D,4,0),"❌ Account Not Found"))</f>
        <v/>
      </c>
      <c r="C140" s="496">
        <f>IF(A140="","",IFERROR(VLOOKUP(A140,DB_Customers!$A:$N,14,0),""))</f>
        <v/>
      </c>
      <c r="D140" s="497">
        <f>IF(A140="","",TODAY())</f>
        <v/>
      </c>
      <c r="E140" s="489" t="n"/>
      <c r="F140" s="498">
        <f>IF(OR(A140="",E140=""),"",IF(C140="","",C140+E140))</f>
        <v/>
      </c>
      <c r="G140" s="384" t="inlineStr">
        <is>
          <t>Agent 02</t>
        </is>
      </c>
      <c r="H140" s="491" t="n"/>
      <c r="I140" s="499">
        <f>IF(A140="","Pending",IF(H140="","⚠️ Enter Code",IF(IFERROR(VLOOKUP(G140,DB_Agents!$B:$I,8,0),"")=H140,IF(AND(A140&lt;&gt;"",E140&lt;&gt;""),"Saved","Pending"),"🔒 BLOCKED — Wrong Code")))</f>
        <v/>
      </c>
      <c r="J140" s="500">
        <f>IF(I140="Saved",TEXT(TODAY(),"YYYY-MM-DD")&amp;" Auto","—")</f>
        <v/>
      </c>
      <c r="K140" s="501" t="n"/>
    </row>
    <row r="141" ht="15" customHeight="1" s="341">
      <c r="A141" s="486" t="n"/>
      <c r="B141" s="378">
        <f>IF(A141="","",IFERROR(VLOOKUP(A141,DB_Customers!$A:$D,4,0),"❌ Account Not Found"))</f>
        <v/>
      </c>
      <c r="C141" s="487">
        <f>IF(A141="","",IFERROR(VLOOKUP(A141,DB_Customers!$A:$N,14,0),""))</f>
        <v/>
      </c>
      <c r="D141" s="488">
        <f>IF(A141="","",TODAY())</f>
        <v/>
      </c>
      <c r="E141" s="489" t="n"/>
      <c r="F141" s="490">
        <f>IF(OR(A141="",E141=""),"",IF(C141="","",C141+E141))</f>
        <v/>
      </c>
      <c r="G141" s="380" t="inlineStr">
        <is>
          <t>Agent 02</t>
        </is>
      </c>
      <c r="H141" s="491" t="n"/>
      <c r="I141" s="492">
        <f>IF(A141="","Pending",IF(H141="","⚠️ Enter Code",IF(IFERROR(VLOOKUP(G141,DB_Agents!$B:$I,8,0),"")=H141,IF(AND(A141&lt;&gt;"",E141&lt;&gt;""),"Saved","Pending"),"🔒 BLOCKED — Wrong Code")))</f>
        <v/>
      </c>
      <c r="J141" s="493">
        <f>IF(I141="Saved",TEXT(TODAY(),"YYYY-MM-DD")&amp;" Auto","—")</f>
        <v/>
      </c>
      <c r="K141" s="494" t="n"/>
    </row>
    <row r="142" ht="15" customHeight="1" s="341">
      <c r="A142" s="495" t="n"/>
      <c r="B142" s="382">
        <f>IF(A142="","",IFERROR(VLOOKUP(A142,DB_Customers!$A:$D,4,0),"❌ Account Not Found"))</f>
        <v/>
      </c>
      <c r="C142" s="496">
        <f>IF(A142="","",IFERROR(VLOOKUP(A142,DB_Customers!$A:$N,14,0),""))</f>
        <v/>
      </c>
      <c r="D142" s="497">
        <f>IF(A142="","",TODAY())</f>
        <v/>
      </c>
      <c r="E142" s="489" t="n"/>
      <c r="F142" s="498">
        <f>IF(OR(A142="",E142=""),"",IF(C142="","",C142+E142))</f>
        <v/>
      </c>
      <c r="G142" s="384" t="inlineStr">
        <is>
          <t>Agent 02</t>
        </is>
      </c>
      <c r="H142" s="491" t="n"/>
      <c r="I142" s="499">
        <f>IF(A142="","Pending",IF(H142="","⚠️ Enter Code",IF(IFERROR(VLOOKUP(G142,DB_Agents!$B:$I,8,0),"")=H142,IF(AND(A142&lt;&gt;"",E142&lt;&gt;""),"Saved","Pending"),"🔒 BLOCKED — Wrong Code")))</f>
        <v/>
      </c>
      <c r="J142" s="500">
        <f>IF(I142="Saved",TEXT(TODAY(),"YYYY-MM-DD")&amp;" Auto","—")</f>
        <v/>
      </c>
      <c r="K142" s="501" t="n"/>
    </row>
    <row r="143" ht="15" customHeight="1" s="341">
      <c r="A143" s="486" t="n"/>
      <c r="B143" s="378">
        <f>IF(A143="","",IFERROR(VLOOKUP(A143,DB_Customers!$A:$D,4,0),"❌ Account Not Found"))</f>
        <v/>
      </c>
      <c r="C143" s="487">
        <f>IF(A143="","",IFERROR(VLOOKUP(A143,DB_Customers!$A:$N,14,0),""))</f>
        <v/>
      </c>
      <c r="D143" s="488">
        <f>IF(A143="","",TODAY())</f>
        <v/>
      </c>
      <c r="E143" s="489" t="n"/>
      <c r="F143" s="490">
        <f>IF(OR(A143="",E143=""),"",IF(C143="","",C143+E143))</f>
        <v/>
      </c>
      <c r="G143" s="380" t="inlineStr">
        <is>
          <t>Agent 02</t>
        </is>
      </c>
      <c r="H143" s="491" t="n"/>
      <c r="I143" s="492">
        <f>IF(A143="","Pending",IF(H143="","⚠️ Enter Code",IF(IFERROR(VLOOKUP(G143,DB_Agents!$B:$I,8,0),"")=H143,IF(AND(A143&lt;&gt;"",E143&lt;&gt;""),"Saved","Pending"),"🔒 BLOCKED — Wrong Code")))</f>
        <v/>
      </c>
      <c r="J143" s="493">
        <f>IF(I143="Saved",TEXT(TODAY(),"YYYY-MM-DD")&amp;" Auto","—")</f>
        <v/>
      </c>
      <c r="K143" s="494" t="n"/>
    </row>
    <row r="144" ht="15" customHeight="1" s="341">
      <c r="A144" s="495" t="n"/>
      <c r="B144" s="382">
        <f>IF(A144="","",IFERROR(VLOOKUP(A144,DB_Customers!$A:$D,4,0),"❌ Account Not Found"))</f>
        <v/>
      </c>
      <c r="C144" s="496">
        <f>IF(A144="","",IFERROR(VLOOKUP(A144,DB_Customers!$A:$N,14,0),""))</f>
        <v/>
      </c>
      <c r="D144" s="497">
        <f>IF(A144="","",TODAY())</f>
        <v/>
      </c>
      <c r="E144" s="489" t="n"/>
      <c r="F144" s="498">
        <f>IF(OR(A144="",E144=""),"",IF(C144="","",C144+E144))</f>
        <v/>
      </c>
      <c r="G144" s="384" t="inlineStr">
        <is>
          <t>Agent 02</t>
        </is>
      </c>
      <c r="H144" s="491" t="n"/>
      <c r="I144" s="499">
        <f>IF(A144="","Pending",IF(H144="","⚠️ Enter Code",IF(IFERROR(VLOOKUP(G144,DB_Agents!$B:$I,8,0),"")=H144,IF(AND(A144&lt;&gt;"",E144&lt;&gt;""),"Saved","Pending"),"🔒 BLOCKED — Wrong Code")))</f>
        <v/>
      </c>
      <c r="J144" s="500">
        <f>IF(I144="Saved",TEXT(TODAY(),"YYYY-MM-DD")&amp;" Auto","—")</f>
        <v/>
      </c>
      <c r="K144" s="501" t="n"/>
    </row>
    <row r="145" ht="15" customHeight="1" s="341">
      <c r="A145" s="486" t="n"/>
      <c r="B145" s="378">
        <f>IF(A145="","",IFERROR(VLOOKUP(A145,DB_Customers!$A:$D,4,0),"❌ Account Not Found"))</f>
        <v/>
      </c>
      <c r="C145" s="487">
        <f>IF(A145="","",IFERROR(VLOOKUP(A145,DB_Customers!$A:$N,14,0),""))</f>
        <v/>
      </c>
      <c r="D145" s="488">
        <f>IF(A145="","",TODAY())</f>
        <v/>
      </c>
      <c r="E145" s="489" t="n"/>
      <c r="F145" s="490">
        <f>IF(OR(A145="",E145=""),"",IF(C145="","",C145+E145))</f>
        <v/>
      </c>
      <c r="G145" s="380" t="inlineStr">
        <is>
          <t>Agent 02</t>
        </is>
      </c>
      <c r="H145" s="491" t="n"/>
      <c r="I145" s="492">
        <f>IF(A145="","Pending",IF(H145="","⚠️ Enter Code",IF(IFERROR(VLOOKUP(G145,DB_Agents!$B:$I,8,0),"")=H145,IF(AND(A145&lt;&gt;"",E145&lt;&gt;""),"Saved","Pending"),"🔒 BLOCKED — Wrong Code")))</f>
        <v/>
      </c>
      <c r="J145" s="493">
        <f>IF(I145="Saved",TEXT(TODAY(),"YYYY-MM-DD")&amp;" Auto","—")</f>
        <v/>
      </c>
      <c r="K145" s="494" t="n"/>
    </row>
    <row r="146" ht="15" customHeight="1" s="341">
      <c r="A146" s="495" t="n"/>
      <c r="B146" s="382">
        <f>IF(A146="","",IFERROR(VLOOKUP(A146,DB_Customers!$A:$D,4,0),"❌ Account Not Found"))</f>
        <v/>
      </c>
      <c r="C146" s="496">
        <f>IF(A146="","",IFERROR(VLOOKUP(A146,DB_Customers!$A:$N,14,0),""))</f>
        <v/>
      </c>
      <c r="D146" s="497">
        <f>IF(A146="","",TODAY())</f>
        <v/>
      </c>
      <c r="E146" s="489" t="n"/>
      <c r="F146" s="498">
        <f>IF(OR(A146="",E146=""),"",IF(C146="","",C146+E146))</f>
        <v/>
      </c>
      <c r="G146" s="384" t="inlineStr">
        <is>
          <t>Agent 02</t>
        </is>
      </c>
      <c r="H146" s="491" t="n"/>
      <c r="I146" s="499">
        <f>IF(A146="","Pending",IF(H146="","⚠️ Enter Code",IF(IFERROR(VLOOKUP(G146,DB_Agents!$B:$I,8,0),"")=H146,IF(AND(A146&lt;&gt;"",E146&lt;&gt;""),"Saved","Pending"),"🔒 BLOCKED — Wrong Code")))</f>
        <v/>
      </c>
      <c r="J146" s="500">
        <f>IF(I146="Saved",TEXT(TODAY(),"YYYY-MM-DD")&amp;" Auto","—")</f>
        <v/>
      </c>
      <c r="K146" s="501" t="n"/>
    </row>
    <row r="147" ht="15" customHeight="1" s="341">
      <c r="A147" s="486" t="n"/>
      <c r="B147" s="378">
        <f>IF(A147="","",IFERROR(VLOOKUP(A147,DB_Customers!$A:$D,4,0),"❌ Account Not Found"))</f>
        <v/>
      </c>
      <c r="C147" s="487">
        <f>IF(A147="","",IFERROR(VLOOKUP(A147,DB_Customers!$A:$N,14,0),""))</f>
        <v/>
      </c>
      <c r="D147" s="488">
        <f>IF(A147="","",TODAY())</f>
        <v/>
      </c>
      <c r="E147" s="489" t="n"/>
      <c r="F147" s="490">
        <f>IF(OR(A147="",E147=""),"",IF(C147="","",C147+E147))</f>
        <v/>
      </c>
      <c r="G147" s="380" t="inlineStr">
        <is>
          <t>Agent 02</t>
        </is>
      </c>
      <c r="H147" s="491" t="n"/>
      <c r="I147" s="492">
        <f>IF(A147="","Pending",IF(H147="","⚠️ Enter Code",IF(IFERROR(VLOOKUP(G147,DB_Agents!$B:$I,8,0),"")=H147,IF(AND(A147&lt;&gt;"",E147&lt;&gt;""),"Saved","Pending"),"🔒 BLOCKED — Wrong Code")))</f>
        <v/>
      </c>
      <c r="J147" s="493">
        <f>IF(I147="Saved",TEXT(TODAY(),"YYYY-MM-DD")&amp;" Auto","—")</f>
        <v/>
      </c>
      <c r="K147" s="494" t="n"/>
    </row>
    <row r="148" ht="15" customHeight="1" s="341">
      <c r="A148" s="495" t="n"/>
      <c r="B148" s="382">
        <f>IF(A148="","",IFERROR(VLOOKUP(A148,DB_Customers!$A:$D,4,0),"❌ Account Not Found"))</f>
        <v/>
      </c>
      <c r="C148" s="496">
        <f>IF(A148="","",IFERROR(VLOOKUP(A148,DB_Customers!$A:$N,14,0),""))</f>
        <v/>
      </c>
      <c r="D148" s="497">
        <f>IF(A148="","",TODAY())</f>
        <v/>
      </c>
      <c r="E148" s="489" t="n"/>
      <c r="F148" s="498">
        <f>IF(OR(A148="",E148=""),"",IF(C148="","",C148+E148))</f>
        <v/>
      </c>
      <c r="G148" s="384" t="inlineStr">
        <is>
          <t>Agent 02</t>
        </is>
      </c>
      <c r="H148" s="491" t="n"/>
      <c r="I148" s="499">
        <f>IF(A148="","Pending",IF(H148="","⚠️ Enter Code",IF(IFERROR(VLOOKUP(G148,DB_Agents!$B:$I,8,0),"")=H148,IF(AND(A148&lt;&gt;"",E148&lt;&gt;""),"Saved","Pending"),"🔒 BLOCKED — Wrong Code")))</f>
        <v/>
      </c>
      <c r="J148" s="500">
        <f>IF(I148="Saved",TEXT(TODAY(),"YYYY-MM-DD")&amp;" Auto","—")</f>
        <v/>
      </c>
      <c r="K148" s="501" t="n"/>
    </row>
    <row r="149" ht="15" customHeight="1" s="341">
      <c r="A149" s="486" t="n"/>
      <c r="B149" s="378">
        <f>IF(A149="","",IFERROR(VLOOKUP(A149,DB_Customers!$A:$D,4,0),"❌ Account Not Found"))</f>
        <v/>
      </c>
      <c r="C149" s="487">
        <f>IF(A149="","",IFERROR(VLOOKUP(A149,DB_Customers!$A:$N,14,0),""))</f>
        <v/>
      </c>
      <c r="D149" s="488">
        <f>IF(A149="","",TODAY())</f>
        <v/>
      </c>
      <c r="E149" s="489" t="n"/>
      <c r="F149" s="490">
        <f>IF(OR(A149="",E149=""),"",IF(C149="","",C149+E149))</f>
        <v/>
      </c>
      <c r="G149" s="380" t="inlineStr">
        <is>
          <t>Agent 02</t>
        </is>
      </c>
      <c r="H149" s="491" t="n"/>
      <c r="I149" s="492">
        <f>IF(A149="","Pending",IF(H149="","⚠️ Enter Code",IF(IFERROR(VLOOKUP(G149,DB_Agents!$B:$I,8,0),"")=H149,IF(AND(A149&lt;&gt;"",E149&lt;&gt;""),"Saved","Pending"),"🔒 BLOCKED — Wrong Code")))</f>
        <v/>
      </c>
      <c r="J149" s="493">
        <f>IF(I149="Saved",TEXT(TODAY(),"YYYY-MM-DD")&amp;" Auto","—")</f>
        <v/>
      </c>
      <c r="K149" s="494" t="n"/>
    </row>
    <row r="150" ht="15" customHeight="1" s="341">
      <c r="A150" s="495" t="n"/>
      <c r="B150" s="382">
        <f>IF(A150="","",IFERROR(VLOOKUP(A150,DB_Customers!$A:$D,4,0),"❌ Account Not Found"))</f>
        <v/>
      </c>
      <c r="C150" s="496">
        <f>IF(A150="","",IFERROR(VLOOKUP(A150,DB_Customers!$A:$N,14,0),""))</f>
        <v/>
      </c>
      <c r="D150" s="497">
        <f>IF(A150="","",TODAY())</f>
        <v/>
      </c>
      <c r="E150" s="489" t="n"/>
      <c r="F150" s="498">
        <f>IF(OR(A150="",E150=""),"",IF(C150="","",C150+E150))</f>
        <v/>
      </c>
      <c r="G150" s="384" t="inlineStr">
        <is>
          <t>Agent 02</t>
        </is>
      </c>
      <c r="H150" s="491" t="n"/>
      <c r="I150" s="499">
        <f>IF(A150="","Pending",IF(H150="","⚠️ Enter Code",IF(IFERROR(VLOOKUP(G150,DB_Agents!$B:$I,8,0),"")=H150,IF(AND(A150&lt;&gt;"",E150&lt;&gt;""),"Saved","Pending"),"🔒 BLOCKED — Wrong Code")))</f>
        <v/>
      </c>
      <c r="J150" s="500">
        <f>IF(I150="Saved",TEXT(TODAY(),"YYYY-MM-DD")&amp;" Auto","—")</f>
        <v/>
      </c>
      <c r="K150" s="501" t="n"/>
    </row>
    <row r="151" ht="15" customHeight="1" s="341">
      <c r="A151" s="486" t="n"/>
      <c r="B151" s="378">
        <f>IF(A151="","",IFERROR(VLOOKUP(A151,DB_Customers!$A:$D,4,0),"❌ Account Not Found"))</f>
        <v/>
      </c>
      <c r="C151" s="487">
        <f>IF(A151="","",IFERROR(VLOOKUP(A151,DB_Customers!$A:$N,14,0),""))</f>
        <v/>
      </c>
      <c r="D151" s="488">
        <f>IF(A151="","",TODAY())</f>
        <v/>
      </c>
      <c r="E151" s="489" t="n"/>
      <c r="F151" s="490">
        <f>IF(OR(A151="",E151=""),"",IF(C151="","",C151+E151))</f>
        <v/>
      </c>
      <c r="G151" s="380" t="inlineStr">
        <is>
          <t>Agent 02</t>
        </is>
      </c>
      <c r="H151" s="491" t="n"/>
      <c r="I151" s="492">
        <f>IF(A151="","Pending",IF(H151="","⚠️ Enter Code",IF(IFERROR(VLOOKUP(G151,DB_Agents!$B:$I,8,0),"")=H151,IF(AND(A151&lt;&gt;"",E151&lt;&gt;""),"Saved","Pending"),"🔒 BLOCKED — Wrong Code")))</f>
        <v/>
      </c>
      <c r="J151" s="493">
        <f>IF(I151="Saved",TEXT(TODAY(),"YYYY-MM-DD")&amp;" Auto","—")</f>
        <v/>
      </c>
      <c r="K151" s="494" t="n"/>
    </row>
    <row r="152" ht="15" customHeight="1" s="341">
      <c r="A152" s="495" t="n"/>
      <c r="B152" s="382">
        <f>IF(A152="","",IFERROR(VLOOKUP(A152,DB_Customers!$A:$D,4,0),"❌ Account Not Found"))</f>
        <v/>
      </c>
      <c r="C152" s="496">
        <f>IF(A152="","",IFERROR(VLOOKUP(A152,DB_Customers!$A:$N,14,0),""))</f>
        <v/>
      </c>
      <c r="D152" s="497">
        <f>IF(A152="","",TODAY())</f>
        <v/>
      </c>
      <c r="E152" s="489" t="n"/>
      <c r="F152" s="498">
        <f>IF(OR(A152="",E152=""),"",IF(C152="","",C152+E152))</f>
        <v/>
      </c>
      <c r="G152" s="384" t="inlineStr">
        <is>
          <t>Agent 02</t>
        </is>
      </c>
      <c r="H152" s="491" t="n"/>
      <c r="I152" s="499">
        <f>IF(A152="","Pending",IF(H152="","⚠️ Enter Code",IF(IFERROR(VLOOKUP(G152,DB_Agents!$B:$I,8,0),"")=H152,IF(AND(A152&lt;&gt;"",E152&lt;&gt;""),"Saved","Pending"),"🔒 BLOCKED — Wrong Code")))</f>
        <v/>
      </c>
      <c r="J152" s="500">
        <f>IF(I152="Saved",TEXT(TODAY(),"YYYY-MM-DD")&amp;" Auto","—")</f>
        <v/>
      </c>
      <c r="K152" s="501" t="n"/>
    </row>
    <row r="153" ht="15" customHeight="1" s="341">
      <c r="A153" s="486" t="n"/>
      <c r="B153" s="378">
        <f>IF(A153="","",IFERROR(VLOOKUP(A153,DB_Customers!$A:$D,4,0),"❌ Account Not Found"))</f>
        <v/>
      </c>
      <c r="C153" s="487">
        <f>IF(A153="","",IFERROR(VLOOKUP(A153,DB_Customers!$A:$N,14,0),""))</f>
        <v/>
      </c>
      <c r="D153" s="488">
        <f>IF(A153="","",TODAY())</f>
        <v/>
      </c>
      <c r="E153" s="489" t="n"/>
      <c r="F153" s="490">
        <f>IF(OR(A153="",E153=""),"",IF(C153="","",C153+E153))</f>
        <v/>
      </c>
      <c r="G153" s="380" t="inlineStr">
        <is>
          <t>Agent 02</t>
        </is>
      </c>
      <c r="H153" s="491" t="n"/>
      <c r="I153" s="492">
        <f>IF(A153="","Pending",IF(H153="","⚠️ Enter Code",IF(IFERROR(VLOOKUP(G153,DB_Agents!$B:$I,8,0),"")=H153,IF(AND(A153&lt;&gt;"",E153&lt;&gt;""),"Saved","Pending"),"🔒 BLOCKED — Wrong Code")))</f>
        <v/>
      </c>
      <c r="J153" s="493">
        <f>IF(I153="Saved",TEXT(TODAY(),"YYYY-MM-DD")&amp;" Auto","—")</f>
        <v/>
      </c>
      <c r="K153" s="494" t="n"/>
    </row>
    <row r="154" ht="15" customHeight="1" s="341">
      <c r="A154" s="495" t="n"/>
      <c r="B154" s="382">
        <f>IF(A154="","",IFERROR(VLOOKUP(A154,DB_Customers!$A:$D,4,0),"❌ Account Not Found"))</f>
        <v/>
      </c>
      <c r="C154" s="496">
        <f>IF(A154="","",IFERROR(VLOOKUP(A154,DB_Customers!$A:$N,14,0),""))</f>
        <v/>
      </c>
      <c r="D154" s="497">
        <f>IF(A154="","",TODAY())</f>
        <v/>
      </c>
      <c r="E154" s="489" t="n"/>
      <c r="F154" s="498">
        <f>IF(OR(A154="",E154=""),"",IF(C154="","",C154+E154))</f>
        <v/>
      </c>
      <c r="G154" s="384" t="inlineStr">
        <is>
          <t>Agent 02</t>
        </is>
      </c>
      <c r="H154" s="491" t="n"/>
      <c r="I154" s="499">
        <f>IF(A154="","Pending",IF(H154="","⚠️ Enter Code",IF(IFERROR(VLOOKUP(G154,DB_Agents!$B:$I,8,0),"")=H154,IF(AND(A154&lt;&gt;"",E154&lt;&gt;""),"Saved","Pending"),"🔒 BLOCKED — Wrong Code")))</f>
        <v/>
      </c>
      <c r="J154" s="500">
        <f>IF(I154="Saved",TEXT(TODAY(),"YYYY-MM-DD")&amp;" Auto","—")</f>
        <v/>
      </c>
      <c r="K154" s="501" t="n"/>
    </row>
    <row r="155" ht="15" customHeight="1" s="341">
      <c r="A155" s="486" t="n"/>
      <c r="B155" s="378">
        <f>IF(A155="","",IFERROR(VLOOKUP(A155,DB_Customers!$A:$D,4,0),"❌ Account Not Found"))</f>
        <v/>
      </c>
      <c r="C155" s="487">
        <f>IF(A155="","",IFERROR(VLOOKUP(A155,DB_Customers!$A:$N,14,0),""))</f>
        <v/>
      </c>
      <c r="D155" s="488">
        <f>IF(A155="","",TODAY())</f>
        <v/>
      </c>
      <c r="E155" s="489" t="n"/>
      <c r="F155" s="490">
        <f>IF(OR(A155="",E155=""),"",IF(C155="","",C155+E155))</f>
        <v/>
      </c>
      <c r="G155" s="380" t="inlineStr">
        <is>
          <t>Agent 02</t>
        </is>
      </c>
      <c r="H155" s="491" t="n"/>
      <c r="I155" s="492">
        <f>IF(A155="","Pending",IF(H155="","⚠️ Enter Code",IF(IFERROR(VLOOKUP(G155,DB_Agents!$B:$I,8,0),"")=H155,IF(AND(A155&lt;&gt;"",E155&lt;&gt;""),"Saved","Pending"),"🔒 BLOCKED — Wrong Code")))</f>
        <v/>
      </c>
      <c r="J155" s="493">
        <f>IF(I155="Saved",TEXT(TODAY(),"YYYY-MM-DD")&amp;" Auto","—")</f>
        <v/>
      </c>
      <c r="K155" s="494" t="n"/>
    </row>
    <row r="156" ht="15" customHeight="1" s="341">
      <c r="A156" s="495" t="n"/>
      <c r="B156" s="382">
        <f>IF(A156="","",IFERROR(VLOOKUP(A156,DB_Customers!$A:$D,4,0),"❌ Account Not Found"))</f>
        <v/>
      </c>
      <c r="C156" s="496">
        <f>IF(A156="","",IFERROR(VLOOKUP(A156,DB_Customers!$A:$N,14,0),""))</f>
        <v/>
      </c>
      <c r="D156" s="497">
        <f>IF(A156="","",TODAY())</f>
        <v/>
      </c>
      <c r="E156" s="489" t="n"/>
      <c r="F156" s="498">
        <f>IF(OR(A156="",E156=""),"",IF(C156="","",C156+E156))</f>
        <v/>
      </c>
      <c r="G156" s="384" t="inlineStr">
        <is>
          <t>Agent 02</t>
        </is>
      </c>
      <c r="H156" s="491" t="n"/>
      <c r="I156" s="499">
        <f>IF(A156="","Pending",IF(H156="","⚠️ Enter Code",IF(IFERROR(VLOOKUP(G156,DB_Agents!$B:$I,8,0),"")=H156,IF(AND(A156&lt;&gt;"",E156&lt;&gt;""),"Saved","Pending"),"🔒 BLOCKED — Wrong Code")))</f>
        <v/>
      </c>
      <c r="J156" s="500">
        <f>IF(I156="Saved",TEXT(TODAY(),"YYYY-MM-DD")&amp;" Auto","—")</f>
        <v/>
      </c>
      <c r="K156" s="501" t="n"/>
    </row>
    <row r="157" ht="15" customHeight="1" s="341">
      <c r="A157" s="486" t="n"/>
      <c r="B157" s="378">
        <f>IF(A157="","",IFERROR(VLOOKUP(A157,DB_Customers!$A:$D,4,0),"❌ Account Not Found"))</f>
        <v/>
      </c>
      <c r="C157" s="487">
        <f>IF(A157="","",IFERROR(VLOOKUP(A157,DB_Customers!$A:$N,14,0),""))</f>
        <v/>
      </c>
      <c r="D157" s="488">
        <f>IF(A157="","",TODAY())</f>
        <v/>
      </c>
      <c r="E157" s="489" t="n"/>
      <c r="F157" s="490">
        <f>IF(OR(A157="",E157=""),"",IF(C157="","",C157+E157))</f>
        <v/>
      </c>
      <c r="G157" s="380" t="inlineStr">
        <is>
          <t>Agent 02</t>
        </is>
      </c>
      <c r="H157" s="491" t="n"/>
      <c r="I157" s="492">
        <f>IF(A157="","Pending",IF(H157="","⚠️ Enter Code",IF(IFERROR(VLOOKUP(G157,DB_Agents!$B:$I,8,0),"")=H157,IF(AND(A157&lt;&gt;"",E157&lt;&gt;""),"Saved","Pending"),"🔒 BLOCKED — Wrong Code")))</f>
        <v/>
      </c>
      <c r="J157" s="493">
        <f>IF(I157="Saved",TEXT(TODAY(),"YYYY-MM-DD")&amp;" Auto","—")</f>
        <v/>
      </c>
      <c r="K157" s="494" t="n"/>
    </row>
    <row r="158" ht="15" customHeight="1" s="341">
      <c r="A158" s="495" t="n"/>
      <c r="B158" s="382">
        <f>IF(A158="","",IFERROR(VLOOKUP(A158,DB_Customers!$A:$D,4,0),"❌ Account Not Found"))</f>
        <v/>
      </c>
      <c r="C158" s="496">
        <f>IF(A158="","",IFERROR(VLOOKUP(A158,DB_Customers!$A:$N,14,0),""))</f>
        <v/>
      </c>
      <c r="D158" s="497">
        <f>IF(A158="","",TODAY())</f>
        <v/>
      </c>
      <c r="E158" s="489" t="n"/>
      <c r="F158" s="498">
        <f>IF(OR(A158="",E158=""),"",IF(C158="","",C158+E158))</f>
        <v/>
      </c>
      <c r="G158" s="384" t="inlineStr">
        <is>
          <t>Agent 02</t>
        </is>
      </c>
      <c r="H158" s="491" t="n"/>
      <c r="I158" s="499">
        <f>IF(A158="","Pending",IF(H158="","⚠️ Enter Code",IF(IFERROR(VLOOKUP(G158,DB_Agents!$B:$I,8,0),"")=H158,IF(AND(A158&lt;&gt;"",E158&lt;&gt;""),"Saved","Pending"),"🔒 BLOCKED — Wrong Code")))</f>
        <v/>
      </c>
      <c r="J158" s="500">
        <f>IF(I158="Saved",TEXT(TODAY(),"YYYY-MM-DD")&amp;" Auto","—")</f>
        <v/>
      </c>
      <c r="K158" s="501" t="n"/>
    </row>
    <row r="159" ht="15" customHeight="1" s="341">
      <c r="A159" s="486" t="n"/>
      <c r="B159" s="378">
        <f>IF(A159="","",IFERROR(VLOOKUP(A159,DB_Customers!$A:$D,4,0),"❌ Account Not Found"))</f>
        <v/>
      </c>
      <c r="C159" s="487">
        <f>IF(A159="","",IFERROR(VLOOKUP(A159,DB_Customers!$A:$N,14,0),""))</f>
        <v/>
      </c>
      <c r="D159" s="488">
        <f>IF(A159="","",TODAY())</f>
        <v/>
      </c>
      <c r="E159" s="489" t="n"/>
      <c r="F159" s="490">
        <f>IF(OR(A159="",E159=""),"",IF(C159="","",C159+E159))</f>
        <v/>
      </c>
      <c r="G159" s="380" t="inlineStr">
        <is>
          <t>Agent 02</t>
        </is>
      </c>
      <c r="H159" s="491" t="n"/>
      <c r="I159" s="492">
        <f>IF(A159="","Pending",IF(H159="","⚠️ Enter Code",IF(IFERROR(VLOOKUP(G159,DB_Agents!$B:$I,8,0),"")=H159,IF(AND(A159&lt;&gt;"",E159&lt;&gt;""),"Saved","Pending"),"🔒 BLOCKED — Wrong Code")))</f>
        <v/>
      </c>
      <c r="J159" s="493">
        <f>IF(I159="Saved",TEXT(TODAY(),"YYYY-MM-DD")&amp;" Auto","—")</f>
        <v/>
      </c>
      <c r="K159" s="494" t="n"/>
    </row>
    <row r="160" ht="15" customHeight="1" s="341">
      <c r="A160" s="495" t="n"/>
      <c r="B160" s="382">
        <f>IF(A160="","",IFERROR(VLOOKUP(A160,DB_Customers!$A:$D,4,0),"❌ Account Not Found"))</f>
        <v/>
      </c>
      <c r="C160" s="496">
        <f>IF(A160="","",IFERROR(VLOOKUP(A160,DB_Customers!$A:$N,14,0),""))</f>
        <v/>
      </c>
      <c r="D160" s="497">
        <f>IF(A160="","",TODAY())</f>
        <v/>
      </c>
      <c r="E160" s="489" t="n"/>
      <c r="F160" s="498">
        <f>IF(OR(A160="",E160=""),"",IF(C160="","",C160+E160))</f>
        <v/>
      </c>
      <c r="G160" s="384" t="inlineStr">
        <is>
          <t>Agent 02</t>
        </is>
      </c>
      <c r="H160" s="491" t="n"/>
      <c r="I160" s="499">
        <f>IF(A160="","Pending",IF(H160="","⚠️ Enter Code",IF(IFERROR(VLOOKUP(G160,DB_Agents!$B:$I,8,0),"")=H160,IF(AND(A160&lt;&gt;"",E160&lt;&gt;""),"Saved","Pending"),"🔒 BLOCKED — Wrong Code")))</f>
        <v/>
      </c>
      <c r="J160" s="500">
        <f>IF(I160="Saved",TEXT(TODAY(),"YYYY-MM-DD")&amp;" Auto","—")</f>
        <v/>
      </c>
      <c r="K160" s="501" t="n"/>
    </row>
    <row r="161" ht="15" customHeight="1" s="341">
      <c r="A161" s="486" t="n"/>
      <c r="B161" s="378">
        <f>IF(A161="","",IFERROR(VLOOKUP(A161,DB_Customers!$A:$D,4,0),"❌ Account Not Found"))</f>
        <v/>
      </c>
      <c r="C161" s="487">
        <f>IF(A161="","",IFERROR(VLOOKUP(A161,DB_Customers!$A:$N,14,0),""))</f>
        <v/>
      </c>
      <c r="D161" s="488">
        <f>IF(A161="","",TODAY())</f>
        <v/>
      </c>
      <c r="E161" s="489" t="n"/>
      <c r="F161" s="490">
        <f>IF(OR(A161="",E161=""),"",IF(C161="","",C161+E161))</f>
        <v/>
      </c>
      <c r="G161" s="380" t="inlineStr">
        <is>
          <t>Agent 02</t>
        </is>
      </c>
      <c r="H161" s="491" t="n"/>
      <c r="I161" s="492">
        <f>IF(A161="","Pending",IF(H161="","⚠️ Enter Code",IF(IFERROR(VLOOKUP(G161,DB_Agents!$B:$I,8,0),"")=H161,IF(AND(A161&lt;&gt;"",E161&lt;&gt;""),"Saved","Pending"),"🔒 BLOCKED — Wrong Code")))</f>
        <v/>
      </c>
      <c r="J161" s="493">
        <f>IF(I161="Saved",TEXT(TODAY(),"YYYY-MM-DD")&amp;" Auto","—")</f>
        <v/>
      </c>
      <c r="K161" s="494" t="n"/>
    </row>
    <row r="162" ht="15" customHeight="1" s="341">
      <c r="A162" s="495" t="n"/>
      <c r="B162" s="382">
        <f>IF(A162="","",IFERROR(VLOOKUP(A162,DB_Customers!$A:$D,4,0),"❌ Account Not Found"))</f>
        <v/>
      </c>
      <c r="C162" s="496">
        <f>IF(A162="","",IFERROR(VLOOKUP(A162,DB_Customers!$A:$N,14,0),""))</f>
        <v/>
      </c>
      <c r="D162" s="497">
        <f>IF(A162="","",TODAY())</f>
        <v/>
      </c>
      <c r="E162" s="489" t="n"/>
      <c r="F162" s="498">
        <f>IF(OR(A162="",E162=""),"",IF(C162="","",C162+E162))</f>
        <v/>
      </c>
      <c r="G162" s="384" t="inlineStr">
        <is>
          <t>Agent 02</t>
        </is>
      </c>
      <c r="H162" s="491" t="n"/>
      <c r="I162" s="499">
        <f>IF(A162="","Pending",IF(H162="","⚠️ Enter Code",IF(IFERROR(VLOOKUP(G162,DB_Agents!$B:$I,8,0),"")=H162,IF(AND(A162&lt;&gt;"",E162&lt;&gt;""),"Saved","Pending"),"🔒 BLOCKED — Wrong Code")))</f>
        <v/>
      </c>
      <c r="J162" s="500">
        <f>IF(I162="Saved",TEXT(TODAY(),"YYYY-MM-DD")&amp;" Auto","—")</f>
        <v/>
      </c>
      <c r="K162" s="501" t="n"/>
    </row>
    <row r="163" ht="15" customHeight="1" s="341">
      <c r="A163" s="486" t="n"/>
      <c r="B163" s="378">
        <f>IF(A163="","",IFERROR(VLOOKUP(A163,DB_Customers!$A:$D,4,0),"❌ Account Not Found"))</f>
        <v/>
      </c>
      <c r="C163" s="487">
        <f>IF(A163="","",IFERROR(VLOOKUP(A163,DB_Customers!$A:$N,14,0),""))</f>
        <v/>
      </c>
      <c r="D163" s="488">
        <f>IF(A163="","",TODAY())</f>
        <v/>
      </c>
      <c r="E163" s="489" t="n"/>
      <c r="F163" s="490">
        <f>IF(OR(A163="",E163=""),"",IF(C163="","",C163+E163))</f>
        <v/>
      </c>
      <c r="G163" s="380" t="inlineStr">
        <is>
          <t>Agent 02</t>
        </is>
      </c>
      <c r="H163" s="491" t="n"/>
      <c r="I163" s="492">
        <f>IF(A163="","Pending",IF(H163="","⚠️ Enter Code",IF(IFERROR(VLOOKUP(G163,DB_Agents!$B:$I,8,0),"")=H163,IF(AND(A163&lt;&gt;"",E163&lt;&gt;""),"Saved","Pending"),"🔒 BLOCKED — Wrong Code")))</f>
        <v/>
      </c>
      <c r="J163" s="493">
        <f>IF(I163="Saved",TEXT(TODAY(),"YYYY-MM-DD")&amp;" Auto","—")</f>
        <v/>
      </c>
      <c r="K163" s="494" t="n"/>
    </row>
    <row r="164" ht="15" customHeight="1" s="341">
      <c r="A164" s="495" t="n"/>
      <c r="B164" s="382">
        <f>IF(A164="","",IFERROR(VLOOKUP(A164,DB_Customers!$A:$D,4,0),"❌ Account Not Found"))</f>
        <v/>
      </c>
      <c r="C164" s="496">
        <f>IF(A164="","",IFERROR(VLOOKUP(A164,DB_Customers!$A:$N,14,0),""))</f>
        <v/>
      </c>
      <c r="D164" s="497">
        <f>IF(A164="","",TODAY())</f>
        <v/>
      </c>
      <c r="E164" s="489" t="n"/>
      <c r="F164" s="498">
        <f>IF(OR(A164="",E164=""),"",IF(C164="","",C164+E164))</f>
        <v/>
      </c>
      <c r="G164" s="384" t="inlineStr">
        <is>
          <t>Agent 02</t>
        </is>
      </c>
      <c r="H164" s="491" t="n"/>
      <c r="I164" s="499">
        <f>IF(A164="","Pending",IF(H164="","⚠️ Enter Code",IF(IFERROR(VLOOKUP(G164,DB_Agents!$B:$I,8,0),"")=H164,IF(AND(A164&lt;&gt;"",E164&lt;&gt;""),"Saved","Pending"),"🔒 BLOCKED — Wrong Code")))</f>
        <v/>
      </c>
      <c r="J164" s="500">
        <f>IF(I164="Saved",TEXT(TODAY(),"YYYY-MM-DD")&amp;" Auto","—")</f>
        <v/>
      </c>
      <c r="K164" s="501" t="n"/>
    </row>
    <row r="165" ht="15" customHeight="1" s="341">
      <c r="A165" s="486" t="n"/>
      <c r="B165" s="378">
        <f>IF(A165="","",IFERROR(VLOOKUP(A165,DB_Customers!$A:$D,4,0),"❌ Account Not Found"))</f>
        <v/>
      </c>
      <c r="C165" s="487">
        <f>IF(A165="","",IFERROR(VLOOKUP(A165,DB_Customers!$A:$N,14,0),""))</f>
        <v/>
      </c>
      <c r="D165" s="488">
        <f>IF(A165="","",TODAY())</f>
        <v/>
      </c>
      <c r="E165" s="489" t="n"/>
      <c r="F165" s="490">
        <f>IF(OR(A165="",E165=""),"",IF(C165="","",C165+E165))</f>
        <v/>
      </c>
      <c r="G165" s="380" t="inlineStr">
        <is>
          <t>Agent 02</t>
        </is>
      </c>
      <c r="H165" s="491" t="n"/>
      <c r="I165" s="492">
        <f>IF(A165="","Pending",IF(H165="","⚠️ Enter Code",IF(IFERROR(VLOOKUP(G165,DB_Agents!$B:$I,8,0),"")=H165,IF(AND(A165&lt;&gt;"",E165&lt;&gt;""),"Saved","Pending"),"🔒 BLOCKED — Wrong Code")))</f>
        <v/>
      </c>
      <c r="J165" s="493">
        <f>IF(I165="Saved",TEXT(TODAY(),"YYYY-MM-DD")&amp;" Auto","—")</f>
        <v/>
      </c>
      <c r="K165" s="494" t="n"/>
    </row>
    <row r="166" ht="15" customHeight="1" s="341">
      <c r="A166" s="495" t="n"/>
      <c r="B166" s="382">
        <f>IF(A166="","",IFERROR(VLOOKUP(A166,DB_Customers!$A:$D,4,0),"❌ Account Not Found"))</f>
        <v/>
      </c>
      <c r="C166" s="496">
        <f>IF(A166="","",IFERROR(VLOOKUP(A166,DB_Customers!$A:$N,14,0),""))</f>
        <v/>
      </c>
      <c r="D166" s="497">
        <f>IF(A166="","",TODAY())</f>
        <v/>
      </c>
      <c r="E166" s="489" t="n"/>
      <c r="F166" s="498">
        <f>IF(OR(A166="",E166=""),"",IF(C166="","",C166+E166))</f>
        <v/>
      </c>
      <c r="G166" s="384" t="inlineStr">
        <is>
          <t>Agent 02</t>
        </is>
      </c>
      <c r="H166" s="491" t="n"/>
      <c r="I166" s="499">
        <f>IF(A166="","Pending",IF(H166="","⚠️ Enter Code",IF(IFERROR(VLOOKUP(G166,DB_Agents!$B:$I,8,0),"")=H166,IF(AND(A166&lt;&gt;"",E166&lt;&gt;""),"Saved","Pending"),"🔒 BLOCKED — Wrong Code")))</f>
        <v/>
      </c>
      <c r="J166" s="500">
        <f>IF(I166="Saved",TEXT(TODAY(),"YYYY-MM-DD")&amp;" Auto","—")</f>
        <v/>
      </c>
      <c r="K166" s="501" t="n"/>
    </row>
    <row r="167" ht="15" customHeight="1" s="341">
      <c r="A167" s="486" t="n"/>
      <c r="B167" s="378">
        <f>IF(A167="","",IFERROR(VLOOKUP(A167,DB_Customers!$A:$D,4,0),"❌ Account Not Found"))</f>
        <v/>
      </c>
      <c r="C167" s="487">
        <f>IF(A167="","",IFERROR(VLOOKUP(A167,DB_Customers!$A:$N,14,0),""))</f>
        <v/>
      </c>
      <c r="D167" s="488">
        <f>IF(A167="","",TODAY())</f>
        <v/>
      </c>
      <c r="E167" s="489" t="n"/>
      <c r="F167" s="490">
        <f>IF(OR(A167="",E167=""),"",IF(C167="","",C167+E167))</f>
        <v/>
      </c>
      <c r="G167" s="380" t="inlineStr">
        <is>
          <t>Agent 02</t>
        </is>
      </c>
      <c r="H167" s="491" t="n"/>
      <c r="I167" s="492">
        <f>IF(A167="","Pending",IF(H167="","⚠️ Enter Code",IF(IFERROR(VLOOKUP(G167,DB_Agents!$B:$I,8,0),"")=H167,IF(AND(A167&lt;&gt;"",E167&lt;&gt;""),"Saved","Pending"),"🔒 BLOCKED — Wrong Code")))</f>
        <v/>
      </c>
      <c r="J167" s="493">
        <f>IF(I167="Saved",TEXT(TODAY(),"YYYY-MM-DD")&amp;" Auto","—")</f>
        <v/>
      </c>
      <c r="K167" s="494" t="n"/>
    </row>
    <row r="168" ht="15" customHeight="1" s="341">
      <c r="A168" s="495" t="n"/>
      <c r="B168" s="382">
        <f>IF(A168="","",IFERROR(VLOOKUP(A168,DB_Customers!$A:$D,4,0),"❌ Account Not Found"))</f>
        <v/>
      </c>
      <c r="C168" s="496">
        <f>IF(A168="","",IFERROR(VLOOKUP(A168,DB_Customers!$A:$N,14,0),""))</f>
        <v/>
      </c>
      <c r="D168" s="497">
        <f>IF(A168="","",TODAY())</f>
        <v/>
      </c>
      <c r="E168" s="489" t="n"/>
      <c r="F168" s="498">
        <f>IF(OR(A168="",E168=""),"",IF(C168="","",C168+E168))</f>
        <v/>
      </c>
      <c r="G168" s="384" t="inlineStr">
        <is>
          <t>Agent 02</t>
        </is>
      </c>
      <c r="H168" s="491" t="n"/>
      <c r="I168" s="499">
        <f>IF(A168="","Pending",IF(H168="","⚠️ Enter Code",IF(IFERROR(VLOOKUP(G168,DB_Agents!$B:$I,8,0),"")=H168,IF(AND(A168&lt;&gt;"",E168&lt;&gt;""),"Saved","Pending"),"🔒 BLOCKED — Wrong Code")))</f>
        <v/>
      </c>
      <c r="J168" s="500">
        <f>IF(I168="Saved",TEXT(TODAY(),"YYYY-MM-DD")&amp;" Auto","—")</f>
        <v/>
      </c>
      <c r="K168" s="501" t="n"/>
    </row>
    <row r="169" ht="15" customHeight="1" s="341">
      <c r="A169" s="486" t="n"/>
      <c r="B169" s="378">
        <f>IF(A169="","",IFERROR(VLOOKUP(A169,DB_Customers!$A:$D,4,0),"❌ Account Not Found"))</f>
        <v/>
      </c>
      <c r="C169" s="487">
        <f>IF(A169="","",IFERROR(VLOOKUP(A169,DB_Customers!$A:$N,14,0),""))</f>
        <v/>
      </c>
      <c r="D169" s="488">
        <f>IF(A169="","",TODAY())</f>
        <v/>
      </c>
      <c r="E169" s="489" t="n"/>
      <c r="F169" s="490">
        <f>IF(OR(A169="",E169=""),"",IF(C169="","",C169+E169))</f>
        <v/>
      </c>
      <c r="G169" s="380" t="inlineStr">
        <is>
          <t>Agent 02</t>
        </is>
      </c>
      <c r="H169" s="491" t="n"/>
      <c r="I169" s="492">
        <f>IF(A169="","Pending",IF(H169="","⚠️ Enter Code",IF(IFERROR(VLOOKUP(G169,DB_Agents!$B:$I,8,0),"")=H169,IF(AND(A169&lt;&gt;"",E169&lt;&gt;""),"Saved","Pending"),"🔒 BLOCKED — Wrong Code")))</f>
        <v/>
      </c>
      <c r="J169" s="493">
        <f>IF(I169="Saved",TEXT(TODAY(),"YYYY-MM-DD")&amp;" Auto","—")</f>
        <v/>
      </c>
      <c r="K169" s="494" t="n"/>
    </row>
    <row r="170" ht="15" customHeight="1" s="341">
      <c r="A170" s="495" t="n"/>
      <c r="B170" s="382">
        <f>IF(A170="","",IFERROR(VLOOKUP(A170,DB_Customers!$A:$D,4,0),"❌ Account Not Found"))</f>
        <v/>
      </c>
      <c r="C170" s="496">
        <f>IF(A170="","",IFERROR(VLOOKUP(A170,DB_Customers!$A:$N,14,0),""))</f>
        <v/>
      </c>
      <c r="D170" s="497">
        <f>IF(A170="","",TODAY())</f>
        <v/>
      </c>
      <c r="E170" s="489" t="n"/>
      <c r="F170" s="498">
        <f>IF(OR(A170="",E170=""),"",IF(C170="","",C170+E170))</f>
        <v/>
      </c>
      <c r="G170" s="384" t="inlineStr">
        <is>
          <t>Agent 02</t>
        </is>
      </c>
      <c r="H170" s="491" t="n"/>
      <c r="I170" s="499">
        <f>IF(A170="","Pending",IF(H170="","⚠️ Enter Code",IF(IFERROR(VLOOKUP(G170,DB_Agents!$B:$I,8,0),"")=H170,IF(AND(A170&lt;&gt;"",E170&lt;&gt;""),"Saved","Pending"),"🔒 BLOCKED — Wrong Code")))</f>
        <v/>
      </c>
      <c r="J170" s="500">
        <f>IF(I170="Saved",TEXT(TODAY(),"YYYY-MM-DD")&amp;" Auto","—")</f>
        <v/>
      </c>
      <c r="K170" s="501" t="n"/>
    </row>
    <row r="171" ht="15" customHeight="1" s="341">
      <c r="A171" s="486" t="n"/>
      <c r="B171" s="378">
        <f>IF(A171="","",IFERROR(VLOOKUP(A171,DB_Customers!$A:$D,4,0),"❌ Account Not Found"))</f>
        <v/>
      </c>
      <c r="C171" s="487">
        <f>IF(A171="","",IFERROR(VLOOKUP(A171,DB_Customers!$A:$N,14,0),""))</f>
        <v/>
      </c>
      <c r="D171" s="488">
        <f>IF(A171="","",TODAY())</f>
        <v/>
      </c>
      <c r="E171" s="489" t="n"/>
      <c r="F171" s="490">
        <f>IF(OR(A171="",E171=""),"",IF(C171="","",C171+E171))</f>
        <v/>
      </c>
      <c r="G171" s="380" t="inlineStr">
        <is>
          <t>Agent 02</t>
        </is>
      </c>
      <c r="H171" s="491" t="n"/>
      <c r="I171" s="492">
        <f>IF(A171="","Pending",IF(H171="","⚠️ Enter Code",IF(IFERROR(VLOOKUP(G171,DB_Agents!$B:$I,8,0),"")=H171,IF(AND(A171&lt;&gt;"",E171&lt;&gt;""),"Saved","Pending"),"🔒 BLOCKED — Wrong Code")))</f>
        <v/>
      </c>
      <c r="J171" s="493">
        <f>IF(I171="Saved",TEXT(TODAY(),"YYYY-MM-DD")&amp;" Auto","—")</f>
        <v/>
      </c>
      <c r="K171" s="494" t="n"/>
    </row>
    <row r="172" ht="15" customHeight="1" s="341">
      <c r="A172" s="495" t="n"/>
      <c r="B172" s="382">
        <f>IF(A172="","",IFERROR(VLOOKUP(A172,DB_Customers!$A:$D,4,0),"❌ Account Not Found"))</f>
        <v/>
      </c>
      <c r="C172" s="496">
        <f>IF(A172="","",IFERROR(VLOOKUP(A172,DB_Customers!$A:$N,14,0),""))</f>
        <v/>
      </c>
      <c r="D172" s="497">
        <f>IF(A172="","",TODAY())</f>
        <v/>
      </c>
      <c r="E172" s="489" t="n"/>
      <c r="F172" s="498">
        <f>IF(OR(A172="",E172=""),"",IF(C172="","",C172+E172))</f>
        <v/>
      </c>
      <c r="G172" s="384" t="inlineStr">
        <is>
          <t>Agent 02</t>
        </is>
      </c>
      <c r="H172" s="491" t="n"/>
      <c r="I172" s="499">
        <f>IF(A172="","Pending",IF(H172="","⚠️ Enter Code",IF(IFERROR(VLOOKUP(G172,DB_Agents!$B:$I,8,0),"")=H172,IF(AND(A172&lt;&gt;"",E172&lt;&gt;""),"Saved","Pending"),"🔒 BLOCKED — Wrong Code")))</f>
        <v/>
      </c>
      <c r="J172" s="500">
        <f>IF(I172="Saved",TEXT(TODAY(),"YYYY-MM-DD")&amp;" Auto","—")</f>
        <v/>
      </c>
      <c r="K172" s="501" t="n"/>
    </row>
    <row r="173" ht="15" customHeight="1" s="341">
      <c r="A173" s="486" t="n"/>
      <c r="B173" s="378">
        <f>IF(A173="","",IFERROR(VLOOKUP(A173,DB_Customers!$A:$D,4,0),"❌ Account Not Found"))</f>
        <v/>
      </c>
      <c r="C173" s="487">
        <f>IF(A173="","",IFERROR(VLOOKUP(A173,DB_Customers!$A:$N,14,0),""))</f>
        <v/>
      </c>
      <c r="D173" s="488">
        <f>IF(A173="","",TODAY())</f>
        <v/>
      </c>
      <c r="E173" s="489" t="n"/>
      <c r="F173" s="490">
        <f>IF(OR(A173="",E173=""),"",IF(C173="","",C173+E173))</f>
        <v/>
      </c>
      <c r="G173" s="380" t="inlineStr">
        <is>
          <t>Agent 02</t>
        </is>
      </c>
      <c r="H173" s="491" t="n"/>
      <c r="I173" s="492">
        <f>IF(A173="","Pending",IF(H173="","⚠️ Enter Code",IF(IFERROR(VLOOKUP(G173,DB_Agents!$B:$I,8,0),"")=H173,IF(AND(A173&lt;&gt;"",E173&lt;&gt;""),"Saved","Pending"),"🔒 BLOCKED — Wrong Code")))</f>
        <v/>
      </c>
      <c r="J173" s="493">
        <f>IF(I173="Saved",TEXT(TODAY(),"YYYY-MM-DD")&amp;" Auto","—")</f>
        <v/>
      </c>
      <c r="K173" s="494" t="n"/>
    </row>
    <row r="174" ht="15" customHeight="1" s="341">
      <c r="A174" s="495" t="n"/>
      <c r="B174" s="382">
        <f>IF(A174="","",IFERROR(VLOOKUP(A174,DB_Customers!$A:$D,4,0),"❌ Account Not Found"))</f>
        <v/>
      </c>
      <c r="C174" s="496">
        <f>IF(A174="","",IFERROR(VLOOKUP(A174,DB_Customers!$A:$N,14,0),""))</f>
        <v/>
      </c>
      <c r="D174" s="497">
        <f>IF(A174="","",TODAY())</f>
        <v/>
      </c>
      <c r="E174" s="489" t="n"/>
      <c r="F174" s="498">
        <f>IF(OR(A174="",E174=""),"",IF(C174="","",C174+E174))</f>
        <v/>
      </c>
      <c r="G174" s="384" t="inlineStr">
        <is>
          <t>Agent 02</t>
        </is>
      </c>
      <c r="H174" s="491" t="n"/>
      <c r="I174" s="499">
        <f>IF(A174="","Pending",IF(H174="","⚠️ Enter Code",IF(IFERROR(VLOOKUP(G174,DB_Agents!$B:$I,8,0),"")=H174,IF(AND(A174&lt;&gt;"",E174&lt;&gt;""),"Saved","Pending"),"🔒 BLOCKED — Wrong Code")))</f>
        <v/>
      </c>
      <c r="J174" s="500">
        <f>IF(I174="Saved",TEXT(TODAY(),"YYYY-MM-DD")&amp;" Auto","—")</f>
        <v/>
      </c>
      <c r="K174" s="501" t="n"/>
    </row>
    <row r="175" ht="15" customHeight="1" s="341">
      <c r="A175" s="486" t="n"/>
      <c r="B175" s="378">
        <f>IF(A175="","",IFERROR(VLOOKUP(A175,DB_Customers!$A:$D,4,0),"❌ Account Not Found"))</f>
        <v/>
      </c>
      <c r="C175" s="487">
        <f>IF(A175="","",IFERROR(VLOOKUP(A175,DB_Customers!$A:$N,14,0),""))</f>
        <v/>
      </c>
      <c r="D175" s="488">
        <f>IF(A175="","",TODAY())</f>
        <v/>
      </c>
      <c r="E175" s="489" t="n"/>
      <c r="F175" s="490">
        <f>IF(OR(A175="",E175=""),"",IF(C175="","",C175+E175))</f>
        <v/>
      </c>
      <c r="G175" s="380" t="inlineStr">
        <is>
          <t>Agent 02</t>
        </is>
      </c>
      <c r="H175" s="491" t="n"/>
      <c r="I175" s="492">
        <f>IF(A175="","Pending",IF(H175="","⚠️ Enter Code",IF(IFERROR(VLOOKUP(G175,DB_Agents!$B:$I,8,0),"")=H175,IF(AND(A175&lt;&gt;"",E175&lt;&gt;""),"Saved","Pending"),"🔒 BLOCKED — Wrong Code")))</f>
        <v/>
      </c>
      <c r="J175" s="493">
        <f>IF(I175="Saved",TEXT(TODAY(),"YYYY-MM-DD")&amp;" Auto","—")</f>
        <v/>
      </c>
      <c r="K175" s="494" t="n"/>
    </row>
    <row r="176" ht="15" customHeight="1" s="341">
      <c r="A176" s="495" t="n"/>
      <c r="B176" s="382">
        <f>IF(A176="","",IFERROR(VLOOKUP(A176,DB_Customers!$A:$D,4,0),"❌ Account Not Found"))</f>
        <v/>
      </c>
      <c r="C176" s="496">
        <f>IF(A176="","",IFERROR(VLOOKUP(A176,DB_Customers!$A:$N,14,0),""))</f>
        <v/>
      </c>
      <c r="D176" s="497">
        <f>IF(A176="","",TODAY())</f>
        <v/>
      </c>
      <c r="E176" s="489" t="n"/>
      <c r="F176" s="498">
        <f>IF(OR(A176="",E176=""),"",IF(C176="","",C176+E176))</f>
        <v/>
      </c>
      <c r="G176" s="384" t="inlineStr">
        <is>
          <t>Agent 02</t>
        </is>
      </c>
      <c r="H176" s="491" t="n"/>
      <c r="I176" s="499">
        <f>IF(A176="","Pending",IF(H176="","⚠️ Enter Code",IF(IFERROR(VLOOKUP(G176,DB_Agents!$B:$I,8,0),"")=H176,IF(AND(A176&lt;&gt;"",E176&lt;&gt;""),"Saved","Pending"),"🔒 BLOCKED — Wrong Code")))</f>
        <v/>
      </c>
      <c r="J176" s="500">
        <f>IF(I176="Saved",TEXT(TODAY(),"YYYY-MM-DD")&amp;" Auto","—")</f>
        <v/>
      </c>
      <c r="K176" s="501" t="n"/>
    </row>
    <row r="177" ht="15" customHeight="1" s="341">
      <c r="A177" s="486" t="n"/>
      <c r="B177" s="378">
        <f>IF(A177="","",IFERROR(VLOOKUP(A177,DB_Customers!$A:$D,4,0),"❌ Account Not Found"))</f>
        <v/>
      </c>
      <c r="C177" s="487">
        <f>IF(A177="","",IFERROR(VLOOKUP(A177,DB_Customers!$A:$N,14,0),""))</f>
        <v/>
      </c>
      <c r="D177" s="488">
        <f>IF(A177="","",TODAY())</f>
        <v/>
      </c>
      <c r="E177" s="489" t="n"/>
      <c r="F177" s="490">
        <f>IF(OR(A177="",E177=""),"",IF(C177="","",C177+E177))</f>
        <v/>
      </c>
      <c r="G177" s="380" t="inlineStr">
        <is>
          <t>Agent 02</t>
        </is>
      </c>
      <c r="H177" s="491" t="n"/>
      <c r="I177" s="492">
        <f>IF(A177="","Pending",IF(H177="","⚠️ Enter Code",IF(IFERROR(VLOOKUP(G177,DB_Agents!$B:$I,8,0),"")=H177,IF(AND(A177&lt;&gt;"",E177&lt;&gt;""),"Saved","Pending"),"🔒 BLOCKED — Wrong Code")))</f>
        <v/>
      </c>
      <c r="J177" s="493">
        <f>IF(I177="Saved",TEXT(TODAY(),"YYYY-MM-DD")&amp;" Auto","—")</f>
        <v/>
      </c>
      <c r="K177" s="494" t="n"/>
    </row>
    <row r="178" ht="15" customHeight="1" s="341">
      <c r="A178" s="495" t="n"/>
      <c r="B178" s="382">
        <f>IF(A178="","",IFERROR(VLOOKUP(A178,DB_Customers!$A:$D,4,0),"❌ Account Not Found"))</f>
        <v/>
      </c>
      <c r="C178" s="496">
        <f>IF(A178="","",IFERROR(VLOOKUP(A178,DB_Customers!$A:$N,14,0),""))</f>
        <v/>
      </c>
      <c r="D178" s="497">
        <f>IF(A178="","",TODAY())</f>
        <v/>
      </c>
      <c r="E178" s="489" t="n"/>
      <c r="F178" s="498">
        <f>IF(OR(A178="",E178=""),"",IF(C178="","",C178+E178))</f>
        <v/>
      </c>
      <c r="G178" s="384" t="inlineStr">
        <is>
          <t>Agent 02</t>
        </is>
      </c>
      <c r="H178" s="491" t="n"/>
      <c r="I178" s="499">
        <f>IF(A178="","Pending",IF(H178="","⚠️ Enter Code",IF(IFERROR(VLOOKUP(G178,DB_Agents!$B:$I,8,0),"")=H178,IF(AND(A178&lt;&gt;"",E178&lt;&gt;""),"Saved","Pending"),"🔒 BLOCKED — Wrong Code")))</f>
        <v/>
      </c>
      <c r="J178" s="500">
        <f>IF(I178="Saved",TEXT(TODAY(),"YYYY-MM-DD")&amp;" Auto","—")</f>
        <v/>
      </c>
      <c r="K178" s="501" t="n"/>
    </row>
    <row r="179" ht="15" customHeight="1" s="341">
      <c r="A179" s="486" t="n"/>
      <c r="B179" s="378">
        <f>IF(A179="","",IFERROR(VLOOKUP(A179,DB_Customers!$A:$D,4,0),"❌ Account Not Found"))</f>
        <v/>
      </c>
      <c r="C179" s="487">
        <f>IF(A179="","",IFERROR(VLOOKUP(A179,DB_Customers!$A:$N,14,0),""))</f>
        <v/>
      </c>
      <c r="D179" s="488">
        <f>IF(A179="","",TODAY())</f>
        <v/>
      </c>
      <c r="E179" s="489" t="n"/>
      <c r="F179" s="490">
        <f>IF(OR(A179="",E179=""),"",IF(C179="","",C179+E179))</f>
        <v/>
      </c>
      <c r="G179" s="380" t="inlineStr">
        <is>
          <t>Agent 02</t>
        </is>
      </c>
      <c r="H179" s="491" t="n"/>
      <c r="I179" s="492">
        <f>IF(A179="","Pending",IF(H179="","⚠️ Enter Code",IF(IFERROR(VLOOKUP(G179,DB_Agents!$B:$I,8,0),"")=H179,IF(AND(A179&lt;&gt;"",E179&lt;&gt;""),"Saved","Pending"),"🔒 BLOCKED — Wrong Code")))</f>
        <v/>
      </c>
      <c r="J179" s="493">
        <f>IF(I179="Saved",TEXT(TODAY(),"YYYY-MM-DD")&amp;" Auto","—")</f>
        <v/>
      </c>
      <c r="K179" s="494" t="n"/>
    </row>
    <row r="180" ht="15" customHeight="1" s="341">
      <c r="A180" s="495" t="n"/>
      <c r="B180" s="382">
        <f>IF(A180="","",IFERROR(VLOOKUP(A180,DB_Customers!$A:$D,4,0),"❌ Account Not Found"))</f>
        <v/>
      </c>
      <c r="C180" s="496">
        <f>IF(A180="","",IFERROR(VLOOKUP(A180,DB_Customers!$A:$N,14,0),""))</f>
        <v/>
      </c>
      <c r="D180" s="497">
        <f>IF(A180="","",TODAY())</f>
        <v/>
      </c>
      <c r="E180" s="489" t="n"/>
      <c r="F180" s="498">
        <f>IF(OR(A180="",E180=""),"",IF(C180="","",C180+E180))</f>
        <v/>
      </c>
      <c r="G180" s="384" t="inlineStr">
        <is>
          <t>Agent 02</t>
        </is>
      </c>
      <c r="H180" s="491" t="n"/>
      <c r="I180" s="499">
        <f>IF(A180="","Pending",IF(H180="","⚠️ Enter Code",IF(IFERROR(VLOOKUP(G180,DB_Agents!$B:$I,8,0),"")=H180,IF(AND(A180&lt;&gt;"",E180&lt;&gt;""),"Saved","Pending"),"🔒 BLOCKED — Wrong Code")))</f>
        <v/>
      </c>
      <c r="J180" s="500">
        <f>IF(I180="Saved",TEXT(TODAY(),"YYYY-MM-DD")&amp;" Auto","—")</f>
        <v/>
      </c>
      <c r="K180" s="501" t="n"/>
    </row>
    <row r="181" ht="15" customHeight="1" s="341">
      <c r="A181" s="486" t="n"/>
      <c r="B181" s="378">
        <f>IF(A181="","",IFERROR(VLOOKUP(A181,DB_Customers!$A:$D,4,0),"❌ Account Not Found"))</f>
        <v/>
      </c>
      <c r="C181" s="487">
        <f>IF(A181="","",IFERROR(VLOOKUP(A181,DB_Customers!$A:$N,14,0),""))</f>
        <v/>
      </c>
      <c r="D181" s="488">
        <f>IF(A181="","",TODAY())</f>
        <v/>
      </c>
      <c r="E181" s="489" t="n"/>
      <c r="F181" s="490">
        <f>IF(OR(A181="",E181=""),"",IF(C181="","",C181+E181))</f>
        <v/>
      </c>
      <c r="G181" s="380" t="inlineStr">
        <is>
          <t>Agent 02</t>
        </is>
      </c>
      <c r="H181" s="491" t="n"/>
      <c r="I181" s="492">
        <f>IF(A181="","Pending",IF(H181="","⚠️ Enter Code",IF(IFERROR(VLOOKUP(G181,DB_Agents!$B:$I,8,0),"")=H181,IF(AND(A181&lt;&gt;"",E181&lt;&gt;""),"Saved","Pending"),"🔒 BLOCKED — Wrong Code")))</f>
        <v/>
      </c>
      <c r="J181" s="493">
        <f>IF(I181="Saved",TEXT(TODAY(),"YYYY-MM-DD")&amp;" Auto","—")</f>
        <v/>
      </c>
      <c r="K181" s="494" t="n"/>
    </row>
    <row r="182" ht="15" customHeight="1" s="341">
      <c r="A182" s="495" t="n"/>
      <c r="B182" s="382">
        <f>IF(A182="","",IFERROR(VLOOKUP(A182,DB_Customers!$A:$D,4,0),"❌ Account Not Found"))</f>
        <v/>
      </c>
      <c r="C182" s="496">
        <f>IF(A182="","",IFERROR(VLOOKUP(A182,DB_Customers!$A:$N,14,0),""))</f>
        <v/>
      </c>
      <c r="D182" s="497">
        <f>IF(A182="","",TODAY())</f>
        <v/>
      </c>
      <c r="E182" s="489" t="n"/>
      <c r="F182" s="498">
        <f>IF(OR(A182="",E182=""),"",IF(C182="","",C182+E182))</f>
        <v/>
      </c>
      <c r="G182" s="384" t="inlineStr">
        <is>
          <t>Agent 02</t>
        </is>
      </c>
      <c r="H182" s="491" t="n"/>
      <c r="I182" s="499">
        <f>IF(A182="","Pending",IF(H182="","⚠️ Enter Code",IF(IFERROR(VLOOKUP(G182,DB_Agents!$B:$I,8,0),"")=H182,IF(AND(A182&lt;&gt;"",E182&lt;&gt;""),"Saved","Pending"),"🔒 BLOCKED — Wrong Code")))</f>
        <v/>
      </c>
      <c r="J182" s="500">
        <f>IF(I182="Saved",TEXT(TODAY(),"YYYY-MM-DD")&amp;" Auto","—")</f>
        <v/>
      </c>
      <c r="K182" s="501" t="n"/>
    </row>
    <row r="183" ht="15" customHeight="1" s="341">
      <c r="A183" s="486" t="n"/>
      <c r="B183" s="378">
        <f>IF(A183="","",IFERROR(VLOOKUP(A183,DB_Customers!$A:$D,4,0),"❌ Account Not Found"))</f>
        <v/>
      </c>
      <c r="C183" s="487">
        <f>IF(A183="","",IFERROR(VLOOKUP(A183,DB_Customers!$A:$N,14,0),""))</f>
        <v/>
      </c>
      <c r="D183" s="488">
        <f>IF(A183="","",TODAY())</f>
        <v/>
      </c>
      <c r="E183" s="489" t="n"/>
      <c r="F183" s="490">
        <f>IF(OR(A183="",E183=""),"",IF(C183="","",C183+E183))</f>
        <v/>
      </c>
      <c r="G183" s="380" t="inlineStr">
        <is>
          <t>Agent 02</t>
        </is>
      </c>
      <c r="H183" s="491" t="n"/>
      <c r="I183" s="492">
        <f>IF(A183="","Pending",IF(H183="","⚠️ Enter Code",IF(IFERROR(VLOOKUP(G183,DB_Agents!$B:$I,8,0),"")=H183,IF(AND(A183&lt;&gt;"",E183&lt;&gt;""),"Saved","Pending"),"🔒 BLOCKED — Wrong Code")))</f>
        <v/>
      </c>
      <c r="J183" s="493">
        <f>IF(I183="Saved",TEXT(TODAY(),"YYYY-MM-DD")&amp;" Auto","—")</f>
        <v/>
      </c>
      <c r="K183" s="494" t="n"/>
    </row>
    <row r="184" ht="15" customHeight="1" s="341">
      <c r="A184" s="495" t="n"/>
      <c r="B184" s="382">
        <f>IF(A184="","",IFERROR(VLOOKUP(A184,DB_Customers!$A:$D,4,0),"❌ Account Not Found"))</f>
        <v/>
      </c>
      <c r="C184" s="496">
        <f>IF(A184="","",IFERROR(VLOOKUP(A184,DB_Customers!$A:$N,14,0),""))</f>
        <v/>
      </c>
      <c r="D184" s="497">
        <f>IF(A184="","",TODAY())</f>
        <v/>
      </c>
      <c r="E184" s="489" t="n"/>
      <c r="F184" s="498">
        <f>IF(OR(A184="",E184=""),"",IF(C184="","",C184+E184))</f>
        <v/>
      </c>
      <c r="G184" s="384" t="inlineStr">
        <is>
          <t>Agent 02</t>
        </is>
      </c>
      <c r="H184" s="491" t="n"/>
      <c r="I184" s="499">
        <f>IF(A184="","Pending",IF(H184="","⚠️ Enter Code",IF(IFERROR(VLOOKUP(G184,DB_Agents!$B:$I,8,0),"")=H184,IF(AND(A184&lt;&gt;"",E184&lt;&gt;""),"Saved","Pending"),"🔒 BLOCKED — Wrong Code")))</f>
        <v/>
      </c>
      <c r="J184" s="500">
        <f>IF(I184="Saved",TEXT(TODAY(),"YYYY-MM-DD")&amp;" Auto","—")</f>
        <v/>
      </c>
      <c r="K184" s="501" t="n"/>
    </row>
    <row r="185" ht="15" customHeight="1" s="341">
      <c r="A185" s="486" t="n"/>
      <c r="B185" s="378">
        <f>IF(A185="","",IFERROR(VLOOKUP(A185,DB_Customers!$A:$D,4,0),"❌ Account Not Found"))</f>
        <v/>
      </c>
      <c r="C185" s="487">
        <f>IF(A185="","",IFERROR(VLOOKUP(A185,DB_Customers!$A:$N,14,0),""))</f>
        <v/>
      </c>
      <c r="D185" s="488">
        <f>IF(A185="","",TODAY())</f>
        <v/>
      </c>
      <c r="E185" s="489" t="n"/>
      <c r="F185" s="490">
        <f>IF(OR(A185="",E185=""),"",IF(C185="","",C185+E185))</f>
        <v/>
      </c>
      <c r="G185" s="380" t="inlineStr">
        <is>
          <t>Agent 02</t>
        </is>
      </c>
      <c r="H185" s="491" t="n"/>
      <c r="I185" s="492">
        <f>IF(A185="","Pending",IF(H185="","⚠️ Enter Code",IF(IFERROR(VLOOKUP(G185,DB_Agents!$B:$I,8,0),"")=H185,IF(AND(A185&lt;&gt;"",E185&lt;&gt;""),"Saved","Pending"),"🔒 BLOCKED — Wrong Code")))</f>
        <v/>
      </c>
      <c r="J185" s="493">
        <f>IF(I185="Saved",TEXT(TODAY(),"YYYY-MM-DD")&amp;" Auto","—")</f>
        <v/>
      </c>
      <c r="K185" s="494" t="n"/>
    </row>
    <row r="186" ht="15" customHeight="1" s="341">
      <c r="A186" s="495" t="n"/>
      <c r="B186" s="382">
        <f>IF(A186="","",IFERROR(VLOOKUP(A186,DB_Customers!$A:$D,4,0),"❌ Account Not Found"))</f>
        <v/>
      </c>
      <c r="C186" s="496">
        <f>IF(A186="","",IFERROR(VLOOKUP(A186,DB_Customers!$A:$N,14,0),""))</f>
        <v/>
      </c>
      <c r="D186" s="497">
        <f>IF(A186="","",TODAY())</f>
        <v/>
      </c>
      <c r="E186" s="489" t="n"/>
      <c r="F186" s="498">
        <f>IF(OR(A186="",E186=""),"",IF(C186="","",C186+E186))</f>
        <v/>
      </c>
      <c r="G186" s="384" t="inlineStr">
        <is>
          <t>Agent 02</t>
        </is>
      </c>
      <c r="H186" s="491" t="n"/>
      <c r="I186" s="499">
        <f>IF(A186="","Pending",IF(H186="","⚠️ Enter Code",IF(IFERROR(VLOOKUP(G186,DB_Agents!$B:$I,8,0),"")=H186,IF(AND(A186&lt;&gt;"",E186&lt;&gt;""),"Saved","Pending"),"🔒 BLOCKED — Wrong Code")))</f>
        <v/>
      </c>
      <c r="J186" s="500">
        <f>IF(I186="Saved",TEXT(TODAY(),"YYYY-MM-DD")&amp;" Auto","—")</f>
        <v/>
      </c>
      <c r="K186" s="501" t="n"/>
    </row>
    <row r="187" ht="15" customHeight="1" s="341">
      <c r="A187" s="486" t="n"/>
      <c r="B187" s="378">
        <f>IF(A187="","",IFERROR(VLOOKUP(A187,DB_Customers!$A:$D,4,0),"❌ Account Not Found"))</f>
        <v/>
      </c>
      <c r="C187" s="487">
        <f>IF(A187="","",IFERROR(VLOOKUP(A187,DB_Customers!$A:$N,14,0),""))</f>
        <v/>
      </c>
      <c r="D187" s="488">
        <f>IF(A187="","",TODAY())</f>
        <v/>
      </c>
      <c r="E187" s="489" t="n"/>
      <c r="F187" s="490">
        <f>IF(OR(A187="",E187=""),"",IF(C187="","",C187+E187))</f>
        <v/>
      </c>
      <c r="G187" s="380" t="inlineStr">
        <is>
          <t>Agent 02</t>
        </is>
      </c>
      <c r="H187" s="491" t="n"/>
      <c r="I187" s="492">
        <f>IF(A187="","Pending",IF(H187="","⚠️ Enter Code",IF(IFERROR(VLOOKUP(G187,DB_Agents!$B:$I,8,0),"")=H187,IF(AND(A187&lt;&gt;"",E187&lt;&gt;""),"Saved","Pending"),"🔒 BLOCKED — Wrong Code")))</f>
        <v/>
      </c>
      <c r="J187" s="493">
        <f>IF(I187="Saved",TEXT(TODAY(),"YYYY-MM-DD")&amp;" Auto","—")</f>
        <v/>
      </c>
      <c r="K187" s="494" t="n"/>
    </row>
    <row r="188" ht="15" customHeight="1" s="341">
      <c r="A188" s="495" t="n"/>
      <c r="B188" s="382">
        <f>IF(A188="","",IFERROR(VLOOKUP(A188,DB_Customers!$A:$D,4,0),"❌ Account Not Found"))</f>
        <v/>
      </c>
      <c r="C188" s="496">
        <f>IF(A188="","",IFERROR(VLOOKUP(A188,DB_Customers!$A:$N,14,0),""))</f>
        <v/>
      </c>
      <c r="D188" s="497">
        <f>IF(A188="","",TODAY())</f>
        <v/>
      </c>
      <c r="E188" s="489" t="n"/>
      <c r="F188" s="498">
        <f>IF(OR(A188="",E188=""),"",IF(C188="","",C188+E188))</f>
        <v/>
      </c>
      <c r="G188" s="384" t="inlineStr">
        <is>
          <t>Agent 02</t>
        </is>
      </c>
      <c r="H188" s="491" t="n"/>
      <c r="I188" s="499">
        <f>IF(A188="","Pending",IF(H188="","⚠️ Enter Code",IF(IFERROR(VLOOKUP(G188,DB_Agents!$B:$I,8,0),"")=H188,IF(AND(A188&lt;&gt;"",E188&lt;&gt;""),"Saved","Pending"),"🔒 BLOCKED — Wrong Code")))</f>
        <v/>
      </c>
      <c r="J188" s="500">
        <f>IF(I188="Saved",TEXT(TODAY(),"YYYY-MM-DD")&amp;" Auto","—")</f>
        <v/>
      </c>
      <c r="K188" s="501" t="n"/>
    </row>
    <row r="189" ht="15" customHeight="1" s="341">
      <c r="A189" s="486" t="n"/>
      <c r="B189" s="378">
        <f>IF(A189="","",IFERROR(VLOOKUP(A189,DB_Customers!$A:$D,4,0),"❌ Account Not Found"))</f>
        <v/>
      </c>
      <c r="C189" s="487">
        <f>IF(A189="","",IFERROR(VLOOKUP(A189,DB_Customers!$A:$N,14,0),""))</f>
        <v/>
      </c>
      <c r="D189" s="488">
        <f>IF(A189="","",TODAY())</f>
        <v/>
      </c>
      <c r="E189" s="489" t="n"/>
      <c r="F189" s="490">
        <f>IF(OR(A189="",E189=""),"",IF(C189="","",C189+E189))</f>
        <v/>
      </c>
      <c r="G189" s="380" t="inlineStr">
        <is>
          <t>Agent 02</t>
        </is>
      </c>
      <c r="H189" s="491" t="n"/>
      <c r="I189" s="492">
        <f>IF(A189="","Pending",IF(H189="","⚠️ Enter Code",IF(IFERROR(VLOOKUP(G189,DB_Agents!$B:$I,8,0),"")=H189,IF(AND(A189&lt;&gt;"",E189&lt;&gt;""),"Saved","Pending"),"🔒 BLOCKED — Wrong Code")))</f>
        <v/>
      </c>
      <c r="J189" s="493">
        <f>IF(I189="Saved",TEXT(TODAY(),"YYYY-MM-DD")&amp;" Auto","—")</f>
        <v/>
      </c>
      <c r="K189" s="494" t="n"/>
    </row>
    <row r="190" ht="15" customHeight="1" s="341">
      <c r="A190" s="495" t="n"/>
      <c r="B190" s="382">
        <f>IF(A190="","",IFERROR(VLOOKUP(A190,DB_Customers!$A:$D,4,0),"❌ Account Not Found"))</f>
        <v/>
      </c>
      <c r="C190" s="496">
        <f>IF(A190="","",IFERROR(VLOOKUP(A190,DB_Customers!$A:$N,14,0),""))</f>
        <v/>
      </c>
      <c r="D190" s="497">
        <f>IF(A190="","",TODAY())</f>
        <v/>
      </c>
      <c r="E190" s="489" t="n"/>
      <c r="F190" s="498">
        <f>IF(OR(A190="",E190=""),"",IF(C190="","",C190+E190))</f>
        <v/>
      </c>
      <c r="G190" s="384" t="inlineStr">
        <is>
          <t>Agent 02</t>
        </is>
      </c>
      <c r="H190" s="491" t="n"/>
      <c r="I190" s="499">
        <f>IF(A190="","Pending",IF(H190="","⚠️ Enter Code",IF(IFERROR(VLOOKUP(G190,DB_Agents!$B:$I,8,0),"")=H190,IF(AND(A190&lt;&gt;"",E190&lt;&gt;""),"Saved","Pending"),"🔒 BLOCKED — Wrong Code")))</f>
        <v/>
      </c>
      <c r="J190" s="500">
        <f>IF(I190="Saved",TEXT(TODAY(),"YYYY-MM-DD")&amp;" Auto","—")</f>
        <v/>
      </c>
      <c r="K190" s="501" t="n"/>
    </row>
    <row r="191" ht="15" customHeight="1" s="341">
      <c r="A191" s="486" t="n"/>
      <c r="B191" s="378">
        <f>IF(A191="","",IFERROR(VLOOKUP(A191,DB_Customers!$A:$D,4,0),"❌ Account Not Found"))</f>
        <v/>
      </c>
      <c r="C191" s="487">
        <f>IF(A191="","",IFERROR(VLOOKUP(A191,DB_Customers!$A:$N,14,0),""))</f>
        <v/>
      </c>
      <c r="D191" s="488">
        <f>IF(A191="","",TODAY())</f>
        <v/>
      </c>
      <c r="E191" s="489" t="n"/>
      <c r="F191" s="490">
        <f>IF(OR(A191="",E191=""),"",IF(C191="","",C191+E191))</f>
        <v/>
      </c>
      <c r="G191" s="380" t="inlineStr">
        <is>
          <t>Agent 02</t>
        </is>
      </c>
      <c r="H191" s="491" t="n"/>
      <c r="I191" s="492">
        <f>IF(A191="","Pending",IF(H191="","⚠️ Enter Code",IF(IFERROR(VLOOKUP(G191,DB_Agents!$B:$I,8,0),"")=H191,IF(AND(A191&lt;&gt;"",E191&lt;&gt;""),"Saved","Pending"),"🔒 BLOCKED — Wrong Code")))</f>
        <v/>
      </c>
      <c r="J191" s="493">
        <f>IF(I191="Saved",TEXT(TODAY(),"YYYY-MM-DD")&amp;" Auto","—")</f>
        <v/>
      </c>
      <c r="K191" s="494" t="n"/>
    </row>
    <row r="192" ht="15" customHeight="1" s="341">
      <c r="A192" s="495" t="n"/>
      <c r="B192" s="382">
        <f>IF(A192="","",IFERROR(VLOOKUP(A192,DB_Customers!$A:$D,4,0),"❌ Account Not Found"))</f>
        <v/>
      </c>
      <c r="C192" s="496">
        <f>IF(A192="","",IFERROR(VLOOKUP(A192,DB_Customers!$A:$N,14,0),""))</f>
        <v/>
      </c>
      <c r="D192" s="497">
        <f>IF(A192="","",TODAY())</f>
        <v/>
      </c>
      <c r="E192" s="489" t="n"/>
      <c r="F192" s="498">
        <f>IF(OR(A192="",E192=""),"",IF(C192="","",C192+E192))</f>
        <v/>
      </c>
      <c r="G192" s="384" t="inlineStr">
        <is>
          <t>Agent 02</t>
        </is>
      </c>
      <c r="H192" s="491" t="n"/>
      <c r="I192" s="499">
        <f>IF(A192="","Pending",IF(H192="","⚠️ Enter Code",IF(IFERROR(VLOOKUP(G192,DB_Agents!$B:$I,8,0),"")=H192,IF(AND(A192&lt;&gt;"",E192&lt;&gt;""),"Saved","Pending"),"🔒 BLOCKED — Wrong Code")))</f>
        <v/>
      </c>
      <c r="J192" s="500">
        <f>IF(I192="Saved",TEXT(TODAY(),"YYYY-MM-DD")&amp;" Auto","—")</f>
        <v/>
      </c>
      <c r="K192" s="501" t="n"/>
    </row>
    <row r="193" ht="15" customHeight="1" s="341">
      <c r="A193" s="486" t="n"/>
      <c r="B193" s="378">
        <f>IF(A193="","",IFERROR(VLOOKUP(A193,DB_Customers!$A:$D,4,0),"❌ Account Not Found"))</f>
        <v/>
      </c>
      <c r="C193" s="487">
        <f>IF(A193="","",IFERROR(VLOOKUP(A193,DB_Customers!$A:$N,14,0),""))</f>
        <v/>
      </c>
      <c r="D193" s="488">
        <f>IF(A193="","",TODAY())</f>
        <v/>
      </c>
      <c r="E193" s="489" t="n"/>
      <c r="F193" s="490">
        <f>IF(OR(A193="",E193=""),"",IF(C193="","",C193+E193))</f>
        <v/>
      </c>
      <c r="G193" s="380" t="inlineStr">
        <is>
          <t>Agent 02</t>
        </is>
      </c>
      <c r="H193" s="491" t="n"/>
      <c r="I193" s="492">
        <f>IF(A193="","Pending",IF(H193="","⚠️ Enter Code",IF(IFERROR(VLOOKUP(G193,DB_Agents!$B:$I,8,0),"")=H193,IF(AND(A193&lt;&gt;"",E193&lt;&gt;""),"Saved","Pending"),"🔒 BLOCKED — Wrong Code")))</f>
        <v/>
      </c>
      <c r="J193" s="493">
        <f>IF(I193="Saved",TEXT(TODAY(),"YYYY-MM-DD")&amp;" Auto","—")</f>
        <v/>
      </c>
      <c r="K193" s="494" t="n"/>
    </row>
    <row r="194" ht="15" customHeight="1" s="341">
      <c r="A194" s="495" t="n"/>
      <c r="B194" s="382">
        <f>IF(A194="","",IFERROR(VLOOKUP(A194,DB_Customers!$A:$D,4,0),"❌ Account Not Found"))</f>
        <v/>
      </c>
      <c r="C194" s="496">
        <f>IF(A194="","",IFERROR(VLOOKUP(A194,DB_Customers!$A:$N,14,0),""))</f>
        <v/>
      </c>
      <c r="D194" s="497">
        <f>IF(A194="","",TODAY())</f>
        <v/>
      </c>
      <c r="E194" s="489" t="n"/>
      <c r="F194" s="498">
        <f>IF(OR(A194="",E194=""),"",IF(C194="","",C194+E194))</f>
        <v/>
      </c>
      <c r="G194" s="384" t="inlineStr">
        <is>
          <t>Agent 02</t>
        </is>
      </c>
      <c r="H194" s="491" t="n"/>
      <c r="I194" s="499">
        <f>IF(A194="","Pending",IF(H194="","⚠️ Enter Code",IF(IFERROR(VLOOKUP(G194,DB_Agents!$B:$I,8,0),"")=H194,IF(AND(A194&lt;&gt;"",E194&lt;&gt;""),"Saved","Pending"),"🔒 BLOCKED — Wrong Code")))</f>
        <v/>
      </c>
      <c r="J194" s="500">
        <f>IF(I194="Saved",TEXT(TODAY(),"YYYY-MM-DD")&amp;" Auto","—")</f>
        <v/>
      </c>
      <c r="K194" s="501" t="n"/>
    </row>
    <row r="195" ht="15" customHeight="1" s="341">
      <c r="A195" s="486" t="n"/>
      <c r="B195" s="378">
        <f>IF(A195="","",IFERROR(VLOOKUP(A195,DB_Customers!$A:$D,4,0),"❌ Account Not Found"))</f>
        <v/>
      </c>
      <c r="C195" s="487">
        <f>IF(A195="","",IFERROR(VLOOKUP(A195,DB_Customers!$A:$N,14,0),""))</f>
        <v/>
      </c>
      <c r="D195" s="488">
        <f>IF(A195="","",TODAY())</f>
        <v/>
      </c>
      <c r="E195" s="489" t="n"/>
      <c r="F195" s="490">
        <f>IF(OR(A195="",E195=""),"",IF(C195="","",C195+E195))</f>
        <v/>
      </c>
      <c r="G195" s="380" t="inlineStr">
        <is>
          <t>Agent 02</t>
        </is>
      </c>
      <c r="H195" s="491" t="n"/>
      <c r="I195" s="492">
        <f>IF(A195="","Pending",IF(H195="","⚠️ Enter Code",IF(IFERROR(VLOOKUP(G195,DB_Agents!$B:$I,8,0),"")=H195,IF(AND(A195&lt;&gt;"",E195&lt;&gt;""),"Saved","Pending"),"🔒 BLOCKED — Wrong Code")))</f>
        <v/>
      </c>
      <c r="J195" s="493">
        <f>IF(I195="Saved",TEXT(TODAY(),"YYYY-MM-DD")&amp;" Auto","—")</f>
        <v/>
      </c>
      <c r="K195" s="494" t="n"/>
    </row>
    <row r="196" ht="15" customHeight="1" s="341">
      <c r="A196" s="495" t="n"/>
      <c r="B196" s="382">
        <f>IF(A196="","",IFERROR(VLOOKUP(A196,DB_Customers!$A:$D,4,0),"❌ Account Not Found"))</f>
        <v/>
      </c>
      <c r="C196" s="496">
        <f>IF(A196="","",IFERROR(VLOOKUP(A196,DB_Customers!$A:$N,14,0),""))</f>
        <v/>
      </c>
      <c r="D196" s="497">
        <f>IF(A196="","",TODAY())</f>
        <v/>
      </c>
      <c r="E196" s="489" t="n"/>
      <c r="F196" s="498">
        <f>IF(OR(A196="",E196=""),"",IF(C196="","",C196+E196))</f>
        <v/>
      </c>
      <c r="G196" s="384" t="inlineStr">
        <is>
          <t>Agent 02</t>
        </is>
      </c>
      <c r="H196" s="491" t="n"/>
      <c r="I196" s="499">
        <f>IF(A196="","Pending",IF(H196="","⚠️ Enter Code",IF(IFERROR(VLOOKUP(G196,DB_Agents!$B:$I,8,0),"")=H196,IF(AND(A196&lt;&gt;"",E196&lt;&gt;""),"Saved","Pending"),"🔒 BLOCKED — Wrong Code")))</f>
        <v/>
      </c>
      <c r="J196" s="500">
        <f>IF(I196="Saved",TEXT(TODAY(),"YYYY-MM-DD")&amp;" Auto","—")</f>
        <v/>
      </c>
      <c r="K196" s="501" t="n"/>
    </row>
    <row r="197" ht="15" customHeight="1" s="341">
      <c r="A197" s="486" t="n"/>
      <c r="B197" s="378">
        <f>IF(A197="","",IFERROR(VLOOKUP(A197,DB_Customers!$A:$D,4,0),"❌ Account Not Found"))</f>
        <v/>
      </c>
      <c r="C197" s="487">
        <f>IF(A197="","",IFERROR(VLOOKUP(A197,DB_Customers!$A:$N,14,0),""))</f>
        <v/>
      </c>
      <c r="D197" s="488">
        <f>IF(A197="","",TODAY())</f>
        <v/>
      </c>
      <c r="E197" s="489" t="n"/>
      <c r="F197" s="490">
        <f>IF(OR(A197="",E197=""),"",IF(C197="","",C197+E197))</f>
        <v/>
      </c>
      <c r="G197" s="380" t="inlineStr">
        <is>
          <t>Agent 02</t>
        </is>
      </c>
      <c r="H197" s="491" t="n"/>
      <c r="I197" s="492">
        <f>IF(A197="","Pending",IF(H197="","⚠️ Enter Code",IF(IFERROR(VLOOKUP(G197,DB_Agents!$B:$I,8,0),"")=H197,IF(AND(A197&lt;&gt;"",E197&lt;&gt;""),"Saved","Pending"),"🔒 BLOCKED — Wrong Code")))</f>
        <v/>
      </c>
      <c r="J197" s="493">
        <f>IF(I197="Saved",TEXT(TODAY(),"YYYY-MM-DD")&amp;" Auto","—")</f>
        <v/>
      </c>
      <c r="K197" s="494" t="n"/>
    </row>
    <row r="198" ht="15" customHeight="1" s="341">
      <c r="A198" s="495" t="n"/>
      <c r="B198" s="382">
        <f>IF(A198="","",IFERROR(VLOOKUP(A198,DB_Customers!$A:$D,4,0),"❌ Account Not Found"))</f>
        <v/>
      </c>
      <c r="C198" s="496">
        <f>IF(A198="","",IFERROR(VLOOKUP(A198,DB_Customers!$A:$N,14,0),""))</f>
        <v/>
      </c>
      <c r="D198" s="497">
        <f>IF(A198="","",TODAY())</f>
        <v/>
      </c>
      <c r="E198" s="489" t="n"/>
      <c r="F198" s="498">
        <f>IF(OR(A198="",E198=""),"",IF(C198="","",C198+E198))</f>
        <v/>
      </c>
      <c r="G198" s="384" t="inlineStr">
        <is>
          <t>Agent 02</t>
        </is>
      </c>
      <c r="H198" s="491" t="n"/>
      <c r="I198" s="499">
        <f>IF(A198="","Pending",IF(H198="","⚠️ Enter Code",IF(IFERROR(VLOOKUP(G198,DB_Agents!$B:$I,8,0),"")=H198,IF(AND(A198&lt;&gt;"",E198&lt;&gt;""),"Saved","Pending"),"🔒 BLOCKED — Wrong Code")))</f>
        <v/>
      </c>
      <c r="J198" s="500">
        <f>IF(I198="Saved",TEXT(TODAY(),"YYYY-MM-DD")&amp;" Auto","—")</f>
        <v/>
      </c>
      <c r="K198" s="501" t="n"/>
    </row>
    <row r="199" ht="15" customHeight="1" s="341">
      <c r="A199" s="486" t="n"/>
      <c r="B199" s="378">
        <f>IF(A199="","",IFERROR(VLOOKUP(A199,DB_Customers!$A:$D,4,0),"❌ Account Not Found"))</f>
        <v/>
      </c>
      <c r="C199" s="487">
        <f>IF(A199="","",IFERROR(VLOOKUP(A199,DB_Customers!$A:$N,14,0),""))</f>
        <v/>
      </c>
      <c r="D199" s="488">
        <f>IF(A199="","",TODAY())</f>
        <v/>
      </c>
      <c r="E199" s="489" t="n"/>
      <c r="F199" s="490">
        <f>IF(OR(A199="",E199=""),"",IF(C199="","",C199+E199))</f>
        <v/>
      </c>
      <c r="G199" s="380" t="inlineStr">
        <is>
          <t>Agent 02</t>
        </is>
      </c>
      <c r="H199" s="491" t="n"/>
      <c r="I199" s="492">
        <f>IF(A199="","Pending",IF(H199="","⚠️ Enter Code",IF(IFERROR(VLOOKUP(G199,DB_Agents!$B:$I,8,0),"")=H199,IF(AND(A199&lt;&gt;"",E199&lt;&gt;""),"Saved","Pending"),"🔒 BLOCKED — Wrong Code")))</f>
        <v/>
      </c>
      <c r="J199" s="493">
        <f>IF(I199="Saved",TEXT(TODAY(),"YYYY-MM-DD")&amp;" Auto","—")</f>
        <v/>
      </c>
      <c r="K199" s="494" t="n"/>
    </row>
    <row r="200" ht="15" customHeight="1" s="341">
      <c r="A200" s="495" t="n"/>
      <c r="B200" s="382">
        <f>IF(A200="","",IFERROR(VLOOKUP(A200,DB_Customers!$A:$D,4,0),"❌ Account Not Found"))</f>
        <v/>
      </c>
      <c r="C200" s="496">
        <f>IF(A200="","",IFERROR(VLOOKUP(A200,DB_Customers!$A:$N,14,0),""))</f>
        <v/>
      </c>
      <c r="D200" s="497">
        <f>IF(A200="","",TODAY())</f>
        <v/>
      </c>
      <c r="E200" s="489" t="n"/>
      <c r="F200" s="498">
        <f>IF(OR(A200="",E200=""),"",IF(C200="","",C200+E200))</f>
        <v/>
      </c>
      <c r="G200" s="384" t="inlineStr">
        <is>
          <t>Agent 02</t>
        </is>
      </c>
      <c r="H200" s="491" t="n"/>
      <c r="I200" s="499">
        <f>IF(A200="","Pending",IF(H200="","⚠️ Enter Code",IF(IFERROR(VLOOKUP(G200,DB_Agents!$B:$I,8,0),"")=H200,IF(AND(A200&lt;&gt;"",E200&lt;&gt;""),"Saved","Pending"),"🔒 BLOCKED — Wrong Code")))</f>
        <v/>
      </c>
      <c r="J200" s="500">
        <f>IF(I200="Saved",TEXT(TODAY(),"YYYY-MM-DD")&amp;" Auto","—")</f>
        <v/>
      </c>
      <c r="K200" s="501" t="n"/>
    </row>
    <row r="201" ht="15" customHeight="1" s="341">
      <c r="A201" s="486" t="n"/>
      <c r="B201" s="378">
        <f>IF(A201="","",IFERROR(VLOOKUP(A201,DB_Customers!$A:$D,4,0),"❌ Account Not Found"))</f>
        <v/>
      </c>
      <c r="C201" s="487">
        <f>IF(A201="","",IFERROR(VLOOKUP(A201,DB_Customers!$A:$N,14,0),""))</f>
        <v/>
      </c>
      <c r="D201" s="488">
        <f>IF(A201="","",TODAY())</f>
        <v/>
      </c>
      <c r="E201" s="489" t="n"/>
      <c r="F201" s="490">
        <f>IF(OR(A201="",E201=""),"",IF(C201="","",C201+E201))</f>
        <v/>
      </c>
      <c r="G201" s="380" t="inlineStr">
        <is>
          <t>Agent 02</t>
        </is>
      </c>
      <c r="H201" s="491" t="n"/>
      <c r="I201" s="492">
        <f>IF(A201="","Pending",IF(H201="","⚠️ Enter Code",IF(IFERROR(VLOOKUP(G201,DB_Agents!$B:$I,8,0),"")=H201,IF(AND(A201&lt;&gt;"",E201&lt;&gt;""),"Saved","Pending"),"🔒 BLOCKED — Wrong Code")))</f>
        <v/>
      </c>
      <c r="J201" s="493">
        <f>IF(I201="Saved",TEXT(TODAY(),"YYYY-MM-DD")&amp;" Auto","—")</f>
        <v/>
      </c>
      <c r="K201" s="494" t="n"/>
    </row>
    <row r="202" ht="15" customHeight="1" s="341">
      <c r="A202" s="495" t="n"/>
      <c r="B202" s="382">
        <f>IF(A202="","",IFERROR(VLOOKUP(A202,DB_Customers!$A:$D,4,0),"❌ Account Not Found"))</f>
        <v/>
      </c>
      <c r="C202" s="496">
        <f>IF(A202="","",IFERROR(VLOOKUP(A202,DB_Customers!$A:$N,14,0),""))</f>
        <v/>
      </c>
      <c r="D202" s="497">
        <f>IF(A202="","",TODAY())</f>
        <v/>
      </c>
      <c r="E202" s="489" t="n"/>
      <c r="F202" s="498">
        <f>IF(OR(A202="",E202=""),"",IF(C202="","",C202+E202))</f>
        <v/>
      </c>
      <c r="G202" s="384" t="inlineStr">
        <is>
          <t>Agent 02</t>
        </is>
      </c>
      <c r="H202" s="491" t="n"/>
      <c r="I202" s="499">
        <f>IF(A202="","Pending",IF(H202="","⚠️ Enter Code",IF(IFERROR(VLOOKUP(G202,DB_Agents!$B:$I,8,0),"")=H202,IF(AND(A202&lt;&gt;"",E202&lt;&gt;""),"Saved","Pending"),"🔒 BLOCKED — Wrong Code")))</f>
        <v/>
      </c>
      <c r="J202" s="500">
        <f>IF(I202="Saved",TEXT(TODAY(),"YYYY-MM-DD")&amp;" Auto","—")</f>
        <v/>
      </c>
      <c r="K202" s="501" t="n"/>
    </row>
    <row r="203" ht="15" customHeight="1" s="341">
      <c r="A203" s="486" t="n"/>
      <c r="B203" s="378">
        <f>IF(A203="","",IFERROR(VLOOKUP(A203,DB_Customers!$A:$D,4,0),"❌ Account Not Found"))</f>
        <v/>
      </c>
      <c r="C203" s="487">
        <f>IF(A203="","",IFERROR(VLOOKUP(A203,DB_Customers!$A:$N,14,0),""))</f>
        <v/>
      </c>
      <c r="D203" s="488">
        <f>IF(A203="","",TODAY())</f>
        <v/>
      </c>
      <c r="E203" s="489" t="n"/>
      <c r="F203" s="490">
        <f>IF(OR(A203="",E203=""),"",IF(C203="","",C203+E203))</f>
        <v/>
      </c>
      <c r="G203" s="380" t="inlineStr">
        <is>
          <t>Agent 02</t>
        </is>
      </c>
      <c r="H203" s="491" t="n"/>
      <c r="I203" s="492">
        <f>IF(A203="","Pending",IF(H203="","⚠️ Enter Code",IF(IFERROR(VLOOKUP(G203,DB_Agents!$B:$I,8,0),"")=H203,IF(AND(A203&lt;&gt;"",E203&lt;&gt;""),"Saved","Pending"),"🔒 BLOCKED — Wrong Code")))</f>
        <v/>
      </c>
      <c r="J203" s="493">
        <f>IF(I203="Saved",TEXT(TODAY(),"YYYY-MM-DD")&amp;" Auto","—")</f>
        <v/>
      </c>
      <c r="K203" s="494" t="n"/>
    </row>
    <row r="204" ht="15" customHeight="1" s="341">
      <c r="A204" s="495" t="n"/>
      <c r="B204" s="382">
        <f>IF(A204="","",IFERROR(VLOOKUP(A204,DB_Customers!$A:$D,4,0),"❌ Account Not Found"))</f>
        <v/>
      </c>
      <c r="C204" s="496">
        <f>IF(A204="","",IFERROR(VLOOKUP(A204,DB_Customers!$A:$N,14,0),""))</f>
        <v/>
      </c>
      <c r="D204" s="497">
        <f>IF(A204="","",TODAY())</f>
        <v/>
      </c>
      <c r="E204" s="489" t="n"/>
      <c r="F204" s="498">
        <f>IF(OR(A204="",E204=""),"",IF(C204="","",C204+E204))</f>
        <v/>
      </c>
      <c r="G204" s="384" t="inlineStr">
        <is>
          <t>Agent 02</t>
        </is>
      </c>
      <c r="H204" s="491" t="n"/>
      <c r="I204" s="499">
        <f>IF(A204="","Pending",IF(H204="","⚠️ Enter Code",IF(IFERROR(VLOOKUP(G204,DB_Agents!$B:$I,8,0),"")=H204,IF(AND(A204&lt;&gt;"",E204&lt;&gt;""),"Saved","Pending"),"🔒 BLOCKED — Wrong Code")))</f>
        <v/>
      </c>
      <c r="J204" s="500">
        <f>IF(I204="Saved",TEXT(TODAY(),"YYYY-MM-DD")&amp;" Auto","—")</f>
        <v/>
      </c>
      <c r="K204" s="501" t="n"/>
    </row>
    <row r="205" ht="15" customHeight="1" s="341">
      <c r="A205" s="486" t="n"/>
      <c r="B205" s="378">
        <f>IF(A205="","",IFERROR(VLOOKUP(A205,DB_Customers!$A:$D,4,0),"❌ Account Not Found"))</f>
        <v/>
      </c>
      <c r="C205" s="487">
        <f>IF(A205="","",IFERROR(VLOOKUP(A205,DB_Customers!$A:$N,14,0),""))</f>
        <v/>
      </c>
      <c r="D205" s="488">
        <f>IF(A205="","",TODAY())</f>
        <v/>
      </c>
      <c r="E205" s="489" t="n"/>
      <c r="F205" s="490">
        <f>IF(OR(A205="",E205=""),"",IF(C205="","",C205+E205))</f>
        <v/>
      </c>
      <c r="G205" s="380" t="inlineStr">
        <is>
          <t>Agent 02</t>
        </is>
      </c>
      <c r="H205" s="491" t="n"/>
      <c r="I205" s="492">
        <f>IF(A205="","Pending",IF(H205="","⚠️ Enter Code",IF(IFERROR(VLOOKUP(G205,DB_Agents!$B:$I,8,0),"")=H205,IF(AND(A205&lt;&gt;"",E205&lt;&gt;""),"Saved","Pending"),"🔒 BLOCKED — Wrong Code")))</f>
        <v/>
      </c>
      <c r="J205" s="493">
        <f>IF(I205="Saved",TEXT(TODAY(),"YYYY-MM-DD")&amp;" Auto","—")</f>
        <v/>
      </c>
      <c r="K205" s="494" t="n"/>
    </row>
    <row r="206" ht="15" customHeight="1" s="341">
      <c r="A206" s="495" t="n"/>
      <c r="B206" s="382">
        <f>IF(A206="","",IFERROR(VLOOKUP(A206,DB_Customers!$A:$D,4,0),"❌ Account Not Found"))</f>
        <v/>
      </c>
      <c r="C206" s="496">
        <f>IF(A206="","",IFERROR(VLOOKUP(A206,DB_Customers!$A:$N,14,0),""))</f>
        <v/>
      </c>
      <c r="D206" s="497">
        <f>IF(A206="","",TODAY())</f>
        <v/>
      </c>
      <c r="E206" s="489" t="n"/>
      <c r="F206" s="498">
        <f>IF(OR(A206="",E206=""),"",IF(C206="","",C206+E206))</f>
        <v/>
      </c>
      <c r="G206" s="384" t="inlineStr">
        <is>
          <t>Agent 02</t>
        </is>
      </c>
      <c r="H206" s="491" t="n"/>
      <c r="I206" s="499">
        <f>IF(A206="","Pending",IF(H206="","⚠️ Enter Code",IF(IFERROR(VLOOKUP(G206,DB_Agents!$B:$I,8,0),"")=H206,IF(AND(A206&lt;&gt;"",E206&lt;&gt;""),"Saved","Pending"),"🔒 BLOCKED — Wrong Code")))</f>
        <v/>
      </c>
      <c r="J206" s="500">
        <f>IF(I206="Saved",TEXT(TODAY(),"YYYY-MM-DD")&amp;" Auto","—")</f>
        <v/>
      </c>
      <c r="K206" s="501" t="n"/>
    </row>
    <row r="207" ht="15" customHeight="1" s="341">
      <c r="A207" s="486" t="n"/>
      <c r="B207" s="378">
        <f>IF(A207="","",IFERROR(VLOOKUP(A207,DB_Customers!$A:$D,4,0),"❌ Account Not Found"))</f>
        <v/>
      </c>
      <c r="C207" s="487">
        <f>IF(A207="","",IFERROR(VLOOKUP(A207,DB_Customers!$A:$N,14,0),""))</f>
        <v/>
      </c>
      <c r="D207" s="488">
        <f>IF(A207="","",TODAY())</f>
        <v/>
      </c>
      <c r="E207" s="489" t="n"/>
      <c r="F207" s="490">
        <f>IF(OR(A207="",E207=""),"",IF(C207="","",C207+E207))</f>
        <v/>
      </c>
      <c r="G207" s="380" t="inlineStr">
        <is>
          <t>Agent 02</t>
        </is>
      </c>
      <c r="H207" s="491" t="n"/>
      <c r="I207" s="492">
        <f>IF(A207="","Pending",IF(H207="","⚠️ Enter Code",IF(IFERROR(VLOOKUP(G207,DB_Agents!$B:$I,8,0),"")=H207,IF(AND(A207&lt;&gt;"",E207&lt;&gt;""),"Saved","Pending"),"🔒 BLOCKED — Wrong Code")))</f>
        <v/>
      </c>
      <c r="J207" s="493">
        <f>IF(I207="Saved",TEXT(TODAY(),"YYYY-MM-DD")&amp;" Auto","—")</f>
        <v/>
      </c>
      <c r="K207" s="494" t="n"/>
    </row>
    <row r="208" ht="15" customHeight="1" s="341">
      <c r="A208" s="495" t="n"/>
      <c r="B208" s="382">
        <f>IF(A208="","",IFERROR(VLOOKUP(A208,DB_Customers!$A:$D,4,0),"❌ Account Not Found"))</f>
        <v/>
      </c>
      <c r="C208" s="496">
        <f>IF(A208="","",IFERROR(VLOOKUP(A208,DB_Customers!$A:$N,14,0),""))</f>
        <v/>
      </c>
      <c r="D208" s="497">
        <f>IF(A208="","",TODAY())</f>
        <v/>
      </c>
      <c r="E208" s="489" t="n"/>
      <c r="F208" s="498">
        <f>IF(OR(A208="",E208=""),"",IF(C208="","",C208+E208))</f>
        <v/>
      </c>
      <c r="G208" s="384" t="inlineStr">
        <is>
          <t>Agent 02</t>
        </is>
      </c>
      <c r="H208" s="491" t="n"/>
      <c r="I208" s="499">
        <f>IF(A208="","Pending",IF(H208="","⚠️ Enter Code",IF(IFERROR(VLOOKUP(G208,DB_Agents!$B:$I,8,0),"")=H208,IF(AND(A208&lt;&gt;"",E208&lt;&gt;""),"Saved","Pending"),"🔒 BLOCKED — Wrong Code")))</f>
        <v/>
      </c>
      <c r="J208" s="500">
        <f>IF(I208="Saved",TEXT(TODAY(),"YYYY-MM-DD")&amp;" Auto","—")</f>
        <v/>
      </c>
      <c r="K208" s="501" t="n"/>
    </row>
  </sheetData>
  <mergeCells count="12">
    <mergeCell ref="A2:L2"/>
    <mergeCell ref="A7:L7"/>
    <mergeCell ref="A1:L1"/>
    <mergeCell ref="A5:L5"/>
    <mergeCell ref="D4:F4"/>
    <mergeCell ref="D3:F3"/>
    <mergeCell ref="A3:C3"/>
    <mergeCell ref="G3:I3"/>
    <mergeCell ref="G4:I4"/>
    <mergeCell ref="J4:L4"/>
    <mergeCell ref="A4:C4"/>
    <mergeCell ref="J3:L3"/>
  </mergeCells>
  <conditionalFormatting sqref="H9:H208">
    <cfRule type="cellIs" rank="0" priority="2" equalAverage="0" operator="equal" aboveAverage="0" dxfId="0" text="" percent="0" bottom="0">
      <formula>"Saved"</formula>
    </cfRule>
    <cfRule type="cellIs" rank="0" priority="3" equalAverage="0" operator="equal" aboveAverage="0" dxfId="11" text="" percent="0" bottom="0">
      <formula>"Pending"</formula>
    </cfRule>
  </conditionalFormatting>
  <conditionalFormatting sqref="A9:J208">
    <cfRule type="expression" rank="0" priority="4" equalAverage="0" aboveAverage="0" dxfId="12" text="" percent="0" bottom="0">
      <formula>$H9="Saved"</formula>
    </cfRule>
  </conditionalFormatting>
  <dataValidations count="2">
    <dataValidation sqref="E9:E208" showDropDown="0" showInputMessage="0" showErrorMessage="1" allowBlank="0" error="Must be &gt; 0" type="decimal" errorStyle="stop" operator="greaterThan">
      <formula1>0</formula1>
      <formula2>0</formula2>
    </dataValidation>
    <dataValidation sqref="G9:G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0.xml><?xml version="1.0" encoding="utf-8"?>
<worksheet xmlns="http://schemas.openxmlformats.org/spreadsheetml/2006/main">
  <sheetPr filterMode="0">
    <tabColor rgb="FFC0392B"/>
    <outlinePr summaryBelow="1" summaryRight="1"/>
    <pageSetUpPr fitToPage="0"/>
  </sheetPr>
  <dimension ref="A1:M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5" customWidth="1" style="340" min="7" max="7"/>
    <col width="12" customWidth="1" style="340" min="8" max="8"/>
    <col width="14" customWidth="1" style="340" min="9" max="9"/>
    <col width="22" customWidth="1" style="340" min="10" max="10"/>
    <col width="20" customWidth="1" style="340" min="11" max="11"/>
  </cols>
  <sheetData>
    <row r="1" ht="31.5" customHeight="1" s="341">
      <c r="A1" s="502" t="inlineStr">
        <is>
          <t>🏧  SAMICIOUS MICROFINANCE — AGENT02 WITHDRAWALS</t>
        </is>
      </c>
    </row>
    <row r="2" ht="19.5" customHeight="1" s="341">
      <c r="A2" s="503" t="inlineStr">
        <is>
          <t>Agent: Agent 02  |  Status auto: "Successful" or "Unsuccessful" based on balance check  |  🔑 Security: Enter your 4-digit Agent Code in each row</t>
        </is>
      </c>
    </row>
    <row r="3" ht="18" customHeight="1" s="341">
      <c r="A3" s="365" t="inlineStr">
        <is>
          <t>🏧 Total Withdrawn Today</t>
        </is>
      </c>
      <c r="D3" s="364" t="inlineStr">
        <is>
          <t>✅ Successful</t>
        </is>
      </c>
      <c r="G3" s="368" t="inlineStr">
        <is>
          <t>❌ Unsuccessful</t>
        </is>
      </c>
      <c r="K3" s="439" t="inlineStr">
        <is>
          <t>📅 Date</t>
        </is>
      </c>
    </row>
    <row r="4" ht="27.75" customHeight="1" s="341">
      <c r="A4" s="504">
        <f>SUMIFS(DB_Withdrawals!$G:$G,DB_Withdrawals!$J:$J,"Agent 02",DB_Withdrawals!$F:$F,TODAY())</f>
        <v/>
      </c>
      <c r="D4" s="505">
        <f>COUNTIFS(DB_Withdrawals!$J:$J,"Agent 02",DB_Withdrawals!$K:$K,"Successful",DB_Withdrawals!$F:$F,TODAY())</f>
        <v/>
      </c>
      <c r="G4" s="506">
        <f>COUNTIFS(DB_Withdrawals!$J:$J,"Agent 02",DB_Withdrawals!$K:$K,"Unsuccessful",DB_Withdrawals!$F:$F,TODAY())</f>
        <v/>
      </c>
      <c r="K4" s="482">
        <f>TEXT(TODAY(),"DD MMM YYYY")</f>
        <v/>
      </c>
    </row>
    <row r="5" ht="19.5" customHeight="1" s="341">
      <c r="A5" s="507" t="inlineStr">
        <is>
          <t>⚠️  WITHDRAWALS — System auto-validates balance. Insufficient funds will show "Unsuccessful" status.</t>
        </is>
      </c>
    </row>
    <row r="6" ht="7.5" customHeight="1" s="341"/>
    <row r="7" ht="19.5" customHeight="1" s="341">
      <c r="A7" s="508" t="inlineStr">
        <is>
          <t>📝  ENTRY FORM — Enter Account # → Name, Balance, Date auto-populate. Enter Withdrawal Amount &amp; Authorized By. | Enter Agent Code in 🔑 column to authorize each transaction.</t>
        </is>
      </c>
    </row>
    <row r="8" ht="19.5" customHeight="1" s="341">
      <c r="A8" s="509" t="inlineStr">
        <is>
          <t>Account #</t>
        </is>
      </c>
      <c r="B8" s="509" t="inlineStr">
        <is>
          <t>Customer Name</t>
        </is>
      </c>
      <c r="C8" s="509" t="inlineStr">
        <is>
          <t>Available Balance</t>
        </is>
      </c>
      <c r="D8" s="509" t="inlineStr">
        <is>
          <t>Date</t>
        </is>
      </c>
      <c r="E8" s="509" t="inlineStr">
        <is>
          <t>Withdrawal Amt</t>
        </is>
      </c>
      <c r="F8" s="509" t="inlineStr">
        <is>
          <t>Authorized By</t>
        </is>
      </c>
      <c r="G8" s="509" t="inlineStr">
        <is>
          <t>New Balance</t>
        </is>
      </c>
      <c r="H8" s="509" t="inlineStr">
        <is>
          <t>Agent</t>
        </is>
      </c>
      <c r="I8" s="485" t="inlineStr">
        <is>
          <t>🔑 Agent Code</t>
        </is>
      </c>
      <c r="J8" s="509" t="inlineStr">
        <is>
          <t>Status</t>
        </is>
      </c>
      <c r="K8" s="509" t="inlineStr">
        <is>
          <t>Saved At</t>
        </is>
      </c>
      <c r="L8" s="509" t="inlineStr">
        <is>
          <t>Notes</t>
        </is>
      </c>
    </row>
    <row r="9" ht="15" customHeight="1" s="341">
      <c r="A9" s="486" t="n"/>
      <c r="B9" s="378">
        <f>IF(A9="","",IFERROR(VLOOKUP(A9,DB_Customers!$A:$D,4,0),"❌ Account Not Found"))</f>
        <v/>
      </c>
      <c r="C9" s="487">
        <f>IF(A9="","",IFERROR(VLOOKUP(A9,DB_Customers!$A:$N,14,0),""))</f>
        <v/>
      </c>
      <c r="D9" s="488">
        <f>IF(A9="","",TODAY())</f>
        <v/>
      </c>
      <c r="E9" s="510" t="n"/>
      <c r="F9" s="378" t="n"/>
      <c r="G9" s="511">
        <f>IF(OR(A9="",E9=""),"",IF(C9="","",C9-E9))</f>
        <v/>
      </c>
      <c r="H9" s="380" t="inlineStr">
        <is>
          <t>Agent 02</t>
        </is>
      </c>
      <c r="I9" s="491" t="n"/>
      <c r="J9" s="492">
        <f>IF(AND(A9&lt;&gt;"",E9&lt;&gt;""),IF(I9="","⚠️ Enter Code",IF(IFERROR(VLOOKUP(H9,DB_Agents!$B:$I,8,0),"")=I9,IF(C9&gt;=E9,"Successful","Unsuccessful"),"🔒 BLOCKED — Wrong Code")),"—")</f>
        <v/>
      </c>
      <c r="K9" s="493">
        <f>IF(J9="Successful",TEXT(TODAY(),"YYYY-MM-DD")&amp;" Auto","—")</f>
        <v/>
      </c>
      <c r="L9" s="494" t="n"/>
    </row>
    <row r="10" ht="15" customHeight="1" s="341">
      <c r="A10" s="495" t="n"/>
      <c r="B10" s="382">
        <f>IF(A10="","",IFERROR(VLOOKUP(A10,DB_Customers!$A:$D,4,0),"❌ Account Not Found"))</f>
        <v/>
      </c>
      <c r="C10" s="496">
        <f>IF(A10="","",IFERROR(VLOOKUP(A10,DB_Customers!$A:$N,14,0),""))</f>
        <v/>
      </c>
      <c r="D10" s="497">
        <f>IF(A10="","",TODAY())</f>
        <v/>
      </c>
      <c r="E10" s="510" t="n"/>
      <c r="F10" s="382" t="n"/>
      <c r="G10" s="512">
        <f>IF(OR(A10="",E10=""),"",IF(C10="","",C10-E10))</f>
        <v/>
      </c>
      <c r="H10" s="384" t="inlineStr">
        <is>
          <t>Agent 02</t>
        </is>
      </c>
      <c r="I10" s="491" t="n"/>
      <c r="J10" s="499">
        <f>IF(AND(A10&lt;&gt;"",E10&lt;&gt;""),IF(I10="","⚠️ Enter Code",IF(IFERROR(VLOOKUP(H10,DB_Agents!$B:$I,8,0),"")=I10,IF(C10&gt;=E10,"Successful","Unsuccessful"),"🔒 BLOCKED — Wrong Code")),"—")</f>
        <v/>
      </c>
      <c r="K10" s="500">
        <f>IF(J10="Successful",TEXT(TODAY(),"YYYY-MM-DD")&amp;" Auto","—")</f>
        <v/>
      </c>
      <c r="L10" s="501" t="n"/>
    </row>
    <row r="11" ht="15" customHeight="1" s="341">
      <c r="A11" s="486" t="n"/>
      <c r="B11" s="378">
        <f>IF(A11="","",IFERROR(VLOOKUP(A11,DB_Customers!$A:$D,4,0),"❌ Account Not Found"))</f>
        <v/>
      </c>
      <c r="C11" s="487">
        <f>IF(A11="","",IFERROR(VLOOKUP(A11,DB_Customers!$A:$N,14,0),""))</f>
        <v/>
      </c>
      <c r="D11" s="488">
        <f>IF(A11="","",TODAY())</f>
        <v/>
      </c>
      <c r="E11" s="510" t="n"/>
      <c r="F11" s="378" t="n"/>
      <c r="G11" s="511">
        <f>IF(OR(A11="",E11=""),"",IF(C11="","",C11-E11))</f>
        <v/>
      </c>
      <c r="H11" s="380" t="inlineStr">
        <is>
          <t>Agent 02</t>
        </is>
      </c>
      <c r="I11" s="491" t="n"/>
      <c r="J11" s="492">
        <f>IF(AND(A11&lt;&gt;"",E11&lt;&gt;""),IF(I11="","⚠️ Enter Code",IF(IFERROR(VLOOKUP(H11,DB_Agents!$B:$I,8,0),"")=I11,IF(C11&gt;=E11,"Successful","Unsuccessful"),"🔒 BLOCKED — Wrong Code")),"—")</f>
        <v/>
      </c>
      <c r="K11" s="493">
        <f>IF(J11="Successful",TEXT(TODAY(),"YYYY-MM-DD")&amp;" Auto","—")</f>
        <v/>
      </c>
      <c r="L11" s="494" t="n"/>
    </row>
    <row r="12" ht="15" customHeight="1" s="341">
      <c r="A12" s="495" t="n"/>
      <c r="B12" s="382">
        <f>IF(A12="","",IFERROR(VLOOKUP(A12,DB_Customers!$A:$D,4,0),"❌ Account Not Found"))</f>
        <v/>
      </c>
      <c r="C12" s="496">
        <f>IF(A12="","",IFERROR(VLOOKUP(A12,DB_Customers!$A:$N,14,0),""))</f>
        <v/>
      </c>
      <c r="D12" s="497">
        <f>IF(A12="","",TODAY())</f>
        <v/>
      </c>
      <c r="E12" s="510" t="n"/>
      <c r="F12" s="382" t="n"/>
      <c r="G12" s="512">
        <f>IF(OR(A12="",E12=""),"",IF(C12="","",C12-E12))</f>
        <v/>
      </c>
      <c r="H12" s="384" t="inlineStr">
        <is>
          <t>Agent 02</t>
        </is>
      </c>
      <c r="I12" s="491" t="n"/>
      <c r="J12" s="499">
        <f>IF(AND(A12&lt;&gt;"",E12&lt;&gt;""),IF(I12="","⚠️ Enter Code",IF(IFERROR(VLOOKUP(H12,DB_Agents!$B:$I,8,0),"")=I12,IF(C12&gt;=E12,"Successful","Unsuccessful"),"🔒 BLOCKED — Wrong Code")),"—")</f>
        <v/>
      </c>
      <c r="K12" s="500">
        <f>IF(J12="Successful",TEXT(TODAY(),"YYYY-MM-DD")&amp;" Auto","—")</f>
        <v/>
      </c>
      <c r="L12" s="501" t="n"/>
    </row>
    <row r="13" ht="15" customHeight="1" s="341">
      <c r="A13" s="486" t="n"/>
      <c r="B13" s="378">
        <f>IF(A13="","",IFERROR(VLOOKUP(A13,DB_Customers!$A:$D,4,0),"❌ Account Not Found"))</f>
        <v/>
      </c>
      <c r="C13" s="487">
        <f>IF(A13="","",IFERROR(VLOOKUP(A13,DB_Customers!$A:$N,14,0),""))</f>
        <v/>
      </c>
      <c r="D13" s="488">
        <f>IF(A13="","",TODAY())</f>
        <v/>
      </c>
      <c r="E13" s="510" t="n"/>
      <c r="F13" s="378" t="n"/>
      <c r="G13" s="511">
        <f>IF(OR(A13="",E13=""),"",IF(C13="","",C13-E13))</f>
        <v/>
      </c>
      <c r="H13" s="380" t="inlineStr">
        <is>
          <t>Agent 02</t>
        </is>
      </c>
      <c r="I13" s="491" t="n"/>
      <c r="J13" s="492">
        <f>IF(AND(A13&lt;&gt;"",E13&lt;&gt;""),IF(I13="","⚠️ Enter Code",IF(IFERROR(VLOOKUP(H13,DB_Agents!$B:$I,8,0),"")=I13,IF(C13&gt;=E13,"Successful","Unsuccessful"),"🔒 BLOCKED — Wrong Code")),"—")</f>
        <v/>
      </c>
      <c r="K13" s="493">
        <f>IF(J13="Successful",TEXT(TODAY(),"YYYY-MM-DD")&amp;" Auto","—")</f>
        <v/>
      </c>
      <c r="L13" s="494" t="n"/>
    </row>
    <row r="14" ht="15" customHeight="1" s="341">
      <c r="A14" s="495" t="n"/>
      <c r="B14" s="382">
        <f>IF(A14="","",IFERROR(VLOOKUP(A14,DB_Customers!$A:$D,4,0),"❌ Account Not Found"))</f>
        <v/>
      </c>
      <c r="C14" s="496">
        <f>IF(A14="","",IFERROR(VLOOKUP(A14,DB_Customers!$A:$N,14,0),""))</f>
        <v/>
      </c>
      <c r="D14" s="497">
        <f>IF(A14="","",TODAY())</f>
        <v/>
      </c>
      <c r="E14" s="510" t="n"/>
      <c r="F14" s="382" t="n"/>
      <c r="G14" s="512">
        <f>IF(OR(A14="",E14=""),"",IF(C14="","",C14-E14))</f>
        <v/>
      </c>
      <c r="H14" s="384" t="inlineStr">
        <is>
          <t>Agent 02</t>
        </is>
      </c>
      <c r="I14" s="491" t="n"/>
      <c r="J14" s="499">
        <f>IF(AND(A14&lt;&gt;"",E14&lt;&gt;""),IF(I14="","⚠️ Enter Code",IF(IFERROR(VLOOKUP(H14,DB_Agents!$B:$I,8,0),"")=I14,IF(C14&gt;=E14,"Successful","Unsuccessful"),"🔒 BLOCKED — Wrong Code")),"—")</f>
        <v/>
      </c>
      <c r="K14" s="500">
        <f>IF(J14="Successful",TEXT(TODAY(),"YYYY-MM-DD")&amp;" Auto","—")</f>
        <v/>
      </c>
      <c r="L14" s="501" t="n"/>
    </row>
    <row r="15" ht="15" customHeight="1" s="341">
      <c r="A15" s="486" t="n"/>
      <c r="B15" s="378">
        <f>IF(A15="","",IFERROR(VLOOKUP(A15,DB_Customers!$A:$D,4,0),"❌ Account Not Found"))</f>
        <v/>
      </c>
      <c r="C15" s="487">
        <f>IF(A15="","",IFERROR(VLOOKUP(A15,DB_Customers!$A:$N,14,0),""))</f>
        <v/>
      </c>
      <c r="D15" s="488">
        <f>IF(A15="","",TODAY())</f>
        <v/>
      </c>
      <c r="E15" s="510" t="n"/>
      <c r="F15" s="378" t="n"/>
      <c r="G15" s="511">
        <f>IF(OR(A15="",E15=""),"",IF(C15="","",C15-E15))</f>
        <v/>
      </c>
      <c r="H15" s="380" t="inlineStr">
        <is>
          <t>Agent 02</t>
        </is>
      </c>
      <c r="I15" s="491" t="n"/>
      <c r="J15" s="492">
        <f>IF(AND(A15&lt;&gt;"",E15&lt;&gt;""),IF(I15="","⚠️ Enter Code",IF(IFERROR(VLOOKUP(H15,DB_Agents!$B:$I,8,0),"")=I15,IF(C15&gt;=E15,"Successful","Unsuccessful"),"🔒 BLOCKED — Wrong Code")),"—")</f>
        <v/>
      </c>
      <c r="K15" s="493">
        <f>IF(J15="Successful",TEXT(TODAY(),"YYYY-MM-DD")&amp;" Auto","—")</f>
        <v/>
      </c>
      <c r="L15" s="494" t="n"/>
    </row>
    <row r="16" ht="15" customHeight="1" s="341">
      <c r="A16" s="495" t="n"/>
      <c r="B16" s="382">
        <f>IF(A16="","",IFERROR(VLOOKUP(A16,DB_Customers!$A:$D,4,0),"❌ Account Not Found"))</f>
        <v/>
      </c>
      <c r="C16" s="496">
        <f>IF(A16="","",IFERROR(VLOOKUP(A16,DB_Customers!$A:$N,14,0),""))</f>
        <v/>
      </c>
      <c r="D16" s="497">
        <f>IF(A16="","",TODAY())</f>
        <v/>
      </c>
      <c r="E16" s="510" t="n"/>
      <c r="F16" s="382" t="n"/>
      <c r="G16" s="512">
        <f>IF(OR(A16="",E16=""),"",IF(C16="","",C16-E16))</f>
        <v/>
      </c>
      <c r="H16" s="384" t="inlineStr">
        <is>
          <t>Agent 02</t>
        </is>
      </c>
      <c r="I16" s="491" t="n"/>
      <c r="J16" s="499">
        <f>IF(AND(A16&lt;&gt;"",E16&lt;&gt;""),IF(I16="","⚠️ Enter Code",IF(IFERROR(VLOOKUP(H16,DB_Agents!$B:$I,8,0),"")=I16,IF(C16&gt;=E16,"Successful","Unsuccessful"),"🔒 BLOCKED — Wrong Code")),"—")</f>
        <v/>
      </c>
      <c r="K16" s="500">
        <f>IF(J16="Successful",TEXT(TODAY(),"YYYY-MM-DD")&amp;" Auto","—")</f>
        <v/>
      </c>
      <c r="L16" s="501" t="n"/>
    </row>
    <row r="17" ht="15" customHeight="1" s="341">
      <c r="A17" s="486" t="n"/>
      <c r="B17" s="378">
        <f>IF(A17="","",IFERROR(VLOOKUP(A17,DB_Customers!$A:$D,4,0),"❌ Account Not Found"))</f>
        <v/>
      </c>
      <c r="C17" s="487">
        <f>IF(A17="","",IFERROR(VLOOKUP(A17,DB_Customers!$A:$N,14,0),""))</f>
        <v/>
      </c>
      <c r="D17" s="488">
        <f>IF(A17="","",TODAY())</f>
        <v/>
      </c>
      <c r="E17" s="510" t="n"/>
      <c r="F17" s="378" t="n"/>
      <c r="G17" s="511">
        <f>IF(OR(A17="",E17=""),"",IF(C17="","",C17-E17))</f>
        <v/>
      </c>
      <c r="H17" s="380" t="inlineStr">
        <is>
          <t>Agent 02</t>
        </is>
      </c>
      <c r="I17" s="491" t="n"/>
      <c r="J17" s="492">
        <f>IF(AND(A17&lt;&gt;"",E17&lt;&gt;""),IF(I17="","⚠️ Enter Code",IF(IFERROR(VLOOKUP(H17,DB_Agents!$B:$I,8,0),"")=I17,IF(C17&gt;=E17,"Successful","Unsuccessful"),"🔒 BLOCKED — Wrong Code")),"—")</f>
        <v/>
      </c>
      <c r="K17" s="493">
        <f>IF(J17="Successful",TEXT(TODAY(),"YYYY-MM-DD")&amp;" Auto","—")</f>
        <v/>
      </c>
      <c r="L17" s="494" t="n"/>
    </row>
    <row r="18" ht="15" customHeight="1" s="341">
      <c r="A18" s="495" t="n"/>
      <c r="B18" s="382">
        <f>IF(A18="","",IFERROR(VLOOKUP(A18,DB_Customers!$A:$D,4,0),"❌ Account Not Found"))</f>
        <v/>
      </c>
      <c r="C18" s="496">
        <f>IF(A18="","",IFERROR(VLOOKUP(A18,DB_Customers!$A:$N,14,0),""))</f>
        <v/>
      </c>
      <c r="D18" s="497">
        <f>IF(A18="","",TODAY())</f>
        <v/>
      </c>
      <c r="E18" s="510" t="n"/>
      <c r="F18" s="382" t="n"/>
      <c r="G18" s="512">
        <f>IF(OR(A18="",E18=""),"",IF(C18="","",C18-E18))</f>
        <v/>
      </c>
      <c r="H18" s="384" t="inlineStr">
        <is>
          <t>Agent 02</t>
        </is>
      </c>
      <c r="I18" s="491" t="n"/>
      <c r="J18" s="499">
        <f>IF(AND(A18&lt;&gt;"",E18&lt;&gt;""),IF(I18="","⚠️ Enter Code",IF(IFERROR(VLOOKUP(H18,DB_Agents!$B:$I,8,0),"")=I18,IF(C18&gt;=E18,"Successful","Unsuccessful"),"🔒 BLOCKED — Wrong Code")),"—")</f>
        <v/>
      </c>
      <c r="K18" s="500">
        <f>IF(J18="Successful",TEXT(TODAY(),"YYYY-MM-DD")&amp;" Auto","—")</f>
        <v/>
      </c>
      <c r="L18" s="501" t="n"/>
    </row>
    <row r="19" ht="15" customHeight="1" s="341">
      <c r="A19" s="486" t="n"/>
      <c r="B19" s="378">
        <f>IF(A19="","",IFERROR(VLOOKUP(A19,DB_Customers!$A:$D,4,0),"❌ Account Not Found"))</f>
        <v/>
      </c>
      <c r="C19" s="487">
        <f>IF(A19="","",IFERROR(VLOOKUP(A19,DB_Customers!$A:$N,14,0),""))</f>
        <v/>
      </c>
      <c r="D19" s="488">
        <f>IF(A19="","",TODAY())</f>
        <v/>
      </c>
      <c r="E19" s="510" t="n"/>
      <c r="F19" s="378" t="n"/>
      <c r="G19" s="511">
        <f>IF(OR(A19="",E19=""),"",IF(C19="","",C19-E19))</f>
        <v/>
      </c>
      <c r="H19" s="380" t="inlineStr">
        <is>
          <t>Agent 02</t>
        </is>
      </c>
      <c r="I19" s="491" t="n"/>
      <c r="J19" s="492">
        <f>IF(AND(A19&lt;&gt;"",E19&lt;&gt;""),IF(I19="","⚠️ Enter Code",IF(IFERROR(VLOOKUP(H19,DB_Agents!$B:$I,8,0),"")=I19,IF(C19&gt;=E19,"Successful","Unsuccessful"),"🔒 BLOCKED — Wrong Code")),"—")</f>
        <v/>
      </c>
      <c r="K19" s="493">
        <f>IF(J19="Successful",TEXT(TODAY(),"YYYY-MM-DD")&amp;" Auto","—")</f>
        <v/>
      </c>
      <c r="L19" s="494" t="n"/>
    </row>
    <row r="20" ht="15" customHeight="1" s="341">
      <c r="A20" s="495" t="n"/>
      <c r="B20" s="382">
        <f>IF(A20="","",IFERROR(VLOOKUP(A20,DB_Customers!$A:$D,4,0),"❌ Account Not Found"))</f>
        <v/>
      </c>
      <c r="C20" s="496">
        <f>IF(A20="","",IFERROR(VLOOKUP(A20,DB_Customers!$A:$N,14,0),""))</f>
        <v/>
      </c>
      <c r="D20" s="497">
        <f>IF(A20="","",TODAY())</f>
        <v/>
      </c>
      <c r="E20" s="510" t="n"/>
      <c r="F20" s="382" t="n"/>
      <c r="G20" s="512">
        <f>IF(OR(A20="",E20=""),"",IF(C20="","",C20-E20))</f>
        <v/>
      </c>
      <c r="H20" s="384" t="inlineStr">
        <is>
          <t>Agent 02</t>
        </is>
      </c>
      <c r="I20" s="491" t="n"/>
      <c r="J20" s="499">
        <f>IF(AND(A20&lt;&gt;"",E20&lt;&gt;""),IF(I20="","⚠️ Enter Code",IF(IFERROR(VLOOKUP(H20,DB_Agents!$B:$I,8,0),"")=I20,IF(C20&gt;=E20,"Successful","Unsuccessful"),"🔒 BLOCKED — Wrong Code")),"—")</f>
        <v/>
      </c>
      <c r="K20" s="500">
        <f>IF(J20="Successful",TEXT(TODAY(),"YYYY-MM-DD")&amp;" Auto","—")</f>
        <v/>
      </c>
      <c r="L20" s="501" t="n"/>
    </row>
    <row r="21" ht="15" customHeight="1" s="341">
      <c r="A21" s="486" t="n"/>
      <c r="B21" s="378">
        <f>IF(A21="","",IFERROR(VLOOKUP(A21,DB_Customers!$A:$D,4,0),"❌ Account Not Found"))</f>
        <v/>
      </c>
      <c r="C21" s="487">
        <f>IF(A21="","",IFERROR(VLOOKUP(A21,DB_Customers!$A:$N,14,0),""))</f>
        <v/>
      </c>
      <c r="D21" s="488">
        <f>IF(A21="","",TODAY())</f>
        <v/>
      </c>
      <c r="E21" s="510" t="n"/>
      <c r="F21" s="378" t="n"/>
      <c r="G21" s="511">
        <f>IF(OR(A21="",E21=""),"",IF(C21="","",C21-E21))</f>
        <v/>
      </c>
      <c r="H21" s="380" t="inlineStr">
        <is>
          <t>Agent 02</t>
        </is>
      </c>
      <c r="I21" s="491" t="n"/>
      <c r="J21" s="492">
        <f>IF(AND(A21&lt;&gt;"",E21&lt;&gt;""),IF(I21="","⚠️ Enter Code",IF(IFERROR(VLOOKUP(H21,DB_Agents!$B:$I,8,0),"")=I21,IF(C21&gt;=E21,"Successful","Unsuccessful"),"🔒 BLOCKED — Wrong Code")),"—")</f>
        <v/>
      </c>
      <c r="K21" s="493">
        <f>IF(J21="Successful",TEXT(TODAY(),"YYYY-MM-DD")&amp;" Auto","—")</f>
        <v/>
      </c>
      <c r="L21" s="494" t="n"/>
    </row>
    <row r="22" ht="15" customHeight="1" s="341">
      <c r="A22" s="495" t="n"/>
      <c r="B22" s="382">
        <f>IF(A22="","",IFERROR(VLOOKUP(A22,DB_Customers!$A:$D,4,0),"❌ Account Not Found"))</f>
        <v/>
      </c>
      <c r="C22" s="496">
        <f>IF(A22="","",IFERROR(VLOOKUP(A22,DB_Customers!$A:$N,14,0),""))</f>
        <v/>
      </c>
      <c r="D22" s="497">
        <f>IF(A22="","",TODAY())</f>
        <v/>
      </c>
      <c r="E22" s="510" t="n"/>
      <c r="F22" s="382" t="n"/>
      <c r="G22" s="512">
        <f>IF(OR(A22="",E22=""),"",IF(C22="","",C22-E22))</f>
        <v/>
      </c>
      <c r="H22" s="384" t="inlineStr">
        <is>
          <t>Agent 02</t>
        </is>
      </c>
      <c r="I22" s="491" t="n"/>
      <c r="J22" s="499">
        <f>IF(AND(A22&lt;&gt;"",E22&lt;&gt;""),IF(I22="","⚠️ Enter Code",IF(IFERROR(VLOOKUP(H22,DB_Agents!$B:$I,8,0),"")=I22,IF(C22&gt;=E22,"Successful","Unsuccessful"),"🔒 BLOCKED — Wrong Code")),"—")</f>
        <v/>
      </c>
      <c r="K22" s="500">
        <f>IF(J22="Successful",TEXT(TODAY(),"YYYY-MM-DD")&amp;" Auto","—")</f>
        <v/>
      </c>
      <c r="L22" s="501" t="n"/>
    </row>
    <row r="23" ht="15" customHeight="1" s="341">
      <c r="A23" s="486" t="n"/>
      <c r="B23" s="378">
        <f>IF(A23="","",IFERROR(VLOOKUP(A23,DB_Customers!$A:$D,4,0),"❌ Account Not Found"))</f>
        <v/>
      </c>
      <c r="C23" s="487">
        <f>IF(A23="","",IFERROR(VLOOKUP(A23,DB_Customers!$A:$N,14,0),""))</f>
        <v/>
      </c>
      <c r="D23" s="488">
        <f>IF(A23="","",TODAY())</f>
        <v/>
      </c>
      <c r="E23" s="510" t="n"/>
      <c r="F23" s="378" t="n"/>
      <c r="G23" s="511">
        <f>IF(OR(A23="",E23=""),"",IF(C23="","",C23-E23))</f>
        <v/>
      </c>
      <c r="H23" s="380" t="inlineStr">
        <is>
          <t>Agent 02</t>
        </is>
      </c>
      <c r="I23" s="491" t="n"/>
      <c r="J23" s="492">
        <f>IF(AND(A23&lt;&gt;"",E23&lt;&gt;""),IF(I23="","⚠️ Enter Code",IF(IFERROR(VLOOKUP(H23,DB_Agents!$B:$I,8,0),"")=I23,IF(C23&gt;=E23,"Successful","Unsuccessful"),"🔒 BLOCKED — Wrong Code")),"—")</f>
        <v/>
      </c>
      <c r="K23" s="493">
        <f>IF(J23="Successful",TEXT(TODAY(),"YYYY-MM-DD")&amp;" Auto","—")</f>
        <v/>
      </c>
      <c r="L23" s="494" t="n"/>
    </row>
    <row r="24" ht="15" customHeight="1" s="341">
      <c r="A24" s="495" t="n"/>
      <c r="B24" s="382">
        <f>IF(A24="","",IFERROR(VLOOKUP(A24,DB_Customers!$A:$D,4,0),"❌ Account Not Found"))</f>
        <v/>
      </c>
      <c r="C24" s="496">
        <f>IF(A24="","",IFERROR(VLOOKUP(A24,DB_Customers!$A:$N,14,0),""))</f>
        <v/>
      </c>
      <c r="D24" s="497">
        <f>IF(A24="","",TODAY())</f>
        <v/>
      </c>
      <c r="E24" s="510" t="n"/>
      <c r="F24" s="382" t="n"/>
      <c r="G24" s="512">
        <f>IF(OR(A24="",E24=""),"",IF(C24="","",C24-E24))</f>
        <v/>
      </c>
      <c r="H24" s="384" t="inlineStr">
        <is>
          <t>Agent 02</t>
        </is>
      </c>
      <c r="I24" s="491" t="n"/>
      <c r="J24" s="499">
        <f>IF(AND(A24&lt;&gt;"",E24&lt;&gt;""),IF(I24="","⚠️ Enter Code",IF(IFERROR(VLOOKUP(H24,DB_Agents!$B:$I,8,0),"")=I24,IF(C24&gt;=E24,"Successful","Unsuccessful"),"🔒 BLOCKED — Wrong Code")),"—")</f>
        <v/>
      </c>
      <c r="K24" s="500">
        <f>IF(J24="Successful",TEXT(TODAY(),"YYYY-MM-DD")&amp;" Auto","—")</f>
        <v/>
      </c>
      <c r="L24" s="501" t="n"/>
    </row>
    <row r="25" ht="15" customHeight="1" s="341">
      <c r="A25" s="486" t="n"/>
      <c r="B25" s="378">
        <f>IF(A25="","",IFERROR(VLOOKUP(A25,DB_Customers!$A:$D,4,0),"❌ Account Not Found"))</f>
        <v/>
      </c>
      <c r="C25" s="487">
        <f>IF(A25="","",IFERROR(VLOOKUP(A25,DB_Customers!$A:$N,14,0),""))</f>
        <v/>
      </c>
      <c r="D25" s="488">
        <f>IF(A25="","",TODAY())</f>
        <v/>
      </c>
      <c r="E25" s="510" t="n"/>
      <c r="F25" s="378" t="n"/>
      <c r="G25" s="511">
        <f>IF(OR(A25="",E25=""),"",IF(C25="","",C25-E25))</f>
        <v/>
      </c>
      <c r="H25" s="380" t="inlineStr">
        <is>
          <t>Agent 02</t>
        </is>
      </c>
      <c r="I25" s="491" t="n"/>
      <c r="J25" s="492">
        <f>IF(AND(A25&lt;&gt;"",E25&lt;&gt;""),IF(I25="","⚠️ Enter Code",IF(IFERROR(VLOOKUP(H25,DB_Agents!$B:$I,8,0),"")=I25,IF(C25&gt;=E25,"Successful","Unsuccessful"),"🔒 BLOCKED — Wrong Code")),"—")</f>
        <v/>
      </c>
      <c r="K25" s="493">
        <f>IF(J25="Successful",TEXT(TODAY(),"YYYY-MM-DD")&amp;" Auto","—")</f>
        <v/>
      </c>
      <c r="L25" s="494" t="n"/>
    </row>
    <row r="26" ht="15" customHeight="1" s="341">
      <c r="A26" s="495" t="n"/>
      <c r="B26" s="382">
        <f>IF(A26="","",IFERROR(VLOOKUP(A26,DB_Customers!$A:$D,4,0),"❌ Account Not Found"))</f>
        <v/>
      </c>
      <c r="C26" s="496">
        <f>IF(A26="","",IFERROR(VLOOKUP(A26,DB_Customers!$A:$N,14,0),""))</f>
        <v/>
      </c>
      <c r="D26" s="497">
        <f>IF(A26="","",TODAY())</f>
        <v/>
      </c>
      <c r="E26" s="510" t="n"/>
      <c r="F26" s="382" t="n"/>
      <c r="G26" s="512">
        <f>IF(OR(A26="",E26=""),"",IF(C26="","",C26-E26))</f>
        <v/>
      </c>
      <c r="H26" s="384" t="inlineStr">
        <is>
          <t>Agent 02</t>
        </is>
      </c>
      <c r="I26" s="491" t="n"/>
      <c r="J26" s="499">
        <f>IF(AND(A26&lt;&gt;"",E26&lt;&gt;""),IF(I26="","⚠️ Enter Code",IF(IFERROR(VLOOKUP(H26,DB_Agents!$B:$I,8,0),"")=I26,IF(C26&gt;=E26,"Successful","Unsuccessful"),"🔒 BLOCKED — Wrong Code")),"—")</f>
        <v/>
      </c>
      <c r="K26" s="500">
        <f>IF(J26="Successful",TEXT(TODAY(),"YYYY-MM-DD")&amp;" Auto","—")</f>
        <v/>
      </c>
      <c r="L26" s="501" t="n"/>
    </row>
    <row r="27" ht="15" customHeight="1" s="341">
      <c r="A27" s="486" t="n"/>
      <c r="B27" s="378">
        <f>IF(A27="","",IFERROR(VLOOKUP(A27,DB_Customers!$A:$D,4,0),"❌ Account Not Found"))</f>
        <v/>
      </c>
      <c r="C27" s="487">
        <f>IF(A27="","",IFERROR(VLOOKUP(A27,DB_Customers!$A:$N,14,0),""))</f>
        <v/>
      </c>
      <c r="D27" s="488">
        <f>IF(A27="","",TODAY())</f>
        <v/>
      </c>
      <c r="E27" s="510" t="n"/>
      <c r="F27" s="378" t="n"/>
      <c r="G27" s="511">
        <f>IF(OR(A27="",E27=""),"",IF(C27="","",C27-E27))</f>
        <v/>
      </c>
      <c r="H27" s="380" t="inlineStr">
        <is>
          <t>Agent 02</t>
        </is>
      </c>
      <c r="I27" s="491" t="n"/>
      <c r="J27" s="492">
        <f>IF(AND(A27&lt;&gt;"",E27&lt;&gt;""),IF(I27="","⚠️ Enter Code",IF(IFERROR(VLOOKUP(H27,DB_Agents!$B:$I,8,0),"")=I27,IF(C27&gt;=E27,"Successful","Unsuccessful"),"🔒 BLOCKED — Wrong Code")),"—")</f>
        <v/>
      </c>
      <c r="K27" s="493">
        <f>IF(J27="Successful",TEXT(TODAY(),"YYYY-MM-DD")&amp;" Auto","—")</f>
        <v/>
      </c>
      <c r="L27" s="494" t="n"/>
    </row>
    <row r="28" ht="15" customHeight="1" s="341">
      <c r="A28" s="495" t="n"/>
      <c r="B28" s="382">
        <f>IF(A28="","",IFERROR(VLOOKUP(A28,DB_Customers!$A:$D,4,0),"❌ Account Not Found"))</f>
        <v/>
      </c>
      <c r="C28" s="496">
        <f>IF(A28="","",IFERROR(VLOOKUP(A28,DB_Customers!$A:$N,14,0),""))</f>
        <v/>
      </c>
      <c r="D28" s="497">
        <f>IF(A28="","",TODAY())</f>
        <v/>
      </c>
      <c r="E28" s="510" t="n"/>
      <c r="F28" s="382" t="n"/>
      <c r="G28" s="512">
        <f>IF(OR(A28="",E28=""),"",IF(C28="","",C28-E28))</f>
        <v/>
      </c>
      <c r="H28" s="384" t="inlineStr">
        <is>
          <t>Agent 02</t>
        </is>
      </c>
      <c r="I28" s="491" t="n"/>
      <c r="J28" s="499">
        <f>IF(AND(A28&lt;&gt;"",E28&lt;&gt;""),IF(I28="","⚠️ Enter Code",IF(IFERROR(VLOOKUP(H28,DB_Agents!$B:$I,8,0),"")=I28,IF(C28&gt;=E28,"Successful","Unsuccessful"),"🔒 BLOCKED — Wrong Code")),"—")</f>
        <v/>
      </c>
      <c r="K28" s="500">
        <f>IF(J28="Successful",TEXT(TODAY(),"YYYY-MM-DD")&amp;" Auto","—")</f>
        <v/>
      </c>
      <c r="L28" s="501" t="n"/>
    </row>
    <row r="29" ht="15" customHeight="1" s="341">
      <c r="A29" s="486" t="n"/>
      <c r="B29" s="378">
        <f>IF(A29="","",IFERROR(VLOOKUP(A29,DB_Customers!$A:$D,4,0),"❌ Account Not Found"))</f>
        <v/>
      </c>
      <c r="C29" s="487">
        <f>IF(A29="","",IFERROR(VLOOKUP(A29,DB_Customers!$A:$N,14,0),""))</f>
        <v/>
      </c>
      <c r="D29" s="488">
        <f>IF(A29="","",TODAY())</f>
        <v/>
      </c>
      <c r="E29" s="510" t="n"/>
      <c r="F29" s="378" t="n"/>
      <c r="G29" s="511">
        <f>IF(OR(A29="",E29=""),"",IF(C29="","",C29-E29))</f>
        <v/>
      </c>
      <c r="H29" s="380" t="inlineStr">
        <is>
          <t>Agent 02</t>
        </is>
      </c>
      <c r="I29" s="491" t="n"/>
      <c r="J29" s="492">
        <f>IF(AND(A29&lt;&gt;"",E29&lt;&gt;""),IF(I29="","⚠️ Enter Code",IF(IFERROR(VLOOKUP(H29,DB_Agents!$B:$I,8,0),"")=I29,IF(C29&gt;=E29,"Successful","Unsuccessful"),"🔒 BLOCKED — Wrong Code")),"—")</f>
        <v/>
      </c>
      <c r="K29" s="493">
        <f>IF(J29="Successful",TEXT(TODAY(),"YYYY-MM-DD")&amp;" Auto","—")</f>
        <v/>
      </c>
      <c r="L29" s="494" t="n"/>
    </row>
    <row r="30" ht="15" customHeight="1" s="341">
      <c r="A30" s="495" t="n"/>
      <c r="B30" s="382">
        <f>IF(A30="","",IFERROR(VLOOKUP(A30,DB_Customers!$A:$D,4,0),"❌ Account Not Found"))</f>
        <v/>
      </c>
      <c r="C30" s="496">
        <f>IF(A30="","",IFERROR(VLOOKUP(A30,DB_Customers!$A:$N,14,0),""))</f>
        <v/>
      </c>
      <c r="D30" s="497">
        <f>IF(A30="","",TODAY())</f>
        <v/>
      </c>
      <c r="E30" s="510" t="n"/>
      <c r="F30" s="382" t="n"/>
      <c r="G30" s="512">
        <f>IF(OR(A30="",E30=""),"",IF(C30="","",C30-E30))</f>
        <v/>
      </c>
      <c r="H30" s="384" t="inlineStr">
        <is>
          <t>Agent 02</t>
        </is>
      </c>
      <c r="I30" s="491" t="n"/>
      <c r="J30" s="499">
        <f>IF(AND(A30&lt;&gt;"",E30&lt;&gt;""),IF(I30="","⚠️ Enter Code",IF(IFERROR(VLOOKUP(H30,DB_Agents!$B:$I,8,0),"")=I30,IF(C30&gt;=E30,"Successful","Unsuccessful"),"🔒 BLOCKED — Wrong Code")),"—")</f>
        <v/>
      </c>
      <c r="K30" s="500">
        <f>IF(J30="Successful",TEXT(TODAY(),"YYYY-MM-DD")&amp;" Auto","—")</f>
        <v/>
      </c>
      <c r="L30" s="501" t="n"/>
    </row>
    <row r="31" ht="15" customHeight="1" s="341">
      <c r="A31" s="486" t="n"/>
      <c r="B31" s="378">
        <f>IF(A31="","",IFERROR(VLOOKUP(A31,DB_Customers!$A:$D,4,0),"❌ Account Not Found"))</f>
        <v/>
      </c>
      <c r="C31" s="487">
        <f>IF(A31="","",IFERROR(VLOOKUP(A31,DB_Customers!$A:$N,14,0),""))</f>
        <v/>
      </c>
      <c r="D31" s="488">
        <f>IF(A31="","",TODAY())</f>
        <v/>
      </c>
      <c r="E31" s="510" t="n"/>
      <c r="F31" s="378" t="n"/>
      <c r="G31" s="511">
        <f>IF(OR(A31="",E31=""),"",IF(C31="","",C31-E31))</f>
        <v/>
      </c>
      <c r="H31" s="380" t="inlineStr">
        <is>
          <t>Agent 02</t>
        </is>
      </c>
      <c r="I31" s="491" t="n"/>
      <c r="J31" s="492">
        <f>IF(AND(A31&lt;&gt;"",E31&lt;&gt;""),IF(I31="","⚠️ Enter Code",IF(IFERROR(VLOOKUP(H31,DB_Agents!$B:$I,8,0),"")=I31,IF(C31&gt;=E31,"Successful","Unsuccessful"),"🔒 BLOCKED — Wrong Code")),"—")</f>
        <v/>
      </c>
      <c r="K31" s="493">
        <f>IF(J31="Successful",TEXT(TODAY(),"YYYY-MM-DD")&amp;" Auto","—")</f>
        <v/>
      </c>
      <c r="L31" s="494" t="n"/>
    </row>
    <row r="32" ht="15" customHeight="1" s="341">
      <c r="A32" s="495" t="n"/>
      <c r="B32" s="382">
        <f>IF(A32="","",IFERROR(VLOOKUP(A32,DB_Customers!$A:$D,4,0),"❌ Account Not Found"))</f>
        <v/>
      </c>
      <c r="C32" s="496">
        <f>IF(A32="","",IFERROR(VLOOKUP(A32,DB_Customers!$A:$N,14,0),""))</f>
        <v/>
      </c>
      <c r="D32" s="497">
        <f>IF(A32="","",TODAY())</f>
        <v/>
      </c>
      <c r="E32" s="510" t="n"/>
      <c r="F32" s="382" t="n"/>
      <c r="G32" s="512">
        <f>IF(OR(A32="",E32=""),"",IF(C32="","",C32-E32))</f>
        <v/>
      </c>
      <c r="H32" s="384" t="inlineStr">
        <is>
          <t>Agent 02</t>
        </is>
      </c>
      <c r="I32" s="491" t="n"/>
      <c r="J32" s="499">
        <f>IF(AND(A32&lt;&gt;"",E32&lt;&gt;""),IF(I32="","⚠️ Enter Code",IF(IFERROR(VLOOKUP(H32,DB_Agents!$B:$I,8,0),"")=I32,IF(C32&gt;=E32,"Successful","Unsuccessful"),"🔒 BLOCKED — Wrong Code")),"—")</f>
        <v/>
      </c>
      <c r="K32" s="500">
        <f>IF(J32="Successful",TEXT(TODAY(),"YYYY-MM-DD")&amp;" Auto","—")</f>
        <v/>
      </c>
      <c r="L32" s="501" t="n"/>
    </row>
    <row r="33" ht="15" customHeight="1" s="341">
      <c r="A33" s="486" t="n"/>
      <c r="B33" s="378">
        <f>IF(A33="","",IFERROR(VLOOKUP(A33,DB_Customers!$A:$D,4,0),"❌ Account Not Found"))</f>
        <v/>
      </c>
      <c r="C33" s="487">
        <f>IF(A33="","",IFERROR(VLOOKUP(A33,DB_Customers!$A:$N,14,0),""))</f>
        <v/>
      </c>
      <c r="D33" s="488">
        <f>IF(A33="","",TODAY())</f>
        <v/>
      </c>
      <c r="E33" s="510" t="n"/>
      <c r="F33" s="378" t="n"/>
      <c r="G33" s="511">
        <f>IF(OR(A33="",E33=""),"",IF(C33="","",C33-E33))</f>
        <v/>
      </c>
      <c r="H33" s="380" t="inlineStr">
        <is>
          <t>Agent 02</t>
        </is>
      </c>
      <c r="I33" s="491" t="n"/>
      <c r="J33" s="492">
        <f>IF(AND(A33&lt;&gt;"",E33&lt;&gt;""),IF(I33="","⚠️ Enter Code",IF(IFERROR(VLOOKUP(H33,DB_Agents!$B:$I,8,0),"")=I33,IF(C33&gt;=E33,"Successful","Unsuccessful"),"🔒 BLOCKED — Wrong Code")),"—")</f>
        <v/>
      </c>
      <c r="K33" s="493">
        <f>IF(J33="Successful",TEXT(TODAY(),"YYYY-MM-DD")&amp;" Auto","—")</f>
        <v/>
      </c>
      <c r="L33" s="494" t="n"/>
    </row>
    <row r="34" ht="15" customHeight="1" s="341">
      <c r="A34" s="495" t="n"/>
      <c r="B34" s="382">
        <f>IF(A34="","",IFERROR(VLOOKUP(A34,DB_Customers!$A:$D,4,0),"❌ Account Not Found"))</f>
        <v/>
      </c>
      <c r="C34" s="496">
        <f>IF(A34="","",IFERROR(VLOOKUP(A34,DB_Customers!$A:$N,14,0),""))</f>
        <v/>
      </c>
      <c r="D34" s="497">
        <f>IF(A34="","",TODAY())</f>
        <v/>
      </c>
      <c r="E34" s="510" t="n"/>
      <c r="F34" s="382" t="n"/>
      <c r="G34" s="512">
        <f>IF(OR(A34="",E34=""),"",IF(C34="","",C34-E34))</f>
        <v/>
      </c>
      <c r="H34" s="384" t="inlineStr">
        <is>
          <t>Agent 02</t>
        </is>
      </c>
      <c r="I34" s="491" t="n"/>
      <c r="J34" s="499">
        <f>IF(AND(A34&lt;&gt;"",E34&lt;&gt;""),IF(I34="","⚠️ Enter Code",IF(IFERROR(VLOOKUP(H34,DB_Agents!$B:$I,8,0),"")=I34,IF(C34&gt;=E34,"Successful","Unsuccessful"),"🔒 BLOCKED — Wrong Code")),"—")</f>
        <v/>
      </c>
      <c r="K34" s="500">
        <f>IF(J34="Successful",TEXT(TODAY(),"YYYY-MM-DD")&amp;" Auto","—")</f>
        <v/>
      </c>
      <c r="L34" s="501" t="n"/>
    </row>
    <row r="35" ht="15" customHeight="1" s="341">
      <c r="A35" s="486" t="n"/>
      <c r="B35" s="378">
        <f>IF(A35="","",IFERROR(VLOOKUP(A35,DB_Customers!$A:$D,4,0),"❌ Account Not Found"))</f>
        <v/>
      </c>
      <c r="C35" s="487">
        <f>IF(A35="","",IFERROR(VLOOKUP(A35,DB_Customers!$A:$N,14,0),""))</f>
        <v/>
      </c>
      <c r="D35" s="488">
        <f>IF(A35="","",TODAY())</f>
        <v/>
      </c>
      <c r="E35" s="510" t="n"/>
      <c r="F35" s="378" t="n"/>
      <c r="G35" s="511">
        <f>IF(OR(A35="",E35=""),"",IF(C35="","",C35-E35))</f>
        <v/>
      </c>
      <c r="H35" s="380" t="inlineStr">
        <is>
          <t>Agent 02</t>
        </is>
      </c>
      <c r="I35" s="491" t="n"/>
      <c r="J35" s="492">
        <f>IF(AND(A35&lt;&gt;"",E35&lt;&gt;""),IF(I35="","⚠️ Enter Code",IF(IFERROR(VLOOKUP(H35,DB_Agents!$B:$I,8,0),"")=I35,IF(C35&gt;=E35,"Successful","Unsuccessful"),"🔒 BLOCKED — Wrong Code")),"—")</f>
        <v/>
      </c>
      <c r="K35" s="493">
        <f>IF(J35="Successful",TEXT(TODAY(),"YYYY-MM-DD")&amp;" Auto","—")</f>
        <v/>
      </c>
      <c r="L35" s="494" t="n"/>
    </row>
    <row r="36" ht="15" customHeight="1" s="341">
      <c r="A36" s="495" t="n"/>
      <c r="B36" s="382">
        <f>IF(A36="","",IFERROR(VLOOKUP(A36,DB_Customers!$A:$D,4,0),"❌ Account Not Found"))</f>
        <v/>
      </c>
      <c r="C36" s="496">
        <f>IF(A36="","",IFERROR(VLOOKUP(A36,DB_Customers!$A:$N,14,0),""))</f>
        <v/>
      </c>
      <c r="D36" s="497">
        <f>IF(A36="","",TODAY())</f>
        <v/>
      </c>
      <c r="E36" s="510" t="n"/>
      <c r="F36" s="382" t="n"/>
      <c r="G36" s="512">
        <f>IF(OR(A36="",E36=""),"",IF(C36="","",C36-E36))</f>
        <v/>
      </c>
      <c r="H36" s="384" t="inlineStr">
        <is>
          <t>Agent 02</t>
        </is>
      </c>
      <c r="I36" s="491" t="n"/>
      <c r="J36" s="499">
        <f>IF(AND(A36&lt;&gt;"",E36&lt;&gt;""),IF(I36="","⚠️ Enter Code",IF(IFERROR(VLOOKUP(H36,DB_Agents!$B:$I,8,0),"")=I36,IF(C36&gt;=E36,"Successful","Unsuccessful"),"🔒 BLOCKED — Wrong Code")),"—")</f>
        <v/>
      </c>
      <c r="K36" s="500">
        <f>IF(J36="Successful",TEXT(TODAY(),"YYYY-MM-DD")&amp;" Auto","—")</f>
        <v/>
      </c>
      <c r="L36" s="501" t="n"/>
    </row>
    <row r="37" ht="15" customHeight="1" s="341">
      <c r="A37" s="486" t="n"/>
      <c r="B37" s="378">
        <f>IF(A37="","",IFERROR(VLOOKUP(A37,DB_Customers!$A:$D,4,0),"❌ Account Not Found"))</f>
        <v/>
      </c>
      <c r="C37" s="487">
        <f>IF(A37="","",IFERROR(VLOOKUP(A37,DB_Customers!$A:$N,14,0),""))</f>
        <v/>
      </c>
      <c r="D37" s="488">
        <f>IF(A37="","",TODAY())</f>
        <v/>
      </c>
      <c r="E37" s="510" t="n"/>
      <c r="F37" s="378" t="n"/>
      <c r="G37" s="511">
        <f>IF(OR(A37="",E37=""),"",IF(C37="","",C37-E37))</f>
        <v/>
      </c>
      <c r="H37" s="380" t="inlineStr">
        <is>
          <t>Agent 02</t>
        </is>
      </c>
      <c r="I37" s="491" t="n"/>
      <c r="J37" s="492">
        <f>IF(AND(A37&lt;&gt;"",E37&lt;&gt;""),IF(I37="","⚠️ Enter Code",IF(IFERROR(VLOOKUP(H37,DB_Agents!$B:$I,8,0),"")=I37,IF(C37&gt;=E37,"Successful","Unsuccessful"),"🔒 BLOCKED — Wrong Code")),"—")</f>
        <v/>
      </c>
      <c r="K37" s="493">
        <f>IF(J37="Successful",TEXT(TODAY(),"YYYY-MM-DD")&amp;" Auto","—")</f>
        <v/>
      </c>
      <c r="L37" s="494" t="n"/>
    </row>
    <row r="38" ht="15" customHeight="1" s="341">
      <c r="A38" s="495" t="n"/>
      <c r="B38" s="382">
        <f>IF(A38="","",IFERROR(VLOOKUP(A38,DB_Customers!$A:$D,4,0),"❌ Account Not Found"))</f>
        <v/>
      </c>
      <c r="C38" s="496">
        <f>IF(A38="","",IFERROR(VLOOKUP(A38,DB_Customers!$A:$N,14,0),""))</f>
        <v/>
      </c>
      <c r="D38" s="497">
        <f>IF(A38="","",TODAY())</f>
        <v/>
      </c>
      <c r="E38" s="510" t="n"/>
      <c r="F38" s="382" t="n"/>
      <c r="G38" s="512">
        <f>IF(OR(A38="",E38=""),"",IF(C38="","",C38-E38))</f>
        <v/>
      </c>
      <c r="H38" s="384" t="inlineStr">
        <is>
          <t>Agent 02</t>
        </is>
      </c>
      <c r="I38" s="491" t="n"/>
      <c r="J38" s="499">
        <f>IF(AND(A38&lt;&gt;"",E38&lt;&gt;""),IF(I38="","⚠️ Enter Code",IF(IFERROR(VLOOKUP(H38,DB_Agents!$B:$I,8,0),"")=I38,IF(C38&gt;=E38,"Successful","Unsuccessful"),"🔒 BLOCKED — Wrong Code")),"—")</f>
        <v/>
      </c>
      <c r="K38" s="500">
        <f>IF(J38="Successful",TEXT(TODAY(),"YYYY-MM-DD")&amp;" Auto","—")</f>
        <v/>
      </c>
      <c r="L38" s="501" t="n"/>
    </row>
    <row r="39" ht="15" customHeight="1" s="341">
      <c r="A39" s="486" t="n"/>
      <c r="B39" s="378">
        <f>IF(A39="","",IFERROR(VLOOKUP(A39,DB_Customers!$A:$D,4,0),"❌ Account Not Found"))</f>
        <v/>
      </c>
      <c r="C39" s="487">
        <f>IF(A39="","",IFERROR(VLOOKUP(A39,DB_Customers!$A:$N,14,0),""))</f>
        <v/>
      </c>
      <c r="D39" s="488">
        <f>IF(A39="","",TODAY())</f>
        <v/>
      </c>
      <c r="E39" s="510" t="n"/>
      <c r="F39" s="378" t="n"/>
      <c r="G39" s="511">
        <f>IF(OR(A39="",E39=""),"",IF(C39="","",C39-E39))</f>
        <v/>
      </c>
      <c r="H39" s="380" t="inlineStr">
        <is>
          <t>Agent 02</t>
        </is>
      </c>
      <c r="I39" s="491" t="n"/>
      <c r="J39" s="492">
        <f>IF(AND(A39&lt;&gt;"",E39&lt;&gt;""),IF(I39="","⚠️ Enter Code",IF(IFERROR(VLOOKUP(H39,DB_Agents!$B:$I,8,0),"")=I39,IF(C39&gt;=E39,"Successful","Unsuccessful"),"🔒 BLOCKED — Wrong Code")),"—")</f>
        <v/>
      </c>
      <c r="K39" s="493">
        <f>IF(J39="Successful",TEXT(TODAY(),"YYYY-MM-DD")&amp;" Auto","—")</f>
        <v/>
      </c>
      <c r="L39" s="494" t="n"/>
    </row>
    <row r="40" ht="15" customHeight="1" s="341">
      <c r="A40" s="495" t="n"/>
      <c r="B40" s="382">
        <f>IF(A40="","",IFERROR(VLOOKUP(A40,DB_Customers!$A:$D,4,0),"❌ Account Not Found"))</f>
        <v/>
      </c>
      <c r="C40" s="496">
        <f>IF(A40="","",IFERROR(VLOOKUP(A40,DB_Customers!$A:$N,14,0),""))</f>
        <v/>
      </c>
      <c r="D40" s="497">
        <f>IF(A40="","",TODAY())</f>
        <v/>
      </c>
      <c r="E40" s="510" t="n"/>
      <c r="F40" s="382" t="n"/>
      <c r="G40" s="512">
        <f>IF(OR(A40="",E40=""),"",IF(C40="","",C40-E40))</f>
        <v/>
      </c>
      <c r="H40" s="384" t="inlineStr">
        <is>
          <t>Agent 02</t>
        </is>
      </c>
      <c r="I40" s="491" t="n"/>
      <c r="J40" s="499">
        <f>IF(AND(A40&lt;&gt;"",E40&lt;&gt;""),IF(I40="","⚠️ Enter Code",IF(IFERROR(VLOOKUP(H40,DB_Agents!$B:$I,8,0),"")=I40,IF(C40&gt;=E40,"Successful","Unsuccessful"),"🔒 BLOCKED — Wrong Code")),"—")</f>
        <v/>
      </c>
      <c r="K40" s="500">
        <f>IF(J40="Successful",TEXT(TODAY(),"YYYY-MM-DD")&amp;" Auto","—")</f>
        <v/>
      </c>
      <c r="L40" s="501" t="n"/>
    </row>
    <row r="41" ht="15" customHeight="1" s="341">
      <c r="A41" s="486" t="n"/>
      <c r="B41" s="378">
        <f>IF(A41="","",IFERROR(VLOOKUP(A41,DB_Customers!$A:$D,4,0),"❌ Account Not Found"))</f>
        <v/>
      </c>
      <c r="C41" s="487">
        <f>IF(A41="","",IFERROR(VLOOKUP(A41,DB_Customers!$A:$N,14,0),""))</f>
        <v/>
      </c>
      <c r="D41" s="488">
        <f>IF(A41="","",TODAY())</f>
        <v/>
      </c>
      <c r="E41" s="510" t="n"/>
      <c r="F41" s="378" t="n"/>
      <c r="G41" s="511">
        <f>IF(OR(A41="",E41=""),"",IF(C41="","",C41-E41))</f>
        <v/>
      </c>
      <c r="H41" s="380" t="inlineStr">
        <is>
          <t>Agent 02</t>
        </is>
      </c>
      <c r="I41" s="491" t="n"/>
      <c r="J41" s="492">
        <f>IF(AND(A41&lt;&gt;"",E41&lt;&gt;""),IF(I41="","⚠️ Enter Code",IF(IFERROR(VLOOKUP(H41,DB_Agents!$B:$I,8,0),"")=I41,IF(C41&gt;=E41,"Successful","Unsuccessful"),"🔒 BLOCKED — Wrong Code")),"—")</f>
        <v/>
      </c>
      <c r="K41" s="493">
        <f>IF(J41="Successful",TEXT(TODAY(),"YYYY-MM-DD")&amp;" Auto","—")</f>
        <v/>
      </c>
      <c r="L41" s="494" t="n"/>
    </row>
    <row r="42" ht="15" customHeight="1" s="341">
      <c r="A42" s="495" t="n"/>
      <c r="B42" s="382">
        <f>IF(A42="","",IFERROR(VLOOKUP(A42,DB_Customers!$A:$D,4,0),"❌ Account Not Found"))</f>
        <v/>
      </c>
      <c r="C42" s="496">
        <f>IF(A42="","",IFERROR(VLOOKUP(A42,DB_Customers!$A:$N,14,0),""))</f>
        <v/>
      </c>
      <c r="D42" s="497">
        <f>IF(A42="","",TODAY())</f>
        <v/>
      </c>
      <c r="E42" s="510" t="n"/>
      <c r="F42" s="382" t="n"/>
      <c r="G42" s="512">
        <f>IF(OR(A42="",E42=""),"",IF(C42="","",C42-E42))</f>
        <v/>
      </c>
      <c r="H42" s="384" t="inlineStr">
        <is>
          <t>Agent 02</t>
        </is>
      </c>
      <c r="I42" s="491" t="n"/>
      <c r="J42" s="499">
        <f>IF(AND(A42&lt;&gt;"",E42&lt;&gt;""),IF(I42="","⚠️ Enter Code",IF(IFERROR(VLOOKUP(H42,DB_Agents!$B:$I,8,0),"")=I42,IF(C42&gt;=E42,"Successful","Unsuccessful"),"🔒 BLOCKED — Wrong Code")),"—")</f>
        <v/>
      </c>
      <c r="K42" s="500">
        <f>IF(J42="Successful",TEXT(TODAY(),"YYYY-MM-DD")&amp;" Auto","—")</f>
        <v/>
      </c>
      <c r="L42" s="501" t="n"/>
    </row>
    <row r="43" ht="15" customHeight="1" s="341">
      <c r="A43" s="486" t="n"/>
      <c r="B43" s="378">
        <f>IF(A43="","",IFERROR(VLOOKUP(A43,DB_Customers!$A:$D,4,0),"❌ Account Not Found"))</f>
        <v/>
      </c>
      <c r="C43" s="487">
        <f>IF(A43="","",IFERROR(VLOOKUP(A43,DB_Customers!$A:$N,14,0),""))</f>
        <v/>
      </c>
      <c r="D43" s="488">
        <f>IF(A43="","",TODAY())</f>
        <v/>
      </c>
      <c r="E43" s="510" t="n"/>
      <c r="F43" s="378" t="n"/>
      <c r="G43" s="511">
        <f>IF(OR(A43="",E43=""),"",IF(C43="","",C43-E43))</f>
        <v/>
      </c>
      <c r="H43" s="380" t="inlineStr">
        <is>
          <t>Agent 02</t>
        </is>
      </c>
      <c r="I43" s="491" t="n"/>
      <c r="J43" s="492">
        <f>IF(AND(A43&lt;&gt;"",E43&lt;&gt;""),IF(I43="","⚠️ Enter Code",IF(IFERROR(VLOOKUP(H43,DB_Agents!$B:$I,8,0),"")=I43,IF(C43&gt;=E43,"Successful","Unsuccessful"),"🔒 BLOCKED — Wrong Code")),"—")</f>
        <v/>
      </c>
      <c r="K43" s="493">
        <f>IF(J43="Successful",TEXT(TODAY(),"YYYY-MM-DD")&amp;" Auto","—")</f>
        <v/>
      </c>
      <c r="L43" s="494" t="n"/>
    </row>
    <row r="44" ht="15" customHeight="1" s="341">
      <c r="A44" s="495" t="n"/>
      <c r="B44" s="382">
        <f>IF(A44="","",IFERROR(VLOOKUP(A44,DB_Customers!$A:$D,4,0),"❌ Account Not Found"))</f>
        <v/>
      </c>
      <c r="C44" s="496">
        <f>IF(A44="","",IFERROR(VLOOKUP(A44,DB_Customers!$A:$N,14,0),""))</f>
        <v/>
      </c>
      <c r="D44" s="497">
        <f>IF(A44="","",TODAY())</f>
        <v/>
      </c>
      <c r="E44" s="510" t="n"/>
      <c r="F44" s="382" t="n"/>
      <c r="G44" s="512">
        <f>IF(OR(A44="",E44=""),"",IF(C44="","",C44-E44))</f>
        <v/>
      </c>
      <c r="H44" s="384" t="inlineStr">
        <is>
          <t>Agent 02</t>
        </is>
      </c>
      <c r="I44" s="491" t="n"/>
      <c r="J44" s="499">
        <f>IF(AND(A44&lt;&gt;"",E44&lt;&gt;""),IF(I44="","⚠️ Enter Code",IF(IFERROR(VLOOKUP(H44,DB_Agents!$B:$I,8,0),"")=I44,IF(C44&gt;=E44,"Successful","Unsuccessful"),"🔒 BLOCKED — Wrong Code")),"—")</f>
        <v/>
      </c>
      <c r="K44" s="500">
        <f>IF(J44="Successful",TEXT(TODAY(),"YYYY-MM-DD")&amp;" Auto","—")</f>
        <v/>
      </c>
      <c r="L44" s="501" t="n"/>
    </row>
    <row r="45" ht="15" customHeight="1" s="341">
      <c r="A45" s="486" t="n"/>
      <c r="B45" s="378">
        <f>IF(A45="","",IFERROR(VLOOKUP(A45,DB_Customers!$A:$D,4,0),"❌ Account Not Found"))</f>
        <v/>
      </c>
      <c r="C45" s="487">
        <f>IF(A45="","",IFERROR(VLOOKUP(A45,DB_Customers!$A:$N,14,0),""))</f>
        <v/>
      </c>
      <c r="D45" s="488">
        <f>IF(A45="","",TODAY())</f>
        <v/>
      </c>
      <c r="E45" s="510" t="n"/>
      <c r="F45" s="378" t="n"/>
      <c r="G45" s="511">
        <f>IF(OR(A45="",E45=""),"",IF(C45="","",C45-E45))</f>
        <v/>
      </c>
      <c r="H45" s="380" t="inlineStr">
        <is>
          <t>Agent 02</t>
        </is>
      </c>
      <c r="I45" s="491" t="n"/>
      <c r="J45" s="492">
        <f>IF(AND(A45&lt;&gt;"",E45&lt;&gt;""),IF(I45="","⚠️ Enter Code",IF(IFERROR(VLOOKUP(H45,DB_Agents!$B:$I,8,0),"")=I45,IF(C45&gt;=E45,"Successful","Unsuccessful"),"🔒 BLOCKED — Wrong Code")),"—")</f>
        <v/>
      </c>
      <c r="K45" s="493">
        <f>IF(J45="Successful",TEXT(TODAY(),"YYYY-MM-DD")&amp;" Auto","—")</f>
        <v/>
      </c>
      <c r="L45" s="494" t="n"/>
    </row>
    <row r="46" ht="15" customHeight="1" s="341">
      <c r="A46" s="495" t="n"/>
      <c r="B46" s="382">
        <f>IF(A46="","",IFERROR(VLOOKUP(A46,DB_Customers!$A:$D,4,0),"❌ Account Not Found"))</f>
        <v/>
      </c>
      <c r="C46" s="496">
        <f>IF(A46="","",IFERROR(VLOOKUP(A46,DB_Customers!$A:$N,14,0),""))</f>
        <v/>
      </c>
      <c r="D46" s="497">
        <f>IF(A46="","",TODAY())</f>
        <v/>
      </c>
      <c r="E46" s="510" t="n"/>
      <c r="F46" s="382" t="n"/>
      <c r="G46" s="512">
        <f>IF(OR(A46="",E46=""),"",IF(C46="","",C46-E46))</f>
        <v/>
      </c>
      <c r="H46" s="384" t="inlineStr">
        <is>
          <t>Agent 02</t>
        </is>
      </c>
      <c r="I46" s="491" t="n"/>
      <c r="J46" s="499">
        <f>IF(AND(A46&lt;&gt;"",E46&lt;&gt;""),IF(I46="","⚠️ Enter Code",IF(IFERROR(VLOOKUP(H46,DB_Agents!$B:$I,8,0),"")=I46,IF(C46&gt;=E46,"Successful","Unsuccessful"),"🔒 BLOCKED — Wrong Code")),"—")</f>
        <v/>
      </c>
      <c r="K46" s="500">
        <f>IF(J46="Successful",TEXT(TODAY(),"YYYY-MM-DD")&amp;" Auto","—")</f>
        <v/>
      </c>
      <c r="L46" s="501" t="n"/>
    </row>
    <row r="47" ht="15" customHeight="1" s="341">
      <c r="A47" s="486" t="n"/>
      <c r="B47" s="378">
        <f>IF(A47="","",IFERROR(VLOOKUP(A47,DB_Customers!$A:$D,4,0),"❌ Account Not Found"))</f>
        <v/>
      </c>
      <c r="C47" s="487">
        <f>IF(A47="","",IFERROR(VLOOKUP(A47,DB_Customers!$A:$N,14,0),""))</f>
        <v/>
      </c>
      <c r="D47" s="488">
        <f>IF(A47="","",TODAY())</f>
        <v/>
      </c>
      <c r="E47" s="510" t="n"/>
      <c r="F47" s="378" t="n"/>
      <c r="G47" s="511">
        <f>IF(OR(A47="",E47=""),"",IF(C47="","",C47-E47))</f>
        <v/>
      </c>
      <c r="H47" s="380" t="inlineStr">
        <is>
          <t>Agent 02</t>
        </is>
      </c>
      <c r="I47" s="491" t="n"/>
      <c r="J47" s="492">
        <f>IF(AND(A47&lt;&gt;"",E47&lt;&gt;""),IF(I47="","⚠️ Enter Code",IF(IFERROR(VLOOKUP(H47,DB_Agents!$B:$I,8,0),"")=I47,IF(C47&gt;=E47,"Successful","Unsuccessful"),"🔒 BLOCKED — Wrong Code")),"—")</f>
        <v/>
      </c>
      <c r="K47" s="493">
        <f>IF(J47="Successful",TEXT(TODAY(),"YYYY-MM-DD")&amp;" Auto","—")</f>
        <v/>
      </c>
      <c r="L47" s="494" t="n"/>
    </row>
    <row r="48" ht="15" customHeight="1" s="341">
      <c r="A48" s="495" t="n"/>
      <c r="B48" s="382">
        <f>IF(A48="","",IFERROR(VLOOKUP(A48,DB_Customers!$A:$D,4,0),"❌ Account Not Found"))</f>
        <v/>
      </c>
      <c r="C48" s="496">
        <f>IF(A48="","",IFERROR(VLOOKUP(A48,DB_Customers!$A:$N,14,0),""))</f>
        <v/>
      </c>
      <c r="D48" s="497">
        <f>IF(A48="","",TODAY())</f>
        <v/>
      </c>
      <c r="E48" s="510" t="n"/>
      <c r="F48" s="382" t="n"/>
      <c r="G48" s="512">
        <f>IF(OR(A48="",E48=""),"",IF(C48="","",C48-E48))</f>
        <v/>
      </c>
      <c r="H48" s="384" t="inlineStr">
        <is>
          <t>Agent 02</t>
        </is>
      </c>
      <c r="I48" s="491" t="n"/>
      <c r="J48" s="499">
        <f>IF(AND(A48&lt;&gt;"",E48&lt;&gt;""),IF(I48="","⚠️ Enter Code",IF(IFERROR(VLOOKUP(H48,DB_Agents!$B:$I,8,0),"")=I48,IF(C48&gt;=E48,"Successful","Unsuccessful"),"🔒 BLOCKED — Wrong Code")),"—")</f>
        <v/>
      </c>
      <c r="K48" s="500">
        <f>IF(J48="Successful",TEXT(TODAY(),"YYYY-MM-DD")&amp;" Auto","—")</f>
        <v/>
      </c>
      <c r="L48" s="501" t="n"/>
    </row>
    <row r="49" ht="15" customHeight="1" s="341">
      <c r="A49" s="486" t="n"/>
      <c r="B49" s="378">
        <f>IF(A49="","",IFERROR(VLOOKUP(A49,DB_Customers!$A:$D,4,0),"❌ Account Not Found"))</f>
        <v/>
      </c>
      <c r="C49" s="487">
        <f>IF(A49="","",IFERROR(VLOOKUP(A49,DB_Customers!$A:$N,14,0),""))</f>
        <v/>
      </c>
      <c r="D49" s="488">
        <f>IF(A49="","",TODAY())</f>
        <v/>
      </c>
      <c r="E49" s="510" t="n"/>
      <c r="F49" s="378" t="n"/>
      <c r="G49" s="511">
        <f>IF(OR(A49="",E49=""),"",IF(C49="","",C49-E49))</f>
        <v/>
      </c>
      <c r="H49" s="380" t="inlineStr">
        <is>
          <t>Agent 02</t>
        </is>
      </c>
      <c r="I49" s="491" t="n"/>
      <c r="J49" s="492">
        <f>IF(AND(A49&lt;&gt;"",E49&lt;&gt;""),IF(I49="","⚠️ Enter Code",IF(IFERROR(VLOOKUP(H49,DB_Agents!$B:$I,8,0),"")=I49,IF(C49&gt;=E49,"Successful","Unsuccessful"),"🔒 BLOCKED — Wrong Code")),"—")</f>
        <v/>
      </c>
      <c r="K49" s="493">
        <f>IF(J49="Successful",TEXT(TODAY(),"YYYY-MM-DD")&amp;" Auto","—")</f>
        <v/>
      </c>
      <c r="L49" s="494" t="n"/>
    </row>
    <row r="50" ht="15" customHeight="1" s="341">
      <c r="A50" s="495" t="n"/>
      <c r="B50" s="382">
        <f>IF(A50="","",IFERROR(VLOOKUP(A50,DB_Customers!$A:$D,4,0),"❌ Account Not Found"))</f>
        <v/>
      </c>
      <c r="C50" s="496">
        <f>IF(A50="","",IFERROR(VLOOKUP(A50,DB_Customers!$A:$N,14,0),""))</f>
        <v/>
      </c>
      <c r="D50" s="497">
        <f>IF(A50="","",TODAY())</f>
        <v/>
      </c>
      <c r="E50" s="510" t="n"/>
      <c r="F50" s="382" t="n"/>
      <c r="G50" s="512">
        <f>IF(OR(A50="",E50=""),"",IF(C50="","",C50-E50))</f>
        <v/>
      </c>
      <c r="H50" s="384" t="inlineStr">
        <is>
          <t>Agent 02</t>
        </is>
      </c>
      <c r="I50" s="491" t="n"/>
      <c r="J50" s="499">
        <f>IF(AND(A50&lt;&gt;"",E50&lt;&gt;""),IF(I50="","⚠️ Enter Code",IF(IFERROR(VLOOKUP(H50,DB_Agents!$B:$I,8,0),"")=I50,IF(C50&gt;=E50,"Successful","Unsuccessful"),"🔒 BLOCKED — Wrong Code")),"—")</f>
        <v/>
      </c>
      <c r="K50" s="500">
        <f>IF(J50="Successful",TEXT(TODAY(),"YYYY-MM-DD")&amp;" Auto","—")</f>
        <v/>
      </c>
      <c r="L50" s="501" t="n"/>
    </row>
    <row r="51" ht="15" customHeight="1" s="341">
      <c r="A51" s="486" t="n"/>
      <c r="B51" s="378">
        <f>IF(A51="","",IFERROR(VLOOKUP(A51,DB_Customers!$A:$D,4,0),"❌ Account Not Found"))</f>
        <v/>
      </c>
      <c r="C51" s="487">
        <f>IF(A51="","",IFERROR(VLOOKUP(A51,DB_Customers!$A:$N,14,0),""))</f>
        <v/>
      </c>
      <c r="D51" s="488">
        <f>IF(A51="","",TODAY())</f>
        <v/>
      </c>
      <c r="E51" s="510" t="n"/>
      <c r="F51" s="378" t="n"/>
      <c r="G51" s="511">
        <f>IF(OR(A51="",E51=""),"",IF(C51="","",C51-E51))</f>
        <v/>
      </c>
      <c r="H51" s="380" t="inlineStr">
        <is>
          <t>Agent 02</t>
        </is>
      </c>
      <c r="I51" s="491" t="n"/>
      <c r="J51" s="492">
        <f>IF(AND(A51&lt;&gt;"",E51&lt;&gt;""),IF(I51="","⚠️ Enter Code",IF(IFERROR(VLOOKUP(H51,DB_Agents!$B:$I,8,0),"")=I51,IF(C51&gt;=E51,"Successful","Unsuccessful"),"🔒 BLOCKED — Wrong Code")),"—")</f>
        <v/>
      </c>
      <c r="K51" s="493">
        <f>IF(J51="Successful",TEXT(TODAY(),"YYYY-MM-DD")&amp;" Auto","—")</f>
        <v/>
      </c>
      <c r="L51" s="494" t="n"/>
    </row>
    <row r="52" ht="15" customHeight="1" s="341">
      <c r="A52" s="495" t="n"/>
      <c r="B52" s="382">
        <f>IF(A52="","",IFERROR(VLOOKUP(A52,DB_Customers!$A:$D,4,0),"❌ Account Not Found"))</f>
        <v/>
      </c>
      <c r="C52" s="496">
        <f>IF(A52="","",IFERROR(VLOOKUP(A52,DB_Customers!$A:$N,14,0),""))</f>
        <v/>
      </c>
      <c r="D52" s="497">
        <f>IF(A52="","",TODAY())</f>
        <v/>
      </c>
      <c r="E52" s="510" t="n"/>
      <c r="F52" s="382" t="n"/>
      <c r="G52" s="512">
        <f>IF(OR(A52="",E52=""),"",IF(C52="","",C52-E52))</f>
        <v/>
      </c>
      <c r="H52" s="384" t="inlineStr">
        <is>
          <t>Agent 02</t>
        </is>
      </c>
      <c r="I52" s="491" t="n"/>
      <c r="J52" s="499">
        <f>IF(AND(A52&lt;&gt;"",E52&lt;&gt;""),IF(I52="","⚠️ Enter Code",IF(IFERROR(VLOOKUP(H52,DB_Agents!$B:$I,8,0),"")=I52,IF(C52&gt;=E52,"Successful","Unsuccessful"),"🔒 BLOCKED — Wrong Code")),"—")</f>
        <v/>
      </c>
      <c r="K52" s="500">
        <f>IF(J52="Successful",TEXT(TODAY(),"YYYY-MM-DD")&amp;" Auto","—")</f>
        <v/>
      </c>
      <c r="L52" s="501" t="n"/>
    </row>
    <row r="53" ht="15" customHeight="1" s="341">
      <c r="A53" s="486" t="n"/>
      <c r="B53" s="378">
        <f>IF(A53="","",IFERROR(VLOOKUP(A53,DB_Customers!$A:$D,4,0),"❌ Account Not Found"))</f>
        <v/>
      </c>
      <c r="C53" s="487">
        <f>IF(A53="","",IFERROR(VLOOKUP(A53,DB_Customers!$A:$N,14,0),""))</f>
        <v/>
      </c>
      <c r="D53" s="488">
        <f>IF(A53="","",TODAY())</f>
        <v/>
      </c>
      <c r="E53" s="510" t="n"/>
      <c r="F53" s="378" t="n"/>
      <c r="G53" s="511">
        <f>IF(OR(A53="",E53=""),"",IF(C53="","",C53-E53))</f>
        <v/>
      </c>
      <c r="H53" s="380" t="inlineStr">
        <is>
          <t>Agent 02</t>
        </is>
      </c>
      <c r="I53" s="491" t="n"/>
      <c r="J53" s="492">
        <f>IF(AND(A53&lt;&gt;"",E53&lt;&gt;""),IF(I53="","⚠️ Enter Code",IF(IFERROR(VLOOKUP(H53,DB_Agents!$B:$I,8,0),"")=I53,IF(C53&gt;=E53,"Successful","Unsuccessful"),"🔒 BLOCKED — Wrong Code")),"—")</f>
        <v/>
      </c>
      <c r="K53" s="493">
        <f>IF(J53="Successful",TEXT(TODAY(),"YYYY-MM-DD")&amp;" Auto","—")</f>
        <v/>
      </c>
      <c r="L53" s="494" t="n"/>
    </row>
    <row r="54" ht="15" customHeight="1" s="341">
      <c r="A54" s="495" t="n"/>
      <c r="B54" s="382">
        <f>IF(A54="","",IFERROR(VLOOKUP(A54,DB_Customers!$A:$D,4,0),"❌ Account Not Found"))</f>
        <v/>
      </c>
      <c r="C54" s="496">
        <f>IF(A54="","",IFERROR(VLOOKUP(A54,DB_Customers!$A:$N,14,0),""))</f>
        <v/>
      </c>
      <c r="D54" s="497">
        <f>IF(A54="","",TODAY())</f>
        <v/>
      </c>
      <c r="E54" s="510" t="n"/>
      <c r="F54" s="382" t="n"/>
      <c r="G54" s="512">
        <f>IF(OR(A54="",E54=""),"",IF(C54="","",C54-E54))</f>
        <v/>
      </c>
      <c r="H54" s="384" t="inlineStr">
        <is>
          <t>Agent 02</t>
        </is>
      </c>
      <c r="I54" s="491" t="n"/>
      <c r="J54" s="499">
        <f>IF(AND(A54&lt;&gt;"",E54&lt;&gt;""),IF(I54="","⚠️ Enter Code",IF(IFERROR(VLOOKUP(H54,DB_Agents!$B:$I,8,0),"")=I54,IF(C54&gt;=E54,"Successful","Unsuccessful"),"🔒 BLOCKED — Wrong Code")),"—")</f>
        <v/>
      </c>
      <c r="K54" s="500">
        <f>IF(J54="Successful",TEXT(TODAY(),"YYYY-MM-DD")&amp;" Auto","—")</f>
        <v/>
      </c>
      <c r="L54" s="501" t="n"/>
    </row>
    <row r="55" ht="15" customHeight="1" s="341">
      <c r="A55" s="486" t="n"/>
      <c r="B55" s="378">
        <f>IF(A55="","",IFERROR(VLOOKUP(A55,DB_Customers!$A:$D,4,0),"❌ Account Not Found"))</f>
        <v/>
      </c>
      <c r="C55" s="487">
        <f>IF(A55="","",IFERROR(VLOOKUP(A55,DB_Customers!$A:$N,14,0),""))</f>
        <v/>
      </c>
      <c r="D55" s="488">
        <f>IF(A55="","",TODAY())</f>
        <v/>
      </c>
      <c r="E55" s="510" t="n"/>
      <c r="F55" s="378" t="n"/>
      <c r="G55" s="511">
        <f>IF(OR(A55="",E55=""),"",IF(C55="","",C55-E55))</f>
        <v/>
      </c>
      <c r="H55" s="380" t="inlineStr">
        <is>
          <t>Agent 02</t>
        </is>
      </c>
      <c r="I55" s="491" t="n"/>
      <c r="J55" s="492">
        <f>IF(AND(A55&lt;&gt;"",E55&lt;&gt;""),IF(I55="","⚠️ Enter Code",IF(IFERROR(VLOOKUP(H55,DB_Agents!$B:$I,8,0),"")=I55,IF(C55&gt;=E55,"Successful","Unsuccessful"),"🔒 BLOCKED — Wrong Code")),"—")</f>
        <v/>
      </c>
      <c r="K55" s="493">
        <f>IF(J55="Successful",TEXT(TODAY(),"YYYY-MM-DD")&amp;" Auto","—")</f>
        <v/>
      </c>
      <c r="L55" s="494" t="n"/>
    </row>
    <row r="56" ht="15" customHeight="1" s="341">
      <c r="A56" s="495" t="n"/>
      <c r="B56" s="382">
        <f>IF(A56="","",IFERROR(VLOOKUP(A56,DB_Customers!$A:$D,4,0),"❌ Account Not Found"))</f>
        <v/>
      </c>
      <c r="C56" s="496">
        <f>IF(A56="","",IFERROR(VLOOKUP(A56,DB_Customers!$A:$N,14,0),""))</f>
        <v/>
      </c>
      <c r="D56" s="497">
        <f>IF(A56="","",TODAY())</f>
        <v/>
      </c>
      <c r="E56" s="510" t="n"/>
      <c r="F56" s="382" t="n"/>
      <c r="G56" s="512">
        <f>IF(OR(A56="",E56=""),"",IF(C56="","",C56-E56))</f>
        <v/>
      </c>
      <c r="H56" s="384" t="inlineStr">
        <is>
          <t>Agent 02</t>
        </is>
      </c>
      <c r="I56" s="491" t="n"/>
      <c r="J56" s="499">
        <f>IF(AND(A56&lt;&gt;"",E56&lt;&gt;""),IF(I56="","⚠️ Enter Code",IF(IFERROR(VLOOKUP(H56,DB_Agents!$B:$I,8,0),"")=I56,IF(C56&gt;=E56,"Successful","Unsuccessful"),"🔒 BLOCKED — Wrong Code")),"—")</f>
        <v/>
      </c>
      <c r="K56" s="500">
        <f>IF(J56="Successful",TEXT(TODAY(),"YYYY-MM-DD")&amp;" Auto","—")</f>
        <v/>
      </c>
      <c r="L56" s="501" t="n"/>
    </row>
    <row r="57" ht="15" customHeight="1" s="341">
      <c r="A57" s="486" t="n"/>
      <c r="B57" s="378">
        <f>IF(A57="","",IFERROR(VLOOKUP(A57,DB_Customers!$A:$D,4,0),"❌ Account Not Found"))</f>
        <v/>
      </c>
      <c r="C57" s="487">
        <f>IF(A57="","",IFERROR(VLOOKUP(A57,DB_Customers!$A:$N,14,0),""))</f>
        <v/>
      </c>
      <c r="D57" s="488">
        <f>IF(A57="","",TODAY())</f>
        <v/>
      </c>
      <c r="E57" s="510" t="n"/>
      <c r="F57" s="378" t="n"/>
      <c r="G57" s="511">
        <f>IF(OR(A57="",E57=""),"",IF(C57="","",C57-E57))</f>
        <v/>
      </c>
      <c r="H57" s="380" t="inlineStr">
        <is>
          <t>Agent 02</t>
        </is>
      </c>
      <c r="I57" s="491" t="n"/>
      <c r="J57" s="492">
        <f>IF(AND(A57&lt;&gt;"",E57&lt;&gt;""),IF(I57="","⚠️ Enter Code",IF(IFERROR(VLOOKUP(H57,DB_Agents!$B:$I,8,0),"")=I57,IF(C57&gt;=E57,"Successful","Unsuccessful"),"🔒 BLOCKED — Wrong Code")),"—")</f>
        <v/>
      </c>
      <c r="K57" s="493">
        <f>IF(J57="Successful",TEXT(TODAY(),"YYYY-MM-DD")&amp;" Auto","—")</f>
        <v/>
      </c>
      <c r="L57" s="494" t="n"/>
    </row>
    <row r="58" ht="15" customHeight="1" s="341">
      <c r="A58" s="495" t="n"/>
      <c r="B58" s="382">
        <f>IF(A58="","",IFERROR(VLOOKUP(A58,DB_Customers!$A:$D,4,0),"❌ Account Not Found"))</f>
        <v/>
      </c>
      <c r="C58" s="496">
        <f>IF(A58="","",IFERROR(VLOOKUP(A58,DB_Customers!$A:$N,14,0),""))</f>
        <v/>
      </c>
      <c r="D58" s="497">
        <f>IF(A58="","",TODAY())</f>
        <v/>
      </c>
      <c r="E58" s="510" t="n"/>
      <c r="F58" s="382" t="n"/>
      <c r="G58" s="512">
        <f>IF(OR(A58="",E58=""),"",IF(C58="","",C58-E58))</f>
        <v/>
      </c>
      <c r="H58" s="384" t="inlineStr">
        <is>
          <t>Agent 02</t>
        </is>
      </c>
      <c r="I58" s="491" t="n"/>
      <c r="J58" s="499">
        <f>IF(AND(A58&lt;&gt;"",E58&lt;&gt;""),IF(I58="","⚠️ Enter Code",IF(IFERROR(VLOOKUP(H58,DB_Agents!$B:$I,8,0),"")=I58,IF(C58&gt;=E58,"Successful","Unsuccessful"),"🔒 BLOCKED — Wrong Code")),"—")</f>
        <v/>
      </c>
      <c r="K58" s="500">
        <f>IF(J58="Successful",TEXT(TODAY(),"YYYY-MM-DD")&amp;" Auto","—")</f>
        <v/>
      </c>
      <c r="L58" s="501" t="n"/>
    </row>
    <row r="59" ht="15" customHeight="1" s="341">
      <c r="A59" s="486" t="n"/>
      <c r="B59" s="378">
        <f>IF(A59="","",IFERROR(VLOOKUP(A59,DB_Customers!$A:$D,4,0),"❌ Account Not Found"))</f>
        <v/>
      </c>
      <c r="C59" s="487">
        <f>IF(A59="","",IFERROR(VLOOKUP(A59,DB_Customers!$A:$N,14,0),""))</f>
        <v/>
      </c>
      <c r="D59" s="488">
        <f>IF(A59="","",TODAY())</f>
        <v/>
      </c>
      <c r="E59" s="510" t="n"/>
      <c r="F59" s="378" t="n"/>
      <c r="G59" s="511">
        <f>IF(OR(A59="",E59=""),"",IF(C59="","",C59-E59))</f>
        <v/>
      </c>
      <c r="H59" s="380" t="inlineStr">
        <is>
          <t>Agent 02</t>
        </is>
      </c>
      <c r="I59" s="491" t="n"/>
      <c r="J59" s="492">
        <f>IF(AND(A59&lt;&gt;"",E59&lt;&gt;""),IF(I59="","⚠️ Enter Code",IF(IFERROR(VLOOKUP(H59,DB_Agents!$B:$I,8,0),"")=I59,IF(C59&gt;=E59,"Successful","Unsuccessful"),"🔒 BLOCKED — Wrong Code")),"—")</f>
        <v/>
      </c>
      <c r="K59" s="493">
        <f>IF(J59="Successful",TEXT(TODAY(),"YYYY-MM-DD")&amp;" Auto","—")</f>
        <v/>
      </c>
      <c r="L59" s="494" t="n"/>
    </row>
    <row r="60" ht="15" customHeight="1" s="341">
      <c r="A60" s="495" t="n"/>
      <c r="B60" s="382">
        <f>IF(A60="","",IFERROR(VLOOKUP(A60,DB_Customers!$A:$D,4,0),"❌ Account Not Found"))</f>
        <v/>
      </c>
      <c r="C60" s="496">
        <f>IF(A60="","",IFERROR(VLOOKUP(A60,DB_Customers!$A:$N,14,0),""))</f>
        <v/>
      </c>
      <c r="D60" s="497">
        <f>IF(A60="","",TODAY())</f>
        <v/>
      </c>
      <c r="E60" s="510" t="n"/>
      <c r="F60" s="382" t="n"/>
      <c r="G60" s="512">
        <f>IF(OR(A60="",E60=""),"",IF(C60="","",C60-E60))</f>
        <v/>
      </c>
      <c r="H60" s="384" t="inlineStr">
        <is>
          <t>Agent 02</t>
        </is>
      </c>
      <c r="I60" s="491" t="n"/>
      <c r="J60" s="499">
        <f>IF(AND(A60&lt;&gt;"",E60&lt;&gt;""),IF(I60="","⚠️ Enter Code",IF(IFERROR(VLOOKUP(H60,DB_Agents!$B:$I,8,0),"")=I60,IF(C60&gt;=E60,"Successful","Unsuccessful"),"🔒 BLOCKED — Wrong Code")),"—")</f>
        <v/>
      </c>
      <c r="K60" s="500">
        <f>IF(J60="Successful",TEXT(TODAY(),"YYYY-MM-DD")&amp;" Auto","—")</f>
        <v/>
      </c>
      <c r="L60" s="501" t="n"/>
    </row>
    <row r="61" ht="15" customHeight="1" s="341">
      <c r="A61" s="486" t="n"/>
      <c r="B61" s="378">
        <f>IF(A61="","",IFERROR(VLOOKUP(A61,DB_Customers!$A:$D,4,0),"❌ Account Not Found"))</f>
        <v/>
      </c>
      <c r="C61" s="487">
        <f>IF(A61="","",IFERROR(VLOOKUP(A61,DB_Customers!$A:$N,14,0),""))</f>
        <v/>
      </c>
      <c r="D61" s="488">
        <f>IF(A61="","",TODAY())</f>
        <v/>
      </c>
      <c r="E61" s="510" t="n"/>
      <c r="F61" s="378" t="n"/>
      <c r="G61" s="511">
        <f>IF(OR(A61="",E61=""),"",IF(C61="","",C61-E61))</f>
        <v/>
      </c>
      <c r="H61" s="380" t="inlineStr">
        <is>
          <t>Agent 02</t>
        </is>
      </c>
      <c r="I61" s="491" t="n"/>
      <c r="J61" s="492">
        <f>IF(AND(A61&lt;&gt;"",E61&lt;&gt;""),IF(I61="","⚠️ Enter Code",IF(IFERROR(VLOOKUP(H61,DB_Agents!$B:$I,8,0),"")=I61,IF(C61&gt;=E61,"Successful","Unsuccessful"),"🔒 BLOCKED — Wrong Code")),"—")</f>
        <v/>
      </c>
      <c r="K61" s="493">
        <f>IF(J61="Successful",TEXT(TODAY(),"YYYY-MM-DD")&amp;" Auto","—")</f>
        <v/>
      </c>
      <c r="L61" s="494" t="n"/>
    </row>
    <row r="62" ht="15" customHeight="1" s="341">
      <c r="A62" s="495" t="n"/>
      <c r="B62" s="382">
        <f>IF(A62="","",IFERROR(VLOOKUP(A62,DB_Customers!$A:$D,4,0),"❌ Account Not Found"))</f>
        <v/>
      </c>
      <c r="C62" s="496">
        <f>IF(A62="","",IFERROR(VLOOKUP(A62,DB_Customers!$A:$N,14,0),""))</f>
        <v/>
      </c>
      <c r="D62" s="497">
        <f>IF(A62="","",TODAY())</f>
        <v/>
      </c>
      <c r="E62" s="510" t="n"/>
      <c r="F62" s="382" t="n"/>
      <c r="G62" s="512">
        <f>IF(OR(A62="",E62=""),"",IF(C62="","",C62-E62))</f>
        <v/>
      </c>
      <c r="H62" s="384" t="inlineStr">
        <is>
          <t>Agent 02</t>
        </is>
      </c>
      <c r="I62" s="491" t="n"/>
      <c r="J62" s="499">
        <f>IF(AND(A62&lt;&gt;"",E62&lt;&gt;""),IF(I62="","⚠️ Enter Code",IF(IFERROR(VLOOKUP(H62,DB_Agents!$B:$I,8,0),"")=I62,IF(C62&gt;=E62,"Successful","Unsuccessful"),"🔒 BLOCKED — Wrong Code")),"—")</f>
        <v/>
      </c>
      <c r="K62" s="500">
        <f>IF(J62="Successful",TEXT(TODAY(),"YYYY-MM-DD")&amp;" Auto","—")</f>
        <v/>
      </c>
      <c r="L62" s="501" t="n"/>
    </row>
    <row r="63" ht="15" customHeight="1" s="341">
      <c r="A63" s="486" t="n"/>
      <c r="B63" s="378">
        <f>IF(A63="","",IFERROR(VLOOKUP(A63,DB_Customers!$A:$D,4,0),"❌ Account Not Found"))</f>
        <v/>
      </c>
      <c r="C63" s="487">
        <f>IF(A63="","",IFERROR(VLOOKUP(A63,DB_Customers!$A:$N,14,0),""))</f>
        <v/>
      </c>
      <c r="D63" s="488">
        <f>IF(A63="","",TODAY())</f>
        <v/>
      </c>
      <c r="E63" s="510" t="n"/>
      <c r="F63" s="378" t="n"/>
      <c r="G63" s="511">
        <f>IF(OR(A63="",E63=""),"",IF(C63="","",C63-E63))</f>
        <v/>
      </c>
      <c r="H63" s="380" t="inlineStr">
        <is>
          <t>Agent 02</t>
        </is>
      </c>
      <c r="I63" s="491" t="n"/>
      <c r="J63" s="492">
        <f>IF(AND(A63&lt;&gt;"",E63&lt;&gt;""),IF(I63="","⚠️ Enter Code",IF(IFERROR(VLOOKUP(H63,DB_Agents!$B:$I,8,0),"")=I63,IF(C63&gt;=E63,"Successful","Unsuccessful"),"🔒 BLOCKED — Wrong Code")),"—")</f>
        <v/>
      </c>
      <c r="K63" s="493">
        <f>IF(J63="Successful",TEXT(TODAY(),"YYYY-MM-DD")&amp;" Auto","—")</f>
        <v/>
      </c>
      <c r="L63" s="494" t="n"/>
    </row>
    <row r="64" ht="15" customHeight="1" s="341">
      <c r="A64" s="495" t="n"/>
      <c r="B64" s="382">
        <f>IF(A64="","",IFERROR(VLOOKUP(A64,DB_Customers!$A:$D,4,0),"❌ Account Not Found"))</f>
        <v/>
      </c>
      <c r="C64" s="496">
        <f>IF(A64="","",IFERROR(VLOOKUP(A64,DB_Customers!$A:$N,14,0),""))</f>
        <v/>
      </c>
      <c r="D64" s="497">
        <f>IF(A64="","",TODAY())</f>
        <v/>
      </c>
      <c r="E64" s="510" t="n"/>
      <c r="F64" s="382" t="n"/>
      <c r="G64" s="512">
        <f>IF(OR(A64="",E64=""),"",IF(C64="","",C64-E64))</f>
        <v/>
      </c>
      <c r="H64" s="384" t="inlineStr">
        <is>
          <t>Agent 02</t>
        </is>
      </c>
      <c r="I64" s="491" t="n"/>
      <c r="J64" s="499">
        <f>IF(AND(A64&lt;&gt;"",E64&lt;&gt;""),IF(I64="","⚠️ Enter Code",IF(IFERROR(VLOOKUP(H64,DB_Agents!$B:$I,8,0),"")=I64,IF(C64&gt;=E64,"Successful","Unsuccessful"),"🔒 BLOCKED — Wrong Code")),"—")</f>
        <v/>
      </c>
      <c r="K64" s="500">
        <f>IF(J64="Successful",TEXT(TODAY(),"YYYY-MM-DD")&amp;" Auto","—")</f>
        <v/>
      </c>
      <c r="L64" s="501" t="n"/>
    </row>
    <row r="65" ht="15" customHeight="1" s="341">
      <c r="A65" s="486" t="n"/>
      <c r="B65" s="378">
        <f>IF(A65="","",IFERROR(VLOOKUP(A65,DB_Customers!$A:$D,4,0),"❌ Account Not Found"))</f>
        <v/>
      </c>
      <c r="C65" s="487">
        <f>IF(A65="","",IFERROR(VLOOKUP(A65,DB_Customers!$A:$N,14,0),""))</f>
        <v/>
      </c>
      <c r="D65" s="488">
        <f>IF(A65="","",TODAY())</f>
        <v/>
      </c>
      <c r="E65" s="510" t="n"/>
      <c r="F65" s="378" t="n"/>
      <c r="G65" s="511">
        <f>IF(OR(A65="",E65=""),"",IF(C65="","",C65-E65))</f>
        <v/>
      </c>
      <c r="H65" s="380" t="inlineStr">
        <is>
          <t>Agent 02</t>
        </is>
      </c>
      <c r="I65" s="491" t="n"/>
      <c r="J65" s="492">
        <f>IF(AND(A65&lt;&gt;"",E65&lt;&gt;""),IF(I65="","⚠️ Enter Code",IF(IFERROR(VLOOKUP(H65,DB_Agents!$B:$I,8,0),"")=I65,IF(C65&gt;=E65,"Successful","Unsuccessful"),"🔒 BLOCKED — Wrong Code")),"—")</f>
        <v/>
      </c>
      <c r="K65" s="493">
        <f>IF(J65="Successful",TEXT(TODAY(),"YYYY-MM-DD")&amp;" Auto","—")</f>
        <v/>
      </c>
      <c r="L65" s="494" t="n"/>
    </row>
    <row r="66" ht="15" customHeight="1" s="341">
      <c r="A66" s="495" t="n"/>
      <c r="B66" s="382">
        <f>IF(A66="","",IFERROR(VLOOKUP(A66,DB_Customers!$A:$D,4,0),"❌ Account Not Found"))</f>
        <v/>
      </c>
      <c r="C66" s="496">
        <f>IF(A66="","",IFERROR(VLOOKUP(A66,DB_Customers!$A:$N,14,0),""))</f>
        <v/>
      </c>
      <c r="D66" s="497">
        <f>IF(A66="","",TODAY())</f>
        <v/>
      </c>
      <c r="E66" s="510" t="n"/>
      <c r="F66" s="382" t="n"/>
      <c r="G66" s="512">
        <f>IF(OR(A66="",E66=""),"",IF(C66="","",C66-E66))</f>
        <v/>
      </c>
      <c r="H66" s="384" t="inlineStr">
        <is>
          <t>Agent 02</t>
        </is>
      </c>
      <c r="I66" s="491" t="n"/>
      <c r="J66" s="499">
        <f>IF(AND(A66&lt;&gt;"",E66&lt;&gt;""),IF(I66="","⚠️ Enter Code",IF(IFERROR(VLOOKUP(H66,DB_Agents!$B:$I,8,0),"")=I66,IF(C66&gt;=E66,"Successful","Unsuccessful"),"🔒 BLOCKED — Wrong Code")),"—")</f>
        <v/>
      </c>
      <c r="K66" s="500">
        <f>IF(J66="Successful",TEXT(TODAY(),"YYYY-MM-DD")&amp;" Auto","—")</f>
        <v/>
      </c>
      <c r="L66" s="501" t="n"/>
    </row>
    <row r="67" ht="15" customHeight="1" s="341">
      <c r="A67" s="486" t="n"/>
      <c r="B67" s="378">
        <f>IF(A67="","",IFERROR(VLOOKUP(A67,DB_Customers!$A:$D,4,0),"❌ Account Not Found"))</f>
        <v/>
      </c>
      <c r="C67" s="487">
        <f>IF(A67="","",IFERROR(VLOOKUP(A67,DB_Customers!$A:$N,14,0),""))</f>
        <v/>
      </c>
      <c r="D67" s="488">
        <f>IF(A67="","",TODAY())</f>
        <v/>
      </c>
      <c r="E67" s="510" t="n"/>
      <c r="F67" s="378" t="n"/>
      <c r="G67" s="511">
        <f>IF(OR(A67="",E67=""),"",IF(C67="","",C67-E67))</f>
        <v/>
      </c>
      <c r="H67" s="380" t="inlineStr">
        <is>
          <t>Agent 02</t>
        </is>
      </c>
      <c r="I67" s="491" t="n"/>
      <c r="J67" s="492">
        <f>IF(AND(A67&lt;&gt;"",E67&lt;&gt;""),IF(I67="","⚠️ Enter Code",IF(IFERROR(VLOOKUP(H67,DB_Agents!$B:$I,8,0),"")=I67,IF(C67&gt;=E67,"Successful","Unsuccessful"),"🔒 BLOCKED — Wrong Code")),"—")</f>
        <v/>
      </c>
      <c r="K67" s="493">
        <f>IF(J67="Successful",TEXT(TODAY(),"YYYY-MM-DD")&amp;" Auto","—")</f>
        <v/>
      </c>
      <c r="L67" s="494" t="n"/>
    </row>
    <row r="68" ht="15" customHeight="1" s="341">
      <c r="A68" s="495" t="n"/>
      <c r="B68" s="382">
        <f>IF(A68="","",IFERROR(VLOOKUP(A68,DB_Customers!$A:$D,4,0),"❌ Account Not Found"))</f>
        <v/>
      </c>
      <c r="C68" s="496">
        <f>IF(A68="","",IFERROR(VLOOKUP(A68,DB_Customers!$A:$N,14,0),""))</f>
        <v/>
      </c>
      <c r="D68" s="497">
        <f>IF(A68="","",TODAY())</f>
        <v/>
      </c>
      <c r="E68" s="510" t="n"/>
      <c r="F68" s="382" t="n"/>
      <c r="G68" s="512">
        <f>IF(OR(A68="",E68=""),"",IF(C68="","",C68-E68))</f>
        <v/>
      </c>
      <c r="H68" s="384" t="inlineStr">
        <is>
          <t>Agent 02</t>
        </is>
      </c>
      <c r="I68" s="491" t="n"/>
      <c r="J68" s="499">
        <f>IF(AND(A68&lt;&gt;"",E68&lt;&gt;""),IF(I68="","⚠️ Enter Code",IF(IFERROR(VLOOKUP(H68,DB_Agents!$B:$I,8,0),"")=I68,IF(C68&gt;=E68,"Successful","Unsuccessful"),"🔒 BLOCKED — Wrong Code")),"—")</f>
        <v/>
      </c>
      <c r="K68" s="500">
        <f>IF(J68="Successful",TEXT(TODAY(),"YYYY-MM-DD")&amp;" Auto","—")</f>
        <v/>
      </c>
      <c r="L68" s="501" t="n"/>
    </row>
    <row r="69" ht="15" customHeight="1" s="341">
      <c r="A69" s="486" t="n"/>
      <c r="B69" s="378">
        <f>IF(A69="","",IFERROR(VLOOKUP(A69,DB_Customers!$A:$D,4,0),"❌ Account Not Found"))</f>
        <v/>
      </c>
      <c r="C69" s="487">
        <f>IF(A69="","",IFERROR(VLOOKUP(A69,DB_Customers!$A:$N,14,0),""))</f>
        <v/>
      </c>
      <c r="D69" s="488">
        <f>IF(A69="","",TODAY())</f>
        <v/>
      </c>
      <c r="E69" s="510" t="n"/>
      <c r="F69" s="378" t="n"/>
      <c r="G69" s="511">
        <f>IF(OR(A69="",E69=""),"",IF(C69="","",C69-E69))</f>
        <v/>
      </c>
      <c r="H69" s="380" t="inlineStr">
        <is>
          <t>Agent 02</t>
        </is>
      </c>
      <c r="I69" s="491" t="n"/>
      <c r="J69" s="492">
        <f>IF(AND(A69&lt;&gt;"",E69&lt;&gt;""),IF(I69="","⚠️ Enter Code",IF(IFERROR(VLOOKUP(H69,DB_Agents!$B:$I,8,0),"")=I69,IF(C69&gt;=E69,"Successful","Unsuccessful"),"🔒 BLOCKED — Wrong Code")),"—")</f>
        <v/>
      </c>
      <c r="K69" s="493">
        <f>IF(J69="Successful",TEXT(TODAY(),"YYYY-MM-DD")&amp;" Auto","—")</f>
        <v/>
      </c>
      <c r="L69" s="494" t="n"/>
    </row>
    <row r="70" ht="15" customHeight="1" s="341">
      <c r="A70" s="495" t="n"/>
      <c r="B70" s="382">
        <f>IF(A70="","",IFERROR(VLOOKUP(A70,DB_Customers!$A:$D,4,0),"❌ Account Not Found"))</f>
        <v/>
      </c>
      <c r="C70" s="496">
        <f>IF(A70="","",IFERROR(VLOOKUP(A70,DB_Customers!$A:$N,14,0),""))</f>
        <v/>
      </c>
      <c r="D70" s="497">
        <f>IF(A70="","",TODAY())</f>
        <v/>
      </c>
      <c r="E70" s="510" t="n"/>
      <c r="F70" s="382" t="n"/>
      <c r="G70" s="512">
        <f>IF(OR(A70="",E70=""),"",IF(C70="","",C70-E70))</f>
        <v/>
      </c>
      <c r="H70" s="384" t="inlineStr">
        <is>
          <t>Agent 02</t>
        </is>
      </c>
      <c r="I70" s="491" t="n"/>
      <c r="J70" s="499">
        <f>IF(AND(A70&lt;&gt;"",E70&lt;&gt;""),IF(I70="","⚠️ Enter Code",IF(IFERROR(VLOOKUP(H70,DB_Agents!$B:$I,8,0),"")=I70,IF(C70&gt;=E70,"Successful","Unsuccessful"),"🔒 BLOCKED — Wrong Code")),"—")</f>
        <v/>
      </c>
      <c r="K70" s="500">
        <f>IF(J70="Successful",TEXT(TODAY(),"YYYY-MM-DD")&amp;" Auto","—")</f>
        <v/>
      </c>
      <c r="L70" s="501" t="n"/>
    </row>
    <row r="71" ht="15" customHeight="1" s="341">
      <c r="A71" s="486" t="n"/>
      <c r="B71" s="378">
        <f>IF(A71="","",IFERROR(VLOOKUP(A71,DB_Customers!$A:$D,4,0),"❌ Account Not Found"))</f>
        <v/>
      </c>
      <c r="C71" s="487">
        <f>IF(A71="","",IFERROR(VLOOKUP(A71,DB_Customers!$A:$N,14,0),""))</f>
        <v/>
      </c>
      <c r="D71" s="488">
        <f>IF(A71="","",TODAY())</f>
        <v/>
      </c>
      <c r="E71" s="510" t="n"/>
      <c r="F71" s="378" t="n"/>
      <c r="G71" s="511">
        <f>IF(OR(A71="",E71=""),"",IF(C71="","",C71-E71))</f>
        <v/>
      </c>
      <c r="H71" s="380" t="inlineStr">
        <is>
          <t>Agent 02</t>
        </is>
      </c>
      <c r="I71" s="491" t="n"/>
      <c r="J71" s="492">
        <f>IF(AND(A71&lt;&gt;"",E71&lt;&gt;""),IF(I71="","⚠️ Enter Code",IF(IFERROR(VLOOKUP(H71,DB_Agents!$B:$I,8,0),"")=I71,IF(C71&gt;=E71,"Successful","Unsuccessful"),"🔒 BLOCKED — Wrong Code")),"—")</f>
        <v/>
      </c>
      <c r="K71" s="493">
        <f>IF(J71="Successful",TEXT(TODAY(),"YYYY-MM-DD")&amp;" Auto","—")</f>
        <v/>
      </c>
      <c r="L71" s="494" t="n"/>
    </row>
    <row r="72" ht="15" customHeight="1" s="341">
      <c r="A72" s="495" t="n"/>
      <c r="B72" s="382">
        <f>IF(A72="","",IFERROR(VLOOKUP(A72,DB_Customers!$A:$D,4,0),"❌ Account Not Found"))</f>
        <v/>
      </c>
      <c r="C72" s="496">
        <f>IF(A72="","",IFERROR(VLOOKUP(A72,DB_Customers!$A:$N,14,0),""))</f>
        <v/>
      </c>
      <c r="D72" s="497">
        <f>IF(A72="","",TODAY())</f>
        <v/>
      </c>
      <c r="E72" s="510" t="n"/>
      <c r="F72" s="382" t="n"/>
      <c r="G72" s="512">
        <f>IF(OR(A72="",E72=""),"",IF(C72="","",C72-E72))</f>
        <v/>
      </c>
      <c r="H72" s="384" t="inlineStr">
        <is>
          <t>Agent 02</t>
        </is>
      </c>
      <c r="I72" s="491" t="n"/>
      <c r="J72" s="499">
        <f>IF(AND(A72&lt;&gt;"",E72&lt;&gt;""),IF(I72="","⚠️ Enter Code",IF(IFERROR(VLOOKUP(H72,DB_Agents!$B:$I,8,0),"")=I72,IF(C72&gt;=E72,"Successful","Unsuccessful"),"🔒 BLOCKED — Wrong Code")),"—")</f>
        <v/>
      </c>
      <c r="K72" s="500">
        <f>IF(J72="Successful",TEXT(TODAY(),"YYYY-MM-DD")&amp;" Auto","—")</f>
        <v/>
      </c>
      <c r="L72" s="501" t="n"/>
    </row>
    <row r="73" ht="15" customHeight="1" s="341">
      <c r="A73" s="486" t="n"/>
      <c r="B73" s="378">
        <f>IF(A73="","",IFERROR(VLOOKUP(A73,DB_Customers!$A:$D,4,0),"❌ Account Not Found"))</f>
        <v/>
      </c>
      <c r="C73" s="487">
        <f>IF(A73="","",IFERROR(VLOOKUP(A73,DB_Customers!$A:$N,14,0),""))</f>
        <v/>
      </c>
      <c r="D73" s="488">
        <f>IF(A73="","",TODAY())</f>
        <v/>
      </c>
      <c r="E73" s="510" t="n"/>
      <c r="F73" s="378" t="n"/>
      <c r="G73" s="511">
        <f>IF(OR(A73="",E73=""),"",IF(C73="","",C73-E73))</f>
        <v/>
      </c>
      <c r="H73" s="380" t="inlineStr">
        <is>
          <t>Agent 02</t>
        </is>
      </c>
      <c r="I73" s="491" t="n"/>
      <c r="J73" s="492">
        <f>IF(AND(A73&lt;&gt;"",E73&lt;&gt;""),IF(I73="","⚠️ Enter Code",IF(IFERROR(VLOOKUP(H73,DB_Agents!$B:$I,8,0),"")=I73,IF(C73&gt;=E73,"Successful","Unsuccessful"),"🔒 BLOCKED — Wrong Code")),"—")</f>
        <v/>
      </c>
      <c r="K73" s="493">
        <f>IF(J73="Successful",TEXT(TODAY(),"YYYY-MM-DD")&amp;" Auto","—")</f>
        <v/>
      </c>
      <c r="L73" s="494" t="n"/>
    </row>
    <row r="74" ht="15" customHeight="1" s="341">
      <c r="A74" s="495" t="n"/>
      <c r="B74" s="382">
        <f>IF(A74="","",IFERROR(VLOOKUP(A74,DB_Customers!$A:$D,4,0),"❌ Account Not Found"))</f>
        <v/>
      </c>
      <c r="C74" s="496">
        <f>IF(A74="","",IFERROR(VLOOKUP(A74,DB_Customers!$A:$N,14,0),""))</f>
        <v/>
      </c>
      <c r="D74" s="497">
        <f>IF(A74="","",TODAY())</f>
        <v/>
      </c>
      <c r="E74" s="510" t="n"/>
      <c r="F74" s="382" t="n"/>
      <c r="G74" s="512">
        <f>IF(OR(A74="",E74=""),"",IF(C74="","",C74-E74))</f>
        <v/>
      </c>
      <c r="H74" s="384" t="inlineStr">
        <is>
          <t>Agent 02</t>
        </is>
      </c>
      <c r="I74" s="491" t="n"/>
      <c r="J74" s="499">
        <f>IF(AND(A74&lt;&gt;"",E74&lt;&gt;""),IF(I74="","⚠️ Enter Code",IF(IFERROR(VLOOKUP(H74,DB_Agents!$B:$I,8,0),"")=I74,IF(C74&gt;=E74,"Successful","Unsuccessful"),"🔒 BLOCKED — Wrong Code")),"—")</f>
        <v/>
      </c>
      <c r="K74" s="500">
        <f>IF(J74="Successful",TEXT(TODAY(),"YYYY-MM-DD")&amp;" Auto","—")</f>
        <v/>
      </c>
      <c r="L74" s="501" t="n"/>
    </row>
    <row r="75" ht="15" customHeight="1" s="341">
      <c r="A75" s="486" t="n"/>
      <c r="B75" s="378">
        <f>IF(A75="","",IFERROR(VLOOKUP(A75,DB_Customers!$A:$D,4,0),"❌ Account Not Found"))</f>
        <v/>
      </c>
      <c r="C75" s="487">
        <f>IF(A75="","",IFERROR(VLOOKUP(A75,DB_Customers!$A:$N,14,0),""))</f>
        <v/>
      </c>
      <c r="D75" s="488">
        <f>IF(A75="","",TODAY())</f>
        <v/>
      </c>
      <c r="E75" s="510" t="n"/>
      <c r="F75" s="378" t="n"/>
      <c r="G75" s="511">
        <f>IF(OR(A75="",E75=""),"",IF(C75="","",C75-E75))</f>
        <v/>
      </c>
      <c r="H75" s="380" t="inlineStr">
        <is>
          <t>Agent 02</t>
        </is>
      </c>
      <c r="I75" s="491" t="n"/>
      <c r="J75" s="492">
        <f>IF(AND(A75&lt;&gt;"",E75&lt;&gt;""),IF(I75="","⚠️ Enter Code",IF(IFERROR(VLOOKUP(H75,DB_Agents!$B:$I,8,0),"")=I75,IF(C75&gt;=E75,"Successful","Unsuccessful"),"🔒 BLOCKED — Wrong Code")),"—")</f>
        <v/>
      </c>
      <c r="K75" s="493">
        <f>IF(J75="Successful",TEXT(TODAY(),"YYYY-MM-DD")&amp;" Auto","—")</f>
        <v/>
      </c>
      <c r="L75" s="494" t="n"/>
    </row>
    <row r="76" ht="15" customHeight="1" s="341">
      <c r="A76" s="495" t="n"/>
      <c r="B76" s="382">
        <f>IF(A76="","",IFERROR(VLOOKUP(A76,DB_Customers!$A:$D,4,0),"❌ Account Not Found"))</f>
        <v/>
      </c>
      <c r="C76" s="496">
        <f>IF(A76="","",IFERROR(VLOOKUP(A76,DB_Customers!$A:$N,14,0),""))</f>
        <v/>
      </c>
      <c r="D76" s="497">
        <f>IF(A76="","",TODAY())</f>
        <v/>
      </c>
      <c r="E76" s="510" t="n"/>
      <c r="F76" s="382" t="n"/>
      <c r="G76" s="512">
        <f>IF(OR(A76="",E76=""),"",IF(C76="","",C76-E76))</f>
        <v/>
      </c>
      <c r="H76" s="384" t="inlineStr">
        <is>
          <t>Agent 02</t>
        </is>
      </c>
      <c r="I76" s="491" t="n"/>
      <c r="J76" s="499">
        <f>IF(AND(A76&lt;&gt;"",E76&lt;&gt;""),IF(I76="","⚠️ Enter Code",IF(IFERROR(VLOOKUP(H76,DB_Agents!$B:$I,8,0),"")=I76,IF(C76&gt;=E76,"Successful","Unsuccessful"),"🔒 BLOCKED — Wrong Code")),"—")</f>
        <v/>
      </c>
      <c r="K76" s="500">
        <f>IF(J76="Successful",TEXT(TODAY(),"YYYY-MM-DD")&amp;" Auto","—")</f>
        <v/>
      </c>
      <c r="L76" s="501" t="n"/>
    </row>
    <row r="77" ht="15" customHeight="1" s="341">
      <c r="A77" s="486" t="n"/>
      <c r="B77" s="378">
        <f>IF(A77="","",IFERROR(VLOOKUP(A77,DB_Customers!$A:$D,4,0),"❌ Account Not Found"))</f>
        <v/>
      </c>
      <c r="C77" s="487">
        <f>IF(A77="","",IFERROR(VLOOKUP(A77,DB_Customers!$A:$N,14,0),""))</f>
        <v/>
      </c>
      <c r="D77" s="488">
        <f>IF(A77="","",TODAY())</f>
        <v/>
      </c>
      <c r="E77" s="510" t="n"/>
      <c r="F77" s="378" t="n"/>
      <c r="G77" s="511">
        <f>IF(OR(A77="",E77=""),"",IF(C77="","",C77-E77))</f>
        <v/>
      </c>
      <c r="H77" s="380" t="inlineStr">
        <is>
          <t>Agent 02</t>
        </is>
      </c>
      <c r="I77" s="491" t="n"/>
      <c r="J77" s="492">
        <f>IF(AND(A77&lt;&gt;"",E77&lt;&gt;""),IF(I77="","⚠️ Enter Code",IF(IFERROR(VLOOKUP(H77,DB_Agents!$B:$I,8,0),"")=I77,IF(C77&gt;=E77,"Successful","Unsuccessful"),"🔒 BLOCKED — Wrong Code")),"—")</f>
        <v/>
      </c>
      <c r="K77" s="493">
        <f>IF(J77="Successful",TEXT(TODAY(),"YYYY-MM-DD")&amp;" Auto","—")</f>
        <v/>
      </c>
      <c r="L77" s="494" t="n"/>
    </row>
    <row r="78" ht="15" customHeight="1" s="341">
      <c r="A78" s="495" t="n"/>
      <c r="B78" s="382">
        <f>IF(A78="","",IFERROR(VLOOKUP(A78,DB_Customers!$A:$D,4,0),"❌ Account Not Found"))</f>
        <v/>
      </c>
      <c r="C78" s="496">
        <f>IF(A78="","",IFERROR(VLOOKUP(A78,DB_Customers!$A:$N,14,0),""))</f>
        <v/>
      </c>
      <c r="D78" s="497">
        <f>IF(A78="","",TODAY())</f>
        <v/>
      </c>
      <c r="E78" s="510" t="n"/>
      <c r="F78" s="382" t="n"/>
      <c r="G78" s="512">
        <f>IF(OR(A78="",E78=""),"",IF(C78="","",C78-E78))</f>
        <v/>
      </c>
      <c r="H78" s="384" t="inlineStr">
        <is>
          <t>Agent 02</t>
        </is>
      </c>
      <c r="I78" s="491" t="n"/>
      <c r="J78" s="499">
        <f>IF(AND(A78&lt;&gt;"",E78&lt;&gt;""),IF(I78="","⚠️ Enter Code",IF(IFERROR(VLOOKUP(H78,DB_Agents!$B:$I,8,0),"")=I78,IF(C78&gt;=E78,"Successful","Unsuccessful"),"🔒 BLOCKED — Wrong Code")),"—")</f>
        <v/>
      </c>
      <c r="K78" s="500">
        <f>IF(J78="Successful",TEXT(TODAY(),"YYYY-MM-DD")&amp;" Auto","—")</f>
        <v/>
      </c>
      <c r="L78" s="501" t="n"/>
    </row>
    <row r="79" ht="15" customHeight="1" s="341">
      <c r="A79" s="486" t="n"/>
      <c r="B79" s="378">
        <f>IF(A79="","",IFERROR(VLOOKUP(A79,DB_Customers!$A:$D,4,0),"❌ Account Not Found"))</f>
        <v/>
      </c>
      <c r="C79" s="487">
        <f>IF(A79="","",IFERROR(VLOOKUP(A79,DB_Customers!$A:$N,14,0),""))</f>
        <v/>
      </c>
      <c r="D79" s="488">
        <f>IF(A79="","",TODAY())</f>
        <v/>
      </c>
      <c r="E79" s="510" t="n"/>
      <c r="F79" s="378" t="n"/>
      <c r="G79" s="511">
        <f>IF(OR(A79="",E79=""),"",IF(C79="","",C79-E79))</f>
        <v/>
      </c>
      <c r="H79" s="380" t="inlineStr">
        <is>
          <t>Agent 02</t>
        </is>
      </c>
      <c r="I79" s="491" t="n"/>
      <c r="J79" s="492">
        <f>IF(AND(A79&lt;&gt;"",E79&lt;&gt;""),IF(I79="","⚠️ Enter Code",IF(IFERROR(VLOOKUP(H79,DB_Agents!$B:$I,8,0),"")=I79,IF(C79&gt;=E79,"Successful","Unsuccessful"),"🔒 BLOCKED — Wrong Code")),"—")</f>
        <v/>
      </c>
      <c r="K79" s="493">
        <f>IF(J79="Successful",TEXT(TODAY(),"YYYY-MM-DD")&amp;" Auto","—")</f>
        <v/>
      </c>
      <c r="L79" s="494" t="n"/>
    </row>
    <row r="80" ht="15" customHeight="1" s="341">
      <c r="A80" s="495" t="n"/>
      <c r="B80" s="382">
        <f>IF(A80="","",IFERROR(VLOOKUP(A80,DB_Customers!$A:$D,4,0),"❌ Account Not Found"))</f>
        <v/>
      </c>
      <c r="C80" s="496">
        <f>IF(A80="","",IFERROR(VLOOKUP(A80,DB_Customers!$A:$N,14,0),""))</f>
        <v/>
      </c>
      <c r="D80" s="497">
        <f>IF(A80="","",TODAY())</f>
        <v/>
      </c>
      <c r="E80" s="510" t="n"/>
      <c r="F80" s="382" t="n"/>
      <c r="G80" s="512">
        <f>IF(OR(A80="",E80=""),"",IF(C80="","",C80-E80))</f>
        <v/>
      </c>
      <c r="H80" s="384" t="inlineStr">
        <is>
          <t>Agent 02</t>
        </is>
      </c>
      <c r="I80" s="491" t="n"/>
      <c r="J80" s="499">
        <f>IF(AND(A80&lt;&gt;"",E80&lt;&gt;""),IF(I80="","⚠️ Enter Code",IF(IFERROR(VLOOKUP(H80,DB_Agents!$B:$I,8,0),"")=I80,IF(C80&gt;=E80,"Successful","Unsuccessful"),"🔒 BLOCKED — Wrong Code")),"—")</f>
        <v/>
      </c>
      <c r="K80" s="500">
        <f>IF(J80="Successful",TEXT(TODAY(),"YYYY-MM-DD")&amp;" Auto","—")</f>
        <v/>
      </c>
      <c r="L80" s="501" t="n"/>
    </row>
    <row r="81" ht="15" customHeight="1" s="341">
      <c r="A81" s="486" t="n"/>
      <c r="B81" s="378">
        <f>IF(A81="","",IFERROR(VLOOKUP(A81,DB_Customers!$A:$D,4,0),"❌ Account Not Found"))</f>
        <v/>
      </c>
      <c r="C81" s="487">
        <f>IF(A81="","",IFERROR(VLOOKUP(A81,DB_Customers!$A:$N,14,0),""))</f>
        <v/>
      </c>
      <c r="D81" s="488">
        <f>IF(A81="","",TODAY())</f>
        <v/>
      </c>
      <c r="E81" s="510" t="n"/>
      <c r="F81" s="378" t="n"/>
      <c r="G81" s="511">
        <f>IF(OR(A81="",E81=""),"",IF(C81="","",C81-E81))</f>
        <v/>
      </c>
      <c r="H81" s="380" t="inlineStr">
        <is>
          <t>Agent 02</t>
        </is>
      </c>
      <c r="I81" s="491" t="n"/>
      <c r="J81" s="492">
        <f>IF(AND(A81&lt;&gt;"",E81&lt;&gt;""),IF(I81="","⚠️ Enter Code",IF(IFERROR(VLOOKUP(H81,DB_Agents!$B:$I,8,0),"")=I81,IF(C81&gt;=E81,"Successful","Unsuccessful"),"🔒 BLOCKED — Wrong Code")),"—")</f>
        <v/>
      </c>
      <c r="K81" s="493">
        <f>IF(J81="Successful",TEXT(TODAY(),"YYYY-MM-DD")&amp;" Auto","—")</f>
        <v/>
      </c>
      <c r="L81" s="494" t="n"/>
    </row>
    <row r="82" ht="15" customHeight="1" s="341">
      <c r="A82" s="495" t="n"/>
      <c r="B82" s="382">
        <f>IF(A82="","",IFERROR(VLOOKUP(A82,DB_Customers!$A:$D,4,0),"❌ Account Not Found"))</f>
        <v/>
      </c>
      <c r="C82" s="496">
        <f>IF(A82="","",IFERROR(VLOOKUP(A82,DB_Customers!$A:$N,14,0),""))</f>
        <v/>
      </c>
      <c r="D82" s="497">
        <f>IF(A82="","",TODAY())</f>
        <v/>
      </c>
      <c r="E82" s="510" t="n"/>
      <c r="F82" s="382" t="n"/>
      <c r="G82" s="512">
        <f>IF(OR(A82="",E82=""),"",IF(C82="","",C82-E82))</f>
        <v/>
      </c>
      <c r="H82" s="384" t="inlineStr">
        <is>
          <t>Agent 02</t>
        </is>
      </c>
      <c r="I82" s="491" t="n"/>
      <c r="J82" s="499">
        <f>IF(AND(A82&lt;&gt;"",E82&lt;&gt;""),IF(I82="","⚠️ Enter Code",IF(IFERROR(VLOOKUP(H82,DB_Agents!$B:$I,8,0),"")=I82,IF(C82&gt;=E82,"Successful","Unsuccessful"),"🔒 BLOCKED — Wrong Code")),"—")</f>
        <v/>
      </c>
      <c r="K82" s="500">
        <f>IF(J82="Successful",TEXT(TODAY(),"YYYY-MM-DD")&amp;" Auto","—")</f>
        <v/>
      </c>
      <c r="L82" s="501" t="n"/>
    </row>
    <row r="83" ht="15" customHeight="1" s="341">
      <c r="A83" s="486" t="n"/>
      <c r="B83" s="378">
        <f>IF(A83="","",IFERROR(VLOOKUP(A83,DB_Customers!$A:$D,4,0),"❌ Account Not Found"))</f>
        <v/>
      </c>
      <c r="C83" s="487">
        <f>IF(A83="","",IFERROR(VLOOKUP(A83,DB_Customers!$A:$N,14,0),""))</f>
        <v/>
      </c>
      <c r="D83" s="488">
        <f>IF(A83="","",TODAY())</f>
        <v/>
      </c>
      <c r="E83" s="510" t="n"/>
      <c r="F83" s="378" t="n"/>
      <c r="G83" s="511">
        <f>IF(OR(A83="",E83=""),"",IF(C83="","",C83-E83))</f>
        <v/>
      </c>
      <c r="H83" s="380" t="inlineStr">
        <is>
          <t>Agent 02</t>
        </is>
      </c>
      <c r="I83" s="491" t="n"/>
      <c r="J83" s="492">
        <f>IF(AND(A83&lt;&gt;"",E83&lt;&gt;""),IF(I83="","⚠️ Enter Code",IF(IFERROR(VLOOKUP(H83,DB_Agents!$B:$I,8,0),"")=I83,IF(C83&gt;=E83,"Successful","Unsuccessful"),"🔒 BLOCKED — Wrong Code")),"—")</f>
        <v/>
      </c>
      <c r="K83" s="493">
        <f>IF(J83="Successful",TEXT(TODAY(),"YYYY-MM-DD")&amp;" Auto","—")</f>
        <v/>
      </c>
      <c r="L83" s="494" t="n"/>
    </row>
    <row r="84" ht="15" customHeight="1" s="341">
      <c r="A84" s="495" t="n"/>
      <c r="B84" s="382">
        <f>IF(A84="","",IFERROR(VLOOKUP(A84,DB_Customers!$A:$D,4,0),"❌ Account Not Found"))</f>
        <v/>
      </c>
      <c r="C84" s="496">
        <f>IF(A84="","",IFERROR(VLOOKUP(A84,DB_Customers!$A:$N,14,0),""))</f>
        <v/>
      </c>
      <c r="D84" s="497">
        <f>IF(A84="","",TODAY())</f>
        <v/>
      </c>
      <c r="E84" s="510" t="n"/>
      <c r="F84" s="382" t="n"/>
      <c r="G84" s="512">
        <f>IF(OR(A84="",E84=""),"",IF(C84="","",C84-E84))</f>
        <v/>
      </c>
      <c r="H84" s="384" t="inlineStr">
        <is>
          <t>Agent 02</t>
        </is>
      </c>
      <c r="I84" s="491" t="n"/>
      <c r="J84" s="499">
        <f>IF(AND(A84&lt;&gt;"",E84&lt;&gt;""),IF(I84="","⚠️ Enter Code",IF(IFERROR(VLOOKUP(H84,DB_Agents!$B:$I,8,0),"")=I84,IF(C84&gt;=E84,"Successful","Unsuccessful"),"🔒 BLOCKED — Wrong Code")),"—")</f>
        <v/>
      </c>
      <c r="K84" s="500">
        <f>IF(J84="Successful",TEXT(TODAY(),"YYYY-MM-DD")&amp;" Auto","—")</f>
        <v/>
      </c>
      <c r="L84" s="501" t="n"/>
    </row>
    <row r="85" ht="15" customHeight="1" s="341">
      <c r="A85" s="486" t="n"/>
      <c r="B85" s="378">
        <f>IF(A85="","",IFERROR(VLOOKUP(A85,DB_Customers!$A:$D,4,0),"❌ Account Not Found"))</f>
        <v/>
      </c>
      <c r="C85" s="487">
        <f>IF(A85="","",IFERROR(VLOOKUP(A85,DB_Customers!$A:$N,14,0),""))</f>
        <v/>
      </c>
      <c r="D85" s="488">
        <f>IF(A85="","",TODAY())</f>
        <v/>
      </c>
      <c r="E85" s="510" t="n"/>
      <c r="F85" s="378" t="n"/>
      <c r="G85" s="511">
        <f>IF(OR(A85="",E85=""),"",IF(C85="","",C85-E85))</f>
        <v/>
      </c>
      <c r="H85" s="380" t="inlineStr">
        <is>
          <t>Agent 02</t>
        </is>
      </c>
      <c r="I85" s="491" t="n"/>
      <c r="J85" s="492">
        <f>IF(AND(A85&lt;&gt;"",E85&lt;&gt;""),IF(I85="","⚠️ Enter Code",IF(IFERROR(VLOOKUP(H85,DB_Agents!$B:$I,8,0),"")=I85,IF(C85&gt;=E85,"Successful","Unsuccessful"),"🔒 BLOCKED — Wrong Code")),"—")</f>
        <v/>
      </c>
      <c r="K85" s="493">
        <f>IF(J85="Successful",TEXT(TODAY(),"YYYY-MM-DD")&amp;" Auto","—")</f>
        <v/>
      </c>
      <c r="L85" s="494" t="n"/>
    </row>
    <row r="86" ht="15" customHeight="1" s="341">
      <c r="A86" s="495" t="n"/>
      <c r="B86" s="382">
        <f>IF(A86="","",IFERROR(VLOOKUP(A86,DB_Customers!$A:$D,4,0),"❌ Account Not Found"))</f>
        <v/>
      </c>
      <c r="C86" s="496">
        <f>IF(A86="","",IFERROR(VLOOKUP(A86,DB_Customers!$A:$N,14,0),""))</f>
        <v/>
      </c>
      <c r="D86" s="497">
        <f>IF(A86="","",TODAY())</f>
        <v/>
      </c>
      <c r="E86" s="510" t="n"/>
      <c r="F86" s="382" t="n"/>
      <c r="G86" s="512">
        <f>IF(OR(A86="",E86=""),"",IF(C86="","",C86-E86))</f>
        <v/>
      </c>
      <c r="H86" s="384" t="inlineStr">
        <is>
          <t>Agent 02</t>
        </is>
      </c>
      <c r="I86" s="491" t="n"/>
      <c r="J86" s="499">
        <f>IF(AND(A86&lt;&gt;"",E86&lt;&gt;""),IF(I86="","⚠️ Enter Code",IF(IFERROR(VLOOKUP(H86,DB_Agents!$B:$I,8,0),"")=I86,IF(C86&gt;=E86,"Successful","Unsuccessful"),"🔒 BLOCKED — Wrong Code")),"—")</f>
        <v/>
      </c>
      <c r="K86" s="500">
        <f>IF(J86="Successful",TEXT(TODAY(),"YYYY-MM-DD")&amp;" Auto","—")</f>
        <v/>
      </c>
      <c r="L86" s="501" t="n"/>
    </row>
    <row r="87" ht="15" customHeight="1" s="341">
      <c r="A87" s="486" t="n"/>
      <c r="B87" s="378">
        <f>IF(A87="","",IFERROR(VLOOKUP(A87,DB_Customers!$A:$D,4,0),"❌ Account Not Found"))</f>
        <v/>
      </c>
      <c r="C87" s="487">
        <f>IF(A87="","",IFERROR(VLOOKUP(A87,DB_Customers!$A:$N,14,0),""))</f>
        <v/>
      </c>
      <c r="D87" s="488">
        <f>IF(A87="","",TODAY())</f>
        <v/>
      </c>
      <c r="E87" s="510" t="n"/>
      <c r="F87" s="378" t="n"/>
      <c r="G87" s="511">
        <f>IF(OR(A87="",E87=""),"",IF(C87="","",C87-E87))</f>
        <v/>
      </c>
      <c r="H87" s="380" t="inlineStr">
        <is>
          <t>Agent 02</t>
        </is>
      </c>
      <c r="I87" s="491" t="n"/>
      <c r="J87" s="492">
        <f>IF(AND(A87&lt;&gt;"",E87&lt;&gt;""),IF(I87="","⚠️ Enter Code",IF(IFERROR(VLOOKUP(H87,DB_Agents!$B:$I,8,0),"")=I87,IF(C87&gt;=E87,"Successful","Unsuccessful"),"🔒 BLOCKED — Wrong Code")),"—")</f>
        <v/>
      </c>
      <c r="K87" s="493">
        <f>IF(J87="Successful",TEXT(TODAY(),"YYYY-MM-DD")&amp;" Auto","—")</f>
        <v/>
      </c>
      <c r="L87" s="494" t="n"/>
    </row>
    <row r="88" ht="15" customHeight="1" s="341">
      <c r="A88" s="495" t="n"/>
      <c r="B88" s="382">
        <f>IF(A88="","",IFERROR(VLOOKUP(A88,DB_Customers!$A:$D,4,0),"❌ Account Not Found"))</f>
        <v/>
      </c>
      <c r="C88" s="496">
        <f>IF(A88="","",IFERROR(VLOOKUP(A88,DB_Customers!$A:$N,14,0),""))</f>
        <v/>
      </c>
      <c r="D88" s="497">
        <f>IF(A88="","",TODAY())</f>
        <v/>
      </c>
      <c r="E88" s="510" t="n"/>
      <c r="F88" s="382" t="n"/>
      <c r="G88" s="512">
        <f>IF(OR(A88="",E88=""),"",IF(C88="","",C88-E88))</f>
        <v/>
      </c>
      <c r="H88" s="384" t="inlineStr">
        <is>
          <t>Agent 02</t>
        </is>
      </c>
      <c r="I88" s="491" t="n"/>
      <c r="J88" s="499">
        <f>IF(AND(A88&lt;&gt;"",E88&lt;&gt;""),IF(I88="","⚠️ Enter Code",IF(IFERROR(VLOOKUP(H88,DB_Agents!$B:$I,8,0),"")=I88,IF(C88&gt;=E88,"Successful","Unsuccessful"),"🔒 BLOCKED — Wrong Code")),"—")</f>
        <v/>
      </c>
      <c r="K88" s="500">
        <f>IF(J88="Successful",TEXT(TODAY(),"YYYY-MM-DD")&amp;" Auto","—")</f>
        <v/>
      </c>
      <c r="L88" s="501" t="n"/>
    </row>
    <row r="89" ht="15" customHeight="1" s="341">
      <c r="A89" s="486" t="n"/>
      <c r="B89" s="378">
        <f>IF(A89="","",IFERROR(VLOOKUP(A89,DB_Customers!$A:$D,4,0),"❌ Account Not Found"))</f>
        <v/>
      </c>
      <c r="C89" s="487">
        <f>IF(A89="","",IFERROR(VLOOKUP(A89,DB_Customers!$A:$N,14,0),""))</f>
        <v/>
      </c>
      <c r="D89" s="488">
        <f>IF(A89="","",TODAY())</f>
        <v/>
      </c>
      <c r="E89" s="510" t="n"/>
      <c r="F89" s="378" t="n"/>
      <c r="G89" s="511">
        <f>IF(OR(A89="",E89=""),"",IF(C89="","",C89-E89))</f>
        <v/>
      </c>
      <c r="H89" s="380" t="inlineStr">
        <is>
          <t>Agent 02</t>
        </is>
      </c>
      <c r="I89" s="491" t="n"/>
      <c r="J89" s="492">
        <f>IF(AND(A89&lt;&gt;"",E89&lt;&gt;""),IF(I89="","⚠️ Enter Code",IF(IFERROR(VLOOKUP(H89,DB_Agents!$B:$I,8,0),"")=I89,IF(C89&gt;=E89,"Successful","Unsuccessful"),"🔒 BLOCKED — Wrong Code")),"—")</f>
        <v/>
      </c>
      <c r="K89" s="493">
        <f>IF(J89="Successful",TEXT(TODAY(),"YYYY-MM-DD")&amp;" Auto","—")</f>
        <v/>
      </c>
      <c r="L89" s="494" t="n"/>
    </row>
    <row r="90" ht="15" customHeight="1" s="341">
      <c r="A90" s="495" t="n"/>
      <c r="B90" s="382">
        <f>IF(A90="","",IFERROR(VLOOKUP(A90,DB_Customers!$A:$D,4,0),"❌ Account Not Found"))</f>
        <v/>
      </c>
      <c r="C90" s="496">
        <f>IF(A90="","",IFERROR(VLOOKUP(A90,DB_Customers!$A:$N,14,0),""))</f>
        <v/>
      </c>
      <c r="D90" s="497">
        <f>IF(A90="","",TODAY())</f>
        <v/>
      </c>
      <c r="E90" s="510" t="n"/>
      <c r="F90" s="382" t="n"/>
      <c r="G90" s="512">
        <f>IF(OR(A90="",E90=""),"",IF(C90="","",C90-E90))</f>
        <v/>
      </c>
      <c r="H90" s="384" t="inlineStr">
        <is>
          <t>Agent 02</t>
        </is>
      </c>
      <c r="I90" s="491" t="n"/>
      <c r="J90" s="499">
        <f>IF(AND(A90&lt;&gt;"",E90&lt;&gt;""),IF(I90="","⚠️ Enter Code",IF(IFERROR(VLOOKUP(H90,DB_Agents!$B:$I,8,0),"")=I90,IF(C90&gt;=E90,"Successful","Unsuccessful"),"🔒 BLOCKED — Wrong Code")),"—")</f>
        <v/>
      </c>
      <c r="K90" s="500">
        <f>IF(J90="Successful",TEXT(TODAY(),"YYYY-MM-DD")&amp;" Auto","—")</f>
        <v/>
      </c>
      <c r="L90" s="501" t="n"/>
    </row>
    <row r="91" ht="15" customHeight="1" s="341">
      <c r="A91" s="486" t="n"/>
      <c r="B91" s="378">
        <f>IF(A91="","",IFERROR(VLOOKUP(A91,DB_Customers!$A:$D,4,0),"❌ Account Not Found"))</f>
        <v/>
      </c>
      <c r="C91" s="487">
        <f>IF(A91="","",IFERROR(VLOOKUP(A91,DB_Customers!$A:$N,14,0),""))</f>
        <v/>
      </c>
      <c r="D91" s="488">
        <f>IF(A91="","",TODAY())</f>
        <v/>
      </c>
      <c r="E91" s="510" t="n"/>
      <c r="F91" s="378" t="n"/>
      <c r="G91" s="511">
        <f>IF(OR(A91="",E91=""),"",IF(C91="","",C91-E91))</f>
        <v/>
      </c>
      <c r="H91" s="380" t="inlineStr">
        <is>
          <t>Agent 02</t>
        </is>
      </c>
      <c r="I91" s="491" t="n"/>
      <c r="J91" s="492">
        <f>IF(AND(A91&lt;&gt;"",E91&lt;&gt;""),IF(I91="","⚠️ Enter Code",IF(IFERROR(VLOOKUP(H91,DB_Agents!$B:$I,8,0),"")=I91,IF(C91&gt;=E91,"Successful","Unsuccessful"),"🔒 BLOCKED — Wrong Code")),"—")</f>
        <v/>
      </c>
      <c r="K91" s="493">
        <f>IF(J91="Successful",TEXT(TODAY(),"YYYY-MM-DD")&amp;" Auto","—")</f>
        <v/>
      </c>
      <c r="L91" s="494" t="n"/>
    </row>
    <row r="92" ht="15" customHeight="1" s="341">
      <c r="A92" s="495" t="n"/>
      <c r="B92" s="382">
        <f>IF(A92="","",IFERROR(VLOOKUP(A92,DB_Customers!$A:$D,4,0),"❌ Account Not Found"))</f>
        <v/>
      </c>
      <c r="C92" s="496">
        <f>IF(A92="","",IFERROR(VLOOKUP(A92,DB_Customers!$A:$N,14,0),""))</f>
        <v/>
      </c>
      <c r="D92" s="497">
        <f>IF(A92="","",TODAY())</f>
        <v/>
      </c>
      <c r="E92" s="510" t="n"/>
      <c r="F92" s="382" t="n"/>
      <c r="G92" s="512">
        <f>IF(OR(A92="",E92=""),"",IF(C92="","",C92-E92))</f>
        <v/>
      </c>
      <c r="H92" s="384" t="inlineStr">
        <is>
          <t>Agent 02</t>
        </is>
      </c>
      <c r="I92" s="491" t="n"/>
      <c r="J92" s="499">
        <f>IF(AND(A92&lt;&gt;"",E92&lt;&gt;""),IF(I92="","⚠️ Enter Code",IF(IFERROR(VLOOKUP(H92,DB_Agents!$B:$I,8,0),"")=I92,IF(C92&gt;=E92,"Successful","Unsuccessful"),"🔒 BLOCKED — Wrong Code")),"—")</f>
        <v/>
      </c>
      <c r="K92" s="500">
        <f>IF(J92="Successful",TEXT(TODAY(),"YYYY-MM-DD")&amp;" Auto","—")</f>
        <v/>
      </c>
      <c r="L92" s="501" t="n"/>
    </row>
    <row r="93" ht="15" customHeight="1" s="341">
      <c r="A93" s="486" t="n"/>
      <c r="B93" s="378">
        <f>IF(A93="","",IFERROR(VLOOKUP(A93,DB_Customers!$A:$D,4,0),"❌ Account Not Found"))</f>
        <v/>
      </c>
      <c r="C93" s="487">
        <f>IF(A93="","",IFERROR(VLOOKUP(A93,DB_Customers!$A:$N,14,0),""))</f>
        <v/>
      </c>
      <c r="D93" s="488">
        <f>IF(A93="","",TODAY())</f>
        <v/>
      </c>
      <c r="E93" s="510" t="n"/>
      <c r="F93" s="378" t="n"/>
      <c r="G93" s="511">
        <f>IF(OR(A93="",E93=""),"",IF(C93="","",C93-E93))</f>
        <v/>
      </c>
      <c r="H93" s="380" t="inlineStr">
        <is>
          <t>Agent 02</t>
        </is>
      </c>
      <c r="I93" s="491" t="n"/>
      <c r="J93" s="492">
        <f>IF(AND(A93&lt;&gt;"",E93&lt;&gt;""),IF(I93="","⚠️ Enter Code",IF(IFERROR(VLOOKUP(H93,DB_Agents!$B:$I,8,0),"")=I93,IF(C93&gt;=E93,"Successful","Unsuccessful"),"🔒 BLOCKED — Wrong Code")),"—")</f>
        <v/>
      </c>
      <c r="K93" s="493">
        <f>IF(J93="Successful",TEXT(TODAY(),"YYYY-MM-DD")&amp;" Auto","—")</f>
        <v/>
      </c>
      <c r="L93" s="494" t="n"/>
    </row>
    <row r="94" ht="15" customHeight="1" s="341">
      <c r="A94" s="495" t="n"/>
      <c r="B94" s="382">
        <f>IF(A94="","",IFERROR(VLOOKUP(A94,DB_Customers!$A:$D,4,0),"❌ Account Not Found"))</f>
        <v/>
      </c>
      <c r="C94" s="496">
        <f>IF(A94="","",IFERROR(VLOOKUP(A94,DB_Customers!$A:$N,14,0),""))</f>
        <v/>
      </c>
      <c r="D94" s="497">
        <f>IF(A94="","",TODAY())</f>
        <v/>
      </c>
      <c r="E94" s="510" t="n"/>
      <c r="F94" s="382" t="n"/>
      <c r="G94" s="512">
        <f>IF(OR(A94="",E94=""),"",IF(C94="","",C94-E94))</f>
        <v/>
      </c>
      <c r="H94" s="384" t="inlineStr">
        <is>
          <t>Agent 02</t>
        </is>
      </c>
      <c r="I94" s="491" t="n"/>
      <c r="J94" s="499">
        <f>IF(AND(A94&lt;&gt;"",E94&lt;&gt;""),IF(I94="","⚠️ Enter Code",IF(IFERROR(VLOOKUP(H94,DB_Agents!$B:$I,8,0),"")=I94,IF(C94&gt;=E94,"Successful","Unsuccessful"),"🔒 BLOCKED — Wrong Code")),"—")</f>
        <v/>
      </c>
      <c r="K94" s="500">
        <f>IF(J94="Successful",TEXT(TODAY(),"YYYY-MM-DD")&amp;" Auto","—")</f>
        <v/>
      </c>
      <c r="L94" s="501" t="n"/>
    </row>
    <row r="95" ht="15" customHeight="1" s="341">
      <c r="A95" s="486" t="n"/>
      <c r="B95" s="378">
        <f>IF(A95="","",IFERROR(VLOOKUP(A95,DB_Customers!$A:$D,4,0),"❌ Account Not Found"))</f>
        <v/>
      </c>
      <c r="C95" s="487">
        <f>IF(A95="","",IFERROR(VLOOKUP(A95,DB_Customers!$A:$N,14,0),""))</f>
        <v/>
      </c>
      <c r="D95" s="488">
        <f>IF(A95="","",TODAY())</f>
        <v/>
      </c>
      <c r="E95" s="510" t="n"/>
      <c r="F95" s="378" t="n"/>
      <c r="G95" s="511">
        <f>IF(OR(A95="",E95=""),"",IF(C95="","",C95-E95))</f>
        <v/>
      </c>
      <c r="H95" s="380" t="inlineStr">
        <is>
          <t>Agent 02</t>
        </is>
      </c>
      <c r="I95" s="491" t="n"/>
      <c r="J95" s="492">
        <f>IF(AND(A95&lt;&gt;"",E95&lt;&gt;""),IF(I95="","⚠️ Enter Code",IF(IFERROR(VLOOKUP(H95,DB_Agents!$B:$I,8,0),"")=I95,IF(C95&gt;=E95,"Successful","Unsuccessful"),"🔒 BLOCKED — Wrong Code")),"—")</f>
        <v/>
      </c>
      <c r="K95" s="493">
        <f>IF(J95="Successful",TEXT(TODAY(),"YYYY-MM-DD")&amp;" Auto","—")</f>
        <v/>
      </c>
      <c r="L95" s="494" t="n"/>
    </row>
    <row r="96" ht="15" customHeight="1" s="341">
      <c r="A96" s="495" t="n"/>
      <c r="B96" s="382">
        <f>IF(A96="","",IFERROR(VLOOKUP(A96,DB_Customers!$A:$D,4,0),"❌ Account Not Found"))</f>
        <v/>
      </c>
      <c r="C96" s="496">
        <f>IF(A96="","",IFERROR(VLOOKUP(A96,DB_Customers!$A:$N,14,0),""))</f>
        <v/>
      </c>
      <c r="D96" s="497">
        <f>IF(A96="","",TODAY())</f>
        <v/>
      </c>
      <c r="E96" s="510" t="n"/>
      <c r="F96" s="382" t="n"/>
      <c r="G96" s="512">
        <f>IF(OR(A96="",E96=""),"",IF(C96="","",C96-E96))</f>
        <v/>
      </c>
      <c r="H96" s="384" t="inlineStr">
        <is>
          <t>Agent 02</t>
        </is>
      </c>
      <c r="I96" s="491" t="n"/>
      <c r="J96" s="499">
        <f>IF(AND(A96&lt;&gt;"",E96&lt;&gt;""),IF(I96="","⚠️ Enter Code",IF(IFERROR(VLOOKUP(H96,DB_Agents!$B:$I,8,0),"")=I96,IF(C96&gt;=E96,"Successful","Unsuccessful"),"🔒 BLOCKED — Wrong Code")),"—")</f>
        <v/>
      </c>
      <c r="K96" s="500">
        <f>IF(J96="Successful",TEXT(TODAY(),"YYYY-MM-DD")&amp;" Auto","—")</f>
        <v/>
      </c>
      <c r="L96" s="501" t="n"/>
    </row>
    <row r="97" ht="15" customHeight="1" s="341">
      <c r="A97" s="486" t="n"/>
      <c r="B97" s="378">
        <f>IF(A97="","",IFERROR(VLOOKUP(A97,DB_Customers!$A:$D,4,0),"❌ Account Not Found"))</f>
        <v/>
      </c>
      <c r="C97" s="487">
        <f>IF(A97="","",IFERROR(VLOOKUP(A97,DB_Customers!$A:$N,14,0),""))</f>
        <v/>
      </c>
      <c r="D97" s="488">
        <f>IF(A97="","",TODAY())</f>
        <v/>
      </c>
      <c r="E97" s="510" t="n"/>
      <c r="F97" s="378" t="n"/>
      <c r="G97" s="511">
        <f>IF(OR(A97="",E97=""),"",IF(C97="","",C97-E97))</f>
        <v/>
      </c>
      <c r="H97" s="380" t="inlineStr">
        <is>
          <t>Agent 02</t>
        </is>
      </c>
      <c r="I97" s="491" t="n"/>
      <c r="J97" s="492">
        <f>IF(AND(A97&lt;&gt;"",E97&lt;&gt;""),IF(I97="","⚠️ Enter Code",IF(IFERROR(VLOOKUP(H97,DB_Agents!$B:$I,8,0),"")=I97,IF(C97&gt;=E97,"Successful","Unsuccessful"),"🔒 BLOCKED — Wrong Code")),"—")</f>
        <v/>
      </c>
      <c r="K97" s="493">
        <f>IF(J97="Successful",TEXT(TODAY(),"YYYY-MM-DD")&amp;" Auto","—")</f>
        <v/>
      </c>
      <c r="L97" s="494" t="n"/>
    </row>
    <row r="98" ht="15" customHeight="1" s="341">
      <c r="A98" s="495" t="n"/>
      <c r="B98" s="382">
        <f>IF(A98="","",IFERROR(VLOOKUP(A98,DB_Customers!$A:$D,4,0),"❌ Account Not Found"))</f>
        <v/>
      </c>
      <c r="C98" s="496">
        <f>IF(A98="","",IFERROR(VLOOKUP(A98,DB_Customers!$A:$N,14,0),""))</f>
        <v/>
      </c>
      <c r="D98" s="497">
        <f>IF(A98="","",TODAY())</f>
        <v/>
      </c>
      <c r="E98" s="510" t="n"/>
      <c r="F98" s="382" t="n"/>
      <c r="G98" s="512">
        <f>IF(OR(A98="",E98=""),"",IF(C98="","",C98-E98))</f>
        <v/>
      </c>
      <c r="H98" s="384" t="inlineStr">
        <is>
          <t>Agent 02</t>
        </is>
      </c>
      <c r="I98" s="491" t="n"/>
      <c r="J98" s="499">
        <f>IF(AND(A98&lt;&gt;"",E98&lt;&gt;""),IF(I98="","⚠️ Enter Code",IF(IFERROR(VLOOKUP(H98,DB_Agents!$B:$I,8,0),"")=I98,IF(C98&gt;=E98,"Successful","Unsuccessful"),"🔒 BLOCKED — Wrong Code")),"—")</f>
        <v/>
      </c>
      <c r="K98" s="500">
        <f>IF(J98="Successful",TEXT(TODAY(),"YYYY-MM-DD")&amp;" Auto","—")</f>
        <v/>
      </c>
      <c r="L98" s="501" t="n"/>
    </row>
    <row r="99" ht="15" customHeight="1" s="341">
      <c r="A99" s="486" t="n"/>
      <c r="B99" s="378">
        <f>IF(A99="","",IFERROR(VLOOKUP(A99,DB_Customers!$A:$D,4,0),"❌ Account Not Found"))</f>
        <v/>
      </c>
      <c r="C99" s="487">
        <f>IF(A99="","",IFERROR(VLOOKUP(A99,DB_Customers!$A:$N,14,0),""))</f>
        <v/>
      </c>
      <c r="D99" s="488">
        <f>IF(A99="","",TODAY())</f>
        <v/>
      </c>
      <c r="E99" s="510" t="n"/>
      <c r="F99" s="378" t="n"/>
      <c r="G99" s="511">
        <f>IF(OR(A99="",E99=""),"",IF(C99="","",C99-E99))</f>
        <v/>
      </c>
      <c r="H99" s="380" t="inlineStr">
        <is>
          <t>Agent 02</t>
        </is>
      </c>
      <c r="I99" s="491" t="n"/>
      <c r="J99" s="492">
        <f>IF(AND(A99&lt;&gt;"",E99&lt;&gt;""),IF(I99="","⚠️ Enter Code",IF(IFERROR(VLOOKUP(H99,DB_Agents!$B:$I,8,0),"")=I99,IF(C99&gt;=E99,"Successful","Unsuccessful"),"🔒 BLOCKED — Wrong Code")),"—")</f>
        <v/>
      </c>
      <c r="K99" s="493">
        <f>IF(J99="Successful",TEXT(TODAY(),"YYYY-MM-DD")&amp;" Auto","—")</f>
        <v/>
      </c>
      <c r="L99" s="494" t="n"/>
    </row>
    <row r="100" ht="15" customHeight="1" s="341">
      <c r="A100" s="495" t="n"/>
      <c r="B100" s="382">
        <f>IF(A100="","",IFERROR(VLOOKUP(A100,DB_Customers!$A:$D,4,0),"❌ Account Not Found"))</f>
        <v/>
      </c>
      <c r="C100" s="496">
        <f>IF(A100="","",IFERROR(VLOOKUP(A100,DB_Customers!$A:$N,14,0),""))</f>
        <v/>
      </c>
      <c r="D100" s="497">
        <f>IF(A100="","",TODAY())</f>
        <v/>
      </c>
      <c r="E100" s="510" t="n"/>
      <c r="F100" s="382" t="n"/>
      <c r="G100" s="512">
        <f>IF(OR(A100="",E100=""),"",IF(C100="","",C100-E100))</f>
        <v/>
      </c>
      <c r="H100" s="384" t="inlineStr">
        <is>
          <t>Agent 02</t>
        </is>
      </c>
      <c r="I100" s="491" t="n"/>
      <c r="J100" s="499">
        <f>IF(AND(A100&lt;&gt;"",E100&lt;&gt;""),IF(I100="","⚠️ Enter Code",IF(IFERROR(VLOOKUP(H100,DB_Agents!$B:$I,8,0),"")=I100,IF(C100&gt;=E100,"Successful","Unsuccessful"),"🔒 BLOCKED — Wrong Code")),"—")</f>
        <v/>
      </c>
      <c r="K100" s="500">
        <f>IF(J100="Successful",TEXT(TODAY(),"YYYY-MM-DD")&amp;" Auto","—")</f>
        <v/>
      </c>
      <c r="L100" s="501" t="n"/>
    </row>
    <row r="101" ht="15" customHeight="1" s="341">
      <c r="A101" s="486" t="n"/>
      <c r="B101" s="378">
        <f>IF(A101="","",IFERROR(VLOOKUP(A101,DB_Customers!$A:$D,4,0),"❌ Account Not Found"))</f>
        <v/>
      </c>
      <c r="C101" s="487">
        <f>IF(A101="","",IFERROR(VLOOKUP(A101,DB_Customers!$A:$N,14,0),""))</f>
        <v/>
      </c>
      <c r="D101" s="488">
        <f>IF(A101="","",TODAY())</f>
        <v/>
      </c>
      <c r="E101" s="510" t="n"/>
      <c r="F101" s="378" t="n"/>
      <c r="G101" s="511">
        <f>IF(OR(A101="",E101=""),"",IF(C101="","",C101-E101))</f>
        <v/>
      </c>
      <c r="H101" s="380" t="inlineStr">
        <is>
          <t>Agent 02</t>
        </is>
      </c>
      <c r="I101" s="491" t="n"/>
      <c r="J101" s="492">
        <f>IF(AND(A101&lt;&gt;"",E101&lt;&gt;""),IF(I101="","⚠️ Enter Code",IF(IFERROR(VLOOKUP(H101,DB_Agents!$B:$I,8,0),"")=I101,IF(C101&gt;=E101,"Successful","Unsuccessful"),"🔒 BLOCKED — Wrong Code")),"—")</f>
        <v/>
      </c>
      <c r="K101" s="493">
        <f>IF(J101="Successful",TEXT(TODAY(),"YYYY-MM-DD")&amp;" Auto","—")</f>
        <v/>
      </c>
      <c r="L101" s="494" t="n"/>
    </row>
    <row r="102" ht="15" customHeight="1" s="341">
      <c r="A102" s="495" t="n"/>
      <c r="B102" s="382">
        <f>IF(A102="","",IFERROR(VLOOKUP(A102,DB_Customers!$A:$D,4,0),"❌ Account Not Found"))</f>
        <v/>
      </c>
      <c r="C102" s="496">
        <f>IF(A102="","",IFERROR(VLOOKUP(A102,DB_Customers!$A:$N,14,0),""))</f>
        <v/>
      </c>
      <c r="D102" s="497">
        <f>IF(A102="","",TODAY())</f>
        <v/>
      </c>
      <c r="E102" s="510" t="n"/>
      <c r="F102" s="382" t="n"/>
      <c r="G102" s="512">
        <f>IF(OR(A102="",E102=""),"",IF(C102="","",C102-E102))</f>
        <v/>
      </c>
      <c r="H102" s="384" t="inlineStr">
        <is>
          <t>Agent 02</t>
        </is>
      </c>
      <c r="I102" s="491" t="n"/>
      <c r="J102" s="499">
        <f>IF(AND(A102&lt;&gt;"",E102&lt;&gt;""),IF(I102="","⚠️ Enter Code",IF(IFERROR(VLOOKUP(H102,DB_Agents!$B:$I,8,0),"")=I102,IF(C102&gt;=E102,"Successful","Unsuccessful"),"🔒 BLOCKED — Wrong Code")),"—")</f>
        <v/>
      </c>
      <c r="K102" s="500">
        <f>IF(J102="Successful",TEXT(TODAY(),"YYYY-MM-DD")&amp;" Auto","—")</f>
        <v/>
      </c>
      <c r="L102" s="501" t="n"/>
    </row>
    <row r="103" ht="15" customHeight="1" s="341">
      <c r="A103" s="486" t="n"/>
      <c r="B103" s="378">
        <f>IF(A103="","",IFERROR(VLOOKUP(A103,DB_Customers!$A:$D,4,0),"❌ Account Not Found"))</f>
        <v/>
      </c>
      <c r="C103" s="487">
        <f>IF(A103="","",IFERROR(VLOOKUP(A103,DB_Customers!$A:$N,14,0),""))</f>
        <v/>
      </c>
      <c r="D103" s="488">
        <f>IF(A103="","",TODAY())</f>
        <v/>
      </c>
      <c r="E103" s="510" t="n"/>
      <c r="F103" s="378" t="n"/>
      <c r="G103" s="511">
        <f>IF(OR(A103="",E103=""),"",IF(C103="","",C103-E103))</f>
        <v/>
      </c>
      <c r="H103" s="380" t="inlineStr">
        <is>
          <t>Agent 02</t>
        </is>
      </c>
      <c r="I103" s="491" t="n"/>
      <c r="J103" s="492">
        <f>IF(AND(A103&lt;&gt;"",E103&lt;&gt;""),IF(I103="","⚠️ Enter Code",IF(IFERROR(VLOOKUP(H103,DB_Agents!$B:$I,8,0),"")=I103,IF(C103&gt;=E103,"Successful","Unsuccessful"),"🔒 BLOCKED — Wrong Code")),"—")</f>
        <v/>
      </c>
      <c r="K103" s="493">
        <f>IF(J103="Successful",TEXT(TODAY(),"YYYY-MM-DD")&amp;" Auto","—")</f>
        <v/>
      </c>
      <c r="L103" s="494" t="n"/>
    </row>
    <row r="104" ht="15" customHeight="1" s="341">
      <c r="A104" s="495" t="n"/>
      <c r="B104" s="382">
        <f>IF(A104="","",IFERROR(VLOOKUP(A104,DB_Customers!$A:$D,4,0),"❌ Account Not Found"))</f>
        <v/>
      </c>
      <c r="C104" s="496">
        <f>IF(A104="","",IFERROR(VLOOKUP(A104,DB_Customers!$A:$N,14,0),""))</f>
        <v/>
      </c>
      <c r="D104" s="497">
        <f>IF(A104="","",TODAY())</f>
        <v/>
      </c>
      <c r="E104" s="510" t="n"/>
      <c r="F104" s="382" t="n"/>
      <c r="G104" s="512">
        <f>IF(OR(A104="",E104=""),"",IF(C104="","",C104-E104))</f>
        <v/>
      </c>
      <c r="H104" s="384" t="inlineStr">
        <is>
          <t>Agent 02</t>
        </is>
      </c>
      <c r="I104" s="491" t="n"/>
      <c r="J104" s="499">
        <f>IF(AND(A104&lt;&gt;"",E104&lt;&gt;""),IF(I104="","⚠️ Enter Code",IF(IFERROR(VLOOKUP(H104,DB_Agents!$B:$I,8,0),"")=I104,IF(C104&gt;=E104,"Successful","Unsuccessful"),"🔒 BLOCKED — Wrong Code")),"—")</f>
        <v/>
      </c>
      <c r="K104" s="500">
        <f>IF(J104="Successful",TEXT(TODAY(),"YYYY-MM-DD")&amp;" Auto","—")</f>
        <v/>
      </c>
      <c r="L104" s="501" t="n"/>
    </row>
    <row r="105" ht="15" customHeight="1" s="341">
      <c r="A105" s="486" t="n"/>
      <c r="B105" s="378">
        <f>IF(A105="","",IFERROR(VLOOKUP(A105,DB_Customers!$A:$D,4,0),"❌ Account Not Found"))</f>
        <v/>
      </c>
      <c r="C105" s="487">
        <f>IF(A105="","",IFERROR(VLOOKUP(A105,DB_Customers!$A:$N,14,0),""))</f>
        <v/>
      </c>
      <c r="D105" s="488">
        <f>IF(A105="","",TODAY())</f>
        <v/>
      </c>
      <c r="E105" s="510" t="n"/>
      <c r="F105" s="378" t="n"/>
      <c r="G105" s="511">
        <f>IF(OR(A105="",E105=""),"",IF(C105="","",C105-E105))</f>
        <v/>
      </c>
      <c r="H105" s="380" t="inlineStr">
        <is>
          <t>Agent 02</t>
        </is>
      </c>
      <c r="I105" s="491" t="n"/>
      <c r="J105" s="492">
        <f>IF(AND(A105&lt;&gt;"",E105&lt;&gt;""),IF(I105="","⚠️ Enter Code",IF(IFERROR(VLOOKUP(H105,DB_Agents!$B:$I,8,0),"")=I105,IF(C105&gt;=E105,"Successful","Unsuccessful"),"🔒 BLOCKED — Wrong Code")),"—")</f>
        <v/>
      </c>
      <c r="K105" s="493">
        <f>IF(J105="Successful",TEXT(TODAY(),"YYYY-MM-DD")&amp;" Auto","—")</f>
        <v/>
      </c>
      <c r="L105" s="494" t="n"/>
    </row>
    <row r="106" ht="15" customHeight="1" s="341">
      <c r="A106" s="495" t="n"/>
      <c r="B106" s="382">
        <f>IF(A106="","",IFERROR(VLOOKUP(A106,DB_Customers!$A:$D,4,0),"❌ Account Not Found"))</f>
        <v/>
      </c>
      <c r="C106" s="496">
        <f>IF(A106="","",IFERROR(VLOOKUP(A106,DB_Customers!$A:$N,14,0),""))</f>
        <v/>
      </c>
      <c r="D106" s="497">
        <f>IF(A106="","",TODAY())</f>
        <v/>
      </c>
      <c r="E106" s="510" t="n"/>
      <c r="F106" s="382" t="n"/>
      <c r="G106" s="512">
        <f>IF(OR(A106="",E106=""),"",IF(C106="","",C106-E106))</f>
        <v/>
      </c>
      <c r="H106" s="384" t="inlineStr">
        <is>
          <t>Agent 02</t>
        </is>
      </c>
      <c r="I106" s="491" t="n"/>
      <c r="J106" s="499">
        <f>IF(AND(A106&lt;&gt;"",E106&lt;&gt;""),IF(I106="","⚠️ Enter Code",IF(IFERROR(VLOOKUP(H106,DB_Agents!$B:$I,8,0),"")=I106,IF(C106&gt;=E106,"Successful","Unsuccessful"),"🔒 BLOCKED — Wrong Code")),"—")</f>
        <v/>
      </c>
      <c r="K106" s="500">
        <f>IF(J106="Successful",TEXT(TODAY(),"YYYY-MM-DD")&amp;" Auto","—")</f>
        <v/>
      </c>
      <c r="L106" s="501" t="n"/>
    </row>
    <row r="107" ht="15" customHeight="1" s="341">
      <c r="A107" s="486" t="n"/>
      <c r="B107" s="378">
        <f>IF(A107="","",IFERROR(VLOOKUP(A107,DB_Customers!$A:$D,4,0),"❌ Account Not Found"))</f>
        <v/>
      </c>
      <c r="C107" s="487">
        <f>IF(A107="","",IFERROR(VLOOKUP(A107,DB_Customers!$A:$N,14,0),""))</f>
        <v/>
      </c>
      <c r="D107" s="488">
        <f>IF(A107="","",TODAY())</f>
        <v/>
      </c>
      <c r="E107" s="510" t="n"/>
      <c r="F107" s="378" t="n"/>
      <c r="G107" s="511">
        <f>IF(OR(A107="",E107=""),"",IF(C107="","",C107-E107))</f>
        <v/>
      </c>
      <c r="H107" s="380" t="inlineStr">
        <is>
          <t>Agent 02</t>
        </is>
      </c>
      <c r="I107" s="491" t="n"/>
      <c r="J107" s="492">
        <f>IF(AND(A107&lt;&gt;"",E107&lt;&gt;""),IF(I107="","⚠️ Enter Code",IF(IFERROR(VLOOKUP(H107,DB_Agents!$B:$I,8,0),"")=I107,IF(C107&gt;=E107,"Successful","Unsuccessful"),"🔒 BLOCKED — Wrong Code")),"—")</f>
        <v/>
      </c>
      <c r="K107" s="493">
        <f>IF(J107="Successful",TEXT(TODAY(),"YYYY-MM-DD")&amp;" Auto","—")</f>
        <v/>
      </c>
      <c r="L107" s="494" t="n"/>
    </row>
    <row r="108" ht="15" customHeight="1" s="341">
      <c r="A108" s="495" t="n"/>
      <c r="B108" s="382">
        <f>IF(A108="","",IFERROR(VLOOKUP(A108,DB_Customers!$A:$D,4,0),"❌ Account Not Found"))</f>
        <v/>
      </c>
      <c r="C108" s="496">
        <f>IF(A108="","",IFERROR(VLOOKUP(A108,DB_Customers!$A:$N,14,0),""))</f>
        <v/>
      </c>
      <c r="D108" s="497">
        <f>IF(A108="","",TODAY())</f>
        <v/>
      </c>
      <c r="E108" s="510" t="n"/>
      <c r="F108" s="382" t="n"/>
      <c r="G108" s="512">
        <f>IF(OR(A108="",E108=""),"",IF(C108="","",C108-E108))</f>
        <v/>
      </c>
      <c r="H108" s="384" t="inlineStr">
        <is>
          <t>Agent 02</t>
        </is>
      </c>
      <c r="I108" s="491" t="n"/>
      <c r="J108" s="499">
        <f>IF(AND(A108&lt;&gt;"",E108&lt;&gt;""),IF(I108="","⚠️ Enter Code",IF(IFERROR(VLOOKUP(H108,DB_Agents!$B:$I,8,0),"")=I108,IF(C108&gt;=E108,"Successful","Unsuccessful"),"🔒 BLOCKED — Wrong Code")),"—")</f>
        <v/>
      </c>
      <c r="K108" s="500">
        <f>IF(J108="Successful",TEXT(TODAY(),"YYYY-MM-DD")&amp;" Auto","—")</f>
        <v/>
      </c>
      <c r="L108" s="501" t="n"/>
    </row>
    <row r="109" ht="15" customHeight="1" s="341">
      <c r="A109" s="486" t="n"/>
      <c r="B109" s="378">
        <f>IF(A109="","",IFERROR(VLOOKUP(A109,DB_Customers!$A:$D,4,0),"❌ Account Not Found"))</f>
        <v/>
      </c>
      <c r="C109" s="487">
        <f>IF(A109="","",IFERROR(VLOOKUP(A109,DB_Customers!$A:$N,14,0),""))</f>
        <v/>
      </c>
      <c r="D109" s="488">
        <f>IF(A109="","",TODAY())</f>
        <v/>
      </c>
      <c r="E109" s="510" t="n"/>
      <c r="F109" s="378" t="n"/>
      <c r="G109" s="511">
        <f>IF(OR(A109="",E109=""),"",IF(C109="","",C109-E109))</f>
        <v/>
      </c>
      <c r="H109" s="380" t="inlineStr">
        <is>
          <t>Agent 02</t>
        </is>
      </c>
      <c r="I109" s="491" t="n"/>
      <c r="J109" s="492">
        <f>IF(AND(A109&lt;&gt;"",E109&lt;&gt;""),IF(I109="","⚠️ Enter Code",IF(IFERROR(VLOOKUP(H109,DB_Agents!$B:$I,8,0),"")=I109,IF(C109&gt;=E109,"Successful","Unsuccessful"),"🔒 BLOCKED — Wrong Code")),"—")</f>
        <v/>
      </c>
      <c r="K109" s="493">
        <f>IF(J109="Successful",TEXT(TODAY(),"YYYY-MM-DD")&amp;" Auto","—")</f>
        <v/>
      </c>
      <c r="L109" s="494" t="n"/>
    </row>
    <row r="110" ht="15" customHeight="1" s="341">
      <c r="A110" s="495" t="n"/>
      <c r="B110" s="382">
        <f>IF(A110="","",IFERROR(VLOOKUP(A110,DB_Customers!$A:$D,4,0),"❌ Account Not Found"))</f>
        <v/>
      </c>
      <c r="C110" s="496">
        <f>IF(A110="","",IFERROR(VLOOKUP(A110,DB_Customers!$A:$N,14,0),""))</f>
        <v/>
      </c>
      <c r="D110" s="497">
        <f>IF(A110="","",TODAY())</f>
        <v/>
      </c>
      <c r="E110" s="510" t="n"/>
      <c r="F110" s="382" t="n"/>
      <c r="G110" s="512">
        <f>IF(OR(A110="",E110=""),"",IF(C110="","",C110-E110))</f>
        <v/>
      </c>
      <c r="H110" s="384" t="inlineStr">
        <is>
          <t>Agent 02</t>
        </is>
      </c>
      <c r="I110" s="491" t="n"/>
      <c r="J110" s="499">
        <f>IF(AND(A110&lt;&gt;"",E110&lt;&gt;""),IF(I110="","⚠️ Enter Code",IF(IFERROR(VLOOKUP(H110,DB_Agents!$B:$I,8,0),"")=I110,IF(C110&gt;=E110,"Successful","Unsuccessful"),"🔒 BLOCKED — Wrong Code")),"—")</f>
        <v/>
      </c>
      <c r="K110" s="500">
        <f>IF(J110="Successful",TEXT(TODAY(),"YYYY-MM-DD")&amp;" Auto","—")</f>
        <v/>
      </c>
      <c r="L110" s="501" t="n"/>
    </row>
    <row r="111" ht="15" customHeight="1" s="341">
      <c r="A111" s="486" t="n"/>
      <c r="B111" s="378">
        <f>IF(A111="","",IFERROR(VLOOKUP(A111,DB_Customers!$A:$D,4,0),"❌ Account Not Found"))</f>
        <v/>
      </c>
      <c r="C111" s="487">
        <f>IF(A111="","",IFERROR(VLOOKUP(A111,DB_Customers!$A:$N,14,0),""))</f>
        <v/>
      </c>
      <c r="D111" s="488">
        <f>IF(A111="","",TODAY())</f>
        <v/>
      </c>
      <c r="E111" s="510" t="n"/>
      <c r="F111" s="378" t="n"/>
      <c r="G111" s="511">
        <f>IF(OR(A111="",E111=""),"",IF(C111="","",C111-E111))</f>
        <v/>
      </c>
      <c r="H111" s="380" t="inlineStr">
        <is>
          <t>Agent 02</t>
        </is>
      </c>
      <c r="I111" s="491" t="n"/>
      <c r="J111" s="492">
        <f>IF(AND(A111&lt;&gt;"",E111&lt;&gt;""),IF(I111="","⚠️ Enter Code",IF(IFERROR(VLOOKUP(H111,DB_Agents!$B:$I,8,0),"")=I111,IF(C111&gt;=E111,"Successful","Unsuccessful"),"🔒 BLOCKED — Wrong Code")),"—")</f>
        <v/>
      </c>
      <c r="K111" s="493">
        <f>IF(J111="Successful",TEXT(TODAY(),"YYYY-MM-DD")&amp;" Auto","—")</f>
        <v/>
      </c>
      <c r="L111" s="494" t="n"/>
    </row>
    <row r="112" ht="15" customHeight="1" s="341">
      <c r="A112" s="495" t="n"/>
      <c r="B112" s="382">
        <f>IF(A112="","",IFERROR(VLOOKUP(A112,DB_Customers!$A:$D,4,0),"❌ Account Not Found"))</f>
        <v/>
      </c>
      <c r="C112" s="496">
        <f>IF(A112="","",IFERROR(VLOOKUP(A112,DB_Customers!$A:$N,14,0),""))</f>
        <v/>
      </c>
      <c r="D112" s="497">
        <f>IF(A112="","",TODAY())</f>
        <v/>
      </c>
      <c r="E112" s="510" t="n"/>
      <c r="F112" s="382" t="n"/>
      <c r="G112" s="512">
        <f>IF(OR(A112="",E112=""),"",IF(C112="","",C112-E112))</f>
        <v/>
      </c>
      <c r="H112" s="384" t="inlineStr">
        <is>
          <t>Agent 02</t>
        </is>
      </c>
      <c r="I112" s="491" t="n"/>
      <c r="J112" s="499">
        <f>IF(AND(A112&lt;&gt;"",E112&lt;&gt;""),IF(I112="","⚠️ Enter Code",IF(IFERROR(VLOOKUP(H112,DB_Agents!$B:$I,8,0),"")=I112,IF(C112&gt;=E112,"Successful","Unsuccessful"),"🔒 BLOCKED — Wrong Code")),"—")</f>
        <v/>
      </c>
      <c r="K112" s="500">
        <f>IF(J112="Successful",TEXT(TODAY(),"YYYY-MM-DD")&amp;" Auto","—")</f>
        <v/>
      </c>
      <c r="L112" s="501" t="n"/>
    </row>
    <row r="113" ht="15" customHeight="1" s="341">
      <c r="A113" s="486" t="n"/>
      <c r="B113" s="378">
        <f>IF(A113="","",IFERROR(VLOOKUP(A113,DB_Customers!$A:$D,4,0),"❌ Account Not Found"))</f>
        <v/>
      </c>
      <c r="C113" s="487">
        <f>IF(A113="","",IFERROR(VLOOKUP(A113,DB_Customers!$A:$N,14,0),""))</f>
        <v/>
      </c>
      <c r="D113" s="488">
        <f>IF(A113="","",TODAY())</f>
        <v/>
      </c>
      <c r="E113" s="510" t="n"/>
      <c r="F113" s="378" t="n"/>
      <c r="G113" s="511">
        <f>IF(OR(A113="",E113=""),"",IF(C113="","",C113-E113))</f>
        <v/>
      </c>
      <c r="H113" s="380" t="inlineStr">
        <is>
          <t>Agent 02</t>
        </is>
      </c>
      <c r="I113" s="491" t="n"/>
      <c r="J113" s="492">
        <f>IF(AND(A113&lt;&gt;"",E113&lt;&gt;""),IF(I113="","⚠️ Enter Code",IF(IFERROR(VLOOKUP(H113,DB_Agents!$B:$I,8,0),"")=I113,IF(C113&gt;=E113,"Successful","Unsuccessful"),"🔒 BLOCKED — Wrong Code")),"—")</f>
        <v/>
      </c>
      <c r="K113" s="493">
        <f>IF(J113="Successful",TEXT(TODAY(),"YYYY-MM-DD")&amp;" Auto","—")</f>
        <v/>
      </c>
      <c r="L113" s="494" t="n"/>
    </row>
    <row r="114" ht="15" customHeight="1" s="341">
      <c r="A114" s="495" t="n"/>
      <c r="B114" s="382">
        <f>IF(A114="","",IFERROR(VLOOKUP(A114,DB_Customers!$A:$D,4,0),"❌ Account Not Found"))</f>
        <v/>
      </c>
      <c r="C114" s="496">
        <f>IF(A114="","",IFERROR(VLOOKUP(A114,DB_Customers!$A:$N,14,0),""))</f>
        <v/>
      </c>
      <c r="D114" s="497">
        <f>IF(A114="","",TODAY())</f>
        <v/>
      </c>
      <c r="E114" s="510" t="n"/>
      <c r="F114" s="382" t="n"/>
      <c r="G114" s="512">
        <f>IF(OR(A114="",E114=""),"",IF(C114="","",C114-E114))</f>
        <v/>
      </c>
      <c r="H114" s="384" t="inlineStr">
        <is>
          <t>Agent 02</t>
        </is>
      </c>
      <c r="I114" s="491" t="n"/>
      <c r="J114" s="499">
        <f>IF(AND(A114&lt;&gt;"",E114&lt;&gt;""),IF(I114="","⚠️ Enter Code",IF(IFERROR(VLOOKUP(H114,DB_Agents!$B:$I,8,0),"")=I114,IF(C114&gt;=E114,"Successful","Unsuccessful"),"🔒 BLOCKED — Wrong Code")),"—")</f>
        <v/>
      </c>
      <c r="K114" s="500">
        <f>IF(J114="Successful",TEXT(TODAY(),"YYYY-MM-DD")&amp;" Auto","—")</f>
        <v/>
      </c>
      <c r="L114" s="501" t="n"/>
    </row>
    <row r="115" ht="15" customHeight="1" s="341">
      <c r="A115" s="486" t="n"/>
      <c r="B115" s="378">
        <f>IF(A115="","",IFERROR(VLOOKUP(A115,DB_Customers!$A:$D,4,0),"❌ Account Not Found"))</f>
        <v/>
      </c>
      <c r="C115" s="487">
        <f>IF(A115="","",IFERROR(VLOOKUP(A115,DB_Customers!$A:$N,14,0),""))</f>
        <v/>
      </c>
      <c r="D115" s="488">
        <f>IF(A115="","",TODAY())</f>
        <v/>
      </c>
      <c r="E115" s="510" t="n"/>
      <c r="F115" s="378" t="n"/>
      <c r="G115" s="511">
        <f>IF(OR(A115="",E115=""),"",IF(C115="","",C115-E115))</f>
        <v/>
      </c>
      <c r="H115" s="380" t="inlineStr">
        <is>
          <t>Agent 02</t>
        </is>
      </c>
      <c r="I115" s="491" t="n"/>
      <c r="J115" s="492">
        <f>IF(AND(A115&lt;&gt;"",E115&lt;&gt;""),IF(I115="","⚠️ Enter Code",IF(IFERROR(VLOOKUP(H115,DB_Agents!$B:$I,8,0),"")=I115,IF(C115&gt;=E115,"Successful","Unsuccessful"),"🔒 BLOCKED — Wrong Code")),"—")</f>
        <v/>
      </c>
      <c r="K115" s="493">
        <f>IF(J115="Successful",TEXT(TODAY(),"YYYY-MM-DD")&amp;" Auto","—")</f>
        <v/>
      </c>
      <c r="L115" s="494" t="n"/>
    </row>
    <row r="116" ht="15" customHeight="1" s="341">
      <c r="A116" s="495" t="n"/>
      <c r="B116" s="382">
        <f>IF(A116="","",IFERROR(VLOOKUP(A116,DB_Customers!$A:$D,4,0),"❌ Account Not Found"))</f>
        <v/>
      </c>
      <c r="C116" s="496">
        <f>IF(A116="","",IFERROR(VLOOKUP(A116,DB_Customers!$A:$N,14,0),""))</f>
        <v/>
      </c>
      <c r="D116" s="497">
        <f>IF(A116="","",TODAY())</f>
        <v/>
      </c>
      <c r="E116" s="510" t="n"/>
      <c r="F116" s="382" t="n"/>
      <c r="G116" s="512">
        <f>IF(OR(A116="",E116=""),"",IF(C116="","",C116-E116))</f>
        <v/>
      </c>
      <c r="H116" s="384" t="inlineStr">
        <is>
          <t>Agent 02</t>
        </is>
      </c>
      <c r="I116" s="491" t="n"/>
      <c r="J116" s="499">
        <f>IF(AND(A116&lt;&gt;"",E116&lt;&gt;""),IF(I116="","⚠️ Enter Code",IF(IFERROR(VLOOKUP(H116,DB_Agents!$B:$I,8,0),"")=I116,IF(C116&gt;=E116,"Successful","Unsuccessful"),"🔒 BLOCKED — Wrong Code")),"—")</f>
        <v/>
      </c>
      <c r="K116" s="500">
        <f>IF(J116="Successful",TEXT(TODAY(),"YYYY-MM-DD")&amp;" Auto","—")</f>
        <v/>
      </c>
      <c r="L116" s="501" t="n"/>
    </row>
    <row r="117" ht="15" customHeight="1" s="341">
      <c r="A117" s="486" t="n"/>
      <c r="B117" s="378">
        <f>IF(A117="","",IFERROR(VLOOKUP(A117,DB_Customers!$A:$D,4,0),"❌ Account Not Found"))</f>
        <v/>
      </c>
      <c r="C117" s="487">
        <f>IF(A117="","",IFERROR(VLOOKUP(A117,DB_Customers!$A:$N,14,0),""))</f>
        <v/>
      </c>
      <c r="D117" s="488">
        <f>IF(A117="","",TODAY())</f>
        <v/>
      </c>
      <c r="E117" s="510" t="n"/>
      <c r="F117" s="378" t="n"/>
      <c r="G117" s="511">
        <f>IF(OR(A117="",E117=""),"",IF(C117="","",C117-E117))</f>
        <v/>
      </c>
      <c r="H117" s="380" t="inlineStr">
        <is>
          <t>Agent 02</t>
        </is>
      </c>
      <c r="I117" s="491" t="n"/>
      <c r="J117" s="492">
        <f>IF(AND(A117&lt;&gt;"",E117&lt;&gt;""),IF(I117="","⚠️ Enter Code",IF(IFERROR(VLOOKUP(H117,DB_Agents!$B:$I,8,0),"")=I117,IF(C117&gt;=E117,"Successful","Unsuccessful"),"🔒 BLOCKED — Wrong Code")),"—")</f>
        <v/>
      </c>
      <c r="K117" s="493">
        <f>IF(J117="Successful",TEXT(TODAY(),"YYYY-MM-DD")&amp;" Auto","—")</f>
        <v/>
      </c>
      <c r="L117" s="494" t="n"/>
    </row>
    <row r="118" ht="15" customHeight="1" s="341">
      <c r="A118" s="495" t="n"/>
      <c r="B118" s="382">
        <f>IF(A118="","",IFERROR(VLOOKUP(A118,DB_Customers!$A:$D,4,0),"❌ Account Not Found"))</f>
        <v/>
      </c>
      <c r="C118" s="496">
        <f>IF(A118="","",IFERROR(VLOOKUP(A118,DB_Customers!$A:$N,14,0),""))</f>
        <v/>
      </c>
      <c r="D118" s="497">
        <f>IF(A118="","",TODAY())</f>
        <v/>
      </c>
      <c r="E118" s="510" t="n"/>
      <c r="F118" s="382" t="n"/>
      <c r="G118" s="512">
        <f>IF(OR(A118="",E118=""),"",IF(C118="","",C118-E118))</f>
        <v/>
      </c>
      <c r="H118" s="384" t="inlineStr">
        <is>
          <t>Agent 02</t>
        </is>
      </c>
      <c r="I118" s="491" t="n"/>
      <c r="J118" s="499">
        <f>IF(AND(A118&lt;&gt;"",E118&lt;&gt;""),IF(I118="","⚠️ Enter Code",IF(IFERROR(VLOOKUP(H118,DB_Agents!$B:$I,8,0),"")=I118,IF(C118&gt;=E118,"Successful","Unsuccessful"),"🔒 BLOCKED — Wrong Code")),"—")</f>
        <v/>
      </c>
      <c r="K118" s="500">
        <f>IF(J118="Successful",TEXT(TODAY(),"YYYY-MM-DD")&amp;" Auto","—")</f>
        <v/>
      </c>
      <c r="L118" s="501" t="n"/>
    </row>
    <row r="119" ht="15" customHeight="1" s="341">
      <c r="A119" s="486" t="n"/>
      <c r="B119" s="378">
        <f>IF(A119="","",IFERROR(VLOOKUP(A119,DB_Customers!$A:$D,4,0),"❌ Account Not Found"))</f>
        <v/>
      </c>
      <c r="C119" s="487">
        <f>IF(A119="","",IFERROR(VLOOKUP(A119,DB_Customers!$A:$N,14,0),""))</f>
        <v/>
      </c>
      <c r="D119" s="488">
        <f>IF(A119="","",TODAY())</f>
        <v/>
      </c>
      <c r="E119" s="510" t="n"/>
      <c r="F119" s="378" t="n"/>
      <c r="G119" s="511">
        <f>IF(OR(A119="",E119=""),"",IF(C119="","",C119-E119))</f>
        <v/>
      </c>
      <c r="H119" s="380" t="inlineStr">
        <is>
          <t>Agent 02</t>
        </is>
      </c>
      <c r="I119" s="491" t="n"/>
      <c r="J119" s="492">
        <f>IF(AND(A119&lt;&gt;"",E119&lt;&gt;""),IF(I119="","⚠️ Enter Code",IF(IFERROR(VLOOKUP(H119,DB_Agents!$B:$I,8,0),"")=I119,IF(C119&gt;=E119,"Successful","Unsuccessful"),"🔒 BLOCKED — Wrong Code")),"—")</f>
        <v/>
      </c>
      <c r="K119" s="493">
        <f>IF(J119="Successful",TEXT(TODAY(),"YYYY-MM-DD")&amp;" Auto","—")</f>
        <v/>
      </c>
      <c r="L119" s="494" t="n"/>
    </row>
    <row r="120" ht="15" customHeight="1" s="341">
      <c r="A120" s="495" t="n"/>
      <c r="B120" s="382">
        <f>IF(A120="","",IFERROR(VLOOKUP(A120,DB_Customers!$A:$D,4,0),"❌ Account Not Found"))</f>
        <v/>
      </c>
      <c r="C120" s="496">
        <f>IF(A120="","",IFERROR(VLOOKUP(A120,DB_Customers!$A:$N,14,0),""))</f>
        <v/>
      </c>
      <c r="D120" s="497">
        <f>IF(A120="","",TODAY())</f>
        <v/>
      </c>
      <c r="E120" s="510" t="n"/>
      <c r="F120" s="382" t="n"/>
      <c r="G120" s="512">
        <f>IF(OR(A120="",E120=""),"",IF(C120="","",C120-E120))</f>
        <v/>
      </c>
      <c r="H120" s="384" t="inlineStr">
        <is>
          <t>Agent 02</t>
        </is>
      </c>
      <c r="I120" s="491" t="n"/>
      <c r="J120" s="499">
        <f>IF(AND(A120&lt;&gt;"",E120&lt;&gt;""),IF(I120="","⚠️ Enter Code",IF(IFERROR(VLOOKUP(H120,DB_Agents!$B:$I,8,0),"")=I120,IF(C120&gt;=E120,"Successful","Unsuccessful"),"🔒 BLOCKED — Wrong Code")),"—")</f>
        <v/>
      </c>
      <c r="K120" s="500">
        <f>IF(J120="Successful",TEXT(TODAY(),"YYYY-MM-DD")&amp;" Auto","—")</f>
        <v/>
      </c>
      <c r="L120" s="501" t="n"/>
    </row>
    <row r="121" ht="15" customHeight="1" s="341">
      <c r="A121" s="486" t="n"/>
      <c r="B121" s="378">
        <f>IF(A121="","",IFERROR(VLOOKUP(A121,DB_Customers!$A:$D,4,0),"❌ Account Not Found"))</f>
        <v/>
      </c>
      <c r="C121" s="487">
        <f>IF(A121="","",IFERROR(VLOOKUP(A121,DB_Customers!$A:$N,14,0),""))</f>
        <v/>
      </c>
      <c r="D121" s="488">
        <f>IF(A121="","",TODAY())</f>
        <v/>
      </c>
      <c r="E121" s="510" t="n"/>
      <c r="F121" s="378" t="n"/>
      <c r="G121" s="511">
        <f>IF(OR(A121="",E121=""),"",IF(C121="","",C121-E121))</f>
        <v/>
      </c>
      <c r="H121" s="380" t="inlineStr">
        <is>
          <t>Agent 02</t>
        </is>
      </c>
      <c r="I121" s="491" t="n"/>
      <c r="J121" s="492">
        <f>IF(AND(A121&lt;&gt;"",E121&lt;&gt;""),IF(I121="","⚠️ Enter Code",IF(IFERROR(VLOOKUP(H121,DB_Agents!$B:$I,8,0),"")=I121,IF(C121&gt;=E121,"Successful","Unsuccessful"),"🔒 BLOCKED — Wrong Code")),"—")</f>
        <v/>
      </c>
      <c r="K121" s="493">
        <f>IF(J121="Successful",TEXT(TODAY(),"YYYY-MM-DD")&amp;" Auto","—")</f>
        <v/>
      </c>
      <c r="L121" s="494" t="n"/>
    </row>
    <row r="122" ht="15" customHeight="1" s="341">
      <c r="A122" s="495" t="n"/>
      <c r="B122" s="382">
        <f>IF(A122="","",IFERROR(VLOOKUP(A122,DB_Customers!$A:$D,4,0),"❌ Account Not Found"))</f>
        <v/>
      </c>
      <c r="C122" s="496">
        <f>IF(A122="","",IFERROR(VLOOKUP(A122,DB_Customers!$A:$N,14,0),""))</f>
        <v/>
      </c>
      <c r="D122" s="497">
        <f>IF(A122="","",TODAY())</f>
        <v/>
      </c>
      <c r="E122" s="510" t="n"/>
      <c r="F122" s="382" t="n"/>
      <c r="G122" s="512">
        <f>IF(OR(A122="",E122=""),"",IF(C122="","",C122-E122))</f>
        <v/>
      </c>
      <c r="H122" s="384" t="inlineStr">
        <is>
          <t>Agent 02</t>
        </is>
      </c>
      <c r="I122" s="491" t="n"/>
      <c r="J122" s="499">
        <f>IF(AND(A122&lt;&gt;"",E122&lt;&gt;""),IF(I122="","⚠️ Enter Code",IF(IFERROR(VLOOKUP(H122,DB_Agents!$B:$I,8,0),"")=I122,IF(C122&gt;=E122,"Successful","Unsuccessful"),"🔒 BLOCKED — Wrong Code")),"—")</f>
        <v/>
      </c>
      <c r="K122" s="500">
        <f>IF(J122="Successful",TEXT(TODAY(),"YYYY-MM-DD")&amp;" Auto","—")</f>
        <v/>
      </c>
      <c r="L122" s="501" t="n"/>
    </row>
    <row r="123" ht="15" customHeight="1" s="341">
      <c r="A123" s="486" t="n"/>
      <c r="B123" s="378">
        <f>IF(A123="","",IFERROR(VLOOKUP(A123,DB_Customers!$A:$D,4,0),"❌ Account Not Found"))</f>
        <v/>
      </c>
      <c r="C123" s="487">
        <f>IF(A123="","",IFERROR(VLOOKUP(A123,DB_Customers!$A:$N,14,0),""))</f>
        <v/>
      </c>
      <c r="D123" s="488">
        <f>IF(A123="","",TODAY())</f>
        <v/>
      </c>
      <c r="E123" s="510" t="n"/>
      <c r="F123" s="378" t="n"/>
      <c r="G123" s="511">
        <f>IF(OR(A123="",E123=""),"",IF(C123="","",C123-E123))</f>
        <v/>
      </c>
      <c r="H123" s="380" t="inlineStr">
        <is>
          <t>Agent 02</t>
        </is>
      </c>
      <c r="I123" s="491" t="n"/>
      <c r="J123" s="492">
        <f>IF(AND(A123&lt;&gt;"",E123&lt;&gt;""),IF(I123="","⚠️ Enter Code",IF(IFERROR(VLOOKUP(H123,DB_Agents!$B:$I,8,0),"")=I123,IF(C123&gt;=E123,"Successful","Unsuccessful"),"🔒 BLOCKED — Wrong Code")),"—")</f>
        <v/>
      </c>
      <c r="K123" s="493">
        <f>IF(J123="Successful",TEXT(TODAY(),"YYYY-MM-DD")&amp;" Auto","—")</f>
        <v/>
      </c>
      <c r="L123" s="494" t="n"/>
    </row>
    <row r="124" ht="15" customHeight="1" s="341">
      <c r="A124" s="495" t="n"/>
      <c r="B124" s="382">
        <f>IF(A124="","",IFERROR(VLOOKUP(A124,DB_Customers!$A:$D,4,0),"❌ Account Not Found"))</f>
        <v/>
      </c>
      <c r="C124" s="496">
        <f>IF(A124="","",IFERROR(VLOOKUP(A124,DB_Customers!$A:$N,14,0),""))</f>
        <v/>
      </c>
      <c r="D124" s="497">
        <f>IF(A124="","",TODAY())</f>
        <v/>
      </c>
      <c r="E124" s="510" t="n"/>
      <c r="F124" s="382" t="n"/>
      <c r="G124" s="512">
        <f>IF(OR(A124="",E124=""),"",IF(C124="","",C124-E124))</f>
        <v/>
      </c>
      <c r="H124" s="384" t="inlineStr">
        <is>
          <t>Agent 02</t>
        </is>
      </c>
      <c r="I124" s="491" t="n"/>
      <c r="J124" s="499">
        <f>IF(AND(A124&lt;&gt;"",E124&lt;&gt;""),IF(I124="","⚠️ Enter Code",IF(IFERROR(VLOOKUP(H124,DB_Agents!$B:$I,8,0),"")=I124,IF(C124&gt;=E124,"Successful","Unsuccessful"),"🔒 BLOCKED — Wrong Code")),"—")</f>
        <v/>
      </c>
      <c r="K124" s="500">
        <f>IF(J124="Successful",TEXT(TODAY(),"YYYY-MM-DD")&amp;" Auto","—")</f>
        <v/>
      </c>
      <c r="L124" s="501" t="n"/>
    </row>
    <row r="125" ht="15" customHeight="1" s="341">
      <c r="A125" s="486" t="n"/>
      <c r="B125" s="378">
        <f>IF(A125="","",IFERROR(VLOOKUP(A125,DB_Customers!$A:$D,4,0),"❌ Account Not Found"))</f>
        <v/>
      </c>
      <c r="C125" s="487">
        <f>IF(A125="","",IFERROR(VLOOKUP(A125,DB_Customers!$A:$N,14,0),""))</f>
        <v/>
      </c>
      <c r="D125" s="488">
        <f>IF(A125="","",TODAY())</f>
        <v/>
      </c>
      <c r="E125" s="510" t="n"/>
      <c r="F125" s="378" t="n"/>
      <c r="G125" s="511">
        <f>IF(OR(A125="",E125=""),"",IF(C125="","",C125-E125))</f>
        <v/>
      </c>
      <c r="H125" s="380" t="inlineStr">
        <is>
          <t>Agent 02</t>
        </is>
      </c>
      <c r="I125" s="491" t="n"/>
      <c r="J125" s="492">
        <f>IF(AND(A125&lt;&gt;"",E125&lt;&gt;""),IF(I125="","⚠️ Enter Code",IF(IFERROR(VLOOKUP(H125,DB_Agents!$B:$I,8,0),"")=I125,IF(C125&gt;=E125,"Successful","Unsuccessful"),"🔒 BLOCKED — Wrong Code")),"—")</f>
        <v/>
      </c>
      <c r="K125" s="493">
        <f>IF(J125="Successful",TEXT(TODAY(),"YYYY-MM-DD")&amp;" Auto","—")</f>
        <v/>
      </c>
      <c r="L125" s="494" t="n"/>
    </row>
    <row r="126" ht="15" customHeight="1" s="341">
      <c r="A126" s="495" t="n"/>
      <c r="B126" s="382">
        <f>IF(A126="","",IFERROR(VLOOKUP(A126,DB_Customers!$A:$D,4,0),"❌ Account Not Found"))</f>
        <v/>
      </c>
      <c r="C126" s="496">
        <f>IF(A126="","",IFERROR(VLOOKUP(A126,DB_Customers!$A:$N,14,0),""))</f>
        <v/>
      </c>
      <c r="D126" s="497">
        <f>IF(A126="","",TODAY())</f>
        <v/>
      </c>
      <c r="E126" s="510" t="n"/>
      <c r="F126" s="382" t="n"/>
      <c r="G126" s="512">
        <f>IF(OR(A126="",E126=""),"",IF(C126="","",C126-E126))</f>
        <v/>
      </c>
      <c r="H126" s="384" t="inlineStr">
        <is>
          <t>Agent 02</t>
        </is>
      </c>
      <c r="I126" s="491" t="n"/>
      <c r="J126" s="499">
        <f>IF(AND(A126&lt;&gt;"",E126&lt;&gt;""),IF(I126="","⚠️ Enter Code",IF(IFERROR(VLOOKUP(H126,DB_Agents!$B:$I,8,0),"")=I126,IF(C126&gt;=E126,"Successful","Unsuccessful"),"🔒 BLOCKED — Wrong Code")),"—")</f>
        <v/>
      </c>
      <c r="K126" s="500">
        <f>IF(J126="Successful",TEXT(TODAY(),"YYYY-MM-DD")&amp;" Auto","—")</f>
        <v/>
      </c>
      <c r="L126" s="501" t="n"/>
    </row>
    <row r="127" ht="15" customHeight="1" s="341">
      <c r="A127" s="486" t="n"/>
      <c r="B127" s="378">
        <f>IF(A127="","",IFERROR(VLOOKUP(A127,DB_Customers!$A:$D,4,0),"❌ Account Not Found"))</f>
        <v/>
      </c>
      <c r="C127" s="487">
        <f>IF(A127="","",IFERROR(VLOOKUP(A127,DB_Customers!$A:$N,14,0),""))</f>
        <v/>
      </c>
      <c r="D127" s="488">
        <f>IF(A127="","",TODAY())</f>
        <v/>
      </c>
      <c r="E127" s="510" t="n"/>
      <c r="F127" s="378" t="n"/>
      <c r="G127" s="511">
        <f>IF(OR(A127="",E127=""),"",IF(C127="","",C127-E127))</f>
        <v/>
      </c>
      <c r="H127" s="380" t="inlineStr">
        <is>
          <t>Agent 02</t>
        </is>
      </c>
      <c r="I127" s="491" t="n"/>
      <c r="J127" s="492">
        <f>IF(AND(A127&lt;&gt;"",E127&lt;&gt;""),IF(I127="","⚠️ Enter Code",IF(IFERROR(VLOOKUP(H127,DB_Agents!$B:$I,8,0),"")=I127,IF(C127&gt;=E127,"Successful","Unsuccessful"),"🔒 BLOCKED — Wrong Code")),"—")</f>
        <v/>
      </c>
      <c r="K127" s="493">
        <f>IF(J127="Successful",TEXT(TODAY(),"YYYY-MM-DD")&amp;" Auto","—")</f>
        <v/>
      </c>
      <c r="L127" s="494" t="n"/>
    </row>
    <row r="128" ht="15" customHeight="1" s="341">
      <c r="A128" s="495" t="n"/>
      <c r="B128" s="382">
        <f>IF(A128="","",IFERROR(VLOOKUP(A128,DB_Customers!$A:$D,4,0),"❌ Account Not Found"))</f>
        <v/>
      </c>
      <c r="C128" s="496">
        <f>IF(A128="","",IFERROR(VLOOKUP(A128,DB_Customers!$A:$N,14,0),""))</f>
        <v/>
      </c>
      <c r="D128" s="497">
        <f>IF(A128="","",TODAY())</f>
        <v/>
      </c>
      <c r="E128" s="510" t="n"/>
      <c r="F128" s="382" t="n"/>
      <c r="G128" s="512">
        <f>IF(OR(A128="",E128=""),"",IF(C128="","",C128-E128))</f>
        <v/>
      </c>
      <c r="H128" s="384" t="inlineStr">
        <is>
          <t>Agent 02</t>
        </is>
      </c>
      <c r="I128" s="491" t="n"/>
      <c r="J128" s="499">
        <f>IF(AND(A128&lt;&gt;"",E128&lt;&gt;""),IF(I128="","⚠️ Enter Code",IF(IFERROR(VLOOKUP(H128,DB_Agents!$B:$I,8,0),"")=I128,IF(C128&gt;=E128,"Successful","Unsuccessful"),"🔒 BLOCKED — Wrong Code")),"—")</f>
        <v/>
      </c>
      <c r="K128" s="500">
        <f>IF(J128="Successful",TEXT(TODAY(),"YYYY-MM-DD")&amp;" Auto","—")</f>
        <v/>
      </c>
      <c r="L128" s="501" t="n"/>
    </row>
    <row r="129" ht="15" customHeight="1" s="341">
      <c r="A129" s="486" t="n"/>
      <c r="B129" s="378">
        <f>IF(A129="","",IFERROR(VLOOKUP(A129,DB_Customers!$A:$D,4,0),"❌ Account Not Found"))</f>
        <v/>
      </c>
      <c r="C129" s="487">
        <f>IF(A129="","",IFERROR(VLOOKUP(A129,DB_Customers!$A:$N,14,0),""))</f>
        <v/>
      </c>
      <c r="D129" s="488">
        <f>IF(A129="","",TODAY())</f>
        <v/>
      </c>
      <c r="E129" s="510" t="n"/>
      <c r="F129" s="378" t="n"/>
      <c r="G129" s="511">
        <f>IF(OR(A129="",E129=""),"",IF(C129="","",C129-E129))</f>
        <v/>
      </c>
      <c r="H129" s="380" t="inlineStr">
        <is>
          <t>Agent 02</t>
        </is>
      </c>
      <c r="I129" s="491" t="n"/>
      <c r="J129" s="492">
        <f>IF(AND(A129&lt;&gt;"",E129&lt;&gt;""),IF(I129="","⚠️ Enter Code",IF(IFERROR(VLOOKUP(H129,DB_Agents!$B:$I,8,0),"")=I129,IF(C129&gt;=E129,"Successful","Unsuccessful"),"🔒 BLOCKED — Wrong Code")),"—")</f>
        <v/>
      </c>
      <c r="K129" s="493">
        <f>IF(J129="Successful",TEXT(TODAY(),"YYYY-MM-DD")&amp;" Auto","—")</f>
        <v/>
      </c>
      <c r="L129" s="494" t="n"/>
    </row>
    <row r="130" ht="15" customHeight="1" s="341">
      <c r="A130" s="495" t="n"/>
      <c r="B130" s="382">
        <f>IF(A130="","",IFERROR(VLOOKUP(A130,DB_Customers!$A:$D,4,0),"❌ Account Not Found"))</f>
        <v/>
      </c>
      <c r="C130" s="496">
        <f>IF(A130="","",IFERROR(VLOOKUP(A130,DB_Customers!$A:$N,14,0),""))</f>
        <v/>
      </c>
      <c r="D130" s="497">
        <f>IF(A130="","",TODAY())</f>
        <v/>
      </c>
      <c r="E130" s="510" t="n"/>
      <c r="F130" s="382" t="n"/>
      <c r="G130" s="512">
        <f>IF(OR(A130="",E130=""),"",IF(C130="","",C130-E130))</f>
        <v/>
      </c>
      <c r="H130" s="384" t="inlineStr">
        <is>
          <t>Agent 02</t>
        </is>
      </c>
      <c r="I130" s="491" t="n"/>
      <c r="J130" s="499">
        <f>IF(AND(A130&lt;&gt;"",E130&lt;&gt;""),IF(I130="","⚠️ Enter Code",IF(IFERROR(VLOOKUP(H130,DB_Agents!$B:$I,8,0),"")=I130,IF(C130&gt;=E130,"Successful","Unsuccessful"),"🔒 BLOCKED — Wrong Code")),"—")</f>
        <v/>
      </c>
      <c r="K130" s="500">
        <f>IF(J130="Successful",TEXT(TODAY(),"YYYY-MM-DD")&amp;" Auto","—")</f>
        <v/>
      </c>
      <c r="L130" s="501" t="n"/>
    </row>
    <row r="131" ht="15" customHeight="1" s="341">
      <c r="A131" s="486" t="n"/>
      <c r="B131" s="378">
        <f>IF(A131="","",IFERROR(VLOOKUP(A131,DB_Customers!$A:$D,4,0),"❌ Account Not Found"))</f>
        <v/>
      </c>
      <c r="C131" s="487">
        <f>IF(A131="","",IFERROR(VLOOKUP(A131,DB_Customers!$A:$N,14,0),""))</f>
        <v/>
      </c>
      <c r="D131" s="488">
        <f>IF(A131="","",TODAY())</f>
        <v/>
      </c>
      <c r="E131" s="510" t="n"/>
      <c r="F131" s="378" t="n"/>
      <c r="G131" s="511">
        <f>IF(OR(A131="",E131=""),"",IF(C131="","",C131-E131))</f>
        <v/>
      </c>
      <c r="H131" s="380" t="inlineStr">
        <is>
          <t>Agent 02</t>
        </is>
      </c>
      <c r="I131" s="491" t="n"/>
      <c r="J131" s="492">
        <f>IF(AND(A131&lt;&gt;"",E131&lt;&gt;""),IF(I131="","⚠️ Enter Code",IF(IFERROR(VLOOKUP(H131,DB_Agents!$B:$I,8,0),"")=I131,IF(C131&gt;=E131,"Successful","Unsuccessful"),"🔒 BLOCKED — Wrong Code")),"—")</f>
        <v/>
      </c>
      <c r="K131" s="493">
        <f>IF(J131="Successful",TEXT(TODAY(),"YYYY-MM-DD")&amp;" Auto","—")</f>
        <v/>
      </c>
      <c r="L131" s="494" t="n"/>
    </row>
    <row r="132" ht="15" customHeight="1" s="341">
      <c r="A132" s="495" t="n"/>
      <c r="B132" s="382">
        <f>IF(A132="","",IFERROR(VLOOKUP(A132,DB_Customers!$A:$D,4,0),"❌ Account Not Found"))</f>
        <v/>
      </c>
      <c r="C132" s="496">
        <f>IF(A132="","",IFERROR(VLOOKUP(A132,DB_Customers!$A:$N,14,0),""))</f>
        <v/>
      </c>
      <c r="D132" s="497">
        <f>IF(A132="","",TODAY())</f>
        <v/>
      </c>
      <c r="E132" s="510" t="n"/>
      <c r="F132" s="382" t="n"/>
      <c r="G132" s="512">
        <f>IF(OR(A132="",E132=""),"",IF(C132="","",C132-E132))</f>
        <v/>
      </c>
      <c r="H132" s="384" t="inlineStr">
        <is>
          <t>Agent 02</t>
        </is>
      </c>
      <c r="I132" s="491" t="n"/>
      <c r="J132" s="499">
        <f>IF(AND(A132&lt;&gt;"",E132&lt;&gt;""),IF(I132="","⚠️ Enter Code",IF(IFERROR(VLOOKUP(H132,DB_Agents!$B:$I,8,0),"")=I132,IF(C132&gt;=E132,"Successful","Unsuccessful"),"🔒 BLOCKED — Wrong Code")),"—")</f>
        <v/>
      </c>
      <c r="K132" s="500">
        <f>IF(J132="Successful",TEXT(TODAY(),"YYYY-MM-DD")&amp;" Auto","—")</f>
        <v/>
      </c>
      <c r="L132" s="501" t="n"/>
    </row>
    <row r="133" ht="15" customHeight="1" s="341">
      <c r="A133" s="486" t="n"/>
      <c r="B133" s="378">
        <f>IF(A133="","",IFERROR(VLOOKUP(A133,DB_Customers!$A:$D,4,0),"❌ Account Not Found"))</f>
        <v/>
      </c>
      <c r="C133" s="487">
        <f>IF(A133="","",IFERROR(VLOOKUP(A133,DB_Customers!$A:$N,14,0),""))</f>
        <v/>
      </c>
      <c r="D133" s="488">
        <f>IF(A133="","",TODAY())</f>
        <v/>
      </c>
      <c r="E133" s="510" t="n"/>
      <c r="F133" s="378" t="n"/>
      <c r="G133" s="511">
        <f>IF(OR(A133="",E133=""),"",IF(C133="","",C133-E133))</f>
        <v/>
      </c>
      <c r="H133" s="380" t="inlineStr">
        <is>
          <t>Agent 02</t>
        </is>
      </c>
      <c r="I133" s="491" t="n"/>
      <c r="J133" s="492">
        <f>IF(AND(A133&lt;&gt;"",E133&lt;&gt;""),IF(I133="","⚠️ Enter Code",IF(IFERROR(VLOOKUP(H133,DB_Agents!$B:$I,8,0),"")=I133,IF(C133&gt;=E133,"Successful","Unsuccessful"),"🔒 BLOCKED — Wrong Code")),"—")</f>
        <v/>
      </c>
      <c r="K133" s="493">
        <f>IF(J133="Successful",TEXT(TODAY(),"YYYY-MM-DD")&amp;" Auto","—")</f>
        <v/>
      </c>
      <c r="L133" s="494" t="n"/>
    </row>
    <row r="134" ht="15" customHeight="1" s="341">
      <c r="A134" s="495" t="n"/>
      <c r="B134" s="382">
        <f>IF(A134="","",IFERROR(VLOOKUP(A134,DB_Customers!$A:$D,4,0),"❌ Account Not Found"))</f>
        <v/>
      </c>
      <c r="C134" s="496">
        <f>IF(A134="","",IFERROR(VLOOKUP(A134,DB_Customers!$A:$N,14,0),""))</f>
        <v/>
      </c>
      <c r="D134" s="497">
        <f>IF(A134="","",TODAY())</f>
        <v/>
      </c>
      <c r="E134" s="510" t="n"/>
      <c r="F134" s="382" t="n"/>
      <c r="G134" s="512">
        <f>IF(OR(A134="",E134=""),"",IF(C134="","",C134-E134))</f>
        <v/>
      </c>
      <c r="H134" s="384" t="inlineStr">
        <is>
          <t>Agent 02</t>
        </is>
      </c>
      <c r="I134" s="491" t="n"/>
      <c r="J134" s="499">
        <f>IF(AND(A134&lt;&gt;"",E134&lt;&gt;""),IF(I134="","⚠️ Enter Code",IF(IFERROR(VLOOKUP(H134,DB_Agents!$B:$I,8,0),"")=I134,IF(C134&gt;=E134,"Successful","Unsuccessful"),"🔒 BLOCKED — Wrong Code")),"—")</f>
        <v/>
      </c>
      <c r="K134" s="500">
        <f>IF(J134="Successful",TEXT(TODAY(),"YYYY-MM-DD")&amp;" Auto","—")</f>
        <v/>
      </c>
      <c r="L134" s="501" t="n"/>
    </row>
    <row r="135" ht="15" customHeight="1" s="341">
      <c r="A135" s="486" t="n"/>
      <c r="B135" s="378">
        <f>IF(A135="","",IFERROR(VLOOKUP(A135,DB_Customers!$A:$D,4,0),"❌ Account Not Found"))</f>
        <v/>
      </c>
      <c r="C135" s="487">
        <f>IF(A135="","",IFERROR(VLOOKUP(A135,DB_Customers!$A:$N,14,0),""))</f>
        <v/>
      </c>
      <c r="D135" s="488">
        <f>IF(A135="","",TODAY())</f>
        <v/>
      </c>
      <c r="E135" s="510" t="n"/>
      <c r="F135" s="378" t="n"/>
      <c r="G135" s="511">
        <f>IF(OR(A135="",E135=""),"",IF(C135="","",C135-E135))</f>
        <v/>
      </c>
      <c r="H135" s="380" t="inlineStr">
        <is>
          <t>Agent 02</t>
        </is>
      </c>
      <c r="I135" s="491" t="n"/>
      <c r="J135" s="492">
        <f>IF(AND(A135&lt;&gt;"",E135&lt;&gt;""),IF(I135="","⚠️ Enter Code",IF(IFERROR(VLOOKUP(H135,DB_Agents!$B:$I,8,0),"")=I135,IF(C135&gt;=E135,"Successful","Unsuccessful"),"🔒 BLOCKED — Wrong Code")),"—")</f>
        <v/>
      </c>
      <c r="K135" s="493">
        <f>IF(J135="Successful",TEXT(TODAY(),"YYYY-MM-DD")&amp;" Auto","—")</f>
        <v/>
      </c>
      <c r="L135" s="494" t="n"/>
    </row>
    <row r="136" ht="15" customHeight="1" s="341">
      <c r="A136" s="495" t="n"/>
      <c r="B136" s="382">
        <f>IF(A136="","",IFERROR(VLOOKUP(A136,DB_Customers!$A:$D,4,0),"❌ Account Not Found"))</f>
        <v/>
      </c>
      <c r="C136" s="496">
        <f>IF(A136="","",IFERROR(VLOOKUP(A136,DB_Customers!$A:$N,14,0),""))</f>
        <v/>
      </c>
      <c r="D136" s="497">
        <f>IF(A136="","",TODAY())</f>
        <v/>
      </c>
      <c r="E136" s="510" t="n"/>
      <c r="F136" s="382" t="n"/>
      <c r="G136" s="512">
        <f>IF(OR(A136="",E136=""),"",IF(C136="","",C136-E136))</f>
        <v/>
      </c>
      <c r="H136" s="384" t="inlineStr">
        <is>
          <t>Agent 02</t>
        </is>
      </c>
      <c r="I136" s="491" t="n"/>
      <c r="J136" s="499">
        <f>IF(AND(A136&lt;&gt;"",E136&lt;&gt;""),IF(I136="","⚠️ Enter Code",IF(IFERROR(VLOOKUP(H136,DB_Agents!$B:$I,8,0),"")=I136,IF(C136&gt;=E136,"Successful","Unsuccessful"),"🔒 BLOCKED — Wrong Code")),"—")</f>
        <v/>
      </c>
      <c r="K136" s="500">
        <f>IF(J136="Successful",TEXT(TODAY(),"YYYY-MM-DD")&amp;" Auto","—")</f>
        <v/>
      </c>
      <c r="L136" s="501" t="n"/>
    </row>
    <row r="137" ht="15" customHeight="1" s="341">
      <c r="A137" s="486" t="n"/>
      <c r="B137" s="378">
        <f>IF(A137="","",IFERROR(VLOOKUP(A137,DB_Customers!$A:$D,4,0),"❌ Account Not Found"))</f>
        <v/>
      </c>
      <c r="C137" s="487">
        <f>IF(A137="","",IFERROR(VLOOKUP(A137,DB_Customers!$A:$N,14,0),""))</f>
        <v/>
      </c>
      <c r="D137" s="488">
        <f>IF(A137="","",TODAY())</f>
        <v/>
      </c>
      <c r="E137" s="510" t="n"/>
      <c r="F137" s="378" t="n"/>
      <c r="G137" s="511">
        <f>IF(OR(A137="",E137=""),"",IF(C137="","",C137-E137))</f>
        <v/>
      </c>
      <c r="H137" s="380" t="inlineStr">
        <is>
          <t>Agent 02</t>
        </is>
      </c>
      <c r="I137" s="491" t="n"/>
      <c r="J137" s="492">
        <f>IF(AND(A137&lt;&gt;"",E137&lt;&gt;""),IF(I137="","⚠️ Enter Code",IF(IFERROR(VLOOKUP(H137,DB_Agents!$B:$I,8,0),"")=I137,IF(C137&gt;=E137,"Successful","Unsuccessful"),"🔒 BLOCKED — Wrong Code")),"—")</f>
        <v/>
      </c>
      <c r="K137" s="493">
        <f>IF(J137="Successful",TEXT(TODAY(),"YYYY-MM-DD")&amp;" Auto","—")</f>
        <v/>
      </c>
      <c r="L137" s="494" t="n"/>
    </row>
    <row r="138" ht="15" customHeight="1" s="341">
      <c r="A138" s="495" t="n"/>
      <c r="B138" s="382">
        <f>IF(A138="","",IFERROR(VLOOKUP(A138,DB_Customers!$A:$D,4,0),"❌ Account Not Found"))</f>
        <v/>
      </c>
      <c r="C138" s="496">
        <f>IF(A138="","",IFERROR(VLOOKUP(A138,DB_Customers!$A:$N,14,0),""))</f>
        <v/>
      </c>
      <c r="D138" s="497">
        <f>IF(A138="","",TODAY())</f>
        <v/>
      </c>
      <c r="E138" s="510" t="n"/>
      <c r="F138" s="382" t="n"/>
      <c r="G138" s="512">
        <f>IF(OR(A138="",E138=""),"",IF(C138="","",C138-E138))</f>
        <v/>
      </c>
      <c r="H138" s="384" t="inlineStr">
        <is>
          <t>Agent 02</t>
        </is>
      </c>
      <c r="I138" s="491" t="n"/>
      <c r="J138" s="499">
        <f>IF(AND(A138&lt;&gt;"",E138&lt;&gt;""),IF(I138="","⚠️ Enter Code",IF(IFERROR(VLOOKUP(H138,DB_Agents!$B:$I,8,0),"")=I138,IF(C138&gt;=E138,"Successful","Unsuccessful"),"🔒 BLOCKED — Wrong Code")),"—")</f>
        <v/>
      </c>
      <c r="K138" s="500">
        <f>IF(J138="Successful",TEXT(TODAY(),"YYYY-MM-DD")&amp;" Auto","—")</f>
        <v/>
      </c>
      <c r="L138" s="501" t="n"/>
    </row>
    <row r="139" ht="15" customHeight="1" s="341">
      <c r="A139" s="486" t="n"/>
      <c r="B139" s="378">
        <f>IF(A139="","",IFERROR(VLOOKUP(A139,DB_Customers!$A:$D,4,0),"❌ Account Not Found"))</f>
        <v/>
      </c>
      <c r="C139" s="487">
        <f>IF(A139="","",IFERROR(VLOOKUP(A139,DB_Customers!$A:$N,14,0),""))</f>
        <v/>
      </c>
      <c r="D139" s="488">
        <f>IF(A139="","",TODAY())</f>
        <v/>
      </c>
      <c r="E139" s="510" t="n"/>
      <c r="F139" s="378" t="n"/>
      <c r="G139" s="511">
        <f>IF(OR(A139="",E139=""),"",IF(C139="","",C139-E139))</f>
        <v/>
      </c>
      <c r="H139" s="380" t="inlineStr">
        <is>
          <t>Agent 02</t>
        </is>
      </c>
      <c r="I139" s="491" t="n"/>
      <c r="J139" s="492">
        <f>IF(AND(A139&lt;&gt;"",E139&lt;&gt;""),IF(I139="","⚠️ Enter Code",IF(IFERROR(VLOOKUP(H139,DB_Agents!$B:$I,8,0),"")=I139,IF(C139&gt;=E139,"Successful","Unsuccessful"),"🔒 BLOCKED — Wrong Code")),"—")</f>
        <v/>
      </c>
      <c r="K139" s="493">
        <f>IF(J139="Successful",TEXT(TODAY(),"YYYY-MM-DD")&amp;" Auto","—")</f>
        <v/>
      </c>
      <c r="L139" s="494" t="n"/>
    </row>
    <row r="140" ht="15" customHeight="1" s="341">
      <c r="A140" s="495" t="n"/>
      <c r="B140" s="382">
        <f>IF(A140="","",IFERROR(VLOOKUP(A140,DB_Customers!$A:$D,4,0),"❌ Account Not Found"))</f>
        <v/>
      </c>
      <c r="C140" s="496">
        <f>IF(A140="","",IFERROR(VLOOKUP(A140,DB_Customers!$A:$N,14,0),""))</f>
        <v/>
      </c>
      <c r="D140" s="497">
        <f>IF(A140="","",TODAY())</f>
        <v/>
      </c>
      <c r="E140" s="510" t="n"/>
      <c r="F140" s="382" t="n"/>
      <c r="G140" s="512">
        <f>IF(OR(A140="",E140=""),"",IF(C140="","",C140-E140))</f>
        <v/>
      </c>
      <c r="H140" s="384" t="inlineStr">
        <is>
          <t>Agent 02</t>
        </is>
      </c>
      <c r="I140" s="491" t="n"/>
      <c r="J140" s="499">
        <f>IF(AND(A140&lt;&gt;"",E140&lt;&gt;""),IF(I140="","⚠️ Enter Code",IF(IFERROR(VLOOKUP(H140,DB_Agents!$B:$I,8,0),"")=I140,IF(C140&gt;=E140,"Successful","Unsuccessful"),"🔒 BLOCKED — Wrong Code")),"—")</f>
        <v/>
      </c>
      <c r="K140" s="500">
        <f>IF(J140="Successful",TEXT(TODAY(),"YYYY-MM-DD")&amp;" Auto","—")</f>
        <v/>
      </c>
      <c r="L140" s="501" t="n"/>
    </row>
    <row r="141" ht="15" customHeight="1" s="341">
      <c r="A141" s="486" t="n"/>
      <c r="B141" s="378">
        <f>IF(A141="","",IFERROR(VLOOKUP(A141,DB_Customers!$A:$D,4,0),"❌ Account Not Found"))</f>
        <v/>
      </c>
      <c r="C141" s="487">
        <f>IF(A141="","",IFERROR(VLOOKUP(A141,DB_Customers!$A:$N,14,0),""))</f>
        <v/>
      </c>
      <c r="D141" s="488">
        <f>IF(A141="","",TODAY())</f>
        <v/>
      </c>
      <c r="E141" s="510" t="n"/>
      <c r="F141" s="378" t="n"/>
      <c r="G141" s="511">
        <f>IF(OR(A141="",E141=""),"",IF(C141="","",C141-E141))</f>
        <v/>
      </c>
      <c r="H141" s="380" t="inlineStr">
        <is>
          <t>Agent 02</t>
        </is>
      </c>
      <c r="I141" s="491" t="n"/>
      <c r="J141" s="492">
        <f>IF(AND(A141&lt;&gt;"",E141&lt;&gt;""),IF(I141="","⚠️ Enter Code",IF(IFERROR(VLOOKUP(H141,DB_Agents!$B:$I,8,0),"")=I141,IF(C141&gt;=E141,"Successful","Unsuccessful"),"🔒 BLOCKED — Wrong Code")),"—")</f>
        <v/>
      </c>
      <c r="K141" s="493">
        <f>IF(J141="Successful",TEXT(TODAY(),"YYYY-MM-DD")&amp;" Auto","—")</f>
        <v/>
      </c>
      <c r="L141" s="494" t="n"/>
    </row>
    <row r="142" ht="15" customHeight="1" s="341">
      <c r="A142" s="495" t="n"/>
      <c r="B142" s="382">
        <f>IF(A142="","",IFERROR(VLOOKUP(A142,DB_Customers!$A:$D,4,0),"❌ Account Not Found"))</f>
        <v/>
      </c>
      <c r="C142" s="496">
        <f>IF(A142="","",IFERROR(VLOOKUP(A142,DB_Customers!$A:$N,14,0),""))</f>
        <v/>
      </c>
      <c r="D142" s="497">
        <f>IF(A142="","",TODAY())</f>
        <v/>
      </c>
      <c r="E142" s="510" t="n"/>
      <c r="F142" s="382" t="n"/>
      <c r="G142" s="512">
        <f>IF(OR(A142="",E142=""),"",IF(C142="","",C142-E142))</f>
        <v/>
      </c>
      <c r="H142" s="384" t="inlineStr">
        <is>
          <t>Agent 02</t>
        </is>
      </c>
      <c r="I142" s="491" t="n"/>
      <c r="J142" s="499">
        <f>IF(AND(A142&lt;&gt;"",E142&lt;&gt;""),IF(I142="","⚠️ Enter Code",IF(IFERROR(VLOOKUP(H142,DB_Agents!$B:$I,8,0),"")=I142,IF(C142&gt;=E142,"Successful","Unsuccessful"),"🔒 BLOCKED — Wrong Code")),"—")</f>
        <v/>
      </c>
      <c r="K142" s="500">
        <f>IF(J142="Successful",TEXT(TODAY(),"YYYY-MM-DD")&amp;" Auto","—")</f>
        <v/>
      </c>
      <c r="L142" s="501" t="n"/>
    </row>
    <row r="143" ht="15" customHeight="1" s="341">
      <c r="A143" s="486" t="n"/>
      <c r="B143" s="378">
        <f>IF(A143="","",IFERROR(VLOOKUP(A143,DB_Customers!$A:$D,4,0),"❌ Account Not Found"))</f>
        <v/>
      </c>
      <c r="C143" s="487">
        <f>IF(A143="","",IFERROR(VLOOKUP(A143,DB_Customers!$A:$N,14,0),""))</f>
        <v/>
      </c>
      <c r="D143" s="488">
        <f>IF(A143="","",TODAY())</f>
        <v/>
      </c>
      <c r="E143" s="510" t="n"/>
      <c r="F143" s="378" t="n"/>
      <c r="G143" s="511">
        <f>IF(OR(A143="",E143=""),"",IF(C143="","",C143-E143))</f>
        <v/>
      </c>
      <c r="H143" s="380" t="inlineStr">
        <is>
          <t>Agent 02</t>
        </is>
      </c>
      <c r="I143" s="491" t="n"/>
      <c r="J143" s="492">
        <f>IF(AND(A143&lt;&gt;"",E143&lt;&gt;""),IF(I143="","⚠️ Enter Code",IF(IFERROR(VLOOKUP(H143,DB_Agents!$B:$I,8,0),"")=I143,IF(C143&gt;=E143,"Successful","Unsuccessful"),"🔒 BLOCKED — Wrong Code")),"—")</f>
        <v/>
      </c>
      <c r="K143" s="493">
        <f>IF(J143="Successful",TEXT(TODAY(),"YYYY-MM-DD")&amp;" Auto","—")</f>
        <v/>
      </c>
      <c r="L143" s="494" t="n"/>
    </row>
    <row r="144" ht="15" customHeight="1" s="341">
      <c r="A144" s="495" t="n"/>
      <c r="B144" s="382">
        <f>IF(A144="","",IFERROR(VLOOKUP(A144,DB_Customers!$A:$D,4,0),"❌ Account Not Found"))</f>
        <v/>
      </c>
      <c r="C144" s="496">
        <f>IF(A144="","",IFERROR(VLOOKUP(A144,DB_Customers!$A:$N,14,0),""))</f>
        <v/>
      </c>
      <c r="D144" s="497">
        <f>IF(A144="","",TODAY())</f>
        <v/>
      </c>
      <c r="E144" s="510" t="n"/>
      <c r="F144" s="382" t="n"/>
      <c r="G144" s="512">
        <f>IF(OR(A144="",E144=""),"",IF(C144="","",C144-E144))</f>
        <v/>
      </c>
      <c r="H144" s="384" t="inlineStr">
        <is>
          <t>Agent 02</t>
        </is>
      </c>
      <c r="I144" s="491" t="n"/>
      <c r="J144" s="499">
        <f>IF(AND(A144&lt;&gt;"",E144&lt;&gt;""),IF(I144="","⚠️ Enter Code",IF(IFERROR(VLOOKUP(H144,DB_Agents!$B:$I,8,0),"")=I144,IF(C144&gt;=E144,"Successful","Unsuccessful"),"🔒 BLOCKED — Wrong Code")),"—")</f>
        <v/>
      </c>
      <c r="K144" s="500">
        <f>IF(J144="Successful",TEXT(TODAY(),"YYYY-MM-DD")&amp;" Auto","—")</f>
        <v/>
      </c>
      <c r="L144" s="501" t="n"/>
    </row>
    <row r="145" ht="15" customHeight="1" s="341">
      <c r="A145" s="486" t="n"/>
      <c r="B145" s="378">
        <f>IF(A145="","",IFERROR(VLOOKUP(A145,DB_Customers!$A:$D,4,0),"❌ Account Not Found"))</f>
        <v/>
      </c>
      <c r="C145" s="487">
        <f>IF(A145="","",IFERROR(VLOOKUP(A145,DB_Customers!$A:$N,14,0),""))</f>
        <v/>
      </c>
      <c r="D145" s="488">
        <f>IF(A145="","",TODAY())</f>
        <v/>
      </c>
      <c r="E145" s="510" t="n"/>
      <c r="F145" s="378" t="n"/>
      <c r="G145" s="511">
        <f>IF(OR(A145="",E145=""),"",IF(C145="","",C145-E145))</f>
        <v/>
      </c>
      <c r="H145" s="380" t="inlineStr">
        <is>
          <t>Agent 02</t>
        </is>
      </c>
      <c r="I145" s="491" t="n"/>
      <c r="J145" s="492">
        <f>IF(AND(A145&lt;&gt;"",E145&lt;&gt;""),IF(I145="","⚠️ Enter Code",IF(IFERROR(VLOOKUP(H145,DB_Agents!$B:$I,8,0),"")=I145,IF(C145&gt;=E145,"Successful","Unsuccessful"),"🔒 BLOCKED — Wrong Code")),"—")</f>
        <v/>
      </c>
      <c r="K145" s="493">
        <f>IF(J145="Successful",TEXT(TODAY(),"YYYY-MM-DD")&amp;" Auto","—")</f>
        <v/>
      </c>
      <c r="L145" s="494" t="n"/>
    </row>
    <row r="146" ht="15" customHeight="1" s="341">
      <c r="A146" s="495" t="n"/>
      <c r="B146" s="382">
        <f>IF(A146="","",IFERROR(VLOOKUP(A146,DB_Customers!$A:$D,4,0),"❌ Account Not Found"))</f>
        <v/>
      </c>
      <c r="C146" s="496">
        <f>IF(A146="","",IFERROR(VLOOKUP(A146,DB_Customers!$A:$N,14,0),""))</f>
        <v/>
      </c>
      <c r="D146" s="497">
        <f>IF(A146="","",TODAY())</f>
        <v/>
      </c>
      <c r="E146" s="510" t="n"/>
      <c r="F146" s="382" t="n"/>
      <c r="G146" s="512">
        <f>IF(OR(A146="",E146=""),"",IF(C146="","",C146-E146))</f>
        <v/>
      </c>
      <c r="H146" s="384" t="inlineStr">
        <is>
          <t>Agent 02</t>
        </is>
      </c>
      <c r="I146" s="491" t="n"/>
      <c r="J146" s="499">
        <f>IF(AND(A146&lt;&gt;"",E146&lt;&gt;""),IF(I146="","⚠️ Enter Code",IF(IFERROR(VLOOKUP(H146,DB_Agents!$B:$I,8,0),"")=I146,IF(C146&gt;=E146,"Successful","Unsuccessful"),"🔒 BLOCKED — Wrong Code")),"—")</f>
        <v/>
      </c>
      <c r="K146" s="500">
        <f>IF(J146="Successful",TEXT(TODAY(),"YYYY-MM-DD")&amp;" Auto","—")</f>
        <v/>
      </c>
      <c r="L146" s="501" t="n"/>
    </row>
    <row r="147" ht="15" customHeight="1" s="341">
      <c r="A147" s="486" t="n"/>
      <c r="B147" s="378">
        <f>IF(A147="","",IFERROR(VLOOKUP(A147,DB_Customers!$A:$D,4,0),"❌ Account Not Found"))</f>
        <v/>
      </c>
      <c r="C147" s="487">
        <f>IF(A147="","",IFERROR(VLOOKUP(A147,DB_Customers!$A:$N,14,0),""))</f>
        <v/>
      </c>
      <c r="D147" s="488">
        <f>IF(A147="","",TODAY())</f>
        <v/>
      </c>
      <c r="E147" s="510" t="n"/>
      <c r="F147" s="378" t="n"/>
      <c r="G147" s="511">
        <f>IF(OR(A147="",E147=""),"",IF(C147="","",C147-E147))</f>
        <v/>
      </c>
      <c r="H147" s="380" t="inlineStr">
        <is>
          <t>Agent 02</t>
        </is>
      </c>
      <c r="I147" s="491" t="n"/>
      <c r="J147" s="492">
        <f>IF(AND(A147&lt;&gt;"",E147&lt;&gt;""),IF(I147="","⚠️ Enter Code",IF(IFERROR(VLOOKUP(H147,DB_Agents!$B:$I,8,0),"")=I147,IF(C147&gt;=E147,"Successful","Unsuccessful"),"🔒 BLOCKED — Wrong Code")),"—")</f>
        <v/>
      </c>
      <c r="K147" s="493">
        <f>IF(J147="Successful",TEXT(TODAY(),"YYYY-MM-DD")&amp;" Auto","—")</f>
        <v/>
      </c>
      <c r="L147" s="494" t="n"/>
    </row>
    <row r="148" ht="15" customHeight="1" s="341">
      <c r="A148" s="495" t="n"/>
      <c r="B148" s="382">
        <f>IF(A148="","",IFERROR(VLOOKUP(A148,DB_Customers!$A:$D,4,0),"❌ Account Not Found"))</f>
        <v/>
      </c>
      <c r="C148" s="496">
        <f>IF(A148="","",IFERROR(VLOOKUP(A148,DB_Customers!$A:$N,14,0),""))</f>
        <v/>
      </c>
      <c r="D148" s="497">
        <f>IF(A148="","",TODAY())</f>
        <v/>
      </c>
      <c r="E148" s="510" t="n"/>
      <c r="F148" s="382" t="n"/>
      <c r="G148" s="512">
        <f>IF(OR(A148="",E148=""),"",IF(C148="","",C148-E148))</f>
        <v/>
      </c>
      <c r="H148" s="384" t="inlineStr">
        <is>
          <t>Agent 02</t>
        </is>
      </c>
      <c r="I148" s="491" t="n"/>
      <c r="J148" s="499">
        <f>IF(AND(A148&lt;&gt;"",E148&lt;&gt;""),IF(I148="","⚠️ Enter Code",IF(IFERROR(VLOOKUP(H148,DB_Agents!$B:$I,8,0),"")=I148,IF(C148&gt;=E148,"Successful","Unsuccessful"),"🔒 BLOCKED — Wrong Code")),"—")</f>
        <v/>
      </c>
      <c r="K148" s="500">
        <f>IF(J148="Successful",TEXT(TODAY(),"YYYY-MM-DD")&amp;" Auto","—")</f>
        <v/>
      </c>
      <c r="L148" s="501" t="n"/>
    </row>
    <row r="149" ht="15" customHeight="1" s="341">
      <c r="A149" s="486" t="n"/>
      <c r="B149" s="378">
        <f>IF(A149="","",IFERROR(VLOOKUP(A149,DB_Customers!$A:$D,4,0),"❌ Account Not Found"))</f>
        <v/>
      </c>
      <c r="C149" s="487">
        <f>IF(A149="","",IFERROR(VLOOKUP(A149,DB_Customers!$A:$N,14,0),""))</f>
        <v/>
      </c>
      <c r="D149" s="488">
        <f>IF(A149="","",TODAY())</f>
        <v/>
      </c>
      <c r="E149" s="510" t="n"/>
      <c r="F149" s="378" t="n"/>
      <c r="G149" s="511">
        <f>IF(OR(A149="",E149=""),"",IF(C149="","",C149-E149))</f>
        <v/>
      </c>
      <c r="H149" s="380" t="inlineStr">
        <is>
          <t>Agent 02</t>
        </is>
      </c>
      <c r="I149" s="491" t="n"/>
      <c r="J149" s="492">
        <f>IF(AND(A149&lt;&gt;"",E149&lt;&gt;""),IF(I149="","⚠️ Enter Code",IF(IFERROR(VLOOKUP(H149,DB_Agents!$B:$I,8,0),"")=I149,IF(C149&gt;=E149,"Successful","Unsuccessful"),"🔒 BLOCKED — Wrong Code")),"—")</f>
        <v/>
      </c>
      <c r="K149" s="493">
        <f>IF(J149="Successful",TEXT(TODAY(),"YYYY-MM-DD")&amp;" Auto","—")</f>
        <v/>
      </c>
      <c r="L149" s="494" t="n"/>
    </row>
    <row r="150" ht="15" customHeight="1" s="341">
      <c r="A150" s="495" t="n"/>
      <c r="B150" s="382">
        <f>IF(A150="","",IFERROR(VLOOKUP(A150,DB_Customers!$A:$D,4,0),"❌ Account Not Found"))</f>
        <v/>
      </c>
      <c r="C150" s="496">
        <f>IF(A150="","",IFERROR(VLOOKUP(A150,DB_Customers!$A:$N,14,0),""))</f>
        <v/>
      </c>
      <c r="D150" s="497">
        <f>IF(A150="","",TODAY())</f>
        <v/>
      </c>
      <c r="E150" s="510" t="n"/>
      <c r="F150" s="382" t="n"/>
      <c r="G150" s="512">
        <f>IF(OR(A150="",E150=""),"",IF(C150="","",C150-E150))</f>
        <v/>
      </c>
      <c r="H150" s="384" t="inlineStr">
        <is>
          <t>Agent 02</t>
        </is>
      </c>
      <c r="I150" s="491" t="n"/>
      <c r="J150" s="499">
        <f>IF(AND(A150&lt;&gt;"",E150&lt;&gt;""),IF(I150="","⚠️ Enter Code",IF(IFERROR(VLOOKUP(H150,DB_Agents!$B:$I,8,0),"")=I150,IF(C150&gt;=E150,"Successful","Unsuccessful"),"🔒 BLOCKED — Wrong Code")),"—")</f>
        <v/>
      </c>
      <c r="K150" s="500">
        <f>IF(J150="Successful",TEXT(TODAY(),"YYYY-MM-DD")&amp;" Auto","—")</f>
        <v/>
      </c>
      <c r="L150" s="501" t="n"/>
    </row>
    <row r="151" ht="15" customHeight="1" s="341">
      <c r="A151" s="486" t="n"/>
      <c r="B151" s="378">
        <f>IF(A151="","",IFERROR(VLOOKUP(A151,DB_Customers!$A:$D,4,0),"❌ Account Not Found"))</f>
        <v/>
      </c>
      <c r="C151" s="487">
        <f>IF(A151="","",IFERROR(VLOOKUP(A151,DB_Customers!$A:$N,14,0),""))</f>
        <v/>
      </c>
      <c r="D151" s="488">
        <f>IF(A151="","",TODAY())</f>
        <v/>
      </c>
      <c r="E151" s="510" t="n"/>
      <c r="F151" s="378" t="n"/>
      <c r="G151" s="511">
        <f>IF(OR(A151="",E151=""),"",IF(C151="","",C151-E151))</f>
        <v/>
      </c>
      <c r="H151" s="380" t="inlineStr">
        <is>
          <t>Agent 02</t>
        </is>
      </c>
      <c r="I151" s="491" t="n"/>
      <c r="J151" s="492">
        <f>IF(AND(A151&lt;&gt;"",E151&lt;&gt;""),IF(I151="","⚠️ Enter Code",IF(IFERROR(VLOOKUP(H151,DB_Agents!$B:$I,8,0),"")=I151,IF(C151&gt;=E151,"Successful","Unsuccessful"),"🔒 BLOCKED — Wrong Code")),"—")</f>
        <v/>
      </c>
      <c r="K151" s="493">
        <f>IF(J151="Successful",TEXT(TODAY(),"YYYY-MM-DD")&amp;" Auto","—")</f>
        <v/>
      </c>
      <c r="L151" s="494" t="n"/>
    </row>
    <row r="152" ht="15" customHeight="1" s="341">
      <c r="A152" s="495" t="n"/>
      <c r="B152" s="382">
        <f>IF(A152="","",IFERROR(VLOOKUP(A152,DB_Customers!$A:$D,4,0),"❌ Account Not Found"))</f>
        <v/>
      </c>
      <c r="C152" s="496">
        <f>IF(A152="","",IFERROR(VLOOKUP(A152,DB_Customers!$A:$N,14,0),""))</f>
        <v/>
      </c>
      <c r="D152" s="497">
        <f>IF(A152="","",TODAY())</f>
        <v/>
      </c>
      <c r="E152" s="510" t="n"/>
      <c r="F152" s="382" t="n"/>
      <c r="G152" s="512">
        <f>IF(OR(A152="",E152=""),"",IF(C152="","",C152-E152))</f>
        <v/>
      </c>
      <c r="H152" s="384" t="inlineStr">
        <is>
          <t>Agent 02</t>
        </is>
      </c>
      <c r="I152" s="491" t="n"/>
      <c r="J152" s="499">
        <f>IF(AND(A152&lt;&gt;"",E152&lt;&gt;""),IF(I152="","⚠️ Enter Code",IF(IFERROR(VLOOKUP(H152,DB_Agents!$B:$I,8,0),"")=I152,IF(C152&gt;=E152,"Successful","Unsuccessful"),"🔒 BLOCKED — Wrong Code")),"—")</f>
        <v/>
      </c>
      <c r="K152" s="500">
        <f>IF(J152="Successful",TEXT(TODAY(),"YYYY-MM-DD")&amp;" Auto","—")</f>
        <v/>
      </c>
      <c r="L152" s="501" t="n"/>
    </row>
    <row r="153" ht="15" customHeight="1" s="341">
      <c r="A153" s="486" t="n"/>
      <c r="B153" s="378">
        <f>IF(A153="","",IFERROR(VLOOKUP(A153,DB_Customers!$A:$D,4,0),"❌ Account Not Found"))</f>
        <v/>
      </c>
      <c r="C153" s="487">
        <f>IF(A153="","",IFERROR(VLOOKUP(A153,DB_Customers!$A:$N,14,0),""))</f>
        <v/>
      </c>
      <c r="D153" s="488">
        <f>IF(A153="","",TODAY())</f>
        <v/>
      </c>
      <c r="E153" s="510" t="n"/>
      <c r="F153" s="378" t="n"/>
      <c r="G153" s="511">
        <f>IF(OR(A153="",E153=""),"",IF(C153="","",C153-E153))</f>
        <v/>
      </c>
      <c r="H153" s="380" t="inlineStr">
        <is>
          <t>Agent 02</t>
        </is>
      </c>
      <c r="I153" s="491" t="n"/>
      <c r="J153" s="492">
        <f>IF(AND(A153&lt;&gt;"",E153&lt;&gt;""),IF(I153="","⚠️ Enter Code",IF(IFERROR(VLOOKUP(H153,DB_Agents!$B:$I,8,0),"")=I153,IF(C153&gt;=E153,"Successful","Unsuccessful"),"🔒 BLOCKED — Wrong Code")),"—")</f>
        <v/>
      </c>
      <c r="K153" s="493">
        <f>IF(J153="Successful",TEXT(TODAY(),"YYYY-MM-DD")&amp;" Auto","—")</f>
        <v/>
      </c>
      <c r="L153" s="494" t="n"/>
    </row>
    <row r="154" ht="15" customHeight="1" s="341">
      <c r="A154" s="495" t="n"/>
      <c r="B154" s="382">
        <f>IF(A154="","",IFERROR(VLOOKUP(A154,DB_Customers!$A:$D,4,0),"❌ Account Not Found"))</f>
        <v/>
      </c>
      <c r="C154" s="496">
        <f>IF(A154="","",IFERROR(VLOOKUP(A154,DB_Customers!$A:$N,14,0),""))</f>
        <v/>
      </c>
      <c r="D154" s="497">
        <f>IF(A154="","",TODAY())</f>
        <v/>
      </c>
      <c r="E154" s="510" t="n"/>
      <c r="F154" s="382" t="n"/>
      <c r="G154" s="512">
        <f>IF(OR(A154="",E154=""),"",IF(C154="","",C154-E154))</f>
        <v/>
      </c>
      <c r="H154" s="384" t="inlineStr">
        <is>
          <t>Agent 02</t>
        </is>
      </c>
      <c r="I154" s="491" t="n"/>
      <c r="J154" s="499">
        <f>IF(AND(A154&lt;&gt;"",E154&lt;&gt;""),IF(I154="","⚠️ Enter Code",IF(IFERROR(VLOOKUP(H154,DB_Agents!$B:$I,8,0),"")=I154,IF(C154&gt;=E154,"Successful","Unsuccessful"),"🔒 BLOCKED — Wrong Code")),"—")</f>
        <v/>
      </c>
      <c r="K154" s="500">
        <f>IF(J154="Successful",TEXT(TODAY(),"YYYY-MM-DD")&amp;" Auto","—")</f>
        <v/>
      </c>
      <c r="L154" s="501" t="n"/>
    </row>
    <row r="155" ht="15" customHeight="1" s="341">
      <c r="A155" s="486" t="n"/>
      <c r="B155" s="378">
        <f>IF(A155="","",IFERROR(VLOOKUP(A155,DB_Customers!$A:$D,4,0),"❌ Account Not Found"))</f>
        <v/>
      </c>
      <c r="C155" s="487">
        <f>IF(A155="","",IFERROR(VLOOKUP(A155,DB_Customers!$A:$N,14,0),""))</f>
        <v/>
      </c>
      <c r="D155" s="488">
        <f>IF(A155="","",TODAY())</f>
        <v/>
      </c>
      <c r="E155" s="510" t="n"/>
      <c r="F155" s="378" t="n"/>
      <c r="G155" s="511">
        <f>IF(OR(A155="",E155=""),"",IF(C155="","",C155-E155))</f>
        <v/>
      </c>
      <c r="H155" s="380" t="inlineStr">
        <is>
          <t>Agent 02</t>
        </is>
      </c>
      <c r="I155" s="491" t="n"/>
      <c r="J155" s="492">
        <f>IF(AND(A155&lt;&gt;"",E155&lt;&gt;""),IF(I155="","⚠️ Enter Code",IF(IFERROR(VLOOKUP(H155,DB_Agents!$B:$I,8,0),"")=I155,IF(C155&gt;=E155,"Successful","Unsuccessful"),"🔒 BLOCKED — Wrong Code")),"—")</f>
        <v/>
      </c>
      <c r="K155" s="493">
        <f>IF(J155="Successful",TEXT(TODAY(),"YYYY-MM-DD")&amp;" Auto","—")</f>
        <v/>
      </c>
      <c r="L155" s="494" t="n"/>
    </row>
    <row r="156" ht="15" customHeight="1" s="341">
      <c r="A156" s="495" t="n"/>
      <c r="B156" s="382">
        <f>IF(A156="","",IFERROR(VLOOKUP(A156,DB_Customers!$A:$D,4,0),"❌ Account Not Found"))</f>
        <v/>
      </c>
      <c r="C156" s="496">
        <f>IF(A156="","",IFERROR(VLOOKUP(A156,DB_Customers!$A:$N,14,0),""))</f>
        <v/>
      </c>
      <c r="D156" s="497">
        <f>IF(A156="","",TODAY())</f>
        <v/>
      </c>
      <c r="E156" s="510" t="n"/>
      <c r="F156" s="382" t="n"/>
      <c r="G156" s="512">
        <f>IF(OR(A156="",E156=""),"",IF(C156="","",C156-E156))</f>
        <v/>
      </c>
      <c r="H156" s="384" t="inlineStr">
        <is>
          <t>Agent 02</t>
        </is>
      </c>
      <c r="I156" s="491" t="n"/>
      <c r="J156" s="499">
        <f>IF(AND(A156&lt;&gt;"",E156&lt;&gt;""),IF(I156="","⚠️ Enter Code",IF(IFERROR(VLOOKUP(H156,DB_Agents!$B:$I,8,0),"")=I156,IF(C156&gt;=E156,"Successful","Unsuccessful"),"🔒 BLOCKED — Wrong Code")),"—")</f>
        <v/>
      </c>
      <c r="K156" s="500">
        <f>IF(J156="Successful",TEXT(TODAY(),"YYYY-MM-DD")&amp;" Auto","—")</f>
        <v/>
      </c>
      <c r="L156" s="501" t="n"/>
    </row>
    <row r="157" ht="15" customHeight="1" s="341">
      <c r="A157" s="486" t="n"/>
      <c r="B157" s="378">
        <f>IF(A157="","",IFERROR(VLOOKUP(A157,DB_Customers!$A:$D,4,0),"❌ Account Not Found"))</f>
        <v/>
      </c>
      <c r="C157" s="487">
        <f>IF(A157="","",IFERROR(VLOOKUP(A157,DB_Customers!$A:$N,14,0),""))</f>
        <v/>
      </c>
      <c r="D157" s="488">
        <f>IF(A157="","",TODAY())</f>
        <v/>
      </c>
      <c r="E157" s="510" t="n"/>
      <c r="F157" s="378" t="n"/>
      <c r="G157" s="511">
        <f>IF(OR(A157="",E157=""),"",IF(C157="","",C157-E157))</f>
        <v/>
      </c>
      <c r="H157" s="380" t="inlineStr">
        <is>
          <t>Agent 02</t>
        </is>
      </c>
      <c r="I157" s="491" t="n"/>
      <c r="J157" s="492">
        <f>IF(AND(A157&lt;&gt;"",E157&lt;&gt;""),IF(I157="","⚠️ Enter Code",IF(IFERROR(VLOOKUP(H157,DB_Agents!$B:$I,8,0),"")=I157,IF(C157&gt;=E157,"Successful","Unsuccessful"),"🔒 BLOCKED — Wrong Code")),"—")</f>
        <v/>
      </c>
      <c r="K157" s="493">
        <f>IF(J157="Successful",TEXT(TODAY(),"YYYY-MM-DD")&amp;" Auto","—")</f>
        <v/>
      </c>
      <c r="L157" s="494" t="n"/>
    </row>
    <row r="158" ht="15" customHeight="1" s="341">
      <c r="A158" s="495" t="n"/>
      <c r="B158" s="382">
        <f>IF(A158="","",IFERROR(VLOOKUP(A158,DB_Customers!$A:$D,4,0),"❌ Account Not Found"))</f>
        <v/>
      </c>
      <c r="C158" s="496">
        <f>IF(A158="","",IFERROR(VLOOKUP(A158,DB_Customers!$A:$N,14,0),""))</f>
        <v/>
      </c>
      <c r="D158" s="497">
        <f>IF(A158="","",TODAY())</f>
        <v/>
      </c>
      <c r="E158" s="510" t="n"/>
      <c r="F158" s="382" t="n"/>
      <c r="G158" s="512">
        <f>IF(OR(A158="",E158=""),"",IF(C158="","",C158-E158))</f>
        <v/>
      </c>
      <c r="H158" s="384" t="inlineStr">
        <is>
          <t>Agent 02</t>
        </is>
      </c>
      <c r="I158" s="491" t="n"/>
      <c r="J158" s="499">
        <f>IF(AND(A158&lt;&gt;"",E158&lt;&gt;""),IF(I158="","⚠️ Enter Code",IF(IFERROR(VLOOKUP(H158,DB_Agents!$B:$I,8,0),"")=I158,IF(C158&gt;=E158,"Successful","Unsuccessful"),"🔒 BLOCKED — Wrong Code")),"—")</f>
        <v/>
      </c>
      <c r="K158" s="500">
        <f>IF(J158="Successful",TEXT(TODAY(),"YYYY-MM-DD")&amp;" Auto","—")</f>
        <v/>
      </c>
      <c r="L158" s="501" t="n"/>
    </row>
    <row r="159" ht="15" customHeight="1" s="341">
      <c r="A159" s="486" t="n"/>
      <c r="B159" s="378">
        <f>IF(A159="","",IFERROR(VLOOKUP(A159,DB_Customers!$A:$D,4,0),"❌ Account Not Found"))</f>
        <v/>
      </c>
      <c r="C159" s="487">
        <f>IF(A159="","",IFERROR(VLOOKUP(A159,DB_Customers!$A:$N,14,0),""))</f>
        <v/>
      </c>
      <c r="D159" s="488">
        <f>IF(A159="","",TODAY())</f>
        <v/>
      </c>
      <c r="E159" s="510" t="n"/>
      <c r="F159" s="378" t="n"/>
      <c r="G159" s="511">
        <f>IF(OR(A159="",E159=""),"",IF(C159="","",C159-E159))</f>
        <v/>
      </c>
      <c r="H159" s="380" t="inlineStr">
        <is>
          <t>Agent 02</t>
        </is>
      </c>
      <c r="I159" s="491" t="n"/>
      <c r="J159" s="492">
        <f>IF(AND(A159&lt;&gt;"",E159&lt;&gt;""),IF(I159="","⚠️ Enter Code",IF(IFERROR(VLOOKUP(H159,DB_Agents!$B:$I,8,0),"")=I159,IF(C159&gt;=E159,"Successful","Unsuccessful"),"🔒 BLOCKED — Wrong Code")),"—")</f>
        <v/>
      </c>
      <c r="K159" s="493">
        <f>IF(J159="Successful",TEXT(TODAY(),"YYYY-MM-DD")&amp;" Auto","—")</f>
        <v/>
      </c>
      <c r="L159" s="494" t="n"/>
    </row>
    <row r="160" ht="15" customHeight="1" s="341">
      <c r="A160" s="495" t="n"/>
      <c r="B160" s="382">
        <f>IF(A160="","",IFERROR(VLOOKUP(A160,DB_Customers!$A:$D,4,0),"❌ Account Not Found"))</f>
        <v/>
      </c>
      <c r="C160" s="496">
        <f>IF(A160="","",IFERROR(VLOOKUP(A160,DB_Customers!$A:$N,14,0),""))</f>
        <v/>
      </c>
      <c r="D160" s="497">
        <f>IF(A160="","",TODAY())</f>
        <v/>
      </c>
      <c r="E160" s="510" t="n"/>
      <c r="F160" s="382" t="n"/>
      <c r="G160" s="512">
        <f>IF(OR(A160="",E160=""),"",IF(C160="","",C160-E160))</f>
        <v/>
      </c>
      <c r="H160" s="384" t="inlineStr">
        <is>
          <t>Agent 02</t>
        </is>
      </c>
      <c r="I160" s="491" t="n"/>
      <c r="J160" s="499">
        <f>IF(AND(A160&lt;&gt;"",E160&lt;&gt;""),IF(I160="","⚠️ Enter Code",IF(IFERROR(VLOOKUP(H160,DB_Agents!$B:$I,8,0),"")=I160,IF(C160&gt;=E160,"Successful","Unsuccessful"),"🔒 BLOCKED — Wrong Code")),"—")</f>
        <v/>
      </c>
      <c r="K160" s="500">
        <f>IF(J160="Successful",TEXT(TODAY(),"YYYY-MM-DD")&amp;" Auto","—")</f>
        <v/>
      </c>
      <c r="L160" s="501" t="n"/>
    </row>
    <row r="161" ht="15" customHeight="1" s="341">
      <c r="A161" s="486" t="n"/>
      <c r="B161" s="378">
        <f>IF(A161="","",IFERROR(VLOOKUP(A161,DB_Customers!$A:$D,4,0),"❌ Account Not Found"))</f>
        <v/>
      </c>
      <c r="C161" s="487">
        <f>IF(A161="","",IFERROR(VLOOKUP(A161,DB_Customers!$A:$N,14,0),""))</f>
        <v/>
      </c>
      <c r="D161" s="488">
        <f>IF(A161="","",TODAY())</f>
        <v/>
      </c>
      <c r="E161" s="510" t="n"/>
      <c r="F161" s="378" t="n"/>
      <c r="G161" s="511">
        <f>IF(OR(A161="",E161=""),"",IF(C161="","",C161-E161))</f>
        <v/>
      </c>
      <c r="H161" s="380" t="inlineStr">
        <is>
          <t>Agent 02</t>
        </is>
      </c>
      <c r="I161" s="491" t="n"/>
      <c r="J161" s="492">
        <f>IF(AND(A161&lt;&gt;"",E161&lt;&gt;""),IF(I161="","⚠️ Enter Code",IF(IFERROR(VLOOKUP(H161,DB_Agents!$B:$I,8,0),"")=I161,IF(C161&gt;=E161,"Successful","Unsuccessful"),"🔒 BLOCKED — Wrong Code")),"—")</f>
        <v/>
      </c>
      <c r="K161" s="493">
        <f>IF(J161="Successful",TEXT(TODAY(),"YYYY-MM-DD")&amp;" Auto","—")</f>
        <v/>
      </c>
      <c r="L161" s="494" t="n"/>
    </row>
    <row r="162" ht="15" customHeight="1" s="341">
      <c r="A162" s="495" t="n"/>
      <c r="B162" s="382">
        <f>IF(A162="","",IFERROR(VLOOKUP(A162,DB_Customers!$A:$D,4,0),"❌ Account Not Found"))</f>
        <v/>
      </c>
      <c r="C162" s="496">
        <f>IF(A162="","",IFERROR(VLOOKUP(A162,DB_Customers!$A:$N,14,0),""))</f>
        <v/>
      </c>
      <c r="D162" s="497">
        <f>IF(A162="","",TODAY())</f>
        <v/>
      </c>
      <c r="E162" s="510" t="n"/>
      <c r="F162" s="382" t="n"/>
      <c r="G162" s="512">
        <f>IF(OR(A162="",E162=""),"",IF(C162="","",C162-E162))</f>
        <v/>
      </c>
      <c r="H162" s="384" t="inlineStr">
        <is>
          <t>Agent 02</t>
        </is>
      </c>
      <c r="I162" s="491" t="n"/>
      <c r="J162" s="499">
        <f>IF(AND(A162&lt;&gt;"",E162&lt;&gt;""),IF(I162="","⚠️ Enter Code",IF(IFERROR(VLOOKUP(H162,DB_Agents!$B:$I,8,0),"")=I162,IF(C162&gt;=E162,"Successful","Unsuccessful"),"🔒 BLOCKED — Wrong Code")),"—")</f>
        <v/>
      </c>
      <c r="K162" s="500">
        <f>IF(J162="Successful",TEXT(TODAY(),"YYYY-MM-DD")&amp;" Auto","—")</f>
        <v/>
      </c>
      <c r="L162" s="501" t="n"/>
    </row>
    <row r="163" ht="15" customHeight="1" s="341">
      <c r="A163" s="486" t="n"/>
      <c r="B163" s="378">
        <f>IF(A163="","",IFERROR(VLOOKUP(A163,DB_Customers!$A:$D,4,0),"❌ Account Not Found"))</f>
        <v/>
      </c>
      <c r="C163" s="487">
        <f>IF(A163="","",IFERROR(VLOOKUP(A163,DB_Customers!$A:$N,14,0),""))</f>
        <v/>
      </c>
      <c r="D163" s="488">
        <f>IF(A163="","",TODAY())</f>
        <v/>
      </c>
      <c r="E163" s="510" t="n"/>
      <c r="F163" s="378" t="n"/>
      <c r="G163" s="511">
        <f>IF(OR(A163="",E163=""),"",IF(C163="","",C163-E163))</f>
        <v/>
      </c>
      <c r="H163" s="380" t="inlineStr">
        <is>
          <t>Agent 02</t>
        </is>
      </c>
      <c r="I163" s="491" t="n"/>
      <c r="J163" s="492">
        <f>IF(AND(A163&lt;&gt;"",E163&lt;&gt;""),IF(I163="","⚠️ Enter Code",IF(IFERROR(VLOOKUP(H163,DB_Agents!$B:$I,8,0),"")=I163,IF(C163&gt;=E163,"Successful","Unsuccessful"),"🔒 BLOCKED — Wrong Code")),"—")</f>
        <v/>
      </c>
      <c r="K163" s="493">
        <f>IF(J163="Successful",TEXT(TODAY(),"YYYY-MM-DD")&amp;" Auto","—")</f>
        <v/>
      </c>
      <c r="L163" s="494" t="n"/>
    </row>
    <row r="164" ht="15" customHeight="1" s="341">
      <c r="A164" s="495" t="n"/>
      <c r="B164" s="382">
        <f>IF(A164="","",IFERROR(VLOOKUP(A164,DB_Customers!$A:$D,4,0),"❌ Account Not Found"))</f>
        <v/>
      </c>
      <c r="C164" s="496">
        <f>IF(A164="","",IFERROR(VLOOKUP(A164,DB_Customers!$A:$N,14,0),""))</f>
        <v/>
      </c>
      <c r="D164" s="497">
        <f>IF(A164="","",TODAY())</f>
        <v/>
      </c>
      <c r="E164" s="510" t="n"/>
      <c r="F164" s="382" t="n"/>
      <c r="G164" s="512">
        <f>IF(OR(A164="",E164=""),"",IF(C164="","",C164-E164))</f>
        <v/>
      </c>
      <c r="H164" s="384" t="inlineStr">
        <is>
          <t>Agent 02</t>
        </is>
      </c>
      <c r="I164" s="491" t="n"/>
      <c r="J164" s="499">
        <f>IF(AND(A164&lt;&gt;"",E164&lt;&gt;""),IF(I164="","⚠️ Enter Code",IF(IFERROR(VLOOKUP(H164,DB_Agents!$B:$I,8,0),"")=I164,IF(C164&gt;=E164,"Successful","Unsuccessful"),"🔒 BLOCKED — Wrong Code")),"—")</f>
        <v/>
      </c>
      <c r="K164" s="500">
        <f>IF(J164="Successful",TEXT(TODAY(),"YYYY-MM-DD")&amp;" Auto","—")</f>
        <v/>
      </c>
      <c r="L164" s="501" t="n"/>
    </row>
    <row r="165" ht="15" customHeight="1" s="341">
      <c r="A165" s="486" t="n"/>
      <c r="B165" s="378">
        <f>IF(A165="","",IFERROR(VLOOKUP(A165,DB_Customers!$A:$D,4,0),"❌ Account Not Found"))</f>
        <v/>
      </c>
      <c r="C165" s="487">
        <f>IF(A165="","",IFERROR(VLOOKUP(A165,DB_Customers!$A:$N,14,0),""))</f>
        <v/>
      </c>
      <c r="D165" s="488">
        <f>IF(A165="","",TODAY())</f>
        <v/>
      </c>
      <c r="E165" s="510" t="n"/>
      <c r="F165" s="378" t="n"/>
      <c r="G165" s="511">
        <f>IF(OR(A165="",E165=""),"",IF(C165="","",C165-E165))</f>
        <v/>
      </c>
      <c r="H165" s="380" t="inlineStr">
        <is>
          <t>Agent 02</t>
        </is>
      </c>
      <c r="I165" s="491" t="n"/>
      <c r="J165" s="492">
        <f>IF(AND(A165&lt;&gt;"",E165&lt;&gt;""),IF(I165="","⚠️ Enter Code",IF(IFERROR(VLOOKUP(H165,DB_Agents!$B:$I,8,0),"")=I165,IF(C165&gt;=E165,"Successful","Unsuccessful"),"🔒 BLOCKED — Wrong Code")),"—")</f>
        <v/>
      </c>
      <c r="K165" s="493">
        <f>IF(J165="Successful",TEXT(TODAY(),"YYYY-MM-DD")&amp;" Auto","—")</f>
        <v/>
      </c>
      <c r="L165" s="494" t="n"/>
    </row>
    <row r="166" ht="15" customHeight="1" s="341">
      <c r="A166" s="495" t="n"/>
      <c r="B166" s="382">
        <f>IF(A166="","",IFERROR(VLOOKUP(A166,DB_Customers!$A:$D,4,0),"❌ Account Not Found"))</f>
        <v/>
      </c>
      <c r="C166" s="496">
        <f>IF(A166="","",IFERROR(VLOOKUP(A166,DB_Customers!$A:$N,14,0),""))</f>
        <v/>
      </c>
      <c r="D166" s="497">
        <f>IF(A166="","",TODAY())</f>
        <v/>
      </c>
      <c r="E166" s="510" t="n"/>
      <c r="F166" s="382" t="n"/>
      <c r="G166" s="512">
        <f>IF(OR(A166="",E166=""),"",IF(C166="","",C166-E166))</f>
        <v/>
      </c>
      <c r="H166" s="384" t="inlineStr">
        <is>
          <t>Agent 02</t>
        </is>
      </c>
      <c r="I166" s="491" t="n"/>
      <c r="J166" s="499">
        <f>IF(AND(A166&lt;&gt;"",E166&lt;&gt;""),IF(I166="","⚠️ Enter Code",IF(IFERROR(VLOOKUP(H166,DB_Agents!$B:$I,8,0),"")=I166,IF(C166&gt;=E166,"Successful","Unsuccessful"),"🔒 BLOCKED — Wrong Code")),"—")</f>
        <v/>
      </c>
      <c r="K166" s="500">
        <f>IF(J166="Successful",TEXT(TODAY(),"YYYY-MM-DD")&amp;" Auto","—")</f>
        <v/>
      </c>
      <c r="L166" s="501" t="n"/>
    </row>
    <row r="167" ht="15" customHeight="1" s="341">
      <c r="A167" s="486" t="n"/>
      <c r="B167" s="378">
        <f>IF(A167="","",IFERROR(VLOOKUP(A167,DB_Customers!$A:$D,4,0),"❌ Account Not Found"))</f>
        <v/>
      </c>
      <c r="C167" s="487">
        <f>IF(A167="","",IFERROR(VLOOKUP(A167,DB_Customers!$A:$N,14,0),""))</f>
        <v/>
      </c>
      <c r="D167" s="488">
        <f>IF(A167="","",TODAY())</f>
        <v/>
      </c>
      <c r="E167" s="510" t="n"/>
      <c r="F167" s="378" t="n"/>
      <c r="G167" s="511">
        <f>IF(OR(A167="",E167=""),"",IF(C167="","",C167-E167))</f>
        <v/>
      </c>
      <c r="H167" s="380" t="inlineStr">
        <is>
          <t>Agent 02</t>
        </is>
      </c>
      <c r="I167" s="491" t="n"/>
      <c r="J167" s="492">
        <f>IF(AND(A167&lt;&gt;"",E167&lt;&gt;""),IF(I167="","⚠️ Enter Code",IF(IFERROR(VLOOKUP(H167,DB_Agents!$B:$I,8,0),"")=I167,IF(C167&gt;=E167,"Successful","Unsuccessful"),"🔒 BLOCKED — Wrong Code")),"—")</f>
        <v/>
      </c>
      <c r="K167" s="493">
        <f>IF(J167="Successful",TEXT(TODAY(),"YYYY-MM-DD")&amp;" Auto","—")</f>
        <v/>
      </c>
      <c r="L167" s="494" t="n"/>
    </row>
    <row r="168" ht="15" customHeight="1" s="341">
      <c r="A168" s="495" t="n"/>
      <c r="B168" s="382">
        <f>IF(A168="","",IFERROR(VLOOKUP(A168,DB_Customers!$A:$D,4,0),"❌ Account Not Found"))</f>
        <v/>
      </c>
      <c r="C168" s="496">
        <f>IF(A168="","",IFERROR(VLOOKUP(A168,DB_Customers!$A:$N,14,0),""))</f>
        <v/>
      </c>
      <c r="D168" s="497">
        <f>IF(A168="","",TODAY())</f>
        <v/>
      </c>
      <c r="E168" s="510" t="n"/>
      <c r="F168" s="382" t="n"/>
      <c r="G168" s="512">
        <f>IF(OR(A168="",E168=""),"",IF(C168="","",C168-E168))</f>
        <v/>
      </c>
      <c r="H168" s="384" t="inlineStr">
        <is>
          <t>Agent 02</t>
        </is>
      </c>
      <c r="I168" s="491" t="n"/>
      <c r="J168" s="499">
        <f>IF(AND(A168&lt;&gt;"",E168&lt;&gt;""),IF(I168="","⚠️ Enter Code",IF(IFERROR(VLOOKUP(H168,DB_Agents!$B:$I,8,0),"")=I168,IF(C168&gt;=E168,"Successful","Unsuccessful"),"🔒 BLOCKED — Wrong Code")),"—")</f>
        <v/>
      </c>
      <c r="K168" s="500">
        <f>IF(J168="Successful",TEXT(TODAY(),"YYYY-MM-DD")&amp;" Auto","—")</f>
        <v/>
      </c>
      <c r="L168" s="501" t="n"/>
    </row>
    <row r="169" ht="15" customHeight="1" s="341">
      <c r="A169" s="486" t="n"/>
      <c r="B169" s="378">
        <f>IF(A169="","",IFERROR(VLOOKUP(A169,DB_Customers!$A:$D,4,0),"❌ Account Not Found"))</f>
        <v/>
      </c>
      <c r="C169" s="487">
        <f>IF(A169="","",IFERROR(VLOOKUP(A169,DB_Customers!$A:$N,14,0),""))</f>
        <v/>
      </c>
      <c r="D169" s="488">
        <f>IF(A169="","",TODAY())</f>
        <v/>
      </c>
      <c r="E169" s="510" t="n"/>
      <c r="F169" s="378" t="n"/>
      <c r="G169" s="511">
        <f>IF(OR(A169="",E169=""),"",IF(C169="","",C169-E169))</f>
        <v/>
      </c>
      <c r="H169" s="380" t="inlineStr">
        <is>
          <t>Agent 02</t>
        </is>
      </c>
      <c r="I169" s="491" t="n"/>
      <c r="J169" s="492">
        <f>IF(AND(A169&lt;&gt;"",E169&lt;&gt;""),IF(I169="","⚠️ Enter Code",IF(IFERROR(VLOOKUP(H169,DB_Agents!$B:$I,8,0),"")=I169,IF(C169&gt;=E169,"Successful","Unsuccessful"),"🔒 BLOCKED — Wrong Code")),"—")</f>
        <v/>
      </c>
      <c r="K169" s="493">
        <f>IF(J169="Successful",TEXT(TODAY(),"YYYY-MM-DD")&amp;" Auto","—")</f>
        <v/>
      </c>
      <c r="L169" s="494" t="n"/>
    </row>
    <row r="170" ht="15" customHeight="1" s="341">
      <c r="A170" s="495" t="n"/>
      <c r="B170" s="382">
        <f>IF(A170="","",IFERROR(VLOOKUP(A170,DB_Customers!$A:$D,4,0),"❌ Account Not Found"))</f>
        <v/>
      </c>
      <c r="C170" s="496">
        <f>IF(A170="","",IFERROR(VLOOKUP(A170,DB_Customers!$A:$N,14,0),""))</f>
        <v/>
      </c>
      <c r="D170" s="497">
        <f>IF(A170="","",TODAY())</f>
        <v/>
      </c>
      <c r="E170" s="510" t="n"/>
      <c r="F170" s="382" t="n"/>
      <c r="G170" s="512">
        <f>IF(OR(A170="",E170=""),"",IF(C170="","",C170-E170))</f>
        <v/>
      </c>
      <c r="H170" s="384" t="inlineStr">
        <is>
          <t>Agent 02</t>
        </is>
      </c>
      <c r="I170" s="491" t="n"/>
      <c r="J170" s="499">
        <f>IF(AND(A170&lt;&gt;"",E170&lt;&gt;""),IF(I170="","⚠️ Enter Code",IF(IFERROR(VLOOKUP(H170,DB_Agents!$B:$I,8,0),"")=I170,IF(C170&gt;=E170,"Successful","Unsuccessful"),"🔒 BLOCKED — Wrong Code")),"—")</f>
        <v/>
      </c>
      <c r="K170" s="500">
        <f>IF(J170="Successful",TEXT(TODAY(),"YYYY-MM-DD")&amp;" Auto","—")</f>
        <v/>
      </c>
      <c r="L170" s="501" t="n"/>
    </row>
    <row r="171" ht="15" customHeight="1" s="341">
      <c r="A171" s="486" t="n"/>
      <c r="B171" s="378">
        <f>IF(A171="","",IFERROR(VLOOKUP(A171,DB_Customers!$A:$D,4,0),"❌ Account Not Found"))</f>
        <v/>
      </c>
      <c r="C171" s="487">
        <f>IF(A171="","",IFERROR(VLOOKUP(A171,DB_Customers!$A:$N,14,0),""))</f>
        <v/>
      </c>
      <c r="D171" s="488">
        <f>IF(A171="","",TODAY())</f>
        <v/>
      </c>
      <c r="E171" s="510" t="n"/>
      <c r="F171" s="378" t="n"/>
      <c r="G171" s="511">
        <f>IF(OR(A171="",E171=""),"",IF(C171="","",C171-E171))</f>
        <v/>
      </c>
      <c r="H171" s="380" t="inlineStr">
        <is>
          <t>Agent 02</t>
        </is>
      </c>
      <c r="I171" s="491" t="n"/>
      <c r="J171" s="492">
        <f>IF(AND(A171&lt;&gt;"",E171&lt;&gt;""),IF(I171="","⚠️ Enter Code",IF(IFERROR(VLOOKUP(H171,DB_Agents!$B:$I,8,0),"")=I171,IF(C171&gt;=E171,"Successful","Unsuccessful"),"🔒 BLOCKED — Wrong Code")),"—")</f>
        <v/>
      </c>
      <c r="K171" s="493">
        <f>IF(J171="Successful",TEXT(TODAY(),"YYYY-MM-DD")&amp;" Auto","—")</f>
        <v/>
      </c>
      <c r="L171" s="494" t="n"/>
    </row>
    <row r="172" ht="15" customHeight="1" s="341">
      <c r="A172" s="495" t="n"/>
      <c r="B172" s="382">
        <f>IF(A172="","",IFERROR(VLOOKUP(A172,DB_Customers!$A:$D,4,0),"❌ Account Not Found"))</f>
        <v/>
      </c>
      <c r="C172" s="496">
        <f>IF(A172="","",IFERROR(VLOOKUP(A172,DB_Customers!$A:$N,14,0),""))</f>
        <v/>
      </c>
      <c r="D172" s="497">
        <f>IF(A172="","",TODAY())</f>
        <v/>
      </c>
      <c r="E172" s="510" t="n"/>
      <c r="F172" s="382" t="n"/>
      <c r="G172" s="512">
        <f>IF(OR(A172="",E172=""),"",IF(C172="","",C172-E172))</f>
        <v/>
      </c>
      <c r="H172" s="384" t="inlineStr">
        <is>
          <t>Agent 02</t>
        </is>
      </c>
      <c r="I172" s="491" t="n"/>
      <c r="J172" s="499">
        <f>IF(AND(A172&lt;&gt;"",E172&lt;&gt;""),IF(I172="","⚠️ Enter Code",IF(IFERROR(VLOOKUP(H172,DB_Agents!$B:$I,8,0),"")=I172,IF(C172&gt;=E172,"Successful","Unsuccessful"),"🔒 BLOCKED — Wrong Code")),"—")</f>
        <v/>
      </c>
      <c r="K172" s="500">
        <f>IF(J172="Successful",TEXT(TODAY(),"YYYY-MM-DD")&amp;" Auto","—")</f>
        <v/>
      </c>
      <c r="L172" s="501" t="n"/>
    </row>
    <row r="173" ht="15" customHeight="1" s="341">
      <c r="A173" s="486" t="n"/>
      <c r="B173" s="378">
        <f>IF(A173="","",IFERROR(VLOOKUP(A173,DB_Customers!$A:$D,4,0),"❌ Account Not Found"))</f>
        <v/>
      </c>
      <c r="C173" s="487">
        <f>IF(A173="","",IFERROR(VLOOKUP(A173,DB_Customers!$A:$N,14,0),""))</f>
        <v/>
      </c>
      <c r="D173" s="488">
        <f>IF(A173="","",TODAY())</f>
        <v/>
      </c>
      <c r="E173" s="510" t="n"/>
      <c r="F173" s="378" t="n"/>
      <c r="G173" s="511">
        <f>IF(OR(A173="",E173=""),"",IF(C173="","",C173-E173))</f>
        <v/>
      </c>
      <c r="H173" s="380" t="inlineStr">
        <is>
          <t>Agent 02</t>
        </is>
      </c>
      <c r="I173" s="491" t="n"/>
      <c r="J173" s="492">
        <f>IF(AND(A173&lt;&gt;"",E173&lt;&gt;""),IF(I173="","⚠️ Enter Code",IF(IFERROR(VLOOKUP(H173,DB_Agents!$B:$I,8,0),"")=I173,IF(C173&gt;=E173,"Successful","Unsuccessful"),"🔒 BLOCKED — Wrong Code")),"—")</f>
        <v/>
      </c>
      <c r="K173" s="493">
        <f>IF(J173="Successful",TEXT(TODAY(),"YYYY-MM-DD")&amp;" Auto","—")</f>
        <v/>
      </c>
      <c r="L173" s="494" t="n"/>
    </row>
    <row r="174" ht="15" customHeight="1" s="341">
      <c r="A174" s="495" t="n"/>
      <c r="B174" s="382">
        <f>IF(A174="","",IFERROR(VLOOKUP(A174,DB_Customers!$A:$D,4,0),"❌ Account Not Found"))</f>
        <v/>
      </c>
      <c r="C174" s="496">
        <f>IF(A174="","",IFERROR(VLOOKUP(A174,DB_Customers!$A:$N,14,0),""))</f>
        <v/>
      </c>
      <c r="D174" s="497">
        <f>IF(A174="","",TODAY())</f>
        <v/>
      </c>
      <c r="E174" s="510" t="n"/>
      <c r="F174" s="382" t="n"/>
      <c r="G174" s="512">
        <f>IF(OR(A174="",E174=""),"",IF(C174="","",C174-E174))</f>
        <v/>
      </c>
      <c r="H174" s="384" t="inlineStr">
        <is>
          <t>Agent 02</t>
        </is>
      </c>
      <c r="I174" s="491" t="n"/>
      <c r="J174" s="499">
        <f>IF(AND(A174&lt;&gt;"",E174&lt;&gt;""),IF(I174="","⚠️ Enter Code",IF(IFERROR(VLOOKUP(H174,DB_Agents!$B:$I,8,0),"")=I174,IF(C174&gt;=E174,"Successful","Unsuccessful"),"🔒 BLOCKED — Wrong Code")),"—")</f>
        <v/>
      </c>
      <c r="K174" s="500">
        <f>IF(J174="Successful",TEXT(TODAY(),"YYYY-MM-DD")&amp;" Auto","—")</f>
        <v/>
      </c>
      <c r="L174" s="501" t="n"/>
    </row>
    <row r="175" ht="15" customHeight="1" s="341">
      <c r="A175" s="486" t="n"/>
      <c r="B175" s="378">
        <f>IF(A175="","",IFERROR(VLOOKUP(A175,DB_Customers!$A:$D,4,0),"❌ Account Not Found"))</f>
        <v/>
      </c>
      <c r="C175" s="487">
        <f>IF(A175="","",IFERROR(VLOOKUP(A175,DB_Customers!$A:$N,14,0),""))</f>
        <v/>
      </c>
      <c r="D175" s="488">
        <f>IF(A175="","",TODAY())</f>
        <v/>
      </c>
      <c r="E175" s="510" t="n"/>
      <c r="F175" s="378" t="n"/>
      <c r="G175" s="511">
        <f>IF(OR(A175="",E175=""),"",IF(C175="","",C175-E175))</f>
        <v/>
      </c>
      <c r="H175" s="380" t="inlineStr">
        <is>
          <t>Agent 02</t>
        </is>
      </c>
      <c r="I175" s="491" t="n"/>
      <c r="J175" s="492">
        <f>IF(AND(A175&lt;&gt;"",E175&lt;&gt;""),IF(I175="","⚠️ Enter Code",IF(IFERROR(VLOOKUP(H175,DB_Agents!$B:$I,8,0),"")=I175,IF(C175&gt;=E175,"Successful","Unsuccessful"),"🔒 BLOCKED — Wrong Code")),"—")</f>
        <v/>
      </c>
      <c r="K175" s="493">
        <f>IF(J175="Successful",TEXT(TODAY(),"YYYY-MM-DD")&amp;" Auto","—")</f>
        <v/>
      </c>
      <c r="L175" s="494" t="n"/>
    </row>
    <row r="176" ht="15" customHeight="1" s="341">
      <c r="A176" s="495" t="n"/>
      <c r="B176" s="382">
        <f>IF(A176="","",IFERROR(VLOOKUP(A176,DB_Customers!$A:$D,4,0),"❌ Account Not Found"))</f>
        <v/>
      </c>
      <c r="C176" s="496">
        <f>IF(A176="","",IFERROR(VLOOKUP(A176,DB_Customers!$A:$N,14,0),""))</f>
        <v/>
      </c>
      <c r="D176" s="497">
        <f>IF(A176="","",TODAY())</f>
        <v/>
      </c>
      <c r="E176" s="510" t="n"/>
      <c r="F176" s="382" t="n"/>
      <c r="G176" s="512">
        <f>IF(OR(A176="",E176=""),"",IF(C176="","",C176-E176))</f>
        <v/>
      </c>
      <c r="H176" s="384" t="inlineStr">
        <is>
          <t>Agent 02</t>
        </is>
      </c>
      <c r="I176" s="491" t="n"/>
      <c r="J176" s="499">
        <f>IF(AND(A176&lt;&gt;"",E176&lt;&gt;""),IF(I176="","⚠️ Enter Code",IF(IFERROR(VLOOKUP(H176,DB_Agents!$B:$I,8,0),"")=I176,IF(C176&gt;=E176,"Successful","Unsuccessful"),"🔒 BLOCKED — Wrong Code")),"—")</f>
        <v/>
      </c>
      <c r="K176" s="500">
        <f>IF(J176="Successful",TEXT(TODAY(),"YYYY-MM-DD")&amp;" Auto","—")</f>
        <v/>
      </c>
      <c r="L176" s="501" t="n"/>
    </row>
    <row r="177" ht="15" customHeight="1" s="341">
      <c r="A177" s="486" t="n"/>
      <c r="B177" s="378">
        <f>IF(A177="","",IFERROR(VLOOKUP(A177,DB_Customers!$A:$D,4,0),"❌ Account Not Found"))</f>
        <v/>
      </c>
      <c r="C177" s="487">
        <f>IF(A177="","",IFERROR(VLOOKUP(A177,DB_Customers!$A:$N,14,0),""))</f>
        <v/>
      </c>
      <c r="D177" s="488">
        <f>IF(A177="","",TODAY())</f>
        <v/>
      </c>
      <c r="E177" s="510" t="n"/>
      <c r="F177" s="378" t="n"/>
      <c r="G177" s="511">
        <f>IF(OR(A177="",E177=""),"",IF(C177="","",C177-E177))</f>
        <v/>
      </c>
      <c r="H177" s="380" t="inlineStr">
        <is>
          <t>Agent 02</t>
        </is>
      </c>
      <c r="I177" s="491" t="n"/>
      <c r="J177" s="492">
        <f>IF(AND(A177&lt;&gt;"",E177&lt;&gt;""),IF(I177="","⚠️ Enter Code",IF(IFERROR(VLOOKUP(H177,DB_Agents!$B:$I,8,0),"")=I177,IF(C177&gt;=E177,"Successful","Unsuccessful"),"🔒 BLOCKED — Wrong Code")),"—")</f>
        <v/>
      </c>
      <c r="K177" s="493">
        <f>IF(J177="Successful",TEXT(TODAY(),"YYYY-MM-DD")&amp;" Auto","—")</f>
        <v/>
      </c>
      <c r="L177" s="494" t="n"/>
    </row>
    <row r="178" ht="15" customHeight="1" s="341">
      <c r="A178" s="495" t="n"/>
      <c r="B178" s="382">
        <f>IF(A178="","",IFERROR(VLOOKUP(A178,DB_Customers!$A:$D,4,0),"❌ Account Not Found"))</f>
        <v/>
      </c>
      <c r="C178" s="496">
        <f>IF(A178="","",IFERROR(VLOOKUP(A178,DB_Customers!$A:$N,14,0),""))</f>
        <v/>
      </c>
      <c r="D178" s="497">
        <f>IF(A178="","",TODAY())</f>
        <v/>
      </c>
      <c r="E178" s="510" t="n"/>
      <c r="F178" s="382" t="n"/>
      <c r="G178" s="512">
        <f>IF(OR(A178="",E178=""),"",IF(C178="","",C178-E178))</f>
        <v/>
      </c>
      <c r="H178" s="384" t="inlineStr">
        <is>
          <t>Agent 02</t>
        </is>
      </c>
      <c r="I178" s="491" t="n"/>
      <c r="J178" s="499">
        <f>IF(AND(A178&lt;&gt;"",E178&lt;&gt;""),IF(I178="","⚠️ Enter Code",IF(IFERROR(VLOOKUP(H178,DB_Agents!$B:$I,8,0),"")=I178,IF(C178&gt;=E178,"Successful","Unsuccessful"),"🔒 BLOCKED — Wrong Code")),"—")</f>
        <v/>
      </c>
      <c r="K178" s="500">
        <f>IF(J178="Successful",TEXT(TODAY(),"YYYY-MM-DD")&amp;" Auto","—")</f>
        <v/>
      </c>
      <c r="L178" s="501" t="n"/>
    </row>
    <row r="179" ht="15" customHeight="1" s="341">
      <c r="A179" s="486" t="n"/>
      <c r="B179" s="378">
        <f>IF(A179="","",IFERROR(VLOOKUP(A179,DB_Customers!$A:$D,4,0),"❌ Account Not Found"))</f>
        <v/>
      </c>
      <c r="C179" s="487">
        <f>IF(A179="","",IFERROR(VLOOKUP(A179,DB_Customers!$A:$N,14,0),""))</f>
        <v/>
      </c>
      <c r="D179" s="488">
        <f>IF(A179="","",TODAY())</f>
        <v/>
      </c>
      <c r="E179" s="510" t="n"/>
      <c r="F179" s="378" t="n"/>
      <c r="G179" s="511">
        <f>IF(OR(A179="",E179=""),"",IF(C179="","",C179-E179))</f>
        <v/>
      </c>
      <c r="H179" s="380" t="inlineStr">
        <is>
          <t>Agent 02</t>
        </is>
      </c>
      <c r="I179" s="491" t="n"/>
      <c r="J179" s="492">
        <f>IF(AND(A179&lt;&gt;"",E179&lt;&gt;""),IF(I179="","⚠️ Enter Code",IF(IFERROR(VLOOKUP(H179,DB_Agents!$B:$I,8,0),"")=I179,IF(C179&gt;=E179,"Successful","Unsuccessful"),"🔒 BLOCKED — Wrong Code")),"—")</f>
        <v/>
      </c>
      <c r="K179" s="493">
        <f>IF(J179="Successful",TEXT(TODAY(),"YYYY-MM-DD")&amp;" Auto","—")</f>
        <v/>
      </c>
      <c r="L179" s="494" t="n"/>
    </row>
    <row r="180" ht="15" customHeight="1" s="341">
      <c r="A180" s="495" t="n"/>
      <c r="B180" s="382">
        <f>IF(A180="","",IFERROR(VLOOKUP(A180,DB_Customers!$A:$D,4,0),"❌ Account Not Found"))</f>
        <v/>
      </c>
      <c r="C180" s="496">
        <f>IF(A180="","",IFERROR(VLOOKUP(A180,DB_Customers!$A:$N,14,0),""))</f>
        <v/>
      </c>
      <c r="D180" s="497">
        <f>IF(A180="","",TODAY())</f>
        <v/>
      </c>
      <c r="E180" s="510" t="n"/>
      <c r="F180" s="382" t="n"/>
      <c r="G180" s="512">
        <f>IF(OR(A180="",E180=""),"",IF(C180="","",C180-E180))</f>
        <v/>
      </c>
      <c r="H180" s="384" t="inlineStr">
        <is>
          <t>Agent 02</t>
        </is>
      </c>
      <c r="I180" s="491" t="n"/>
      <c r="J180" s="499">
        <f>IF(AND(A180&lt;&gt;"",E180&lt;&gt;""),IF(I180="","⚠️ Enter Code",IF(IFERROR(VLOOKUP(H180,DB_Agents!$B:$I,8,0),"")=I180,IF(C180&gt;=E180,"Successful","Unsuccessful"),"🔒 BLOCKED — Wrong Code")),"—")</f>
        <v/>
      </c>
      <c r="K180" s="500">
        <f>IF(J180="Successful",TEXT(TODAY(),"YYYY-MM-DD")&amp;" Auto","—")</f>
        <v/>
      </c>
      <c r="L180" s="501" t="n"/>
    </row>
    <row r="181" ht="15" customHeight="1" s="341">
      <c r="A181" s="486" t="n"/>
      <c r="B181" s="378">
        <f>IF(A181="","",IFERROR(VLOOKUP(A181,DB_Customers!$A:$D,4,0),"❌ Account Not Found"))</f>
        <v/>
      </c>
      <c r="C181" s="487">
        <f>IF(A181="","",IFERROR(VLOOKUP(A181,DB_Customers!$A:$N,14,0),""))</f>
        <v/>
      </c>
      <c r="D181" s="488">
        <f>IF(A181="","",TODAY())</f>
        <v/>
      </c>
      <c r="E181" s="510" t="n"/>
      <c r="F181" s="378" t="n"/>
      <c r="G181" s="511">
        <f>IF(OR(A181="",E181=""),"",IF(C181="","",C181-E181))</f>
        <v/>
      </c>
      <c r="H181" s="380" t="inlineStr">
        <is>
          <t>Agent 02</t>
        </is>
      </c>
      <c r="I181" s="491" t="n"/>
      <c r="J181" s="492">
        <f>IF(AND(A181&lt;&gt;"",E181&lt;&gt;""),IF(I181="","⚠️ Enter Code",IF(IFERROR(VLOOKUP(H181,DB_Agents!$B:$I,8,0),"")=I181,IF(C181&gt;=E181,"Successful","Unsuccessful"),"🔒 BLOCKED — Wrong Code")),"—")</f>
        <v/>
      </c>
      <c r="K181" s="493">
        <f>IF(J181="Successful",TEXT(TODAY(),"YYYY-MM-DD")&amp;" Auto","—")</f>
        <v/>
      </c>
      <c r="L181" s="494" t="n"/>
    </row>
    <row r="182" ht="15" customHeight="1" s="341">
      <c r="A182" s="495" t="n"/>
      <c r="B182" s="382">
        <f>IF(A182="","",IFERROR(VLOOKUP(A182,DB_Customers!$A:$D,4,0),"❌ Account Not Found"))</f>
        <v/>
      </c>
      <c r="C182" s="496">
        <f>IF(A182="","",IFERROR(VLOOKUP(A182,DB_Customers!$A:$N,14,0),""))</f>
        <v/>
      </c>
      <c r="D182" s="497">
        <f>IF(A182="","",TODAY())</f>
        <v/>
      </c>
      <c r="E182" s="510" t="n"/>
      <c r="F182" s="382" t="n"/>
      <c r="G182" s="512">
        <f>IF(OR(A182="",E182=""),"",IF(C182="","",C182-E182))</f>
        <v/>
      </c>
      <c r="H182" s="384" t="inlineStr">
        <is>
          <t>Agent 02</t>
        </is>
      </c>
      <c r="I182" s="491" t="n"/>
      <c r="J182" s="499">
        <f>IF(AND(A182&lt;&gt;"",E182&lt;&gt;""),IF(I182="","⚠️ Enter Code",IF(IFERROR(VLOOKUP(H182,DB_Agents!$B:$I,8,0),"")=I182,IF(C182&gt;=E182,"Successful","Unsuccessful"),"🔒 BLOCKED — Wrong Code")),"—")</f>
        <v/>
      </c>
      <c r="K182" s="500">
        <f>IF(J182="Successful",TEXT(TODAY(),"YYYY-MM-DD")&amp;" Auto","—")</f>
        <v/>
      </c>
      <c r="L182" s="501" t="n"/>
    </row>
    <row r="183" ht="15" customHeight="1" s="341">
      <c r="A183" s="486" t="n"/>
      <c r="B183" s="378">
        <f>IF(A183="","",IFERROR(VLOOKUP(A183,DB_Customers!$A:$D,4,0),"❌ Account Not Found"))</f>
        <v/>
      </c>
      <c r="C183" s="487">
        <f>IF(A183="","",IFERROR(VLOOKUP(A183,DB_Customers!$A:$N,14,0),""))</f>
        <v/>
      </c>
      <c r="D183" s="488">
        <f>IF(A183="","",TODAY())</f>
        <v/>
      </c>
      <c r="E183" s="510" t="n"/>
      <c r="F183" s="378" t="n"/>
      <c r="G183" s="511">
        <f>IF(OR(A183="",E183=""),"",IF(C183="","",C183-E183))</f>
        <v/>
      </c>
      <c r="H183" s="380" t="inlineStr">
        <is>
          <t>Agent 02</t>
        </is>
      </c>
      <c r="I183" s="491" t="n"/>
      <c r="J183" s="492">
        <f>IF(AND(A183&lt;&gt;"",E183&lt;&gt;""),IF(I183="","⚠️ Enter Code",IF(IFERROR(VLOOKUP(H183,DB_Agents!$B:$I,8,0),"")=I183,IF(C183&gt;=E183,"Successful","Unsuccessful"),"🔒 BLOCKED — Wrong Code")),"—")</f>
        <v/>
      </c>
      <c r="K183" s="493">
        <f>IF(J183="Successful",TEXT(TODAY(),"YYYY-MM-DD")&amp;" Auto","—")</f>
        <v/>
      </c>
      <c r="L183" s="494" t="n"/>
    </row>
    <row r="184" ht="15" customHeight="1" s="341">
      <c r="A184" s="495" t="n"/>
      <c r="B184" s="382">
        <f>IF(A184="","",IFERROR(VLOOKUP(A184,DB_Customers!$A:$D,4,0),"❌ Account Not Found"))</f>
        <v/>
      </c>
      <c r="C184" s="496">
        <f>IF(A184="","",IFERROR(VLOOKUP(A184,DB_Customers!$A:$N,14,0),""))</f>
        <v/>
      </c>
      <c r="D184" s="497">
        <f>IF(A184="","",TODAY())</f>
        <v/>
      </c>
      <c r="E184" s="510" t="n"/>
      <c r="F184" s="382" t="n"/>
      <c r="G184" s="512">
        <f>IF(OR(A184="",E184=""),"",IF(C184="","",C184-E184))</f>
        <v/>
      </c>
      <c r="H184" s="384" t="inlineStr">
        <is>
          <t>Agent 02</t>
        </is>
      </c>
      <c r="I184" s="491" t="n"/>
      <c r="J184" s="499">
        <f>IF(AND(A184&lt;&gt;"",E184&lt;&gt;""),IF(I184="","⚠️ Enter Code",IF(IFERROR(VLOOKUP(H184,DB_Agents!$B:$I,8,0),"")=I184,IF(C184&gt;=E184,"Successful","Unsuccessful"),"🔒 BLOCKED — Wrong Code")),"—")</f>
        <v/>
      </c>
      <c r="K184" s="500">
        <f>IF(J184="Successful",TEXT(TODAY(),"YYYY-MM-DD")&amp;" Auto","—")</f>
        <v/>
      </c>
      <c r="L184" s="501" t="n"/>
    </row>
    <row r="185" ht="15" customHeight="1" s="341">
      <c r="A185" s="486" t="n"/>
      <c r="B185" s="378">
        <f>IF(A185="","",IFERROR(VLOOKUP(A185,DB_Customers!$A:$D,4,0),"❌ Account Not Found"))</f>
        <v/>
      </c>
      <c r="C185" s="487">
        <f>IF(A185="","",IFERROR(VLOOKUP(A185,DB_Customers!$A:$N,14,0),""))</f>
        <v/>
      </c>
      <c r="D185" s="488">
        <f>IF(A185="","",TODAY())</f>
        <v/>
      </c>
      <c r="E185" s="510" t="n"/>
      <c r="F185" s="378" t="n"/>
      <c r="G185" s="511">
        <f>IF(OR(A185="",E185=""),"",IF(C185="","",C185-E185))</f>
        <v/>
      </c>
      <c r="H185" s="380" t="inlineStr">
        <is>
          <t>Agent 02</t>
        </is>
      </c>
      <c r="I185" s="491" t="n"/>
      <c r="J185" s="492">
        <f>IF(AND(A185&lt;&gt;"",E185&lt;&gt;""),IF(I185="","⚠️ Enter Code",IF(IFERROR(VLOOKUP(H185,DB_Agents!$B:$I,8,0),"")=I185,IF(C185&gt;=E185,"Successful","Unsuccessful"),"🔒 BLOCKED — Wrong Code")),"—")</f>
        <v/>
      </c>
      <c r="K185" s="493">
        <f>IF(J185="Successful",TEXT(TODAY(),"YYYY-MM-DD")&amp;" Auto","—")</f>
        <v/>
      </c>
      <c r="L185" s="494" t="n"/>
    </row>
    <row r="186" ht="15" customHeight="1" s="341">
      <c r="A186" s="495" t="n"/>
      <c r="B186" s="382">
        <f>IF(A186="","",IFERROR(VLOOKUP(A186,DB_Customers!$A:$D,4,0),"❌ Account Not Found"))</f>
        <v/>
      </c>
      <c r="C186" s="496">
        <f>IF(A186="","",IFERROR(VLOOKUP(A186,DB_Customers!$A:$N,14,0),""))</f>
        <v/>
      </c>
      <c r="D186" s="497">
        <f>IF(A186="","",TODAY())</f>
        <v/>
      </c>
      <c r="E186" s="510" t="n"/>
      <c r="F186" s="382" t="n"/>
      <c r="G186" s="512">
        <f>IF(OR(A186="",E186=""),"",IF(C186="","",C186-E186))</f>
        <v/>
      </c>
      <c r="H186" s="384" t="inlineStr">
        <is>
          <t>Agent 02</t>
        </is>
      </c>
      <c r="I186" s="491" t="n"/>
      <c r="J186" s="499">
        <f>IF(AND(A186&lt;&gt;"",E186&lt;&gt;""),IF(I186="","⚠️ Enter Code",IF(IFERROR(VLOOKUP(H186,DB_Agents!$B:$I,8,0),"")=I186,IF(C186&gt;=E186,"Successful","Unsuccessful"),"🔒 BLOCKED — Wrong Code")),"—")</f>
        <v/>
      </c>
      <c r="K186" s="500">
        <f>IF(J186="Successful",TEXT(TODAY(),"YYYY-MM-DD")&amp;" Auto","—")</f>
        <v/>
      </c>
      <c r="L186" s="501" t="n"/>
    </row>
    <row r="187" ht="15" customHeight="1" s="341">
      <c r="A187" s="486" t="n"/>
      <c r="B187" s="378">
        <f>IF(A187="","",IFERROR(VLOOKUP(A187,DB_Customers!$A:$D,4,0),"❌ Account Not Found"))</f>
        <v/>
      </c>
      <c r="C187" s="487">
        <f>IF(A187="","",IFERROR(VLOOKUP(A187,DB_Customers!$A:$N,14,0),""))</f>
        <v/>
      </c>
      <c r="D187" s="488">
        <f>IF(A187="","",TODAY())</f>
        <v/>
      </c>
      <c r="E187" s="510" t="n"/>
      <c r="F187" s="378" t="n"/>
      <c r="G187" s="511">
        <f>IF(OR(A187="",E187=""),"",IF(C187="","",C187-E187))</f>
        <v/>
      </c>
      <c r="H187" s="380" t="inlineStr">
        <is>
          <t>Agent 02</t>
        </is>
      </c>
      <c r="I187" s="491" t="n"/>
      <c r="J187" s="492">
        <f>IF(AND(A187&lt;&gt;"",E187&lt;&gt;""),IF(I187="","⚠️ Enter Code",IF(IFERROR(VLOOKUP(H187,DB_Agents!$B:$I,8,0),"")=I187,IF(C187&gt;=E187,"Successful","Unsuccessful"),"🔒 BLOCKED — Wrong Code")),"—")</f>
        <v/>
      </c>
      <c r="K187" s="493">
        <f>IF(J187="Successful",TEXT(TODAY(),"YYYY-MM-DD")&amp;" Auto","—")</f>
        <v/>
      </c>
      <c r="L187" s="494" t="n"/>
    </row>
    <row r="188" ht="15" customHeight="1" s="341">
      <c r="A188" s="495" t="n"/>
      <c r="B188" s="382">
        <f>IF(A188="","",IFERROR(VLOOKUP(A188,DB_Customers!$A:$D,4,0),"❌ Account Not Found"))</f>
        <v/>
      </c>
      <c r="C188" s="496">
        <f>IF(A188="","",IFERROR(VLOOKUP(A188,DB_Customers!$A:$N,14,0),""))</f>
        <v/>
      </c>
      <c r="D188" s="497">
        <f>IF(A188="","",TODAY())</f>
        <v/>
      </c>
      <c r="E188" s="510" t="n"/>
      <c r="F188" s="382" t="n"/>
      <c r="G188" s="512">
        <f>IF(OR(A188="",E188=""),"",IF(C188="","",C188-E188))</f>
        <v/>
      </c>
      <c r="H188" s="384" t="inlineStr">
        <is>
          <t>Agent 02</t>
        </is>
      </c>
      <c r="I188" s="491" t="n"/>
      <c r="J188" s="499">
        <f>IF(AND(A188&lt;&gt;"",E188&lt;&gt;""),IF(I188="","⚠️ Enter Code",IF(IFERROR(VLOOKUP(H188,DB_Agents!$B:$I,8,0),"")=I188,IF(C188&gt;=E188,"Successful","Unsuccessful"),"🔒 BLOCKED — Wrong Code")),"—")</f>
        <v/>
      </c>
      <c r="K188" s="500">
        <f>IF(J188="Successful",TEXT(TODAY(),"YYYY-MM-DD")&amp;" Auto","—")</f>
        <v/>
      </c>
      <c r="L188" s="501" t="n"/>
    </row>
    <row r="189" ht="15" customHeight="1" s="341">
      <c r="A189" s="486" t="n"/>
      <c r="B189" s="378">
        <f>IF(A189="","",IFERROR(VLOOKUP(A189,DB_Customers!$A:$D,4,0),"❌ Account Not Found"))</f>
        <v/>
      </c>
      <c r="C189" s="487">
        <f>IF(A189="","",IFERROR(VLOOKUP(A189,DB_Customers!$A:$N,14,0),""))</f>
        <v/>
      </c>
      <c r="D189" s="488">
        <f>IF(A189="","",TODAY())</f>
        <v/>
      </c>
      <c r="E189" s="510" t="n"/>
      <c r="F189" s="378" t="n"/>
      <c r="G189" s="511">
        <f>IF(OR(A189="",E189=""),"",IF(C189="","",C189-E189))</f>
        <v/>
      </c>
      <c r="H189" s="380" t="inlineStr">
        <is>
          <t>Agent 02</t>
        </is>
      </c>
      <c r="I189" s="491" t="n"/>
      <c r="J189" s="492">
        <f>IF(AND(A189&lt;&gt;"",E189&lt;&gt;""),IF(I189="","⚠️ Enter Code",IF(IFERROR(VLOOKUP(H189,DB_Agents!$B:$I,8,0),"")=I189,IF(C189&gt;=E189,"Successful","Unsuccessful"),"🔒 BLOCKED — Wrong Code")),"—")</f>
        <v/>
      </c>
      <c r="K189" s="493">
        <f>IF(J189="Successful",TEXT(TODAY(),"YYYY-MM-DD")&amp;" Auto","—")</f>
        <v/>
      </c>
      <c r="L189" s="494" t="n"/>
    </row>
    <row r="190" ht="15" customHeight="1" s="341">
      <c r="A190" s="495" t="n"/>
      <c r="B190" s="382">
        <f>IF(A190="","",IFERROR(VLOOKUP(A190,DB_Customers!$A:$D,4,0),"❌ Account Not Found"))</f>
        <v/>
      </c>
      <c r="C190" s="496">
        <f>IF(A190="","",IFERROR(VLOOKUP(A190,DB_Customers!$A:$N,14,0),""))</f>
        <v/>
      </c>
      <c r="D190" s="497">
        <f>IF(A190="","",TODAY())</f>
        <v/>
      </c>
      <c r="E190" s="510" t="n"/>
      <c r="F190" s="382" t="n"/>
      <c r="G190" s="512">
        <f>IF(OR(A190="",E190=""),"",IF(C190="","",C190-E190))</f>
        <v/>
      </c>
      <c r="H190" s="384" t="inlineStr">
        <is>
          <t>Agent 02</t>
        </is>
      </c>
      <c r="I190" s="491" t="n"/>
      <c r="J190" s="499">
        <f>IF(AND(A190&lt;&gt;"",E190&lt;&gt;""),IF(I190="","⚠️ Enter Code",IF(IFERROR(VLOOKUP(H190,DB_Agents!$B:$I,8,0),"")=I190,IF(C190&gt;=E190,"Successful","Unsuccessful"),"🔒 BLOCKED — Wrong Code")),"—")</f>
        <v/>
      </c>
      <c r="K190" s="500">
        <f>IF(J190="Successful",TEXT(TODAY(),"YYYY-MM-DD")&amp;" Auto","—")</f>
        <v/>
      </c>
      <c r="L190" s="501" t="n"/>
    </row>
    <row r="191" ht="15" customHeight="1" s="341">
      <c r="A191" s="486" t="n"/>
      <c r="B191" s="378">
        <f>IF(A191="","",IFERROR(VLOOKUP(A191,DB_Customers!$A:$D,4,0),"❌ Account Not Found"))</f>
        <v/>
      </c>
      <c r="C191" s="487">
        <f>IF(A191="","",IFERROR(VLOOKUP(A191,DB_Customers!$A:$N,14,0),""))</f>
        <v/>
      </c>
      <c r="D191" s="488">
        <f>IF(A191="","",TODAY())</f>
        <v/>
      </c>
      <c r="E191" s="510" t="n"/>
      <c r="F191" s="378" t="n"/>
      <c r="G191" s="511">
        <f>IF(OR(A191="",E191=""),"",IF(C191="","",C191-E191))</f>
        <v/>
      </c>
      <c r="H191" s="380" t="inlineStr">
        <is>
          <t>Agent 02</t>
        </is>
      </c>
      <c r="I191" s="491" t="n"/>
      <c r="J191" s="492">
        <f>IF(AND(A191&lt;&gt;"",E191&lt;&gt;""),IF(I191="","⚠️ Enter Code",IF(IFERROR(VLOOKUP(H191,DB_Agents!$B:$I,8,0),"")=I191,IF(C191&gt;=E191,"Successful","Unsuccessful"),"🔒 BLOCKED — Wrong Code")),"—")</f>
        <v/>
      </c>
      <c r="K191" s="493">
        <f>IF(J191="Successful",TEXT(TODAY(),"YYYY-MM-DD")&amp;" Auto","—")</f>
        <v/>
      </c>
      <c r="L191" s="494" t="n"/>
    </row>
    <row r="192" ht="15" customHeight="1" s="341">
      <c r="A192" s="495" t="n"/>
      <c r="B192" s="382">
        <f>IF(A192="","",IFERROR(VLOOKUP(A192,DB_Customers!$A:$D,4,0),"❌ Account Not Found"))</f>
        <v/>
      </c>
      <c r="C192" s="496">
        <f>IF(A192="","",IFERROR(VLOOKUP(A192,DB_Customers!$A:$N,14,0),""))</f>
        <v/>
      </c>
      <c r="D192" s="497">
        <f>IF(A192="","",TODAY())</f>
        <v/>
      </c>
      <c r="E192" s="510" t="n"/>
      <c r="F192" s="382" t="n"/>
      <c r="G192" s="512">
        <f>IF(OR(A192="",E192=""),"",IF(C192="","",C192-E192))</f>
        <v/>
      </c>
      <c r="H192" s="384" t="inlineStr">
        <is>
          <t>Agent 02</t>
        </is>
      </c>
      <c r="I192" s="491" t="n"/>
      <c r="J192" s="499">
        <f>IF(AND(A192&lt;&gt;"",E192&lt;&gt;""),IF(I192="","⚠️ Enter Code",IF(IFERROR(VLOOKUP(H192,DB_Agents!$B:$I,8,0),"")=I192,IF(C192&gt;=E192,"Successful","Unsuccessful"),"🔒 BLOCKED — Wrong Code")),"—")</f>
        <v/>
      </c>
      <c r="K192" s="500">
        <f>IF(J192="Successful",TEXT(TODAY(),"YYYY-MM-DD")&amp;" Auto","—")</f>
        <v/>
      </c>
      <c r="L192" s="501" t="n"/>
    </row>
    <row r="193" ht="15" customHeight="1" s="341">
      <c r="A193" s="486" t="n"/>
      <c r="B193" s="378">
        <f>IF(A193="","",IFERROR(VLOOKUP(A193,DB_Customers!$A:$D,4,0),"❌ Account Not Found"))</f>
        <v/>
      </c>
      <c r="C193" s="487">
        <f>IF(A193="","",IFERROR(VLOOKUP(A193,DB_Customers!$A:$N,14,0),""))</f>
        <v/>
      </c>
      <c r="D193" s="488">
        <f>IF(A193="","",TODAY())</f>
        <v/>
      </c>
      <c r="E193" s="510" t="n"/>
      <c r="F193" s="378" t="n"/>
      <c r="G193" s="511">
        <f>IF(OR(A193="",E193=""),"",IF(C193="","",C193-E193))</f>
        <v/>
      </c>
      <c r="H193" s="380" t="inlineStr">
        <is>
          <t>Agent 02</t>
        </is>
      </c>
      <c r="I193" s="491" t="n"/>
      <c r="J193" s="492">
        <f>IF(AND(A193&lt;&gt;"",E193&lt;&gt;""),IF(I193="","⚠️ Enter Code",IF(IFERROR(VLOOKUP(H193,DB_Agents!$B:$I,8,0),"")=I193,IF(C193&gt;=E193,"Successful","Unsuccessful"),"🔒 BLOCKED — Wrong Code")),"—")</f>
        <v/>
      </c>
      <c r="K193" s="493">
        <f>IF(J193="Successful",TEXT(TODAY(),"YYYY-MM-DD")&amp;" Auto","—")</f>
        <v/>
      </c>
      <c r="L193" s="494" t="n"/>
    </row>
    <row r="194" ht="15" customHeight="1" s="341">
      <c r="A194" s="495" t="n"/>
      <c r="B194" s="382">
        <f>IF(A194="","",IFERROR(VLOOKUP(A194,DB_Customers!$A:$D,4,0),"❌ Account Not Found"))</f>
        <v/>
      </c>
      <c r="C194" s="496">
        <f>IF(A194="","",IFERROR(VLOOKUP(A194,DB_Customers!$A:$N,14,0),""))</f>
        <v/>
      </c>
      <c r="D194" s="497">
        <f>IF(A194="","",TODAY())</f>
        <v/>
      </c>
      <c r="E194" s="510" t="n"/>
      <c r="F194" s="382" t="n"/>
      <c r="G194" s="512">
        <f>IF(OR(A194="",E194=""),"",IF(C194="","",C194-E194))</f>
        <v/>
      </c>
      <c r="H194" s="384" t="inlineStr">
        <is>
          <t>Agent 02</t>
        </is>
      </c>
      <c r="I194" s="491" t="n"/>
      <c r="J194" s="499">
        <f>IF(AND(A194&lt;&gt;"",E194&lt;&gt;""),IF(I194="","⚠️ Enter Code",IF(IFERROR(VLOOKUP(H194,DB_Agents!$B:$I,8,0),"")=I194,IF(C194&gt;=E194,"Successful","Unsuccessful"),"🔒 BLOCKED — Wrong Code")),"—")</f>
        <v/>
      </c>
      <c r="K194" s="500">
        <f>IF(J194="Successful",TEXT(TODAY(),"YYYY-MM-DD")&amp;" Auto","—")</f>
        <v/>
      </c>
      <c r="L194" s="501" t="n"/>
    </row>
    <row r="195" ht="15" customHeight="1" s="341">
      <c r="A195" s="486" t="n"/>
      <c r="B195" s="378">
        <f>IF(A195="","",IFERROR(VLOOKUP(A195,DB_Customers!$A:$D,4,0),"❌ Account Not Found"))</f>
        <v/>
      </c>
      <c r="C195" s="487">
        <f>IF(A195="","",IFERROR(VLOOKUP(A195,DB_Customers!$A:$N,14,0),""))</f>
        <v/>
      </c>
      <c r="D195" s="488">
        <f>IF(A195="","",TODAY())</f>
        <v/>
      </c>
      <c r="E195" s="510" t="n"/>
      <c r="F195" s="378" t="n"/>
      <c r="G195" s="511">
        <f>IF(OR(A195="",E195=""),"",IF(C195="","",C195-E195))</f>
        <v/>
      </c>
      <c r="H195" s="380" t="inlineStr">
        <is>
          <t>Agent 02</t>
        </is>
      </c>
      <c r="I195" s="491" t="n"/>
      <c r="J195" s="492">
        <f>IF(AND(A195&lt;&gt;"",E195&lt;&gt;""),IF(I195="","⚠️ Enter Code",IF(IFERROR(VLOOKUP(H195,DB_Agents!$B:$I,8,0),"")=I195,IF(C195&gt;=E195,"Successful","Unsuccessful"),"🔒 BLOCKED — Wrong Code")),"—")</f>
        <v/>
      </c>
      <c r="K195" s="493">
        <f>IF(J195="Successful",TEXT(TODAY(),"YYYY-MM-DD")&amp;" Auto","—")</f>
        <v/>
      </c>
      <c r="L195" s="494" t="n"/>
    </row>
    <row r="196" ht="15" customHeight="1" s="341">
      <c r="A196" s="495" t="n"/>
      <c r="B196" s="382">
        <f>IF(A196="","",IFERROR(VLOOKUP(A196,DB_Customers!$A:$D,4,0),"❌ Account Not Found"))</f>
        <v/>
      </c>
      <c r="C196" s="496">
        <f>IF(A196="","",IFERROR(VLOOKUP(A196,DB_Customers!$A:$N,14,0),""))</f>
        <v/>
      </c>
      <c r="D196" s="497">
        <f>IF(A196="","",TODAY())</f>
        <v/>
      </c>
      <c r="E196" s="510" t="n"/>
      <c r="F196" s="382" t="n"/>
      <c r="G196" s="512">
        <f>IF(OR(A196="",E196=""),"",IF(C196="","",C196-E196))</f>
        <v/>
      </c>
      <c r="H196" s="384" t="inlineStr">
        <is>
          <t>Agent 02</t>
        </is>
      </c>
      <c r="I196" s="491" t="n"/>
      <c r="J196" s="499">
        <f>IF(AND(A196&lt;&gt;"",E196&lt;&gt;""),IF(I196="","⚠️ Enter Code",IF(IFERROR(VLOOKUP(H196,DB_Agents!$B:$I,8,0),"")=I196,IF(C196&gt;=E196,"Successful","Unsuccessful"),"🔒 BLOCKED — Wrong Code")),"—")</f>
        <v/>
      </c>
      <c r="K196" s="500">
        <f>IF(J196="Successful",TEXT(TODAY(),"YYYY-MM-DD")&amp;" Auto","—")</f>
        <v/>
      </c>
      <c r="L196" s="501" t="n"/>
    </row>
    <row r="197" ht="15" customHeight="1" s="341">
      <c r="A197" s="486" t="n"/>
      <c r="B197" s="378">
        <f>IF(A197="","",IFERROR(VLOOKUP(A197,DB_Customers!$A:$D,4,0),"❌ Account Not Found"))</f>
        <v/>
      </c>
      <c r="C197" s="487">
        <f>IF(A197="","",IFERROR(VLOOKUP(A197,DB_Customers!$A:$N,14,0),""))</f>
        <v/>
      </c>
      <c r="D197" s="488">
        <f>IF(A197="","",TODAY())</f>
        <v/>
      </c>
      <c r="E197" s="510" t="n"/>
      <c r="F197" s="378" t="n"/>
      <c r="G197" s="511">
        <f>IF(OR(A197="",E197=""),"",IF(C197="","",C197-E197))</f>
        <v/>
      </c>
      <c r="H197" s="380" t="inlineStr">
        <is>
          <t>Agent 02</t>
        </is>
      </c>
      <c r="I197" s="491" t="n"/>
      <c r="J197" s="492">
        <f>IF(AND(A197&lt;&gt;"",E197&lt;&gt;""),IF(I197="","⚠️ Enter Code",IF(IFERROR(VLOOKUP(H197,DB_Agents!$B:$I,8,0),"")=I197,IF(C197&gt;=E197,"Successful","Unsuccessful"),"🔒 BLOCKED — Wrong Code")),"—")</f>
        <v/>
      </c>
      <c r="K197" s="493">
        <f>IF(J197="Successful",TEXT(TODAY(),"YYYY-MM-DD")&amp;" Auto","—")</f>
        <v/>
      </c>
      <c r="L197" s="494" t="n"/>
    </row>
    <row r="198" ht="15" customHeight="1" s="341">
      <c r="A198" s="495" t="n"/>
      <c r="B198" s="382">
        <f>IF(A198="","",IFERROR(VLOOKUP(A198,DB_Customers!$A:$D,4,0),"❌ Account Not Found"))</f>
        <v/>
      </c>
      <c r="C198" s="496">
        <f>IF(A198="","",IFERROR(VLOOKUP(A198,DB_Customers!$A:$N,14,0),""))</f>
        <v/>
      </c>
      <c r="D198" s="497">
        <f>IF(A198="","",TODAY())</f>
        <v/>
      </c>
      <c r="E198" s="510" t="n"/>
      <c r="F198" s="382" t="n"/>
      <c r="G198" s="512">
        <f>IF(OR(A198="",E198=""),"",IF(C198="","",C198-E198))</f>
        <v/>
      </c>
      <c r="H198" s="384" t="inlineStr">
        <is>
          <t>Agent 02</t>
        </is>
      </c>
      <c r="I198" s="491" t="n"/>
      <c r="J198" s="499">
        <f>IF(AND(A198&lt;&gt;"",E198&lt;&gt;""),IF(I198="","⚠️ Enter Code",IF(IFERROR(VLOOKUP(H198,DB_Agents!$B:$I,8,0),"")=I198,IF(C198&gt;=E198,"Successful","Unsuccessful"),"🔒 BLOCKED — Wrong Code")),"—")</f>
        <v/>
      </c>
      <c r="K198" s="500">
        <f>IF(J198="Successful",TEXT(TODAY(),"YYYY-MM-DD")&amp;" Auto","—")</f>
        <v/>
      </c>
      <c r="L198" s="501" t="n"/>
    </row>
    <row r="199" ht="15" customHeight="1" s="341">
      <c r="A199" s="486" t="n"/>
      <c r="B199" s="378">
        <f>IF(A199="","",IFERROR(VLOOKUP(A199,DB_Customers!$A:$D,4,0),"❌ Account Not Found"))</f>
        <v/>
      </c>
      <c r="C199" s="487">
        <f>IF(A199="","",IFERROR(VLOOKUP(A199,DB_Customers!$A:$N,14,0),""))</f>
        <v/>
      </c>
      <c r="D199" s="488">
        <f>IF(A199="","",TODAY())</f>
        <v/>
      </c>
      <c r="E199" s="510" t="n"/>
      <c r="F199" s="378" t="n"/>
      <c r="G199" s="511">
        <f>IF(OR(A199="",E199=""),"",IF(C199="","",C199-E199))</f>
        <v/>
      </c>
      <c r="H199" s="380" t="inlineStr">
        <is>
          <t>Agent 02</t>
        </is>
      </c>
      <c r="I199" s="491" t="n"/>
      <c r="J199" s="492">
        <f>IF(AND(A199&lt;&gt;"",E199&lt;&gt;""),IF(I199="","⚠️ Enter Code",IF(IFERROR(VLOOKUP(H199,DB_Agents!$B:$I,8,0),"")=I199,IF(C199&gt;=E199,"Successful","Unsuccessful"),"🔒 BLOCKED — Wrong Code")),"—")</f>
        <v/>
      </c>
      <c r="K199" s="493">
        <f>IF(J199="Successful",TEXT(TODAY(),"YYYY-MM-DD")&amp;" Auto","—")</f>
        <v/>
      </c>
      <c r="L199" s="494" t="n"/>
    </row>
    <row r="200" ht="15" customHeight="1" s="341">
      <c r="A200" s="495" t="n"/>
      <c r="B200" s="382">
        <f>IF(A200="","",IFERROR(VLOOKUP(A200,DB_Customers!$A:$D,4,0),"❌ Account Not Found"))</f>
        <v/>
      </c>
      <c r="C200" s="496">
        <f>IF(A200="","",IFERROR(VLOOKUP(A200,DB_Customers!$A:$N,14,0),""))</f>
        <v/>
      </c>
      <c r="D200" s="497">
        <f>IF(A200="","",TODAY())</f>
        <v/>
      </c>
      <c r="E200" s="510" t="n"/>
      <c r="F200" s="382" t="n"/>
      <c r="G200" s="512">
        <f>IF(OR(A200="",E200=""),"",IF(C200="","",C200-E200))</f>
        <v/>
      </c>
      <c r="H200" s="384" t="inlineStr">
        <is>
          <t>Agent 02</t>
        </is>
      </c>
      <c r="I200" s="491" t="n"/>
      <c r="J200" s="499">
        <f>IF(AND(A200&lt;&gt;"",E200&lt;&gt;""),IF(I200="","⚠️ Enter Code",IF(IFERROR(VLOOKUP(H200,DB_Agents!$B:$I,8,0),"")=I200,IF(C200&gt;=E200,"Successful","Unsuccessful"),"🔒 BLOCKED — Wrong Code")),"—")</f>
        <v/>
      </c>
      <c r="K200" s="500">
        <f>IF(J200="Successful",TEXT(TODAY(),"YYYY-MM-DD")&amp;" Auto","—")</f>
        <v/>
      </c>
      <c r="L200" s="501" t="n"/>
    </row>
    <row r="201" ht="15" customHeight="1" s="341">
      <c r="A201" s="486" t="n"/>
      <c r="B201" s="378">
        <f>IF(A201="","",IFERROR(VLOOKUP(A201,DB_Customers!$A:$D,4,0),"❌ Account Not Found"))</f>
        <v/>
      </c>
      <c r="C201" s="487">
        <f>IF(A201="","",IFERROR(VLOOKUP(A201,DB_Customers!$A:$N,14,0),""))</f>
        <v/>
      </c>
      <c r="D201" s="488">
        <f>IF(A201="","",TODAY())</f>
        <v/>
      </c>
      <c r="E201" s="510" t="n"/>
      <c r="F201" s="378" t="n"/>
      <c r="G201" s="511">
        <f>IF(OR(A201="",E201=""),"",IF(C201="","",C201-E201))</f>
        <v/>
      </c>
      <c r="H201" s="380" t="inlineStr">
        <is>
          <t>Agent 02</t>
        </is>
      </c>
      <c r="I201" s="491" t="n"/>
      <c r="J201" s="492">
        <f>IF(AND(A201&lt;&gt;"",E201&lt;&gt;""),IF(I201="","⚠️ Enter Code",IF(IFERROR(VLOOKUP(H201,DB_Agents!$B:$I,8,0),"")=I201,IF(C201&gt;=E201,"Successful","Unsuccessful"),"🔒 BLOCKED — Wrong Code")),"—")</f>
        <v/>
      </c>
      <c r="K201" s="493">
        <f>IF(J201="Successful",TEXT(TODAY(),"YYYY-MM-DD")&amp;" Auto","—")</f>
        <v/>
      </c>
      <c r="L201" s="494" t="n"/>
    </row>
    <row r="202" ht="15" customHeight="1" s="341">
      <c r="A202" s="495" t="n"/>
      <c r="B202" s="382">
        <f>IF(A202="","",IFERROR(VLOOKUP(A202,DB_Customers!$A:$D,4,0),"❌ Account Not Found"))</f>
        <v/>
      </c>
      <c r="C202" s="496">
        <f>IF(A202="","",IFERROR(VLOOKUP(A202,DB_Customers!$A:$N,14,0),""))</f>
        <v/>
      </c>
      <c r="D202" s="497">
        <f>IF(A202="","",TODAY())</f>
        <v/>
      </c>
      <c r="E202" s="510" t="n"/>
      <c r="F202" s="382" t="n"/>
      <c r="G202" s="512">
        <f>IF(OR(A202="",E202=""),"",IF(C202="","",C202-E202))</f>
        <v/>
      </c>
      <c r="H202" s="384" t="inlineStr">
        <is>
          <t>Agent 02</t>
        </is>
      </c>
      <c r="I202" s="491" t="n"/>
      <c r="J202" s="499">
        <f>IF(AND(A202&lt;&gt;"",E202&lt;&gt;""),IF(I202="","⚠️ Enter Code",IF(IFERROR(VLOOKUP(H202,DB_Agents!$B:$I,8,0),"")=I202,IF(C202&gt;=E202,"Successful","Unsuccessful"),"🔒 BLOCKED — Wrong Code")),"—")</f>
        <v/>
      </c>
      <c r="K202" s="500">
        <f>IF(J202="Successful",TEXT(TODAY(),"YYYY-MM-DD")&amp;" Auto","—")</f>
        <v/>
      </c>
      <c r="L202" s="501" t="n"/>
    </row>
    <row r="203" ht="15" customHeight="1" s="341">
      <c r="A203" s="486" t="n"/>
      <c r="B203" s="378">
        <f>IF(A203="","",IFERROR(VLOOKUP(A203,DB_Customers!$A:$D,4,0),"❌ Account Not Found"))</f>
        <v/>
      </c>
      <c r="C203" s="487">
        <f>IF(A203="","",IFERROR(VLOOKUP(A203,DB_Customers!$A:$N,14,0),""))</f>
        <v/>
      </c>
      <c r="D203" s="488">
        <f>IF(A203="","",TODAY())</f>
        <v/>
      </c>
      <c r="E203" s="510" t="n"/>
      <c r="F203" s="378" t="n"/>
      <c r="G203" s="511">
        <f>IF(OR(A203="",E203=""),"",IF(C203="","",C203-E203))</f>
        <v/>
      </c>
      <c r="H203" s="380" t="inlineStr">
        <is>
          <t>Agent 02</t>
        </is>
      </c>
      <c r="I203" s="491" t="n"/>
      <c r="J203" s="492">
        <f>IF(AND(A203&lt;&gt;"",E203&lt;&gt;""),IF(I203="","⚠️ Enter Code",IF(IFERROR(VLOOKUP(H203,DB_Agents!$B:$I,8,0),"")=I203,IF(C203&gt;=E203,"Successful","Unsuccessful"),"🔒 BLOCKED — Wrong Code")),"—")</f>
        <v/>
      </c>
      <c r="K203" s="493">
        <f>IF(J203="Successful",TEXT(TODAY(),"YYYY-MM-DD")&amp;" Auto","—")</f>
        <v/>
      </c>
      <c r="L203" s="494" t="n"/>
    </row>
    <row r="204" ht="15" customHeight="1" s="341">
      <c r="A204" s="495" t="n"/>
      <c r="B204" s="382">
        <f>IF(A204="","",IFERROR(VLOOKUP(A204,DB_Customers!$A:$D,4,0),"❌ Account Not Found"))</f>
        <v/>
      </c>
      <c r="C204" s="496">
        <f>IF(A204="","",IFERROR(VLOOKUP(A204,DB_Customers!$A:$N,14,0),""))</f>
        <v/>
      </c>
      <c r="D204" s="497">
        <f>IF(A204="","",TODAY())</f>
        <v/>
      </c>
      <c r="E204" s="510" t="n"/>
      <c r="F204" s="382" t="n"/>
      <c r="G204" s="512">
        <f>IF(OR(A204="",E204=""),"",IF(C204="","",C204-E204))</f>
        <v/>
      </c>
      <c r="H204" s="384" t="inlineStr">
        <is>
          <t>Agent 02</t>
        </is>
      </c>
      <c r="I204" s="491" t="n"/>
      <c r="J204" s="499">
        <f>IF(AND(A204&lt;&gt;"",E204&lt;&gt;""),IF(I204="","⚠️ Enter Code",IF(IFERROR(VLOOKUP(H204,DB_Agents!$B:$I,8,0),"")=I204,IF(C204&gt;=E204,"Successful","Unsuccessful"),"🔒 BLOCKED — Wrong Code")),"—")</f>
        <v/>
      </c>
      <c r="K204" s="500">
        <f>IF(J204="Successful",TEXT(TODAY(),"YYYY-MM-DD")&amp;" Auto","—")</f>
        <v/>
      </c>
      <c r="L204" s="501" t="n"/>
    </row>
    <row r="205" ht="15" customHeight="1" s="341">
      <c r="A205" s="486" t="n"/>
      <c r="B205" s="378">
        <f>IF(A205="","",IFERROR(VLOOKUP(A205,DB_Customers!$A:$D,4,0),"❌ Account Not Found"))</f>
        <v/>
      </c>
      <c r="C205" s="487">
        <f>IF(A205="","",IFERROR(VLOOKUP(A205,DB_Customers!$A:$N,14,0),""))</f>
        <v/>
      </c>
      <c r="D205" s="488">
        <f>IF(A205="","",TODAY())</f>
        <v/>
      </c>
      <c r="E205" s="510" t="n"/>
      <c r="F205" s="378" t="n"/>
      <c r="G205" s="511">
        <f>IF(OR(A205="",E205=""),"",IF(C205="","",C205-E205))</f>
        <v/>
      </c>
      <c r="H205" s="380" t="inlineStr">
        <is>
          <t>Agent 02</t>
        </is>
      </c>
      <c r="I205" s="491" t="n"/>
      <c r="J205" s="492">
        <f>IF(AND(A205&lt;&gt;"",E205&lt;&gt;""),IF(I205="","⚠️ Enter Code",IF(IFERROR(VLOOKUP(H205,DB_Agents!$B:$I,8,0),"")=I205,IF(C205&gt;=E205,"Successful","Unsuccessful"),"🔒 BLOCKED — Wrong Code")),"—")</f>
        <v/>
      </c>
      <c r="K205" s="493">
        <f>IF(J205="Successful",TEXT(TODAY(),"YYYY-MM-DD")&amp;" Auto","—")</f>
        <v/>
      </c>
      <c r="L205" s="494" t="n"/>
    </row>
    <row r="206" ht="15" customHeight="1" s="341">
      <c r="A206" s="495" t="n"/>
      <c r="B206" s="382">
        <f>IF(A206="","",IFERROR(VLOOKUP(A206,DB_Customers!$A:$D,4,0),"❌ Account Not Found"))</f>
        <v/>
      </c>
      <c r="C206" s="496">
        <f>IF(A206="","",IFERROR(VLOOKUP(A206,DB_Customers!$A:$N,14,0),""))</f>
        <v/>
      </c>
      <c r="D206" s="497">
        <f>IF(A206="","",TODAY())</f>
        <v/>
      </c>
      <c r="E206" s="510" t="n"/>
      <c r="F206" s="382" t="n"/>
      <c r="G206" s="512">
        <f>IF(OR(A206="",E206=""),"",IF(C206="","",C206-E206))</f>
        <v/>
      </c>
      <c r="H206" s="384" t="inlineStr">
        <is>
          <t>Agent 02</t>
        </is>
      </c>
      <c r="I206" s="491" t="n"/>
      <c r="J206" s="499">
        <f>IF(AND(A206&lt;&gt;"",E206&lt;&gt;""),IF(I206="","⚠️ Enter Code",IF(IFERROR(VLOOKUP(H206,DB_Agents!$B:$I,8,0),"")=I206,IF(C206&gt;=E206,"Successful","Unsuccessful"),"🔒 BLOCKED — Wrong Code")),"—")</f>
        <v/>
      </c>
      <c r="K206" s="500">
        <f>IF(J206="Successful",TEXT(TODAY(),"YYYY-MM-DD")&amp;" Auto","—")</f>
        <v/>
      </c>
      <c r="L206" s="501" t="n"/>
    </row>
    <row r="207" ht="15" customHeight="1" s="341">
      <c r="A207" s="486" t="n"/>
      <c r="B207" s="378">
        <f>IF(A207="","",IFERROR(VLOOKUP(A207,DB_Customers!$A:$D,4,0),"❌ Account Not Found"))</f>
        <v/>
      </c>
      <c r="C207" s="487">
        <f>IF(A207="","",IFERROR(VLOOKUP(A207,DB_Customers!$A:$N,14,0),""))</f>
        <v/>
      </c>
      <c r="D207" s="488">
        <f>IF(A207="","",TODAY())</f>
        <v/>
      </c>
      <c r="E207" s="510" t="n"/>
      <c r="F207" s="378" t="n"/>
      <c r="G207" s="511">
        <f>IF(OR(A207="",E207=""),"",IF(C207="","",C207-E207))</f>
        <v/>
      </c>
      <c r="H207" s="380" t="inlineStr">
        <is>
          <t>Agent 02</t>
        </is>
      </c>
      <c r="I207" s="491" t="n"/>
      <c r="J207" s="492">
        <f>IF(AND(A207&lt;&gt;"",E207&lt;&gt;""),IF(I207="","⚠️ Enter Code",IF(IFERROR(VLOOKUP(H207,DB_Agents!$B:$I,8,0),"")=I207,IF(C207&gt;=E207,"Successful","Unsuccessful"),"🔒 BLOCKED — Wrong Code")),"—")</f>
        <v/>
      </c>
      <c r="K207" s="493">
        <f>IF(J207="Successful",TEXT(TODAY(),"YYYY-MM-DD")&amp;" Auto","—")</f>
        <v/>
      </c>
      <c r="L207" s="494" t="n"/>
    </row>
    <row r="208" ht="15" customHeight="1" s="341">
      <c r="A208" s="495" t="n"/>
      <c r="B208" s="382">
        <f>IF(A208="","",IFERROR(VLOOKUP(A208,DB_Customers!$A:$D,4,0),"❌ Account Not Found"))</f>
        <v/>
      </c>
      <c r="C208" s="496">
        <f>IF(A208="","",IFERROR(VLOOKUP(A208,DB_Customers!$A:$N,14,0),""))</f>
        <v/>
      </c>
      <c r="D208" s="497">
        <f>IF(A208="","",TODAY())</f>
        <v/>
      </c>
      <c r="E208" s="510" t="n"/>
      <c r="F208" s="382" t="n"/>
      <c r="G208" s="512">
        <f>IF(OR(A208="",E208=""),"",IF(C208="","",C208-E208))</f>
        <v/>
      </c>
      <c r="H208" s="384" t="inlineStr">
        <is>
          <t>Agent 02</t>
        </is>
      </c>
      <c r="I208" s="491" t="n"/>
      <c r="J208" s="499">
        <f>IF(AND(A208&lt;&gt;"",E208&lt;&gt;""),IF(I208="","⚠️ Enter Code",IF(IFERROR(VLOOKUP(H208,DB_Agents!$B:$I,8,0),"")=I208,IF(C208&gt;=E208,"Successful","Unsuccessful"),"🔒 BLOCKED — Wrong Code")),"—")</f>
        <v/>
      </c>
      <c r="K208" s="500">
        <f>IF(J208="Successful",TEXT(TODAY(),"YYYY-MM-DD")&amp;" Auto","—")</f>
        <v/>
      </c>
      <c r="L208" s="501" t="n"/>
    </row>
  </sheetData>
  <mergeCells count="8">
    <mergeCell ref="A1:M1"/>
    <mergeCell ref="A5:M5"/>
    <mergeCell ref="D4:F4"/>
    <mergeCell ref="D3:F3"/>
    <mergeCell ref="A3:C3"/>
    <mergeCell ref="A7:M7"/>
    <mergeCell ref="A4:C4"/>
    <mergeCell ref="A2:M2"/>
  </mergeCells>
  <conditionalFormatting sqref="I9:I208">
    <cfRule type="cellIs" rank="0" priority="2" equalAverage="0" operator="equal" aboveAverage="0" dxfId="0" text="" percent="0" bottom="0">
      <formula>"Successful"</formula>
    </cfRule>
    <cfRule type="cellIs" rank="0" priority="3" equalAverage="0" operator="equal" aboveAverage="0" dxfId="1" text="" percent="0" bottom="0">
      <formula>"Unsuccessful"</formula>
    </cfRule>
  </conditionalFormatting>
  <conditionalFormatting sqref="A9:K208">
    <cfRule type="expression" rank="0" priority="4" equalAverage="0" aboveAverage="0" dxfId="13" text="" percent="0" bottom="0">
      <formula>$I9="Unsuccessful"</formula>
    </cfRule>
  </conditionalFormatting>
  <conditionalFormatting sqref="G9:G208">
    <cfRule type="cellIs" rank="0" priority="5" equalAverage="0" operator="lessThan" aboveAverage="0" dxfId="1" text="" percent="0" bottom="0">
      <formula>0</formula>
    </cfRule>
  </conditionalFormatting>
  <dataValidations count="1">
    <dataValidation sqref="H9:H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1.xml><?xml version="1.0" encoding="utf-8"?>
<worksheet xmlns="http://schemas.openxmlformats.org/spreadsheetml/2006/main">
  <sheetPr filterMode="0">
    <tabColor rgb="FFE67E22"/>
    <outlinePr summaryBelow="1" summaryRight="1"/>
    <pageSetUpPr fitToPage="0"/>
  </sheetPr>
  <dimension ref="A1:N213"/>
  <sheetViews>
    <sheetView showFormulas="0" showGridLines="1" showRowColHeaders="1" showZeros="1" rightToLeft="0" tabSelected="0" showOutlineSymbols="1" defaultGridColor="1" view="normal" topLeftCell="A1" colorId="64" zoomScale="100" zoomScaleNormal="100" zoomScalePageLayoutView="100" workbookViewId="0">
      <pane xSplit="0" ySplit="13" topLeftCell="A1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22" customWidth="1" style="340" min="1" max="1"/>
    <col width="16" customWidth="1" style="340" min="2" max="2"/>
    <col width="22" customWidth="1" style="340" min="3" max="3"/>
    <col width="13" customWidth="1" style="340" min="4" max="4"/>
    <col width="14" customWidth="1" style="340" min="5" max="5"/>
    <col width="22" customWidth="1" style="340" min="6" max="6"/>
    <col width="9" customWidth="1" style="340" min="7" max="7"/>
    <col width="8" customWidth="1" style="340" min="8" max="8"/>
    <col width="16" customWidth="1" style="340" min="9" max="9"/>
    <col width="15" customWidth="1" style="340" min="10" max="10"/>
    <col width="14" customWidth="1" style="340" min="11" max="11"/>
    <col width="12" customWidth="1" style="340" min="12" max="12"/>
    <col width="14" customWidth="1" style="340" min="13" max="13"/>
  </cols>
  <sheetData>
    <row r="1" ht="31.5" customHeight="1" s="341">
      <c r="A1" s="513" t="inlineStr">
        <is>
          <t>🏦  SAMICIOUS MICROFINANCE — AGENT02 LOAN REQUESTS</t>
        </is>
      </c>
    </row>
    <row r="2" ht="19.5" customHeight="1" s="341">
      <c r="A2" s="514" t="inlineStr">
        <is>
          <t>Total Repayable = Loan Amount + (Loan Amount × Rate% × Months) | Status: Pending → Approved when credited</t>
        </is>
      </c>
    </row>
    <row r="4" ht="21.75" customHeight="1" s="341">
      <c r="A4" s="515" t="inlineStr">
        <is>
          <t>🔢  INSTANT LOAN CALCULATOR</t>
        </is>
      </c>
    </row>
    <row r="5" ht="19.5" customHeight="1" s="341">
      <c r="A5" s="516" t="inlineStr">
        <is>
          <t>Loan Amount (GHC):</t>
        </is>
      </c>
      <c r="B5" s="517" t="n"/>
      <c r="C5" s="453" t="n"/>
      <c r="D5" s="518" t="n"/>
    </row>
    <row r="6" ht="19.5" customHeight="1" s="341">
      <c r="A6" s="516" t="inlineStr">
        <is>
          <t>Duration (Months):</t>
        </is>
      </c>
      <c r="B6" s="517" t="n"/>
      <c r="C6" s="453" t="n"/>
      <c r="D6" s="518" t="n"/>
    </row>
    <row r="7" ht="19.5" customHeight="1" s="341">
      <c r="A7" s="519" t="inlineStr">
        <is>
          <t>Interest Rate (%/month):</t>
        </is>
      </c>
      <c r="B7" s="520" t="n">
        <v>2.5</v>
      </c>
      <c r="C7" s="393" t="n"/>
      <c r="D7" s="521" t="n"/>
    </row>
    <row r="8" ht="19.5" customHeight="1" s="341">
      <c r="A8" s="519" t="inlineStr">
        <is>
          <t>━ Total Interest:</t>
        </is>
      </c>
      <c r="B8" s="522">
        <f>IF(B5="","",B5*B7/100*B6)</f>
        <v/>
      </c>
      <c r="C8" s="393" t="n"/>
      <c r="D8" s="521" t="n"/>
    </row>
    <row r="9" ht="19.5" customHeight="1" s="341">
      <c r="A9" s="519" t="n"/>
      <c r="B9" s="523">
        <f>IF(B5="","",B5+(B5*B7/100*B6))</f>
        <v/>
      </c>
      <c r="C9" s="393" t="n"/>
      <c r="D9" s="521" t="n"/>
    </row>
    <row r="10" ht="19.5" customHeight="1" s="341">
      <c r="A10" s="519" t="n"/>
      <c r="B10" s="523">
        <f>IFERROR(B9/B6,"")</f>
        <v/>
      </c>
      <c r="C10" s="393" t="n"/>
      <c r="D10" s="521" t="n"/>
    </row>
    <row r="11" ht="7.5" customHeight="1" s="341"/>
    <row r="12" ht="21.75" customHeight="1" s="341">
      <c r="A12" s="524" t="n"/>
    </row>
    <row r="13" ht="19.5" customHeight="1" s="341">
      <c r="A13" s="525" t="n"/>
      <c r="B13" s="525" t="n"/>
      <c r="C13" s="525" t="n"/>
      <c r="D13" s="525" t="n"/>
      <c r="E13" s="525" t="n"/>
      <c r="F13" s="525" t="n"/>
      <c r="G13" s="525" t="n"/>
      <c r="H13" s="525" t="n"/>
      <c r="I13" s="525" t="n"/>
      <c r="J13" s="525" t="n"/>
      <c r="K13" s="525" t="n"/>
      <c r="L13" s="525" t="inlineStr">
        <is>
          <t>Agent</t>
        </is>
      </c>
      <c r="M13" s="485" t="n"/>
      <c r="N13" s="525" t="n"/>
    </row>
    <row r="14" ht="15" customHeight="1" s="341">
      <c r="A14" s="499">
        <f>IF(B14="","",IF(C14="❌ Account Not Found","INVALID","LN"&amp;TEXT(D14,"YYYYMMDD")&amp;TEXT(ROW()-13,"0000")))</f>
        <v/>
      </c>
      <c r="B14" s="495" t="n"/>
      <c r="C14" s="382">
        <f>IF(B14="","",IFERROR(VLOOKUP(B14,DB_Customers!$A:$D,4,0),"❌ Account Not Found"))</f>
        <v/>
      </c>
      <c r="D14" s="497">
        <f>IF(B14="","",TODAY())</f>
        <v/>
      </c>
      <c r="E14" s="526" t="n"/>
      <c r="F14" s="382" t="n"/>
      <c r="G14" s="527" t="n"/>
      <c r="H14" s="528" t="n"/>
      <c r="I14" s="529">
        <f>IF(E14="","",E14+(E14*H14/100*G14))</f>
        <v/>
      </c>
      <c r="J14" s="530">
        <f>IFERROR(I14/G14,"")</f>
        <v/>
      </c>
      <c r="K14" s="531">
        <f>IF(B14="","Pending",IF(M14="","⚠️ Enter Code",IF(IFERROR(VLOOKUP(L14,DB_Agents!$B:$I,8,0),"")=M14,"Pending","🔒 BLOCKED — Wrong Code")))</f>
        <v/>
      </c>
      <c r="L14" s="384" t="inlineStr">
        <is>
          <t>Agent 02</t>
        </is>
      </c>
      <c r="M14" s="491" t="n"/>
      <c r="N14" s="501" t="n"/>
    </row>
    <row r="15" ht="15" customHeight="1" s="341">
      <c r="A15" s="492">
        <f>IF(B15="","",IF(C15="❌ Account Not Found","INVALID","LN"&amp;TEXT(D15,"YYYYMMDD")&amp;TEXT(ROW()-13,"0000")))</f>
        <v/>
      </c>
      <c r="B15" s="486" t="n"/>
      <c r="C15" s="378">
        <f>IF(B15="","",IFERROR(VLOOKUP(B15,DB_Customers!$A:$D,4,0),"❌ Account Not Found"))</f>
        <v/>
      </c>
      <c r="D15" s="488">
        <f>IF(B15="","",TODAY())</f>
        <v/>
      </c>
      <c r="E15" s="526" t="n"/>
      <c r="F15" s="378" t="n"/>
      <c r="G15" s="532" t="n"/>
      <c r="H15" s="533" t="n"/>
      <c r="I15" s="529">
        <f>IF(E15="","",E15+(E15*H15/100*G15))</f>
        <v/>
      </c>
      <c r="J15" s="534">
        <f>IFERROR(I15/G15,"")</f>
        <v/>
      </c>
      <c r="K15" s="535">
        <f>IF(B15="","Pending",IF(M15="","⚠️ Enter Code",IF(IFERROR(VLOOKUP(L15,DB_Agents!$B:$I,8,0),"")=M15,"Pending","🔒 BLOCKED — Wrong Code")))</f>
        <v/>
      </c>
      <c r="L15" s="380" t="inlineStr">
        <is>
          <t>Agent 02</t>
        </is>
      </c>
      <c r="M15" s="491" t="n"/>
      <c r="N15" s="494" t="n"/>
    </row>
    <row r="16" ht="15" customHeight="1" s="341">
      <c r="A16" s="499">
        <f>IF(B16="","",IF(C16="❌ Account Not Found","INVALID","LN"&amp;TEXT(D16,"YYYYMMDD")&amp;TEXT(ROW()-13,"0000")))</f>
        <v/>
      </c>
      <c r="B16" s="495" t="n"/>
      <c r="C16" s="382">
        <f>IF(B16="","",IFERROR(VLOOKUP(B16,DB_Customers!$A:$D,4,0),"❌ Account Not Found"))</f>
        <v/>
      </c>
      <c r="D16" s="497">
        <f>IF(B16="","",TODAY())</f>
        <v/>
      </c>
      <c r="E16" s="526" t="n"/>
      <c r="F16" s="382" t="n"/>
      <c r="G16" s="527" t="n"/>
      <c r="H16" s="528" t="n"/>
      <c r="I16" s="529">
        <f>IF(E16="","",E16+(E16*H16/100*G16))</f>
        <v/>
      </c>
      <c r="J16" s="530">
        <f>IFERROR(I16/G16,"")</f>
        <v/>
      </c>
      <c r="K16" s="531">
        <f>IF(B16="","Pending",IF(M16="","⚠️ Enter Code",IF(IFERROR(VLOOKUP(L16,DB_Agents!$B:$I,8,0),"")=M16,"Pending","🔒 BLOCKED — Wrong Code")))</f>
        <v/>
      </c>
      <c r="L16" s="384" t="inlineStr">
        <is>
          <t>Agent 02</t>
        </is>
      </c>
      <c r="M16" s="491" t="n"/>
      <c r="N16" s="501" t="n"/>
    </row>
    <row r="17" ht="15" customHeight="1" s="341">
      <c r="A17" s="492">
        <f>IF(B17="","",IF(C17="❌ Account Not Found","INVALID","LN"&amp;TEXT(D17,"YYYYMMDD")&amp;TEXT(ROW()-13,"0000")))</f>
        <v/>
      </c>
      <c r="B17" s="486" t="n"/>
      <c r="C17" s="378">
        <f>IF(B17="","",IFERROR(VLOOKUP(B17,DB_Customers!$A:$D,4,0),"❌ Account Not Found"))</f>
        <v/>
      </c>
      <c r="D17" s="488">
        <f>IF(B17="","",TODAY())</f>
        <v/>
      </c>
      <c r="E17" s="526" t="n"/>
      <c r="F17" s="378" t="n"/>
      <c r="G17" s="532" t="n"/>
      <c r="H17" s="533" t="n"/>
      <c r="I17" s="529">
        <f>IF(E17="","",E17+(E17*H17/100*G17))</f>
        <v/>
      </c>
      <c r="J17" s="534">
        <f>IFERROR(I17/G17,"")</f>
        <v/>
      </c>
      <c r="K17" s="535">
        <f>IF(B17="","Pending",IF(M17="","⚠️ Enter Code",IF(IFERROR(VLOOKUP(L17,DB_Agents!$B:$I,8,0),"")=M17,"Pending","🔒 BLOCKED — Wrong Code")))</f>
        <v/>
      </c>
      <c r="L17" s="380" t="inlineStr">
        <is>
          <t>Agent 02</t>
        </is>
      </c>
      <c r="M17" s="491" t="n"/>
      <c r="N17" s="494" t="n"/>
    </row>
    <row r="18" ht="15" customHeight="1" s="341">
      <c r="A18" s="499">
        <f>IF(B18="","",IF(C18="❌ Account Not Found","INVALID","LN"&amp;TEXT(D18,"YYYYMMDD")&amp;TEXT(ROW()-13,"0000")))</f>
        <v/>
      </c>
      <c r="B18" s="495" t="n"/>
      <c r="C18" s="382">
        <f>IF(B18="","",IFERROR(VLOOKUP(B18,DB_Customers!$A:$D,4,0),"❌ Account Not Found"))</f>
        <v/>
      </c>
      <c r="D18" s="497">
        <f>IF(B18="","",TODAY())</f>
        <v/>
      </c>
      <c r="E18" s="526" t="n"/>
      <c r="F18" s="382" t="n"/>
      <c r="G18" s="527" t="n"/>
      <c r="H18" s="528" t="n"/>
      <c r="I18" s="529">
        <f>IF(E18="","",E18+(E18*H18/100*G18))</f>
        <v/>
      </c>
      <c r="J18" s="530">
        <f>IFERROR(I18/G18,"")</f>
        <v/>
      </c>
      <c r="K18" s="531">
        <f>IF(B18="","Pending",IF(M18="","⚠️ Enter Code",IF(IFERROR(VLOOKUP(L18,DB_Agents!$B:$I,8,0),"")=M18,"Pending","🔒 BLOCKED — Wrong Code")))</f>
        <v/>
      </c>
      <c r="L18" s="384" t="inlineStr">
        <is>
          <t>Agent 02</t>
        </is>
      </c>
      <c r="M18" s="491" t="n"/>
      <c r="N18" s="501" t="n"/>
    </row>
    <row r="19" ht="15" customHeight="1" s="341">
      <c r="A19" s="492">
        <f>IF(B19="","",IF(C19="❌ Account Not Found","INVALID","LN"&amp;TEXT(D19,"YYYYMMDD")&amp;TEXT(ROW()-13,"0000")))</f>
        <v/>
      </c>
      <c r="B19" s="486" t="n"/>
      <c r="C19" s="378">
        <f>IF(B19="","",IFERROR(VLOOKUP(B19,DB_Customers!$A:$D,4,0),"❌ Account Not Found"))</f>
        <v/>
      </c>
      <c r="D19" s="488">
        <f>IF(B19="","",TODAY())</f>
        <v/>
      </c>
      <c r="E19" s="526" t="n"/>
      <c r="F19" s="378" t="n"/>
      <c r="G19" s="532" t="n"/>
      <c r="H19" s="533" t="n"/>
      <c r="I19" s="529">
        <f>IF(E19="","",E19+(E19*H19/100*G19))</f>
        <v/>
      </c>
      <c r="J19" s="534">
        <f>IFERROR(I19/G19,"")</f>
        <v/>
      </c>
      <c r="K19" s="535">
        <f>IF(B19="","Pending",IF(M19="","⚠️ Enter Code",IF(IFERROR(VLOOKUP(L19,DB_Agents!$B:$I,8,0),"")=M19,"Pending","🔒 BLOCKED — Wrong Code")))</f>
        <v/>
      </c>
      <c r="L19" s="380" t="inlineStr">
        <is>
          <t>Agent 02</t>
        </is>
      </c>
      <c r="M19" s="491" t="n"/>
      <c r="N19" s="494" t="n"/>
    </row>
    <row r="20" ht="15" customHeight="1" s="341">
      <c r="A20" s="499">
        <f>IF(B20="","",IF(C20="❌ Account Not Found","INVALID","LN"&amp;TEXT(D20,"YYYYMMDD")&amp;TEXT(ROW()-13,"0000")))</f>
        <v/>
      </c>
      <c r="B20" s="495" t="n"/>
      <c r="C20" s="382">
        <f>IF(B20="","",IFERROR(VLOOKUP(B20,DB_Customers!$A:$D,4,0),"❌ Account Not Found"))</f>
        <v/>
      </c>
      <c r="D20" s="497">
        <f>IF(B20="","",TODAY())</f>
        <v/>
      </c>
      <c r="E20" s="526" t="n"/>
      <c r="F20" s="382" t="n"/>
      <c r="G20" s="527" t="n"/>
      <c r="H20" s="528" t="n"/>
      <c r="I20" s="529">
        <f>IF(E20="","",E20+(E20*H20/100*G20))</f>
        <v/>
      </c>
      <c r="J20" s="530">
        <f>IFERROR(I20/G20,"")</f>
        <v/>
      </c>
      <c r="K20" s="531">
        <f>IF(B20="","Pending",IF(M20="","⚠️ Enter Code",IF(IFERROR(VLOOKUP(L20,DB_Agents!$B:$I,8,0),"")=M20,"Pending","🔒 BLOCKED — Wrong Code")))</f>
        <v/>
      </c>
      <c r="L20" s="384" t="inlineStr">
        <is>
          <t>Agent 02</t>
        </is>
      </c>
      <c r="M20" s="491" t="n"/>
      <c r="N20" s="501" t="n"/>
    </row>
    <row r="21" ht="15" customHeight="1" s="341">
      <c r="A21" s="492">
        <f>IF(B21="","",IF(C21="❌ Account Not Found","INVALID","LN"&amp;TEXT(D21,"YYYYMMDD")&amp;TEXT(ROW()-13,"0000")))</f>
        <v/>
      </c>
      <c r="B21" s="486" t="n"/>
      <c r="C21" s="378">
        <f>IF(B21="","",IFERROR(VLOOKUP(B21,DB_Customers!$A:$D,4,0),"❌ Account Not Found"))</f>
        <v/>
      </c>
      <c r="D21" s="488">
        <f>IF(B21="","",TODAY())</f>
        <v/>
      </c>
      <c r="E21" s="526" t="n"/>
      <c r="F21" s="378" t="n"/>
      <c r="G21" s="532" t="n"/>
      <c r="H21" s="533" t="n"/>
      <c r="I21" s="529">
        <f>IF(E21="","",E21+(E21*H21/100*G21))</f>
        <v/>
      </c>
      <c r="J21" s="534">
        <f>IFERROR(I21/G21,"")</f>
        <v/>
      </c>
      <c r="K21" s="535">
        <f>IF(B21="","Pending",IF(M21="","⚠️ Enter Code",IF(IFERROR(VLOOKUP(L21,DB_Agents!$B:$I,8,0),"")=M21,"Pending","🔒 BLOCKED — Wrong Code")))</f>
        <v/>
      </c>
      <c r="L21" s="380" t="inlineStr">
        <is>
          <t>Agent 02</t>
        </is>
      </c>
      <c r="M21" s="491" t="n"/>
      <c r="N21" s="494" t="n"/>
    </row>
    <row r="22" ht="15" customHeight="1" s="341">
      <c r="A22" s="499">
        <f>IF(B22="","",IF(C22="❌ Account Not Found","INVALID","LN"&amp;TEXT(D22,"YYYYMMDD")&amp;TEXT(ROW()-13,"0000")))</f>
        <v/>
      </c>
      <c r="B22" s="495" t="n"/>
      <c r="C22" s="382">
        <f>IF(B22="","",IFERROR(VLOOKUP(B22,DB_Customers!$A:$D,4,0),"❌ Account Not Found"))</f>
        <v/>
      </c>
      <c r="D22" s="497">
        <f>IF(B22="","",TODAY())</f>
        <v/>
      </c>
      <c r="E22" s="526" t="n"/>
      <c r="F22" s="382" t="n"/>
      <c r="G22" s="527" t="n"/>
      <c r="H22" s="528" t="n"/>
      <c r="I22" s="529">
        <f>IF(E22="","",E22+(E22*H22/100*G22))</f>
        <v/>
      </c>
      <c r="J22" s="530">
        <f>IFERROR(I22/G22,"")</f>
        <v/>
      </c>
      <c r="K22" s="531">
        <f>IF(B22="","Pending",IF(M22="","⚠️ Enter Code",IF(IFERROR(VLOOKUP(L22,DB_Agents!$B:$I,8,0),"")=M22,"Pending","🔒 BLOCKED — Wrong Code")))</f>
        <v/>
      </c>
      <c r="L22" s="384" t="inlineStr">
        <is>
          <t>Agent 02</t>
        </is>
      </c>
      <c r="M22" s="491" t="n"/>
      <c r="N22" s="501" t="n"/>
    </row>
    <row r="23" ht="15" customHeight="1" s="341">
      <c r="A23" s="492">
        <f>IF(B23="","",IF(C23="❌ Account Not Found","INVALID","LN"&amp;TEXT(D23,"YYYYMMDD")&amp;TEXT(ROW()-13,"0000")))</f>
        <v/>
      </c>
      <c r="B23" s="486" t="n"/>
      <c r="C23" s="378">
        <f>IF(B23="","",IFERROR(VLOOKUP(B23,DB_Customers!$A:$D,4,0),"❌ Account Not Found"))</f>
        <v/>
      </c>
      <c r="D23" s="488">
        <f>IF(B23="","",TODAY())</f>
        <v/>
      </c>
      <c r="E23" s="526" t="n"/>
      <c r="F23" s="378" t="n"/>
      <c r="G23" s="532" t="n"/>
      <c r="H23" s="533" t="n"/>
      <c r="I23" s="529">
        <f>IF(E23="","",E23+(E23*H23/100*G23))</f>
        <v/>
      </c>
      <c r="J23" s="534">
        <f>IFERROR(I23/G23,"")</f>
        <v/>
      </c>
      <c r="K23" s="535">
        <f>IF(B23="","Pending",IF(M23="","⚠️ Enter Code",IF(IFERROR(VLOOKUP(L23,DB_Agents!$B:$I,8,0),"")=M23,"Pending","🔒 BLOCKED — Wrong Code")))</f>
        <v/>
      </c>
      <c r="L23" s="380" t="inlineStr">
        <is>
          <t>Agent 02</t>
        </is>
      </c>
      <c r="M23" s="491" t="n"/>
      <c r="N23" s="494" t="n"/>
    </row>
    <row r="24" ht="15" customHeight="1" s="341">
      <c r="A24" s="499">
        <f>IF(B24="","",IF(C24="❌ Account Not Found","INVALID","LN"&amp;TEXT(D24,"YYYYMMDD")&amp;TEXT(ROW()-13,"0000")))</f>
        <v/>
      </c>
      <c r="B24" s="495" t="n"/>
      <c r="C24" s="382">
        <f>IF(B24="","",IFERROR(VLOOKUP(B24,DB_Customers!$A:$D,4,0),"❌ Account Not Found"))</f>
        <v/>
      </c>
      <c r="D24" s="497">
        <f>IF(B24="","",TODAY())</f>
        <v/>
      </c>
      <c r="E24" s="526" t="n"/>
      <c r="F24" s="382" t="n"/>
      <c r="G24" s="527" t="n"/>
      <c r="H24" s="528" t="n"/>
      <c r="I24" s="529">
        <f>IF(E24="","",E24+(E24*H24/100*G24))</f>
        <v/>
      </c>
      <c r="J24" s="530">
        <f>IFERROR(I24/G24,"")</f>
        <v/>
      </c>
      <c r="K24" s="531">
        <f>IF(B24="","Pending",IF(M24="","⚠️ Enter Code",IF(IFERROR(VLOOKUP(L24,DB_Agents!$B:$I,8,0),"")=M24,"Pending","🔒 BLOCKED — Wrong Code")))</f>
        <v/>
      </c>
      <c r="L24" s="384" t="inlineStr">
        <is>
          <t>Agent 02</t>
        </is>
      </c>
      <c r="M24" s="491" t="n"/>
      <c r="N24" s="501" t="n"/>
    </row>
    <row r="25" ht="15" customHeight="1" s="341">
      <c r="A25" s="492">
        <f>IF(B25="","",IF(C25="❌ Account Not Found","INVALID","LN"&amp;TEXT(D25,"YYYYMMDD")&amp;TEXT(ROW()-13,"0000")))</f>
        <v/>
      </c>
      <c r="B25" s="486" t="n"/>
      <c r="C25" s="378">
        <f>IF(B25="","",IFERROR(VLOOKUP(B25,DB_Customers!$A:$D,4,0),"❌ Account Not Found"))</f>
        <v/>
      </c>
      <c r="D25" s="488">
        <f>IF(B25="","",TODAY())</f>
        <v/>
      </c>
      <c r="E25" s="526" t="n"/>
      <c r="F25" s="378" t="n"/>
      <c r="G25" s="532" t="n"/>
      <c r="H25" s="533" t="n"/>
      <c r="I25" s="529">
        <f>IF(E25="","",E25+(E25*H25/100*G25))</f>
        <v/>
      </c>
      <c r="J25" s="534">
        <f>IFERROR(I25/G25,"")</f>
        <v/>
      </c>
      <c r="K25" s="535">
        <f>IF(B25="","Pending",IF(M25="","⚠️ Enter Code",IF(IFERROR(VLOOKUP(L25,DB_Agents!$B:$I,8,0),"")=M25,"Pending","🔒 BLOCKED — Wrong Code")))</f>
        <v/>
      </c>
      <c r="L25" s="380" t="inlineStr">
        <is>
          <t>Agent 02</t>
        </is>
      </c>
      <c r="M25" s="491" t="n"/>
      <c r="N25" s="494" t="n"/>
    </row>
    <row r="26" ht="15" customHeight="1" s="341">
      <c r="A26" s="499">
        <f>IF(B26="","",IF(C26="❌ Account Not Found","INVALID","LN"&amp;TEXT(D26,"YYYYMMDD")&amp;TEXT(ROW()-13,"0000")))</f>
        <v/>
      </c>
      <c r="B26" s="495" t="n"/>
      <c r="C26" s="382">
        <f>IF(B26="","",IFERROR(VLOOKUP(B26,DB_Customers!$A:$D,4,0),"❌ Account Not Found"))</f>
        <v/>
      </c>
      <c r="D26" s="497">
        <f>IF(B26="","",TODAY())</f>
        <v/>
      </c>
      <c r="E26" s="526" t="n"/>
      <c r="F26" s="382" t="n"/>
      <c r="G26" s="527" t="n"/>
      <c r="H26" s="528" t="n"/>
      <c r="I26" s="529">
        <f>IF(E26="","",E26+(E26*H26/100*G26))</f>
        <v/>
      </c>
      <c r="J26" s="530">
        <f>IFERROR(I26/G26,"")</f>
        <v/>
      </c>
      <c r="K26" s="531">
        <f>IF(B26="","Pending",IF(M26="","⚠️ Enter Code",IF(IFERROR(VLOOKUP(L26,DB_Agents!$B:$I,8,0),"")=M26,"Pending","🔒 BLOCKED — Wrong Code")))</f>
        <v/>
      </c>
      <c r="L26" s="384" t="inlineStr">
        <is>
          <t>Agent 02</t>
        </is>
      </c>
      <c r="M26" s="491" t="n"/>
      <c r="N26" s="501" t="n"/>
    </row>
    <row r="27" ht="15" customHeight="1" s="341">
      <c r="A27" s="492">
        <f>IF(B27="","",IF(C27="❌ Account Not Found","INVALID","LN"&amp;TEXT(D27,"YYYYMMDD")&amp;TEXT(ROW()-13,"0000")))</f>
        <v/>
      </c>
      <c r="B27" s="486" t="n"/>
      <c r="C27" s="378">
        <f>IF(B27="","",IFERROR(VLOOKUP(B27,DB_Customers!$A:$D,4,0),"❌ Account Not Found"))</f>
        <v/>
      </c>
      <c r="D27" s="488">
        <f>IF(B27="","",TODAY())</f>
        <v/>
      </c>
      <c r="E27" s="526" t="n"/>
      <c r="F27" s="378" t="n"/>
      <c r="G27" s="532" t="n"/>
      <c r="H27" s="533" t="n"/>
      <c r="I27" s="529">
        <f>IF(E27="","",E27+(E27*H27/100*G27))</f>
        <v/>
      </c>
      <c r="J27" s="534">
        <f>IFERROR(I27/G27,"")</f>
        <v/>
      </c>
      <c r="K27" s="535">
        <f>IF(B27="","Pending",IF(M27="","⚠️ Enter Code",IF(IFERROR(VLOOKUP(L27,DB_Agents!$B:$I,8,0),"")=M27,"Pending","🔒 BLOCKED — Wrong Code")))</f>
        <v/>
      </c>
      <c r="L27" s="380" t="inlineStr">
        <is>
          <t>Agent 02</t>
        </is>
      </c>
      <c r="M27" s="491" t="n"/>
      <c r="N27" s="494" t="n"/>
    </row>
    <row r="28" ht="15" customHeight="1" s="341">
      <c r="A28" s="499">
        <f>IF(B28="","",IF(C28="❌ Account Not Found","INVALID","LN"&amp;TEXT(D28,"YYYYMMDD")&amp;TEXT(ROW()-13,"0000")))</f>
        <v/>
      </c>
      <c r="B28" s="495" t="n"/>
      <c r="C28" s="382">
        <f>IF(B28="","",IFERROR(VLOOKUP(B28,DB_Customers!$A:$D,4,0),"❌ Account Not Found"))</f>
        <v/>
      </c>
      <c r="D28" s="497">
        <f>IF(B28="","",TODAY())</f>
        <v/>
      </c>
      <c r="E28" s="526" t="n"/>
      <c r="F28" s="382" t="n"/>
      <c r="G28" s="527" t="n"/>
      <c r="H28" s="528" t="n"/>
      <c r="I28" s="529">
        <f>IF(E28="","",E28+(E28*H28/100*G28))</f>
        <v/>
      </c>
      <c r="J28" s="530">
        <f>IFERROR(I28/G28,"")</f>
        <v/>
      </c>
      <c r="K28" s="531">
        <f>IF(B28="","Pending",IF(M28="","⚠️ Enter Code",IF(IFERROR(VLOOKUP(L28,DB_Agents!$B:$I,8,0),"")=M28,"Pending","🔒 BLOCKED — Wrong Code")))</f>
        <v/>
      </c>
      <c r="L28" s="384" t="inlineStr">
        <is>
          <t>Agent 02</t>
        </is>
      </c>
      <c r="M28" s="491" t="n"/>
      <c r="N28" s="501" t="n"/>
    </row>
    <row r="29" ht="15" customHeight="1" s="341">
      <c r="A29" s="492">
        <f>IF(B29="","",IF(C29="❌ Account Not Found","INVALID","LN"&amp;TEXT(D29,"YYYYMMDD")&amp;TEXT(ROW()-13,"0000")))</f>
        <v/>
      </c>
      <c r="B29" s="486" t="n"/>
      <c r="C29" s="378">
        <f>IF(B29="","",IFERROR(VLOOKUP(B29,DB_Customers!$A:$D,4,0),"❌ Account Not Found"))</f>
        <v/>
      </c>
      <c r="D29" s="488">
        <f>IF(B29="","",TODAY())</f>
        <v/>
      </c>
      <c r="E29" s="526" t="n"/>
      <c r="F29" s="378" t="n"/>
      <c r="G29" s="532" t="n"/>
      <c r="H29" s="533" t="n"/>
      <c r="I29" s="529">
        <f>IF(E29="","",E29+(E29*H29/100*G29))</f>
        <v/>
      </c>
      <c r="J29" s="534">
        <f>IFERROR(I29/G29,"")</f>
        <v/>
      </c>
      <c r="K29" s="535">
        <f>IF(B29="","Pending",IF(M29="","⚠️ Enter Code",IF(IFERROR(VLOOKUP(L29,DB_Agents!$B:$I,8,0),"")=M29,"Pending","🔒 BLOCKED — Wrong Code")))</f>
        <v/>
      </c>
      <c r="L29" s="380" t="inlineStr">
        <is>
          <t>Agent 02</t>
        </is>
      </c>
      <c r="M29" s="491" t="n"/>
      <c r="N29" s="494" t="n"/>
    </row>
    <row r="30" ht="15" customHeight="1" s="341">
      <c r="A30" s="499">
        <f>IF(B30="","",IF(C30="❌ Account Not Found","INVALID","LN"&amp;TEXT(D30,"YYYYMMDD")&amp;TEXT(ROW()-13,"0000")))</f>
        <v/>
      </c>
      <c r="B30" s="495" t="n"/>
      <c r="C30" s="382">
        <f>IF(B30="","",IFERROR(VLOOKUP(B30,DB_Customers!$A:$D,4,0),"❌ Account Not Found"))</f>
        <v/>
      </c>
      <c r="D30" s="497">
        <f>IF(B30="","",TODAY())</f>
        <v/>
      </c>
      <c r="E30" s="526" t="n"/>
      <c r="F30" s="382" t="n"/>
      <c r="G30" s="527" t="n"/>
      <c r="H30" s="528" t="n"/>
      <c r="I30" s="529">
        <f>IF(E30="","",E30+(E30*H30/100*G30))</f>
        <v/>
      </c>
      <c r="J30" s="530">
        <f>IFERROR(I30/G30,"")</f>
        <v/>
      </c>
      <c r="K30" s="531">
        <f>IF(B30="","Pending",IF(M30="","⚠️ Enter Code",IF(IFERROR(VLOOKUP(L30,DB_Agents!$B:$I,8,0),"")=M30,"Pending","🔒 BLOCKED — Wrong Code")))</f>
        <v/>
      </c>
      <c r="L30" s="384" t="inlineStr">
        <is>
          <t>Agent 02</t>
        </is>
      </c>
      <c r="M30" s="491" t="n"/>
      <c r="N30" s="501" t="n"/>
    </row>
    <row r="31" ht="15" customHeight="1" s="341">
      <c r="A31" s="492">
        <f>IF(B31="","",IF(C31="❌ Account Not Found","INVALID","LN"&amp;TEXT(D31,"YYYYMMDD")&amp;TEXT(ROW()-13,"0000")))</f>
        <v/>
      </c>
      <c r="B31" s="486" t="n"/>
      <c r="C31" s="378">
        <f>IF(B31="","",IFERROR(VLOOKUP(B31,DB_Customers!$A:$D,4,0),"❌ Account Not Found"))</f>
        <v/>
      </c>
      <c r="D31" s="488">
        <f>IF(B31="","",TODAY())</f>
        <v/>
      </c>
      <c r="E31" s="526" t="n"/>
      <c r="F31" s="378" t="n"/>
      <c r="G31" s="532" t="n"/>
      <c r="H31" s="533" t="n"/>
      <c r="I31" s="529">
        <f>IF(E31="","",E31+(E31*H31/100*G31))</f>
        <v/>
      </c>
      <c r="J31" s="534">
        <f>IFERROR(I31/G31,"")</f>
        <v/>
      </c>
      <c r="K31" s="535">
        <f>IF(B31="","Pending",IF(M31="","⚠️ Enter Code",IF(IFERROR(VLOOKUP(L31,DB_Agents!$B:$I,8,0),"")=M31,"Pending","🔒 BLOCKED — Wrong Code")))</f>
        <v/>
      </c>
      <c r="L31" s="380" t="inlineStr">
        <is>
          <t>Agent 02</t>
        </is>
      </c>
      <c r="M31" s="491" t="n"/>
      <c r="N31" s="494" t="n"/>
    </row>
    <row r="32" ht="15" customHeight="1" s="341">
      <c r="A32" s="499">
        <f>IF(B32="","",IF(C32="❌ Account Not Found","INVALID","LN"&amp;TEXT(D32,"YYYYMMDD")&amp;TEXT(ROW()-13,"0000")))</f>
        <v/>
      </c>
      <c r="B32" s="495" t="n"/>
      <c r="C32" s="382">
        <f>IF(B32="","",IFERROR(VLOOKUP(B32,DB_Customers!$A:$D,4,0),"❌ Account Not Found"))</f>
        <v/>
      </c>
      <c r="D32" s="497">
        <f>IF(B32="","",TODAY())</f>
        <v/>
      </c>
      <c r="E32" s="526" t="n"/>
      <c r="F32" s="382" t="n"/>
      <c r="G32" s="527" t="n"/>
      <c r="H32" s="528" t="n"/>
      <c r="I32" s="529">
        <f>IF(E32="","",E32+(E32*H32/100*G32))</f>
        <v/>
      </c>
      <c r="J32" s="530">
        <f>IFERROR(I32/G32,"")</f>
        <v/>
      </c>
      <c r="K32" s="531">
        <f>IF(B32="","Pending",IF(M32="","⚠️ Enter Code",IF(IFERROR(VLOOKUP(L32,DB_Agents!$B:$I,8,0),"")=M32,"Pending","🔒 BLOCKED — Wrong Code")))</f>
        <v/>
      </c>
      <c r="L32" s="384" t="inlineStr">
        <is>
          <t>Agent 02</t>
        </is>
      </c>
      <c r="M32" s="491" t="n"/>
      <c r="N32" s="501" t="n"/>
    </row>
    <row r="33" ht="15" customHeight="1" s="341">
      <c r="A33" s="492">
        <f>IF(B33="","",IF(C33="❌ Account Not Found","INVALID","LN"&amp;TEXT(D33,"YYYYMMDD")&amp;TEXT(ROW()-13,"0000")))</f>
        <v/>
      </c>
      <c r="B33" s="486" t="n"/>
      <c r="C33" s="378">
        <f>IF(B33="","",IFERROR(VLOOKUP(B33,DB_Customers!$A:$D,4,0),"❌ Account Not Found"))</f>
        <v/>
      </c>
      <c r="D33" s="488">
        <f>IF(B33="","",TODAY())</f>
        <v/>
      </c>
      <c r="E33" s="526" t="n"/>
      <c r="F33" s="378" t="n"/>
      <c r="G33" s="532" t="n"/>
      <c r="H33" s="533" t="n"/>
      <c r="I33" s="529">
        <f>IF(E33="","",E33+(E33*H33/100*G33))</f>
        <v/>
      </c>
      <c r="J33" s="534">
        <f>IFERROR(I33/G33,"")</f>
        <v/>
      </c>
      <c r="K33" s="535">
        <f>IF(B33="","Pending",IF(M33="","⚠️ Enter Code",IF(IFERROR(VLOOKUP(L33,DB_Agents!$B:$I,8,0),"")=M33,"Pending","🔒 BLOCKED — Wrong Code")))</f>
        <v/>
      </c>
      <c r="L33" s="380" t="inlineStr">
        <is>
          <t>Agent 02</t>
        </is>
      </c>
      <c r="M33" s="491" t="n"/>
      <c r="N33" s="494" t="n"/>
    </row>
    <row r="34" ht="15" customHeight="1" s="341">
      <c r="A34" s="499">
        <f>IF(B34="","",IF(C34="❌ Account Not Found","INVALID","LN"&amp;TEXT(D34,"YYYYMMDD")&amp;TEXT(ROW()-13,"0000")))</f>
        <v/>
      </c>
      <c r="B34" s="495" t="n"/>
      <c r="C34" s="382">
        <f>IF(B34="","",IFERROR(VLOOKUP(B34,DB_Customers!$A:$D,4,0),"❌ Account Not Found"))</f>
        <v/>
      </c>
      <c r="D34" s="497">
        <f>IF(B34="","",TODAY())</f>
        <v/>
      </c>
      <c r="E34" s="526" t="n"/>
      <c r="F34" s="382" t="n"/>
      <c r="G34" s="527" t="n"/>
      <c r="H34" s="528" t="n"/>
      <c r="I34" s="529">
        <f>IF(E34="","",E34+(E34*H34/100*G34))</f>
        <v/>
      </c>
      <c r="J34" s="530">
        <f>IFERROR(I34/G34,"")</f>
        <v/>
      </c>
      <c r="K34" s="531">
        <f>IF(B34="","Pending",IF(M34="","⚠️ Enter Code",IF(IFERROR(VLOOKUP(L34,DB_Agents!$B:$I,8,0),"")=M34,"Pending","🔒 BLOCKED — Wrong Code")))</f>
        <v/>
      </c>
      <c r="L34" s="384" t="inlineStr">
        <is>
          <t>Agent 02</t>
        </is>
      </c>
      <c r="M34" s="491" t="n"/>
      <c r="N34" s="501" t="n"/>
    </row>
    <row r="35" ht="15" customHeight="1" s="341">
      <c r="A35" s="492">
        <f>IF(B35="","",IF(C35="❌ Account Not Found","INVALID","LN"&amp;TEXT(D35,"YYYYMMDD")&amp;TEXT(ROW()-13,"0000")))</f>
        <v/>
      </c>
      <c r="B35" s="486" t="n"/>
      <c r="C35" s="378">
        <f>IF(B35="","",IFERROR(VLOOKUP(B35,DB_Customers!$A:$D,4,0),"❌ Account Not Found"))</f>
        <v/>
      </c>
      <c r="D35" s="488">
        <f>IF(B35="","",TODAY())</f>
        <v/>
      </c>
      <c r="E35" s="526" t="n"/>
      <c r="F35" s="378" t="n"/>
      <c r="G35" s="532" t="n"/>
      <c r="H35" s="533" t="n"/>
      <c r="I35" s="529">
        <f>IF(E35="","",E35+(E35*H35/100*G35))</f>
        <v/>
      </c>
      <c r="J35" s="534">
        <f>IFERROR(I35/G35,"")</f>
        <v/>
      </c>
      <c r="K35" s="535">
        <f>IF(B35="","Pending",IF(M35="","⚠️ Enter Code",IF(IFERROR(VLOOKUP(L35,DB_Agents!$B:$I,8,0),"")=M35,"Pending","🔒 BLOCKED — Wrong Code")))</f>
        <v/>
      </c>
      <c r="L35" s="380" t="inlineStr">
        <is>
          <t>Agent 02</t>
        </is>
      </c>
      <c r="M35" s="491" t="n"/>
      <c r="N35" s="494" t="n"/>
    </row>
    <row r="36" ht="15" customHeight="1" s="341">
      <c r="A36" s="499">
        <f>IF(B36="","",IF(C36="❌ Account Not Found","INVALID","LN"&amp;TEXT(D36,"YYYYMMDD")&amp;TEXT(ROW()-13,"0000")))</f>
        <v/>
      </c>
      <c r="B36" s="495" t="n"/>
      <c r="C36" s="382">
        <f>IF(B36="","",IFERROR(VLOOKUP(B36,DB_Customers!$A:$D,4,0),"❌ Account Not Found"))</f>
        <v/>
      </c>
      <c r="D36" s="497">
        <f>IF(B36="","",TODAY())</f>
        <v/>
      </c>
      <c r="E36" s="526" t="n"/>
      <c r="F36" s="382" t="n"/>
      <c r="G36" s="527" t="n"/>
      <c r="H36" s="528" t="n"/>
      <c r="I36" s="529">
        <f>IF(E36="","",E36+(E36*H36/100*G36))</f>
        <v/>
      </c>
      <c r="J36" s="530">
        <f>IFERROR(I36/G36,"")</f>
        <v/>
      </c>
      <c r="K36" s="531">
        <f>IF(B36="","Pending",IF(M36="","⚠️ Enter Code",IF(IFERROR(VLOOKUP(L36,DB_Agents!$B:$I,8,0),"")=M36,"Pending","🔒 BLOCKED — Wrong Code")))</f>
        <v/>
      </c>
      <c r="L36" s="384" t="inlineStr">
        <is>
          <t>Agent 02</t>
        </is>
      </c>
      <c r="M36" s="491" t="n"/>
      <c r="N36" s="501" t="n"/>
    </row>
    <row r="37" ht="15" customHeight="1" s="341">
      <c r="A37" s="492">
        <f>IF(B37="","",IF(C37="❌ Account Not Found","INVALID","LN"&amp;TEXT(D37,"YYYYMMDD")&amp;TEXT(ROW()-13,"0000")))</f>
        <v/>
      </c>
      <c r="B37" s="486" t="n"/>
      <c r="C37" s="378">
        <f>IF(B37="","",IFERROR(VLOOKUP(B37,DB_Customers!$A:$D,4,0),"❌ Account Not Found"))</f>
        <v/>
      </c>
      <c r="D37" s="488">
        <f>IF(B37="","",TODAY())</f>
        <v/>
      </c>
      <c r="E37" s="526" t="n"/>
      <c r="F37" s="378" t="n"/>
      <c r="G37" s="532" t="n"/>
      <c r="H37" s="533" t="n"/>
      <c r="I37" s="529">
        <f>IF(E37="","",E37+(E37*H37/100*G37))</f>
        <v/>
      </c>
      <c r="J37" s="534">
        <f>IFERROR(I37/G37,"")</f>
        <v/>
      </c>
      <c r="K37" s="535">
        <f>IF(B37="","Pending",IF(M37="","⚠️ Enter Code",IF(IFERROR(VLOOKUP(L37,DB_Agents!$B:$I,8,0),"")=M37,"Pending","🔒 BLOCKED — Wrong Code")))</f>
        <v/>
      </c>
      <c r="L37" s="380" t="inlineStr">
        <is>
          <t>Agent 02</t>
        </is>
      </c>
      <c r="M37" s="491" t="n"/>
      <c r="N37" s="494" t="n"/>
    </row>
    <row r="38" ht="15" customHeight="1" s="341">
      <c r="A38" s="499">
        <f>IF(B38="","",IF(C38="❌ Account Not Found","INVALID","LN"&amp;TEXT(D38,"YYYYMMDD")&amp;TEXT(ROW()-13,"0000")))</f>
        <v/>
      </c>
      <c r="B38" s="495" t="n"/>
      <c r="C38" s="382">
        <f>IF(B38="","",IFERROR(VLOOKUP(B38,DB_Customers!$A:$D,4,0),"❌ Account Not Found"))</f>
        <v/>
      </c>
      <c r="D38" s="497">
        <f>IF(B38="","",TODAY())</f>
        <v/>
      </c>
      <c r="E38" s="526" t="n"/>
      <c r="F38" s="382" t="n"/>
      <c r="G38" s="527" t="n"/>
      <c r="H38" s="528" t="n"/>
      <c r="I38" s="529">
        <f>IF(E38="","",E38+(E38*H38/100*G38))</f>
        <v/>
      </c>
      <c r="J38" s="530">
        <f>IFERROR(I38/G38,"")</f>
        <v/>
      </c>
      <c r="K38" s="531">
        <f>IF(B38="","Pending",IF(M38="","⚠️ Enter Code",IF(IFERROR(VLOOKUP(L38,DB_Agents!$B:$I,8,0),"")=M38,"Pending","🔒 BLOCKED — Wrong Code")))</f>
        <v/>
      </c>
      <c r="L38" s="384" t="inlineStr">
        <is>
          <t>Agent 02</t>
        </is>
      </c>
      <c r="M38" s="491" t="n"/>
      <c r="N38" s="501" t="n"/>
    </row>
    <row r="39" ht="15" customHeight="1" s="341">
      <c r="A39" s="492">
        <f>IF(B39="","",IF(C39="❌ Account Not Found","INVALID","LN"&amp;TEXT(D39,"YYYYMMDD")&amp;TEXT(ROW()-13,"0000")))</f>
        <v/>
      </c>
      <c r="B39" s="486" t="n"/>
      <c r="C39" s="378">
        <f>IF(B39="","",IFERROR(VLOOKUP(B39,DB_Customers!$A:$D,4,0),"❌ Account Not Found"))</f>
        <v/>
      </c>
      <c r="D39" s="488">
        <f>IF(B39="","",TODAY())</f>
        <v/>
      </c>
      <c r="E39" s="526" t="n"/>
      <c r="F39" s="378" t="n"/>
      <c r="G39" s="532" t="n"/>
      <c r="H39" s="533" t="n"/>
      <c r="I39" s="529">
        <f>IF(E39="","",E39+(E39*H39/100*G39))</f>
        <v/>
      </c>
      <c r="J39" s="534">
        <f>IFERROR(I39/G39,"")</f>
        <v/>
      </c>
      <c r="K39" s="535">
        <f>IF(B39="","Pending",IF(M39="","⚠️ Enter Code",IF(IFERROR(VLOOKUP(L39,DB_Agents!$B:$I,8,0),"")=M39,"Pending","🔒 BLOCKED — Wrong Code")))</f>
        <v/>
      </c>
      <c r="L39" s="380" t="inlineStr">
        <is>
          <t>Agent 02</t>
        </is>
      </c>
      <c r="M39" s="491" t="n"/>
      <c r="N39" s="494" t="n"/>
    </row>
    <row r="40" ht="15" customHeight="1" s="341">
      <c r="A40" s="499">
        <f>IF(B40="","",IF(C40="❌ Account Not Found","INVALID","LN"&amp;TEXT(D40,"YYYYMMDD")&amp;TEXT(ROW()-13,"0000")))</f>
        <v/>
      </c>
      <c r="B40" s="495" t="n"/>
      <c r="C40" s="382">
        <f>IF(B40="","",IFERROR(VLOOKUP(B40,DB_Customers!$A:$D,4,0),"❌ Account Not Found"))</f>
        <v/>
      </c>
      <c r="D40" s="497">
        <f>IF(B40="","",TODAY())</f>
        <v/>
      </c>
      <c r="E40" s="526" t="n"/>
      <c r="F40" s="382" t="n"/>
      <c r="G40" s="527" t="n"/>
      <c r="H40" s="528" t="n"/>
      <c r="I40" s="529">
        <f>IF(E40="","",E40+(E40*H40/100*G40))</f>
        <v/>
      </c>
      <c r="J40" s="530">
        <f>IFERROR(I40/G40,"")</f>
        <v/>
      </c>
      <c r="K40" s="531">
        <f>IF(B40="","Pending",IF(M40="","⚠️ Enter Code",IF(IFERROR(VLOOKUP(L40,DB_Agents!$B:$I,8,0),"")=M40,"Pending","🔒 BLOCKED — Wrong Code")))</f>
        <v/>
      </c>
      <c r="L40" s="384" t="inlineStr">
        <is>
          <t>Agent 02</t>
        </is>
      </c>
      <c r="M40" s="491" t="n"/>
      <c r="N40" s="501" t="n"/>
    </row>
    <row r="41" ht="15" customHeight="1" s="341">
      <c r="A41" s="492">
        <f>IF(B41="","",IF(C41="❌ Account Not Found","INVALID","LN"&amp;TEXT(D41,"YYYYMMDD")&amp;TEXT(ROW()-13,"0000")))</f>
        <v/>
      </c>
      <c r="B41" s="486" t="n"/>
      <c r="C41" s="378">
        <f>IF(B41="","",IFERROR(VLOOKUP(B41,DB_Customers!$A:$D,4,0),"❌ Account Not Found"))</f>
        <v/>
      </c>
      <c r="D41" s="488">
        <f>IF(B41="","",TODAY())</f>
        <v/>
      </c>
      <c r="E41" s="526" t="n"/>
      <c r="F41" s="378" t="n"/>
      <c r="G41" s="532" t="n"/>
      <c r="H41" s="533" t="n"/>
      <c r="I41" s="529">
        <f>IF(E41="","",E41+(E41*H41/100*G41))</f>
        <v/>
      </c>
      <c r="J41" s="534">
        <f>IFERROR(I41/G41,"")</f>
        <v/>
      </c>
      <c r="K41" s="535">
        <f>IF(B41="","Pending",IF(M41="","⚠️ Enter Code",IF(IFERROR(VLOOKUP(L41,DB_Agents!$B:$I,8,0),"")=M41,"Pending","🔒 BLOCKED — Wrong Code")))</f>
        <v/>
      </c>
      <c r="L41" s="380" t="inlineStr">
        <is>
          <t>Agent 02</t>
        </is>
      </c>
      <c r="M41" s="491" t="n"/>
      <c r="N41" s="494" t="n"/>
    </row>
    <row r="42" ht="15" customHeight="1" s="341">
      <c r="A42" s="499">
        <f>IF(B42="","",IF(C42="❌ Account Not Found","INVALID","LN"&amp;TEXT(D42,"YYYYMMDD")&amp;TEXT(ROW()-13,"0000")))</f>
        <v/>
      </c>
      <c r="B42" s="495" t="n"/>
      <c r="C42" s="382">
        <f>IF(B42="","",IFERROR(VLOOKUP(B42,DB_Customers!$A:$D,4,0),"❌ Account Not Found"))</f>
        <v/>
      </c>
      <c r="D42" s="497">
        <f>IF(B42="","",TODAY())</f>
        <v/>
      </c>
      <c r="E42" s="526" t="n"/>
      <c r="F42" s="382" t="n"/>
      <c r="G42" s="527" t="n"/>
      <c r="H42" s="528" t="n"/>
      <c r="I42" s="529">
        <f>IF(E42="","",E42+(E42*H42/100*G42))</f>
        <v/>
      </c>
      <c r="J42" s="530">
        <f>IFERROR(I42/G42,"")</f>
        <v/>
      </c>
      <c r="K42" s="531">
        <f>IF(B42="","Pending",IF(M42="","⚠️ Enter Code",IF(IFERROR(VLOOKUP(L42,DB_Agents!$B:$I,8,0),"")=M42,"Pending","🔒 BLOCKED — Wrong Code")))</f>
        <v/>
      </c>
      <c r="L42" s="384" t="inlineStr">
        <is>
          <t>Agent 02</t>
        </is>
      </c>
      <c r="M42" s="491" t="n"/>
      <c r="N42" s="501" t="n"/>
    </row>
    <row r="43" ht="15" customHeight="1" s="341">
      <c r="A43" s="492">
        <f>IF(B43="","",IF(C43="❌ Account Not Found","INVALID","LN"&amp;TEXT(D43,"YYYYMMDD")&amp;TEXT(ROW()-13,"0000")))</f>
        <v/>
      </c>
      <c r="B43" s="486" t="n"/>
      <c r="C43" s="378">
        <f>IF(B43="","",IFERROR(VLOOKUP(B43,DB_Customers!$A:$D,4,0),"❌ Account Not Found"))</f>
        <v/>
      </c>
      <c r="D43" s="488">
        <f>IF(B43="","",TODAY())</f>
        <v/>
      </c>
      <c r="E43" s="526" t="n"/>
      <c r="F43" s="378" t="n"/>
      <c r="G43" s="532" t="n"/>
      <c r="H43" s="533" t="n"/>
      <c r="I43" s="529">
        <f>IF(E43="","",E43+(E43*H43/100*G43))</f>
        <v/>
      </c>
      <c r="J43" s="534">
        <f>IFERROR(I43/G43,"")</f>
        <v/>
      </c>
      <c r="K43" s="535">
        <f>IF(B43="","Pending",IF(M43="","⚠️ Enter Code",IF(IFERROR(VLOOKUP(L43,DB_Agents!$B:$I,8,0),"")=M43,"Pending","🔒 BLOCKED — Wrong Code")))</f>
        <v/>
      </c>
      <c r="L43" s="380" t="inlineStr">
        <is>
          <t>Agent 02</t>
        </is>
      </c>
      <c r="M43" s="491" t="n"/>
      <c r="N43" s="494" t="n"/>
    </row>
    <row r="44" ht="15" customHeight="1" s="341">
      <c r="A44" s="499">
        <f>IF(B44="","",IF(C44="❌ Account Not Found","INVALID","LN"&amp;TEXT(D44,"YYYYMMDD")&amp;TEXT(ROW()-13,"0000")))</f>
        <v/>
      </c>
      <c r="B44" s="495" t="n"/>
      <c r="C44" s="382">
        <f>IF(B44="","",IFERROR(VLOOKUP(B44,DB_Customers!$A:$D,4,0),"❌ Account Not Found"))</f>
        <v/>
      </c>
      <c r="D44" s="497">
        <f>IF(B44="","",TODAY())</f>
        <v/>
      </c>
      <c r="E44" s="526" t="n"/>
      <c r="F44" s="382" t="n"/>
      <c r="G44" s="527" t="n"/>
      <c r="H44" s="528" t="n"/>
      <c r="I44" s="529">
        <f>IF(E44="","",E44+(E44*H44/100*G44))</f>
        <v/>
      </c>
      <c r="J44" s="530">
        <f>IFERROR(I44/G44,"")</f>
        <v/>
      </c>
      <c r="K44" s="531">
        <f>IF(B44="","Pending",IF(M44="","⚠️ Enter Code",IF(IFERROR(VLOOKUP(L44,DB_Agents!$B:$I,8,0),"")=M44,"Pending","🔒 BLOCKED — Wrong Code")))</f>
        <v/>
      </c>
      <c r="L44" s="384" t="inlineStr">
        <is>
          <t>Agent 02</t>
        </is>
      </c>
      <c r="M44" s="491" t="n"/>
      <c r="N44" s="501" t="n"/>
    </row>
    <row r="45" ht="15" customHeight="1" s="341">
      <c r="A45" s="492">
        <f>IF(B45="","",IF(C45="❌ Account Not Found","INVALID","LN"&amp;TEXT(D45,"YYYYMMDD")&amp;TEXT(ROW()-13,"0000")))</f>
        <v/>
      </c>
      <c r="B45" s="486" t="n"/>
      <c r="C45" s="378">
        <f>IF(B45="","",IFERROR(VLOOKUP(B45,DB_Customers!$A:$D,4,0),"❌ Account Not Found"))</f>
        <v/>
      </c>
      <c r="D45" s="488">
        <f>IF(B45="","",TODAY())</f>
        <v/>
      </c>
      <c r="E45" s="526" t="n"/>
      <c r="F45" s="378" t="n"/>
      <c r="G45" s="532" t="n"/>
      <c r="H45" s="533" t="n"/>
      <c r="I45" s="529">
        <f>IF(E45="","",E45+(E45*H45/100*G45))</f>
        <v/>
      </c>
      <c r="J45" s="534">
        <f>IFERROR(I45/G45,"")</f>
        <v/>
      </c>
      <c r="K45" s="535">
        <f>IF(B45="","Pending",IF(M45="","⚠️ Enter Code",IF(IFERROR(VLOOKUP(L45,DB_Agents!$B:$I,8,0),"")=M45,"Pending","🔒 BLOCKED — Wrong Code")))</f>
        <v/>
      </c>
      <c r="L45" s="380" t="inlineStr">
        <is>
          <t>Agent 02</t>
        </is>
      </c>
      <c r="M45" s="491" t="n"/>
      <c r="N45" s="494" t="n"/>
    </row>
    <row r="46" ht="15" customHeight="1" s="341">
      <c r="A46" s="499">
        <f>IF(B46="","",IF(C46="❌ Account Not Found","INVALID","LN"&amp;TEXT(D46,"YYYYMMDD")&amp;TEXT(ROW()-13,"0000")))</f>
        <v/>
      </c>
      <c r="B46" s="495" t="n"/>
      <c r="C46" s="382">
        <f>IF(B46="","",IFERROR(VLOOKUP(B46,DB_Customers!$A:$D,4,0),"❌ Account Not Found"))</f>
        <v/>
      </c>
      <c r="D46" s="497">
        <f>IF(B46="","",TODAY())</f>
        <v/>
      </c>
      <c r="E46" s="526" t="n"/>
      <c r="F46" s="382" t="n"/>
      <c r="G46" s="527" t="n"/>
      <c r="H46" s="528" t="n"/>
      <c r="I46" s="529">
        <f>IF(E46="","",E46+(E46*H46/100*G46))</f>
        <v/>
      </c>
      <c r="J46" s="530">
        <f>IFERROR(I46/G46,"")</f>
        <v/>
      </c>
      <c r="K46" s="531">
        <f>IF(B46="","Pending",IF(M46="","⚠️ Enter Code",IF(IFERROR(VLOOKUP(L46,DB_Agents!$B:$I,8,0),"")=M46,"Pending","🔒 BLOCKED — Wrong Code")))</f>
        <v/>
      </c>
      <c r="L46" s="384" t="inlineStr">
        <is>
          <t>Agent 02</t>
        </is>
      </c>
      <c r="M46" s="491" t="n"/>
      <c r="N46" s="501" t="n"/>
    </row>
    <row r="47" ht="15" customHeight="1" s="341">
      <c r="A47" s="492">
        <f>IF(B47="","",IF(C47="❌ Account Not Found","INVALID","LN"&amp;TEXT(D47,"YYYYMMDD")&amp;TEXT(ROW()-13,"0000")))</f>
        <v/>
      </c>
      <c r="B47" s="486" t="n"/>
      <c r="C47" s="378">
        <f>IF(B47="","",IFERROR(VLOOKUP(B47,DB_Customers!$A:$D,4,0),"❌ Account Not Found"))</f>
        <v/>
      </c>
      <c r="D47" s="488">
        <f>IF(B47="","",TODAY())</f>
        <v/>
      </c>
      <c r="E47" s="526" t="n"/>
      <c r="F47" s="378" t="n"/>
      <c r="G47" s="532" t="n"/>
      <c r="H47" s="533" t="n"/>
      <c r="I47" s="529">
        <f>IF(E47="","",E47+(E47*H47/100*G47))</f>
        <v/>
      </c>
      <c r="J47" s="534">
        <f>IFERROR(I47/G47,"")</f>
        <v/>
      </c>
      <c r="K47" s="535">
        <f>IF(B47="","Pending",IF(M47="","⚠️ Enter Code",IF(IFERROR(VLOOKUP(L47,DB_Agents!$B:$I,8,0),"")=M47,"Pending","🔒 BLOCKED — Wrong Code")))</f>
        <v/>
      </c>
      <c r="L47" s="380" t="inlineStr">
        <is>
          <t>Agent 02</t>
        </is>
      </c>
      <c r="M47" s="491" t="n"/>
      <c r="N47" s="494" t="n"/>
    </row>
    <row r="48" ht="15" customHeight="1" s="341">
      <c r="A48" s="499">
        <f>IF(B48="","",IF(C48="❌ Account Not Found","INVALID","LN"&amp;TEXT(D48,"YYYYMMDD")&amp;TEXT(ROW()-13,"0000")))</f>
        <v/>
      </c>
      <c r="B48" s="495" t="n"/>
      <c r="C48" s="382">
        <f>IF(B48="","",IFERROR(VLOOKUP(B48,DB_Customers!$A:$D,4,0),"❌ Account Not Found"))</f>
        <v/>
      </c>
      <c r="D48" s="497">
        <f>IF(B48="","",TODAY())</f>
        <v/>
      </c>
      <c r="E48" s="526" t="n"/>
      <c r="F48" s="382" t="n"/>
      <c r="G48" s="527" t="n"/>
      <c r="H48" s="528" t="n"/>
      <c r="I48" s="529">
        <f>IF(E48="","",E48+(E48*H48/100*G48))</f>
        <v/>
      </c>
      <c r="J48" s="530">
        <f>IFERROR(I48/G48,"")</f>
        <v/>
      </c>
      <c r="K48" s="531">
        <f>IF(B48="","Pending",IF(M48="","⚠️ Enter Code",IF(IFERROR(VLOOKUP(L48,DB_Agents!$B:$I,8,0),"")=M48,"Pending","🔒 BLOCKED — Wrong Code")))</f>
        <v/>
      </c>
      <c r="L48" s="384" t="inlineStr">
        <is>
          <t>Agent 02</t>
        </is>
      </c>
      <c r="M48" s="491" t="n"/>
      <c r="N48" s="501" t="n"/>
    </row>
    <row r="49" ht="15" customHeight="1" s="341">
      <c r="A49" s="492">
        <f>IF(B49="","",IF(C49="❌ Account Not Found","INVALID","LN"&amp;TEXT(D49,"YYYYMMDD")&amp;TEXT(ROW()-13,"0000")))</f>
        <v/>
      </c>
      <c r="B49" s="486" t="n"/>
      <c r="C49" s="378">
        <f>IF(B49="","",IFERROR(VLOOKUP(B49,DB_Customers!$A:$D,4,0),"❌ Account Not Found"))</f>
        <v/>
      </c>
      <c r="D49" s="488">
        <f>IF(B49="","",TODAY())</f>
        <v/>
      </c>
      <c r="E49" s="526" t="n"/>
      <c r="F49" s="378" t="n"/>
      <c r="G49" s="532" t="n"/>
      <c r="H49" s="533" t="n"/>
      <c r="I49" s="529">
        <f>IF(E49="","",E49+(E49*H49/100*G49))</f>
        <v/>
      </c>
      <c r="J49" s="534">
        <f>IFERROR(I49/G49,"")</f>
        <v/>
      </c>
      <c r="K49" s="535">
        <f>IF(B49="","Pending",IF(M49="","⚠️ Enter Code",IF(IFERROR(VLOOKUP(L49,DB_Agents!$B:$I,8,0),"")=M49,"Pending","🔒 BLOCKED — Wrong Code")))</f>
        <v/>
      </c>
      <c r="L49" s="380" t="inlineStr">
        <is>
          <t>Agent 02</t>
        </is>
      </c>
      <c r="M49" s="491" t="n"/>
      <c r="N49" s="494" t="n"/>
    </row>
    <row r="50" ht="15" customHeight="1" s="341">
      <c r="A50" s="499">
        <f>IF(B50="","",IF(C50="❌ Account Not Found","INVALID","LN"&amp;TEXT(D50,"YYYYMMDD")&amp;TEXT(ROW()-13,"0000")))</f>
        <v/>
      </c>
      <c r="B50" s="495" t="n"/>
      <c r="C50" s="382">
        <f>IF(B50="","",IFERROR(VLOOKUP(B50,DB_Customers!$A:$D,4,0),"❌ Account Not Found"))</f>
        <v/>
      </c>
      <c r="D50" s="497">
        <f>IF(B50="","",TODAY())</f>
        <v/>
      </c>
      <c r="E50" s="526" t="n"/>
      <c r="F50" s="382" t="n"/>
      <c r="G50" s="527" t="n"/>
      <c r="H50" s="528" t="n"/>
      <c r="I50" s="529">
        <f>IF(E50="","",E50+(E50*H50/100*G50))</f>
        <v/>
      </c>
      <c r="J50" s="530">
        <f>IFERROR(I50/G50,"")</f>
        <v/>
      </c>
      <c r="K50" s="531">
        <f>IF(B50="","Pending",IF(M50="","⚠️ Enter Code",IF(IFERROR(VLOOKUP(L50,DB_Agents!$B:$I,8,0),"")=M50,"Pending","🔒 BLOCKED — Wrong Code")))</f>
        <v/>
      </c>
      <c r="L50" s="384" t="inlineStr">
        <is>
          <t>Agent 02</t>
        </is>
      </c>
      <c r="M50" s="491" t="n"/>
      <c r="N50" s="501" t="n"/>
    </row>
    <row r="51" ht="15" customHeight="1" s="341">
      <c r="A51" s="492">
        <f>IF(B51="","",IF(C51="❌ Account Not Found","INVALID","LN"&amp;TEXT(D51,"YYYYMMDD")&amp;TEXT(ROW()-13,"0000")))</f>
        <v/>
      </c>
      <c r="B51" s="486" t="n"/>
      <c r="C51" s="378">
        <f>IF(B51="","",IFERROR(VLOOKUP(B51,DB_Customers!$A:$D,4,0),"❌ Account Not Found"))</f>
        <v/>
      </c>
      <c r="D51" s="488">
        <f>IF(B51="","",TODAY())</f>
        <v/>
      </c>
      <c r="E51" s="526" t="n"/>
      <c r="F51" s="378" t="n"/>
      <c r="G51" s="532" t="n"/>
      <c r="H51" s="533" t="n"/>
      <c r="I51" s="529">
        <f>IF(E51="","",E51+(E51*H51/100*G51))</f>
        <v/>
      </c>
      <c r="J51" s="534">
        <f>IFERROR(I51/G51,"")</f>
        <v/>
      </c>
      <c r="K51" s="535">
        <f>IF(B51="","Pending",IF(M51="","⚠️ Enter Code",IF(IFERROR(VLOOKUP(L51,DB_Agents!$B:$I,8,0),"")=M51,"Pending","🔒 BLOCKED — Wrong Code")))</f>
        <v/>
      </c>
      <c r="L51" s="380" t="inlineStr">
        <is>
          <t>Agent 02</t>
        </is>
      </c>
      <c r="M51" s="491" t="n"/>
      <c r="N51" s="494" t="n"/>
    </row>
    <row r="52" ht="15" customHeight="1" s="341">
      <c r="A52" s="499">
        <f>IF(B52="","",IF(C52="❌ Account Not Found","INVALID","LN"&amp;TEXT(D52,"YYYYMMDD")&amp;TEXT(ROW()-13,"0000")))</f>
        <v/>
      </c>
      <c r="B52" s="495" t="n"/>
      <c r="C52" s="382">
        <f>IF(B52="","",IFERROR(VLOOKUP(B52,DB_Customers!$A:$D,4,0),"❌ Account Not Found"))</f>
        <v/>
      </c>
      <c r="D52" s="497">
        <f>IF(B52="","",TODAY())</f>
        <v/>
      </c>
      <c r="E52" s="526" t="n"/>
      <c r="F52" s="382" t="n"/>
      <c r="G52" s="527" t="n"/>
      <c r="H52" s="528" t="n"/>
      <c r="I52" s="529">
        <f>IF(E52="","",E52+(E52*H52/100*G52))</f>
        <v/>
      </c>
      <c r="J52" s="530">
        <f>IFERROR(I52/G52,"")</f>
        <v/>
      </c>
      <c r="K52" s="531">
        <f>IF(B52="","Pending",IF(M52="","⚠️ Enter Code",IF(IFERROR(VLOOKUP(L52,DB_Agents!$B:$I,8,0),"")=M52,"Pending","🔒 BLOCKED — Wrong Code")))</f>
        <v/>
      </c>
      <c r="L52" s="384" t="inlineStr">
        <is>
          <t>Agent 02</t>
        </is>
      </c>
      <c r="M52" s="491" t="n"/>
      <c r="N52" s="501" t="n"/>
    </row>
    <row r="53" ht="15" customHeight="1" s="341">
      <c r="A53" s="492">
        <f>IF(B53="","",IF(C53="❌ Account Not Found","INVALID","LN"&amp;TEXT(D53,"YYYYMMDD")&amp;TEXT(ROW()-13,"0000")))</f>
        <v/>
      </c>
      <c r="B53" s="486" t="n"/>
      <c r="C53" s="378">
        <f>IF(B53="","",IFERROR(VLOOKUP(B53,DB_Customers!$A:$D,4,0),"❌ Account Not Found"))</f>
        <v/>
      </c>
      <c r="D53" s="488">
        <f>IF(B53="","",TODAY())</f>
        <v/>
      </c>
      <c r="E53" s="526" t="n"/>
      <c r="F53" s="378" t="n"/>
      <c r="G53" s="532" t="n"/>
      <c r="H53" s="533" t="n"/>
      <c r="I53" s="529">
        <f>IF(E53="","",E53+(E53*H53/100*G53))</f>
        <v/>
      </c>
      <c r="J53" s="534">
        <f>IFERROR(I53/G53,"")</f>
        <v/>
      </c>
      <c r="K53" s="535">
        <f>IF(B53="","Pending",IF(M53="","⚠️ Enter Code",IF(IFERROR(VLOOKUP(L53,DB_Agents!$B:$I,8,0),"")=M53,"Pending","🔒 BLOCKED — Wrong Code")))</f>
        <v/>
      </c>
      <c r="L53" s="380" t="inlineStr">
        <is>
          <t>Agent 02</t>
        </is>
      </c>
      <c r="M53" s="491" t="n"/>
      <c r="N53" s="494" t="n"/>
    </row>
    <row r="54" ht="15" customHeight="1" s="341">
      <c r="A54" s="499">
        <f>IF(B54="","",IF(C54="❌ Account Not Found","INVALID","LN"&amp;TEXT(D54,"YYYYMMDD")&amp;TEXT(ROW()-13,"0000")))</f>
        <v/>
      </c>
      <c r="B54" s="495" t="n"/>
      <c r="C54" s="382">
        <f>IF(B54="","",IFERROR(VLOOKUP(B54,DB_Customers!$A:$D,4,0),"❌ Account Not Found"))</f>
        <v/>
      </c>
      <c r="D54" s="497">
        <f>IF(B54="","",TODAY())</f>
        <v/>
      </c>
      <c r="E54" s="526" t="n"/>
      <c r="F54" s="382" t="n"/>
      <c r="G54" s="527" t="n"/>
      <c r="H54" s="528" t="n"/>
      <c r="I54" s="529">
        <f>IF(E54="","",E54+(E54*H54/100*G54))</f>
        <v/>
      </c>
      <c r="J54" s="530">
        <f>IFERROR(I54/G54,"")</f>
        <v/>
      </c>
      <c r="K54" s="531">
        <f>IF(B54="","Pending",IF(M54="","⚠️ Enter Code",IF(IFERROR(VLOOKUP(L54,DB_Agents!$B:$I,8,0),"")=M54,"Pending","🔒 BLOCKED — Wrong Code")))</f>
        <v/>
      </c>
      <c r="L54" s="384" t="inlineStr">
        <is>
          <t>Agent 02</t>
        </is>
      </c>
      <c r="M54" s="491" t="n"/>
      <c r="N54" s="501" t="n"/>
    </row>
    <row r="55" ht="15" customHeight="1" s="341">
      <c r="A55" s="492">
        <f>IF(B55="","",IF(C55="❌ Account Not Found","INVALID","LN"&amp;TEXT(D55,"YYYYMMDD")&amp;TEXT(ROW()-13,"0000")))</f>
        <v/>
      </c>
      <c r="B55" s="486" t="n"/>
      <c r="C55" s="378">
        <f>IF(B55="","",IFERROR(VLOOKUP(B55,DB_Customers!$A:$D,4,0),"❌ Account Not Found"))</f>
        <v/>
      </c>
      <c r="D55" s="488">
        <f>IF(B55="","",TODAY())</f>
        <v/>
      </c>
      <c r="E55" s="526" t="n"/>
      <c r="F55" s="378" t="n"/>
      <c r="G55" s="532" t="n"/>
      <c r="H55" s="533" t="n"/>
      <c r="I55" s="529">
        <f>IF(E55="","",E55+(E55*H55/100*G55))</f>
        <v/>
      </c>
      <c r="J55" s="534">
        <f>IFERROR(I55/G55,"")</f>
        <v/>
      </c>
      <c r="K55" s="535">
        <f>IF(B55="","Pending",IF(M55="","⚠️ Enter Code",IF(IFERROR(VLOOKUP(L55,DB_Agents!$B:$I,8,0),"")=M55,"Pending","🔒 BLOCKED — Wrong Code")))</f>
        <v/>
      </c>
      <c r="L55" s="380" t="inlineStr">
        <is>
          <t>Agent 02</t>
        </is>
      </c>
      <c r="M55" s="491" t="n"/>
      <c r="N55" s="494" t="n"/>
    </row>
    <row r="56" ht="15" customHeight="1" s="341">
      <c r="A56" s="499">
        <f>IF(B56="","",IF(C56="❌ Account Not Found","INVALID","LN"&amp;TEXT(D56,"YYYYMMDD")&amp;TEXT(ROW()-13,"0000")))</f>
        <v/>
      </c>
      <c r="B56" s="495" t="n"/>
      <c r="C56" s="382">
        <f>IF(B56="","",IFERROR(VLOOKUP(B56,DB_Customers!$A:$D,4,0),"❌ Account Not Found"))</f>
        <v/>
      </c>
      <c r="D56" s="497">
        <f>IF(B56="","",TODAY())</f>
        <v/>
      </c>
      <c r="E56" s="526" t="n"/>
      <c r="F56" s="382" t="n"/>
      <c r="G56" s="527" t="n"/>
      <c r="H56" s="528" t="n"/>
      <c r="I56" s="529">
        <f>IF(E56="","",E56+(E56*H56/100*G56))</f>
        <v/>
      </c>
      <c r="J56" s="530">
        <f>IFERROR(I56/G56,"")</f>
        <v/>
      </c>
      <c r="K56" s="531">
        <f>IF(B56="","Pending",IF(M56="","⚠️ Enter Code",IF(IFERROR(VLOOKUP(L56,DB_Agents!$B:$I,8,0),"")=M56,"Pending","🔒 BLOCKED — Wrong Code")))</f>
        <v/>
      </c>
      <c r="L56" s="384" t="inlineStr">
        <is>
          <t>Agent 02</t>
        </is>
      </c>
      <c r="M56" s="491" t="n"/>
      <c r="N56" s="501" t="n"/>
    </row>
    <row r="57" ht="15" customHeight="1" s="341">
      <c r="A57" s="492">
        <f>IF(B57="","",IF(C57="❌ Account Not Found","INVALID","LN"&amp;TEXT(D57,"YYYYMMDD")&amp;TEXT(ROW()-13,"0000")))</f>
        <v/>
      </c>
      <c r="B57" s="486" t="n"/>
      <c r="C57" s="378">
        <f>IF(B57="","",IFERROR(VLOOKUP(B57,DB_Customers!$A:$D,4,0),"❌ Account Not Found"))</f>
        <v/>
      </c>
      <c r="D57" s="488">
        <f>IF(B57="","",TODAY())</f>
        <v/>
      </c>
      <c r="E57" s="526" t="n"/>
      <c r="F57" s="378" t="n"/>
      <c r="G57" s="532" t="n"/>
      <c r="H57" s="533" t="n"/>
      <c r="I57" s="529">
        <f>IF(E57="","",E57+(E57*H57/100*G57))</f>
        <v/>
      </c>
      <c r="J57" s="534">
        <f>IFERROR(I57/G57,"")</f>
        <v/>
      </c>
      <c r="K57" s="535">
        <f>IF(B57="","Pending",IF(M57="","⚠️ Enter Code",IF(IFERROR(VLOOKUP(L57,DB_Agents!$B:$I,8,0),"")=M57,"Pending","🔒 BLOCKED — Wrong Code")))</f>
        <v/>
      </c>
      <c r="L57" s="380" t="inlineStr">
        <is>
          <t>Agent 02</t>
        </is>
      </c>
      <c r="M57" s="491" t="n"/>
      <c r="N57" s="494" t="n"/>
    </row>
    <row r="58" ht="15" customHeight="1" s="341">
      <c r="A58" s="499">
        <f>IF(B58="","",IF(C58="❌ Account Not Found","INVALID","LN"&amp;TEXT(D58,"YYYYMMDD")&amp;TEXT(ROW()-13,"0000")))</f>
        <v/>
      </c>
      <c r="B58" s="495" t="n"/>
      <c r="C58" s="382">
        <f>IF(B58="","",IFERROR(VLOOKUP(B58,DB_Customers!$A:$D,4,0),"❌ Account Not Found"))</f>
        <v/>
      </c>
      <c r="D58" s="497">
        <f>IF(B58="","",TODAY())</f>
        <v/>
      </c>
      <c r="E58" s="526" t="n"/>
      <c r="F58" s="382" t="n"/>
      <c r="G58" s="527" t="n"/>
      <c r="H58" s="528" t="n"/>
      <c r="I58" s="529">
        <f>IF(E58="","",E58+(E58*H58/100*G58))</f>
        <v/>
      </c>
      <c r="J58" s="530">
        <f>IFERROR(I58/G58,"")</f>
        <v/>
      </c>
      <c r="K58" s="531">
        <f>IF(B58="","Pending",IF(M58="","⚠️ Enter Code",IF(IFERROR(VLOOKUP(L58,DB_Agents!$B:$I,8,0),"")=M58,"Pending","🔒 BLOCKED — Wrong Code")))</f>
        <v/>
      </c>
      <c r="L58" s="384" t="inlineStr">
        <is>
          <t>Agent 02</t>
        </is>
      </c>
      <c r="M58" s="491" t="n"/>
      <c r="N58" s="501" t="n"/>
    </row>
    <row r="59" ht="15" customHeight="1" s="341">
      <c r="A59" s="492">
        <f>IF(B59="","",IF(C59="❌ Account Not Found","INVALID","LN"&amp;TEXT(D59,"YYYYMMDD")&amp;TEXT(ROW()-13,"0000")))</f>
        <v/>
      </c>
      <c r="B59" s="486" t="n"/>
      <c r="C59" s="378">
        <f>IF(B59="","",IFERROR(VLOOKUP(B59,DB_Customers!$A:$D,4,0),"❌ Account Not Found"))</f>
        <v/>
      </c>
      <c r="D59" s="488">
        <f>IF(B59="","",TODAY())</f>
        <v/>
      </c>
      <c r="E59" s="526" t="n"/>
      <c r="F59" s="378" t="n"/>
      <c r="G59" s="532" t="n"/>
      <c r="H59" s="533" t="n"/>
      <c r="I59" s="529">
        <f>IF(E59="","",E59+(E59*H59/100*G59))</f>
        <v/>
      </c>
      <c r="J59" s="534">
        <f>IFERROR(I59/G59,"")</f>
        <v/>
      </c>
      <c r="K59" s="535">
        <f>IF(B59="","Pending",IF(M59="","⚠️ Enter Code",IF(IFERROR(VLOOKUP(L59,DB_Agents!$B:$I,8,0),"")=M59,"Pending","🔒 BLOCKED — Wrong Code")))</f>
        <v/>
      </c>
      <c r="L59" s="380" t="inlineStr">
        <is>
          <t>Agent 02</t>
        </is>
      </c>
      <c r="M59" s="491" t="n"/>
      <c r="N59" s="494" t="n"/>
    </row>
    <row r="60" ht="15" customHeight="1" s="341">
      <c r="A60" s="499">
        <f>IF(B60="","",IF(C60="❌ Account Not Found","INVALID","LN"&amp;TEXT(D60,"YYYYMMDD")&amp;TEXT(ROW()-13,"0000")))</f>
        <v/>
      </c>
      <c r="B60" s="495" t="n"/>
      <c r="C60" s="382">
        <f>IF(B60="","",IFERROR(VLOOKUP(B60,DB_Customers!$A:$D,4,0),"❌ Account Not Found"))</f>
        <v/>
      </c>
      <c r="D60" s="497">
        <f>IF(B60="","",TODAY())</f>
        <v/>
      </c>
      <c r="E60" s="526" t="n"/>
      <c r="F60" s="382" t="n"/>
      <c r="G60" s="527" t="n"/>
      <c r="H60" s="528" t="n"/>
      <c r="I60" s="529">
        <f>IF(E60="","",E60+(E60*H60/100*G60))</f>
        <v/>
      </c>
      <c r="J60" s="530">
        <f>IFERROR(I60/G60,"")</f>
        <v/>
      </c>
      <c r="K60" s="531">
        <f>IF(B60="","Pending",IF(M60="","⚠️ Enter Code",IF(IFERROR(VLOOKUP(L60,DB_Agents!$B:$I,8,0),"")=M60,"Pending","🔒 BLOCKED — Wrong Code")))</f>
        <v/>
      </c>
      <c r="L60" s="384" t="inlineStr">
        <is>
          <t>Agent 02</t>
        </is>
      </c>
      <c r="M60" s="491" t="n"/>
      <c r="N60" s="501" t="n"/>
    </row>
    <row r="61" ht="15" customHeight="1" s="341">
      <c r="A61" s="492">
        <f>IF(B61="","",IF(C61="❌ Account Not Found","INVALID","LN"&amp;TEXT(D61,"YYYYMMDD")&amp;TEXT(ROW()-13,"0000")))</f>
        <v/>
      </c>
      <c r="B61" s="486" t="n"/>
      <c r="C61" s="378">
        <f>IF(B61="","",IFERROR(VLOOKUP(B61,DB_Customers!$A:$D,4,0),"❌ Account Not Found"))</f>
        <v/>
      </c>
      <c r="D61" s="488">
        <f>IF(B61="","",TODAY())</f>
        <v/>
      </c>
      <c r="E61" s="526" t="n"/>
      <c r="F61" s="378" t="n"/>
      <c r="G61" s="532" t="n"/>
      <c r="H61" s="533" t="n"/>
      <c r="I61" s="529">
        <f>IF(E61="","",E61+(E61*H61/100*G61))</f>
        <v/>
      </c>
      <c r="J61" s="534">
        <f>IFERROR(I61/G61,"")</f>
        <v/>
      </c>
      <c r="K61" s="535">
        <f>IF(B61="","Pending",IF(M61="","⚠️ Enter Code",IF(IFERROR(VLOOKUP(L61,DB_Agents!$B:$I,8,0),"")=M61,"Pending","🔒 BLOCKED — Wrong Code")))</f>
        <v/>
      </c>
      <c r="L61" s="380" t="inlineStr">
        <is>
          <t>Agent 02</t>
        </is>
      </c>
      <c r="M61" s="491" t="n"/>
      <c r="N61" s="494" t="n"/>
    </row>
    <row r="62" ht="15" customHeight="1" s="341">
      <c r="A62" s="499">
        <f>IF(B62="","",IF(C62="❌ Account Not Found","INVALID","LN"&amp;TEXT(D62,"YYYYMMDD")&amp;TEXT(ROW()-13,"0000")))</f>
        <v/>
      </c>
      <c r="B62" s="495" t="n"/>
      <c r="C62" s="382">
        <f>IF(B62="","",IFERROR(VLOOKUP(B62,DB_Customers!$A:$D,4,0),"❌ Account Not Found"))</f>
        <v/>
      </c>
      <c r="D62" s="497">
        <f>IF(B62="","",TODAY())</f>
        <v/>
      </c>
      <c r="E62" s="526" t="n"/>
      <c r="F62" s="382" t="n"/>
      <c r="G62" s="527" t="n"/>
      <c r="H62" s="528" t="n"/>
      <c r="I62" s="529">
        <f>IF(E62="","",E62+(E62*H62/100*G62))</f>
        <v/>
      </c>
      <c r="J62" s="530">
        <f>IFERROR(I62/G62,"")</f>
        <v/>
      </c>
      <c r="K62" s="531">
        <f>IF(B62="","Pending",IF(M62="","⚠️ Enter Code",IF(IFERROR(VLOOKUP(L62,DB_Agents!$B:$I,8,0),"")=M62,"Pending","🔒 BLOCKED — Wrong Code")))</f>
        <v/>
      </c>
      <c r="L62" s="384" t="inlineStr">
        <is>
          <t>Agent 02</t>
        </is>
      </c>
      <c r="M62" s="491" t="n"/>
      <c r="N62" s="501" t="n"/>
    </row>
    <row r="63" ht="15" customHeight="1" s="341">
      <c r="A63" s="492">
        <f>IF(B63="","",IF(C63="❌ Account Not Found","INVALID","LN"&amp;TEXT(D63,"YYYYMMDD")&amp;TEXT(ROW()-13,"0000")))</f>
        <v/>
      </c>
      <c r="B63" s="486" t="n"/>
      <c r="C63" s="378">
        <f>IF(B63="","",IFERROR(VLOOKUP(B63,DB_Customers!$A:$D,4,0),"❌ Account Not Found"))</f>
        <v/>
      </c>
      <c r="D63" s="488">
        <f>IF(B63="","",TODAY())</f>
        <v/>
      </c>
      <c r="E63" s="526" t="n"/>
      <c r="F63" s="378" t="n"/>
      <c r="G63" s="532" t="n"/>
      <c r="H63" s="533" t="n"/>
      <c r="I63" s="529">
        <f>IF(E63="","",E63+(E63*H63/100*G63))</f>
        <v/>
      </c>
      <c r="J63" s="534">
        <f>IFERROR(I63/G63,"")</f>
        <v/>
      </c>
      <c r="K63" s="535">
        <f>IF(B63="","Pending",IF(M63="","⚠️ Enter Code",IF(IFERROR(VLOOKUP(L63,DB_Agents!$B:$I,8,0),"")=M63,"Pending","🔒 BLOCKED — Wrong Code")))</f>
        <v/>
      </c>
      <c r="L63" s="380" t="inlineStr">
        <is>
          <t>Agent 02</t>
        </is>
      </c>
      <c r="M63" s="491" t="n"/>
      <c r="N63" s="494" t="n"/>
    </row>
    <row r="64" ht="15" customHeight="1" s="341">
      <c r="A64" s="499">
        <f>IF(B64="","",IF(C64="❌ Account Not Found","INVALID","LN"&amp;TEXT(D64,"YYYYMMDD")&amp;TEXT(ROW()-13,"0000")))</f>
        <v/>
      </c>
      <c r="B64" s="495" t="n"/>
      <c r="C64" s="382">
        <f>IF(B64="","",IFERROR(VLOOKUP(B64,DB_Customers!$A:$D,4,0),"❌ Account Not Found"))</f>
        <v/>
      </c>
      <c r="D64" s="497">
        <f>IF(B64="","",TODAY())</f>
        <v/>
      </c>
      <c r="E64" s="526" t="n"/>
      <c r="F64" s="382" t="n"/>
      <c r="G64" s="527" t="n"/>
      <c r="H64" s="528" t="n"/>
      <c r="I64" s="529">
        <f>IF(E64="","",E64+(E64*H64/100*G64))</f>
        <v/>
      </c>
      <c r="J64" s="530">
        <f>IFERROR(I64/G64,"")</f>
        <v/>
      </c>
      <c r="K64" s="531">
        <f>IF(B64="","Pending",IF(M64="","⚠️ Enter Code",IF(IFERROR(VLOOKUP(L64,DB_Agents!$B:$I,8,0),"")=M64,"Pending","🔒 BLOCKED — Wrong Code")))</f>
        <v/>
      </c>
      <c r="L64" s="384" t="inlineStr">
        <is>
          <t>Agent 02</t>
        </is>
      </c>
      <c r="M64" s="491" t="n"/>
      <c r="N64" s="501" t="n"/>
    </row>
    <row r="65" ht="15" customHeight="1" s="341">
      <c r="A65" s="492">
        <f>IF(B65="","",IF(C65="❌ Account Not Found","INVALID","LN"&amp;TEXT(D65,"YYYYMMDD")&amp;TEXT(ROW()-13,"0000")))</f>
        <v/>
      </c>
      <c r="B65" s="486" t="n"/>
      <c r="C65" s="378">
        <f>IF(B65="","",IFERROR(VLOOKUP(B65,DB_Customers!$A:$D,4,0),"❌ Account Not Found"))</f>
        <v/>
      </c>
      <c r="D65" s="488">
        <f>IF(B65="","",TODAY())</f>
        <v/>
      </c>
      <c r="E65" s="526" t="n"/>
      <c r="F65" s="378" t="n"/>
      <c r="G65" s="532" t="n"/>
      <c r="H65" s="533" t="n"/>
      <c r="I65" s="529">
        <f>IF(E65="","",E65+(E65*H65/100*G65))</f>
        <v/>
      </c>
      <c r="J65" s="534">
        <f>IFERROR(I65/G65,"")</f>
        <v/>
      </c>
      <c r="K65" s="535">
        <f>IF(B65="","Pending",IF(M65="","⚠️ Enter Code",IF(IFERROR(VLOOKUP(L65,DB_Agents!$B:$I,8,0),"")=M65,"Pending","🔒 BLOCKED — Wrong Code")))</f>
        <v/>
      </c>
      <c r="L65" s="380" t="inlineStr">
        <is>
          <t>Agent 02</t>
        </is>
      </c>
      <c r="M65" s="491" t="n"/>
      <c r="N65" s="494" t="n"/>
    </row>
    <row r="66" ht="15" customHeight="1" s="341">
      <c r="A66" s="499">
        <f>IF(B66="","",IF(C66="❌ Account Not Found","INVALID","LN"&amp;TEXT(D66,"YYYYMMDD")&amp;TEXT(ROW()-13,"0000")))</f>
        <v/>
      </c>
      <c r="B66" s="495" t="n"/>
      <c r="C66" s="382">
        <f>IF(B66="","",IFERROR(VLOOKUP(B66,DB_Customers!$A:$D,4,0),"❌ Account Not Found"))</f>
        <v/>
      </c>
      <c r="D66" s="497">
        <f>IF(B66="","",TODAY())</f>
        <v/>
      </c>
      <c r="E66" s="526" t="n"/>
      <c r="F66" s="382" t="n"/>
      <c r="G66" s="527" t="n"/>
      <c r="H66" s="528" t="n"/>
      <c r="I66" s="529">
        <f>IF(E66="","",E66+(E66*H66/100*G66))</f>
        <v/>
      </c>
      <c r="J66" s="530">
        <f>IFERROR(I66/G66,"")</f>
        <v/>
      </c>
      <c r="K66" s="531">
        <f>IF(B66="","Pending",IF(M66="","⚠️ Enter Code",IF(IFERROR(VLOOKUP(L66,DB_Agents!$B:$I,8,0),"")=M66,"Pending","🔒 BLOCKED — Wrong Code")))</f>
        <v/>
      </c>
      <c r="L66" s="384" t="inlineStr">
        <is>
          <t>Agent 02</t>
        </is>
      </c>
      <c r="M66" s="491" t="n"/>
      <c r="N66" s="501" t="n"/>
    </row>
    <row r="67" ht="15" customHeight="1" s="341">
      <c r="A67" s="492">
        <f>IF(B67="","",IF(C67="❌ Account Not Found","INVALID","LN"&amp;TEXT(D67,"YYYYMMDD")&amp;TEXT(ROW()-13,"0000")))</f>
        <v/>
      </c>
      <c r="B67" s="486" t="n"/>
      <c r="C67" s="378">
        <f>IF(B67="","",IFERROR(VLOOKUP(B67,DB_Customers!$A:$D,4,0),"❌ Account Not Found"))</f>
        <v/>
      </c>
      <c r="D67" s="488">
        <f>IF(B67="","",TODAY())</f>
        <v/>
      </c>
      <c r="E67" s="526" t="n"/>
      <c r="F67" s="378" t="n"/>
      <c r="G67" s="532" t="n"/>
      <c r="H67" s="533" t="n"/>
      <c r="I67" s="529">
        <f>IF(E67="","",E67+(E67*H67/100*G67))</f>
        <v/>
      </c>
      <c r="J67" s="534">
        <f>IFERROR(I67/G67,"")</f>
        <v/>
      </c>
      <c r="K67" s="535">
        <f>IF(B67="","Pending",IF(M67="","⚠️ Enter Code",IF(IFERROR(VLOOKUP(L67,DB_Agents!$B:$I,8,0),"")=M67,"Pending","🔒 BLOCKED — Wrong Code")))</f>
        <v/>
      </c>
      <c r="L67" s="380" t="inlineStr">
        <is>
          <t>Agent 02</t>
        </is>
      </c>
      <c r="M67" s="491" t="n"/>
      <c r="N67" s="494" t="n"/>
    </row>
    <row r="68" ht="15" customHeight="1" s="341">
      <c r="A68" s="499">
        <f>IF(B68="","",IF(C68="❌ Account Not Found","INVALID","LN"&amp;TEXT(D68,"YYYYMMDD")&amp;TEXT(ROW()-13,"0000")))</f>
        <v/>
      </c>
      <c r="B68" s="495" t="n"/>
      <c r="C68" s="382">
        <f>IF(B68="","",IFERROR(VLOOKUP(B68,DB_Customers!$A:$D,4,0),"❌ Account Not Found"))</f>
        <v/>
      </c>
      <c r="D68" s="497">
        <f>IF(B68="","",TODAY())</f>
        <v/>
      </c>
      <c r="E68" s="526" t="n"/>
      <c r="F68" s="382" t="n"/>
      <c r="G68" s="527" t="n"/>
      <c r="H68" s="528" t="n"/>
      <c r="I68" s="529">
        <f>IF(E68="","",E68+(E68*H68/100*G68))</f>
        <v/>
      </c>
      <c r="J68" s="530">
        <f>IFERROR(I68/G68,"")</f>
        <v/>
      </c>
      <c r="K68" s="531">
        <f>IF(B68="","Pending",IF(M68="","⚠️ Enter Code",IF(IFERROR(VLOOKUP(L68,DB_Agents!$B:$I,8,0),"")=M68,"Pending","🔒 BLOCKED — Wrong Code")))</f>
        <v/>
      </c>
      <c r="L68" s="384" t="inlineStr">
        <is>
          <t>Agent 02</t>
        </is>
      </c>
      <c r="M68" s="491" t="n"/>
      <c r="N68" s="501" t="n"/>
    </row>
    <row r="69" ht="15" customHeight="1" s="341">
      <c r="A69" s="492">
        <f>IF(B69="","",IF(C69="❌ Account Not Found","INVALID","LN"&amp;TEXT(D69,"YYYYMMDD")&amp;TEXT(ROW()-13,"0000")))</f>
        <v/>
      </c>
      <c r="B69" s="486" t="n"/>
      <c r="C69" s="378">
        <f>IF(B69="","",IFERROR(VLOOKUP(B69,DB_Customers!$A:$D,4,0),"❌ Account Not Found"))</f>
        <v/>
      </c>
      <c r="D69" s="488">
        <f>IF(B69="","",TODAY())</f>
        <v/>
      </c>
      <c r="E69" s="526" t="n"/>
      <c r="F69" s="378" t="n"/>
      <c r="G69" s="532" t="n"/>
      <c r="H69" s="533" t="n"/>
      <c r="I69" s="529">
        <f>IF(E69="","",E69+(E69*H69/100*G69))</f>
        <v/>
      </c>
      <c r="J69" s="534">
        <f>IFERROR(I69/G69,"")</f>
        <v/>
      </c>
      <c r="K69" s="535">
        <f>IF(B69="","Pending",IF(M69="","⚠️ Enter Code",IF(IFERROR(VLOOKUP(L69,DB_Agents!$B:$I,8,0),"")=M69,"Pending","🔒 BLOCKED — Wrong Code")))</f>
        <v/>
      </c>
      <c r="L69" s="380" t="inlineStr">
        <is>
          <t>Agent 02</t>
        </is>
      </c>
      <c r="M69" s="491" t="n"/>
      <c r="N69" s="494" t="n"/>
    </row>
    <row r="70" ht="15" customHeight="1" s="341">
      <c r="A70" s="499">
        <f>IF(B70="","",IF(C70="❌ Account Not Found","INVALID","LN"&amp;TEXT(D70,"YYYYMMDD")&amp;TEXT(ROW()-13,"0000")))</f>
        <v/>
      </c>
      <c r="B70" s="495" t="n"/>
      <c r="C70" s="382">
        <f>IF(B70="","",IFERROR(VLOOKUP(B70,DB_Customers!$A:$D,4,0),"❌ Account Not Found"))</f>
        <v/>
      </c>
      <c r="D70" s="497">
        <f>IF(B70="","",TODAY())</f>
        <v/>
      </c>
      <c r="E70" s="526" t="n"/>
      <c r="F70" s="382" t="n"/>
      <c r="G70" s="527" t="n"/>
      <c r="H70" s="528" t="n"/>
      <c r="I70" s="529">
        <f>IF(E70="","",E70+(E70*H70/100*G70))</f>
        <v/>
      </c>
      <c r="J70" s="530">
        <f>IFERROR(I70/G70,"")</f>
        <v/>
      </c>
      <c r="K70" s="531">
        <f>IF(B70="","Pending",IF(M70="","⚠️ Enter Code",IF(IFERROR(VLOOKUP(L70,DB_Agents!$B:$I,8,0),"")=M70,"Pending","🔒 BLOCKED — Wrong Code")))</f>
        <v/>
      </c>
      <c r="L70" s="384" t="inlineStr">
        <is>
          <t>Agent 02</t>
        </is>
      </c>
      <c r="M70" s="491" t="n"/>
      <c r="N70" s="501" t="n"/>
    </row>
    <row r="71" ht="15" customHeight="1" s="341">
      <c r="A71" s="492">
        <f>IF(B71="","",IF(C71="❌ Account Not Found","INVALID","LN"&amp;TEXT(D71,"YYYYMMDD")&amp;TEXT(ROW()-13,"0000")))</f>
        <v/>
      </c>
      <c r="B71" s="486" t="n"/>
      <c r="C71" s="378">
        <f>IF(B71="","",IFERROR(VLOOKUP(B71,DB_Customers!$A:$D,4,0),"❌ Account Not Found"))</f>
        <v/>
      </c>
      <c r="D71" s="488">
        <f>IF(B71="","",TODAY())</f>
        <v/>
      </c>
      <c r="E71" s="526" t="n"/>
      <c r="F71" s="378" t="n"/>
      <c r="G71" s="532" t="n"/>
      <c r="H71" s="533" t="n"/>
      <c r="I71" s="529">
        <f>IF(E71="","",E71+(E71*H71/100*G71))</f>
        <v/>
      </c>
      <c r="J71" s="534">
        <f>IFERROR(I71/G71,"")</f>
        <v/>
      </c>
      <c r="K71" s="535">
        <f>IF(B71="","Pending",IF(M71="","⚠️ Enter Code",IF(IFERROR(VLOOKUP(L71,DB_Agents!$B:$I,8,0),"")=M71,"Pending","🔒 BLOCKED — Wrong Code")))</f>
        <v/>
      </c>
      <c r="L71" s="380" t="inlineStr">
        <is>
          <t>Agent 02</t>
        </is>
      </c>
      <c r="M71" s="491" t="n"/>
      <c r="N71" s="494" t="n"/>
    </row>
    <row r="72" ht="15" customHeight="1" s="341">
      <c r="A72" s="499">
        <f>IF(B72="","",IF(C72="❌ Account Not Found","INVALID","LN"&amp;TEXT(D72,"YYYYMMDD")&amp;TEXT(ROW()-13,"0000")))</f>
        <v/>
      </c>
      <c r="B72" s="495" t="n"/>
      <c r="C72" s="382">
        <f>IF(B72="","",IFERROR(VLOOKUP(B72,DB_Customers!$A:$D,4,0),"❌ Account Not Found"))</f>
        <v/>
      </c>
      <c r="D72" s="497">
        <f>IF(B72="","",TODAY())</f>
        <v/>
      </c>
      <c r="E72" s="526" t="n"/>
      <c r="F72" s="382" t="n"/>
      <c r="G72" s="527" t="n"/>
      <c r="H72" s="528" t="n"/>
      <c r="I72" s="529">
        <f>IF(E72="","",E72+(E72*H72/100*G72))</f>
        <v/>
      </c>
      <c r="J72" s="530">
        <f>IFERROR(I72/G72,"")</f>
        <v/>
      </c>
      <c r="K72" s="531">
        <f>IF(B72="","Pending",IF(M72="","⚠️ Enter Code",IF(IFERROR(VLOOKUP(L72,DB_Agents!$B:$I,8,0),"")=M72,"Pending","🔒 BLOCKED — Wrong Code")))</f>
        <v/>
      </c>
      <c r="L72" s="384" t="inlineStr">
        <is>
          <t>Agent 02</t>
        </is>
      </c>
      <c r="M72" s="491" t="n"/>
      <c r="N72" s="501" t="n"/>
    </row>
    <row r="73" ht="15" customHeight="1" s="341">
      <c r="A73" s="492">
        <f>IF(B73="","",IF(C73="❌ Account Not Found","INVALID","LN"&amp;TEXT(D73,"YYYYMMDD")&amp;TEXT(ROW()-13,"0000")))</f>
        <v/>
      </c>
      <c r="B73" s="486" t="n"/>
      <c r="C73" s="378">
        <f>IF(B73="","",IFERROR(VLOOKUP(B73,DB_Customers!$A:$D,4,0),"❌ Account Not Found"))</f>
        <v/>
      </c>
      <c r="D73" s="488">
        <f>IF(B73="","",TODAY())</f>
        <v/>
      </c>
      <c r="E73" s="526" t="n"/>
      <c r="F73" s="378" t="n"/>
      <c r="G73" s="532" t="n"/>
      <c r="H73" s="533" t="n"/>
      <c r="I73" s="529">
        <f>IF(E73="","",E73+(E73*H73/100*G73))</f>
        <v/>
      </c>
      <c r="J73" s="534">
        <f>IFERROR(I73/G73,"")</f>
        <v/>
      </c>
      <c r="K73" s="535">
        <f>IF(B73="","Pending",IF(M73="","⚠️ Enter Code",IF(IFERROR(VLOOKUP(L73,DB_Agents!$B:$I,8,0),"")=M73,"Pending","🔒 BLOCKED — Wrong Code")))</f>
        <v/>
      </c>
      <c r="L73" s="380" t="inlineStr">
        <is>
          <t>Agent 02</t>
        </is>
      </c>
      <c r="M73" s="491" t="n"/>
      <c r="N73" s="494" t="n"/>
    </row>
    <row r="74" ht="15" customHeight="1" s="341">
      <c r="A74" s="499">
        <f>IF(B74="","",IF(C74="❌ Account Not Found","INVALID","LN"&amp;TEXT(D74,"YYYYMMDD")&amp;TEXT(ROW()-13,"0000")))</f>
        <v/>
      </c>
      <c r="B74" s="495" t="n"/>
      <c r="C74" s="382">
        <f>IF(B74="","",IFERROR(VLOOKUP(B74,DB_Customers!$A:$D,4,0),"❌ Account Not Found"))</f>
        <v/>
      </c>
      <c r="D74" s="497">
        <f>IF(B74="","",TODAY())</f>
        <v/>
      </c>
      <c r="E74" s="526" t="n"/>
      <c r="F74" s="382" t="n"/>
      <c r="G74" s="527" t="n"/>
      <c r="H74" s="528" t="n"/>
      <c r="I74" s="529">
        <f>IF(E74="","",E74+(E74*H74/100*G74))</f>
        <v/>
      </c>
      <c r="J74" s="530">
        <f>IFERROR(I74/G74,"")</f>
        <v/>
      </c>
      <c r="K74" s="531">
        <f>IF(B74="","Pending",IF(M74="","⚠️ Enter Code",IF(IFERROR(VLOOKUP(L74,DB_Agents!$B:$I,8,0),"")=M74,"Pending","🔒 BLOCKED — Wrong Code")))</f>
        <v/>
      </c>
      <c r="L74" s="384" t="inlineStr">
        <is>
          <t>Agent 02</t>
        </is>
      </c>
      <c r="M74" s="491" t="n"/>
      <c r="N74" s="501" t="n"/>
    </row>
    <row r="75" ht="15" customHeight="1" s="341">
      <c r="A75" s="492">
        <f>IF(B75="","",IF(C75="❌ Account Not Found","INVALID","LN"&amp;TEXT(D75,"YYYYMMDD")&amp;TEXT(ROW()-13,"0000")))</f>
        <v/>
      </c>
      <c r="B75" s="486" t="n"/>
      <c r="C75" s="378">
        <f>IF(B75="","",IFERROR(VLOOKUP(B75,DB_Customers!$A:$D,4,0),"❌ Account Not Found"))</f>
        <v/>
      </c>
      <c r="D75" s="488">
        <f>IF(B75="","",TODAY())</f>
        <v/>
      </c>
      <c r="E75" s="526" t="n"/>
      <c r="F75" s="378" t="n"/>
      <c r="G75" s="532" t="n"/>
      <c r="H75" s="533" t="n"/>
      <c r="I75" s="529">
        <f>IF(E75="","",E75+(E75*H75/100*G75))</f>
        <v/>
      </c>
      <c r="J75" s="534">
        <f>IFERROR(I75/G75,"")</f>
        <v/>
      </c>
      <c r="K75" s="535">
        <f>IF(B75="","Pending",IF(M75="","⚠️ Enter Code",IF(IFERROR(VLOOKUP(L75,DB_Agents!$B:$I,8,0),"")=M75,"Pending","🔒 BLOCKED — Wrong Code")))</f>
        <v/>
      </c>
      <c r="L75" s="380" t="inlineStr">
        <is>
          <t>Agent 02</t>
        </is>
      </c>
      <c r="M75" s="491" t="n"/>
      <c r="N75" s="494" t="n"/>
    </row>
    <row r="76" ht="15" customHeight="1" s="341">
      <c r="A76" s="499">
        <f>IF(B76="","",IF(C76="❌ Account Not Found","INVALID","LN"&amp;TEXT(D76,"YYYYMMDD")&amp;TEXT(ROW()-13,"0000")))</f>
        <v/>
      </c>
      <c r="B76" s="495" t="n"/>
      <c r="C76" s="382">
        <f>IF(B76="","",IFERROR(VLOOKUP(B76,DB_Customers!$A:$D,4,0),"❌ Account Not Found"))</f>
        <v/>
      </c>
      <c r="D76" s="497">
        <f>IF(B76="","",TODAY())</f>
        <v/>
      </c>
      <c r="E76" s="526" t="n"/>
      <c r="F76" s="382" t="n"/>
      <c r="G76" s="527" t="n"/>
      <c r="H76" s="528" t="n"/>
      <c r="I76" s="529">
        <f>IF(E76="","",E76+(E76*H76/100*G76))</f>
        <v/>
      </c>
      <c r="J76" s="530">
        <f>IFERROR(I76/G76,"")</f>
        <v/>
      </c>
      <c r="K76" s="531">
        <f>IF(B76="","Pending",IF(M76="","⚠️ Enter Code",IF(IFERROR(VLOOKUP(L76,DB_Agents!$B:$I,8,0),"")=M76,"Pending","🔒 BLOCKED — Wrong Code")))</f>
        <v/>
      </c>
      <c r="L76" s="384" t="inlineStr">
        <is>
          <t>Agent 02</t>
        </is>
      </c>
      <c r="M76" s="491" t="n"/>
      <c r="N76" s="501" t="n"/>
    </row>
    <row r="77" ht="15" customHeight="1" s="341">
      <c r="A77" s="492">
        <f>IF(B77="","",IF(C77="❌ Account Not Found","INVALID","LN"&amp;TEXT(D77,"YYYYMMDD")&amp;TEXT(ROW()-13,"0000")))</f>
        <v/>
      </c>
      <c r="B77" s="486" t="n"/>
      <c r="C77" s="378">
        <f>IF(B77="","",IFERROR(VLOOKUP(B77,DB_Customers!$A:$D,4,0),"❌ Account Not Found"))</f>
        <v/>
      </c>
      <c r="D77" s="488">
        <f>IF(B77="","",TODAY())</f>
        <v/>
      </c>
      <c r="E77" s="526" t="n"/>
      <c r="F77" s="378" t="n"/>
      <c r="G77" s="532" t="n"/>
      <c r="H77" s="533" t="n"/>
      <c r="I77" s="529">
        <f>IF(E77="","",E77+(E77*H77/100*G77))</f>
        <v/>
      </c>
      <c r="J77" s="534">
        <f>IFERROR(I77/G77,"")</f>
        <v/>
      </c>
      <c r="K77" s="535">
        <f>IF(B77="","Pending",IF(M77="","⚠️ Enter Code",IF(IFERROR(VLOOKUP(L77,DB_Agents!$B:$I,8,0),"")=M77,"Pending","🔒 BLOCKED — Wrong Code")))</f>
        <v/>
      </c>
      <c r="L77" s="380" t="inlineStr">
        <is>
          <t>Agent 02</t>
        </is>
      </c>
      <c r="M77" s="491" t="n"/>
      <c r="N77" s="494" t="n"/>
    </row>
    <row r="78" ht="15" customHeight="1" s="341">
      <c r="A78" s="499">
        <f>IF(B78="","",IF(C78="❌ Account Not Found","INVALID","LN"&amp;TEXT(D78,"YYYYMMDD")&amp;TEXT(ROW()-13,"0000")))</f>
        <v/>
      </c>
      <c r="B78" s="495" t="n"/>
      <c r="C78" s="382">
        <f>IF(B78="","",IFERROR(VLOOKUP(B78,DB_Customers!$A:$D,4,0),"❌ Account Not Found"))</f>
        <v/>
      </c>
      <c r="D78" s="497">
        <f>IF(B78="","",TODAY())</f>
        <v/>
      </c>
      <c r="E78" s="526" t="n"/>
      <c r="F78" s="382" t="n"/>
      <c r="G78" s="527" t="n"/>
      <c r="H78" s="528" t="n"/>
      <c r="I78" s="529">
        <f>IF(E78="","",E78+(E78*H78/100*G78))</f>
        <v/>
      </c>
      <c r="J78" s="530">
        <f>IFERROR(I78/G78,"")</f>
        <v/>
      </c>
      <c r="K78" s="531">
        <f>IF(B78="","Pending",IF(M78="","⚠️ Enter Code",IF(IFERROR(VLOOKUP(L78,DB_Agents!$B:$I,8,0),"")=M78,"Pending","🔒 BLOCKED — Wrong Code")))</f>
        <v/>
      </c>
      <c r="L78" s="384" t="inlineStr">
        <is>
          <t>Agent 02</t>
        </is>
      </c>
      <c r="M78" s="491" t="n"/>
      <c r="N78" s="501" t="n"/>
    </row>
    <row r="79" ht="15" customHeight="1" s="341">
      <c r="A79" s="492">
        <f>IF(B79="","",IF(C79="❌ Account Not Found","INVALID","LN"&amp;TEXT(D79,"YYYYMMDD")&amp;TEXT(ROW()-13,"0000")))</f>
        <v/>
      </c>
      <c r="B79" s="486" t="n"/>
      <c r="C79" s="378">
        <f>IF(B79="","",IFERROR(VLOOKUP(B79,DB_Customers!$A:$D,4,0),"❌ Account Not Found"))</f>
        <v/>
      </c>
      <c r="D79" s="488">
        <f>IF(B79="","",TODAY())</f>
        <v/>
      </c>
      <c r="E79" s="526" t="n"/>
      <c r="F79" s="378" t="n"/>
      <c r="G79" s="532" t="n"/>
      <c r="H79" s="533" t="n"/>
      <c r="I79" s="529">
        <f>IF(E79="","",E79+(E79*H79/100*G79))</f>
        <v/>
      </c>
      <c r="J79" s="534">
        <f>IFERROR(I79/G79,"")</f>
        <v/>
      </c>
      <c r="K79" s="535">
        <f>IF(B79="","Pending",IF(M79="","⚠️ Enter Code",IF(IFERROR(VLOOKUP(L79,DB_Agents!$B:$I,8,0),"")=M79,"Pending","🔒 BLOCKED — Wrong Code")))</f>
        <v/>
      </c>
      <c r="L79" s="380" t="inlineStr">
        <is>
          <t>Agent 02</t>
        </is>
      </c>
      <c r="M79" s="491" t="n"/>
      <c r="N79" s="494" t="n"/>
    </row>
    <row r="80" ht="15" customHeight="1" s="341">
      <c r="A80" s="499">
        <f>IF(B80="","",IF(C80="❌ Account Not Found","INVALID","LN"&amp;TEXT(D80,"YYYYMMDD")&amp;TEXT(ROW()-13,"0000")))</f>
        <v/>
      </c>
      <c r="B80" s="495" t="n"/>
      <c r="C80" s="382">
        <f>IF(B80="","",IFERROR(VLOOKUP(B80,DB_Customers!$A:$D,4,0),"❌ Account Not Found"))</f>
        <v/>
      </c>
      <c r="D80" s="497">
        <f>IF(B80="","",TODAY())</f>
        <v/>
      </c>
      <c r="E80" s="526" t="n"/>
      <c r="F80" s="382" t="n"/>
      <c r="G80" s="527" t="n"/>
      <c r="H80" s="528" t="n"/>
      <c r="I80" s="529">
        <f>IF(E80="","",E80+(E80*H80/100*G80))</f>
        <v/>
      </c>
      <c r="J80" s="530">
        <f>IFERROR(I80/G80,"")</f>
        <v/>
      </c>
      <c r="K80" s="531">
        <f>IF(B80="","Pending",IF(M80="","⚠️ Enter Code",IF(IFERROR(VLOOKUP(L80,DB_Agents!$B:$I,8,0),"")=M80,"Pending","🔒 BLOCKED — Wrong Code")))</f>
        <v/>
      </c>
      <c r="L80" s="384" t="inlineStr">
        <is>
          <t>Agent 02</t>
        </is>
      </c>
      <c r="M80" s="491" t="n"/>
      <c r="N80" s="501" t="n"/>
    </row>
    <row r="81" ht="15" customHeight="1" s="341">
      <c r="A81" s="492">
        <f>IF(B81="","",IF(C81="❌ Account Not Found","INVALID","LN"&amp;TEXT(D81,"YYYYMMDD")&amp;TEXT(ROW()-13,"0000")))</f>
        <v/>
      </c>
      <c r="B81" s="486" t="n"/>
      <c r="C81" s="378">
        <f>IF(B81="","",IFERROR(VLOOKUP(B81,DB_Customers!$A:$D,4,0),"❌ Account Not Found"))</f>
        <v/>
      </c>
      <c r="D81" s="488">
        <f>IF(B81="","",TODAY())</f>
        <v/>
      </c>
      <c r="E81" s="526" t="n"/>
      <c r="F81" s="378" t="n"/>
      <c r="G81" s="532" t="n"/>
      <c r="H81" s="533" t="n"/>
      <c r="I81" s="529">
        <f>IF(E81="","",E81+(E81*H81/100*G81))</f>
        <v/>
      </c>
      <c r="J81" s="534">
        <f>IFERROR(I81/G81,"")</f>
        <v/>
      </c>
      <c r="K81" s="535">
        <f>IF(B81="","Pending",IF(M81="","⚠️ Enter Code",IF(IFERROR(VLOOKUP(L81,DB_Agents!$B:$I,8,0),"")=M81,"Pending","🔒 BLOCKED — Wrong Code")))</f>
        <v/>
      </c>
      <c r="L81" s="380" t="inlineStr">
        <is>
          <t>Agent 02</t>
        </is>
      </c>
      <c r="M81" s="491" t="n"/>
      <c r="N81" s="494" t="n"/>
    </row>
    <row r="82" ht="15" customHeight="1" s="341">
      <c r="A82" s="499">
        <f>IF(B82="","",IF(C82="❌ Account Not Found","INVALID","LN"&amp;TEXT(D82,"YYYYMMDD")&amp;TEXT(ROW()-13,"0000")))</f>
        <v/>
      </c>
      <c r="B82" s="495" t="n"/>
      <c r="C82" s="382">
        <f>IF(B82="","",IFERROR(VLOOKUP(B82,DB_Customers!$A:$D,4,0),"❌ Account Not Found"))</f>
        <v/>
      </c>
      <c r="D82" s="497">
        <f>IF(B82="","",TODAY())</f>
        <v/>
      </c>
      <c r="E82" s="526" t="n"/>
      <c r="F82" s="382" t="n"/>
      <c r="G82" s="527" t="n"/>
      <c r="H82" s="528" t="n"/>
      <c r="I82" s="529">
        <f>IF(E82="","",E82+(E82*H82/100*G82))</f>
        <v/>
      </c>
      <c r="J82" s="530">
        <f>IFERROR(I82/G82,"")</f>
        <v/>
      </c>
      <c r="K82" s="531">
        <f>IF(B82="","Pending",IF(M82="","⚠️ Enter Code",IF(IFERROR(VLOOKUP(L82,DB_Agents!$B:$I,8,0),"")=M82,"Pending","🔒 BLOCKED — Wrong Code")))</f>
        <v/>
      </c>
      <c r="L82" s="384" t="inlineStr">
        <is>
          <t>Agent 02</t>
        </is>
      </c>
      <c r="M82" s="491" t="n"/>
      <c r="N82" s="501" t="n"/>
    </row>
    <row r="83" ht="15" customHeight="1" s="341">
      <c r="A83" s="492">
        <f>IF(B83="","",IF(C83="❌ Account Not Found","INVALID","LN"&amp;TEXT(D83,"YYYYMMDD")&amp;TEXT(ROW()-13,"0000")))</f>
        <v/>
      </c>
      <c r="B83" s="486" t="n"/>
      <c r="C83" s="378">
        <f>IF(B83="","",IFERROR(VLOOKUP(B83,DB_Customers!$A:$D,4,0),"❌ Account Not Found"))</f>
        <v/>
      </c>
      <c r="D83" s="488">
        <f>IF(B83="","",TODAY())</f>
        <v/>
      </c>
      <c r="E83" s="526" t="n"/>
      <c r="F83" s="378" t="n"/>
      <c r="G83" s="532" t="n"/>
      <c r="H83" s="533" t="n"/>
      <c r="I83" s="529">
        <f>IF(E83="","",E83+(E83*H83/100*G83))</f>
        <v/>
      </c>
      <c r="J83" s="534">
        <f>IFERROR(I83/G83,"")</f>
        <v/>
      </c>
      <c r="K83" s="535">
        <f>IF(B83="","Pending",IF(M83="","⚠️ Enter Code",IF(IFERROR(VLOOKUP(L83,DB_Agents!$B:$I,8,0),"")=M83,"Pending","🔒 BLOCKED — Wrong Code")))</f>
        <v/>
      </c>
      <c r="L83" s="380" t="inlineStr">
        <is>
          <t>Agent 02</t>
        </is>
      </c>
      <c r="M83" s="491" t="n"/>
      <c r="N83" s="494" t="n"/>
    </row>
    <row r="84" ht="15" customHeight="1" s="341">
      <c r="A84" s="499">
        <f>IF(B84="","",IF(C84="❌ Account Not Found","INVALID","LN"&amp;TEXT(D84,"YYYYMMDD")&amp;TEXT(ROW()-13,"0000")))</f>
        <v/>
      </c>
      <c r="B84" s="495" t="n"/>
      <c r="C84" s="382">
        <f>IF(B84="","",IFERROR(VLOOKUP(B84,DB_Customers!$A:$D,4,0),"❌ Account Not Found"))</f>
        <v/>
      </c>
      <c r="D84" s="497">
        <f>IF(B84="","",TODAY())</f>
        <v/>
      </c>
      <c r="E84" s="526" t="n"/>
      <c r="F84" s="382" t="n"/>
      <c r="G84" s="527" t="n"/>
      <c r="H84" s="528" t="n"/>
      <c r="I84" s="529">
        <f>IF(E84="","",E84+(E84*H84/100*G84))</f>
        <v/>
      </c>
      <c r="J84" s="530">
        <f>IFERROR(I84/G84,"")</f>
        <v/>
      </c>
      <c r="K84" s="531">
        <f>IF(B84="","Pending",IF(M84="","⚠️ Enter Code",IF(IFERROR(VLOOKUP(L84,DB_Agents!$B:$I,8,0),"")=M84,"Pending","🔒 BLOCKED — Wrong Code")))</f>
        <v/>
      </c>
      <c r="L84" s="384" t="inlineStr">
        <is>
          <t>Agent 02</t>
        </is>
      </c>
      <c r="M84" s="491" t="n"/>
      <c r="N84" s="501" t="n"/>
    </row>
    <row r="85" ht="15" customHeight="1" s="341">
      <c r="A85" s="492">
        <f>IF(B85="","",IF(C85="❌ Account Not Found","INVALID","LN"&amp;TEXT(D85,"YYYYMMDD")&amp;TEXT(ROW()-13,"0000")))</f>
        <v/>
      </c>
      <c r="B85" s="486" t="n"/>
      <c r="C85" s="378">
        <f>IF(B85="","",IFERROR(VLOOKUP(B85,DB_Customers!$A:$D,4,0),"❌ Account Not Found"))</f>
        <v/>
      </c>
      <c r="D85" s="488">
        <f>IF(B85="","",TODAY())</f>
        <v/>
      </c>
      <c r="E85" s="526" t="n"/>
      <c r="F85" s="378" t="n"/>
      <c r="G85" s="532" t="n"/>
      <c r="H85" s="533" t="n"/>
      <c r="I85" s="529">
        <f>IF(E85="","",E85+(E85*H85/100*G85))</f>
        <v/>
      </c>
      <c r="J85" s="534">
        <f>IFERROR(I85/G85,"")</f>
        <v/>
      </c>
      <c r="K85" s="535">
        <f>IF(B85="","Pending",IF(M85="","⚠️ Enter Code",IF(IFERROR(VLOOKUP(L85,DB_Agents!$B:$I,8,0),"")=M85,"Pending","🔒 BLOCKED — Wrong Code")))</f>
        <v/>
      </c>
      <c r="L85" s="380" t="inlineStr">
        <is>
          <t>Agent 02</t>
        </is>
      </c>
      <c r="M85" s="491" t="n"/>
      <c r="N85" s="494" t="n"/>
    </row>
    <row r="86" ht="15" customHeight="1" s="341">
      <c r="A86" s="499">
        <f>IF(B86="","",IF(C86="❌ Account Not Found","INVALID","LN"&amp;TEXT(D86,"YYYYMMDD")&amp;TEXT(ROW()-13,"0000")))</f>
        <v/>
      </c>
      <c r="B86" s="495" t="n"/>
      <c r="C86" s="382">
        <f>IF(B86="","",IFERROR(VLOOKUP(B86,DB_Customers!$A:$D,4,0),"❌ Account Not Found"))</f>
        <v/>
      </c>
      <c r="D86" s="497">
        <f>IF(B86="","",TODAY())</f>
        <v/>
      </c>
      <c r="E86" s="526" t="n"/>
      <c r="F86" s="382" t="n"/>
      <c r="G86" s="527" t="n"/>
      <c r="H86" s="528" t="n"/>
      <c r="I86" s="529">
        <f>IF(E86="","",E86+(E86*H86/100*G86))</f>
        <v/>
      </c>
      <c r="J86" s="530">
        <f>IFERROR(I86/G86,"")</f>
        <v/>
      </c>
      <c r="K86" s="531">
        <f>IF(B86="","Pending",IF(M86="","⚠️ Enter Code",IF(IFERROR(VLOOKUP(L86,DB_Agents!$B:$I,8,0),"")=M86,"Pending","🔒 BLOCKED — Wrong Code")))</f>
        <v/>
      </c>
      <c r="L86" s="384" t="inlineStr">
        <is>
          <t>Agent 02</t>
        </is>
      </c>
      <c r="M86" s="491" t="n"/>
      <c r="N86" s="501" t="n"/>
    </row>
    <row r="87" ht="15" customHeight="1" s="341">
      <c r="A87" s="492">
        <f>IF(B87="","",IF(C87="❌ Account Not Found","INVALID","LN"&amp;TEXT(D87,"YYYYMMDD")&amp;TEXT(ROW()-13,"0000")))</f>
        <v/>
      </c>
      <c r="B87" s="486" t="n"/>
      <c r="C87" s="378">
        <f>IF(B87="","",IFERROR(VLOOKUP(B87,DB_Customers!$A:$D,4,0),"❌ Account Not Found"))</f>
        <v/>
      </c>
      <c r="D87" s="488">
        <f>IF(B87="","",TODAY())</f>
        <v/>
      </c>
      <c r="E87" s="526" t="n"/>
      <c r="F87" s="378" t="n"/>
      <c r="G87" s="532" t="n"/>
      <c r="H87" s="533" t="n"/>
      <c r="I87" s="529">
        <f>IF(E87="","",E87+(E87*H87/100*G87))</f>
        <v/>
      </c>
      <c r="J87" s="534">
        <f>IFERROR(I87/G87,"")</f>
        <v/>
      </c>
      <c r="K87" s="535">
        <f>IF(B87="","Pending",IF(M87="","⚠️ Enter Code",IF(IFERROR(VLOOKUP(L87,DB_Agents!$B:$I,8,0),"")=M87,"Pending","🔒 BLOCKED — Wrong Code")))</f>
        <v/>
      </c>
      <c r="L87" s="380" t="inlineStr">
        <is>
          <t>Agent 02</t>
        </is>
      </c>
      <c r="M87" s="491" t="n"/>
      <c r="N87" s="494" t="n"/>
    </row>
    <row r="88" ht="15" customHeight="1" s="341">
      <c r="A88" s="499">
        <f>IF(B88="","",IF(C88="❌ Account Not Found","INVALID","LN"&amp;TEXT(D88,"YYYYMMDD")&amp;TEXT(ROW()-13,"0000")))</f>
        <v/>
      </c>
      <c r="B88" s="495" t="n"/>
      <c r="C88" s="382">
        <f>IF(B88="","",IFERROR(VLOOKUP(B88,DB_Customers!$A:$D,4,0),"❌ Account Not Found"))</f>
        <v/>
      </c>
      <c r="D88" s="497">
        <f>IF(B88="","",TODAY())</f>
        <v/>
      </c>
      <c r="E88" s="526" t="n"/>
      <c r="F88" s="382" t="n"/>
      <c r="G88" s="527" t="n"/>
      <c r="H88" s="528" t="n"/>
      <c r="I88" s="529">
        <f>IF(E88="","",E88+(E88*H88/100*G88))</f>
        <v/>
      </c>
      <c r="J88" s="530">
        <f>IFERROR(I88/G88,"")</f>
        <v/>
      </c>
      <c r="K88" s="531">
        <f>IF(B88="","Pending",IF(M88="","⚠️ Enter Code",IF(IFERROR(VLOOKUP(L88,DB_Agents!$B:$I,8,0),"")=M88,"Pending","🔒 BLOCKED — Wrong Code")))</f>
        <v/>
      </c>
      <c r="L88" s="384" t="inlineStr">
        <is>
          <t>Agent 02</t>
        </is>
      </c>
      <c r="M88" s="491" t="n"/>
      <c r="N88" s="501" t="n"/>
    </row>
    <row r="89" ht="15" customHeight="1" s="341">
      <c r="A89" s="492">
        <f>IF(B89="","",IF(C89="❌ Account Not Found","INVALID","LN"&amp;TEXT(D89,"YYYYMMDD")&amp;TEXT(ROW()-13,"0000")))</f>
        <v/>
      </c>
      <c r="B89" s="486" t="n"/>
      <c r="C89" s="378">
        <f>IF(B89="","",IFERROR(VLOOKUP(B89,DB_Customers!$A:$D,4,0),"❌ Account Not Found"))</f>
        <v/>
      </c>
      <c r="D89" s="488">
        <f>IF(B89="","",TODAY())</f>
        <v/>
      </c>
      <c r="E89" s="526" t="n"/>
      <c r="F89" s="378" t="n"/>
      <c r="G89" s="532" t="n"/>
      <c r="H89" s="533" t="n"/>
      <c r="I89" s="529">
        <f>IF(E89="","",E89+(E89*H89/100*G89))</f>
        <v/>
      </c>
      <c r="J89" s="534">
        <f>IFERROR(I89/G89,"")</f>
        <v/>
      </c>
      <c r="K89" s="535">
        <f>IF(B89="","Pending",IF(M89="","⚠️ Enter Code",IF(IFERROR(VLOOKUP(L89,DB_Agents!$B:$I,8,0),"")=M89,"Pending","🔒 BLOCKED — Wrong Code")))</f>
        <v/>
      </c>
      <c r="L89" s="380" t="inlineStr">
        <is>
          <t>Agent 02</t>
        </is>
      </c>
      <c r="M89" s="491" t="n"/>
      <c r="N89" s="494" t="n"/>
    </row>
    <row r="90" ht="15" customHeight="1" s="341">
      <c r="A90" s="499">
        <f>IF(B90="","",IF(C90="❌ Account Not Found","INVALID","LN"&amp;TEXT(D90,"YYYYMMDD")&amp;TEXT(ROW()-13,"0000")))</f>
        <v/>
      </c>
      <c r="B90" s="495" t="n"/>
      <c r="C90" s="382">
        <f>IF(B90="","",IFERROR(VLOOKUP(B90,DB_Customers!$A:$D,4,0),"❌ Account Not Found"))</f>
        <v/>
      </c>
      <c r="D90" s="497">
        <f>IF(B90="","",TODAY())</f>
        <v/>
      </c>
      <c r="E90" s="526" t="n"/>
      <c r="F90" s="382" t="n"/>
      <c r="G90" s="527" t="n"/>
      <c r="H90" s="528" t="n"/>
      <c r="I90" s="529">
        <f>IF(E90="","",E90+(E90*H90/100*G90))</f>
        <v/>
      </c>
      <c r="J90" s="530">
        <f>IFERROR(I90/G90,"")</f>
        <v/>
      </c>
      <c r="K90" s="531">
        <f>IF(B90="","Pending",IF(M90="","⚠️ Enter Code",IF(IFERROR(VLOOKUP(L90,DB_Agents!$B:$I,8,0),"")=M90,"Pending","🔒 BLOCKED — Wrong Code")))</f>
        <v/>
      </c>
      <c r="L90" s="384" t="inlineStr">
        <is>
          <t>Agent 02</t>
        </is>
      </c>
      <c r="M90" s="491" t="n"/>
      <c r="N90" s="501" t="n"/>
    </row>
    <row r="91" ht="15" customHeight="1" s="341">
      <c r="A91" s="492">
        <f>IF(B91="","",IF(C91="❌ Account Not Found","INVALID","LN"&amp;TEXT(D91,"YYYYMMDD")&amp;TEXT(ROW()-13,"0000")))</f>
        <v/>
      </c>
      <c r="B91" s="486" t="n"/>
      <c r="C91" s="378">
        <f>IF(B91="","",IFERROR(VLOOKUP(B91,DB_Customers!$A:$D,4,0),"❌ Account Not Found"))</f>
        <v/>
      </c>
      <c r="D91" s="488">
        <f>IF(B91="","",TODAY())</f>
        <v/>
      </c>
      <c r="E91" s="526" t="n"/>
      <c r="F91" s="378" t="n"/>
      <c r="G91" s="532" t="n"/>
      <c r="H91" s="533" t="n"/>
      <c r="I91" s="529">
        <f>IF(E91="","",E91+(E91*H91/100*G91))</f>
        <v/>
      </c>
      <c r="J91" s="534">
        <f>IFERROR(I91/G91,"")</f>
        <v/>
      </c>
      <c r="K91" s="535">
        <f>IF(B91="","Pending",IF(M91="","⚠️ Enter Code",IF(IFERROR(VLOOKUP(L91,DB_Agents!$B:$I,8,0),"")=M91,"Pending","🔒 BLOCKED — Wrong Code")))</f>
        <v/>
      </c>
      <c r="L91" s="380" t="inlineStr">
        <is>
          <t>Agent 02</t>
        </is>
      </c>
      <c r="M91" s="491" t="n"/>
      <c r="N91" s="494" t="n"/>
    </row>
    <row r="92" ht="15" customHeight="1" s="341">
      <c r="A92" s="499">
        <f>IF(B92="","",IF(C92="❌ Account Not Found","INVALID","LN"&amp;TEXT(D92,"YYYYMMDD")&amp;TEXT(ROW()-13,"0000")))</f>
        <v/>
      </c>
      <c r="B92" s="495" t="n"/>
      <c r="C92" s="382">
        <f>IF(B92="","",IFERROR(VLOOKUP(B92,DB_Customers!$A:$D,4,0),"❌ Account Not Found"))</f>
        <v/>
      </c>
      <c r="D92" s="497">
        <f>IF(B92="","",TODAY())</f>
        <v/>
      </c>
      <c r="E92" s="526" t="n"/>
      <c r="F92" s="382" t="n"/>
      <c r="G92" s="527" t="n"/>
      <c r="H92" s="528" t="n"/>
      <c r="I92" s="529">
        <f>IF(E92="","",E92+(E92*H92/100*G92))</f>
        <v/>
      </c>
      <c r="J92" s="530">
        <f>IFERROR(I92/G92,"")</f>
        <v/>
      </c>
      <c r="K92" s="531">
        <f>IF(B92="","Pending",IF(M92="","⚠️ Enter Code",IF(IFERROR(VLOOKUP(L92,DB_Agents!$B:$I,8,0),"")=M92,"Pending","🔒 BLOCKED — Wrong Code")))</f>
        <v/>
      </c>
      <c r="L92" s="384" t="inlineStr">
        <is>
          <t>Agent 02</t>
        </is>
      </c>
      <c r="M92" s="491" t="n"/>
      <c r="N92" s="501" t="n"/>
    </row>
    <row r="93" ht="15" customHeight="1" s="341">
      <c r="A93" s="492">
        <f>IF(B93="","",IF(C93="❌ Account Not Found","INVALID","LN"&amp;TEXT(D93,"YYYYMMDD")&amp;TEXT(ROW()-13,"0000")))</f>
        <v/>
      </c>
      <c r="B93" s="486" t="n"/>
      <c r="C93" s="378">
        <f>IF(B93="","",IFERROR(VLOOKUP(B93,DB_Customers!$A:$D,4,0),"❌ Account Not Found"))</f>
        <v/>
      </c>
      <c r="D93" s="488">
        <f>IF(B93="","",TODAY())</f>
        <v/>
      </c>
      <c r="E93" s="526" t="n"/>
      <c r="F93" s="378" t="n"/>
      <c r="G93" s="532" t="n"/>
      <c r="H93" s="533" t="n"/>
      <c r="I93" s="529">
        <f>IF(E93="","",E93+(E93*H93/100*G93))</f>
        <v/>
      </c>
      <c r="J93" s="534">
        <f>IFERROR(I93/G93,"")</f>
        <v/>
      </c>
      <c r="K93" s="535">
        <f>IF(B93="","Pending",IF(M93="","⚠️ Enter Code",IF(IFERROR(VLOOKUP(L93,DB_Agents!$B:$I,8,0),"")=M93,"Pending","🔒 BLOCKED — Wrong Code")))</f>
        <v/>
      </c>
      <c r="L93" s="380" t="inlineStr">
        <is>
          <t>Agent 02</t>
        </is>
      </c>
      <c r="M93" s="491" t="n"/>
      <c r="N93" s="494" t="n"/>
    </row>
    <row r="94" ht="15" customHeight="1" s="341">
      <c r="A94" s="499">
        <f>IF(B94="","",IF(C94="❌ Account Not Found","INVALID","LN"&amp;TEXT(D94,"YYYYMMDD")&amp;TEXT(ROW()-13,"0000")))</f>
        <v/>
      </c>
      <c r="B94" s="495" t="n"/>
      <c r="C94" s="382">
        <f>IF(B94="","",IFERROR(VLOOKUP(B94,DB_Customers!$A:$D,4,0),"❌ Account Not Found"))</f>
        <v/>
      </c>
      <c r="D94" s="497">
        <f>IF(B94="","",TODAY())</f>
        <v/>
      </c>
      <c r="E94" s="526" t="n"/>
      <c r="F94" s="382" t="n"/>
      <c r="G94" s="527" t="n"/>
      <c r="H94" s="528" t="n"/>
      <c r="I94" s="529">
        <f>IF(E94="","",E94+(E94*H94/100*G94))</f>
        <v/>
      </c>
      <c r="J94" s="530">
        <f>IFERROR(I94/G94,"")</f>
        <v/>
      </c>
      <c r="K94" s="531">
        <f>IF(B94="","Pending",IF(M94="","⚠️ Enter Code",IF(IFERROR(VLOOKUP(L94,DB_Agents!$B:$I,8,0),"")=M94,"Pending","🔒 BLOCKED — Wrong Code")))</f>
        <v/>
      </c>
      <c r="L94" s="384" t="inlineStr">
        <is>
          <t>Agent 02</t>
        </is>
      </c>
      <c r="M94" s="491" t="n"/>
      <c r="N94" s="501" t="n"/>
    </row>
    <row r="95" ht="15" customHeight="1" s="341">
      <c r="A95" s="492">
        <f>IF(B95="","",IF(C95="❌ Account Not Found","INVALID","LN"&amp;TEXT(D95,"YYYYMMDD")&amp;TEXT(ROW()-13,"0000")))</f>
        <v/>
      </c>
      <c r="B95" s="486" t="n"/>
      <c r="C95" s="378">
        <f>IF(B95="","",IFERROR(VLOOKUP(B95,DB_Customers!$A:$D,4,0),"❌ Account Not Found"))</f>
        <v/>
      </c>
      <c r="D95" s="488">
        <f>IF(B95="","",TODAY())</f>
        <v/>
      </c>
      <c r="E95" s="526" t="n"/>
      <c r="F95" s="378" t="n"/>
      <c r="G95" s="532" t="n"/>
      <c r="H95" s="533" t="n"/>
      <c r="I95" s="529">
        <f>IF(E95="","",E95+(E95*H95/100*G95))</f>
        <v/>
      </c>
      <c r="J95" s="534">
        <f>IFERROR(I95/G95,"")</f>
        <v/>
      </c>
      <c r="K95" s="535">
        <f>IF(B95="","Pending",IF(M95="","⚠️ Enter Code",IF(IFERROR(VLOOKUP(L95,DB_Agents!$B:$I,8,0),"")=M95,"Pending","🔒 BLOCKED — Wrong Code")))</f>
        <v/>
      </c>
      <c r="L95" s="380" t="inlineStr">
        <is>
          <t>Agent 02</t>
        </is>
      </c>
      <c r="M95" s="491" t="n"/>
      <c r="N95" s="494" t="n"/>
    </row>
    <row r="96" ht="15" customHeight="1" s="341">
      <c r="A96" s="499">
        <f>IF(B96="","",IF(C96="❌ Account Not Found","INVALID","LN"&amp;TEXT(D96,"YYYYMMDD")&amp;TEXT(ROW()-13,"0000")))</f>
        <v/>
      </c>
      <c r="B96" s="495" t="n"/>
      <c r="C96" s="382">
        <f>IF(B96="","",IFERROR(VLOOKUP(B96,DB_Customers!$A:$D,4,0),"❌ Account Not Found"))</f>
        <v/>
      </c>
      <c r="D96" s="497">
        <f>IF(B96="","",TODAY())</f>
        <v/>
      </c>
      <c r="E96" s="526" t="n"/>
      <c r="F96" s="382" t="n"/>
      <c r="G96" s="527" t="n"/>
      <c r="H96" s="528" t="n"/>
      <c r="I96" s="529">
        <f>IF(E96="","",E96+(E96*H96/100*G96))</f>
        <v/>
      </c>
      <c r="J96" s="530">
        <f>IFERROR(I96/G96,"")</f>
        <v/>
      </c>
      <c r="K96" s="531">
        <f>IF(B96="","Pending",IF(M96="","⚠️ Enter Code",IF(IFERROR(VLOOKUP(L96,DB_Agents!$B:$I,8,0),"")=M96,"Pending","🔒 BLOCKED — Wrong Code")))</f>
        <v/>
      </c>
      <c r="L96" s="384" t="inlineStr">
        <is>
          <t>Agent 02</t>
        </is>
      </c>
      <c r="M96" s="491" t="n"/>
      <c r="N96" s="501" t="n"/>
    </row>
    <row r="97" ht="15" customHeight="1" s="341">
      <c r="A97" s="492">
        <f>IF(B97="","",IF(C97="❌ Account Not Found","INVALID","LN"&amp;TEXT(D97,"YYYYMMDD")&amp;TEXT(ROW()-13,"0000")))</f>
        <v/>
      </c>
      <c r="B97" s="486" t="n"/>
      <c r="C97" s="378">
        <f>IF(B97="","",IFERROR(VLOOKUP(B97,DB_Customers!$A:$D,4,0),"❌ Account Not Found"))</f>
        <v/>
      </c>
      <c r="D97" s="488">
        <f>IF(B97="","",TODAY())</f>
        <v/>
      </c>
      <c r="E97" s="526" t="n"/>
      <c r="F97" s="378" t="n"/>
      <c r="G97" s="532" t="n"/>
      <c r="H97" s="533" t="n"/>
      <c r="I97" s="529">
        <f>IF(E97="","",E97+(E97*H97/100*G97))</f>
        <v/>
      </c>
      <c r="J97" s="534">
        <f>IFERROR(I97/G97,"")</f>
        <v/>
      </c>
      <c r="K97" s="535">
        <f>IF(B97="","Pending",IF(M97="","⚠️ Enter Code",IF(IFERROR(VLOOKUP(L97,DB_Agents!$B:$I,8,0),"")=M97,"Pending","🔒 BLOCKED — Wrong Code")))</f>
        <v/>
      </c>
      <c r="L97" s="380" t="inlineStr">
        <is>
          <t>Agent 02</t>
        </is>
      </c>
      <c r="M97" s="491" t="n"/>
      <c r="N97" s="494" t="n"/>
    </row>
    <row r="98" ht="15" customHeight="1" s="341">
      <c r="A98" s="499">
        <f>IF(B98="","",IF(C98="❌ Account Not Found","INVALID","LN"&amp;TEXT(D98,"YYYYMMDD")&amp;TEXT(ROW()-13,"0000")))</f>
        <v/>
      </c>
      <c r="B98" s="495" t="n"/>
      <c r="C98" s="382">
        <f>IF(B98="","",IFERROR(VLOOKUP(B98,DB_Customers!$A:$D,4,0),"❌ Account Not Found"))</f>
        <v/>
      </c>
      <c r="D98" s="497">
        <f>IF(B98="","",TODAY())</f>
        <v/>
      </c>
      <c r="E98" s="526" t="n"/>
      <c r="F98" s="382" t="n"/>
      <c r="G98" s="527" t="n"/>
      <c r="H98" s="528" t="n"/>
      <c r="I98" s="529">
        <f>IF(E98="","",E98+(E98*H98/100*G98))</f>
        <v/>
      </c>
      <c r="J98" s="530">
        <f>IFERROR(I98/G98,"")</f>
        <v/>
      </c>
      <c r="K98" s="531">
        <f>IF(B98="","Pending",IF(M98="","⚠️ Enter Code",IF(IFERROR(VLOOKUP(L98,DB_Agents!$B:$I,8,0),"")=M98,"Pending","🔒 BLOCKED — Wrong Code")))</f>
        <v/>
      </c>
      <c r="L98" s="384" t="inlineStr">
        <is>
          <t>Agent 02</t>
        </is>
      </c>
      <c r="M98" s="491" t="n"/>
      <c r="N98" s="501" t="n"/>
    </row>
    <row r="99" ht="15" customHeight="1" s="341">
      <c r="A99" s="492">
        <f>IF(B99="","",IF(C99="❌ Account Not Found","INVALID","LN"&amp;TEXT(D99,"YYYYMMDD")&amp;TEXT(ROW()-13,"0000")))</f>
        <v/>
      </c>
      <c r="B99" s="486" t="n"/>
      <c r="C99" s="378">
        <f>IF(B99="","",IFERROR(VLOOKUP(B99,DB_Customers!$A:$D,4,0),"❌ Account Not Found"))</f>
        <v/>
      </c>
      <c r="D99" s="488">
        <f>IF(B99="","",TODAY())</f>
        <v/>
      </c>
      <c r="E99" s="526" t="n"/>
      <c r="F99" s="378" t="n"/>
      <c r="G99" s="532" t="n"/>
      <c r="H99" s="533" t="n"/>
      <c r="I99" s="529">
        <f>IF(E99="","",E99+(E99*H99/100*G99))</f>
        <v/>
      </c>
      <c r="J99" s="534">
        <f>IFERROR(I99/G99,"")</f>
        <v/>
      </c>
      <c r="K99" s="535">
        <f>IF(B99="","Pending",IF(M99="","⚠️ Enter Code",IF(IFERROR(VLOOKUP(L99,DB_Agents!$B:$I,8,0),"")=M99,"Pending","🔒 BLOCKED — Wrong Code")))</f>
        <v/>
      </c>
      <c r="L99" s="380" t="inlineStr">
        <is>
          <t>Agent 02</t>
        </is>
      </c>
      <c r="M99" s="491" t="n"/>
      <c r="N99" s="494" t="n"/>
    </row>
    <row r="100" ht="15" customHeight="1" s="341">
      <c r="A100" s="499">
        <f>IF(B100="","",IF(C100="❌ Account Not Found","INVALID","LN"&amp;TEXT(D100,"YYYYMMDD")&amp;TEXT(ROW()-13,"0000")))</f>
        <v/>
      </c>
      <c r="B100" s="495" t="n"/>
      <c r="C100" s="382">
        <f>IF(B100="","",IFERROR(VLOOKUP(B100,DB_Customers!$A:$D,4,0),"❌ Account Not Found"))</f>
        <v/>
      </c>
      <c r="D100" s="497">
        <f>IF(B100="","",TODAY())</f>
        <v/>
      </c>
      <c r="E100" s="526" t="n"/>
      <c r="F100" s="382" t="n"/>
      <c r="G100" s="527" t="n"/>
      <c r="H100" s="528" t="n"/>
      <c r="I100" s="529">
        <f>IF(E100="","",E100+(E100*H100/100*G100))</f>
        <v/>
      </c>
      <c r="J100" s="530">
        <f>IFERROR(I100/G100,"")</f>
        <v/>
      </c>
      <c r="K100" s="531">
        <f>IF(B100="","Pending",IF(M100="","⚠️ Enter Code",IF(IFERROR(VLOOKUP(L100,DB_Agents!$B:$I,8,0),"")=M100,"Pending","🔒 BLOCKED — Wrong Code")))</f>
        <v/>
      </c>
      <c r="L100" s="384" t="inlineStr">
        <is>
          <t>Agent 02</t>
        </is>
      </c>
      <c r="M100" s="491" t="n"/>
      <c r="N100" s="501" t="n"/>
    </row>
    <row r="101" ht="15" customHeight="1" s="341">
      <c r="A101" s="492">
        <f>IF(B101="","",IF(C101="❌ Account Not Found","INVALID","LN"&amp;TEXT(D101,"YYYYMMDD")&amp;TEXT(ROW()-13,"0000")))</f>
        <v/>
      </c>
      <c r="B101" s="486" t="n"/>
      <c r="C101" s="378">
        <f>IF(B101="","",IFERROR(VLOOKUP(B101,DB_Customers!$A:$D,4,0),"❌ Account Not Found"))</f>
        <v/>
      </c>
      <c r="D101" s="488">
        <f>IF(B101="","",TODAY())</f>
        <v/>
      </c>
      <c r="E101" s="526" t="n"/>
      <c r="F101" s="378" t="n"/>
      <c r="G101" s="532" t="n"/>
      <c r="H101" s="533" t="n"/>
      <c r="I101" s="529">
        <f>IF(E101="","",E101+(E101*H101/100*G101))</f>
        <v/>
      </c>
      <c r="J101" s="534">
        <f>IFERROR(I101/G101,"")</f>
        <v/>
      </c>
      <c r="K101" s="535">
        <f>IF(B101="","Pending",IF(M101="","⚠️ Enter Code",IF(IFERROR(VLOOKUP(L101,DB_Agents!$B:$I,8,0),"")=M101,"Pending","🔒 BLOCKED — Wrong Code")))</f>
        <v/>
      </c>
      <c r="L101" s="380" t="inlineStr">
        <is>
          <t>Agent 02</t>
        </is>
      </c>
      <c r="M101" s="491" t="n"/>
      <c r="N101" s="494" t="n"/>
    </row>
    <row r="102" ht="15" customHeight="1" s="341">
      <c r="A102" s="499">
        <f>IF(B102="","",IF(C102="❌ Account Not Found","INVALID","LN"&amp;TEXT(D102,"YYYYMMDD")&amp;TEXT(ROW()-13,"0000")))</f>
        <v/>
      </c>
      <c r="B102" s="495" t="n"/>
      <c r="C102" s="382">
        <f>IF(B102="","",IFERROR(VLOOKUP(B102,DB_Customers!$A:$D,4,0),"❌ Account Not Found"))</f>
        <v/>
      </c>
      <c r="D102" s="497">
        <f>IF(B102="","",TODAY())</f>
        <v/>
      </c>
      <c r="E102" s="526" t="n"/>
      <c r="F102" s="382" t="n"/>
      <c r="G102" s="527" t="n"/>
      <c r="H102" s="528" t="n"/>
      <c r="I102" s="529">
        <f>IF(E102="","",E102+(E102*H102/100*G102))</f>
        <v/>
      </c>
      <c r="J102" s="530">
        <f>IFERROR(I102/G102,"")</f>
        <v/>
      </c>
      <c r="K102" s="531">
        <f>IF(B102="","Pending",IF(M102="","⚠️ Enter Code",IF(IFERROR(VLOOKUP(L102,DB_Agents!$B:$I,8,0),"")=M102,"Pending","🔒 BLOCKED — Wrong Code")))</f>
        <v/>
      </c>
      <c r="L102" s="384" t="inlineStr">
        <is>
          <t>Agent 02</t>
        </is>
      </c>
      <c r="M102" s="491" t="n"/>
      <c r="N102" s="501" t="n"/>
    </row>
    <row r="103" ht="15" customHeight="1" s="341">
      <c r="A103" s="492">
        <f>IF(B103="","",IF(C103="❌ Account Not Found","INVALID","LN"&amp;TEXT(D103,"YYYYMMDD")&amp;TEXT(ROW()-13,"0000")))</f>
        <v/>
      </c>
      <c r="B103" s="486" t="n"/>
      <c r="C103" s="378">
        <f>IF(B103="","",IFERROR(VLOOKUP(B103,DB_Customers!$A:$D,4,0),"❌ Account Not Found"))</f>
        <v/>
      </c>
      <c r="D103" s="488">
        <f>IF(B103="","",TODAY())</f>
        <v/>
      </c>
      <c r="E103" s="526" t="n"/>
      <c r="F103" s="378" t="n"/>
      <c r="G103" s="532" t="n"/>
      <c r="H103" s="533" t="n"/>
      <c r="I103" s="529">
        <f>IF(E103="","",E103+(E103*H103/100*G103))</f>
        <v/>
      </c>
      <c r="J103" s="534">
        <f>IFERROR(I103/G103,"")</f>
        <v/>
      </c>
      <c r="K103" s="535">
        <f>IF(B103="","Pending",IF(M103="","⚠️ Enter Code",IF(IFERROR(VLOOKUP(L103,DB_Agents!$B:$I,8,0),"")=M103,"Pending","🔒 BLOCKED — Wrong Code")))</f>
        <v/>
      </c>
      <c r="L103" s="380" t="inlineStr">
        <is>
          <t>Agent 02</t>
        </is>
      </c>
      <c r="M103" s="491" t="n"/>
      <c r="N103" s="494" t="n"/>
    </row>
    <row r="104" ht="15" customHeight="1" s="341">
      <c r="A104" s="499">
        <f>IF(B104="","",IF(C104="❌ Account Not Found","INVALID","LN"&amp;TEXT(D104,"YYYYMMDD")&amp;TEXT(ROW()-13,"0000")))</f>
        <v/>
      </c>
      <c r="B104" s="495" t="n"/>
      <c r="C104" s="382">
        <f>IF(B104="","",IFERROR(VLOOKUP(B104,DB_Customers!$A:$D,4,0),"❌ Account Not Found"))</f>
        <v/>
      </c>
      <c r="D104" s="497">
        <f>IF(B104="","",TODAY())</f>
        <v/>
      </c>
      <c r="E104" s="526" t="n"/>
      <c r="F104" s="382" t="n"/>
      <c r="G104" s="527" t="n"/>
      <c r="H104" s="528" t="n"/>
      <c r="I104" s="529">
        <f>IF(E104="","",E104+(E104*H104/100*G104))</f>
        <v/>
      </c>
      <c r="J104" s="530">
        <f>IFERROR(I104/G104,"")</f>
        <v/>
      </c>
      <c r="K104" s="531">
        <f>IF(B104="","Pending",IF(M104="","⚠️ Enter Code",IF(IFERROR(VLOOKUP(L104,DB_Agents!$B:$I,8,0),"")=M104,"Pending","🔒 BLOCKED — Wrong Code")))</f>
        <v/>
      </c>
      <c r="L104" s="384" t="inlineStr">
        <is>
          <t>Agent 02</t>
        </is>
      </c>
      <c r="M104" s="491" t="n"/>
      <c r="N104" s="501" t="n"/>
    </row>
    <row r="105" ht="15" customHeight="1" s="341">
      <c r="A105" s="492">
        <f>IF(B105="","",IF(C105="❌ Account Not Found","INVALID","LN"&amp;TEXT(D105,"YYYYMMDD")&amp;TEXT(ROW()-13,"0000")))</f>
        <v/>
      </c>
      <c r="B105" s="486" t="n"/>
      <c r="C105" s="378">
        <f>IF(B105="","",IFERROR(VLOOKUP(B105,DB_Customers!$A:$D,4,0),"❌ Account Not Found"))</f>
        <v/>
      </c>
      <c r="D105" s="488">
        <f>IF(B105="","",TODAY())</f>
        <v/>
      </c>
      <c r="E105" s="526" t="n"/>
      <c r="F105" s="378" t="n"/>
      <c r="G105" s="532" t="n"/>
      <c r="H105" s="533" t="n"/>
      <c r="I105" s="529">
        <f>IF(E105="","",E105+(E105*H105/100*G105))</f>
        <v/>
      </c>
      <c r="J105" s="534">
        <f>IFERROR(I105/G105,"")</f>
        <v/>
      </c>
      <c r="K105" s="535">
        <f>IF(B105="","Pending",IF(M105="","⚠️ Enter Code",IF(IFERROR(VLOOKUP(L105,DB_Agents!$B:$I,8,0),"")=M105,"Pending","🔒 BLOCKED — Wrong Code")))</f>
        <v/>
      </c>
      <c r="L105" s="380" t="inlineStr">
        <is>
          <t>Agent 02</t>
        </is>
      </c>
      <c r="M105" s="491" t="n"/>
      <c r="N105" s="494" t="n"/>
    </row>
    <row r="106" ht="15" customHeight="1" s="341">
      <c r="A106" s="499">
        <f>IF(B106="","",IF(C106="❌ Account Not Found","INVALID","LN"&amp;TEXT(D106,"YYYYMMDD")&amp;TEXT(ROW()-13,"0000")))</f>
        <v/>
      </c>
      <c r="B106" s="495" t="n"/>
      <c r="C106" s="382">
        <f>IF(B106="","",IFERROR(VLOOKUP(B106,DB_Customers!$A:$D,4,0),"❌ Account Not Found"))</f>
        <v/>
      </c>
      <c r="D106" s="497">
        <f>IF(B106="","",TODAY())</f>
        <v/>
      </c>
      <c r="E106" s="526" t="n"/>
      <c r="F106" s="382" t="n"/>
      <c r="G106" s="527" t="n"/>
      <c r="H106" s="528" t="n"/>
      <c r="I106" s="529">
        <f>IF(E106="","",E106+(E106*H106/100*G106))</f>
        <v/>
      </c>
      <c r="J106" s="530">
        <f>IFERROR(I106/G106,"")</f>
        <v/>
      </c>
      <c r="K106" s="531">
        <f>IF(B106="","Pending",IF(M106="","⚠️ Enter Code",IF(IFERROR(VLOOKUP(L106,DB_Agents!$B:$I,8,0),"")=M106,"Pending","🔒 BLOCKED — Wrong Code")))</f>
        <v/>
      </c>
      <c r="L106" s="384" t="inlineStr">
        <is>
          <t>Agent 02</t>
        </is>
      </c>
      <c r="M106" s="491" t="n"/>
      <c r="N106" s="501" t="n"/>
    </row>
    <row r="107" ht="15" customHeight="1" s="341">
      <c r="A107" s="492">
        <f>IF(B107="","",IF(C107="❌ Account Not Found","INVALID","LN"&amp;TEXT(D107,"YYYYMMDD")&amp;TEXT(ROW()-13,"0000")))</f>
        <v/>
      </c>
      <c r="B107" s="486" t="n"/>
      <c r="C107" s="378">
        <f>IF(B107="","",IFERROR(VLOOKUP(B107,DB_Customers!$A:$D,4,0),"❌ Account Not Found"))</f>
        <v/>
      </c>
      <c r="D107" s="488">
        <f>IF(B107="","",TODAY())</f>
        <v/>
      </c>
      <c r="E107" s="526" t="n"/>
      <c r="F107" s="378" t="n"/>
      <c r="G107" s="532" t="n"/>
      <c r="H107" s="533" t="n"/>
      <c r="I107" s="529">
        <f>IF(E107="","",E107+(E107*H107/100*G107))</f>
        <v/>
      </c>
      <c r="J107" s="534">
        <f>IFERROR(I107/G107,"")</f>
        <v/>
      </c>
      <c r="K107" s="535">
        <f>IF(B107="","Pending",IF(M107="","⚠️ Enter Code",IF(IFERROR(VLOOKUP(L107,DB_Agents!$B:$I,8,0),"")=M107,"Pending","🔒 BLOCKED — Wrong Code")))</f>
        <v/>
      </c>
      <c r="L107" s="380" t="inlineStr">
        <is>
          <t>Agent 02</t>
        </is>
      </c>
      <c r="M107" s="491" t="n"/>
      <c r="N107" s="494" t="n"/>
    </row>
    <row r="108" ht="15" customHeight="1" s="341">
      <c r="A108" s="499">
        <f>IF(B108="","",IF(C108="❌ Account Not Found","INVALID","LN"&amp;TEXT(D108,"YYYYMMDD")&amp;TEXT(ROW()-13,"0000")))</f>
        <v/>
      </c>
      <c r="B108" s="495" t="n"/>
      <c r="C108" s="382">
        <f>IF(B108="","",IFERROR(VLOOKUP(B108,DB_Customers!$A:$D,4,0),"❌ Account Not Found"))</f>
        <v/>
      </c>
      <c r="D108" s="497">
        <f>IF(B108="","",TODAY())</f>
        <v/>
      </c>
      <c r="E108" s="526" t="n"/>
      <c r="F108" s="382" t="n"/>
      <c r="G108" s="527" t="n"/>
      <c r="H108" s="528" t="n"/>
      <c r="I108" s="529">
        <f>IF(E108="","",E108+(E108*H108/100*G108))</f>
        <v/>
      </c>
      <c r="J108" s="530">
        <f>IFERROR(I108/G108,"")</f>
        <v/>
      </c>
      <c r="K108" s="531">
        <f>IF(B108="","Pending",IF(M108="","⚠️ Enter Code",IF(IFERROR(VLOOKUP(L108,DB_Agents!$B:$I,8,0),"")=M108,"Pending","🔒 BLOCKED — Wrong Code")))</f>
        <v/>
      </c>
      <c r="L108" s="384" t="inlineStr">
        <is>
          <t>Agent 02</t>
        </is>
      </c>
      <c r="M108" s="491" t="n"/>
      <c r="N108" s="501" t="n"/>
    </row>
    <row r="109" ht="15" customHeight="1" s="341">
      <c r="A109" s="492">
        <f>IF(B109="","",IF(C109="❌ Account Not Found","INVALID","LN"&amp;TEXT(D109,"YYYYMMDD")&amp;TEXT(ROW()-13,"0000")))</f>
        <v/>
      </c>
      <c r="B109" s="486" t="n"/>
      <c r="C109" s="378">
        <f>IF(B109="","",IFERROR(VLOOKUP(B109,DB_Customers!$A:$D,4,0),"❌ Account Not Found"))</f>
        <v/>
      </c>
      <c r="D109" s="488">
        <f>IF(B109="","",TODAY())</f>
        <v/>
      </c>
      <c r="E109" s="526" t="n"/>
      <c r="F109" s="378" t="n"/>
      <c r="G109" s="532" t="n"/>
      <c r="H109" s="533" t="n"/>
      <c r="I109" s="529">
        <f>IF(E109="","",E109+(E109*H109/100*G109))</f>
        <v/>
      </c>
      <c r="J109" s="534">
        <f>IFERROR(I109/G109,"")</f>
        <v/>
      </c>
      <c r="K109" s="535">
        <f>IF(B109="","Pending",IF(M109="","⚠️ Enter Code",IF(IFERROR(VLOOKUP(L109,DB_Agents!$B:$I,8,0),"")=M109,"Pending","🔒 BLOCKED — Wrong Code")))</f>
        <v/>
      </c>
      <c r="L109" s="380" t="inlineStr">
        <is>
          <t>Agent 02</t>
        </is>
      </c>
      <c r="M109" s="491" t="n"/>
      <c r="N109" s="494" t="n"/>
    </row>
    <row r="110" ht="15" customHeight="1" s="341">
      <c r="A110" s="499">
        <f>IF(B110="","",IF(C110="❌ Account Not Found","INVALID","LN"&amp;TEXT(D110,"YYYYMMDD")&amp;TEXT(ROW()-13,"0000")))</f>
        <v/>
      </c>
      <c r="B110" s="495" t="n"/>
      <c r="C110" s="382">
        <f>IF(B110="","",IFERROR(VLOOKUP(B110,DB_Customers!$A:$D,4,0),"❌ Account Not Found"))</f>
        <v/>
      </c>
      <c r="D110" s="497">
        <f>IF(B110="","",TODAY())</f>
        <v/>
      </c>
      <c r="E110" s="526" t="n"/>
      <c r="F110" s="382" t="n"/>
      <c r="G110" s="527" t="n"/>
      <c r="H110" s="528" t="n"/>
      <c r="I110" s="529">
        <f>IF(E110="","",E110+(E110*H110/100*G110))</f>
        <v/>
      </c>
      <c r="J110" s="530">
        <f>IFERROR(I110/G110,"")</f>
        <v/>
      </c>
      <c r="K110" s="531">
        <f>IF(B110="","Pending",IF(M110="","⚠️ Enter Code",IF(IFERROR(VLOOKUP(L110,DB_Agents!$B:$I,8,0),"")=M110,"Pending","🔒 BLOCKED — Wrong Code")))</f>
        <v/>
      </c>
      <c r="L110" s="384" t="inlineStr">
        <is>
          <t>Agent 02</t>
        </is>
      </c>
      <c r="M110" s="491" t="n"/>
      <c r="N110" s="501" t="n"/>
    </row>
    <row r="111" ht="15" customHeight="1" s="341">
      <c r="A111" s="492">
        <f>IF(B111="","",IF(C111="❌ Account Not Found","INVALID","LN"&amp;TEXT(D111,"YYYYMMDD")&amp;TEXT(ROW()-13,"0000")))</f>
        <v/>
      </c>
      <c r="B111" s="486" t="n"/>
      <c r="C111" s="378">
        <f>IF(B111="","",IFERROR(VLOOKUP(B111,DB_Customers!$A:$D,4,0),"❌ Account Not Found"))</f>
        <v/>
      </c>
      <c r="D111" s="488">
        <f>IF(B111="","",TODAY())</f>
        <v/>
      </c>
      <c r="E111" s="526" t="n"/>
      <c r="F111" s="378" t="n"/>
      <c r="G111" s="532" t="n"/>
      <c r="H111" s="533" t="n"/>
      <c r="I111" s="529">
        <f>IF(E111="","",E111+(E111*H111/100*G111))</f>
        <v/>
      </c>
      <c r="J111" s="534">
        <f>IFERROR(I111/G111,"")</f>
        <v/>
      </c>
      <c r="K111" s="535">
        <f>IF(B111="","Pending",IF(M111="","⚠️ Enter Code",IF(IFERROR(VLOOKUP(L111,DB_Agents!$B:$I,8,0),"")=M111,"Pending","🔒 BLOCKED — Wrong Code")))</f>
        <v/>
      </c>
      <c r="L111" s="380" t="inlineStr">
        <is>
          <t>Agent 02</t>
        </is>
      </c>
      <c r="M111" s="491" t="n"/>
      <c r="N111" s="494" t="n"/>
    </row>
    <row r="112" ht="15" customHeight="1" s="341">
      <c r="A112" s="499">
        <f>IF(B112="","",IF(C112="❌ Account Not Found","INVALID","LN"&amp;TEXT(D112,"YYYYMMDD")&amp;TEXT(ROW()-13,"0000")))</f>
        <v/>
      </c>
      <c r="B112" s="495" t="n"/>
      <c r="C112" s="382">
        <f>IF(B112="","",IFERROR(VLOOKUP(B112,DB_Customers!$A:$D,4,0),"❌ Account Not Found"))</f>
        <v/>
      </c>
      <c r="D112" s="497">
        <f>IF(B112="","",TODAY())</f>
        <v/>
      </c>
      <c r="E112" s="526" t="n"/>
      <c r="F112" s="382" t="n"/>
      <c r="G112" s="527" t="n"/>
      <c r="H112" s="528" t="n"/>
      <c r="I112" s="529">
        <f>IF(E112="","",E112+(E112*H112/100*G112))</f>
        <v/>
      </c>
      <c r="J112" s="530">
        <f>IFERROR(I112/G112,"")</f>
        <v/>
      </c>
      <c r="K112" s="531">
        <f>IF(B112="","Pending",IF(M112="","⚠️ Enter Code",IF(IFERROR(VLOOKUP(L112,DB_Agents!$B:$I,8,0),"")=M112,"Pending","🔒 BLOCKED — Wrong Code")))</f>
        <v/>
      </c>
      <c r="L112" s="384" t="inlineStr">
        <is>
          <t>Agent 02</t>
        </is>
      </c>
      <c r="M112" s="491" t="n"/>
      <c r="N112" s="501" t="n"/>
    </row>
    <row r="113" ht="15" customHeight="1" s="341">
      <c r="A113" s="492">
        <f>IF(B113="","",IF(C113="❌ Account Not Found","INVALID","LN"&amp;TEXT(D113,"YYYYMMDD")&amp;TEXT(ROW()-13,"0000")))</f>
        <v/>
      </c>
      <c r="B113" s="486" t="n"/>
      <c r="C113" s="378">
        <f>IF(B113="","",IFERROR(VLOOKUP(B113,DB_Customers!$A:$D,4,0),"❌ Account Not Found"))</f>
        <v/>
      </c>
      <c r="D113" s="488">
        <f>IF(B113="","",TODAY())</f>
        <v/>
      </c>
      <c r="E113" s="526" t="n"/>
      <c r="F113" s="378" t="n"/>
      <c r="G113" s="532" t="n"/>
      <c r="H113" s="533" t="n"/>
      <c r="I113" s="529">
        <f>IF(E113="","",E113+(E113*H113/100*G113))</f>
        <v/>
      </c>
      <c r="J113" s="534">
        <f>IFERROR(I113/G113,"")</f>
        <v/>
      </c>
      <c r="K113" s="535">
        <f>IF(B113="","Pending",IF(M113="","⚠️ Enter Code",IF(IFERROR(VLOOKUP(L113,DB_Agents!$B:$I,8,0),"")=M113,"Pending","🔒 BLOCKED — Wrong Code")))</f>
        <v/>
      </c>
      <c r="L113" s="380" t="inlineStr">
        <is>
          <t>Agent 02</t>
        </is>
      </c>
      <c r="M113" s="491" t="n"/>
      <c r="N113" s="494" t="n"/>
    </row>
    <row r="114" ht="15" customHeight="1" s="341">
      <c r="H114" s="536" t="n"/>
      <c r="K114" s="537">
        <f>IF(B114="","Pending",IF(M114="","⚠️ Enter Code",IF(IFERROR(VLOOKUP(L114,DB_Agents!$B:$I,8,0),"")=M114,"Pending","🔒 BLOCKED — Wrong Code")))</f>
        <v/>
      </c>
      <c r="M114" s="491" t="n"/>
    </row>
    <row r="115" ht="15" customHeight="1" s="341">
      <c r="H115" s="536" t="n"/>
      <c r="K115" s="342">
        <f>IF(B115="","Pending",IF(M115="","⚠️ Enter Code",IF(IFERROR(VLOOKUP(L115,DB_Agents!$B:$I,8,0),"")=M115,"Pending","🔒 BLOCKED — Wrong Code")))</f>
        <v/>
      </c>
      <c r="M115" s="491" t="n"/>
    </row>
    <row r="116" ht="15" customHeight="1" s="341">
      <c r="H116" s="536" t="n"/>
      <c r="K116" s="537">
        <f>IF(B116="","Pending",IF(M116="","⚠️ Enter Code",IF(IFERROR(VLOOKUP(L116,DB_Agents!$B:$I,8,0),"")=M116,"Pending","🔒 BLOCKED — Wrong Code")))</f>
        <v/>
      </c>
      <c r="M116" s="491" t="n"/>
    </row>
    <row r="117" ht="15" customHeight="1" s="341">
      <c r="H117" s="536" t="n"/>
      <c r="K117" s="342">
        <f>IF(B117="","Pending",IF(M117="","⚠️ Enter Code",IF(IFERROR(VLOOKUP(L117,DB_Agents!$B:$I,8,0),"")=M117,"Pending","🔒 BLOCKED — Wrong Code")))</f>
        <v/>
      </c>
      <c r="M117" s="491" t="n"/>
    </row>
    <row r="118" ht="15" customHeight="1" s="341">
      <c r="H118" s="536" t="n"/>
      <c r="K118" s="537">
        <f>IF(B118="","Pending",IF(M118="","⚠️ Enter Code",IF(IFERROR(VLOOKUP(L118,DB_Agents!$B:$I,8,0),"")=M118,"Pending","🔒 BLOCKED — Wrong Code")))</f>
        <v/>
      </c>
      <c r="M118" s="491" t="n"/>
    </row>
    <row r="119" ht="15" customHeight="1" s="341">
      <c r="H119" s="536" t="n"/>
      <c r="K119" s="342">
        <f>IF(B119="","Pending",IF(M119="","⚠️ Enter Code",IF(IFERROR(VLOOKUP(L119,DB_Agents!$B:$I,8,0),"")=M119,"Pending","🔒 BLOCKED — Wrong Code")))</f>
        <v/>
      </c>
      <c r="M119" s="491" t="n"/>
    </row>
    <row r="120" ht="15" customHeight="1" s="341">
      <c r="H120" s="536" t="n"/>
      <c r="K120" s="537">
        <f>IF(B120="","Pending",IF(M120="","⚠️ Enter Code",IF(IFERROR(VLOOKUP(L120,DB_Agents!$B:$I,8,0),"")=M120,"Pending","🔒 BLOCKED — Wrong Code")))</f>
        <v/>
      </c>
      <c r="M120" s="491" t="n"/>
    </row>
    <row r="121" ht="15" customHeight="1" s="341">
      <c r="H121" s="536" t="n"/>
      <c r="K121" s="342">
        <f>IF(B121="","Pending",IF(M121="","⚠️ Enter Code",IF(IFERROR(VLOOKUP(L121,DB_Agents!$B:$I,8,0),"")=M121,"Pending","🔒 BLOCKED — Wrong Code")))</f>
        <v/>
      </c>
      <c r="M121" s="491" t="n"/>
    </row>
    <row r="122" ht="15" customHeight="1" s="341">
      <c r="H122" s="536" t="n"/>
      <c r="K122" s="537">
        <f>IF(B122="","Pending",IF(M122="","⚠️ Enter Code",IF(IFERROR(VLOOKUP(L122,DB_Agents!$B:$I,8,0),"")=M122,"Pending","🔒 BLOCKED — Wrong Code")))</f>
        <v/>
      </c>
      <c r="M122" s="491" t="n"/>
    </row>
    <row r="123" ht="15" customHeight="1" s="341">
      <c r="H123" s="536" t="n"/>
      <c r="K123" s="342">
        <f>IF(B123="","Pending",IF(M123="","⚠️ Enter Code",IF(IFERROR(VLOOKUP(L123,DB_Agents!$B:$I,8,0),"")=M123,"Pending","🔒 BLOCKED — Wrong Code")))</f>
        <v/>
      </c>
      <c r="M123" s="491" t="n"/>
    </row>
    <row r="124" ht="15" customHeight="1" s="341">
      <c r="H124" s="536" t="n"/>
      <c r="K124" s="537">
        <f>IF(B124="","Pending",IF(M124="","⚠️ Enter Code",IF(IFERROR(VLOOKUP(L124,DB_Agents!$B:$I,8,0),"")=M124,"Pending","🔒 BLOCKED — Wrong Code")))</f>
        <v/>
      </c>
      <c r="M124" s="491" t="n"/>
    </row>
    <row r="125" ht="15" customHeight="1" s="341">
      <c r="H125" s="536" t="n"/>
      <c r="K125" s="342">
        <f>IF(B125="","Pending",IF(M125="","⚠️ Enter Code",IF(IFERROR(VLOOKUP(L125,DB_Agents!$B:$I,8,0),"")=M125,"Pending","🔒 BLOCKED — Wrong Code")))</f>
        <v/>
      </c>
      <c r="M125" s="491" t="n"/>
    </row>
    <row r="126" ht="15" customHeight="1" s="341">
      <c r="H126" s="536" t="n"/>
      <c r="K126" s="537">
        <f>IF(B126="","Pending",IF(M126="","⚠️ Enter Code",IF(IFERROR(VLOOKUP(L126,DB_Agents!$B:$I,8,0),"")=M126,"Pending","🔒 BLOCKED — Wrong Code")))</f>
        <v/>
      </c>
      <c r="M126" s="491" t="n"/>
    </row>
    <row r="127" ht="15" customHeight="1" s="341">
      <c r="H127" s="536" t="n"/>
      <c r="K127" s="342">
        <f>IF(B127="","Pending",IF(M127="","⚠️ Enter Code",IF(IFERROR(VLOOKUP(L127,DB_Agents!$B:$I,8,0),"")=M127,"Pending","🔒 BLOCKED — Wrong Code")))</f>
        <v/>
      </c>
      <c r="M127" s="491" t="n"/>
    </row>
    <row r="128" ht="15" customHeight="1" s="341">
      <c r="H128" s="536" t="n"/>
      <c r="K128" s="537">
        <f>IF(B128="","Pending",IF(M128="","⚠️ Enter Code",IF(IFERROR(VLOOKUP(L128,DB_Agents!$B:$I,8,0),"")=M128,"Pending","🔒 BLOCKED — Wrong Code")))</f>
        <v/>
      </c>
      <c r="M128" s="491" t="n"/>
    </row>
    <row r="129" ht="15" customHeight="1" s="341">
      <c r="H129" s="536" t="n"/>
      <c r="K129" s="342">
        <f>IF(B129="","Pending",IF(M129="","⚠️ Enter Code",IF(IFERROR(VLOOKUP(L129,DB_Agents!$B:$I,8,0),"")=M129,"Pending","🔒 BLOCKED — Wrong Code")))</f>
        <v/>
      </c>
      <c r="M129" s="491" t="n"/>
    </row>
    <row r="130" ht="15" customHeight="1" s="341">
      <c r="H130" s="536" t="n"/>
      <c r="K130" s="537">
        <f>IF(B130="","Pending",IF(M130="","⚠️ Enter Code",IF(IFERROR(VLOOKUP(L130,DB_Agents!$B:$I,8,0),"")=M130,"Pending","🔒 BLOCKED — Wrong Code")))</f>
        <v/>
      </c>
      <c r="M130" s="491" t="n"/>
    </row>
    <row r="131" ht="15" customHeight="1" s="341">
      <c r="H131" s="536" t="n"/>
      <c r="K131" s="342">
        <f>IF(B131="","Pending",IF(M131="","⚠️ Enter Code",IF(IFERROR(VLOOKUP(L131,DB_Agents!$B:$I,8,0),"")=M131,"Pending","🔒 BLOCKED — Wrong Code")))</f>
        <v/>
      </c>
      <c r="M131" s="491" t="n"/>
    </row>
    <row r="132" ht="15" customHeight="1" s="341">
      <c r="H132" s="536" t="n"/>
      <c r="K132" s="537">
        <f>IF(B132="","Pending",IF(M132="","⚠️ Enter Code",IF(IFERROR(VLOOKUP(L132,DB_Agents!$B:$I,8,0),"")=M132,"Pending","🔒 BLOCKED — Wrong Code")))</f>
        <v/>
      </c>
      <c r="M132" s="491" t="n"/>
    </row>
    <row r="133" ht="15" customHeight="1" s="341">
      <c r="H133" s="536" t="n"/>
      <c r="K133" s="342">
        <f>IF(B133="","Pending",IF(M133="","⚠️ Enter Code",IF(IFERROR(VLOOKUP(L133,DB_Agents!$B:$I,8,0),"")=M133,"Pending","🔒 BLOCKED — Wrong Code")))</f>
        <v/>
      </c>
      <c r="M133" s="491" t="n"/>
    </row>
    <row r="134" ht="15" customHeight="1" s="341">
      <c r="H134" s="536" t="n"/>
      <c r="K134" s="537">
        <f>IF(B134="","Pending",IF(M134="","⚠️ Enter Code",IF(IFERROR(VLOOKUP(L134,DB_Agents!$B:$I,8,0),"")=M134,"Pending","🔒 BLOCKED — Wrong Code")))</f>
        <v/>
      </c>
      <c r="M134" s="491" t="n"/>
    </row>
    <row r="135" ht="15" customHeight="1" s="341">
      <c r="H135" s="536" t="n"/>
      <c r="K135" s="342">
        <f>IF(B135="","Pending",IF(M135="","⚠️ Enter Code",IF(IFERROR(VLOOKUP(L135,DB_Agents!$B:$I,8,0),"")=M135,"Pending","🔒 BLOCKED — Wrong Code")))</f>
        <v/>
      </c>
      <c r="M135" s="491" t="n"/>
    </row>
    <row r="136" ht="15" customHeight="1" s="341">
      <c r="H136" s="536" t="n"/>
      <c r="K136" s="537">
        <f>IF(B136="","Pending",IF(M136="","⚠️ Enter Code",IF(IFERROR(VLOOKUP(L136,DB_Agents!$B:$I,8,0),"")=M136,"Pending","🔒 BLOCKED — Wrong Code")))</f>
        <v/>
      </c>
      <c r="M136" s="491" t="n"/>
    </row>
    <row r="137" ht="15" customHeight="1" s="341">
      <c r="H137" s="536" t="n"/>
      <c r="K137" s="342">
        <f>IF(B137="","Pending",IF(M137="","⚠️ Enter Code",IF(IFERROR(VLOOKUP(L137,DB_Agents!$B:$I,8,0),"")=M137,"Pending","🔒 BLOCKED — Wrong Code")))</f>
        <v/>
      </c>
      <c r="M137" s="491" t="n"/>
    </row>
    <row r="138" ht="15" customHeight="1" s="341">
      <c r="H138" s="536" t="n"/>
      <c r="K138" s="537">
        <f>IF(B138="","Pending",IF(M138="","⚠️ Enter Code",IF(IFERROR(VLOOKUP(L138,DB_Agents!$B:$I,8,0),"")=M138,"Pending","🔒 BLOCKED — Wrong Code")))</f>
        <v/>
      </c>
      <c r="M138" s="491" t="n"/>
    </row>
    <row r="139" ht="15" customHeight="1" s="341">
      <c r="H139" s="536" t="n"/>
      <c r="K139" s="342">
        <f>IF(B139="","Pending",IF(M139="","⚠️ Enter Code",IF(IFERROR(VLOOKUP(L139,DB_Agents!$B:$I,8,0),"")=M139,"Pending","🔒 BLOCKED — Wrong Code")))</f>
        <v/>
      </c>
      <c r="M139" s="491" t="n"/>
    </row>
    <row r="140" ht="15" customHeight="1" s="341">
      <c r="H140" s="536" t="n"/>
      <c r="K140" s="537">
        <f>IF(B140="","Pending",IF(M140="","⚠️ Enter Code",IF(IFERROR(VLOOKUP(L140,DB_Agents!$B:$I,8,0),"")=M140,"Pending","🔒 BLOCKED — Wrong Code")))</f>
        <v/>
      </c>
      <c r="M140" s="491" t="n"/>
    </row>
    <row r="141" ht="15" customHeight="1" s="341">
      <c r="H141" s="536" t="n"/>
      <c r="K141" s="342">
        <f>IF(B141="","Pending",IF(M141="","⚠️ Enter Code",IF(IFERROR(VLOOKUP(L141,DB_Agents!$B:$I,8,0),"")=M141,"Pending","🔒 BLOCKED — Wrong Code")))</f>
        <v/>
      </c>
      <c r="M141" s="491" t="n"/>
    </row>
    <row r="142" ht="15" customHeight="1" s="341">
      <c r="H142" s="536" t="n"/>
      <c r="K142" s="537">
        <f>IF(B142="","Pending",IF(M142="","⚠️ Enter Code",IF(IFERROR(VLOOKUP(L142,DB_Agents!$B:$I,8,0),"")=M142,"Pending","🔒 BLOCKED — Wrong Code")))</f>
        <v/>
      </c>
      <c r="M142" s="491" t="n"/>
    </row>
    <row r="143" ht="15" customHeight="1" s="341">
      <c r="H143" s="536" t="n"/>
      <c r="K143" s="342">
        <f>IF(B143="","Pending",IF(M143="","⚠️ Enter Code",IF(IFERROR(VLOOKUP(L143,DB_Agents!$B:$I,8,0),"")=M143,"Pending","🔒 BLOCKED — Wrong Code")))</f>
        <v/>
      </c>
      <c r="M143" s="491" t="n"/>
    </row>
    <row r="144" ht="15" customHeight="1" s="341">
      <c r="H144" s="536" t="n"/>
      <c r="K144" s="537">
        <f>IF(B144="","Pending",IF(M144="","⚠️ Enter Code",IF(IFERROR(VLOOKUP(L144,DB_Agents!$B:$I,8,0),"")=M144,"Pending","🔒 BLOCKED — Wrong Code")))</f>
        <v/>
      </c>
      <c r="M144" s="491" t="n"/>
    </row>
    <row r="145" ht="15" customHeight="1" s="341">
      <c r="H145" s="536" t="n"/>
      <c r="K145" s="342">
        <f>IF(B145="","Pending",IF(M145="","⚠️ Enter Code",IF(IFERROR(VLOOKUP(L145,DB_Agents!$B:$I,8,0),"")=M145,"Pending","🔒 BLOCKED — Wrong Code")))</f>
        <v/>
      </c>
      <c r="M145" s="491" t="n"/>
    </row>
    <row r="146" ht="15" customHeight="1" s="341">
      <c r="H146" s="536" t="n"/>
      <c r="K146" s="537">
        <f>IF(B146="","Pending",IF(M146="","⚠️ Enter Code",IF(IFERROR(VLOOKUP(L146,DB_Agents!$B:$I,8,0),"")=M146,"Pending","🔒 BLOCKED — Wrong Code")))</f>
        <v/>
      </c>
      <c r="M146" s="491" t="n"/>
    </row>
    <row r="147" ht="15" customHeight="1" s="341">
      <c r="H147" s="536" t="n"/>
      <c r="K147" s="342">
        <f>IF(B147="","Pending",IF(M147="","⚠️ Enter Code",IF(IFERROR(VLOOKUP(L147,DB_Agents!$B:$I,8,0),"")=M147,"Pending","🔒 BLOCKED — Wrong Code")))</f>
        <v/>
      </c>
      <c r="M147" s="491" t="n"/>
    </row>
    <row r="148" ht="15" customHeight="1" s="341">
      <c r="H148" s="536" t="n"/>
      <c r="K148" s="537">
        <f>IF(B148="","Pending",IF(M148="","⚠️ Enter Code",IF(IFERROR(VLOOKUP(L148,DB_Agents!$B:$I,8,0),"")=M148,"Pending","🔒 BLOCKED — Wrong Code")))</f>
        <v/>
      </c>
      <c r="M148" s="491" t="n"/>
    </row>
    <row r="149" ht="15" customHeight="1" s="341">
      <c r="H149" s="536" t="n"/>
      <c r="K149" s="342">
        <f>IF(B149="","Pending",IF(M149="","⚠️ Enter Code",IF(IFERROR(VLOOKUP(L149,DB_Agents!$B:$I,8,0),"")=M149,"Pending","🔒 BLOCKED — Wrong Code")))</f>
        <v/>
      </c>
      <c r="M149" s="491" t="n"/>
    </row>
    <row r="150" ht="15" customHeight="1" s="341">
      <c r="H150" s="536" t="n"/>
      <c r="K150" s="537">
        <f>IF(B150="","Pending",IF(M150="","⚠️ Enter Code",IF(IFERROR(VLOOKUP(L150,DB_Agents!$B:$I,8,0),"")=M150,"Pending","🔒 BLOCKED — Wrong Code")))</f>
        <v/>
      </c>
      <c r="M150" s="491" t="n"/>
    </row>
    <row r="151" ht="15" customHeight="1" s="341">
      <c r="H151" s="536" t="n"/>
      <c r="K151" s="342">
        <f>IF(B151="","Pending",IF(M151="","⚠️ Enter Code",IF(IFERROR(VLOOKUP(L151,DB_Agents!$B:$I,8,0),"")=M151,"Pending","🔒 BLOCKED — Wrong Code")))</f>
        <v/>
      </c>
      <c r="M151" s="491" t="n"/>
    </row>
    <row r="152" ht="15" customHeight="1" s="341">
      <c r="H152" s="536" t="n"/>
      <c r="K152" s="537">
        <f>IF(B152="","Pending",IF(M152="","⚠️ Enter Code",IF(IFERROR(VLOOKUP(L152,DB_Agents!$B:$I,8,0),"")=M152,"Pending","🔒 BLOCKED — Wrong Code")))</f>
        <v/>
      </c>
      <c r="M152" s="491" t="n"/>
    </row>
    <row r="153" ht="15" customHeight="1" s="341">
      <c r="H153" s="536" t="n"/>
      <c r="K153" s="342">
        <f>IF(B153="","Pending",IF(M153="","⚠️ Enter Code",IF(IFERROR(VLOOKUP(L153,DB_Agents!$B:$I,8,0),"")=M153,"Pending","🔒 BLOCKED — Wrong Code")))</f>
        <v/>
      </c>
      <c r="M153" s="491" t="n"/>
    </row>
    <row r="154" ht="15" customHeight="1" s="341">
      <c r="H154" s="536" t="n"/>
      <c r="K154" s="537">
        <f>IF(B154="","Pending",IF(M154="","⚠️ Enter Code",IF(IFERROR(VLOOKUP(L154,DB_Agents!$B:$I,8,0),"")=M154,"Pending","🔒 BLOCKED — Wrong Code")))</f>
        <v/>
      </c>
      <c r="M154" s="491" t="n"/>
    </row>
    <row r="155" ht="15" customHeight="1" s="341">
      <c r="H155" s="536" t="n"/>
      <c r="K155" s="342">
        <f>IF(B155="","Pending",IF(M155="","⚠️ Enter Code",IF(IFERROR(VLOOKUP(L155,DB_Agents!$B:$I,8,0),"")=M155,"Pending","🔒 BLOCKED — Wrong Code")))</f>
        <v/>
      </c>
      <c r="M155" s="491" t="n"/>
    </row>
    <row r="156" ht="15" customHeight="1" s="341">
      <c r="H156" s="536" t="n"/>
      <c r="K156" s="537">
        <f>IF(B156="","Pending",IF(M156="","⚠️ Enter Code",IF(IFERROR(VLOOKUP(L156,DB_Agents!$B:$I,8,0),"")=M156,"Pending","🔒 BLOCKED — Wrong Code")))</f>
        <v/>
      </c>
      <c r="M156" s="491" t="n"/>
    </row>
    <row r="157" ht="15" customHeight="1" s="341">
      <c r="H157" s="536" t="n"/>
      <c r="K157" s="342">
        <f>IF(B157="","Pending",IF(M157="","⚠️ Enter Code",IF(IFERROR(VLOOKUP(L157,DB_Agents!$B:$I,8,0),"")=M157,"Pending","🔒 BLOCKED — Wrong Code")))</f>
        <v/>
      </c>
      <c r="M157" s="491" t="n"/>
    </row>
    <row r="158" ht="15" customHeight="1" s="341">
      <c r="H158" s="536" t="n"/>
      <c r="K158" s="537">
        <f>IF(B158="","Pending",IF(M158="","⚠️ Enter Code",IF(IFERROR(VLOOKUP(L158,DB_Agents!$B:$I,8,0),"")=M158,"Pending","🔒 BLOCKED — Wrong Code")))</f>
        <v/>
      </c>
      <c r="M158" s="491" t="n"/>
    </row>
    <row r="159" ht="15" customHeight="1" s="341">
      <c r="H159" s="536" t="n"/>
      <c r="K159" s="342">
        <f>IF(B159="","Pending",IF(M159="","⚠️ Enter Code",IF(IFERROR(VLOOKUP(L159,DB_Agents!$B:$I,8,0),"")=M159,"Pending","🔒 BLOCKED — Wrong Code")))</f>
        <v/>
      </c>
      <c r="M159" s="491" t="n"/>
    </row>
    <row r="160" ht="15" customHeight="1" s="341">
      <c r="H160" s="536" t="n"/>
      <c r="K160" s="537">
        <f>IF(B160="","Pending",IF(M160="","⚠️ Enter Code",IF(IFERROR(VLOOKUP(L160,DB_Agents!$B:$I,8,0),"")=M160,"Pending","🔒 BLOCKED — Wrong Code")))</f>
        <v/>
      </c>
      <c r="M160" s="491" t="n"/>
    </row>
    <row r="161" ht="15" customHeight="1" s="341">
      <c r="H161" s="536" t="n"/>
      <c r="K161" s="342">
        <f>IF(B161="","Pending",IF(M161="","⚠️ Enter Code",IF(IFERROR(VLOOKUP(L161,DB_Agents!$B:$I,8,0),"")=M161,"Pending","🔒 BLOCKED — Wrong Code")))</f>
        <v/>
      </c>
      <c r="M161" s="491" t="n"/>
    </row>
    <row r="162" ht="15" customHeight="1" s="341">
      <c r="H162" s="536" t="n"/>
      <c r="K162" s="537">
        <f>IF(B162="","Pending",IF(M162="","⚠️ Enter Code",IF(IFERROR(VLOOKUP(L162,DB_Agents!$B:$I,8,0),"")=M162,"Pending","🔒 BLOCKED — Wrong Code")))</f>
        <v/>
      </c>
      <c r="M162" s="491" t="n"/>
    </row>
    <row r="163" ht="15" customHeight="1" s="341">
      <c r="H163" s="536" t="n"/>
      <c r="K163" s="342">
        <f>IF(B163="","Pending",IF(M163="","⚠️ Enter Code",IF(IFERROR(VLOOKUP(L163,DB_Agents!$B:$I,8,0),"")=M163,"Pending","🔒 BLOCKED — Wrong Code")))</f>
        <v/>
      </c>
      <c r="M163" s="491" t="n"/>
    </row>
    <row r="164" ht="15" customHeight="1" s="341">
      <c r="H164" s="536" t="n"/>
      <c r="K164" s="537">
        <f>IF(B164="","Pending",IF(M164="","⚠️ Enter Code",IF(IFERROR(VLOOKUP(L164,DB_Agents!$B:$I,8,0),"")=M164,"Pending","🔒 BLOCKED — Wrong Code")))</f>
        <v/>
      </c>
      <c r="M164" s="491" t="n"/>
    </row>
    <row r="165" ht="15" customHeight="1" s="341">
      <c r="H165" s="536" t="n"/>
      <c r="K165" s="342">
        <f>IF(B165="","Pending",IF(M165="","⚠️ Enter Code",IF(IFERROR(VLOOKUP(L165,DB_Agents!$B:$I,8,0),"")=M165,"Pending","🔒 BLOCKED — Wrong Code")))</f>
        <v/>
      </c>
      <c r="M165" s="491" t="n"/>
    </row>
    <row r="166" ht="15" customHeight="1" s="341">
      <c r="H166" s="536" t="n"/>
      <c r="K166" s="537">
        <f>IF(B166="","Pending",IF(M166="","⚠️ Enter Code",IF(IFERROR(VLOOKUP(L166,DB_Agents!$B:$I,8,0),"")=M166,"Pending","🔒 BLOCKED — Wrong Code")))</f>
        <v/>
      </c>
      <c r="M166" s="491" t="n"/>
    </row>
    <row r="167" ht="15" customHeight="1" s="341">
      <c r="H167" s="536" t="n"/>
      <c r="K167" s="342">
        <f>IF(B167="","Pending",IF(M167="","⚠️ Enter Code",IF(IFERROR(VLOOKUP(L167,DB_Agents!$B:$I,8,0),"")=M167,"Pending","🔒 BLOCKED — Wrong Code")))</f>
        <v/>
      </c>
      <c r="M167" s="491" t="n"/>
    </row>
    <row r="168" ht="15" customHeight="1" s="341">
      <c r="H168" s="536" t="n"/>
      <c r="K168" s="537">
        <f>IF(B168="","Pending",IF(M168="","⚠️ Enter Code",IF(IFERROR(VLOOKUP(L168,DB_Agents!$B:$I,8,0),"")=M168,"Pending","🔒 BLOCKED — Wrong Code")))</f>
        <v/>
      </c>
      <c r="M168" s="491" t="n"/>
    </row>
    <row r="169" ht="15" customHeight="1" s="341">
      <c r="H169" s="536" t="n"/>
      <c r="K169" s="342">
        <f>IF(B169="","Pending",IF(M169="","⚠️ Enter Code",IF(IFERROR(VLOOKUP(L169,DB_Agents!$B:$I,8,0),"")=M169,"Pending","🔒 BLOCKED — Wrong Code")))</f>
        <v/>
      </c>
      <c r="M169" s="491" t="n"/>
    </row>
    <row r="170" ht="15" customHeight="1" s="341">
      <c r="H170" s="536" t="n"/>
      <c r="K170" s="537">
        <f>IF(B170="","Pending",IF(M170="","⚠️ Enter Code",IF(IFERROR(VLOOKUP(L170,DB_Agents!$B:$I,8,0),"")=M170,"Pending","🔒 BLOCKED — Wrong Code")))</f>
        <v/>
      </c>
      <c r="M170" s="491" t="n"/>
    </row>
    <row r="171" ht="15" customHeight="1" s="341">
      <c r="H171" s="536" t="n"/>
      <c r="K171" s="342">
        <f>IF(B171="","Pending",IF(M171="","⚠️ Enter Code",IF(IFERROR(VLOOKUP(L171,DB_Agents!$B:$I,8,0),"")=M171,"Pending","🔒 BLOCKED — Wrong Code")))</f>
        <v/>
      </c>
      <c r="M171" s="491" t="n"/>
    </row>
    <row r="172" ht="15" customHeight="1" s="341">
      <c r="H172" s="536" t="n"/>
      <c r="K172" s="537">
        <f>IF(B172="","Pending",IF(M172="","⚠️ Enter Code",IF(IFERROR(VLOOKUP(L172,DB_Agents!$B:$I,8,0),"")=M172,"Pending","🔒 BLOCKED — Wrong Code")))</f>
        <v/>
      </c>
      <c r="M172" s="491" t="n"/>
    </row>
    <row r="173" ht="15" customHeight="1" s="341">
      <c r="H173" s="536" t="n"/>
      <c r="K173" s="342">
        <f>IF(B173="","Pending",IF(M173="","⚠️ Enter Code",IF(IFERROR(VLOOKUP(L173,DB_Agents!$B:$I,8,0),"")=M173,"Pending","🔒 BLOCKED — Wrong Code")))</f>
        <v/>
      </c>
      <c r="M173" s="491" t="n"/>
    </row>
    <row r="174" ht="15" customHeight="1" s="341">
      <c r="H174" s="536" t="n"/>
      <c r="K174" s="537">
        <f>IF(B174="","Pending",IF(M174="","⚠️ Enter Code",IF(IFERROR(VLOOKUP(L174,DB_Agents!$B:$I,8,0),"")=M174,"Pending","🔒 BLOCKED — Wrong Code")))</f>
        <v/>
      </c>
      <c r="M174" s="491" t="n"/>
    </row>
    <row r="175" ht="15" customHeight="1" s="341">
      <c r="H175" s="536" t="n"/>
      <c r="K175" s="342">
        <f>IF(B175="","Pending",IF(M175="","⚠️ Enter Code",IF(IFERROR(VLOOKUP(L175,DB_Agents!$B:$I,8,0),"")=M175,"Pending","🔒 BLOCKED — Wrong Code")))</f>
        <v/>
      </c>
      <c r="M175" s="491" t="n"/>
    </row>
    <row r="176" ht="15" customHeight="1" s="341">
      <c r="H176" s="536" t="n"/>
      <c r="K176" s="537">
        <f>IF(B176="","Pending",IF(M176="","⚠️ Enter Code",IF(IFERROR(VLOOKUP(L176,DB_Agents!$B:$I,8,0),"")=M176,"Pending","🔒 BLOCKED — Wrong Code")))</f>
        <v/>
      </c>
      <c r="M176" s="491" t="n"/>
    </row>
    <row r="177" ht="15" customHeight="1" s="341">
      <c r="H177" s="536" t="n"/>
      <c r="K177" s="342">
        <f>IF(B177="","Pending",IF(M177="","⚠️ Enter Code",IF(IFERROR(VLOOKUP(L177,DB_Agents!$B:$I,8,0),"")=M177,"Pending","🔒 BLOCKED — Wrong Code")))</f>
        <v/>
      </c>
      <c r="M177" s="491" t="n"/>
    </row>
    <row r="178" ht="15" customHeight="1" s="341">
      <c r="H178" s="536" t="n"/>
      <c r="K178" s="537">
        <f>IF(B178="","Pending",IF(M178="","⚠️ Enter Code",IF(IFERROR(VLOOKUP(L178,DB_Agents!$B:$I,8,0),"")=M178,"Pending","🔒 BLOCKED — Wrong Code")))</f>
        <v/>
      </c>
      <c r="M178" s="491" t="n"/>
    </row>
    <row r="179" ht="15" customHeight="1" s="341">
      <c r="H179" s="536" t="n"/>
      <c r="K179" s="342">
        <f>IF(B179="","Pending",IF(M179="","⚠️ Enter Code",IF(IFERROR(VLOOKUP(L179,DB_Agents!$B:$I,8,0),"")=M179,"Pending","🔒 BLOCKED — Wrong Code")))</f>
        <v/>
      </c>
      <c r="M179" s="491" t="n"/>
    </row>
    <row r="180" ht="15" customHeight="1" s="341">
      <c r="H180" s="536" t="n"/>
      <c r="K180" s="537">
        <f>IF(B180="","Pending",IF(M180="","⚠️ Enter Code",IF(IFERROR(VLOOKUP(L180,DB_Agents!$B:$I,8,0),"")=M180,"Pending","🔒 BLOCKED — Wrong Code")))</f>
        <v/>
      </c>
      <c r="M180" s="491" t="n"/>
    </row>
    <row r="181" ht="15" customHeight="1" s="341">
      <c r="H181" s="536" t="n"/>
      <c r="K181" s="342">
        <f>IF(B181="","Pending",IF(M181="","⚠️ Enter Code",IF(IFERROR(VLOOKUP(L181,DB_Agents!$B:$I,8,0),"")=M181,"Pending","🔒 BLOCKED — Wrong Code")))</f>
        <v/>
      </c>
      <c r="M181" s="491" t="n"/>
    </row>
    <row r="182" ht="15" customHeight="1" s="341">
      <c r="H182" s="536" t="n"/>
      <c r="K182" s="537">
        <f>IF(B182="","Pending",IF(M182="","⚠️ Enter Code",IF(IFERROR(VLOOKUP(L182,DB_Agents!$B:$I,8,0),"")=M182,"Pending","🔒 BLOCKED — Wrong Code")))</f>
        <v/>
      </c>
      <c r="M182" s="491" t="n"/>
    </row>
    <row r="183" ht="15" customHeight="1" s="341">
      <c r="H183" s="536" t="n"/>
      <c r="K183" s="342">
        <f>IF(B183="","Pending",IF(M183="","⚠️ Enter Code",IF(IFERROR(VLOOKUP(L183,DB_Agents!$B:$I,8,0),"")=M183,"Pending","🔒 BLOCKED — Wrong Code")))</f>
        <v/>
      </c>
      <c r="M183" s="491" t="n"/>
    </row>
    <row r="184" ht="15" customHeight="1" s="341">
      <c r="H184" s="536" t="n"/>
      <c r="K184" s="537">
        <f>IF(B184="","Pending",IF(M184="","⚠️ Enter Code",IF(IFERROR(VLOOKUP(L184,DB_Agents!$B:$I,8,0),"")=M184,"Pending","🔒 BLOCKED — Wrong Code")))</f>
        <v/>
      </c>
      <c r="M184" s="491" t="n"/>
    </row>
    <row r="185" ht="15" customHeight="1" s="341">
      <c r="H185" s="536" t="n"/>
      <c r="K185" s="342">
        <f>IF(B185="","Pending",IF(M185="","⚠️ Enter Code",IF(IFERROR(VLOOKUP(L185,DB_Agents!$B:$I,8,0),"")=M185,"Pending","🔒 BLOCKED — Wrong Code")))</f>
        <v/>
      </c>
      <c r="M185" s="491" t="n"/>
    </row>
    <row r="186" ht="15" customHeight="1" s="341">
      <c r="H186" s="536" t="n"/>
      <c r="K186" s="537">
        <f>IF(B186="","Pending",IF(M186="","⚠️ Enter Code",IF(IFERROR(VLOOKUP(L186,DB_Agents!$B:$I,8,0),"")=M186,"Pending","🔒 BLOCKED — Wrong Code")))</f>
        <v/>
      </c>
      <c r="M186" s="491" t="n"/>
    </row>
    <row r="187" ht="15" customHeight="1" s="341">
      <c r="H187" s="536" t="n"/>
      <c r="K187" s="342">
        <f>IF(B187="","Pending",IF(M187="","⚠️ Enter Code",IF(IFERROR(VLOOKUP(L187,DB_Agents!$B:$I,8,0),"")=M187,"Pending","🔒 BLOCKED — Wrong Code")))</f>
        <v/>
      </c>
      <c r="M187" s="491" t="n"/>
    </row>
    <row r="188" ht="15" customHeight="1" s="341">
      <c r="H188" s="536" t="n"/>
      <c r="K188" s="537">
        <f>IF(B188="","Pending",IF(M188="","⚠️ Enter Code",IF(IFERROR(VLOOKUP(L188,DB_Agents!$B:$I,8,0),"")=M188,"Pending","🔒 BLOCKED — Wrong Code")))</f>
        <v/>
      </c>
      <c r="M188" s="491" t="n"/>
    </row>
    <row r="189" ht="15" customHeight="1" s="341">
      <c r="H189" s="536" t="n"/>
      <c r="K189" s="342">
        <f>IF(B189="","Pending",IF(M189="","⚠️ Enter Code",IF(IFERROR(VLOOKUP(L189,DB_Agents!$B:$I,8,0),"")=M189,"Pending","🔒 BLOCKED — Wrong Code")))</f>
        <v/>
      </c>
      <c r="M189" s="491" t="n"/>
    </row>
    <row r="190" ht="15" customHeight="1" s="341">
      <c r="H190" s="536" t="n"/>
      <c r="K190" s="537">
        <f>IF(B190="","Pending",IF(M190="","⚠️ Enter Code",IF(IFERROR(VLOOKUP(L190,DB_Agents!$B:$I,8,0),"")=M190,"Pending","🔒 BLOCKED — Wrong Code")))</f>
        <v/>
      </c>
      <c r="M190" s="491" t="n"/>
    </row>
    <row r="191" ht="15" customHeight="1" s="341">
      <c r="H191" s="536" t="n"/>
      <c r="K191" s="342">
        <f>IF(B191="","Pending",IF(M191="","⚠️ Enter Code",IF(IFERROR(VLOOKUP(L191,DB_Agents!$B:$I,8,0),"")=M191,"Pending","🔒 BLOCKED — Wrong Code")))</f>
        <v/>
      </c>
      <c r="M191" s="491" t="n"/>
    </row>
    <row r="192" ht="15" customHeight="1" s="341">
      <c r="H192" s="536" t="n"/>
      <c r="K192" s="537">
        <f>IF(B192="","Pending",IF(M192="","⚠️ Enter Code",IF(IFERROR(VLOOKUP(L192,DB_Agents!$B:$I,8,0),"")=M192,"Pending","🔒 BLOCKED — Wrong Code")))</f>
        <v/>
      </c>
      <c r="M192" s="491" t="n"/>
    </row>
    <row r="193" ht="15" customHeight="1" s="341">
      <c r="H193" s="536" t="n"/>
      <c r="K193" s="342">
        <f>IF(B193="","Pending",IF(M193="","⚠️ Enter Code",IF(IFERROR(VLOOKUP(L193,DB_Agents!$B:$I,8,0),"")=M193,"Pending","🔒 BLOCKED — Wrong Code")))</f>
        <v/>
      </c>
      <c r="M193" s="491" t="n"/>
    </row>
    <row r="194" ht="15" customHeight="1" s="341">
      <c r="H194" s="536" t="n"/>
      <c r="K194" s="537">
        <f>IF(B194="","Pending",IF(M194="","⚠️ Enter Code",IF(IFERROR(VLOOKUP(L194,DB_Agents!$B:$I,8,0),"")=M194,"Pending","🔒 BLOCKED — Wrong Code")))</f>
        <v/>
      </c>
      <c r="M194" s="491" t="n"/>
    </row>
    <row r="195" ht="15" customHeight="1" s="341">
      <c r="H195" s="536" t="n"/>
      <c r="K195" s="342">
        <f>IF(B195="","Pending",IF(M195="","⚠️ Enter Code",IF(IFERROR(VLOOKUP(L195,DB_Agents!$B:$I,8,0),"")=M195,"Pending","🔒 BLOCKED — Wrong Code")))</f>
        <v/>
      </c>
      <c r="M195" s="491" t="n"/>
    </row>
    <row r="196" ht="15" customHeight="1" s="341">
      <c r="H196" s="536" t="n"/>
      <c r="K196" s="537">
        <f>IF(B196="","Pending",IF(M196="","⚠️ Enter Code",IF(IFERROR(VLOOKUP(L196,DB_Agents!$B:$I,8,0),"")=M196,"Pending","🔒 BLOCKED — Wrong Code")))</f>
        <v/>
      </c>
      <c r="M196" s="491" t="n"/>
    </row>
    <row r="197" ht="15" customHeight="1" s="341">
      <c r="H197" s="536" t="n"/>
      <c r="K197" s="342">
        <f>IF(B197="","Pending",IF(M197="","⚠️ Enter Code",IF(IFERROR(VLOOKUP(L197,DB_Agents!$B:$I,8,0),"")=M197,"Pending","🔒 BLOCKED — Wrong Code")))</f>
        <v/>
      </c>
      <c r="M197" s="491" t="n"/>
    </row>
    <row r="198" ht="15" customHeight="1" s="341">
      <c r="H198" s="536" t="n"/>
      <c r="K198" s="537">
        <f>IF(B198="","Pending",IF(M198="","⚠️ Enter Code",IF(IFERROR(VLOOKUP(L198,DB_Agents!$B:$I,8,0),"")=M198,"Pending","🔒 BLOCKED — Wrong Code")))</f>
        <v/>
      </c>
      <c r="M198" s="491" t="n"/>
    </row>
    <row r="199" ht="15" customHeight="1" s="341">
      <c r="H199" s="536" t="n"/>
      <c r="K199" s="342">
        <f>IF(B199="","Pending",IF(M199="","⚠️ Enter Code",IF(IFERROR(VLOOKUP(L199,DB_Agents!$B:$I,8,0),"")=M199,"Pending","🔒 BLOCKED — Wrong Code")))</f>
        <v/>
      </c>
      <c r="M199" s="491" t="n"/>
    </row>
    <row r="200" ht="15" customHeight="1" s="341">
      <c r="H200" s="536" t="n"/>
      <c r="K200" s="537">
        <f>IF(B200="","Pending",IF(M200="","⚠️ Enter Code",IF(IFERROR(VLOOKUP(L200,DB_Agents!$B:$I,8,0),"")=M200,"Pending","🔒 BLOCKED — Wrong Code")))</f>
        <v/>
      </c>
      <c r="M200" s="491" t="n"/>
    </row>
    <row r="201" ht="15" customHeight="1" s="341">
      <c r="K201" s="342">
        <f>IF(B201="","Pending",IF(M201="","⚠️ Enter Code",IF(IFERROR(VLOOKUP(L201,DB_Agents!$B:$I,8,0),"")=M201,"Pending","🔒 BLOCKED — Wrong Code")))</f>
        <v/>
      </c>
      <c r="M201" s="491" t="n"/>
    </row>
    <row r="202" ht="15" customHeight="1" s="341">
      <c r="K202" s="537">
        <f>IF(B202="","Pending",IF(M202="","⚠️ Enter Code",IF(IFERROR(VLOOKUP(L202,DB_Agents!$B:$I,8,0),"")=M202,"Pending","🔒 BLOCKED — Wrong Code")))</f>
        <v/>
      </c>
      <c r="M202" s="491" t="n"/>
    </row>
    <row r="203" ht="15" customHeight="1" s="341">
      <c r="K203" s="342">
        <f>IF(B203="","Pending",IF(M203="","⚠️ Enter Code",IF(IFERROR(VLOOKUP(L203,DB_Agents!$B:$I,8,0),"")=M203,"Pending","🔒 BLOCKED — Wrong Code")))</f>
        <v/>
      </c>
      <c r="M203" s="491" t="n"/>
    </row>
    <row r="204" ht="15" customHeight="1" s="341">
      <c r="K204" s="537">
        <f>IF(B204="","Pending",IF(M204="","⚠️ Enter Code",IF(IFERROR(VLOOKUP(L204,DB_Agents!$B:$I,8,0),"")=M204,"Pending","🔒 BLOCKED — Wrong Code")))</f>
        <v/>
      </c>
      <c r="M204" s="491" t="n"/>
    </row>
    <row r="205" ht="15" customHeight="1" s="341">
      <c r="K205" s="342">
        <f>IF(B205="","Pending",IF(M205="","⚠️ Enter Code",IF(IFERROR(VLOOKUP(L205,DB_Agents!$B:$I,8,0),"")=M205,"Pending","🔒 BLOCKED — Wrong Code")))</f>
        <v/>
      </c>
      <c r="M205" s="491" t="n"/>
    </row>
    <row r="206" ht="15" customHeight="1" s="341">
      <c r="K206" s="537">
        <f>IF(B206="","Pending",IF(M206="","⚠️ Enter Code",IF(IFERROR(VLOOKUP(L206,DB_Agents!$B:$I,8,0),"")=M206,"Pending","🔒 BLOCKED — Wrong Code")))</f>
        <v/>
      </c>
      <c r="M206" s="491" t="n"/>
    </row>
    <row r="207" ht="15" customHeight="1" s="341">
      <c r="K207" s="342">
        <f>IF(B207="","Pending",IF(M207="","⚠️ Enter Code",IF(IFERROR(VLOOKUP(L207,DB_Agents!$B:$I,8,0),"")=M207,"Pending","🔒 BLOCKED — Wrong Code")))</f>
        <v/>
      </c>
      <c r="M207" s="491" t="n"/>
    </row>
    <row r="208" ht="15" customHeight="1" s="341">
      <c r="K208" s="537">
        <f>IF(B208="","Pending",IF(M208="","⚠️ Enter Code",IF(IFERROR(VLOOKUP(L208,DB_Agents!$B:$I,8,0),"")=M208,"Pending","🔒 BLOCKED — Wrong Code")))</f>
        <v/>
      </c>
      <c r="M208" s="491" t="n"/>
    </row>
    <row r="209" ht="15" customHeight="1" s="341">
      <c r="K209" s="342">
        <f>IF(B209="","Pending",IF(M209="","⚠️ Enter Code",IF(IFERROR(VLOOKUP(L209,DB_Agents!$B:$I,8,0),"")=M209,"Pending","🔒 BLOCKED — Wrong Code")))</f>
        <v/>
      </c>
      <c r="M209" s="491" t="n"/>
    </row>
    <row r="210" ht="15" customHeight="1" s="341">
      <c r="K210" s="537">
        <f>IF(B210="","Pending",IF(M210="","⚠️ Enter Code",IF(IFERROR(VLOOKUP(L210,DB_Agents!$B:$I,8,0),"")=M210,"Pending","🔒 BLOCKED — Wrong Code")))</f>
        <v/>
      </c>
      <c r="M210" s="491" t="n"/>
    </row>
    <row r="211" ht="15" customHeight="1" s="341">
      <c r="K211" s="342">
        <f>IF(B211="","Pending",IF(M211="","⚠️ Enter Code",IF(IFERROR(VLOOKUP(L211,DB_Agents!$B:$I,8,0),"")=M211,"Pending","🔒 BLOCKED — Wrong Code")))</f>
        <v/>
      </c>
      <c r="M211" s="491" t="n"/>
    </row>
    <row r="212" ht="15" customHeight="1" s="341">
      <c r="K212" s="537">
        <f>IF(B212="","Pending",IF(M212="","⚠️ Enter Code",IF(IFERROR(VLOOKUP(L212,DB_Agents!$B:$I,8,0),"")=M212,"Pending","🔒 BLOCKED — Wrong Code")))</f>
        <v/>
      </c>
      <c r="M212" s="491" t="n"/>
    </row>
    <row r="213" ht="15" customHeight="1" s="341">
      <c r="K213" s="342">
        <f>IF(B213="","Pending",IF(M213="","⚠️ Enter Code",IF(IFERROR(VLOOKUP(L213,DB_Agents!$B:$I,8,0),"")=M213,"Pending","🔒 BLOCKED — Wrong Code")))</f>
        <v/>
      </c>
      <c r="M213" s="491" t="n"/>
    </row>
  </sheetData>
  <mergeCells count="10">
    <mergeCell ref="B10:D10"/>
    <mergeCell ref="B5:D5"/>
    <mergeCell ref="A12:N12"/>
    <mergeCell ref="A4:D4"/>
    <mergeCell ref="B8:D8"/>
    <mergeCell ref="A2:N2"/>
    <mergeCell ref="B9:D9"/>
    <mergeCell ref="B7:D7"/>
    <mergeCell ref="B6:D6"/>
    <mergeCell ref="A1:N1"/>
  </mergeCells>
  <conditionalFormatting sqref="K14:K113">
    <cfRule type="cellIs" rank="0" priority="2" equalAverage="0" operator="equal" aboveAverage="0" dxfId="0" text="" percent="0" bottom="0">
      <formula>"Approved"</formula>
    </cfRule>
    <cfRule type="cellIs" rank="0" priority="3" equalAverage="0" operator="equal" aboveAverage="0" dxfId="11" text="" percent="0" bottom="0">
      <formula>"Pending"</formula>
    </cfRule>
    <cfRule type="cellIs" rank="0" priority="4" equalAverage="0" operator="equal" aboveAverage="0" dxfId="1" text="" percent="0" bottom="0">
      <formula>"Rejected"</formula>
    </cfRule>
  </conditionalFormatting>
  <dataValidations count="2">
    <dataValidation sqref="G14:G113" showDropDown="0" showInputMessage="0" showErrorMessage="1" allowBlank="0" error="Enter 1-36 months" type="whole" errorStyle="stop" operator="between">
      <formula1>1</formula1>
      <formula2>36</formula2>
    </dataValidation>
    <dataValidation sqref="L14:L113"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2.xml><?xml version="1.0" encoding="utf-8"?>
<worksheet xmlns="http://schemas.openxmlformats.org/spreadsheetml/2006/main">
  <sheetPr filterMode="0">
    <tabColor rgb="FF27AE60"/>
    <outlinePr summaryBelow="1" summaryRight="1"/>
    <pageSetUpPr fitToPage="0"/>
  </sheetPr>
  <dimension ref="A1:L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2" customWidth="1" style="340" min="7" max="7"/>
    <col width="14" customWidth="1" style="340" min="8" max="8"/>
    <col width="22" customWidth="1" style="340" min="9" max="10"/>
  </cols>
  <sheetData>
    <row r="1" ht="31.5" customHeight="1" s="341">
      <c r="A1" s="409" t="inlineStr">
        <is>
          <t>💰  SAMICIOUS MICROFINANCE — AGENT03 SAVINGS</t>
        </is>
      </c>
    </row>
    <row r="2" ht="19.5" customHeight="1" s="341">
      <c r="A2" s="479" t="inlineStr">
        <is>
          <t>Agent: Agent 03  |  Enter Account # → All fields auto-populate  |  Status auto-sets to "Saved"  |  🔑 Security: Enter your 4-digit Agent Code in each row</t>
        </is>
      </c>
    </row>
    <row r="3" ht="18" customHeight="1" s="341">
      <c r="A3" s="364" t="inlineStr">
        <is>
          <t>💰 Total Collected Today</t>
        </is>
      </c>
      <c r="D3" s="367" t="inlineStr">
        <is>
          <t>📊 Transactions Today</t>
        </is>
      </c>
      <c r="G3" s="439" t="inlineStr">
        <is>
          <t>📅 Date</t>
        </is>
      </c>
      <c r="J3" s="340" t="n"/>
    </row>
    <row r="4" ht="27.75" customHeight="1" s="341">
      <c r="A4" s="480">
        <f>SUMIFS(DB_Savings!$F:$F,DB_Savings!$G:$G,"Agent 03",DB_Savings!$E:$E,TODAY())</f>
        <v/>
      </c>
      <c r="D4" s="481">
        <f>COUNTIFS(DB_Savings!$G:$G,"Agent 03",DB_Savings!$E:$E,TODAY())</f>
        <v/>
      </c>
      <c r="G4" s="482">
        <f>TEXT(TODAY(),"DDDD, DD MMMM YYYY")</f>
        <v/>
      </c>
      <c r="J4" s="340" t="n"/>
    </row>
    <row r="5" ht="21.75" customHeight="1" s="341">
      <c r="A5" s="483">
        <f>IF(SUMIFS(DB_Savings!$F:$F,DB_Savings!$G:$G,"Agent 03",DB_Savings!$E:$E,TODAY())&gt;=J4,"✅ DAILY TARGET ACHIEVED! Well done Agent 03!","⏳ Collection in progress — Keep going! Remaining: GHC "&amp;TEXT(J4-SUMIFS(DB_Savings!$F:$F,DB_Savings!$G:$G,"Agent 03",DB_Savings!$E:$E,TODAY()),"#,##0.00"))</f>
        <v/>
      </c>
    </row>
    <row r="6" ht="7.5" customHeight="1" s="341"/>
    <row r="7" ht="19.5" customHeight="1" s="341">
      <c r="A7" s="484" t="inlineStr">
        <is>
          <t>📝  ENTRY FORM — Enter Account Number in column A. All other fields auto-populate. Enter Savings Amount in column E then Tab to complete. | Enter Agent Code in 🔑 column to authorize each transaction.</t>
        </is>
      </c>
    </row>
    <row r="8" ht="19.5" customHeight="1" s="341">
      <c r="A8" s="377" t="inlineStr">
        <is>
          <t>Account #</t>
        </is>
      </c>
      <c r="B8" s="377" t="inlineStr">
        <is>
          <t>Customer Name</t>
        </is>
      </c>
      <c r="C8" s="377" t="inlineStr">
        <is>
          <t>Current Balance</t>
        </is>
      </c>
      <c r="D8" s="377" t="inlineStr">
        <is>
          <t>Date</t>
        </is>
      </c>
      <c r="E8" s="377" t="inlineStr">
        <is>
          <t>Savings Amount</t>
        </is>
      </c>
      <c r="F8" s="377" t="inlineStr">
        <is>
          <t>New Balance</t>
        </is>
      </c>
      <c r="G8" s="377" t="inlineStr">
        <is>
          <t>Agent</t>
        </is>
      </c>
      <c r="H8" s="485" t="inlineStr">
        <is>
          <t>🔑 Agent Code</t>
        </is>
      </c>
      <c r="I8" s="377" t="inlineStr">
        <is>
          <t>Status</t>
        </is>
      </c>
      <c r="J8" s="377" t="inlineStr">
        <is>
          <t>Saved At</t>
        </is>
      </c>
      <c r="K8" s="377" t="inlineStr">
        <is>
          <t>Notes</t>
        </is>
      </c>
    </row>
    <row r="9" ht="15" customHeight="1" s="341">
      <c r="A9" s="486" t="n"/>
      <c r="B9" s="378">
        <f>IF(A9="","",IFERROR(VLOOKUP(A9,DB_Customers!$A:$D,4,0),"❌ Account Not Found"))</f>
        <v/>
      </c>
      <c r="C9" s="487">
        <f>IF(A9="","",IFERROR(VLOOKUP(A9,DB_Customers!$A:$N,14,0),""))</f>
        <v/>
      </c>
      <c r="D9" s="488">
        <f>IF(A9="","",TODAY())</f>
        <v/>
      </c>
      <c r="E9" s="489" t="n"/>
      <c r="F9" s="490">
        <f>IF(OR(A9="",E9=""),"",IF(C9="","",C9+E9))</f>
        <v/>
      </c>
      <c r="G9" s="380" t="inlineStr">
        <is>
          <t>Agent 03</t>
        </is>
      </c>
      <c r="H9" s="491" t="n"/>
      <c r="I9" s="492">
        <f>IF(A9="","Pending",IF(H9="","⚠️ Enter Code",IF(IFERROR(VLOOKUP(G9,DB_Agents!$B:$I,8,0),"")=H9,IF(AND(A9&lt;&gt;"",E9&lt;&gt;""),"Saved","Pending"),"🔒 BLOCKED — Wrong Code")))</f>
        <v/>
      </c>
      <c r="J9" s="493">
        <f>IF(I9="Saved",TEXT(TODAY(),"YYYY-MM-DD")&amp;" Auto","—")</f>
        <v/>
      </c>
      <c r="K9" s="494" t="n"/>
    </row>
    <row r="10" ht="15" customHeight="1" s="341">
      <c r="A10" s="495" t="n"/>
      <c r="B10" s="382">
        <f>IF(A10="","",IFERROR(VLOOKUP(A10,DB_Customers!$A:$D,4,0),"❌ Account Not Found"))</f>
        <v/>
      </c>
      <c r="C10" s="496">
        <f>IF(A10="","",IFERROR(VLOOKUP(A10,DB_Customers!$A:$N,14,0),""))</f>
        <v/>
      </c>
      <c r="D10" s="497">
        <f>IF(A10="","",TODAY())</f>
        <v/>
      </c>
      <c r="E10" s="489" t="n"/>
      <c r="F10" s="498">
        <f>IF(OR(A10="",E10=""),"",IF(C10="","",C10+E10))</f>
        <v/>
      </c>
      <c r="G10" s="384" t="inlineStr">
        <is>
          <t>Agent 03</t>
        </is>
      </c>
      <c r="H10" s="491" t="n"/>
      <c r="I10" s="499">
        <f>IF(A10="","Pending",IF(H10="","⚠️ Enter Code",IF(IFERROR(VLOOKUP(G10,DB_Agents!$B:$I,8,0),"")=H10,IF(AND(A10&lt;&gt;"",E10&lt;&gt;""),"Saved","Pending"),"🔒 BLOCKED — Wrong Code")))</f>
        <v/>
      </c>
      <c r="J10" s="500">
        <f>IF(I10="Saved",TEXT(TODAY(),"YYYY-MM-DD")&amp;" Auto","—")</f>
        <v/>
      </c>
      <c r="K10" s="501" t="n"/>
    </row>
    <row r="11" ht="15" customHeight="1" s="341">
      <c r="A11" s="486" t="n"/>
      <c r="B11" s="378">
        <f>IF(A11="","",IFERROR(VLOOKUP(A11,DB_Customers!$A:$D,4,0),"❌ Account Not Found"))</f>
        <v/>
      </c>
      <c r="C11" s="487">
        <f>IF(A11="","",IFERROR(VLOOKUP(A11,DB_Customers!$A:$N,14,0),""))</f>
        <v/>
      </c>
      <c r="D11" s="488">
        <f>IF(A11="","",TODAY())</f>
        <v/>
      </c>
      <c r="E11" s="489" t="n"/>
      <c r="F11" s="490">
        <f>IF(OR(A11="",E11=""),"",IF(C11="","",C11+E11))</f>
        <v/>
      </c>
      <c r="G11" s="380" t="inlineStr">
        <is>
          <t>Agent 03</t>
        </is>
      </c>
      <c r="H11" s="491" t="n"/>
      <c r="I11" s="492">
        <f>IF(A11="","Pending",IF(H11="","⚠️ Enter Code",IF(IFERROR(VLOOKUP(G11,DB_Agents!$B:$I,8,0),"")=H11,IF(AND(A11&lt;&gt;"",E11&lt;&gt;""),"Saved","Pending"),"🔒 BLOCKED — Wrong Code")))</f>
        <v/>
      </c>
      <c r="J11" s="493">
        <f>IF(I11="Saved",TEXT(TODAY(),"YYYY-MM-DD")&amp;" Auto","—")</f>
        <v/>
      </c>
      <c r="K11" s="494" t="n"/>
    </row>
    <row r="12" ht="15" customHeight="1" s="341">
      <c r="A12" s="495" t="n"/>
      <c r="B12" s="382">
        <f>IF(A12="","",IFERROR(VLOOKUP(A12,DB_Customers!$A:$D,4,0),"❌ Account Not Found"))</f>
        <v/>
      </c>
      <c r="C12" s="496">
        <f>IF(A12="","",IFERROR(VLOOKUP(A12,DB_Customers!$A:$N,14,0),""))</f>
        <v/>
      </c>
      <c r="D12" s="497">
        <f>IF(A12="","",TODAY())</f>
        <v/>
      </c>
      <c r="E12" s="489" t="n"/>
      <c r="F12" s="498">
        <f>IF(OR(A12="",E12=""),"",IF(C12="","",C12+E12))</f>
        <v/>
      </c>
      <c r="G12" s="384" t="inlineStr">
        <is>
          <t>Agent 03</t>
        </is>
      </c>
      <c r="H12" s="491" t="n"/>
      <c r="I12" s="499">
        <f>IF(A12="","Pending",IF(H12="","⚠️ Enter Code",IF(IFERROR(VLOOKUP(G12,DB_Agents!$B:$I,8,0),"")=H12,IF(AND(A12&lt;&gt;"",E12&lt;&gt;""),"Saved","Pending"),"🔒 BLOCKED — Wrong Code")))</f>
        <v/>
      </c>
      <c r="J12" s="500">
        <f>IF(I12="Saved",TEXT(TODAY(),"YYYY-MM-DD")&amp;" Auto","—")</f>
        <v/>
      </c>
      <c r="K12" s="501" t="n"/>
    </row>
    <row r="13" ht="15" customHeight="1" s="341">
      <c r="A13" s="486" t="n"/>
      <c r="B13" s="378">
        <f>IF(A13="","",IFERROR(VLOOKUP(A13,DB_Customers!$A:$D,4,0),"❌ Account Not Found"))</f>
        <v/>
      </c>
      <c r="C13" s="487">
        <f>IF(A13="","",IFERROR(VLOOKUP(A13,DB_Customers!$A:$N,14,0),""))</f>
        <v/>
      </c>
      <c r="D13" s="488">
        <f>IF(A13="","",TODAY())</f>
        <v/>
      </c>
      <c r="E13" s="489" t="n"/>
      <c r="F13" s="490">
        <f>IF(OR(A13="",E13=""),"",IF(C13="","",C13+E13))</f>
        <v/>
      </c>
      <c r="G13" s="380" t="inlineStr">
        <is>
          <t>Agent 03</t>
        </is>
      </c>
      <c r="H13" s="491" t="n"/>
      <c r="I13" s="492">
        <f>IF(A13="","Pending",IF(H13="","⚠️ Enter Code",IF(IFERROR(VLOOKUP(G13,DB_Agents!$B:$I,8,0),"")=H13,IF(AND(A13&lt;&gt;"",E13&lt;&gt;""),"Saved","Pending"),"🔒 BLOCKED — Wrong Code")))</f>
        <v/>
      </c>
      <c r="J13" s="493">
        <f>IF(I13="Saved",TEXT(TODAY(),"YYYY-MM-DD")&amp;" Auto","—")</f>
        <v/>
      </c>
      <c r="K13" s="494" t="n"/>
    </row>
    <row r="14" ht="15" customHeight="1" s="341">
      <c r="A14" s="495" t="n"/>
      <c r="B14" s="382">
        <f>IF(A14="","",IFERROR(VLOOKUP(A14,DB_Customers!$A:$D,4,0),"❌ Account Not Found"))</f>
        <v/>
      </c>
      <c r="C14" s="496">
        <f>IF(A14="","",IFERROR(VLOOKUP(A14,DB_Customers!$A:$N,14,0),""))</f>
        <v/>
      </c>
      <c r="D14" s="497">
        <f>IF(A14="","",TODAY())</f>
        <v/>
      </c>
      <c r="E14" s="489" t="n"/>
      <c r="F14" s="498">
        <f>IF(OR(A14="",E14=""),"",IF(C14="","",C14+E14))</f>
        <v/>
      </c>
      <c r="G14" s="384" t="inlineStr">
        <is>
          <t>Agent 03</t>
        </is>
      </c>
      <c r="H14" s="491" t="n"/>
      <c r="I14" s="499">
        <f>IF(A14="","Pending",IF(H14="","⚠️ Enter Code",IF(IFERROR(VLOOKUP(G14,DB_Agents!$B:$I,8,0),"")=H14,IF(AND(A14&lt;&gt;"",E14&lt;&gt;""),"Saved","Pending"),"🔒 BLOCKED — Wrong Code")))</f>
        <v/>
      </c>
      <c r="J14" s="500">
        <f>IF(I14="Saved",TEXT(TODAY(),"YYYY-MM-DD")&amp;" Auto","—")</f>
        <v/>
      </c>
      <c r="K14" s="501" t="n"/>
    </row>
    <row r="15" ht="15" customHeight="1" s="341">
      <c r="A15" s="486" t="n"/>
      <c r="B15" s="378">
        <f>IF(A15="","",IFERROR(VLOOKUP(A15,DB_Customers!$A:$D,4,0),"❌ Account Not Found"))</f>
        <v/>
      </c>
      <c r="C15" s="487">
        <f>IF(A15="","",IFERROR(VLOOKUP(A15,DB_Customers!$A:$N,14,0),""))</f>
        <v/>
      </c>
      <c r="D15" s="488">
        <f>IF(A15="","",TODAY())</f>
        <v/>
      </c>
      <c r="E15" s="489" t="n"/>
      <c r="F15" s="490">
        <f>IF(OR(A15="",E15=""),"",IF(C15="","",C15+E15))</f>
        <v/>
      </c>
      <c r="G15" s="380" t="inlineStr">
        <is>
          <t>Agent 03</t>
        </is>
      </c>
      <c r="H15" s="491" t="n"/>
      <c r="I15" s="492">
        <f>IF(A15="","Pending",IF(H15="","⚠️ Enter Code",IF(IFERROR(VLOOKUP(G15,DB_Agents!$B:$I,8,0),"")=H15,IF(AND(A15&lt;&gt;"",E15&lt;&gt;""),"Saved","Pending"),"🔒 BLOCKED — Wrong Code")))</f>
        <v/>
      </c>
      <c r="J15" s="493">
        <f>IF(I15="Saved",TEXT(TODAY(),"YYYY-MM-DD")&amp;" Auto","—")</f>
        <v/>
      </c>
      <c r="K15" s="494" t="n"/>
    </row>
    <row r="16" ht="15" customHeight="1" s="341">
      <c r="A16" s="495" t="n"/>
      <c r="B16" s="382">
        <f>IF(A16="","",IFERROR(VLOOKUP(A16,DB_Customers!$A:$D,4,0),"❌ Account Not Found"))</f>
        <v/>
      </c>
      <c r="C16" s="496">
        <f>IF(A16="","",IFERROR(VLOOKUP(A16,DB_Customers!$A:$N,14,0),""))</f>
        <v/>
      </c>
      <c r="D16" s="497">
        <f>IF(A16="","",TODAY())</f>
        <v/>
      </c>
      <c r="E16" s="489" t="n"/>
      <c r="F16" s="498">
        <f>IF(OR(A16="",E16=""),"",IF(C16="","",C16+E16))</f>
        <v/>
      </c>
      <c r="G16" s="384" t="inlineStr">
        <is>
          <t>Agent 03</t>
        </is>
      </c>
      <c r="H16" s="491" t="n"/>
      <c r="I16" s="499">
        <f>IF(A16="","Pending",IF(H16="","⚠️ Enter Code",IF(IFERROR(VLOOKUP(G16,DB_Agents!$B:$I,8,0),"")=H16,IF(AND(A16&lt;&gt;"",E16&lt;&gt;""),"Saved","Pending"),"🔒 BLOCKED — Wrong Code")))</f>
        <v/>
      </c>
      <c r="J16" s="500">
        <f>IF(I16="Saved",TEXT(TODAY(),"YYYY-MM-DD")&amp;" Auto","—")</f>
        <v/>
      </c>
      <c r="K16" s="501" t="n"/>
    </row>
    <row r="17" ht="15" customHeight="1" s="341">
      <c r="A17" s="486" t="n"/>
      <c r="B17" s="378">
        <f>IF(A17="","",IFERROR(VLOOKUP(A17,DB_Customers!$A:$D,4,0),"❌ Account Not Found"))</f>
        <v/>
      </c>
      <c r="C17" s="487">
        <f>IF(A17="","",IFERROR(VLOOKUP(A17,DB_Customers!$A:$N,14,0),""))</f>
        <v/>
      </c>
      <c r="D17" s="488">
        <f>IF(A17="","",TODAY())</f>
        <v/>
      </c>
      <c r="E17" s="489" t="n"/>
      <c r="F17" s="490">
        <f>IF(OR(A17="",E17=""),"",IF(C17="","",C17+E17))</f>
        <v/>
      </c>
      <c r="G17" s="380" t="inlineStr">
        <is>
          <t>Agent 03</t>
        </is>
      </c>
      <c r="H17" s="491" t="n"/>
      <c r="I17" s="492">
        <f>IF(A17="","Pending",IF(H17="","⚠️ Enter Code",IF(IFERROR(VLOOKUP(G17,DB_Agents!$B:$I,8,0),"")=H17,IF(AND(A17&lt;&gt;"",E17&lt;&gt;""),"Saved","Pending"),"🔒 BLOCKED — Wrong Code")))</f>
        <v/>
      </c>
      <c r="J17" s="493">
        <f>IF(I17="Saved",TEXT(TODAY(),"YYYY-MM-DD")&amp;" Auto","—")</f>
        <v/>
      </c>
      <c r="K17" s="494" t="n"/>
    </row>
    <row r="18" ht="15" customHeight="1" s="341">
      <c r="A18" s="495" t="n"/>
      <c r="B18" s="382">
        <f>IF(A18="","",IFERROR(VLOOKUP(A18,DB_Customers!$A:$D,4,0),"❌ Account Not Found"))</f>
        <v/>
      </c>
      <c r="C18" s="496">
        <f>IF(A18="","",IFERROR(VLOOKUP(A18,DB_Customers!$A:$N,14,0),""))</f>
        <v/>
      </c>
      <c r="D18" s="497">
        <f>IF(A18="","",TODAY())</f>
        <v/>
      </c>
      <c r="E18" s="489" t="n"/>
      <c r="F18" s="498">
        <f>IF(OR(A18="",E18=""),"",IF(C18="","",C18+E18))</f>
        <v/>
      </c>
      <c r="G18" s="384" t="inlineStr">
        <is>
          <t>Agent 03</t>
        </is>
      </c>
      <c r="H18" s="491" t="n"/>
      <c r="I18" s="499">
        <f>IF(A18="","Pending",IF(H18="","⚠️ Enter Code",IF(IFERROR(VLOOKUP(G18,DB_Agents!$B:$I,8,0),"")=H18,IF(AND(A18&lt;&gt;"",E18&lt;&gt;""),"Saved","Pending"),"🔒 BLOCKED — Wrong Code")))</f>
        <v/>
      </c>
      <c r="J18" s="500">
        <f>IF(I18="Saved",TEXT(TODAY(),"YYYY-MM-DD")&amp;" Auto","—")</f>
        <v/>
      </c>
      <c r="K18" s="501" t="n"/>
    </row>
    <row r="19" ht="15" customHeight="1" s="341">
      <c r="A19" s="486" t="n"/>
      <c r="B19" s="378">
        <f>IF(A19="","",IFERROR(VLOOKUP(A19,DB_Customers!$A:$D,4,0),"❌ Account Not Found"))</f>
        <v/>
      </c>
      <c r="C19" s="487">
        <f>IF(A19="","",IFERROR(VLOOKUP(A19,DB_Customers!$A:$N,14,0),""))</f>
        <v/>
      </c>
      <c r="D19" s="488">
        <f>IF(A19="","",TODAY())</f>
        <v/>
      </c>
      <c r="E19" s="489" t="n"/>
      <c r="F19" s="490">
        <f>IF(OR(A19="",E19=""),"",IF(C19="","",C19+E19))</f>
        <v/>
      </c>
      <c r="G19" s="380" t="inlineStr">
        <is>
          <t>Agent 03</t>
        </is>
      </c>
      <c r="H19" s="491" t="n"/>
      <c r="I19" s="492">
        <f>IF(A19="","Pending",IF(H19="","⚠️ Enter Code",IF(IFERROR(VLOOKUP(G19,DB_Agents!$B:$I,8,0),"")=H19,IF(AND(A19&lt;&gt;"",E19&lt;&gt;""),"Saved","Pending"),"🔒 BLOCKED — Wrong Code")))</f>
        <v/>
      </c>
      <c r="J19" s="493">
        <f>IF(I19="Saved",TEXT(TODAY(),"YYYY-MM-DD")&amp;" Auto","—")</f>
        <v/>
      </c>
      <c r="K19" s="494" t="n"/>
    </row>
    <row r="20" ht="15" customHeight="1" s="341">
      <c r="A20" s="495" t="n"/>
      <c r="B20" s="382">
        <f>IF(A20="","",IFERROR(VLOOKUP(A20,DB_Customers!$A:$D,4,0),"❌ Account Not Found"))</f>
        <v/>
      </c>
      <c r="C20" s="496">
        <f>IF(A20="","",IFERROR(VLOOKUP(A20,DB_Customers!$A:$N,14,0),""))</f>
        <v/>
      </c>
      <c r="D20" s="497">
        <f>IF(A20="","",TODAY())</f>
        <v/>
      </c>
      <c r="E20" s="489" t="n"/>
      <c r="F20" s="498">
        <f>IF(OR(A20="",E20=""),"",IF(C20="","",C20+E20))</f>
        <v/>
      </c>
      <c r="G20" s="384" t="inlineStr">
        <is>
          <t>Agent 03</t>
        </is>
      </c>
      <c r="H20" s="491" t="n"/>
      <c r="I20" s="499">
        <f>IF(A20="","Pending",IF(H20="","⚠️ Enter Code",IF(IFERROR(VLOOKUP(G20,DB_Agents!$B:$I,8,0),"")=H20,IF(AND(A20&lt;&gt;"",E20&lt;&gt;""),"Saved","Pending"),"🔒 BLOCKED — Wrong Code")))</f>
        <v/>
      </c>
      <c r="J20" s="500">
        <f>IF(I20="Saved",TEXT(TODAY(),"YYYY-MM-DD")&amp;" Auto","—")</f>
        <v/>
      </c>
      <c r="K20" s="501" t="n"/>
    </row>
    <row r="21" ht="15" customHeight="1" s="341">
      <c r="A21" s="486" t="n"/>
      <c r="B21" s="378">
        <f>IF(A21="","",IFERROR(VLOOKUP(A21,DB_Customers!$A:$D,4,0),"❌ Account Not Found"))</f>
        <v/>
      </c>
      <c r="C21" s="487">
        <f>IF(A21="","",IFERROR(VLOOKUP(A21,DB_Customers!$A:$N,14,0),""))</f>
        <v/>
      </c>
      <c r="D21" s="488">
        <f>IF(A21="","",TODAY())</f>
        <v/>
      </c>
      <c r="E21" s="489" t="n"/>
      <c r="F21" s="490">
        <f>IF(OR(A21="",E21=""),"",IF(C21="","",C21+E21))</f>
        <v/>
      </c>
      <c r="G21" s="380" t="inlineStr">
        <is>
          <t>Agent 03</t>
        </is>
      </c>
      <c r="H21" s="491" t="n"/>
      <c r="I21" s="492">
        <f>IF(A21="","Pending",IF(H21="","⚠️ Enter Code",IF(IFERROR(VLOOKUP(G21,DB_Agents!$B:$I,8,0),"")=H21,IF(AND(A21&lt;&gt;"",E21&lt;&gt;""),"Saved","Pending"),"🔒 BLOCKED — Wrong Code")))</f>
        <v/>
      </c>
      <c r="J21" s="493">
        <f>IF(I21="Saved",TEXT(TODAY(),"YYYY-MM-DD")&amp;" Auto","—")</f>
        <v/>
      </c>
      <c r="K21" s="494" t="n"/>
    </row>
    <row r="22" ht="15" customHeight="1" s="341">
      <c r="A22" s="495" t="n"/>
      <c r="B22" s="382">
        <f>IF(A22="","",IFERROR(VLOOKUP(A22,DB_Customers!$A:$D,4,0),"❌ Account Not Found"))</f>
        <v/>
      </c>
      <c r="C22" s="496">
        <f>IF(A22="","",IFERROR(VLOOKUP(A22,DB_Customers!$A:$N,14,0),""))</f>
        <v/>
      </c>
      <c r="D22" s="497">
        <f>IF(A22="","",TODAY())</f>
        <v/>
      </c>
      <c r="E22" s="489" t="n"/>
      <c r="F22" s="498">
        <f>IF(OR(A22="",E22=""),"",IF(C22="","",C22+E22))</f>
        <v/>
      </c>
      <c r="G22" s="384" t="inlineStr">
        <is>
          <t>Agent 03</t>
        </is>
      </c>
      <c r="H22" s="491" t="n"/>
      <c r="I22" s="499">
        <f>IF(A22="","Pending",IF(H22="","⚠️ Enter Code",IF(IFERROR(VLOOKUP(G22,DB_Agents!$B:$I,8,0),"")=H22,IF(AND(A22&lt;&gt;"",E22&lt;&gt;""),"Saved","Pending"),"🔒 BLOCKED — Wrong Code")))</f>
        <v/>
      </c>
      <c r="J22" s="500">
        <f>IF(I22="Saved",TEXT(TODAY(),"YYYY-MM-DD")&amp;" Auto","—")</f>
        <v/>
      </c>
      <c r="K22" s="501" t="n"/>
    </row>
    <row r="23" ht="15" customHeight="1" s="341">
      <c r="A23" s="486" t="n"/>
      <c r="B23" s="378">
        <f>IF(A23="","",IFERROR(VLOOKUP(A23,DB_Customers!$A:$D,4,0),"❌ Account Not Found"))</f>
        <v/>
      </c>
      <c r="C23" s="487">
        <f>IF(A23="","",IFERROR(VLOOKUP(A23,DB_Customers!$A:$N,14,0),""))</f>
        <v/>
      </c>
      <c r="D23" s="488">
        <f>IF(A23="","",TODAY())</f>
        <v/>
      </c>
      <c r="E23" s="489" t="n"/>
      <c r="F23" s="490">
        <f>IF(OR(A23="",E23=""),"",IF(C23="","",C23+E23))</f>
        <v/>
      </c>
      <c r="G23" s="380" t="inlineStr">
        <is>
          <t>Agent 03</t>
        </is>
      </c>
      <c r="H23" s="491" t="n"/>
      <c r="I23" s="492">
        <f>IF(A23="","Pending",IF(H23="","⚠️ Enter Code",IF(IFERROR(VLOOKUP(G23,DB_Agents!$B:$I,8,0),"")=H23,IF(AND(A23&lt;&gt;"",E23&lt;&gt;""),"Saved","Pending"),"🔒 BLOCKED — Wrong Code")))</f>
        <v/>
      </c>
      <c r="J23" s="493">
        <f>IF(I23="Saved",TEXT(TODAY(),"YYYY-MM-DD")&amp;" Auto","—")</f>
        <v/>
      </c>
      <c r="K23" s="494" t="n"/>
    </row>
    <row r="24" ht="15" customHeight="1" s="341">
      <c r="A24" s="495" t="n"/>
      <c r="B24" s="382">
        <f>IF(A24="","",IFERROR(VLOOKUP(A24,DB_Customers!$A:$D,4,0),"❌ Account Not Found"))</f>
        <v/>
      </c>
      <c r="C24" s="496">
        <f>IF(A24="","",IFERROR(VLOOKUP(A24,DB_Customers!$A:$N,14,0),""))</f>
        <v/>
      </c>
      <c r="D24" s="497">
        <f>IF(A24="","",TODAY())</f>
        <v/>
      </c>
      <c r="E24" s="489" t="n"/>
      <c r="F24" s="498">
        <f>IF(OR(A24="",E24=""),"",IF(C24="","",C24+E24))</f>
        <v/>
      </c>
      <c r="G24" s="384" t="inlineStr">
        <is>
          <t>Agent 03</t>
        </is>
      </c>
      <c r="H24" s="491" t="n"/>
      <c r="I24" s="499">
        <f>IF(A24="","Pending",IF(H24="","⚠️ Enter Code",IF(IFERROR(VLOOKUP(G24,DB_Agents!$B:$I,8,0),"")=H24,IF(AND(A24&lt;&gt;"",E24&lt;&gt;""),"Saved","Pending"),"🔒 BLOCKED — Wrong Code")))</f>
        <v/>
      </c>
      <c r="J24" s="500">
        <f>IF(I24="Saved",TEXT(TODAY(),"YYYY-MM-DD")&amp;" Auto","—")</f>
        <v/>
      </c>
      <c r="K24" s="501" t="n"/>
    </row>
    <row r="25" ht="15" customHeight="1" s="341">
      <c r="A25" s="486" t="n"/>
      <c r="B25" s="378">
        <f>IF(A25="","",IFERROR(VLOOKUP(A25,DB_Customers!$A:$D,4,0),"❌ Account Not Found"))</f>
        <v/>
      </c>
      <c r="C25" s="487">
        <f>IF(A25="","",IFERROR(VLOOKUP(A25,DB_Customers!$A:$N,14,0),""))</f>
        <v/>
      </c>
      <c r="D25" s="488">
        <f>IF(A25="","",TODAY())</f>
        <v/>
      </c>
      <c r="E25" s="489" t="n"/>
      <c r="F25" s="490">
        <f>IF(OR(A25="",E25=""),"",IF(C25="","",C25+E25))</f>
        <v/>
      </c>
      <c r="G25" s="380" t="inlineStr">
        <is>
          <t>Agent 03</t>
        </is>
      </c>
      <c r="H25" s="491" t="n"/>
      <c r="I25" s="492">
        <f>IF(A25="","Pending",IF(H25="","⚠️ Enter Code",IF(IFERROR(VLOOKUP(G25,DB_Agents!$B:$I,8,0),"")=H25,IF(AND(A25&lt;&gt;"",E25&lt;&gt;""),"Saved","Pending"),"🔒 BLOCKED — Wrong Code")))</f>
        <v/>
      </c>
      <c r="J25" s="493">
        <f>IF(I25="Saved",TEXT(TODAY(),"YYYY-MM-DD")&amp;" Auto","—")</f>
        <v/>
      </c>
      <c r="K25" s="494" t="n"/>
    </row>
    <row r="26" ht="15" customHeight="1" s="341">
      <c r="A26" s="495" t="n"/>
      <c r="B26" s="382">
        <f>IF(A26="","",IFERROR(VLOOKUP(A26,DB_Customers!$A:$D,4,0),"❌ Account Not Found"))</f>
        <v/>
      </c>
      <c r="C26" s="496">
        <f>IF(A26="","",IFERROR(VLOOKUP(A26,DB_Customers!$A:$N,14,0),""))</f>
        <v/>
      </c>
      <c r="D26" s="497">
        <f>IF(A26="","",TODAY())</f>
        <v/>
      </c>
      <c r="E26" s="489" t="n"/>
      <c r="F26" s="498">
        <f>IF(OR(A26="",E26=""),"",IF(C26="","",C26+E26))</f>
        <v/>
      </c>
      <c r="G26" s="384" t="inlineStr">
        <is>
          <t>Agent 03</t>
        </is>
      </c>
      <c r="H26" s="491" t="n"/>
      <c r="I26" s="499">
        <f>IF(A26="","Pending",IF(H26="","⚠️ Enter Code",IF(IFERROR(VLOOKUP(G26,DB_Agents!$B:$I,8,0),"")=H26,IF(AND(A26&lt;&gt;"",E26&lt;&gt;""),"Saved","Pending"),"🔒 BLOCKED — Wrong Code")))</f>
        <v/>
      </c>
      <c r="J26" s="500">
        <f>IF(I26="Saved",TEXT(TODAY(),"YYYY-MM-DD")&amp;" Auto","—")</f>
        <v/>
      </c>
      <c r="K26" s="501" t="n"/>
    </row>
    <row r="27" ht="15" customHeight="1" s="341">
      <c r="A27" s="486" t="n"/>
      <c r="B27" s="378">
        <f>IF(A27="","",IFERROR(VLOOKUP(A27,DB_Customers!$A:$D,4,0),"❌ Account Not Found"))</f>
        <v/>
      </c>
      <c r="C27" s="487">
        <f>IF(A27="","",IFERROR(VLOOKUP(A27,DB_Customers!$A:$N,14,0),""))</f>
        <v/>
      </c>
      <c r="D27" s="488">
        <f>IF(A27="","",TODAY())</f>
        <v/>
      </c>
      <c r="E27" s="489" t="n"/>
      <c r="F27" s="490">
        <f>IF(OR(A27="",E27=""),"",IF(C27="","",C27+E27))</f>
        <v/>
      </c>
      <c r="G27" s="380" t="inlineStr">
        <is>
          <t>Agent 03</t>
        </is>
      </c>
      <c r="H27" s="491" t="n"/>
      <c r="I27" s="492">
        <f>IF(A27="","Pending",IF(H27="","⚠️ Enter Code",IF(IFERROR(VLOOKUP(G27,DB_Agents!$B:$I,8,0),"")=H27,IF(AND(A27&lt;&gt;"",E27&lt;&gt;""),"Saved","Pending"),"🔒 BLOCKED — Wrong Code")))</f>
        <v/>
      </c>
      <c r="J27" s="493">
        <f>IF(I27="Saved",TEXT(TODAY(),"YYYY-MM-DD")&amp;" Auto","—")</f>
        <v/>
      </c>
      <c r="K27" s="494" t="n"/>
    </row>
    <row r="28" ht="15" customHeight="1" s="341">
      <c r="A28" s="495" t="n"/>
      <c r="B28" s="382">
        <f>IF(A28="","",IFERROR(VLOOKUP(A28,DB_Customers!$A:$D,4,0),"❌ Account Not Found"))</f>
        <v/>
      </c>
      <c r="C28" s="496">
        <f>IF(A28="","",IFERROR(VLOOKUP(A28,DB_Customers!$A:$N,14,0),""))</f>
        <v/>
      </c>
      <c r="D28" s="497">
        <f>IF(A28="","",TODAY())</f>
        <v/>
      </c>
      <c r="E28" s="489" t="n"/>
      <c r="F28" s="498">
        <f>IF(OR(A28="",E28=""),"",IF(C28="","",C28+E28))</f>
        <v/>
      </c>
      <c r="G28" s="384" t="inlineStr">
        <is>
          <t>Agent 03</t>
        </is>
      </c>
      <c r="H28" s="491" t="n"/>
      <c r="I28" s="499">
        <f>IF(A28="","Pending",IF(H28="","⚠️ Enter Code",IF(IFERROR(VLOOKUP(G28,DB_Agents!$B:$I,8,0),"")=H28,IF(AND(A28&lt;&gt;"",E28&lt;&gt;""),"Saved","Pending"),"🔒 BLOCKED — Wrong Code")))</f>
        <v/>
      </c>
      <c r="J28" s="500">
        <f>IF(I28="Saved",TEXT(TODAY(),"YYYY-MM-DD")&amp;" Auto","—")</f>
        <v/>
      </c>
      <c r="K28" s="501" t="n"/>
    </row>
    <row r="29" ht="15" customHeight="1" s="341">
      <c r="A29" s="486" t="n"/>
      <c r="B29" s="378">
        <f>IF(A29="","",IFERROR(VLOOKUP(A29,DB_Customers!$A:$D,4,0),"❌ Account Not Found"))</f>
        <v/>
      </c>
      <c r="C29" s="487">
        <f>IF(A29="","",IFERROR(VLOOKUP(A29,DB_Customers!$A:$N,14,0),""))</f>
        <v/>
      </c>
      <c r="D29" s="488">
        <f>IF(A29="","",TODAY())</f>
        <v/>
      </c>
      <c r="E29" s="489" t="n"/>
      <c r="F29" s="490">
        <f>IF(OR(A29="",E29=""),"",IF(C29="","",C29+E29))</f>
        <v/>
      </c>
      <c r="G29" s="380" t="inlineStr">
        <is>
          <t>Agent 03</t>
        </is>
      </c>
      <c r="H29" s="491" t="n"/>
      <c r="I29" s="492">
        <f>IF(A29="","Pending",IF(H29="","⚠️ Enter Code",IF(IFERROR(VLOOKUP(G29,DB_Agents!$B:$I,8,0),"")=H29,IF(AND(A29&lt;&gt;"",E29&lt;&gt;""),"Saved","Pending"),"🔒 BLOCKED — Wrong Code")))</f>
        <v/>
      </c>
      <c r="J29" s="493">
        <f>IF(I29="Saved",TEXT(TODAY(),"YYYY-MM-DD")&amp;" Auto","—")</f>
        <v/>
      </c>
      <c r="K29" s="494" t="n"/>
    </row>
    <row r="30" ht="15" customHeight="1" s="341">
      <c r="A30" s="495" t="n"/>
      <c r="B30" s="382">
        <f>IF(A30="","",IFERROR(VLOOKUP(A30,DB_Customers!$A:$D,4,0),"❌ Account Not Found"))</f>
        <v/>
      </c>
      <c r="C30" s="496">
        <f>IF(A30="","",IFERROR(VLOOKUP(A30,DB_Customers!$A:$N,14,0),""))</f>
        <v/>
      </c>
      <c r="D30" s="497">
        <f>IF(A30="","",TODAY())</f>
        <v/>
      </c>
      <c r="E30" s="489" t="n"/>
      <c r="F30" s="498">
        <f>IF(OR(A30="",E30=""),"",IF(C30="","",C30+E30))</f>
        <v/>
      </c>
      <c r="G30" s="384" t="inlineStr">
        <is>
          <t>Agent 03</t>
        </is>
      </c>
      <c r="H30" s="491" t="n"/>
      <c r="I30" s="499">
        <f>IF(A30="","Pending",IF(H30="","⚠️ Enter Code",IF(IFERROR(VLOOKUP(G30,DB_Agents!$B:$I,8,0),"")=H30,IF(AND(A30&lt;&gt;"",E30&lt;&gt;""),"Saved","Pending"),"🔒 BLOCKED — Wrong Code")))</f>
        <v/>
      </c>
      <c r="J30" s="500">
        <f>IF(I30="Saved",TEXT(TODAY(),"YYYY-MM-DD")&amp;" Auto","—")</f>
        <v/>
      </c>
      <c r="K30" s="501" t="n"/>
    </row>
    <row r="31" ht="15" customHeight="1" s="341">
      <c r="A31" s="486" t="n"/>
      <c r="B31" s="378">
        <f>IF(A31="","",IFERROR(VLOOKUP(A31,DB_Customers!$A:$D,4,0),"❌ Account Not Found"))</f>
        <v/>
      </c>
      <c r="C31" s="487">
        <f>IF(A31="","",IFERROR(VLOOKUP(A31,DB_Customers!$A:$N,14,0),""))</f>
        <v/>
      </c>
      <c r="D31" s="488">
        <f>IF(A31="","",TODAY())</f>
        <v/>
      </c>
      <c r="E31" s="489" t="n"/>
      <c r="F31" s="490">
        <f>IF(OR(A31="",E31=""),"",IF(C31="","",C31+E31))</f>
        <v/>
      </c>
      <c r="G31" s="380" t="inlineStr">
        <is>
          <t>Agent 03</t>
        </is>
      </c>
      <c r="H31" s="491" t="n"/>
      <c r="I31" s="492">
        <f>IF(A31="","Pending",IF(H31="","⚠️ Enter Code",IF(IFERROR(VLOOKUP(G31,DB_Agents!$B:$I,8,0),"")=H31,IF(AND(A31&lt;&gt;"",E31&lt;&gt;""),"Saved","Pending"),"🔒 BLOCKED — Wrong Code")))</f>
        <v/>
      </c>
      <c r="J31" s="493">
        <f>IF(I31="Saved",TEXT(TODAY(),"YYYY-MM-DD")&amp;" Auto","—")</f>
        <v/>
      </c>
      <c r="K31" s="494" t="n"/>
    </row>
    <row r="32" ht="15" customHeight="1" s="341">
      <c r="A32" s="495" t="n"/>
      <c r="B32" s="382">
        <f>IF(A32="","",IFERROR(VLOOKUP(A32,DB_Customers!$A:$D,4,0),"❌ Account Not Found"))</f>
        <v/>
      </c>
      <c r="C32" s="496">
        <f>IF(A32="","",IFERROR(VLOOKUP(A32,DB_Customers!$A:$N,14,0),""))</f>
        <v/>
      </c>
      <c r="D32" s="497">
        <f>IF(A32="","",TODAY())</f>
        <v/>
      </c>
      <c r="E32" s="489" t="n"/>
      <c r="F32" s="498">
        <f>IF(OR(A32="",E32=""),"",IF(C32="","",C32+E32))</f>
        <v/>
      </c>
      <c r="G32" s="384" t="inlineStr">
        <is>
          <t>Agent 03</t>
        </is>
      </c>
      <c r="H32" s="491" t="n"/>
      <c r="I32" s="499">
        <f>IF(A32="","Pending",IF(H32="","⚠️ Enter Code",IF(IFERROR(VLOOKUP(G32,DB_Agents!$B:$I,8,0),"")=H32,IF(AND(A32&lt;&gt;"",E32&lt;&gt;""),"Saved","Pending"),"🔒 BLOCKED — Wrong Code")))</f>
        <v/>
      </c>
      <c r="J32" s="500">
        <f>IF(I32="Saved",TEXT(TODAY(),"YYYY-MM-DD")&amp;" Auto","—")</f>
        <v/>
      </c>
      <c r="K32" s="501" t="n"/>
    </row>
    <row r="33" ht="15" customHeight="1" s="341">
      <c r="A33" s="486" t="n"/>
      <c r="B33" s="378">
        <f>IF(A33="","",IFERROR(VLOOKUP(A33,DB_Customers!$A:$D,4,0),"❌ Account Not Found"))</f>
        <v/>
      </c>
      <c r="C33" s="487">
        <f>IF(A33="","",IFERROR(VLOOKUP(A33,DB_Customers!$A:$N,14,0),""))</f>
        <v/>
      </c>
      <c r="D33" s="488">
        <f>IF(A33="","",TODAY())</f>
        <v/>
      </c>
      <c r="E33" s="489" t="n"/>
      <c r="F33" s="490">
        <f>IF(OR(A33="",E33=""),"",IF(C33="","",C33+E33))</f>
        <v/>
      </c>
      <c r="G33" s="380" t="inlineStr">
        <is>
          <t>Agent 03</t>
        </is>
      </c>
      <c r="H33" s="491" t="n"/>
      <c r="I33" s="492">
        <f>IF(A33="","Pending",IF(H33="","⚠️ Enter Code",IF(IFERROR(VLOOKUP(G33,DB_Agents!$B:$I,8,0),"")=H33,IF(AND(A33&lt;&gt;"",E33&lt;&gt;""),"Saved","Pending"),"🔒 BLOCKED — Wrong Code")))</f>
        <v/>
      </c>
      <c r="J33" s="493">
        <f>IF(I33="Saved",TEXT(TODAY(),"YYYY-MM-DD")&amp;" Auto","—")</f>
        <v/>
      </c>
      <c r="K33" s="494" t="n"/>
    </row>
    <row r="34" ht="15" customHeight="1" s="341">
      <c r="A34" s="495" t="n"/>
      <c r="B34" s="382">
        <f>IF(A34="","",IFERROR(VLOOKUP(A34,DB_Customers!$A:$D,4,0),"❌ Account Not Found"))</f>
        <v/>
      </c>
      <c r="C34" s="496">
        <f>IF(A34="","",IFERROR(VLOOKUP(A34,DB_Customers!$A:$N,14,0),""))</f>
        <v/>
      </c>
      <c r="D34" s="497">
        <f>IF(A34="","",TODAY())</f>
        <v/>
      </c>
      <c r="E34" s="489" t="n"/>
      <c r="F34" s="498">
        <f>IF(OR(A34="",E34=""),"",IF(C34="","",C34+E34))</f>
        <v/>
      </c>
      <c r="G34" s="384" t="inlineStr">
        <is>
          <t>Agent 03</t>
        </is>
      </c>
      <c r="H34" s="491" t="n"/>
      <c r="I34" s="499">
        <f>IF(A34="","Pending",IF(H34="","⚠️ Enter Code",IF(IFERROR(VLOOKUP(G34,DB_Agents!$B:$I,8,0),"")=H34,IF(AND(A34&lt;&gt;"",E34&lt;&gt;""),"Saved","Pending"),"🔒 BLOCKED — Wrong Code")))</f>
        <v/>
      </c>
      <c r="J34" s="500">
        <f>IF(I34="Saved",TEXT(TODAY(),"YYYY-MM-DD")&amp;" Auto","—")</f>
        <v/>
      </c>
      <c r="K34" s="501" t="n"/>
    </row>
    <row r="35" ht="15" customHeight="1" s="341">
      <c r="A35" s="486" t="n"/>
      <c r="B35" s="378">
        <f>IF(A35="","",IFERROR(VLOOKUP(A35,DB_Customers!$A:$D,4,0),"❌ Account Not Found"))</f>
        <v/>
      </c>
      <c r="C35" s="487">
        <f>IF(A35="","",IFERROR(VLOOKUP(A35,DB_Customers!$A:$N,14,0),""))</f>
        <v/>
      </c>
      <c r="D35" s="488">
        <f>IF(A35="","",TODAY())</f>
        <v/>
      </c>
      <c r="E35" s="489" t="n"/>
      <c r="F35" s="490">
        <f>IF(OR(A35="",E35=""),"",IF(C35="","",C35+E35))</f>
        <v/>
      </c>
      <c r="G35" s="380" t="inlineStr">
        <is>
          <t>Agent 03</t>
        </is>
      </c>
      <c r="H35" s="491" t="n"/>
      <c r="I35" s="492">
        <f>IF(A35="","Pending",IF(H35="","⚠️ Enter Code",IF(IFERROR(VLOOKUP(G35,DB_Agents!$B:$I,8,0),"")=H35,IF(AND(A35&lt;&gt;"",E35&lt;&gt;""),"Saved","Pending"),"🔒 BLOCKED — Wrong Code")))</f>
        <v/>
      </c>
      <c r="J35" s="493">
        <f>IF(I35="Saved",TEXT(TODAY(),"YYYY-MM-DD")&amp;" Auto","—")</f>
        <v/>
      </c>
      <c r="K35" s="494" t="n"/>
    </row>
    <row r="36" ht="15" customHeight="1" s="341">
      <c r="A36" s="495" t="n"/>
      <c r="B36" s="382">
        <f>IF(A36="","",IFERROR(VLOOKUP(A36,DB_Customers!$A:$D,4,0),"❌ Account Not Found"))</f>
        <v/>
      </c>
      <c r="C36" s="496">
        <f>IF(A36="","",IFERROR(VLOOKUP(A36,DB_Customers!$A:$N,14,0),""))</f>
        <v/>
      </c>
      <c r="D36" s="497">
        <f>IF(A36="","",TODAY())</f>
        <v/>
      </c>
      <c r="E36" s="489" t="n"/>
      <c r="F36" s="498">
        <f>IF(OR(A36="",E36=""),"",IF(C36="","",C36+E36))</f>
        <v/>
      </c>
      <c r="G36" s="384" t="inlineStr">
        <is>
          <t>Agent 03</t>
        </is>
      </c>
      <c r="H36" s="491" t="n"/>
      <c r="I36" s="499">
        <f>IF(A36="","Pending",IF(H36="","⚠️ Enter Code",IF(IFERROR(VLOOKUP(G36,DB_Agents!$B:$I,8,0),"")=H36,IF(AND(A36&lt;&gt;"",E36&lt;&gt;""),"Saved","Pending"),"🔒 BLOCKED — Wrong Code")))</f>
        <v/>
      </c>
      <c r="J36" s="500">
        <f>IF(I36="Saved",TEXT(TODAY(),"YYYY-MM-DD")&amp;" Auto","—")</f>
        <v/>
      </c>
      <c r="K36" s="501" t="n"/>
    </row>
    <row r="37" ht="15" customHeight="1" s="341">
      <c r="A37" s="486" t="n"/>
      <c r="B37" s="378">
        <f>IF(A37="","",IFERROR(VLOOKUP(A37,DB_Customers!$A:$D,4,0),"❌ Account Not Found"))</f>
        <v/>
      </c>
      <c r="C37" s="487">
        <f>IF(A37="","",IFERROR(VLOOKUP(A37,DB_Customers!$A:$N,14,0),""))</f>
        <v/>
      </c>
      <c r="D37" s="488">
        <f>IF(A37="","",TODAY())</f>
        <v/>
      </c>
      <c r="E37" s="489" t="n"/>
      <c r="F37" s="490">
        <f>IF(OR(A37="",E37=""),"",IF(C37="","",C37+E37))</f>
        <v/>
      </c>
      <c r="G37" s="380" t="inlineStr">
        <is>
          <t>Agent 03</t>
        </is>
      </c>
      <c r="H37" s="491" t="n"/>
      <c r="I37" s="492">
        <f>IF(A37="","Pending",IF(H37="","⚠️ Enter Code",IF(IFERROR(VLOOKUP(G37,DB_Agents!$B:$I,8,0),"")=H37,IF(AND(A37&lt;&gt;"",E37&lt;&gt;""),"Saved","Pending"),"🔒 BLOCKED — Wrong Code")))</f>
        <v/>
      </c>
      <c r="J37" s="493">
        <f>IF(I37="Saved",TEXT(TODAY(),"YYYY-MM-DD")&amp;" Auto","—")</f>
        <v/>
      </c>
      <c r="K37" s="494" t="n"/>
    </row>
    <row r="38" ht="15" customHeight="1" s="341">
      <c r="A38" s="495" t="n"/>
      <c r="B38" s="382">
        <f>IF(A38="","",IFERROR(VLOOKUP(A38,DB_Customers!$A:$D,4,0),"❌ Account Not Found"))</f>
        <v/>
      </c>
      <c r="C38" s="496">
        <f>IF(A38="","",IFERROR(VLOOKUP(A38,DB_Customers!$A:$N,14,0),""))</f>
        <v/>
      </c>
      <c r="D38" s="497">
        <f>IF(A38="","",TODAY())</f>
        <v/>
      </c>
      <c r="E38" s="489" t="n"/>
      <c r="F38" s="498">
        <f>IF(OR(A38="",E38=""),"",IF(C38="","",C38+E38))</f>
        <v/>
      </c>
      <c r="G38" s="384" t="inlineStr">
        <is>
          <t>Agent 03</t>
        </is>
      </c>
      <c r="H38" s="491" t="n"/>
      <c r="I38" s="499">
        <f>IF(A38="","Pending",IF(H38="","⚠️ Enter Code",IF(IFERROR(VLOOKUP(G38,DB_Agents!$B:$I,8,0),"")=H38,IF(AND(A38&lt;&gt;"",E38&lt;&gt;""),"Saved","Pending"),"🔒 BLOCKED — Wrong Code")))</f>
        <v/>
      </c>
      <c r="J38" s="500">
        <f>IF(I38="Saved",TEXT(TODAY(),"YYYY-MM-DD")&amp;" Auto","—")</f>
        <v/>
      </c>
      <c r="K38" s="501" t="n"/>
    </row>
    <row r="39" ht="15" customHeight="1" s="341">
      <c r="A39" s="486" t="n"/>
      <c r="B39" s="378">
        <f>IF(A39="","",IFERROR(VLOOKUP(A39,DB_Customers!$A:$D,4,0),"❌ Account Not Found"))</f>
        <v/>
      </c>
      <c r="C39" s="487">
        <f>IF(A39="","",IFERROR(VLOOKUP(A39,DB_Customers!$A:$N,14,0),""))</f>
        <v/>
      </c>
      <c r="D39" s="488">
        <f>IF(A39="","",TODAY())</f>
        <v/>
      </c>
      <c r="E39" s="489" t="n"/>
      <c r="F39" s="490">
        <f>IF(OR(A39="",E39=""),"",IF(C39="","",C39+E39))</f>
        <v/>
      </c>
      <c r="G39" s="380" t="inlineStr">
        <is>
          <t>Agent 03</t>
        </is>
      </c>
      <c r="H39" s="491" t="n"/>
      <c r="I39" s="492">
        <f>IF(A39="","Pending",IF(H39="","⚠️ Enter Code",IF(IFERROR(VLOOKUP(G39,DB_Agents!$B:$I,8,0),"")=H39,IF(AND(A39&lt;&gt;"",E39&lt;&gt;""),"Saved","Pending"),"🔒 BLOCKED — Wrong Code")))</f>
        <v/>
      </c>
      <c r="J39" s="493">
        <f>IF(I39="Saved",TEXT(TODAY(),"YYYY-MM-DD")&amp;" Auto","—")</f>
        <v/>
      </c>
      <c r="K39" s="494" t="n"/>
    </row>
    <row r="40" ht="15" customHeight="1" s="341">
      <c r="A40" s="495" t="n"/>
      <c r="B40" s="382">
        <f>IF(A40="","",IFERROR(VLOOKUP(A40,DB_Customers!$A:$D,4,0),"❌ Account Not Found"))</f>
        <v/>
      </c>
      <c r="C40" s="496">
        <f>IF(A40="","",IFERROR(VLOOKUP(A40,DB_Customers!$A:$N,14,0),""))</f>
        <v/>
      </c>
      <c r="D40" s="497">
        <f>IF(A40="","",TODAY())</f>
        <v/>
      </c>
      <c r="E40" s="489" t="n"/>
      <c r="F40" s="498">
        <f>IF(OR(A40="",E40=""),"",IF(C40="","",C40+E40))</f>
        <v/>
      </c>
      <c r="G40" s="384" t="inlineStr">
        <is>
          <t>Agent 03</t>
        </is>
      </c>
      <c r="H40" s="491" t="n"/>
      <c r="I40" s="499">
        <f>IF(A40="","Pending",IF(H40="","⚠️ Enter Code",IF(IFERROR(VLOOKUP(G40,DB_Agents!$B:$I,8,0),"")=H40,IF(AND(A40&lt;&gt;"",E40&lt;&gt;""),"Saved","Pending"),"🔒 BLOCKED — Wrong Code")))</f>
        <v/>
      </c>
      <c r="J40" s="500">
        <f>IF(I40="Saved",TEXT(TODAY(),"YYYY-MM-DD")&amp;" Auto","—")</f>
        <v/>
      </c>
      <c r="K40" s="501" t="n"/>
    </row>
    <row r="41" ht="15" customHeight="1" s="341">
      <c r="A41" s="486" t="n"/>
      <c r="B41" s="378">
        <f>IF(A41="","",IFERROR(VLOOKUP(A41,DB_Customers!$A:$D,4,0),"❌ Account Not Found"))</f>
        <v/>
      </c>
      <c r="C41" s="487">
        <f>IF(A41="","",IFERROR(VLOOKUP(A41,DB_Customers!$A:$N,14,0),""))</f>
        <v/>
      </c>
      <c r="D41" s="488">
        <f>IF(A41="","",TODAY())</f>
        <v/>
      </c>
      <c r="E41" s="489" t="n"/>
      <c r="F41" s="490">
        <f>IF(OR(A41="",E41=""),"",IF(C41="","",C41+E41))</f>
        <v/>
      </c>
      <c r="G41" s="380" t="inlineStr">
        <is>
          <t>Agent 03</t>
        </is>
      </c>
      <c r="H41" s="491" t="n"/>
      <c r="I41" s="492">
        <f>IF(A41="","Pending",IF(H41="","⚠️ Enter Code",IF(IFERROR(VLOOKUP(G41,DB_Agents!$B:$I,8,0),"")=H41,IF(AND(A41&lt;&gt;"",E41&lt;&gt;""),"Saved","Pending"),"🔒 BLOCKED — Wrong Code")))</f>
        <v/>
      </c>
      <c r="J41" s="493">
        <f>IF(I41="Saved",TEXT(TODAY(),"YYYY-MM-DD")&amp;" Auto","—")</f>
        <v/>
      </c>
      <c r="K41" s="494" t="n"/>
    </row>
    <row r="42" ht="15" customHeight="1" s="341">
      <c r="A42" s="495" t="n"/>
      <c r="B42" s="382">
        <f>IF(A42="","",IFERROR(VLOOKUP(A42,DB_Customers!$A:$D,4,0),"❌ Account Not Found"))</f>
        <v/>
      </c>
      <c r="C42" s="496">
        <f>IF(A42="","",IFERROR(VLOOKUP(A42,DB_Customers!$A:$N,14,0),""))</f>
        <v/>
      </c>
      <c r="D42" s="497">
        <f>IF(A42="","",TODAY())</f>
        <v/>
      </c>
      <c r="E42" s="489" t="n"/>
      <c r="F42" s="498">
        <f>IF(OR(A42="",E42=""),"",IF(C42="","",C42+E42))</f>
        <v/>
      </c>
      <c r="G42" s="384" t="inlineStr">
        <is>
          <t>Agent 03</t>
        </is>
      </c>
      <c r="H42" s="491" t="n"/>
      <c r="I42" s="499">
        <f>IF(A42="","Pending",IF(H42="","⚠️ Enter Code",IF(IFERROR(VLOOKUP(G42,DB_Agents!$B:$I,8,0),"")=H42,IF(AND(A42&lt;&gt;"",E42&lt;&gt;""),"Saved","Pending"),"🔒 BLOCKED — Wrong Code")))</f>
        <v/>
      </c>
      <c r="J42" s="500">
        <f>IF(I42="Saved",TEXT(TODAY(),"YYYY-MM-DD")&amp;" Auto","—")</f>
        <v/>
      </c>
      <c r="K42" s="501" t="n"/>
    </row>
    <row r="43" ht="15" customHeight="1" s="341">
      <c r="A43" s="486" t="n"/>
      <c r="B43" s="378">
        <f>IF(A43="","",IFERROR(VLOOKUP(A43,DB_Customers!$A:$D,4,0),"❌ Account Not Found"))</f>
        <v/>
      </c>
      <c r="C43" s="487">
        <f>IF(A43="","",IFERROR(VLOOKUP(A43,DB_Customers!$A:$N,14,0),""))</f>
        <v/>
      </c>
      <c r="D43" s="488">
        <f>IF(A43="","",TODAY())</f>
        <v/>
      </c>
      <c r="E43" s="489" t="n"/>
      <c r="F43" s="490">
        <f>IF(OR(A43="",E43=""),"",IF(C43="","",C43+E43))</f>
        <v/>
      </c>
      <c r="G43" s="380" t="inlineStr">
        <is>
          <t>Agent 03</t>
        </is>
      </c>
      <c r="H43" s="491" t="n"/>
      <c r="I43" s="492">
        <f>IF(A43="","Pending",IF(H43="","⚠️ Enter Code",IF(IFERROR(VLOOKUP(G43,DB_Agents!$B:$I,8,0),"")=H43,IF(AND(A43&lt;&gt;"",E43&lt;&gt;""),"Saved","Pending"),"🔒 BLOCKED — Wrong Code")))</f>
        <v/>
      </c>
      <c r="J43" s="493">
        <f>IF(I43="Saved",TEXT(TODAY(),"YYYY-MM-DD")&amp;" Auto","—")</f>
        <v/>
      </c>
      <c r="K43" s="494" t="n"/>
    </row>
    <row r="44" ht="15" customHeight="1" s="341">
      <c r="A44" s="495" t="n"/>
      <c r="B44" s="382">
        <f>IF(A44="","",IFERROR(VLOOKUP(A44,DB_Customers!$A:$D,4,0),"❌ Account Not Found"))</f>
        <v/>
      </c>
      <c r="C44" s="496">
        <f>IF(A44="","",IFERROR(VLOOKUP(A44,DB_Customers!$A:$N,14,0),""))</f>
        <v/>
      </c>
      <c r="D44" s="497">
        <f>IF(A44="","",TODAY())</f>
        <v/>
      </c>
      <c r="E44" s="489" t="n"/>
      <c r="F44" s="498">
        <f>IF(OR(A44="",E44=""),"",IF(C44="","",C44+E44))</f>
        <v/>
      </c>
      <c r="G44" s="384" t="inlineStr">
        <is>
          <t>Agent 03</t>
        </is>
      </c>
      <c r="H44" s="491" t="n"/>
      <c r="I44" s="499">
        <f>IF(A44="","Pending",IF(H44="","⚠️ Enter Code",IF(IFERROR(VLOOKUP(G44,DB_Agents!$B:$I,8,0),"")=H44,IF(AND(A44&lt;&gt;"",E44&lt;&gt;""),"Saved","Pending"),"🔒 BLOCKED — Wrong Code")))</f>
        <v/>
      </c>
      <c r="J44" s="500">
        <f>IF(I44="Saved",TEXT(TODAY(),"YYYY-MM-DD")&amp;" Auto","—")</f>
        <v/>
      </c>
      <c r="K44" s="501" t="n"/>
    </row>
    <row r="45" ht="15" customHeight="1" s="341">
      <c r="A45" s="486" t="n"/>
      <c r="B45" s="378">
        <f>IF(A45="","",IFERROR(VLOOKUP(A45,DB_Customers!$A:$D,4,0),"❌ Account Not Found"))</f>
        <v/>
      </c>
      <c r="C45" s="487">
        <f>IF(A45="","",IFERROR(VLOOKUP(A45,DB_Customers!$A:$N,14,0),""))</f>
        <v/>
      </c>
      <c r="D45" s="488">
        <f>IF(A45="","",TODAY())</f>
        <v/>
      </c>
      <c r="E45" s="489" t="n"/>
      <c r="F45" s="490">
        <f>IF(OR(A45="",E45=""),"",IF(C45="","",C45+E45))</f>
        <v/>
      </c>
      <c r="G45" s="380" t="inlineStr">
        <is>
          <t>Agent 03</t>
        </is>
      </c>
      <c r="H45" s="491" t="n"/>
      <c r="I45" s="492">
        <f>IF(A45="","Pending",IF(H45="","⚠️ Enter Code",IF(IFERROR(VLOOKUP(G45,DB_Agents!$B:$I,8,0),"")=H45,IF(AND(A45&lt;&gt;"",E45&lt;&gt;""),"Saved","Pending"),"🔒 BLOCKED — Wrong Code")))</f>
        <v/>
      </c>
      <c r="J45" s="493">
        <f>IF(I45="Saved",TEXT(TODAY(),"YYYY-MM-DD")&amp;" Auto","—")</f>
        <v/>
      </c>
      <c r="K45" s="494" t="n"/>
    </row>
    <row r="46" ht="15" customHeight="1" s="341">
      <c r="A46" s="495" t="n"/>
      <c r="B46" s="382">
        <f>IF(A46="","",IFERROR(VLOOKUP(A46,DB_Customers!$A:$D,4,0),"❌ Account Not Found"))</f>
        <v/>
      </c>
      <c r="C46" s="496">
        <f>IF(A46="","",IFERROR(VLOOKUP(A46,DB_Customers!$A:$N,14,0),""))</f>
        <v/>
      </c>
      <c r="D46" s="497">
        <f>IF(A46="","",TODAY())</f>
        <v/>
      </c>
      <c r="E46" s="489" t="n"/>
      <c r="F46" s="498">
        <f>IF(OR(A46="",E46=""),"",IF(C46="","",C46+E46))</f>
        <v/>
      </c>
      <c r="G46" s="384" t="inlineStr">
        <is>
          <t>Agent 03</t>
        </is>
      </c>
      <c r="H46" s="491" t="n"/>
      <c r="I46" s="499">
        <f>IF(A46="","Pending",IF(H46="","⚠️ Enter Code",IF(IFERROR(VLOOKUP(G46,DB_Agents!$B:$I,8,0),"")=H46,IF(AND(A46&lt;&gt;"",E46&lt;&gt;""),"Saved","Pending"),"🔒 BLOCKED — Wrong Code")))</f>
        <v/>
      </c>
      <c r="J46" s="500">
        <f>IF(I46="Saved",TEXT(TODAY(),"YYYY-MM-DD")&amp;" Auto","—")</f>
        <v/>
      </c>
      <c r="K46" s="501" t="n"/>
    </row>
    <row r="47" ht="15" customHeight="1" s="341">
      <c r="A47" s="486" t="n"/>
      <c r="B47" s="378">
        <f>IF(A47="","",IFERROR(VLOOKUP(A47,DB_Customers!$A:$D,4,0),"❌ Account Not Found"))</f>
        <v/>
      </c>
      <c r="C47" s="487">
        <f>IF(A47="","",IFERROR(VLOOKUP(A47,DB_Customers!$A:$N,14,0),""))</f>
        <v/>
      </c>
      <c r="D47" s="488">
        <f>IF(A47="","",TODAY())</f>
        <v/>
      </c>
      <c r="E47" s="489" t="n"/>
      <c r="F47" s="490">
        <f>IF(OR(A47="",E47=""),"",IF(C47="","",C47+E47))</f>
        <v/>
      </c>
      <c r="G47" s="380" t="inlineStr">
        <is>
          <t>Agent 03</t>
        </is>
      </c>
      <c r="H47" s="491" t="n"/>
      <c r="I47" s="492">
        <f>IF(A47="","Pending",IF(H47="","⚠️ Enter Code",IF(IFERROR(VLOOKUP(G47,DB_Agents!$B:$I,8,0),"")=H47,IF(AND(A47&lt;&gt;"",E47&lt;&gt;""),"Saved","Pending"),"🔒 BLOCKED — Wrong Code")))</f>
        <v/>
      </c>
      <c r="J47" s="493">
        <f>IF(I47="Saved",TEXT(TODAY(),"YYYY-MM-DD")&amp;" Auto","—")</f>
        <v/>
      </c>
      <c r="K47" s="494" t="n"/>
    </row>
    <row r="48" ht="15" customHeight="1" s="341">
      <c r="A48" s="495" t="n"/>
      <c r="B48" s="382">
        <f>IF(A48="","",IFERROR(VLOOKUP(A48,DB_Customers!$A:$D,4,0),"❌ Account Not Found"))</f>
        <v/>
      </c>
      <c r="C48" s="496">
        <f>IF(A48="","",IFERROR(VLOOKUP(A48,DB_Customers!$A:$N,14,0),""))</f>
        <v/>
      </c>
      <c r="D48" s="497">
        <f>IF(A48="","",TODAY())</f>
        <v/>
      </c>
      <c r="E48" s="489" t="n"/>
      <c r="F48" s="498">
        <f>IF(OR(A48="",E48=""),"",IF(C48="","",C48+E48))</f>
        <v/>
      </c>
      <c r="G48" s="384" t="inlineStr">
        <is>
          <t>Agent 03</t>
        </is>
      </c>
      <c r="H48" s="491" t="n"/>
      <c r="I48" s="499">
        <f>IF(A48="","Pending",IF(H48="","⚠️ Enter Code",IF(IFERROR(VLOOKUP(G48,DB_Agents!$B:$I,8,0),"")=H48,IF(AND(A48&lt;&gt;"",E48&lt;&gt;""),"Saved","Pending"),"🔒 BLOCKED — Wrong Code")))</f>
        <v/>
      </c>
      <c r="J48" s="500">
        <f>IF(I48="Saved",TEXT(TODAY(),"YYYY-MM-DD")&amp;" Auto","—")</f>
        <v/>
      </c>
      <c r="K48" s="501" t="n"/>
    </row>
    <row r="49" ht="15" customHeight="1" s="341">
      <c r="A49" s="486" t="n"/>
      <c r="B49" s="378">
        <f>IF(A49="","",IFERROR(VLOOKUP(A49,DB_Customers!$A:$D,4,0),"❌ Account Not Found"))</f>
        <v/>
      </c>
      <c r="C49" s="487">
        <f>IF(A49="","",IFERROR(VLOOKUP(A49,DB_Customers!$A:$N,14,0),""))</f>
        <v/>
      </c>
      <c r="D49" s="488">
        <f>IF(A49="","",TODAY())</f>
        <v/>
      </c>
      <c r="E49" s="489" t="n"/>
      <c r="F49" s="490">
        <f>IF(OR(A49="",E49=""),"",IF(C49="","",C49+E49))</f>
        <v/>
      </c>
      <c r="G49" s="380" t="inlineStr">
        <is>
          <t>Agent 03</t>
        </is>
      </c>
      <c r="H49" s="491" t="n"/>
      <c r="I49" s="492">
        <f>IF(A49="","Pending",IF(H49="","⚠️ Enter Code",IF(IFERROR(VLOOKUP(G49,DB_Agents!$B:$I,8,0),"")=H49,IF(AND(A49&lt;&gt;"",E49&lt;&gt;""),"Saved","Pending"),"🔒 BLOCKED — Wrong Code")))</f>
        <v/>
      </c>
      <c r="J49" s="493">
        <f>IF(I49="Saved",TEXT(TODAY(),"YYYY-MM-DD")&amp;" Auto","—")</f>
        <v/>
      </c>
      <c r="K49" s="494" t="n"/>
    </row>
    <row r="50" ht="15" customHeight="1" s="341">
      <c r="A50" s="495" t="n"/>
      <c r="B50" s="382">
        <f>IF(A50="","",IFERROR(VLOOKUP(A50,DB_Customers!$A:$D,4,0),"❌ Account Not Found"))</f>
        <v/>
      </c>
      <c r="C50" s="496">
        <f>IF(A50="","",IFERROR(VLOOKUP(A50,DB_Customers!$A:$N,14,0),""))</f>
        <v/>
      </c>
      <c r="D50" s="497">
        <f>IF(A50="","",TODAY())</f>
        <v/>
      </c>
      <c r="E50" s="489" t="n"/>
      <c r="F50" s="498">
        <f>IF(OR(A50="",E50=""),"",IF(C50="","",C50+E50))</f>
        <v/>
      </c>
      <c r="G50" s="384" t="inlineStr">
        <is>
          <t>Agent 03</t>
        </is>
      </c>
      <c r="H50" s="491" t="n"/>
      <c r="I50" s="499">
        <f>IF(A50="","Pending",IF(H50="","⚠️ Enter Code",IF(IFERROR(VLOOKUP(G50,DB_Agents!$B:$I,8,0),"")=H50,IF(AND(A50&lt;&gt;"",E50&lt;&gt;""),"Saved","Pending"),"🔒 BLOCKED — Wrong Code")))</f>
        <v/>
      </c>
      <c r="J50" s="500">
        <f>IF(I50="Saved",TEXT(TODAY(),"YYYY-MM-DD")&amp;" Auto","—")</f>
        <v/>
      </c>
      <c r="K50" s="501" t="n"/>
    </row>
    <row r="51" ht="15" customHeight="1" s="341">
      <c r="A51" s="486" t="n"/>
      <c r="B51" s="378">
        <f>IF(A51="","",IFERROR(VLOOKUP(A51,DB_Customers!$A:$D,4,0),"❌ Account Not Found"))</f>
        <v/>
      </c>
      <c r="C51" s="487">
        <f>IF(A51="","",IFERROR(VLOOKUP(A51,DB_Customers!$A:$N,14,0),""))</f>
        <v/>
      </c>
      <c r="D51" s="488">
        <f>IF(A51="","",TODAY())</f>
        <v/>
      </c>
      <c r="E51" s="489" t="n"/>
      <c r="F51" s="490">
        <f>IF(OR(A51="",E51=""),"",IF(C51="","",C51+E51))</f>
        <v/>
      </c>
      <c r="G51" s="380" t="inlineStr">
        <is>
          <t>Agent 03</t>
        </is>
      </c>
      <c r="H51" s="491" t="n"/>
      <c r="I51" s="492">
        <f>IF(A51="","Pending",IF(H51="","⚠️ Enter Code",IF(IFERROR(VLOOKUP(G51,DB_Agents!$B:$I,8,0),"")=H51,IF(AND(A51&lt;&gt;"",E51&lt;&gt;""),"Saved","Pending"),"🔒 BLOCKED — Wrong Code")))</f>
        <v/>
      </c>
      <c r="J51" s="493">
        <f>IF(I51="Saved",TEXT(TODAY(),"YYYY-MM-DD")&amp;" Auto","—")</f>
        <v/>
      </c>
      <c r="K51" s="494" t="n"/>
    </row>
    <row r="52" ht="15" customHeight="1" s="341">
      <c r="A52" s="495" t="n"/>
      <c r="B52" s="382">
        <f>IF(A52="","",IFERROR(VLOOKUP(A52,DB_Customers!$A:$D,4,0),"❌ Account Not Found"))</f>
        <v/>
      </c>
      <c r="C52" s="496">
        <f>IF(A52="","",IFERROR(VLOOKUP(A52,DB_Customers!$A:$N,14,0),""))</f>
        <v/>
      </c>
      <c r="D52" s="497">
        <f>IF(A52="","",TODAY())</f>
        <v/>
      </c>
      <c r="E52" s="489" t="n"/>
      <c r="F52" s="498">
        <f>IF(OR(A52="",E52=""),"",IF(C52="","",C52+E52))</f>
        <v/>
      </c>
      <c r="G52" s="384" t="inlineStr">
        <is>
          <t>Agent 03</t>
        </is>
      </c>
      <c r="H52" s="491" t="n"/>
      <c r="I52" s="499">
        <f>IF(A52="","Pending",IF(H52="","⚠️ Enter Code",IF(IFERROR(VLOOKUP(G52,DB_Agents!$B:$I,8,0),"")=H52,IF(AND(A52&lt;&gt;"",E52&lt;&gt;""),"Saved","Pending"),"🔒 BLOCKED — Wrong Code")))</f>
        <v/>
      </c>
      <c r="J52" s="500">
        <f>IF(I52="Saved",TEXT(TODAY(),"YYYY-MM-DD")&amp;" Auto","—")</f>
        <v/>
      </c>
      <c r="K52" s="501" t="n"/>
    </row>
    <row r="53" ht="15" customHeight="1" s="341">
      <c r="A53" s="486" t="n"/>
      <c r="B53" s="378">
        <f>IF(A53="","",IFERROR(VLOOKUP(A53,DB_Customers!$A:$D,4,0),"❌ Account Not Found"))</f>
        <v/>
      </c>
      <c r="C53" s="487">
        <f>IF(A53="","",IFERROR(VLOOKUP(A53,DB_Customers!$A:$N,14,0),""))</f>
        <v/>
      </c>
      <c r="D53" s="488">
        <f>IF(A53="","",TODAY())</f>
        <v/>
      </c>
      <c r="E53" s="489" t="n"/>
      <c r="F53" s="490">
        <f>IF(OR(A53="",E53=""),"",IF(C53="","",C53+E53))</f>
        <v/>
      </c>
      <c r="G53" s="380" t="inlineStr">
        <is>
          <t>Agent 03</t>
        </is>
      </c>
      <c r="H53" s="491" t="n"/>
      <c r="I53" s="492">
        <f>IF(A53="","Pending",IF(H53="","⚠️ Enter Code",IF(IFERROR(VLOOKUP(G53,DB_Agents!$B:$I,8,0),"")=H53,IF(AND(A53&lt;&gt;"",E53&lt;&gt;""),"Saved","Pending"),"🔒 BLOCKED — Wrong Code")))</f>
        <v/>
      </c>
      <c r="J53" s="493">
        <f>IF(I53="Saved",TEXT(TODAY(),"YYYY-MM-DD")&amp;" Auto","—")</f>
        <v/>
      </c>
      <c r="K53" s="494" t="n"/>
    </row>
    <row r="54" ht="15" customHeight="1" s="341">
      <c r="A54" s="495" t="n"/>
      <c r="B54" s="382">
        <f>IF(A54="","",IFERROR(VLOOKUP(A54,DB_Customers!$A:$D,4,0),"❌ Account Not Found"))</f>
        <v/>
      </c>
      <c r="C54" s="496">
        <f>IF(A54="","",IFERROR(VLOOKUP(A54,DB_Customers!$A:$N,14,0),""))</f>
        <v/>
      </c>
      <c r="D54" s="497">
        <f>IF(A54="","",TODAY())</f>
        <v/>
      </c>
      <c r="E54" s="489" t="n"/>
      <c r="F54" s="498">
        <f>IF(OR(A54="",E54=""),"",IF(C54="","",C54+E54))</f>
        <v/>
      </c>
      <c r="G54" s="384" t="inlineStr">
        <is>
          <t>Agent 03</t>
        </is>
      </c>
      <c r="H54" s="491" t="n"/>
      <c r="I54" s="499">
        <f>IF(A54="","Pending",IF(H54="","⚠️ Enter Code",IF(IFERROR(VLOOKUP(G54,DB_Agents!$B:$I,8,0),"")=H54,IF(AND(A54&lt;&gt;"",E54&lt;&gt;""),"Saved","Pending"),"🔒 BLOCKED — Wrong Code")))</f>
        <v/>
      </c>
      <c r="J54" s="500">
        <f>IF(I54="Saved",TEXT(TODAY(),"YYYY-MM-DD")&amp;" Auto","—")</f>
        <v/>
      </c>
      <c r="K54" s="501" t="n"/>
    </row>
    <row r="55" ht="15" customHeight="1" s="341">
      <c r="A55" s="486" t="n"/>
      <c r="B55" s="378">
        <f>IF(A55="","",IFERROR(VLOOKUP(A55,DB_Customers!$A:$D,4,0),"❌ Account Not Found"))</f>
        <v/>
      </c>
      <c r="C55" s="487">
        <f>IF(A55="","",IFERROR(VLOOKUP(A55,DB_Customers!$A:$N,14,0),""))</f>
        <v/>
      </c>
      <c r="D55" s="488">
        <f>IF(A55="","",TODAY())</f>
        <v/>
      </c>
      <c r="E55" s="489" t="n"/>
      <c r="F55" s="490">
        <f>IF(OR(A55="",E55=""),"",IF(C55="","",C55+E55))</f>
        <v/>
      </c>
      <c r="G55" s="380" t="inlineStr">
        <is>
          <t>Agent 03</t>
        </is>
      </c>
      <c r="H55" s="491" t="n"/>
      <c r="I55" s="492">
        <f>IF(A55="","Pending",IF(H55="","⚠️ Enter Code",IF(IFERROR(VLOOKUP(G55,DB_Agents!$B:$I,8,0),"")=H55,IF(AND(A55&lt;&gt;"",E55&lt;&gt;""),"Saved","Pending"),"🔒 BLOCKED — Wrong Code")))</f>
        <v/>
      </c>
      <c r="J55" s="493">
        <f>IF(I55="Saved",TEXT(TODAY(),"YYYY-MM-DD")&amp;" Auto","—")</f>
        <v/>
      </c>
      <c r="K55" s="494" t="n"/>
    </row>
    <row r="56" ht="15" customHeight="1" s="341">
      <c r="A56" s="495" t="n"/>
      <c r="B56" s="382">
        <f>IF(A56="","",IFERROR(VLOOKUP(A56,DB_Customers!$A:$D,4,0),"❌ Account Not Found"))</f>
        <v/>
      </c>
      <c r="C56" s="496">
        <f>IF(A56="","",IFERROR(VLOOKUP(A56,DB_Customers!$A:$N,14,0),""))</f>
        <v/>
      </c>
      <c r="D56" s="497">
        <f>IF(A56="","",TODAY())</f>
        <v/>
      </c>
      <c r="E56" s="489" t="n"/>
      <c r="F56" s="498">
        <f>IF(OR(A56="",E56=""),"",IF(C56="","",C56+E56))</f>
        <v/>
      </c>
      <c r="G56" s="384" t="inlineStr">
        <is>
          <t>Agent 03</t>
        </is>
      </c>
      <c r="H56" s="491" t="n"/>
      <c r="I56" s="499">
        <f>IF(A56="","Pending",IF(H56="","⚠️ Enter Code",IF(IFERROR(VLOOKUP(G56,DB_Agents!$B:$I,8,0),"")=H56,IF(AND(A56&lt;&gt;"",E56&lt;&gt;""),"Saved","Pending"),"🔒 BLOCKED — Wrong Code")))</f>
        <v/>
      </c>
      <c r="J56" s="500">
        <f>IF(I56="Saved",TEXT(TODAY(),"YYYY-MM-DD")&amp;" Auto","—")</f>
        <v/>
      </c>
      <c r="K56" s="501" t="n"/>
    </row>
    <row r="57" ht="15" customHeight="1" s="341">
      <c r="A57" s="486" t="n"/>
      <c r="B57" s="378">
        <f>IF(A57="","",IFERROR(VLOOKUP(A57,DB_Customers!$A:$D,4,0),"❌ Account Not Found"))</f>
        <v/>
      </c>
      <c r="C57" s="487">
        <f>IF(A57="","",IFERROR(VLOOKUP(A57,DB_Customers!$A:$N,14,0),""))</f>
        <v/>
      </c>
      <c r="D57" s="488">
        <f>IF(A57="","",TODAY())</f>
        <v/>
      </c>
      <c r="E57" s="489" t="n"/>
      <c r="F57" s="490">
        <f>IF(OR(A57="",E57=""),"",IF(C57="","",C57+E57))</f>
        <v/>
      </c>
      <c r="G57" s="380" t="inlineStr">
        <is>
          <t>Agent 03</t>
        </is>
      </c>
      <c r="H57" s="491" t="n"/>
      <c r="I57" s="492">
        <f>IF(A57="","Pending",IF(H57="","⚠️ Enter Code",IF(IFERROR(VLOOKUP(G57,DB_Agents!$B:$I,8,0),"")=H57,IF(AND(A57&lt;&gt;"",E57&lt;&gt;""),"Saved","Pending"),"🔒 BLOCKED — Wrong Code")))</f>
        <v/>
      </c>
      <c r="J57" s="493">
        <f>IF(I57="Saved",TEXT(TODAY(),"YYYY-MM-DD")&amp;" Auto","—")</f>
        <v/>
      </c>
      <c r="K57" s="494" t="n"/>
    </row>
    <row r="58" ht="15" customHeight="1" s="341">
      <c r="A58" s="495" t="n"/>
      <c r="B58" s="382">
        <f>IF(A58="","",IFERROR(VLOOKUP(A58,DB_Customers!$A:$D,4,0),"❌ Account Not Found"))</f>
        <v/>
      </c>
      <c r="C58" s="496">
        <f>IF(A58="","",IFERROR(VLOOKUP(A58,DB_Customers!$A:$N,14,0),""))</f>
        <v/>
      </c>
      <c r="D58" s="497">
        <f>IF(A58="","",TODAY())</f>
        <v/>
      </c>
      <c r="E58" s="489" t="n"/>
      <c r="F58" s="498">
        <f>IF(OR(A58="",E58=""),"",IF(C58="","",C58+E58))</f>
        <v/>
      </c>
      <c r="G58" s="384" t="inlineStr">
        <is>
          <t>Agent 03</t>
        </is>
      </c>
      <c r="H58" s="491" t="n"/>
      <c r="I58" s="499">
        <f>IF(A58="","Pending",IF(H58="","⚠️ Enter Code",IF(IFERROR(VLOOKUP(G58,DB_Agents!$B:$I,8,0),"")=H58,IF(AND(A58&lt;&gt;"",E58&lt;&gt;""),"Saved","Pending"),"🔒 BLOCKED — Wrong Code")))</f>
        <v/>
      </c>
      <c r="J58" s="500">
        <f>IF(I58="Saved",TEXT(TODAY(),"YYYY-MM-DD")&amp;" Auto","—")</f>
        <v/>
      </c>
      <c r="K58" s="501" t="n"/>
    </row>
    <row r="59" ht="15" customHeight="1" s="341">
      <c r="A59" s="486" t="n"/>
      <c r="B59" s="378">
        <f>IF(A59="","",IFERROR(VLOOKUP(A59,DB_Customers!$A:$D,4,0),"❌ Account Not Found"))</f>
        <v/>
      </c>
      <c r="C59" s="487">
        <f>IF(A59="","",IFERROR(VLOOKUP(A59,DB_Customers!$A:$N,14,0),""))</f>
        <v/>
      </c>
      <c r="D59" s="488">
        <f>IF(A59="","",TODAY())</f>
        <v/>
      </c>
      <c r="E59" s="489" t="n"/>
      <c r="F59" s="490">
        <f>IF(OR(A59="",E59=""),"",IF(C59="","",C59+E59))</f>
        <v/>
      </c>
      <c r="G59" s="380" t="inlineStr">
        <is>
          <t>Agent 03</t>
        </is>
      </c>
      <c r="H59" s="491" t="n"/>
      <c r="I59" s="492">
        <f>IF(A59="","Pending",IF(H59="","⚠️ Enter Code",IF(IFERROR(VLOOKUP(G59,DB_Agents!$B:$I,8,0),"")=H59,IF(AND(A59&lt;&gt;"",E59&lt;&gt;""),"Saved","Pending"),"🔒 BLOCKED — Wrong Code")))</f>
        <v/>
      </c>
      <c r="J59" s="493">
        <f>IF(I59="Saved",TEXT(TODAY(),"YYYY-MM-DD")&amp;" Auto","—")</f>
        <v/>
      </c>
      <c r="K59" s="494" t="n"/>
    </row>
    <row r="60" ht="15" customHeight="1" s="341">
      <c r="A60" s="495" t="n"/>
      <c r="B60" s="382">
        <f>IF(A60="","",IFERROR(VLOOKUP(A60,DB_Customers!$A:$D,4,0),"❌ Account Not Found"))</f>
        <v/>
      </c>
      <c r="C60" s="496">
        <f>IF(A60="","",IFERROR(VLOOKUP(A60,DB_Customers!$A:$N,14,0),""))</f>
        <v/>
      </c>
      <c r="D60" s="497">
        <f>IF(A60="","",TODAY())</f>
        <v/>
      </c>
      <c r="E60" s="489" t="n"/>
      <c r="F60" s="498">
        <f>IF(OR(A60="",E60=""),"",IF(C60="","",C60+E60))</f>
        <v/>
      </c>
      <c r="G60" s="384" t="inlineStr">
        <is>
          <t>Agent 03</t>
        </is>
      </c>
      <c r="H60" s="491" t="n"/>
      <c r="I60" s="499">
        <f>IF(A60="","Pending",IF(H60="","⚠️ Enter Code",IF(IFERROR(VLOOKUP(G60,DB_Agents!$B:$I,8,0),"")=H60,IF(AND(A60&lt;&gt;"",E60&lt;&gt;""),"Saved","Pending"),"🔒 BLOCKED — Wrong Code")))</f>
        <v/>
      </c>
      <c r="J60" s="500">
        <f>IF(I60="Saved",TEXT(TODAY(),"YYYY-MM-DD")&amp;" Auto","—")</f>
        <v/>
      </c>
      <c r="K60" s="501" t="n"/>
    </row>
    <row r="61" ht="15" customHeight="1" s="341">
      <c r="A61" s="486" t="n"/>
      <c r="B61" s="378">
        <f>IF(A61="","",IFERROR(VLOOKUP(A61,DB_Customers!$A:$D,4,0),"❌ Account Not Found"))</f>
        <v/>
      </c>
      <c r="C61" s="487">
        <f>IF(A61="","",IFERROR(VLOOKUP(A61,DB_Customers!$A:$N,14,0),""))</f>
        <v/>
      </c>
      <c r="D61" s="488">
        <f>IF(A61="","",TODAY())</f>
        <v/>
      </c>
      <c r="E61" s="489" t="n"/>
      <c r="F61" s="490">
        <f>IF(OR(A61="",E61=""),"",IF(C61="","",C61+E61))</f>
        <v/>
      </c>
      <c r="G61" s="380" t="inlineStr">
        <is>
          <t>Agent 03</t>
        </is>
      </c>
      <c r="H61" s="491" t="n"/>
      <c r="I61" s="492">
        <f>IF(A61="","Pending",IF(H61="","⚠️ Enter Code",IF(IFERROR(VLOOKUP(G61,DB_Agents!$B:$I,8,0),"")=H61,IF(AND(A61&lt;&gt;"",E61&lt;&gt;""),"Saved","Pending"),"🔒 BLOCKED — Wrong Code")))</f>
        <v/>
      </c>
      <c r="J61" s="493">
        <f>IF(I61="Saved",TEXT(TODAY(),"YYYY-MM-DD")&amp;" Auto","—")</f>
        <v/>
      </c>
      <c r="K61" s="494" t="n"/>
    </row>
    <row r="62" ht="15" customHeight="1" s="341">
      <c r="A62" s="495" t="n"/>
      <c r="B62" s="382">
        <f>IF(A62="","",IFERROR(VLOOKUP(A62,DB_Customers!$A:$D,4,0),"❌ Account Not Found"))</f>
        <v/>
      </c>
      <c r="C62" s="496">
        <f>IF(A62="","",IFERROR(VLOOKUP(A62,DB_Customers!$A:$N,14,0),""))</f>
        <v/>
      </c>
      <c r="D62" s="497">
        <f>IF(A62="","",TODAY())</f>
        <v/>
      </c>
      <c r="E62" s="489" t="n"/>
      <c r="F62" s="498">
        <f>IF(OR(A62="",E62=""),"",IF(C62="","",C62+E62))</f>
        <v/>
      </c>
      <c r="G62" s="384" t="inlineStr">
        <is>
          <t>Agent 03</t>
        </is>
      </c>
      <c r="H62" s="491" t="n"/>
      <c r="I62" s="499">
        <f>IF(A62="","Pending",IF(H62="","⚠️ Enter Code",IF(IFERROR(VLOOKUP(G62,DB_Agents!$B:$I,8,0),"")=H62,IF(AND(A62&lt;&gt;"",E62&lt;&gt;""),"Saved","Pending"),"🔒 BLOCKED — Wrong Code")))</f>
        <v/>
      </c>
      <c r="J62" s="500">
        <f>IF(I62="Saved",TEXT(TODAY(),"YYYY-MM-DD")&amp;" Auto","—")</f>
        <v/>
      </c>
      <c r="K62" s="501" t="n"/>
    </row>
    <row r="63" ht="15" customHeight="1" s="341">
      <c r="A63" s="486" t="n"/>
      <c r="B63" s="378">
        <f>IF(A63="","",IFERROR(VLOOKUP(A63,DB_Customers!$A:$D,4,0),"❌ Account Not Found"))</f>
        <v/>
      </c>
      <c r="C63" s="487">
        <f>IF(A63="","",IFERROR(VLOOKUP(A63,DB_Customers!$A:$N,14,0),""))</f>
        <v/>
      </c>
      <c r="D63" s="488">
        <f>IF(A63="","",TODAY())</f>
        <v/>
      </c>
      <c r="E63" s="489" t="n"/>
      <c r="F63" s="490">
        <f>IF(OR(A63="",E63=""),"",IF(C63="","",C63+E63))</f>
        <v/>
      </c>
      <c r="G63" s="380" t="inlineStr">
        <is>
          <t>Agent 03</t>
        </is>
      </c>
      <c r="H63" s="491" t="n"/>
      <c r="I63" s="492">
        <f>IF(A63="","Pending",IF(H63="","⚠️ Enter Code",IF(IFERROR(VLOOKUP(G63,DB_Agents!$B:$I,8,0),"")=H63,IF(AND(A63&lt;&gt;"",E63&lt;&gt;""),"Saved","Pending"),"🔒 BLOCKED — Wrong Code")))</f>
        <v/>
      </c>
      <c r="J63" s="493">
        <f>IF(I63="Saved",TEXT(TODAY(),"YYYY-MM-DD")&amp;" Auto","—")</f>
        <v/>
      </c>
      <c r="K63" s="494" t="n"/>
    </row>
    <row r="64" ht="15" customHeight="1" s="341">
      <c r="A64" s="495" t="n"/>
      <c r="B64" s="382">
        <f>IF(A64="","",IFERROR(VLOOKUP(A64,DB_Customers!$A:$D,4,0),"❌ Account Not Found"))</f>
        <v/>
      </c>
      <c r="C64" s="496">
        <f>IF(A64="","",IFERROR(VLOOKUP(A64,DB_Customers!$A:$N,14,0),""))</f>
        <v/>
      </c>
      <c r="D64" s="497">
        <f>IF(A64="","",TODAY())</f>
        <v/>
      </c>
      <c r="E64" s="489" t="n"/>
      <c r="F64" s="498">
        <f>IF(OR(A64="",E64=""),"",IF(C64="","",C64+E64))</f>
        <v/>
      </c>
      <c r="G64" s="384" t="inlineStr">
        <is>
          <t>Agent 03</t>
        </is>
      </c>
      <c r="H64" s="491" t="n"/>
      <c r="I64" s="499">
        <f>IF(A64="","Pending",IF(H64="","⚠️ Enter Code",IF(IFERROR(VLOOKUP(G64,DB_Agents!$B:$I,8,0),"")=H64,IF(AND(A64&lt;&gt;"",E64&lt;&gt;""),"Saved","Pending"),"🔒 BLOCKED — Wrong Code")))</f>
        <v/>
      </c>
      <c r="J64" s="500">
        <f>IF(I64="Saved",TEXT(TODAY(),"YYYY-MM-DD")&amp;" Auto","—")</f>
        <v/>
      </c>
      <c r="K64" s="501" t="n"/>
    </row>
    <row r="65" ht="15" customHeight="1" s="341">
      <c r="A65" s="486" t="n"/>
      <c r="B65" s="378">
        <f>IF(A65="","",IFERROR(VLOOKUP(A65,DB_Customers!$A:$D,4,0),"❌ Account Not Found"))</f>
        <v/>
      </c>
      <c r="C65" s="487">
        <f>IF(A65="","",IFERROR(VLOOKUP(A65,DB_Customers!$A:$N,14,0),""))</f>
        <v/>
      </c>
      <c r="D65" s="488">
        <f>IF(A65="","",TODAY())</f>
        <v/>
      </c>
      <c r="E65" s="489" t="n"/>
      <c r="F65" s="490">
        <f>IF(OR(A65="",E65=""),"",IF(C65="","",C65+E65))</f>
        <v/>
      </c>
      <c r="G65" s="380" t="inlineStr">
        <is>
          <t>Agent 03</t>
        </is>
      </c>
      <c r="H65" s="491" t="n"/>
      <c r="I65" s="492">
        <f>IF(A65="","Pending",IF(H65="","⚠️ Enter Code",IF(IFERROR(VLOOKUP(G65,DB_Agents!$B:$I,8,0),"")=H65,IF(AND(A65&lt;&gt;"",E65&lt;&gt;""),"Saved","Pending"),"🔒 BLOCKED — Wrong Code")))</f>
        <v/>
      </c>
      <c r="J65" s="493">
        <f>IF(I65="Saved",TEXT(TODAY(),"YYYY-MM-DD")&amp;" Auto","—")</f>
        <v/>
      </c>
      <c r="K65" s="494" t="n"/>
    </row>
    <row r="66" ht="15" customHeight="1" s="341">
      <c r="A66" s="495" t="n"/>
      <c r="B66" s="382">
        <f>IF(A66="","",IFERROR(VLOOKUP(A66,DB_Customers!$A:$D,4,0),"❌ Account Not Found"))</f>
        <v/>
      </c>
      <c r="C66" s="496">
        <f>IF(A66="","",IFERROR(VLOOKUP(A66,DB_Customers!$A:$N,14,0),""))</f>
        <v/>
      </c>
      <c r="D66" s="497">
        <f>IF(A66="","",TODAY())</f>
        <v/>
      </c>
      <c r="E66" s="489" t="n"/>
      <c r="F66" s="498">
        <f>IF(OR(A66="",E66=""),"",IF(C66="","",C66+E66))</f>
        <v/>
      </c>
      <c r="G66" s="384" t="inlineStr">
        <is>
          <t>Agent 03</t>
        </is>
      </c>
      <c r="H66" s="491" t="n"/>
      <c r="I66" s="499">
        <f>IF(A66="","Pending",IF(H66="","⚠️ Enter Code",IF(IFERROR(VLOOKUP(G66,DB_Agents!$B:$I,8,0),"")=H66,IF(AND(A66&lt;&gt;"",E66&lt;&gt;""),"Saved","Pending"),"🔒 BLOCKED — Wrong Code")))</f>
        <v/>
      </c>
      <c r="J66" s="500">
        <f>IF(I66="Saved",TEXT(TODAY(),"YYYY-MM-DD")&amp;" Auto","—")</f>
        <v/>
      </c>
      <c r="K66" s="501" t="n"/>
    </row>
    <row r="67" ht="15" customHeight="1" s="341">
      <c r="A67" s="486" t="n"/>
      <c r="B67" s="378">
        <f>IF(A67="","",IFERROR(VLOOKUP(A67,DB_Customers!$A:$D,4,0),"❌ Account Not Found"))</f>
        <v/>
      </c>
      <c r="C67" s="487">
        <f>IF(A67="","",IFERROR(VLOOKUP(A67,DB_Customers!$A:$N,14,0),""))</f>
        <v/>
      </c>
      <c r="D67" s="488">
        <f>IF(A67="","",TODAY())</f>
        <v/>
      </c>
      <c r="E67" s="489" t="n"/>
      <c r="F67" s="490">
        <f>IF(OR(A67="",E67=""),"",IF(C67="","",C67+E67))</f>
        <v/>
      </c>
      <c r="G67" s="380" t="inlineStr">
        <is>
          <t>Agent 03</t>
        </is>
      </c>
      <c r="H67" s="491" t="n"/>
      <c r="I67" s="492">
        <f>IF(A67="","Pending",IF(H67="","⚠️ Enter Code",IF(IFERROR(VLOOKUP(G67,DB_Agents!$B:$I,8,0),"")=H67,IF(AND(A67&lt;&gt;"",E67&lt;&gt;""),"Saved","Pending"),"🔒 BLOCKED — Wrong Code")))</f>
        <v/>
      </c>
      <c r="J67" s="493">
        <f>IF(I67="Saved",TEXT(TODAY(),"YYYY-MM-DD")&amp;" Auto","—")</f>
        <v/>
      </c>
      <c r="K67" s="494" t="n"/>
    </row>
    <row r="68" ht="15" customHeight="1" s="341">
      <c r="A68" s="495" t="n"/>
      <c r="B68" s="382">
        <f>IF(A68="","",IFERROR(VLOOKUP(A68,DB_Customers!$A:$D,4,0),"❌ Account Not Found"))</f>
        <v/>
      </c>
      <c r="C68" s="496">
        <f>IF(A68="","",IFERROR(VLOOKUP(A68,DB_Customers!$A:$N,14,0),""))</f>
        <v/>
      </c>
      <c r="D68" s="497">
        <f>IF(A68="","",TODAY())</f>
        <v/>
      </c>
      <c r="E68" s="489" t="n"/>
      <c r="F68" s="498">
        <f>IF(OR(A68="",E68=""),"",IF(C68="","",C68+E68))</f>
        <v/>
      </c>
      <c r="G68" s="384" t="inlineStr">
        <is>
          <t>Agent 03</t>
        </is>
      </c>
      <c r="H68" s="491" t="n"/>
      <c r="I68" s="499">
        <f>IF(A68="","Pending",IF(H68="","⚠️ Enter Code",IF(IFERROR(VLOOKUP(G68,DB_Agents!$B:$I,8,0),"")=H68,IF(AND(A68&lt;&gt;"",E68&lt;&gt;""),"Saved","Pending"),"🔒 BLOCKED — Wrong Code")))</f>
        <v/>
      </c>
      <c r="J68" s="500">
        <f>IF(I68="Saved",TEXT(TODAY(),"YYYY-MM-DD")&amp;" Auto","—")</f>
        <v/>
      </c>
      <c r="K68" s="501" t="n"/>
    </row>
    <row r="69" ht="15" customHeight="1" s="341">
      <c r="A69" s="486" t="n"/>
      <c r="B69" s="378">
        <f>IF(A69="","",IFERROR(VLOOKUP(A69,DB_Customers!$A:$D,4,0),"❌ Account Not Found"))</f>
        <v/>
      </c>
      <c r="C69" s="487">
        <f>IF(A69="","",IFERROR(VLOOKUP(A69,DB_Customers!$A:$N,14,0),""))</f>
        <v/>
      </c>
      <c r="D69" s="488">
        <f>IF(A69="","",TODAY())</f>
        <v/>
      </c>
      <c r="E69" s="489" t="n"/>
      <c r="F69" s="490">
        <f>IF(OR(A69="",E69=""),"",IF(C69="","",C69+E69))</f>
        <v/>
      </c>
      <c r="G69" s="380" t="inlineStr">
        <is>
          <t>Agent 03</t>
        </is>
      </c>
      <c r="H69" s="491" t="n"/>
      <c r="I69" s="492">
        <f>IF(A69="","Pending",IF(H69="","⚠️ Enter Code",IF(IFERROR(VLOOKUP(G69,DB_Agents!$B:$I,8,0),"")=H69,IF(AND(A69&lt;&gt;"",E69&lt;&gt;""),"Saved","Pending"),"🔒 BLOCKED — Wrong Code")))</f>
        <v/>
      </c>
      <c r="J69" s="493">
        <f>IF(I69="Saved",TEXT(TODAY(),"YYYY-MM-DD")&amp;" Auto","—")</f>
        <v/>
      </c>
      <c r="K69" s="494" t="n"/>
    </row>
    <row r="70" ht="15" customHeight="1" s="341">
      <c r="A70" s="495" t="n"/>
      <c r="B70" s="382">
        <f>IF(A70="","",IFERROR(VLOOKUP(A70,DB_Customers!$A:$D,4,0),"❌ Account Not Found"))</f>
        <v/>
      </c>
      <c r="C70" s="496">
        <f>IF(A70="","",IFERROR(VLOOKUP(A70,DB_Customers!$A:$N,14,0),""))</f>
        <v/>
      </c>
      <c r="D70" s="497">
        <f>IF(A70="","",TODAY())</f>
        <v/>
      </c>
      <c r="E70" s="489" t="n"/>
      <c r="F70" s="498">
        <f>IF(OR(A70="",E70=""),"",IF(C70="","",C70+E70))</f>
        <v/>
      </c>
      <c r="G70" s="384" t="inlineStr">
        <is>
          <t>Agent 03</t>
        </is>
      </c>
      <c r="H70" s="491" t="n"/>
      <c r="I70" s="499">
        <f>IF(A70="","Pending",IF(H70="","⚠️ Enter Code",IF(IFERROR(VLOOKUP(G70,DB_Agents!$B:$I,8,0),"")=H70,IF(AND(A70&lt;&gt;"",E70&lt;&gt;""),"Saved","Pending"),"🔒 BLOCKED — Wrong Code")))</f>
        <v/>
      </c>
      <c r="J70" s="500">
        <f>IF(I70="Saved",TEXT(TODAY(),"YYYY-MM-DD")&amp;" Auto","—")</f>
        <v/>
      </c>
      <c r="K70" s="501" t="n"/>
    </row>
    <row r="71" ht="15" customHeight="1" s="341">
      <c r="A71" s="486" t="n"/>
      <c r="B71" s="378">
        <f>IF(A71="","",IFERROR(VLOOKUP(A71,DB_Customers!$A:$D,4,0),"❌ Account Not Found"))</f>
        <v/>
      </c>
      <c r="C71" s="487">
        <f>IF(A71="","",IFERROR(VLOOKUP(A71,DB_Customers!$A:$N,14,0),""))</f>
        <v/>
      </c>
      <c r="D71" s="488">
        <f>IF(A71="","",TODAY())</f>
        <v/>
      </c>
      <c r="E71" s="489" t="n"/>
      <c r="F71" s="490">
        <f>IF(OR(A71="",E71=""),"",IF(C71="","",C71+E71))</f>
        <v/>
      </c>
      <c r="G71" s="380" t="inlineStr">
        <is>
          <t>Agent 03</t>
        </is>
      </c>
      <c r="H71" s="491" t="n"/>
      <c r="I71" s="492">
        <f>IF(A71="","Pending",IF(H71="","⚠️ Enter Code",IF(IFERROR(VLOOKUP(G71,DB_Agents!$B:$I,8,0),"")=H71,IF(AND(A71&lt;&gt;"",E71&lt;&gt;""),"Saved","Pending"),"🔒 BLOCKED — Wrong Code")))</f>
        <v/>
      </c>
      <c r="J71" s="493">
        <f>IF(I71="Saved",TEXT(TODAY(),"YYYY-MM-DD")&amp;" Auto","—")</f>
        <v/>
      </c>
      <c r="K71" s="494" t="n"/>
    </row>
    <row r="72" ht="15" customHeight="1" s="341">
      <c r="A72" s="495" t="n"/>
      <c r="B72" s="382">
        <f>IF(A72="","",IFERROR(VLOOKUP(A72,DB_Customers!$A:$D,4,0),"❌ Account Not Found"))</f>
        <v/>
      </c>
      <c r="C72" s="496">
        <f>IF(A72="","",IFERROR(VLOOKUP(A72,DB_Customers!$A:$N,14,0),""))</f>
        <v/>
      </c>
      <c r="D72" s="497">
        <f>IF(A72="","",TODAY())</f>
        <v/>
      </c>
      <c r="E72" s="489" t="n"/>
      <c r="F72" s="498">
        <f>IF(OR(A72="",E72=""),"",IF(C72="","",C72+E72))</f>
        <v/>
      </c>
      <c r="G72" s="384" t="inlineStr">
        <is>
          <t>Agent 03</t>
        </is>
      </c>
      <c r="H72" s="491" t="n"/>
      <c r="I72" s="499">
        <f>IF(A72="","Pending",IF(H72="","⚠️ Enter Code",IF(IFERROR(VLOOKUP(G72,DB_Agents!$B:$I,8,0),"")=H72,IF(AND(A72&lt;&gt;"",E72&lt;&gt;""),"Saved","Pending"),"🔒 BLOCKED — Wrong Code")))</f>
        <v/>
      </c>
      <c r="J72" s="500">
        <f>IF(I72="Saved",TEXT(TODAY(),"YYYY-MM-DD")&amp;" Auto","—")</f>
        <v/>
      </c>
      <c r="K72" s="501" t="n"/>
    </row>
    <row r="73" ht="15" customHeight="1" s="341">
      <c r="A73" s="486" t="n"/>
      <c r="B73" s="378">
        <f>IF(A73="","",IFERROR(VLOOKUP(A73,DB_Customers!$A:$D,4,0),"❌ Account Not Found"))</f>
        <v/>
      </c>
      <c r="C73" s="487">
        <f>IF(A73="","",IFERROR(VLOOKUP(A73,DB_Customers!$A:$N,14,0),""))</f>
        <v/>
      </c>
      <c r="D73" s="488">
        <f>IF(A73="","",TODAY())</f>
        <v/>
      </c>
      <c r="E73" s="489" t="n"/>
      <c r="F73" s="490">
        <f>IF(OR(A73="",E73=""),"",IF(C73="","",C73+E73))</f>
        <v/>
      </c>
      <c r="G73" s="380" t="inlineStr">
        <is>
          <t>Agent 03</t>
        </is>
      </c>
      <c r="H73" s="491" t="n"/>
      <c r="I73" s="492">
        <f>IF(A73="","Pending",IF(H73="","⚠️ Enter Code",IF(IFERROR(VLOOKUP(G73,DB_Agents!$B:$I,8,0),"")=H73,IF(AND(A73&lt;&gt;"",E73&lt;&gt;""),"Saved","Pending"),"🔒 BLOCKED — Wrong Code")))</f>
        <v/>
      </c>
      <c r="J73" s="493">
        <f>IF(I73="Saved",TEXT(TODAY(),"YYYY-MM-DD")&amp;" Auto","—")</f>
        <v/>
      </c>
      <c r="K73" s="494" t="n"/>
    </row>
    <row r="74" ht="15" customHeight="1" s="341">
      <c r="A74" s="495" t="n"/>
      <c r="B74" s="382">
        <f>IF(A74="","",IFERROR(VLOOKUP(A74,DB_Customers!$A:$D,4,0),"❌ Account Not Found"))</f>
        <v/>
      </c>
      <c r="C74" s="496">
        <f>IF(A74="","",IFERROR(VLOOKUP(A74,DB_Customers!$A:$N,14,0),""))</f>
        <v/>
      </c>
      <c r="D74" s="497">
        <f>IF(A74="","",TODAY())</f>
        <v/>
      </c>
      <c r="E74" s="489" t="n"/>
      <c r="F74" s="498">
        <f>IF(OR(A74="",E74=""),"",IF(C74="","",C74+E74))</f>
        <v/>
      </c>
      <c r="G74" s="384" t="inlineStr">
        <is>
          <t>Agent 03</t>
        </is>
      </c>
      <c r="H74" s="491" t="n"/>
      <c r="I74" s="499">
        <f>IF(A74="","Pending",IF(H74="","⚠️ Enter Code",IF(IFERROR(VLOOKUP(G74,DB_Agents!$B:$I,8,0),"")=H74,IF(AND(A74&lt;&gt;"",E74&lt;&gt;""),"Saved","Pending"),"🔒 BLOCKED — Wrong Code")))</f>
        <v/>
      </c>
      <c r="J74" s="500">
        <f>IF(I74="Saved",TEXT(TODAY(),"YYYY-MM-DD")&amp;" Auto","—")</f>
        <v/>
      </c>
      <c r="K74" s="501" t="n"/>
    </row>
    <row r="75" ht="15" customHeight="1" s="341">
      <c r="A75" s="486" t="n"/>
      <c r="B75" s="378">
        <f>IF(A75="","",IFERROR(VLOOKUP(A75,DB_Customers!$A:$D,4,0),"❌ Account Not Found"))</f>
        <v/>
      </c>
      <c r="C75" s="487">
        <f>IF(A75="","",IFERROR(VLOOKUP(A75,DB_Customers!$A:$N,14,0),""))</f>
        <v/>
      </c>
      <c r="D75" s="488">
        <f>IF(A75="","",TODAY())</f>
        <v/>
      </c>
      <c r="E75" s="489" t="n"/>
      <c r="F75" s="490">
        <f>IF(OR(A75="",E75=""),"",IF(C75="","",C75+E75))</f>
        <v/>
      </c>
      <c r="G75" s="380" t="inlineStr">
        <is>
          <t>Agent 03</t>
        </is>
      </c>
      <c r="H75" s="491" t="n"/>
      <c r="I75" s="492">
        <f>IF(A75="","Pending",IF(H75="","⚠️ Enter Code",IF(IFERROR(VLOOKUP(G75,DB_Agents!$B:$I,8,0),"")=H75,IF(AND(A75&lt;&gt;"",E75&lt;&gt;""),"Saved","Pending"),"🔒 BLOCKED — Wrong Code")))</f>
        <v/>
      </c>
      <c r="J75" s="493">
        <f>IF(I75="Saved",TEXT(TODAY(),"YYYY-MM-DD")&amp;" Auto","—")</f>
        <v/>
      </c>
      <c r="K75" s="494" t="n"/>
    </row>
    <row r="76" ht="15" customHeight="1" s="341">
      <c r="A76" s="495" t="n"/>
      <c r="B76" s="382">
        <f>IF(A76="","",IFERROR(VLOOKUP(A76,DB_Customers!$A:$D,4,0),"❌ Account Not Found"))</f>
        <v/>
      </c>
      <c r="C76" s="496">
        <f>IF(A76="","",IFERROR(VLOOKUP(A76,DB_Customers!$A:$N,14,0),""))</f>
        <v/>
      </c>
      <c r="D76" s="497">
        <f>IF(A76="","",TODAY())</f>
        <v/>
      </c>
      <c r="E76" s="489" t="n"/>
      <c r="F76" s="498">
        <f>IF(OR(A76="",E76=""),"",IF(C76="","",C76+E76))</f>
        <v/>
      </c>
      <c r="G76" s="384" t="inlineStr">
        <is>
          <t>Agent 03</t>
        </is>
      </c>
      <c r="H76" s="491" t="n"/>
      <c r="I76" s="499">
        <f>IF(A76="","Pending",IF(H76="","⚠️ Enter Code",IF(IFERROR(VLOOKUP(G76,DB_Agents!$B:$I,8,0),"")=H76,IF(AND(A76&lt;&gt;"",E76&lt;&gt;""),"Saved","Pending"),"🔒 BLOCKED — Wrong Code")))</f>
        <v/>
      </c>
      <c r="J76" s="500">
        <f>IF(I76="Saved",TEXT(TODAY(),"YYYY-MM-DD")&amp;" Auto","—")</f>
        <v/>
      </c>
      <c r="K76" s="501" t="n"/>
    </row>
    <row r="77" ht="15" customHeight="1" s="341">
      <c r="A77" s="486" t="n"/>
      <c r="B77" s="378">
        <f>IF(A77="","",IFERROR(VLOOKUP(A77,DB_Customers!$A:$D,4,0),"❌ Account Not Found"))</f>
        <v/>
      </c>
      <c r="C77" s="487">
        <f>IF(A77="","",IFERROR(VLOOKUP(A77,DB_Customers!$A:$N,14,0),""))</f>
        <v/>
      </c>
      <c r="D77" s="488">
        <f>IF(A77="","",TODAY())</f>
        <v/>
      </c>
      <c r="E77" s="489" t="n"/>
      <c r="F77" s="490">
        <f>IF(OR(A77="",E77=""),"",IF(C77="","",C77+E77))</f>
        <v/>
      </c>
      <c r="G77" s="380" t="inlineStr">
        <is>
          <t>Agent 03</t>
        </is>
      </c>
      <c r="H77" s="491" t="n"/>
      <c r="I77" s="492">
        <f>IF(A77="","Pending",IF(H77="","⚠️ Enter Code",IF(IFERROR(VLOOKUP(G77,DB_Agents!$B:$I,8,0),"")=H77,IF(AND(A77&lt;&gt;"",E77&lt;&gt;""),"Saved","Pending"),"🔒 BLOCKED — Wrong Code")))</f>
        <v/>
      </c>
      <c r="J77" s="493">
        <f>IF(I77="Saved",TEXT(TODAY(),"YYYY-MM-DD")&amp;" Auto","—")</f>
        <v/>
      </c>
      <c r="K77" s="494" t="n"/>
    </row>
    <row r="78" ht="15" customHeight="1" s="341">
      <c r="A78" s="495" t="n"/>
      <c r="B78" s="382">
        <f>IF(A78="","",IFERROR(VLOOKUP(A78,DB_Customers!$A:$D,4,0),"❌ Account Not Found"))</f>
        <v/>
      </c>
      <c r="C78" s="496">
        <f>IF(A78="","",IFERROR(VLOOKUP(A78,DB_Customers!$A:$N,14,0),""))</f>
        <v/>
      </c>
      <c r="D78" s="497">
        <f>IF(A78="","",TODAY())</f>
        <v/>
      </c>
      <c r="E78" s="489" t="n"/>
      <c r="F78" s="498">
        <f>IF(OR(A78="",E78=""),"",IF(C78="","",C78+E78))</f>
        <v/>
      </c>
      <c r="G78" s="384" t="inlineStr">
        <is>
          <t>Agent 03</t>
        </is>
      </c>
      <c r="H78" s="491" t="n"/>
      <c r="I78" s="499">
        <f>IF(A78="","Pending",IF(H78="","⚠️ Enter Code",IF(IFERROR(VLOOKUP(G78,DB_Agents!$B:$I,8,0),"")=H78,IF(AND(A78&lt;&gt;"",E78&lt;&gt;""),"Saved","Pending"),"🔒 BLOCKED — Wrong Code")))</f>
        <v/>
      </c>
      <c r="J78" s="500">
        <f>IF(I78="Saved",TEXT(TODAY(),"YYYY-MM-DD")&amp;" Auto","—")</f>
        <v/>
      </c>
      <c r="K78" s="501" t="n"/>
    </row>
    <row r="79" ht="15" customHeight="1" s="341">
      <c r="A79" s="486" t="n"/>
      <c r="B79" s="378">
        <f>IF(A79="","",IFERROR(VLOOKUP(A79,DB_Customers!$A:$D,4,0),"❌ Account Not Found"))</f>
        <v/>
      </c>
      <c r="C79" s="487">
        <f>IF(A79="","",IFERROR(VLOOKUP(A79,DB_Customers!$A:$N,14,0),""))</f>
        <v/>
      </c>
      <c r="D79" s="488">
        <f>IF(A79="","",TODAY())</f>
        <v/>
      </c>
      <c r="E79" s="489" t="n"/>
      <c r="F79" s="490">
        <f>IF(OR(A79="",E79=""),"",IF(C79="","",C79+E79))</f>
        <v/>
      </c>
      <c r="G79" s="380" t="inlineStr">
        <is>
          <t>Agent 03</t>
        </is>
      </c>
      <c r="H79" s="491" t="n"/>
      <c r="I79" s="492">
        <f>IF(A79="","Pending",IF(H79="","⚠️ Enter Code",IF(IFERROR(VLOOKUP(G79,DB_Agents!$B:$I,8,0),"")=H79,IF(AND(A79&lt;&gt;"",E79&lt;&gt;""),"Saved","Pending"),"🔒 BLOCKED — Wrong Code")))</f>
        <v/>
      </c>
      <c r="J79" s="493">
        <f>IF(I79="Saved",TEXT(TODAY(),"YYYY-MM-DD")&amp;" Auto","—")</f>
        <v/>
      </c>
      <c r="K79" s="494" t="n"/>
    </row>
    <row r="80" ht="15" customHeight="1" s="341">
      <c r="A80" s="495" t="n"/>
      <c r="B80" s="382">
        <f>IF(A80="","",IFERROR(VLOOKUP(A80,DB_Customers!$A:$D,4,0),"❌ Account Not Found"))</f>
        <v/>
      </c>
      <c r="C80" s="496">
        <f>IF(A80="","",IFERROR(VLOOKUP(A80,DB_Customers!$A:$N,14,0),""))</f>
        <v/>
      </c>
      <c r="D80" s="497">
        <f>IF(A80="","",TODAY())</f>
        <v/>
      </c>
      <c r="E80" s="489" t="n"/>
      <c r="F80" s="498">
        <f>IF(OR(A80="",E80=""),"",IF(C80="","",C80+E80))</f>
        <v/>
      </c>
      <c r="G80" s="384" t="inlineStr">
        <is>
          <t>Agent 03</t>
        </is>
      </c>
      <c r="H80" s="491" t="n"/>
      <c r="I80" s="499">
        <f>IF(A80="","Pending",IF(H80="","⚠️ Enter Code",IF(IFERROR(VLOOKUP(G80,DB_Agents!$B:$I,8,0),"")=H80,IF(AND(A80&lt;&gt;"",E80&lt;&gt;""),"Saved","Pending"),"🔒 BLOCKED — Wrong Code")))</f>
        <v/>
      </c>
      <c r="J80" s="500">
        <f>IF(I80="Saved",TEXT(TODAY(),"YYYY-MM-DD")&amp;" Auto","—")</f>
        <v/>
      </c>
      <c r="K80" s="501" t="n"/>
    </row>
    <row r="81" ht="15" customHeight="1" s="341">
      <c r="A81" s="486" t="n"/>
      <c r="B81" s="378">
        <f>IF(A81="","",IFERROR(VLOOKUP(A81,DB_Customers!$A:$D,4,0),"❌ Account Not Found"))</f>
        <v/>
      </c>
      <c r="C81" s="487">
        <f>IF(A81="","",IFERROR(VLOOKUP(A81,DB_Customers!$A:$N,14,0),""))</f>
        <v/>
      </c>
      <c r="D81" s="488">
        <f>IF(A81="","",TODAY())</f>
        <v/>
      </c>
      <c r="E81" s="489" t="n"/>
      <c r="F81" s="490">
        <f>IF(OR(A81="",E81=""),"",IF(C81="","",C81+E81))</f>
        <v/>
      </c>
      <c r="G81" s="380" t="inlineStr">
        <is>
          <t>Agent 03</t>
        </is>
      </c>
      <c r="H81" s="491" t="n"/>
      <c r="I81" s="492">
        <f>IF(A81="","Pending",IF(H81="","⚠️ Enter Code",IF(IFERROR(VLOOKUP(G81,DB_Agents!$B:$I,8,0),"")=H81,IF(AND(A81&lt;&gt;"",E81&lt;&gt;""),"Saved","Pending"),"🔒 BLOCKED — Wrong Code")))</f>
        <v/>
      </c>
      <c r="J81" s="493">
        <f>IF(I81="Saved",TEXT(TODAY(),"YYYY-MM-DD")&amp;" Auto","—")</f>
        <v/>
      </c>
      <c r="K81" s="494" t="n"/>
    </row>
    <row r="82" ht="15" customHeight="1" s="341">
      <c r="A82" s="495" t="n"/>
      <c r="B82" s="382">
        <f>IF(A82="","",IFERROR(VLOOKUP(A82,DB_Customers!$A:$D,4,0),"❌ Account Not Found"))</f>
        <v/>
      </c>
      <c r="C82" s="496">
        <f>IF(A82="","",IFERROR(VLOOKUP(A82,DB_Customers!$A:$N,14,0),""))</f>
        <v/>
      </c>
      <c r="D82" s="497">
        <f>IF(A82="","",TODAY())</f>
        <v/>
      </c>
      <c r="E82" s="489" t="n"/>
      <c r="F82" s="498">
        <f>IF(OR(A82="",E82=""),"",IF(C82="","",C82+E82))</f>
        <v/>
      </c>
      <c r="G82" s="384" t="inlineStr">
        <is>
          <t>Agent 03</t>
        </is>
      </c>
      <c r="H82" s="491" t="n"/>
      <c r="I82" s="499">
        <f>IF(A82="","Pending",IF(H82="","⚠️ Enter Code",IF(IFERROR(VLOOKUP(G82,DB_Agents!$B:$I,8,0),"")=H82,IF(AND(A82&lt;&gt;"",E82&lt;&gt;""),"Saved","Pending"),"🔒 BLOCKED — Wrong Code")))</f>
        <v/>
      </c>
      <c r="J82" s="500">
        <f>IF(I82="Saved",TEXT(TODAY(),"YYYY-MM-DD")&amp;" Auto","—")</f>
        <v/>
      </c>
      <c r="K82" s="501" t="n"/>
    </row>
    <row r="83" ht="15" customHeight="1" s="341">
      <c r="A83" s="486" t="n"/>
      <c r="B83" s="378">
        <f>IF(A83="","",IFERROR(VLOOKUP(A83,DB_Customers!$A:$D,4,0),"❌ Account Not Found"))</f>
        <v/>
      </c>
      <c r="C83" s="487">
        <f>IF(A83="","",IFERROR(VLOOKUP(A83,DB_Customers!$A:$N,14,0),""))</f>
        <v/>
      </c>
      <c r="D83" s="488">
        <f>IF(A83="","",TODAY())</f>
        <v/>
      </c>
      <c r="E83" s="489" t="n"/>
      <c r="F83" s="490">
        <f>IF(OR(A83="",E83=""),"",IF(C83="","",C83+E83))</f>
        <v/>
      </c>
      <c r="G83" s="380" t="inlineStr">
        <is>
          <t>Agent 03</t>
        </is>
      </c>
      <c r="H83" s="491" t="n"/>
      <c r="I83" s="492">
        <f>IF(A83="","Pending",IF(H83="","⚠️ Enter Code",IF(IFERROR(VLOOKUP(G83,DB_Agents!$B:$I,8,0),"")=H83,IF(AND(A83&lt;&gt;"",E83&lt;&gt;""),"Saved","Pending"),"🔒 BLOCKED — Wrong Code")))</f>
        <v/>
      </c>
      <c r="J83" s="493">
        <f>IF(I83="Saved",TEXT(TODAY(),"YYYY-MM-DD")&amp;" Auto","—")</f>
        <v/>
      </c>
      <c r="K83" s="494" t="n"/>
    </row>
    <row r="84" ht="15" customHeight="1" s="341">
      <c r="A84" s="495" t="n"/>
      <c r="B84" s="382">
        <f>IF(A84="","",IFERROR(VLOOKUP(A84,DB_Customers!$A:$D,4,0),"❌ Account Not Found"))</f>
        <v/>
      </c>
      <c r="C84" s="496">
        <f>IF(A84="","",IFERROR(VLOOKUP(A84,DB_Customers!$A:$N,14,0),""))</f>
        <v/>
      </c>
      <c r="D84" s="497">
        <f>IF(A84="","",TODAY())</f>
        <v/>
      </c>
      <c r="E84" s="489" t="n"/>
      <c r="F84" s="498">
        <f>IF(OR(A84="",E84=""),"",IF(C84="","",C84+E84))</f>
        <v/>
      </c>
      <c r="G84" s="384" t="inlineStr">
        <is>
          <t>Agent 03</t>
        </is>
      </c>
      <c r="H84" s="491" t="n"/>
      <c r="I84" s="499">
        <f>IF(A84="","Pending",IF(H84="","⚠️ Enter Code",IF(IFERROR(VLOOKUP(G84,DB_Agents!$B:$I,8,0),"")=H84,IF(AND(A84&lt;&gt;"",E84&lt;&gt;""),"Saved","Pending"),"🔒 BLOCKED — Wrong Code")))</f>
        <v/>
      </c>
      <c r="J84" s="500">
        <f>IF(I84="Saved",TEXT(TODAY(),"YYYY-MM-DD")&amp;" Auto","—")</f>
        <v/>
      </c>
      <c r="K84" s="501" t="n"/>
    </row>
    <row r="85" ht="15" customHeight="1" s="341">
      <c r="A85" s="486" t="n"/>
      <c r="B85" s="378">
        <f>IF(A85="","",IFERROR(VLOOKUP(A85,DB_Customers!$A:$D,4,0),"❌ Account Not Found"))</f>
        <v/>
      </c>
      <c r="C85" s="487">
        <f>IF(A85="","",IFERROR(VLOOKUP(A85,DB_Customers!$A:$N,14,0),""))</f>
        <v/>
      </c>
      <c r="D85" s="488">
        <f>IF(A85="","",TODAY())</f>
        <v/>
      </c>
      <c r="E85" s="489" t="n"/>
      <c r="F85" s="490">
        <f>IF(OR(A85="",E85=""),"",IF(C85="","",C85+E85))</f>
        <v/>
      </c>
      <c r="G85" s="380" t="inlineStr">
        <is>
          <t>Agent 03</t>
        </is>
      </c>
      <c r="H85" s="491" t="n"/>
      <c r="I85" s="492">
        <f>IF(A85="","Pending",IF(H85="","⚠️ Enter Code",IF(IFERROR(VLOOKUP(G85,DB_Agents!$B:$I,8,0),"")=H85,IF(AND(A85&lt;&gt;"",E85&lt;&gt;""),"Saved","Pending"),"🔒 BLOCKED — Wrong Code")))</f>
        <v/>
      </c>
      <c r="J85" s="493">
        <f>IF(I85="Saved",TEXT(TODAY(),"YYYY-MM-DD")&amp;" Auto","—")</f>
        <v/>
      </c>
      <c r="K85" s="494" t="n"/>
    </row>
    <row r="86" ht="15" customHeight="1" s="341">
      <c r="A86" s="495" t="n"/>
      <c r="B86" s="382">
        <f>IF(A86="","",IFERROR(VLOOKUP(A86,DB_Customers!$A:$D,4,0),"❌ Account Not Found"))</f>
        <v/>
      </c>
      <c r="C86" s="496">
        <f>IF(A86="","",IFERROR(VLOOKUP(A86,DB_Customers!$A:$N,14,0),""))</f>
        <v/>
      </c>
      <c r="D86" s="497">
        <f>IF(A86="","",TODAY())</f>
        <v/>
      </c>
      <c r="E86" s="489" t="n"/>
      <c r="F86" s="498">
        <f>IF(OR(A86="",E86=""),"",IF(C86="","",C86+E86))</f>
        <v/>
      </c>
      <c r="G86" s="384" t="inlineStr">
        <is>
          <t>Agent 03</t>
        </is>
      </c>
      <c r="H86" s="491" t="n"/>
      <c r="I86" s="499">
        <f>IF(A86="","Pending",IF(H86="","⚠️ Enter Code",IF(IFERROR(VLOOKUP(G86,DB_Agents!$B:$I,8,0),"")=H86,IF(AND(A86&lt;&gt;"",E86&lt;&gt;""),"Saved","Pending"),"🔒 BLOCKED — Wrong Code")))</f>
        <v/>
      </c>
      <c r="J86" s="500">
        <f>IF(I86="Saved",TEXT(TODAY(),"YYYY-MM-DD")&amp;" Auto","—")</f>
        <v/>
      </c>
      <c r="K86" s="501" t="n"/>
    </row>
    <row r="87" ht="15" customHeight="1" s="341">
      <c r="A87" s="486" t="n"/>
      <c r="B87" s="378">
        <f>IF(A87="","",IFERROR(VLOOKUP(A87,DB_Customers!$A:$D,4,0),"❌ Account Not Found"))</f>
        <v/>
      </c>
      <c r="C87" s="487">
        <f>IF(A87="","",IFERROR(VLOOKUP(A87,DB_Customers!$A:$N,14,0),""))</f>
        <v/>
      </c>
      <c r="D87" s="488">
        <f>IF(A87="","",TODAY())</f>
        <v/>
      </c>
      <c r="E87" s="489" t="n"/>
      <c r="F87" s="490">
        <f>IF(OR(A87="",E87=""),"",IF(C87="","",C87+E87))</f>
        <v/>
      </c>
      <c r="G87" s="380" t="inlineStr">
        <is>
          <t>Agent 03</t>
        </is>
      </c>
      <c r="H87" s="491" t="n"/>
      <c r="I87" s="492">
        <f>IF(A87="","Pending",IF(H87="","⚠️ Enter Code",IF(IFERROR(VLOOKUP(G87,DB_Agents!$B:$I,8,0),"")=H87,IF(AND(A87&lt;&gt;"",E87&lt;&gt;""),"Saved","Pending"),"🔒 BLOCKED — Wrong Code")))</f>
        <v/>
      </c>
      <c r="J87" s="493">
        <f>IF(I87="Saved",TEXT(TODAY(),"YYYY-MM-DD")&amp;" Auto","—")</f>
        <v/>
      </c>
      <c r="K87" s="494" t="n"/>
    </row>
    <row r="88" ht="15" customHeight="1" s="341">
      <c r="A88" s="495" t="n"/>
      <c r="B88" s="382">
        <f>IF(A88="","",IFERROR(VLOOKUP(A88,DB_Customers!$A:$D,4,0),"❌ Account Not Found"))</f>
        <v/>
      </c>
      <c r="C88" s="496">
        <f>IF(A88="","",IFERROR(VLOOKUP(A88,DB_Customers!$A:$N,14,0),""))</f>
        <v/>
      </c>
      <c r="D88" s="497">
        <f>IF(A88="","",TODAY())</f>
        <v/>
      </c>
      <c r="E88" s="489" t="n"/>
      <c r="F88" s="498">
        <f>IF(OR(A88="",E88=""),"",IF(C88="","",C88+E88))</f>
        <v/>
      </c>
      <c r="G88" s="384" t="inlineStr">
        <is>
          <t>Agent 03</t>
        </is>
      </c>
      <c r="H88" s="491" t="n"/>
      <c r="I88" s="499">
        <f>IF(A88="","Pending",IF(H88="","⚠️ Enter Code",IF(IFERROR(VLOOKUP(G88,DB_Agents!$B:$I,8,0),"")=H88,IF(AND(A88&lt;&gt;"",E88&lt;&gt;""),"Saved","Pending"),"🔒 BLOCKED — Wrong Code")))</f>
        <v/>
      </c>
      <c r="J88" s="500">
        <f>IF(I88="Saved",TEXT(TODAY(),"YYYY-MM-DD")&amp;" Auto","—")</f>
        <v/>
      </c>
      <c r="K88" s="501" t="n"/>
    </row>
    <row r="89" ht="15" customHeight="1" s="341">
      <c r="A89" s="486" t="n"/>
      <c r="B89" s="378">
        <f>IF(A89="","",IFERROR(VLOOKUP(A89,DB_Customers!$A:$D,4,0),"❌ Account Not Found"))</f>
        <v/>
      </c>
      <c r="C89" s="487">
        <f>IF(A89="","",IFERROR(VLOOKUP(A89,DB_Customers!$A:$N,14,0),""))</f>
        <v/>
      </c>
      <c r="D89" s="488">
        <f>IF(A89="","",TODAY())</f>
        <v/>
      </c>
      <c r="E89" s="489" t="n"/>
      <c r="F89" s="490">
        <f>IF(OR(A89="",E89=""),"",IF(C89="","",C89+E89))</f>
        <v/>
      </c>
      <c r="G89" s="380" t="inlineStr">
        <is>
          <t>Agent 03</t>
        </is>
      </c>
      <c r="H89" s="491" t="n"/>
      <c r="I89" s="492">
        <f>IF(A89="","Pending",IF(H89="","⚠️ Enter Code",IF(IFERROR(VLOOKUP(G89,DB_Agents!$B:$I,8,0),"")=H89,IF(AND(A89&lt;&gt;"",E89&lt;&gt;""),"Saved","Pending"),"🔒 BLOCKED — Wrong Code")))</f>
        <v/>
      </c>
      <c r="J89" s="493">
        <f>IF(I89="Saved",TEXT(TODAY(),"YYYY-MM-DD")&amp;" Auto","—")</f>
        <v/>
      </c>
      <c r="K89" s="494" t="n"/>
    </row>
    <row r="90" ht="15" customHeight="1" s="341">
      <c r="A90" s="495" t="n"/>
      <c r="B90" s="382">
        <f>IF(A90="","",IFERROR(VLOOKUP(A90,DB_Customers!$A:$D,4,0),"❌ Account Not Found"))</f>
        <v/>
      </c>
      <c r="C90" s="496">
        <f>IF(A90="","",IFERROR(VLOOKUP(A90,DB_Customers!$A:$N,14,0),""))</f>
        <v/>
      </c>
      <c r="D90" s="497">
        <f>IF(A90="","",TODAY())</f>
        <v/>
      </c>
      <c r="E90" s="489" t="n"/>
      <c r="F90" s="498">
        <f>IF(OR(A90="",E90=""),"",IF(C90="","",C90+E90))</f>
        <v/>
      </c>
      <c r="G90" s="384" t="inlineStr">
        <is>
          <t>Agent 03</t>
        </is>
      </c>
      <c r="H90" s="491" t="n"/>
      <c r="I90" s="499">
        <f>IF(A90="","Pending",IF(H90="","⚠️ Enter Code",IF(IFERROR(VLOOKUP(G90,DB_Agents!$B:$I,8,0),"")=H90,IF(AND(A90&lt;&gt;"",E90&lt;&gt;""),"Saved","Pending"),"🔒 BLOCKED — Wrong Code")))</f>
        <v/>
      </c>
      <c r="J90" s="500">
        <f>IF(I90="Saved",TEXT(TODAY(),"YYYY-MM-DD")&amp;" Auto","—")</f>
        <v/>
      </c>
      <c r="K90" s="501" t="n"/>
    </row>
    <row r="91" ht="15" customHeight="1" s="341">
      <c r="A91" s="486" t="n"/>
      <c r="B91" s="378">
        <f>IF(A91="","",IFERROR(VLOOKUP(A91,DB_Customers!$A:$D,4,0),"❌ Account Not Found"))</f>
        <v/>
      </c>
      <c r="C91" s="487">
        <f>IF(A91="","",IFERROR(VLOOKUP(A91,DB_Customers!$A:$N,14,0),""))</f>
        <v/>
      </c>
      <c r="D91" s="488">
        <f>IF(A91="","",TODAY())</f>
        <v/>
      </c>
      <c r="E91" s="489" t="n"/>
      <c r="F91" s="490">
        <f>IF(OR(A91="",E91=""),"",IF(C91="","",C91+E91))</f>
        <v/>
      </c>
      <c r="G91" s="380" t="inlineStr">
        <is>
          <t>Agent 03</t>
        </is>
      </c>
      <c r="H91" s="491" t="n"/>
      <c r="I91" s="492">
        <f>IF(A91="","Pending",IF(H91="","⚠️ Enter Code",IF(IFERROR(VLOOKUP(G91,DB_Agents!$B:$I,8,0),"")=H91,IF(AND(A91&lt;&gt;"",E91&lt;&gt;""),"Saved","Pending"),"🔒 BLOCKED — Wrong Code")))</f>
        <v/>
      </c>
      <c r="J91" s="493">
        <f>IF(I91="Saved",TEXT(TODAY(),"YYYY-MM-DD")&amp;" Auto","—")</f>
        <v/>
      </c>
      <c r="K91" s="494" t="n"/>
    </row>
    <row r="92" ht="15" customHeight="1" s="341">
      <c r="A92" s="495" t="n"/>
      <c r="B92" s="382">
        <f>IF(A92="","",IFERROR(VLOOKUP(A92,DB_Customers!$A:$D,4,0),"❌ Account Not Found"))</f>
        <v/>
      </c>
      <c r="C92" s="496">
        <f>IF(A92="","",IFERROR(VLOOKUP(A92,DB_Customers!$A:$N,14,0),""))</f>
        <v/>
      </c>
      <c r="D92" s="497">
        <f>IF(A92="","",TODAY())</f>
        <v/>
      </c>
      <c r="E92" s="489" t="n"/>
      <c r="F92" s="498">
        <f>IF(OR(A92="",E92=""),"",IF(C92="","",C92+E92))</f>
        <v/>
      </c>
      <c r="G92" s="384" t="inlineStr">
        <is>
          <t>Agent 03</t>
        </is>
      </c>
      <c r="H92" s="491" t="n"/>
      <c r="I92" s="499">
        <f>IF(A92="","Pending",IF(H92="","⚠️ Enter Code",IF(IFERROR(VLOOKUP(G92,DB_Agents!$B:$I,8,0),"")=H92,IF(AND(A92&lt;&gt;"",E92&lt;&gt;""),"Saved","Pending"),"🔒 BLOCKED — Wrong Code")))</f>
        <v/>
      </c>
      <c r="J92" s="500">
        <f>IF(I92="Saved",TEXT(TODAY(),"YYYY-MM-DD")&amp;" Auto","—")</f>
        <v/>
      </c>
      <c r="K92" s="501" t="n"/>
    </row>
    <row r="93" ht="15" customHeight="1" s="341">
      <c r="A93" s="486" t="n"/>
      <c r="B93" s="378">
        <f>IF(A93="","",IFERROR(VLOOKUP(A93,DB_Customers!$A:$D,4,0),"❌ Account Not Found"))</f>
        <v/>
      </c>
      <c r="C93" s="487">
        <f>IF(A93="","",IFERROR(VLOOKUP(A93,DB_Customers!$A:$N,14,0),""))</f>
        <v/>
      </c>
      <c r="D93" s="488">
        <f>IF(A93="","",TODAY())</f>
        <v/>
      </c>
      <c r="E93" s="489" t="n"/>
      <c r="F93" s="490">
        <f>IF(OR(A93="",E93=""),"",IF(C93="","",C93+E93))</f>
        <v/>
      </c>
      <c r="G93" s="380" t="inlineStr">
        <is>
          <t>Agent 03</t>
        </is>
      </c>
      <c r="H93" s="491" t="n"/>
      <c r="I93" s="492">
        <f>IF(A93="","Pending",IF(H93="","⚠️ Enter Code",IF(IFERROR(VLOOKUP(G93,DB_Agents!$B:$I,8,0),"")=H93,IF(AND(A93&lt;&gt;"",E93&lt;&gt;""),"Saved","Pending"),"🔒 BLOCKED — Wrong Code")))</f>
        <v/>
      </c>
      <c r="J93" s="493">
        <f>IF(I93="Saved",TEXT(TODAY(),"YYYY-MM-DD")&amp;" Auto","—")</f>
        <v/>
      </c>
      <c r="K93" s="494" t="n"/>
    </row>
    <row r="94" ht="15" customHeight="1" s="341">
      <c r="A94" s="495" t="n"/>
      <c r="B94" s="382">
        <f>IF(A94="","",IFERROR(VLOOKUP(A94,DB_Customers!$A:$D,4,0),"❌ Account Not Found"))</f>
        <v/>
      </c>
      <c r="C94" s="496">
        <f>IF(A94="","",IFERROR(VLOOKUP(A94,DB_Customers!$A:$N,14,0),""))</f>
        <v/>
      </c>
      <c r="D94" s="497">
        <f>IF(A94="","",TODAY())</f>
        <v/>
      </c>
      <c r="E94" s="489" t="n"/>
      <c r="F94" s="498">
        <f>IF(OR(A94="",E94=""),"",IF(C94="","",C94+E94))</f>
        <v/>
      </c>
      <c r="G94" s="384" t="inlineStr">
        <is>
          <t>Agent 03</t>
        </is>
      </c>
      <c r="H94" s="491" t="n"/>
      <c r="I94" s="499">
        <f>IF(A94="","Pending",IF(H94="","⚠️ Enter Code",IF(IFERROR(VLOOKUP(G94,DB_Agents!$B:$I,8,0),"")=H94,IF(AND(A94&lt;&gt;"",E94&lt;&gt;""),"Saved","Pending"),"🔒 BLOCKED — Wrong Code")))</f>
        <v/>
      </c>
      <c r="J94" s="500">
        <f>IF(I94="Saved",TEXT(TODAY(),"YYYY-MM-DD")&amp;" Auto","—")</f>
        <v/>
      </c>
      <c r="K94" s="501" t="n"/>
    </row>
    <row r="95" ht="15" customHeight="1" s="341">
      <c r="A95" s="486" t="n"/>
      <c r="B95" s="378">
        <f>IF(A95="","",IFERROR(VLOOKUP(A95,DB_Customers!$A:$D,4,0),"❌ Account Not Found"))</f>
        <v/>
      </c>
      <c r="C95" s="487">
        <f>IF(A95="","",IFERROR(VLOOKUP(A95,DB_Customers!$A:$N,14,0),""))</f>
        <v/>
      </c>
      <c r="D95" s="488">
        <f>IF(A95="","",TODAY())</f>
        <v/>
      </c>
      <c r="E95" s="489" t="n"/>
      <c r="F95" s="490">
        <f>IF(OR(A95="",E95=""),"",IF(C95="","",C95+E95))</f>
        <v/>
      </c>
      <c r="G95" s="380" t="inlineStr">
        <is>
          <t>Agent 03</t>
        </is>
      </c>
      <c r="H95" s="491" t="n"/>
      <c r="I95" s="492">
        <f>IF(A95="","Pending",IF(H95="","⚠️ Enter Code",IF(IFERROR(VLOOKUP(G95,DB_Agents!$B:$I,8,0),"")=H95,IF(AND(A95&lt;&gt;"",E95&lt;&gt;""),"Saved","Pending"),"🔒 BLOCKED — Wrong Code")))</f>
        <v/>
      </c>
      <c r="J95" s="493">
        <f>IF(I95="Saved",TEXT(TODAY(),"YYYY-MM-DD")&amp;" Auto","—")</f>
        <v/>
      </c>
      <c r="K95" s="494" t="n"/>
    </row>
    <row r="96" ht="15" customHeight="1" s="341">
      <c r="A96" s="495" t="n"/>
      <c r="B96" s="382">
        <f>IF(A96="","",IFERROR(VLOOKUP(A96,DB_Customers!$A:$D,4,0),"❌ Account Not Found"))</f>
        <v/>
      </c>
      <c r="C96" s="496">
        <f>IF(A96="","",IFERROR(VLOOKUP(A96,DB_Customers!$A:$N,14,0),""))</f>
        <v/>
      </c>
      <c r="D96" s="497">
        <f>IF(A96="","",TODAY())</f>
        <v/>
      </c>
      <c r="E96" s="489" t="n"/>
      <c r="F96" s="498">
        <f>IF(OR(A96="",E96=""),"",IF(C96="","",C96+E96))</f>
        <v/>
      </c>
      <c r="G96" s="384" t="inlineStr">
        <is>
          <t>Agent 03</t>
        </is>
      </c>
      <c r="H96" s="491" t="n"/>
      <c r="I96" s="499">
        <f>IF(A96="","Pending",IF(H96="","⚠️ Enter Code",IF(IFERROR(VLOOKUP(G96,DB_Agents!$B:$I,8,0),"")=H96,IF(AND(A96&lt;&gt;"",E96&lt;&gt;""),"Saved","Pending"),"🔒 BLOCKED — Wrong Code")))</f>
        <v/>
      </c>
      <c r="J96" s="500">
        <f>IF(I96="Saved",TEXT(TODAY(),"YYYY-MM-DD")&amp;" Auto","—")</f>
        <v/>
      </c>
      <c r="K96" s="501" t="n"/>
    </row>
    <row r="97" ht="15" customHeight="1" s="341">
      <c r="A97" s="486" t="n"/>
      <c r="B97" s="378">
        <f>IF(A97="","",IFERROR(VLOOKUP(A97,DB_Customers!$A:$D,4,0),"❌ Account Not Found"))</f>
        <v/>
      </c>
      <c r="C97" s="487">
        <f>IF(A97="","",IFERROR(VLOOKUP(A97,DB_Customers!$A:$N,14,0),""))</f>
        <v/>
      </c>
      <c r="D97" s="488">
        <f>IF(A97="","",TODAY())</f>
        <v/>
      </c>
      <c r="E97" s="489" t="n"/>
      <c r="F97" s="490">
        <f>IF(OR(A97="",E97=""),"",IF(C97="","",C97+E97))</f>
        <v/>
      </c>
      <c r="G97" s="380" t="inlineStr">
        <is>
          <t>Agent 03</t>
        </is>
      </c>
      <c r="H97" s="491" t="n"/>
      <c r="I97" s="492">
        <f>IF(A97="","Pending",IF(H97="","⚠️ Enter Code",IF(IFERROR(VLOOKUP(G97,DB_Agents!$B:$I,8,0),"")=H97,IF(AND(A97&lt;&gt;"",E97&lt;&gt;""),"Saved","Pending"),"🔒 BLOCKED — Wrong Code")))</f>
        <v/>
      </c>
      <c r="J97" s="493">
        <f>IF(I97="Saved",TEXT(TODAY(),"YYYY-MM-DD")&amp;" Auto","—")</f>
        <v/>
      </c>
      <c r="K97" s="494" t="n"/>
    </row>
    <row r="98" ht="15" customHeight="1" s="341">
      <c r="A98" s="495" t="n"/>
      <c r="B98" s="382">
        <f>IF(A98="","",IFERROR(VLOOKUP(A98,DB_Customers!$A:$D,4,0),"❌ Account Not Found"))</f>
        <v/>
      </c>
      <c r="C98" s="496">
        <f>IF(A98="","",IFERROR(VLOOKUP(A98,DB_Customers!$A:$N,14,0),""))</f>
        <v/>
      </c>
      <c r="D98" s="497">
        <f>IF(A98="","",TODAY())</f>
        <v/>
      </c>
      <c r="E98" s="489" t="n"/>
      <c r="F98" s="498">
        <f>IF(OR(A98="",E98=""),"",IF(C98="","",C98+E98))</f>
        <v/>
      </c>
      <c r="G98" s="384" t="inlineStr">
        <is>
          <t>Agent 03</t>
        </is>
      </c>
      <c r="H98" s="491" t="n"/>
      <c r="I98" s="499">
        <f>IF(A98="","Pending",IF(H98="","⚠️ Enter Code",IF(IFERROR(VLOOKUP(G98,DB_Agents!$B:$I,8,0),"")=H98,IF(AND(A98&lt;&gt;"",E98&lt;&gt;""),"Saved","Pending"),"🔒 BLOCKED — Wrong Code")))</f>
        <v/>
      </c>
      <c r="J98" s="500">
        <f>IF(I98="Saved",TEXT(TODAY(),"YYYY-MM-DD")&amp;" Auto","—")</f>
        <v/>
      </c>
      <c r="K98" s="501" t="n"/>
    </row>
    <row r="99" ht="15" customHeight="1" s="341">
      <c r="A99" s="486" t="n"/>
      <c r="B99" s="378">
        <f>IF(A99="","",IFERROR(VLOOKUP(A99,DB_Customers!$A:$D,4,0),"❌ Account Not Found"))</f>
        <v/>
      </c>
      <c r="C99" s="487">
        <f>IF(A99="","",IFERROR(VLOOKUP(A99,DB_Customers!$A:$N,14,0),""))</f>
        <v/>
      </c>
      <c r="D99" s="488">
        <f>IF(A99="","",TODAY())</f>
        <v/>
      </c>
      <c r="E99" s="489" t="n"/>
      <c r="F99" s="490">
        <f>IF(OR(A99="",E99=""),"",IF(C99="","",C99+E99))</f>
        <v/>
      </c>
      <c r="G99" s="380" t="inlineStr">
        <is>
          <t>Agent 03</t>
        </is>
      </c>
      <c r="H99" s="491" t="n"/>
      <c r="I99" s="492">
        <f>IF(A99="","Pending",IF(H99="","⚠️ Enter Code",IF(IFERROR(VLOOKUP(G99,DB_Agents!$B:$I,8,0),"")=H99,IF(AND(A99&lt;&gt;"",E99&lt;&gt;""),"Saved","Pending"),"🔒 BLOCKED — Wrong Code")))</f>
        <v/>
      </c>
      <c r="J99" s="493">
        <f>IF(I99="Saved",TEXT(TODAY(),"YYYY-MM-DD")&amp;" Auto","—")</f>
        <v/>
      </c>
      <c r="K99" s="494" t="n"/>
    </row>
    <row r="100" ht="15" customHeight="1" s="341">
      <c r="A100" s="495" t="n"/>
      <c r="B100" s="382">
        <f>IF(A100="","",IFERROR(VLOOKUP(A100,DB_Customers!$A:$D,4,0),"❌ Account Not Found"))</f>
        <v/>
      </c>
      <c r="C100" s="496">
        <f>IF(A100="","",IFERROR(VLOOKUP(A100,DB_Customers!$A:$N,14,0),""))</f>
        <v/>
      </c>
      <c r="D100" s="497">
        <f>IF(A100="","",TODAY())</f>
        <v/>
      </c>
      <c r="E100" s="489" t="n"/>
      <c r="F100" s="498">
        <f>IF(OR(A100="",E100=""),"",IF(C100="","",C100+E100))</f>
        <v/>
      </c>
      <c r="G100" s="384" t="inlineStr">
        <is>
          <t>Agent 03</t>
        </is>
      </c>
      <c r="H100" s="491" t="n"/>
      <c r="I100" s="499">
        <f>IF(A100="","Pending",IF(H100="","⚠️ Enter Code",IF(IFERROR(VLOOKUP(G100,DB_Agents!$B:$I,8,0),"")=H100,IF(AND(A100&lt;&gt;"",E100&lt;&gt;""),"Saved","Pending"),"🔒 BLOCKED — Wrong Code")))</f>
        <v/>
      </c>
      <c r="J100" s="500">
        <f>IF(I100="Saved",TEXT(TODAY(),"YYYY-MM-DD")&amp;" Auto","—")</f>
        <v/>
      </c>
      <c r="K100" s="501" t="n"/>
    </row>
    <row r="101" ht="15" customHeight="1" s="341">
      <c r="A101" s="486" t="n"/>
      <c r="B101" s="378">
        <f>IF(A101="","",IFERROR(VLOOKUP(A101,DB_Customers!$A:$D,4,0),"❌ Account Not Found"))</f>
        <v/>
      </c>
      <c r="C101" s="487">
        <f>IF(A101="","",IFERROR(VLOOKUP(A101,DB_Customers!$A:$N,14,0),""))</f>
        <v/>
      </c>
      <c r="D101" s="488">
        <f>IF(A101="","",TODAY())</f>
        <v/>
      </c>
      <c r="E101" s="489" t="n"/>
      <c r="F101" s="490">
        <f>IF(OR(A101="",E101=""),"",IF(C101="","",C101+E101))</f>
        <v/>
      </c>
      <c r="G101" s="380" t="inlineStr">
        <is>
          <t>Agent 03</t>
        </is>
      </c>
      <c r="H101" s="491" t="n"/>
      <c r="I101" s="492">
        <f>IF(A101="","Pending",IF(H101="","⚠️ Enter Code",IF(IFERROR(VLOOKUP(G101,DB_Agents!$B:$I,8,0),"")=H101,IF(AND(A101&lt;&gt;"",E101&lt;&gt;""),"Saved","Pending"),"🔒 BLOCKED — Wrong Code")))</f>
        <v/>
      </c>
      <c r="J101" s="493">
        <f>IF(I101="Saved",TEXT(TODAY(),"YYYY-MM-DD")&amp;" Auto","—")</f>
        <v/>
      </c>
      <c r="K101" s="494" t="n"/>
    </row>
    <row r="102" ht="15" customHeight="1" s="341">
      <c r="A102" s="495" t="n"/>
      <c r="B102" s="382">
        <f>IF(A102="","",IFERROR(VLOOKUP(A102,DB_Customers!$A:$D,4,0),"❌ Account Not Found"))</f>
        <v/>
      </c>
      <c r="C102" s="496">
        <f>IF(A102="","",IFERROR(VLOOKUP(A102,DB_Customers!$A:$N,14,0),""))</f>
        <v/>
      </c>
      <c r="D102" s="497">
        <f>IF(A102="","",TODAY())</f>
        <v/>
      </c>
      <c r="E102" s="489" t="n"/>
      <c r="F102" s="498">
        <f>IF(OR(A102="",E102=""),"",IF(C102="","",C102+E102))</f>
        <v/>
      </c>
      <c r="G102" s="384" t="inlineStr">
        <is>
          <t>Agent 03</t>
        </is>
      </c>
      <c r="H102" s="491" t="n"/>
      <c r="I102" s="499">
        <f>IF(A102="","Pending",IF(H102="","⚠️ Enter Code",IF(IFERROR(VLOOKUP(G102,DB_Agents!$B:$I,8,0),"")=H102,IF(AND(A102&lt;&gt;"",E102&lt;&gt;""),"Saved","Pending"),"🔒 BLOCKED — Wrong Code")))</f>
        <v/>
      </c>
      <c r="J102" s="500">
        <f>IF(I102="Saved",TEXT(TODAY(),"YYYY-MM-DD")&amp;" Auto","—")</f>
        <v/>
      </c>
      <c r="K102" s="501" t="n"/>
    </row>
    <row r="103" ht="15" customHeight="1" s="341">
      <c r="A103" s="486" t="n"/>
      <c r="B103" s="378">
        <f>IF(A103="","",IFERROR(VLOOKUP(A103,DB_Customers!$A:$D,4,0),"❌ Account Not Found"))</f>
        <v/>
      </c>
      <c r="C103" s="487">
        <f>IF(A103="","",IFERROR(VLOOKUP(A103,DB_Customers!$A:$N,14,0),""))</f>
        <v/>
      </c>
      <c r="D103" s="488">
        <f>IF(A103="","",TODAY())</f>
        <v/>
      </c>
      <c r="E103" s="489" t="n"/>
      <c r="F103" s="490">
        <f>IF(OR(A103="",E103=""),"",IF(C103="","",C103+E103))</f>
        <v/>
      </c>
      <c r="G103" s="380" t="inlineStr">
        <is>
          <t>Agent 03</t>
        </is>
      </c>
      <c r="H103" s="491" t="n"/>
      <c r="I103" s="492">
        <f>IF(A103="","Pending",IF(H103="","⚠️ Enter Code",IF(IFERROR(VLOOKUP(G103,DB_Agents!$B:$I,8,0),"")=H103,IF(AND(A103&lt;&gt;"",E103&lt;&gt;""),"Saved","Pending"),"🔒 BLOCKED — Wrong Code")))</f>
        <v/>
      </c>
      <c r="J103" s="493">
        <f>IF(I103="Saved",TEXT(TODAY(),"YYYY-MM-DD")&amp;" Auto","—")</f>
        <v/>
      </c>
      <c r="K103" s="494" t="n"/>
    </row>
    <row r="104" ht="15" customHeight="1" s="341">
      <c r="A104" s="495" t="n"/>
      <c r="B104" s="382">
        <f>IF(A104="","",IFERROR(VLOOKUP(A104,DB_Customers!$A:$D,4,0),"❌ Account Not Found"))</f>
        <v/>
      </c>
      <c r="C104" s="496">
        <f>IF(A104="","",IFERROR(VLOOKUP(A104,DB_Customers!$A:$N,14,0),""))</f>
        <v/>
      </c>
      <c r="D104" s="497">
        <f>IF(A104="","",TODAY())</f>
        <v/>
      </c>
      <c r="E104" s="489" t="n"/>
      <c r="F104" s="498">
        <f>IF(OR(A104="",E104=""),"",IF(C104="","",C104+E104))</f>
        <v/>
      </c>
      <c r="G104" s="384" t="inlineStr">
        <is>
          <t>Agent 03</t>
        </is>
      </c>
      <c r="H104" s="491" t="n"/>
      <c r="I104" s="499">
        <f>IF(A104="","Pending",IF(H104="","⚠️ Enter Code",IF(IFERROR(VLOOKUP(G104,DB_Agents!$B:$I,8,0),"")=H104,IF(AND(A104&lt;&gt;"",E104&lt;&gt;""),"Saved","Pending"),"🔒 BLOCKED — Wrong Code")))</f>
        <v/>
      </c>
      <c r="J104" s="500">
        <f>IF(I104="Saved",TEXT(TODAY(),"YYYY-MM-DD")&amp;" Auto","—")</f>
        <v/>
      </c>
      <c r="K104" s="501" t="n"/>
    </row>
    <row r="105" ht="15" customHeight="1" s="341">
      <c r="A105" s="486" t="n"/>
      <c r="B105" s="378">
        <f>IF(A105="","",IFERROR(VLOOKUP(A105,DB_Customers!$A:$D,4,0),"❌ Account Not Found"))</f>
        <v/>
      </c>
      <c r="C105" s="487">
        <f>IF(A105="","",IFERROR(VLOOKUP(A105,DB_Customers!$A:$N,14,0),""))</f>
        <v/>
      </c>
      <c r="D105" s="488">
        <f>IF(A105="","",TODAY())</f>
        <v/>
      </c>
      <c r="E105" s="489" t="n"/>
      <c r="F105" s="490">
        <f>IF(OR(A105="",E105=""),"",IF(C105="","",C105+E105))</f>
        <v/>
      </c>
      <c r="G105" s="380" t="inlineStr">
        <is>
          <t>Agent 03</t>
        </is>
      </c>
      <c r="H105" s="491" t="n"/>
      <c r="I105" s="492">
        <f>IF(A105="","Pending",IF(H105="","⚠️ Enter Code",IF(IFERROR(VLOOKUP(G105,DB_Agents!$B:$I,8,0),"")=H105,IF(AND(A105&lt;&gt;"",E105&lt;&gt;""),"Saved","Pending"),"🔒 BLOCKED — Wrong Code")))</f>
        <v/>
      </c>
      <c r="J105" s="493">
        <f>IF(I105="Saved",TEXT(TODAY(),"YYYY-MM-DD")&amp;" Auto","—")</f>
        <v/>
      </c>
      <c r="K105" s="494" t="n"/>
    </row>
    <row r="106" ht="15" customHeight="1" s="341">
      <c r="A106" s="495" t="n"/>
      <c r="B106" s="382">
        <f>IF(A106="","",IFERROR(VLOOKUP(A106,DB_Customers!$A:$D,4,0),"❌ Account Not Found"))</f>
        <v/>
      </c>
      <c r="C106" s="496">
        <f>IF(A106="","",IFERROR(VLOOKUP(A106,DB_Customers!$A:$N,14,0),""))</f>
        <v/>
      </c>
      <c r="D106" s="497">
        <f>IF(A106="","",TODAY())</f>
        <v/>
      </c>
      <c r="E106" s="489" t="n"/>
      <c r="F106" s="498">
        <f>IF(OR(A106="",E106=""),"",IF(C106="","",C106+E106))</f>
        <v/>
      </c>
      <c r="G106" s="384" t="inlineStr">
        <is>
          <t>Agent 03</t>
        </is>
      </c>
      <c r="H106" s="491" t="n"/>
      <c r="I106" s="499">
        <f>IF(A106="","Pending",IF(H106="","⚠️ Enter Code",IF(IFERROR(VLOOKUP(G106,DB_Agents!$B:$I,8,0),"")=H106,IF(AND(A106&lt;&gt;"",E106&lt;&gt;""),"Saved","Pending"),"🔒 BLOCKED — Wrong Code")))</f>
        <v/>
      </c>
      <c r="J106" s="500">
        <f>IF(I106="Saved",TEXT(TODAY(),"YYYY-MM-DD")&amp;" Auto","—")</f>
        <v/>
      </c>
      <c r="K106" s="501" t="n"/>
    </row>
    <row r="107" ht="15" customHeight="1" s="341">
      <c r="A107" s="486" t="n"/>
      <c r="B107" s="378">
        <f>IF(A107="","",IFERROR(VLOOKUP(A107,DB_Customers!$A:$D,4,0),"❌ Account Not Found"))</f>
        <v/>
      </c>
      <c r="C107" s="487">
        <f>IF(A107="","",IFERROR(VLOOKUP(A107,DB_Customers!$A:$N,14,0),""))</f>
        <v/>
      </c>
      <c r="D107" s="488">
        <f>IF(A107="","",TODAY())</f>
        <v/>
      </c>
      <c r="E107" s="489" t="n"/>
      <c r="F107" s="490">
        <f>IF(OR(A107="",E107=""),"",IF(C107="","",C107+E107))</f>
        <v/>
      </c>
      <c r="G107" s="380" t="inlineStr">
        <is>
          <t>Agent 03</t>
        </is>
      </c>
      <c r="H107" s="491" t="n"/>
      <c r="I107" s="492">
        <f>IF(A107="","Pending",IF(H107="","⚠️ Enter Code",IF(IFERROR(VLOOKUP(G107,DB_Agents!$B:$I,8,0),"")=H107,IF(AND(A107&lt;&gt;"",E107&lt;&gt;""),"Saved","Pending"),"🔒 BLOCKED — Wrong Code")))</f>
        <v/>
      </c>
      <c r="J107" s="493">
        <f>IF(I107="Saved",TEXT(TODAY(),"YYYY-MM-DD")&amp;" Auto","—")</f>
        <v/>
      </c>
      <c r="K107" s="494" t="n"/>
    </row>
    <row r="108" ht="15" customHeight="1" s="341">
      <c r="A108" s="495" t="n"/>
      <c r="B108" s="382">
        <f>IF(A108="","",IFERROR(VLOOKUP(A108,DB_Customers!$A:$D,4,0),"❌ Account Not Found"))</f>
        <v/>
      </c>
      <c r="C108" s="496">
        <f>IF(A108="","",IFERROR(VLOOKUP(A108,DB_Customers!$A:$N,14,0),""))</f>
        <v/>
      </c>
      <c r="D108" s="497">
        <f>IF(A108="","",TODAY())</f>
        <v/>
      </c>
      <c r="E108" s="489" t="n"/>
      <c r="F108" s="498">
        <f>IF(OR(A108="",E108=""),"",IF(C108="","",C108+E108))</f>
        <v/>
      </c>
      <c r="G108" s="384" t="inlineStr">
        <is>
          <t>Agent 03</t>
        </is>
      </c>
      <c r="H108" s="491" t="n"/>
      <c r="I108" s="499">
        <f>IF(A108="","Pending",IF(H108="","⚠️ Enter Code",IF(IFERROR(VLOOKUP(G108,DB_Agents!$B:$I,8,0),"")=H108,IF(AND(A108&lt;&gt;"",E108&lt;&gt;""),"Saved","Pending"),"🔒 BLOCKED — Wrong Code")))</f>
        <v/>
      </c>
      <c r="J108" s="500">
        <f>IF(I108="Saved",TEXT(TODAY(),"YYYY-MM-DD")&amp;" Auto","—")</f>
        <v/>
      </c>
      <c r="K108" s="501" t="n"/>
    </row>
    <row r="109" ht="15" customHeight="1" s="341">
      <c r="A109" s="486" t="n"/>
      <c r="B109" s="378">
        <f>IF(A109="","",IFERROR(VLOOKUP(A109,DB_Customers!$A:$D,4,0),"❌ Account Not Found"))</f>
        <v/>
      </c>
      <c r="C109" s="487">
        <f>IF(A109="","",IFERROR(VLOOKUP(A109,DB_Customers!$A:$N,14,0),""))</f>
        <v/>
      </c>
      <c r="D109" s="488">
        <f>IF(A109="","",TODAY())</f>
        <v/>
      </c>
      <c r="E109" s="489" t="n"/>
      <c r="F109" s="490">
        <f>IF(OR(A109="",E109=""),"",IF(C109="","",C109+E109))</f>
        <v/>
      </c>
      <c r="G109" s="380" t="inlineStr">
        <is>
          <t>Agent 03</t>
        </is>
      </c>
      <c r="H109" s="491" t="n"/>
      <c r="I109" s="492">
        <f>IF(A109="","Pending",IF(H109="","⚠️ Enter Code",IF(IFERROR(VLOOKUP(G109,DB_Agents!$B:$I,8,0),"")=H109,IF(AND(A109&lt;&gt;"",E109&lt;&gt;""),"Saved","Pending"),"🔒 BLOCKED — Wrong Code")))</f>
        <v/>
      </c>
      <c r="J109" s="493">
        <f>IF(I109="Saved",TEXT(TODAY(),"YYYY-MM-DD")&amp;" Auto","—")</f>
        <v/>
      </c>
      <c r="K109" s="494" t="n"/>
    </row>
    <row r="110" ht="15" customHeight="1" s="341">
      <c r="A110" s="495" t="n"/>
      <c r="B110" s="382">
        <f>IF(A110="","",IFERROR(VLOOKUP(A110,DB_Customers!$A:$D,4,0),"❌ Account Not Found"))</f>
        <v/>
      </c>
      <c r="C110" s="496">
        <f>IF(A110="","",IFERROR(VLOOKUP(A110,DB_Customers!$A:$N,14,0),""))</f>
        <v/>
      </c>
      <c r="D110" s="497">
        <f>IF(A110="","",TODAY())</f>
        <v/>
      </c>
      <c r="E110" s="489" t="n"/>
      <c r="F110" s="498">
        <f>IF(OR(A110="",E110=""),"",IF(C110="","",C110+E110))</f>
        <v/>
      </c>
      <c r="G110" s="384" t="inlineStr">
        <is>
          <t>Agent 03</t>
        </is>
      </c>
      <c r="H110" s="491" t="n"/>
      <c r="I110" s="499">
        <f>IF(A110="","Pending",IF(H110="","⚠️ Enter Code",IF(IFERROR(VLOOKUP(G110,DB_Agents!$B:$I,8,0),"")=H110,IF(AND(A110&lt;&gt;"",E110&lt;&gt;""),"Saved","Pending"),"🔒 BLOCKED — Wrong Code")))</f>
        <v/>
      </c>
      <c r="J110" s="500">
        <f>IF(I110="Saved",TEXT(TODAY(),"YYYY-MM-DD")&amp;" Auto","—")</f>
        <v/>
      </c>
      <c r="K110" s="501" t="n"/>
    </row>
    <row r="111" ht="15" customHeight="1" s="341">
      <c r="A111" s="486" t="n"/>
      <c r="B111" s="378">
        <f>IF(A111="","",IFERROR(VLOOKUP(A111,DB_Customers!$A:$D,4,0),"❌ Account Not Found"))</f>
        <v/>
      </c>
      <c r="C111" s="487">
        <f>IF(A111="","",IFERROR(VLOOKUP(A111,DB_Customers!$A:$N,14,0),""))</f>
        <v/>
      </c>
      <c r="D111" s="488">
        <f>IF(A111="","",TODAY())</f>
        <v/>
      </c>
      <c r="E111" s="489" t="n"/>
      <c r="F111" s="490">
        <f>IF(OR(A111="",E111=""),"",IF(C111="","",C111+E111))</f>
        <v/>
      </c>
      <c r="G111" s="380" t="inlineStr">
        <is>
          <t>Agent 03</t>
        </is>
      </c>
      <c r="H111" s="491" t="n"/>
      <c r="I111" s="492">
        <f>IF(A111="","Pending",IF(H111="","⚠️ Enter Code",IF(IFERROR(VLOOKUP(G111,DB_Agents!$B:$I,8,0),"")=H111,IF(AND(A111&lt;&gt;"",E111&lt;&gt;""),"Saved","Pending"),"🔒 BLOCKED — Wrong Code")))</f>
        <v/>
      </c>
      <c r="J111" s="493">
        <f>IF(I111="Saved",TEXT(TODAY(),"YYYY-MM-DD")&amp;" Auto","—")</f>
        <v/>
      </c>
      <c r="K111" s="494" t="n"/>
    </row>
    <row r="112" ht="15" customHeight="1" s="341">
      <c r="A112" s="495" t="n"/>
      <c r="B112" s="382">
        <f>IF(A112="","",IFERROR(VLOOKUP(A112,DB_Customers!$A:$D,4,0),"❌ Account Not Found"))</f>
        <v/>
      </c>
      <c r="C112" s="496">
        <f>IF(A112="","",IFERROR(VLOOKUP(A112,DB_Customers!$A:$N,14,0),""))</f>
        <v/>
      </c>
      <c r="D112" s="497">
        <f>IF(A112="","",TODAY())</f>
        <v/>
      </c>
      <c r="E112" s="489" t="n"/>
      <c r="F112" s="498">
        <f>IF(OR(A112="",E112=""),"",IF(C112="","",C112+E112))</f>
        <v/>
      </c>
      <c r="G112" s="384" t="inlineStr">
        <is>
          <t>Agent 03</t>
        </is>
      </c>
      <c r="H112" s="491" t="n"/>
      <c r="I112" s="499">
        <f>IF(A112="","Pending",IF(H112="","⚠️ Enter Code",IF(IFERROR(VLOOKUP(G112,DB_Agents!$B:$I,8,0),"")=H112,IF(AND(A112&lt;&gt;"",E112&lt;&gt;""),"Saved","Pending"),"🔒 BLOCKED — Wrong Code")))</f>
        <v/>
      </c>
      <c r="J112" s="500">
        <f>IF(I112="Saved",TEXT(TODAY(),"YYYY-MM-DD")&amp;" Auto","—")</f>
        <v/>
      </c>
      <c r="K112" s="501" t="n"/>
    </row>
    <row r="113" ht="15" customHeight="1" s="341">
      <c r="A113" s="486" t="n"/>
      <c r="B113" s="378">
        <f>IF(A113="","",IFERROR(VLOOKUP(A113,DB_Customers!$A:$D,4,0),"❌ Account Not Found"))</f>
        <v/>
      </c>
      <c r="C113" s="487">
        <f>IF(A113="","",IFERROR(VLOOKUP(A113,DB_Customers!$A:$N,14,0),""))</f>
        <v/>
      </c>
      <c r="D113" s="488">
        <f>IF(A113="","",TODAY())</f>
        <v/>
      </c>
      <c r="E113" s="489" t="n"/>
      <c r="F113" s="490">
        <f>IF(OR(A113="",E113=""),"",IF(C113="","",C113+E113))</f>
        <v/>
      </c>
      <c r="G113" s="380" t="inlineStr">
        <is>
          <t>Agent 03</t>
        </is>
      </c>
      <c r="H113" s="491" t="n"/>
      <c r="I113" s="492">
        <f>IF(A113="","Pending",IF(H113="","⚠️ Enter Code",IF(IFERROR(VLOOKUP(G113,DB_Agents!$B:$I,8,0),"")=H113,IF(AND(A113&lt;&gt;"",E113&lt;&gt;""),"Saved","Pending"),"🔒 BLOCKED — Wrong Code")))</f>
        <v/>
      </c>
      <c r="J113" s="493">
        <f>IF(I113="Saved",TEXT(TODAY(),"YYYY-MM-DD")&amp;" Auto","—")</f>
        <v/>
      </c>
      <c r="K113" s="494" t="n"/>
    </row>
    <row r="114" ht="15" customHeight="1" s="341">
      <c r="A114" s="495" t="n"/>
      <c r="B114" s="382">
        <f>IF(A114="","",IFERROR(VLOOKUP(A114,DB_Customers!$A:$D,4,0),"❌ Account Not Found"))</f>
        <v/>
      </c>
      <c r="C114" s="496">
        <f>IF(A114="","",IFERROR(VLOOKUP(A114,DB_Customers!$A:$N,14,0),""))</f>
        <v/>
      </c>
      <c r="D114" s="497">
        <f>IF(A114="","",TODAY())</f>
        <v/>
      </c>
      <c r="E114" s="489" t="n"/>
      <c r="F114" s="498">
        <f>IF(OR(A114="",E114=""),"",IF(C114="","",C114+E114))</f>
        <v/>
      </c>
      <c r="G114" s="384" t="inlineStr">
        <is>
          <t>Agent 03</t>
        </is>
      </c>
      <c r="H114" s="491" t="n"/>
      <c r="I114" s="499">
        <f>IF(A114="","Pending",IF(H114="","⚠️ Enter Code",IF(IFERROR(VLOOKUP(G114,DB_Agents!$B:$I,8,0),"")=H114,IF(AND(A114&lt;&gt;"",E114&lt;&gt;""),"Saved","Pending"),"🔒 BLOCKED — Wrong Code")))</f>
        <v/>
      </c>
      <c r="J114" s="500">
        <f>IF(I114="Saved",TEXT(TODAY(),"YYYY-MM-DD")&amp;" Auto","—")</f>
        <v/>
      </c>
      <c r="K114" s="501" t="n"/>
    </row>
    <row r="115" ht="15" customHeight="1" s="341">
      <c r="A115" s="486" t="n"/>
      <c r="B115" s="378">
        <f>IF(A115="","",IFERROR(VLOOKUP(A115,DB_Customers!$A:$D,4,0),"❌ Account Not Found"))</f>
        <v/>
      </c>
      <c r="C115" s="487">
        <f>IF(A115="","",IFERROR(VLOOKUP(A115,DB_Customers!$A:$N,14,0),""))</f>
        <v/>
      </c>
      <c r="D115" s="488">
        <f>IF(A115="","",TODAY())</f>
        <v/>
      </c>
      <c r="E115" s="489" t="n"/>
      <c r="F115" s="490">
        <f>IF(OR(A115="",E115=""),"",IF(C115="","",C115+E115))</f>
        <v/>
      </c>
      <c r="G115" s="380" t="inlineStr">
        <is>
          <t>Agent 03</t>
        </is>
      </c>
      <c r="H115" s="491" t="n"/>
      <c r="I115" s="492">
        <f>IF(A115="","Pending",IF(H115="","⚠️ Enter Code",IF(IFERROR(VLOOKUP(G115,DB_Agents!$B:$I,8,0),"")=H115,IF(AND(A115&lt;&gt;"",E115&lt;&gt;""),"Saved","Pending"),"🔒 BLOCKED — Wrong Code")))</f>
        <v/>
      </c>
      <c r="J115" s="493">
        <f>IF(I115="Saved",TEXT(TODAY(),"YYYY-MM-DD")&amp;" Auto","—")</f>
        <v/>
      </c>
      <c r="K115" s="494" t="n"/>
    </row>
    <row r="116" ht="15" customHeight="1" s="341">
      <c r="A116" s="495" t="n"/>
      <c r="B116" s="382">
        <f>IF(A116="","",IFERROR(VLOOKUP(A116,DB_Customers!$A:$D,4,0),"❌ Account Not Found"))</f>
        <v/>
      </c>
      <c r="C116" s="496">
        <f>IF(A116="","",IFERROR(VLOOKUP(A116,DB_Customers!$A:$N,14,0),""))</f>
        <v/>
      </c>
      <c r="D116" s="497">
        <f>IF(A116="","",TODAY())</f>
        <v/>
      </c>
      <c r="E116" s="489" t="n"/>
      <c r="F116" s="498">
        <f>IF(OR(A116="",E116=""),"",IF(C116="","",C116+E116))</f>
        <v/>
      </c>
      <c r="G116" s="384" t="inlineStr">
        <is>
          <t>Agent 03</t>
        </is>
      </c>
      <c r="H116" s="491" t="n"/>
      <c r="I116" s="499">
        <f>IF(A116="","Pending",IF(H116="","⚠️ Enter Code",IF(IFERROR(VLOOKUP(G116,DB_Agents!$B:$I,8,0),"")=H116,IF(AND(A116&lt;&gt;"",E116&lt;&gt;""),"Saved","Pending"),"🔒 BLOCKED — Wrong Code")))</f>
        <v/>
      </c>
      <c r="J116" s="500">
        <f>IF(I116="Saved",TEXT(TODAY(),"YYYY-MM-DD")&amp;" Auto","—")</f>
        <v/>
      </c>
      <c r="K116" s="501" t="n"/>
    </row>
    <row r="117" ht="15" customHeight="1" s="341">
      <c r="A117" s="486" t="n"/>
      <c r="B117" s="378">
        <f>IF(A117="","",IFERROR(VLOOKUP(A117,DB_Customers!$A:$D,4,0),"❌ Account Not Found"))</f>
        <v/>
      </c>
      <c r="C117" s="487">
        <f>IF(A117="","",IFERROR(VLOOKUP(A117,DB_Customers!$A:$N,14,0),""))</f>
        <v/>
      </c>
      <c r="D117" s="488">
        <f>IF(A117="","",TODAY())</f>
        <v/>
      </c>
      <c r="E117" s="489" t="n"/>
      <c r="F117" s="490">
        <f>IF(OR(A117="",E117=""),"",IF(C117="","",C117+E117))</f>
        <v/>
      </c>
      <c r="G117" s="380" t="inlineStr">
        <is>
          <t>Agent 03</t>
        </is>
      </c>
      <c r="H117" s="491" t="n"/>
      <c r="I117" s="492">
        <f>IF(A117="","Pending",IF(H117="","⚠️ Enter Code",IF(IFERROR(VLOOKUP(G117,DB_Agents!$B:$I,8,0),"")=H117,IF(AND(A117&lt;&gt;"",E117&lt;&gt;""),"Saved","Pending"),"🔒 BLOCKED — Wrong Code")))</f>
        <v/>
      </c>
      <c r="J117" s="493">
        <f>IF(I117="Saved",TEXT(TODAY(),"YYYY-MM-DD")&amp;" Auto","—")</f>
        <v/>
      </c>
      <c r="K117" s="494" t="n"/>
    </row>
    <row r="118" ht="15" customHeight="1" s="341">
      <c r="A118" s="495" t="n"/>
      <c r="B118" s="382">
        <f>IF(A118="","",IFERROR(VLOOKUP(A118,DB_Customers!$A:$D,4,0),"❌ Account Not Found"))</f>
        <v/>
      </c>
      <c r="C118" s="496">
        <f>IF(A118="","",IFERROR(VLOOKUP(A118,DB_Customers!$A:$N,14,0),""))</f>
        <v/>
      </c>
      <c r="D118" s="497">
        <f>IF(A118="","",TODAY())</f>
        <v/>
      </c>
      <c r="E118" s="489" t="n"/>
      <c r="F118" s="498">
        <f>IF(OR(A118="",E118=""),"",IF(C118="","",C118+E118))</f>
        <v/>
      </c>
      <c r="G118" s="384" t="inlineStr">
        <is>
          <t>Agent 03</t>
        </is>
      </c>
      <c r="H118" s="491" t="n"/>
      <c r="I118" s="499">
        <f>IF(A118="","Pending",IF(H118="","⚠️ Enter Code",IF(IFERROR(VLOOKUP(G118,DB_Agents!$B:$I,8,0),"")=H118,IF(AND(A118&lt;&gt;"",E118&lt;&gt;""),"Saved","Pending"),"🔒 BLOCKED — Wrong Code")))</f>
        <v/>
      </c>
      <c r="J118" s="500">
        <f>IF(I118="Saved",TEXT(TODAY(),"YYYY-MM-DD")&amp;" Auto","—")</f>
        <v/>
      </c>
      <c r="K118" s="501" t="n"/>
    </row>
    <row r="119" ht="15" customHeight="1" s="341">
      <c r="A119" s="486" t="n"/>
      <c r="B119" s="378">
        <f>IF(A119="","",IFERROR(VLOOKUP(A119,DB_Customers!$A:$D,4,0),"❌ Account Not Found"))</f>
        <v/>
      </c>
      <c r="C119" s="487">
        <f>IF(A119="","",IFERROR(VLOOKUP(A119,DB_Customers!$A:$N,14,0),""))</f>
        <v/>
      </c>
      <c r="D119" s="488">
        <f>IF(A119="","",TODAY())</f>
        <v/>
      </c>
      <c r="E119" s="489" t="n"/>
      <c r="F119" s="490">
        <f>IF(OR(A119="",E119=""),"",IF(C119="","",C119+E119))</f>
        <v/>
      </c>
      <c r="G119" s="380" t="inlineStr">
        <is>
          <t>Agent 03</t>
        </is>
      </c>
      <c r="H119" s="491" t="n"/>
      <c r="I119" s="492">
        <f>IF(A119="","Pending",IF(H119="","⚠️ Enter Code",IF(IFERROR(VLOOKUP(G119,DB_Agents!$B:$I,8,0),"")=H119,IF(AND(A119&lt;&gt;"",E119&lt;&gt;""),"Saved","Pending"),"🔒 BLOCKED — Wrong Code")))</f>
        <v/>
      </c>
      <c r="J119" s="493">
        <f>IF(I119="Saved",TEXT(TODAY(),"YYYY-MM-DD")&amp;" Auto","—")</f>
        <v/>
      </c>
      <c r="K119" s="494" t="n"/>
    </row>
    <row r="120" ht="15" customHeight="1" s="341">
      <c r="A120" s="495" t="n"/>
      <c r="B120" s="382">
        <f>IF(A120="","",IFERROR(VLOOKUP(A120,DB_Customers!$A:$D,4,0),"❌ Account Not Found"))</f>
        <v/>
      </c>
      <c r="C120" s="496">
        <f>IF(A120="","",IFERROR(VLOOKUP(A120,DB_Customers!$A:$N,14,0),""))</f>
        <v/>
      </c>
      <c r="D120" s="497">
        <f>IF(A120="","",TODAY())</f>
        <v/>
      </c>
      <c r="E120" s="489" t="n"/>
      <c r="F120" s="498">
        <f>IF(OR(A120="",E120=""),"",IF(C120="","",C120+E120))</f>
        <v/>
      </c>
      <c r="G120" s="384" t="inlineStr">
        <is>
          <t>Agent 03</t>
        </is>
      </c>
      <c r="H120" s="491" t="n"/>
      <c r="I120" s="499">
        <f>IF(A120="","Pending",IF(H120="","⚠️ Enter Code",IF(IFERROR(VLOOKUP(G120,DB_Agents!$B:$I,8,0),"")=H120,IF(AND(A120&lt;&gt;"",E120&lt;&gt;""),"Saved","Pending"),"🔒 BLOCKED — Wrong Code")))</f>
        <v/>
      </c>
      <c r="J120" s="500">
        <f>IF(I120="Saved",TEXT(TODAY(),"YYYY-MM-DD")&amp;" Auto","—")</f>
        <v/>
      </c>
      <c r="K120" s="501" t="n"/>
    </row>
    <row r="121" ht="15" customHeight="1" s="341">
      <c r="A121" s="486" t="n"/>
      <c r="B121" s="378">
        <f>IF(A121="","",IFERROR(VLOOKUP(A121,DB_Customers!$A:$D,4,0),"❌ Account Not Found"))</f>
        <v/>
      </c>
      <c r="C121" s="487">
        <f>IF(A121="","",IFERROR(VLOOKUP(A121,DB_Customers!$A:$N,14,0),""))</f>
        <v/>
      </c>
      <c r="D121" s="488">
        <f>IF(A121="","",TODAY())</f>
        <v/>
      </c>
      <c r="E121" s="489" t="n"/>
      <c r="F121" s="490">
        <f>IF(OR(A121="",E121=""),"",IF(C121="","",C121+E121))</f>
        <v/>
      </c>
      <c r="G121" s="380" t="inlineStr">
        <is>
          <t>Agent 03</t>
        </is>
      </c>
      <c r="H121" s="491" t="n"/>
      <c r="I121" s="492">
        <f>IF(A121="","Pending",IF(H121="","⚠️ Enter Code",IF(IFERROR(VLOOKUP(G121,DB_Agents!$B:$I,8,0),"")=H121,IF(AND(A121&lt;&gt;"",E121&lt;&gt;""),"Saved","Pending"),"🔒 BLOCKED — Wrong Code")))</f>
        <v/>
      </c>
      <c r="J121" s="493">
        <f>IF(I121="Saved",TEXT(TODAY(),"YYYY-MM-DD")&amp;" Auto","—")</f>
        <v/>
      </c>
      <c r="K121" s="494" t="n"/>
    </row>
    <row r="122" ht="15" customHeight="1" s="341">
      <c r="A122" s="495" t="n"/>
      <c r="B122" s="382">
        <f>IF(A122="","",IFERROR(VLOOKUP(A122,DB_Customers!$A:$D,4,0),"❌ Account Not Found"))</f>
        <v/>
      </c>
      <c r="C122" s="496">
        <f>IF(A122="","",IFERROR(VLOOKUP(A122,DB_Customers!$A:$N,14,0),""))</f>
        <v/>
      </c>
      <c r="D122" s="497">
        <f>IF(A122="","",TODAY())</f>
        <v/>
      </c>
      <c r="E122" s="489" t="n"/>
      <c r="F122" s="498">
        <f>IF(OR(A122="",E122=""),"",IF(C122="","",C122+E122))</f>
        <v/>
      </c>
      <c r="G122" s="384" t="inlineStr">
        <is>
          <t>Agent 03</t>
        </is>
      </c>
      <c r="H122" s="491" t="n"/>
      <c r="I122" s="499">
        <f>IF(A122="","Pending",IF(H122="","⚠️ Enter Code",IF(IFERROR(VLOOKUP(G122,DB_Agents!$B:$I,8,0),"")=H122,IF(AND(A122&lt;&gt;"",E122&lt;&gt;""),"Saved","Pending"),"🔒 BLOCKED — Wrong Code")))</f>
        <v/>
      </c>
      <c r="J122" s="500">
        <f>IF(I122="Saved",TEXT(TODAY(),"YYYY-MM-DD")&amp;" Auto","—")</f>
        <v/>
      </c>
      <c r="K122" s="501" t="n"/>
    </row>
    <row r="123" ht="15" customHeight="1" s="341">
      <c r="A123" s="486" t="n"/>
      <c r="B123" s="378">
        <f>IF(A123="","",IFERROR(VLOOKUP(A123,DB_Customers!$A:$D,4,0),"❌ Account Not Found"))</f>
        <v/>
      </c>
      <c r="C123" s="487">
        <f>IF(A123="","",IFERROR(VLOOKUP(A123,DB_Customers!$A:$N,14,0),""))</f>
        <v/>
      </c>
      <c r="D123" s="488">
        <f>IF(A123="","",TODAY())</f>
        <v/>
      </c>
      <c r="E123" s="489" t="n"/>
      <c r="F123" s="490">
        <f>IF(OR(A123="",E123=""),"",IF(C123="","",C123+E123))</f>
        <v/>
      </c>
      <c r="G123" s="380" t="inlineStr">
        <is>
          <t>Agent 03</t>
        </is>
      </c>
      <c r="H123" s="491" t="n"/>
      <c r="I123" s="492">
        <f>IF(A123="","Pending",IF(H123="","⚠️ Enter Code",IF(IFERROR(VLOOKUP(G123,DB_Agents!$B:$I,8,0),"")=H123,IF(AND(A123&lt;&gt;"",E123&lt;&gt;""),"Saved","Pending"),"🔒 BLOCKED — Wrong Code")))</f>
        <v/>
      </c>
      <c r="J123" s="493">
        <f>IF(I123="Saved",TEXT(TODAY(),"YYYY-MM-DD")&amp;" Auto","—")</f>
        <v/>
      </c>
      <c r="K123" s="494" t="n"/>
    </row>
    <row r="124" ht="15" customHeight="1" s="341">
      <c r="A124" s="495" t="n"/>
      <c r="B124" s="382">
        <f>IF(A124="","",IFERROR(VLOOKUP(A124,DB_Customers!$A:$D,4,0),"❌ Account Not Found"))</f>
        <v/>
      </c>
      <c r="C124" s="496">
        <f>IF(A124="","",IFERROR(VLOOKUP(A124,DB_Customers!$A:$N,14,0),""))</f>
        <v/>
      </c>
      <c r="D124" s="497">
        <f>IF(A124="","",TODAY())</f>
        <v/>
      </c>
      <c r="E124" s="489" t="n"/>
      <c r="F124" s="498">
        <f>IF(OR(A124="",E124=""),"",IF(C124="","",C124+E124))</f>
        <v/>
      </c>
      <c r="G124" s="384" t="inlineStr">
        <is>
          <t>Agent 03</t>
        </is>
      </c>
      <c r="H124" s="491" t="n"/>
      <c r="I124" s="499">
        <f>IF(A124="","Pending",IF(H124="","⚠️ Enter Code",IF(IFERROR(VLOOKUP(G124,DB_Agents!$B:$I,8,0),"")=H124,IF(AND(A124&lt;&gt;"",E124&lt;&gt;""),"Saved","Pending"),"🔒 BLOCKED — Wrong Code")))</f>
        <v/>
      </c>
      <c r="J124" s="500">
        <f>IF(I124="Saved",TEXT(TODAY(),"YYYY-MM-DD")&amp;" Auto","—")</f>
        <v/>
      </c>
      <c r="K124" s="501" t="n"/>
    </row>
    <row r="125" ht="15" customHeight="1" s="341">
      <c r="A125" s="486" t="n"/>
      <c r="B125" s="378">
        <f>IF(A125="","",IFERROR(VLOOKUP(A125,DB_Customers!$A:$D,4,0),"❌ Account Not Found"))</f>
        <v/>
      </c>
      <c r="C125" s="487">
        <f>IF(A125="","",IFERROR(VLOOKUP(A125,DB_Customers!$A:$N,14,0),""))</f>
        <v/>
      </c>
      <c r="D125" s="488">
        <f>IF(A125="","",TODAY())</f>
        <v/>
      </c>
      <c r="E125" s="489" t="n"/>
      <c r="F125" s="490">
        <f>IF(OR(A125="",E125=""),"",IF(C125="","",C125+E125))</f>
        <v/>
      </c>
      <c r="G125" s="380" t="inlineStr">
        <is>
          <t>Agent 03</t>
        </is>
      </c>
      <c r="H125" s="491" t="n"/>
      <c r="I125" s="492">
        <f>IF(A125="","Pending",IF(H125="","⚠️ Enter Code",IF(IFERROR(VLOOKUP(G125,DB_Agents!$B:$I,8,0),"")=H125,IF(AND(A125&lt;&gt;"",E125&lt;&gt;""),"Saved","Pending"),"🔒 BLOCKED — Wrong Code")))</f>
        <v/>
      </c>
      <c r="J125" s="493">
        <f>IF(I125="Saved",TEXT(TODAY(),"YYYY-MM-DD")&amp;" Auto","—")</f>
        <v/>
      </c>
      <c r="K125" s="494" t="n"/>
    </row>
    <row r="126" ht="15" customHeight="1" s="341">
      <c r="A126" s="495" t="n"/>
      <c r="B126" s="382">
        <f>IF(A126="","",IFERROR(VLOOKUP(A126,DB_Customers!$A:$D,4,0),"❌ Account Not Found"))</f>
        <v/>
      </c>
      <c r="C126" s="496">
        <f>IF(A126="","",IFERROR(VLOOKUP(A126,DB_Customers!$A:$N,14,0),""))</f>
        <v/>
      </c>
      <c r="D126" s="497">
        <f>IF(A126="","",TODAY())</f>
        <v/>
      </c>
      <c r="E126" s="489" t="n"/>
      <c r="F126" s="498">
        <f>IF(OR(A126="",E126=""),"",IF(C126="","",C126+E126))</f>
        <v/>
      </c>
      <c r="G126" s="384" t="inlineStr">
        <is>
          <t>Agent 03</t>
        </is>
      </c>
      <c r="H126" s="491" t="n"/>
      <c r="I126" s="499">
        <f>IF(A126="","Pending",IF(H126="","⚠️ Enter Code",IF(IFERROR(VLOOKUP(G126,DB_Agents!$B:$I,8,0),"")=H126,IF(AND(A126&lt;&gt;"",E126&lt;&gt;""),"Saved","Pending"),"🔒 BLOCKED — Wrong Code")))</f>
        <v/>
      </c>
      <c r="J126" s="500">
        <f>IF(I126="Saved",TEXT(TODAY(),"YYYY-MM-DD")&amp;" Auto","—")</f>
        <v/>
      </c>
      <c r="K126" s="501" t="n"/>
    </row>
    <row r="127" ht="15" customHeight="1" s="341">
      <c r="A127" s="486" t="n"/>
      <c r="B127" s="378">
        <f>IF(A127="","",IFERROR(VLOOKUP(A127,DB_Customers!$A:$D,4,0),"❌ Account Not Found"))</f>
        <v/>
      </c>
      <c r="C127" s="487">
        <f>IF(A127="","",IFERROR(VLOOKUP(A127,DB_Customers!$A:$N,14,0),""))</f>
        <v/>
      </c>
      <c r="D127" s="488">
        <f>IF(A127="","",TODAY())</f>
        <v/>
      </c>
      <c r="E127" s="489" t="n"/>
      <c r="F127" s="490">
        <f>IF(OR(A127="",E127=""),"",IF(C127="","",C127+E127))</f>
        <v/>
      </c>
      <c r="G127" s="380" t="inlineStr">
        <is>
          <t>Agent 03</t>
        </is>
      </c>
      <c r="H127" s="491" t="n"/>
      <c r="I127" s="492">
        <f>IF(A127="","Pending",IF(H127="","⚠️ Enter Code",IF(IFERROR(VLOOKUP(G127,DB_Agents!$B:$I,8,0),"")=H127,IF(AND(A127&lt;&gt;"",E127&lt;&gt;""),"Saved","Pending"),"🔒 BLOCKED — Wrong Code")))</f>
        <v/>
      </c>
      <c r="J127" s="493">
        <f>IF(I127="Saved",TEXT(TODAY(),"YYYY-MM-DD")&amp;" Auto","—")</f>
        <v/>
      </c>
      <c r="K127" s="494" t="n"/>
    </row>
    <row r="128" ht="15" customHeight="1" s="341">
      <c r="A128" s="495" t="n"/>
      <c r="B128" s="382">
        <f>IF(A128="","",IFERROR(VLOOKUP(A128,DB_Customers!$A:$D,4,0),"❌ Account Not Found"))</f>
        <v/>
      </c>
      <c r="C128" s="496">
        <f>IF(A128="","",IFERROR(VLOOKUP(A128,DB_Customers!$A:$N,14,0),""))</f>
        <v/>
      </c>
      <c r="D128" s="497">
        <f>IF(A128="","",TODAY())</f>
        <v/>
      </c>
      <c r="E128" s="489" t="n"/>
      <c r="F128" s="498">
        <f>IF(OR(A128="",E128=""),"",IF(C128="","",C128+E128))</f>
        <v/>
      </c>
      <c r="G128" s="384" t="inlineStr">
        <is>
          <t>Agent 03</t>
        </is>
      </c>
      <c r="H128" s="491" t="n"/>
      <c r="I128" s="499">
        <f>IF(A128="","Pending",IF(H128="","⚠️ Enter Code",IF(IFERROR(VLOOKUP(G128,DB_Agents!$B:$I,8,0),"")=H128,IF(AND(A128&lt;&gt;"",E128&lt;&gt;""),"Saved","Pending"),"🔒 BLOCKED — Wrong Code")))</f>
        <v/>
      </c>
      <c r="J128" s="500">
        <f>IF(I128="Saved",TEXT(TODAY(),"YYYY-MM-DD")&amp;" Auto","—")</f>
        <v/>
      </c>
      <c r="K128" s="501" t="n"/>
    </row>
    <row r="129" ht="15" customHeight="1" s="341">
      <c r="A129" s="486" t="n"/>
      <c r="B129" s="378">
        <f>IF(A129="","",IFERROR(VLOOKUP(A129,DB_Customers!$A:$D,4,0),"❌ Account Not Found"))</f>
        <v/>
      </c>
      <c r="C129" s="487">
        <f>IF(A129="","",IFERROR(VLOOKUP(A129,DB_Customers!$A:$N,14,0),""))</f>
        <v/>
      </c>
      <c r="D129" s="488">
        <f>IF(A129="","",TODAY())</f>
        <v/>
      </c>
      <c r="E129" s="489" t="n"/>
      <c r="F129" s="490">
        <f>IF(OR(A129="",E129=""),"",IF(C129="","",C129+E129))</f>
        <v/>
      </c>
      <c r="G129" s="380" t="inlineStr">
        <is>
          <t>Agent 03</t>
        </is>
      </c>
      <c r="H129" s="491" t="n"/>
      <c r="I129" s="492">
        <f>IF(A129="","Pending",IF(H129="","⚠️ Enter Code",IF(IFERROR(VLOOKUP(G129,DB_Agents!$B:$I,8,0),"")=H129,IF(AND(A129&lt;&gt;"",E129&lt;&gt;""),"Saved","Pending"),"🔒 BLOCKED — Wrong Code")))</f>
        <v/>
      </c>
      <c r="J129" s="493">
        <f>IF(I129="Saved",TEXT(TODAY(),"YYYY-MM-DD")&amp;" Auto","—")</f>
        <v/>
      </c>
      <c r="K129" s="494" t="n"/>
    </row>
    <row r="130" ht="15" customHeight="1" s="341">
      <c r="A130" s="495" t="n"/>
      <c r="B130" s="382">
        <f>IF(A130="","",IFERROR(VLOOKUP(A130,DB_Customers!$A:$D,4,0),"❌ Account Not Found"))</f>
        <v/>
      </c>
      <c r="C130" s="496">
        <f>IF(A130="","",IFERROR(VLOOKUP(A130,DB_Customers!$A:$N,14,0),""))</f>
        <v/>
      </c>
      <c r="D130" s="497">
        <f>IF(A130="","",TODAY())</f>
        <v/>
      </c>
      <c r="E130" s="489" t="n"/>
      <c r="F130" s="498">
        <f>IF(OR(A130="",E130=""),"",IF(C130="","",C130+E130))</f>
        <v/>
      </c>
      <c r="G130" s="384" t="inlineStr">
        <is>
          <t>Agent 03</t>
        </is>
      </c>
      <c r="H130" s="491" t="n"/>
      <c r="I130" s="499">
        <f>IF(A130="","Pending",IF(H130="","⚠️ Enter Code",IF(IFERROR(VLOOKUP(G130,DB_Agents!$B:$I,8,0),"")=H130,IF(AND(A130&lt;&gt;"",E130&lt;&gt;""),"Saved","Pending"),"🔒 BLOCKED — Wrong Code")))</f>
        <v/>
      </c>
      <c r="J130" s="500">
        <f>IF(I130="Saved",TEXT(TODAY(),"YYYY-MM-DD")&amp;" Auto","—")</f>
        <v/>
      </c>
      <c r="K130" s="501" t="n"/>
    </row>
    <row r="131" ht="15" customHeight="1" s="341">
      <c r="A131" s="486" t="n"/>
      <c r="B131" s="378">
        <f>IF(A131="","",IFERROR(VLOOKUP(A131,DB_Customers!$A:$D,4,0),"❌ Account Not Found"))</f>
        <v/>
      </c>
      <c r="C131" s="487">
        <f>IF(A131="","",IFERROR(VLOOKUP(A131,DB_Customers!$A:$N,14,0),""))</f>
        <v/>
      </c>
      <c r="D131" s="488">
        <f>IF(A131="","",TODAY())</f>
        <v/>
      </c>
      <c r="E131" s="489" t="n"/>
      <c r="F131" s="490">
        <f>IF(OR(A131="",E131=""),"",IF(C131="","",C131+E131))</f>
        <v/>
      </c>
      <c r="G131" s="380" t="inlineStr">
        <is>
          <t>Agent 03</t>
        </is>
      </c>
      <c r="H131" s="491" t="n"/>
      <c r="I131" s="492">
        <f>IF(A131="","Pending",IF(H131="","⚠️ Enter Code",IF(IFERROR(VLOOKUP(G131,DB_Agents!$B:$I,8,0),"")=H131,IF(AND(A131&lt;&gt;"",E131&lt;&gt;""),"Saved","Pending"),"🔒 BLOCKED — Wrong Code")))</f>
        <v/>
      </c>
      <c r="J131" s="493">
        <f>IF(I131="Saved",TEXT(TODAY(),"YYYY-MM-DD")&amp;" Auto","—")</f>
        <v/>
      </c>
      <c r="K131" s="494" t="n"/>
    </row>
    <row r="132" ht="15" customHeight="1" s="341">
      <c r="A132" s="495" t="n"/>
      <c r="B132" s="382">
        <f>IF(A132="","",IFERROR(VLOOKUP(A132,DB_Customers!$A:$D,4,0),"❌ Account Not Found"))</f>
        <v/>
      </c>
      <c r="C132" s="496">
        <f>IF(A132="","",IFERROR(VLOOKUP(A132,DB_Customers!$A:$N,14,0),""))</f>
        <v/>
      </c>
      <c r="D132" s="497">
        <f>IF(A132="","",TODAY())</f>
        <v/>
      </c>
      <c r="E132" s="489" t="n"/>
      <c r="F132" s="498">
        <f>IF(OR(A132="",E132=""),"",IF(C132="","",C132+E132))</f>
        <v/>
      </c>
      <c r="G132" s="384" t="inlineStr">
        <is>
          <t>Agent 03</t>
        </is>
      </c>
      <c r="H132" s="491" t="n"/>
      <c r="I132" s="499">
        <f>IF(A132="","Pending",IF(H132="","⚠️ Enter Code",IF(IFERROR(VLOOKUP(G132,DB_Agents!$B:$I,8,0),"")=H132,IF(AND(A132&lt;&gt;"",E132&lt;&gt;""),"Saved","Pending"),"🔒 BLOCKED — Wrong Code")))</f>
        <v/>
      </c>
      <c r="J132" s="500">
        <f>IF(I132="Saved",TEXT(TODAY(),"YYYY-MM-DD")&amp;" Auto","—")</f>
        <v/>
      </c>
      <c r="K132" s="501" t="n"/>
    </row>
    <row r="133" ht="15" customHeight="1" s="341">
      <c r="A133" s="486" t="n"/>
      <c r="B133" s="378">
        <f>IF(A133="","",IFERROR(VLOOKUP(A133,DB_Customers!$A:$D,4,0),"❌ Account Not Found"))</f>
        <v/>
      </c>
      <c r="C133" s="487">
        <f>IF(A133="","",IFERROR(VLOOKUP(A133,DB_Customers!$A:$N,14,0),""))</f>
        <v/>
      </c>
      <c r="D133" s="488">
        <f>IF(A133="","",TODAY())</f>
        <v/>
      </c>
      <c r="E133" s="489" t="n"/>
      <c r="F133" s="490">
        <f>IF(OR(A133="",E133=""),"",IF(C133="","",C133+E133))</f>
        <v/>
      </c>
      <c r="G133" s="380" t="inlineStr">
        <is>
          <t>Agent 03</t>
        </is>
      </c>
      <c r="H133" s="491" t="n"/>
      <c r="I133" s="492">
        <f>IF(A133="","Pending",IF(H133="","⚠️ Enter Code",IF(IFERROR(VLOOKUP(G133,DB_Agents!$B:$I,8,0),"")=H133,IF(AND(A133&lt;&gt;"",E133&lt;&gt;""),"Saved","Pending"),"🔒 BLOCKED — Wrong Code")))</f>
        <v/>
      </c>
      <c r="J133" s="493">
        <f>IF(I133="Saved",TEXT(TODAY(),"YYYY-MM-DD")&amp;" Auto","—")</f>
        <v/>
      </c>
      <c r="K133" s="494" t="n"/>
    </row>
    <row r="134" ht="15" customHeight="1" s="341">
      <c r="A134" s="495" t="n"/>
      <c r="B134" s="382">
        <f>IF(A134="","",IFERROR(VLOOKUP(A134,DB_Customers!$A:$D,4,0),"❌ Account Not Found"))</f>
        <v/>
      </c>
      <c r="C134" s="496">
        <f>IF(A134="","",IFERROR(VLOOKUP(A134,DB_Customers!$A:$N,14,0),""))</f>
        <v/>
      </c>
      <c r="D134" s="497">
        <f>IF(A134="","",TODAY())</f>
        <v/>
      </c>
      <c r="E134" s="489" t="n"/>
      <c r="F134" s="498">
        <f>IF(OR(A134="",E134=""),"",IF(C134="","",C134+E134))</f>
        <v/>
      </c>
      <c r="G134" s="384" t="inlineStr">
        <is>
          <t>Agent 03</t>
        </is>
      </c>
      <c r="H134" s="491" t="n"/>
      <c r="I134" s="499">
        <f>IF(A134="","Pending",IF(H134="","⚠️ Enter Code",IF(IFERROR(VLOOKUP(G134,DB_Agents!$B:$I,8,0),"")=H134,IF(AND(A134&lt;&gt;"",E134&lt;&gt;""),"Saved","Pending"),"🔒 BLOCKED — Wrong Code")))</f>
        <v/>
      </c>
      <c r="J134" s="500">
        <f>IF(I134="Saved",TEXT(TODAY(),"YYYY-MM-DD")&amp;" Auto","—")</f>
        <v/>
      </c>
      <c r="K134" s="501" t="n"/>
    </row>
    <row r="135" ht="15" customHeight="1" s="341">
      <c r="A135" s="486" t="n"/>
      <c r="B135" s="378">
        <f>IF(A135="","",IFERROR(VLOOKUP(A135,DB_Customers!$A:$D,4,0),"❌ Account Not Found"))</f>
        <v/>
      </c>
      <c r="C135" s="487">
        <f>IF(A135="","",IFERROR(VLOOKUP(A135,DB_Customers!$A:$N,14,0),""))</f>
        <v/>
      </c>
      <c r="D135" s="488">
        <f>IF(A135="","",TODAY())</f>
        <v/>
      </c>
      <c r="E135" s="489" t="n"/>
      <c r="F135" s="490">
        <f>IF(OR(A135="",E135=""),"",IF(C135="","",C135+E135))</f>
        <v/>
      </c>
      <c r="G135" s="380" t="inlineStr">
        <is>
          <t>Agent 03</t>
        </is>
      </c>
      <c r="H135" s="491" t="n"/>
      <c r="I135" s="492">
        <f>IF(A135="","Pending",IF(H135="","⚠️ Enter Code",IF(IFERROR(VLOOKUP(G135,DB_Agents!$B:$I,8,0),"")=H135,IF(AND(A135&lt;&gt;"",E135&lt;&gt;""),"Saved","Pending"),"🔒 BLOCKED — Wrong Code")))</f>
        <v/>
      </c>
      <c r="J135" s="493">
        <f>IF(I135="Saved",TEXT(TODAY(),"YYYY-MM-DD")&amp;" Auto","—")</f>
        <v/>
      </c>
      <c r="K135" s="494" t="n"/>
    </row>
    <row r="136" ht="15" customHeight="1" s="341">
      <c r="A136" s="495" t="n"/>
      <c r="B136" s="382">
        <f>IF(A136="","",IFERROR(VLOOKUP(A136,DB_Customers!$A:$D,4,0),"❌ Account Not Found"))</f>
        <v/>
      </c>
      <c r="C136" s="496">
        <f>IF(A136="","",IFERROR(VLOOKUP(A136,DB_Customers!$A:$N,14,0),""))</f>
        <v/>
      </c>
      <c r="D136" s="497">
        <f>IF(A136="","",TODAY())</f>
        <v/>
      </c>
      <c r="E136" s="489" t="n"/>
      <c r="F136" s="498">
        <f>IF(OR(A136="",E136=""),"",IF(C136="","",C136+E136))</f>
        <v/>
      </c>
      <c r="G136" s="384" t="inlineStr">
        <is>
          <t>Agent 03</t>
        </is>
      </c>
      <c r="H136" s="491" t="n"/>
      <c r="I136" s="499">
        <f>IF(A136="","Pending",IF(H136="","⚠️ Enter Code",IF(IFERROR(VLOOKUP(G136,DB_Agents!$B:$I,8,0),"")=H136,IF(AND(A136&lt;&gt;"",E136&lt;&gt;""),"Saved","Pending"),"🔒 BLOCKED — Wrong Code")))</f>
        <v/>
      </c>
      <c r="J136" s="500">
        <f>IF(I136="Saved",TEXT(TODAY(),"YYYY-MM-DD")&amp;" Auto","—")</f>
        <v/>
      </c>
      <c r="K136" s="501" t="n"/>
    </row>
    <row r="137" ht="15" customHeight="1" s="341">
      <c r="A137" s="486" t="n"/>
      <c r="B137" s="378">
        <f>IF(A137="","",IFERROR(VLOOKUP(A137,DB_Customers!$A:$D,4,0),"❌ Account Not Found"))</f>
        <v/>
      </c>
      <c r="C137" s="487">
        <f>IF(A137="","",IFERROR(VLOOKUP(A137,DB_Customers!$A:$N,14,0),""))</f>
        <v/>
      </c>
      <c r="D137" s="488">
        <f>IF(A137="","",TODAY())</f>
        <v/>
      </c>
      <c r="E137" s="489" t="n"/>
      <c r="F137" s="490">
        <f>IF(OR(A137="",E137=""),"",IF(C137="","",C137+E137))</f>
        <v/>
      </c>
      <c r="G137" s="380" t="inlineStr">
        <is>
          <t>Agent 03</t>
        </is>
      </c>
      <c r="H137" s="491" t="n"/>
      <c r="I137" s="492">
        <f>IF(A137="","Pending",IF(H137="","⚠️ Enter Code",IF(IFERROR(VLOOKUP(G137,DB_Agents!$B:$I,8,0),"")=H137,IF(AND(A137&lt;&gt;"",E137&lt;&gt;""),"Saved","Pending"),"🔒 BLOCKED — Wrong Code")))</f>
        <v/>
      </c>
      <c r="J137" s="493">
        <f>IF(I137="Saved",TEXT(TODAY(),"YYYY-MM-DD")&amp;" Auto","—")</f>
        <v/>
      </c>
      <c r="K137" s="494" t="n"/>
    </row>
    <row r="138" ht="15" customHeight="1" s="341">
      <c r="A138" s="495" t="n"/>
      <c r="B138" s="382">
        <f>IF(A138="","",IFERROR(VLOOKUP(A138,DB_Customers!$A:$D,4,0),"❌ Account Not Found"))</f>
        <v/>
      </c>
      <c r="C138" s="496">
        <f>IF(A138="","",IFERROR(VLOOKUP(A138,DB_Customers!$A:$N,14,0),""))</f>
        <v/>
      </c>
      <c r="D138" s="497">
        <f>IF(A138="","",TODAY())</f>
        <v/>
      </c>
      <c r="E138" s="489" t="n"/>
      <c r="F138" s="498">
        <f>IF(OR(A138="",E138=""),"",IF(C138="","",C138+E138))</f>
        <v/>
      </c>
      <c r="G138" s="384" t="inlineStr">
        <is>
          <t>Agent 03</t>
        </is>
      </c>
      <c r="H138" s="491" t="n"/>
      <c r="I138" s="499">
        <f>IF(A138="","Pending",IF(H138="","⚠️ Enter Code",IF(IFERROR(VLOOKUP(G138,DB_Agents!$B:$I,8,0),"")=H138,IF(AND(A138&lt;&gt;"",E138&lt;&gt;""),"Saved","Pending"),"🔒 BLOCKED — Wrong Code")))</f>
        <v/>
      </c>
      <c r="J138" s="500">
        <f>IF(I138="Saved",TEXT(TODAY(),"YYYY-MM-DD")&amp;" Auto","—")</f>
        <v/>
      </c>
      <c r="K138" s="501" t="n"/>
    </row>
    <row r="139" ht="15" customHeight="1" s="341">
      <c r="A139" s="486" t="n"/>
      <c r="B139" s="378">
        <f>IF(A139="","",IFERROR(VLOOKUP(A139,DB_Customers!$A:$D,4,0),"❌ Account Not Found"))</f>
        <v/>
      </c>
      <c r="C139" s="487">
        <f>IF(A139="","",IFERROR(VLOOKUP(A139,DB_Customers!$A:$N,14,0),""))</f>
        <v/>
      </c>
      <c r="D139" s="488">
        <f>IF(A139="","",TODAY())</f>
        <v/>
      </c>
      <c r="E139" s="489" t="n"/>
      <c r="F139" s="490">
        <f>IF(OR(A139="",E139=""),"",IF(C139="","",C139+E139))</f>
        <v/>
      </c>
      <c r="G139" s="380" t="inlineStr">
        <is>
          <t>Agent 03</t>
        </is>
      </c>
      <c r="H139" s="491" t="n"/>
      <c r="I139" s="492">
        <f>IF(A139="","Pending",IF(H139="","⚠️ Enter Code",IF(IFERROR(VLOOKUP(G139,DB_Agents!$B:$I,8,0),"")=H139,IF(AND(A139&lt;&gt;"",E139&lt;&gt;""),"Saved","Pending"),"🔒 BLOCKED — Wrong Code")))</f>
        <v/>
      </c>
      <c r="J139" s="493">
        <f>IF(I139="Saved",TEXT(TODAY(),"YYYY-MM-DD")&amp;" Auto","—")</f>
        <v/>
      </c>
      <c r="K139" s="494" t="n"/>
    </row>
    <row r="140" ht="15" customHeight="1" s="341">
      <c r="A140" s="495" t="n"/>
      <c r="B140" s="382">
        <f>IF(A140="","",IFERROR(VLOOKUP(A140,DB_Customers!$A:$D,4,0),"❌ Account Not Found"))</f>
        <v/>
      </c>
      <c r="C140" s="496">
        <f>IF(A140="","",IFERROR(VLOOKUP(A140,DB_Customers!$A:$N,14,0),""))</f>
        <v/>
      </c>
      <c r="D140" s="497">
        <f>IF(A140="","",TODAY())</f>
        <v/>
      </c>
      <c r="E140" s="489" t="n"/>
      <c r="F140" s="498">
        <f>IF(OR(A140="",E140=""),"",IF(C140="","",C140+E140))</f>
        <v/>
      </c>
      <c r="G140" s="384" t="inlineStr">
        <is>
          <t>Agent 03</t>
        </is>
      </c>
      <c r="H140" s="491" t="n"/>
      <c r="I140" s="499">
        <f>IF(A140="","Pending",IF(H140="","⚠️ Enter Code",IF(IFERROR(VLOOKUP(G140,DB_Agents!$B:$I,8,0),"")=H140,IF(AND(A140&lt;&gt;"",E140&lt;&gt;""),"Saved","Pending"),"🔒 BLOCKED — Wrong Code")))</f>
        <v/>
      </c>
      <c r="J140" s="500">
        <f>IF(I140="Saved",TEXT(TODAY(),"YYYY-MM-DD")&amp;" Auto","—")</f>
        <v/>
      </c>
      <c r="K140" s="501" t="n"/>
    </row>
    <row r="141" ht="15" customHeight="1" s="341">
      <c r="A141" s="486" t="n"/>
      <c r="B141" s="378">
        <f>IF(A141="","",IFERROR(VLOOKUP(A141,DB_Customers!$A:$D,4,0),"❌ Account Not Found"))</f>
        <v/>
      </c>
      <c r="C141" s="487">
        <f>IF(A141="","",IFERROR(VLOOKUP(A141,DB_Customers!$A:$N,14,0),""))</f>
        <v/>
      </c>
      <c r="D141" s="488">
        <f>IF(A141="","",TODAY())</f>
        <v/>
      </c>
      <c r="E141" s="489" t="n"/>
      <c r="F141" s="490">
        <f>IF(OR(A141="",E141=""),"",IF(C141="","",C141+E141))</f>
        <v/>
      </c>
      <c r="G141" s="380" t="inlineStr">
        <is>
          <t>Agent 03</t>
        </is>
      </c>
      <c r="H141" s="491" t="n"/>
      <c r="I141" s="492">
        <f>IF(A141="","Pending",IF(H141="","⚠️ Enter Code",IF(IFERROR(VLOOKUP(G141,DB_Agents!$B:$I,8,0),"")=H141,IF(AND(A141&lt;&gt;"",E141&lt;&gt;""),"Saved","Pending"),"🔒 BLOCKED — Wrong Code")))</f>
        <v/>
      </c>
      <c r="J141" s="493">
        <f>IF(I141="Saved",TEXT(TODAY(),"YYYY-MM-DD")&amp;" Auto","—")</f>
        <v/>
      </c>
      <c r="K141" s="494" t="n"/>
    </row>
    <row r="142" ht="15" customHeight="1" s="341">
      <c r="A142" s="495" t="n"/>
      <c r="B142" s="382">
        <f>IF(A142="","",IFERROR(VLOOKUP(A142,DB_Customers!$A:$D,4,0),"❌ Account Not Found"))</f>
        <v/>
      </c>
      <c r="C142" s="496">
        <f>IF(A142="","",IFERROR(VLOOKUP(A142,DB_Customers!$A:$N,14,0),""))</f>
        <v/>
      </c>
      <c r="D142" s="497">
        <f>IF(A142="","",TODAY())</f>
        <v/>
      </c>
      <c r="E142" s="489" t="n"/>
      <c r="F142" s="498">
        <f>IF(OR(A142="",E142=""),"",IF(C142="","",C142+E142))</f>
        <v/>
      </c>
      <c r="G142" s="384" t="inlineStr">
        <is>
          <t>Agent 03</t>
        </is>
      </c>
      <c r="H142" s="491" t="n"/>
      <c r="I142" s="499">
        <f>IF(A142="","Pending",IF(H142="","⚠️ Enter Code",IF(IFERROR(VLOOKUP(G142,DB_Agents!$B:$I,8,0),"")=H142,IF(AND(A142&lt;&gt;"",E142&lt;&gt;""),"Saved","Pending"),"🔒 BLOCKED — Wrong Code")))</f>
        <v/>
      </c>
      <c r="J142" s="500">
        <f>IF(I142="Saved",TEXT(TODAY(),"YYYY-MM-DD")&amp;" Auto","—")</f>
        <v/>
      </c>
      <c r="K142" s="501" t="n"/>
    </row>
    <row r="143" ht="15" customHeight="1" s="341">
      <c r="A143" s="486" t="n"/>
      <c r="B143" s="378">
        <f>IF(A143="","",IFERROR(VLOOKUP(A143,DB_Customers!$A:$D,4,0),"❌ Account Not Found"))</f>
        <v/>
      </c>
      <c r="C143" s="487">
        <f>IF(A143="","",IFERROR(VLOOKUP(A143,DB_Customers!$A:$N,14,0),""))</f>
        <v/>
      </c>
      <c r="D143" s="488">
        <f>IF(A143="","",TODAY())</f>
        <v/>
      </c>
      <c r="E143" s="489" t="n"/>
      <c r="F143" s="490">
        <f>IF(OR(A143="",E143=""),"",IF(C143="","",C143+E143))</f>
        <v/>
      </c>
      <c r="G143" s="380" t="inlineStr">
        <is>
          <t>Agent 03</t>
        </is>
      </c>
      <c r="H143" s="491" t="n"/>
      <c r="I143" s="492">
        <f>IF(A143="","Pending",IF(H143="","⚠️ Enter Code",IF(IFERROR(VLOOKUP(G143,DB_Agents!$B:$I,8,0),"")=H143,IF(AND(A143&lt;&gt;"",E143&lt;&gt;""),"Saved","Pending"),"🔒 BLOCKED — Wrong Code")))</f>
        <v/>
      </c>
      <c r="J143" s="493">
        <f>IF(I143="Saved",TEXT(TODAY(),"YYYY-MM-DD")&amp;" Auto","—")</f>
        <v/>
      </c>
      <c r="K143" s="494" t="n"/>
    </row>
    <row r="144" ht="15" customHeight="1" s="341">
      <c r="A144" s="495" t="n"/>
      <c r="B144" s="382">
        <f>IF(A144="","",IFERROR(VLOOKUP(A144,DB_Customers!$A:$D,4,0),"❌ Account Not Found"))</f>
        <v/>
      </c>
      <c r="C144" s="496">
        <f>IF(A144="","",IFERROR(VLOOKUP(A144,DB_Customers!$A:$N,14,0),""))</f>
        <v/>
      </c>
      <c r="D144" s="497">
        <f>IF(A144="","",TODAY())</f>
        <v/>
      </c>
      <c r="E144" s="489" t="n"/>
      <c r="F144" s="498">
        <f>IF(OR(A144="",E144=""),"",IF(C144="","",C144+E144))</f>
        <v/>
      </c>
      <c r="G144" s="384" t="inlineStr">
        <is>
          <t>Agent 03</t>
        </is>
      </c>
      <c r="H144" s="491" t="n"/>
      <c r="I144" s="499">
        <f>IF(A144="","Pending",IF(H144="","⚠️ Enter Code",IF(IFERROR(VLOOKUP(G144,DB_Agents!$B:$I,8,0),"")=H144,IF(AND(A144&lt;&gt;"",E144&lt;&gt;""),"Saved","Pending"),"🔒 BLOCKED — Wrong Code")))</f>
        <v/>
      </c>
      <c r="J144" s="500">
        <f>IF(I144="Saved",TEXT(TODAY(),"YYYY-MM-DD")&amp;" Auto","—")</f>
        <v/>
      </c>
      <c r="K144" s="501" t="n"/>
    </row>
    <row r="145" ht="15" customHeight="1" s="341">
      <c r="A145" s="486" t="n"/>
      <c r="B145" s="378">
        <f>IF(A145="","",IFERROR(VLOOKUP(A145,DB_Customers!$A:$D,4,0),"❌ Account Not Found"))</f>
        <v/>
      </c>
      <c r="C145" s="487">
        <f>IF(A145="","",IFERROR(VLOOKUP(A145,DB_Customers!$A:$N,14,0),""))</f>
        <v/>
      </c>
      <c r="D145" s="488">
        <f>IF(A145="","",TODAY())</f>
        <v/>
      </c>
      <c r="E145" s="489" t="n"/>
      <c r="F145" s="490">
        <f>IF(OR(A145="",E145=""),"",IF(C145="","",C145+E145))</f>
        <v/>
      </c>
      <c r="G145" s="380" t="inlineStr">
        <is>
          <t>Agent 03</t>
        </is>
      </c>
      <c r="H145" s="491" t="n"/>
      <c r="I145" s="492">
        <f>IF(A145="","Pending",IF(H145="","⚠️ Enter Code",IF(IFERROR(VLOOKUP(G145,DB_Agents!$B:$I,8,0),"")=H145,IF(AND(A145&lt;&gt;"",E145&lt;&gt;""),"Saved","Pending"),"🔒 BLOCKED — Wrong Code")))</f>
        <v/>
      </c>
      <c r="J145" s="493">
        <f>IF(I145="Saved",TEXT(TODAY(),"YYYY-MM-DD")&amp;" Auto","—")</f>
        <v/>
      </c>
      <c r="K145" s="494" t="n"/>
    </row>
    <row r="146" ht="15" customHeight="1" s="341">
      <c r="A146" s="495" t="n"/>
      <c r="B146" s="382">
        <f>IF(A146="","",IFERROR(VLOOKUP(A146,DB_Customers!$A:$D,4,0),"❌ Account Not Found"))</f>
        <v/>
      </c>
      <c r="C146" s="496">
        <f>IF(A146="","",IFERROR(VLOOKUP(A146,DB_Customers!$A:$N,14,0),""))</f>
        <v/>
      </c>
      <c r="D146" s="497">
        <f>IF(A146="","",TODAY())</f>
        <v/>
      </c>
      <c r="E146" s="489" t="n"/>
      <c r="F146" s="498">
        <f>IF(OR(A146="",E146=""),"",IF(C146="","",C146+E146))</f>
        <v/>
      </c>
      <c r="G146" s="384" t="inlineStr">
        <is>
          <t>Agent 03</t>
        </is>
      </c>
      <c r="H146" s="491" t="n"/>
      <c r="I146" s="499">
        <f>IF(A146="","Pending",IF(H146="","⚠️ Enter Code",IF(IFERROR(VLOOKUP(G146,DB_Agents!$B:$I,8,0),"")=H146,IF(AND(A146&lt;&gt;"",E146&lt;&gt;""),"Saved","Pending"),"🔒 BLOCKED — Wrong Code")))</f>
        <v/>
      </c>
      <c r="J146" s="500">
        <f>IF(I146="Saved",TEXT(TODAY(),"YYYY-MM-DD")&amp;" Auto","—")</f>
        <v/>
      </c>
      <c r="K146" s="501" t="n"/>
    </row>
    <row r="147" ht="15" customHeight="1" s="341">
      <c r="A147" s="486" t="n"/>
      <c r="B147" s="378">
        <f>IF(A147="","",IFERROR(VLOOKUP(A147,DB_Customers!$A:$D,4,0),"❌ Account Not Found"))</f>
        <v/>
      </c>
      <c r="C147" s="487">
        <f>IF(A147="","",IFERROR(VLOOKUP(A147,DB_Customers!$A:$N,14,0),""))</f>
        <v/>
      </c>
      <c r="D147" s="488">
        <f>IF(A147="","",TODAY())</f>
        <v/>
      </c>
      <c r="E147" s="489" t="n"/>
      <c r="F147" s="490">
        <f>IF(OR(A147="",E147=""),"",IF(C147="","",C147+E147))</f>
        <v/>
      </c>
      <c r="G147" s="380" t="inlineStr">
        <is>
          <t>Agent 03</t>
        </is>
      </c>
      <c r="H147" s="491" t="n"/>
      <c r="I147" s="492">
        <f>IF(A147="","Pending",IF(H147="","⚠️ Enter Code",IF(IFERROR(VLOOKUP(G147,DB_Agents!$B:$I,8,0),"")=H147,IF(AND(A147&lt;&gt;"",E147&lt;&gt;""),"Saved","Pending"),"🔒 BLOCKED — Wrong Code")))</f>
        <v/>
      </c>
      <c r="J147" s="493">
        <f>IF(I147="Saved",TEXT(TODAY(),"YYYY-MM-DD")&amp;" Auto","—")</f>
        <v/>
      </c>
      <c r="K147" s="494" t="n"/>
    </row>
    <row r="148" ht="15" customHeight="1" s="341">
      <c r="A148" s="495" t="n"/>
      <c r="B148" s="382">
        <f>IF(A148="","",IFERROR(VLOOKUP(A148,DB_Customers!$A:$D,4,0),"❌ Account Not Found"))</f>
        <v/>
      </c>
      <c r="C148" s="496">
        <f>IF(A148="","",IFERROR(VLOOKUP(A148,DB_Customers!$A:$N,14,0),""))</f>
        <v/>
      </c>
      <c r="D148" s="497">
        <f>IF(A148="","",TODAY())</f>
        <v/>
      </c>
      <c r="E148" s="489" t="n"/>
      <c r="F148" s="498">
        <f>IF(OR(A148="",E148=""),"",IF(C148="","",C148+E148))</f>
        <v/>
      </c>
      <c r="G148" s="384" t="inlineStr">
        <is>
          <t>Agent 03</t>
        </is>
      </c>
      <c r="H148" s="491" t="n"/>
      <c r="I148" s="499">
        <f>IF(A148="","Pending",IF(H148="","⚠️ Enter Code",IF(IFERROR(VLOOKUP(G148,DB_Agents!$B:$I,8,0),"")=H148,IF(AND(A148&lt;&gt;"",E148&lt;&gt;""),"Saved","Pending"),"🔒 BLOCKED — Wrong Code")))</f>
        <v/>
      </c>
      <c r="J148" s="500">
        <f>IF(I148="Saved",TEXT(TODAY(),"YYYY-MM-DD")&amp;" Auto","—")</f>
        <v/>
      </c>
      <c r="K148" s="501" t="n"/>
    </row>
    <row r="149" ht="15" customHeight="1" s="341">
      <c r="A149" s="486" t="n"/>
      <c r="B149" s="378">
        <f>IF(A149="","",IFERROR(VLOOKUP(A149,DB_Customers!$A:$D,4,0),"❌ Account Not Found"))</f>
        <v/>
      </c>
      <c r="C149" s="487">
        <f>IF(A149="","",IFERROR(VLOOKUP(A149,DB_Customers!$A:$N,14,0),""))</f>
        <v/>
      </c>
      <c r="D149" s="488">
        <f>IF(A149="","",TODAY())</f>
        <v/>
      </c>
      <c r="E149" s="489" t="n"/>
      <c r="F149" s="490">
        <f>IF(OR(A149="",E149=""),"",IF(C149="","",C149+E149))</f>
        <v/>
      </c>
      <c r="G149" s="380" t="inlineStr">
        <is>
          <t>Agent 03</t>
        </is>
      </c>
      <c r="H149" s="491" t="n"/>
      <c r="I149" s="492">
        <f>IF(A149="","Pending",IF(H149="","⚠️ Enter Code",IF(IFERROR(VLOOKUP(G149,DB_Agents!$B:$I,8,0),"")=H149,IF(AND(A149&lt;&gt;"",E149&lt;&gt;""),"Saved","Pending"),"🔒 BLOCKED — Wrong Code")))</f>
        <v/>
      </c>
      <c r="J149" s="493">
        <f>IF(I149="Saved",TEXT(TODAY(),"YYYY-MM-DD")&amp;" Auto","—")</f>
        <v/>
      </c>
      <c r="K149" s="494" t="n"/>
    </row>
    <row r="150" ht="15" customHeight="1" s="341">
      <c r="A150" s="495" t="n"/>
      <c r="B150" s="382">
        <f>IF(A150="","",IFERROR(VLOOKUP(A150,DB_Customers!$A:$D,4,0),"❌ Account Not Found"))</f>
        <v/>
      </c>
      <c r="C150" s="496">
        <f>IF(A150="","",IFERROR(VLOOKUP(A150,DB_Customers!$A:$N,14,0),""))</f>
        <v/>
      </c>
      <c r="D150" s="497">
        <f>IF(A150="","",TODAY())</f>
        <v/>
      </c>
      <c r="E150" s="489" t="n"/>
      <c r="F150" s="498">
        <f>IF(OR(A150="",E150=""),"",IF(C150="","",C150+E150))</f>
        <v/>
      </c>
      <c r="G150" s="384" t="inlineStr">
        <is>
          <t>Agent 03</t>
        </is>
      </c>
      <c r="H150" s="491" t="n"/>
      <c r="I150" s="499">
        <f>IF(A150="","Pending",IF(H150="","⚠️ Enter Code",IF(IFERROR(VLOOKUP(G150,DB_Agents!$B:$I,8,0),"")=H150,IF(AND(A150&lt;&gt;"",E150&lt;&gt;""),"Saved","Pending"),"🔒 BLOCKED — Wrong Code")))</f>
        <v/>
      </c>
      <c r="J150" s="500">
        <f>IF(I150="Saved",TEXT(TODAY(),"YYYY-MM-DD")&amp;" Auto","—")</f>
        <v/>
      </c>
      <c r="K150" s="501" t="n"/>
    </row>
    <row r="151" ht="15" customHeight="1" s="341">
      <c r="A151" s="486" t="n"/>
      <c r="B151" s="378">
        <f>IF(A151="","",IFERROR(VLOOKUP(A151,DB_Customers!$A:$D,4,0),"❌ Account Not Found"))</f>
        <v/>
      </c>
      <c r="C151" s="487">
        <f>IF(A151="","",IFERROR(VLOOKUP(A151,DB_Customers!$A:$N,14,0),""))</f>
        <v/>
      </c>
      <c r="D151" s="488">
        <f>IF(A151="","",TODAY())</f>
        <v/>
      </c>
      <c r="E151" s="489" t="n"/>
      <c r="F151" s="490">
        <f>IF(OR(A151="",E151=""),"",IF(C151="","",C151+E151))</f>
        <v/>
      </c>
      <c r="G151" s="380" t="inlineStr">
        <is>
          <t>Agent 03</t>
        </is>
      </c>
      <c r="H151" s="491" t="n"/>
      <c r="I151" s="492">
        <f>IF(A151="","Pending",IF(H151="","⚠️ Enter Code",IF(IFERROR(VLOOKUP(G151,DB_Agents!$B:$I,8,0),"")=H151,IF(AND(A151&lt;&gt;"",E151&lt;&gt;""),"Saved","Pending"),"🔒 BLOCKED — Wrong Code")))</f>
        <v/>
      </c>
      <c r="J151" s="493">
        <f>IF(I151="Saved",TEXT(TODAY(),"YYYY-MM-DD")&amp;" Auto","—")</f>
        <v/>
      </c>
      <c r="K151" s="494" t="n"/>
    </row>
    <row r="152" ht="15" customHeight="1" s="341">
      <c r="A152" s="495" t="n"/>
      <c r="B152" s="382">
        <f>IF(A152="","",IFERROR(VLOOKUP(A152,DB_Customers!$A:$D,4,0),"❌ Account Not Found"))</f>
        <v/>
      </c>
      <c r="C152" s="496">
        <f>IF(A152="","",IFERROR(VLOOKUP(A152,DB_Customers!$A:$N,14,0),""))</f>
        <v/>
      </c>
      <c r="D152" s="497">
        <f>IF(A152="","",TODAY())</f>
        <v/>
      </c>
      <c r="E152" s="489" t="n"/>
      <c r="F152" s="498">
        <f>IF(OR(A152="",E152=""),"",IF(C152="","",C152+E152))</f>
        <v/>
      </c>
      <c r="G152" s="384" t="inlineStr">
        <is>
          <t>Agent 03</t>
        </is>
      </c>
      <c r="H152" s="491" t="n"/>
      <c r="I152" s="499">
        <f>IF(A152="","Pending",IF(H152="","⚠️ Enter Code",IF(IFERROR(VLOOKUP(G152,DB_Agents!$B:$I,8,0),"")=H152,IF(AND(A152&lt;&gt;"",E152&lt;&gt;""),"Saved","Pending"),"🔒 BLOCKED — Wrong Code")))</f>
        <v/>
      </c>
      <c r="J152" s="500">
        <f>IF(I152="Saved",TEXT(TODAY(),"YYYY-MM-DD")&amp;" Auto","—")</f>
        <v/>
      </c>
      <c r="K152" s="501" t="n"/>
    </row>
    <row r="153" ht="15" customHeight="1" s="341">
      <c r="A153" s="486" t="n"/>
      <c r="B153" s="378">
        <f>IF(A153="","",IFERROR(VLOOKUP(A153,DB_Customers!$A:$D,4,0),"❌ Account Not Found"))</f>
        <v/>
      </c>
      <c r="C153" s="487">
        <f>IF(A153="","",IFERROR(VLOOKUP(A153,DB_Customers!$A:$N,14,0),""))</f>
        <v/>
      </c>
      <c r="D153" s="488">
        <f>IF(A153="","",TODAY())</f>
        <v/>
      </c>
      <c r="E153" s="489" t="n"/>
      <c r="F153" s="490">
        <f>IF(OR(A153="",E153=""),"",IF(C153="","",C153+E153))</f>
        <v/>
      </c>
      <c r="G153" s="380" t="inlineStr">
        <is>
          <t>Agent 03</t>
        </is>
      </c>
      <c r="H153" s="491" t="n"/>
      <c r="I153" s="492">
        <f>IF(A153="","Pending",IF(H153="","⚠️ Enter Code",IF(IFERROR(VLOOKUP(G153,DB_Agents!$B:$I,8,0),"")=H153,IF(AND(A153&lt;&gt;"",E153&lt;&gt;""),"Saved","Pending"),"🔒 BLOCKED — Wrong Code")))</f>
        <v/>
      </c>
      <c r="J153" s="493">
        <f>IF(I153="Saved",TEXT(TODAY(),"YYYY-MM-DD")&amp;" Auto","—")</f>
        <v/>
      </c>
      <c r="K153" s="494" t="n"/>
    </row>
    <row r="154" ht="15" customHeight="1" s="341">
      <c r="A154" s="495" t="n"/>
      <c r="B154" s="382">
        <f>IF(A154="","",IFERROR(VLOOKUP(A154,DB_Customers!$A:$D,4,0),"❌ Account Not Found"))</f>
        <v/>
      </c>
      <c r="C154" s="496">
        <f>IF(A154="","",IFERROR(VLOOKUP(A154,DB_Customers!$A:$N,14,0),""))</f>
        <v/>
      </c>
      <c r="D154" s="497">
        <f>IF(A154="","",TODAY())</f>
        <v/>
      </c>
      <c r="E154" s="489" t="n"/>
      <c r="F154" s="498">
        <f>IF(OR(A154="",E154=""),"",IF(C154="","",C154+E154))</f>
        <v/>
      </c>
      <c r="G154" s="384" t="inlineStr">
        <is>
          <t>Agent 03</t>
        </is>
      </c>
      <c r="H154" s="491" t="n"/>
      <c r="I154" s="499">
        <f>IF(A154="","Pending",IF(H154="","⚠️ Enter Code",IF(IFERROR(VLOOKUP(G154,DB_Agents!$B:$I,8,0),"")=H154,IF(AND(A154&lt;&gt;"",E154&lt;&gt;""),"Saved","Pending"),"🔒 BLOCKED — Wrong Code")))</f>
        <v/>
      </c>
      <c r="J154" s="500">
        <f>IF(I154="Saved",TEXT(TODAY(),"YYYY-MM-DD")&amp;" Auto","—")</f>
        <v/>
      </c>
      <c r="K154" s="501" t="n"/>
    </row>
    <row r="155" ht="15" customHeight="1" s="341">
      <c r="A155" s="486" t="n"/>
      <c r="B155" s="378">
        <f>IF(A155="","",IFERROR(VLOOKUP(A155,DB_Customers!$A:$D,4,0),"❌ Account Not Found"))</f>
        <v/>
      </c>
      <c r="C155" s="487">
        <f>IF(A155="","",IFERROR(VLOOKUP(A155,DB_Customers!$A:$N,14,0),""))</f>
        <v/>
      </c>
      <c r="D155" s="488">
        <f>IF(A155="","",TODAY())</f>
        <v/>
      </c>
      <c r="E155" s="489" t="n"/>
      <c r="F155" s="490">
        <f>IF(OR(A155="",E155=""),"",IF(C155="","",C155+E155))</f>
        <v/>
      </c>
      <c r="G155" s="380" t="inlineStr">
        <is>
          <t>Agent 03</t>
        </is>
      </c>
      <c r="H155" s="491" t="n"/>
      <c r="I155" s="492">
        <f>IF(A155="","Pending",IF(H155="","⚠️ Enter Code",IF(IFERROR(VLOOKUP(G155,DB_Agents!$B:$I,8,0),"")=H155,IF(AND(A155&lt;&gt;"",E155&lt;&gt;""),"Saved","Pending"),"🔒 BLOCKED — Wrong Code")))</f>
        <v/>
      </c>
      <c r="J155" s="493">
        <f>IF(I155="Saved",TEXT(TODAY(),"YYYY-MM-DD")&amp;" Auto","—")</f>
        <v/>
      </c>
      <c r="K155" s="494" t="n"/>
    </row>
    <row r="156" ht="15" customHeight="1" s="341">
      <c r="A156" s="495" t="n"/>
      <c r="B156" s="382">
        <f>IF(A156="","",IFERROR(VLOOKUP(A156,DB_Customers!$A:$D,4,0),"❌ Account Not Found"))</f>
        <v/>
      </c>
      <c r="C156" s="496">
        <f>IF(A156="","",IFERROR(VLOOKUP(A156,DB_Customers!$A:$N,14,0),""))</f>
        <v/>
      </c>
      <c r="D156" s="497">
        <f>IF(A156="","",TODAY())</f>
        <v/>
      </c>
      <c r="E156" s="489" t="n"/>
      <c r="F156" s="498">
        <f>IF(OR(A156="",E156=""),"",IF(C156="","",C156+E156))</f>
        <v/>
      </c>
      <c r="G156" s="384" t="inlineStr">
        <is>
          <t>Agent 03</t>
        </is>
      </c>
      <c r="H156" s="491" t="n"/>
      <c r="I156" s="499">
        <f>IF(A156="","Pending",IF(H156="","⚠️ Enter Code",IF(IFERROR(VLOOKUP(G156,DB_Agents!$B:$I,8,0),"")=H156,IF(AND(A156&lt;&gt;"",E156&lt;&gt;""),"Saved","Pending"),"🔒 BLOCKED — Wrong Code")))</f>
        <v/>
      </c>
      <c r="J156" s="500">
        <f>IF(I156="Saved",TEXT(TODAY(),"YYYY-MM-DD")&amp;" Auto","—")</f>
        <v/>
      </c>
      <c r="K156" s="501" t="n"/>
    </row>
    <row r="157" ht="15" customHeight="1" s="341">
      <c r="A157" s="486" t="n"/>
      <c r="B157" s="378">
        <f>IF(A157="","",IFERROR(VLOOKUP(A157,DB_Customers!$A:$D,4,0),"❌ Account Not Found"))</f>
        <v/>
      </c>
      <c r="C157" s="487">
        <f>IF(A157="","",IFERROR(VLOOKUP(A157,DB_Customers!$A:$N,14,0),""))</f>
        <v/>
      </c>
      <c r="D157" s="488">
        <f>IF(A157="","",TODAY())</f>
        <v/>
      </c>
      <c r="E157" s="489" t="n"/>
      <c r="F157" s="490">
        <f>IF(OR(A157="",E157=""),"",IF(C157="","",C157+E157))</f>
        <v/>
      </c>
      <c r="G157" s="380" t="inlineStr">
        <is>
          <t>Agent 03</t>
        </is>
      </c>
      <c r="H157" s="491" t="n"/>
      <c r="I157" s="492">
        <f>IF(A157="","Pending",IF(H157="","⚠️ Enter Code",IF(IFERROR(VLOOKUP(G157,DB_Agents!$B:$I,8,0),"")=H157,IF(AND(A157&lt;&gt;"",E157&lt;&gt;""),"Saved","Pending"),"🔒 BLOCKED — Wrong Code")))</f>
        <v/>
      </c>
      <c r="J157" s="493">
        <f>IF(I157="Saved",TEXT(TODAY(),"YYYY-MM-DD")&amp;" Auto","—")</f>
        <v/>
      </c>
      <c r="K157" s="494" t="n"/>
    </row>
    <row r="158" ht="15" customHeight="1" s="341">
      <c r="A158" s="495" t="n"/>
      <c r="B158" s="382">
        <f>IF(A158="","",IFERROR(VLOOKUP(A158,DB_Customers!$A:$D,4,0),"❌ Account Not Found"))</f>
        <v/>
      </c>
      <c r="C158" s="496">
        <f>IF(A158="","",IFERROR(VLOOKUP(A158,DB_Customers!$A:$N,14,0),""))</f>
        <v/>
      </c>
      <c r="D158" s="497">
        <f>IF(A158="","",TODAY())</f>
        <v/>
      </c>
      <c r="E158" s="489" t="n"/>
      <c r="F158" s="498">
        <f>IF(OR(A158="",E158=""),"",IF(C158="","",C158+E158))</f>
        <v/>
      </c>
      <c r="G158" s="384" t="inlineStr">
        <is>
          <t>Agent 03</t>
        </is>
      </c>
      <c r="H158" s="491" t="n"/>
      <c r="I158" s="499">
        <f>IF(A158="","Pending",IF(H158="","⚠️ Enter Code",IF(IFERROR(VLOOKUP(G158,DB_Agents!$B:$I,8,0),"")=H158,IF(AND(A158&lt;&gt;"",E158&lt;&gt;""),"Saved","Pending"),"🔒 BLOCKED — Wrong Code")))</f>
        <v/>
      </c>
      <c r="J158" s="500">
        <f>IF(I158="Saved",TEXT(TODAY(),"YYYY-MM-DD")&amp;" Auto","—")</f>
        <v/>
      </c>
      <c r="K158" s="501" t="n"/>
    </row>
    <row r="159" ht="15" customHeight="1" s="341">
      <c r="A159" s="486" t="n"/>
      <c r="B159" s="378">
        <f>IF(A159="","",IFERROR(VLOOKUP(A159,DB_Customers!$A:$D,4,0),"❌ Account Not Found"))</f>
        <v/>
      </c>
      <c r="C159" s="487">
        <f>IF(A159="","",IFERROR(VLOOKUP(A159,DB_Customers!$A:$N,14,0),""))</f>
        <v/>
      </c>
      <c r="D159" s="488">
        <f>IF(A159="","",TODAY())</f>
        <v/>
      </c>
      <c r="E159" s="489" t="n"/>
      <c r="F159" s="490">
        <f>IF(OR(A159="",E159=""),"",IF(C159="","",C159+E159))</f>
        <v/>
      </c>
      <c r="G159" s="380" t="inlineStr">
        <is>
          <t>Agent 03</t>
        </is>
      </c>
      <c r="H159" s="491" t="n"/>
      <c r="I159" s="492">
        <f>IF(A159="","Pending",IF(H159="","⚠️ Enter Code",IF(IFERROR(VLOOKUP(G159,DB_Agents!$B:$I,8,0),"")=H159,IF(AND(A159&lt;&gt;"",E159&lt;&gt;""),"Saved","Pending"),"🔒 BLOCKED — Wrong Code")))</f>
        <v/>
      </c>
      <c r="J159" s="493">
        <f>IF(I159="Saved",TEXT(TODAY(),"YYYY-MM-DD")&amp;" Auto","—")</f>
        <v/>
      </c>
      <c r="K159" s="494" t="n"/>
    </row>
    <row r="160" ht="15" customHeight="1" s="341">
      <c r="A160" s="495" t="n"/>
      <c r="B160" s="382">
        <f>IF(A160="","",IFERROR(VLOOKUP(A160,DB_Customers!$A:$D,4,0),"❌ Account Not Found"))</f>
        <v/>
      </c>
      <c r="C160" s="496">
        <f>IF(A160="","",IFERROR(VLOOKUP(A160,DB_Customers!$A:$N,14,0),""))</f>
        <v/>
      </c>
      <c r="D160" s="497">
        <f>IF(A160="","",TODAY())</f>
        <v/>
      </c>
      <c r="E160" s="489" t="n"/>
      <c r="F160" s="498">
        <f>IF(OR(A160="",E160=""),"",IF(C160="","",C160+E160))</f>
        <v/>
      </c>
      <c r="G160" s="384" t="inlineStr">
        <is>
          <t>Agent 03</t>
        </is>
      </c>
      <c r="H160" s="491" t="n"/>
      <c r="I160" s="499">
        <f>IF(A160="","Pending",IF(H160="","⚠️ Enter Code",IF(IFERROR(VLOOKUP(G160,DB_Agents!$B:$I,8,0),"")=H160,IF(AND(A160&lt;&gt;"",E160&lt;&gt;""),"Saved","Pending"),"🔒 BLOCKED — Wrong Code")))</f>
        <v/>
      </c>
      <c r="J160" s="500">
        <f>IF(I160="Saved",TEXT(TODAY(),"YYYY-MM-DD")&amp;" Auto","—")</f>
        <v/>
      </c>
      <c r="K160" s="501" t="n"/>
    </row>
    <row r="161" ht="15" customHeight="1" s="341">
      <c r="A161" s="486" t="n"/>
      <c r="B161" s="378">
        <f>IF(A161="","",IFERROR(VLOOKUP(A161,DB_Customers!$A:$D,4,0),"❌ Account Not Found"))</f>
        <v/>
      </c>
      <c r="C161" s="487">
        <f>IF(A161="","",IFERROR(VLOOKUP(A161,DB_Customers!$A:$N,14,0),""))</f>
        <v/>
      </c>
      <c r="D161" s="488">
        <f>IF(A161="","",TODAY())</f>
        <v/>
      </c>
      <c r="E161" s="489" t="n"/>
      <c r="F161" s="490">
        <f>IF(OR(A161="",E161=""),"",IF(C161="","",C161+E161))</f>
        <v/>
      </c>
      <c r="G161" s="380" t="inlineStr">
        <is>
          <t>Agent 03</t>
        </is>
      </c>
      <c r="H161" s="491" t="n"/>
      <c r="I161" s="492">
        <f>IF(A161="","Pending",IF(H161="","⚠️ Enter Code",IF(IFERROR(VLOOKUP(G161,DB_Agents!$B:$I,8,0),"")=H161,IF(AND(A161&lt;&gt;"",E161&lt;&gt;""),"Saved","Pending"),"🔒 BLOCKED — Wrong Code")))</f>
        <v/>
      </c>
      <c r="J161" s="493">
        <f>IF(I161="Saved",TEXT(TODAY(),"YYYY-MM-DD")&amp;" Auto","—")</f>
        <v/>
      </c>
      <c r="K161" s="494" t="n"/>
    </row>
    <row r="162" ht="15" customHeight="1" s="341">
      <c r="A162" s="495" t="n"/>
      <c r="B162" s="382">
        <f>IF(A162="","",IFERROR(VLOOKUP(A162,DB_Customers!$A:$D,4,0),"❌ Account Not Found"))</f>
        <v/>
      </c>
      <c r="C162" s="496">
        <f>IF(A162="","",IFERROR(VLOOKUP(A162,DB_Customers!$A:$N,14,0),""))</f>
        <v/>
      </c>
      <c r="D162" s="497">
        <f>IF(A162="","",TODAY())</f>
        <v/>
      </c>
      <c r="E162" s="489" t="n"/>
      <c r="F162" s="498">
        <f>IF(OR(A162="",E162=""),"",IF(C162="","",C162+E162))</f>
        <v/>
      </c>
      <c r="G162" s="384" t="inlineStr">
        <is>
          <t>Agent 03</t>
        </is>
      </c>
      <c r="H162" s="491" t="n"/>
      <c r="I162" s="499">
        <f>IF(A162="","Pending",IF(H162="","⚠️ Enter Code",IF(IFERROR(VLOOKUP(G162,DB_Agents!$B:$I,8,0),"")=H162,IF(AND(A162&lt;&gt;"",E162&lt;&gt;""),"Saved","Pending"),"🔒 BLOCKED — Wrong Code")))</f>
        <v/>
      </c>
      <c r="J162" s="500">
        <f>IF(I162="Saved",TEXT(TODAY(),"YYYY-MM-DD")&amp;" Auto","—")</f>
        <v/>
      </c>
      <c r="K162" s="501" t="n"/>
    </row>
    <row r="163" ht="15" customHeight="1" s="341">
      <c r="A163" s="486" t="n"/>
      <c r="B163" s="378">
        <f>IF(A163="","",IFERROR(VLOOKUP(A163,DB_Customers!$A:$D,4,0),"❌ Account Not Found"))</f>
        <v/>
      </c>
      <c r="C163" s="487">
        <f>IF(A163="","",IFERROR(VLOOKUP(A163,DB_Customers!$A:$N,14,0),""))</f>
        <v/>
      </c>
      <c r="D163" s="488">
        <f>IF(A163="","",TODAY())</f>
        <v/>
      </c>
      <c r="E163" s="489" t="n"/>
      <c r="F163" s="490">
        <f>IF(OR(A163="",E163=""),"",IF(C163="","",C163+E163))</f>
        <v/>
      </c>
      <c r="G163" s="380" t="inlineStr">
        <is>
          <t>Agent 03</t>
        </is>
      </c>
      <c r="H163" s="491" t="n"/>
      <c r="I163" s="492">
        <f>IF(A163="","Pending",IF(H163="","⚠️ Enter Code",IF(IFERROR(VLOOKUP(G163,DB_Agents!$B:$I,8,0),"")=H163,IF(AND(A163&lt;&gt;"",E163&lt;&gt;""),"Saved","Pending"),"🔒 BLOCKED — Wrong Code")))</f>
        <v/>
      </c>
      <c r="J163" s="493">
        <f>IF(I163="Saved",TEXT(TODAY(),"YYYY-MM-DD")&amp;" Auto","—")</f>
        <v/>
      </c>
      <c r="K163" s="494" t="n"/>
    </row>
    <row r="164" ht="15" customHeight="1" s="341">
      <c r="A164" s="495" t="n"/>
      <c r="B164" s="382">
        <f>IF(A164="","",IFERROR(VLOOKUP(A164,DB_Customers!$A:$D,4,0),"❌ Account Not Found"))</f>
        <v/>
      </c>
      <c r="C164" s="496">
        <f>IF(A164="","",IFERROR(VLOOKUP(A164,DB_Customers!$A:$N,14,0),""))</f>
        <v/>
      </c>
      <c r="D164" s="497">
        <f>IF(A164="","",TODAY())</f>
        <v/>
      </c>
      <c r="E164" s="489" t="n"/>
      <c r="F164" s="498">
        <f>IF(OR(A164="",E164=""),"",IF(C164="","",C164+E164))</f>
        <v/>
      </c>
      <c r="G164" s="384" t="inlineStr">
        <is>
          <t>Agent 03</t>
        </is>
      </c>
      <c r="H164" s="491" t="n"/>
      <c r="I164" s="499">
        <f>IF(A164="","Pending",IF(H164="","⚠️ Enter Code",IF(IFERROR(VLOOKUP(G164,DB_Agents!$B:$I,8,0),"")=H164,IF(AND(A164&lt;&gt;"",E164&lt;&gt;""),"Saved","Pending"),"🔒 BLOCKED — Wrong Code")))</f>
        <v/>
      </c>
      <c r="J164" s="500">
        <f>IF(I164="Saved",TEXT(TODAY(),"YYYY-MM-DD")&amp;" Auto","—")</f>
        <v/>
      </c>
      <c r="K164" s="501" t="n"/>
    </row>
    <row r="165" ht="15" customHeight="1" s="341">
      <c r="A165" s="486" t="n"/>
      <c r="B165" s="378">
        <f>IF(A165="","",IFERROR(VLOOKUP(A165,DB_Customers!$A:$D,4,0),"❌ Account Not Found"))</f>
        <v/>
      </c>
      <c r="C165" s="487">
        <f>IF(A165="","",IFERROR(VLOOKUP(A165,DB_Customers!$A:$N,14,0),""))</f>
        <v/>
      </c>
      <c r="D165" s="488">
        <f>IF(A165="","",TODAY())</f>
        <v/>
      </c>
      <c r="E165" s="489" t="n"/>
      <c r="F165" s="490">
        <f>IF(OR(A165="",E165=""),"",IF(C165="","",C165+E165))</f>
        <v/>
      </c>
      <c r="G165" s="380" t="inlineStr">
        <is>
          <t>Agent 03</t>
        </is>
      </c>
      <c r="H165" s="491" t="n"/>
      <c r="I165" s="492">
        <f>IF(A165="","Pending",IF(H165="","⚠️ Enter Code",IF(IFERROR(VLOOKUP(G165,DB_Agents!$B:$I,8,0),"")=H165,IF(AND(A165&lt;&gt;"",E165&lt;&gt;""),"Saved","Pending"),"🔒 BLOCKED — Wrong Code")))</f>
        <v/>
      </c>
      <c r="J165" s="493">
        <f>IF(I165="Saved",TEXT(TODAY(),"YYYY-MM-DD")&amp;" Auto","—")</f>
        <v/>
      </c>
      <c r="K165" s="494" t="n"/>
    </row>
    <row r="166" ht="15" customHeight="1" s="341">
      <c r="A166" s="495" t="n"/>
      <c r="B166" s="382">
        <f>IF(A166="","",IFERROR(VLOOKUP(A166,DB_Customers!$A:$D,4,0),"❌ Account Not Found"))</f>
        <v/>
      </c>
      <c r="C166" s="496">
        <f>IF(A166="","",IFERROR(VLOOKUP(A166,DB_Customers!$A:$N,14,0),""))</f>
        <v/>
      </c>
      <c r="D166" s="497">
        <f>IF(A166="","",TODAY())</f>
        <v/>
      </c>
      <c r="E166" s="489" t="n"/>
      <c r="F166" s="498">
        <f>IF(OR(A166="",E166=""),"",IF(C166="","",C166+E166))</f>
        <v/>
      </c>
      <c r="G166" s="384" t="inlineStr">
        <is>
          <t>Agent 03</t>
        </is>
      </c>
      <c r="H166" s="491" t="n"/>
      <c r="I166" s="499">
        <f>IF(A166="","Pending",IF(H166="","⚠️ Enter Code",IF(IFERROR(VLOOKUP(G166,DB_Agents!$B:$I,8,0),"")=H166,IF(AND(A166&lt;&gt;"",E166&lt;&gt;""),"Saved","Pending"),"🔒 BLOCKED — Wrong Code")))</f>
        <v/>
      </c>
      <c r="J166" s="500">
        <f>IF(I166="Saved",TEXT(TODAY(),"YYYY-MM-DD")&amp;" Auto","—")</f>
        <v/>
      </c>
      <c r="K166" s="501" t="n"/>
    </row>
    <row r="167" ht="15" customHeight="1" s="341">
      <c r="A167" s="486" t="n"/>
      <c r="B167" s="378">
        <f>IF(A167="","",IFERROR(VLOOKUP(A167,DB_Customers!$A:$D,4,0),"❌ Account Not Found"))</f>
        <v/>
      </c>
      <c r="C167" s="487">
        <f>IF(A167="","",IFERROR(VLOOKUP(A167,DB_Customers!$A:$N,14,0),""))</f>
        <v/>
      </c>
      <c r="D167" s="488">
        <f>IF(A167="","",TODAY())</f>
        <v/>
      </c>
      <c r="E167" s="489" t="n"/>
      <c r="F167" s="490">
        <f>IF(OR(A167="",E167=""),"",IF(C167="","",C167+E167))</f>
        <v/>
      </c>
      <c r="G167" s="380" t="inlineStr">
        <is>
          <t>Agent 03</t>
        </is>
      </c>
      <c r="H167" s="491" t="n"/>
      <c r="I167" s="492">
        <f>IF(A167="","Pending",IF(H167="","⚠️ Enter Code",IF(IFERROR(VLOOKUP(G167,DB_Agents!$B:$I,8,0),"")=H167,IF(AND(A167&lt;&gt;"",E167&lt;&gt;""),"Saved","Pending"),"🔒 BLOCKED — Wrong Code")))</f>
        <v/>
      </c>
      <c r="J167" s="493">
        <f>IF(I167="Saved",TEXT(TODAY(),"YYYY-MM-DD")&amp;" Auto","—")</f>
        <v/>
      </c>
      <c r="K167" s="494" t="n"/>
    </row>
    <row r="168" ht="15" customHeight="1" s="341">
      <c r="A168" s="495" t="n"/>
      <c r="B168" s="382">
        <f>IF(A168="","",IFERROR(VLOOKUP(A168,DB_Customers!$A:$D,4,0),"❌ Account Not Found"))</f>
        <v/>
      </c>
      <c r="C168" s="496">
        <f>IF(A168="","",IFERROR(VLOOKUP(A168,DB_Customers!$A:$N,14,0),""))</f>
        <v/>
      </c>
      <c r="D168" s="497">
        <f>IF(A168="","",TODAY())</f>
        <v/>
      </c>
      <c r="E168" s="489" t="n"/>
      <c r="F168" s="498">
        <f>IF(OR(A168="",E168=""),"",IF(C168="","",C168+E168))</f>
        <v/>
      </c>
      <c r="G168" s="384" t="inlineStr">
        <is>
          <t>Agent 03</t>
        </is>
      </c>
      <c r="H168" s="491" t="n"/>
      <c r="I168" s="499">
        <f>IF(A168="","Pending",IF(H168="","⚠️ Enter Code",IF(IFERROR(VLOOKUP(G168,DB_Agents!$B:$I,8,0),"")=H168,IF(AND(A168&lt;&gt;"",E168&lt;&gt;""),"Saved","Pending"),"🔒 BLOCKED — Wrong Code")))</f>
        <v/>
      </c>
      <c r="J168" s="500">
        <f>IF(I168="Saved",TEXT(TODAY(),"YYYY-MM-DD")&amp;" Auto","—")</f>
        <v/>
      </c>
      <c r="K168" s="501" t="n"/>
    </row>
    <row r="169" ht="15" customHeight="1" s="341">
      <c r="A169" s="486" t="n"/>
      <c r="B169" s="378">
        <f>IF(A169="","",IFERROR(VLOOKUP(A169,DB_Customers!$A:$D,4,0),"❌ Account Not Found"))</f>
        <v/>
      </c>
      <c r="C169" s="487">
        <f>IF(A169="","",IFERROR(VLOOKUP(A169,DB_Customers!$A:$N,14,0),""))</f>
        <v/>
      </c>
      <c r="D169" s="488">
        <f>IF(A169="","",TODAY())</f>
        <v/>
      </c>
      <c r="E169" s="489" t="n"/>
      <c r="F169" s="490">
        <f>IF(OR(A169="",E169=""),"",IF(C169="","",C169+E169))</f>
        <v/>
      </c>
      <c r="G169" s="380" t="inlineStr">
        <is>
          <t>Agent 03</t>
        </is>
      </c>
      <c r="H169" s="491" t="n"/>
      <c r="I169" s="492">
        <f>IF(A169="","Pending",IF(H169="","⚠️ Enter Code",IF(IFERROR(VLOOKUP(G169,DB_Agents!$B:$I,8,0),"")=H169,IF(AND(A169&lt;&gt;"",E169&lt;&gt;""),"Saved","Pending"),"🔒 BLOCKED — Wrong Code")))</f>
        <v/>
      </c>
      <c r="J169" s="493">
        <f>IF(I169="Saved",TEXT(TODAY(),"YYYY-MM-DD")&amp;" Auto","—")</f>
        <v/>
      </c>
      <c r="K169" s="494" t="n"/>
    </row>
    <row r="170" ht="15" customHeight="1" s="341">
      <c r="A170" s="495" t="n"/>
      <c r="B170" s="382">
        <f>IF(A170="","",IFERROR(VLOOKUP(A170,DB_Customers!$A:$D,4,0),"❌ Account Not Found"))</f>
        <v/>
      </c>
      <c r="C170" s="496">
        <f>IF(A170="","",IFERROR(VLOOKUP(A170,DB_Customers!$A:$N,14,0),""))</f>
        <v/>
      </c>
      <c r="D170" s="497">
        <f>IF(A170="","",TODAY())</f>
        <v/>
      </c>
      <c r="E170" s="489" t="n"/>
      <c r="F170" s="498">
        <f>IF(OR(A170="",E170=""),"",IF(C170="","",C170+E170))</f>
        <v/>
      </c>
      <c r="G170" s="384" t="inlineStr">
        <is>
          <t>Agent 03</t>
        </is>
      </c>
      <c r="H170" s="491" t="n"/>
      <c r="I170" s="499">
        <f>IF(A170="","Pending",IF(H170="","⚠️ Enter Code",IF(IFERROR(VLOOKUP(G170,DB_Agents!$B:$I,8,0),"")=H170,IF(AND(A170&lt;&gt;"",E170&lt;&gt;""),"Saved","Pending"),"🔒 BLOCKED — Wrong Code")))</f>
        <v/>
      </c>
      <c r="J170" s="500">
        <f>IF(I170="Saved",TEXT(TODAY(),"YYYY-MM-DD")&amp;" Auto","—")</f>
        <v/>
      </c>
      <c r="K170" s="501" t="n"/>
    </row>
    <row r="171" ht="15" customHeight="1" s="341">
      <c r="A171" s="486" t="n"/>
      <c r="B171" s="378">
        <f>IF(A171="","",IFERROR(VLOOKUP(A171,DB_Customers!$A:$D,4,0),"❌ Account Not Found"))</f>
        <v/>
      </c>
      <c r="C171" s="487">
        <f>IF(A171="","",IFERROR(VLOOKUP(A171,DB_Customers!$A:$N,14,0),""))</f>
        <v/>
      </c>
      <c r="D171" s="488">
        <f>IF(A171="","",TODAY())</f>
        <v/>
      </c>
      <c r="E171" s="489" t="n"/>
      <c r="F171" s="490">
        <f>IF(OR(A171="",E171=""),"",IF(C171="","",C171+E171))</f>
        <v/>
      </c>
      <c r="G171" s="380" t="inlineStr">
        <is>
          <t>Agent 03</t>
        </is>
      </c>
      <c r="H171" s="491" t="n"/>
      <c r="I171" s="492">
        <f>IF(A171="","Pending",IF(H171="","⚠️ Enter Code",IF(IFERROR(VLOOKUP(G171,DB_Agents!$B:$I,8,0),"")=H171,IF(AND(A171&lt;&gt;"",E171&lt;&gt;""),"Saved","Pending"),"🔒 BLOCKED — Wrong Code")))</f>
        <v/>
      </c>
      <c r="J171" s="493">
        <f>IF(I171="Saved",TEXT(TODAY(),"YYYY-MM-DD")&amp;" Auto","—")</f>
        <v/>
      </c>
      <c r="K171" s="494" t="n"/>
    </row>
    <row r="172" ht="15" customHeight="1" s="341">
      <c r="A172" s="495" t="n"/>
      <c r="B172" s="382">
        <f>IF(A172="","",IFERROR(VLOOKUP(A172,DB_Customers!$A:$D,4,0),"❌ Account Not Found"))</f>
        <v/>
      </c>
      <c r="C172" s="496">
        <f>IF(A172="","",IFERROR(VLOOKUP(A172,DB_Customers!$A:$N,14,0),""))</f>
        <v/>
      </c>
      <c r="D172" s="497">
        <f>IF(A172="","",TODAY())</f>
        <v/>
      </c>
      <c r="E172" s="489" t="n"/>
      <c r="F172" s="498">
        <f>IF(OR(A172="",E172=""),"",IF(C172="","",C172+E172))</f>
        <v/>
      </c>
      <c r="G172" s="384" t="inlineStr">
        <is>
          <t>Agent 03</t>
        </is>
      </c>
      <c r="H172" s="491" t="n"/>
      <c r="I172" s="499">
        <f>IF(A172="","Pending",IF(H172="","⚠️ Enter Code",IF(IFERROR(VLOOKUP(G172,DB_Agents!$B:$I,8,0),"")=H172,IF(AND(A172&lt;&gt;"",E172&lt;&gt;""),"Saved","Pending"),"🔒 BLOCKED — Wrong Code")))</f>
        <v/>
      </c>
      <c r="J172" s="500">
        <f>IF(I172="Saved",TEXT(TODAY(),"YYYY-MM-DD")&amp;" Auto","—")</f>
        <v/>
      </c>
      <c r="K172" s="501" t="n"/>
    </row>
    <row r="173" ht="15" customHeight="1" s="341">
      <c r="A173" s="486" t="n"/>
      <c r="B173" s="378">
        <f>IF(A173="","",IFERROR(VLOOKUP(A173,DB_Customers!$A:$D,4,0),"❌ Account Not Found"))</f>
        <v/>
      </c>
      <c r="C173" s="487">
        <f>IF(A173="","",IFERROR(VLOOKUP(A173,DB_Customers!$A:$N,14,0),""))</f>
        <v/>
      </c>
      <c r="D173" s="488">
        <f>IF(A173="","",TODAY())</f>
        <v/>
      </c>
      <c r="E173" s="489" t="n"/>
      <c r="F173" s="490">
        <f>IF(OR(A173="",E173=""),"",IF(C173="","",C173+E173))</f>
        <v/>
      </c>
      <c r="G173" s="380" t="inlineStr">
        <is>
          <t>Agent 03</t>
        </is>
      </c>
      <c r="H173" s="491" t="n"/>
      <c r="I173" s="492">
        <f>IF(A173="","Pending",IF(H173="","⚠️ Enter Code",IF(IFERROR(VLOOKUP(G173,DB_Agents!$B:$I,8,0),"")=H173,IF(AND(A173&lt;&gt;"",E173&lt;&gt;""),"Saved","Pending"),"🔒 BLOCKED — Wrong Code")))</f>
        <v/>
      </c>
      <c r="J173" s="493">
        <f>IF(I173="Saved",TEXT(TODAY(),"YYYY-MM-DD")&amp;" Auto","—")</f>
        <v/>
      </c>
      <c r="K173" s="494" t="n"/>
    </row>
    <row r="174" ht="15" customHeight="1" s="341">
      <c r="A174" s="495" t="n"/>
      <c r="B174" s="382">
        <f>IF(A174="","",IFERROR(VLOOKUP(A174,DB_Customers!$A:$D,4,0),"❌ Account Not Found"))</f>
        <v/>
      </c>
      <c r="C174" s="496">
        <f>IF(A174="","",IFERROR(VLOOKUP(A174,DB_Customers!$A:$N,14,0),""))</f>
        <v/>
      </c>
      <c r="D174" s="497">
        <f>IF(A174="","",TODAY())</f>
        <v/>
      </c>
      <c r="E174" s="489" t="n"/>
      <c r="F174" s="498">
        <f>IF(OR(A174="",E174=""),"",IF(C174="","",C174+E174))</f>
        <v/>
      </c>
      <c r="G174" s="384" t="inlineStr">
        <is>
          <t>Agent 03</t>
        </is>
      </c>
      <c r="H174" s="491" t="n"/>
      <c r="I174" s="499">
        <f>IF(A174="","Pending",IF(H174="","⚠️ Enter Code",IF(IFERROR(VLOOKUP(G174,DB_Agents!$B:$I,8,0),"")=H174,IF(AND(A174&lt;&gt;"",E174&lt;&gt;""),"Saved","Pending"),"🔒 BLOCKED — Wrong Code")))</f>
        <v/>
      </c>
      <c r="J174" s="500">
        <f>IF(I174="Saved",TEXT(TODAY(),"YYYY-MM-DD")&amp;" Auto","—")</f>
        <v/>
      </c>
      <c r="K174" s="501" t="n"/>
    </row>
    <row r="175" ht="15" customHeight="1" s="341">
      <c r="A175" s="486" t="n"/>
      <c r="B175" s="378">
        <f>IF(A175="","",IFERROR(VLOOKUP(A175,DB_Customers!$A:$D,4,0),"❌ Account Not Found"))</f>
        <v/>
      </c>
      <c r="C175" s="487">
        <f>IF(A175="","",IFERROR(VLOOKUP(A175,DB_Customers!$A:$N,14,0),""))</f>
        <v/>
      </c>
      <c r="D175" s="488">
        <f>IF(A175="","",TODAY())</f>
        <v/>
      </c>
      <c r="E175" s="489" t="n"/>
      <c r="F175" s="490">
        <f>IF(OR(A175="",E175=""),"",IF(C175="","",C175+E175))</f>
        <v/>
      </c>
      <c r="G175" s="380" t="inlineStr">
        <is>
          <t>Agent 03</t>
        </is>
      </c>
      <c r="H175" s="491" t="n"/>
      <c r="I175" s="492">
        <f>IF(A175="","Pending",IF(H175="","⚠️ Enter Code",IF(IFERROR(VLOOKUP(G175,DB_Agents!$B:$I,8,0),"")=H175,IF(AND(A175&lt;&gt;"",E175&lt;&gt;""),"Saved","Pending"),"🔒 BLOCKED — Wrong Code")))</f>
        <v/>
      </c>
      <c r="J175" s="493">
        <f>IF(I175="Saved",TEXT(TODAY(),"YYYY-MM-DD")&amp;" Auto","—")</f>
        <v/>
      </c>
      <c r="K175" s="494" t="n"/>
    </row>
    <row r="176" ht="15" customHeight="1" s="341">
      <c r="A176" s="495" t="n"/>
      <c r="B176" s="382">
        <f>IF(A176="","",IFERROR(VLOOKUP(A176,DB_Customers!$A:$D,4,0),"❌ Account Not Found"))</f>
        <v/>
      </c>
      <c r="C176" s="496">
        <f>IF(A176="","",IFERROR(VLOOKUP(A176,DB_Customers!$A:$N,14,0),""))</f>
        <v/>
      </c>
      <c r="D176" s="497">
        <f>IF(A176="","",TODAY())</f>
        <v/>
      </c>
      <c r="E176" s="489" t="n"/>
      <c r="F176" s="498">
        <f>IF(OR(A176="",E176=""),"",IF(C176="","",C176+E176))</f>
        <v/>
      </c>
      <c r="G176" s="384" t="inlineStr">
        <is>
          <t>Agent 03</t>
        </is>
      </c>
      <c r="H176" s="491" t="n"/>
      <c r="I176" s="499">
        <f>IF(A176="","Pending",IF(H176="","⚠️ Enter Code",IF(IFERROR(VLOOKUP(G176,DB_Agents!$B:$I,8,0),"")=H176,IF(AND(A176&lt;&gt;"",E176&lt;&gt;""),"Saved","Pending"),"🔒 BLOCKED — Wrong Code")))</f>
        <v/>
      </c>
      <c r="J176" s="500">
        <f>IF(I176="Saved",TEXT(TODAY(),"YYYY-MM-DD")&amp;" Auto","—")</f>
        <v/>
      </c>
      <c r="K176" s="501" t="n"/>
    </row>
    <row r="177" ht="15" customHeight="1" s="341">
      <c r="A177" s="486" t="n"/>
      <c r="B177" s="378">
        <f>IF(A177="","",IFERROR(VLOOKUP(A177,DB_Customers!$A:$D,4,0),"❌ Account Not Found"))</f>
        <v/>
      </c>
      <c r="C177" s="487">
        <f>IF(A177="","",IFERROR(VLOOKUP(A177,DB_Customers!$A:$N,14,0),""))</f>
        <v/>
      </c>
      <c r="D177" s="488">
        <f>IF(A177="","",TODAY())</f>
        <v/>
      </c>
      <c r="E177" s="489" t="n"/>
      <c r="F177" s="490">
        <f>IF(OR(A177="",E177=""),"",IF(C177="","",C177+E177))</f>
        <v/>
      </c>
      <c r="G177" s="380" t="inlineStr">
        <is>
          <t>Agent 03</t>
        </is>
      </c>
      <c r="H177" s="491" t="n"/>
      <c r="I177" s="492">
        <f>IF(A177="","Pending",IF(H177="","⚠️ Enter Code",IF(IFERROR(VLOOKUP(G177,DB_Agents!$B:$I,8,0),"")=H177,IF(AND(A177&lt;&gt;"",E177&lt;&gt;""),"Saved","Pending"),"🔒 BLOCKED — Wrong Code")))</f>
        <v/>
      </c>
      <c r="J177" s="493">
        <f>IF(I177="Saved",TEXT(TODAY(),"YYYY-MM-DD")&amp;" Auto","—")</f>
        <v/>
      </c>
      <c r="K177" s="494" t="n"/>
    </row>
    <row r="178" ht="15" customHeight="1" s="341">
      <c r="A178" s="495" t="n"/>
      <c r="B178" s="382">
        <f>IF(A178="","",IFERROR(VLOOKUP(A178,DB_Customers!$A:$D,4,0),"❌ Account Not Found"))</f>
        <v/>
      </c>
      <c r="C178" s="496">
        <f>IF(A178="","",IFERROR(VLOOKUP(A178,DB_Customers!$A:$N,14,0),""))</f>
        <v/>
      </c>
      <c r="D178" s="497">
        <f>IF(A178="","",TODAY())</f>
        <v/>
      </c>
      <c r="E178" s="489" t="n"/>
      <c r="F178" s="498">
        <f>IF(OR(A178="",E178=""),"",IF(C178="","",C178+E178))</f>
        <v/>
      </c>
      <c r="G178" s="384" t="inlineStr">
        <is>
          <t>Agent 03</t>
        </is>
      </c>
      <c r="H178" s="491" t="n"/>
      <c r="I178" s="499">
        <f>IF(A178="","Pending",IF(H178="","⚠️ Enter Code",IF(IFERROR(VLOOKUP(G178,DB_Agents!$B:$I,8,0),"")=H178,IF(AND(A178&lt;&gt;"",E178&lt;&gt;""),"Saved","Pending"),"🔒 BLOCKED — Wrong Code")))</f>
        <v/>
      </c>
      <c r="J178" s="500">
        <f>IF(I178="Saved",TEXT(TODAY(),"YYYY-MM-DD")&amp;" Auto","—")</f>
        <v/>
      </c>
      <c r="K178" s="501" t="n"/>
    </row>
    <row r="179" ht="15" customHeight="1" s="341">
      <c r="A179" s="486" t="n"/>
      <c r="B179" s="378">
        <f>IF(A179="","",IFERROR(VLOOKUP(A179,DB_Customers!$A:$D,4,0),"❌ Account Not Found"))</f>
        <v/>
      </c>
      <c r="C179" s="487">
        <f>IF(A179="","",IFERROR(VLOOKUP(A179,DB_Customers!$A:$N,14,0),""))</f>
        <v/>
      </c>
      <c r="D179" s="488">
        <f>IF(A179="","",TODAY())</f>
        <v/>
      </c>
      <c r="E179" s="489" t="n"/>
      <c r="F179" s="490">
        <f>IF(OR(A179="",E179=""),"",IF(C179="","",C179+E179))</f>
        <v/>
      </c>
      <c r="G179" s="380" t="inlineStr">
        <is>
          <t>Agent 03</t>
        </is>
      </c>
      <c r="H179" s="491" t="n"/>
      <c r="I179" s="492">
        <f>IF(A179="","Pending",IF(H179="","⚠️ Enter Code",IF(IFERROR(VLOOKUP(G179,DB_Agents!$B:$I,8,0),"")=H179,IF(AND(A179&lt;&gt;"",E179&lt;&gt;""),"Saved","Pending"),"🔒 BLOCKED — Wrong Code")))</f>
        <v/>
      </c>
      <c r="J179" s="493">
        <f>IF(I179="Saved",TEXT(TODAY(),"YYYY-MM-DD")&amp;" Auto","—")</f>
        <v/>
      </c>
      <c r="K179" s="494" t="n"/>
    </row>
    <row r="180" ht="15" customHeight="1" s="341">
      <c r="A180" s="495" t="n"/>
      <c r="B180" s="382">
        <f>IF(A180="","",IFERROR(VLOOKUP(A180,DB_Customers!$A:$D,4,0),"❌ Account Not Found"))</f>
        <v/>
      </c>
      <c r="C180" s="496">
        <f>IF(A180="","",IFERROR(VLOOKUP(A180,DB_Customers!$A:$N,14,0),""))</f>
        <v/>
      </c>
      <c r="D180" s="497">
        <f>IF(A180="","",TODAY())</f>
        <v/>
      </c>
      <c r="E180" s="489" t="n"/>
      <c r="F180" s="498">
        <f>IF(OR(A180="",E180=""),"",IF(C180="","",C180+E180))</f>
        <v/>
      </c>
      <c r="G180" s="384" t="inlineStr">
        <is>
          <t>Agent 03</t>
        </is>
      </c>
      <c r="H180" s="491" t="n"/>
      <c r="I180" s="499">
        <f>IF(A180="","Pending",IF(H180="","⚠️ Enter Code",IF(IFERROR(VLOOKUP(G180,DB_Agents!$B:$I,8,0),"")=H180,IF(AND(A180&lt;&gt;"",E180&lt;&gt;""),"Saved","Pending"),"🔒 BLOCKED — Wrong Code")))</f>
        <v/>
      </c>
      <c r="J180" s="500">
        <f>IF(I180="Saved",TEXT(TODAY(),"YYYY-MM-DD")&amp;" Auto","—")</f>
        <v/>
      </c>
      <c r="K180" s="501" t="n"/>
    </row>
    <row r="181" ht="15" customHeight="1" s="341">
      <c r="A181" s="486" t="n"/>
      <c r="B181" s="378">
        <f>IF(A181="","",IFERROR(VLOOKUP(A181,DB_Customers!$A:$D,4,0),"❌ Account Not Found"))</f>
        <v/>
      </c>
      <c r="C181" s="487">
        <f>IF(A181="","",IFERROR(VLOOKUP(A181,DB_Customers!$A:$N,14,0),""))</f>
        <v/>
      </c>
      <c r="D181" s="488">
        <f>IF(A181="","",TODAY())</f>
        <v/>
      </c>
      <c r="E181" s="489" t="n"/>
      <c r="F181" s="490">
        <f>IF(OR(A181="",E181=""),"",IF(C181="","",C181+E181))</f>
        <v/>
      </c>
      <c r="G181" s="380" t="inlineStr">
        <is>
          <t>Agent 03</t>
        </is>
      </c>
      <c r="H181" s="491" t="n"/>
      <c r="I181" s="492">
        <f>IF(A181="","Pending",IF(H181="","⚠️ Enter Code",IF(IFERROR(VLOOKUP(G181,DB_Agents!$B:$I,8,0),"")=H181,IF(AND(A181&lt;&gt;"",E181&lt;&gt;""),"Saved","Pending"),"🔒 BLOCKED — Wrong Code")))</f>
        <v/>
      </c>
      <c r="J181" s="493">
        <f>IF(I181="Saved",TEXT(TODAY(),"YYYY-MM-DD")&amp;" Auto","—")</f>
        <v/>
      </c>
      <c r="K181" s="494" t="n"/>
    </row>
    <row r="182" ht="15" customHeight="1" s="341">
      <c r="A182" s="495" t="n"/>
      <c r="B182" s="382">
        <f>IF(A182="","",IFERROR(VLOOKUP(A182,DB_Customers!$A:$D,4,0),"❌ Account Not Found"))</f>
        <v/>
      </c>
      <c r="C182" s="496">
        <f>IF(A182="","",IFERROR(VLOOKUP(A182,DB_Customers!$A:$N,14,0),""))</f>
        <v/>
      </c>
      <c r="D182" s="497">
        <f>IF(A182="","",TODAY())</f>
        <v/>
      </c>
      <c r="E182" s="489" t="n"/>
      <c r="F182" s="498">
        <f>IF(OR(A182="",E182=""),"",IF(C182="","",C182+E182))</f>
        <v/>
      </c>
      <c r="G182" s="384" t="inlineStr">
        <is>
          <t>Agent 03</t>
        </is>
      </c>
      <c r="H182" s="491" t="n"/>
      <c r="I182" s="499">
        <f>IF(A182="","Pending",IF(H182="","⚠️ Enter Code",IF(IFERROR(VLOOKUP(G182,DB_Agents!$B:$I,8,0),"")=H182,IF(AND(A182&lt;&gt;"",E182&lt;&gt;""),"Saved","Pending"),"🔒 BLOCKED — Wrong Code")))</f>
        <v/>
      </c>
      <c r="J182" s="500">
        <f>IF(I182="Saved",TEXT(TODAY(),"YYYY-MM-DD")&amp;" Auto","—")</f>
        <v/>
      </c>
      <c r="K182" s="501" t="n"/>
    </row>
    <row r="183" ht="15" customHeight="1" s="341">
      <c r="A183" s="486" t="n"/>
      <c r="B183" s="378">
        <f>IF(A183="","",IFERROR(VLOOKUP(A183,DB_Customers!$A:$D,4,0),"❌ Account Not Found"))</f>
        <v/>
      </c>
      <c r="C183" s="487">
        <f>IF(A183="","",IFERROR(VLOOKUP(A183,DB_Customers!$A:$N,14,0),""))</f>
        <v/>
      </c>
      <c r="D183" s="488">
        <f>IF(A183="","",TODAY())</f>
        <v/>
      </c>
      <c r="E183" s="489" t="n"/>
      <c r="F183" s="490">
        <f>IF(OR(A183="",E183=""),"",IF(C183="","",C183+E183))</f>
        <v/>
      </c>
      <c r="G183" s="380" t="inlineStr">
        <is>
          <t>Agent 03</t>
        </is>
      </c>
      <c r="H183" s="491" t="n"/>
      <c r="I183" s="492">
        <f>IF(A183="","Pending",IF(H183="","⚠️ Enter Code",IF(IFERROR(VLOOKUP(G183,DB_Agents!$B:$I,8,0),"")=H183,IF(AND(A183&lt;&gt;"",E183&lt;&gt;""),"Saved","Pending"),"🔒 BLOCKED — Wrong Code")))</f>
        <v/>
      </c>
      <c r="J183" s="493">
        <f>IF(I183="Saved",TEXT(TODAY(),"YYYY-MM-DD")&amp;" Auto","—")</f>
        <v/>
      </c>
      <c r="K183" s="494" t="n"/>
    </row>
    <row r="184" ht="15" customHeight="1" s="341">
      <c r="A184" s="495" t="n"/>
      <c r="B184" s="382">
        <f>IF(A184="","",IFERROR(VLOOKUP(A184,DB_Customers!$A:$D,4,0),"❌ Account Not Found"))</f>
        <v/>
      </c>
      <c r="C184" s="496">
        <f>IF(A184="","",IFERROR(VLOOKUP(A184,DB_Customers!$A:$N,14,0),""))</f>
        <v/>
      </c>
      <c r="D184" s="497">
        <f>IF(A184="","",TODAY())</f>
        <v/>
      </c>
      <c r="E184" s="489" t="n"/>
      <c r="F184" s="498">
        <f>IF(OR(A184="",E184=""),"",IF(C184="","",C184+E184))</f>
        <v/>
      </c>
      <c r="G184" s="384" t="inlineStr">
        <is>
          <t>Agent 03</t>
        </is>
      </c>
      <c r="H184" s="491" t="n"/>
      <c r="I184" s="499">
        <f>IF(A184="","Pending",IF(H184="","⚠️ Enter Code",IF(IFERROR(VLOOKUP(G184,DB_Agents!$B:$I,8,0),"")=H184,IF(AND(A184&lt;&gt;"",E184&lt;&gt;""),"Saved","Pending"),"🔒 BLOCKED — Wrong Code")))</f>
        <v/>
      </c>
      <c r="J184" s="500">
        <f>IF(I184="Saved",TEXT(TODAY(),"YYYY-MM-DD")&amp;" Auto","—")</f>
        <v/>
      </c>
      <c r="K184" s="501" t="n"/>
    </row>
    <row r="185" ht="15" customHeight="1" s="341">
      <c r="A185" s="486" t="n"/>
      <c r="B185" s="378">
        <f>IF(A185="","",IFERROR(VLOOKUP(A185,DB_Customers!$A:$D,4,0),"❌ Account Not Found"))</f>
        <v/>
      </c>
      <c r="C185" s="487">
        <f>IF(A185="","",IFERROR(VLOOKUP(A185,DB_Customers!$A:$N,14,0),""))</f>
        <v/>
      </c>
      <c r="D185" s="488">
        <f>IF(A185="","",TODAY())</f>
        <v/>
      </c>
      <c r="E185" s="489" t="n"/>
      <c r="F185" s="490">
        <f>IF(OR(A185="",E185=""),"",IF(C185="","",C185+E185))</f>
        <v/>
      </c>
      <c r="G185" s="380" t="inlineStr">
        <is>
          <t>Agent 03</t>
        </is>
      </c>
      <c r="H185" s="491" t="n"/>
      <c r="I185" s="492">
        <f>IF(A185="","Pending",IF(H185="","⚠️ Enter Code",IF(IFERROR(VLOOKUP(G185,DB_Agents!$B:$I,8,0),"")=H185,IF(AND(A185&lt;&gt;"",E185&lt;&gt;""),"Saved","Pending"),"🔒 BLOCKED — Wrong Code")))</f>
        <v/>
      </c>
      <c r="J185" s="493">
        <f>IF(I185="Saved",TEXT(TODAY(),"YYYY-MM-DD")&amp;" Auto","—")</f>
        <v/>
      </c>
      <c r="K185" s="494" t="n"/>
    </row>
    <row r="186" ht="15" customHeight="1" s="341">
      <c r="A186" s="495" t="n"/>
      <c r="B186" s="382">
        <f>IF(A186="","",IFERROR(VLOOKUP(A186,DB_Customers!$A:$D,4,0),"❌ Account Not Found"))</f>
        <v/>
      </c>
      <c r="C186" s="496">
        <f>IF(A186="","",IFERROR(VLOOKUP(A186,DB_Customers!$A:$N,14,0),""))</f>
        <v/>
      </c>
      <c r="D186" s="497">
        <f>IF(A186="","",TODAY())</f>
        <v/>
      </c>
      <c r="E186" s="489" t="n"/>
      <c r="F186" s="498">
        <f>IF(OR(A186="",E186=""),"",IF(C186="","",C186+E186))</f>
        <v/>
      </c>
      <c r="G186" s="384" t="inlineStr">
        <is>
          <t>Agent 03</t>
        </is>
      </c>
      <c r="H186" s="491" t="n"/>
      <c r="I186" s="499">
        <f>IF(A186="","Pending",IF(H186="","⚠️ Enter Code",IF(IFERROR(VLOOKUP(G186,DB_Agents!$B:$I,8,0),"")=H186,IF(AND(A186&lt;&gt;"",E186&lt;&gt;""),"Saved","Pending"),"🔒 BLOCKED — Wrong Code")))</f>
        <v/>
      </c>
      <c r="J186" s="500">
        <f>IF(I186="Saved",TEXT(TODAY(),"YYYY-MM-DD")&amp;" Auto","—")</f>
        <v/>
      </c>
      <c r="K186" s="501" t="n"/>
    </row>
    <row r="187" ht="15" customHeight="1" s="341">
      <c r="A187" s="486" t="n"/>
      <c r="B187" s="378">
        <f>IF(A187="","",IFERROR(VLOOKUP(A187,DB_Customers!$A:$D,4,0),"❌ Account Not Found"))</f>
        <v/>
      </c>
      <c r="C187" s="487">
        <f>IF(A187="","",IFERROR(VLOOKUP(A187,DB_Customers!$A:$N,14,0),""))</f>
        <v/>
      </c>
      <c r="D187" s="488">
        <f>IF(A187="","",TODAY())</f>
        <v/>
      </c>
      <c r="E187" s="489" t="n"/>
      <c r="F187" s="490">
        <f>IF(OR(A187="",E187=""),"",IF(C187="","",C187+E187))</f>
        <v/>
      </c>
      <c r="G187" s="380" t="inlineStr">
        <is>
          <t>Agent 03</t>
        </is>
      </c>
      <c r="H187" s="491" t="n"/>
      <c r="I187" s="492">
        <f>IF(A187="","Pending",IF(H187="","⚠️ Enter Code",IF(IFERROR(VLOOKUP(G187,DB_Agents!$B:$I,8,0),"")=H187,IF(AND(A187&lt;&gt;"",E187&lt;&gt;""),"Saved","Pending"),"🔒 BLOCKED — Wrong Code")))</f>
        <v/>
      </c>
      <c r="J187" s="493">
        <f>IF(I187="Saved",TEXT(TODAY(),"YYYY-MM-DD")&amp;" Auto","—")</f>
        <v/>
      </c>
      <c r="K187" s="494" t="n"/>
    </row>
    <row r="188" ht="15" customHeight="1" s="341">
      <c r="A188" s="495" t="n"/>
      <c r="B188" s="382">
        <f>IF(A188="","",IFERROR(VLOOKUP(A188,DB_Customers!$A:$D,4,0),"❌ Account Not Found"))</f>
        <v/>
      </c>
      <c r="C188" s="496">
        <f>IF(A188="","",IFERROR(VLOOKUP(A188,DB_Customers!$A:$N,14,0),""))</f>
        <v/>
      </c>
      <c r="D188" s="497">
        <f>IF(A188="","",TODAY())</f>
        <v/>
      </c>
      <c r="E188" s="489" t="n"/>
      <c r="F188" s="498">
        <f>IF(OR(A188="",E188=""),"",IF(C188="","",C188+E188))</f>
        <v/>
      </c>
      <c r="G188" s="384" t="inlineStr">
        <is>
          <t>Agent 03</t>
        </is>
      </c>
      <c r="H188" s="491" t="n"/>
      <c r="I188" s="499">
        <f>IF(A188="","Pending",IF(H188="","⚠️ Enter Code",IF(IFERROR(VLOOKUP(G188,DB_Agents!$B:$I,8,0),"")=H188,IF(AND(A188&lt;&gt;"",E188&lt;&gt;""),"Saved","Pending"),"🔒 BLOCKED — Wrong Code")))</f>
        <v/>
      </c>
      <c r="J188" s="500">
        <f>IF(I188="Saved",TEXT(TODAY(),"YYYY-MM-DD")&amp;" Auto","—")</f>
        <v/>
      </c>
      <c r="K188" s="501" t="n"/>
    </row>
    <row r="189" ht="15" customHeight="1" s="341">
      <c r="A189" s="486" t="n"/>
      <c r="B189" s="378">
        <f>IF(A189="","",IFERROR(VLOOKUP(A189,DB_Customers!$A:$D,4,0),"❌ Account Not Found"))</f>
        <v/>
      </c>
      <c r="C189" s="487">
        <f>IF(A189="","",IFERROR(VLOOKUP(A189,DB_Customers!$A:$N,14,0),""))</f>
        <v/>
      </c>
      <c r="D189" s="488">
        <f>IF(A189="","",TODAY())</f>
        <v/>
      </c>
      <c r="E189" s="489" t="n"/>
      <c r="F189" s="490">
        <f>IF(OR(A189="",E189=""),"",IF(C189="","",C189+E189))</f>
        <v/>
      </c>
      <c r="G189" s="380" t="inlineStr">
        <is>
          <t>Agent 03</t>
        </is>
      </c>
      <c r="H189" s="491" t="n"/>
      <c r="I189" s="492">
        <f>IF(A189="","Pending",IF(H189="","⚠️ Enter Code",IF(IFERROR(VLOOKUP(G189,DB_Agents!$B:$I,8,0),"")=H189,IF(AND(A189&lt;&gt;"",E189&lt;&gt;""),"Saved","Pending"),"🔒 BLOCKED — Wrong Code")))</f>
        <v/>
      </c>
      <c r="J189" s="493">
        <f>IF(I189="Saved",TEXT(TODAY(),"YYYY-MM-DD")&amp;" Auto","—")</f>
        <v/>
      </c>
      <c r="K189" s="494" t="n"/>
    </row>
    <row r="190" ht="15" customHeight="1" s="341">
      <c r="A190" s="495" t="n"/>
      <c r="B190" s="382">
        <f>IF(A190="","",IFERROR(VLOOKUP(A190,DB_Customers!$A:$D,4,0),"❌ Account Not Found"))</f>
        <v/>
      </c>
      <c r="C190" s="496">
        <f>IF(A190="","",IFERROR(VLOOKUP(A190,DB_Customers!$A:$N,14,0),""))</f>
        <v/>
      </c>
      <c r="D190" s="497">
        <f>IF(A190="","",TODAY())</f>
        <v/>
      </c>
      <c r="E190" s="489" t="n"/>
      <c r="F190" s="498">
        <f>IF(OR(A190="",E190=""),"",IF(C190="","",C190+E190))</f>
        <v/>
      </c>
      <c r="G190" s="384" t="inlineStr">
        <is>
          <t>Agent 03</t>
        </is>
      </c>
      <c r="H190" s="491" t="n"/>
      <c r="I190" s="499">
        <f>IF(A190="","Pending",IF(H190="","⚠️ Enter Code",IF(IFERROR(VLOOKUP(G190,DB_Agents!$B:$I,8,0),"")=H190,IF(AND(A190&lt;&gt;"",E190&lt;&gt;""),"Saved","Pending"),"🔒 BLOCKED — Wrong Code")))</f>
        <v/>
      </c>
      <c r="J190" s="500">
        <f>IF(I190="Saved",TEXT(TODAY(),"YYYY-MM-DD")&amp;" Auto","—")</f>
        <v/>
      </c>
      <c r="K190" s="501" t="n"/>
    </row>
    <row r="191" ht="15" customHeight="1" s="341">
      <c r="A191" s="486" t="n"/>
      <c r="B191" s="378">
        <f>IF(A191="","",IFERROR(VLOOKUP(A191,DB_Customers!$A:$D,4,0),"❌ Account Not Found"))</f>
        <v/>
      </c>
      <c r="C191" s="487">
        <f>IF(A191="","",IFERROR(VLOOKUP(A191,DB_Customers!$A:$N,14,0),""))</f>
        <v/>
      </c>
      <c r="D191" s="488">
        <f>IF(A191="","",TODAY())</f>
        <v/>
      </c>
      <c r="E191" s="489" t="n"/>
      <c r="F191" s="490">
        <f>IF(OR(A191="",E191=""),"",IF(C191="","",C191+E191))</f>
        <v/>
      </c>
      <c r="G191" s="380" t="inlineStr">
        <is>
          <t>Agent 03</t>
        </is>
      </c>
      <c r="H191" s="491" t="n"/>
      <c r="I191" s="492">
        <f>IF(A191="","Pending",IF(H191="","⚠️ Enter Code",IF(IFERROR(VLOOKUP(G191,DB_Agents!$B:$I,8,0),"")=H191,IF(AND(A191&lt;&gt;"",E191&lt;&gt;""),"Saved","Pending"),"🔒 BLOCKED — Wrong Code")))</f>
        <v/>
      </c>
      <c r="J191" s="493">
        <f>IF(I191="Saved",TEXT(TODAY(),"YYYY-MM-DD")&amp;" Auto","—")</f>
        <v/>
      </c>
      <c r="K191" s="494" t="n"/>
    </row>
    <row r="192" ht="15" customHeight="1" s="341">
      <c r="A192" s="495" t="n"/>
      <c r="B192" s="382">
        <f>IF(A192="","",IFERROR(VLOOKUP(A192,DB_Customers!$A:$D,4,0),"❌ Account Not Found"))</f>
        <v/>
      </c>
      <c r="C192" s="496">
        <f>IF(A192="","",IFERROR(VLOOKUP(A192,DB_Customers!$A:$N,14,0),""))</f>
        <v/>
      </c>
      <c r="D192" s="497">
        <f>IF(A192="","",TODAY())</f>
        <v/>
      </c>
      <c r="E192" s="489" t="n"/>
      <c r="F192" s="498">
        <f>IF(OR(A192="",E192=""),"",IF(C192="","",C192+E192))</f>
        <v/>
      </c>
      <c r="G192" s="384" t="inlineStr">
        <is>
          <t>Agent 03</t>
        </is>
      </c>
      <c r="H192" s="491" t="n"/>
      <c r="I192" s="499">
        <f>IF(A192="","Pending",IF(H192="","⚠️ Enter Code",IF(IFERROR(VLOOKUP(G192,DB_Agents!$B:$I,8,0),"")=H192,IF(AND(A192&lt;&gt;"",E192&lt;&gt;""),"Saved","Pending"),"🔒 BLOCKED — Wrong Code")))</f>
        <v/>
      </c>
      <c r="J192" s="500">
        <f>IF(I192="Saved",TEXT(TODAY(),"YYYY-MM-DD")&amp;" Auto","—")</f>
        <v/>
      </c>
      <c r="K192" s="501" t="n"/>
    </row>
    <row r="193" ht="15" customHeight="1" s="341">
      <c r="A193" s="486" t="n"/>
      <c r="B193" s="378">
        <f>IF(A193="","",IFERROR(VLOOKUP(A193,DB_Customers!$A:$D,4,0),"❌ Account Not Found"))</f>
        <v/>
      </c>
      <c r="C193" s="487">
        <f>IF(A193="","",IFERROR(VLOOKUP(A193,DB_Customers!$A:$N,14,0),""))</f>
        <v/>
      </c>
      <c r="D193" s="488">
        <f>IF(A193="","",TODAY())</f>
        <v/>
      </c>
      <c r="E193" s="489" t="n"/>
      <c r="F193" s="490">
        <f>IF(OR(A193="",E193=""),"",IF(C193="","",C193+E193))</f>
        <v/>
      </c>
      <c r="G193" s="380" t="inlineStr">
        <is>
          <t>Agent 03</t>
        </is>
      </c>
      <c r="H193" s="491" t="n"/>
      <c r="I193" s="492">
        <f>IF(A193="","Pending",IF(H193="","⚠️ Enter Code",IF(IFERROR(VLOOKUP(G193,DB_Agents!$B:$I,8,0),"")=H193,IF(AND(A193&lt;&gt;"",E193&lt;&gt;""),"Saved","Pending"),"🔒 BLOCKED — Wrong Code")))</f>
        <v/>
      </c>
      <c r="J193" s="493">
        <f>IF(I193="Saved",TEXT(TODAY(),"YYYY-MM-DD")&amp;" Auto","—")</f>
        <v/>
      </c>
      <c r="K193" s="494" t="n"/>
    </row>
    <row r="194" ht="15" customHeight="1" s="341">
      <c r="A194" s="495" t="n"/>
      <c r="B194" s="382">
        <f>IF(A194="","",IFERROR(VLOOKUP(A194,DB_Customers!$A:$D,4,0),"❌ Account Not Found"))</f>
        <v/>
      </c>
      <c r="C194" s="496">
        <f>IF(A194="","",IFERROR(VLOOKUP(A194,DB_Customers!$A:$N,14,0),""))</f>
        <v/>
      </c>
      <c r="D194" s="497">
        <f>IF(A194="","",TODAY())</f>
        <v/>
      </c>
      <c r="E194" s="489" t="n"/>
      <c r="F194" s="498">
        <f>IF(OR(A194="",E194=""),"",IF(C194="","",C194+E194))</f>
        <v/>
      </c>
      <c r="G194" s="384" t="inlineStr">
        <is>
          <t>Agent 03</t>
        </is>
      </c>
      <c r="H194" s="491" t="n"/>
      <c r="I194" s="499">
        <f>IF(A194="","Pending",IF(H194="","⚠️ Enter Code",IF(IFERROR(VLOOKUP(G194,DB_Agents!$B:$I,8,0),"")=H194,IF(AND(A194&lt;&gt;"",E194&lt;&gt;""),"Saved","Pending"),"🔒 BLOCKED — Wrong Code")))</f>
        <v/>
      </c>
      <c r="J194" s="500">
        <f>IF(I194="Saved",TEXT(TODAY(),"YYYY-MM-DD")&amp;" Auto","—")</f>
        <v/>
      </c>
      <c r="K194" s="501" t="n"/>
    </row>
    <row r="195" ht="15" customHeight="1" s="341">
      <c r="A195" s="486" t="n"/>
      <c r="B195" s="378">
        <f>IF(A195="","",IFERROR(VLOOKUP(A195,DB_Customers!$A:$D,4,0),"❌ Account Not Found"))</f>
        <v/>
      </c>
      <c r="C195" s="487">
        <f>IF(A195="","",IFERROR(VLOOKUP(A195,DB_Customers!$A:$N,14,0),""))</f>
        <v/>
      </c>
      <c r="D195" s="488">
        <f>IF(A195="","",TODAY())</f>
        <v/>
      </c>
      <c r="E195" s="489" t="n"/>
      <c r="F195" s="490">
        <f>IF(OR(A195="",E195=""),"",IF(C195="","",C195+E195))</f>
        <v/>
      </c>
      <c r="G195" s="380" t="inlineStr">
        <is>
          <t>Agent 03</t>
        </is>
      </c>
      <c r="H195" s="491" t="n"/>
      <c r="I195" s="492">
        <f>IF(A195="","Pending",IF(H195="","⚠️ Enter Code",IF(IFERROR(VLOOKUP(G195,DB_Agents!$B:$I,8,0),"")=H195,IF(AND(A195&lt;&gt;"",E195&lt;&gt;""),"Saved","Pending"),"🔒 BLOCKED — Wrong Code")))</f>
        <v/>
      </c>
      <c r="J195" s="493">
        <f>IF(I195="Saved",TEXT(TODAY(),"YYYY-MM-DD")&amp;" Auto","—")</f>
        <v/>
      </c>
      <c r="K195" s="494" t="n"/>
    </row>
    <row r="196" ht="15" customHeight="1" s="341">
      <c r="A196" s="495" t="n"/>
      <c r="B196" s="382">
        <f>IF(A196="","",IFERROR(VLOOKUP(A196,DB_Customers!$A:$D,4,0),"❌ Account Not Found"))</f>
        <v/>
      </c>
      <c r="C196" s="496">
        <f>IF(A196="","",IFERROR(VLOOKUP(A196,DB_Customers!$A:$N,14,0),""))</f>
        <v/>
      </c>
      <c r="D196" s="497">
        <f>IF(A196="","",TODAY())</f>
        <v/>
      </c>
      <c r="E196" s="489" t="n"/>
      <c r="F196" s="498">
        <f>IF(OR(A196="",E196=""),"",IF(C196="","",C196+E196))</f>
        <v/>
      </c>
      <c r="G196" s="384" t="inlineStr">
        <is>
          <t>Agent 03</t>
        </is>
      </c>
      <c r="H196" s="491" t="n"/>
      <c r="I196" s="499">
        <f>IF(A196="","Pending",IF(H196="","⚠️ Enter Code",IF(IFERROR(VLOOKUP(G196,DB_Agents!$B:$I,8,0),"")=H196,IF(AND(A196&lt;&gt;"",E196&lt;&gt;""),"Saved","Pending"),"🔒 BLOCKED — Wrong Code")))</f>
        <v/>
      </c>
      <c r="J196" s="500">
        <f>IF(I196="Saved",TEXT(TODAY(),"YYYY-MM-DD")&amp;" Auto","—")</f>
        <v/>
      </c>
      <c r="K196" s="501" t="n"/>
    </row>
    <row r="197" ht="15" customHeight="1" s="341">
      <c r="A197" s="486" t="n"/>
      <c r="B197" s="378">
        <f>IF(A197="","",IFERROR(VLOOKUP(A197,DB_Customers!$A:$D,4,0),"❌ Account Not Found"))</f>
        <v/>
      </c>
      <c r="C197" s="487">
        <f>IF(A197="","",IFERROR(VLOOKUP(A197,DB_Customers!$A:$N,14,0),""))</f>
        <v/>
      </c>
      <c r="D197" s="488">
        <f>IF(A197="","",TODAY())</f>
        <v/>
      </c>
      <c r="E197" s="489" t="n"/>
      <c r="F197" s="490">
        <f>IF(OR(A197="",E197=""),"",IF(C197="","",C197+E197))</f>
        <v/>
      </c>
      <c r="G197" s="380" t="inlineStr">
        <is>
          <t>Agent 03</t>
        </is>
      </c>
      <c r="H197" s="491" t="n"/>
      <c r="I197" s="492">
        <f>IF(A197="","Pending",IF(H197="","⚠️ Enter Code",IF(IFERROR(VLOOKUP(G197,DB_Agents!$B:$I,8,0),"")=H197,IF(AND(A197&lt;&gt;"",E197&lt;&gt;""),"Saved","Pending"),"🔒 BLOCKED — Wrong Code")))</f>
        <v/>
      </c>
      <c r="J197" s="493">
        <f>IF(I197="Saved",TEXT(TODAY(),"YYYY-MM-DD")&amp;" Auto","—")</f>
        <v/>
      </c>
      <c r="K197" s="494" t="n"/>
    </row>
    <row r="198" ht="15" customHeight="1" s="341">
      <c r="A198" s="495" t="n"/>
      <c r="B198" s="382">
        <f>IF(A198="","",IFERROR(VLOOKUP(A198,DB_Customers!$A:$D,4,0),"❌ Account Not Found"))</f>
        <v/>
      </c>
      <c r="C198" s="496">
        <f>IF(A198="","",IFERROR(VLOOKUP(A198,DB_Customers!$A:$N,14,0),""))</f>
        <v/>
      </c>
      <c r="D198" s="497">
        <f>IF(A198="","",TODAY())</f>
        <v/>
      </c>
      <c r="E198" s="489" t="n"/>
      <c r="F198" s="498">
        <f>IF(OR(A198="",E198=""),"",IF(C198="","",C198+E198))</f>
        <v/>
      </c>
      <c r="G198" s="384" t="inlineStr">
        <is>
          <t>Agent 03</t>
        </is>
      </c>
      <c r="H198" s="491" t="n"/>
      <c r="I198" s="499">
        <f>IF(A198="","Pending",IF(H198="","⚠️ Enter Code",IF(IFERROR(VLOOKUP(G198,DB_Agents!$B:$I,8,0),"")=H198,IF(AND(A198&lt;&gt;"",E198&lt;&gt;""),"Saved","Pending"),"🔒 BLOCKED — Wrong Code")))</f>
        <v/>
      </c>
      <c r="J198" s="500">
        <f>IF(I198="Saved",TEXT(TODAY(),"YYYY-MM-DD")&amp;" Auto","—")</f>
        <v/>
      </c>
      <c r="K198" s="501" t="n"/>
    </row>
    <row r="199" ht="15" customHeight="1" s="341">
      <c r="A199" s="486" t="n"/>
      <c r="B199" s="378">
        <f>IF(A199="","",IFERROR(VLOOKUP(A199,DB_Customers!$A:$D,4,0),"❌ Account Not Found"))</f>
        <v/>
      </c>
      <c r="C199" s="487">
        <f>IF(A199="","",IFERROR(VLOOKUP(A199,DB_Customers!$A:$N,14,0),""))</f>
        <v/>
      </c>
      <c r="D199" s="488">
        <f>IF(A199="","",TODAY())</f>
        <v/>
      </c>
      <c r="E199" s="489" t="n"/>
      <c r="F199" s="490">
        <f>IF(OR(A199="",E199=""),"",IF(C199="","",C199+E199))</f>
        <v/>
      </c>
      <c r="G199" s="380" t="inlineStr">
        <is>
          <t>Agent 03</t>
        </is>
      </c>
      <c r="H199" s="491" t="n"/>
      <c r="I199" s="492">
        <f>IF(A199="","Pending",IF(H199="","⚠️ Enter Code",IF(IFERROR(VLOOKUP(G199,DB_Agents!$B:$I,8,0),"")=H199,IF(AND(A199&lt;&gt;"",E199&lt;&gt;""),"Saved","Pending"),"🔒 BLOCKED — Wrong Code")))</f>
        <v/>
      </c>
      <c r="J199" s="493">
        <f>IF(I199="Saved",TEXT(TODAY(),"YYYY-MM-DD")&amp;" Auto","—")</f>
        <v/>
      </c>
      <c r="K199" s="494" t="n"/>
    </row>
    <row r="200" ht="15" customHeight="1" s="341">
      <c r="A200" s="495" t="n"/>
      <c r="B200" s="382">
        <f>IF(A200="","",IFERROR(VLOOKUP(A200,DB_Customers!$A:$D,4,0),"❌ Account Not Found"))</f>
        <v/>
      </c>
      <c r="C200" s="496">
        <f>IF(A200="","",IFERROR(VLOOKUP(A200,DB_Customers!$A:$N,14,0),""))</f>
        <v/>
      </c>
      <c r="D200" s="497">
        <f>IF(A200="","",TODAY())</f>
        <v/>
      </c>
      <c r="E200" s="489" t="n"/>
      <c r="F200" s="498">
        <f>IF(OR(A200="",E200=""),"",IF(C200="","",C200+E200))</f>
        <v/>
      </c>
      <c r="G200" s="384" t="inlineStr">
        <is>
          <t>Agent 03</t>
        </is>
      </c>
      <c r="H200" s="491" t="n"/>
      <c r="I200" s="499">
        <f>IF(A200="","Pending",IF(H200="","⚠️ Enter Code",IF(IFERROR(VLOOKUP(G200,DB_Agents!$B:$I,8,0),"")=H200,IF(AND(A200&lt;&gt;"",E200&lt;&gt;""),"Saved","Pending"),"🔒 BLOCKED — Wrong Code")))</f>
        <v/>
      </c>
      <c r="J200" s="500">
        <f>IF(I200="Saved",TEXT(TODAY(),"YYYY-MM-DD")&amp;" Auto","—")</f>
        <v/>
      </c>
      <c r="K200" s="501" t="n"/>
    </row>
    <row r="201" ht="15" customHeight="1" s="341">
      <c r="A201" s="486" t="n"/>
      <c r="B201" s="378">
        <f>IF(A201="","",IFERROR(VLOOKUP(A201,DB_Customers!$A:$D,4,0),"❌ Account Not Found"))</f>
        <v/>
      </c>
      <c r="C201" s="487">
        <f>IF(A201="","",IFERROR(VLOOKUP(A201,DB_Customers!$A:$N,14,0),""))</f>
        <v/>
      </c>
      <c r="D201" s="488">
        <f>IF(A201="","",TODAY())</f>
        <v/>
      </c>
      <c r="E201" s="489" t="n"/>
      <c r="F201" s="490">
        <f>IF(OR(A201="",E201=""),"",IF(C201="","",C201+E201))</f>
        <v/>
      </c>
      <c r="G201" s="380" t="inlineStr">
        <is>
          <t>Agent 03</t>
        </is>
      </c>
      <c r="H201" s="491" t="n"/>
      <c r="I201" s="492">
        <f>IF(A201="","Pending",IF(H201="","⚠️ Enter Code",IF(IFERROR(VLOOKUP(G201,DB_Agents!$B:$I,8,0),"")=H201,IF(AND(A201&lt;&gt;"",E201&lt;&gt;""),"Saved","Pending"),"🔒 BLOCKED — Wrong Code")))</f>
        <v/>
      </c>
      <c r="J201" s="493">
        <f>IF(I201="Saved",TEXT(TODAY(),"YYYY-MM-DD")&amp;" Auto","—")</f>
        <v/>
      </c>
      <c r="K201" s="494" t="n"/>
    </row>
    <row r="202" ht="15" customHeight="1" s="341">
      <c r="A202" s="495" t="n"/>
      <c r="B202" s="382">
        <f>IF(A202="","",IFERROR(VLOOKUP(A202,DB_Customers!$A:$D,4,0),"❌ Account Not Found"))</f>
        <v/>
      </c>
      <c r="C202" s="496">
        <f>IF(A202="","",IFERROR(VLOOKUP(A202,DB_Customers!$A:$N,14,0),""))</f>
        <v/>
      </c>
      <c r="D202" s="497">
        <f>IF(A202="","",TODAY())</f>
        <v/>
      </c>
      <c r="E202" s="489" t="n"/>
      <c r="F202" s="498">
        <f>IF(OR(A202="",E202=""),"",IF(C202="","",C202+E202))</f>
        <v/>
      </c>
      <c r="G202" s="384" t="inlineStr">
        <is>
          <t>Agent 03</t>
        </is>
      </c>
      <c r="H202" s="491" t="n"/>
      <c r="I202" s="499">
        <f>IF(A202="","Pending",IF(H202="","⚠️ Enter Code",IF(IFERROR(VLOOKUP(G202,DB_Agents!$B:$I,8,0),"")=H202,IF(AND(A202&lt;&gt;"",E202&lt;&gt;""),"Saved","Pending"),"🔒 BLOCKED — Wrong Code")))</f>
        <v/>
      </c>
      <c r="J202" s="500">
        <f>IF(I202="Saved",TEXT(TODAY(),"YYYY-MM-DD")&amp;" Auto","—")</f>
        <v/>
      </c>
      <c r="K202" s="501" t="n"/>
    </row>
    <row r="203" ht="15" customHeight="1" s="341">
      <c r="A203" s="486" t="n"/>
      <c r="B203" s="378">
        <f>IF(A203="","",IFERROR(VLOOKUP(A203,DB_Customers!$A:$D,4,0),"❌ Account Not Found"))</f>
        <v/>
      </c>
      <c r="C203" s="487">
        <f>IF(A203="","",IFERROR(VLOOKUP(A203,DB_Customers!$A:$N,14,0),""))</f>
        <v/>
      </c>
      <c r="D203" s="488">
        <f>IF(A203="","",TODAY())</f>
        <v/>
      </c>
      <c r="E203" s="489" t="n"/>
      <c r="F203" s="490">
        <f>IF(OR(A203="",E203=""),"",IF(C203="","",C203+E203))</f>
        <v/>
      </c>
      <c r="G203" s="380" t="inlineStr">
        <is>
          <t>Agent 03</t>
        </is>
      </c>
      <c r="H203" s="491" t="n"/>
      <c r="I203" s="492">
        <f>IF(A203="","Pending",IF(H203="","⚠️ Enter Code",IF(IFERROR(VLOOKUP(G203,DB_Agents!$B:$I,8,0),"")=H203,IF(AND(A203&lt;&gt;"",E203&lt;&gt;""),"Saved","Pending"),"🔒 BLOCKED — Wrong Code")))</f>
        <v/>
      </c>
      <c r="J203" s="493">
        <f>IF(I203="Saved",TEXT(TODAY(),"YYYY-MM-DD")&amp;" Auto","—")</f>
        <v/>
      </c>
      <c r="K203" s="494" t="n"/>
    </row>
    <row r="204" ht="15" customHeight="1" s="341">
      <c r="A204" s="495" t="n"/>
      <c r="B204" s="382">
        <f>IF(A204="","",IFERROR(VLOOKUP(A204,DB_Customers!$A:$D,4,0),"❌ Account Not Found"))</f>
        <v/>
      </c>
      <c r="C204" s="496">
        <f>IF(A204="","",IFERROR(VLOOKUP(A204,DB_Customers!$A:$N,14,0),""))</f>
        <v/>
      </c>
      <c r="D204" s="497">
        <f>IF(A204="","",TODAY())</f>
        <v/>
      </c>
      <c r="E204" s="489" t="n"/>
      <c r="F204" s="498">
        <f>IF(OR(A204="",E204=""),"",IF(C204="","",C204+E204))</f>
        <v/>
      </c>
      <c r="G204" s="384" t="inlineStr">
        <is>
          <t>Agent 03</t>
        </is>
      </c>
      <c r="H204" s="491" t="n"/>
      <c r="I204" s="499">
        <f>IF(A204="","Pending",IF(H204="","⚠️ Enter Code",IF(IFERROR(VLOOKUP(G204,DB_Agents!$B:$I,8,0),"")=H204,IF(AND(A204&lt;&gt;"",E204&lt;&gt;""),"Saved","Pending"),"🔒 BLOCKED — Wrong Code")))</f>
        <v/>
      </c>
      <c r="J204" s="500">
        <f>IF(I204="Saved",TEXT(TODAY(),"YYYY-MM-DD")&amp;" Auto","—")</f>
        <v/>
      </c>
      <c r="K204" s="501" t="n"/>
    </row>
    <row r="205" ht="15" customHeight="1" s="341">
      <c r="A205" s="486" t="n"/>
      <c r="B205" s="378">
        <f>IF(A205="","",IFERROR(VLOOKUP(A205,DB_Customers!$A:$D,4,0),"❌ Account Not Found"))</f>
        <v/>
      </c>
      <c r="C205" s="487">
        <f>IF(A205="","",IFERROR(VLOOKUP(A205,DB_Customers!$A:$N,14,0),""))</f>
        <v/>
      </c>
      <c r="D205" s="488">
        <f>IF(A205="","",TODAY())</f>
        <v/>
      </c>
      <c r="E205" s="489" t="n"/>
      <c r="F205" s="490">
        <f>IF(OR(A205="",E205=""),"",IF(C205="","",C205+E205))</f>
        <v/>
      </c>
      <c r="G205" s="380" t="inlineStr">
        <is>
          <t>Agent 03</t>
        </is>
      </c>
      <c r="H205" s="491" t="n"/>
      <c r="I205" s="492">
        <f>IF(A205="","Pending",IF(H205="","⚠️ Enter Code",IF(IFERROR(VLOOKUP(G205,DB_Agents!$B:$I,8,0),"")=H205,IF(AND(A205&lt;&gt;"",E205&lt;&gt;""),"Saved","Pending"),"🔒 BLOCKED — Wrong Code")))</f>
        <v/>
      </c>
      <c r="J205" s="493">
        <f>IF(I205="Saved",TEXT(TODAY(),"YYYY-MM-DD")&amp;" Auto","—")</f>
        <v/>
      </c>
      <c r="K205" s="494" t="n"/>
    </row>
    <row r="206" ht="15" customHeight="1" s="341">
      <c r="A206" s="495" t="n"/>
      <c r="B206" s="382">
        <f>IF(A206="","",IFERROR(VLOOKUP(A206,DB_Customers!$A:$D,4,0),"❌ Account Not Found"))</f>
        <v/>
      </c>
      <c r="C206" s="496">
        <f>IF(A206="","",IFERROR(VLOOKUP(A206,DB_Customers!$A:$N,14,0),""))</f>
        <v/>
      </c>
      <c r="D206" s="497">
        <f>IF(A206="","",TODAY())</f>
        <v/>
      </c>
      <c r="E206" s="489" t="n"/>
      <c r="F206" s="498">
        <f>IF(OR(A206="",E206=""),"",IF(C206="","",C206+E206))</f>
        <v/>
      </c>
      <c r="G206" s="384" t="inlineStr">
        <is>
          <t>Agent 03</t>
        </is>
      </c>
      <c r="H206" s="491" t="n"/>
      <c r="I206" s="499">
        <f>IF(A206="","Pending",IF(H206="","⚠️ Enter Code",IF(IFERROR(VLOOKUP(G206,DB_Agents!$B:$I,8,0),"")=H206,IF(AND(A206&lt;&gt;"",E206&lt;&gt;""),"Saved","Pending"),"🔒 BLOCKED — Wrong Code")))</f>
        <v/>
      </c>
      <c r="J206" s="500">
        <f>IF(I206="Saved",TEXT(TODAY(),"YYYY-MM-DD")&amp;" Auto","—")</f>
        <v/>
      </c>
      <c r="K206" s="501" t="n"/>
    </row>
    <row r="207" ht="15" customHeight="1" s="341">
      <c r="A207" s="486" t="n"/>
      <c r="B207" s="378">
        <f>IF(A207="","",IFERROR(VLOOKUP(A207,DB_Customers!$A:$D,4,0),"❌ Account Not Found"))</f>
        <v/>
      </c>
      <c r="C207" s="487">
        <f>IF(A207="","",IFERROR(VLOOKUP(A207,DB_Customers!$A:$N,14,0),""))</f>
        <v/>
      </c>
      <c r="D207" s="488">
        <f>IF(A207="","",TODAY())</f>
        <v/>
      </c>
      <c r="E207" s="489" t="n"/>
      <c r="F207" s="490">
        <f>IF(OR(A207="",E207=""),"",IF(C207="","",C207+E207))</f>
        <v/>
      </c>
      <c r="G207" s="380" t="inlineStr">
        <is>
          <t>Agent 03</t>
        </is>
      </c>
      <c r="H207" s="491" t="n"/>
      <c r="I207" s="492">
        <f>IF(A207="","Pending",IF(H207="","⚠️ Enter Code",IF(IFERROR(VLOOKUP(G207,DB_Agents!$B:$I,8,0),"")=H207,IF(AND(A207&lt;&gt;"",E207&lt;&gt;""),"Saved","Pending"),"🔒 BLOCKED — Wrong Code")))</f>
        <v/>
      </c>
      <c r="J207" s="493">
        <f>IF(I207="Saved",TEXT(TODAY(),"YYYY-MM-DD")&amp;" Auto","—")</f>
        <v/>
      </c>
      <c r="K207" s="494" t="n"/>
    </row>
    <row r="208" ht="15" customHeight="1" s="341">
      <c r="A208" s="495" t="n"/>
      <c r="B208" s="382">
        <f>IF(A208="","",IFERROR(VLOOKUP(A208,DB_Customers!$A:$D,4,0),"❌ Account Not Found"))</f>
        <v/>
      </c>
      <c r="C208" s="496">
        <f>IF(A208="","",IFERROR(VLOOKUP(A208,DB_Customers!$A:$N,14,0),""))</f>
        <v/>
      </c>
      <c r="D208" s="497">
        <f>IF(A208="","",TODAY())</f>
        <v/>
      </c>
      <c r="E208" s="489" t="n"/>
      <c r="F208" s="498">
        <f>IF(OR(A208="",E208=""),"",IF(C208="","",C208+E208))</f>
        <v/>
      </c>
      <c r="G208" s="384" t="inlineStr">
        <is>
          <t>Agent 03</t>
        </is>
      </c>
      <c r="H208" s="491" t="n"/>
      <c r="I208" s="499">
        <f>IF(A208="","Pending",IF(H208="","⚠️ Enter Code",IF(IFERROR(VLOOKUP(G208,DB_Agents!$B:$I,8,0),"")=H208,IF(AND(A208&lt;&gt;"",E208&lt;&gt;""),"Saved","Pending"),"🔒 BLOCKED — Wrong Code")))</f>
        <v/>
      </c>
      <c r="J208" s="500">
        <f>IF(I208="Saved",TEXT(TODAY(),"YYYY-MM-DD")&amp;" Auto","—")</f>
        <v/>
      </c>
      <c r="K208" s="501" t="n"/>
    </row>
  </sheetData>
  <mergeCells count="12">
    <mergeCell ref="A2:L2"/>
    <mergeCell ref="A7:L7"/>
    <mergeCell ref="A1:L1"/>
    <mergeCell ref="A5:L5"/>
    <mergeCell ref="D4:F4"/>
    <mergeCell ref="D3:F3"/>
    <mergeCell ref="A3:C3"/>
    <mergeCell ref="G3:I3"/>
    <mergeCell ref="G4:I4"/>
    <mergeCell ref="J4:L4"/>
    <mergeCell ref="A4:C4"/>
    <mergeCell ref="J3:L3"/>
  </mergeCells>
  <conditionalFormatting sqref="H9:H208">
    <cfRule type="cellIs" rank="0" priority="2" equalAverage="0" operator="equal" aboveAverage="0" dxfId="0" text="" percent="0" bottom="0">
      <formula>"Saved"</formula>
    </cfRule>
    <cfRule type="cellIs" rank="0" priority="3" equalAverage="0" operator="equal" aboveAverage="0" dxfId="11" text="" percent="0" bottom="0">
      <formula>"Pending"</formula>
    </cfRule>
  </conditionalFormatting>
  <conditionalFormatting sqref="A9:J208">
    <cfRule type="expression" rank="0" priority="4" equalAverage="0" aboveAverage="0" dxfId="12" text="" percent="0" bottom="0">
      <formula>$H9="Saved"</formula>
    </cfRule>
  </conditionalFormatting>
  <dataValidations count="2">
    <dataValidation sqref="E9:E208" showDropDown="0" showInputMessage="0" showErrorMessage="1" allowBlank="0" error="Must be &gt; 0" type="decimal" errorStyle="stop" operator="greaterThan">
      <formula1>0</formula1>
      <formula2>0</formula2>
    </dataValidation>
    <dataValidation sqref="G9:G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3.xml><?xml version="1.0" encoding="utf-8"?>
<worksheet xmlns="http://schemas.openxmlformats.org/spreadsheetml/2006/main">
  <sheetPr filterMode="0">
    <tabColor rgb="FFC0392B"/>
    <outlinePr summaryBelow="1" summaryRight="1"/>
    <pageSetUpPr fitToPage="0"/>
  </sheetPr>
  <dimension ref="A1:M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5" customWidth="1" style="340" min="7" max="7"/>
    <col width="12" customWidth="1" style="340" min="8" max="8"/>
    <col width="14" customWidth="1" style="340" min="9" max="9"/>
    <col width="22" customWidth="1" style="340" min="10" max="10"/>
    <col width="20" customWidth="1" style="340" min="11" max="11"/>
  </cols>
  <sheetData>
    <row r="1" ht="31.5" customHeight="1" s="341">
      <c r="A1" s="502" t="inlineStr">
        <is>
          <t>🏧  SAMICIOUS MICROFINANCE — AGENT03 WITHDRAWALS</t>
        </is>
      </c>
    </row>
    <row r="2" ht="19.5" customHeight="1" s="341">
      <c r="A2" s="503" t="inlineStr">
        <is>
          <t>Agent: Agent 03  |  Status auto: "Successful" or "Unsuccessful" based on balance check  |  🔑 Security: Enter your 4-digit Agent Code in each row</t>
        </is>
      </c>
    </row>
    <row r="3" ht="18" customHeight="1" s="341">
      <c r="A3" s="365" t="inlineStr">
        <is>
          <t>🏧 Total Withdrawn Today</t>
        </is>
      </c>
      <c r="D3" s="364" t="inlineStr">
        <is>
          <t>✅ Successful</t>
        </is>
      </c>
      <c r="G3" s="368" t="inlineStr">
        <is>
          <t>❌ Unsuccessful</t>
        </is>
      </c>
      <c r="K3" s="439" t="inlineStr">
        <is>
          <t>📅 Date</t>
        </is>
      </c>
    </row>
    <row r="4" ht="27.75" customHeight="1" s="341">
      <c r="A4" s="504">
        <f>SUMIFS(DB_Withdrawals!$G:$G,DB_Withdrawals!$J:$J,"Agent 03",DB_Withdrawals!$F:$F,TODAY())</f>
        <v/>
      </c>
      <c r="D4" s="505">
        <f>COUNTIFS(DB_Withdrawals!$J:$J,"Agent 03",DB_Withdrawals!$K:$K,"Successful",DB_Withdrawals!$F:$F,TODAY())</f>
        <v/>
      </c>
      <c r="G4" s="506">
        <f>COUNTIFS(DB_Withdrawals!$J:$J,"Agent 03",DB_Withdrawals!$K:$K,"Unsuccessful",DB_Withdrawals!$F:$F,TODAY())</f>
        <v/>
      </c>
      <c r="K4" s="482">
        <f>TEXT(TODAY(),"DD MMM YYYY")</f>
        <v/>
      </c>
    </row>
    <row r="5" ht="19.5" customHeight="1" s="341">
      <c r="A5" s="507" t="inlineStr">
        <is>
          <t>⚠️  WITHDRAWALS — System auto-validates balance. Insufficient funds will show "Unsuccessful" status.</t>
        </is>
      </c>
    </row>
    <row r="6" ht="7.5" customHeight="1" s="341"/>
    <row r="7" ht="19.5" customHeight="1" s="341">
      <c r="A7" s="508" t="inlineStr">
        <is>
          <t>📝  ENTRY FORM — Enter Account # → Name, Balance, Date auto-populate. Enter Withdrawal Amount &amp; Authorized By. | Enter Agent Code in 🔑 column to authorize each transaction.</t>
        </is>
      </c>
    </row>
    <row r="8" ht="19.5" customHeight="1" s="341">
      <c r="A8" s="509" t="inlineStr">
        <is>
          <t>Account #</t>
        </is>
      </c>
      <c r="B8" s="509" t="inlineStr">
        <is>
          <t>Customer Name</t>
        </is>
      </c>
      <c r="C8" s="509" t="inlineStr">
        <is>
          <t>Available Balance</t>
        </is>
      </c>
      <c r="D8" s="509" t="inlineStr">
        <is>
          <t>Date</t>
        </is>
      </c>
      <c r="E8" s="509" t="inlineStr">
        <is>
          <t>Withdrawal Amt</t>
        </is>
      </c>
      <c r="F8" s="509" t="inlineStr">
        <is>
          <t>Authorized By</t>
        </is>
      </c>
      <c r="G8" s="509" t="inlineStr">
        <is>
          <t>New Balance</t>
        </is>
      </c>
      <c r="H8" s="509" t="inlineStr">
        <is>
          <t>Agent</t>
        </is>
      </c>
      <c r="I8" s="485" t="inlineStr">
        <is>
          <t>🔑 Agent Code</t>
        </is>
      </c>
      <c r="J8" s="509" t="inlineStr">
        <is>
          <t>Status</t>
        </is>
      </c>
      <c r="K8" s="509" t="inlineStr">
        <is>
          <t>Saved At</t>
        </is>
      </c>
      <c r="L8" s="509" t="inlineStr">
        <is>
          <t>Notes</t>
        </is>
      </c>
    </row>
    <row r="9" ht="15" customHeight="1" s="341">
      <c r="A9" s="486" t="n"/>
      <c r="B9" s="378">
        <f>IF(A9="","",IFERROR(VLOOKUP(A9,DB_Customers!$A:$D,4,0),"❌ Account Not Found"))</f>
        <v/>
      </c>
      <c r="C9" s="487">
        <f>IF(A9="","",IFERROR(VLOOKUP(A9,DB_Customers!$A:$N,14,0),""))</f>
        <v/>
      </c>
      <c r="D9" s="488">
        <f>IF(A9="","",TODAY())</f>
        <v/>
      </c>
      <c r="E9" s="510" t="n"/>
      <c r="F9" s="378" t="n"/>
      <c r="G9" s="511">
        <f>IF(OR(A9="",E9=""),"",IF(C9="","",C9-E9))</f>
        <v/>
      </c>
      <c r="H9" s="380" t="inlineStr">
        <is>
          <t>Agent 03</t>
        </is>
      </c>
      <c r="I9" s="491" t="n"/>
      <c r="J9" s="492">
        <f>IF(AND(A9&lt;&gt;"",E9&lt;&gt;""),IF(I9="","⚠️ Enter Code",IF(IFERROR(VLOOKUP(H9,DB_Agents!$B:$I,8,0),"")=I9,IF(C9&gt;=E9,"Successful","Unsuccessful"),"🔒 BLOCKED — Wrong Code")),"—")</f>
        <v/>
      </c>
      <c r="K9" s="493">
        <f>IF(J9="Successful",TEXT(TODAY(),"YYYY-MM-DD")&amp;" Auto","—")</f>
        <v/>
      </c>
      <c r="L9" s="494" t="n"/>
    </row>
    <row r="10" ht="15" customHeight="1" s="341">
      <c r="A10" s="495" t="n"/>
      <c r="B10" s="382">
        <f>IF(A10="","",IFERROR(VLOOKUP(A10,DB_Customers!$A:$D,4,0),"❌ Account Not Found"))</f>
        <v/>
      </c>
      <c r="C10" s="496">
        <f>IF(A10="","",IFERROR(VLOOKUP(A10,DB_Customers!$A:$N,14,0),""))</f>
        <v/>
      </c>
      <c r="D10" s="497">
        <f>IF(A10="","",TODAY())</f>
        <v/>
      </c>
      <c r="E10" s="510" t="n"/>
      <c r="F10" s="382" t="n"/>
      <c r="G10" s="512">
        <f>IF(OR(A10="",E10=""),"",IF(C10="","",C10-E10))</f>
        <v/>
      </c>
      <c r="H10" s="384" t="inlineStr">
        <is>
          <t>Agent 03</t>
        </is>
      </c>
      <c r="I10" s="491" t="n"/>
      <c r="J10" s="499">
        <f>IF(AND(A10&lt;&gt;"",E10&lt;&gt;""),IF(I10="","⚠️ Enter Code",IF(IFERROR(VLOOKUP(H10,DB_Agents!$B:$I,8,0),"")=I10,IF(C10&gt;=E10,"Successful","Unsuccessful"),"🔒 BLOCKED — Wrong Code")),"—")</f>
        <v/>
      </c>
      <c r="K10" s="500">
        <f>IF(J10="Successful",TEXT(TODAY(),"YYYY-MM-DD")&amp;" Auto","—")</f>
        <v/>
      </c>
      <c r="L10" s="501" t="n"/>
    </row>
    <row r="11" ht="15" customHeight="1" s="341">
      <c r="A11" s="486" t="n"/>
      <c r="B11" s="378">
        <f>IF(A11="","",IFERROR(VLOOKUP(A11,DB_Customers!$A:$D,4,0),"❌ Account Not Found"))</f>
        <v/>
      </c>
      <c r="C11" s="487">
        <f>IF(A11="","",IFERROR(VLOOKUP(A11,DB_Customers!$A:$N,14,0),""))</f>
        <v/>
      </c>
      <c r="D11" s="488">
        <f>IF(A11="","",TODAY())</f>
        <v/>
      </c>
      <c r="E11" s="510" t="n"/>
      <c r="F11" s="378" t="n"/>
      <c r="G11" s="511">
        <f>IF(OR(A11="",E11=""),"",IF(C11="","",C11-E11))</f>
        <v/>
      </c>
      <c r="H11" s="380" t="inlineStr">
        <is>
          <t>Agent 03</t>
        </is>
      </c>
      <c r="I11" s="491" t="n"/>
      <c r="J11" s="492">
        <f>IF(AND(A11&lt;&gt;"",E11&lt;&gt;""),IF(I11="","⚠️ Enter Code",IF(IFERROR(VLOOKUP(H11,DB_Agents!$B:$I,8,0),"")=I11,IF(C11&gt;=E11,"Successful","Unsuccessful"),"🔒 BLOCKED — Wrong Code")),"—")</f>
        <v/>
      </c>
      <c r="K11" s="493">
        <f>IF(J11="Successful",TEXT(TODAY(),"YYYY-MM-DD")&amp;" Auto","—")</f>
        <v/>
      </c>
      <c r="L11" s="494" t="n"/>
    </row>
    <row r="12" ht="15" customHeight="1" s="341">
      <c r="A12" s="495" t="n"/>
      <c r="B12" s="382">
        <f>IF(A12="","",IFERROR(VLOOKUP(A12,DB_Customers!$A:$D,4,0),"❌ Account Not Found"))</f>
        <v/>
      </c>
      <c r="C12" s="496">
        <f>IF(A12="","",IFERROR(VLOOKUP(A12,DB_Customers!$A:$N,14,0),""))</f>
        <v/>
      </c>
      <c r="D12" s="497">
        <f>IF(A12="","",TODAY())</f>
        <v/>
      </c>
      <c r="E12" s="510" t="n"/>
      <c r="F12" s="382" t="n"/>
      <c r="G12" s="512">
        <f>IF(OR(A12="",E12=""),"",IF(C12="","",C12-E12))</f>
        <v/>
      </c>
      <c r="H12" s="384" t="inlineStr">
        <is>
          <t>Agent 03</t>
        </is>
      </c>
      <c r="I12" s="491" t="n"/>
      <c r="J12" s="499">
        <f>IF(AND(A12&lt;&gt;"",E12&lt;&gt;""),IF(I12="","⚠️ Enter Code",IF(IFERROR(VLOOKUP(H12,DB_Agents!$B:$I,8,0),"")=I12,IF(C12&gt;=E12,"Successful","Unsuccessful"),"🔒 BLOCKED — Wrong Code")),"—")</f>
        <v/>
      </c>
      <c r="K12" s="500">
        <f>IF(J12="Successful",TEXT(TODAY(),"YYYY-MM-DD")&amp;" Auto","—")</f>
        <v/>
      </c>
      <c r="L12" s="501" t="n"/>
    </row>
    <row r="13" ht="15" customHeight="1" s="341">
      <c r="A13" s="486" t="n"/>
      <c r="B13" s="378">
        <f>IF(A13="","",IFERROR(VLOOKUP(A13,DB_Customers!$A:$D,4,0),"❌ Account Not Found"))</f>
        <v/>
      </c>
      <c r="C13" s="487">
        <f>IF(A13="","",IFERROR(VLOOKUP(A13,DB_Customers!$A:$N,14,0),""))</f>
        <v/>
      </c>
      <c r="D13" s="488">
        <f>IF(A13="","",TODAY())</f>
        <v/>
      </c>
      <c r="E13" s="510" t="n"/>
      <c r="F13" s="378" t="n"/>
      <c r="G13" s="511">
        <f>IF(OR(A13="",E13=""),"",IF(C13="","",C13-E13))</f>
        <v/>
      </c>
      <c r="H13" s="380" t="inlineStr">
        <is>
          <t>Agent 03</t>
        </is>
      </c>
      <c r="I13" s="491" t="n"/>
      <c r="J13" s="492">
        <f>IF(AND(A13&lt;&gt;"",E13&lt;&gt;""),IF(I13="","⚠️ Enter Code",IF(IFERROR(VLOOKUP(H13,DB_Agents!$B:$I,8,0),"")=I13,IF(C13&gt;=E13,"Successful","Unsuccessful"),"🔒 BLOCKED — Wrong Code")),"—")</f>
        <v/>
      </c>
      <c r="K13" s="493">
        <f>IF(J13="Successful",TEXT(TODAY(),"YYYY-MM-DD")&amp;" Auto","—")</f>
        <v/>
      </c>
      <c r="L13" s="494" t="n"/>
    </row>
    <row r="14" ht="15" customHeight="1" s="341">
      <c r="A14" s="495" t="n"/>
      <c r="B14" s="382">
        <f>IF(A14="","",IFERROR(VLOOKUP(A14,DB_Customers!$A:$D,4,0),"❌ Account Not Found"))</f>
        <v/>
      </c>
      <c r="C14" s="496">
        <f>IF(A14="","",IFERROR(VLOOKUP(A14,DB_Customers!$A:$N,14,0),""))</f>
        <v/>
      </c>
      <c r="D14" s="497">
        <f>IF(A14="","",TODAY())</f>
        <v/>
      </c>
      <c r="E14" s="510" t="n"/>
      <c r="F14" s="382" t="n"/>
      <c r="G14" s="512">
        <f>IF(OR(A14="",E14=""),"",IF(C14="","",C14-E14))</f>
        <v/>
      </c>
      <c r="H14" s="384" t="inlineStr">
        <is>
          <t>Agent 03</t>
        </is>
      </c>
      <c r="I14" s="491" t="n"/>
      <c r="J14" s="499">
        <f>IF(AND(A14&lt;&gt;"",E14&lt;&gt;""),IF(I14="","⚠️ Enter Code",IF(IFERROR(VLOOKUP(H14,DB_Agents!$B:$I,8,0),"")=I14,IF(C14&gt;=E14,"Successful","Unsuccessful"),"🔒 BLOCKED — Wrong Code")),"—")</f>
        <v/>
      </c>
      <c r="K14" s="500">
        <f>IF(J14="Successful",TEXT(TODAY(),"YYYY-MM-DD")&amp;" Auto","—")</f>
        <v/>
      </c>
      <c r="L14" s="501" t="n"/>
    </row>
    <row r="15" ht="15" customHeight="1" s="341">
      <c r="A15" s="486" t="n"/>
      <c r="B15" s="378">
        <f>IF(A15="","",IFERROR(VLOOKUP(A15,DB_Customers!$A:$D,4,0),"❌ Account Not Found"))</f>
        <v/>
      </c>
      <c r="C15" s="487">
        <f>IF(A15="","",IFERROR(VLOOKUP(A15,DB_Customers!$A:$N,14,0),""))</f>
        <v/>
      </c>
      <c r="D15" s="488">
        <f>IF(A15="","",TODAY())</f>
        <v/>
      </c>
      <c r="E15" s="510" t="n"/>
      <c r="F15" s="378" t="n"/>
      <c r="G15" s="511">
        <f>IF(OR(A15="",E15=""),"",IF(C15="","",C15-E15))</f>
        <v/>
      </c>
      <c r="H15" s="380" t="inlineStr">
        <is>
          <t>Agent 03</t>
        </is>
      </c>
      <c r="I15" s="491" t="n"/>
      <c r="J15" s="492">
        <f>IF(AND(A15&lt;&gt;"",E15&lt;&gt;""),IF(I15="","⚠️ Enter Code",IF(IFERROR(VLOOKUP(H15,DB_Agents!$B:$I,8,0),"")=I15,IF(C15&gt;=E15,"Successful","Unsuccessful"),"🔒 BLOCKED — Wrong Code")),"—")</f>
        <v/>
      </c>
      <c r="K15" s="493">
        <f>IF(J15="Successful",TEXT(TODAY(),"YYYY-MM-DD")&amp;" Auto","—")</f>
        <v/>
      </c>
      <c r="L15" s="494" t="n"/>
    </row>
    <row r="16" ht="15" customHeight="1" s="341">
      <c r="A16" s="495" t="n"/>
      <c r="B16" s="382">
        <f>IF(A16="","",IFERROR(VLOOKUP(A16,DB_Customers!$A:$D,4,0),"❌ Account Not Found"))</f>
        <v/>
      </c>
      <c r="C16" s="496">
        <f>IF(A16="","",IFERROR(VLOOKUP(A16,DB_Customers!$A:$N,14,0),""))</f>
        <v/>
      </c>
      <c r="D16" s="497">
        <f>IF(A16="","",TODAY())</f>
        <v/>
      </c>
      <c r="E16" s="510" t="n"/>
      <c r="F16" s="382" t="n"/>
      <c r="G16" s="512">
        <f>IF(OR(A16="",E16=""),"",IF(C16="","",C16-E16))</f>
        <v/>
      </c>
      <c r="H16" s="384" t="inlineStr">
        <is>
          <t>Agent 03</t>
        </is>
      </c>
      <c r="I16" s="491" t="n"/>
      <c r="J16" s="499">
        <f>IF(AND(A16&lt;&gt;"",E16&lt;&gt;""),IF(I16="","⚠️ Enter Code",IF(IFERROR(VLOOKUP(H16,DB_Agents!$B:$I,8,0),"")=I16,IF(C16&gt;=E16,"Successful","Unsuccessful"),"🔒 BLOCKED — Wrong Code")),"—")</f>
        <v/>
      </c>
      <c r="K16" s="500">
        <f>IF(J16="Successful",TEXT(TODAY(),"YYYY-MM-DD")&amp;" Auto","—")</f>
        <v/>
      </c>
      <c r="L16" s="501" t="n"/>
    </row>
    <row r="17" ht="15" customHeight="1" s="341">
      <c r="A17" s="486" t="n"/>
      <c r="B17" s="378">
        <f>IF(A17="","",IFERROR(VLOOKUP(A17,DB_Customers!$A:$D,4,0),"❌ Account Not Found"))</f>
        <v/>
      </c>
      <c r="C17" s="487">
        <f>IF(A17="","",IFERROR(VLOOKUP(A17,DB_Customers!$A:$N,14,0),""))</f>
        <v/>
      </c>
      <c r="D17" s="488">
        <f>IF(A17="","",TODAY())</f>
        <v/>
      </c>
      <c r="E17" s="510" t="n"/>
      <c r="F17" s="378" t="n"/>
      <c r="G17" s="511">
        <f>IF(OR(A17="",E17=""),"",IF(C17="","",C17-E17))</f>
        <v/>
      </c>
      <c r="H17" s="380" t="inlineStr">
        <is>
          <t>Agent 03</t>
        </is>
      </c>
      <c r="I17" s="491" t="n"/>
      <c r="J17" s="492">
        <f>IF(AND(A17&lt;&gt;"",E17&lt;&gt;""),IF(I17="","⚠️ Enter Code",IF(IFERROR(VLOOKUP(H17,DB_Agents!$B:$I,8,0),"")=I17,IF(C17&gt;=E17,"Successful","Unsuccessful"),"🔒 BLOCKED — Wrong Code")),"—")</f>
        <v/>
      </c>
      <c r="K17" s="493">
        <f>IF(J17="Successful",TEXT(TODAY(),"YYYY-MM-DD")&amp;" Auto","—")</f>
        <v/>
      </c>
      <c r="L17" s="494" t="n"/>
    </row>
    <row r="18" ht="15" customHeight="1" s="341">
      <c r="A18" s="495" t="n"/>
      <c r="B18" s="382">
        <f>IF(A18="","",IFERROR(VLOOKUP(A18,DB_Customers!$A:$D,4,0),"❌ Account Not Found"))</f>
        <v/>
      </c>
      <c r="C18" s="496">
        <f>IF(A18="","",IFERROR(VLOOKUP(A18,DB_Customers!$A:$N,14,0),""))</f>
        <v/>
      </c>
      <c r="D18" s="497">
        <f>IF(A18="","",TODAY())</f>
        <v/>
      </c>
      <c r="E18" s="510" t="n"/>
      <c r="F18" s="382" t="n"/>
      <c r="G18" s="512">
        <f>IF(OR(A18="",E18=""),"",IF(C18="","",C18-E18))</f>
        <v/>
      </c>
      <c r="H18" s="384" t="inlineStr">
        <is>
          <t>Agent 03</t>
        </is>
      </c>
      <c r="I18" s="491" t="n"/>
      <c r="J18" s="499">
        <f>IF(AND(A18&lt;&gt;"",E18&lt;&gt;""),IF(I18="","⚠️ Enter Code",IF(IFERROR(VLOOKUP(H18,DB_Agents!$B:$I,8,0),"")=I18,IF(C18&gt;=E18,"Successful","Unsuccessful"),"🔒 BLOCKED — Wrong Code")),"—")</f>
        <v/>
      </c>
      <c r="K18" s="500">
        <f>IF(J18="Successful",TEXT(TODAY(),"YYYY-MM-DD")&amp;" Auto","—")</f>
        <v/>
      </c>
      <c r="L18" s="501" t="n"/>
    </row>
    <row r="19" ht="15" customHeight="1" s="341">
      <c r="A19" s="486" t="n"/>
      <c r="B19" s="378">
        <f>IF(A19="","",IFERROR(VLOOKUP(A19,DB_Customers!$A:$D,4,0),"❌ Account Not Found"))</f>
        <v/>
      </c>
      <c r="C19" s="487">
        <f>IF(A19="","",IFERROR(VLOOKUP(A19,DB_Customers!$A:$N,14,0),""))</f>
        <v/>
      </c>
      <c r="D19" s="488">
        <f>IF(A19="","",TODAY())</f>
        <v/>
      </c>
      <c r="E19" s="510" t="n"/>
      <c r="F19" s="378" t="n"/>
      <c r="G19" s="511">
        <f>IF(OR(A19="",E19=""),"",IF(C19="","",C19-E19))</f>
        <v/>
      </c>
      <c r="H19" s="380" t="inlineStr">
        <is>
          <t>Agent 03</t>
        </is>
      </c>
      <c r="I19" s="491" t="n"/>
      <c r="J19" s="492">
        <f>IF(AND(A19&lt;&gt;"",E19&lt;&gt;""),IF(I19="","⚠️ Enter Code",IF(IFERROR(VLOOKUP(H19,DB_Agents!$B:$I,8,0),"")=I19,IF(C19&gt;=E19,"Successful","Unsuccessful"),"🔒 BLOCKED — Wrong Code")),"—")</f>
        <v/>
      </c>
      <c r="K19" s="493">
        <f>IF(J19="Successful",TEXT(TODAY(),"YYYY-MM-DD")&amp;" Auto","—")</f>
        <v/>
      </c>
      <c r="L19" s="494" t="n"/>
    </row>
    <row r="20" ht="15" customHeight="1" s="341">
      <c r="A20" s="495" t="n"/>
      <c r="B20" s="382">
        <f>IF(A20="","",IFERROR(VLOOKUP(A20,DB_Customers!$A:$D,4,0),"❌ Account Not Found"))</f>
        <v/>
      </c>
      <c r="C20" s="496">
        <f>IF(A20="","",IFERROR(VLOOKUP(A20,DB_Customers!$A:$N,14,0),""))</f>
        <v/>
      </c>
      <c r="D20" s="497">
        <f>IF(A20="","",TODAY())</f>
        <v/>
      </c>
      <c r="E20" s="510" t="n"/>
      <c r="F20" s="382" t="n"/>
      <c r="G20" s="512">
        <f>IF(OR(A20="",E20=""),"",IF(C20="","",C20-E20))</f>
        <v/>
      </c>
      <c r="H20" s="384" t="inlineStr">
        <is>
          <t>Agent 03</t>
        </is>
      </c>
      <c r="I20" s="491" t="n"/>
      <c r="J20" s="499">
        <f>IF(AND(A20&lt;&gt;"",E20&lt;&gt;""),IF(I20="","⚠️ Enter Code",IF(IFERROR(VLOOKUP(H20,DB_Agents!$B:$I,8,0),"")=I20,IF(C20&gt;=E20,"Successful","Unsuccessful"),"🔒 BLOCKED — Wrong Code")),"—")</f>
        <v/>
      </c>
      <c r="K20" s="500">
        <f>IF(J20="Successful",TEXT(TODAY(),"YYYY-MM-DD")&amp;" Auto","—")</f>
        <v/>
      </c>
      <c r="L20" s="501" t="n"/>
    </row>
    <row r="21" ht="15" customHeight="1" s="341">
      <c r="A21" s="486" t="n"/>
      <c r="B21" s="378">
        <f>IF(A21="","",IFERROR(VLOOKUP(A21,DB_Customers!$A:$D,4,0),"❌ Account Not Found"))</f>
        <v/>
      </c>
      <c r="C21" s="487">
        <f>IF(A21="","",IFERROR(VLOOKUP(A21,DB_Customers!$A:$N,14,0),""))</f>
        <v/>
      </c>
      <c r="D21" s="488">
        <f>IF(A21="","",TODAY())</f>
        <v/>
      </c>
      <c r="E21" s="510" t="n"/>
      <c r="F21" s="378" t="n"/>
      <c r="G21" s="511">
        <f>IF(OR(A21="",E21=""),"",IF(C21="","",C21-E21))</f>
        <v/>
      </c>
      <c r="H21" s="380" t="inlineStr">
        <is>
          <t>Agent 03</t>
        </is>
      </c>
      <c r="I21" s="491" t="n"/>
      <c r="J21" s="492">
        <f>IF(AND(A21&lt;&gt;"",E21&lt;&gt;""),IF(I21="","⚠️ Enter Code",IF(IFERROR(VLOOKUP(H21,DB_Agents!$B:$I,8,0),"")=I21,IF(C21&gt;=E21,"Successful","Unsuccessful"),"🔒 BLOCKED — Wrong Code")),"—")</f>
        <v/>
      </c>
      <c r="K21" s="493">
        <f>IF(J21="Successful",TEXT(TODAY(),"YYYY-MM-DD")&amp;" Auto","—")</f>
        <v/>
      </c>
      <c r="L21" s="494" t="n"/>
    </row>
    <row r="22" ht="15" customHeight="1" s="341">
      <c r="A22" s="495" t="n"/>
      <c r="B22" s="382">
        <f>IF(A22="","",IFERROR(VLOOKUP(A22,DB_Customers!$A:$D,4,0),"❌ Account Not Found"))</f>
        <v/>
      </c>
      <c r="C22" s="496">
        <f>IF(A22="","",IFERROR(VLOOKUP(A22,DB_Customers!$A:$N,14,0),""))</f>
        <v/>
      </c>
      <c r="D22" s="497">
        <f>IF(A22="","",TODAY())</f>
        <v/>
      </c>
      <c r="E22" s="510" t="n"/>
      <c r="F22" s="382" t="n"/>
      <c r="G22" s="512">
        <f>IF(OR(A22="",E22=""),"",IF(C22="","",C22-E22))</f>
        <v/>
      </c>
      <c r="H22" s="384" t="inlineStr">
        <is>
          <t>Agent 03</t>
        </is>
      </c>
      <c r="I22" s="491" t="n"/>
      <c r="J22" s="499">
        <f>IF(AND(A22&lt;&gt;"",E22&lt;&gt;""),IF(I22="","⚠️ Enter Code",IF(IFERROR(VLOOKUP(H22,DB_Agents!$B:$I,8,0),"")=I22,IF(C22&gt;=E22,"Successful","Unsuccessful"),"🔒 BLOCKED — Wrong Code")),"—")</f>
        <v/>
      </c>
      <c r="K22" s="500">
        <f>IF(J22="Successful",TEXT(TODAY(),"YYYY-MM-DD")&amp;" Auto","—")</f>
        <v/>
      </c>
      <c r="L22" s="501" t="n"/>
    </row>
    <row r="23" ht="15" customHeight="1" s="341">
      <c r="A23" s="486" t="n"/>
      <c r="B23" s="378">
        <f>IF(A23="","",IFERROR(VLOOKUP(A23,DB_Customers!$A:$D,4,0),"❌ Account Not Found"))</f>
        <v/>
      </c>
      <c r="C23" s="487">
        <f>IF(A23="","",IFERROR(VLOOKUP(A23,DB_Customers!$A:$N,14,0),""))</f>
        <v/>
      </c>
      <c r="D23" s="488">
        <f>IF(A23="","",TODAY())</f>
        <v/>
      </c>
      <c r="E23" s="510" t="n"/>
      <c r="F23" s="378" t="n"/>
      <c r="G23" s="511">
        <f>IF(OR(A23="",E23=""),"",IF(C23="","",C23-E23))</f>
        <v/>
      </c>
      <c r="H23" s="380" t="inlineStr">
        <is>
          <t>Agent 03</t>
        </is>
      </c>
      <c r="I23" s="491" t="n"/>
      <c r="J23" s="492">
        <f>IF(AND(A23&lt;&gt;"",E23&lt;&gt;""),IF(I23="","⚠️ Enter Code",IF(IFERROR(VLOOKUP(H23,DB_Agents!$B:$I,8,0),"")=I23,IF(C23&gt;=E23,"Successful","Unsuccessful"),"🔒 BLOCKED — Wrong Code")),"—")</f>
        <v/>
      </c>
      <c r="K23" s="493">
        <f>IF(J23="Successful",TEXT(TODAY(),"YYYY-MM-DD")&amp;" Auto","—")</f>
        <v/>
      </c>
      <c r="L23" s="494" t="n"/>
    </row>
    <row r="24" ht="15" customHeight="1" s="341">
      <c r="A24" s="495" t="n"/>
      <c r="B24" s="382">
        <f>IF(A24="","",IFERROR(VLOOKUP(A24,DB_Customers!$A:$D,4,0),"❌ Account Not Found"))</f>
        <v/>
      </c>
      <c r="C24" s="496">
        <f>IF(A24="","",IFERROR(VLOOKUP(A24,DB_Customers!$A:$N,14,0),""))</f>
        <v/>
      </c>
      <c r="D24" s="497">
        <f>IF(A24="","",TODAY())</f>
        <v/>
      </c>
      <c r="E24" s="510" t="n"/>
      <c r="F24" s="382" t="n"/>
      <c r="G24" s="512">
        <f>IF(OR(A24="",E24=""),"",IF(C24="","",C24-E24))</f>
        <v/>
      </c>
      <c r="H24" s="384" t="inlineStr">
        <is>
          <t>Agent 03</t>
        </is>
      </c>
      <c r="I24" s="491" t="n"/>
      <c r="J24" s="499">
        <f>IF(AND(A24&lt;&gt;"",E24&lt;&gt;""),IF(I24="","⚠️ Enter Code",IF(IFERROR(VLOOKUP(H24,DB_Agents!$B:$I,8,0),"")=I24,IF(C24&gt;=E24,"Successful","Unsuccessful"),"🔒 BLOCKED — Wrong Code")),"—")</f>
        <v/>
      </c>
      <c r="K24" s="500">
        <f>IF(J24="Successful",TEXT(TODAY(),"YYYY-MM-DD")&amp;" Auto","—")</f>
        <v/>
      </c>
      <c r="L24" s="501" t="n"/>
    </row>
    <row r="25" ht="15" customHeight="1" s="341">
      <c r="A25" s="486" t="n"/>
      <c r="B25" s="378">
        <f>IF(A25="","",IFERROR(VLOOKUP(A25,DB_Customers!$A:$D,4,0),"❌ Account Not Found"))</f>
        <v/>
      </c>
      <c r="C25" s="487">
        <f>IF(A25="","",IFERROR(VLOOKUP(A25,DB_Customers!$A:$N,14,0),""))</f>
        <v/>
      </c>
      <c r="D25" s="488">
        <f>IF(A25="","",TODAY())</f>
        <v/>
      </c>
      <c r="E25" s="510" t="n"/>
      <c r="F25" s="378" t="n"/>
      <c r="G25" s="511">
        <f>IF(OR(A25="",E25=""),"",IF(C25="","",C25-E25))</f>
        <v/>
      </c>
      <c r="H25" s="380" t="inlineStr">
        <is>
          <t>Agent 03</t>
        </is>
      </c>
      <c r="I25" s="491" t="n"/>
      <c r="J25" s="492">
        <f>IF(AND(A25&lt;&gt;"",E25&lt;&gt;""),IF(I25="","⚠️ Enter Code",IF(IFERROR(VLOOKUP(H25,DB_Agents!$B:$I,8,0),"")=I25,IF(C25&gt;=E25,"Successful","Unsuccessful"),"🔒 BLOCKED — Wrong Code")),"—")</f>
        <v/>
      </c>
      <c r="K25" s="493">
        <f>IF(J25="Successful",TEXT(TODAY(),"YYYY-MM-DD")&amp;" Auto","—")</f>
        <v/>
      </c>
      <c r="L25" s="494" t="n"/>
    </row>
    <row r="26" ht="15" customHeight="1" s="341">
      <c r="A26" s="495" t="n"/>
      <c r="B26" s="382">
        <f>IF(A26="","",IFERROR(VLOOKUP(A26,DB_Customers!$A:$D,4,0),"❌ Account Not Found"))</f>
        <v/>
      </c>
      <c r="C26" s="496">
        <f>IF(A26="","",IFERROR(VLOOKUP(A26,DB_Customers!$A:$N,14,0),""))</f>
        <v/>
      </c>
      <c r="D26" s="497">
        <f>IF(A26="","",TODAY())</f>
        <v/>
      </c>
      <c r="E26" s="510" t="n"/>
      <c r="F26" s="382" t="n"/>
      <c r="G26" s="512">
        <f>IF(OR(A26="",E26=""),"",IF(C26="","",C26-E26))</f>
        <v/>
      </c>
      <c r="H26" s="384" t="inlineStr">
        <is>
          <t>Agent 03</t>
        </is>
      </c>
      <c r="I26" s="491" t="n"/>
      <c r="J26" s="499">
        <f>IF(AND(A26&lt;&gt;"",E26&lt;&gt;""),IF(I26="","⚠️ Enter Code",IF(IFERROR(VLOOKUP(H26,DB_Agents!$B:$I,8,0),"")=I26,IF(C26&gt;=E26,"Successful","Unsuccessful"),"🔒 BLOCKED — Wrong Code")),"—")</f>
        <v/>
      </c>
      <c r="K26" s="500">
        <f>IF(J26="Successful",TEXT(TODAY(),"YYYY-MM-DD")&amp;" Auto","—")</f>
        <v/>
      </c>
      <c r="L26" s="501" t="n"/>
    </row>
    <row r="27" ht="15" customHeight="1" s="341">
      <c r="A27" s="486" t="n"/>
      <c r="B27" s="378">
        <f>IF(A27="","",IFERROR(VLOOKUP(A27,DB_Customers!$A:$D,4,0),"❌ Account Not Found"))</f>
        <v/>
      </c>
      <c r="C27" s="487">
        <f>IF(A27="","",IFERROR(VLOOKUP(A27,DB_Customers!$A:$N,14,0),""))</f>
        <v/>
      </c>
      <c r="D27" s="488">
        <f>IF(A27="","",TODAY())</f>
        <v/>
      </c>
      <c r="E27" s="510" t="n"/>
      <c r="F27" s="378" t="n"/>
      <c r="G27" s="511">
        <f>IF(OR(A27="",E27=""),"",IF(C27="","",C27-E27))</f>
        <v/>
      </c>
      <c r="H27" s="380" t="inlineStr">
        <is>
          <t>Agent 03</t>
        </is>
      </c>
      <c r="I27" s="491" t="n"/>
      <c r="J27" s="492">
        <f>IF(AND(A27&lt;&gt;"",E27&lt;&gt;""),IF(I27="","⚠️ Enter Code",IF(IFERROR(VLOOKUP(H27,DB_Agents!$B:$I,8,0),"")=I27,IF(C27&gt;=E27,"Successful","Unsuccessful"),"🔒 BLOCKED — Wrong Code")),"—")</f>
        <v/>
      </c>
      <c r="K27" s="493">
        <f>IF(J27="Successful",TEXT(TODAY(),"YYYY-MM-DD")&amp;" Auto","—")</f>
        <v/>
      </c>
      <c r="L27" s="494" t="n"/>
    </row>
    <row r="28" ht="15" customHeight="1" s="341">
      <c r="A28" s="495" t="n"/>
      <c r="B28" s="382">
        <f>IF(A28="","",IFERROR(VLOOKUP(A28,DB_Customers!$A:$D,4,0),"❌ Account Not Found"))</f>
        <v/>
      </c>
      <c r="C28" s="496">
        <f>IF(A28="","",IFERROR(VLOOKUP(A28,DB_Customers!$A:$N,14,0),""))</f>
        <v/>
      </c>
      <c r="D28" s="497">
        <f>IF(A28="","",TODAY())</f>
        <v/>
      </c>
      <c r="E28" s="510" t="n"/>
      <c r="F28" s="382" t="n"/>
      <c r="G28" s="512">
        <f>IF(OR(A28="",E28=""),"",IF(C28="","",C28-E28))</f>
        <v/>
      </c>
      <c r="H28" s="384" t="inlineStr">
        <is>
          <t>Agent 03</t>
        </is>
      </c>
      <c r="I28" s="491" t="n"/>
      <c r="J28" s="499">
        <f>IF(AND(A28&lt;&gt;"",E28&lt;&gt;""),IF(I28="","⚠️ Enter Code",IF(IFERROR(VLOOKUP(H28,DB_Agents!$B:$I,8,0),"")=I28,IF(C28&gt;=E28,"Successful","Unsuccessful"),"🔒 BLOCKED — Wrong Code")),"—")</f>
        <v/>
      </c>
      <c r="K28" s="500">
        <f>IF(J28="Successful",TEXT(TODAY(),"YYYY-MM-DD")&amp;" Auto","—")</f>
        <v/>
      </c>
      <c r="L28" s="501" t="n"/>
    </row>
    <row r="29" ht="15" customHeight="1" s="341">
      <c r="A29" s="486" t="n"/>
      <c r="B29" s="378">
        <f>IF(A29="","",IFERROR(VLOOKUP(A29,DB_Customers!$A:$D,4,0),"❌ Account Not Found"))</f>
        <v/>
      </c>
      <c r="C29" s="487">
        <f>IF(A29="","",IFERROR(VLOOKUP(A29,DB_Customers!$A:$N,14,0),""))</f>
        <v/>
      </c>
      <c r="D29" s="488">
        <f>IF(A29="","",TODAY())</f>
        <v/>
      </c>
      <c r="E29" s="510" t="n"/>
      <c r="F29" s="378" t="n"/>
      <c r="G29" s="511">
        <f>IF(OR(A29="",E29=""),"",IF(C29="","",C29-E29))</f>
        <v/>
      </c>
      <c r="H29" s="380" t="inlineStr">
        <is>
          <t>Agent 03</t>
        </is>
      </c>
      <c r="I29" s="491" t="n"/>
      <c r="J29" s="492">
        <f>IF(AND(A29&lt;&gt;"",E29&lt;&gt;""),IF(I29="","⚠️ Enter Code",IF(IFERROR(VLOOKUP(H29,DB_Agents!$B:$I,8,0),"")=I29,IF(C29&gt;=E29,"Successful","Unsuccessful"),"🔒 BLOCKED — Wrong Code")),"—")</f>
        <v/>
      </c>
      <c r="K29" s="493">
        <f>IF(J29="Successful",TEXT(TODAY(),"YYYY-MM-DD")&amp;" Auto","—")</f>
        <v/>
      </c>
      <c r="L29" s="494" t="n"/>
    </row>
    <row r="30" ht="15" customHeight="1" s="341">
      <c r="A30" s="495" t="n"/>
      <c r="B30" s="382">
        <f>IF(A30="","",IFERROR(VLOOKUP(A30,DB_Customers!$A:$D,4,0),"❌ Account Not Found"))</f>
        <v/>
      </c>
      <c r="C30" s="496">
        <f>IF(A30="","",IFERROR(VLOOKUP(A30,DB_Customers!$A:$N,14,0),""))</f>
        <v/>
      </c>
      <c r="D30" s="497">
        <f>IF(A30="","",TODAY())</f>
        <v/>
      </c>
      <c r="E30" s="510" t="n"/>
      <c r="F30" s="382" t="n"/>
      <c r="G30" s="512">
        <f>IF(OR(A30="",E30=""),"",IF(C30="","",C30-E30))</f>
        <v/>
      </c>
      <c r="H30" s="384" t="inlineStr">
        <is>
          <t>Agent 03</t>
        </is>
      </c>
      <c r="I30" s="491" t="n"/>
      <c r="J30" s="499">
        <f>IF(AND(A30&lt;&gt;"",E30&lt;&gt;""),IF(I30="","⚠️ Enter Code",IF(IFERROR(VLOOKUP(H30,DB_Agents!$B:$I,8,0),"")=I30,IF(C30&gt;=E30,"Successful","Unsuccessful"),"🔒 BLOCKED — Wrong Code")),"—")</f>
        <v/>
      </c>
      <c r="K30" s="500">
        <f>IF(J30="Successful",TEXT(TODAY(),"YYYY-MM-DD")&amp;" Auto","—")</f>
        <v/>
      </c>
      <c r="L30" s="501" t="n"/>
    </row>
    <row r="31" ht="15" customHeight="1" s="341">
      <c r="A31" s="486" t="n"/>
      <c r="B31" s="378">
        <f>IF(A31="","",IFERROR(VLOOKUP(A31,DB_Customers!$A:$D,4,0),"❌ Account Not Found"))</f>
        <v/>
      </c>
      <c r="C31" s="487">
        <f>IF(A31="","",IFERROR(VLOOKUP(A31,DB_Customers!$A:$N,14,0),""))</f>
        <v/>
      </c>
      <c r="D31" s="488">
        <f>IF(A31="","",TODAY())</f>
        <v/>
      </c>
      <c r="E31" s="510" t="n"/>
      <c r="F31" s="378" t="n"/>
      <c r="G31" s="511">
        <f>IF(OR(A31="",E31=""),"",IF(C31="","",C31-E31))</f>
        <v/>
      </c>
      <c r="H31" s="380" t="inlineStr">
        <is>
          <t>Agent 03</t>
        </is>
      </c>
      <c r="I31" s="491" t="n"/>
      <c r="J31" s="492">
        <f>IF(AND(A31&lt;&gt;"",E31&lt;&gt;""),IF(I31="","⚠️ Enter Code",IF(IFERROR(VLOOKUP(H31,DB_Agents!$B:$I,8,0),"")=I31,IF(C31&gt;=E31,"Successful","Unsuccessful"),"🔒 BLOCKED — Wrong Code")),"—")</f>
        <v/>
      </c>
      <c r="K31" s="493">
        <f>IF(J31="Successful",TEXT(TODAY(),"YYYY-MM-DD")&amp;" Auto","—")</f>
        <v/>
      </c>
      <c r="L31" s="494" t="n"/>
    </row>
    <row r="32" ht="15" customHeight="1" s="341">
      <c r="A32" s="495" t="n"/>
      <c r="B32" s="382">
        <f>IF(A32="","",IFERROR(VLOOKUP(A32,DB_Customers!$A:$D,4,0),"❌ Account Not Found"))</f>
        <v/>
      </c>
      <c r="C32" s="496">
        <f>IF(A32="","",IFERROR(VLOOKUP(A32,DB_Customers!$A:$N,14,0),""))</f>
        <v/>
      </c>
      <c r="D32" s="497">
        <f>IF(A32="","",TODAY())</f>
        <v/>
      </c>
      <c r="E32" s="510" t="n"/>
      <c r="F32" s="382" t="n"/>
      <c r="G32" s="512">
        <f>IF(OR(A32="",E32=""),"",IF(C32="","",C32-E32))</f>
        <v/>
      </c>
      <c r="H32" s="384" t="inlineStr">
        <is>
          <t>Agent 03</t>
        </is>
      </c>
      <c r="I32" s="491" t="n"/>
      <c r="J32" s="499">
        <f>IF(AND(A32&lt;&gt;"",E32&lt;&gt;""),IF(I32="","⚠️ Enter Code",IF(IFERROR(VLOOKUP(H32,DB_Agents!$B:$I,8,0),"")=I32,IF(C32&gt;=E32,"Successful","Unsuccessful"),"🔒 BLOCKED — Wrong Code")),"—")</f>
        <v/>
      </c>
      <c r="K32" s="500">
        <f>IF(J32="Successful",TEXT(TODAY(),"YYYY-MM-DD")&amp;" Auto","—")</f>
        <v/>
      </c>
      <c r="L32" s="501" t="n"/>
    </row>
    <row r="33" ht="15" customHeight="1" s="341">
      <c r="A33" s="486" t="n"/>
      <c r="B33" s="378">
        <f>IF(A33="","",IFERROR(VLOOKUP(A33,DB_Customers!$A:$D,4,0),"❌ Account Not Found"))</f>
        <v/>
      </c>
      <c r="C33" s="487">
        <f>IF(A33="","",IFERROR(VLOOKUP(A33,DB_Customers!$A:$N,14,0),""))</f>
        <v/>
      </c>
      <c r="D33" s="488">
        <f>IF(A33="","",TODAY())</f>
        <v/>
      </c>
      <c r="E33" s="510" t="n"/>
      <c r="F33" s="378" t="n"/>
      <c r="G33" s="511">
        <f>IF(OR(A33="",E33=""),"",IF(C33="","",C33-E33))</f>
        <v/>
      </c>
      <c r="H33" s="380" t="inlineStr">
        <is>
          <t>Agent 03</t>
        </is>
      </c>
      <c r="I33" s="491" t="n"/>
      <c r="J33" s="492">
        <f>IF(AND(A33&lt;&gt;"",E33&lt;&gt;""),IF(I33="","⚠️ Enter Code",IF(IFERROR(VLOOKUP(H33,DB_Agents!$B:$I,8,0),"")=I33,IF(C33&gt;=E33,"Successful","Unsuccessful"),"🔒 BLOCKED — Wrong Code")),"—")</f>
        <v/>
      </c>
      <c r="K33" s="493">
        <f>IF(J33="Successful",TEXT(TODAY(),"YYYY-MM-DD")&amp;" Auto","—")</f>
        <v/>
      </c>
      <c r="L33" s="494" t="n"/>
    </row>
    <row r="34" ht="15" customHeight="1" s="341">
      <c r="A34" s="495" t="n"/>
      <c r="B34" s="382">
        <f>IF(A34="","",IFERROR(VLOOKUP(A34,DB_Customers!$A:$D,4,0),"❌ Account Not Found"))</f>
        <v/>
      </c>
      <c r="C34" s="496">
        <f>IF(A34="","",IFERROR(VLOOKUP(A34,DB_Customers!$A:$N,14,0),""))</f>
        <v/>
      </c>
      <c r="D34" s="497">
        <f>IF(A34="","",TODAY())</f>
        <v/>
      </c>
      <c r="E34" s="510" t="n"/>
      <c r="F34" s="382" t="n"/>
      <c r="G34" s="512">
        <f>IF(OR(A34="",E34=""),"",IF(C34="","",C34-E34))</f>
        <v/>
      </c>
      <c r="H34" s="384" t="inlineStr">
        <is>
          <t>Agent 03</t>
        </is>
      </c>
      <c r="I34" s="491" t="n"/>
      <c r="J34" s="499">
        <f>IF(AND(A34&lt;&gt;"",E34&lt;&gt;""),IF(I34="","⚠️ Enter Code",IF(IFERROR(VLOOKUP(H34,DB_Agents!$B:$I,8,0),"")=I34,IF(C34&gt;=E34,"Successful","Unsuccessful"),"🔒 BLOCKED — Wrong Code")),"—")</f>
        <v/>
      </c>
      <c r="K34" s="500">
        <f>IF(J34="Successful",TEXT(TODAY(),"YYYY-MM-DD")&amp;" Auto","—")</f>
        <v/>
      </c>
      <c r="L34" s="501" t="n"/>
    </row>
    <row r="35" ht="15" customHeight="1" s="341">
      <c r="A35" s="486" t="n"/>
      <c r="B35" s="378">
        <f>IF(A35="","",IFERROR(VLOOKUP(A35,DB_Customers!$A:$D,4,0),"❌ Account Not Found"))</f>
        <v/>
      </c>
      <c r="C35" s="487">
        <f>IF(A35="","",IFERROR(VLOOKUP(A35,DB_Customers!$A:$N,14,0),""))</f>
        <v/>
      </c>
      <c r="D35" s="488">
        <f>IF(A35="","",TODAY())</f>
        <v/>
      </c>
      <c r="E35" s="510" t="n"/>
      <c r="F35" s="378" t="n"/>
      <c r="G35" s="511">
        <f>IF(OR(A35="",E35=""),"",IF(C35="","",C35-E35))</f>
        <v/>
      </c>
      <c r="H35" s="380" t="inlineStr">
        <is>
          <t>Agent 03</t>
        </is>
      </c>
      <c r="I35" s="491" t="n"/>
      <c r="J35" s="492">
        <f>IF(AND(A35&lt;&gt;"",E35&lt;&gt;""),IF(I35="","⚠️ Enter Code",IF(IFERROR(VLOOKUP(H35,DB_Agents!$B:$I,8,0),"")=I35,IF(C35&gt;=E35,"Successful","Unsuccessful"),"🔒 BLOCKED — Wrong Code")),"—")</f>
        <v/>
      </c>
      <c r="K35" s="493">
        <f>IF(J35="Successful",TEXT(TODAY(),"YYYY-MM-DD")&amp;" Auto","—")</f>
        <v/>
      </c>
      <c r="L35" s="494" t="n"/>
    </row>
    <row r="36" ht="15" customHeight="1" s="341">
      <c r="A36" s="495" t="n"/>
      <c r="B36" s="382">
        <f>IF(A36="","",IFERROR(VLOOKUP(A36,DB_Customers!$A:$D,4,0),"❌ Account Not Found"))</f>
        <v/>
      </c>
      <c r="C36" s="496">
        <f>IF(A36="","",IFERROR(VLOOKUP(A36,DB_Customers!$A:$N,14,0),""))</f>
        <v/>
      </c>
      <c r="D36" s="497">
        <f>IF(A36="","",TODAY())</f>
        <v/>
      </c>
      <c r="E36" s="510" t="n"/>
      <c r="F36" s="382" t="n"/>
      <c r="G36" s="512">
        <f>IF(OR(A36="",E36=""),"",IF(C36="","",C36-E36))</f>
        <v/>
      </c>
      <c r="H36" s="384" t="inlineStr">
        <is>
          <t>Agent 03</t>
        </is>
      </c>
      <c r="I36" s="491" t="n"/>
      <c r="J36" s="499">
        <f>IF(AND(A36&lt;&gt;"",E36&lt;&gt;""),IF(I36="","⚠️ Enter Code",IF(IFERROR(VLOOKUP(H36,DB_Agents!$B:$I,8,0),"")=I36,IF(C36&gt;=E36,"Successful","Unsuccessful"),"🔒 BLOCKED — Wrong Code")),"—")</f>
        <v/>
      </c>
      <c r="K36" s="500">
        <f>IF(J36="Successful",TEXT(TODAY(),"YYYY-MM-DD")&amp;" Auto","—")</f>
        <v/>
      </c>
      <c r="L36" s="501" t="n"/>
    </row>
    <row r="37" ht="15" customHeight="1" s="341">
      <c r="A37" s="486" t="n"/>
      <c r="B37" s="378">
        <f>IF(A37="","",IFERROR(VLOOKUP(A37,DB_Customers!$A:$D,4,0),"❌ Account Not Found"))</f>
        <v/>
      </c>
      <c r="C37" s="487">
        <f>IF(A37="","",IFERROR(VLOOKUP(A37,DB_Customers!$A:$N,14,0),""))</f>
        <v/>
      </c>
      <c r="D37" s="488">
        <f>IF(A37="","",TODAY())</f>
        <v/>
      </c>
      <c r="E37" s="510" t="n"/>
      <c r="F37" s="378" t="n"/>
      <c r="G37" s="511">
        <f>IF(OR(A37="",E37=""),"",IF(C37="","",C37-E37))</f>
        <v/>
      </c>
      <c r="H37" s="380" t="inlineStr">
        <is>
          <t>Agent 03</t>
        </is>
      </c>
      <c r="I37" s="491" t="n"/>
      <c r="J37" s="492">
        <f>IF(AND(A37&lt;&gt;"",E37&lt;&gt;""),IF(I37="","⚠️ Enter Code",IF(IFERROR(VLOOKUP(H37,DB_Agents!$B:$I,8,0),"")=I37,IF(C37&gt;=E37,"Successful","Unsuccessful"),"🔒 BLOCKED — Wrong Code")),"—")</f>
        <v/>
      </c>
      <c r="K37" s="493">
        <f>IF(J37="Successful",TEXT(TODAY(),"YYYY-MM-DD")&amp;" Auto","—")</f>
        <v/>
      </c>
      <c r="L37" s="494" t="n"/>
    </row>
    <row r="38" ht="15" customHeight="1" s="341">
      <c r="A38" s="495" t="n"/>
      <c r="B38" s="382">
        <f>IF(A38="","",IFERROR(VLOOKUP(A38,DB_Customers!$A:$D,4,0),"❌ Account Not Found"))</f>
        <v/>
      </c>
      <c r="C38" s="496">
        <f>IF(A38="","",IFERROR(VLOOKUP(A38,DB_Customers!$A:$N,14,0),""))</f>
        <v/>
      </c>
      <c r="D38" s="497">
        <f>IF(A38="","",TODAY())</f>
        <v/>
      </c>
      <c r="E38" s="510" t="n"/>
      <c r="F38" s="382" t="n"/>
      <c r="G38" s="512">
        <f>IF(OR(A38="",E38=""),"",IF(C38="","",C38-E38))</f>
        <v/>
      </c>
      <c r="H38" s="384" t="inlineStr">
        <is>
          <t>Agent 03</t>
        </is>
      </c>
      <c r="I38" s="491" t="n"/>
      <c r="J38" s="499">
        <f>IF(AND(A38&lt;&gt;"",E38&lt;&gt;""),IF(I38="","⚠️ Enter Code",IF(IFERROR(VLOOKUP(H38,DB_Agents!$B:$I,8,0),"")=I38,IF(C38&gt;=E38,"Successful","Unsuccessful"),"🔒 BLOCKED — Wrong Code")),"—")</f>
        <v/>
      </c>
      <c r="K38" s="500">
        <f>IF(J38="Successful",TEXT(TODAY(),"YYYY-MM-DD")&amp;" Auto","—")</f>
        <v/>
      </c>
      <c r="L38" s="501" t="n"/>
    </row>
    <row r="39" ht="15" customHeight="1" s="341">
      <c r="A39" s="486" t="n"/>
      <c r="B39" s="378">
        <f>IF(A39="","",IFERROR(VLOOKUP(A39,DB_Customers!$A:$D,4,0),"❌ Account Not Found"))</f>
        <v/>
      </c>
      <c r="C39" s="487">
        <f>IF(A39="","",IFERROR(VLOOKUP(A39,DB_Customers!$A:$N,14,0),""))</f>
        <v/>
      </c>
      <c r="D39" s="488">
        <f>IF(A39="","",TODAY())</f>
        <v/>
      </c>
      <c r="E39" s="510" t="n"/>
      <c r="F39" s="378" t="n"/>
      <c r="G39" s="511">
        <f>IF(OR(A39="",E39=""),"",IF(C39="","",C39-E39))</f>
        <v/>
      </c>
      <c r="H39" s="380" t="inlineStr">
        <is>
          <t>Agent 03</t>
        </is>
      </c>
      <c r="I39" s="491" t="n"/>
      <c r="J39" s="492">
        <f>IF(AND(A39&lt;&gt;"",E39&lt;&gt;""),IF(I39="","⚠️ Enter Code",IF(IFERROR(VLOOKUP(H39,DB_Agents!$B:$I,8,0),"")=I39,IF(C39&gt;=E39,"Successful","Unsuccessful"),"🔒 BLOCKED — Wrong Code")),"—")</f>
        <v/>
      </c>
      <c r="K39" s="493">
        <f>IF(J39="Successful",TEXT(TODAY(),"YYYY-MM-DD")&amp;" Auto","—")</f>
        <v/>
      </c>
      <c r="L39" s="494" t="n"/>
    </row>
    <row r="40" ht="15" customHeight="1" s="341">
      <c r="A40" s="495" t="n"/>
      <c r="B40" s="382">
        <f>IF(A40="","",IFERROR(VLOOKUP(A40,DB_Customers!$A:$D,4,0),"❌ Account Not Found"))</f>
        <v/>
      </c>
      <c r="C40" s="496">
        <f>IF(A40="","",IFERROR(VLOOKUP(A40,DB_Customers!$A:$N,14,0),""))</f>
        <v/>
      </c>
      <c r="D40" s="497">
        <f>IF(A40="","",TODAY())</f>
        <v/>
      </c>
      <c r="E40" s="510" t="n"/>
      <c r="F40" s="382" t="n"/>
      <c r="G40" s="512">
        <f>IF(OR(A40="",E40=""),"",IF(C40="","",C40-E40))</f>
        <v/>
      </c>
      <c r="H40" s="384" t="inlineStr">
        <is>
          <t>Agent 03</t>
        </is>
      </c>
      <c r="I40" s="491" t="n"/>
      <c r="J40" s="499">
        <f>IF(AND(A40&lt;&gt;"",E40&lt;&gt;""),IF(I40="","⚠️ Enter Code",IF(IFERROR(VLOOKUP(H40,DB_Agents!$B:$I,8,0),"")=I40,IF(C40&gt;=E40,"Successful","Unsuccessful"),"🔒 BLOCKED — Wrong Code")),"—")</f>
        <v/>
      </c>
      <c r="K40" s="500">
        <f>IF(J40="Successful",TEXT(TODAY(),"YYYY-MM-DD")&amp;" Auto","—")</f>
        <v/>
      </c>
      <c r="L40" s="501" t="n"/>
    </row>
    <row r="41" ht="15" customHeight="1" s="341">
      <c r="A41" s="486" t="n"/>
      <c r="B41" s="378">
        <f>IF(A41="","",IFERROR(VLOOKUP(A41,DB_Customers!$A:$D,4,0),"❌ Account Not Found"))</f>
        <v/>
      </c>
      <c r="C41" s="487">
        <f>IF(A41="","",IFERROR(VLOOKUP(A41,DB_Customers!$A:$N,14,0),""))</f>
        <v/>
      </c>
      <c r="D41" s="488">
        <f>IF(A41="","",TODAY())</f>
        <v/>
      </c>
      <c r="E41" s="510" t="n"/>
      <c r="F41" s="378" t="n"/>
      <c r="G41" s="511">
        <f>IF(OR(A41="",E41=""),"",IF(C41="","",C41-E41))</f>
        <v/>
      </c>
      <c r="H41" s="380" t="inlineStr">
        <is>
          <t>Agent 03</t>
        </is>
      </c>
      <c r="I41" s="491" t="n"/>
      <c r="J41" s="492">
        <f>IF(AND(A41&lt;&gt;"",E41&lt;&gt;""),IF(I41="","⚠️ Enter Code",IF(IFERROR(VLOOKUP(H41,DB_Agents!$B:$I,8,0),"")=I41,IF(C41&gt;=E41,"Successful","Unsuccessful"),"🔒 BLOCKED — Wrong Code")),"—")</f>
        <v/>
      </c>
      <c r="K41" s="493">
        <f>IF(J41="Successful",TEXT(TODAY(),"YYYY-MM-DD")&amp;" Auto","—")</f>
        <v/>
      </c>
      <c r="L41" s="494" t="n"/>
    </row>
    <row r="42" ht="15" customHeight="1" s="341">
      <c r="A42" s="495" t="n"/>
      <c r="B42" s="382">
        <f>IF(A42="","",IFERROR(VLOOKUP(A42,DB_Customers!$A:$D,4,0),"❌ Account Not Found"))</f>
        <v/>
      </c>
      <c r="C42" s="496">
        <f>IF(A42="","",IFERROR(VLOOKUP(A42,DB_Customers!$A:$N,14,0),""))</f>
        <v/>
      </c>
      <c r="D42" s="497">
        <f>IF(A42="","",TODAY())</f>
        <v/>
      </c>
      <c r="E42" s="510" t="n"/>
      <c r="F42" s="382" t="n"/>
      <c r="G42" s="512">
        <f>IF(OR(A42="",E42=""),"",IF(C42="","",C42-E42))</f>
        <v/>
      </c>
      <c r="H42" s="384" t="inlineStr">
        <is>
          <t>Agent 03</t>
        </is>
      </c>
      <c r="I42" s="491" t="n"/>
      <c r="J42" s="499">
        <f>IF(AND(A42&lt;&gt;"",E42&lt;&gt;""),IF(I42="","⚠️ Enter Code",IF(IFERROR(VLOOKUP(H42,DB_Agents!$B:$I,8,0),"")=I42,IF(C42&gt;=E42,"Successful","Unsuccessful"),"🔒 BLOCKED — Wrong Code")),"—")</f>
        <v/>
      </c>
      <c r="K42" s="500">
        <f>IF(J42="Successful",TEXT(TODAY(),"YYYY-MM-DD")&amp;" Auto","—")</f>
        <v/>
      </c>
      <c r="L42" s="501" t="n"/>
    </row>
    <row r="43" ht="15" customHeight="1" s="341">
      <c r="A43" s="486" t="n"/>
      <c r="B43" s="378">
        <f>IF(A43="","",IFERROR(VLOOKUP(A43,DB_Customers!$A:$D,4,0),"❌ Account Not Found"))</f>
        <v/>
      </c>
      <c r="C43" s="487">
        <f>IF(A43="","",IFERROR(VLOOKUP(A43,DB_Customers!$A:$N,14,0),""))</f>
        <v/>
      </c>
      <c r="D43" s="488">
        <f>IF(A43="","",TODAY())</f>
        <v/>
      </c>
      <c r="E43" s="510" t="n"/>
      <c r="F43" s="378" t="n"/>
      <c r="G43" s="511">
        <f>IF(OR(A43="",E43=""),"",IF(C43="","",C43-E43))</f>
        <v/>
      </c>
      <c r="H43" s="380" t="inlineStr">
        <is>
          <t>Agent 03</t>
        </is>
      </c>
      <c r="I43" s="491" t="n"/>
      <c r="J43" s="492">
        <f>IF(AND(A43&lt;&gt;"",E43&lt;&gt;""),IF(I43="","⚠️ Enter Code",IF(IFERROR(VLOOKUP(H43,DB_Agents!$B:$I,8,0),"")=I43,IF(C43&gt;=E43,"Successful","Unsuccessful"),"🔒 BLOCKED — Wrong Code")),"—")</f>
        <v/>
      </c>
      <c r="K43" s="493">
        <f>IF(J43="Successful",TEXT(TODAY(),"YYYY-MM-DD")&amp;" Auto","—")</f>
        <v/>
      </c>
      <c r="L43" s="494" t="n"/>
    </row>
    <row r="44" ht="15" customHeight="1" s="341">
      <c r="A44" s="495" t="n"/>
      <c r="B44" s="382">
        <f>IF(A44="","",IFERROR(VLOOKUP(A44,DB_Customers!$A:$D,4,0),"❌ Account Not Found"))</f>
        <v/>
      </c>
      <c r="C44" s="496">
        <f>IF(A44="","",IFERROR(VLOOKUP(A44,DB_Customers!$A:$N,14,0),""))</f>
        <v/>
      </c>
      <c r="D44" s="497">
        <f>IF(A44="","",TODAY())</f>
        <v/>
      </c>
      <c r="E44" s="510" t="n"/>
      <c r="F44" s="382" t="n"/>
      <c r="G44" s="512">
        <f>IF(OR(A44="",E44=""),"",IF(C44="","",C44-E44))</f>
        <v/>
      </c>
      <c r="H44" s="384" t="inlineStr">
        <is>
          <t>Agent 03</t>
        </is>
      </c>
      <c r="I44" s="491" t="n"/>
      <c r="J44" s="499">
        <f>IF(AND(A44&lt;&gt;"",E44&lt;&gt;""),IF(I44="","⚠️ Enter Code",IF(IFERROR(VLOOKUP(H44,DB_Agents!$B:$I,8,0),"")=I44,IF(C44&gt;=E44,"Successful","Unsuccessful"),"🔒 BLOCKED — Wrong Code")),"—")</f>
        <v/>
      </c>
      <c r="K44" s="500">
        <f>IF(J44="Successful",TEXT(TODAY(),"YYYY-MM-DD")&amp;" Auto","—")</f>
        <v/>
      </c>
      <c r="L44" s="501" t="n"/>
    </row>
    <row r="45" ht="15" customHeight="1" s="341">
      <c r="A45" s="486" t="n"/>
      <c r="B45" s="378">
        <f>IF(A45="","",IFERROR(VLOOKUP(A45,DB_Customers!$A:$D,4,0),"❌ Account Not Found"))</f>
        <v/>
      </c>
      <c r="C45" s="487">
        <f>IF(A45="","",IFERROR(VLOOKUP(A45,DB_Customers!$A:$N,14,0),""))</f>
        <v/>
      </c>
      <c r="D45" s="488">
        <f>IF(A45="","",TODAY())</f>
        <v/>
      </c>
      <c r="E45" s="510" t="n"/>
      <c r="F45" s="378" t="n"/>
      <c r="G45" s="511">
        <f>IF(OR(A45="",E45=""),"",IF(C45="","",C45-E45))</f>
        <v/>
      </c>
      <c r="H45" s="380" t="inlineStr">
        <is>
          <t>Agent 03</t>
        </is>
      </c>
      <c r="I45" s="491" t="n"/>
      <c r="J45" s="492">
        <f>IF(AND(A45&lt;&gt;"",E45&lt;&gt;""),IF(I45="","⚠️ Enter Code",IF(IFERROR(VLOOKUP(H45,DB_Agents!$B:$I,8,0),"")=I45,IF(C45&gt;=E45,"Successful","Unsuccessful"),"🔒 BLOCKED — Wrong Code")),"—")</f>
        <v/>
      </c>
      <c r="K45" s="493">
        <f>IF(J45="Successful",TEXT(TODAY(),"YYYY-MM-DD")&amp;" Auto","—")</f>
        <v/>
      </c>
      <c r="L45" s="494" t="n"/>
    </row>
    <row r="46" ht="15" customHeight="1" s="341">
      <c r="A46" s="495" t="n"/>
      <c r="B46" s="382">
        <f>IF(A46="","",IFERROR(VLOOKUP(A46,DB_Customers!$A:$D,4,0),"❌ Account Not Found"))</f>
        <v/>
      </c>
      <c r="C46" s="496">
        <f>IF(A46="","",IFERROR(VLOOKUP(A46,DB_Customers!$A:$N,14,0),""))</f>
        <v/>
      </c>
      <c r="D46" s="497">
        <f>IF(A46="","",TODAY())</f>
        <v/>
      </c>
      <c r="E46" s="510" t="n"/>
      <c r="F46" s="382" t="n"/>
      <c r="G46" s="512">
        <f>IF(OR(A46="",E46=""),"",IF(C46="","",C46-E46))</f>
        <v/>
      </c>
      <c r="H46" s="384" t="inlineStr">
        <is>
          <t>Agent 03</t>
        </is>
      </c>
      <c r="I46" s="491" t="n"/>
      <c r="J46" s="499">
        <f>IF(AND(A46&lt;&gt;"",E46&lt;&gt;""),IF(I46="","⚠️ Enter Code",IF(IFERROR(VLOOKUP(H46,DB_Agents!$B:$I,8,0),"")=I46,IF(C46&gt;=E46,"Successful","Unsuccessful"),"🔒 BLOCKED — Wrong Code")),"—")</f>
        <v/>
      </c>
      <c r="K46" s="500">
        <f>IF(J46="Successful",TEXT(TODAY(),"YYYY-MM-DD")&amp;" Auto","—")</f>
        <v/>
      </c>
      <c r="L46" s="501" t="n"/>
    </row>
    <row r="47" ht="15" customHeight="1" s="341">
      <c r="A47" s="486" t="n"/>
      <c r="B47" s="378">
        <f>IF(A47="","",IFERROR(VLOOKUP(A47,DB_Customers!$A:$D,4,0),"❌ Account Not Found"))</f>
        <v/>
      </c>
      <c r="C47" s="487">
        <f>IF(A47="","",IFERROR(VLOOKUP(A47,DB_Customers!$A:$N,14,0),""))</f>
        <v/>
      </c>
      <c r="D47" s="488">
        <f>IF(A47="","",TODAY())</f>
        <v/>
      </c>
      <c r="E47" s="510" t="n"/>
      <c r="F47" s="378" t="n"/>
      <c r="G47" s="511">
        <f>IF(OR(A47="",E47=""),"",IF(C47="","",C47-E47))</f>
        <v/>
      </c>
      <c r="H47" s="380" t="inlineStr">
        <is>
          <t>Agent 03</t>
        </is>
      </c>
      <c r="I47" s="491" t="n"/>
      <c r="J47" s="492">
        <f>IF(AND(A47&lt;&gt;"",E47&lt;&gt;""),IF(I47="","⚠️ Enter Code",IF(IFERROR(VLOOKUP(H47,DB_Agents!$B:$I,8,0),"")=I47,IF(C47&gt;=E47,"Successful","Unsuccessful"),"🔒 BLOCKED — Wrong Code")),"—")</f>
        <v/>
      </c>
      <c r="K47" s="493">
        <f>IF(J47="Successful",TEXT(TODAY(),"YYYY-MM-DD")&amp;" Auto","—")</f>
        <v/>
      </c>
      <c r="L47" s="494" t="n"/>
    </row>
    <row r="48" ht="15" customHeight="1" s="341">
      <c r="A48" s="495" t="n"/>
      <c r="B48" s="382">
        <f>IF(A48="","",IFERROR(VLOOKUP(A48,DB_Customers!$A:$D,4,0),"❌ Account Not Found"))</f>
        <v/>
      </c>
      <c r="C48" s="496">
        <f>IF(A48="","",IFERROR(VLOOKUP(A48,DB_Customers!$A:$N,14,0),""))</f>
        <v/>
      </c>
      <c r="D48" s="497">
        <f>IF(A48="","",TODAY())</f>
        <v/>
      </c>
      <c r="E48" s="510" t="n"/>
      <c r="F48" s="382" t="n"/>
      <c r="G48" s="512">
        <f>IF(OR(A48="",E48=""),"",IF(C48="","",C48-E48))</f>
        <v/>
      </c>
      <c r="H48" s="384" t="inlineStr">
        <is>
          <t>Agent 03</t>
        </is>
      </c>
      <c r="I48" s="491" t="n"/>
      <c r="J48" s="499">
        <f>IF(AND(A48&lt;&gt;"",E48&lt;&gt;""),IF(I48="","⚠️ Enter Code",IF(IFERROR(VLOOKUP(H48,DB_Agents!$B:$I,8,0),"")=I48,IF(C48&gt;=E48,"Successful","Unsuccessful"),"🔒 BLOCKED — Wrong Code")),"—")</f>
        <v/>
      </c>
      <c r="K48" s="500">
        <f>IF(J48="Successful",TEXT(TODAY(),"YYYY-MM-DD")&amp;" Auto","—")</f>
        <v/>
      </c>
      <c r="L48" s="501" t="n"/>
    </row>
    <row r="49" ht="15" customHeight="1" s="341">
      <c r="A49" s="486" t="n"/>
      <c r="B49" s="378">
        <f>IF(A49="","",IFERROR(VLOOKUP(A49,DB_Customers!$A:$D,4,0),"❌ Account Not Found"))</f>
        <v/>
      </c>
      <c r="C49" s="487">
        <f>IF(A49="","",IFERROR(VLOOKUP(A49,DB_Customers!$A:$N,14,0),""))</f>
        <v/>
      </c>
      <c r="D49" s="488">
        <f>IF(A49="","",TODAY())</f>
        <v/>
      </c>
      <c r="E49" s="510" t="n"/>
      <c r="F49" s="378" t="n"/>
      <c r="G49" s="511">
        <f>IF(OR(A49="",E49=""),"",IF(C49="","",C49-E49))</f>
        <v/>
      </c>
      <c r="H49" s="380" t="inlineStr">
        <is>
          <t>Agent 03</t>
        </is>
      </c>
      <c r="I49" s="491" t="n"/>
      <c r="J49" s="492">
        <f>IF(AND(A49&lt;&gt;"",E49&lt;&gt;""),IF(I49="","⚠️ Enter Code",IF(IFERROR(VLOOKUP(H49,DB_Agents!$B:$I,8,0),"")=I49,IF(C49&gt;=E49,"Successful","Unsuccessful"),"🔒 BLOCKED — Wrong Code")),"—")</f>
        <v/>
      </c>
      <c r="K49" s="493">
        <f>IF(J49="Successful",TEXT(TODAY(),"YYYY-MM-DD")&amp;" Auto","—")</f>
        <v/>
      </c>
      <c r="L49" s="494" t="n"/>
    </row>
    <row r="50" ht="15" customHeight="1" s="341">
      <c r="A50" s="495" t="n"/>
      <c r="B50" s="382">
        <f>IF(A50="","",IFERROR(VLOOKUP(A50,DB_Customers!$A:$D,4,0),"❌ Account Not Found"))</f>
        <v/>
      </c>
      <c r="C50" s="496">
        <f>IF(A50="","",IFERROR(VLOOKUP(A50,DB_Customers!$A:$N,14,0),""))</f>
        <v/>
      </c>
      <c r="D50" s="497">
        <f>IF(A50="","",TODAY())</f>
        <v/>
      </c>
      <c r="E50" s="510" t="n"/>
      <c r="F50" s="382" t="n"/>
      <c r="G50" s="512">
        <f>IF(OR(A50="",E50=""),"",IF(C50="","",C50-E50))</f>
        <v/>
      </c>
      <c r="H50" s="384" t="inlineStr">
        <is>
          <t>Agent 03</t>
        </is>
      </c>
      <c r="I50" s="491" t="n"/>
      <c r="J50" s="499">
        <f>IF(AND(A50&lt;&gt;"",E50&lt;&gt;""),IF(I50="","⚠️ Enter Code",IF(IFERROR(VLOOKUP(H50,DB_Agents!$B:$I,8,0),"")=I50,IF(C50&gt;=E50,"Successful","Unsuccessful"),"🔒 BLOCKED — Wrong Code")),"—")</f>
        <v/>
      </c>
      <c r="K50" s="500">
        <f>IF(J50="Successful",TEXT(TODAY(),"YYYY-MM-DD")&amp;" Auto","—")</f>
        <v/>
      </c>
      <c r="L50" s="501" t="n"/>
    </row>
    <row r="51" ht="15" customHeight="1" s="341">
      <c r="A51" s="486" t="n"/>
      <c r="B51" s="378">
        <f>IF(A51="","",IFERROR(VLOOKUP(A51,DB_Customers!$A:$D,4,0),"❌ Account Not Found"))</f>
        <v/>
      </c>
      <c r="C51" s="487">
        <f>IF(A51="","",IFERROR(VLOOKUP(A51,DB_Customers!$A:$N,14,0),""))</f>
        <v/>
      </c>
      <c r="D51" s="488">
        <f>IF(A51="","",TODAY())</f>
        <v/>
      </c>
      <c r="E51" s="510" t="n"/>
      <c r="F51" s="378" t="n"/>
      <c r="G51" s="511">
        <f>IF(OR(A51="",E51=""),"",IF(C51="","",C51-E51))</f>
        <v/>
      </c>
      <c r="H51" s="380" t="inlineStr">
        <is>
          <t>Agent 03</t>
        </is>
      </c>
      <c r="I51" s="491" t="n"/>
      <c r="J51" s="492">
        <f>IF(AND(A51&lt;&gt;"",E51&lt;&gt;""),IF(I51="","⚠️ Enter Code",IF(IFERROR(VLOOKUP(H51,DB_Agents!$B:$I,8,0),"")=I51,IF(C51&gt;=E51,"Successful","Unsuccessful"),"🔒 BLOCKED — Wrong Code")),"—")</f>
        <v/>
      </c>
      <c r="K51" s="493">
        <f>IF(J51="Successful",TEXT(TODAY(),"YYYY-MM-DD")&amp;" Auto","—")</f>
        <v/>
      </c>
      <c r="L51" s="494" t="n"/>
    </row>
    <row r="52" ht="15" customHeight="1" s="341">
      <c r="A52" s="495" t="n"/>
      <c r="B52" s="382">
        <f>IF(A52="","",IFERROR(VLOOKUP(A52,DB_Customers!$A:$D,4,0),"❌ Account Not Found"))</f>
        <v/>
      </c>
      <c r="C52" s="496">
        <f>IF(A52="","",IFERROR(VLOOKUP(A52,DB_Customers!$A:$N,14,0),""))</f>
        <v/>
      </c>
      <c r="D52" s="497">
        <f>IF(A52="","",TODAY())</f>
        <v/>
      </c>
      <c r="E52" s="510" t="n"/>
      <c r="F52" s="382" t="n"/>
      <c r="G52" s="512">
        <f>IF(OR(A52="",E52=""),"",IF(C52="","",C52-E52))</f>
        <v/>
      </c>
      <c r="H52" s="384" t="inlineStr">
        <is>
          <t>Agent 03</t>
        </is>
      </c>
      <c r="I52" s="491" t="n"/>
      <c r="J52" s="499">
        <f>IF(AND(A52&lt;&gt;"",E52&lt;&gt;""),IF(I52="","⚠️ Enter Code",IF(IFERROR(VLOOKUP(H52,DB_Agents!$B:$I,8,0),"")=I52,IF(C52&gt;=E52,"Successful","Unsuccessful"),"🔒 BLOCKED — Wrong Code")),"—")</f>
        <v/>
      </c>
      <c r="K52" s="500">
        <f>IF(J52="Successful",TEXT(TODAY(),"YYYY-MM-DD")&amp;" Auto","—")</f>
        <v/>
      </c>
      <c r="L52" s="501" t="n"/>
    </row>
    <row r="53" ht="15" customHeight="1" s="341">
      <c r="A53" s="486" t="n"/>
      <c r="B53" s="378">
        <f>IF(A53="","",IFERROR(VLOOKUP(A53,DB_Customers!$A:$D,4,0),"❌ Account Not Found"))</f>
        <v/>
      </c>
      <c r="C53" s="487">
        <f>IF(A53="","",IFERROR(VLOOKUP(A53,DB_Customers!$A:$N,14,0),""))</f>
        <v/>
      </c>
      <c r="D53" s="488">
        <f>IF(A53="","",TODAY())</f>
        <v/>
      </c>
      <c r="E53" s="510" t="n"/>
      <c r="F53" s="378" t="n"/>
      <c r="G53" s="511">
        <f>IF(OR(A53="",E53=""),"",IF(C53="","",C53-E53))</f>
        <v/>
      </c>
      <c r="H53" s="380" t="inlineStr">
        <is>
          <t>Agent 03</t>
        </is>
      </c>
      <c r="I53" s="491" t="n"/>
      <c r="J53" s="492">
        <f>IF(AND(A53&lt;&gt;"",E53&lt;&gt;""),IF(I53="","⚠️ Enter Code",IF(IFERROR(VLOOKUP(H53,DB_Agents!$B:$I,8,0),"")=I53,IF(C53&gt;=E53,"Successful","Unsuccessful"),"🔒 BLOCKED — Wrong Code")),"—")</f>
        <v/>
      </c>
      <c r="K53" s="493">
        <f>IF(J53="Successful",TEXT(TODAY(),"YYYY-MM-DD")&amp;" Auto","—")</f>
        <v/>
      </c>
      <c r="L53" s="494" t="n"/>
    </row>
    <row r="54" ht="15" customHeight="1" s="341">
      <c r="A54" s="495" t="n"/>
      <c r="B54" s="382">
        <f>IF(A54="","",IFERROR(VLOOKUP(A54,DB_Customers!$A:$D,4,0),"❌ Account Not Found"))</f>
        <v/>
      </c>
      <c r="C54" s="496">
        <f>IF(A54="","",IFERROR(VLOOKUP(A54,DB_Customers!$A:$N,14,0),""))</f>
        <v/>
      </c>
      <c r="D54" s="497">
        <f>IF(A54="","",TODAY())</f>
        <v/>
      </c>
      <c r="E54" s="510" t="n"/>
      <c r="F54" s="382" t="n"/>
      <c r="G54" s="512">
        <f>IF(OR(A54="",E54=""),"",IF(C54="","",C54-E54))</f>
        <v/>
      </c>
      <c r="H54" s="384" t="inlineStr">
        <is>
          <t>Agent 03</t>
        </is>
      </c>
      <c r="I54" s="491" t="n"/>
      <c r="J54" s="499">
        <f>IF(AND(A54&lt;&gt;"",E54&lt;&gt;""),IF(I54="","⚠️ Enter Code",IF(IFERROR(VLOOKUP(H54,DB_Agents!$B:$I,8,0),"")=I54,IF(C54&gt;=E54,"Successful","Unsuccessful"),"🔒 BLOCKED — Wrong Code")),"—")</f>
        <v/>
      </c>
      <c r="K54" s="500">
        <f>IF(J54="Successful",TEXT(TODAY(),"YYYY-MM-DD")&amp;" Auto","—")</f>
        <v/>
      </c>
      <c r="L54" s="501" t="n"/>
    </row>
    <row r="55" ht="15" customHeight="1" s="341">
      <c r="A55" s="486" t="n"/>
      <c r="B55" s="378">
        <f>IF(A55="","",IFERROR(VLOOKUP(A55,DB_Customers!$A:$D,4,0),"❌ Account Not Found"))</f>
        <v/>
      </c>
      <c r="C55" s="487">
        <f>IF(A55="","",IFERROR(VLOOKUP(A55,DB_Customers!$A:$N,14,0),""))</f>
        <v/>
      </c>
      <c r="D55" s="488">
        <f>IF(A55="","",TODAY())</f>
        <v/>
      </c>
      <c r="E55" s="510" t="n"/>
      <c r="F55" s="378" t="n"/>
      <c r="G55" s="511">
        <f>IF(OR(A55="",E55=""),"",IF(C55="","",C55-E55))</f>
        <v/>
      </c>
      <c r="H55" s="380" t="inlineStr">
        <is>
          <t>Agent 03</t>
        </is>
      </c>
      <c r="I55" s="491" t="n"/>
      <c r="J55" s="492">
        <f>IF(AND(A55&lt;&gt;"",E55&lt;&gt;""),IF(I55="","⚠️ Enter Code",IF(IFERROR(VLOOKUP(H55,DB_Agents!$B:$I,8,0),"")=I55,IF(C55&gt;=E55,"Successful","Unsuccessful"),"🔒 BLOCKED — Wrong Code")),"—")</f>
        <v/>
      </c>
      <c r="K55" s="493">
        <f>IF(J55="Successful",TEXT(TODAY(),"YYYY-MM-DD")&amp;" Auto","—")</f>
        <v/>
      </c>
      <c r="L55" s="494" t="n"/>
    </row>
    <row r="56" ht="15" customHeight="1" s="341">
      <c r="A56" s="495" t="n"/>
      <c r="B56" s="382">
        <f>IF(A56="","",IFERROR(VLOOKUP(A56,DB_Customers!$A:$D,4,0),"❌ Account Not Found"))</f>
        <v/>
      </c>
      <c r="C56" s="496">
        <f>IF(A56="","",IFERROR(VLOOKUP(A56,DB_Customers!$A:$N,14,0),""))</f>
        <v/>
      </c>
      <c r="D56" s="497">
        <f>IF(A56="","",TODAY())</f>
        <v/>
      </c>
      <c r="E56" s="510" t="n"/>
      <c r="F56" s="382" t="n"/>
      <c r="G56" s="512">
        <f>IF(OR(A56="",E56=""),"",IF(C56="","",C56-E56))</f>
        <v/>
      </c>
      <c r="H56" s="384" t="inlineStr">
        <is>
          <t>Agent 03</t>
        </is>
      </c>
      <c r="I56" s="491" t="n"/>
      <c r="J56" s="499">
        <f>IF(AND(A56&lt;&gt;"",E56&lt;&gt;""),IF(I56="","⚠️ Enter Code",IF(IFERROR(VLOOKUP(H56,DB_Agents!$B:$I,8,0),"")=I56,IF(C56&gt;=E56,"Successful","Unsuccessful"),"🔒 BLOCKED — Wrong Code")),"—")</f>
        <v/>
      </c>
      <c r="K56" s="500">
        <f>IF(J56="Successful",TEXT(TODAY(),"YYYY-MM-DD")&amp;" Auto","—")</f>
        <v/>
      </c>
      <c r="L56" s="501" t="n"/>
    </row>
    <row r="57" ht="15" customHeight="1" s="341">
      <c r="A57" s="486" t="n"/>
      <c r="B57" s="378">
        <f>IF(A57="","",IFERROR(VLOOKUP(A57,DB_Customers!$A:$D,4,0),"❌ Account Not Found"))</f>
        <v/>
      </c>
      <c r="C57" s="487">
        <f>IF(A57="","",IFERROR(VLOOKUP(A57,DB_Customers!$A:$N,14,0),""))</f>
        <v/>
      </c>
      <c r="D57" s="488">
        <f>IF(A57="","",TODAY())</f>
        <v/>
      </c>
      <c r="E57" s="510" t="n"/>
      <c r="F57" s="378" t="n"/>
      <c r="G57" s="511">
        <f>IF(OR(A57="",E57=""),"",IF(C57="","",C57-E57))</f>
        <v/>
      </c>
      <c r="H57" s="380" t="inlineStr">
        <is>
          <t>Agent 03</t>
        </is>
      </c>
      <c r="I57" s="491" t="n"/>
      <c r="J57" s="492">
        <f>IF(AND(A57&lt;&gt;"",E57&lt;&gt;""),IF(I57="","⚠️ Enter Code",IF(IFERROR(VLOOKUP(H57,DB_Agents!$B:$I,8,0),"")=I57,IF(C57&gt;=E57,"Successful","Unsuccessful"),"🔒 BLOCKED — Wrong Code")),"—")</f>
        <v/>
      </c>
      <c r="K57" s="493">
        <f>IF(J57="Successful",TEXT(TODAY(),"YYYY-MM-DD")&amp;" Auto","—")</f>
        <v/>
      </c>
      <c r="L57" s="494" t="n"/>
    </row>
    <row r="58" ht="15" customHeight="1" s="341">
      <c r="A58" s="495" t="n"/>
      <c r="B58" s="382">
        <f>IF(A58="","",IFERROR(VLOOKUP(A58,DB_Customers!$A:$D,4,0),"❌ Account Not Found"))</f>
        <v/>
      </c>
      <c r="C58" s="496">
        <f>IF(A58="","",IFERROR(VLOOKUP(A58,DB_Customers!$A:$N,14,0),""))</f>
        <v/>
      </c>
      <c r="D58" s="497">
        <f>IF(A58="","",TODAY())</f>
        <v/>
      </c>
      <c r="E58" s="510" t="n"/>
      <c r="F58" s="382" t="n"/>
      <c r="G58" s="512">
        <f>IF(OR(A58="",E58=""),"",IF(C58="","",C58-E58))</f>
        <v/>
      </c>
      <c r="H58" s="384" t="inlineStr">
        <is>
          <t>Agent 03</t>
        </is>
      </c>
      <c r="I58" s="491" t="n"/>
      <c r="J58" s="499">
        <f>IF(AND(A58&lt;&gt;"",E58&lt;&gt;""),IF(I58="","⚠️ Enter Code",IF(IFERROR(VLOOKUP(H58,DB_Agents!$B:$I,8,0),"")=I58,IF(C58&gt;=E58,"Successful","Unsuccessful"),"🔒 BLOCKED — Wrong Code")),"—")</f>
        <v/>
      </c>
      <c r="K58" s="500">
        <f>IF(J58="Successful",TEXT(TODAY(),"YYYY-MM-DD")&amp;" Auto","—")</f>
        <v/>
      </c>
      <c r="L58" s="501" t="n"/>
    </row>
    <row r="59" ht="15" customHeight="1" s="341">
      <c r="A59" s="486" t="n"/>
      <c r="B59" s="378">
        <f>IF(A59="","",IFERROR(VLOOKUP(A59,DB_Customers!$A:$D,4,0),"❌ Account Not Found"))</f>
        <v/>
      </c>
      <c r="C59" s="487">
        <f>IF(A59="","",IFERROR(VLOOKUP(A59,DB_Customers!$A:$N,14,0),""))</f>
        <v/>
      </c>
      <c r="D59" s="488">
        <f>IF(A59="","",TODAY())</f>
        <v/>
      </c>
      <c r="E59" s="510" t="n"/>
      <c r="F59" s="378" t="n"/>
      <c r="G59" s="511">
        <f>IF(OR(A59="",E59=""),"",IF(C59="","",C59-E59))</f>
        <v/>
      </c>
      <c r="H59" s="380" t="inlineStr">
        <is>
          <t>Agent 03</t>
        </is>
      </c>
      <c r="I59" s="491" t="n"/>
      <c r="J59" s="492">
        <f>IF(AND(A59&lt;&gt;"",E59&lt;&gt;""),IF(I59="","⚠️ Enter Code",IF(IFERROR(VLOOKUP(H59,DB_Agents!$B:$I,8,0),"")=I59,IF(C59&gt;=E59,"Successful","Unsuccessful"),"🔒 BLOCKED — Wrong Code")),"—")</f>
        <v/>
      </c>
      <c r="K59" s="493">
        <f>IF(J59="Successful",TEXT(TODAY(),"YYYY-MM-DD")&amp;" Auto","—")</f>
        <v/>
      </c>
      <c r="L59" s="494" t="n"/>
    </row>
    <row r="60" ht="15" customHeight="1" s="341">
      <c r="A60" s="495" t="n"/>
      <c r="B60" s="382">
        <f>IF(A60="","",IFERROR(VLOOKUP(A60,DB_Customers!$A:$D,4,0),"❌ Account Not Found"))</f>
        <v/>
      </c>
      <c r="C60" s="496">
        <f>IF(A60="","",IFERROR(VLOOKUP(A60,DB_Customers!$A:$N,14,0),""))</f>
        <v/>
      </c>
      <c r="D60" s="497">
        <f>IF(A60="","",TODAY())</f>
        <v/>
      </c>
      <c r="E60" s="510" t="n"/>
      <c r="F60" s="382" t="n"/>
      <c r="G60" s="512">
        <f>IF(OR(A60="",E60=""),"",IF(C60="","",C60-E60))</f>
        <v/>
      </c>
      <c r="H60" s="384" t="inlineStr">
        <is>
          <t>Agent 03</t>
        </is>
      </c>
      <c r="I60" s="491" t="n"/>
      <c r="J60" s="499">
        <f>IF(AND(A60&lt;&gt;"",E60&lt;&gt;""),IF(I60="","⚠️ Enter Code",IF(IFERROR(VLOOKUP(H60,DB_Agents!$B:$I,8,0),"")=I60,IF(C60&gt;=E60,"Successful","Unsuccessful"),"🔒 BLOCKED — Wrong Code")),"—")</f>
        <v/>
      </c>
      <c r="K60" s="500">
        <f>IF(J60="Successful",TEXT(TODAY(),"YYYY-MM-DD")&amp;" Auto","—")</f>
        <v/>
      </c>
      <c r="L60" s="501" t="n"/>
    </row>
    <row r="61" ht="15" customHeight="1" s="341">
      <c r="A61" s="486" t="n"/>
      <c r="B61" s="378">
        <f>IF(A61="","",IFERROR(VLOOKUP(A61,DB_Customers!$A:$D,4,0),"❌ Account Not Found"))</f>
        <v/>
      </c>
      <c r="C61" s="487">
        <f>IF(A61="","",IFERROR(VLOOKUP(A61,DB_Customers!$A:$N,14,0),""))</f>
        <v/>
      </c>
      <c r="D61" s="488">
        <f>IF(A61="","",TODAY())</f>
        <v/>
      </c>
      <c r="E61" s="510" t="n"/>
      <c r="F61" s="378" t="n"/>
      <c r="G61" s="511">
        <f>IF(OR(A61="",E61=""),"",IF(C61="","",C61-E61))</f>
        <v/>
      </c>
      <c r="H61" s="380" t="inlineStr">
        <is>
          <t>Agent 03</t>
        </is>
      </c>
      <c r="I61" s="491" t="n"/>
      <c r="J61" s="492">
        <f>IF(AND(A61&lt;&gt;"",E61&lt;&gt;""),IF(I61="","⚠️ Enter Code",IF(IFERROR(VLOOKUP(H61,DB_Agents!$B:$I,8,0),"")=I61,IF(C61&gt;=E61,"Successful","Unsuccessful"),"🔒 BLOCKED — Wrong Code")),"—")</f>
        <v/>
      </c>
      <c r="K61" s="493">
        <f>IF(J61="Successful",TEXT(TODAY(),"YYYY-MM-DD")&amp;" Auto","—")</f>
        <v/>
      </c>
      <c r="L61" s="494" t="n"/>
    </row>
    <row r="62" ht="15" customHeight="1" s="341">
      <c r="A62" s="495" t="n"/>
      <c r="B62" s="382">
        <f>IF(A62="","",IFERROR(VLOOKUP(A62,DB_Customers!$A:$D,4,0),"❌ Account Not Found"))</f>
        <v/>
      </c>
      <c r="C62" s="496">
        <f>IF(A62="","",IFERROR(VLOOKUP(A62,DB_Customers!$A:$N,14,0),""))</f>
        <v/>
      </c>
      <c r="D62" s="497">
        <f>IF(A62="","",TODAY())</f>
        <v/>
      </c>
      <c r="E62" s="510" t="n"/>
      <c r="F62" s="382" t="n"/>
      <c r="G62" s="512">
        <f>IF(OR(A62="",E62=""),"",IF(C62="","",C62-E62))</f>
        <v/>
      </c>
      <c r="H62" s="384" t="inlineStr">
        <is>
          <t>Agent 03</t>
        </is>
      </c>
      <c r="I62" s="491" t="n"/>
      <c r="J62" s="499">
        <f>IF(AND(A62&lt;&gt;"",E62&lt;&gt;""),IF(I62="","⚠️ Enter Code",IF(IFERROR(VLOOKUP(H62,DB_Agents!$B:$I,8,0),"")=I62,IF(C62&gt;=E62,"Successful","Unsuccessful"),"🔒 BLOCKED — Wrong Code")),"—")</f>
        <v/>
      </c>
      <c r="K62" s="500">
        <f>IF(J62="Successful",TEXT(TODAY(),"YYYY-MM-DD")&amp;" Auto","—")</f>
        <v/>
      </c>
      <c r="L62" s="501" t="n"/>
    </row>
    <row r="63" ht="15" customHeight="1" s="341">
      <c r="A63" s="486" t="n"/>
      <c r="B63" s="378">
        <f>IF(A63="","",IFERROR(VLOOKUP(A63,DB_Customers!$A:$D,4,0),"❌ Account Not Found"))</f>
        <v/>
      </c>
      <c r="C63" s="487">
        <f>IF(A63="","",IFERROR(VLOOKUP(A63,DB_Customers!$A:$N,14,0),""))</f>
        <v/>
      </c>
      <c r="D63" s="488">
        <f>IF(A63="","",TODAY())</f>
        <v/>
      </c>
      <c r="E63" s="510" t="n"/>
      <c r="F63" s="378" t="n"/>
      <c r="G63" s="511">
        <f>IF(OR(A63="",E63=""),"",IF(C63="","",C63-E63))</f>
        <v/>
      </c>
      <c r="H63" s="380" t="inlineStr">
        <is>
          <t>Agent 03</t>
        </is>
      </c>
      <c r="I63" s="491" t="n"/>
      <c r="J63" s="492">
        <f>IF(AND(A63&lt;&gt;"",E63&lt;&gt;""),IF(I63="","⚠️ Enter Code",IF(IFERROR(VLOOKUP(H63,DB_Agents!$B:$I,8,0),"")=I63,IF(C63&gt;=E63,"Successful","Unsuccessful"),"🔒 BLOCKED — Wrong Code")),"—")</f>
        <v/>
      </c>
      <c r="K63" s="493">
        <f>IF(J63="Successful",TEXT(TODAY(),"YYYY-MM-DD")&amp;" Auto","—")</f>
        <v/>
      </c>
      <c r="L63" s="494" t="n"/>
    </row>
    <row r="64" ht="15" customHeight="1" s="341">
      <c r="A64" s="495" t="n"/>
      <c r="B64" s="382">
        <f>IF(A64="","",IFERROR(VLOOKUP(A64,DB_Customers!$A:$D,4,0),"❌ Account Not Found"))</f>
        <v/>
      </c>
      <c r="C64" s="496">
        <f>IF(A64="","",IFERROR(VLOOKUP(A64,DB_Customers!$A:$N,14,0),""))</f>
        <v/>
      </c>
      <c r="D64" s="497">
        <f>IF(A64="","",TODAY())</f>
        <v/>
      </c>
      <c r="E64" s="510" t="n"/>
      <c r="F64" s="382" t="n"/>
      <c r="G64" s="512">
        <f>IF(OR(A64="",E64=""),"",IF(C64="","",C64-E64))</f>
        <v/>
      </c>
      <c r="H64" s="384" t="inlineStr">
        <is>
          <t>Agent 03</t>
        </is>
      </c>
      <c r="I64" s="491" t="n"/>
      <c r="J64" s="499">
        <f>IF(AND(A64&lt;&gt;"",E64&lt;&gt;""),IF(I64="","⚠️ Enter Code",IF(IFERROR(VLOOKUP(H64,DB_Agents!$B:$I,8,0),"")=I64,IF(C64&gt;=E64,"Successful","Unsuccessful"),"🔒 BLOCKED — Wrong Code")),"—")</f>
        <v/>
      </c>
      <c r="K64" s="500">
        <f>IF(J64="Successful",TEXT(TODAY(),"YYYY-MM-DD")&amp;" Auto","—")</f>
        <v/>
      </c>
      <c r="L64" s="501" t="n"/>
    </row>
    <row r="65" ht="15" customHeight="1" s="341">
      <c r="A65" s="486" t="n"/>
      <c r="B65" s="378">
        <f>IF(A65="","",IFERROR(VLOOKUP(A65,DB_Customers!$A:$D,4,0),"❌ Account Not Found"))</f>
        <v/>
      </c>
      <c r="C65" s="487">
        <f>IF(A65="","",IFERROR(VLOOKUP(A65,DB_Customers!$A:$N,14,0),""))</f>
        <v/>
      </c>
      <c r="D65" s="488">
        <f>IF(A65="","",TODAY())</f>
        <v/>
      </c>
      <c r="E65" s="510" t="n"/>
      <c r="F65" s="378" t="n"/>
      <c r="G65" s="511">
        <f>IF(OR(A65="",E65=""),"",IF(C65="","",C65-E65))</f>
        <v/>
      </c>
      <c r="H65" s="380" t="inlineStr">
        <is>
          <t>Agent 03</t>
        </is>
      </c>
      <c r="I65" s="491" t="n"/>
      <c r="J65" s="492">
        <f>IF(AND(A65&lt;&gt;"",E65&lt;&gt;""),IF(I65="","⚠️ Enter Code",IF(IFERROR(VLOOKUP(H65,DB_Agents!$B:$I,8,0),"")=I65,IF(C65&gt;=E65,"Successful","Unsuccessful"),"🔒 BLOCKED — Wrong Code")),"—")</f>
        <v/>
      </c>
      <c r="K65" s="493">
        <f>IF(J65="Successful",TEXT(TODAY(),"YYYY-MM-DD")&amp;" Auto","—")</f>
        <v/>
      </c>
      <c r="L65" s="494" t="n"/>
    </row>
    <row r="66" ht="15" customHeight="1" s="341">
      <c r="A66" s="495" t="n"/>
      <c r="B66" s="382">
        <f>IF(A66="","",IFERROR(VLOOKUP(A66,DB_Customers!$A:$D,4,0),"❌ Account Not Found"))</f>
        <v/>
      </c>
      <c r="C66" s="496">
        <f>IF(A66="","",IFERROR(VLOOKUP(A66,DB_Customers!$A:$N,14,0),""))</f>
        <v/>
      </c>
      <c r="D66" s="497">
        <f>IF(A66="","",TODAY())</f>
        <v/>
      </c>
      <c r="E66" s="510" t="n"/>
      <c r="F66" s="382" t="n"/>
      <c r="G66" s="512">
        <f>IF(OR(A66="",E66=""),"",IF(C66="","",C66-E66))</f>
        <v/>
      </c>
      <c r="H66" s="384" t="inlineStr">
        <is>
          <t>Agent 03</t>
        </is>
      </c>
      <c r="I66" s="491" t="n"/>
      <c r="J66" s="499">
        <f>IF(AND(A66&lt;&gt;"",E66&lt;&gt;""),IF(I66="","⚠️ Enter Code",IF(IFERROR(VLOOKUP(H66,DB_Agents!$B:$I,8,0),"")=I66,IF(C66&gt;=E66,"Successful","Unsuccessful"),"🔒 BLOCKED — Wrong Code")),"—")</f>
        <v/>
      </c>
      <c r="K66" s="500">
        <f>IF(J66="Successful",TEXT(TODAY(),"YYYY-MM-DD")&amp;" Auto","—")</f>
        <v/>
      </c>
      <c r="L66" s="501" t="n"/>
    </row>
    <row r="67" ht="15" customHeight="1" s="341">
      <c r="A67" s="486" t="n"/>
      <c r="B67" s="378">
        <f>IF(A67="","",IFERROR(VLOOKUP(A67,DB_Customers!$A:$D,4,0),"❌ Account Not Found"))</f>
        <v/>
      </c>
      <c r="C67" s="487">
        <f>IF(A67="","",IFERROR(VLOOKUP(A67,DB_Customers!$A:$N,14,0),""))</f>
        <v/>
      </c>
      <c r="D67" s="488">
        <f>IF(A67="","",TODAY())</f>
        <v/>
      </c>
      <c r="E67" s="510" t="n"/>
      <c r="F67" s="378" t="n"/>
      <c r="G67" s="511">
        <f>IF(OR(A67="",E67=""),"",IF(C67="","",C67-E67))</f>
        <v/>
      </c>
      <c r="H67" s="380" t="inlineStr">
        <is>
          <t>Agent 03</t>
        </is>
      </c>
      <c r="I67" s="491" t="n"/>
      <c r="J67" s="492">
        <f>IF(AND(A67&lt;&gt;"",E67&lt;&gt;""),IF(I67="","⚠️ Enter Code",IF(IFERROR(VLOOKUP(H67,DB_Agents!$B:$I,8,0),"")=I67,IF(C67&gt;=E67,"Successful","Unsuccessful"),"🔒 BLOCKED — Wrong Code")),"—")</f>
        <v/>
      </c>
      <c r="K67" s="493">
        <f>IF(J67="Successful",TEXT(TODAY(),"YYYY-MM-DD")&amp;" Auto","—")</f>
        <v/>
      </c>
      <c r="L67" s="494" t="n"/>
    </row>
    <row r="68" ht="15" customHeight="1" s="341">
      <c r="A68" s="495" t="n"/>
      <c r="B68" s="382">
        <f>IF(A68="","",IFERROR(VLOOKUP(A68,DB_Customers!$A:$D,4,0),"❌ Account Not Found"))</f>
        <v/>
      </c>
      <c r="C68" s="496">
        <f>IF(A68="","",IFERROR(VLOOKUP(A68,DB_Customers!$A:$N,14,0),""))</f>
        <v/>
      </c>
      <c r="D68" s="497">
        <f>IF(A68="","",TODAY())</f>
        <v/>
      </c>
      <c r="E68" s="510" t="n"/>
      <c r="F68" s="382" t="n"/>
      <c r="G68" s="512">
        <f>IF(OR(A68="",E68=""),"",IF(C68="","",C68-E68))</f>
        <v/>
      </c>
      <c r="H68" s="384" t="inlineStr">
        <is>
          <t>Agent 03</t>
        </is>
      </c>
      <c r="I68" s="491" t="n"/>
      <c r="J68" s="499">
        <f>IF(AND(A68&lt;&gt;"",E68&lt;&gt;""),IF(I68="","⚠️ Enter Code",IF(IFERROR(VLOOKUP(H68,DB_Agents!$B:$I,8,0),"")=I68,IF(C68&gt;=E68,"Successful","Unsuccessful"),"🔒 BLOCKED — Wrong Code")),"—")</f>
        <v/>
      </c>
      <c r="K68" s="500">
        <f>IF(J68="Successful",TEXT(TODAY(),"YYYY-MM-DD")&amp;" Auto","—")</f>
        <v/>
      </c>
      <c r="L68" s="501" t="n"/>
    </row>
    <row r="69" ht="15" customHeight="1" s="341">
      <c r="A69" s="486" t="n"/>
      <c r="B69" s="378">
        <f>IF(A69="","",IFERROR(VLOOKUP(A69,DB_Customers!$A:$D,4,0),"❌ Account Not Found"))</f>
        <v/>
      </c>
      <c r="C69" s="487">
        <f>IF(A69="","",IFERROR(VLOOKUP(A69,DB_Customers!$A:$N,14,0),""))</f>
        <v/>
      </c>
      <c r="D69" s="488">
        <f>IF(A69="","",TODAY())</f>
        <v/>
      </c>
      <c r="E69" s="510" t="n"/>
      <c r="F69" s="378" t="n"/>
      <c r="G69" s="511">
        <f>IF(OR(A69="",E69=""),"",IF(C69="","",C69-E69))</f>
        <v/>
      </c>
      <c r="H69" s="380" t="inlineStr">
        <is>
          <t>Agent 03</t>
        </is>
      </c>
      <c r="I69" s="491" t="n"/>
      <c r="J69" s="492">
        <f>IF(AND(A69&lt;&gt;"",E69&lt;&gt;""),IF(I69="","⚠️ Enter Code",IF(IFERROR(VLOOKUP(H69,DB_Agents!$B:$I,8,0),"")=I69,IF(C69&gt;=E69,"Successful","Unsuccessful"),"🔒 BLOCKED — Wrong Code")),"—")</f>
        <v/>
      </c>
      <c r="K69" s="493">
        <f>IF(J69="Successful",TEXT(TODAY(),"YYYY-MM-DD")&amp;" Auto","—")</f>
        <v/>
      </c>
      <c r="L69" s="494" t="n"/>
    </row>
    <row r="70" ht="15" customHeight="1" s="341">
      <c r="A70" s="495" t="n"/>
      <c r="B70" s="382">
        <f>IF(A70="","",IFERROR(VLOOKUP(A70,DB_Customers!$A:$D,4,0),"❌ Account Not Found"))</f>
        <v/>
      </c>
      <c r="C70" s="496">
        <f>IF(A70="","",IFERROR(VLOOKUP(A70,DB_Customers!$A:$N,14,0),""))</f>
        <v/>
      </c>
      <c r="D70" s="497">
        <f>IF(A70="","",TODAY())</f>
        <v/>
      </c>
      <c r="E70" s="510" t="n"/>
      <c r="F70" s="382" t="n"/>
      <c r="G70" s="512">
        <f>IF(OR(A70="",E70=""),"",IF(C70="","",C70-E70))</f>
        <v/>
      </c>
      <c r="H70" s="384" t="inlineStr">
        <is>
          <t>Agent 03</t>
        </is>
      </c>
      <c r="I70" s="491" t="n"/>
      <c r="J70" s="499">
        <f>IF(AND(A70&lt;&gt;"",E70&lt;&gt;""),IF(I70="","⚠️ Enter Code",IF(IFERROR(VLOOKUP(H70,DB_Agents!$B:$I,8,0),"")=I70,IF(C70&gt;=E70,"Successful","Unsuccessful"),"🔒 BLOCKED — Wrong Code")),"—")</f>
        <v/>
      </c>
      <c r="K70" s="500">
        <f>IF(J70="Successful",TEXT(TODAY(),"YYYY-MM-DD")&amp;" Auto","—")</f>
        <v/>
      </c>
      <c r="L70" s="501" t="n"/>
    </row>
    <row r="71" ht="15" customHeight="1" s="341">
      <c r="A71" s="486" t="n"/>
      <c r="B71" s="378">
        <f>IF(A71="","",IFERROR(VLOOKUP(A71,DB_Customers!$A:$D,4,0),"❌ Account Not Found"))</f>
        <v/>
      </c>
      <c r="C71" s="487">
        <f>IF(A71="","",IFERROR(VLOOKUP(A71,DB_Customers!$A:$N,14,0),""))</f>
        <v/>
      </c>
      <c r="D71" s="488">
        <f>IF(A71="","",TODAY())</f>
        <v/>
      </c>
      <c r="E71" s="510" t="n"/>
      <c r="F71" s="378" t="n"/>
      <c r="G71" s="511">
        <f>IF(OR(A71="",E71=""),"",IF(C71="","",C71-E71))</f>
        <v/>
      </c>
      <c r="H71" s="380" t="inlineStr">
        <is>
          <t>Agent 03</t>
        </is>
      </c>
      <c r="I71" s="491" t="n"/>
      <c r="J71" s="492">
        <f>IF(AND(A71&lt;&gt;"",E71&lt;&gt;""),IF(I71="","⚠️ Enter Code",IF(IFERROR(VLOOKUP(H71,DB_Agents!$B:$I,8,0),"")=I71,IF(C71&gt;=E71,"Successful","Unsuccessful"),"🔒 BLOCKED — Wrong Code")),"—")</f>
        <v/>
      </c>
      <c r="K71" s="493">
        <f>IF(J71="Successful",TEXT(TODAY(),"YYYY-MM-DD")&amp;" Auto","—")</f>
        <v/>
      </c>
      <c r="L71" s="494" t="n"/>
    </row>
    <row r="72" ht="15" customHeight="1" s="341">
      <c r="A72" s="495" t="n"/>
      <c r="B72" s="382">
        <f>IF(A72="","",IFERROR(VLOOKUP(A72,DB_Customers!$A:$D,4,0),"❌ Account Not Found"))</f>
        <v/>
      </c>
      <c r="C72" s="496">
        <f>IF(A72="","",IFERROR(VLOOKUP(A72,DB_Customers!$A:$N,14,0),""))</f>
        <v/>
      </c>
      <c r="D72" s="497">
        <f>IF(A72="","",TODAY())</f>
        <v/>
      </c>
      <c r="E72" s="510" t="n"/>
      <c r="F72" s="382" t="n"/>
      <c r="G72" s="512">
        <f>IF(OR(A72="",E72=""),"",IF(C72="","",C72-E72))</f>
        <v/>
      </c>
      <c r="H72" s="384" t="inlineStr">
        <is>
          <t>Agent 03</t>
        </is>
      </c>
      <c r="I72" s="491" t="n"/>
      <c r="J72" s="499">
        <f>IF(AND(A72&lt;&gt;"",E72&lt;&gt;""),IF(I72="","⚠️ Enter Code",IF(IFERROR(VLOOKUP(H72,DB_Agents!$B:$I,8,0),"")=I72,IF(C72&gt;=E72,"Successful","Unsuccessful"),"🔒 BLOCKED — Wrong Code")),"—")</f>
        <v/>
      </c>
      <c r="K72" s="500">
        <f>IF(J72="Successful",TEXT(TODAY(),"YYYY-MM-DD")&amp;" Auto","—")</f>
        <v/>
      </c>
      <c r="L72" s="501" t="n"/>
    </row>
    <row r="73" ht="15" customHeight="1" s="341">
      <c r="A73" s="486" t="n"/>
      <c r="B73" s="378">
        <f>IF(A73="","",IFERROR(VLOOKUP(A73,DB_Customers!$A:$D,4,0),"❌ Account Not Found"))</f>
        <v/>
      </c>
      <c r="C73" s="487">
        <f>IF(A73="","",IFERROR(VLOOKUP(A73,DB_Customers!$A:$N,14,0),""))</f>
        <v/>
      </c>
      <c r="D73" s="488">
        <f>IF(A73="","",TODAY())</f>
        <v/>
      </c>
      <c r="E73" s="510" t="n"/>
      <c r="F73" s="378" t="n"/>
      <c r="G73" s="511">
        <f>IF(OR(A73="",E73=""),"",IF(C73="","",C73-E73))</f>
        <v/>
      </c>
      <c r="H73" s="380" t="inlineStr">
        <is>
          <t>Agent 03</t>
        </is>
      </c>
      <c r="I73" s="491" t="n"/>
      <c r="J73" s="492">
        <f>IF(AND(A73&lt;&gt;"",E73&lt;&gt;""),IF(I73="","⚠️ Enter Code",IF(IFERROR(VLOOKUP(H73,DB_Agents!$B:$I,8,0),"")=I73,IF(C73&gt;=E73,"Successful","Unsuccessful"),"🔒 BLOCKED — Wrong Code")),"—")</f>
        <v/>
      </c>
      <c r="K73" s="493">
        <f>IF(J73="Successful",TEXT(TODAY(),"YYYY-MM-DD")&amp;" Auto","—")</f>
        <v/>
      </c>
      <c r="L73" s="494" t="n"/>
    </row>
    <row r="74" ht="15" customHeight="1" s="341">
      <c r="A74" s="495" t="n"/>
      <c r="B74" s="382">
        <f>IF(A74="","",IFERROR(VLOOKUP(A74,DB_Customers!$A:$D,4,0),"❌ Account Not Found"))</f>
        <v/>
      </c>
      <c r="C74" s="496">
        <f>IF(A74="","",IFERROR(VLOOKUP(A74,DB_Customers!$A:$N,14,0),""))</f>
        <v/>
      </c>
      <c r="D74" s="497">
        <f>IF(A74="","",TODAY())</f>
        <v/>
      </c>
      <c r="E74" s="510" t="n"/>
      <c r="F74" s="382" t="n"/>
      <c r="G74" s="512">
        <f>IF(OR(A74="",E74=""),"",IF(C74="","",C74-E74))</f>
        <v/>
      </c>
      <c r="H74" s="384" t="inlineStr">
        <is>
          <t>Agent 03</t>
        </is>
      </c>
      <c r="I74" s="491" t="n"/>
      <c r="J74" s="499">
        <f>IF(AND(A74&lt;&gt;"",E74&lt;&gt;""),IF(I74="","⚠️ Enter Code",IF(IFERROR(VLOOKUP(H74,DB_Agents!$B:$I,8,0),"")=I74,IF(C74&gt;=E74,"Successful","Unsuccessful"),"🔒 BLOCKED — Wrong Code")),"—")</f>
        <v/>
      </c>
      <c r="K74" s="500">
        <f>IF(J74="Successful",TEXT(TODAY(),"YYYY-MM-DD")&amp;" Auto","—")</f>
        <v/>
      </c>
      <c r="L74" s="501" t="n"/>
    </row>
    <row r="75" ht="15" customHeight="1" s="341">
      <c r="A75" s="486" t="n"/>
      <c r="B75" s="378">
        <f>IF(A75="","",IFERROR(VLOOKUP(A75,DB_Customers!$A:$D,4,0),"❌ Account Not Found"))</f>
        <v/>
      </c>
      <c r="C75" s="487">
        <f>IF(A75="","",IFERROR(VLOOKUP(A75,DB_Customers!$A:$N,14,0),""))</f>
        <v/>
      </c>
      <c r="D75" s="488">
        <f>IF(A75="","",TODAY())</f>
        <v/>
      </c>
      <c r="E75" s="510" t="n"/>
      <c r="F75" s="378" t="n"/>
      <c r="G75" s="511">
        <f>IF(OR(A75="",E75=""),"",IF(C75="","",C75-E75))</f>
        <v/>
      </c>
      <c r="H75" s="380" t="inlineStr">
        <is>
          <t>Agent 03</t>
        </is>
      </c>
      <c r="I75" s="491" t="n"/>
      <c r="J75" s="492">
        <f>IF(AND(A75&lt;&gt;"",E75&lt;&gt;""),IF(I75="","⚠️ Enter Code",IF(IFERROR(VLOOKUP(H75,DB_Agents!$B:$I,8,0),"")=I75,IF(C75&gt;=E75,"Successful","Unsuccessful"),"🔒 BLOCKED — Wrong Code")),"—")</f>
        <v/>
      </c>
      <c r="K75" s="493">
        <f>IF(J75="Successful",TEXT(TODAY(),"YYYY-MM-DD")&amp;" Auto","—")</f>
        <v/>
      </c>
      <c r="L75" s="494" t="n"/>
    </row>
    <row r="76" ht="15" customHeight="1" s="341">
      <c r="A76" s="495" t="n"/>
      <c r="B76" s="382">
        <f>IF(A76="","",IFERROR(VLOOKUP(A76,DB_Customers!$A:$D,4,0),"❌ Account Not Found"))</f>
        <v/>
      </c>
      <c r="C76" s="496">
        <f>IF(A76="","",IFERROR(VLOOKUP(A76,DB_Customers!$A:$N,14,0),""))</f>
        <v/>
      </c>
      <c r="D76" s="497">
        <f>IF(A76="","",TODAY())</f>
        <v/>
      </c>
      <c r="E76" s="510" t="n"/>
      <c r="F76" s="382" t="n"/>
      <c r="G76" s="512">
        <f>IF(OR(A76="",E76=""),"",IF(C76="","",C76-E76))</f>
        <v/>
      </c>
      <c r="H76" s="384" t="inlineStr">
        <is>
          <t>Agent 03</t>
        </is>
      </c>
      <c r="I76" s="491" t="n"/>
      <c r="J76" s="499">
        <f>IF(AND(A76&lt;&gt;"",E76&lt;&gt;""),IF(I76="","⚠️ Enter Code",IF(IFERROR(VLOOKUP(H76,DB_Agents!$B:$I,8,0),"")=I76,IF(C76&gt;=E76,"Successful","Unsuccessful"),"🔒 BLOCKED — Wrong Code")),"—")</f>
        <v/>
      </c>
      <c r="K76" s="500">
        <f>IF(J76="Successful",TEXT(TODAY(),"YYYY-MM-DD")&amp;" Auto","—")</f>
        <v/>
      </c>
      <c r="L76" s="501" t="n"/>
    </row>
    <row r="77" ht="15" customHeight="1" s="341">
      <c r="A77" s="486" t="n"/>
      <c r="B77" s="378">
        <f>IF(A77="","",IFERROR(VLOOKUP(A77,DB_Customers!$A:$D,4,0),"❌ Account Not Found"))</f>
        <v/>
      </c>
      <c r="C77" s="487">
        <f>IF(A77="","",IFERROR(VLOOKUP(A77,DB_Customers!$A:$N,14,0),""))</f>
        <v/>
      </c>
      <c r="D77" s="488">
        <f>IF(A77="","",TODAY())</f>
        <v/>
      </c>
      <c r="E77" s="510" t="n"/>
      <c r="F77" s="378" t="n"/>
      <c r="G77" s="511">
        <f>IF(OR(A77="",E77=""),"",IF(C77="","",C77-E77))</f>
        <v/>
      </c>
      <c r="H77" s="380" t="inlineStr">
        <is>
          <t>Agent 03</t>
        </is>
      </c>
      <c r="I77" s="491" t="n"/>
      <c r="J77" s="492">
        <f>IF(AND(A77&lt;&gt;"",E77&lt;&gt;""),IF(I77="","⚠️ Enter Code",IF(IFERROR(VLOOKUP(H77,DB_Agents!$B:$I,8,0),"")=I77,IF(C77&gt;=E77,"Successful","Unsuccessful"),"🔒 BLOCKED — Wrong Code")),"—")</f>
        <v/>
      </c>
      <c r="K77" s="493">
        <f>IF(J77="Successful",TEXT(TODAY(),"YYYY-MM-DD")&amp;" Auto","—")</f>
        <v/>
      </c>
      <c r="L77" s="494" t="n"/>
    </row>
    <row r="78" ht="15" customHeight="1" s="341">
      <c r="A78" s="495" t="n"/>
      <c r="B78" s="382">
        <f>IF(A78="","",IFERROR(VLOOKUP(A78,DB_Customers!$A:$D,4,0),"❌ Account Not Found"))</f>
        <v/>
      </c>
      <c r="C78" s="496">
        <f>IF(A78="","",IFERROR(VLOOKUP(A78,DB_Customers!$A:$N,14,0),""))</f>
        <v/>
      </c>
      <c r="D78" s="497">
        <f>IF(A78="","",TODAY())</f>
        <v/>
      </c>
      <c r="E78" s="510" t="n"/>
      <c r="F78" s="382" t="n"/>
      <c r="G78" s="512">
        <f>IF(OR(A78="",E78=""),"",IF(C78="","",C78-E78))</f>
        <v/>
      </c>
      <c r="H78" s="384" t="inlineStr">
        <is>
          <t>Agent 03</t>
        </is>
      </c>
      <c r="I78" s="491" t="n"/>
      <c r="J78" s="499">
        <f>IF(AND(A78&lt;&gt;"",E78&lt;&gt;""),IF(I78="","⚠️ Enter Code",IF(IFERROR(VLOOKUP(H78,DB_Agents!$B:$I,8,0),"")=I78,IF(C78&gt;=E78,"Successful","Unsuccessful"),"🔒 BLOCKED — Wrong Code")),"—")</f>
        <v/>
      </c>
      <c r="K78" s="500">
        <f>IF(J78="Successful",TEXT(TODAY(),"YYYY-MM-DD")&amp;" Auto","—")</f>
        <v/>
      </c>
      <c r="L78" s="501" t="n"/>
    </row>
    <row r="79" ht="15" customHeight="1" s="341">
      <c r="A79" s="486" t="n"/>
      <c r="B79" s="378">
        <f>IF(A79="","",IFERROR(VLOOKUP(A79,DB_Customers!$A:$D,4,0),"❌ Account Not Found"))</f>
        <v/>
      </c>
      <c r="C79" s="487">
        <f>IF(A79="","",IFERROR(VLOOKUP(A79,DB_Customers!$A:$N,14,0),""))</f>
        <v/>
      </c>
      <c r="D79" s="488">
        <f>IF(A79="","",TODAY())</f>
        <v/>
      </c>
      <c r="E79" s="510" t="n"/>
      <c r="F79" s="378" t="n"/>
      <c r="G79" s="511">
        <f>IF(OR(A79="",E79=""),"",IF(C79="","",C79-E79))</f>
        <v/>
      </c>
      <c r="H79" s="380" t="inlineStr">
        <is>
          <t>Agent 03</t>
        </is>
      </c>
      <c r="I79" s="491" t="n"/>
      <c r="J79" s="492">
        <f>IF(AND(A79&lt;&gt;"",E79&lt;&gt;""),IF(I79="","⚠️ Enter Code",IF(IFERROR(VLOOKUP(H79,DB_Agents!$B:$I,8,0),"")=I79,IF(C79&gt;=E79,"Successful","Unsuccessful"),"🔒 BLOCKED — Wrong Code")),"—")</f>
        <v/>
      </c>
      <c r="K79" s="493">
        <f>IF(J79="Successful",TEXT(TODAY(),"YYYY-MM-DD")&amp;" Auto","—")</f>
        <v/>
      </c>
      <c r="L79" s="494" t="n"/>
    </row>
    <row r="80" ht="15" customHeight="1" s="341">
      <c r="A80" s="495" t="n"/>
      <c r="B80" s="382">
        <f>IF(A80="","",IFERROR(VLOOKUP(A80,DB_Customers!$A:$D,4,0),"❌ Account Not Found"))</f>
        <v/>
      </c>
      <c r="C80" s="496">
        <f>IF(A80="","",IFERROR(VLOOKUP(A80,DB_Customers!$A:$N,14,0),""))</f>
        <v/>
      </c>
      <c r="D80" s="497">
        <f>IF(A80="","",TODAY())</f>
        <v/>
      </c>
      <c r="E80" s="510" t="n"/>
      <c r="F80" s="382" t="n"/>
      <c r="G80" s="512">
        <f>IF(OR(A80="",E80=""),"",IF(C80="","",C80-E80))</f>
        <v/>
      </c>
      <c r="H80" s="384" t="inlineStr">
        <is>
          <t>Agent 03</t>
        </is>
      </c>
      <c r="I80" s="491" t="n"/>
      <c r="J80" s="499">
        <f>IF(AND(A80&lt;&gt;"",E80&lt;&gt;""),IF(I80="","⚠️ Enter Code",IF(IFERROR(VLOOKUP(H80,DB_Agents!$B:$I,8,0),"")=I80,IF(C80&gt;=E80,"Successful","Unsuccessful"),"🔒 BLOCKED — Wrong Code")),"—")</f>
        <v/>
      </c>
      <c r="K80" s="500">
        <f>IF(J80="Successful",TEXT(TODAY(),"YYYY-MM-DD")&amp;" Auto","—")</f>
        <v/>
      </c>
      <c r="L80" s="501" t="n"/>
    </row>
    <row r="81" ht="15" customHeight="1" s="341">
      <c r="A81" s="486" t="n"/>
      <c r="B81" s="378">
        <f>IF(A81="","",IFERROR(VLOOKUP(A81,DB_Customers!$A:$D,4,0),"❌ Account Not Found"))</f>
        <v/>
      </c>
      <c r="C81" s="487">
        <f>IF(A81="","",IFERROR(VLOOKUP(A81,DB_Customers!$A:$N,14,0),""))</f>
        <v/>
      </c>
      <c r="D81" s="488">
        <f>IF(A81="","",TODAY())</f>
        <v/>
      </c>
      <c r="E81" s="510" t="n"/>
      <c r="F81" s="378" t="n"/>
      <c r="G81" s="511">
        <f>IF(OR(A81="",E81=""),"",IF(C81="","",C81-E81))</f>
        <v/>
      </c>
      <c r="H81" s="380" t="inlineStr">
        <is>
          <t>Agent 03</t>
        </is>
      </c>
      <c r="I81" s="491" t="n"/>
      <c r="J81" s="492">
        <f>IF(AND(A81&lt;&gt;"",E81&lt;&gt;""),IF(I81="","⚠️ Enter Code",IF(IFERROR(VLOOKUP(H81,DB_Agents!$B:$I,8,0),"")=I81,IF(C81&gt;=E81,"Successful","Unsuccessful"),"🔒 BLOCKED — Wrong Code")),"—")</f>
        <v/>
      </c>
      <c r="K81" s="493">
        <f>IF(J81="Successful",TEXT(TODAY(),"YYYY-MM-DD")&amp;" Auto","—")</f>
        <v/>
      </c>
      <c r="L81" s="494" t="n"/>
    </row>
    <row r="82" ht="15" customHeight="1" s="341">
      <c r="A82" s="495" t="n"/>
      <c r="B82" s="382">
        <f>IF(A82="","",IFERROR(VLOOKUP(A82,DB_Customers!$A:$D,4,0),"❌ Account Not Found"))</f>
        <v/>
      </c>
      <c r="C82" s="496">
        <f>IF(A82="","",IFERROR(VLOOKUP(A82,DB_Customers!$A:$N,14,0),""))</f>
        <v/>
      </c>
      <c r="D82" s="497">
        <f>IF(A82="","",TODAY())</f>
        <v/>
      </c>
      <c r="E82" s="510" t="n"/>
      <c r="F82" s="382" t="n"/>
      <c r="G82" s="512">
        <f>IF(OR(A82="",E82=""),"",IF(C82="","",C82-E82))</f>
        <v/>
      </c>
      <c r="H82" s="384" t="inlineStr">
        <is>
          <t>Agent 03</t>
        </is>
      </c>
      <c r="I82" s="491" t="n"/>
      <c r="J82" s="499">
        <f>IF(AND(A82&lt;&gt;"",E82&lt;&gt;""),IF(I82="","⚠️ Enter Code",IF(IFERROR(VLOOKUP(H82,DB_Agents!$B:$I,8,0),"")=I82,IF(C82&gt;=E82,"Successful","Unsuccessful"),"🔒 BLOCKED — Wrong Code")),"—")</f>
        <v/>
      </c>
      <c r="K82" s="500">
        <f>IF(J82="Successful",TEXT(TODAY(),"YYYY-MM-DD")&amp;" Auto","—")</f>
        <v/>
      </c>
      <c r="L82" s="501" t="n"/>
    </row>
    <row r="83" ht="15" customHeight="1" s="341">
      <c r="A83" s="486" t="n"/>
      <c r="B83" s="378">
        <f>IF(A83="","",IFERROR(VLOOKUP(A83,DB_Customers!$A:$D,4,0),"❌ Account Not Found"))</f>
        <v/>
      </c>
      <c r="C83" s="487">
        <f>IF(A83="","",IFERROR(VLOOKUP(A83,DB_Customers!$A:$N,14,0),""))</f>
        <v/>
      </c>
      <c r="D83" s="488">
        <f>IF(A83="","",TODAY())</f>
        <v/>
      </c>
      <c r="E83" s="510" t="n"/>
      <c r="F83" s="378" t="n"/>
      <c r="G83" s="511">
        <f>IF(OR(A83="",E83=""),"",IF(C83="","",C83-E83))</f>
        <v/>
      </c>
      <c r="H83" s="380" t="inlineStr">
        <is>
          <t>Agent 03</t>
        </is>
      </c>
      <c r="I83" s="491" t="n"/>
      <c r="J83" s="492">
        <f>IF(AND(A83&lt;&gt;"",E83&lt;&gt;""),IF(I83="","⚠️ Enter Code",IF(IFERROR(VLOOKUP(H83,DB_Agents!$B:$I,8,0),"")=I83,IF(C83&gt;=E83,"Successful","Unsuccessful"),"🔒 BLOCKED — Wrong Code")),"—")</f>
        <v/>
      </c>
      <c r="K83" s="493">
        <f>IF(J83="Successful",TEXT(TODAY(),"YYYY-MM-DD")&amp;" Auto","—")</f>
        <v/>
      </c>
      <c r="L83" s="494" t="n"/>
    </row>
    <row r="84" ht="15" customHeight="1" s="341">
      <c r="A84" s="495" t="n"/>
      <c r="B84" s="382">
        <f>IF(A84="","",IFERROR(VLOOKUP(A84,DB_Customers!$A:$D,4,0),"❌ Account Not Found"))</f>
        <v/>
      </c>
      <c r="C84" s="496">
        <f>IF(A84="","",IFERROR(VLOOKUP(A84,DB_Customers!$A:$N,14,0),""))</f>
        <v/>
      </c>
      <c r="D84" s="497">
        <f>IF(A84="","",TODAY())</f>
        <v/>
      </c>
      <c r="E84" s="510" t="n"/>
      <c r="F84" s="382" t="n"/>
      <c r="G84" s="512">
        <f>IF(OR(A84="",E84=""),"",IF(C84="","",C84-E84))</f>
        <v/>
      </c>
      <c r="H84" s="384" t="inlineStr">
        <is>
          <t>Agent 03</t>
        </is>
      </c>
      <c r="I84" s="491" t="n"/>
      <c r="J84" s="499">
        <f>IF(AND(A84&lt;&gt;"",E84&lt;&gt;""),IF(I84="","⚠️ Enter Code",IF(IFERROR(VLOOKUP(H84,DB_Agents!$B:$I,8,0),"")=I84,IF(C84&gt;=E84,"Successful","Unsuccessful"),"🔒 BLOCKED — Wrong Code")),"—")</f>
        <v/>
      </c>
      <c r="K84" s="500">
        <f>IF(J84="Successful",TEXT(TODAY(),"YYYY-MM-DD")&amp;" Auto","—")</f>
        <v/>
      </c>
      <c r="L84" s="501" t="n"/>
    </row>
    <row r="85" ht="15" customHeight="1" s="341">
      <c r="A85" s="486" t="n"/>
      <c r="B85" s="378">
        <f>IF(A85="","",IFERROR(VLOOKUP(A85,DB_Customers!$A:$D,4,0),"❌ Account Not Found"))</f>
        <v/>
      </c>
      <c r="C85" s="487">
        <f>IF(A85="","",IFERROR(VLOOKUP(A85,DB_Customers!$A:$N,14,0),""))</f>
        <v/>
      </c>
      <c r="D85" s="488">
        <f>IF(A85="","",TODAY())</f>
        <v/>
      </c>
      <c r="E85" s="510" t="n"/>
      <c r="F85" s="378" t="n"/>
      <c r="G85" s="511">
        <f>IF(OR(A85="",E85=""),"",IF(C85="","",C85-E85))</f>
        <v/>
      </c>
      <c r="H85" s="380" t="inlineStr">
        <is>
          <t>Agent 03</t>
        </is>
      </c>
      <c r="I85" s="491" t="n"/>
      <c r="J85" s="492">
        <f>IF(AND(A85&lt;&gt;"",E85&lt;&gt;""),IF(I85="","⚠️ Enter Code",IF(IFERROR(VLOOKUP(H85,DB_Agents!$B:$I,8,0),"")=I85,IF(C85&gt;=E85,"Successful","Unsuccessful"),"🔒 BLOCKED — Wrong Code")),"—")</f>
        <v/>
      </c>
      <c r="K85" s="493">
        <f>IF(J85="Successful",TEXT(TODAY(),"YYYY-MM-DD")&amp;" Auto","—")</f>
        <v/>
      </c>
      <c r="L85" s="494" t="n"/>
    </row>
    <row r="86" ht="15" customHeight="1" s="341">
      <c r="A86" s="495" t="n"/>
      <c r="B86" s="382">
        <f>IF(A86="","",IFERROR(VLOOKUP(A86,DB_Customers!$A:$D,4,0),"❌ Account Not Found"))</f>
        <v/>
      </c>
      <c r="C86" s="496">
        <f>IF(A86="","",IFERROR(VLOOKUP(A86,DB_Customers!$A:$N,14,0),""))</f>
        <v/>
      </c>
      <c r="D86" s="497">
        <f>IF(A86="","",TODAY())</f>
        <v/>
      </c>
      <c r="E86" s="510" t="n"/>
      <c r="F86" s="382" t="n"/>
      <c r="G86" s="512">
        <f>IF(OR(A86="",E86=""),"",IF(C86="","",C86-E86))</f>
        <v/>
      </c>
      <c r="H86" s="384" t="inlineStr">
        <is>
          <t>Agent 03</t>
        </is>
      </c>
      <c r="I86" s="491" t="n"/>
      <c r="J86" s="499">
        <f>IF(AND(A86&lt;&gt;"",E86&lt;&gt;""),IF(I86="","⚠️ Enter Code",IF(IFERROR(VLOOKUP(H86,DB_Agents!$B:$I,8,0),"")=I86,IF(C86&gt;=E86,"Successful","Unsuccessful"),"🔒 BLOCKED — Wrong Code")),"—")</f>
        <v/>
      </c>
      <c r="K86" s="500">
        <f>IF(J86="Successful",TEXT(TODAY(),"YYYY-MM-DD")&amp;" Auto","—")</f>
        <v/>
      </c>
      <c r="L86" s="501" t="n"/>
    </row>
    <row r="87" ht="15" customHeight="1" s="341">
      <c r="A87" s="486" t="n"/>
      <c r="B87" s="378">
        <f>IF(A87="","",IFERROR(VLOOKUP(A87,DB_Customers!$A:$D,4,0),"❌ Account Not Found"))</f>
        <v/>
      </c>
      <c r="C87" s="487">
        <f>IF(A87="","",IFERROR(VLOOKUP(A87,DB_Customers!$A:$N,14,0),""))</f>
        <v/>
      </c>
      <c r="D87" s="488">
        <f>IF(A87="","",TODAY())</f>
        <v/>
      </c>
      <c r="E87" s="510" t="n"/>
      <c r="F87" s="378" t="n"/>
      <c r="G87" s="511">
        <f>IF(OR(A87="",E87=""),"",IF(C87="","",C87-E87))</f>
        <v/>
      </c>
      <c r="H87" s="380" t="inlineStr">
        <is>
          <t>Agent 03</t>
        </is>
      </c>
      <c r="I87" s="491" t="n"/>
      <c r="J87" s="492">
        <f>IF(AND(A87&lt;&gt;"",E87&lt;&gt;""),IF(I87="","⚠️ Enter Code",IF(IFERROR(VLOOKUP(H87,DB_Agents!$B:$I,8,0),"")=I87,IF(C87&gt;=E87,"Successful","Unsuccessful"),"🔒 BLOCKED — Wrong Code")),"—")</f>
        <v/>
      </c>
      <c r="K87" s="493">
        <f>IF(J87="Successful",TEXT(TODAY(),"YYYY-MM-DD")&amp;" Auto","—")</f>
        <v/>
      </c>
      <c r="L87" s="494" t="n"/>
    </row>
    <row r="88" ht="15" customHeight="1" s="341">
      <c r="A88" s="495" t="n"/>
      <c r="B88" s="382">
        <f>IF(A88="","",IFERROR(VLOOKUP(A88,DB_Customers!$A:$D,4,0),"❌ Account Not Found"))</f>
        <v/>
      </c>
      <c r="C88" s="496">
        <f>IF(A88="","",IFERROR(VLOOKUP(A88,DB_Customers!$A:$N,14,0),""))</f>
        <v/>
      </c>
      <c r="D88" s="497">
        <f>IF(A88="","",TODAY())</f>
        <v/>
      </c>
      <c r="E88" s="510" t="n"/>
      <c r="F88" s="382" t="n"/>
      <c r="G88" s="512">
        <f>IF(OR(A88="",E88=""),"",IF(C88="","",C88-E88))</f>
        <v/>
      </c>
      <c r="H88" s="384" t="inlineStr">
        <is>
          <t>Agent 03</t>
        </is>
      </c>
      <c r="I88" s="491" t="n"/>
      <c r="J88" s="499">
        <f>IF(AND(A88&lt;&gt;"",E88&lt;&gt;""),IF(I88="","⚠️ Enter Code",IF(IFERROR(VLOOKUP(H88,DB_Agents!$B:$I,8,0),"")=I88,IF(C88&gt;=E88,"Successful","Unsuccessful"),"🔒 BLOCKED — Wrong Code")),"—")</f>
        <v/>
      </c>
      <c r="K88" s="500">
        <f>IF(J88="Successful",TEXT(TODAY(),"YYYY-MM-DD")&amp;" Auto","—")</f>
        <v/>
      </c>
      <c r="L88" s="501" t="n"/>
    </row>
    <row r="89" ht="15" customHeight="1" s="341">
      <c r="A89" s="486" t="n"/>
      <c r="B89" s="378">
        <f>IF(A89="","",IFERROR(VLOOKUP(A89,DB_Customers!$A:$D,4,0),"❌ Account Not Found"))</f>
        <v/>
      </c>
      <c r="C89" s="487">
        <f>IF(A89="","",IFERROR(VLOOKUP(A89,DB_Customers!$A:$N,14,0),""))</f>
        <v/>
      </c>
      <c r="D89" s="488">
        <f>IF(A89="","",TODAY())</f>
        <v/>
      </c>
      <c r="E89" s="510" t="n"/>
      <c r="F89" s="378" t="n"/>
      <c r="G89" s="511">
        <f>IF(OR(A89="",E89=""),"",IF(C89="","",C89-E89))</f>
        <v/>
      </c>
      <c r="H89" s="380" t="inlineStr">
        <is>
          <t>Agent 03</t>
        </is>
      </c>
      <c r="I89" s="491" t="n"/>
      <c r="J89" s="492">
        <f>IF(AND(A89&lt;&gt;"",E89&lt;&gt;""),IF(I89="","⚠️ Enter Code",IF(IFERROR(VLOOKUP(H89,DB_Agents!$B:$I,8,0),"")=I89,IF(C89&gt;=E89,"Successful","Unsuccessful"),"🔒 BLOCKED — Wrong Code")),"—")</f>
        <v/>
      </c>
      <c r="K89" s="493">
        <f>IF(J89="Successful",TEXT(TODAY(),"YYYY-MM-DD")&amp;" Auto","—")</f>
        <v/>
      </c>
      <c r="L89" s="494" t="n"/>
    </row>
    <row r="90" ht="15" customHeight="1" s="341">
      <c r="A90" s="495" t="n"/>
      <c r="B90" s="382">
        <f>IF(A90="","",IFERROR(VLOOKUP(A90,DB_Customers!$A:$D,4,0),"❌ Account Not Found"))</f>
        <v/>
      </c>
      <c r="C90" s="496">
        <f>IF(A90="","",IFERROR(VLOOKUP(A90,DB_Customers!$A:$N,14,0),""))</f>
        <v/>
      </c>
      <c r="D90" s="497">
        <f>IF(A90="","",TODAY())</f>
        <v/>
      </c>
      <c r="E90" s="510" t="n"/>
      <c r="F90" s="382" t="n"/>
      <c r="G90" s="512">
        <f>IF(OR(A90="",E90=""),"",IF(C90="","",C90-E90))</f>
        <v/>
      </c>
      <c r="H90" s="384" t="inlineStr">
        <is>
          <t>Agent 03</t>
        </is>
      </c>
      <c r="I90" s="491" t="n"/>
      <c r="J90" s="499">
        <f>IF(AND(A90&lt;&gt;"",E90&lt;&gt;""),IF(I90="","⚠️ Enter Code",IF(IFERROR(VLOOKUP(H90,DB_Agents!$B:$I,8,0),"")=I90,IF(C90&gt;=E90,"Successful","Unsuccessful"),"🔒 BLOCKED — Wrong Code")),"—")</f>
        <v/>
      </c>
      <c r="K90" s="500">
        <f>IF(J90="Successful",TEXT(TODAY(),"YYYY-MM-DD")&amp;" Auto","—")</f>
        <v/>
      </c>
      <c r="L90" s="501" t="n"/>
    </row>
    <row r="91" ht="15" customHeight="1" s="341">
      <c r="A91" s="486" t="n"/>
      <c r="B91" s="378">
        <f>IF(A91="","",IFERROR(VLOOKUP(A91,DB_Customers!$A:$D,4,0),"❌ Account Not Found"))</f>
        <v/>
      </c>
      <c r="C91" s="487">
        <f>IF(A91="","",IFERROR(VLOOKUP(A91,DB_Customers!$A:$N,14,0),""))</f>
        <v/>
      </c>
      <c r="D91" s="488">
        <f>IF(A91="","",TODAY())</f>
        <v/>
      </c>
      <c r="E91" s="510" t="n"/>
      <c r="F91" s="378" t="n"/>
      <c r="G91" s="511">
        <f>IF(OR(A91="",E91=""),"",IF(C91="","",C91-E91))</f>
        <v/>
      </c>
      <c r="H91" s="380" t="inlineStr">
        <is>
          <t>Agent 03</t>
        </is>
      </c>
      <c r="I91" s="491" t="n"/>
      <c r="J91" s="492">
        <f>IF(AND(A91&lt;&gt;"",E91&lt;&gt;""),IF(I91="","⚠️ Enter Code",IF(IFERROR(VLOOKUP(H91,DB_Agents!$B:$I,8,0),"")=I91,IF(C91&gt;=E91,"Successful","Unsuccessful"),"🔒 BLOCKED — Wrong Code")),"—")</f>
        <v/>
      </c>
      <c r="K91" s="493">
        <f>IF(J91="Successful",TEXT(TODAY(),"YYYY-MM-DD")&amp;" Auto","—")</f>
        <v/>
      </c>
      <c r="L91" s="494" t="n"/>
    </row>
    <row r="92" ht="15" customHeight="1" s="341">
      <c r="A92" s="495" t="n"/>
      <c r="B92" s="382">
        <f>IF(A92="","",IFERROR(VLOOKUP(A92,DB_Customers!$A:$D,4,0),"❌ Account Not Found"))</f>
        <v/>
      </c>
      <c r="C92" s="496">
        <f>IF(A92="","",IFERROR(VLOOKUP(A92,DB_Customers!$A:$N,14,0),""))</f>
        <v/>
      </c>
      <c r="D92" s="497">
        <f>IF(A92="","",TODAY())</f>
        <v/>
      </c>
      <c r="E92" s="510" t="n"/>
      <c r="F92" s="382" t="n"/>
      <c r="G92" s="512">
        <f>IF(OR(A92="",E92=""),"",IF(C92="","",C92-E92))</f>
        <v/>
      </c>
      <c r="H92" s="384" t="inlineStr">
        <is>
          <t>Agent 03</t>
        </is>
      </c>
      <c r="I92" s="491" t="n"/>
      <c r="J92" s="499">
        <f>IF(AND(A92&lt;&gt;"",E92&lt;&gt;""),IF(I92="","⚠️ Enter Code",IF(IFERROR(VLOOKUP(H92,DB_Agents!$B:$I,8,0),"")=I92,IF(C92&gt;=E92,"Successful","Unsuccessful"),"🔒 BLOCKED — Wrong Code")),"—")</f>
        <v/>
      </c>
      <c r="K92" s="500">
        <f>IF(J92="Successful",TEXT(TODAY(),"YYYY-MM-DD")&amp;" Auto","—")</f>
        <v/>
      </c>
      <c r="L92" s="501" t="n"/>
    </row>
    <row r="93" ht="15" customHeight="1" s="341">
      <c r="A93" s="486" t="n"/>
      <c r="B93" s="378">
        <f>IF(A93="","",IFERROR(VLOOKUP(A93,DB_Customers!$A:$D,4,0),"❌ Account Not Found"))</f>
        <v/>
      </c>
      <c r="C93" s="487">
        <f>IF(A93="","",IFERROR(VLOOKUP(A93,DB_Customers!$A:$N,14,0),""))</f>
        <v/>
      </c>
      <c r="D93" s="488">
        <f>IF(A93="","",TODAY())</f>
        <v/>
      </c>
      <c r="E93" s="510" t="n"/>
      <c r="F93" s="378" t="n"/>
      <c r="G93" s="511">
        <f>IF(OR(A93="",E93=""),"",IF(C93="","",C93-E93))</f>
        <v/>
      </c>
      <c r="H93" s="380" t="inlineStr">
        <is>
          <t>Agent 03</t>
        </is>
      </c>
      <c r="I93" s="491" t="n"/>
      <c r="J93" s="492">
        <f>IF(AND(A93&lt;&gt;"",E93&lt;&gt;""),IF(I93="","⚠️ Enter Code",IF(IFERROR(VLOOKUP(H93,DB_Agents!$B:$I,8,0),"")=I93,IF(C93&gt;=E93,"Successful","Unsuccessful"),"🔒 BLOCKED — Wrong Code")),"—")</f>
        <v/>
      </c>
      <c r="K93" s="493">
        <f>IF(J93="Successful",TEXT(TODAY(),"YYYY-MM-DD")&amp;" Auto","—")</f>
        <v/>
      </c>
      <c r="L93" s="494" t="n"/>
    </row>
    <row r="94" ht="15" customHeight="1" s="341">
      <c r="A94" s="495" t="n"/>
      <c r="B94" s="382">
        <f>IF(A94="","",IFERROR(VLOOKUP(A94,DB_Customers!$A:$D,4,0),"❌ Account Not Found"))</f>
        <v/>
      </c>
      <c r="C94" s="496">
        <f>IF(A94="","",IFERROR(VLOOKUP(A94,DB_Customers!$A:$N,14,0),""))</f>
        <v/>
      </c>
      <c r="D94" s="497">
        <f>IF(A94="","",TODAY())</f>
        <v/>
      </c>
      <c r="E94" s="510" t="n"/>
      <c r="F94" s="382" t="n"/>
      <c r="G94" s="512">
        <f>IF(OR(A94="",E94=""),"",IF(C94="","",C94-E94))</f>
        <v/>
      </c>
      <c r="H94" s="384" t="inlineStr">
        <is>
          <t>Agent 03</t>
        </is>
      </c>
      <c r="I94" s="491" t="n"/>
      <c r="J94" s="499">
        <f>IF(AND(A94&lt;&gt;"",E94&lt;&gt;""),IF(I94="","⚠️ Enter Code",IF(IFERROR(VLOOKUP(H94,DB_Agents!$B:$I,8,0),"")=I94,IF(C94&gt;=E94,"Successful","Unsuccessful"),"🔒 BLOCKED — Wrong Code")),"—")</f>
        <v/>
      </c>
      <c r="K94" s="500">
        <f>IF(J94="Successful",TEXT(TODAY(),"YYYY-MM-DD")&amp;" Auto","—")</f>
        <v/>
      </c>
      <c r="L94" s="501" t="n"/>
    </row>
    <row r="95" ht="15" customHeight="1" s="341">
      <c r="A95" s="486" t="n"/>
      <c r="B95" s="378">
        <f>IF(A95="","",IFERROR(VLOOKUP(A95,DB_Customers!$A:$D,4,0),"❌ Account Not Found"))</f>
        <v/>
      </c>
      <c r="C95" s="487">
        <f>IF(A95="","",IFERROR(VLOOKUP(A95,DB_Customers!$A:$N,14,0),""))</f>
        <v/>
      </c>
      <c r="D95" s="488">
        <f>IF(A95="","",TODAY())</f>
        <v/>
      </c>
      <c r="E95" s="510" t="n"/>
      <c r="F95" s="378" t="n"/>
      <c r="G95" s="511">
        <f>IF(OR(A95="",E95=""),"",IF(C95="","",C95-E95))</f>
        <v/>
      </c>
      <c r="H95" s="380" t="inlineStr">
        <is>
          <t>Agent 03</t>
        </is>
      </c>
      <c r="I95" s="491" t="n"/>
      <c r="J95" s="492">
        <f>IF(AND(A95&lt;&gt;"",E95&lt;&gt;""),IF(I95="","⚠️ Enter Code",IF(IFERROR(VLOOKUP(H95,DB_Agents!$B:$I,8,0),"")=I95,IF(C95&gt;=E95,"Successful","Unsuccessful"),"🔒 BLOCKED — Wrong Code")),"—")</f>
        <v/>
      </c>
      <c r="K95" s="493">
        <f>IF(J95="Successful",TEXT(TODAY(),"YYYY-MM-DD")&amp;" Auto","—")</f>
        <v/>
      </c>
      <c r="L95" s="494" t="n"/>
    </row>
    <row r="96" ht="15" customHeight="1" s="341">
      <c r="A96" s="495" t="n"/>
      <c r="B96" s="382">
        <f>IF(A96="","",IFERROR(VLOOKUP(A96,DB_Customers!$A:$D,4,0),"❌ Account Not Found"))</f>
        <v/>
      </c>
      <c r="C96" s="496">
        <f>IF(A96="","",IFERROR(VLOOKUP(A96,DB_Customers!$A:$N,14,0),""))</f>
        <v/>
      </c>
      <c r="D96" s="497">
        <f>IF(A96="","",TODAY())</f>
        <v/>
      </c>
      <c r="E96" s="510" t="n"/>
      <c r="F96" s="382" t="n"/>
      <c r="G96" s="512">
        <f>IF(OR(A96="",E96=""),"",IF(C96="","",C96-E96))</f>
        <v/>
      </c>
      <c r="H96" s="384" t="inlineStr">
        <is>
          <t>Agent 03</t>
        </is>
      </c>
      <c r="I96" s="491" t="n"/>
      <c r="J96" s="499">
        <f>IF(AND(A96&lt;&gt;"",E96&lt;&gt;""),IF(I96="","⚠️ Enter Code",IF(IFERROR(VLOOKUP(H96,DB_Agents!$B:$I,8,0),"")=I96,IF(C96&gt;=E96,"Successful","Unsuccessful"),"🔒 BLOCKED — Wrong Code")),"—")</f>
        <v/>
      </c>
      <c r="K96" s="500">
        <f>IF(J96="Successful",TEXT(TODAY(),"YYYY-MM-DD")&amp;" Auto","—")</f>
        <v/>
      </c>
      <c r="L96" s="501" t="n"/>
    </row>
    <row r="97" ht="15" customHeight="1" s="341">
      <c r="A97" s="486" t="n"/>
      <c r="B97" s="378">
        <f>IF(A97="","",IFERROR(VLOOKUP(A97,DB_Customers!$A:$D,4,0),"❌ Account Not Found"))</f>
        <v/>
      </c>
      <c r="C97" s="487">
        <f>IF(A97="","",IFERROR(VLOOKUP(A97,DB_Customers!$A:$N,14,0),""))</f>
        <v/>
      </c>
      <c r="D97" s="488">
        <f>IF(A97="","",TODAY())</f>
        <v/>
      </c>
      <c r="E97" s="510" t="n"/>
      <c r="F97" s="378" t="n"/>
      <c r="G97" s="511">
        <f>IF(OR(A97="",E97=""),"",IF(C97="","",C97-E97))</f>
        <v/>
      </c>
      <c r="H97" s="380" t="inlineStr">
        <is>
          <t>Agent 03</t>
        </is>
      </c>
      <c r="I97" s="491" t="n"/>
      <c r="J97" s="492">
        <f>IF(AND(A97&lt;&gt;"",E97&lt;&gt;""),IF(I97="","⚠️ Enter Code",IF(IFERROR(VLOOKUP(H97,DB_Agents!$B:$I,8,0),"")=I97,IF(C97&gt;=E97,"Successful","Unsuccessful"),"🔒 BLOCKED — Wrong Code")),"—")</f>
        <v/>
      </c>
      <c r="K97" s="493">
        <f>IF(J97="Successful",TEXT(TODAY(),"YYYY-MM-DD")&amp;" Auto","—")</f>
        <v/>
      </c>
      <c r="L97" s="494" t="n"/>
    </row>
    <row r="98" ht="15" customHeight="1" s="341">
      <c r="A98" s="495" t="n"/>
      <c r="B98" s="382">
        <f>IF(A98="","",IFERROR(VLOOKUP(A98,DB_Customers!$A:$D,4,0),"❌ Account Not Found"))</f>
        <v/>
      </c>
      <c r="C98" s="496">
        <f>IF(A98="","",IFERROR(VLOOKUP(A98,DB_Customers!$A:$N,14,0),""))</f>
        <v/>
      </c>
      <c r="D98" s="497">
        <f>IF(A98="","",TODAY())</f>
        <v/>
      </c>
      <c r="E98" s="510" t="n"/>
      <c r="F98" s="382" t="n"/>
      <c r="G98" s="512">
        <f>IF(OR(A98="",E98=""),"",IF(C98="","",C98-E98))</f>
        <v/>
      </c>
      <c r="H98" s="384" t="inlineStr">
        <is>
          <t>Agent 03</t>
        </is>
      </c>
      <c r="I98" s="491" t="n"/>
      <c r="J98" s="499">
        <f>IF(AND(A98&lt;&gt;"",E98&lt;&gt;""),IF(I98="","⚠️ Enter Code",IF(IFERROR(VLOOKUP(H98,DB_Agents!$B:$I,8,0),"")=I98,IF(C98&gt;=E98,"Successful","Unsuccessful"),"🔒 BLOCKED — Wrong Code")),"—")</f>
        <v/>
      </c>
      <c r="K98" s="500">
        <f>IF(J98="Successful",TEXT(TODAY(),"YYYY-MM-DD")&amp;" Auto","—")</f>
        <v/>
      </c>
      <c r="L98" s="501" t="n"/>
    </row>
    <row r="99" ht="15" customHeight="1" s="341">
      <c r="A99" s="486" t="n"/>
      <c r="B99" s="378">
        <f>IF(A99="","",IFERROR(VLOOKUP(A99,DB_Customers!$A:$D,4,0),"❌ Account Not Found"))</f>
        <v/>
      </c>
      <c r="C99" s="487">
        <f>IF(A99="","",IFERROR(VLOOKUP(A99,DB_Customers!$A:$N,14,0),""))</f>
        <v/>
      </c>
      <c r="D99" s="488">
        <f>IF(A99="","",TODAY())</f>
        <v/>
      </c>
      <c r="E99" s="510" t="n"/>
      <c r="F99" s="378" t="n"/>
      <c r="G99" s="511">
        <f>IF(OR(A99="",E99=""),"",IF(C99="","",C99-E99))</f>
        <v/>
      </c>
      <c r="H99" s="380" t="inlineStr">
        <is>
          <t>Agent 03</t>
        </is>
      </c>
      <c r="I99" s="491" t="n"/>
      <c r="J99" s="492">
        <f>IF(AND(A99&lt;&gt;"",E99&lt;&gt;""),IF(I99="","⚠️ Enter Code",IF(IFERROR(VLOOKUP(H99,DB_Agents!$B:$I,8,0),"")=I99,IF(C99&gt;=E99,"Successful","Unsuccessful"),"🔒 BLOCKED — Wrong Code")),"—")</f>
        <v/>
      </c>
      <c r="K99" s="493">
        <f>IF(J99="Successful",TEXT(TODAY(),"YYYY-MM-DD")&amp;" Auto","—")</f>
        <v/>
      </c>
      <c r="L99" s="494" t="n"/>
    </row>
    <row r="100" ht="15" customHeight="1" s="341">
      <c r="A100" s="495" t="n"/>
      <c r="B100" s="382">
        <f>IF(A100="","",IFERROR(VLOOKUP(A100,DB_Customers!$A:$D,4,0),"❌ Account Not Found"))</f>
        <v/>
      </c>
      <c r="C100" s="496">
        <f>IF(A100="","",IFERROR(VLOOKUP(A100,DB_Customers!$A:$N,14,0),""))</f>
        <v/>
      </c>
      <c r="D100" s="497">
        <f>IF(A100="","",TODAY())</f>
        <v/>
      </c>
      <c r="E100" s="510" t="n"/>
      <c r="F100" s="382" t="n"/>
      <c r="G100" s="512">
        <f>IF(OR(A100="",E100=""),"",IF(C100="","",C100-E100))</f>
        <v/>
      </c>
      <c r="H100" s="384" t="inlineStr">
        <is>
          <t>Agent 03</t>
        </is>
      </c>
      <c r="I100" s="491" t="n"/>
      <c r="J100" s="499">
        <f>IF(AND(A100&lt;&gt;"",E100&lt;&gt;""),IF(I100="","⚠️ Enter Code",IF(IFERROR(VLOOKUP(H100,DB_Agents!$B:$I,8,0),"")=I100,IF(C100&gt;=E100,"Successful","Unsuccessful"),"🔒 BLOCKED — Wrong Code")),"—")</f>
        <v/>
      </c>
      <c r="K100" s="500">
        <f>IF(J100="Successful",TEXT(TODAY(),"YYYY-MM-DD")&amp;" Auto","—")</f>
        <v/>
      </c>
      <c r="L100" s="501" t="n"/>
    </row>
    <row r="101" ht="15" customHeight="1" s="341">
      <c r="A101" s="486" t="n"/>
      <c r="B101" s="378">
        <f>IF(A101="","",IFERROR(VLOOKUP(A101,DB_Customers!$A:$D,4,0),"❌ Account Not Found"))</f>
        <v/>
      </c>
      <c r="C101" s="487">
        <f>IF(A101="","",IFERROR(VLOOKUP(A101,DB_Customers!$A:$N,14,0),""))</f>
        <v/>
      </c>
      <c r="D101" s="488">
        <f>IF(A101="","",TODAY())</f>
        <v/>
      </c>
      <c r="E101" s="510" t="n"/>
      <c r="F101" s="378" t="n"/>
      <c r="G101" s="511">
        <f>IF(OR(A101="",E101=""),"",IF(C101="","",C101-E101))</f>
        <v/>
      </c>
      <c r="H101" s="380" t="inlineStr">
        <is>
          <t>Agent 03</t>
        </is>
      </c>
      <c r="I101" s="491" t="n"/>
      <c r="J101" s="492">
        <f>IF(AND(A101&lt;&gt;"",E101&lt;&gt;""),IF(I101="","⚠️ Enter Code",IF(IFERROR(VLOOKUP(H101,DB_Agents!$B:$I,8,0),"")=I101,IF(C101&gt;=E101,"Successful","Unsuccessful"),"🔒 BLOCKED — Wrong Code")),"—")</f>
        <v/>
      </c>
      <c r="K101" s="493">
        <f>IF(J101="Successful",TEXT(TODAY(),"YYYY-MM-DD")&amp;" Auto","—")</f>
        <v/>
      </c>
      <c r="L101" s="494" t="n"/>
    </row>
    <row r="102" ht="15" customHeight="1" s="341">
      <c r="A102" s="495" t="n"/>
      <c r="B102" s="382">
        <f>IF(A102="","",IFERROR(VLOOKUP(A102,DB_Customers!$A:$D,4,0),"❌ Account Not Found"))</f>
        <v/>
      </c>
      <c r="C102" s="496">
        <f>IF(A102="","",IFERROR(VLOOKUP(A102,DB_Customers!$A:$N,14,0),""))</f>
        <v/>
      </c>
      <c r="D102" s="497">
        <f>IF(A102="","",TODAY())</f>
        <v/>
      </c>
      <c r="E102" s="510" t="n"/>
      <c r="F102" s="382" t="n"/>
      <c r="G102" s="512">
        <f>IF(OR(A102="",E102=""),"",IF(C102="","",C102-E102))</f>
        <v/>
      </c>
      <c r="H102" s="384" t="inlineStr">
        <is>
          <t>Agent 03</t>
        </is>
      </c>
      <c r="I102" s="491" t="n"/>
      <c r="J102" s="499">
        <f>IF(AND(A102&lt;&gt;"",E102&lt;&gt;""),IF(I102="","⚠️ Enter Code",IF(IFERROR(VLOOKUP(H102,DB_Agents!$B:$I,8,0),"")=I102,IF(C102&gt;=E102,"Successful","Unsuccessful"),"🔒 BLOCKED — Wrong Code")),"—")</f>
        <v/>
      </c>
      <c r="K102" s="500">
        <f>IF(J102="Successful",TEXT(TODAY(),"YYYY-MM-DD")&amp;" Auto","—")</f>
        <v/>
      </c>
      <c r="L102" s="501" t="n"/>
    </row>
    <row r="103" ht="15" customHeight="1" s="341">
      <c r="A103" s="486" t="n"/>
      <c r="B103" s="378">
        <f>IF(A103="","",IFERROR(VLOOKUP(A103,DB_Customers!$A:$D,4,0),"❌ Account Not Found"))</f>
        <v/>
      </c>
      <c r="C103" s="487">
        <f>IF(A103="","",IFERROR(VLOOKUP(A103,DB_Customers!$A:$N,14,0),""))</f>
        <v/>
      </c>
      <c r="D103" s="488">
        <f>IF(A103="","",TODAY())</f>
        <v/>
      </c>
      <c r="E103" s="510" t="n"/>
      <c r="F103" s="378" t="n"/>
      <c r="G103" s="511">
        <f>IF(OR(A103="",E103=""),"",IF(C103="","",C103-E103))</f>
        <v/>
      </c>
      <c r="H103" s="380" t="inlineStr">
        <is>
          <t>Agent 03</t>
        </is>
      </c>
      <c r="I103" s="491" t="n"/>
      <c r="J103" s="492">
        <f>IF(AND(A103&lt;&gt;"",E103&lt;&gt;""),IF(I103="","⚠️ Enter Code",IF(IFERROR(VLOOKUP(H103,DB_Agents!$B:$I,8,0),"")=I103,IF(C103&gt;=E103,"Successful","Unsuccessful"),"🔒 BLOCKED — Wrong Code")),"—")</f>
        <v/>
      </c>
      <c r="K103" s="493">
        <f>IF(J103="Successful",TEXT(TODAY(),"YYYY-MM-DD")&amp;" Auto","—")</f>
        <v/>
      </c>
      <c r="L103" s="494" t="n"/>
    </row>
    <row r="104" ht="15" customHeight="1" s="341">
      <c r="A104" s="495" t="n"/>
      <c r="B104" s="382">
        <f>IF(A104="","",IFERROR(VLOOKUP(A104,DB_Customers!$A:$D,4,0),"❌ Account Not Found"))</f>
        <v/>
      </c>
      <c r="C104" s="496">
        <f>IF(A104="","",IFERROR(VLOOKUP(A104,DB_Customers!$A:$N,14,0),""))</f>
        <v/>
      </c>
      <c r="D104" s="497">
        <f>IF(A104="","",TODAY())</f>
        <v/>
      </c>
      <c r="E104" s="510" t="n"/>
      <c r="F104" s="382" t="n"/>
      <c r="G104" s="512">
        <f>IF(OR(A104="",E104=""),"",IF(C104="","",C104-E104))</f>
        <v/>
      </c>
      <c r="H104" s="384" t="inlineStr">
        <is>
          <t>Agent 03</t>
        </is>
      </c>
      <c r="I104" s="491" t="n"/>
      <c r="J104" s="499">
        <f>IF(AND(A104&lt;&gt;"",E104&lt;&gt;""),IF(I104="","⚠️ Enter Code",IF(IFERROR(VLOOKUP(H104,DB_Agents!$B:$I,8,0),"")=I104,IF(C104&gt;=E104,"Successful","Unsuccessful"),"🔒 BLOCKED — Wrong Code")),"—")</f>
        <v/>
      </c>
      <c r="K104" s="500">
        <f>IF(J104="Successful",TEXT(TODAY(),"YYYY-MM-DD")&amp;" Auto","—")</f>
        <v/>
      </c>
      <c r="L104" s="501" t="n"/>
    </row>
    <row r="105" ht="15" customHeight="1" s="341">
      <c r="A105" s="486" t="n"/>
      <c r="B105" s="378">
        <f>IF(A105="","",IFERROR(VLOOKUP(A105,DB_Customers!$A:$D,4,0),"❌ Account Not Found"))</f>
        <v/>
      </c>
      <c r="C105" s="487">
        <f>IF(A105="","",IFERROR(VLOOKUP(A105,DB_Customers!$A:$N,14,0),""))</f>
        <v/>
      </c>
      <c r="D105" s="488">
        <f>IF(A105="","",TODAY())</f>
        <v/>
      </c>
      <c r="E105" s="510" t="n"/>
      <c r="F105" s="378" t="n"/>
      <c r="G105" s="511">
        <f>IF(OR(A105="",E105=""),"",IF(C105="","",C105-E105))</f>
        <v/>
      </c>
      <c r="H105" s="380" t="inlineStr">
        <is>
          <t>Agent 03</t>
        </is>
      </c>
      <c r="I105" s="491" t="n"/>
      <c r="J105" s="492">
        <f>IF(AND(A105&lt;&gt;"",E105&lt;&gt;""),IF(I105="","⚠️ Enter Code",IF(IFERROR(VLOOKUP(H105,DB_Agents!$B:$I,8,0),"")=I105,IF(C105&gt;=E105,"Successful","Unsuccessful"),"🔒 BLOCKED — Wrong Code")),"—")</f>
        <v/>
      </c>
      <c r="K105" s="493">
        <f>IF(J105="Successful",TEXT(TODAY(),"YYYY-MM-DD")&amp;" Auto","—")</f>
        <v/>
      </c>
      <c r="L105" s="494" t="n"/>
    </row>
    <row r="106" ht="15" customHeight="1" s="341">
      <c r="A106" s="495" t="n"/>
      <c r="B106" s="382">
        <f>IF(A106="","",IFERROR(VLOOKUP(A106,DB_Customers!$A:$D,4,0),"❌ Account Not Found"))</f>
        <v/>
      </c>
      <c r="C106" s="496">
        <f>IF(A106="","",IFERROR(VLOOKUP(A106,DB_Customers!$A:$N,14,0),""))</f>
        <v/>
      </c>
      <c r="D106" s="497">
        <f>IF(A106="","",TODAY())</f>
        <v/>
      </c>
      <c r="E106" s="510" t="n"/>
      <c r="F106" s="382" t="n"/>
      <c r="G106" s="512">
        <f>IF(OR(A106="",E106=""),"",IF(C106="","",C106-E106))</f>
        <v/>
      </c>
      <c r="H106" s="384" t="inlineStr">
        <is>
          <t>Agent 03</t>
        </is>
      </c>
      <c r="I106" s="491" t="n"/>
      <c r="J106" s="499">
        <f>IF(AND(A106&lt;&gt;"",E106&lt;&gt;""),IF(I106="","⚠️ Enter Code",IF(IFERROR(VLOOKUP(H106,DB_Agents!$B:$I,8,0),"")=I106,IF(C106&gt;=E106,"Successful","Unsuccessful"),"🔒 BLOCKED — Wrong Code")),"—")</f>
        <v/>
      </c>
      <c r="K106" s="500">
        <f>IF(J106="Successful",TEXT(TODAY(),"YYYY-MM-DD")&amp;" Auto","—")</f>
        <v/>
      </c>
      <c r="L106" s="501" t="n"/>
    </row>
    <row r="107" ht="15" customHeight="1" s="341">
      <c r="A107" s="486" t="n"/>
      <c r="B107" s="378">
        <f>IF(A107="","",IFERROR(VLOOKUP(A107,DB_Customers!$A:$D,4,0),"❌ Account Not Found"))</f>
        <v/>
      </c>
      <c r="C107" s="487">
        <f>IF(A107="","",IFERROR(VLOOKUP(A107,DB_Customers!$A:$N,14,0),""))</f>
        <v/>
      </c>
      <c r="D107" s="488">
        <f>IF(A107="","",TODAY())</f>
        <v/>
      </c>
      <c r="E107" s="510" t="n"/>
      <c r="F107" s="378" t="n"/>
      <c r="G107" s="511">
        <f>IF(OR(A107="",E107=""),"",IF(C107="","",C107-E107))</f>
        <v/>
      </c>
      <c r="H107" s="380" t="inlineStr">
        <is>
          <t>Agent 03</t>
        </is>
      </c>
      <c r="I107" s="491" t="n"/>
      <c r="J107" s="492">
        <f>IF(AND(A107&lt;&gt;"",E107&lt;&gt;""),IF(I107="","⚠️ Enter Code",IF(IFERROR(VLOOKUP(H107,DB_Agents!$B:$I,8,0),"")=I107,IF(C107&gt;=E107,"Successful","Unsuccessful"),"🔒 BLOCKED — Wrong Code")),"—")</f>
        <v/>
      </c>
      <c r="K107" s="493">
        <f>IF(J107="Successful",TEXT(TODAY(),"YYYY-MM-DD")&amp;" Auto","—")</f>
        <v/>
      </c>
      <c r="L107" s="494" t="n"/>
    </row>
    <row r="108" ht="15" customHeight="1" s="341">
      <c r="A108" s="495" t="n"/>
      <c r="B108" s="382">
        <f>IF(A108="","",IFERROR(VLOOKUP(A108,DB_Customers!$A:$D,4,0),"❌ Account Not Found"))</f>
        <v/>
      </c>
      <c r="C108" s="496">
        <f>IF(A108="","",IFERROR(VLOOKUP(A108,DB_Customers!$A:$N,14,0),""))</f>
        <v/>
      </c>
      <c r="D108" s="497">
        <f>IF(A108="","",TODAY())</f>
        <v/>
      </c>
      <c r="E108" s="510" t="n"/>
      <c r="F108" s="382" t="n"/>
      <c r="G108" s="512">
        <f>IF(OR(A108="",E108=""),"",IF(C108="","",C108-E108))</f>
        <v/>
      </c>
      <c r="H108" s="384" t="inlineStr">
        <is>
          <t>Agent 03</t>
        </is>
      </c>
      <c r="I108" s="491" t="n"/>
      <c r="J108" s="499">
        <f>IF(AND(A108&lt;&gt;"",E108&lt;&gt;""),IF(I108="","⚠️ Enter Code",IF(IFERROR(VLOOKUP(H108,DB_Agents!$B:$I,8,0),"")=I108,IF(C108&gt;=E108,"Successful","Unsuccessful"),"🔒 BLOCKED — Wrong Code")),"—")</f>
        <v/>
      </c>
      <c r="K108" s="500">
        <f>IF(J108="Successful",TEXT(TODAY(),"YYYY-MM-DD")&amp;" Auto","—")</f>
        <v/>
      </c>
      <c r="L108" s="501" t="n"/>
    </row>
    <row r="109" ht="15" customHeight="1" s="341">
      <c r="A109" s="486" t="n"/>
      <c r="B109" s="378">
        <f>IF(A109="","",IFERROR(VLOOKUP(A109,DB_Customers!$A:$D,4,0),"❌ Account Not Found"))</f>
        <v/>
      </c>
      <c r="C109" s="487">
        <f>IF(A109="","",IFERROR(VLOOKUP(A109,DB_Customers!$A:$N,14,0),""))</f>
        <v/>
      </c>
      <c r="D109" s="488">
        <f>IF(A109="","",TODAY())</f>
        <v/>
      </c>
      <c r="E109" s="510" t="n"/>
      <c r="F109" s="378" t="n"/>
      <c r="G109" s="511">
        <f>IF(OR(A109="",E109=""),"",IF(C109="","",C109-E109))</f>
        <v/>
      </c>
      <c r="H109" s="380" t="inlineStr">
        <is>
          <t>Agent 03</t>
        </is>
      </c>
      <c r="I109" s="491" t="n"/>
      <c r="J109" s="492">
        <f>IF(AND(A109&lt;&gt;"",E109&lt;&gt;""),IF(I109="","⚠️ Enter Code",IF(IFERROR(VLOOKUP(H109,DB_Agents!$B:$I,8,0),"")=I109,IF(C109&gt;=E109,"Successful","Unsuccessful"),"🔒 BLOCKED — Wrong Code")),"—")</f>
        <v/>
      </c>
      <c r="K109" s="493">
        <f>IF(J109="Successful",TEXT(TODAY(),"YYYY-MM-DD")&amp;" Auto","—")</f>
        <v/>
      </c>
      <c r="L109" s="494" t="n"/>
    </row>
    <row r="110" ht="15" customHeight="1" s="341">
      <c r="A110" s="495" t="n"/>
      <c r="B110" s="382">
        <f>IF(A110="","",IFERROR(VLOOKUP(A110,DB_Customers!$A:$D,4,0),"❌ Account Not Found"))</f>
        <v/>
      </c>
      <c r="C110" s="496">
        <f>IF(A110="","",IFERROR(VLOOKUP(A110,DB_Customers!$A:$N,14,0),""))</f>
        <v/>
      </c>
      <c r="D110" s="497">
        <f>IF(A110="","",TODAY())</f>
        <v/>
      </c>
      <c r="E110" s="510" t="n"/>
      <c r="F110" s="382" t="n"/>
      <c r="G110" s="512">
        <f>IF(OR(A110="",E110=""),"",IF(C110="","",C110-E110))</f>
        <v/>
      </c>
      <c r="H110" s="384" t="inlineStr">
        <is>
          <t>Agent 03</t>
        </is>
      </c>
      <c r="I110" s="491" t="n"/>
      <c r="J110" s="499">
        <f>IF(AND(A110&lt;&gt;"",E110&lt;&gt;""),IF(I110="","⚠️ Enter Code",IF(IFERROR(VLOOKUP(H110,DB_Agents!$B:$I,8,0),"")=I110,IF(C110&gt;=E110,"Successful","Unsuccessful"),"🔒 BLOCKED — Wrong Code")),"—")</f>
        <v/>
      </c>
      <c r="K110" s="500">
        <f>IF(J110="Successful",TEXT(TODAY(),"YYYY-MM-DD")&amp;" Auto","—")</f>
        <v/>
      </c>
      <c r="L110" s="501" t="n"/>
    </row>
    <row r="111" ht="15" customHeight="1" s="341">
      <c r="A111" s="486" t="n"/>
      <c r="B111" s="378">
        <f>IF(A111="","",IFERROR(VLOOKUP(A111,DB_Customers!$A:$D,4,0),"❌ Account Not Found"))</f>
        <v/>
      </c>
      <c r="C111" s="487">
        <f>IF(A111="","",IFERROR(VLOOKUP(A111,DB_Customers!$A:$N,14,0),""))</f>
        <v/>
      </c>
      <c r="D111" s="488">
        <f>IF(A111="","",TODAY())</f>
        <v/>
      </c>
      <c r="E111" s="510" t="n"/>
      <c r="F111" s="378" t="n"/>
      <c r="G111" s="511">
        <f>IF(OR(A111="",E111=""),"",IF(C111="","",C111-E111))</f>
        <v/>
      </c>
      <c r="H111" s="380" t="inlineStr">
        <is>
          <t>Agent 03</t>
        </is>
      </c>
      <c r="I111" s="491" t="n"/>
      <c r="J111" s="492">
        <f>IF(AND(A111&lt;&gt;"",E111&lt;&gt;""),IF(I111="","⚠️ Enter Code",IF(IFERROR(VLOOKUP(H111,DB_Agents!$B:$I,8,0),"")=I111,IF(C111&gt;=E111,"Successful","Unsuccessful"),"🔒 BLOCKED — Wrong Code")),"—")</f>
        <v/>
      </c>
      <c r="K111" s="493">
        <f>IF(J111="Successful",TEXT(TODAY(),"YYYY-MM-DD")&amp;" Auto","—")</f>
        <v/>
      </c>
      <c r="L111" s="494" t="n"/>
    </row>
    <row r="112" ht="15" customHeight="1" s="341">
      <c r="A112" s="495" t="n"/>
      <c r="B112" s="382">
        <f>IF(A112="","",IFERROR(VLOOKUP(A112,DB_Customers!$A:$D,4,0),"❌ Account Not Found"))</f>
        <v/>
      </c>
      <c r="C112" s="496">
        <f>IF(A112="","",IFERROR(VLOOKUP(A112,DB_Customers!$A:$N,14,0),""))</f>
        <v/>
      </c>
      <c r="D112" s="497">
        <f>IF(A112="","",TODAY())</f>
        <v/>
      </c>
      <c r="E112" s="510" t="n"/>
      <c r="F112" s="382" t="n"/>
      <c r="G112" s="512">
        <f>IF(OR(A112="",E112=""),"",IF(C112="","",C112-E112))</f>
        <v/>
      </c>
      <c r="H112" s="384" t="inlineStr">
        <is>
          <t>Agent 03</t>
        </is>
      </c>
      <c r="I112" s="491" t="n"/>
      <c r="J112" s="499">
        <f>IF(AND(A112&lt;&gt;"",E112&lt;&gt;""),IF(I112="","⚠️ Enter Code",IF(IFERROR(VLOOKUP(H112,DB_Agents!$B:$I,8,0),"")=I112,IF(C112&gt;=E112,"Successful","Unsuccessful"),"🔒 BLOCKED — Wrong Code")),"—")</f>
        <v/>
      </c>
      <c r="K112" s="500">
        <f>IF(J112="Successful",TEXT(TODAY(),"YYYY-MM-DD")&amp;" Auto","—")</f>
        <v/>
      </c>
      <c r="L112" s="501" t="n"/>
    </row>
    <row r="113" ht="15" customHeight="1" s="341">
      <c r="A113" s="486" t="n"/>
      <c r="B113" s="378">
        <f>IF(A113="","",IFERROR(VLOOKUP(A113,DB_Customers!$A:$D,4,0),"❌ Account Not Found"))</f>
        <v/>
      </c>
      <c r="C113" s="487">
        <f>IF(A113="","",IFERROR(VLOOKUP(A113,DB_Customers!$A:$N,14,0),""))</f>
        <v/>
      </c>
      <c r="D113" s="488">
        <f>IF(A113="","",TODAY())</f>
        <v/>
      </c>
      <c r="E113" s="510" t="n"/>
      <c r="F113" s="378" t="n"/>
      <c r="G113" s="511">
        <f>IF(OR(A113="",E113=""),"",IF(C113="","",C113-E113))</f>
        <v/>
      </c>
      <c r="H113" s="380" t="inlineStr">
        <is>
          <t>Agent 03</t>
        </is>
      </c>
      <c r="I113" s="491" t="n"/>
      <c r="J113" s="492">
        <f>IF(AND(A113&lt;&gt;"",E113&lt;&gt;""),IF(I113="","⚠️ Enter Code",IF(IFERROR(VLOOKUP(H113,DB_Agents!$B:$I,8,0),"")=I113,IF(C113&gt;=E113,"Successful","Unsuccessful"),"🔒 BLOCKED — Wrong Code")),"—")</f>
        <v/>
      </c>
      <c r="K113" s="493">
        <f>IF(J113="Successful",TEXT(TODAY(),"YYYY-MM-DD")&amp;" Auto","—")</f>
        <v/>
      </c>
      <c r="L113" s="494" t="n"/>
    </row>
    <row r="114" ht="15" customHeight="1" s="341">
      <c r="A114" s="495" t="n"/>
      <c r="B114" s="382">
        <f>IF(A114="","",IFERROR(VLOOKUP(A114,DB_Customers!$A:$D,4,0),"❌ Account Not Found"))</f>
        <v/>
      </c>
      <c r="C114" s="496">
        <f>IF(A114="","",IFERROR(VLOOKUP(A114,DB_Customers!$A:$N,14,0),""))</f>
        <v/>
      </c>
      <c r="D114" s="497">
        <f>IF(A114="","",TODAY())</f>
        <v/>
      </c>
      <c r="E114" s="510" t="n"/>
      <c r="F114" s="382" t="n"/>
      <c r="G114" s="512">
        <f>IF(OR(A114="",E114=""),"",IF(C114="","",C114-E114))</f>
        <v/>
      </c>
      <c r="H114" s="384" t="inlineStr">
        <is>
          <t>Agent 03</t>
        </is>
      </c>
      <c r="I114" s="491" t="n"/>
      <c r="J114" s="499">
        <f>IF(AND(A114&lt;&gt;"",E114&lt;&gt;""),IF(I114="","⚠️ Enter Code",IF(IFERROR(VLOOKUP(H114,DB_Agents!$B:$I,8,0),"")=I114,IF(C114&gt;=E114,"Successful","Unsuccessful"),"🔒 BLOCKED — Wrong Code")),"—")</f>
        <v/>
      </c>
      <c r="K114" s="500">
        <f>IF(J114="Successful",TEXT(TODAY(),"YYYY-MM-DD")&amp;" Auto","—")</f>
        <v/>
      </c>
      <c r="L114" s="501" t="n"/>
    </row>
    <row r="115" ht="15" customHeight="1" s="341">
      <c r="A115" s="486" t="n"/>
      <c r="B115" s="378">
        <f>IF(A115="","",IFERROR(VLOOKUP(A115,DB_Customers!$A:$D,4,0),"❌ Account Not Found"))</f>
        <v/>
      </c>
      <c r="C115" s="487">
        <f>IF(A115="","",IFERROR(VLOOKUP(A115,DB_Customers!$A:$N,14,0),""))</f>
        <v/>
      </c>
      <c r="D115" s="488">
        <f>IF(A115="","",TODAY())</f>
        <v/>
      </c>
      <c r="E115" s="510" t="n"/>
      <c r="F115" s="378" t="n"/>
      <c r="G115" s="511">
        <f>IF(OR(A115="",E115=""),"",IF(C115="","",C115-E115))</f>
        <v/>
      </c>
      <c r="H115" s="380" t="inlineStr">
        <is>
          <t>Agent 03</t>
        </is>
      </c>
      <c r="I115" s="491" t="n"/>
      <c r="J115" s="492">
        <f>IF(AND(A115&lt;&gt;"",E115&lt;&gt;""),IF(I115="","⚠️ Enter Code",IF(IFERROR(VLOOKUP(H115,DB_Agents!$B:$I,8,0),"")=I115,IF(C115&gt;=E115,"Successful","Unsuccessful"),"🔒 BLOCKED — Wrong Code")),"—")</f>
        <v/>
      </c>
      <c r="K115" s="493">
        <f>IF(J115="Successful",TEXT(TODAY(),"YYYY-MM-DD")&amp;" Auto","—")</f>
        <v/>
      </c>
      <c r="L115" s="494" t="n"/>
    </row>
    <row r="116" ht="15" customHeight="1" s="341">
      <c r="A116" s="495" t="n"/>
      <c r="B116" s="382">
        <f>IF(A116="","",IFERROR(VLOOKUP(A116,DB_Customers!$A:$D,4,0),"❌ Account Not Found"))</f>
        <v/>
      </c>
      <c r="C116" s="496">
        <f>IF(A116="","",IFERROR(VLOOKUP(A116,DB_Customers!$A:$N,14,0),""))</f>
        <v/>
      </c>
      <c r="D116" s="497">
        <f>IF(A116="","",TODAY())</f>
        <v/>
      </c>
      <c r="E116" s="510" t="n"/>
      <c r="F116" s="382" t="n"/>
      <c r="G116" s="512">
        <f>IF(OR(A116="",E116=""),"",IF(C116="","",C116-E116))</f>
        <v/>
      </c>
      <c r="H116" s="384" t="inlineStr">
        <is>
          <t>Agent 03</t>
        </is>
      </c>
      <c r="I116" s="491" t="n"/>
      <c r="J116" s="499">
        <f>IF(AND(A116&lt;&gt;"",E116&lt;&gt;""),IF(I116="","⚠️ Enter Code",IF(IFERROR(VLOOKUP(H116,DB_Agents!$B:$I,8,0),"")=I116,IF(C116&gt;=E116,"Successful","Unsuccessful"),"🔒 BLOCKED — Wrong Code")),"—")</f>
        <v/>
      </c>
      <c r="K116" s="500">
        <f>IF(J116="Successful",TEXT(TODAY(),"YYYY-MM-DD")&amp;" Auto","—")</f>
        <v/>
      </c>
      <c r="L116" s="501" t="n"/>
    </row>
    <row r="117" ht="15" customHeight="1" s="341">
      <c r="A117" s="486" t="n"/>
      <c r="B117" s="378">
        <f>IF(A117="","",IFERROR(VLOOKUP(A117,DB_Customers!$A:$D,4,0),"❌ Account Not Found"))</f>
        <v/>
      </c>
      <c r="C117" s="487">
        <f>IF(A117="","",IFERROR(VLOOKUP(A117,DB_Customers!$A:$N,14,0),""))</f>
        <v/>
      </c>
      <c r="D117" s="488">
        <f>IF(A117="","",TODAY())</f>
        <v/>
      </c>
      <c r="E117" s="510" t="n"/>
      <c r="F117" s="378" t="n"/>
      <c r="G117" s="511">
        <f>IF(OR(A117="",E117=""),"",IF(C117="","",C117-E117))</f>
        <v/>
      </c>
      <c r="H117" s="380" t="inlineStr">
        <is>
          <t>Agent 03</t>
        </is>
      </c>
      <c r="I117" s="491" t="n"/>
      <c r="J117" s="492">
        <f>IF(AND(A117&lt;&gt;"",E117&lt;&gt;""),IF(I117="","⚠️ Enter Code",IF(IFERROR(VLOOKUP(H117,DB_Agents!$B:$I,8,0),"")=I117,IF(C117&gt;=E117,"Successful","Unsuccessful"),"🔒 BLOCKED — Wrong Code")),"—")</f>
        <v/>
      </c>
      <c r="K117" s="493">
        <f>IF(J117="Successful",TEXT(TODAY(),"YYYY-MM-DD")&amp;" Auto","—")</f>
        <v/>
      </c>
      <c r="L117" s="494" t="n"/>
    </row>
    <row r="118" ht="15" customHeight="1" s="341">
      <c r="A118" s="495" t="n"/>
      <c r="B118" s="382">
        <f>IF(A118="","",IFERROR(VLOOKUP(A118,DB_Customers!$A:$D,4,0),"❌ Account Not Found"))</f>
        <v/>
      </c>
      <c r="C118" s="496">
        <f>IF(A118="","",IFERROR(VLOOKUP(A118,DB_Customers!$A:$N,14,0),""))</f>
        <v/>
      </c>
      <c r="D118" s="497">
        <f>IF(A118="","",TODAY())</f>
        <v/>
      </c>
      <c r="E118" s="510" t="n"/>
      <c r="F118" s="382" t="n"/>
      <c r="G118" s="512">
        <f>IF(OR(A118="",E118=""),"",IF(C118="","",C118-E118))</f>
        <v/>
      </c>
      <c r="H118" s="384" t="inlineStr">
        <is>
          <t>Agent 03</t>
        </is>
      </c>
      <c r="I118" s="491" t="n"/>
      <c r="J118" s="499">
        <f>IF(AND(A118&lt;&gt;"",E118&lt;&gt;""),IF(I118="","⚠️ Enter Code",IF(IFERROR(VLOOKUP(H118,DB_Agents!$B:$I,8,0),"")=I118,IF(C118&gt;=E118,"Successful","Unsuccessful"),"🔒 BLOCKED — Wrong Code")),"—")</f>
        <v/>
      </c>
      <c r="K118" s="500">
        <f>IF(J118="Successful",TEXT(TODAY(),"YYYY-MM-DD")&amp;" Auto","—")</f>
        <v/>
      </c>
      <c r="L118" s="501" t="n"/>
    </row>
    <row r="119" ht="15" customHeight="1" s="341">
      <c r="A119" s="486" t="n"/>
      <c r="B119" s="378">
        <f>IF(A119="","",IFERROR(VLOOKUP(A119,DB_Customers!$A:$D,4,0),"❌ Account Not Found"))</f>
        <v/>
      </c>
      <c r="C119" s="487">
        <f>IF(A119="","",IFERROR(VLOOKUP(A119,DB_Customers!$A:$N,14,0),""))</f>
        <v/>
      </c>
      <c r="D119" s="488">
        <f>IF(A119="","",TODAY())</f>
        <v/>
      </c>
      <c r="E119" s="510" t="n"/>
      <c r="F119" s="378" t="n"/>
      <c r="G119" s="511">
        <f>IF(OR(A119="",E119=""),"",IF(C119="","",C119-E119))</f>
        <v/>
      </c>
      <c r="H119" s="380" t="inlineStr">
        <is>
          <t>Agent 03</t>
        </is>
      </c>
      <c r="I119" s="491" t="n"/>
      <c r="J119" s="492">
        <f>IF(AND(A119&lt;&gt;"",E119&lt;&gt;""),IF(I119="","⚠️ Enter Code",IF(IFERROR(VLOOKUP(H119,DB_Agents!$B:$I,8,0),"")=I119,IF(C119&gt;=E119,"Successful","Unsuccessful"),"🔒 BLOCKED — Wrong Code")),"—")</f>
        <v/>
      </c>
      <c r="K119" s="493">
        <f>IF(J119="Successful",TEXT(TODAY(),"YYYY-MM-DD")&amp;" Auto","—")</f>
        <v/>
      </c>
      <c r="L119" s="494" t="n"/>
    </row>
    <row r="120" ht="15" customHeight="1" s="341">
      <c r="A120" s="495" t="n"/>
      <c r="B120" s="382">
        <f>IF(A120="","",IFERROR(VLOOKUP(A120,DB_Customers!$A:$D,4,0),"❌ Account Not Found"))</f>
        <v/>
      </c>
      <c r="C120" s="496">
        <f>IF(A120="","",IFERROR(VLOOKUP(A120,DB_Customers!$A:$N,14,0),""))</f>
        <v/>
      </c>
      <c r="D120" s="497">
        <f>IF(A120="","",TODAY())</f>
        <v/>
      </c>
      <c r="E120" s="510" t="n"/>
      <c r="F120" s="382" t="n"/>
      <c r="G120" s="512">
        <f>IF(OR(A120="",E120=""),"",IF(C120="","",C120-E120))</f>
        <v/>
      </c>
      <c r="H120" s="384" t="inlineStr">
        <is>
          <t>Agent 03</t>
        </is>
      </c>
      <c r="I120" s="491" t="n"/>
      <c r="J120" s="499">
        <f>IF(AND(A120&lt;&gt;"",E120&lt;&gt;""),IF(I120="","⚠️ Enter Code",IF(IFERROR(VLOOKUP(H120,DB_Agents!$B:$I,8,0),"")=I120,IF(C120&gt;=E120,"Successful","Unsuccessful"),"🔒 BLOCKED — Wrong Code")),"—")</f>
        <v/>
      </c>
      <c r="K120" s="500">
        <f>IF(J120="Successful",TEXT(TODAY(),"YYYY-MM-DD")&amp;" Auto","—")</f>
        <v/>
      </c>
      <c r="L120" s="501" t="n"/>
    </row>
    <row r="121" ht="15" customHeight="1" s="341">
      <c r="A121" s="486" t="n"/>
      <c r="B121" s="378">
        <f>IF(A121="","",IFERROR(VLOOKUP(A121,DB_Customers!$A:$D,4,0),"❌ Account Not Found"))</f>
        <v/>
      </c>
      <c r="C121" s="487">
        <f>IF(A121="","",IFERROR(VLOOKUP(A121,DB_Customers!$A:$N,14,0),""))</f>
        <v/>
      </c>
      <c r="D121" s="488">
        <f>IF(A121="","",TODAY())</f>
        <v/>
      </c>
      <c r="E121" s="510" t="n"/>
      <c r="F121" s="378" t="n"/>
      <c r="G121" s="511">
        <f>IF(OR(A121="",E121=""),"",IF(C121="","",C121-E121))</f>
        <v/>
      </c>
      <c r="H121" s="380" t="inlineStr">
        <is>
          <t>Agent 03</t>
        </is>
      </c>
      <c r="I121" s="491" t="n"/>
      <c r="J121" s="492">
        <f>IF(AND(A121&lt;&gt;"",E121&lt;&gt;""),IF(I121="","⚠️ Enter Code",IF(IFERROR(VLOOKUP(H121,DB_Agents!$B:$I,8,0),"")=I121,IF(C121&gt;=E121,"Successful","Unsuccessful"),"🔒 BLOCKED — Wrong Code")),"—")</f>
        <v/>
      </c>
      <c r="K121" s="493">
        <f>IF(J121="Successful",TEXT(TODAY(),"YYYY-MM-DD")&amp;" Auto","—")</f>
        <v/>
      </c>
      <c r="L121" s="494" t="n"/>
    </row>
    <row r="122" ht="15" customHeight="1" s="341">
      <c r="A122" s="495" t="n"/>
      <c r="B122" s="382">
        <f>IF(A122="","",IFERROR(VLOOKUP(A122,DB_Customers!$A:$D,4,0),"❌ Account Not Found"))</f>
        <v/>
      </c>
      <c r="C122" s="496">
        <f>IF(A122="","",IFERROR(VLOOKUP(A122,DB_Customers!$A:$N,14,0),""))</f>
        <v/>
      </c>
      <c r="D122" s="497">
        <f>IF(A122="","",TODAY())</f>
        <v/>
      </c>
      <c r="E122" s="510" t="n"/>
      <c r="F122" s="382" t="n"/>
      <c r="G122" s="512">
        <f>IF(OR(A122="",E122=""),"",IF(C122="","",C122-E122))</f>
        <v/>
      </c>
      <c r="H122" s="384" t="inlineStr">
        <is>
          <t>Agent 03</t>
        </is>
      </c>
      <c r="I122" s="491" t="n"/>
      <c r="J122" s="499">
        <f>IF(AND(A122&lt;&gt;"",E122&lt;&gt;""),IF(I122="","⚠️ Enter Code",IF(IFERROR(VLOOKUP(H122,DB_Agents!$B:$I,8,0),"")=I122,IF(C122&gt;=E122,"Successful","Unsuccessful"),"🔒 BLOCKED — Wrong Code")),"—")</f>
        <v/>
      </c>
      <c r="K122" s="500">
        <f>IF(J122="Successful",TEXT(TODAY(),"YYYY-MM-DD")&amp;" Auto","—")</f>
        <v/>
      </c>
      <c r="L122" s="501" t="n"/>
    </row>
    <row r="123" ht="15" customHeight="1" s="341">
      <c r="A123" s="486" t="n"/>
      <c r="B123" s="378">
        <f>IF(A123="","",IFERROR(VLOOKUP(A123,DB_Customers!$A:$D,4,0),"❌ Account Not Found"))</f>
        <v/>
      </c>
      <c r="C123" s="487">
        <f>IF(A123="","",IFERROR(VLOOKUP(A123,DB_Customers!$A:$N,14,0),""))</f>
        <v/>
      </c>
      <c r="D123" s="488">
        <f>IF(A123="","",TODAY())</f>
        <v/>
      </c>
      <c r="E123" s="510" t="n"/>
      <c r="F123" s="378" t="n"/>
      <c r="G123" s="511">
        <f>IF(OR(A123="",E123=""),"",IF(C123="","",C123-E123))</f>
        <v/>
      </c>
      <c r="H123" s="380" t="inlineStr">
        <is>
          <t>Agent 03</t>
        </is>
      </c>
      <c r="I123" s="491" t="n"/>
      <c r="J123" s="492">
        <f>IF(AND(A123&lt;&gt;"",E123&lt;&gt;""),IF(I123="","⚠️ Enter Code",IF(IFERROR(VLOOKUP(H123,DB_Agents!$B:$I,8,0),"")=I123,IF(C123&gt;=E123,"Successful","Unsuccessful"),"🔒 BLOCKED — Wrong Code")),"—")</f>
        <v/>
      </c>
      <c r="K123" s="493">
        <f>IF(J123="Successful",TEXT(TODAY(),"YYYY-MM-DD")&amp;" Auto","—")</f>
        <v/>
      </c>
      <c r="L123" s="494" t="n"/>
    </row>
    <row r="124" ht="15" customHeight="1" s="341">
      <c r="A124" s="495" t="n"/>
      <c r="B124" s="382">
        <f>IF(A124="","",IFERROR(VLOOKUP(A124,DB_Customers!$A:$D,4,0),"❌ Account Not Found"))</f>
        <v/>
      </c>
      <c r="C124" s="496">
        <f>IF(A124="","",IFERROR(VLOOKUP(A124,DB_Customers!$A:$N,14,0),""))</f>
        <v/>
      </c>
      <c r="D124" s="497">
        <f>IF(A124="","",TODAY())</f>
        <v/>
      </c>
      <c r="E124" s="510" t="n"/>
      <c r="F124" s="382" t="n"/>
      <c r="G124" s="512">
        <f>IF(OR(A124="",E124=""),"",IF(C124="","",C124-E124))</f>
        <v/>
      </c>
      <c r="H124" s="384" t="inlineStr">
        <is>
          <t>Agent 03</t>
        </is>
      </c>
      <c r="I124" s="491" t="n"/>
      <c r="J124" s="499">
        <f>IF(AND(A124&lt;&gt;"",E124&lt;&gt;""),IF(I124="","⚠️ Enter Code",IF(IFERROR(VLOOKUP(H124,DB_Agents!$B:$I,8,0),"")=I124,IF(C124&gt;=E124,"Successful","Unsuccessful"),"🔒 BLOCKED — Wrong Code")),"—")</f>
        <v/>
      </c>
      <c r="K124" s="500">
        <f>IF(J124="Successful",TEXT(TODAY(),"YYYY-MM-DD")&amp;" Auto","—")</f>
        <v/>
      </c>
      <c r="L124" s="501" t="n"/>
    </row>
    <row r="125" ht="15" customHeight="1" s="341">
      <c r="A125" s="486" t="n"/>
      <c r="B125" s="378">
        <f>IF(A125="","",IFERROR(VLOOKUP(A125,DB_Customers!$A:$D,4,0),"❌ Account Not Found"))</f>
        <v/>
      </c>
      <c r="C125" s="487">
        <f>IF(A125="","",IFERROR(VLOOKUP(A125,DB_Customers!$A:$N,14,0),""))</f>
        <v/>
      </c>
      <c r="D125" s="488">
        <f>IF(A125="","",TODAY())</f>
        <v/>
      </c>
      <c r="E125" s="510" t="n"/>
      <c r="F125" s="378" t="n"/>
      <c r="G125" s="511">
        <f>IF(OR(A125="",E125=""),"",IF(C125="","",C125-E125))</f>
        <v/>
      </c>
      <c r="H125" s="380" t="inlineStr">
        <is>
          <t>Agent 03</t>
        </is>
      </c>
      <c r="I125" s="491" t="n"/>
      <c r="J125" s="492">
        <f>IF(AND(A125&lt;&gt;"",E125&lt;&gt;""),IF(I125="","⚠️ Enter Code",IF(IFERROR(VLOOKUP(H125,DB_Agents!$B:$I,8,0),"")=I125,IF(C125&gt;=E125,"Successful","Unsuccessful"),"🔒 BLOCKED — Wrong Code")),"—")</f>
        <v/>
      </c>
      <c r="K125" s="493">
        <f>IF(J125="Successful",TEXT(TODAY(),"YYYY-MM-DD")&amp;" Auto","—")</f>
        <v/>
      </c>
      <c r="L125" s="494" t="n"/>
    </row>
    <row r="126" ht="15" customHeight="1" s="341">
      <c r="A126" s="495" t="n"/>
      <c r="B126" s="382">
        <f>IF(A126="","",IFERROR(VLOOKUP(A126,DB_Customers!$A:$D,4,0),"❌ Account Not Found"))</f>
        <v/>
      </c>
      <c r="C126" s="496">
        <f>IF(A126="","",IFERROR(VLOOKUP(A126,DB_Customers!$A:$N,14,0),""))</f>
        <v/>
      </c>
      <c r="D126" s="497">
        <f>IF(A126="","",TODAY())</f>
        <v/>
      </c>
      <c r="E126" s="510" t="n"/>
      <c r="F126" s="382" t="n"/>
      <c r="G126" s="512">
        <f>IF(OR(A126="",E126=""),"",IF(C126="","",C126-E126))</f>
        <v/>
      </c>
      <c r="H126" s="384" t="inlineStr">
        <is>
          <t>Agent 03</t>
        </is>
      </c>
      <c r="I126" s="491" t="n"/>
      <c r="J126" s="499">
        <f>IF(AND(A126&lt;&gt;"",E126&lt;&gt;""),IF(I126="","⚠️ Enter Code",IF(IFERROR(VLOOKUP(H126,DB_Agents!$B:$I,8,0),"")=I126,IF(C126&gt;=E126,"Successful","Unsuccessful"),"🔒 BLOCKED — Wrong Code")),"—")</f>
        <v/>
      </c>
      <c r="K126" s="500">
        <f>IF(J126="Successful",TEXT(TODAY(),"YYYY-MM-DD")&amp;" Auto","—")</f>
        <v/>
      </c>
      <c r="L126" s="501" t="n"/>
    </row>
    <row r="127" ht="15" customHeight="1" s="341">
      <c r="A127" s="486" t="n"/>
      <c r="B127" s="378">
        <f>IF(A127="","",IFERROR(VLOOKUP(A127,DB_Customers!$A:$D,4,0),"❌ Account Not Found"))</f>
        <v/>
      </c>
      <c r="C127" s="487">
        <f>IF(A127="","",IFERROR(VLOOKUP(A127,DB_Customers!$A:$N,14,0),""))</f>
        <v/>
      </c>
      <c r="D127" s="488">
        <f>IF(A127="","",TODAY())</f>
        <v/>
      </c>
      <c r="E127" s="510" t="n"/>
      <c r="F127" s="378" t="n"/>
      <c r="G127" s="511">
        <f>IF(OR(A127="",E127=""),"",IF(C127="","",C127-E127))</f>
        <v/>
      </c>
      <c r="H127" s="380" t="inlineStr">
        <is>
          <t>Agent 03</t>
        </is>
      </c>
      <c r="I127" s="491" t="n"/>
      <c r="J127" s="492">
        <f>IF(AND(A127&lt;&gt;"",E127&lt;&gt;""),IF(I127="","⚠️ Enter Code",IF(IFERROR(VLOOKUP(H127,DB_Agents!$B:$I,8,0),"")=I127,IF(C127&gt;=E127,"Successful","Unsuccessful"),"🔒 BLOCKED — Wrong Code")),"—")</f>
        <v/>
      </c>
      <c r="K127" s="493">
        <f>IF(J127="Successful",TEXT(TODAY(),"YYYY-MM-DD")&amp;" Auto","—")</f>
        <v/>
      </c>
      <c r="L127" s="494" t="n"/>
    </row>
    <row r="128" ht="15" customHeight="1" s="341">
      <c r="A128" s="495" t="n"/>
      <c r="B128" s="382">
        <f>IF(A128="","",IFERROR(VLOOKUP(A128,DB_Customers!$A:$D,4,0),"❌ Account Not Found"))</f>
        <v/>
      </c>
      <c r="C128" s="496">
        <f>IF(A128="","",IFERROR(VLOOKUP(A128,DB_Customers!$A:$N,14,0),""))</f>
        <v/>
      </c>
      <c r="D128" s="497">
        <f>IF(A128="","",TODAY())</f>
        <v/>
      </c>
      <c r="E128" s="510" t="n"/>
      <c r="F128" s="382" t="n"/>
      <c r="G128" s="512">
        <f>IF(OR(A128="",E128=""),"",IF(C128="","",C128-E128))</f>
        <v/>
      </c>
      <c r="H128" s="384" t="inlineStr">
        <is>
          <t>Agent 03</t>
        </is>
      </c>
      <c r="I128" s="491" t="n"/>
      <c r="J128" s="499">
        <f>IF(AND(A128&lt;&gt;"",E128&lt;&gt;""),IF(I128="","⚠️ Enter Code",IF(IFERROR(VLOOKUP(H128,DB_Agents!$B:$I,8,0),"")=I128,IF(C128&gt;=E128,"Successful","Unsuccessful"),"🔒 BLOCKED — Wrong Code")),"—")</f>
        <v/>
      </c>
      <c r="K128" s="500">
        <f>IF(J128="Successful",TEXT(TODAY(),"YYYY-MM-DD")&amp;" Auto","—")</f>
        <v/>
      </c>
      <c r="L128" s="501" t="n"/>
    </row>
    <row r="129" ht="15" customHeight="1" s="341">
      <c r="A129" s="486" t="n"/>
      <c r="B129" s="378">
        <f>IF(A129="","",IFERROR(VLOOKUP(A129,DB_Customers!$A:$D,4,0),"❌ Account Not Found"))</f>
        <v/>
      </c>
      <c r="C129" s="487">
        <f>IF(A129="","",IFERROR(VLOOKUP(A129,DB_Customers!$A:$N,14,0),""))</f>
        <v/>
      </c>
      <c r="D129" s="488">
        <f>IF(A129="","",TODAY())</f>
        <v/>
      </c>
      <c r="E129" s="510" t="n"/>
      <c r="F129" s="378" t="n"/>
      <c r="G129" s="511">
        <f>IF(OR(A129="",E129=""),"",IF(C129="","",C129-E129))</f>
        <v/>
      </c>
      <c r="H129" s="380" t="inlineStr">
        <is>
          <t>Agent 03</t>
        </is>
      </c>
      <c r="I129" s="491" t="n"/>
      <c r="J129" s="492">
        <f>IF(AND(A129&lt;&gt;"",E129&lt;&gt;""),IF(I129="","⚠️ Enter Code",IF(IFERROR(VLOOKUP(H129,DB_Agents!$B:$I,8,0),"")=I129,IF(C129&gt;=E129,"Successful","Unsuccessful"),"🔒 BLOCKED — Wrong Code")),"—")</f>
        <v/>
      </c>
      <c r="K129" s="493">
        <f>IF(J129="Successful",TEXT(TODAY(),"YYYY-MM-DD")&amp;" Auto","—")</f>
        <v/>
      </c>
      <c r="L129" s="494" t="n"/>
    </row>
    <row r="130" ht="15" customHeight="1" s="341">
      <c r="A130" s="495" t="n"/>
      <c r="B130" s="382">
        <f>IF(A130="","",IFERROR(VLOOKUP(A130,DB_Customers!$A:$D,4,0),"❌ Account Not Found"))</f>
        <v/>
      </c>
      <c r="C130" s="496">
        <f>IF(A130="","",IFERROR(VLOOKUP(A130,DB_Customers!$A:$N,14,0),""))</f>
        <v/>
      </c>
      <c r="D130" s="497">
        <f>IF(A130="","",TODAY())</f>
        <v/>
      </c>
      <c r="E130" s="510" t="n"/>
      <c r="F130" s="382" t="n"/>
      <c r="G130" s="512">
        <f>IF(OR(A130="",E130=""),"",IF(C130="","",C130-E130))</f>
        <v/>
      </c>
      <c r="H130" s="384" t="inlineStr">
        <is>
          <t>Agent 03</t>
        </is>
      </c>
      <c r="I130" s="491" t="n"/>
      <c r="J130" s="499">
        <f>IF(AND(A130&lt;&gt;"",E130&lt;&gt;""),IF(I130="","⚠️ Enter Code",IF(IFERROR(VLOOKUP(H130,DB_Agents!$B:$I,8,0),"")=I130,IF(C130&gt;=E130,"Successful","Unsuccessful"),"🔒 BLOCKED — Wrong Code")),"—")</f>
        <v/>
      </c>
      <c r="K130" s="500">
        <f>IF(J130="Successful",TEXT(TODAY(),"YYYY-MM-DD")&amp;" Auto","—")</f>
        <v/>
      </c>
      <c r="L130" s="501" t="n"/>
    </row>
    <row r="131" ht="15" customHeight="1" s="341">
      <c r="A131" s="486" t="n"/>
      <c r="B131" s="378">
        <f>IF(A131="","",IFERROR(VLOOKUP(A131,DB_Customers!$A:$D,4,0),"❌ Account Not Found"))</f>
        <v/>
      </c>
      <c r="C131" s="487">
        <f>IF(A131="","",IFERROR(VLOOKUP(A131,DB_Customers!$A:$N,14,0),""))</f>
        <v/>
      </c>
      <c r="D131" s="488">
        <f>IF(A131="","",TODAY())</f>
        <v/>
      </c>
      <c r="E131" s="510" t="n"/>
      <c r="F131" s="378" t="n"/>
      <c r="G131" s="511">
        <f>IF(OR(A131="",E131=""),"",IF(C131="","",C131-E131))</f>
        <v/>
      </c>
      <c r="H131" s="380" t="inlineStr">
        <is>
          <t>Agent 03</t>
        </is>
      </c>
      <c r="I131" s="491" t="n"/>
      <c r="J131" s="492">
        <f>IF(AND(A131&lt;&gt;"",E131&lt;&gt;""),IF(I131="","⚠️ Enter Code",IF(IFERROR(VLOOKUP(H131,DB_Agents!$B:$I,8,0),"")=I131,IF(C131&gt;=E131,"Successful","Unsuccessful"),"🔒 BLOCKED — Wrong Code")),"—")</f>
        <v/>
      </c>
      <c r="K131" s="493">
        <f>IF(J131="Successful",TEXT(TODAY(),"YYYY-MM-DD")&amp;" Auto","—")</f>
        <v/>
      </c>
      <c r="L131" s="494" t="n"/>
    </row>
    <row r="132" ht="15" customHeight="1" s="341">
      <c r="A132" s="495" t="n"/>
      <c r="B132" s="382">
        <f>IF(A132="","",IFERROR(VLOOKUP(A132,DB_Customers!$A:$D,4,0),"❌ Account Not Found"))</f>
        <v/>
      </c>
      <c r="C132" s="496">
        <f>IF(A132="","",IFERROR(VLOOKUP(A132,DB_Customers!$A:$N,14,0),""))</f>
        <v/>
      </c>
      <c r="D132" s="497">
        <f>IF(A132="","",TODAY())</f>
        <v/>
      </c>
      <c r="E132" s="510" t="n"/>
      <c r="F132" s="382" t="n"/>
      <c r="G132" s="512">
        <f>IF(OR(A132="",E132=""),"",IF(C132="","",C132-E132))</f>
        <v/>
      </c>
      <c r="H132" s="384" t="inlineStr">
        <is>
          <t>Agent 03</t>
        </is>
      </c>
      <c r="I132" s="491" t="n"/>
      <c r="J132" s="499">
        <f>IF(AND(A132&lt;&gt;"",E132&lt;&gt;""),IF(I132="","⚠️ Enter Code",IF(IFERROR(VLOOKUP(H132,DB_Agents!$B:$I,8,0),"")=I132,IF(C132&gt;=E132,"Successful","Unsuccessful"),"🔒 BLOCKED — Wrong Code")),"—")</f>
        <v/>
      </c>
      <c r="K132" s="500">
        <f>IF(J132="Successful",TEXT(TODAY(),"YYYY-MM-DD")&amp;" Auto","—")</f>
        <v/>
      </c>
      <c r="L132" s="501" t="n"/>
    </row>
    <row r="133" ht="15" customHeight="1" s="341">
      <c r="A133" s="486" t="n"/>
      <c r="B133" s="378">
        <f>IF(A133="","",IFERROR(VLOOKUP(A133,DB_Customers!$A:$D,4,0),"❌ Account Not Found"))</f>
        <v/>
      </c>
      <c r="C133" s="487">
        <f>IF(A133="","",IFERROR(VLOOKUP(A133,DB_Customers!$A:$N,14,0),""))</f>
        <v/>
      </c>
      <c r="D133" s="488">
        <f>IF(A133="","",TODAY())</f>
        <v/>
      </c>
      <c r="E133" s="510" t="n"/>
      <c r="F133" s="378" t="n"/>
      <c r="G133" s="511">
        <f>IF(OR(A133="",E133=""),"",IF(C133="","",C133-E133))</f>
        <v/>
      </c>
      <c r="H133" s="380" t="inlineStr">
        <is>
          <t>Agent 03</t>
        </is>
      </c>
      <c r="I133" s="491" t="n"/>
      <c r="J133" s="492">
        <f>IF(AND(A133&lt;&gt;"",E133&lt;&gt;""),IF(I133="","⚠️ Enter Code",IF(IFERROR(VLOOKUP(H133,DB_Agents!$B:$I,8,0),"")=I133,IF(C133&gt;=E133,"Successful","Unsuccessful"),"🔒 BLOCKED — Wrong Code")),"—")</f>
        <v/>
      </c>
      <c r="K133" s="493">
        <f>IF(J133="Successful",TEXT(TODAY(),"YYYY-MM-DD")&amp;" Auto","—")</f>
        <v/>
      </c>
      <c r="L133" s="494" t="n"/>
    </row>
    <row r="134" ht="15" customHeight="1" s="341">
      <c r="A134" s="495" t="n"/>
      <c r="B134" s="382">
        <f>IF(A134="","",IFERROR(VLOOKUP(A134,DB_Customers!$A:$D,4,0),"❌ Account Not Found"))</f>
        <v/>
      </c>
      <c r="C134" s="496">
        <f>IF(A134="","",IFERROR(VLOOKUP(A134,DB_Customers!$A:$N,14,0),""))</f>
        <v/>
      </c>
      <c r="D134" s="497">
        <f>IF(A134="","",TODAY())</f>
        <v/>
      </c>
      <c r="E134" s="510" t="n"/>
      <c r="F134" s="382" t="n"/>
      <c r="G134" s="512">
        <f>IF(OR(A134="",E134=""),"",IF(C134="","",C134-E134))</f>
        <v/>
      </c>
      <c r="H134" s="384" t="inlineStr">
        <is>
          <t>Agent 03</t>
        </is>
      </c>
      <c r="I134" s="491" t="n"/>
      <c r="J134" s="499">
        <f>IF(AND(A134&lt;&gt;"",E134&lt;&gt;""),IF(I134="","⚠️ Enter Code",IF(IFERROR(VLOOKUP(H134,DB_Agents!$B:$I,8,0),"")=I134,IF(C134&gt;=E134,"Successful","Unsuccessful"),"🔒 BLOCKED — Wrong Code")),"—")</f>
        <v/>
      </c>
      <c r="K134" s="500">
        <f>IF(J134="Successful",TEXT(TODAY(),"YYYY-MM-DD")&amp;" Auto","—")</f>
        <v/>
      </c>
      <c r="L134" s="501" t="n"/>
    </row>
    <row r="135" ht="15" customHeight="1" s="341">
      <c r="A135" s="486" t="n"/>
      <c r="B135" s="378">
        <f>IF(A135="","",IFERROR(VLOOKUP(A135,DB_Customers!$A:$D,4,0),"❌ Account Not Found"))</f>
        <v/>
      </c>
      <c r="C135" s="487">
        <f>IF(A135="","",IFERROR(VLOOKUP(A135,DB_Customers!$A:$N,14,0),""))</f>
        <v/>
      </c>
      <c r="D135" s="488">
        <f>IF(A135="","",TODAY())</f>
        <v/>
      </c>
      <c r="E135" s="510" t="n"/>
      <c r="F135" s="378" t="n"/>
      <c r="G135" s="511">
        <f>IF(OR(A135="",E135=""),"",IF(C135="","",C135-E135))</f>
        <v/>
      </c>
      <c r="H135" s="380" t="inlineStr">
        <is>
          <t>Agent 03</t>
        </is>
      </c>
      <c r="I135" s="491" t="n"/>
      <c r="J135" s="492">
        <f>IF(AND(A135&lt;&gt;"",E135&lt;&gt;""),IF(I135="","⚠️ Enter Code",IF(IFERROR(VLOOKUP(H135,DB_Agents!$B:$I,8,0),"")=I135,IF(C135&gt;=E135,"Successful","Unsuccessful"),"🔒 BLOCKED — Wrong Code")),"—")</f>
        <v/>
      </c>
      <c r="K135" s="493">
        <f>IF(J135="Successful",TEXT(TODAY(),"YYYY-MM-DD")&amp;" Auto","—")</f>
        <v/>
      </c>
      <c r="L135" s="494" t="n"/>
    </row>
    <row r="136" ht="15" customHeight="1" s="341">
      <c r="A136" s="495" t="n"/>
      <c r="B136" s="382">
        <f>IF(A136="","",IFERROR(VLOOKUP(A136,DB_Customers!$A:$D,4,0),"❌ Account Not Found"))</f>
        <v/>
      </c>
      <c r="C136" s="496">
        <f>IF(A136="","",IFERROR(VLOOKUP(A136,DB_Customers!$A:$N,14,0),""))</f>
        <v/>
      </c>
      <c r="D136" s="497">
        <f>IF(A136="","",TODAY())</f>
        <v/>
      </c>
      <c r="E136" s="510" t="n"/>
      <c r="F136" s="382" t="n"/>
      <c r="G136" s="512">
        <f>IF(OR(A136="",E136=""),"",IF(C136="","",C136-E136))</f>
        <v/>
      </c>
      <c r="H136" s="384" t="inlineStr">
        <is>
          <t>Agent 03</t>
        </is>
      </c>
      <c r="I136" s="491" t="n"/>
      <c r="J136" s="499">
        <f>IF(AND(A136&lt;&gt;"",E136&lt;&gt;""),IF(I136="","⚠️ Enter Code",IF(IFERROR(VLOOKUP(H136,DB_Agents!$B:$I,8,0),"")=I136,IF(C136&gt;=E136,"Successful","Unsuccessful"),"🔒 BLOCKED — Wrong Code")),"—")</f>
        <v/>
      </c>
      <c r="K136" s="500">
        <f>IF(J136="Successful",TEXT(TODAY(),"YYYY-MM-DD")&amp;" Auto","—")</f>
        <v/>
      </c>
      <c r="L136" s="501" t="n"/>
    </row>
    <row r="137" ht="15" customHeight="1" s="341">
      <c r="A137" s="486" t="n"/>
      <c r="B137" s="378">
        <f>IF(A137="","",IFERROR(VLOOKUP(A137,DB_Customers!$A:$D,4,0),"❌ Account Not Found"))</f>
        <v/>
      </c>
      <c r="C137" s="487">
        <f>IF(A137="","",IFERROR(VLOOKUP(A137,DB_Customers!$A:$N,14,0),""))</f>
        <v/>
      </c>
      <c r="D137" s="488">
        <f>IF(A137="","",TODAY())</f>
        <v/>
      </c>
      <c r="E137" s="510" t="n"/>
      <c r="F137" s="378" t="n"/>
      <c r="G137" s="511">
        <f>IF(OR(A137="",E137=""),"",IF(C137="","",C137-E137))</f>
        <v/>
      </c>
      <c r="H137" s="380" t="inlineStr">
        <is>
          <t>Agent 03</t>
        </is>
      </c>
      <c r="I137" s="491" t="n"/>
      <c r="J137" s="492">
        <f>IF(AND(A137&lt;&gt;"",E137&lt;&gt;""),IF(I137="","⚠️ Enter Code",IF(IFERROR(VLOOKUP(H137,DB_Agents!$B:$I,8,0),"")=I137,IF(C137&gt;=E137,"Successful","Unsuccessful"),"🔒 BLOCKED — Wrong Code")),"—")</f>
        <v/>
      </c>
      <c r="K137" s="493">
        <f>IF(J137="Successful",TEXT(TODAY(),"YYYY-MM-DD")&amp;" Auto","—")</f>
        <v/>
      </c>
      <c r="L137" s="494" t="n"/>
    </row>
    <row r="138" ht="15" customHeight="1" s="341">
      <c r="A138" s="495" t="n"/>
      <c r="B138" s="382">
        <f>IF(A138="","",IFERROR(VLOOKUP(A138,DB_Customers!$A:$D,4,0),"❌ Account Not Found"))</f>
        <v/>
      </c>
      <c r="C138" s="496">
        <f>IF(A138="","",IFERROR(VLOOKUP(A138,DB_Customers!$A:$N,14,0),""))</f>
        <v/>
      </c>
      <c r="D138" s="497">
        <f>IF(A138="","",TODAY())</f>
        <v/>
      </c>
      <c r="E138" s="510" t="n"/>
      <c r="F138" s="382" t="n"/>
      <c r="G138" s="512">
        <f>IF(OR(A138="",E138=""),"",IF(C138="","",C138-E138))</f>
        <v/>
      </c>
      <c r="H138" s="384" t="inlineStr">
        <is>
          <t>Agent 03</t>
        </is>
      </c>
      <c r="I138" s="491" t="n"/>
      <c r="J138" s="499">
        <f>IF(AND(A138&lt;&gt;"",E138&lt;&gt;""),IF(I138="","⚠️ Enter Code",IF(IFERROR(VLOOKUP(H138,DB_Agents!$B:$I,8,0),"")=I138,IF(C138&gt;=E138,"Successful","Unsuccessful"),"🔒 BLOCKED — Wrong Code")),"—")</f>
        <v/>
      </c>
      <c r="K138" s="500">
        <f>IF(J138="Successful",TEXT(TODAY(),"YYYY-MM-DD")&amp;" Auto","—")</f>
        <v/>
      </c>
      <c r="L138" s="501" t="n"/>
    </row>
    <row r="139" ht="15" customHeight="1" s="341">
      <c r="A139" s="486" t="n"/>
      <c r="B139" s="378">
        <f>IF(A139="","",IFERROR(VLOOKUP(A139,DB_Customers!$A:$D,4,0),"❌ Account Not Found"))</f>
        <v/>
      </c>
      <c r="C139" s="487">
        <f>IF(A139="","",IFERROR(VLOOKUP(A139,DB_Customers!$A:$N,14,0),""))</f>
        <v/>
      </c>
      <c r="D139" s="488">
        <f>IF(A139="","",TODAY())</f>
        <v/>
      </c>
      <c r="E139" s="510" t="n"/>
      <c r="F139" s="378" t="n"/>
      <c r="G139" s="511">
        <f>IF(OR(A139="",E139=""),"",IF(C139="","",C139-E139))</f>
        <v/>
      </c>
      <c r="H139" s="380" t="inlineStr">
        <is>
          <t>Agent 03</t>
        </is>
      </c>
      <c r="I139" s="491" t="n"/>
      <c r="J139" s="492">
        <f>IF(AND(A139&lt;&gt;"",E139&lt;&gt;""),IF(I139="","⚠️ Enter Code",IF(IFERROR(VLOOKUP(H139,DB_Agents!$B:$I,8,0),"")=I139,IF(C139&gt;=E139,"Successful","Unsuccessful"),"🔒 BLOCKED — Wrong Code")),"—")</f>
        <v/>
      </c>
      <c r="K139" s="493">
        <f>IF(J139="Successful",TEXT(TODAY(),"YYYY-MM-DD")&amp;" Auto","—")</f>
        <v/>
      </c>
      <c r="L139" s="494" t="n"/>
    </row>
    <row r="140" ht="15" customHeight="1" s="341">
      <c r="A140" s="495" t="n"/>
      <c r="B140" s="382">
        <f>IF(A140="","",IFERROR(VLOOKUP(A140,DB_Customers!$A:$D,4,0),"❌ Account Not Found"))</f>
        <v/>
      </c>
      <c r="C140" s="496">
        <f>IF(A140="","",IFERROR(VLOOKUP(A140,DB_Customers!$A:$N,14,0),""))</f>
        <v/>
      </c>
      <c r="D140" s="497">
        <f>IF(A140="","",TODAY())</f>
        <v/>
      </c>
      <c r="E140" s="510" t="n"/>
      <c r="F140" s="382" t="n"/>
      <c r="G140" s="512">
        <f>IF(OR(A140="",E140=""),"",IF(C140="","",C140-E140))</f>
        <v/>
      </c>
      <c r="H140" s="384" t="inlineStr">
        <is>
          <t>Agent 03</t>
        </is>
      </c>
      <c r="I140" s="491" t="n"/>
      <c r="J140" s="499">
        <f>IF(AND(A140&lt;&gt;"",E140&lt;&gt;""),IF(I140="","⚠️ Enter Code",IF(IFERROR(VLOOKUP(H140,DB_Agents!$B:$I,8,0),"")=I140,IF(C140&gt;=E140,"Successful","Unsuccessful"),"🔒 BLOCKED — Wrong Code")),"—")</f>
        <v/>
      </c>
      <c r="K140" s="500">
        <f>IF(J140="Successful",TEXT(TODAY(),"YYYY-MM-DD")&amp;" Auto","—")</f>
        <v/>
      </c>
      <c r="L140" s="501" t="n"/>
    </row>
    <row r="141" ht="15" customHeight="1" s="341">
      <c r="A141" s="486" t="n"/>
      <c r="B141" s="378">
        <f>IF(A141="","",IFERROR(VLOOKUP(A141,DB_Customers!$A:$D,4,0),"❌ Account Not Found"))</f>
        <v/>
      </c>
      <c r="C141" s="487">
        <f>IF(A141="","",IFERROR(VLOOKUP(A141,DB_Customers!$A:$N,14,0),""))</f>
        <v/>
      </c>
      <c r="D141" s="488">
        <f>IF(A141="","",TODAY())</f>
        <v/>
      </c>
      <c r="E141" s="510" t="n"/>
      <c r="F141" s="378" t="n"/>
      <c r="G141" s="511">
        <f>IF(OR(A141="",E141=""),"",IF(C141="","",C141-E141))</f>
        <v/>
      </c>
      <c r="H141" s="380" t="inlineStr">
        <is>
          <t>Agent 03</t>
        </is>
      </c>
      <c r="I141" s="491" t="n"/>
      <c r="J141" s="492">
        <f>IF(AND(A141&lt;&gt;"",E141&lt;&gt;""),IF(I141="","⚠️ Enter Code",IF(IFERROR(VLOOKUP(H141,DB_Agents!$B:$I,8,0),"")=I141,IF(C141&gt;=E141,"Successful","Unsuccessful"),"🔒 BLOCKED — Wrong Code")),"—")</f>
        <v/>
      </c>
      <c r="K141" s="493">
        <f>IF(J141="Successful",TEXT(TODAY(),"YYYY-MM-DD")&amp;" Auto","—")</f>
        <v/>
      </c>
      <c r="L141" s="494" t="n"/>
    </row>
    <row r="142" ht="15" customHeight="1" s="341">
      <c r="A142" s="495" t="n"/>
      <c r="B142" s="382">
        <f>IF(A142="","",IFERROR(VLOOKUP(A142,DB_Customers!$A:$D,4,0),"❌ Account Not Found"))</f>
        <v/>
      </c>
      <c r="C142" s="496">
        <f>IF(A142="","",IFERROR(VLOOKUP(A142,DB_Customers!$A:$N,14,0),""))</f>
        <v/>
      </c>
      <c r="D142" s="497">
        <f>IF(A142="","",TODAY())</f>
        <v/>
      </c>
      <c r="E142" s="510" t="n"/>
      <c r="F142" s="382" t="n"/>
      <c r="G142" s="512">
        <f>IF(OR(A142="",E142=""),"",IF(C142="","",C142-E142))</f>
        <v/>
      </c>
      <c r="H142" s="384" t="inlineStr">
        <is>
          <t>Agent 03</t>
        </is>
      </c>
      <c r="I142" s="491" t="n"/>
      <c r="J142" s="499">
        <f>IF(AND(A142&lt;&gt;"",E142&lt;&gt;""),IF(I142="","⚠️ Enter Code",IF(IFERROR(VLOOKUP(H142,DB_Agents!$B:$I,8,0),"")=I142,IF(C142&gt;=E142,"Successful","Unsuccessful"),"🔒 BLOCKED — Wrong Code")),"—")</f>
        <v/>
      </c>
      <c r="K142" s="500">
        <f>IF(J142="Successful",TEXT(TODAY(),"YYYY-MM-DD")&amp;" Auto","—")</f>
        <v/>
      </c>
      <c r="L142" s="501" t="n"/>
    </row>
    <row r="143" ht="15" customHeight="1" s="341">
      <c r="A143" s="486" t="n"/>
      <c r="B143" s="378">
        <f>IF(A143="","",IFERROR(VLOOKUP(A143,DB_Customers!$A:$D,4,0),"❌ Account Not Found"))</f>
        <v/>
      </c>
      <c r="C143" s="487">
        <f>IF(A143="","",IFERROR(VLOOKUP(A143,DB_Customers!$A:$N,14,0),""))</f>
        <v/>
      </c>
      <c r="D143" s="488">
        <f>IF(A143="","",TODAY())</f>
        <v/>
      </c>
      <c r="E143" s="510" t="n"/>
      <c r="F143" s="378" t="n"/>
      <c r="G143" s="511">
        <f>IF(OR(A143="",E143=""),"",IF(C143="","",C143-E143))</f>
        <v/>
      </c>
      <c r="H143" s="380" t="inlineStr">
        <is>
          <t>Agent 03</t>
        </is>
      </c>
      <c r="I143" s="491" t="n"/>
      <c r="J143" s="492">
        <f>IF(AND(A143&lt;&gt;"",E143&lt;&gt;""),IF(I143="","⚠️ Enter Code",IF(IFERROR(VLOOKUP(H143,DB_Agents!$B:$I,8,0),"")=I143,IF(C143&gt;=E143,"Successful","Unsuccessful"),"🔒 BLOCKED — Wrong Code")),"—")</f>
        <v/>
      </c>
      <c r="K143" s="493">
        <f>IF(J143="Successful",TEXT(TODAY(),"YYYY-MM-DD")&amp;" Auto","—")</f>
        <v/>
      </c>
      <c r="L143" s="494" t="n"/>
    </row>
    <row r="144" ht="15" customHeight="1" s="341">
      <c r="A144" s="495" t="n"/>
      <c r="B144" s="382">
        <f>IF(A144="","",IFERROR(VLOOKUP(A144,DB_Customers!$A:$D,4,0),"❌ Account Not Found"))</f>
        <v/>
      </c>
      <c r="C144" s="496">
        <f>IF(A144="","",IFERROR(VLOOKUP(A144,DB_Customers!$A:$N,14,0),""))</f>
        <v/>
      </c>
      <c r="D144" s="497">
        <f>IF(A144="","",TODAY())</f>
        <v/>
      </c>
      <c r="E144" s="510" t="n"/>
      <c r="F144" s="382" t="n"/>
      <c r="G144" s="512">
        <f>IF(OR(A144="",E144=""),"",IF(C144="","",C144-E144))</f>
        <v/>
      </c>
      <c r="H144" s="384" t="inlineStr">
        <is>
          <t>Agent 03</t>
        </is>
      </c>
      <c r="I144" s="491" t="n"/>
      <c r="J144" s="499">
        <f>IF(AND(A144&lt;&gt;"",E144&lt;&gt;""),IF(I144="","⚠️ Enter Code",IF(IFERROR(VLOOKUP(H144,DB_Agents!$B:$I,8,0),"")=I144,IF(C144&gt;=E144,"Successful","Unsuccessful"),"🔒 BLOCKED — Wrong Code")),"—")</f>
        <v/>
      </c>
      <c r="K144" s="500">
        <f>IF(J144="Successful",TEXT(TODAY(),"YYYY-MM-DD")&amp;" Auto","—")</f>
        <v/>
      </c>
      <c r="L144" s="501" t="n"/>
    </row>
    <row r="145" ht="15" customHeight="1" s="341">
      <c r="A145" s="486" t="n"/>
      <c r="B145" s="378">
        <f>IF(A145="","",IFERROR(VLOOKUP(A145,DB_Customers!$A:$D,4,0),"❌ Account Not Found"))</f>
        <v/>
      </c>
      <c r="C145" s="487">
        <f>IF(A145="","",IFERROR(VLOOKUP(A145,DB_Customers!$A:$N,14,0),""))</f>
        <v/>
      </c>
      <c r="D145" s="488">
        <f>IF(A145="","",TODAY())</f>
        <v/>
      </c>
      <c r="E145" s="510" t="n"/>
      <c r="F145" s="378" t="n"/>
      <c r="G145" s="511">
        <f>IF(OR(A145="",E145=""),"",IF(C145="","",C145-E145))</f>
        <v/>
      </c>
      <c r="H145" s="380" t="inlineStr">
        <is>
          <t>Agent 03</t>
        </is>
      </c>
      <c r="I145" s="491" t="n"/>
      <c r="J145" s="492">
        <f>IF(AND(A145&lt;&gt;"",E145&lt;&gt;""),IF(I145="","⚠️ Enter Code",IF(IFERROR(VLOOKUP(H145,DB_Agents!$B:$I,8,0),"")=I145,IF(C145&gt;=E145,"Successful","Unsuccessful"),"🔒 BLOCKED — Wrong Code")),"—")</f>
        <v/>
      </c>
      <c r="K145" s="493">
        <f>IF(J145="Successful",TEXT(TODAY(),"YYYY-MM-DD")&amp;" Auto","—")</f>
        <v/>
      </c>
      <c r="L145" s="494" t="n"/>
    </row>
    <row r="146" ht="15" customHeight="1" s="341">
      <c r="A146" s="495" t="n"/>
      <c r="B146" s="382">
        <f>IF(A146="","",IFERROR(VLOOKUP(A146,DB_Customers!$A:$D,4,0),"❌ Account Not Found"))</f>
        <v/>
      </c>
      <c r="C146" s="496">
        <f>IF(A146="","",IFERROR(VLOOKUP(A146,DB_Customers!$A:$N,14,0),""))</f>
        <v/>
      </c>
      <c r="D146" s="497">
        <f>IF(A146="","",TODAY())</f>
        <v/>
      </c>
      <c r="E146" s="510" t="n"/>
      <c r="F146" s="382" t="n"/>
      <c r="G146" s="512">
        <f>IF(OR(A146="",E146=""),"",IF(C146="","",C146-E146))</f>
        <v/>
      </c>
      <c r="H146" s="384" t="inlineStr">
        <is>
          <t>Agent 03</t>
        </is>
      </c>
      <c r="I146" s="491" t="n"/>
      <c r="J146" s="499">
        <f>IF(AND(A146&lt;&gt;"",E146&lt;&gt;""),IF(I146="","⚠️ Enter Code",IF(IFERROR(VLOOKUP(H146,DB_Agents!$B:$I,8,0),"")=I146,IF(C146&gt;=E146,"Successful","Unsuccessful"),"🔒 BLOCKED — Wrong Code")),"—")</f>
        <v/>
      </c>
      <c r="K146" s="500">
        <f>IF(J146="Successful",TEXT(TODAY(),"YYYY-MM-DD")&amp;" Auto","—")</f>
        <v/>
      </c>
      <c r="L146" s="501" t="n"/>
    </row>
    <row r="147" ht="15" customHeight="1" s="341">
      <c r="A147" s="486" t="n"/>
      <c r="B147" s="378">
        <f>IF(A147="","",IFERROR(VLOOKUP(A147,DB_Customers!$A:$D,4,0),"❌ Account Not Found"))</f>
        <v/>
      </c>
      <c r="C147" s="487">
        <f>IF(A147="","",IFERROR(VLOOKUP(A147,DB_Customers!$A:$N,14,0),""))</f>
        <v/>
      </c>
      <c r="D147" s="488">
        <f>IF(A147="","",TODAY())</f>
        <v/>
      </c>
      <c r="E147" s="510" t="n"/>
      <c r="F147" s="378" t="n"/>
      <c r="G147" s="511">
        <f>IF(OR(A147="",E147=""),"",IF(C147="","",C147-E147))</f>
        <v/>
      </c>
      <c r="H147" s="380" t="inlineStr">
        <is>
          <t>Agent 03</t>
        </is>
      </c>
      <c r="I147" s="491" t="n"/>
      <c r="J147" s="492">
        <f>IF(AND(A147&lt;&gt;"",E147&lt;&gt;""),IF(I147="","⚠️ Enter Code",IF(IFERROR(VLOOKUP(H147,DB_Agents!$B:$I,8,0),"")=I147,IF(C147&gt;=E147,"Successful","Unsuccessful"),"🔒 BLOCKED — Wrong Code")),"—")</f>
        <v/>
      </c>
      <c r="K147" s="493">
        <f>IF(J147="Successful",TEXT(TODAY(),"YYYY-MM-DD")&amp;" Auto","—")</f>
        <v/>
      </c>
      <c r="L147" s="494" t="n"/>
    </row>
    <row r="148" ht="15" customHeight="1" s="341">
      <c r="A148" s="495" t="n"/>
      <c r="B148" s="382">
        <f>IF(A148="","",IFERROR(VLOOKUP(A148,DB_Customers!$A:$D,4,0),"❌ Account Not Found"))</f>
        <v/>
      </c>
      <c r="C148" s="496">
        <f>IF(A148="","",IFERROR(VLOOKUP(A148,DB_Customers!$A:$N,14,0),""))</f>
        <v/>
      </c>
      <c r="D148" s="497">
        <f>IF(A148="","",TODAY())</f>
        <v/>
      </c>
      <c r="E148" s="510" t="n"/>
      <c r="F148" s="382" t="n"/>
      <c r="G148" s="512">
        <f>IF(OR(A148="",E148=""),"",IF(C148="","",C148-E148))</f>
        <v/>
      </c>
      <c r="H148" s="384" t="inlineStr">
        <is>
          <t>Agent 03</t>
        </is>
      </c>
      <c r="I148" s="491" t="n"/>
      <c r="J148" s="499">
        <f>IF(AND(A148&lt;&gt;"",E148&lt;&gt;""),IF(I148="","⚠️ Enter Code",IF(IFERROR(VLOOKUP(H148,DB_Agents!$B:$I,8,0),"")=I148,IF(C148&gt;=E148,"Successful","Unsuccessful"),"🔒 BLOCKED — Wrong Code")),"—")</f>
        <v/>
      </c>
      <c r="K148" s="500">
        <f>IF(J148="Successful",TEXT(TODAY(),"YYYY-MM-DD")&amp;" Auto","—")</f>
        <v/>
      </c>
      <c r="L148" s="501" t="n"/>
    </row>
    <row r="149" ht="15" customHeight="1" s="341">
      <c r="A149" s="486" t="n"/>
      <c r="B149" s="378">
        <f>IF(A149="","",IFERROR(VLOOKUP(A149,DB_Customers!$A:$D,4,0),"❌ Account Not Found"))</f>
        <v/>
      </c>
      <c r="C149" s="487">
        <f>IF(A149="","",IFERROR(VLOOKUP(A149,DB_Customers!$A:$N,14,0),""))</f>
        <v/>
      </c>
      <c r="D149" s="488">
        <f>IF(A149="","",TODAY())</f>
        <v/>
      </c>
      <c r="E149" s="510" t="n"/>
      <c r="F149" s="378" t="n"/>
      <c r="G149" s="511">
        <f>IF(OR(A149="",E149=""),"",IF(C149="","",C149-E149))</f>
        <v/>
      </c>
      <c r="H149" s="380" t="inlineStr">
        <is>
          <t>Agent 03</t>
        </is>
      </c>
      <c r="I149" s="491" t="n"/>
      <c r="J149" s="492">
        <f>IF(AND(A149&lt;&gt;"",E149&lt;&gt;""),IF(I149="","⚠️ Enter Code",IF(IFERROR(VLOOKUP(H149,DB_Agents!$B:$I,8,0),"")=I149,IF(C149&gt;=E149,"Successful","Unsuccessful"),"🔒 BLOCKED — Wrong Code")),"—")</f>
        <v/>
      </c>
      <c r="K149" s="493">
        <f>IF(J149="Successful",TEXT(TODAY(),"YYYY-MM-DD")&amp;" Auto","—")</f>
        <v/>
      </c>
      <c r="L149" s="494" t="n"/>
    </row>
    <row r="150" ht="15" customHeight="1" s="341">
      <c r="A150" s="495" t="n"/>
      <c r="B150" s="382">
        <f>IF(A150="","",IFERROR(VLOOKUP(A150,DB_Customers!$A:$D,4,0),"❌ Account Not Found"))</f>
        <v/>
      </c>
      <c r="C150" s="496">
        <f>IF(A150="","",IFERROR(VLOOKUP(A150,DB_Customers!$A:$N,14,0),""))</f>
        <v/>
      </c>
      <c r="D150" s="497">
        <f>IF(A150="","",TODAY())</f>
        <v/>
      </c>
      <c r="E150" s="510" t="n"/>
      <c r="F150" s="382" t="n"/>
      <c r="G150" s="512">
        <f>IF(OR(A150="",E150=""),"",IF(C150="","",C150-E150))</f>
        <v/>
      </c>
      <c r="H150" s="384" t="inlineStr">
        <is>
          <t>Agent 03</t>
        </is>
      </c>
      <c r="I150" s="491" t="n"/>
      <c r="J150" s="499">
        <f>IF(AND(A150&lt;&gt;"",E150&lt;&gt;""),IF(I150="","⚠️ Enter Code",IF(IFERROR(VLOOKUP(H150,DB_Agents!$B:$I,8,0),"")=I150,IF(C150&gt;=E150,"Successful","Unsuccessful"),"🔒 BLOCKED — Wrong Code")),"—")</f>
        <v/>
      </c>
      <c r="K150" s="500">
        <f>IF(J150="Successful",TEXT(TODAY(),"YYYY-MM-DD")&amp;" Auto","—")</f>
        <v/>
      </c>
      <c r="L150" s="501" t="n"/>
    </row>
    <row r="151" ht="15" customHeight="1" s="341">
      <c r="A151" s="486" t="n"/>
      <c r="B151" s="378">
        <f>IF(A151="","",IFERROR(VLOOKUP(A151,DB_Customers!$A:$D,4,0),"❌ Account Not Found"))</f>
        <v/>
      </c>
      <c r="C151" s="487">
        <f>IF(A151="","",IFERROR(VLOOKUP(A151,DB_Customers!$A:$N,14,0),""))</f>
        <v/>
      </c>
      <c r="D151" s="488">
        <f>IF(A151="","",TODAY())</f>
        <v/>
      </c>
      <c r="E151" s="510" t="n"/>
      <c r="F151" s="378" t="n"/>
      <c r="G151" s="511">
        <f>IF(OR(A151="",E151=""),"",IF(C151="","",C151-E151))</f>
        <v/>
      </c>
      <c r="H151" s="380" t="inlineStr">
        <is>
          <t>Agent 03</t>
        </is>
      </c>
      <c r="I151" s="491" t="n"/>
      <c r="J151" s="492">
        <f>IF(AND(A151&lt;&gt;"",E151&lt;&gt;""),IF(I151="","⚠️ Enter Code",IF(IFERROR(VLOOKUP(H151,DB_Agents!$B:$I,8,0),"")=I151,IF(C151&gt;=E151,"Successful","Unsuccessful"),"🔒 BLOCKED — Wrong Code")),"—")</f>
        <v/>
      </c>
      <c r="K151" s="493">
        <f>IF(J151="Successful",TEXT(TODAY(),"YYYY-MM-DD")&amp;" Auto","—")</f>
        <v/>
      </c>
      <c r="L151" s="494" t="n"/>
    </row>
    <row r="152" ht="15" customHeight="1" s="341">
      <c r="A152" s="495" t="n"/>
      <c r="B152" s="382">
        <f>IF(A152="","",IFERROR(VLOOKUP(A152,DB_Customers!$A:$D,4,0),"❌ Account Not Found"))</f>
        <v/>
      </c>
      <c r="C152" s="496">
        <f>IF(A152="","",IFERROR(VLOOKUP(A152,DB_Customers!$A:$N,14,0),""))</f>
        <v/>
      </c>
      <c r="D152" s="497">
        <f>IF(A152="","",TODAY())</f>
        <v/>
      </c>
      <c r="E152" s="510" t="n"/>
      <c r="F152" s="382" t="n"/>
      <c r="G152" s="512">
        <f>IF(OR(A152="",E152=""),"",IF(C152="","",C152-E152))</f>
        <v/>
      </c>
      <c r="H152" s="384" t="inlineStr">
        <is>
          <t>Agent 03</t>
        </is>
      </c>
      <c r="I152" s="491" t="n"/>
      <c r="J152" s="499">
        <f>IF(AND(A152&lt;&gt;"",E152&lt;&gt;""),IF(I152="","⚠️ Enter Code",IF(IFERROR(VLOOKUP(H152,DB_Agents!$B:$I,8,0),"")=I152,IF(C152&gt;=E152,"Successful","Unsuccessful"),"🔒 BLOCKED — Wrong Code")),"—")</f>
        <v/>
      </c>
      <c r="K152" s="500">
        <f>IF(J152="Successful",TEXT(TODAY(),"YYYY-MM-DD")&amp;" Auto","—")</f>
        <v/>
      </c>
      <c r="L152" s="501" t="n"/>
    </row>
    <row r="153" ht="15" customHeight="1" s="341">
      <c r="A153" s="486" t="n"/>
      <c r="B153" s="378">
        <f>IF(A153="","",IFERROR(VLOOKUP(A153,DB_Customers!$A:$D,4,0),"❌ Account Not Found"))</f>
        <v/>
      </c>
      <c r="C153" s="487">
        <f>IF(A153="","",IFERROR(VLOOKUP(A153,DB_Customers!$A:$N,14,0),""))</f>
        <v/>
      </c>
      <c r="D153" s="488">
        <f>IF(A153="","",TODAY())</f>
        <v/>
      </c>
      <c r="E153" s="510" t="n"/>
      <c r="F153" s="378" t="n"/>
      <c r="G153" s="511">
        <f>IF(OR(A153="",E153=""),"",IF(C153="","",C153-E153))</f>
        <v/>
      </c>
      <c r="H153" s="380" t="inlineStr">
        <is>
          <t>Agent 03</t>
        </is>
      </c>
      <c r="I153" s="491" t="n"/>
      <c r="J153" s="492">
        <f>IF(AND(A153&lt;&gt;"",E153&lt;&gt;""),IF(I153="","⚠️ Enter Code",IF(IFERROR(VLOOKUP(H153,DB_Agents!$B:$I,8,0),"")=I153,IF(C153&gt;=E153,"Successful","Unsuccessful"),"🔒 BLOCKED — Wrong Code")),"—")</f>
        <v/>
      </c>
      <c r="K153" s="493">
        <f>IF(J153="Successful",TEXT(TODAY(),"YYYY-MM-DD")&amp;" Auto","—")</f>
        <v/>
      </c>
      <c r="L153" s="494" t="n"/>
    </row>
    <row r="154" ht="15" customHeight="1" s="341">
      <c r="A154" s="495" t="n"/>
      <c r="B154" s="382">
        <f>IF(A154="","",IFERROR(VLOOKUP(A154,DB_Customers!$A:$D,4,0),"❌ Account Not Found"))</f>
        <v/>
      </c>
      <c r="C154" s="496">
        <f>IF(A154="","",IFERROR(VLOOKUP(A154,DB_Customers!$A:$N,14,0),""))</f>
        <v/>
      </c>
      <c r="D154" s="497">
        <f>IF(A154="","",TODAY())</f>
        <v/>
      </c>
      <c r="E154" s="510" t="n"/>
      <c r="F154" s="382" t="n"/>
      <c r="G154" s="512">
        <f>IF(OR(A154="",E154=""),"",IF(C154="","",C154-E154))</f>
        <v/>
      </c>
      <c r="H154" s="384" t="inlineStr">
        <is>
          <t>Agent 03</t>
        </is>
      </c>
      <c r="I154" s="491" t="n"/>
      <c r="J154" s="499">
        <f>IF(AND(A154&lt;&gt;"",E154&lt;&gt;""),IF(I154="","⚠️ Enter Code",IF(IFERROR(VLOOKUP(H154,DB_Agents!$B:$I,8,0),"")=I154,IF(C154&gt;=E154,"Successful","Unsuccessful"),"🔒 BLOCKED — Wrong Code")),"—")</f>
        <v/>
      </c>
      <c r="K154" s="500">
        <f>IF(J154="Successful",TEXT(TODAY(),"YYYY-MM-DD")&amp;" Auto","—")</f>
        <v/>
      </c>
      <c r="L154" s="501" t="n"/>
    </row>
    <row r="155" ht="15" customHeight="1" s="341">
      <c r="A155" s="486" t="n"/>
      <c r="B155" s="378">
        <f>IF(A155="","",IFERROR(VLOOKUP(A155,DB_Customers!$A:$D,4,0),"❌ Account Not Found"))</f>
        <v/>
      </c>
      <c r="C155" s="487">
        <f>IF(A155="","",IFERROR(VLOOKUP(A155,DB_Customers!$A:$N,14,0),""))</f>
        <v/>
      </c>
      <c r="D155" s="488">
        <f>IF(A155="","",TODAY())</f>
        <v/>
      </c>
      <c r="E155" s="510" t="n"/>
      <c r="F155" s="378" t="n"/>
      <c r="G155" s="511">
        <f>IF(OR(A155="",E155=""),"",IF(C155="","",C155-E155))</f>
        <v/>
      </c>
      <c r="H155" s="380" t="inlineStr">
        <is>
          <t>Agent 03</t>
        </is>
      </c>
      <c r="I155" s="491" t="n"/>
      <c r="J155" s="492">
        <f>IF(AND(A155&lt;&gt;"",E155&lt;&gt;""),IF(I155="","⚠️ Enter Code",IF(IFERROR(VLOOKUP(H155,DB_Agents!$B:$I,8,0),"")=I155,IF(C155&gt;=E155,"Successful","Unsuccessful"),"🔒 BLOCKED — Wrong Code")),"—")</f>
        <v/>
      </c>
      <c r="K155" s="493">
        <f>IF(J155="Successful",TEXT(TODAY(),"YYYY-MM-DD")&amp;" Auto","—")</f>
        <v/>
      </c>
      <c r="L155" s="494" t="n"/>
    </row>
    <row r="156" ht="15" customHeight="1" s="341">
      <c r="A156" s="495" t="n"/>
      <c r="B156" s="382">
        <f>IF(A156="","",IFERROR(VLOOKUP(A156,DB_Customers!$A:$D,4,0),"❌ Account Not Found"))</f>
        <v/>
      </c>
      <c r="C156" s="496">
        <f>IF(A156="","",IFERROR(VLOOKUP(A156,DB_Customers!$A:$N,14,0),""))</f>
        <v/>
      </c>
      <c r="D156" s="497">
        <f>IF(A156="","",TODAY())</f>
        <v/>
      </c>
      <c r="E156" s="510" t="n"/>
      <c r="F156" s="382" t="n"/>
      <c r="G156" s="512">
        <f>IF(OR(A156="",E156=""),"",IF(C156="","",C156-E156))</f>
        <v/>
      </c>
      <c r="H156" s="384" t="inlineStr">
        <is>
          <t>Agent 03</t>
        </is>
      </c>
      <c r="I156" s="491" t="n"/>
      <c r="J156" s="499">
        <f>IF(AND(A156&lt;&gt;"",E156&lt;&gt;""),IF(I156="","⚠️ Enter Code",IF(IFERROR(VLOOKUP(H156,DB_Agents!$B:$I,8,0),"")=I156,IF(C156&gt;=E156,"Successful","Unsuccessful"),"🔒 BLOCKED — Wrong Code")),"—")</f>
        <v/>
      </c>
      <c r="K156" s="500">
        <f>IF(J156="Successful",TEXT(TODAY(),"YYYY-MM-DD")&amp;" Auto","—")</f>
        <v/>
      </c>
      <c r="L156" s="501" t="n"/>
    </row>
    <row r="157" ht="15" customHeight="1" s="341">
      <c r="A157" s="486" t="n"/>
      <c r="B157" s="378">
        <f>IF(A157="","",IFERROR(VLOOKUP(A157,DB_Customers!$A:$D,4,0),"❌ Account Not Found"))</f>
        <v/>
      </c>
      <c r="C157" s="487">
        <f>IF(A157="","",IFERROR(VLOOKUP(A157,DB_Customers!$A:$N,14,0),""))</f>
        <v/>
      </c>
      <c r="D157" s="488">
        <f>IF(A157="","",TODAY())</f>
        <v/>
      </c>
      <c r="E157" s="510" t="n"/>
      <c r="F157" s="378" t="n"/>
      <c r="G157" s="511">
        <f>IF(OR(A157="",E157=""),"",IF(C157="","",C157-E157))</f>
        <v/>
      </c>
      <c r="H157" s="380" t="inlineStr">
        <is>
          <t>Agent 03</t>
        </is>
      </c>
      <c r="I157" s="491" t="n"/>
      <c r="J157" s="492">
        <f>IF(AND(A157&lt;&gt;"",E157&lt;&gt;""),IF(I157="","⚠️ Enter Code",IF(IFERROR(VLOOKUP(H157,DB_Agents!$B:$I,8,0),"")=I157,IF(C157&gt;=E157,"Successful","Unsuccessful"),"🔒 BLOCKED — Wrong Code")),"—")</f>
        <v/>
      </c>
      <c r="K157" s="493">
        <f>IF(J157="Successful",TEXT(TODAY(),"YYYY-MM-DD")&amp;" Auto","—")</f>
        <v/>
      </c>
      <c r="L157" s="494" t="n"/>
    </row>
    <row r="158" ht="15" customHeight="1" s="341">
      <c r="A158" s="495" t="n"/>
      <c r="B158" s="382">
        <f>IF(A158="","",IFERROR(VLOOKUP(A158,DB_Customers!$A:$D,4,0),"❌ Account Not Found"))</f>
        <v/>
      </c>
      <c r="C158" s="496">
        <f>IF(A158="","",IFERROR(VLOOKUP(A158,DB_Customers!$A:$N,14,0),""))</f>
        <v/>
      </c>
      <c r="D158" s="497">
        <f>IF(A158="","",TODAY())</f>
        <v/>
      </c>
      <c r="E158" s="510" t="n"/>
      <c r="F158" s="382" t="n"/>
      <c r="G158" s="512">
        <f>IF(OR(A158="",E158=""),"",IF(C158="","",C158-E158))</f>
        <v/>
      </c>
      <c r="H158" s="384" t="inlineStr">
        <is>
          <t>Agent 03</t>
        </is>
      </c>
      <c r="I158" s="491" t="n"/>
      <c r="J158" s="499">
        <f>IF(AND(A158&lt;&gt;"",E158&lt;&gt;""),IF(I158="","⚠️ Enter Code",IF(IFERROR(VLOOKUP(H158,DB_Agents!$B:$I,8,0),"")=I158,IF(C158&gt;=E158,"Successful","Unsuccessful"),"🔒 BLOCKED — Wrong Code")),"—")</f>
        <v/>
      </c>
      <c r="K158" s="500">
        <f>IF(J158="Successful",TEXT(TODAY(),"YYYY-MM-DD")&amp;" Auto","—")</f>
        <v/>
      </c>
      <c r="L158" s="501" t="n"/>
    </row>
    <row r="159" ht="15" customHeight="1" s="341">
      <c r="A159" s="486" t="n"/>
      <c r="B159" s="378">
        <f>IF(A159="","",IFERROR(VLOOKUP(A159,DB_Customers!$A:$D,4,0),"❌ Account Not Found"))</f>
        <v/>
      </c>
      <c r="C159" s="487">
        <f>IF(A159="","",IFERROR(VLOOKUP(A159,DB_Customers!$A:$N,14,0),""))</f>
        <v/>
      </c>
      <c r="D159" s="488">
        <f>IF(A159="","",TODAY())</f>
        <v/>
      </c>
      <c r="E159" s="510" t="n"/>
      <c r="F159" s="378" t="n"/>
      <c r="G159" s="511">
        <f>IF(OR(A159="",E159=""),"",IF(C159="","",C159-E159))</f>
        <v/>
      </c>
      <c r="H159" s="380" t="inlineStr">
        <is>
          <t>Agent 03</t>
        </is>
      </c>
      <c r="I159" s="491" t="n"/>
      <c r="J159" s="492">
        <f>IF(AND(A159&lt;&gt;"",E159&lt;&gt;""),IF(I159="","⚠️ Enter Code",IF(IFERROR(VLOOKUP(H159,DB_Agents!$B:$I,8,0),"")=I159,IF(C159&gt;=E159,"Successful","Unsuccessful"),"🔒 BLOCKED — Wrong Code")),"—")</f>
        <v/>
      </c>
      <c r="K159" s="493">
        <f>IF(J159="Successful",TEXT(TODAY(),"YYYY-MM-DD")&amp;" Auto","—")</f>
        <v/>
      </c>
      <c r="L159" s="494" t="n"/>
    </row>
    <row r="160" ht="15" customHeight="1" s="341">
      <c r="A160" s="495" t="n"/>
      <c r="B160" s="382">
        <f>IF(A160="","",IFERROR(VLOOKUP(A160,DB_Customers!$A:$D,4,0),"❌ Account Not Found"))</f>
        <v/>
      </c>
      <c r="C160" s="496">
        <f>IF(A160="","",IFERROR(VLOOKUP(A160,DB_Customers!$A:$N,14,0),""))</f>
        <v/>
      </c>
      <c r="D160" s="497">
        <f>IF(A160="","",TODAY())</f>
        <v/>
      </c>
      <c r="E160" s="510" t="n"/>
      <c r="F160" s="382" t="n"/>
      <c r="G160" s="512">
        <f>IF(OR(A160="",E160=""),"",IF(C160="","",C160-E160))</f>
        <v/>
      </c>
      <c r="H160" s="384" t="inlineStr">
        <is>
          <t>Agent 03</t>
        </is>
      </c>
      <c r="I160" s="491" t="n"/>
      <c r="J160" s="499">
        <f>IF(AND(A160&lt;&gt;"",E160&lt;&gt;""),IF(I160="","⚠️ Enter Code",IF(IFERROR(VLOOKUP(H160,DB_Agents!$B:$I,8,0),"")=I160,IF(C160&gt;=E160,"Successful","Unsuccessful"),"🔒 BLOCKED — Wrong Code")),"—")</f>
        <v/>
      </c>
      <c r="K160" s="500">
        <f>IF(J160="Successful",TEXT(TODAY(),"YYYY-MM-DD")&amp;" Auto","—")</f>
        <v/>
      </c>
      <c r="L160" s="501" t="n"/>
    </row>
    <row r="161" ht="15" customHeight="1" s="341">
      <c r="A161" s="486" t="n"/>
      <c r="B161" s="378">
        <f>IF(A161="","",IFERROR(VLOOKUP(A161,DB_Customers!$A:$D,4,0),"❌ Account Not Found"))</f>
        <v/>
      </c>
      <c r="C161" s="487">
        <f>IF(A161="","",IFERROR(VLOOKUP(A161,DB_Customers!$A:$N,14,0),""))</f>
        <v/>
      </c>
      <c r="D161" s="488">
        <f>IF(A161="","",TODAY())</f>
        <v/>
      </c>
      <c r="E161" s="510" t="n"/>
      <c r="F161" s="378" t="n"/>
      <c r="G161" s="511">
        <f>IF(OR(A161="",E161=""),"",IF(C161="","",C161-E161))</f>
        <v/>
      </c>
      <c r="H161" s="380" t="inlineStr">
        <is>
          <t>Agent 03</t>
        </is>
      </c>
      <c r="I161" s="491" t="n"/>
      <c r="J161" s="492">
        <f>IF(AND(A161&lt;&gt;"",E161&lt;&gt;""),IF(I161="","⚠️ Enter Code",IF(IFERROR(VLOOKUP(H161,DB_Agents!$B:$I,8,0),"")=I161,IF(C161&gt;=E161,"Successful","Unsuccessful"),"🔒 BLOCKED — Wrong Code")),"—")</f>
        <v/>
      </c>
      <c r="K161" s="493">
        <f>IF(J161="Successful",TEXT(TODAY(),"YYYY-MM-DD")&amp;" Auto","—")</f>
        <v/>
      </c>
      <c r="L161" s="494" t="n"/>
    </row>
    <row r="162" ht="15" customHeight="1" s="341">
      <c r="A162" s="495" t="n"/>
      <c r="B162" s="382">
        <f>IF(A162="","",IFERROR(VLOOKUP(A162,DB_Customers!$A:$D,4,0),"❌ Account Not Found"))</f>
        <v/>
      </c>
      <c r="C162" s="496">
        <f>IF(A162="","",IFERROR(VLOOKUP(A162,DB_Customers!$A:$N,14,0),""))</f>
        <v/>
      </c>
      <c r="D162" s="497">
        <f>IF(A162="","",TODAY())</f>
        <v/>
      </c>
      <c r="E162" s="510" t="n"/>
      <c r="F162" s="382" t="n"/>
      <c r="G162" s="512">
        <f>IF(OR(A162="",E162=""),"",IF(C162="","",C162-E162))</f>
        <v/>
      </c>
      <c r="H162" s="384" t="inlineStr">
        <is>
          <t>Agent 03</t>
        </is>
      </c>
      <c r="I162" s="491" t="n"/>
      <c r="J162" s="499">
        <f>IF(AND(A162&lt;&gt;"",E162&lt;&gt;""),IF(I162="","⚠️ Enter Code",IF(IFERROR(VLOOKUP(H162,DB_Agents!$B:$I,8,0),"")=I162,IF(C162&gt;=E162,"Successful","Unsuccessful"),"🔒 BLOCKED — Wrong Code")),"—")</f>
        <v/>
      </c>
      <c r="K162" s="500">
        <f>IF(J162="Successful",TEXT(TODAY(),"YYYY-MM-DD")&amp;" Auto","—")</f>
        <v/>
      </c>
      <c r="L162" s="501" t="n"/>
    </row>
    <row r="163" ht="15" customHeight="1" s="341">
      <c r="A163" s="486" t="n"/>
      <c r="B163" s="378">
        <f>IF(A163="","",IFERROR(VLOOKUP(A163,DB_Customers!$A:$D,4,0),"❌ Account Not Found"))</f>
        <v/>
      </c>
      <c r="C163" s="487">
        <f>IF(A163="","",IFERROR(VLOOKUP(A163,DB_Customers!$A:$N,14,0),""))</f>
        <v/>
      </c>
      <c r="D163" s="488">
        <f>IF(A163="","",TODAY())</f>
        <v/>
      </c>
      <c r="E163" s="510" t="n"/>
      <c r="F163" s="378" t="n"/>
      <c r="G163" s="511">
        <f>IF(OR(A163="",E163=""),"",IF(C163="","",C163-E163))</f>
        <v/>
      </c>
      <c r="H163" s="380" t="inlineStr">
        <is>
          <t>Agent 03</t>
        </is>
      </c>
      <c r="I163" s="491" t="n"/>
      <c r="J163" s="492">
        <f>IF(AND(A163&lt;&gt;"",E163&lt;&gt;""),IF(I163="","⚠️ Enter Code",IF(IFERROR(VLOOKUP(H163,DB_Agents!$B:$I,8,0),"")=I163,IF(C163&gt;=E163,"Successful","Unsuccessful"),"🔒 BLOCKED — Wrong Code")),"—")</f>
        <v/>
      </c>
      <c r="K163" s="493">
        <f>IF(J163="Successful",TEXT(TODAY(),"YYYY-MM-DD")&amp;" Auto","—")</f>
        <v/>
      </c>
      <c r="L163" s="494" t="n"/>
    </row>
    <row r="164" ht="15" customHeight="1" s="341">
      <c r="A164" s="495" t="n"/>
      <c r="B164" s="382">
        <f>IF(A164="","",IFERROR(VLOOKUP(A164,DB_Customers!$A:$D,4,0),"❌ Account Not Found"))</f>
        <v/>
      </c>
      <c r="C164" s="496">
        <f>IF(A164="","",IFERROR(VLOOKUP(A164,DB_Customers!$A:$N,14,0),""))</f>
        <v/>
      </c>
      <c r="D164" s="497">
        <f>IF(A164="","",TODAY())</f>
        <v/>
      </c>
      <c r="E164" s="510" t="n"/>
      <c r="F164" s="382" t="n"/>
      <c r="G164" s="512">
        <f>IF(OR(A164="",E164=""),"",IF(C164="","",C164-E164))</f>
        <v/>
      </c>
      <c r="H164" s="384" t="inlineStr">
        <is>
          <t>Agent 03</t>
        </is>
      </c>
      <c r="I164" s="491" t="n"/>
      <c r="J164" s="499">
        <f>IF(AND(A164&lt;&gt;"",E164&lt;&gt;""),IF(I164="","⚠️ Enter Code",IF(IFERROR(VLOOKUP(H164,DB_Agents!$B:$I,8,0),"")=I164,IF(C164&gt;=E164,"Successful","Unsuccessful"),"🔒 BLOCKED — Wrong Code")),"—")</f>
        <v/>
      </c>
      <c r="K164" s="500">
        <f>IF(J164="Successful",TEXT(TODAY(),"YYYY-MM-DD")&amp;" Auto","—")</f>
        <v/>
      </c>
      <c r="L164" s="501" t="n"/>
    </row>
    <row r="165" ht="15" customHeight="1" s="341">
      <c r="A165" s="486" t="n"/>
      <c r="B165" s="378">
        <f>IF(A165="","",IFERROR(VLOOKUP(A165,DB_Customers!$A:$D,4,0),"❌ Account Not Found"))</f>
        <v/>
      </c>
      <c r="C165" s="487">
        <f>IF(A165="","",IFERROR(VLOOKUP(A165,DB_Customers!$A:$N,14,0),""))</f>
        <v/>
      </c>
      <c r="D165" s="488">
        <f>IF(A165="","",TODAY())</f>
        <v/>
      </c>
      <c r="E165" s="510" t="n"/>
      <c r="F165" s="378" t="n"/>
      <c r="G165" s="511">
        <f>IF(OR(A165="",E165=""),"",IF(C165="","",C165-E165))</f>
        <v/>
      </c>
      <c r="H165" s="380" t="inlineStr">
        <is>
          <t>Agent 03</t>
        </is>
      </c>
      <c r="I165" s="491" t="n"/>
      <c r="J165" s="492">
        <f>IF(AND(A165&lt;&gt;"",E165&lt;&gt;""),IF(I165="","⚠️ Enter Code",IF(IFERROR(VLOOKUP(H165,DB_Agents!$B:$I,8,0),"")=I165,IF(C165&gt;=E165,"Successful","Unsuccessful"),"🔒 BLOCKED — Wrong Code")),"—")</f>
        <v/>
      </c>
      <c r="K165" s="493">
        <f>IF(J165="Successful",TEXT(TODAY(),"YYYY-MM-DD")&amp;" Auto","—")</f>
        <v/>
      </c>
      <c r="L165" s="494" t="n"/>
    </row>
    <row r="166" ht="15" customHeight="1" s="341">
      <c r="A166" s="495" t="n"/>
      <c r="B166" s="382">
        <f>IF(A166="","",IFERROR(VLOOKUP(A166,DB_Customers!$A:$D,4,0),"❌ Account Not Found"))</f>
        <v/>
      </c>
      <c r="C166" s="496">
        <f>IF(A166="","",IFERROR(VLOOKUP(A166,DB_Customers!$A:$N,14,0),""))</f>
        <v/>
      </c>
      <c r="D166" s="497">
        <f>IF(A166="","",TODAY())</f>
        <v/>
      </c>
      <c r="E166" s="510" t="n"/>
      <c r="F166" s="382" t="n"/>
      <c r="G166" s="512">
        <f>IF(OR(A166="",E166=""),"",IF(C166="","",C166-E166))</f>
        <v/>
      </c>
      <c r="H166" s="384" t="inlineStr">
        <is>
          <t>Agent 03</t>
        </is>
      </c>
      <c r="I166" s="491" t="n"/>
      <c r="J166" s="499">
        <f>IF(AND(A166&lt;&gt;"",E166&lt;&gt;""),IF(I166="","⚠️ Enter Code",IF(IFERROR(VLOOKUP(H166,DB_Agents!$B:$I,8,0),"")=I166,IF(C166&gt;=E166,"Successful","Unsuccessful"),"🔒 BLOCKED — Wrong Code")),"—")</f>
        <v/>
      </c>
      <c r="K166" s="500">
        <f>IF(J166="Successful",TEXT(TODAY(),"YYYY-MM-DD")&amp;" Auto","—")</f>
        <v/>
      </c>
      <c r="L166" s="501" t="n"/>
    </row>
    <row r="167" ht="15" customHeight="1" s="341">
      <c r="A167" s="486" t="n"/>
      <c r="B167" s="378">
        <f>IF(A167="","",IFERROR(VLOOKUP(A167,DB_Customers!$A:$D,4,0),"❌ Account Not Found"))</f>
        <v/>
      </c>
      <c r="C167" s="487">
        <f>IF(A167="","",IFERROR(VLOOKUP(A167,DB_Customers!$A:$N,14,0),""))</f>
        <v/>
      </c>
      <c r="D167" s="488">
        <f>IF(A167="","",TODAY())</f>
        <v/>
      </c>
      <c r="E167" s="510" t="n"/>
      <c r="F167" s="378" t="n"/>
      <c r="G167" s="511">
        <f>IF(OR(A167="",E167=""),"",IF(C167="","",C167-E167))</f>
        <v/>
      </c>
      <c r="H167" s="380" t="inlineStr">
        <is>
          <t>Agent 03</t>
        </is>
      </c>
      <c r="I167" s="491" t="n"/>
      <c r="J167" s="492">
        <f>IF(AND(A167&lt;&gt;"",E167&lt;&gt;""),IF(I167="","⚠️ Enter Code",IF(IFERROR(VLOOKUP(H167,DB_Agents!$B:$I,8,0),"")=I167,IF(C167&gt;=E167,"Successful","Unsuccessful"),"🔒 BLOCKED — Wrong Code")),"—")</f>
        <v/>
      </c>
      <c r="K167" s="493">
        <f>IF(J167="Successful",TEXT(TODAY(),"YYYY-MM-DD")&amp;" Auto","—")</f>
        <v/>
      </c>
      <c r="L167" s="494" t="n"/>
    </row>
    <row r="168" ht="15" customHeight="1" s="341">
      <c r="A168" s="495" t="n"/>
      <c r="B168" s="382">
        <f>IF(A168="","",IFERROR(VLOOKUP(A168,DB_Customers!$A:$D,4,0),"❌ Account Not Found"))</f>
        <v/>
      </c>
      <c r="C168" s="496">
        <f>IF(A168="","",IFERROR(VLOOKUP(A168,DB_Customers!$A:$N,14,0),""))</f>
        <v/>
      </c>
      <c r="D168" s="497">
        <f>IF(A168="","",TODAY())</f>
        <v/>
      </c>
      <c r="E168" s="510" t="n"/>
      <c r="F168" s="382" t="n"/>
      <c r="G168" s="512">
        <f>IF(OR(A168="",E168=""),"",IF(C168="","",C168-E168))</f>
        <v/>
      </c>
      <c r="H168" s="384" t="inlineStr">
        <is>
          <t>Agent 03</t>
        </is>
      </c>
      <c r="I168" s="491" t="n"/>
      <c r="J168" s="499">
        <f>IF(AND(A168&lt;&gt;"",E168&lt;&gt;""),IF(I168="","⚠️ Enter Code",IF(IFERROR(VLOOKUP(H168,DB_Agents!$B:$I,8,0),"")=I168,IF(C168&gt;=E168,"Successful","Unsuccessful"),"🔒 BLOCKED — Wrong Code")),"—")</f>
        <v/>
      </c>
      <c r="K168" s="500">
        <f>IF(J168="Successful",TEXT(TODAY(),"YYYY-MM-DD")&amp;" Auto","—")</f>
        <v/>
      </c>
      <c r="L168" s="501" t="n"/>
    </row>
    <row r="169" ht="15" customHeight="1" s="341">
      <c r="A169" s="486" t="n"/>
      <c r="B169" s="378">
        <f>IF(A169="","",IFERROR(VLOOKUP(A169,DB_Customers!$A:$D,4,0),"❌ Account Not Found"))</f>
        <v/>
      </c>
      <c r="C169" s="487">
        <f>IF(A169="","",IFERROR(VLOOKUP(A169,DB_Customers!$A:$N,14,0),""))</f>
        <v/>
      </c>
      <c r="D169" s="488">
        <f>IF(A169="","",TODAY())</f>
        <v/>
      </c>
      <c r="E169" s="510" t="n"/>
      <c r="F169" s="378" t="n"/>
      <c r="G169" s="511">
        <f>IF(OR(A169="",E169=""),"",IF(C169="","",C169-E169))</f>
        <v/>
      </c>
      <c r="H169" s="380" t="inlineStr">
        <is>
          <t>Agent 03</t>
        </is>
      </c>
      <c r="I169" s="491" t="n"/>
      <c r="J169" s="492">
        <f>IF(AND(A169&lt;&gt;"",E169&lt;&gt;""),IF(I169="","⚠️ Enter Code",IF(IFERROR(VLOOKUP(H169,DB_Agents!$B:$I,8,0),"")=I169,IF(C169&gt;=E169,"Successful","Unsuccessful"),"🔒 BLOCKED — Wrong Code")),"—")</f>
        <v/>
      </c>
      <c r="K169" s="493">
        <f>IF(J169="Successful",TEXT(TODAY(),"YYYY-MM-DD")&amp;" Auto","—")</f>
        <v/>
      </c>
      <c r="L169" s="494" t="n"/>
    </row>
    <row r="170" ht="15" customHeight="1" s="341">
      <c r="A170" s="495" t="n"/>
      <c r="B170" s="382">
        <f>IF(A170="","",IFERROR(VLOOKUP(A170,DB_Customers!$A:$D,4,0),"❌ Account Not Found"))</f>
        <v/>
      </c>
      <c r="C170" s="496">
        <f>IF(A170="","",IFERROR(VLOOKUP(A170,DB_Customers!$A:$N,14,0),""))</f>
        <v/>
      </c>
      <c r="D170" s="497">
        <f>IF(A170="","",TODAY())</f>
        <v/>
      </c>
      <c r="E170" s="510" t="n"/>
      <c r="F170" s="382" t="n"/>
      <c r="G170" s="512">
        <f>IF(OR(A170="",E170=""),"",IF(C170="","",C170-E170))</f>
        <v/>
      </c>
      <c r="H170" s="384" t="inlineStr">
        <is>
          <t>Agent 03</t>
        </is>
      </c>
      <c r="I170" s="491" t="n"/>
      <c r="J170" s="499">
        <f>IF(AND(A170&lt;&gt;"",E170&lt;&gt;""),IF(I170="","⚠️ Enter Code",IF(IFERROR(VLOOKUP(H170,DB_Agents!$B:$I,8,0),"")=I170,IF(C170&gt;=E170,"Successful","Unsuccessful"),"🔒 BLOCKED — Wrong Code")),"—")</f>
        <v/>
      </c>
      <c r="K170" s="500">
        <f>IF(J170="Successful",TEXT(TODAY(),"YYYY-MM-DD")&amp;" Auto","—")</f>
        <v/>
      </c>
      <c r="L170" s="501" t="n"/>
    </row>
    <row r="171" ht="15" customHeight="1" s="341">
      <c r="A171" s="486" t="n"/>
      <c r="B171" s="378">
        <f>IF(A171="","",IFERROR(VLOOKUP(A171,DB_Customers!$A:$D,4,0),"❌ Account Not Found"))</f>
        <v/>
      </c>
      <c r="C171" s="487">
        <f>IF(A171="","",IFERROR(VLOOKUP(A171,DB_Customers!$A:$N,14,0),""))</f>
        <v/>
      </c>
      <c r="D171" s="488">
        <f>IF(A171="","",TODAY())</f>
        <v/>
      </c>
      <c r="E171" s="510" t="n"/>
      <c r="F171" s="378" t="n"/>
      <c r="G171" s="511">
        <f>IF(OR(A171="",E171=""),"",IF(C171="","",C171-E171))</f>
        <v/>
      </c>
      <c r="H171" s="380" t="inlineStr">
        <is>
          <t>Agent 03</t>
        </is>
      </c>
      <c r="I171" s="491" t="n"/>
      <c r="J171" s="492">
        <f>IF(AND(A171&lt;&gt;"",E171&lt;&gt;""),IF(I171="","⚠️ Enter Code",IF(IFERROR(VLOOKUP(H171,DB_Agents!$B:$I,8,0),"")=I171,IF(C171&gt;=E171,"Successful","Unsuccessful"),"🔒 BLOCKED — Wrong Code")),"—")</f>
        <v/>
      </c>
      <c r="K171" s="493">
        <f>IF(J171="Successful",TEXT(TODAY(),"YYYY-MM-DD")&amp;" Auto","—")</f>
        <v/>
      </c>
      <c r="L171" s="494" t="n"/>
    </row>
    <row r="172" ht="15" customHeight="1" s="341">
      <c r="A172" s="495" t="n"/>
      <c r="B172" s="382">
        <f>IF(A172="","",IFERROR(VLOOKUP(A172,DB_Customers!$A:$D,4,0),"❌ Account Not Found"))</f>
        <v/>
      </c>
      <c r="C172" s="496">
        <f>IF(A172="","",IFERROR(VLOOKUP(A172,DB_Customers!$A:$N,14,0),""))</f>
        <v/>
      </c>
      <c r="D172" s="497">
        <f>IF(A172="","",TODAY())</f>
        <v/>
      </c>
      <c r="E172" s="510" t="n"/>
      <c r="F172" s="382" t="n"/>
      <c r="G172" s="512">
        <f>IF(OR(A172="",E172=""),"",IF(C172="","",C172-E172))</f>
        <v/>
      </c>
      <c r="H172" s="384" t="inlineStr">
        <is>
          <t>Agent 03</t>
        </is>
      </c>
      <c r="I172" s="491" t="n"/>
      <c r="J172" s="499">
        <f>IF(AND(A172&lt;&gt;"",E172&lt;&gt;""),IF(I172="","⚠️ Enter Code",IF(IFERROR(VLOOKUP(H172,DB_Agents!$B:$I,8,0),"")=I172,IF(C172&gt;=E172,"Successful","Unsuccessful"),"🔒 BLOCKED — Wrong Code")),"—")</f>
        <v/>
      </c>
      <c r="K172" s="500">
        <f>IF(J172="Successful",TEXT(TODAY(),"YYYY-MM-DD")&amp;" Auto","—")</f>
        <v/>
      </c>
      <c r="L172" s="501" t="n"/>
    </row>
    <row r="173" ht="15" customHeight="1" s="341">
      <c r="A173" s="486" t="n"/>
      <c r="B173" s="378">
        <f>IF(A173="","",IFERROR(VLOOKUP(A173,DB_Customers!$A:$D,4,0),"❌ Account Not Found"))</f>
        <v/>
      </c>
      <c r="C173" s="487">
        <f>IF(A173="","",IFERROR(VLOOKUP(A173,DB_Customers!$A:$N,14,0),""))</f>
        <v/>
      </c>
      <c r="D173" s="488">
        <f>IF(A173="","",TODAY())</f>
        <v/>
      </c>
      <c r="E173" s="510" t="n"/>
      <c r="F173" s="378" t="n"/>
      <c r="G173" s="511">
        <f>IF(OR(A173="",E173=""),"",IF(C173="","",C173-E173))</f>
        <v/>
      </c>
      <c r="H173" s="380" t="inlineStr">
        <is>
          <t>Agent 03</t>
        </is>
      </c>
      <c r="I173" s="491" t="n"/>
      <c r="J173" s="492">
        <f>IF(AND(A173&lt;&gt;"",E173&lt;&gt;""),IF(I173="","⚠️ Enter Code",IF(IFERROR(VLOOKUP(H173,DB_Agents!$B:$I,8,0),"")=I173,IF(C173&gt;=E173,"Successful","Unsuccessful"),"🔒 BLOCKED — Wrong Code")),"—")</f>
        <v/>
      </c>
      <c r="K173" s="493">
        <f>IF(J173="Successful",TEXT(TODAY(),"YYYY-MM-DD")&amp;" Auto","—")</f>
        <v/>
      </c>
      <c r="L173" s="494" t="n"/>
    </row>
    <row r="174" ht="15" customHeight="1" s="341">
      <c r="A174" s="495" t="n"/>
      <c r="B174" s="382">
        <f>IF(A174="","",IFERROR(VLOOKUP(A174,DB_Customers!$A:$D,4,0),"❌ Account Not Found"))</f>
        <v/>
      </c>
      <c r="C174" s="496">
        <f>IF(A174="","",IFERROR(VLOOKUP(A174,DB_Customers!$A:$N,14,0),""))</f>
        <v/>
      </c>
      <c r="D174" s="497">
        <f>IF(A174="","",TODAY())</f>
        <v/>
      </c>
      <c r="E174" s="510" t="n"/>
      <c r="F174" s="382" t="n"/>
      <c r="G174" s="512">
        <f>IF(OR(A174="",E174=""),"",IF(C174="","",C174-E174))</f>
        <v/>
      </c>
      <c r="H174" s="384" t="inlineStr">
        <is>
          <t>Agent 03</t>
        </is>
      </c>
      <c r="I174" s="491" t="n"/>
      <c r="J174" s="499">
        <f>IF(AND(A174&lt;&gt;"",E174&lt;&gt;""),IF(I174="","⚠️ Enter Code",IF(IFERROR(VLOOKUP(H174,DB_Agents!$B:$I,8,0),"")=I174,IF(C174&gt;=E174,"Successful","Unsuccessful"),"🔒 BLOCKED — Wrong Code")),"—")</f>
        <v/>
      </c>
      <c r="K174" s="500">
        <f>IF(J174="Successful",TEXT(TODAY(),"YYYY-MM-DD")&amp;" Auto","—")</f>
        <v/>
      </c>
      <c r="L174" s="501" t="n"/>
    </row>
    <row r="175" ht="15" customHeight="1" s="341">
      <c r="A175" s="486" t="n"/>
      <c r="B175" s="378">
        <f>IF(A175="","",IFERROR(VLOOKUP(A175,DB_Customers!$A:$D,4,0),"❌ Account Not Found"))</f>
        <v/>
      </c>
      <c r="C175" s="487">
        <f>IF(A175="","",IFERROR(VLOOKUP(A175,DB_Customers!$A:$N,14,0),""))</f>
        <v/>
      </c>
      <c r="D175" s="488">
        <f>IF(A175="","",TODAY())</f>
        <v/>
      </c>
      <c r="E175" s="510" t="n"/>
      <c r="F175" s="378" t="n"/>
      <c r="G175" s="511">
        <f>IF(OR(A175="",E175=""),"",IF(C175="","",C175-E175))</f>
        <v/>
      </c>
      <c r="H175" s="380" t="inlineStr">
        <is>
          <t>Agent 03</t>
        </is>
      </c>
      <c r="I175" s="491" t="n"/>
      <c r="J175" s="492">
        <f>IF(AND(A175&lt;&gt;"",E175&lt;&gt;""),IF(I175="","⚠️ Enter Code",IF(IFERROR(VLOOKUP(H175,DB_Agents!$B:$I,8,0),"")=I175,IF(C175&gt;=E175,"Successful","Unsuccessful"),"🔒 BLOCKED — Wrong Code")),"—")</f>
        <v/>
      </c>
      <c r="K175" s="493">
        <f>IF(J175="Successful",TEXT(TODAY(),"YYYY-MM-DD")&amp;" Auto","—")</f>
        <v/>
      </c>
      <c r="L175" s="494" t="n"/>
    </row>
    <row r="176" ht="15" customHeight="1" s="341">
      <c r="A176" s="495" t="n"/>
      <c r="B176" s="382">
        <f>IF(A176="","",IFERROR(VLOOKUP(A176,DB_Customers!$A:$D,4,0),"❌ Account Not Found"))</f>
        <v/>
      </c>
      <c r="C176" s="496">
        <f>IF(A176="","",IFERROR(VLOOKUP(A176,DB_Customers!$A:$N,14,0),""))</f>
        <v/>
      </c>
      <c r="D176" s="497">
        <f>IF(A176="","",TODAY())</f>
        <v/>
      </c>
      <c r="E176" s="510" t="n"/>
      <c r="F176" s="382" t="n"/>
      <c r="G176" s="512">
        <f>IF(OR(A176="",E176=""),"",IF(C176="","",C176-E176))</f>
        <v/>
      </c>
      <c r="H176" s="384" t="inlineStr">
        <is>
          <t>Agent 03</t>
        </is>
      </c>
      <c r="I176" s="491" t="n"/>
      <c r="J176" s="499">
        <f>IF(AND(A176&lt;&gt;"",E176&lt;&gt;""),IF(I176="","⚠️ Enter Code",IF(IFERROR(VLOOKUP(H176,DB_Agents!$B:$I,8,0),"")=I176,IF(C176&gt;=E176,"Successful","Unsuccessful"),"🔒 BLOCKED — Wrong Code")),"—")</f>
        <v/>
      </c>
      <c r="K176" s="500">
        <f>IF(J176="Successful",TEXT(TODAY(),"YYYY-MM-DD")&amp;" Auto","—")</f>
        <v/>
      </c>
      <c r="L176" s="501" t="n"/>
    </row>
    <row r="177" ht="15" customHeight="1" s="341">
      <c r="A177" s="486" t="n"/>
      <c r="B177" s="378">
        <f>IF(A177="","",IFERROR(VLOOKUP(A177,DB_Customers!$A:$D,4,0),"❌ Account Not Found"))</f>
        <v/>
      </c>
      <c r="C177" s="487">
        <f>IF(A177="","",IFERROR(VLOOKUP(A177,DB_Customers!$A:$N,14,0),""))</f>
        <v/>
      </c>
      <c r="D177" s="488">
        <f>IF(A177="","",TODAY())</f>
        <v/>
      </c>
      <c r="E177" s="510" t="n"/>
      <c r="F177" s="378" t="n"/>
      <c r="G177" s="511">
        <f>IF(OR(A177="",E177=""),"",IF(C177="","",C177-E177))</f>
        <v/>
      </c>
      <c r="H177" s="380" t="inlineStr">
        <is>
          <t>Agent 03</t>
        </is>
      </c>
      <c r="I177" s="491" t="n"/>
      <c r="J177" s="492">
        <f>IF(AND(A177&lt;&gt;"",E177&lt;&gt;""),IF(I177="","⚠️ Enter Code",IF(IFERROR(VLOOKUP(H177,DB_Agents!$B:$I,8,0),"")=I177,IF(C177&gt;=E177,"Successful","Unsuccessful"),"🔒 BLOCKED — Wrong Code")),"—")</f>
        <v/>
      </c>
      <c r="K177" s="493">
        <f>IF(J177="Successful",TEXT(TODAY(),"YYYY-MM-DD")&amp;" Auto","—")</f>
        <v/>
      </c>
      <c r="L177" s="494" t="n"/>
    </row>
    <row r="178" ht="15" customHeight="1" s="341">
      <c r="A178" s="495" t="n"/>
      <c r="B178" s="382">
        <f>IF(A178="","",IFERROR(VLOOKUP(A178,DB_Customers!$A:$D,4,0),"❌ Account Not Found"))</f>
        <v/>
      </c>
      <c r="C178" s="496">
        <f>IF(A178="","",IFERROR(VLOOKUP(A178,DB_Customers!$A:$N,14,0),""))</f>
        <v/>
      </c>
      <c r="D178" s="497">
        <f>IF(A178="","",TODAY())</f>
        <v/>
      </c>
      <c r="E178" s="510" t="n"/>
      <c r="F178" s="382" t="n"/>
      <c r="G178" s="512">
        <f>IF(OR(A178="",E178=""),"",IF(C178="","",C178-E178))</f>
        <v/>
      </c>
      <c r="H178" s="384" t="inlineStr">
        <is>
          <t>Agent 03</t>
        </is>
      </c>
      <c r="I178" s="491" t="n"/>
      <c r="J178" s="499">
        <f>IF(AND(A178&lt;&gt;"",E178&lt;&gt;""),IF(I178="","⚠️ Enter Code",IF(IFERROR(VLOOKUP(H178,DB_Agents!$B:$I,8,0),"")=I178,IF(C178&gt;=E178,"Successful","Unsuccessful"),"🔒 BLOCKED — Wrong Code")),"—")</f>
        <v/>
      </c>
      <c r="K178" s="500">
        <f>IF(J178="Successful",TEXT(TODAY(),"YYYY-MM-DD")&amp;" Auto","—")</f>
        <v/>
      </c>
      <c r="L178" s="501" t="n"/>
    </row>
    <row r="179" ht="15" customHeight="1" s="341">
      <c r="A179" s="486" t="n"/>
      <c r="B179" s="378">
        <f>IF(A179="","",IFERROR(VLOOKUP(A179,DB_Customers!$A:$D,4,0),"❌ Account Not Found"))</f>
        <v/>
      </c>
      <c r="C179" s="487">
        <f>IF(A179="","",IFERROR(VLOOKUP(A179,DB_Customers!$A:$N,14,0),""))</f>
        <v/>
      </c>
      <c r="D179" s="488">
        <f>IF(A179="","",TODAY())</f>
        <v/>
      </c>
      <c r="E179" s="510" t="n"/>
      <c r="F179" s="378" t="n"/>
      <c r="G179" s="511">
        <f>IF(OR(A179="",E179=""),"",IF(C179="","",C179-E179))</f>
        <v/>
      </c>
      <c r="H179" s="380" t="inlineStr">
        <is>
          <t>Agent 03</t>
        </is>
      </c>
      <c r="I179" s="491" t="n"/>
      <c r="J179" s="492">
        <f>IF(AND(A179&lt;&gt;"",E179&lt;&gt;""),IF(I179="","⚠️ Enter Code",IF(IFERROR(VLOOKUP(H179,DB_Agents!$B:$I,8,0),"")=I179,IF(C179&gt;=E179,"Successful","Unsuccessful"),"🔒 BLOCKED — Wrong Code")),"—")</f>
        <v/>
      </c>
      <c r="K179" s="493">
        <f>IF(J179="Successful",TEXT(TODAY(),"YYYY-MM-DD")&amp;" Auto","—")</f>
        <v/>
      </c>
      <c r="L179" s="494" t="n"/>
    </row>
    <row r="180" ht="15" customHeight="1" s="341">
      <c r="A180" s="495" t="n"/>
      <c r="B180" s="382">
        <f>IF(A180="","",IFERROR(VLOOKUP(A180,DB_Customers!$A:$D,4,0),"❌ Account Not Found"))</f>
        <v/>
      </c>
      <c r="C180" s="496">
        <f>IF(A180="","",IFERROR(VLOOKUP(A180,DB_Customers!$A:$N,14,0),""))</f>
        <v/>
      </c>
      <c r="D180" s="497">
        <f>IF(A180="","",TODAY())</f>
        <v/>
      </c>
      <c r="E180" s="510" t="n"/>
      <c r="F180" s="382" t="n"/>
      <c r="G180" s="512">
        <f>IF(OR(A180="",E180=""),"",IF(C180="","",C180-E180))</f>
        <v/>
      </c>
      <c r="H180" s="384" t="inlineStr">
        <is>
          <t>Agent 03</t>
        </is>
      </c>
      <c r="I180" s="491" t="n"/>
      <c r="J180" s="499">
        <f>IF(AND(A180&lt;&gt;"",E180&lt;&gt;""),IF(I180="","⚠️ Enter Code",IF(IFERROR(VLOOKUP(H180,DB_Agents!$B:$I,8,0),"")=I180,IF(C180&gt;=E180,"Successful","Unsuccessful"),"🔒 BLOCKED — Wrong Code")),"—")</f>
        <v/>
      </c>
      <c r="K180" s="500">
        <f>IF(J180="Successful",TEXT(TODAY(),"YYYY-MM-DD")&amp;" Auto","—")</f>
        <v/>
      </c>
      <c r="L180" s="501" t="n"/>
    </row>
    <row r="181" ht="15" customHeight="1" s="341">
      <c r="A181" s="486" t="n"/>
      <c r="B181" s="378">
        <f>IF(A181="","",IFERROR(VLOOKUP(A181,DB_Customers!$A:$D,4,0),"❌ Account Not Found"))</f>
        <v/>
      </c>
      <c r="C181" s="487">
        <f>IF(A181="","",IFERROR(VLOOKUP(A181,DB_Customers!$A:$N,14,0),""))</f>
        <v/>
      </c>
      <c r="D181" s="488">
        <f>IF(A181="","",TODAY())</f>
        <v/>
      </c>
      <c r="E181" s="510" t="n"/>
      <c r="F181" s="378" t="n"/>
      <c r="G181" s="511">
        <f>IF(OR(A181="",E181=""),"",IF(C181="","",C181-E181))</f>
        <v/>
      </c>
      <c r="H181" s="380" t="inlineStr">
        <is>
          <t>Agent 03</t>
        </is>
      </c>
      <c r="I181" s="491" t="n"/>
      <c r="J181" s="492">
        <f>IF(AND(A181&lt;&gt;"",E181&lt;&gt;""),IF(I181="","⚠️ Enter Code",IF(IFERROR(VLOOKUP(H181,DB_Agents!$B:$I,8,0),"")=I181,IF(C181&gt;=E181,"Successful","Unsuccessful"),"🔒 BLOCKED — Wrong Code")),"—")</f>
        <v/>
      </c>
      <c r="K181" s="493">
        <f>IF(J181="Successful",TEXT(TODAY(),"YYYY-MM-DD")&amp;" Auto","—")</f>
        <v/>
      </c>
      <c r="L181" s="494" t="n"/>
    </row>
    <row r="182" ht="15" customHeight="1" s="341">
      <c r="A182" s="495" t="n"/>
      <c r="B182" s="382">
        <f>IF(A182="","",IFERROR(VLOOKUP(A182,DB_Customers!$A:$D,4,0),"❌ Account Not Found"))</f>
        <v/>
      </c>
      <c r="C182" s="496">
        <f>IF(A182="","",IFERROR(VLOOKUP(A182,DB_Customers!$A:$N,14,0),""))</f>
        <v/>
      </c>
      <c r="D182" s="497">
        <f>IF(A182="","",TODAY())</f>
        <v/>
      </c>
      <c r="E182" s="510" t="n"/>
      <c r="F182" s="382" t="n"/>
      <c r="G182" s="512">
        <f>IF(OR(A182="",E182=""),"",IF(C182="","",C182-E182))</f>
        <v/>
      </c>
      <c r="H182" s="384" t="inlineStr">
        <is>
          <t>Agent 03</t>
        </is>
      </c>
      <c r="I182" s="491" t="n"/>
      <c r="J182" s="499">
        <f>IF(AND(A182&lt;&gt;"",E182&lt;&gt;""),IF(I182="","⚠️ Enter Code",IF(IFERROR(VLOOKUP(H182,DB_Agents!$B:$I,8,0),"")=I182,IF(C182&gt;=E182,"Successful","Unsuccessful"),"🔒 BLOCKED — Wrong Code")),"—")</f>
        <v/>
      </c>
      <c r="K182" s="500">
        <f>IF(J182="Successful",TEXT(TODAY(),"YYYY-MM-DD")&amp;" Auto","—")</f>
        <v/>
      </c>
      <c r="L182" s="501" t="n"/>
    </row>
    <row r="183" ht="15" customHeight="1" s="341">
      <c r="A183" s="486" t="n"/>
      <c r="B183" s="378">
        <f>IF(A183="","",IFERROR(VLOOKUP(A183,DB_Customers!$A:$D,4,0),"❌ Account Not Found"))</f>
        <v/>
      </c>
      <c r="C183" s="487">
        <f>IF(A183="","",IFERROR(VLOOKUP(A183,DB_Customers!$A:$N,14,0),""))</f>
        <v/>
      </c>
      <c r="D183" s="488">
        <f>IF(A183="","",TODAY())</f>
        <v/>
      </c>
      <c r="E183" s="510" t="n"/>
      <c r="F183" s="378" t="n"/>
      <c r="G183" s="511">
        <f>IF(OR(A183="",E183=""),"",IF(C183="","",C183-E183))</f>
        <v/>
      </c>
      <c r="H183" s="380" t="inlineStr">
        <is>
          <t>Agent 03</t>
        </is>
      </c>
      <c r="I183" s="491" t="n"/>
      <c r="J183" s="492">
        <f>IF(AND(A183&lt;&gt;"",E183&lt;&gt;""),IF(I183="","⚠️ Enter Code",IF(IFERROR(VLOOKUP(H183,DB_Agents!$B:$I,8,0),"")=I183,IF(C183&gt;=E183,"Successful","Unsuccessful"),"🔒 BLOCKED — Wrong Code")),"—")</f>
        <v/>
      </c>
      <c r="K183" s="493">
        <f>IF(J183="Successful",TEXT(TODAY(),"YYYY-MM-DD")&amp;" Auto","—")</f>
        <v/>
      </c>
      <c r="L183" s="494" t="n"/>
    </row>
    <row r="184" ht="15" customHeight="1" s="341">
      <c r="A184" s="495" t="n"/>
      <c r="B184" s="382">
        <f>IF(A184="","",IFERROR(VLOOKUP(A184,DB_Customers!$A:$D,4,0),"❌ Account Not Found"))</f>
        <v/>
      </c>
      <c r="C184" s="496">
        <f>IF(A184="","",IFERROR(VLOOKUP(A184,DB_Customers!$A:$N,14,0),""))</f>
        <v/>
      </c>
      <c r="D184" s="497">
        <f>IF(A184="","",TODAY())</f>
        <v/>
      </c>
      <c r="E184" s="510" t="n"/>
      <c r="F184" s="382" t="n"/>
      <c r="G184" s="512">
        <f>IF(OR(A184="",E184=""),"",IF(C184="","",C184-E184))</f>
        <v/>
      </c>
      <c r="H184" s="384" t="inlineStr">
        <is>
          <t>Agent 03</t>
        </is>
      </c>
      <c r="I184" s="491" t="n"/>
      <c r="J184" s="499">
        <f>IF(AND(A184&lt;&gt;"",E184&lt;&gt;""),IF(I184="","⚠️ Enter Code",IF(IFERROR(VLOOKUP(H184,DB_Agents!$B:$I,8,0),"")=I184,IF(C184&gt;=E184,"Successful","Unsuccessful"),"🔒 BLOCKED — Wrong Code")),"—")</f>
        <v/>
      </c>
      <c r="K184" s="500">
        <f>IF(J184="Successful",TEXT(TODAY(),"YYYY-MM-DD")&amp;" Auto","—")</f>
        <v/>
      </c>
      <c r="L184" s="501" t="n"/>
    </row>
    <row r="185" ht="15" customHeight="1" s="341">
      <c r="A185" s="486" t="n"/>
      <c r="B185" s="378">
        <f>IF(A185="","",IFERROR(VLOOKUP(A185,DB_Customers!$A:$D,4,0),"❌ Account Not Found"))</f>
        <v/>
      </c>
      <c r="C185" s="487">
        <f>IF(A185="","",IFERROR(VLOOKUP(A185,DB_Customers!$A:$N,14,0),""))</f>
        <v/>
      </c>
      <c r="D185" s="488">
        <f>IF(A185="","",TODAY())</f>
        <v/>
      </c>
      <c r="E185" s="510" t="n"/>
      <c r="F185" s="378" t="n"/>
      <c r="G185" s="511">
        <f>IF(OR(A185="",E185=""),"",IF(C185="","",C185-E185))</f>
        <v/>
      </c>
      <c r="H185" s="380" t="inlineStr">
        <is>
          <t>Agent 03</t>
        </is>
      </c>
      <c r="I185" s="491" t="n"/>
      <c r="J185" s="492">
        <f>IF(AND(A185&lt;&gt;"",E185&lt;&gt;""),IF(I185="","⚠️ Enter Code",IF(IFERROR(VLOOKUP(H185,DB_Agents!$B:$I,8,0),"")=I185,IF(C185&gt;=E185,"Successful","Unsuccessful"),"🔒 BLOCKED — Wrong Code")),"—")</f>
        <v/>
      </c>
      <c r="K185" s="493">
        <f>IF(J185="Successful",TEXT(TODAY(),"YYYY-MM-DD")&amp;" Auto","—")</f>
        <v/>
      </c>
      <c r="L185" s="494" t="n"/>
    </row>
    <row r="186" ht="15" customHeight="1" s="341">
      <c r="A186" s="495" t="n"/>
      <c r="B186" s="382">
        <f>IF(A186="","",IFERROR(VLOOKUP(A186,DB_Customers!$A:$D,4,0),"❌ Account Not Found"))</f>
        <v/>
      </c>
      <c r="C186" s="496">
        <f>IF(A186="","",IFERROR(VLOOKUP(A186,DB_Customers!$A:$N,14,0),""))</f>
        <v/>
      </c>
      <c r="D186" s="497">
        <f>IF(A186="","",TODAY())</f>
        <v/>
      </c>
      <c r="E186" s="510" t="n"/>
      <c r="F186" s="382" t="n"/>
      <c r="G186" s="512">
        <f>IF(OR(A186="",E186=""),"",IF(C186="","",C186-E186))</f>
        <v/>
      </c>
      <c r="H186" s="384" t="inlineStr">
        <is>
          <t>Agent 03</t>
        </is>
      </c>
      <c r="I186" s="491" t="n"/>
      <c r="J186" s="499">
        <f>IF(AND(A186&lt;&gt;"",E186&lt;&gt;""),IF(I186="","⚠️ Enter Code",IF(IFERROR(VLOOKUP(H186,DB_Agents!$B:$I,8,0),"")=I186,IF(C186&gt;=E186,"Successful","Unsuccessful"),"🔒 BLOCKED — Wrong Code")),"—")</f>
        <v/>
      </c>
      <c r="K186" s="500">
        <f>IF(J186="Successful",TEXT(TODAY(),"YYYY-MM-DD")&amp;" Auto","—")</f>
        <v/>
      </c>
      <c r="L186" s="501" t="n"/>
    </row>
    <row r="187" ht="15" customHeight="1" s="341">
      <c r="A187" s="486" t="n"/>
      <c r="B187" s="378">
        <f>IF(A187="","",IFERROR(VLOOKUP(A187,DB_Customers!$A:$D,4,0),"❌ Account Not Found"))</f>
        <v/>
      </c>
      <c r="C187" s="487">
        <f>IF(A187="","",IFERROR(VLOOKUP(A187,DB_Customers!$A:$N,14,0),""))</f>
        <v/>
      </c>
      <c r="D187" s="488">
        <f>IF(A187="","",TODAY())</f>
        <v/>
      </c>
      <c r="E187" s="510" t="n"/>
      <c r="F187" s="378" t="n"/>
      <c r="G187" s="511">
        <f>IF(OR(A187="",E187=""),"",IF(C187="","",C187-E187))</f>
        <v/>
      </c>
      <c r="H187" s="380" t="inlineStr">
        <is>
          <t>Agent 03</t>
        </is>
      </c>
      <c r="I187" s="491" t="n"/>
      <c r="J187" s="492">
        <f>IF(AND(A187&lt;&gt;"",E187&lt;&gt;""),IF(I187="","⚠️ Enter Code",IF(IFERROR(VLOOKUP(H187,DB_Agents!$B:$I,8,0),"")=I187,IF(C187&gt;=E187,"Successful","Unsuccessful"),"🔒 BLOCKED — Wrong Code")),"—")</f>
        <v/>
      </c>
      <c r="K187" s="493">
        <f>IF(J187="Successful",TEXT(TODAY(),"YYYY-MM-DD")&amp;" Auto","—")</f>
        <v/>
      </c>
      <c r="L187" s="494" t="n"/>
    </row>
    <row r="188" ht="15" customHeight="1" s="341">
      <c r="A188" s="495" t="n"/>
      <c r="B188" s="382">
        <f>IF(A188="","",IFERROR(VLOOKUP(A188,DB_Customers!$A:$D,4,0),"❌ Account Not Found"))</f>
        <v/>
      </c>
      <c r="C188" s="496">
        <f>IF(A188="","",IFERROR(VLOOKUP(A188,DB_Customers!$A:$N,14,0),""))</f>
        <v/>
      </c>
      <c r="D188" s="497">
        <f>IF(A188="","",TODAY())</f>
        <v/>
      </c>
      <c r="E188" s="510" t="n"/>
      <c r="F188" s="382" t="n"/>
      <c r="G188" s="512">
        <f>IF(OR(A188="",E188=""),"",IF(C188="","",C188-E188))</f>
        <v/>
      </c>
      <c r="H188" s="384" t="inlineStr">
        <is>
          <t>Agent 03</t>
        </is>
      </c>
      <c r="I188" s="491" t="n"/>
      <c r="J188" s="499">
        <f>IF(AND(A188&lt;&gt;"",E188&lt;&gt;""),IF(I188="","⚠️ Enter Code",IF(IFERROR(VLOOKUP(H188,DB_Agents!$B:$I,8,0),"")=I188,IF(C188&gt;=E188,"Successful","Unsuccessful"),"🔒 BLOCKED — Wrong Code")),"—")</f>
        <v/>
      </c>
      <c r="K188" s="500">
        <f>IF(J188="Successful",TEXT(TODAY(),"YYYY-MM-DD")&amp;" Auto","—")</f>
        <v/>
      </c>
      <c r="L188" s="501" t="n"/>
    </row>
    <row r="189" ht="15" customHeight="1" s="341">
      <c r="A189" s="486" t="n"/>
      <c r="B189" s="378">
        <f>IF(A189="","",IFERROR(VLOOKUP(A189,DB_Customers!$A:$D,4,0),"❌ Account Not Found"))</f>
        <v/>
      </c>
      <c r="C189" s="487">
        <f>IF(A189="","",IFERROR(VLOOKUP(A189,DB_Customers!$A:$N,14,0),""))</f>
        <v/>
      </c>
      <c r="D189" s="488">
        <f>IF(A189="","",TODAY())</f>
        <v/>
      </c>
      <c r="E189" s="510" t="n"/>
      <c r="F189" s="378" t="n"/>
      <c r="G189" s="511">
        <f>IF(OR(A189="",E189=""),"",IF(C189="","",C189-E189))</f>
        <v/>
      </c>
      <c r="H189" s="380" t="inlineStr">
        <is>
          <t>Agent 03</t>
        </is>
      </c>
      <c r="I189" s="491" t="n"/>
      <c r="J189" s="492">
        <f>IF(AND(A189&lt;&gt;"",E189&lt;&gt;""),IF(I189="","⚠️ Enter Code",IF(IFERROR(VLOOKUP(H189,DB_Agents!$B:$I,8,0),"")=I189,IF(C189&gt;=E189,"Successful","Unsuccessful"),"🔒 BLOCKED — Wrong Code")),"—")</f>
        <v/>
      </c>
      <c r="K189" s="493">
        <f>IF(J189="Successful",TEXT(TODAY(),"YYYY-MM-DD")&amp;" Auto","—")</f>
        <v/>
      </c>
      <c r="L189" s="494" t="n"/>
    </row>
    <row r="190" ht="15" customHeight="1" s="341">
      <c r="A190" s="495" t="n"/>
      <c r="B190" s="382">
        <f>IF(A190="","",IFERROR(VLOOKUP(A190,DB_Customers!$A:$D,4,0),"❌ Account Not Found"))</f>
        <v/>
      </c>
      <c r="C190" s="496">
        <f>IF(A190="","",IFERROR(VLOOKUP(A190,DB_Customers!$A:$N,14,0),""))</f>
        <v/>
      </c>
      <c r="D190" s="497">
        <f>IF(A190="","",TODAY())</f>
        <v/>
      </c>
      <c r="E190" s="510" t="n"/>
      <c r="F190" s="382" t="n"/>
      <c r="G190" s="512">
        <f>IF(OR(A190="",E190=""),"",IF(C190="","",C190-E190))</f>
        <v/>
      </c>
      <c r="H190" s="384" t="inlineStr">
        <is>
          <t>Agent 03</t>
        </is>
      </c>
      <c r="I190" s="491" t="n"/>
      <c r="J190" s="499">
        <f>IF(AND(A190&lt;&gt;"",E190&lt;&gt;""),IF(I190="","⚠️ Enter Code",IF(IFERROR(VLOOKUP(H190,DB_Agents!$B:$I,8,0),"")=I190,IF(C190&gt;=E190,"Successful","Unsuccessful"),"🔒 BLOCKED — Wrong Code")),"—")</f>
        <v/>
      </c>
      <c r="K190" s="500">
        <f>IF(J190="Successful",TEXT(TODAY(),"YYYY-MM-DD")&amp;" Auto","—")</f>
        <v/>
      </c>
      <c r="L190" s="501" t="n"/>
    </row>
    <row r="191" ht="15" customHeight="1" s="341">
      <c r="A191" s="486" t="n"/>
      <c r="B191" s="378">
        <f>IF(A191="","",IFERROR(VLOOKUP(A191,DB_Customers!$A:$D,4,0),"❌ Account Not Found"))</f>
        <v/>
      </c>
      <c r="C191" s="487">
        <f>IF(A191="","",IFERROR(VLOOKUP(A191,DB_Customers!$A:$N,14,0),""))</f>
        <v/>
      </c>
      <c r="D191" s="488">
        <f>IF(A191="","",TODAY())</f>
        <v/>
      </c>
      <c r="E191" s="510" t="n"/>
      <c r="F191" s="378" t="n"/>
      <c r="G191" s="511">
        <f>IF(OR(A191="",E191=""),"",IF(C191="","",C191-E191))</f>
        <v/>
      </c>
      <c r="H191" s="380" t="inlineStr">
        <is>
          <t>Agent 03</t>
        </is>
      </c>
      <c r="I191" s="491" t="n"/>
      <c r="J191" s="492">
        <f>IF(AND(A191&lt;&gt;"",E191&lt;&gt;""),IF(I191="","⚠️ Enter Code",IF(IFERROR(VLOOKUP(H191,DB_Agents!$B:$I,8,0),"")=I191,IF(C191&gt;=E191,"Successful","Unsuccessful"),"🔒 BLOCKED — Wrong Code")),"—")</f>
        <v/>
      </c>
      <c r="K191" s="493">
        <f>IF(J191="Successful",TEXT(TODAY(),"YYYY-MM-DD")&amp;" Auto","—")</f>
        <v/>
      </c>
      <c r="L191" s="494" t="n"/>
    </row>
    <row r="192" ht="15" customHeight="1" s="341">
      <c r="A192" s="495" t="n"/>
      <c r="B192" s="382">
        <f>IF(A192="","",IFERROR(VLOOKUP(A192,DB_Customers!$A:$D,4,0),"❌ Account Not Found"))</f>
        <v/>
      </c>
      <c r="C192" s="496">
        <f>IF(A192="","",IFERROR(VLOOKUP(A192,DB_Customers!$A:$N,14,0),""))</f>
        <v/>
      </c>
      <c r="D192" s="497">
        <f>IF(A192="","",TODAY())</f>
        <v/>
      </c>
      <c r="E192" s="510" t="n"/>
      <c r="F192" s="382" t="n"/>
      <c r="G192" s="512">
        <f>IF(OR(A192="",E192=""),"",IF(C192="","",C192-E192))</f>
        <v/>
      </c>
      <c r="H192" s="384" t="inlineStr">
        <is>
          <t>Agent 03</t>
        </is>
      </c>
      <c r="I192" s="491" t="n"/>
      <c r="J192" s="499">
        <f>IF(AND(A192&lt;&gt;"",E192&lt;&gt;""),IF(I192="","⚠️ Enter Code",IF(IFERROR(VLOOKUP(H192,DB_Agents!$B:$I,8,0),"")=I192,IF(C192&gt;=E192,"Successful","Unsuccessful"),"🔒 BLOCKED — Wrong Code")),"—")</f>
        <v/>
      </c>
      <c r="K192" s="500">
        <f>IF(J192="Successful",TEXT(TODAY(),"YYYY-MM-DD")&amp;" Auto","—")</f>
        <v/>
      </c>
      <c r="L192" s="501" t="n"/>
    </row>
    <row r="193" ht="15" customHeight="1" s="341">
      <c r="A193" s="486" t="n"/>
      <c r="B193" s="378">
        <f>IF(A193="","",IFERROR(VLOOKUP(A193,DB_Customers!$A:$D,4,0),"❌ Account Not Found"))</f>
        <v/>
      </c>
      <c r="C193" s="487">
        <f>IF(A193="","",IFERROR(VLOOKUP(A193,DB_Customers!$A:$N,14,0),""))</f>
        <v/>
      </c>
      <c r="D193" s="488">
        <f>IF(A193="","",TODAY())</f>
        <v/>
      </c>
      <c r="E193" s="510" t="n"/>
      <c r="F193" s="378" t="n"/>
      <c r="G193" s="511">
        <f>IF(OR(A193="",E193=""),"",IF(C193="","",C193-E193))</f>
        <v/>
      </c>
      <c r="H193" s="380" t="inlineStr">
        <is>
          <t>Agent 03</t>
        </is>
      </c>
      <c r="I193" s="491" t="n"/>
      <c r="J193" s="492">
        <f>IF(AND(A193&lt;&gt;"",E193&lt;&gt;""),IF(I193="","⚠️ Enter Code",IF(IFERROR(VLOOKUP(H193,DB_Agents!$B:$I,8,0),"")=I193,IF(C193&gt;=E193,"Successful","Unsuccessful"),"🔒 BLOCKED — Wrong Code")),"—")</f>
        <v/>
      </c>
      <c r="K193" s="493">
        <f>IF(J193="Successful",TEXT(TODAY(),"YYYY-MM-DD")&amp;" Auto","—")</f>
        <v/>
      </c>
      <c r="L193" s="494" t="n"/>
    </row>
    <row r="194" ht="15" customHeight="1" s="341">
      <c r="A194" s="495" t="n"/>
      <c r="B194" s="382">
        <f>IF(A194="","",IFERROR(VLOOKUP(A194,DB_Customers!$A:$D,4,0),"❌ Account Not Found"))</f>
        <v/>
      </c>
      <c r="C194" s="496">
        <f>IF(A194="","",IFERROR(VLOOKUP(A194,DB_Customers!$A:$N,14,0),""))</f>
        <v/>
      </c>
      <c r="D194" s="497">
        <f>IF(A194="","",TODAY())</f>
        <v/>
      </c>
      <c r="E194" s="510" t="n"/>
      <c r="F194" s="382" t="n"/>
      <c r="G194" s="512">
        <f>IF(OR(A194="",E194=""),"",IF(C194="","",C194-E194))</f>
        <v/>
      </c>
      <c r="H194" s="384" t="inlineStr">
        <is>
          <t>Agent 03</t>
        </is>
      </c>
      <c r="I194" s="491" t="n"/>
      <c r="J194" s="499">
        <f>IF(AND(A194&lt;&gt;"",E194&lt;&gt;""),IF(I194="","⚠️ Enter Code",IF(IFERROR(VLOOKUP(H194,DB_Agents!$B:$I,8,0),"")=I194,IF(C194&gt;=E194,"Successful","Unsuccessful"),"🔒 BLOCKED — Wrong Code")),"—")</f>
        <v/>
      </c>
      <c r="K194" s="500">
        <f>IF(J194="Successful",TEXT(TODAY(),"YYYY-MM-DD")&amp;" Auto","—")</f>
        <v/>
      </c>
      <c r="L194" s="501" t="n"/>
    </row>
    <row r="195" ht="15" customHeight="1" s="341">
      <c r="A195" s="486" t="n"/>
      <c r="B195" s="378">
        <f>IF(A195="","",IFERROR(VLOOKUP(A195,DB_Customers!$A:$D,4,0),"❌ Account Not Found"))</f>
        <v/>
      </c>
      <c r="C195" s="487">
        <f>IF(A195="","",IFERROR(VLOOKUP(A195,DB_Customers!$A:$N,14,0),""))</f>
        <v/>
      </c>
      <c r="D195" s="488">
        <f>IF(A195="","",TODAY())</f>
        <v/>
      </c>
      <c r="E195" s="510" t="n"/>
      <c r="F195" s="378" t="n"/>
      <c r="G195" s="511">
        <f>IF(OR(A195="",E195=""),"",IF(C195="","",C195-E195))</f>
        <v/>
      </c>
      <c r="H195" s="380" t="inlineStr">
        <is>
          <t>Agent 03</t>
        </is>
      </c>
      <c r="I195" s="491" t="n"/>
      <c r="J195" s="492">
        <f>IF(AND(A195&lt;&gt;"",E195&lt;&gt;""),IF(I195="","⚠️ Enter Code",IF(IFERROR(VLOOKUP(H195,DB_Agents!$B:$I,8,0),"")=I195,IF(C195&gt;=E195,"Successful","Unsuccessful"),"🔒 BLOCKED — Wrong Code")),"—")</f>
        <v/>
      </c>
      <c r="K195" s="493">
        <f>IF(J195="Successful",TEXT(TODAY(),"YYYY-MM-DD")&amp;" Auto","—")</f>
        <v/>
      </c>
      <c r="L195" s="494" t="n"/>
    </row>
    <row r="196" ht="15" customHeight="1" s="341">
      <c r="A196" s="495" t="n"/>
      <c r="B196" s="382">
        <f>IF(A196="","",IFERROR(VLOOKUP(A196,DB_Customers!$A:$D,4,0),"❌ Account Not Found"))</f>
        <v/>
      </c>
      <c r="C196" s="496">
        <f>IF(A196="","",IFERROR(VLOOKUP(A196,DB_Customers!$A:$N,14,0),""))</f>
        <v/>
      </c>
      <c r="D196" s="497">
        <f>IF(A196="","",TODAY())</f>
        <v/>
      </c>
      <c r="E196" s="510" t="n"/>
      <c r="F196" s="382" t="n"/>
      <c r="G196" s="512">
        <f>IF(OR(A196="",E196=""),"",IF(C196="","",C196-E196))</f>
        <v/>
      </c>
      <c r="H196" s="384" t="inlineStr">
        <is>
          <t>Agent 03</t>
        </is>
      </c>
      <c r="I196" s="491" t="n"/>
      <c r="J196" s="499">
        <f>IF(AND(A196&lt;&gt;"",E196&lt;&gt;""),IF(I196="","⚠️ Enter Code",IF(IFERROR(VLOOKUP(H196,DB_Agents!$B:$I,8,0),"")=I196,IF(C196&gt;=E196,"Successful","Unsuccessful"),"🔒 BLOCKED — Wrong Code")),"—")</f>
        <v/>
      </c>
      <c r="K196" s="500">
        <f>IF(J196="Successful",TEXT(TODAY(),"YYYY-MM-DD")&amp;" Auto","—")</f>
        <v/>
      </c>
      <c r="L196" s="501" t="n"/>
    </row>
    <row r="197" ht="15" customHeight="1" s="341">
      <c r="A197" s="486" t="n"/>
      <c r="B197" s="378">
        <f>IF(A197="","",IFERROR(VLOOKUP(A197,DB_Customers!$A:$D,4,0),"❌ Account Not Found"))</f>
        <v/>
      </c>
      <c r="C197" s="487">
        <f>IF(A197="","",IFERROR(VLOOKUP(A197,DB_Customers!$A:$N,14,0),""))</f>
        <v/>
      </c>
      <c r="D197" s="488">
        <f>IF(A197="","",TODAY())</f>
        <v/>
      </c>
      <c r="E197" s="510" t="n"/>
      <c r="F197" s="378" t="n"/>
      <c r="G197" s="511">
        <f>IF(OR(A197="",E197=""),"",IF(C197="","",C197-E197))</f>
        <v/>
      </c>
      <c r="H197" s="380" t="inlineStr">
        <is>
          <t>Agent 03</t>
        </is>
      </c>
      <c r="I197" s="491" t="n"/>
      <c r="J197" s="492">
        <f>IF(AND(A197&lt;&gt;"",E197&lt;&gt;""),IF(I197="","⚠️ Enter Code",IF(IFERROR(VLOOKUP(H197,DB_Agents!$B:$I,8,0),"")=I197,IF(C197&gt;=E197,"Successful","Unsuccessful"),"🔒 BLOCKED — Wrong Code")),"—")</f>
        <v/>
      </c>
      <c r="K197" s="493">
        <f>IF(J197="Successful",TEXT(TODAY(),"YYYY-MM-DD")&amp;" Auto","—")</f>
        <v/>
      </c>
      <c r="L197" s="494" t="n"/>
    </row>
    <row r="198" ht="15" customHeight="1" s="341">
      <c r="A198" s="495" t="n"/>
      <c r="B198" s="382">
        <f>IF(A198="","",IFERROR(VLOOKUP(A198,DB_Customers!$A:$D,4,0),"❌ Account Not Found"))</f>
        <v/>
      </c>
      <c r="C198" s="496">
        <f>IF(A198="","",IFERROR(VLOOKUP(A198,DB_Customers!$A:$N,14,0),""))</f>
        <v/>
      </c>
      <c r="D198" s="497">
        <f>IF(A198="","",TODAY())</f>
        <v/>
      </c>
      <c r="E198" s="510" t="n"/>
      <c r="F198" s="382" t="n"/>
      <c r="G198" s="512">
        <f>IF(OR(A198="",E198=""),"",IF(C198="","",C198-E198))</f>
        <v/>
      </c>
      <c r="H198" s="384" t="inlineStr">
        <is>
          <t>Agent 03</t>
        </is>
      </c>
      <c r="I198" s="491" t="n"/>
      <c r="J198" s="499">
        <f>IF(AND(A198&lt;&gt;"",E198&lt;&gt;""),IF(I198="","⚠️ Enter Code",IF(IFERROR(VLOOKUP(H198,DB_Agents!$B:$I,8,0),"")=I198,IF(C198&gt;=E198,"Successful","Unsuccessful"),"🔒 BLOCKED — Wrong Code")),"—")</f>
        <v/>
      </c>
      <c r="K198" s="500">
        <f>IF(J198="Successful",TEXT(TODAY(),"YYYY-MM-DD")&amp;" Auto","—")</f>
        <v/>
      </c>
      <c r="L198" s="501" t="n"/>
    </row>
    <row r="199" ht="15" customHeight="1" s="341">
      <c r="A199" s="486" t="n"/>
      <c r="B199" s="378">
        <f>IF(A199="","",IFERROR(VLOOKUP(A199,DB_Customers!$A:$D,4,0),"❌ Account Not Found"))</f>
        <v/>
      </c>
      <c r="C199" s="487">
        <f>IF(A199="","",IFERROR(VLOOKUP(A199,DB_Customers!$A:$N,14,0),""))</f>
        <v/>
      </c>
      <c r="D199" s="488">
        <f>IF(A199="","",TODAY())</f>
        <v/>
      </c>
      <c r="E199" s="510" t="n"/>
      <c r="F199" s="378" t="n"/>
      <c r="G199" s="511">
        <f>IF(OR(A199="",E199=""),"",IF(C199="","",C199-E199))</f>
        <v/>
      </c>
      <c r="H199" s="380" t="inlineStr">
        <is>
          <t>Agent 03</t>
        </is>
      </c>
      <c r="I199" s="491" t="n"/>
      <c r="J199" s="492">
        <f>IF(AND(A199&lt;&gt;"",E199&lt;&gt;""),IF(I199="","⚠️ Enter Code",IF(IFERROR(VLOOKUP(H199,DB_Agents!$B:$I,8,0),"")=I199,IF(C199&gt;=E199,"Successful","Unsuccessful"),"🔒 BLOCKED — Wrong Code")),"—")</f>
        <v/>
      </c>
      <c r="K199" s="493">
        <f>IF(J199="Successful",TEXT(TODAY(),"YYYY-MM-DD")&amp;" Auto","—")</f>
        <v/>
      </c>
      <c r="L199" s="494" t="n"/>
    </row>
    <row r="200" ht="15" customHeight="1" s="341">
      <c r="A200" s="495" t="n"/>
      <c r="B200" s="382">
        <f>IF(A200="","",IFERROR(VLOOKUP(A200,DB_Customers!$A:$D,4,0),"❌ Account Not Found"))</f>
        <v/>
      </c>
      <c r="C200" s="496">
        <f>IF(A200="","",IFERROR(VLOOKUP(A200,DB_Customers!$A:$N,14,0),""))</f>
        <v/>
      </c>
      <c r="D200" s="497">
        <f>IF(A200="","",TODAY())</f>
        <v/>
      </c>
      <c r="E200" s="510" t="n"/>
      <c r="F200" s="382" t="n"/>
      <c r="G200" s="512">
        <f>IF(OR(A200="",E200=""),"",IF(C200="","",C200-E200))</f>
        <v/>
      </c>
      <c r="H200" s="384" t="inlineStr">
        <is>
          <t>Agent 03</t>
        </is>
      </c>
      <c r="I200" s="491" t="n"/>
      <c r="J200" s="499">
        <f>IF(AND(A200&lt;&gt;"",E200&lt;&gt;""),IF(I200="","⚠️ Enter Code",IF(IFERROR(VLOOKUP(H200,DB_Agents!$B:$I,8,0),"")=I200,IF(C200&gt;=E200,"Successful","Unsuccessful"),"🔒 BLOCKED — Wrong Code")),"—")</f>
        <v/>
      </c>
      <c r="K200" s="500">
        <f>IF(J200="Successful",TEXT(TODAY(),"YYYY-MM-DD")&amp;" Auto","—")</f>
        <v/>
      </c>
      <c r="L200" s="501" t="n"/>
    </row>
    <row r="201" ht="15" customHeight="1" s="341">
      <c r="A201" s="486" t="n"/>
      <c r="B201" s="378">
        <f>IF(A201="","",IFERROR(VLOOKUP(A201,DB_Customers!$A:$D,4,0),"❌ Account Not Found"))</f>
        <v/>
      </c>
      <c r="C201" s="487">
        <f>IF(A201="","",IFERROR(VLOOKUP(A201,DB_Customers!$A:$N,14,0),""))</f>
        <v/>
      </c>
      <c r="D201" s="488">
        <f>IF(A201="","",TODAY())</f>
        <v/>
      </c>
      <c r="E201" s="510" t="n"/>
      <c r="F201" s="378" t="n"/>
      <c r="G201" s="511">
        <f>IF(OR(A201="",E201=""),"",IF(C201="","",C201-E201))</f>
        <v/>
      </c>
      <c r="H201" s="380" t="inlineStr">
        <is>
          <t>Agent 03</t>
        </is>
      </c>
      <c r="I201" s="491" t="n"/>
      <c r="J201" s="492">
        <f>IF(AND(A201&lt;&gt;"",E201&lt;&gt;""),IF(I201="","⚠️ Enter Code",IF(IFERROR(VLOOKUP(H201,DB_Agents!$B:$I,8,0),"")=I201,IF(C201&gt;=E201,"Successful","Unsuccessful"),"🔒 BLOCKED — Wrong Code")),"—")</f>
        <v/>
      </c>
      <c r="K201" s="493">
        <f>IF(J201="Successful",TEXT(TODAY(),"YYYY-MM-DD")&amp;" Auto","—")</f>
        <v/>
      </c>
      <c r="L201" s="494" t="n"/>
    </row>
    <row r="202" ht="15" customHeight="1" s="341">
      <c r="A202" s="495" t="n"/>
      <c r="B202" s="382">
        <f>IF(A202="","",IFERROR(VLOOKUP(A202,DB_Customers!$A:$D,4,0),"❌ Account Not Found"))</f>
        <v/>
      </c>
      <c r="C202" s="496">
        <f>IF(A202="","",IFERROR(VLOOKUP(A202,DB_Customers!$A:$N,14,0),""))</f>
        <v/>
      </c>
      <c r="D202" s="497">
        <f>IF(A202="","",TODAY())</f>
        <v/>
      </c>
      <c r="E202" s="510" t="n"/>
      <c r="F202" s="382" t="n"/>
      <c r="G202" s="512">
        <f>IF(OR(A202="",E202=""),"",IF(C202="","",C202-E202))</f>
        <v/>
      </c>
      <c r="H202" s="384" t="inlineStr">
        <is>
          <t>Agent 03</t>
        </is>
      </c>
      <c r="I202" s="491" t="n"/>
      <c r="J202" s="499">
        <f>IF(AND(A202&lt;&gt;"",E202&lt;&gt;""),IF(I202="","⚠️ Enter Code",IF(IFERROR(VLOOKUP(H202,DB_Agents!$B:$I,8,0),"")=I202,IF(C202&gt;=E202,"Successful","Unsuccessful"),"🔒 BLOCKED — Wrong Code")),"—")</f>
        <v/>
      </c>
      <c r="K202" s="500">
        <f>IF(J202="Successful",TEXT(TODAY(),"YYYY-MM-DD")&amp;" Auto","—")</f>
        <v/>
      </c>
      <c r="L202" s="501" t="n"/>
    </row>
    <row r="203" ht="15" customHeight="1" s="341">
      <c r="A203" s="486" t="n"/>
      <c r="B203" s="378">
        <f>IF(A203="","",IFERROR(VLOOKUP(A203,DB_Customers!$A:$D,4,0),"❌ Account Not Found"))</f>
        <v/>
      </c>
      <c r="C203" s="487">
        <f>IF(A203="","",IFERROR(VLOOKUP(A203,DB_Customers!$A:$N,14,0),""))</f>
        <v/>
      </c>
      <c r="D203" s="488">
        <f>IF(A203="","",TODAY())</f>
        <v/>
      </c>
      <c r="E203" s="510" t="n"/>
      <c r="F203" s="378" t="n"/>
      <c r="G203" s="511">
        <f>IF(OR(A203="",E203=""),"",IF(C203="","",C203-E203))</f>
        <v/>
      </c>
      <c r="H203" s="380" t="inlineStr">
        <is>
          <t>Agent 03</t>
        </is>
      </c>
      <c r="I203" s="491" t="n"/>
      <c r="J203" s="492">
        <f>IF(AND(A203&lt;&gt;"",E203&lt;&gt;""),IF(I203="","⚠️ Enter Code",IF(IFERROR(VLOOKUP(H203,DB_Agents!$B:$I,8,0),"")=I203,IF(C203&gt;=E203,"Successful","Unsuccessful"),"🔒 BLOCKED — Wrong Code")),"—")</f>
        <v/>
      </c>
      <c r="K203" s="493">
        <f>IF(J203="Successful",TEXT(TODAY(),"YYYY-MM-DD")&amp;" Auto","—")</f>
        <v/>
      </c>
      <c r="L203" s="494" t="n"/>
    </row>
    <row r="204" ht="15" customHeight="1" s="341">
      <c r="A204" s="495" t="n"/>
      <c r="B204" s="382">
        <f>IF(A204="","",IFERROR(VLOOKUP(A204,DB_Customers!$A:$D,4,0),"❌ Account Not Found"))</f>
        <v/>
      </c>
      <c r="C204" s="496">
        <f>IF(A204="","",IFERROR(VLOOKUP(A204,DB_Customers!$A:$N,14,0),""))</f>
        <v/>
      </c>
      <c r="D204" s="497">
        <f>IF(A204="","",TODAY())</f>
        <v/>
      </c>
      <c r="E204" s="510" t="n"/>
      <c r="F204" s="382" t="n"/>
      <c r="G204" s="512">
        <f>IF(OR(A204="",E204=""),"",IF(C204="","",C204-E204))</f>
        <v/>
      </c>
      <c r="H204" s="384" t="inlineStr">
        <is>
          <t>Agent 03</t>
        </is>
      </c>
      <c r="I204" s="491" t="n"/>
      <c r="J204" s="499">
        <f>IF(AND(A204&lt;&gt;"",E204&lt;&gt;""),IF(I204="","⚠️ Enter Code",IF(IFERROR(VLOOKUP(H204,DB_Agents!$B:$I,8,0),"")=I204,IF(C204&gt;=E204,"Successful","Unsuccessful"),"🔒 BLOCKED — Wrong Code")),"—")</f>
        <v/>
      </c>
      <c r="K204" s="500">
        <f>IF(J204="Successful",TEXT(TODAY(),"YYYY-MM-DD")&amp;" Auto","—")</f>
        <v/>
      </c>
      <c r="L204" s="501" t="n"/>
    </row>
    <row r="205" ht="15" customHeight="1" s="341">
      <c r="A205" s="486" t="n"/>
      <c r="B205" s="378">
        <f>IF(A205="","",IFERROR(VLOOKUP(A205,DB_Customers!$A:$D,4,0),"❌ Account Not Found"))</f>
        <v/>
      </c>
      <c r="C205" s="487">
        <f>IF(A205="","",IFERROR(VLOOKUP(A205,DB_Customers!$A:$N,14,0),""))</f>
        <v/>
      </c>
      <c r="D205" s="488">
        <f>IF(A205="","",TODAY())</f>
        <v/>
      </c>
      <c r="E205" s="510" t="n"/>
      <c r="F205" s="378" t="n"/>
      <c r="G205" s="511">
        <f>IF(OR(A205="",E205=""),"",IF(C205="","",C205-E205))</f>
        <v/>
      </c>
      <c r="H205" s="380" t="inlineStr">
        <is>
          <t>Agent 03</t>
        </is>
      </c>
      <c r="I205" s="491" t="n"/>
      <c r="J205" s="492">
        <f>IF(AND(A205&lt;&gt;"",E205&lt;&gt;""),IF(I205="","⚠️ Enter Code",IF(IFERROR(VLOOKUP(H205,DB_Agents!$B:$I,8,0),"")=I205,IF(C205&gt;=E205,"Successful","Unsuccessful"),"🔒 BLOCKED — Wrong Code")),"—")</f>
        <v/>
      </c>
      <c r="K205" s="493">
        <f>IF(J205="Successful",TEXT(TODAY(),"YYYY-MM-DD")&amp;" Auto","—")</f>
        <v/>
      </c>
      <c r="L205" s="494" t="n"/>
    </row>
    <row r="206" ht="15" customHeight="1" s="341">
      <c r="A206" s="495" t="n"/>
      <c r="B206" s="382">
        <f>IF(A206="","",IFERROR(VLOOKUP(A206,DB_Customers!$A:$D,4,0),"❌ Account Not Found"))</f>
        <v/>
      </c>
      <c r="C206" s="496">
        <f>IF(A206="","",IFERROR(VLOOKUP(A206,DB_Customers!$A:$N,14,0),""))</f>
        <v/>
      </c>
      <c r="D206" s="497">
        <f>IF(A206="","",TODAY())</f>
        <v/>
      </c>
      <c r="E206" s="510" t="n"/>
      <c r="F206" s="382" t="n"/>
      <c r="G206" s="512">
        <f>IF(OR(A206="",E206=""),"",IF(C206="","",C206-E206))</f>
        <v/>
      </c>
      <c r="H206" s="384" t="inlineStr">
        <is>
          <t>Agent 03</t>
        </is>
      </c>
      <c r="I206" s="491" t="n"/>
      <c r="J206" s="499">
        <f>IF(AND(A206&lt;&gt;"",E206&lt;&gt;""),IF(I206="","⚠️ Enter Code",IF(IFERROR(VLOOKUP(H206,DB_Agents!$B:$I,8,0),"")=I206,IF(C206&gt;=E206,"Successful","Unsuccessful"),"🔒 BLOCKED — Wrong Code")),"—")</f>
        <v/>
      </c>
      <c r="K206" s="500">
        <f>IF(J206="Successful",TEXT(TODAY(),"YYYY-MM-DD")&amp;" Auto","—")</f>
        <v/>
      </c>
      <c r="L206" s="501" t="n"/>
    </row>
    <row r="207" ht="15" customHeight="1" s="341">
      <c r="A207" s="486" t="n"/>
      <c r="B207" s="378">
        <f>IF(A207="","",IFERROR(VLOOKUP(A207,DB_Customers!$A:$D,4,0),"❌ Account Not Found"))</f>
        <v/>
      </c>
      <c r="C207" s="487">
        <f>IF(A207="","",IFERROR(VLOOKUP(A207,DB_Customers!$A:$N,14,0),""))</f>
        <v/>
      </c>
      <c r="D207" s="488">
        <f>IF(A207="","",TODAY())</f>
        <v/>
      </c>
      <c r="E207" s="510" t="n"/>
      <c r="F207" s="378" t="n"/>
      <c r="G207" s="511">
        <f>IF(OR(A207="",E207=""),"",IF(C207="","",C207-E207))</f>
        <v/>
      </c>
      <c r="H207" s="380" t="inlineStr">
        <is>
          <t>Agent 03</t>
        </is>
      </c>
      <c r="I207" s="491" t="n"/>
      <c r="J207" s="492">
        <f>IF(AND(A207&lt;&gt;"",E207&lt;&gt;""),IF(I207="","⚠️ Enter Code",IF(IFERROR(VLOOKUP(H207,DB_Agents!$B:$I,8,0),"")=I207,IF(C207&gt;=E207,"Successful","Unsuccessful"),"🔒 BLOCKED — Wrong Code")),"—")</f>
        <v/>
      </c>
      <c r="K207" s="493">
        <f>IF(J207="Successful",TEXT(TODAY(),"YYYY-MM-DD")&amp;" Auto","—")</f>
        <v/>
      </c>
      <c r="L207" s="494" t="n"/>
    </row>
    <row r="208" ht="15" customHeight="1" s="341">
      <c r="A208" s="495" t="n"/>
      <c r="B208" s="382">
        <f>IF(A208="","",IFERROR(VLOOKUP(A208,DB_Customers!$A:$D,4,0),"❌ Account Not Found"))</f>
        <v/>
      </c>
      <c r="C208" s="496">
        <f>IF(A208="","",IFERROR(VLOOKUP(A208,DB_Customers!$A:$N,14,0),""))</f>
        <v/>
      </c>
      <c r="D208" s="497">
        <f>IF(A208="","",TODAY())</f>
        <v/>
      </c>
      <c r="E208" s="510" t="n"/>
      <c r="F208" s="382" t="n"/>
      <c r="G208" s="512">
        <f>IF(OR(A208="",E208=""),"",IF(C208="","",C208-E208))</f>
        <v/>
      </c>
      <c r="H208" s="384" t="inlineStr">
        <is>
          <t>Agent 03</t>
        </is>
      </c>
      <c r="I208" s="491" t="n"/>
      <c r="J208" s="499">
        <f>IF(AND(A208&lt;&gt;"",E208&lt;&gt;""),IF(I208="","⚠️ Enter Code",IF(IFERROR(VLOOKUP(H208,DB_Agents!$B:$I,8,0),"")=I208,IF(C208&gt;=E208,"Successful","Unsuccessful"),"🔒 BLOCKED — Wrong Code")),"—")</f>
        <v/>
      </c>
      <c r="K208" s="500">
        <f>IF(J208="Successful",TEXT(TODAY(),"YYYY-MM-DD")&amp;" Auto","—")</f>
        <v/>
      </c>
      <c r="L208" s="501" t="n"/>
    </row>
  </sheetData>
  <mergeCells count="8">
    <mergeCell ref="A1:M1"/>
    <mergeCell ref="A5:M5"/>
    <mergeCell ref="D4:F4"/>
    <mergeCell ref="D3:F3"/>
    <mergeCell ref="A3:C3"/>
    <mergeCell ref="A7:M7"/>
    <mergeCell ref="A4:C4"/>
    <mergeCell ref="A2:M2"/>
  </mergeCells>
  <conditionalFormatting sqref="I9:I208">
    <cfRule type="cellIs" rank="0" priority="2" equalAverage="0" operator="equal" aboveAverage="0" dxfId="0" text="" percent="0" bottom="0">
      <formula>"Successful"</formula>
    </cfRule>
    <cfRule type="cellIs" rank="0" priority="3" equalAverage="0" operator="equal" aboveAverage="0" dxfId="1" text="" percent="0" bottom="0">
      <formula>"Unsuccessful"</formula>
    </cfRule>
  </conditionalFormatting>
  <conditionalFormatting sqref="A9:K208">
    <cfRule type="expression" rank="0" priority="4" equalAverage="0" aboveAverage="0" dxfId="13" text="" percent="0" bottom="0">
      <formula>$I9="Unsuccessful"</formula>
    </cfRule>
  </conditionalFormatting>
  <conditionalFormatting sqref="G9:G208">
    <cfRule type="cellIs" rank="0" priority="5" equalAverage="0" operator="lessThan" aboveAverage="0" dxfId="1" text="" percent="0" bottom="0">
      <formula>0</formula>
    </cfRule>
  </conditionalFormatting>
  <dataValidations count="1">
    <dataValidation sqref="H9:H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4.xml><?xml version="1.0" encoding="utf-8"?>
<worksheet xmlns="http://schemas.openxmlformats.org/spreadsheetml/2006/main">
  <sheetPr filterMode="0">
    <tabColor rgb="FFE67E22"/>
    <outlinePr summaryBelow="1" summaryRight="1"/>
    <pageSetUpPr fitToPage="0"/>
  </sheetPr>
  <dimension ref="A1:N213"/>
  <sheetViews>
    <sheetView showFormulas="0" showGridLines="1" showRowColHeaders="1" showZeros="1" rightToLeft="0" tabSelected="0" showOutlineSymbols="1" defaultGridColor="1" view="normal" topLeftCell="A1" colorId="64" zoomScale="100" zoomScaleNormal="100" zoomScalePageLayoutView="100" workbookViewId="0">
      <pane xSplit="0" ySplit="13" topLeftCell="A1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22" customWidth="1" style="340" min="1" max="1"/>
    <col width="16" customWidth="1" style="340" min="2" max="2"/>
    <col width="22" customWidth="1" style="340" min="3" max="3"/>
    <col width="13" customWidth="1" style="340" min="4" max="4"/>
    <col width="14" customWidth="1" style="340" min="5" max="5"/>
    <col width="22" customWidth="1" style="340" min="6" max="6"/>
    <col width="9" customWidth="1" style="340" min="7" max="7"/>
    <col width="8" customWidth="1" style="340" min="8" max="8"/>
    <col width="16" customWidth="1" style="340" min="9" max="9"/>
    <col width="15" customWidth="1" style="340" min="10" max="10"/>
    <col width="14" customWidth="1" style="340" min="11" max="11"/>
    <col width="12" customWidth="1" style="340" min="12" max="12"/>
    <col width="14" customWidth="1" style="340" min="13" max="13"/>
  </cols>
  <sheetData>
    <row r="1" ht="31.5" customHeight="1" s="341">
      <c r="A1" s="513" t="inlineStr">
        <is>
          <t>🏦  SAMICIOUS MICROFINANCE — AGENT03 LOAN REQUESTS</t>
        </is>
      </c>
    </row>
    <row r="2" ht="19.5" customHeight="1" s="341">
      <c r="A2" s="514" t="inlineStr">
        <is>
          <t>Total Repayable = Loan Amount + (Loan Amount × Rate% × Months) | Status: Pending → Approved when credited</t>
        </is>
      </c>
    </row>
    <row r="4" ht="21.75" customHeight="1" s="341">
      <c r="A4" s="515" t="inlineStr">
        <is>
          <t>🔢  INSTANT LOAN CALCULATOR</t>
        </is>
      </c>
    </row>
    <row r="5" ht="19.5" customHeight="1" s="341">
      <c r="A5" s="516" t="inlineStr">
        <is>
          <t>Loan Amount (GHC):</t>
        </is>
      </c>
      <c r="B5" s="517" t="n"/>
      <c r="C5" s="453" t="n"/>
      <c r="D5" s="518" t="n"/>
    </row>
    <row r="6" ht="19.5" customHeight="1" s="341">
      <c r="A6" s="516" t="inlineStr">
        <is>
          <t>Duration (Months):</t>
        </is>
      </c>
      <c r="B6" s="517" t="n"/>
      <c r="C6" s="453" t="n"/>
      <c r="D6" s="518" t="n"/>
    </row>
    <row r="7" ht="19.5" customHeight="1" s="341">
      <c r="A7" s="519" t="inlineStr">
        <is>
          <t>Interest Rate (%/month):</t>
        </is>
      </c>
      <c r="B7" s="520" t="n">
        <v>2.5</v>
      </c>
      <c r="C7" s="393" t="n"/>
      <c r="D7" s="521" t="n"/>
    </row>
    <row r="8" ht="19.5" customHeight="1" s="341">
      <c r="A8" s="519" t="inlineStr">
        <is>
          <t>━ Total Interest:</t>
        </is>
      </c>
      <c r="B8" s="522">
        <f>IF(B5="","",B5*B7/100*B6)</f>
        <v/>
      </c>
      <c r="C8" s="393" t="n"/>
      <c r="D8" s="521" t="n"/>
    </row>
    <row r="9" ht="19.5" customHeight="1" s="341">
      <c r="A9" s="519" t="n"/>
      <c r="B9" s="523">
        <f>IF(B5="","",B5+(B5*B7/100*B6))</f>
        <v/>
      </c>
      <c r="C9" s="393" t="n"/>
      <c r="D9" s="521" t="n"/>
    </row>
    <row r="10" ht="19.5" customHeight="1" s="341">
      <c r="A10" s="519" t="n"/>
      <c r="B10" s="523">
        <f>IFERROR(B9/B6,"")</f>
        <v/>
      </c>
      <c r="C10" s="393" t="n"/>
      <c r="D10" s="521" t="n"/>
    </row>
    <row r="11" ht="7.5" customHeight="1" s="341"/>
    <row r="12" ht="21.75" customHeight="1" s="341">
      <c r="A12" s="524" t="n"/>
    </row>
    <row r="13" ht="19.5" customHeight="1" s="341">
      <c r="A13" s="525" t="n"/>
      <c r="B13" s="525" t="n"/>
      <c r="C13" s="525" t="n"/>
      <c r="D13" s="525" t="n"/>
      <c r="E13" s="525" t="n"/>
      <c r="F13" s="525" t="n"/>
      <c r="G13" s="525" t="n"/>
      <c r="H13" s="525" t="n"/>
      <c r="I13" s="525" t="n"/>
      <c r="J13" s="525" t="n"/>
      <c r="K13" s="525" t="n"/>
      <c r="L13" s="525" t="inlineStr">
        <is>
          <t>Agent</t>
        </is>
      </c>
      <c r="M13" s="485" t="n"/>
      <c r="N13" s="525" t="n"/>
    </row>
    <row r="14" ht="15" customHeight="1" s="341">
      <c r="A14" s="499">
        <f>IF(B14="","",IF(C14="❌ Account Not Found","INVALID","LN"&amp;TEXT(D14,"YYYYMMDD")&amp;TEXT(ROW()-13,"0000")))</f>
        <v/>
      </c>
      <c r="B14" s="495" t="n"/>
      <c r="C14" s="382">
        <f>IF(B14="","",IFERROR(VLOOKUP(B14,DB_Customers!$A:$D,4,0),"❌ Account Not Found"))</f>
        <v/>
      </c>
      <c r="D14" s="497">
        <f>IF(B14="","",TODAY())</f>
        <v/>
      </c>
      <c r="E14" s="526" t="n"/>
      <c r="F14" s="382" t="n"/>
      <c r="G14" s="527" t="n"/>
      <c r="H14" s="528" t="n"/>
      <c r="I14" s="529">
        <f>IF(E14="","",E14+(E14*H14/100*G14))</f>
        <v/>
      </c>
      <c r="J14" s="530">
        <f>IFERROR(I14/G14,"")</f>
        <v/>
      </c>
      <c r="K14" s="531">
        <f>IF(B14="","Pending",IF(M14="","⚠️ Enter Code",IF(IFERROR(VLOOKUP(L14,DB_Agents!$B:$I,8,0),"")=M14,"Pending","🔒 BLOCKED — Wrong Code")))</f>
        <v/>
      </c>
      <c r="L14" s="384" t="inlineStr">
        <is>
          <t>Agent 03</t>
        </is>
      </c>
      <c r="M14" s="491" t="n"/>
      <c r="N14" s="501" t="n"/>
    </row>
    <row r="15" ht="15" customHeight="1" s="341">
      <c r="A15" s="492">
        <f>IF(B15="","",IF(C15="❌ Account Not Found","INVALID","LN"&amp;TEXT(D15,"YYYYMMDD")&amp;TEXT(ROW()-13,"0000")))</f>
        <v/>
      </c>
      <c r="B15" s="486" t="n"/>
      <c r="C15" s="378">
        <f>IF(B15="","",IFERROR(VLOOKUP(B15,DB_Customers!$A:$D,4,0),"❌ Account Not Found"))</f>
        <v/>
      </c>
      <c r="D15" s="488">
        <f>IF(B15="","",TODAY())</f>
        <v/>
      </c>
      <c r="E15" s="526" t="n"/>
      <c r="F15" s="378" t="n"/>
      <c r="G15" s="532" t="n"/>
      <c r="H15" s="533" t="n"/>
      <c r="I15" s="529">
        <f>IF(E15="","",E15+(E15*H15/100*G15))</f>
        <v/>
      </c>
      <c r="J15" s="534">
        <f>IFERROR(I15/G15,"")</f>
        <v/>
      </c>
      <c r="K15" s="535">
        <f>IF(B15="","Pending",IF(M15="","⚠️ Enter Code",IF(IFERROR(VLOOKUP(L15,DB_Agents!$B:$I,8,0),"")=M15,"Pending","🔒 BLOCKED — Wrong Code")))</f>
        <v/>
      </c>
      <c r="L15" s="380" t="inlineStr">
        <is>
          <t>Agent 03</t>
        </is>
      </c>
      <c r="M15" s="491" t="n"/>
      <c r="N15" s="494" t="n"/>
    </row>
    <row r="16" ht="15" customHeight="1" s="341">
      <c r="A16" s="499">
        <f>IF(B16="","",IF(C16="❌ Account Not Found","INVALID","LN"&amp;TEXT(D16,"YYYYMMDD")&amp;TEXT(ROW()-13,"0000")))</f>
        <v/>
      </c>
      <c r="B16" s="495" t="n"/>
      <c r="C16" s="382">
        <f>IF(B16="","",IFERROR(VLOOKUP(B16,DB_Customers!$A:$D,4,0),"❌ Account Not Found"))</f>
        <v/>
      </c>
      <c r="D16" s="497">
        <f>IF(B16="","",TODAY())</f>
        <v/>
      </c>
      <c r="E16" s="526" t="n"/>
      <c r="F16" s="382" t="n"/>
      <c r="G16" s="527" t="n"/>
      <c r="H16" s="528" t="n"/>
      <c r="I16" s="529">
        <f>IF(E16="","",E16+(E16*H16/100*G16))</f>
        <v/>
      </c>
      <c r="J16" s="530">
        <f>IFERROR(I16/G16,"")</f>
        <v/>
      </c>
      <c r="K16" s="531">
        <f>IF(B16="","Pending",IF(M16="","⚠️ Enter Code",IF(IFERROR(VLOOKUP(L16,DB_Agents!$B:$I,8,0),"")=M16,"Pending","🔒 BLOCKED — Wrong Code")))</f>
        <v/>
      </c>
      <c r="L16" s="384" t="inlineStr">
        <is>
          <t>Agent 03</t>
        </is>
      </c>
      <c r="M16" s="491" t="n"/>
      <c r="N16" s="501" t="n"/>
    </row>
    <row r="17" ht="15" customHeight="1" s="341">
      <c r="A17" s="492">
        <f>IF(B17="","",IF(C17="❌ Account Not Found","INVALID","LN"&amp;TEXT(D17,"YYYYMMDD")&amp;TEXT(ROW()-13,"0000")))</f>
        <v/>
      </c>
      <c r="B17" s="486" t="n"/>
      <c r="C17" s="378">
        <f>IF(B17="","",IFERROR(VLOOKUP(B17,DB_Customers!$A:$D,4,0),"❌ Account Not Found"))</f>
        <v/>
      </c>
      <c r="D17" s="488">
        <f>IF(B17="","",TODAY())</f>
        <v/>
      </c>
      <c r="E17" s="526" t="n"/>
      <c r="F17" s="378" t="n"/>
      <c r="G17" s="532" t="n"/>
      <c r="H17" s="533" t="n"/>
      <c r="I17" s="529">
        <f>IF(E17="","",E17+(E17*H17/100*G17))</f>
        <v/>
      </c>
      <c r="J17" s="534">
        <f>IFERROR(I17/G17,"")</f>
        <v/>
      </c>
      <c r="K17" s="535">
        <f>IF(B17="","Pending",IF(M17="","⚠️ Enter Code",IF(IFERROR(VLOOKUP(L17,DB_Agents!$B:$I,8,0),"")=M17,"Pending","🔒 BLOCKED — Wrong Code")))</f>
        <v/>
      </c>
      <c r="L17" s="380" t="inlineStr">
        <is>
          <t>Agent 03</t>
        </is>
      </c>
      <c r="M17" s="491" t="n"/>
      <c r="N17" s="494" t="n"/>
    </row>
    <row r="18" ht="15" customHeight="1" s="341">
      <c r="A18" s="499">
        <f>IF(B18="","",IF(C18="❌ Account Not Found","INVALID","LN"&amp;TEXT(D18,"YYYYMMDD")&amp;TEXT(ROW()-13,"0000")))</f>
        <v/>
      </c>
      <c r="B18" s="495" t="n"/>
      <c r="C18" s="382">
        <f>IF(B18="","",IFERROR(VLOOKUP(B18,DB_Customers!$A:$D,4,0),"❌ Account Not Found"))</f>
        <v/>
      </c>
      <c r="D18" s="497">
        <f>IF(B18="","",TODAY())</f>
        <v/>
      </c>
      <c r="E18" s="526" t="n"/>
      <c r="F18" s="382" t="n"/>
      <c r="G18" s="527" t="n"/>
      <c r="H18" s="528" t="n"/>
      <c r="I18" s="529">
        <f>IF(E18="","",E18+(E18*H18/100*G18))</f>
        <v/>
      </c>
      <c r="J18" s="530">
        <f>IFERROR(I18/G18,"")</f>
        <v/>
      </c>
      <c r="K18" s="531">
        <f>IF(B18="","Pending",IF(M18="","⚠️ Enter Code",IF(IFERROR(VLOOKUP(L18,DB_Agents!$B:$I,8,0),"")=M18,"Pending","🔒 BLOCKED — Wrong Code")))</f>
        <v/>
      </c>
      <c r="L18" s="384" t="inlineStr">
        <is>
          <t>Agent 03</t>
        </is>
      </c>
      <c r="M18" s="491" t="n"/>
      <c r="N18" s="501" t="n"/>
    </row>
    <row r="19" ht="15" customHeight="1" s="341">
      <c r="A19" s="492">
        <f>IF(B19="","",IF(C19="❌ Account Not Found","INVALID","LN"&amp;TEXT(D19,"YYYYMMDD")&amp;TEXT(ROW()-13,"0000")))</f>
        <v/>
      </c>
      <c r="B19" s="486" t="n"/>
      <c r="C19" s="378">
        <f>IF(B19="","",IFERROR(VLOOKUP(B19,DB_Customers!$A:$D,4,0),"❌ Account Not Found"))</f>
        <v/>
      </c>
      <c r="D19" s="488">
        <f>IF(B19="","",TODAY())</f>
        <v/>
      </c>
      <c r="E19" s="526" t="n"/>
      <c r="F19" s="378" t="n"/>
      <c r="G19" s="532" t="n"/>
      <c r="H19" s="533" t="n"/>
      <c r="I19" s="529">
        <f>IF(E19="","",E19+(E19*H19/100*G19))</f>
        <v/>
      </c>
      <c r="J19" s="534">
        <f>IFERROR(I19/G19,"")</f>
        <v/>
      </c>
      <c r="K19" s="535">
        <f>IF(B19="","Pending",IF(M19="","⚠️ Enter Code",IF(IFERROR(VLOOKUP(L19,DB_Agents!$B:$I,8,0),"")=M19,"Pending","🔒 BLOCKED — Wrong Code")))</f>
        <v/>
      </c>
      <c r="L19" s="380" t="inlineStr">
        <is>
          <t>Agent 03</t>
        </is>
      </c>
      <c r="M19" s="491" t="n"/>
      <c r="N19" s="494" t="n"/>
    </row>
    <row r="20" ht="15" customHeight="1" s="341">
      <c r="A20" s="499">
        <f>IF(B20="","",IF(C20="❌ Account Not Found","INVALID","LN"&amp;TEXT(D20,"YYYYMMDD")&amp;TEXT(ROW()-13,"0000")))</f>
        <v/>
      </c>
      <c r="B20" s="495" t="n"/>
      <c r="C20" s="382">
        <f>IF(B20="","",IFERROR(VLOOKUP(B20,DB_Customers!$A:$D,4,0),"❌ Account Not Found"))</f>
        <v/>
      </c>
      <c r="D20" s="497">
        <f>IF(B20="","",TODAY())</f>
        <v/>
      </c>
      <c r="E20" s="526" t="n"/>
      <c r="F20" s="382" t="n"/>
      <c r="G20" s="527" t="n"/>
      <c r="H20" s="528" t="n"/>
      <c r="I20" s="529">
        <f>IF(E20="","",E20+(E20*H20/100*G20))</f>
        <v/>
      </c>
      <c r="J20" s="530">
        <f>IFERROR(I20/G20,"")</f>
        <v/>
      </c>
      <c r="K20" s="531">
        <f>IF(B20="","Pending",IF(M20="","⚠️ Enter Code",IF(IFERROR(VLOOKUP(L20,DB_Agents!$B:$I,8,0),"")=M20,"Pending","🔒 BLOCKED — Wrong Code")))</f>
        <v/>
      </c>
      <c r="L20" s="384" t="inlineStr">
        <is>
          <t>Agent 03</t>
        </is>
      </c>
      <c r="M20" s="491" t="n"/>
      <c r="N20" s="501" t="n"/>
    </row>
    <row r="21" ht="15" customHeight="1" s="341">
      <c r="A21" s="492">
        <f>IF(B21="","",IF(C21="❌ Account Not Found","INVALID","LN"&amp;TEXT(D21,"YYYYMMDD")&amp;TEXT(ROW()-13,"0000")))</f>
        <v/>
      </c>
      <c r="B21" s="486" t="n"/>
      <c r="C21" s="378">
        <f>IF(B21="","",IFERROR(VLOOKUP(B21,DB_Customers!$A:$D,4,0),"❌ Account Not Found"))</f>
        <v/>
      </c>
      <c r="D21" s="488">
        <f>IF(B21="","",TODAY())</f>
        <v/>
      </c>
      <c r="E21" s="526" t="n"/>
      <c r="F21" s="378" t="n"/>
      <c r="G21" s="532" t="n"/>
      <c r="H21" s="533" t="n"/>
      <c r="I21" s="529">
        <f>IF(E21="","",E21+(E21*H21/100*G21))</f>
        <v/>
      </c>
      <c r="J21" s="534">
        <f>IFERROR(I21/G21,"")</f>
        <v/>
      </c>
      <c r="K21" s="535">
        <f>IF(B21="","Pending",IF(M21="","⚠️ Enter Code",IF(IFERROR(VLOOKUP(L21,DB_Agents!$B:$I,8,0),"")=M21,"Pending","🔒 BLOCKED — Wrong Code")))</f>
        <v/>
      </c>
      <c r="L21" s="380" t="inlineStr">
        <is>
          <t>Agent 03</t>
        </is>
      </c>
      <c r="M21" s="491" t="n"/>
      <c r="N21" s="494" t="n"/>
    </row>
    <row r="22" ht="15" customHeight="1" s="341">
      <c r="A22" s="499">
        <f>IF(B22="","",IF(C22="❌ Account Not Found","INVALID","LN"&amp;TEXT(D22,"YYYYMMDD")&amp;TEXT(ROW()-13,"0000")))</f>
        <v/>
      </c>
      <c r="B22" s="495" t="n"/>
      <c r="C22" s="382">
        <f>IF(B22="","",IFERROR(VLOOKUP(B22,DB_Customers!$A:$D,4,0),"❌ Account Not Found"))</f>
        <v/>
      </c>
      <c r="D22" s="497">
        <f>IF(B22="","",TODAY())</f>
        <v/>
      </c>
      <c r="E22" s="526" t="n"/>
      <c r="F22" s="382" t="n"/>
      <c r="G22" s="527" t="n"/>
      <c r="H22" s="528" t="n"/>
      <c r="I22" s="529">
        <f>IF(E22="","",E22+(E22*H22/100*G22))</f>
        <v/>
      </c>
      <c r="J22" s="530">
        <f>IFERROR(I22/G22,"")</f>
        <v/>
      </c>
      <c r="K22" s="531">
        <f>IF(B22="","Pending",IF(M22="","⚠️ Enter Code",IF(IFERROR(VLOOKUP(L22,DB_Agents!$B:$I,8,0),"")=M22,"Pending","🔒 BLOCKED — Wrong Code")))</f>
        <v/>
      </c>
      <c r="L22" s="384" t="inlineStr">
        <is>
          <t>Agent 03</t>
        </is>
      </c>
      <c r="M22" s="491" t="n"/>
      <c r="N22" s="501" t="n"/>
    </row>
    <row r="23" ht="15" customHeight="1" s="341">
      <c r="A23" s="492">
        <f>IF(B23="","",IF(C23="❌ Account Not Found","INVALID","LN"&amp;TEXT(D23,"YYYYMMDD")&amp;TEXT(ROW()-13,"0000")))</f>
        <v/>
      </c>
      <c r="B23" s="486" t="n"/>
      <c r="C23" s="378">
        <f>IF(B23="","",IFERROR(VLOOKUP(B23,DB_Customers!$A:$D,4,0),"❌ Account Not Found"))</f>
        <v/>
      </c>
      <c r="D23" s="488">
        <f>IF(B23="","",TODAY())</f>
        <v/>
      </c>
      <c r="E23" s="526" t="n"/>
      <c r="F23" s="378" t="n"/>
      <c r="G23" s="532" t="n"/>
      <c r="H23" s="533" t="n"/>
      <c r="I23" s="529">
        <f>IF(E23="","",E23+(E23*H23/100*G23))</f>
        <v/>
      </c>
      <c r="J23" s="534">
        <f>IFERROR(I23/G23,"")</f>
        <v/>
      </c>
      <c r="K23" s="535">
        <f>IF(B23="","Pending",IF(M23="","⚠️ Enter Code",IF(IFERROR(VLOOKUP(L23,DB_Agents!$B:$I,8,0),"")=M23,"Pending","🔒 BLOCKED — Wrong Code")))</f>
        <v/>
      </c>
      <c r="L23" s="380" t="inlineStr">
        <is>
          <t>Agent 03</t>
        </is>
      </c>
      <c r="M23" s="491" t="n"/>
      <c r="N23" s="494" t="n"/>
    </row>
    <row r="24" ht="15" customHeight="1" s="341">
      <c r="A24" s="499">
        <f>IF(B24="","",IF(C24="❌ Account Not Found","INVALID","LN"&amp;TEXT(D24,"YYYYMMDD")&amp;TEXT(ROW()-13,"0000")))</f>
        <v/>
      </c>
      <c r="B24" s="495" t="n"/>
      <c r="C24" s="382">
        <f>IF(B24="","",IFERROR(VLOOKUP(B24,DB_Customers!$A:$D,4,0),"❌ Account Not Found"))</f>
        <v/>
      </c>
      <c r="D24" s="497">
        <f>IF(B24="","",TODAY())</f>
        <v/>
      </c>
      <c r="E24" s="526" t="n"/>
      <c r="F24" s="382" t="n"/>
      <c r="G24" s="527" t="n"/>
      <c r="H24" s="528" t="n"/>
      <c r="I24" s="529">
        <f>IF(E24="","",E24+(E24*H24/100*G24))</f>
        <v/>
      </c>
      <c r="J24" s="530">
        <f>IFERROR(I24/G24,"")</f>
        <v/>
      </c>
      <c r="K24" s="531">
        <f>IF(B24="","Pending",IF(M24="","⚠️ Enter Code",IF(IFERROR(VLOOKUP(L24,DB_Agents!$B:$I,8,0),"")=M24,"Pending","🔒 BLOCKED — Wrong Code")))</f>
        <v/>
      </c>
      <c r="L24" s="384" t="inlineStr">
        <is>
          <t>Agent 03</t>
        </is>
      </c>
      <c r="M24" s="491" t="n"/>
      <c r="N24" s="501" t="n"/>
    </row>
    <row r="25" ht="15" customHeight="1" s="341">
      <c r="A25" s="492">
        <f>IF(B25="","",IF(C25="❌ Account Not Found","INVALID","LN"&amp;TEXT(D25,"YYYYMMDD")&amp;TEXT(ROW()-13,"0000")))</f>
        <v/>
      </c>
      <c r="B25" s="486" t="n"/>
      <c r="C25" s="378">
        <f>IF(B25="","",IFERROR(VLOOKUP(B25,DB_Customers!$A:$D,4,0),"❌ Account Not Found"))</f>
        <v/>
      </c>
      <c r="D25" s="488">
        <f>IF(B25="","",TODAY())</f>
        <v/>
      </c>
      <c r="E25" s="526" t="n"/>
      <c r="F25" s="378" t="n"/>
      <c r="G25" s="532" t="n"/>
      <c r="H25" s="533" t="n"/>
      <c r="I25" s="529">
        <f>IF(E25="","",E25+(E25*H25/100*G25))</f>
        <v/>
      </c>
      <c r="J25" s="534">
        <f>IFERROR(I25/G25,"")</f>
        <v/>
      </c>
      <c r="K25" s="535">
        <f>IF(B25="","Pending",IF(M25="","⚠️ Enter Code",IF(IFERROR(VLOOKUP(L25,DB_Agents!$B:$I,8,0),"")=M25,"Pending","🔒 BLOCKED — Wrong Code")))</f>
        <v/>
      </c>
      <c r="L25" s="380" t="inlineStr">
        <is>
          <t>Agent 03</t>
        </is>
      </c>
      <c r="M25" s="491" t="n"/>
      <c r="N25" s="494" t="n"/>
    </row>
    <row r="26" ht="15" customHeight="1" s="341">
      <c r="A26" s="499">
        <f>IF(B26="","",IF(C26="❌ Account Not Found","INVALID","LN"&amp;TEXT(D26,"YYYYMMDD")&amp;TEXT(ROW()-13,"0000")))</f>
        <v/>
      </c>
      <c r="B26" s="495" t="n"/>
      <c r="C26" s="382">
        <f>IF(B26="","",IFERROR(VLOOKUP(B26,DB_Customers!$A:$D,4,0),"❌ Account Not Found"))</f>
        <v/>
      </c>
      <c r="D26" s="497">
        <f>IF(B26="","",TODAY())</f>
        <v/>
      </c>
      <c r="E26" s="526" t="n"/>
      <c r="F26" s="382" t="n"/>
      <c r="G26" s="527" t="n"/>
      <c r="H26" s="528" t="n"/>
      <c r="I26" s="529">
        <f>IF(E26="","",E26+(E26*H26/100*G26))</f>
        <v/>
      </c>
      <c r="J26" s="530">
        <f>IFERROR(I26/G26,"")</f>
        <v/>
      </c>
      <c r="K26" s="531">
        <f>IF(B26="","Pending",IF(M26="","⚠️ Enter Code",IF(IFERROR(VLOOKUP(L26,DB_Agents!$B:$I,8,0),"")=M26,"Pending","🔒 BLOCKED — Wrong Code")))</f>
        <v/>
      </c>
      <c r="L26" s="384" t="inlineStr">
        <is>
          <t>Agent 03</t>
        </is>
      </c>
      <c r="M26" s="491" t="n"/>
      <c r="N26" s="501" t="n"/>
    </row>
    <row r="27" ht="15" customHeight="1" s="341">
      <c r="A27" s="492">
        <f>IF(B27="","",IF(C27="❌ Account Not Found","INVALID","LN"&amp;TEXT(D27,"YYYYMMDD")&amp;TEXT(ROW()-13,"0000")))</f>
        <v/>
      </c>
      <c r="B27" s="486" t="n"/>
      <c r="C27" s="378">
        <f>IF(B27="","",IFERROR(VLOOKUP(B27,DB_Customers!$A:$D,4,0),"❌ Account Not Found"))</f>
        <v/>
      </c>
      <c r="D27" s="488">
        <f>IF(B27="","",TODAY())</f>
        <v/>
      </c>
      <c r="E27" s="526" t="n"/>
      <c r="F27" s="378" t="n"/>
      <c r="G27" s="532" t="n"/>
      <c r="H27" s="533" t="n"/>
      <c r="I27" s="529">
        <f>IF(E27="","",E27+(E27*H27/100*G27))</f>
        <v/>
      </c>
      <c r="J27" s="534">
        <f>IFERROR(I27/G27,"")</f>
        <v/>
      </c>
      <c r="K27" s="535">
        <f>IF(B27="","Pending",IF(M27="","⚠️ Enter Code",IF(IFERROR(VLOOKUP(L27,DB_Agents!$B:$I,8,0),"")=M27,"Pending","🔒 BLOCKED — Wrong Code")))</f>
        <v/>
      </c>
      <c r="L27" s="380" t="inlineStr">
        <is>
          <t>Agent 03</t>
        </is>
      </c>
      <c r="M27" s="491" t="n"/>
      <c r="N27" s="494" t="n"/>
    </row>
    <row r="28" ht="15" customHeight="1" s="341">
      <c r="A28" s="499">
        <f>IF(B28="","",IF(C28="❌ Account Not Found","INVALID","LN"&amp;TEXT(D28,"YYYYMMDD")&amp;TEXT(ROW()-13,"0000")))</f>
        <v/>
      </c>
      <c r="B28" s="495" t="n"/>
      <c r="C28" s="382">
        <f>IF(B28="","",IFERROR(VLOOKUP(B28,DB_Customers!$A:$D,4,0),"❌ Account Not Found"))</f>
        <v/>
      </c>
      <c r="D28" s="497">
        <f>IF(B28="","",TODAY())</f>
        <v/>
      </c>
      <c r="E28" s="526" t="n"/>
      <c r="F28" s="382" t="n"/>
      <c r="G28" s="527" t="n"/>
      <c r="H28" s="528" t="n"/>
      <c r="I28" s="529">
        <f>IF(E28="","",E28+(E28*H28/100*G28))</f>
        <v/>
      </c>
      <c r="J28" s="530">
        <f>IFERROR(I28/G28,"")</f>
        <v/>
      </c>
      <c r="K28" s="531">
        <f>IF(B28="","Pending",IF(M28="","⚠️ Enter Code",IF(IFERROR(VLOOKUP(L28,DB_Agents!$B:$I,8,0),"")=M28,"Pending","🔒 BLOCKED — Wrong Code")))</f>
        <v/>
      </c>
      <c r="L28" s="384" t="inlineStr">
        <is>
          <t>Agent 03</t>
        </is>
      </c>
      <c r="M28" s="491" t="n"/>
      <c r="N28" s="501" t="n"/>
    </row>
    <row r="29" ht="15" customHeight="1" s="341">
      <c r="A29" s="492">
        <f>IF(B29="","",IF(C29="❌ Account Not Found","INVALID","LN"&amp;TEXT(D29,"YYYYMMDD")&amp;TEXT(ROW()-13,"0000")))</f>
        <v/>
      </c>
      <c r="B29" s="486" t="n"/>
      <c r="C29" s="378">
        <f>IF(B29="","",IFERROR(VLOOKUP(B29,DB_Customers!$A:$D,4,0),"❌ Account Not Found"))</f>
        <v/>
      </c>
      <c r="D29" s="488">
        <f>IF(B29="","",TODAY())</f>
        <v/>
      </c>
      <c r="E29" s="526" t="n"/>
      <c r="F29" s="378" t="n"/>
      <c r="G29" s="532" t="n"/>
      <c r="H29" s="533" t="n"/>
      <c r="I29" s="529">
        <f>IF(E29="","",E29+(E29*H29/100*G29))</f>
        <v/>
      </c>
      <c r="J29" s="534">
        <f>IFERROR(I29/G29,"")</f>
        <v/>
      </c>
      <c r="K29" s="535">
        <f>IF(B29="","Pending",IF(M29="","⚠️ Enter Code",IF(IFERROR(VLOOKUP(L29,DB_Agents!$B:$I,8,0),"")=M29,"Pending","🔒 BLOCKED — Wrong Code")))</f>
        <v/>
      </c>
      <c r="L29" s="380" t="inlineStr">
        <is>
          <t>Agent 03</t>
        </is>
      </c>
      <c r="M29" s="491" t="n"/>
      <c r="N29" s="494" t="n"/>
    </row>
    <row r="30" ht="15" customHeight="1" s="341">
      <c r="A30" s="499">
        <f>IF(B30="","",IF(C30="❌ Account Not Found","INVALID","LN"&amp;TEXT(D30,"YYYYMMDD")&amp;TEXT(ROW()-13,"0000")))</f>
        <v/>
      </c>
      <c r="B30" s="495" t="n"/>
      <c r="C30" s="382">
        <f>IF(B30="","",IFERROR(VLOOKUP(B30,DB_Customers!$A:$D,4,0),"❌ Account Not Found"))</f>
        <v/>
      </c>
      <c r="D30" s="497">
        <f>IF(B30="","",TODAY())</f>
        <v/>
      </c>
      <c r="E30" s="526" t="n"/>
      <c r="F30" s="382" t="n"/>
      <c r="G30" s="527" t="n"/>
      <c r="H30" s="528" t="n"/>
      <c r="I30" s="529">
        <f>IF(E30="","",E30+(E30*H30/100*G30))</f>
        <v/>
      </c>
      <c r="J30" s="530">
        <f>IFERROR(I30/G30,"")</f>
        <v/>
      </c>
      <c r="K30" s="531">
        <f>IF(B30="","Pending",IF(M30="","⚠️ Enter Code",IF(IFERROR(VLOOKUP(L30,DB_Agents!$B:$I,8,0),"")=M30,"Pending","🔒 BLOCKED — Wrong Code")))</f>
        <v/>
      </c>
      <c r="L30" s="384" t="inlineStr">
        <is>
          <t>Agent 03</t>
        </is>
      </c>
      <c r="M30" s="491" t="n"/>
      <c r="N30" s="501" t="n"/>
    </row>
    <row r="31" ht="15" customHeight="1" s="341">
      <c r="A31" s="492">
        <f>IF(B31="","",IF(C31="❌ Account Not Found","INVALID","LN"&amp;TEXT(D31,"YYYYMMDD")&amp;TEXT(ROW()-13,"0000")))</f>
        <v/>
      </c>
      <c r="B31" s="486" t="n"/>
      <c r="C31" s="378">
        <f>IF(B31="","",IFERROR(VLOOKUP(B31,DB_Customers!$A:$D,4,0),"❌ Account Not Found"))</f>
        <v/>
      </c>
      <c r="D31" s="488">
        <f>IF(B31="","",TODAY())</f>
        <v/>
      </c>
      <c r="E31" s="526" t="n"/>
      <c r="F31" s="378" t="n"/>
      <c r="G31" s="532" t="n"/>
      <c r="H31" s="533" t="n"/>
      <c r="I31" s="529">
        <f>IF(E31="","",E31+(E31*H31/100*G31))</f>
        <v/>
      </c>
      <c r="J31" s="534">
        <f>IFERROR(I31/G31,"")</f>
        <v/>
      </c>
      <c r="K31" s="535">
        <f>IF(B31="","Pending",IF(M31="","⚠️ Enter Code",IF(IFERROR(VLOOKUP(L31,DB_Agents!$B:$I,8,0),"")=M31,"Pending","🔒 BLOCKED — Wrong Code")))</f>
        <v/>
      </c>
      <c r="L31" s="380" t="inlineStr">
        <is>
          <t>Agent 03</t>
        </is>
      </c>
      <c r="M31" s="491" t="n"/>
      <c r="N31" s="494" t="n"/>
    </row>
    <row r="32" ht="15" customHeight="1" s="341">
      <c r="A32" s="499">
        <f>IF(B32="","",IF(C32="❌ Account Not Found","INVALID","LN"&amp;TEXT(D32,"YYYYMMDD")&amp;TEXT(ROW()-13,"0000")))</f>
        <v/>
      </c>
      <c r="B32" s="495" t="n"/>
      <c r="C32" s="382">
        <f>IF(B32="","",IFERROR(VLOOKUP(B32,DB_Customers!$A:$D,4,0),"❌ Account Not Found"))</f>
        <v/>
      </c>
      <c r="D32" s="497">
        <f>IF(B32="","",TODAY())</f>
        <v/>
      </c>
      <c r="E32" s="526" t="n"/>
      <c r="F32" s="382" t="n"/>
      <c r="G32" s="527" t="n"/>
      <c r="H32" s="528" t="n"/>
      <c r="I32" s="529">
        <f>IF(E32="","",E32+(E32*H32/100*G32))</f>
        <v/>
      </c>
      <c r="J32" s="530">
        <f>IFERROR(I32/G32,"")</f>
        <v/>
      </c>
      <c r="K32" s="531">
        <f>IF(B32="","Pending",IF(M32="","⚠️ Enter Code",IF(IFERROR(VLOOKUP(L32,DB_Agents!$B:$I,8,0),"")=M32,"Pending","🔒 BLOCKED — Wrong Code")))</f>
        <v/>
      </c>
      <c r="L32" s="384" t="inlineStr">
        <is>
          <t>Agent 03</t>
        </is>
      </c>
      <c r="M32" s="491" t="n"/>
      <c r="N32" s="501" t="n"/>
    </row>
    <row r="33" ht="15" customHeight="1" s="341">
      <c r="A33" s="492">
        <f>IF(B33="","",IF(C33="❌ Account Not Found","INVALID","LN"&amp;TEXT(D33,"YYYYMMDD")&amp;TEXT(ROW()-13,"0000")))</f>
        <v/>
      </c>
      <c r="B33" s="486" t="n"/>
      <c r="C33" s="378">
        <f>IF(B33="","",IFERROR(VLOOKUP(B33,DB_Customers!$A:$D,4,0),"❌ Account Not Found"))</f>
        <v/>
      </c>
      <c r="D33" s="488">
        <f>IF(B33="","",TODAY())</f>
        <v/>
      </c>
      <c r="E33" s="526" t="n"/>
      <c r="F33" s="378" t="n"/>
      <c r="G33" s="532" t="n"/>
      <c r="H33" s="533" t="n"/>
      <c r="I33" s="529">
        <f>IF(E33="","",E33+(E33*H33/100*G33))</f>
        <v/>
      </c>
      <c r="J33" s="534">
        <f>IFERROR(I33/G33,"")</f>
        <v/>
      </c>
      <c r="K33" s="535">
        <f>IF(B33="","Pending",IF(M33="","⚠️ Enter Code",IF(IFERROR(VLOOKUP(L33,DB_Agents!$B:$I,8,0),"")=M33,"Pending","🔒 BLOCKED — Wrong Code")))</f>
        <v/>
      </c>
      <c r="L33" s="380" t="inlineStr">
        <is>
          <t>Agent 03</t>
        </is>
      </c>
      <c r="M33" s="491" t="n"/>
      <c r="N33" s="494" t="n"/>
    </row>
    <row r="34" ht="15" customHeight="1" s="341">
      <c r="A34" s="499">
        <f>IF(B34="","",IF(C34="❌ Account Not Found","INVALID","LN"&amp;TEXT(D34,"YYYYMMDD")&amp;TEXT(ROW()-13,"0000")))</f>
        <v/>
      </c>
      <c r="B34" s="495" t="n"/>
      <c r="C34" s="382">
        <f>IF(B34="","",IFERROR(VLOOKUP(B34,DB_Customers!$A:$D,4,0),"❌ Account Not Found"))</f>
        <v/>
      </c>
      <c r="D34" s="497">
        <f>IF(B34="","",TODAY())</f>
        <v/>
      </c>
      <c r="E34" s="526" t="n"/>
      <c r="F34" s="382" t="n"/>
      <c r="G34" s="527" t="n"/>
      <c r="H34" s="528" t="n"/>
      <c r="I34" s="529">
        <f>IF(E34="","",E34+(E34*H34/100*G34))</f>
        <v/>
      </c>
      <c r="J34" s="530">
        <f>IFERROR(I34/G34,"")</f>
        <v/>
      </c>
      <c r="K34" s="531">
        <f>IF(B34="","Pending",IF(M34="","⚠️ Enter Code",IF(IFERROR(VLOOKUP(L34,DB_Agents!$B:$I,8,0),"")=M34,"Pending","🔒 BLOCKED — Wrong Code")))</f>
        <v/>
      </c>
      <c r="L34" s="384" t="inlineStr">
        <is>
          <t>Agent 03</t>
        </is>
      </c>
      <c r="M34" s="491" t="n"/>
      <c r="N34" s="501" t="n"/>
    </row>
    <row r="35" ht="15" customHeight="1" s="341">
      <c r="A35" s="492">
        <f>IF(B35="","",IF(C35="❌ Account Not Found","INVALID","LN"&amp;TEXT(D35,"YYYYMMDD")&amp;TEXT(ROW()-13,"0000")))</f>
        <v/>
      </c>
      <c r="B35" s="486" t="n"/>
      <c r="C35" s="378">
        <f>IF(B35="","",IFERROR(VLOOKUP(B35,DB_Customers!$A:$D,4,0),"❌ Account Not Found"))</f>
        <v/>
      </c>
      <c r="D35" s="488">
        <f>IF(B35="","",TODAY())</f>
        <v/>
      </c>
      <c r="E35" s="526" t="n"/>
      <c r="F35" s="378" t="n"/>
      <c r="G35" s="532" t="n"/>
      <c r="H35" s="533" t="n"/>
      <c r="I35" s="529">
        <f>IF(E35="","",E35+(E35*H35/100*G35))</f>
        <v/>
      </c>
      <c r="J35" s="534">
        <f>IFERROR(I35/G35,"")</f>
        <v/>
      </c>
      <c r="K35" s="535">
        <f>IF(B35="","Pending",IF(M35="","⚠️ Enter Code",IF(IFERROR(VLOOKUP(L35,DB_Agents!$B:$I,8,0),"")=M35,"Pending","🔒 BLOCKED — Wrong Code")))</f>
        <v/>
      </c>
      <c r="L35" s="380" t="inlineStr">
        <is>
          <t>Agent 03</t>
        </is>
      </c>
      <c r="M35" s="491" t="n"/>
      <c r="N35" s="494" t="n"/>
    </row>
    <row r="36" ht="15" customHeight="1" s="341">
      <c r="A36" s="499">
        <f>IF(B36="","",IF(C36="❌ Account Not Found","INVALID","LN"&amp;TEXT(D36,"YYYYMMDD")&amp;TEXT(ROW()-13,"0000")))</f>
        <v/>
      </c>
      <c r="B36" s="495" t="n"/>
      <c r="C36" s="382">
        <f>IF(B36="","",IFERROR(VLOOKUP(B36,DB_Customers!$A:$D,4,0),"❌ Account Not Found"))</f>
        <v/>
      </c>
      <c r="D36" s="497">
        <f>IF(B36="","",TODAY())</f>
        <v/>
      </c>
      <c r="E36" s="526" t="n"/>
      <c r="F36" s="382" t="n"/>
      <c r="G36" s="527" t="n"/>
      <c r="H36" s="528" t="n"/>
      <c r="I36" s="529">
        <f>IF(E36="","",E36+(E36*H36/100*G36))</f>
        <v/>
      </c>
      <c r="J36" s="530">
        <f>IFERROR(I36/G36,"")</f>
        <v/>
      </c>
      <c r="K36" s="531">
        <f>IF(B36="","Pending",IF(M36="","⚠️ Enter Code",IF(IFERROR(VLOOKUP(L36,DB_Agents!$B:$I,8,0),"")=M36,"Pending","🔒 BLOCKED — Wrong Code")))</f>
        <v/>
      </c>
      <c r="L36" s="384" t="inlineStr">
        <is>
          <t>Agent 03</t>
        </is>
      </c>
      <c r="M36" s="491" t="n"/>
      <c r="N36" s="501" t="n"/>
    </row>
    <row r="37" ht="15" customHeight="1" s="341">
      <c r="A37" s="492">
        <f>IF(B37="","",IF(C37="❌ Account Not Found","INVALID","LN"&amp;TEXT(D37,"YYYYMMDD")&amp;TEXT(ROW()-13,"0000")))</f>
        <v/>
      </c>
      <c r="B37" s="486" t="n"/>
      <c r="C37" s="378">
        <f>IF(B37="","",IFERROR(VLOOKUP(B37,DB_Customers!$A:$D,4,0),"❌ Account Not Found"))</f>
        <v/>
      </c>
      <c r="D37" s="488">
        <f>IF(B37="","",TODAY())</f>
        <v/>
      </c>
      <c r="E37" s="526" t="n"/>
      <c r="F37" s="378" t="n"/>
      <c r="G37" s="532" t="n"/>
      <c r="H37" s="533" t="n"/>
      <c r="I37" s="529">
        <f>IF(E37="","",E37+(E37*H37/100*G37))</f>
        <v/>
      </c>
      <c r="J37" s="534">
        <f>IFERROR(I37/G37,"")</f>
        <v/>
      </c>
      <c r="K37" s="535">
        <f>IF(B37="","Pending",IF(M37="","⚠️ Enter Code",IF(IFERROR(VLOOKUP(L37,DB_Agents!$B:$I,8,0),"")=M37,"Pending","🔒 BLOCKED — Wrong Code")))</f>
        <v/>
      </c>
      <c r="L37" s="380" t="inlineStr">
        <is>
          <t>Agent 03</t>
        </is>
      </c>
      <c r="M37" s="491" t="n"/>
      <c r="N37" s="494" t="n"/>
    </row>
    <row r="38" ht="15" customHeight="1" s="341">
      <c r="A38" s="499">
        <f>IF(B38="","",IF(C38="❌ Account Not Found","INVALID","LN"&amp;TEXT(D38,"YYYYMMDD")&amp;TEXT(ROW()-13,"0000")))</f>
        <v/>
      </c>
      <c r="B38" s="495" t="n"/>
      <c r="C38" s="382">
        <f>IF(B38="","",IFERROR(VLOOKUP(B38,DB_Customers!$A:$D,4,0),"❌ Account Not Found"))</f>
        <v/>
      </c>
      <c r="D38" s="497">
        <f>IF(B38="","",TODAY())</f>
        <v/>
      </c>
      <c r="E38" s="526" t="n"/>
      <c r="F38" s="382" t="n"/>
      <c r="G38" s="527" t="n"/>
      <c r="H38" s="528" t="n"/>
      <c r="I38" s="529">
        <f>IF(E38="","",E38+(E38*H38/100*G38))</f>
        <v/>
      </c>
      <c r="J38" s="530">
        <f>IFERROR(I38/G38,"")</f>
        <v/>
      </c>
      <c r="K38" s="531">
        <f>IF(B38="","Pending",IF(M38="","⚠️ Enter Code",IF(IFERROR(VLOOKUP(L38,DB_Agents!$B:$I,8,0),"")=M38,"Pending","🔒 BLOCKED — Wrong Code")))</f>
        <v/>
      </c>
      <c r="L38" s="384" t="inlineStr">
        <is>
          <t>Agent 03</t>
        </is>
      </c>
      <c r="M38" s="491" t="n"/>
      <c r="N38" s="501" t="n"/>
    </row>
    <row r="39" ht="15" customHeight="1" s="341">
      <c r="A39" s="492">
        <f>IF(B39="","",IF(C39="❌ Account Not Found","INVALID","LN"&amp;TEXT(D39,"YYYYMMDD")&amp;TEXT(ROW()-13,"0000")))</f>
        <v/>
      </c>
      <c r="B39" s="486" t="n"/>
      <c r="C39" s="378">
        <f>IF(B39="","",IFERROR(VLOOKUP(B39,DB_Customers!$A:$D,4,0),"❌ Account Not Found"))</f>
        <v/>
      </c>
      <c r="D39" s="488">
        <f>IF(B39="","",TODAY())</f>
        <v/>
      </c>
      <c r="E39" s="526" t="n"/>
      <c r="F39" s="378" t="n"/>
      <c r="G39" s="532" t="n"/>
      <c r="H39" s="533" t="n"/>
      <c r="I39" s="529">
        <f>IF(E39="","",E39+(E39*H39/100*G39))</f>
        <v/>
      </c>
      <c r="J39" s="534">
        <f>IFERROR(I39/G39,"")</f>
        <v/>
      </c>
      <c r="K39" s="535">
        <f>IF(B39="","Pending",IF(M39="","⚠️ Enter Code",IF(IFERROR(VLOOKUP(L39,DB_Agents!$B:$I,8,0),"")=M39,"Pending","🔒 BLOCKED — Wrong Code")))</f>
        <v/>
      </c>
      <c r="L39" s="380" t="inlineStr">
        <is>
          <t>Agent 03</t>
        </is>
      </c>
      <c r="M39" s="491" t="n"/>
      <c r="N39" s="494" t="n"/>
    </row>
    <row r="40" ht="15" customHeight="1" s="341">
      <c r="A40" s="499">
        <f>IF(B40="","",IF(C40="❌ Account Not Found","INVALID","LN"&amp;TEXT(D40,"YYYYMMDD")&amp;TEXT(ROW()-13,"0000")))</f>
        <v/>
      </c>
      <c r="B40" s="495" t="n"/>
      <c r="C40" s="382">
        <f>IF(B40="","",IFERROR(VLOOKUP(B40,DB_Customers!$A:$D,4,0),"❌ Account Not Found"))</f>
        <v/>
      </c>
      <c r="D40" s="497">
        <f>IF(B40="","",TODAY())</f>
        <v/>
      </c>
      <c r="E40" s="526" t="n"/>
      <c r="F40" s="382" t="n"/>
      <c r="G40" s="527" t="n"/>
      <c r="H40" s="528" t="n"/>
      <c r="I40" s="529">
        <f>IF(E40="","",E40+(E40*H40/100*G40))</f>
        <v/>
      </c>
      <c r="J40" s="530">
        <f>IFERROR(I40/G40,"")</f>
        <v/>
      </c>
      <c r="K40" s="531">
        <f>IF(B40="","Pending",IF(M40="","⚠️ Enter Code",IF(IFERROR(VLOOKUP(L40,DB_Agents!$B:$I,8,0),"")=M40,"Pending","🔒 BLOCKED — Wrong Code")))</f>
        <v/>
      </c>
      <c r="L40" s="384" t="inlineStr">
        <is>
          <t>Agent 03</t>
        </is>
      </c>
      <c r="M40" s="491" t="n"/>
      <c r="N40" s="501" t="n"/>
    </row>
    <row r="41" ht="15" customHeight="1" s="341">
      <c r="A41" s="492">
        <f>IF(B41="","",IF(C41="❌ Account Not Found","INVALID","LN"&amp;TEXT(D41,"YYYYMMDD")&amp;TEXT(ROW()-13,"0000")))</f>
        <v/>
      </c>
      <c r="B41" s="486" t="n"/>
      <c r="C41" s="378">
        <f>IF(B41="","",IFERROR(VLOOKUP(B41,DB_Customers!$A:$D,4,0),"❌ Account Not Found"))</f>
        <v/>
      </c>
      <c r="D41" s="488">
        <f>IF(B41="","",TODAY())</f>
        <v/>
      </c>
      <c r="E41" s="526" t="n"/>
      <c r="F41" s="378" t="n"/>
      <c r="G41" s="532" t="n"/>
      <c r="H41" s="533" t="n"/>
      <c r="I41" s="529">
        <f>IF(E41="","",E41+(E41*H41/100*G41))</f>
        <v/>
      </c>
      <c r="J41" s="534">
        <f>IFERROR(I41/G41,"")</f>
        <v/>
      </c>
      <c r="K41" s="535">
        <f>IF(B41="","Pending",IF(M41="","⚠️ Enter Code",IF(IFERROR(VLOOKUP(L41,DB_Agents!$B:$I,8,0),"")=M41,"Pending","🔒 BLOCKED — Wrong Code")))</f>
        <v/>
      </c>
      <c r="L41" s="380" t="inlineStr">
        <is>
          <t>Agent 03</t>
        </is>
      </c>
      <c r="M41" s="491" t="n"/>
      <c r="N41" s="494" t="n"/>
    </row>
    <row r="42" ht="15" customHeight="1" s="341">
      <c r="A42" s="499">
        <f>IF(B42="","",IF(C42="❌ Account Not Found","INVALID","LN"&amp;TEXT(D42,"YYYYMMDD")&amp;TEXT(ROW()-13,"0000")))</f>
        <v/>
      </c>
      <c r="B42" s="495" t="n"/>
      <c r="C42" s="382">
        <f>IF(B42="","",IFERROR(VLOOKUP(B42,DB_Customers!$A:$D,4,0),"❌ Account Not Found"))</f>
        <v/>
      </c>
      <c r="D42" s="497">
        <f>IF(B42="","",TODAY())</f>
        <v/>
      </c>
      <c r="E42" s="526" t="n"/>
      <c r="F42" s="382" t="n"/>
      <c r="G42" s="527" t="n"/>
      <c r="H42" s="528" t="n"/>
      <c r="I42" s="529">
        <f>IF(E42="","",E42+(E42*H42/100*G42))</f>
        <v/>
      </c>
      <c r="J42" s="530">
        <f>IFERROR(I42/G42,"")</f>
        <v/>
      </c>
      <c r="K42" s="531">
        <f>IF(B42="","Pending",IF(M42="","⚠️ Enter Code",IF(IFERROR(VLOOKUP(L42,DB_Agents!$B:$I,8,0),"")=M42,"Pending","🔒 BLOCKED — Wrong Code")))</f>
        <v/>
      </c>
      <c r="L42" s="384" t="inlineStr">
        <is>
          <t>Agent 03</t>
        </is>
      </c>
      <c r="M42" s="491" t="n"/>
      <c r="N42" s="501" t="n"/>
    </row>
    <row r="43" ht="15" customHeight="1" s="341">
      <c r="A43" s="492">
        <f>IF(B43="","",IF(C43="❌ Account Not Found","INVALID","LN"&amp;TEXT(D43,"YYYYMMDD")&amp;TEXT(ROW()-13,"0000")))</f>
        <v/>
      </c>
      <c r="B43" s="486" t="n"/>
      <c r="C43" s="378">
        <f>IF(B43="","",IFERROR(VLOOKUP(B43,DB_Customers!$A:$D,4,0),"❌ Account Not Found"))</f>
        <v/>
      </c>
      <c r="D43" s="488">
        <f>IF(B43="","",TODAY())</f>
        <v/>
      </c>
      <c r="E43" s="526" t="n"/>
      <c r="F43" s="378" t="n"/>
      <c r="G43" s="532" t="n"/>
      <c r="H43" s="533" t="n"/>
      <c r="I43" s="529">
        <f>IF(E43="","",E43+(E43*H43/100*G43))</f>
        <v/>
      </c>
      <c r="J43" s="534">
        <f>IFERROR(I43/G43,"")</f>
        <v/>
      </c>
      <c r="K43" s="535">
        <f>IF(B43="","Pending",IF(M43="","⚠️ Enter Code",IF(IFERROR(VLOOKUP(L43,DB_Agents!$B:$I,8,0),"")=M43,"Pending","🔒 BLOCKED — Wrong Code")))</f>
        <v/>
      </c>
      <c r="L43" s="380" t="inlineStr">
        <is>
          <t>Agent 03</t>
        </is>
      </c>
      <c r="M43" s="491" t="n"/>
      <c r="N43" s="494" t="n"/>
    </row>
    <row r="44" ht="15" customHeight="1" s="341">
      <c r="A44" s="499">
        <f>IF(B44="","",IF(C44="❌ Account Not Found","INVALID","LN"&amp;TEXT(D44,"YYYYMMDD")&amp;TEXT(ROW()-13,"0000")))</f>
        <v/>
      </c>
      <c r="B44" s="495" t="n"/>
      <c r="C44" s="382">
        <f>IF(B44="","",IFERROR(VLOOKUP(B44,DB_Customers!$A:$D,4,0),"❌ Account Not Found"))</f>
        <v/>
      </c>
      <c r="D44" s="497">
        <f>IF(B44="","",TODAY())</f>
        <v/>
      </c>
      <c r="E44" s="526" t="n"/>
      <c r="F44" s="382" t="n"/>
      <c r="G44" s="527" t="n"/>
      <c r="H44" s="528" t="n"/>
      <c r="I44" s="529">
        <f>IF(E44="","",E44+(E44*H44/100*G44))</f>
        <v/>
      </c>
      <c r="J44" s="530">
        <f>IFERROR(I44/G44,"")</f>
        <v/>
      </c>
      <c r="K44" s="531">
        <f>IF(B44="","Pending",IF(M44="","⚠️ Enter Code",IF(IFERROR(VLOOKUP(L44,DB_Agents!$B:$I,8,0),"")=M44,"Pending","🔒 BLOCKED — Wrong Code")))</f>
        <v/>
      </c>
      <c r="L44" s="384" t="inlineStr">
        <is>
          <t>Agent 03</t>
        </is>
      </c>
      <c r="M44" s="491" t="n"/>
      <c r="N44" s="501" t="n"/>
    </row>
    <row r="45" ht="15" customHeight="1" s="341">
      <c r="A45" s="492">
        <f>IF(B45="","",IF(C45="❌ Account Not Found","INVALID","LN"&amp;TEXT(D45,"YYYYMMDD")&amp;TEXT(ROW()-13,"0000")))</f>
        <v/>
      </c>
      <c r="B45" s="486" t="n"/>
      <c r="C45" s="378">
        <f>IF(B45="","",IFERROR(VLOOKUP(B45,DB_Customers!$A:$D,4,0),"❌ Account Not Found"))</f>
        <v/>
      </c>
      <c r="D45" s="488">
        <f>IF(B45="","",TODAY())</f>
        <v/>
      </c>
      <c r="E45" s="526" t="n"/>
      <c r="F45" s="378" t="n"/>
      <c r="G45" s="532" t="n"/>
      <c r="H45" s="533" t="n"/>
      <c r="I45" s="529">
        <f>IF(E45="","",E45+(E45*H45/100*G45))</f>
        <v/>
      </c>
      <c r="J45" s="534">
        <f>IFERROR(I45/G45,"")</f>
        <v/>
      </c>
      <c r="K45" s="535">
        <f>IF(B45="","Pending",IF(M45="","⚠️ Enter Code",IF(IFERROR(VLOOKUP(L45,DB_Agents!$B:$I,8,0),"")=M45,"Pending","🔒 BLOCKED — Wrong Code")))</f>
        <v/>
      </c>
      <c r="L45" s="380" t="inlineStr">
        <is>
          <t>Agent 03</t>
        </is>
      </c>
      <c r="M45" s="491" t="n"/>
      <c r="N45" s="494" t="n"/>
    </row>
    <row r="46" ht="15" customHeight="1" s="341">
      <c r="A46" s="499">
        <f>IF(B46="","",IF(C46="❌ Account Not Found","INVALID","LN"&amp;TEXT(D46,"YYYYMMDD")&amp;TEXT(ROW()-13,"0000")))</f>
        <v/>
      </c>
      <c r="B46" s="495" t="n"/>
      <c r="C46" s="382">
        <f>IF(B46="","",IFERROR(VLOOKUP(B46,DB_Customers!$A:$D,4,0),"❌ Account Not Found"))</f>
        <v/>
      </c>
      <c r="D46" s="497">
        <f>IF(B46="","",TODAY())</f>
        <v/>
      </c>
      <c r="E46" s="526" t="n"/>
      <c r="F46" s="382" t="n"/>
      <c r="G46" s="527" t="n"/>
      <c r="H46" s="528" t="n"/>
      <c r="I46" s="529">
        <f>IF(E46="","",E46+(E46*H46/100*G46))</f>
        <v/>
      </c>
      <c r="J46" s="530">
        <f>IFERROR(I46/G46,"")</f>
        <v/>
      </c>
      <c r="K46" s="531">
        <f>IF(B46="","Pending",IF(M46="","⚠️ Enter Code",IF(IFERROR(VLOOKUP(L46,DB_Agents!$B:$I,8,0),"")=M46,"Pending","🔒 BLOCKED — Wrong Code")))</f>
        <v/>
      </c>
      <c r="L46" s="384" t="inlineStr">
        <is>
          <t>Agent 03</t>
        </is>
      </c>
      <c r="M46" s="491" t="n"/>
      <c r="N46" s="501" t="n"/>
    </row>
    <row r="47" ht="15" customHeight="1" s="341">
      <c r="A47" s="492">
        <f>IF(B47="","",IF(C47="❌ Account Not Found","INVALID","LN"&amp;TEXT(D47,"YYYYMMDD")&amp;TEXT(ROW()-13,"0000")))</f>
        <v/>
      </c>
      <c r="B47" s="486" t="n"/>
      <c r="C47" s="378">
        <f>IF(B47="","",IFERROR(VLOOKUP(B47,DB_Customers!$A:$D,4,0),"❌ Account Not Found"))</f>
        <v/>
      </c>
      <c r="D47" s="488">
        <f>IF(B47="","",TODAY())</f>
        <v/>
      </c>
      <c r="E47" s="526" t="n"/>
      <c r="F47" s="378" t="n"/>
      <c r="G47" s="532" t="n"/>
      <c r="H47" s="533" t="n"/>
      <c r="I47" s="529">
        <f>IF(E47="","",E47+(E47*H47/100*G47))</f>
        <v/>
      </c>
      <c r="J47" s="534">
        <f>IFERROR(I47/G47,"")</f>
        <v/>
      </c>
      <c r="K47" s="535">
        <f>IF(B47="","Pending",IF(M47="","⚠️ Enter Code",IF(IFERROR(VLOOKUP(L47,DB_Agents!$B:$I,8,0),"")=M47,"Pending","🔒 BLOCKED — Wrong Code")))</f>
        <v/>
      </c>
      <c r="L47" s="380" t="inlineStr">
        <is>
          <t>Agent 03</t>
        </is>
      </c>
      <c r="M47" s="491" t="n"/>
      <c r="N47" s="494" t="n"/>
    </row>
    <row r="48" ht="15" customHeight="1" s="341">
      <c r="A48" s="499">
        <f>IF(B48="","",IF(C48="❌ Account Not Found","INVALID","LN"&amp;TEXT(D48,"YYYYMMDD")&amp;TEXT(ROW()-13,"0000")))</f>
        <v/>
      </c>
      <c r="B48" s="495" t="n"/>
      <c r="C48" s="382">
        <f>IF(B48="","",IFERROR(VLOOKUP(B48,DB_Customers!$A:$D,4,0),"❌ Account Not Found"))</f>
        <v/>
      </c>
      <c r="D48" s="497">
        <f>IF(B48="","",TODAY())</f>
        <v/>
      </c>
      <c r="E48" s="526" t="n"/>
      <c r="F48" s="382" t="n"/>
      <c r="G48" s="527" t="n"/>
      <c r="H48" s="528" t="n"/>
      <c r="I48" s="529">
        <f>IF(E48="","",E48+(E48*H48/100*G48))</f>
        <v/>
      </c>
      <c r="J48" s="530">
        <f>IFERROR(I48/G48,"")</f>
        <v/>
      </c>
      <c r="K48" s="531">
        <f>IF(B48="","Pending",IF(M48="","⚠️ Enter Code",IF(IFERROR(VLOOKUP(L48,DB_Agents!$B:$I,8,0),"")=M48,"Pending","🔒 BLOCKED — Wrong Code")))</f>
        <v/>
      </c>
      <c r="L48" s="384" t="inlineStr">
        <is>
          <t>Agent 03</t>
        </is>
      </c>
      <c r="M48" s="491" t="n"/>
      <c r="N48" s="501" t="n"/>
    </row>
    <row r="49" ht="15" customHeight="1" s="341">
      <c r="A49" s="492">
        <f>IF(B49="","",IF(C49="❌ Account Not Found","INVALID","LN"&amp;TEXT(D49,"YYYYMMDD")&amp;TEXT(ROW()-13,"0000")))</f>
        <v/>
      </c>
      <c r="B49" s="486" t="n"/>
      <c r="C49" s="378">
        <f>IF(B49="","",IFERROR(VLOOKUP(B49,DB_Customers!$A:$D,4,0),"❌ Account Not Found"))</f>
        <v/>
      </c>
      <c r="D49" s="488">
        <f>IF(B49="","",TODAY())</f>
        <v/>
      </c>
      <c r="E49" s="526" t="n"/>
      <c r="F49" s="378" t="n"/>
      <c r="G49" s="532" t="n"/>
      <c r="H49" s="533" t="n"/>
      <c r="I49" s="529">
        <f>IF(E49="","",E49+(E49*H49/100*G49))</f>
        <v/>
      </c>
      <c r="J49" s="534">
        <f>IFERROR(I49/G49,"")</f>
        <v/>
      </c>
      <c r="K49" s="535">
        <f>IF(B49="","Pending",IF(M49="","⚠️ Enter Code",IF(IFERROR(VLOOKUP(L49,DB_Agents!$B:$I,8,0),"")=M49,"Pending","🔒 BLOCKED — Wrong Code")))</f>
        <v/>
      </c>
      <c r="L49" s="380" t="inlineStr">
        <is>
          <t>Agent 03</t>
        </is>
      </c>
      <c r="M49" s="491" t="n"/>
      <c r="N49" s="494" t="n"/>
    </row>
    <row r="50" ht="15" customHeight="1" s="341">
      <c r="A50" s="499">
        <f>IF(B50="","",IF(C50="❌ Account Not Found","INVALID","LN"&amp;TEXT(D50,"YYYYMMDD")&amp;TEXT(ROW()-13,"0000")))</f>
        <v/>
      </c>
      <c r="B50" s="495" t="n"/>
      <c r="C50" s="382">
        <f>IF(B50="","",IFERROR(VLOOKUP(B50,DB_Customers!$A:$D,4,0),"❌ Account Not Found"))</f>
        <v/>
      </c>
      <c r="D50" s="497">
        <f>IF(B50="","",TODAY())</f>
        <v/>
      </c>
      <c r="E50" s="526" t="n"/>
      <c r="F50" s="382" t="n"/>
      <c r="G50" s="527" t="n"/>
      <c r="H50" s="528" t="n"/>
      <c r="I50" s="529">
        <f>IF(E50="","",E50+(E50*H50/100*G50))</f>
        <v/>
      </c>
      <c r="J50" s="530">
        <f>IFERROR(I50/G50,"")</f>
        <v/>
      </c>
      <c r="K50" s="531">
        <f>IF(B50="","Pending",IF(M50="","⚠️ Enter Code",IF(IFERROR(VLOOKUP(L50,DB_Agents!$B:$I,8,0),"")=M50,"Pending","🔒 BLOCKED — Wrong Code")))</f>
        <v/>
      </c>
      <c r="L50" s="384" t="inlineStr">
        <is>
          <t>Agent 03</t>
        </is>
      </c>
      <c r="M50" s="491" t="n"/>
      <c r="N50" s="501" t="n"/>
    </row>
    <row r="51" ht="15" customHeight="1" s="341">
      <c r="A51" s="492">
        <f>IF(B51="","",IF(C51="❌ Account Not Found","INVALID","LN"&amp;TEXT(D51,"YYYYMMDD")&amp;TEXT(ROW()-13,"0000")))</f>
        <v/>
      </c>
      <c r="B51" s="486" t="n"/>
      <c r="C51" s="378">
        <f>IF(B51="","",IFERROR(VLOOKUP(B51,DB_Customers!$A:$D,4,0),"❌ Account Not Found"))</f>
        <v/>
      </c>
      <c r="D51" s="488">
        <f>IF(B51="","",TODAY())</f>
        <v/>
      </c>
      <c r="E51" s="526" t="n"/>
      <c r="F51" s="378" t="n"/>
      <c r="G51" s="532" t="n"/>
      <c r="H51" s="533" t="n"/>
      <c r="I51" s="529">
        <f>IF(E51="","",E51+(E51*H51/100*G51))</f>
        <v/>
      </c>
      <c r="J51" s="534">
        <f>IFERROR(I51/G51,"")</f>
        <v/>
      </c>
      <c r="K51" s="535">
        <f>IF(B51="","Pending",IF(M51="","⚠️ Enter Code",IF(IFERROR(VLOOKUP(L51,DB_Agents!$B:$I,8,0),"")=M51,"Pending","🔒 BLOCKED — Wrong Code")))</f>
        <v/>
      </c>
      <c r="L51" s="380" t="inlineStr">
        <is>
          <t>Agent 03</t>
        </is>
      </c>
      <c r="M51" s="491" t="n"/>
      <c r="N51" s="494" t="n"/>
    </row>
    <row r="52" ht="15" customHeight="1" s="341">
      <c r="A52" s="499">
        <f>IF(B52="","",IF(C52="❌ Account Not Found","INVALID","LN"&amp;TEXT(D52,"YYYYMMDD")&amp;TEXT(ROW()-13,"0000")))</f>
        <v/>
      </c>
      <c r="B52" s="495" t="n"/>
      <c r="C52" s="382">
        <f>IF(B52="","",IFERROR(VLOOKUP(B52,DB_Customers!$A:$D,4,0),"❌ Account Not Found"))</f>
        <v/>
      </c>
      <c r="D52" s="497">
        <f>IF(B52="","",TODAY())</f>
        <v/>
      </c>
      <c r="E52" s="526" t="n"/>
      <c r="F52" s="382" t="n"/>
      <c r="G52" s="527" t="n"/>
      <c r="H52" s="528" t="n"/>
      <c r="I52" s="529">
        <f>IF(E52="","",E52+(E52*H52/100*G52))</f>
        <v/>
      </c>
      <c r="J52" s="530">
        <f>IFERROR(I52/G52,"")</f>
        <v/>
      </c>
      <c r="K52" s="531">
        <f>IF(B52="","Pending",IF(M52="","⚠️ Enter Code",IF(IFERROR(VLOOKUP(L52,DB_Agents!$B:$I,8,0),"")=M52,"Pending","🔒 BLOCKED — Wrong Code")))</f>
        <v/>
      </c>
      <c r="L52" s="384" t="inlineStr">
        <is>
          <t>Agent 03</t>
        </is>
      </c>
      <c r="M52" s="491" t="n"/>
      <c r="N52" s="501" t="n"/>
    </row>
    <row r="53" ht="15" customHeight="1" s="341">
      <c r="A53" s="492">
        <f>IF(B53="","",IF(C53="❌ Account Not Found","INVALID","LN"&amp;TEXT(D53,"YYYYMMDD")&amp;TEXT(ROW()-13,"0000")))</f>
        <v/>
      </c>
      <c r="B53" s="486" t="n"/>
      <c r="C53" s="378">
        <f>IF(B53="","",IFERROR(VLOOKUP(B53,DB_Customers!$A:$D,4,0),"❌ Account Not Found"))</f>
        <v/>
      </c>
      <c r="D53" s="488">
        <f>IF(B53="","",TODAY())</f>
        <v/>
      </c>
      <c r="E53" s="526" t="n"/>
      <c r="F53" s="378" t="n"/>
      <c r="G53" s="532" t="n"/>
      <c r="H53" s="533" t="n"/>
      <c r="I53" s="529">
        <f>IF(E53="","",E53+(E53*H53/100*G53))</f>
        <v/>
      </c>
      <c r="J53" s="534">
        <f>IFERROR(I53/G53,"")</f>
        <v/>
      </c>
      <c r="K53" s="535">
        <f>IF(B53="","Pending",IF(M53="","⚠️ Enter Code",IF(IFERROR(VLOOKUP(L53,DB_Agents!$B:$I,8,0),"")=M53,"Pending","🔒 BLOCKED — Wrong Code")))</f>
        <v/>
      </c>
      <c r="L53" s="380" t="inlineStr">
        <is>
          <t>Agent 03</t>
        </is>
      </c>
      <c r="M53" s="491" t="n"/>
      <c r="N53" s="494" t="n"/>
    </row>
    <row r="54" ht="15" customHeight="1" s="341">
      <c r="A54" s="499">
        <f>IF(B54="","",IF(C54="❌ Account Not Found","INVALID","LN"&amp;TEXT(D54,"YYYYMMDD")&amp;TEXT(ROW()-13,"0000")))</f>
        <v/>
      </c>
      <c r="B54" s="495" t="n"/>
      <c r="C54" s="382">
        <f>IF(B54="","",IFERROR(VLOOKUP(B54,DB_Customers!$A:$D,4,0),"❌ Account Not Found"))</f>
        <v/>
      </c>
      <c r="D54" s="497">
        <f>IF(B54="","",TODAY())</f>
        <v/>
      </c>
      <c r="E54" s="526" t="n"/>
      <c r="F54" s="382" t="n"/>
      <c r="G54" s="527" t="n"/>
      <c r="H54" s="528" t="n"/>
      <c r="I54" s="529">
        <f>IF(E54="","",E54+(E54*H54/100*G54))</f>
        <v/>
      </c>
      <c r="J54" s="530">
        <f>IFERROR(I54/G54,"")</f>
        <v/>
      </c>
      <c r="K54" s="531">
        <f>IF(B54="","Pending",IF(M54="","⚠️ Enter Code",IF(IFERROR(VLOOKUP(L54,DB_Agents!$B:$I,8,0),"")=M54,"Pending","🔒 BLOCKED — Wrong Code")))</f>
        <v/>
      </c>
      <c r="L54" s="384" t="inlineStr">
        <is>
          <t>Agent 03</t>
        </is>
      </c>
      <c r="M54" s="491" t="n"/>
      <c r="N54" s="501" t="n"/>
    </row>
    <row r="55" ht="15" customHeight="1" s="341">
      <c r="A55" s="492">
        <f>IF(B55="","",IF(C55="❌ Account Not Found","INVALID","LN"&amp;TEXT(D55,"YYYYMMDD")&amp;TEXT(ROW()-13,"0000")))</f>
        <v/>
      </c>
      <c r="B55" s="486" t="n"/>
      <c r="C55" s="378">
        <f>IF(B55="","",IFERROR(VLOOKUP(B55,DB_Customers!$A:$D,4,0),"❌ Account Not Found"))</f>
        <v/>
      </c>
      <c r="D55" s="488">
        <f>IF(B55="","",TODAY())</f>
        <v/>
      </c>
      <c r="E55" s="526" t="n"/>
      <c r="F55" s="378" t="n"/>
      <c r="G55" s="532" t="n"/>
      <c r="H55" s="533" t="n"/>
      <c r="I55" s="529">
        <f>IF(E55="","",E55+(E55*H55/100*G55))</f>
        <v/>
      </c>
      <c r="J55" s="534">
        <f>IFERROR(I55/G55,"")</f>
        <v/>
      </c>
      <c r="K55" s="535">
        <f>IF(B55="","Pending",IF(M55="","⚠️ Enter Code",IF(IFERROR(VLOOKUP(L55,DB_Agents!$B:$I,8,0),"")=M55,"Pending","🔒 BLOCKED — Wrong Code")))</f>
        <v/>
      </c>
      <c r="L55" s="380" t="inlineStr">
        <is>
          <t>Agent 03</t>
        </is>
      </c>
      <c r="M55" s="491" t="n"/>
      <c r="N55" s="494" t="n"/>
    </row>
    <row r="56" ht="15" customHeight="1" s="341">
      <c r="A56" s="499">
        <f>IF(B56="","",IF(C56="❌ Account Not Found","INVALID","LN"&amp;TEXT(D56,"YYYYMMDD")&amp;TEXT(ROW()-13,"0000")))</f>
        <v/>
      </c>
      <c r="B56" s="495" t="n"/>
      <c r="C56" s="382">
        <f>IF(B56="","",IFERROR(VLOOKUP(B56,DB_Customers!$A:$D,4,0),"❌ Account Not Found"))</f>
        <v/>
      </c>
      <c r="D56" s="497">
        <f>IF(B56="","",TODAY())</f>
        <v/>
      </c>
      <c r="E56" s="526" t="n"/>
      <c r="F56" s="382" t="n"/>
      <c r="G56" s="527" t="n"/>
      <c r="H56" s="528" t="n"/>
      <c r="I56" s="529">
        <f>IF(E56="","",E56+(E56*H56/100*G56))</f>
        <v/>
      </c>
      <c r="J56" s="530">
        <f>IFERROR(I56/G56,"")</f>
        <v/>
      </c>
      <c r="K56" s="531">
        <f>IF(B56="","Pending",IF(M56="","⚠️ Enter Code",IF(IFERROR(VLOOKUP(L56,DB_Agents!$B:$I,8,0),"")=M56,"Pending","🔒 BLOCKED — Wrong Code")))</f>
        <v/>
      </c>
      <c r="L56" s="384" t="inlineStr">
        <is>
          <t>Agent 03</t>
        </is>
      </c>
      <c r="M56" s="491" t="n"/>
      <c r="N56" s="501" t="n"/>
    </row>
    <row r="57" ht="15" customHeight="1" s="341">
      <c r="A57" s="492">
        <f>IF(B57="","",IF(C57="❌ Account Not Found","INVALID","LN"&amp;TEXT(D57,"YYYYMMDD")&amp;TEXT(ROW()-13,"0000")))</f>
        <v/>
      </c>
      <c r="B57" s="486" t="n"/>
      <c r="C57" s="378">
        <f>IF(B57="","",IFERROR(VLOOKUP(B57,DB_Customers!$A:$D,4,0),"❌ Account Not Found"))</f>
        <v/>
      </c>
      <c r="D57" s="488">
        <f>IF(B57="","",TODAY())</f>
        <v/>
      </c>
      <c r="E57" s="526" t="n"/>
      <c r="F57" s="378" t="n"/>
      <c r="G57" s="532" t="n"/>
      <c r="H57" s="533" t="n"/>
      <c r="I57" s="529">
        <f>IF(E57="","",E57+(E57*H57/100*G57))</f>
        <v/>
      </c>
      <c r="J57" s="534">
        <f>IFERROR(I57/G57,"")</f>
        <v/>
      </c>
      <c r="K57" s="535">
        <f>IF(B57="","Pending",IF(M57="","⚠️ Enter Code",IF(IFERROR(VLOOKUP(L57,DB_Agents!$B:$I,8,0),"")=M57,"Pending","🔒 BLOCKED — Wrong Code")))</f>
        <v/>
      </c>
      <c r="L57" s="380" t="inlineStr">
        <is>
          <t>Agent 03</t>
        </is>
      </c>
      <c r="M57" s="491" t="n"/>
      <c r="N57" s="494" t="n"/>
    </row>
    <row r="58" ht="15" customHeight="1" s="341">
      <c r="A58" s="499">
        <f>IF(B58="","",IF(C58="❌ Account Not Found","INVALID","LN"&amp;TEXT(D58,"YYYYMMDD")&amp;TEXT(ROW()-13,"0000")))</f>
        <v/>
      </c>
      <c r="B58" s="495" t="n"/>
      <c r="C58" s="382">
        <f>IF(B58="","",IFERROR(VLOOKUP(B58,DB_Customers!$A:$D,4,0),"❌ Account Not Found"))</f>
        <v/>
      </c>
      <c r="D58" s="497">
        <f>IF(B58="","",TODAY())</f>
        <v/>
      </c>
      <c r="E58" s="526" t="n"/>
      <c r="F58" s="382" t="n"/>
      <c r="G58" s="527" t="n"/>
      <c r="H58" s="528" t="n"/>
      <c r="I58" s="529">
        <f>IF(E58="","",E58+(E58*H58/100*G58))</f>
        <v/>
      </c>
      <c r="J58" s="530">
        <f>IFERROR(I58/G58,"")</f>
        <v/>
      </c>
      <c r="K58" s="531">
        <f>IF(B58="","Pending",IF(M58="","⚠️ Enter Code",IF(IFERROR(VLOOKUP(L58,DB_Agents!$B:$I,8,0),"")=M58,"Pending","🔒 BLOCKED — Wrong Code")))</f>
        <v/>
      </c>
      <c r="L58" s="384" t="inlineStr">
        <is>
          <t>Agent 03</t>
        </is>
      </c>
      <c r="M58" s="491" t="n"/>
      <c r="N58" s="501" t="n"/>
    </row>
    <row r="59" ht="15" customHeight="1" s="341">
      <c r="A59" s="492">
        <f>IF(B59="","",IF(C59="❌ Account Not Found","INVALID","LN"&amp;TEXT(D59,"YYYYMMDD")&amp;TEXT(ROW()-13,"0000")))</f>
        <v/>
      </c>
      <c r="B59" s="486" t="n"/>
      <c r="C59" s="378">
        <f>IF(B59="","",IFERROR(VLOOKUP(B59,DB_Customers!$A:$D,4,0),"❌ Account Not Found"))</f>
        <v/>
      </c>
      <c r="D59" s="488">
        <f>IF(B59="","",TODAY())</f>
        <v/>
      </c>
      <c r="E59" s="526" t="n"/>
      <c r="F59" s="378" t="n"/>
      <c r="G59" s="532" t="n"/>
      <c r="H59" s="533" t="n"/>
      <c r="I59" s="529">
        <f>IF(E59="","",E59+(E59*H59/100*G59))</f>
        <v/>
      </c>
      <c r="J59" s="534">
        <f>IFERROR(I59/G59,"")</f>
        <v/>
      </c>
      <c r="K59" s="535">
        <f>IF(B59="","Pending",IF(M59="","⚠️ Enter Code",IF(IFERROR(VLOOKUP(L59,DB_Agents!$B:$I,8,0),"")=M59,"Pending","🔒 BLOCKED — Wrong Code")))</f>
        <v/>
      </c>
      <c r="L59" s="380" t="inlineStr">
        <is>
          <t>Agent 03</t>
        </is>
      </c>
      <c r="M59" s="491" t="n"/>
      <c r="N59" s="494" t="n"/>
    </row>
    <row r="60" ht="15" customHeight="1" s="341">
      <c r="A60" s="499">
        <f>IF(B60="","",IF(C60="❌ Account Not Found","INVALID","LN"&amp;TEXT(D60,"YYYYMMDD")&amp;TEXT(ROW()-13,"0000")))</f>
        <v/>
      </c>
      <c r="B60" s="495" t="n"/>
      <c r="C60" s="382">
        <f>IF(B60="","",IFERROR(VLOOKUP(B60,DB_Customers!$A:$D,4,0),"❌ Account Not Found"))</f>
        <v/>
      </c>
      <c r="D60" s="497">
        <f>IF(B60="","",TODAY())</f>
        <v/>
      </c>
      <c r="E60" s="526" t="n"/>
      <c r="F60" s="382" t="n"/>
      <c r="G60" s="527" t="n"/>
      <c r="H60" s="528" t="n"/>
      <c r="I60" s="529">
        <f>IF(E60="","",E60+(E60*H60/100*G60))</f>
        <v/>
      </c>
      <c r="J60" s="530">
        <f>IFERROR(I60/G60,"")</f>
        <v/>
      </c>
      <c r="K60" s="531">
        <f>IF(B60="","Pending",IF(M60="","⚠️ Enter Code",IF(IFERROR(VLOOKUP(L60,DB_Agents!$B:$I,8,0),"")=M60,"Pending","🔒 BLOCKED — Wrong Code")))</f>
        <v/>
      </c>
      <c r="L60" s="384" t="inlineStr">
        <is>
          <t>Agent 03</t>
        </is>
      </c>
      <c r="M60" s="491" t="n"/>
      <c r="N60" s="501" t="n"/>
    </row>
    <row r="61" ht="15" customHeight="1" s="341">
      <c r="A61" s="492">
        <f>IF(B61="","",IF(C61="❌ Account Not Found","INVALID","LN"&amp;TEXT(D61,"YYYYMMDD")&amp;TEXT(ROW()-13,"0000")))</f>
        <v/>
      </c>
      <c r="B61" s="486" t="n"/>
      <c r="C61" s="378">
        <f>IF(B61="","",IFERROR(VLOOKUP(B61,DB_Customers!$A:$D,4,0),"❌ Account Not Found"))</f>
        <v/>
      </c>
      <c r="D61" s="488">
        <f>IF(B61="","",TODAY())</f>
        <v/>
      </c>
      <c r="E61" s="526" t="n"/>
      <c r="F61" s="378" t="n"/>
      <c r="G61" s="532" t="n"/>
      <c r="H61" s="533" t="n"/>
      <c r="I61" s="529">
        <f>IF(E61="","",E61+(E61*H61/100*G61))</f>
        <v/>
      </c>
      <c r="J61" s="534">
        <f>IFERROR(I61/G61,"")</f>
        <v/>
      </c>
      <c r="K61" s="535">
        <f>IF(B61="","Pending",IF(M61="","⚠️ Enter Code",IF(IFERROR(VLOOKUP(L61,DB_Agents!$B:$I,8,0),"")=M61,"Pending","🔒 BLOCKED — Wrong Code")))</f>
        <v/>
      </c>
      <c r="L61" s="380" t="inlineStr">
        <is>
          <t>Agent 03</t>
        </is>
      </c>
      <c r="M61" s="491" t="n"/>
      <c r="N61" s="494" t="n"/>
    </row>
    <row r="62" ht="15" customHeight="1" s="341">
      <c r="A62" s="499">
        <f>IF(B62="","",IF(C62="❌ Account Not Found","INVALID","LN"&amp;TEXT(D62,"YYYYMMDD")&amp;TEXT(ROW()-13,"0000")))</f>
        <v/>
      </c>
      <c r="B62" s="495" t="n"/>
      <c r="C62" s="382">
        <f>IF(B62="","",IFERROR(VLOOKUP(B62,DB_Customers!$A:$D,4,0),"❌ Account Not Found"))</f>
        <v/>
      </c>
      <c r="D62" s="497">
        <f>IF(B62="","",TODAY())</f>
        <v/>
      </c>
      <c r="E62" s="526" t="n"/>
      <c r="F62" s="382" t="n"/>
      <c r="G62" s="527" t="n"/>
      <c r="H62" s="528" t="n"/>
      <c r="I62" s="529">
        <f>IF(E62="","",E62+(E62*H62/100*G62))</f>
        <v/>
      </c>
      <c r="J62" s="530">
        <f>IFERROR(I62/G62,"")</f>
        <v/>
      </c>
      <c r="K62" s="531">
        <f>IF(B62="","Pending",IF(M62="","⚠️ Enter Code",IF(IFERROR(VLOOKUP(L62,DB_Agents!$B:$I,8,0),"")=M62,"Pending","🔒 BLOCKED — Wrong Code")))</f>
        <v/>
      </c>
      <c r="L62" s="384" t="inlineStr">
        <is>
          <t>Agent 03</t>
        </is>
      </c>
      <c r="M62" s="491" t="n"/>
      <c r="N62" s="501" t="n"/>
    </row>
    <row r="63" ht="15" customHeight="1" s="341">
      <c r="A63" s="492">
        <f>IF(B63="","",IF(C63="❌ Account Not Found","INVALID","LN"&amp;TEXT(D63,"YYYYMMDD")&amp;TEXT(ROW()-13,"0000")))</f>
        <v/>
      </c>
      <c r="B63" s="486" t="n"/>
      <c r="C63" s="378">
        <f>IF(B63="","",IFERROR(VLOOKUP(B63,DB_Customers!$A:$D,4,0),"❌ Account Not Found"))</f>
        <v/>
      </c>
      <c r="D63" s="488">
        <f>IF(B63="","",TODAY())</f>
        <v/>
      </c>
      <c r="E63" s="526" t="n"/>
      <c r="F63" s="378" t="n"/>
      <c r="G63" s="532" t="n"/>
      <c r="H63" s="533" t="n"/>
      <c r="I63" s="529">
        <f>IF(E63="","",E63+(E63*H63/100*G63))</f>
        <v/>
      </c>
      <c r="J63" s="534">
        <f>IFERROR(I63/G63,"")</f>
        <v/>
      </c>
      <c r="K63" s="535">
        <f>IF(B63="","Pending",IF(M63="","⚠️ Enter Code",IF(IFERROR(VLOOKUP(L63,DB_Agents!$B:$I,8,0),"")=M63,"Pending","🔒 BLOCKED — Wrong Code")))</f>
        <v/>
      </c>
      <c r="L63" s="380" t="inlineStr">
        <is>
          <t>Agent 03</t>
        </is>
      </c>
      <c r="M63" s="491" t="n"/>
      <c r="N63" s="494" t="n"/>
    </row>
    <row r="64" ht="15" customHeight="1" s="341">
      <c r="A64" s="499">
        <f>IF(B64="","",IF(C64="❌ Account Not Found","INVALID","LN"&amp;TEXT(D64,"YYYYMMDD")&amp;TEXT(ROW()-13,"0000")))</f>
        <v/>
      </c>
      <c r="B64" s="495" t="n"/>
      <c r="C64" s="382">
        <f>IF(B64="","",IFERROR(VLOOKUP(B64,DB_Customers!$A:$D,4,0),"❌ Account Not Found"))</f>
        <v/>
      </c>
      <c r="D64" s="497">
        <f>IF(B64="","",TODAY())</f>
        <v/>
      </c>
      <c r="E64" s="526" t="n"/>
      <c r="F64" s="382" t="n"/>
      <c r="G64" s="527" t="n"/>
      <c r="H64" s="528" t="n"/>
      <c r="I64" s="529">
        <f>IF(E64="","",E64+(E64*H64/100*G64))</f>
        <v/>
      </c>
      <c r="J64" s="530">
        <f>IFERROR(I64/G64,"")</f>
        <v/>
      </c>
      <c r="K64" s="531">
        <f>IF(B64="","Pending",IF(M64="","⚠️ Enter Code",IF(IFERROR(VLOOKUP(L64,DB_Agents!$B:$I,8,0),"")=M64,"Pending","🔒 BLOCKED — Wrong Code")))</f>
        <v/>
      </c>
      <c r="L64" s="384" t="inlineStr">
        <is>
          <t>Agent 03</t>
        </is>
      </c>
      <c r="M64" s="491" t="n"/>
      <c r="N64" s="501" t="n"/>
    </row>
    <row r="65" ht="15" customHeight="1" s="341">
      <c r="A65" s="492">
        <f>IF(B65="","",IF(C65="❌ Account Not Found","INVALID","LN"&amp;TEXT(D65,"YYYYMMDD")&amp;TEXT(ROW()-13,"0000")))</f>
        <v/>
      </c>
      <c r="B65" s="486" t="n"/>
      <c r="C65" s="378">
        <f>IF(B65="","",IFERROR(VLOOKUP(B65,DB_Customers!$A:$D,4,0),"❌ Account Not Found"))</f>
        <v/>
      </c>
      <c r="D65" s="488">
        <f>IF(B65="","",TODAY())</f>
        <v/>
      </c>
      <c r="E65" s="526" t="n"/>
      <c r="F65" s="378" t="n"/>
      <c r="G65" s="532" t="n"/>
      <c r="H65" s="533" t="n"/>
      <c r="I65" s="529">
        <f>IF(E65="","",E65+(E65*H65/100*G65))</f>
        <v/>
      </c>
      <c r="J65" s="534">
        <f>IFERROR(I65/G65,"")</f>
        <v/>
      </c>
      <c r="K65" s="535">
        <f>IF(B65="","Pending",IF(M65="","⚠️ Enter Code",IF(IFERROR(VLOOKUP(L65,DB_Agents!$B:$I,8,0),"")=M65,"Pending","🔒 BLOCKED — Wrong Code")))</f>
        <v/>
      </c>
      <c r="L65" s="380" t="inlineStr">
        <is>
          <t>Agent 03</t>
        </is>
      </c>
      <c r="M65" s="491" t="n"/>
      <c r="N65" s="494" t="n"/>
    </row>
    <row r="66" ht="15" customHeight="1" s="341">
      <c r="A66" s="499">
        <f>IF(B66="","",IF(C66="❌ Account Not Found","INVALID","LN"&amp;TEXT(D66,"YYYYMMDD")&amp;TEXT(ROW()-13,"0000")))</f>
        <v/>
      </c>
      <c r="B66" s="495" t="n"/>
      <c r="C66" s="382">
        <f>IF(B66="","",IFERROR(VLOOKUP(B66,DB_Customers!$A:$D,4,0),"❌ Account Not Found"))</f>
        <v/>
      </c>
      <c r="D66" s="497">
        <f>IF(B66="","",TODAY())</f>
        <v/>
      </c>
      <c r="E66" s="526" t="n"/>
      <c r="F66" s="382" t="n"/>
      <c r="G66" s="527" t="n"/>
      <c r="H66" s="528" t="n"/>
      <c r="I66" s="529">
        <f>IF(E66="","",E66+(E66*H66/100*G66))</f>
        <v/>
      </c>
      <c r="J66" s="530">
        <f>IFERROR(I66/G66,"")</f>
        <v/>
      </c>
      <c r="K66" s="531">
        <f>IF(B66="","Pending",IF(M66="","⚠️ Enter Code",IF(IFERROR(VLOOKUP(L66,DB_Agents!$B:$I,8,0),"")=M66,"Pending","🔒 BLOCKED — Wrong Code")))</f>
        <v/>
      </c>
      <c r="L66" s="384" t="inlineStr">
        <is>
          <t>Agent 03</t>
        </is>
      </c>
      <c r="M66" s="491" t="n"/>
      <c r="N66" s="501" t="n"/>
    </row>
    <row r="67" ht="15" customHeight="1" s="341">
      <c r="A67" s="492">
        <f>IF(B67="","",IF(C67="❌ Account Not Found","INVALID","LN"&amp;TEXT(D67,"YYYYMMDD")&amp;TEXT(ROW()-13,"0000")))</f>
        <v/>
      </c>
      <c r="B67" s="486" t="n"/>
      <c r="C67" s="378">
        <f>IF(B67="","",IFERROR(VLOOKUP(B67,DB_Customers!$A:$D,4,0),"❌ Account Not Found"))</f>
        <v/>
      </c>
      <c r="D67" s="488">
        <f>IF(B67="","",TODAY())</f>
        <v/>
      </c>
      <c r="E67" s="526" t="n"/>
      <c r="F67" s="378" t="n"/>
      <c r="G67" s="532" t="n"/>
      <c r="H67" s="533" t="n"/>
      <c r="I67" s="529">
        <f>IF(E67="","",E67+(E67*H67/100*G67))</f>
        <v/>
      </c>
      <c r="J67" s="534">
        <f>IFERROR(I67/G67,"")</f>
        <v/>
      </c>
      <c r="K67" s="535">
        <f>IF(B67="","Pending",IF(M67="","⚠️ Enter Code",IF(IFERROR(VLOOKUP(L67,DB_Agents!$B:$I,8,0),"")=M67,"Pending","🔒 BLOCKED — Wrong Code")))</f>
        <v/>
      </c>
      <c r="L67" s="380" t="inlineStr">
        <is>
          <t>Agent 03</t>
        </is>
      </c>
      <c r="M67" s="491" t="n"/>
      <c r="N67" s="494" t="n"/>
    </row>
    <row r="68" ht="15" customHeight="1" s="341">
      <c r="A68" s="499">
        <f>IF(B68="","",IF(C68="❌ Account Not Found","INVALID","LN"&amp;TEXT(D68,"YYYYMMDD")&amp;TEXT(ROW()-13,"0000")))</f>
        <v/>
      </c>
      <c r="B68" s="495" t="n"/>
      <c r="C68" s="382">
        <f>IF(B68="","",IFERROR(VLOOKUP(B68,DB_Customers!$A:$D,4,0),"❌ Account Not Found"))</f>
        <v/>
      </c>
      <c r="D68" s="497">
        <f>IF(B68="","",TODAY())</f>
        <v/>
      </c>
      <c r="E68" s="526" t="n"/>
      <c r="F68" s="382" t="n"/>
      <c r="G68" s="527" t="n"/>
      <c r="H68" s="528" t="n"/>
      <c r="I68" s="529">
        <f>IF(E68="","",E68+(E68*H68/100*G68))</f>
        <v/>
      </c>
      <c r="J68" s="530">
        <f>IFERROR(I68/G68,"")</f>
        <v/>
      </c>
      <c r="K68" s="531">
        <f>IF(B68="","Pending",IF(M68="","⚠️ Enter Code",IF(IFERROR(VLOOKUP(L68,DB_Agents!$B:$I,8,0),"")=M68,"Pending","🔒 BLOCKED — Wrong Code")))</f>
        <v/>
      </c>
      <c r="L68" s="384" t="inlineStr">
        <is>
          <t>Agent 03</t>
        </is>
      </c>
      <c r="M68" s="491" t="n"/>
      <c r="N68" s="501" t="n"/>
    </row>
    <row r="69" ht="15" customHeight="1" s="341">
      <c r="A69" s="492">
        <f>IF(B69="","",IF(C69="❌ Account Not Found","INVALID","LN"&amp;TEXT(D69,"YYYYMMDD")&amp;TEXT(ROW()-13,"0000")))</f>
        <v/>
      </c>
      <c r="B69" s="486" t="n"/>
      <c r="C69" s="378">
        <f>IF(B69="","",IFERROR(VLOOKUP(B69,DB_Customers!$A:$D,4,0),"❌ Account Not Found"))</f>
        <v/>
      </c>
      <c r="D69" s="488">
        <f>IF(B69="","",TODAY())</f>
        <v/>
      </c>
      <c r="E69" s="526" t="n"/>
      <c r="F69" s="378" t="n"/>
      <c r="G69" s="532" t="n"/>
      <c r="H69" s="533" t="n"/>
      <c r="I69" s="529">
        <f>IF(E69="","",E69+(E69*H69/100*G69))</f>
        <v/>
      </c>
      <c r="J69" s="534">
        <f>IFERROR(I69/G69,"")</f>
        <v/>
      </c>
      <c r="K69" s="535">
        <f>IF(B69="","Pending",IF(M69="","⚠️ Enter Code",IF(IFERROR(VLOOKUP(L69,DB_Agents!$B:$I,8,0),"")=M69,"Pending","🔒 BLOCKED — Wrong Code")))</f>
        <v/>
      </c>
      <c r="L69" s="380" t="inlineStr">
        <is>
          <t>Agent 03</t>
        </is>
      </c>
      <c r="M69" s="491" t="n"/>
      <c r="N69" s="494" t="n"/>
    </row>
    <row r="70" ht="15" customHeight="1" s="341">
      <c r="A70" s="499">
        <f>IF(B70="","",IF(C70="❌ Account Not Found","INVALID","LN"&amp;TEXT(D70,"YYYYMMDD")&amp;TEXT(ROW()-13,"0000")))</f>
        <v/>
      </c>
      <c r="B70" s="495" t="n"/>
      <c r="C70" s="382">
        <f>IF(B70="","",IFERROR(VLOOKUP(B70,DB_Customers!$A:$D,4,0),"❌ Account Not Found"))</f>
        <v/>
      </c>
      <c r="D70" s="497">
        <f>IF(B70="","",TODAY())</f>
        <v/>
      </c>
      <c r="E70" s="526" t="n"/>
      <c r="F70" s="382" t="n"/>
      <c r="G70" s="527" t="n"/>
      <c r="H70" s="528" t="n"/>
      <c r="I70" s="529">
        <f>IF(E70="","",E70+(E70*H70/100*G70))</f>
        <v/>
      </c>
      <c r="J70" s="530">
        <f>IFERROR(I70/G70,"")</f>
        <v/>
      </c>
      <c r="K70" s="531">
        <f>IF(B70="","Pending",IF(M70="","⚠️ Enter Code",IF(IFERROR(VLOOKUP(L70,DB_Agents!$B:$I,8,0),"")=M70,"Pending","🔒 BLOCKED — Wrong Code")))</f>
        <v/>
      </c>
      <c r="L70" s="384" t="inlineStr">
        <is>
          <t>Agent 03</t>
        </is>
      </c>
      <c r="M70" s="491" t="n"/>
      <c r="N70" s="501" t="n"/>
    </row>
    <row r="71" ht="15" customHeight="1" s="341">
      <c r="A71" s="492">
        <f>IF(B71="","",IF(C71="❌ Account Not Found","INVALID","LN"&amp;TEXT(D71,"YYYYMMDD")&amp;TEXT(ROW()-13,"0000")))</f>
        <v/>
      </c>
      <c r="B71" s="486" t="n"/>
      <c r="C71" s="378">
        <f>IF(B71="","",IFERROR(VLOOKUP(B71,DB_Customers!$A:$D,4,0),"❌ Account Not Found"))</f>
        <v/>
      </c>
      <c r="D71" s="488">
        <f>IF(B71="","",TODAY())</f>
        <v/>
      </c>
      <c r="E71" s="526" t="n"/>
      <c r="F71" s="378" t="n"/>
      <c r="G71" s="532" t="n"/>
      <c r="H71" s="533" t="n"/>
      <c r="I71" s="529">
        <f>IF(E71="","",E71+(E71*H71/100*G71))</f>
        <v/>
      </c>
      <c r="J71" s="534">
        <f>IFERROR(I71/G71,"")</f>
        <v/>
      </c>
      <c r="K71" s="535">
        <f>IF(B71="","Pending",IF(M71="","⚠️ Enter Code",IF(IFERROR(VLOOKUP(L71,DB_Agents!$B:$I,8,0),"")=M71,"Pending","🔒 BLOCKED — Wrong Code")))</f>
        <v/>
      </c>
      <c r="L71" s="380" t="inlineStr">
        <is>
          <t>Agent 03</t>
        </is>
      </c>
      <c r="M71" s="491" t="n"/>
      <c r="N71" s="494" t="n"/>
    </row>
    <row r="72" ht="15" customHeight="1" s="341">
      <c r="A72" s="499">
        <f>IF(B72="","",IF(C72="❌ Account Not Found","INVALID","LN"&amp;TEXT(D72,"YYYYMMDD")&amp;TEXT(ROW()-13,"0000")))</f>
        <v/>
      </c>
      <c r="B72" s="495" t="n"/>
      <c r="C72" s="382">
        <f>IF(B72="","",IFERROR(VLOOKUP(B72,DB_Customers!$A:$D,4,0),"❌ Account Not Found"))</f>
        <v/>
      </c>
      <c r="D72" s="497">
        <f>IF(B72="","",TODAY())</f>
        <v/>
      </c>
      <c r="E72" s="526" t="n"/>
      <c r="F72" s="382" t="n"/>
      <c r="G72" s="527" t="n"/>
      <c r="H72" s="528" t="n"/>
      <c r="I72" s="529">
        <f>IF(E72="","",E72+(E72*H72/100*G72))</f>
        <v/>
      </c>
      <c r="J72" s="530">
        <f>IFERROR(I72/G72,"")</f>
        <v/>
      </c>
      <c r="K72" s="531">
        <f>IF(B72="","Pending",IF(M72="","⚠️ Enter Code",IF(IFERROR(VLOOKUP(L72,DB_Agents!$B:$I,8,0),"")=M72,"Pending","🔒 BLOCKED — Wrong Code")))</f>
        <v/>
      </c>
      <c r="L72" s="384" t="inlineStr">
        <is>
          <t>Agent 03</t>
        </is>
      </c>
      <c r="M72" s="491" t="n"/>
      <c r="N72" s="501" t="n"/>
    </row>
    <row r="73" ht="15" customHeight="1" s="341">
      <c r="A73" s="492">
        <f>IF(B73="","",IF(C73="❌ Account Not Found","INVALID","LN"&amp;TEXT(D73,"YYYYMMDD")&amp;TEXT(ROW()-13,"0000")))</f>
        <v/>
      </c>
      <c r="B73" s="486" t="n"/>
      <c r="C73" s="378">
        <f>IF(B73="","",IFERROR(VLOOKUP(B73,DB_Customers!$A:$D,4,0),"❌ Account Not Found"))</f>
        <v/>
      </c>
      <c r="D73" s="488">
        <f>IF(B73="","",TODAY())</f>
        <v/>
      </c>
      <c r="E73" s="526" t="n"/>
      <c r="F73" s="378" t="n"/>
      <c r="G73" s="532" t="n"/>
      <c r="H73" s="533" t="n"/>
      <c r="I73" s="529">
        <f>IF(E73="","",E73+(E73*H73/100*G73))</f>
        <v/>
      </c>
      <c r="J73" s="534">
        <f>IFERROR(I73/G73,"")</f>
        <v/>
      </c>
      <c r="K73" s="535">
        <f>IF(B73="","Pending",IF(M73="","⚠️ Enter Code",IF(IFERROR(VLOOKUP(L73,DB_Agents!$B:$I,8,0),"")=M73,"Pending","🔒 BLOCKED — Wrong Code")))</f>
        <v/>
      </c>
      <c r="L73" s="380" t="inlineStr">
        <is>
          <t>Agent 03</t>
        </is>
      </c>
      <c r="M73" s="491" t="n"/>
      <c r="N73" s="494" t="n"/>
    </row>
    <row r="74" ht="15" customHeight="1" s="341">
      <c r="A74" s="499">
        <f>IF(B74="","",IF(C74="❌ Account Not Found","INVALID","LN"&amp;TEXT(D74,"YYYYMMDD")&amp;TEXT(ROW()-13,"0000")))</f>
        <v/>
      </c>
      <c r="B74" s="495" t="n"/>
      <c r="C74" s="382">
        <f>IF(B74="","",IFERROR(VLOOKUP(B74,DB_Customers!$A:$D,4,0),"❌ Account Not Found"))</f>
        <v/>
      </c>
      <c r="D74" s="497">
        <f>IF(B74="","",TODAY())</f>
        <v/>
      </c>
      <c r="E74" s="526" t="n"/>
      <c r="F74" s="382" t="n"/>
      <c r="G74" s="527" t="n"/>
      <c r="H74" s="528" t="n"/>
      <c r="I74" s="529">
        <f>IF(E74="","",E74+(E74*H74/100*G74))</f>
        <v/>
      </c>
      <c r="J74" s="530">
        <f>IFERROR(I74/G74,"")</f>
        <v/>
      </c>
      <c r="K74" s="531">
        <f>IF(B74="","Pending",IF(M74="","⚠️ Enter Code",IF(IFERROR(VLOOKUP(L74,DB_Agents!$B:$I,8,0),"")=M74,"Pending","🔒 BLOCKED — Wrong Code")))</f>
        <v/>
      </c>
      <c r="L74" s="384" t="inlineStr">
        <is>
          <t>Agent 03</t>
        </is>
      </c>
      <c r="M74" s="491" t="n"/>
      <c r="N74" s="501" t="n"/>
    </row>
    <row r="75" ht="15" customHeight="1" s="341">
      <c r="A75" s="492">
        <f>IF(B75="","",IF(C75="❌ Account Not Found","INVALID","LN"&amp;TEXT(D75,"YYYYMMDD")&amp;TEXT(ROW()-13,"0000")))</f>
        <v/>
      </c>
      <c r="B75" s="486" t="n"/>
      <c r="C75" s="378">
        <f>IF(B75="","",IFERROR(VLOOKUP(B75,DB_Customers!$A:$D,4,0),"❌ Account Not Found"))</f>
        <v/>
      </c>
      <c r="D75" s="488">
        <f>IF(B75="","",TODAY())</f>
        <v/>
      </c>
      <c r="E75" s="526" t="n"/>
      <c r="F75" s="378" t="n"/>
      <c r="G75" s="532" t="n"/>
      <c r="H75" s="533" t="n"/>
      <c r="I75" s="529">
        <f>IF(E75="","",E75+(E75*H75/100*G75))</f>
        <v/>
      </c>
      <c r="J75" s="534">
        <f>IFERROR(I75/G75,"")</f>
        <v/>
      </c>
      <c r="K75" s="535">
        <f>IF(B75="","Pending",IF(M75="","⚠️ Enter Code",IF(IFERROR(VLOOKUP(L75,DB_Agents!$B:$I,8,0),"")=M75,"Pending","🔒 BLOCKED — Wrong Code")))</f>
        <v/>
      </c>
      <c r="L75" s="380" t="inlineStr">
        <is>
          <t>Agent 03</t>
        </is>
      </c>
      <c r="M75" s="491" t="n"/>
      <c r="N75" s="494" t="n"/>
    </row>
    <row r="76" ht="15" customHeight="1" s="341">
      <c r="A76" s="499">
        <f>IF(B76="","",IF(C76="❌ Account Not Found","INVALID","LN"&amp;TEXT(D76,"YYYYMMDD")&amp;TEXT(ROW()-13,"0000")))</f>
        <v/>
      </c>
      <c r="B76" s="495" t="n"/>
      <c r="C76" s="382">
        <f>IF(B76="","",IFERROR(VLOOKUP(B76,DB_Customers!$A:$D,4,0),"❌ Account Not Found"))</f>
        <v/>
      </c>
      <c r="D76" s="497">
        <f>IF(B76="","",TODAY())</f>
        <v/>
      </c>
      <c r="E76" s="526" t="n"/>
      <c r="F76" s="382" t="n"/>
      <c r="G76" s="527" t="n"/>
      <c r="H76" s="528" t="n"/>
      <c r="I76" s="529">
        <f>IF(E76="","",E76+(E76*H76/100*G76))</f>
        <v/>
      </c>
      <c r="J76" s="530">
        <f>IFERROR(I76/G76,"")</f>
        <v/>
      </c>
      <c r="K76" s="531">
        <f>IF(B76="","Pending",IF(M76="","⚠️ Enter Code",IF(IFERROR(VLOOKUP(L76,DB_Agents!$B:$I,8,0),"")=M76,"Pending","🔒 BLOCKED — Wrong Code")))</f>
        <v/>
      </c>
      <c r="L76" s="384" t="inlineStr">
        <is>
          <t>Agent 03</t>
        </is>
      </c>
      <c r="M76" s="491" t="n"/>
      <c r="N76" s="501" t="n"/>
    </row>
    <row r="77" ht="15" customHeight="1" s="341">
      <c r="A77" s="492">
        <f>IF(B77="","",IF(C77="❌ Account Not Found","INVALID","LN"&amp;TEXT(D77,"YYYYMMDD")&amp;TEXT(ROW()-13,"0000")))</f>
        <v/>
      </c>
      <c r="B77" s="486" t="n"/>
      <c r="C77" s="378">
        <f>IF(B77="","",IFERROR(VLOOKUP(B77,DB_Customers!$A:$D,4,0),"❌ Account Not Found"))</f>
        <v/>
      </c>
      <c r="D77" s="488">
        <f>IF(B77="","",TODAY())</f>
        <v/>
      </c>
      <c r="E77" s="526" t="n"/>
      <c r="F77" s="378" t="n"/>
      <c r="G77" s="532" t="n"/>
      <c r="H77" s="533" t="n"/>
      <c r="I77" s="529">
        <f>IF(E77="","",E77+(E77*H77/100*G77))</f>
        <v/>
      </c>
      <c r="J77" s="534">
        <f>IFERROR(I77/G77,"")</f>
        <v/>
      </c>
      <c r="K77" s="535">
        <f>IF(B77="","Pending",IF(M77="","⚠️ Enter Code",IF(IFERROR(VLOOKUP(L77,DB_Agents!$B:$I,8,0),"")=M77,"Pending","🔒 BLOCKED — Wrong Code")))</f>
        <v/>
      </c>
      <c r="L77" s="380" t="inlineStr">
        <is>
          <t>Agent 03</t>
        </is>
      </c>
      <c r="M77" s="491" t="n"/>
      <c r="N77" s="494" t="n"/>
    </row>
    <row r="78" ht="15" customHeight="1" s="341">
      <c r="A78" s="499">
        <f>IF(B78="","",IF(C78="❌ Account Not Found","INVALID","LN"&amp;TEXT(D78,"YYYYMMDD")&amp;TEXT(ROW()-13,"0000")))</f>
        <v/>
      </c>
      <c r="B78" s="495" t="n"/>
      <c r="C78" s="382">
        <f>IF(B78="","",IFERROR(VLOOKUP(B78,DB_Customers!$A:$D,4,0),"❌ Account Not Found"))</f>
        <v/>
      </c>
      <c r="D78" s="497">
        <f>IF(B78="","",TODAY())</f>
        <v/>
      </c>
      <c r="E78" s="526" t="n"/>
      <c r="F78" s="382" t="n"/>
      <c r="G78" s="527" t="n"/>
      <c r="H78" s="528" t="n"/>
      <c r="I78" s="529">
        <f>IF(E78="","",E78+(E78*H78/100*G78))</f>
        <v/>
      </c>
      <c r="J78" s="530">
        <f>IFERROR(I78/G78,"")</f>
        <v/>
      </c>
      <c r="K78" s="531">
        <f>IF(B78="","Pending",IF(M78="","⚠️ Enter Code",IF(IFERROR(VLOOKUP(L78,DB_Agents!$B:$I,8,0),"")=M78,"Pending","🔒 BLOCKED — Wrong Code")))</f>
        <v/>
      </c>
      <c r="L78" s="384" t="inlineStr">
        <is>
          <t>Agent 03</t>
        </is>
      </c>
      <c r="M78" s="491" t="n"/>
      <c r="N78" s="501" t="n"/>
    </row>
    <row r="79" ht="15" customHeight="1" s="341">
      <c r="A79" s="492">
        <f>IF(B79="","",IF(C79="❌ Account Not Found","INVALID","LN"&amp;TEXT(D79,"YYYYMMDD")&amp;TEXT(ROW()-13,"0000")))</f>
        <v/>
      </c>
      <c r="B79" s="486" t="n"/>
      <c r="C79" s="378">
        <f>IF(B79="","",IFERROR(VLOOKUP(B79,DB_Customers!$A:$D,4,0),"❌ Account Not Found"))</f>
        <v/>
      </c>
      <c r="D79" s="488">
        <f>IF(B79="","",TODAY())</f>
        <v/>
      </c>
      <c r="E79" s="526" t="n"/>
      <c r="F79" s="378" t="n"/>
      <c r="G79" s="532" t="n"/>
      <c r="H79" s="533" t="n"/>
      <c r="I79" s="529">
        <f>IF(E79="","",E79+(E79*H79/100*G79))</f>
        <v/>
      </c>
      <c r="J79" s="534">
        <f>IFERROR(I79/G79,"")</f>
        <v/>
      </c>
      <c r="K79" s="535">
        <f>IF(B79="","Pending",IF(M79="","⚠️ Enter Code",IF(IFERROR(VLOOKUP(L79,DB_Agents!$B:$I,8,0),"")=M79,"Pending","🔒 BLOCKED — Wrong Code")))</f>
        <v/>
      </c>
      <c r="L79" s="380" t="inlineStr">
        <is>
          <t>Agent 03</t>
        </is>
      </c>
      <c r="M79" s="491" t="n"/>
      <c r="N79" s="494" t="n"/>
    </row>
    <row r="80" ht="15" customHeight="1" s="341">
      <c r="A80" s="499">
        <f>IF(B80="","",IF(C80="❌ Account Not Found","INVALID","LN"&amp;TEXT(D80,"YYYYMMDD")&amp;TEXT(ROW()-13,"0000")))</f>
        <v/>
      </c>
      <c r="B80" s="495" t="n"/>
      <c r="C80" s="382">
        <f>IF(B80="","",IFERROR(VLOOKUP(B80,DB_Customers!$A:$D,4,0),"❌ Account Not Found"))</f>
        <v/>
      </c>
      <c r="D80" s="497">
        <f>IF(B80="","",TODAY())</f>
        <v/>
      </c>
      <c r="E80" s="526" t="n"/>
      <c r="F80" s="382" t="n"/>
      <c r="G80" s="527" t="n"/>
      <c r="H80" s="528" t="n"/>
      <c r="I80" s="529">
        <f>IF(E80="","",E80+(E80*H80/100*G80))</f>
        <v/>
      </c>
      <c r="J80" s="530">
        <f>IFERROR(I80/G80,"")</f>
        <v/>
      </c>
      <c r="K80" s="531">
        <f>IF(B80="","Pending",IF(M80="","⚠️ Enter Code",IF(IFERROR(VLOOKUP(L80,DB_Agents!$B:$I,8,0),"")=M80,"Pending","🔒 BLOCKED — Wrong Code")))</f>
        <v/>
      </c>
      <c r="L80" s="384" t="inlineStr">
        <is>
          <t>Agent 03</t>
        </is>
      </c>
      <c r="M80" s="491" t="n"/>
      <c r="N80" s="501" t="n"/>
    </row>
    <row r="81" ht="15" customHeight="1" s="341">
      <c r="A81" s="492">
        <f>IF(B81="","",IF(C81="❌ Account Not Found","INVALID","LN"&amp;TEXT(D81,"YYYYMMDD")&amp;TEXT(ROW()-13,"0000")))</f>
        <v/>
      </c>
      <c r="B81" s="486" t="n"/>
      <c r="C81" s="378">
        <f>IF(B81="","",IFERROR(VLOOKUP(B81,DB_Customers!$A:$D,4,0),"❌ Account Not Found"))</f>
        <v/>
      </c>
      <c r="D81" s="488">
        <f>IF(B81="","",TODAY())</f>
        <v/>
      </c>
      <c r="E81" s="526" t="n"/>
      <c r="F81" s="378" t="n"/>
      <c r="G81" s="532" t="n"/>
      <c r="H81" s="533" t="n"/>
      <c r="I81" s="529">
        <f>IF(E81="","",E81+(E81*H81/100*G81))</f>
        <v/>
      </c>
      <c r="J81" s="534">
        <f>IFERROR(I81/G81,"")</f>
        <v/>
      </c>
      <c r="K81" s="535">
        <f>IF(B81="","Pending",IF(M81="","⚠️ Enter Code",IF(IFERROR(VLOOKUP(L81,DB_Agents!$B:$I,8,0),"")=M81,"Pending","🔒 BLOCKED — Wrong Code")))</f>
        <v/>
      </c>
      <c r="L81" s="380" t="inlineStr">
        <is>
          <t>Agent 03</t>
        </is>
      </c>
      <c r="M81" s="491" t="n"/>
      <c r="N81" s="494" t="n"/>
    </row>
    <row r="82" ht="15" customHeight="1" s="341">
      <c r="A82" s="499">
        <f>IF(B82="","",IF(C82="❌ Account Not Found","INVALID","LN"&amp;TEXT(D82,"YYYYMMDD")&amp;TEXT(ROW()-13,"0000")))</f>
        <v/>
      </c>
      <c r="B82" s="495" t="n"/>
      <c r="C82" s="382">
        <f>IF(B82="","",IFERROR(VLOOKUP(B82,DB_Customers!$A:$D,4,0),"❌ Account Not Found"))</f>
        <v/>
      </c>
      <c r="D82" s="497">
        <f>IF(B82="","",TODAY())</f>
        <v/>
      </c>
      <c r="E82" s="526" t="n"/>
      <c r="F82" s="382" t="n"/>
      <c r="G82" s="527" t="n"/>
      <c r="H82" s="528" t="n"/>
      <c r="I82" s="529">
        <f>IF(E82="","",E82+(E82*H82/100*G82))</f>
        <v/>
      </c>
      <c r="J82" s="530">
        <f>IFERROR(I82/G82,"")</f>
        <v/>
      </c>
      <c r="K82" s="531">
        <f>IF(B82="","Pending",IF(M82="","⚠️ Enter Code",IF(IFERROR(VLOOKUP(L82,DB_Agents!$B:$I,8,0),"")=M82,"Pending","🔒 BLOCKED — Wrong Code")))</f>
        <v/>
      </c>
      <c r="L82" s="384" t="inlineStr">
        <is>
          <t>Agent 03</t>
        </is>
      </c>
      <c r="M82" s="491" t="n"/>
      <c r="N82" s="501" t="n"/>
    </row>
    <row r="83" ht="15" customHeight="1" s="341">
      <c r="A83" s="492">
        <f>IF(B83="","",IF(C83="❌ Account Not Found","INVALID","LN"&amp;TEXT(D83,"YYYYMMDD")&amp;TEXT(ROW()-13,"0000")))</f>
        <v/>
      </c>
      <c r="B83" s="486" t="n"/>
      <c r="C83" s="378">
        <f>IF(B83="","",IFERROR(VLOOKUP(B83,DB_Customers!$A:$D,4,0),"❌ Account Not Found"))</f>
        <v/>
      </c>
      <c r="D83" s="488">
        <f>IF(B83="","",TODAY())</f>
        <v/>
      </c>
      <c r="E83" s="526" t="n"/>
      <c r="F83" s="378" t="n"/>
      <c r="G83" s="532" t="n"/>
      <c r="H83" s="533" t="n"/>
      <c r="I83" s="529">
        <f>IF(E83="","",E83+(E83*H83/100*G83))</f>
        <v/>
      </c>
      <c r="J83" s="534">
        <f>IFERROR(I83/G83,"")</f>
        <v/>
      </c>
      <c r="K83" s="535">
        <f>IF(B83="","Pending",IF(M83="","⚠️ Enter Code",IF(IFERROR(VLOOKUP(L83,DB_Agents!$B:$I,8,0),"")=M83,"Pending","🔒 BLOCKED — Wrong Code")))</f>
        <v/>
      </c>
      <c r="L83" s="380" t="inlineStr">
        <is>
          <t>Agent 03</t>
        </is>
      </c>
      <c r="M83" s="491" t="n"/>
      <c r="N83" s="494" t="n"/>
    </row>
    <row r="84" ht="15" customHeight="1" s="341">
      <c r="A84" s="499">
        <f>IF(B84="","",IF(C84="❌ Account Not Found","INVALID","LN"&amp;TEXT(D84,"YYYYMMDD")&amp;TEXT(ROW()-13,"0000")))</f>
        <v/>
      </c>
      <c r="B84" s="495" t="n"/>
      <c r="C84" s="382">
        <f>IF(B84="","",IFERROR(VLOOKUP(B84,DB_Customers!$A:$D,4,0),"❌ Account Not Found"))</f>
        <v/>
      </c>
      <c r="D84" s="497">
        <f>IF(B84="","",TODAY())</f>
        <v/>
      </c>
      <c r="E84" s="526" t="n"/>
      <c r="F84" s="382" t="n"/>
      <c r="G84" s="527" t="n"/>
      <c r="H84" s="528" t="n"/>
      <c r="I84" s="529">
        <f>IF(E84="","",E84+(E84*H84/100*G84))</f>
        <v/>
      </c>
      <c r="J84" s="530">
        <f>IFERROR(I84/G84,"")</f>
        <v/>
      </c>
      <c r="K84" s="531">
        <f>IF(B84="","Pending",IF(M84="","⚠️ Enter Code",IF(IFERROR(VLOOKUP(L84,DB_Agents!$B:$I,8,0),"")=M84,"Pending","🔒 BLOCKED — Wrong Code")))</f>
        <v/>
      </c>
      <c r="L84" s="384" t="inlineStr">
        <is>
          <t>Agent 03</t>
        </is>
      </c>
      <c r="M84" s="491" t="n"/>
      <c r="N84" s="501" t="n"/>
    </row>
    <row r="85" ht="15" customHeight="1" s="341">
      <c r="A85" s="492">
        <f>IF(B85="","",IF(C85="❌ Account Not Found","INVALID","LN"&amp;TEXT(D85,"YYYYMMDD")&amp;TEXT(ROW()-13,"0000")))</f>
        <v/>
      </c>
      <c r="B85" s="486" t="n"/>
      <c r="C85" s="378">
        <f>IF(B85="","",IFERROR(VLOOKUP(B85,DB_Customers!$A:$D,4,0),"❌ Account Not Found"))</f>
        <v/>
      </c>
      <c r="D85" s="488">
        <f>IF(B85="","",TODAY())</f>
        <v/>
      </c>
      <c r="E85" s="526" t="n"/>
      <c r="F85" s="378" t="n"/>
      <c r="G85" s="532" t="n"/>
      <c r="H85" s="533" t="n"/>
      <c r="I85" s="529">
        <f>IF(E85="","",E85+(E85*H85/100*G85))</f>
        <v/>
      </c>
      <c r="J85" s="534">
        <f>IFERROR(I85/G85,"")</f>
        <v/>
      </c>
      <c r="K85" s="535">
        <f>IF(B85="","Pending",IF(M85="","⚠️ Enter Code",IF(IFERROR(VLOOKUP(L85,DB_Agents!$B:$I,8,0),"")=M85,"Pending","🔒 BLOCKED — Wrong Code")))</f>
        <v/>
      </c>
      <c r="L85" s="380" t="inlineStr">
        <is>
          <t>Agent 03</t>
        </is>
      </c>
      <c r="M85" s="491" t="n"/>
      <c r="N85" s="494" t="n"/>
    </row>
    <row r="86" ht="15" customHeight="1" s="341">
      <c r="A86" s="499">
        <f>IF(B86="","",IF(C86="❌ Account Not Found","INVALID","LN"&amp;TEXT(D86,"YYYYMMDD")&amp;TEXT(ROW()-13,"0000")))</f>
        <v/>
      </c>
      <c r="B86" s="495" t="n"/>
      <c r="C86" s="382">
        <f>IF(B86="","",IFERROR(VLOOKUP(B86,DB_Customers!$A:$D,4,0),"❌ Account Not Found"))</f>
        <v/>
      </c>
      <c r="D86" s="497">
        <f>IF(B86="","",TODAY())</f>
        <v/>
      </c>
      <c r="E86" s="526" t="n"/>
      <c r="F86" s="382" t="n"/>
      <c r="G86" s="527" t="n"/>
      <c r="H86" s="528" t="n"/>
      <c r="I86" s="529">
        <f>IF(E86="","",E86+(E86*H86/100*G86))</f>
        <v/>
      </c>
      <c r="J86" s="530">
        <f>IFERROR(I86/G86,"")</f>
        <v/>
      </c>
      <c r="K86" s="531">
        <f>IF(B86="","Pending",IF(M86="","⚠️ Enter Code",IF(IFERROR(VLOOKUP(L86,DB_Agents!$B:$I,8,0),"")=M86,"Pending","🔒 BLOCKED — Wrong Code")))</f>
        <v/>
      </c>
      <c r="L86" s="384" t="inlineStr">
        <is>
          <t>Agent 03</t>
        </is>
      </c>
      <c r="M86" s="491" t="n"/>
      <c r="N86" s="501" t="n"/>
    </row>
    <row r="87" ht="15" customHeight="1" s="341">
      <c r="A87" s="492">
        <f>IF(B87="","",IF(C87="❌ Account Not Found","INVALID","LN"&amp;TEXT(D87,"YYYYMMDD")&amp;TEXT(ROW()-13,"0000")))</f>
        <v/>
      </c>
      <c r="B87" s="486" t="n"/>
      <c r="C87" s="378">
        <f>IF(B87="","",IFERROR(VLOOKUP(B87,DB_Customers!$A:$D,4,0),"❌ Account Not Found"))</f>
        <v/>
      </c>
      <c r="D87" s="488">
        <f>IF(B87="","",TODAY())</f>
        <v/>
      </c>
      <c r="E87" s="526" t="n"/>
      <c r="F87" s="378" t="n"/>
      <c r="G87" s="532" t="n"/>
      <c r="H87" s="533" t="n"/>
      <c r="I87" s="529">
        <f>IF(E87="","",E87+(E87*H87/100*G87))</f>
        <v/>
      </c>
      <c r="J87" s="534">
        <f>IFERROR(I87/G87,"")</f>
        <v/>
      </c>
      <c r="K87" s="535">
        <f>IF(B87="","Pending",IF(M87="","⚠️ Enter Code",IF(IFERROR(VLOOKUP(L87,DB_Agents!$B:$I,8,0),"")=M87,"Pending","🔒 BLOCKED — Wrong Code")))</f>
        <v/>
      </c>
      <c r="L87" s="380" t="inlineStr">
        <is>
          <t>Agent 03</t>
        </is>
      </c>
      <c r="M87" s="491" t="n"/>
      <c r="N87" s="494" t="n"/>
    </row>
    <row r="88" ht="15" customHeight="1" s="341">
      <c r="A88" s="499">
        <f>IF(B88="","",IF(C88="❌ Account Not Found","INVALID","LN"&amp;TEXT(D88,"YYYYMMDD")&amp;TEXT(ROW()-13,"0000")))</f>
        <v/>
      </c>
      <c r="B88" s="495" t="n"/>
      <c r="C88" s="382">
        <f>IF(B88="","",IFERROR(VLOOKUP(B88,DB_Customers!$A:$D,4,0),"❌ Account Not Found"))</f>
        <v/>
      </c>
      <c r="D88" s="497">
        <f>IF(B88="","",TODAY())</f>
        <v/>
      </c>
      <c r="E88" s="526" t="n"/>
      <c r="F88" s="382" t="n"/>
      <c r="G88" s="527" t="n"/>
      <c r="H88" s="528" t="n"/>
      <c r="I88" s="529">
        <f>IF(E88="","",E88+(E88*H88/100*G88))</f>
        <v/>
      </c>
      <c r="J88" s="530">
        <f>IFERROR(I88/G88,"")</f>
        <v/>
      </c>
      <c r="K88" s="531">
        <f>IF(B88="","Pending",IF(M88="","⚠️ Enter Code",IF(IFERROR(VLOOKUP(L88,DB_Agents!$B:$I,8,0),"")=M88,"Pending","🔒 BLOCKED — Wrong Code")))</f>
        <v/>
      </c>
      <c r="L88" s="384" t="inlineStr">
        <is>
          <t>Agent 03</t>
        </is>
      </c>
      <c r="M88" s="491" t="n"/>
      <c r="N88" s="501" t="n"/>
    </row>
    <row r="89" ht="15" customHeight="1" s="341">
      <c r="A89" s="492">
        <f>IF(B89="","",IF(C89="❌ Account Not Found","INVALID","LN"&amp;TEXT(D89,"YYYYMMDD")&amp;TEXT(ROW()-13,"0000")))</f>
        <v/>
      </c>
      <c r="B89" s="486" t="n"/>
      <c r="C89" s="378">
        <f>IF(B89="","",IFERROR(VLOOKUP(B89,DB_Customers!$A:$D,4,0),"❌ Account Not Found"))</f>
        <v/>
      </c>
      <c r="D89" s="488">
        <f>IF(B89="","",TODAY())</f>
        <v/>
      </c>
      <c r="E89" s="526" t="n"/>
      <c r="F89" s="378" t="n"/>
      <c r="G89" s="532" t="n"/>
      <c r="H89" s="533" t="n"/>
      <c r="I89" s="529">
        <f>IF(E89="","",E89+(E89*H89/100*G89))</f>
        <v/>
      </c>
      <c r="J89" s="534">
        <f>IFERROR(I89/G89,"")</f>
        <v/>
      </c>
      <c r="K89" s="535">
        <f>IF(B89="","Pending",IF(M89="","⚠️ Enter Code",IF(IFERROR(VLOOKUP(L89,DB_Agents!$B:$I,8,0),"")=M89,"Pending","🔒 BLOCKED — Wrong Code")))</f>
        <v/>
      </c>
      <c r="L89" s="380" t="inlineStr">
        <is>
          <t>Agent 03</t>
        </is>
      </c>
      <c r="M89" s="491" t="n"/>
      <c r="N89" s="494" t="n"/>
    </row>
    <row r="90" ht="15" customHeight="1" s="341">
      <c r="A90" s="499">
        <f>IF(B90="","",IF(C90="❌ Account Not Found","INVALID","LN"&amp;TEXT(D90,"YYYYMMDD")&amp;TEXT(ROW()-13,"0000")))</f>
        <v/>
      </c>
      <c r="B90" s="495" t="n"/>
      <c r="C90" s="382">
        <f>IF(B90="","",IFERROR(VLOOKUP(B90,DB_Customers!$A:$D,4,0),"❌ Account Not Found"))</f>
        <v/>
      </c>
      <c r="D90" s="497">
        <f>IF(B90="","",TODAY())</f>
        <v/>
      </c>
      <c r="E90" s="526" t="n"/>
      <c r="F90" s="382" t="n"/>
      <c r="G90" s="527" t="n"/>
      <c r="H90" s="528" t="n"/>
      <c r="I90" s="529">
        <f>IF(E90="","",E90+(E90*H90/100*G90))</f>
        <v/>
      </c>
      <c r="J90" s="530">
        <f>IFERROR(I90/G90,"")</f>
        <v/>
      </c>
      <c r="K90" s="531">
        <f>IF(B90="","Pending",IF(M90="","⚠️ Enter Code",IF(IFERROR(VLOOKUP(L90,DB_Agents!$B:$I,8,0),"")=M90,"Pending","🔒 BLOCKED — Wrong Code")))</f>
        <v/>
      </c>
      <c r="L90" s="384" t="inlineStr">
        <is>
          <t>Agent 03</t>
        </is>
      </c>
      <c r="M90" s="491" t="n"/>
      <c r="N90" s="501" t="n"/>
    </row>
    <row r="91" ht="15" customHeight="1" s="341">
      <c r="A91" s="492">
        <f>IF(B91="","",IF(C91="❌ Account Not Found","INVALID","LN"&amp;TEXT(D91,"YYYYMMDD")&amp;TEXT(ROW()-13,"0000")))</f>
        <v/>
      </c>
      <c r="B91" s="486" t="n"/>
      <c r="C91" s="378">
        <f>IF(B91="","",IFERROR(VLOOKUP(B91,DB_Customers!$A:$D,4,0),"❌ Account Not Found"))</f>
        <v/>
      </c>
      <c r="D91" s="488">
        <f>IF(B91="","",TODAY())</f>
        <v/>
      </c>
      <c r="E91" s="526" t="n"/>
      <c r="F91" s="378" t="n"/>
      <c r="G91" s="532" t="n"/>
      <c r="H91" s="533" t="n"/>
      <c r="I91" s="529">
        <f>IF(E91="","",E91+(E91*H91/100*G91))</f>
        <v/>
      </c>
      <c r="J91" s="534">
        <f>IFERROR(I91/G91,"")</f>
        <v/>
      </c>
      <c r="K91" s="535">
        <f>IF(B91="","Pending",IF(M91="","⚠️ Enter Code",IF(IFERROR(VLOOKUP(L91,DB_Agents!$B:$I,8,0),"")=M91,"Pending","🔒 BLOCKED — Wrong Code")))</f>
        <v/>
      </c>
      <c r="L91" s="380" t="inlineStr">
        <is>
          <t>Agent 03</t>
        </is>
      </c>
      <c r="M91" s="491" t="n"/>
      <c r="N91" s="494" t="n"/>
    </row>
    <row r="92" ht="15" customHeight="1" s="341">
      <c r="A92" s="499">
        <f>IF(B92="","",IF(C92="❌ Account Not Found","INVALID","LN"&amp;TEXT(D92,"YYYYMMDD")&amp;TEXT(ROW()-13,"0000")))</f>
        <v/>
      </c>
      <c r="B92" s="495" t="n"/>
      <c r="C92" s="382">
        <f>IF(B92="","",IFERROR(VLOOKUP(B92,DB_Customers!$A:$D,4,0),"❌ Account Not Found"))</f>
        <v/>
      </c>
      <c r="D92" s="497">
        <f>IF(B92="","",TODAY())</f>
        <v/>
      </c>
      <c r="E92" s="526" t="n"/>
      <c r="F92" s="382" t="n"/>
      <c r="G92" s="527" t="n"/>
      <c r="H92" s="528" t="n"/>
      <c r="I92" s="529">
        <f>IF(E92="","",E92+(E92*H92/100*G92))</f>
        <v/>
      </c>
      <c r="J92" s="530">
        <f>IFERROR(I92/G92,"")</f>
        <v/>
      </c>
      <c r="K92" s="531">
        <f>IF(B92="","Pending",IF(M92="","⚠️ Enter Code",IF(IFERROR(VLOOKUP(L92,DB_Agents!$B:$I,8,0),"")=M92,"Pending","🔒 BLOCKED — Wrong Code")))</f>
        <v/>
      </c>
      <c r="L92" s="384" t="inlineStr">
        <is>
          <t>Agent 03</t>
        </is>
      </c>
      <c r="M92" s="491" t="n"/>
      <c r="N92" s="501" t="n"/>
    </row>
    <row r="93" ht="15" customHeight="1" s="341">
      <c r="A93" s="492">
        <f>IF(B93="","",IF(C93="❌ Account Not Found","INVALID","LN"&amp;TEXT(D93,"YYYYMMDD")&amp;TEXT(ROW()-13,"0000")))</f>
        <v/>
      </c>
      <c r="B93" s="486" t="n"/>
      <c r="C93" s="378">
        <f>IF(B93="","",IFERROR(VLOOKUP(B93,DB_Customers!$A:$D,4,0),"❌ Account Not Found"))</f>
        <v/>
      </c>
      <c r="D93" s="488">
        <f>IF(B93="","",TODAY())</f>
        <v/>
      </c>
      <c r="E93" s="526" t="n"/>
      <c r="F93" s="378" t="n"/>
      <c r="G93" s="532" t="n"/>
      <c r="H93" s="533" t="n"/>
      <c r="I93" s="529">
        <f>IF(E93="","",E93+(E93*H93/100*G93))</f>
        <v/>
      </c>
      <c r="J93" s="534">
        <f>IFERROR(I93/G93,"")</f>
        <v/>
      </c>
      <c r="K93" s="535">
        <f>IF(B93="","Pending",IF(M93="","⚠️ Enter Code",IF(IFERROR(VLOOKUP(L93,DB_Agents!$B:$I,8,0),"")=M93,"Pending","🔒 BLOCKED — Wrong Code")))</f>
        <v/>
      </c>
      <c r="L93" s="380" t="inlineStr">
        <is>
          <t>Agent 03</t>
        </is>
      </c>
      <c r="M93" s="491" t="n"/>
      <c r="N93" s="494" t="n"/>
    </row>
    <row r="94" ht="15" customHeight="1" s="341">
      <c r="A94" s="499">
        <f>IF(B94="","",IF(C94="❌ Account Not Found","INVALID","LN"&amp;TEXT(D94,"YYYYMMDD")&amp;TEXT(ROW()-13,"0000")))</f>
        <v/>
      </c>
      <c r="B94" s="495" t="n"/>
      <c r="C94" s="382">
        <f>IF(B94="","",IFERROR(VLOOKUP(B94,DB_Customers!$A:$D,4,0),"❌ Account Not Found"))</f>
        <v/>
      </c>
      <c r="D94" s="497">
        <f>IF(B94="","",TODAY())</f>
        <v/>
      </c>
      <c r="E94" s="526" t="n"/>
      <c r="F94" s="382" t="n"/>
      <c r="G94" s="527" t="n"/>
      <c r="H94" s="528" t="n"/>
      <c r="I94" s="529">
        <f>IF(E94="","",E94+(E94*H94/100*G94))</f>
        <v/>
      </c>
      <c r="J94" s="530">
        <f>IFERROR(I94/G94,"")</f>
        <v/>
      </c>
      <c r="K94" s="531">
        <f>IF(B94="","Pending",IF(M94="","⚠️ Enter Code",IF(IFERROR(VLOOKUP(L94,DB_Agents!$B:$I,8,0),"")=M94,"Pending","🔒 BLOCKED — Wrong Code")))</f>
        <v/>
      </c>
      <c r="L94" s="384" t="inlineStr">
        <is>
          <t>Agent 03</t>
        </is>
      </c>
      <c r="M94" s="491" t="n"/>
      <c r="N94" s="501" t="n"/>
    </row>
    <row r="95" ht="15" customHeight="1" s="341">
      <c r="A95" s="492">
        <f>IF(B95="","",IF(C95="❌ Account Not Found","INVALID","LN"&amp;TEXT(D95,"YYYYMMDD")&amp;TEXT(ROW()-13,"0000")))</f>
        <v/>
      </c>
      <c r="B95" s="486" t="n"/>
      <c r="C95" s="378">
        <f>IF(B95="","",IFERROR(VLOOKUP(B95,DB_Customers!$A:$D,4,0),"❌ Account Not Found"))</f>
        <v/>
      </c>
      <c r="D95" s="488">
        <f>IF(B95="","",TODAY())</f>
        <v/>
      </c>
      <c r="E95" s="526" t="n"/>
      <c r="F95" s="378" t="n"/>
      <c r="G95" s="532" t="n"/>
      <c r="H95" s="533" t="n"/>
      <c r="I95" s="529">
        <f>IF(E95="","",E95+(E95*H95/100*G95))</f>
        <v/>
      </c>
      <c r="J95" s="534">
        <f>IFERROR(I95/G95,"")</f>
        <v/>
      </c>
      <c r="K95" s="535">
        <f>IF(B95="","Pending",IF(M95="","⚠️ Enter Code",IF(IFERROR(VLOOKUP(L95,DB_Agents!$B:$I,8,0),"")=M95,"Pending","🔒 BLOCKED — Wrong Code")))</f>
        <v/>
      </c>
      <c r="L95" s="380" t="inlineStr">
        <is>
          <t>Agent 03</t>
        </is>
      </c>
      <c r="M95" s="491" t="n"/>
      <c r="N95" s="494" t="n"/>
    </row>
    <row r="96" ht="15" customHeight="1" s="341">
      <c r="A96" s="499">
        <f>IF(B96="","",IF(C96="❌ Account Not Found","INVALID","LN"&amp;TEXT(D96,"YYYYMMDD")&amp;TEXT(ROW()-13,"0000")))</f>
        <v/>
      </c>
      <c r="B96" s="495" t="n"/>
      <c r="C96" s="382">
        <f>IF(B96="","",IFERROR(VLOOKUP(B96,DB_Customers!$A:$D,4,0),"❌ Account Not Found"))</f>
        <v/>
      </c>
      <c r="D96" s="497">
        <f>IF(B96="","",TODAY())</f>
        <v/>
      </c>
      <c r="E96" s="526" t="n"/>
      <c r="F96" s="382" t="n"/>
      <c r="G96" s="527" t="n"/>
      <c r="H96" s="528" t="n"/>
      <c r="I96" s="529">
        <f>IF(E96="","",E96+(E96*H96/100*G96))</f>
        <v/>
      </c>
      <c r="J96" s="530">
        <f>IFERROR(I96/G96,"")</f>
        <v/>
      </c>
      <c r="K96" s="531">
        <f>IF(B96="","Pending",IF(M96="","⚠️ Enter Code",IF(IFERROR(VLOOKUP(L96,DB_Agents!$B:$I,8,0),"")=M96,"Pending","🔒 BLOCKED — Wrong Code")))</f>
        <v/>
      </c>
      <c r="L96" s="384" t="inlineStr">
        <is>
          <t>Agent 03</t>
        </is>
      </c>
      <c r="M96" s="491" t="n"/>
      <c r="N96" s="501" t="n"/>
    </row>
    <row r="97" ht="15" customHeight="1" s="341">
      <c r="A97" s="492">
        <f>IF(B97="","",IF(C97="❌ Account Not Found","INVALID","LN"&amp;TEXT(D97,"YYYYMMDD")&amp;TEXT(ROW()-13,"0000")))</f>
        <v/>
      </c>
      <c r="B97" s="486" t="n"/>
      <c r="C97" s="378">
        <f>IF(B97="","",IFERROR(VLOOKUP(B97,DB_Customers!$A:$D,4,0),"❌ Account Not Found"))</f>
        <v/>
      </c>
      <c r="D97" s="488">
        <f>IF(B97="","",TODAY())</f>
        <v/>
      </c>
      <c r="E97" s="526" t="n"/>
      <c r="F97" s="378" t="n"/>
      <c r="G97" s="532" t="n"/>
      <c r="H97" s="533" t="n"/>
      <c r="I97" s="529">
        <f>IF(E97="","",E97+(E97*H97/100*G97))</f>
        <v/>
      </c>
      <c r="J97" s="534">
        <f>IFERROR(I97/G97,"")</f>
        <v/>
      </c>
      <c r="K97" s="535">
        <f>IF(B97="","Pending",IF(M97="","⚠️ Enter Code",IF(IFERROR(VLOOKUP(L97,DB_Agents!$B:$I,8,0),"")=M97,"Pending","🔒 BLOCKED — Wrong Code")))</f>
        <v/>
      </c>
      <c r="L97" s="380" t="inlineStr">
        <is>
          <t>Agent 03</t>
        </is>
      </c>
      <c r="M97" s="491" t="n"/>
      <c r="N97" s="494" t="n"/>
    </row>
    <row r="98" ht="15" customHeight="1" s="341">
      <c r="A98" s="499">
        <f>IF(B98="","",IF(C98="❌ Account Not Found","INVALID","LN"&amp;TEXT(D98,"YYYYMMDD")&amp;TEXT(ROW()-13,"0000")))</f>
        <v/>
      </c>
      <c r="B98" s="495" t="n"/>
      <c r="C98" s="382">
        <f>IF(B98="","",IFERROR(VLOOKUP(B98,DB_Customers!$A:$D,4,0),"❌ Account Not Found"))</f>
        <v/>
      </c>
      <c r="D98" s="497">
        <f>IF(B98="","",TODAY())</f>
        <v/>
      </c>
      <c r="E98" s="526" t="n"/>
      <c r="F98" s="382" t="n"/>
      <c r="G98" s="527" t="n"/>
      <c r="H98" s="528" t="n"/>
      <c r="I98" s="529">
        <f>IF(E98="","",E98+(E98*H98/100*G98))</f>
        <v/>
      </c>
      <c r="J98" s="530">
        <f>IFERROR(I98/G98,"")</f>
        <v/>
      </c>
      <c r="K98" s="531">
        <f>IF(B98="","Pending",IF(M98="","⚠️ Enter Code",IF(IFERROR(VLOOKUP(L98,DB_Agents!$B:$I,8,0),"")=M98,"Pending","🔒 BLOCKED — Wrong Code")))</f>
        <v/>
      </c>
      <c r="L98" s="384" t="inlineStr">
        <is>
          <t>Agent 03</t>
        </is>
      </c>
      <c r="M98" s="491" t="n"/>
      <c r="N98" s="501" t="n"/>
    </row>
    <row r="99" ht="15" customHeight="1" s="341">
      <c r="A99" s="492">
        <f>IF(B99="","",IF(C99="❌ Account Not Found","INVALID","LN"&amp;TEXT(D99,"YYYYMMDD")&amp;TEXT(ROW()-13,"0000")))</f>
        <v/>
      </c>
      <c r="B99" s="486" t="n"/>
      <c r="C99" s="378">
        <f>IF(B99="","",IFERROR(VLOOKUP(B99,DB_Customers!$A:$D,4,0),"❌ Account Not Found"))</f>
        <v/>
      </c>
      <c r="D99" s="488">
        <f>IF(B99="","",TODAY())</f>
        <v/>
      </c>
      <c r="E99" s="526" t="n"/>
      <c r="F99" s="378" t="n"/>
      <c r="G99" s="532" t="n"/>
      <c r="H99" s="533" t="n"/>
      <c r="I99" s="529">
        <f>IF(E99="","",E99+(E99*H99/100*G99))</f>
        <v/>
      </c>
      <c r="J99" s="534">
        <f>IFERROR(I99/G99,"")</f>
        <v/>
      </c>
      <c r="K99" s="535">
        <f>IF(B99="","Pending",IF(M99="","⚠️ Enter Code",IF(IFERROR(VLOOKUP(L99,DB_Agents!$B:$I,8,0),"")=M99,"Pending","🔒 BLOCKED — Wrong Code")))</f>
        <v/>
      </c>
      <c r="L99" s="380" t="inlineStr">
        <is>
          <t>Agent 03</t>
        </is>
      </c>
      <c r="M99" s="491" t="n"/>
      <c r="N99" s="494" t="n"/>
    </row>
    <row r="100" ht="15" customHeight="1" s="341">
      <c r="A100" s="499">
        <f>IF(B100="","",IF(C100="❌ Account Not Found","INVALID","LN"&amp;TEXT(D100,"YYYYMMDD")&amp;TEXT(ROW()-13,"0000")))</f>
        <v/>
      </c>
      <c r="B100" s="495" t="n"/>
      <c r="C100" s="382">
        <f>IF(B100="","",IFERROR(VLOOKUP(B100,DB_Customers!$A:$D,4,0),"❌ Account Not Found"))</f>
        <v/>
      </c>
      <c r="D100" s="497">
        <f>IF(B100="","",TODAY())</f>
        <v/>
      </c>
      <c r="E100" s="526" t="n"/>
      <c r="F100" s="382" t="n"/>
      <c r="G100" s="527" t="n"/>
      <c r="H100" s="528" t="n"/>
      <c r="I100" s="529">
        <f>IF(E100="","",E100+(E100*H100/100*G100))</f>
        <v/>
      </c>
      <c r="J100" s="530">
        <f>IFERROR(I100/G100,"")</f>
        <v/>
      </c>
      <c r="K100" s="531">
        <f>IF(B100="","Pending",IF(M100="","⚠️ Enter Code",IF(IFERROR(VLOOKUP(L100,DB_Agents!$B:$I,8,0),"")=M100,"Pending","🔒 BLOCKED — Wrong Code")))</f>
        <v/>
      </c>
      <c r="L100" s="384" t="inlineStr">
        <is>
          <t>Agent 03</t>
        </is>
      </c>
      <c r="M100" s="491" t="n"/>
      <c r="N100" s="501" t="n"/>
    </row>
    <row r="101" ht="15" customHeight="1" s="341">
      <c r="A101" s="492">
        <f>IF(B101="","",IF(C101="❌ Account Not Found","INVALID","LN"&amp;TEXT(D101,"YYYYMMDD")&amp;TEXT(ROW()-13,"0000")))</f>
        <v/>
      </c>
      <c r="B101" s="486" t="n"/>
      <c r="C101" s="378">
        <f>IF(B101="","",IFERROR(VLOOKUP(B101,DB_Customers!$A:$D,4,0),"❌ Account Not Found"))</f>
        <v/>
      </c>
      <c r="D101" s="488">
        <f>IF(B101="","",TODAY())</f>
        <v/>
      </c>
      <c r="E101" s="526" t="n"/>
      <c r="F101" s="378" t="n"/>
      <c r="G101" s="532" t="n"/>
      <c r="H101" s="533" t="n"/>
      <c r="I101" s="529">
        <f>IF(E101="","",E101+(E101*H101/100*G101))</f>
        <v/>
      </c>
      <c r="J101" s="534">
        <f>IFERROR(I101/G101,"")</f>
        <v/>
      </c>
      <c r="K101" s="535">
        <f>IF(B101="","Pending",IF(M101="","⚠️ Enter Code",IF(IFERROR(VLOOKUP(L101,DB_Agents!$B:$I,8,0),"")=M101,"Pending","🔒 BLOCKED — Wrong Code")))</f>
        <v/>
      </c>
      <c r="L101" s="380" t="inlineStr">
        <is>
          <t>Agent 03</t>
        </is>
      </c>
      <c r="M101" s="491" t="n"/>
      <c r="N101" s="494" t="n"/>
    </row>
    <row r="102" ht="15" customHeight="1" s="341">
      <c r="A102" s="499">
        <f>IF(B102="","",IF(C102="❌ Account Not Found","INVALID","LN"&amp;TEXT(D102,"YYYYMMDD")&amp;TEXT(ROW()-13,"0000")))</f>
        <v/>
      </c>
      <c r="B102" s="495" t="n"/>
      <c r="C102" s="382">
        <f>IF(B102="","",IFERROR(VLOOKUP(B102,DB_Customers!$A:$D,4,0),"❌ Account Not Found"))</f>
        <v/>
      </c>
      <c r="D102" s="497">
        <f>IF(B102="","",TODAY())</f>
        <v/>
      </c>
      <c r="E102" s="526" t="n"/>
      <c r="F102" s="382" t="n"/>
      <c r="G102" s="527" t="n"/>
      <c r="H102" s="528" t="n"/>
      <c r="I102" s="529">
        <f>IF(E102="","",E102+(E102*H102/100*G102))</f>
        <v/>
      </c>
      <c r="J102" s="530">
        <f>IFERROR(I102/G102,"")</f>
        <v/>
      </c>
      <c r="K102" s="531">
        <f>IF(B102="","Pending",IF(M102="","⚠️ Enter Code",IF(IFERROR(VLOOKUP(L102,DB_Agents!$B:$I,8,0),"")=M102,"Pending","🔒 BLOCKED — Wrong Code")))</f>
        <v/>
      </c>
      <c r="L102" s="384" t="inlineStr">
        <is>
          <t>Agent 03</t>
        </is>
      </c>
      <c r="M102" s="491" t="n"/>
      <c r="N102" s="501" t="n"/>
    </row>
    <row r="103" ht="15" customHeight="1" s="341">
      <c r="A103" s="492">
        <f>IF(B103="","",IF(C103="❌ Account Not Found","INVALID","LN"&amp;TEXT(D103,"YYYYMMDD")&amp;TEXT(ROW()-13,"0000")))</f>
        <v/>
      </c>
      <c r="B103" s="486" t="n"/>
      <c r="C103" s="378">
        <f>IF(B103="","",IFERROR(VLOOKUP(B103,DB_Customers!$A:$D,4,0),"❌ Account Not Found"))</f>
        <v/>
      </c>
      <c r="D103" s="488">
        <f>IF(B103="","",TODAY())</f>
        <v/>
      </c>
      <c r="E103" s="526" t="n"/>
      <c r="F103" s="378" t="n"/>
      <c r="G103" s="532" t="n"/>
      <c r="H103" s="533" t="n"/>
      <c r="I103" s="529">
        <f>IF(E103="","",E103+(E103*H103/100*G103))</f>
        <v/>
      </c>
      <c r="J103" s="534">
        <f>IFERROR(I103/G103,"")</f>
        <v/>
      </c>
      <c r="K103" s="535">
        <f>IF(B103="","Pending",IF(M103="","⚠️ Enter Code",IF(IFERROR(VLOOKUP(L103,DB_Agents!$B:$I,8,0),"")=M103,"Pending","🔒 BLOCKED — Wrong Code")))</f>
        <v/>
      </c>
      <c r="L103" s="380" t="inlineStr">
        <is>
          <t>Agent 03</t>
        </is>
      </c>
      <c r="M103" s="491" t="n"/>
      <c r="N103" s="494" t="n"/>
    </row>
    <row r="104" ht="15" customHeight="1" s="341">
      <c r="A104" s="499">
        <f>IF(B104="","",IF(C104="❌ Account Not Found","INVALID","LN"&amp;TEXT(D104,"YYYYMMDD")&amp;TEXT(ROW()-13,"0000")))</f>
        <v/>
      </c>
      <c r="B104" s="495" t="n"/>
      <c r="C104" s="382">
        <f>IF(B104="","",IFERROR(VLOOKUP(B104,DB_Customers!$A:$D,4,0),"❌ Account Not Found"))</f>
        <v/>
      </c>
      <c r="D104" s="497">
        <f>IF(B104="","",TODAY())</f>
        <v/>
      </c>
      <c r="E104" s="526" t="n"/>
      <c r="F104" s="382" t="n"/>
      <c r="G104" s="527" t="n"/>
      <c r="H104" s="528" t="n"/>
      <c r="I104" s="529">
        <f>IF(E104="","",E104+(E104*H104/100*G104))</f>
        <v/>
      </c>
      <c r="J104" s="530">
        <f>IFERROR(I104/G104,"")</f>
        <v/>
      </c>
      <c r="K104" s="531">
        <f>IF(B104="","Pending",IF(M104="","⚠️ Enter Code",IF(IFERROR(VLOOKUP(L104,DB_Agents!$B:$I,8,0),"")=M104,"Pending","🔒 BLOCKED — Wrong Code")))</f>
        <v/>
      </c>
      <c r="L104" s="384" t="inlineStr">
        <is>
          <t>Agent 03</t>
        </is>
      </c>
      <c r="M104" s="491" t="n"/>
      <c r="N104" s="501" t="n"/>
    </row>
    <row r="105" ht="15" customHeight="1" s="341">
      <c r="A105" s="492">
        <f>IF(B105="","",IF(C105="❌ Account Not Found","INVALID","LN"&amp;TEXT(D105,"YYYYMMDD")&amp;TEXT(ROW()-13,"0000")))</f>
        <v/>
      </c>
      <c r="B105" s="486" t="n"/>
      <c r="C105" s="378">
        <f>IF(B105="","",IFERROR(VLOOKUP(B105,DB_Customers!$A:$D,4,0),"❌ Account Not Found"))</f>
        <v/>
      </c>
      <c r="D105" s="488">
        <f>IF(B105="","",TODAY())</f>
        <v/>
      </c>
      <c r="E105" s="526" t="n"/>
      <c r="F105" s="378" t="n"/>
      <c r="G105" s="532" t="n"/>
      <c r="H105" s="533" t="n"/>
      <c r="I105" s="529">
        <f>IF(E105="","",E105+(E105*H105/100*G105))</f>
        <v/>
      </c>
      <c r="J105" s="534">
        <f>IFERROR(I105/G105,"")</f>
        <v/>
      </c>
      <c r="K105" s="535">
        <f>IF(B105="","Pending",IF(M105="","⚠️ Enter Code",IF(IFERROR(VLOOKUP(L105,DB_Agents!$B:$I,8,0),"")=M105,"Pending","🔒 BLOCKED — Wrong Code")))</f>
        <v/>
      </c>
      <c r="L105" s="380" t="inlineStr">
        <is>
          <t>Agent 03</t>
        </is>
      </c>
      <c r="M105" s="491" t="n"/>
      <c r="N105" s="494" t="n"/>
    </row>
    <row r="106" ht="15" customHeight="1" s="341">
      <c r="A106" s="499">
        <f>IF(B106="","",IF(C106="❌ Account Not Found","INVALID","LN"&amp;TEXT(D106,"YYYYMMDD")&amp;TEXT(ROW()-13,"0000")))</f>
        <v/>
      </c>
      <c r="B106" s="495" t="n"/>
      <c r="C106" s="382">
        <f>IF(B106="","",IFERROR(VLOOKUP(B106,DB_Customers!$A:$D,4,0),"❌ Account Not Found"))</f>
        <v/>
      </c>
      <c r="D106" s="497">
        <f>IF(B106="","",TODAY())</f>
        <v/>
      </c>
      <c r="E106" s="526" t="n"/>
      <c r="F106" s="382" t="n"/>
      <c r="G106" s="527" t="n"/>
      <c r="H106" s="528" t="n"/>
      <c r="I106" s="529">
        <f>IF(E106="","",E106+(E106*H106/100*G106))</f>
        <v/>
      </c>
      <c r="J106" s="530">
        <f>IFERROR(I106/G106,"")</f>
        <v/>
      </c>
      <c r="K106" s="531">
        <f>IF(B106="","Pending",IF(M106="","⚠️ Enter Code",IF(IFERROR(VLOOKUP(L106,DB_Agents!$B:$I,8,0),"")=M106,"Pending","🔒 BLOCKED — Wrong Code")))</f>
        <v/>
      </c>
      <c r="L106" s="384" t="inlineStr">
        <is>
          <t>Agent 03</t>
        </is>
      </c>
      <c r="M106" s="491" t="n"/>
      <c r="N106" s="501" t="n"/>
    </row>
    <row r="107" ht="15" customHeight="1" s="341">
      <c r="A107" s="492">
        <f>IF(B107="","",IF(C107="❌ Account Not Found","INVALID","LN"&amp;TEXT(D107,"YYYYMMDD")&amp;TEXT(ROW()-13,"0000")))</f>
        <v/>
      </c>
      <c r="B107" s="486" t="n"/>
      <c r="C107" s="378">
        <f>IF(B107="","",IFERROR(VLOOKUP(B107,DB_Customers!$A:$D,4,0),"❌ Account Not Found"))</f>
        <v/>
      </c>
      <c r="D107" s="488">
        <f>IF(B107="","",TODAY())</f>
        <v/>
      </c>
      <c r="E107" s="526" t="n"/>
      <c r="F107" s="378" t="n"/>
      <c r="G107" s="532" t="n"/>
      <c r="H107" s="533" t="n"/>
      <c r="I107" s="529">
        <f>IF(E107="","",E107+(E107*H107/100*G107))</f>
        <v/>
      </c>
      <c r="J107" s="534">
        <f>IFERROR(I107/G107,"")</f>
        <v/>
      </c>
      <c r="K107" s="535">
        <f>IF(B107="","Pending",IF(M107="","⚠️ Enter Code",IF(IFERROR(VLOOKUP(L107,DB_Agents!$B:$I,8,0),"")=M107,"Pending","🔒 BLOCKED — Wrong Code")))</f>
        <v/>
      </c>
      <c r="L107" s="380" t="inlineStr">
        <is>
          <t>Agent 03</t>
        </is>
      </c>
      <c r="M107" s="491" t="n"/>
      <c r="N107" s="494" t="n"/>
    </row>
    <row r="108" ht="15" customHeight="1" s="341">
      <c r="A108" s="499">
        <f>IF(B108="","",IF(C108="❌ Account Not Found","INVALID","LN"&amp;TEXT(D108,"YYYYMMDD")&amp;TEXT(ROW()-13,"0000")))</f>
        <v/>
      </c>
      <c r="B108" s="495" t="n"/>
      <c r="C108" s="382">
        <f>IF(B108="","",IFERROR(VLOOKUP(B108,DB_Customers!$A:$D,4,0),"❌ Account Not Found"))</f>
        <v/>
      </c>
      <c r="D108" s="497">
        <f>IF(B108="","",TODAY())</f>
        <v/>
      </c>
      <c r="E108" s="526" t="n"/>
      <c r="F108" s="382" t="n"/>
      <c r="G108" s="527" t="n"/>
      <c r="H108" s="528" t="n"/>
      <c r="I108" s="529">
        <f>IF(E108="","",E108+(E108*H108/100*G108))</f>
        <v/>
      </c>
      <c r="J108" s="530">
        <f>IFERROR(I108/G108,"")</f>
        <v/>
      </c>
      <c r="K108" s="531">
        <f>IF(B108="","Pending",IF(M108="","⚠️ Enter Code",IF(IFERROR(VLOOKUP(L108,DB_Agents!$B:$I,8,0),"")=M108,"Pending","🔒 BLOCKED — Wrong Code")))</f>
        <v/>
      </c>
      <c r="L108" s="384" t="inlineStr">
        <is>
          <t>Agent 03</t>
        </is>
      </c>
      <c r="M108" s="491" t="n"/>
      <c r="N108" s="501" t="n"/>
    </row>
    <row r="109" ht="15" customHeight="1" s="341">
      <c r="A109" s="492">
        <f>IF(B109="","",IF(C109="❌ Account Not Found","INVALID","LN"&amp;TEXT(D109,"YYYYMMDD")&amp;TEXT(ROW()-13,"0000")))</f>
        <v/>
      </c>
      <c r="B109" s="486" t="n"/>
      <c r="C109" s="378">
        <f>IF(B109="","",IFERROR(VLOOKUP(B109,DB_Customers!$A:$D,4,0),"❌ Account Not Found"))</f>
        <v/>
      </c>
      <c r="D109" s="488">
        <f>IF(B109="","",TODAY())</f>
        <v/>
      </c>
      <c r="E109" s="526" t="n"/>
      <c r="F109" s="378" t="n"/>
      <c r="G109" s="532" t="n"/>
      <c r="H109" s="533" t="n"/>
      <c r="I109" s="529">
        <f>IF(E109="","",E109+(E109*H109/100*G109))</f>
        <v/>
      </c>
      <c r="J109" s="534">
        <f>IFERROR(I109/G109,"")</f>
        <v/>
      </c>
      <c r="K109" s="535">
        <f>IF(B109="","Pending",IF(M109="","⚠️ Enter Code",IF(IFERROR(VLOOKUP(L109,DB_Agents!$B:$I,8,0),"")=M109,"Pending","🔒 BLOCKED — Wrong Code")))</f>
        <v/>
      </c>
      <c r="L109" s="380" t="inlineStr">
        <is>
          <t>Agent 03</t>
        </is>
      </c>
      <c r="M109" s="491" t="n"/>
      <c r="N109" s="494" t="n"/>
    </row>
    <row r="110" ht="15" customHeight="1" s="341">
      <c r="A110" s="499">
        <f>IF(B110="","",IF(C110="❌ Account Not Found","INVALID","LN"&amp;TEXT(D110,"YYYYMMDD")&amp;TEXT(ROW()-13,"0000")))</f>
        <v/>
      </c>
      <c r="B110" s="495" t="n"/>
      <c r="C110" s="382">
        <f>IF(B110="","",IFERROR(VLOOKUP(B110,DB_Customers!$A:$D,4,0),"❌ Account Not Found"))</f>
        <v/>
      </c>
      <c r="D110" s="497">
        <f>IF(B110="","",TODAY())</f>
        <v/>
      </c>
      <c r="E110" s="526" t="n"/>
      <c r="F110" s="382" t="n"/>
      <c r="G110" s="527" t="n"/>
      <c r="H110" s="528" t="n"/>
      <c r="I110" s="529">
        <f>IF(E110="","",E110+(E110*H110/100*G110))</f>
        <v/>
      </c>
      <c r="J110" s="530">
        <f>IFERROR(I110/G110,"")</f>
        <v/>
      </c>
      <c r="K110" s="531">
        <f>IF(B110="","Pending",IF(M110="","⚠️ Enter Code",IF(IFERROR(VLOOKUP(L110,DB_Agents!$B:$I,8,0),"")=M110,"Pending","🔒 BLOCKED — Wrong Code")))</f>
        <v/>
      </c>
      <c r="L110" s="384" t="inlineStr">
        <is>
          <t>Agent 03</t>
        </is>
      </c>
      <c r="M110" s="491" t="n"/>
      <c r="N110" s="501" t="n"/>
    </row>
    <row r="111" ht="15" customHeight="1" s="341">
      <c r="A111" s="492">
        <f>IF(B111="","",IF(C111="❌ Account Not Found","INVALID","LN"&amp;TEXT(D111,"YYYYMMDD")&amp;TEXT(ROW()-13,"0000")))</f>
        <v/>
      </c>
      <c r="B111" s="486" t="n"/>
      <c r="C111" s="378">
        <f>IF(B111="","",IFERROR(VLOOKUP(B111,DB_Customers!$A:$D,4,0),"❌ Account Not Found"))</f>
        <v/>
      </c>
      <c r="D111" s="488">
        <f>IF(B111="","",TODAY())</f>
        <v/>
      </c>
      <c r="E111" s="526" t="n"/>
      <c r="F111" s="378" t="n"/>
      <c r="G111" s="532" t="n"/>
      <c r="H111" s="533" t="n"/>
      <c r="I111" s="529">
        <f>IF(E111="","",E111+(E111*H111/100*G111))</f>
        <v/>
      </c>
      <c r="J111" s="534">
        <f>IFERROR(I111/G111,"")</f>
        <v/>
      </c>
      <c r="K111" s="535">
        <f>IF(B111="","Pending",IF(M111="","⚠️ Enter Code",IF(IFERROR(VLOOKUP(L111,DB_Agents!$B:$I,8,0),"")=M111,"Pending","🔒 BLOCKED — Wrong Code")))</f>
        <v/>
      </c>
      <c r="L111" s="380" t="inlineStr">
        <is>
          <t>Agent 03</t>
        </is>
      </c>
      <c r="M111" s="491" t="n"/>
      <c r="N111" s="494" t="n"/>
    </row>
    <row r="112" ht="15" customHeight="1" s="341">
      <c r="A112" s="499">
        <f>IF(B112="","",IF(C112="❌ Account Not Found","INVALID","LN"&amp;TEXT(D112,"YYYYMMDD")&amp;TEXT(ROW()-13,"0000")))</f>
        <v/>
      </c>
      <c r="B112" s="495" t="n"/>
      <c r="C112" s="382">
        <f>IF(B112="","",IFERROR(VLOOKUP(B112,DB_Customers!$A:$D,4,0),"❌ Account Not Found"))</f>
        <v/>
      </c>
      <c r="D112" s="497">
        <f>IF(B112="","",TODAY())</f>
        <v/>
      </c>
      <c r="E112" s="526" t="n"/>
      <c r="F112" s="382" t="n"/>
      <c r="G112" s="527" t="n"/>
      <c r="H112" s="528" t="n"/>
      <c r="I112" s="529">
        <f>IF(E112="","",E112+(E112*H112/100*G112))</f>
        <v/>
      </c>
      <c r="J112" s="530">
        <f>IFERROR(I112/G112,"")</f>
        <v/>
      </c>
      <c r="K112" s="531">
        <f>IF(B112="","Pending",IF(M112="","⚠️ Enter Code",IF(IFERROR(VLOOKUP(L112,DB_Agents!$B:$I,8,0),"")=M112,"Pending","🔒 BLOCKED — Wrong Code")))</f>
        <v/>
      </c>
      <c r="L112" s="384" t="inlineStr">
        <is>
          <t>Agent 03</t>
        </is>
      </c>
      <c r="M112" s="491" t="n"/>
      <c r="N112" s="501" t="n"/>
    </row>
    <row r="113" ht="15" customHeight="1" s="341">
      <c r="A113" s="492">
        <f>IF(B113="","",IF(C113="❌ Account Not Found","INVALID","LN"&amp;TEXT(D113,"YYYYMMDD")&amp;TEXT(ROW()-13,"0000")))</f>
        <v/>
      </c>
      <c r="B113" s="486" t="n"/>
      <c r="C113" s="378">
        <f>IF(B113="","",IFERROR(VLOOKUP(B113,DB_Customers!$A:$D,4,0),"❌ Account Not Found"))</f>
        <v/>
      </c>
      <c r="D113" s="488">
        <f>IF(B113="","",TODAY())</f>
        <v/>
      </c>
      <c r="E113" s="526" t="n"/>
      <c r="F113" s="378" t="n"/>
      <c r="G113" s="532" t="n"/>
      <c r="H113" s="533" t="n"/>
      <c r="I113" s="529">
        <f>IF(E113="","",E113+(E113*H113/100*G113))</f>
        <v/>
      </c>
      <c r="J113" s="534">
        <f>IFERROR(I113/G113,"")</f>
        <v/>
      </c>
      <c r="K113" s="535">
        <f>IF(B113="","Pending",IF(M113="","⚠️ Enter Code",IF(IFERROR(VLOOKUP(L113,DB_Agents!$B:$I,8,0),"")=M113,"Pending","🔒 BLOCKED — Wrong Code")))</f>
        <v/>
      </c>
      <c r="L113" s="380" t="inlineStr">
        <is>
          <t>Agent 03</t>
        </is>
      </c>
      <c r="M113" s="491" t="n"/>
      <c r="N113" s="494" t="n"/>
    </row>
    <row r="114" ht="15" customHeight="1" s="341">
      <c r="H114" s="536" t="n"/>
      <c r="K114" s="537">
        <f>IF(B114="","Pending",IF(M114="","⚠️ Enter Code",IF(IFERROR(VLOOKUP(L114,DB_Agents!$B:$I,8,0),"")=M114,"Pending","🔒 BLOCKED — Wrong Code")))</f>
        <v/>
      </c>
      <c r="M114" s="491" t="n"/>
    </row>
    <row r="115" ht="15" customHeight="1" s="341">
      <c r="H115" s="536" t="n"/>
      <c r="K115" s="342">
        <f>IF(B115="","Pending",IF(M115="","⚠️ Enter Code",IF(IFERROR(VLOOKUP(L115,DB_Agents!$B:$I,8,0),"")=M115,"Pending","🔒 BLOCKED — Wrong Code")))</f>
        <v/>
      </c>
      <c r="M115" s="491" t="n"/>
    </row>
    <row r="116" ht="15" customHeight="1" s="341">
      <c r="H116" s="536" t="n"/>
      <c r="K116" s="537">
        <f>IF(B116="","Pending",IF(M116="","⚠️ Enter Code",IF(IFERROR(VLOOKUP(L116,DB_Agents!$B:$I,8,0),"")=M116,"Pending","🔒 BLOCKED — Wrong Code")))</f>
        <v/>
      </c>
      <c r="M116" s="491" t="n"/>
    </row>
    <row r="117" ht="15" customHeight="1" s="341">
      <c r="H117" s="536" t="n"/>
      <c r="K117" s="342">
        <f>IF(B117="","Pending",IF(M117="","⚠️ Enter Code",IF(IFERROR(VLOOKUP(L117,DB_Agents!$B:$I,8,0),"")=M117,"Pending","🔒 BLOCKED — Wrong Code")))</f>
        <v/>
      </c>
      <c r="M117" s="491" t="n"/>
    </row>
    <row r="118" ht="15" customHeight="1" s="341">
      <c r="H118" s="536" t="n"/>
      <c r="K118" s="537">
        <f>IF(B118="","Pending",IF(M118="","⚠️ Enter Code",IF(IFERROR(VLOOKUP(L118,DB_Agents!$B:$I,8,0),"")=M118,"Pending","🔒 BLOCKED — Wrong Code")))</f>
        <v/>
      </c>
      <c r="M118" s="491" t="n"/>
    </row>
    <row r="119" ht="15" customHeight="1" s="341">
      <c r="H119" s="536" t="n"/>
      <c r="K119" s="342">
        <f>IF(B119="","Pending",IF(M119="","⚠️ Enter Code",IF(IFERROR(VLOOKUP(L119,DB_Agents!$B:$I,8,0),"")=M119,"Pending","🔒 BLOCKED — Wrong Code")))</f>
        <v/>
      </c>
      <c r="M119" s="491" t="n"/>
    </row>
    <row r="120" ht="15" customHeight="1" s="341">
      <c r="H120" s="536" t="n"/>
      <c r="K120" s="537">
        <f>IF(B120="","Pending",IF(M120="","⚠️ Enter Code",IF(IFERROR(VLOOKUP(L120,DB_Agents!$B:$I,8,0),"")=M120,"Pending","🔒 BLOCKED — Wrong Code")))</f>
        <v/>
      </c>
      <c r="M120" s="491" t="n"/>
    </row>
    <row r="121" ht="15" customHeight="1" s="341">
      <c r="H121" s="536" t="n"/>
      <c r="K121" s="342">
        <f>IF(B121="","Pending",IF(M121="","⚠️ Enter Code",IF(IFERROR(VLOOKUP(L121,DB_Agents!$B:$I,8,0),"")=M121,"Pending","🔒 BLOCKED — Wrong Code")))</f>
        <v/>
      </c>
      <c r="M121" s="491" t="n"/>
    </row>
    <row r="122" ht="15" customHeight="1" s="341">
      <c r="H122" s="536" t="n"/>
      <c r="K122" s="537">
        <f>IF(B122="","Pending",IF(M122="","⚠️ Enter Code",IF(IFERROR(VLOOKUP(L122,DB_Agents!$B:$I,8,0),"")=M122,"Pending","🔒 BLOCKED — Wrong Code")))</f>
        <v/>
      </c>
      <c r="M122" s="491" t="n"/>
    </row>
    <row r="123" ht="15" customHeight="1" s="341">
      <c r="H123" s="536" t="n"/>
      <c r="K123" s="342">
        <f>IF(B123="","Pending",IF(M123="","⚠️ Enter Code",IF(IFERROR(VLOOKUP(L123,DB_Agents!$B:$I,8,0),"")=M123,"Pending","🔒 BLOCKED — Wrong Code")))</f>
        <v/>
      </c>
      <c r="M123" s="491" t="n"/>
    </row>
    <row r="124" ht="15" customHeight="1" s="341">
      <c r="H124" s="536" t="n"/>
      <c r="K124" s="537">
        <f>IF(B124="","Pending",IF(M124="","⚠️ Enter Code",IF(IFERROR(VLOOKUP(L124,DB_Agents!$B:$I,8,0),"")=M124,"Pending","🔒 BLOCKED — Wrong Code")))</f>
        <v/>
      </c>
      <c r="M124" s="491" t="n"/>
    </row>
    <row r="125" ht="15" customHeight="1" s="341">
      <c r="H125" s="536" t="n"/>
      <c r="K125" s="342">
        <f>IF(B125="","Pending",IF(M125="","⚠️ Enter Code",IF(IFERROR(VLOOKUP(L125,DB_Agents!$B:$I,8,0),"")=M125,"Pending","🔒 BLOCKED — Wrong Code")))</f>
        <v/>
      </c>
      <c r="M125" s="491" t="n"/>
    </row>
    <row r="126" ht="15" customHeight="1" s="341">
      <c r="H126" s="536" t="n"/>
      <c r="K126" s="537">
        <f>IF(B126="","Pending",IF(M126="","⚠️ Enter Code",IF(IFERROR(VLOOKUP(L126,DB_Agents!$B:$I,8,0),"")=M126,"Pending","🔒 BLOCKED — Wrong Code")))</f>
        <v/>
      </c>
      <c r="M126" s="491" t="n"/>
    </row>
    <row r="127" ht="15" customHeight="1" s="341">
      <c r="H127" s="536" t="n"/>
      <c r="K127" s="342">
        <f>IF(B127="","Pending",IF(M127="","⚠️ Enter Code",IF(IFERROR(VLOOKUP(L127,DB_Agents!$B:$I,8,0),"")=M127,"Pending","🔒 BLOCKED — Wrong Code")))</f>
        <v/>
      </c>
      <c r="M127" s="491" t="n"/>
    </row>
    <row r="128" ht="15" customHeight="1" s="341">
      <c r="H128" s="536" t="n"/>
      <c r="K128" s="537">
        <f>IF(B128="","Pending",IF(M128="","⚠️ Enter Code",IF(IFERROR(VLOOKUP(L128,DB_Agents!$B:$I,8,0),"")=M128,"Pending","🔒 BLOCKED — Wrong Code")))</f>
        <v/>
      </c>
      <c r="M128" s="491" t="n"/>
    </row>
    <row r="129" ht="15" customHeight="1" s="341">
      <c r="H129" s="536" t="n"/>
      <c r="K129" s="342">
        <f>IF(B129="","Pending",IF(M129="","⚠️ Enter Code",IF(IFERROR(VLOOKUP(L129,DB_Agents!$B:$I,8,0),"")=M129,"Pending","🔒 BLOCKED — Wrong Code")))</f>
        <v/>
      </c>
      <c r="M129" s="491" t="n"/>
    </row>
    <row r="130" ht="15" customHeight="1" s="341">
      <c r="H130" s="536" t="n"/>
      <c r="K130" s="537">
        <f>IF(B130="","Pending",IF(M130="","⚠️ Enter Code",IF(IFERROR(VLOOKUP(L130,DB_Agents!$B:$I,8,0),"")=M130,"Pending","🔒 BLOCKED — Wrong Code")))</f>
        <v/>
      </c>
      <c r="M130" s="491" t="n"/>
    </row>
    <row r="131" ht="15" customHeight="1" s="341">
      <c r="H131" s="536" t="n"/>
      <c r="K131" s="342">
        <f>IF(B131="","Pending",IF(M131="","⚠️ Enter Code",IF(IFERROR(VLOOKUP(L131,DB_Agents!$B:$I,8,0),"")=M131,"Pending","🔒 BLOCKED — Wrong Code")))</f>
        <v/>
      </c>
      <c r="M131" s="491" t="n"/>
    </row>
    <row r="132" ht="15" customHeight="1" s="341">
      <c r="H132" s="536" t="n"/>
      <c r="K132" s="537">
        <f>IF(B132="","Pending",IF(M132="","⚠️ Enter Code",IF(IFERROR(VLOOKUP(L132,DB_Agents!$B:$I,8,0),"")=M132,"Pending","🔒 BLOCKED — Wrong Code")))</f>
        <v/>
      </c>
      <c r="M132" s="491" t="n"/>
    </row>
    <row r="133" ht="15" customHeight="1" s="341">
      <c r="H133" s="536" t="n"/>
      <c r="K133" s="342">
        <f>IF(B133="","Pending",IF(M133="","⚠️ Enter Code",IF(IFERROR(VLOOKUP(L133,DB_Agents!$B:$I,8,0),"")=M133,"Pending","🔒 BLOCKED — Wrong Code")))</f>
        <v/>
      </c>
      <c r="M133" s="491" t="n"/>
    </row>
    <row r="134" ht="15" customHeight="1" s="341">
      <c r="H134" s="536" t="n"/>
      <c r="K134" s="537">
        <f>IF(B134="","Pending",IF(M134="","⚠️ Enter Code",IF(IFERROR(VLOOKUP(L134,DB_Agents!$B:$I,8,0),"")=M134,"Pending","🔒 BLOCKED — Wrong Code")))</f>
        <v/>
      </c>
      <c r="M134" s="491" t="n"/>
    </row>
    <row r="135" ht="15" customHeight="1" s="341">
      <c r="H135" s="536" t="n"/>
      <c r="K135" s="342">
        <f>IF(B135="","Pending",IF(M135="","⚠️ Enter Code",IF(IFERROR(VLOOKUP(L135,DB_Agents!$B:$I,8,0),"")=M135,"Pending","🔒 BLOCKED — Wrong Code")))</f>
        <v/>
      </c>
      <c r="M135" s="491" t="n"/>
    </row>
    <row r="136" ht="15" customHeight="1" s="341">
      <c r="H136" s="536" t="n"/>
      <c r="K136" s="537">
        <f>IF(B136="","Pending",IF(M136="","⚠️ Enter Code",IF(IFERROR(VLOOKUP(L136,DB_Agents!$B:$I,8,0),"")=M136,"Pending","🔒 BLOCKED — Wrong Code")))</f>
        <v/>
      </c>
      <c r="M136" s="491" t="n"/>
    </row>
    <row r="137" ht="15" customHeight="1" s="341">
      <c r="H137" s="536" t="n"/>
      <c r="K137" s="342">
        <f>IF(B137="","Pending",IF(M137="","⚠️ Enter Code",IF(IFERROR(VLOOKUP(L137,DB_Agents!$B:$I,8,0),"")=M137,"Pending","🔒 BLOCKED — Wrong Code")))</f>
        <v/>
      </c>
      <c r="M137" s="491" t="n"/>
    </row>
    <row r="138" ht="15" customHeight="1" s="341">
      <c r="H138" s="536" t="n"/>
      <c r="K138" s="537">
        <f>IF(B138="","Pending",IF(M138="","⚠️ Enter Code",IF(IFERROR(VLOOKUP(L138,DB_Agents!$B:$I,8,0),"")=M138,"Pending","🔒 BLOCKED — Wrong Code")))</f>
        <v/>
      </c>
      <c r="M138" s="491" t="n"/>
    </row>
    <row r="139" ht="15" customHeight="1" s="341">
      <c r="H139" s="536" t="n"/>
      <c r="K139" s="342">
        <f>IF(B139="","Pending",IF(M139="","⚠️ Enter Code",IF(IFERROR(VLOOKUP(L139,DB_Agents!$B:$I,8,0),"")=M139,"Pending","🔒 BLOCKED — Wrong Code")))</f>
        <v/>
      </c>
      <c r="M139" s="491" t="n"/>
    </row>
    <row r="140" ht="15" customHeight="1" s="341">
      <c r="H140" s="536" t="n"/>
      <c r="K140" s="537">
        <f>IF(B140="","Pending",IF(M140="","⚠️ Enter Code",IF(IFERROR(VLOOKUP(L140,DB_Agents!$B:$I,8,0),"")=M140,"Pending","🔒 BLOCKED — Wrong Code")))</f>
        <v/>
      </c>
      <c r="M140" s="491" t="n"/>
    </row>
    <row r="141" ht="15" customHeight="1" s="341">
      <c r="H141" s="536" t="n"/>
      <c r="K141" s="342">
        <f>IF(B141="","Pending",IF(M141="","⚠️ Enter Code",IF(IFERROR(VLOOKUP(L141,DB_Agents!$B:$I,8,0),"")=M141,"Pending","🔒 BLOCKED — Wrong Code")))</f>
        <v/>
      </c>
      <c r="M141" s="491" t="n"/>
    </row>
    <row r="142" ht="15" customHeight="1" s="341">
      <c r="H142" s="536" t="n"/>
      <c r="K142" s="537">
        <f>IF(B142="","Pending",IF(M142="","⚠️ Enter Code",IF(IFERROR(VLOOKUP(L142,DB_Agents!$B:$I,8,0),"")=M142,"Pending","🔒 BLOCKED — Wrong Code")))</f>
        <v/>
      </c>
      <c r="M142" s="491" t="n"/>
    </row>
    <row r="143" ht="15" customHeight="1" s="341">
      <c r="H143" s="536" t="n"/>
      <c r="K143" s="342">
        <f>IF(B143="","Pending",IF(M143="","⚠️ Enter Code",IF(IFERROR(VLOOKUP(L143,DB_Agents!$B:$I,8,0),"")=M143,"Pending","🔒 BLOCKED — Wrong Code")))</f>
        <v/>
      </c>
      <c r="M143" s="491" t="n"/>
    </row>
    <row r="144" ht="15" customHeight="1" s="341">
      <c r="H144" s="536" t="n"/>
      <c r="K144" s="537">
        <f>IF(B144="","Pending",IF(M144="","⚠️ Enter Code",IF(IFERROR(VLOOKUP(L144,DB_Agents!$B:$I,8,0),"")=M144,"Pending","🔒 BLOCKED — Wrong Code")))</f>
        <v/>
      </c>
      <c r="M144" s="491" t="n"/>
    </row>
    <row r="145" ht="15" customHeight="1" s="341">
      <c r="H145" s="536" t="n"/>
      <c r="K145" s="342">
        <f>IF(B145="","Pending",IF(M145="","⚠️ Enter Code",IF(IFERROR(VLOOKUP(L145,DB_Agents!$B:$I,8,0),"")=M145,"Pending","🔒 BLOCKED — Wrong Code")))</f>
        <v/>
      </c>
      <c r="M145" s="491" t="n"/>
    </row>
    <row r="146" ht="15" customHeight="1" s="341">
      <c r="H146" s="536" t="n"/>
      <c r="K146" s="537">
        <f>IF(B146="","Pending",IF(M146="","⚠️ Enter Code",IF(IFERROR(VLOOKUP(L146,DB_Agents!$B:$I,8,0),"")=M146,"Pending","🔒 BLOCKED — Wrong Code")))</f>
        <v/>
      </c>
      <c r="M146" s="491" t="n"/>
    </row>
    <row r="147" ht="15" customHeight="1" s="341">
      <c r="H147" s="536" t="n"/>
      <c r="K147" s="342">
        <f>IF(B147="","Pending",IF(M147="","⚠️ Enter Code",IF(IFERROR(VLOOKUP(L147,DB_Agents!$B:$I,8,0),"")=M147,"Pending","🔒 BLOCKED — Wrong Code")))</f>
        <v/>
      </c>
      <c r="M147" s="491" t="n"/>
    </row>
    <row r="148" ht="15" customHeight="1" s="341">
      <c r="H148" s="536" t="n"/>
      <c r="K148" s="537">
        <f>IF(B148="","Pending",IF(M148="","⚠️ Enter Code",IF(IFERROR(VLOOKUP(L148,DB_Agents!$B:$I,8,0),"")=M148,"Pending","🔒 BLOCKED — Wrong Code")))</f>
        <v/>
      </c>
      <c r="M148" s="491" t="n"/>
    </row>
    <row r="149" ht="15" customHeight="1" s="341">
      <c r="H149" s="536" t="n"/>
      <c r="K149" s="342">
        <f>IF(B149="","Pending",IF(M149="","⚠️ Enter Code",IF(IFERROR(VLOOKUP(L149,DB_Agents!$B:$I,8,0),"")=M149,"Pending","🔒 BLOCKED — Wrong Code")))</f>
        <v/>
      </c>
      <c r="M149" s="491" t="n"/>
    </row>
    <row r="150" ht="15" customHeight="1" s="341">
      <c r="H150" s="536" t="n"/>
      <c r="K150" s="537">
        <f>IF(B150="","Pending",IF(M150="","⚠️ Enter Code",IF(IFERROR(VLOOKUP(L150,DB_Agents!$B:$I,8,0),"")=M150,"Pending","🔒 BLOCKED — Wrong Code")))</f>
        <v/>
      </c>
      <c r="M150" s="491" t="n"/>
    </row>
    <row r="151" ht="15" customHeight="1" s="341">
      <c r="H151" s="536" t="n"/>
      <c r="K151" s="342">
        <f>IF(B151="","Pending",IF(M151="","⚠️ Enter Code",IF(IFERROR(VLOOKUP(L151,DB_Agents!$B:$I,8,0),"")=M151,"Pending","🔒 BLOCKED — Wrong Code")))</f>
        <v/>
      </c>
      <c r="M151" s="491" t="n"/>
    </row>
    <row r="152" ht="15" customHeight="1" s="341">
      <c r="H152" s="536" t="n"/>
      <c r="K152" s="537">
        <f>IF(B152="","Pending",IF(M152="","⚠️ Enter Code",IF(IFERROR(VLOOKUP(L152,DB_Agents!$B:$I,8,0),"")=M152,"Pending","🔒 BLOCKED — Wrong Code")))</f>
        <v/>
      </c>
      <c r="M152" s="491" t="n"/>
    </row>
    <row r="153" ht="15" customHeight="1" s="341">
      <c r="H153" s="536" t="n"/>
      <c r="K153" s="342">
        <f>IF(B153="","Pending",IF(M153="","⚠️ Enter Code",IF(IFERROR(VLOOKUP(L153,DB_Agents!$B:$I,8,0),"")=M153,"Pending","🔒 BLOCKED — Wrong Code")))</f>
        <v/>
      </c>
      <c r="M153" s="491" t="n"/>
    </row>
    <row r="154" ht="15" customHeight="1" s="341">
      <c r="H154" s="536" t="n"/>
      <c r="K154" s="537">
        <f>IF(B154="","Pending",IF(M154="","⚠️ Enter Code",IF(IFERROR(VLOOKUP(L154,DB_Agents!$B:$I,8,0),"")=M154,"Pending","🔒 BLOCKED — Wrong Code")))</f>
        <v/>
      </c>
      <c r="M154" s="491" t="n"/>
    </row>
    <row r="155" ht="15" customHeight="1" s="341">
      <c r="H155" s="536" t="n"/>
      <c r="K155" s="342">
        <f>IF(B155="","Pending",IF(M155="","⚠️ Enter Code",IF(IFERROR(VLOOKUP(L155,DB_Agents!$B:$I,8,0),"")=M155,"Pending","🔒 BLOCKED — Wrong Code")))</f>
        <v/>
      </c>
      <c r="M155" s="491" t="n"/>
    </row>
    <row r="156" ht="15" customHeight="1" s="341">
      <c r="H156" s="536" t="n"/>
      <c r="K156" s="537">
        <f>IF(B156="","Pending",IF(M156="","⚠️ Enter Code",IF(IFERROR(VLOOKUP(L156,DB_Agents!$B:$I,8,0),"")=M156,"Pending","🔒 BLOCKED — Wrong Code")))</f>
        <v/>
      </c>
      <c r="M156" s="491" t="n"/>
    </row>
    <row r="157" ht="15" customHeight="1" s="341">
      <c r="H157" s="536" t="n"/>
      <c r="K157" s="342">
        <f>IF(B157="","Pending",IF(M157="","⚠️ Enter Code",IF(IFERROR(VLOOKUP(L157,DB_Agents!$B:$I,8,0),"")=M157,"Pending","🔒 BLOCKED — Wrong Code")))</f>
        <v/>
      </c>
      <c r="M157" s="491" t="n"/>
    </row>
    <row r="158" ht="15" customHeight="1" s="341">
      <c r="H158" s="536" t="n"/>
      <c r="K158" s="537">
        <f>IF(B158="","Pending",IF(M158="","⚠️ Enter Code",IF(IFERROR(VLOOKUP(L158,DB_Agents!$B:$I,8,0),"")=M158,"Pending","🔒 BLOCKED — Wrong Code")))</f>
        <v/>
      </c>
      <c r="M158" s="491" t="n"/>
    </row>
    <row r="159" ht="15" customHeight="1" s="341">
      <c r="H159" s="536" t="n"/>
      <c r="K159" s="342">
        <f>IF(B159="","Pending",IF(M159="","⚠️ Enter Code",IF(IFERROR(VLOOKUP(L159,DB_Agents!$B:$I,8,0),"")=M159,"Pending","🔒 BLOCKED — Wrong Code")))</f>
        <v/>
      </c>
      <c r="M159" s="491" t="n"/>
    </row>
    <row r="160" ht="15" customHeight="1" s="341">
      <c r="H160" s="536" t="n"/>
      <c r="K160" s="537">
        <f>IF(B160="","Pending",IF(M160="","⚠️ Enter Code",IF(IFERROR(VLOOKUP(L160,DB_Agents!$B:$I,8,0),"")=M160,"Pending","🔒 BLOCKED — Wrong Code")))</f>
        <v/>
      </c>
      <c r="M160" s="491" t="n"/>
    </row>
    <row r="161" ht="15" customHeight="1" s="341">
      <c r="H161" s="536" t="n"/>
      <c r="K161" s="342">
        <f>IF(B161="","Pending",IF(M161="","⚠️ Enter Code",IF(IFERROR(VLOOKUP(L161,DB_Agents!$B:$I,8,0),"")=M161,"Pending","🔒 BLOCKED — Wrong Code")))</f>
        <v/>
      </c>
      <c r="M161" s="491" t="n"/>
    </row>
    <row r="162" ht="15" customHeight="1" s="341">
      <c r="H162" s="536" t="n"/>
      <c r="K162" s="537">
        <f>IF(B162="","Pending",IF(M162="","⚠️ Enter Code",IF(IFERROR(VLOOKUP(L162,DB_Agents!$B:$I,8,0),"")=M162,"Pending","🔒 BLOCKED — Wrong Code")))</f>
        <v/>
      </c>
      <c r="M162" s="491" t="n"/>
    </row>
    <row r="163" ht="15" customHeight="1" s="341">
      <c r="H163" s="536" t="n"/>
      <c r="K163" s="342">
        <f>IF(B163="","Pending",IF(M163="","⚠️ Enter Code",IF(IFERROR(VLOOKUP(L163,DB_Agents!$B:$I,8,0),"")=M163,"Pending","🔒 BLOCKED — Wrong Code")))</f>
        <v/>
      </c>
      <c r="M163" s="491" t="n"/>
    </row>
    <row r="164" ht="15" customHeight="1" s="341">
      <c r="H164" s="536" t="n"/>
      <c r="K164" s="537">
        <f>IF(B164="","Pending",IF(M164="","⚠️ Enter Code",IF(IFERROR(VLOOKUP(L164,DB_Agents!$B:$I,8,0),"")=M164,"Pending","🔒 BLOCKED — Wrong Code")))</f>
        <v/>
      </c>
      <c r="M164" s="491" t="n"/>
    </row>
    <row r="165" ht="15" customHeight="1" s="341">
      <c r="H165" s="536" t="n"/>
      <c r="K165" s="342">
        <f>IF(B165="","Pending",IF(M165="","⚠️ Enter Code",IF(IFERROR(VLOOKUP(L165,DB_Agents!$B:$I,8,0),"")=M165,"Pending","🔒 BLOCKED — Wrong Code")))</f>
        <v/>
      </c>
      <c r="M165" s="491" t="n"/>
    </row>
    <row r="166" ht="15" customHeight="1" s="341">
      <c r="H166" s="536" t="n"/>
      <c r="K166" s="537">
        <f>IF(B166="","Pending",IF(M166="","⚠️ Enter Code",IF(IFERROR(VLOOKUP(L166,DB_Agents!$B:$I,8,0),"")=M166,"Pending","🔒 BLOCKED — Wrong Code")))</f>
        <v/>
      </c>
      <c r="M166" s="491" t="n"/>
    </row>
    <row r="167" ht="15" customHeight="1" s="341">
      <c r="H167" s="536" t="n"/>
      <c r="K167" s="342">
        <f>IF(B167="","Pending",IF(M167="","⚠️ Enter Code",IF(IFERROR(VLOOKUP(L167,DB_Agents!$B:$I,8,0),"")=M167,"Pending","🔒 BLOCKED — Wrong Code")))</f>
        <v/>
      </c>
      <c r="M167" s="491" t="n"/>
    </row>
    <row r="168" ht="15" customHeight="1" s="341">
      <c r="H168" s="536" t="n"/>
      <c r="K168" s="537">
        <f>IF(B168="","Pending",IF(M168="","⚠️ Enter Code",IF(IFERROR(VLOOKUP(L168,DB_Agents!$B:$I,8,0),"")=M168,"Pending","🔒 BLOCKED — Wrong Code")))</f>
        <v/>
      </c>
      <c r="M168" s="491" t="n"/>
    </row>
    <row r="169" ht="15" customHeight="1" s="341">
      <c r="H169" s="536" t="n"/>
      <c r="K169" s="342">
        <f>IF(B169="","Pending",IF(M169="","⚠️ Enter Code",IF(IFERROR(VLOOKUP(L169,DB_Agents!$B:$I,8,0),"")=M169,"Pending","🔒 BLOCKED — Wrong Code")))</f>
        <v/>
      </c>
      <c r="M169" s="491" t="n"/>
    </row>
    <row r="170" ht="15" customHeight="1" s="341">
      <c r="H170" s="536" t="n"/>
      <c r="K170" s="537">
        <f>IF(B170="","Pending",IF(M170="","⚠️ Enter Code",IF(IFERROR(VLOOKUP(L170,DB_Agents!$B:$I,8,0),"")=M170,"Pending","🔒 BLOCKED — Wrong Code")))</f>
        <v/>
      </c>
      <c r="M170" s="491" t="n"/>
    </row>
    <row r="171" ht="15" customHeight="1" s="341">
      <c r="H171" s="536" t="n"/>
      <c r="K171" s="342">
        <f>IF(B171="","Pending",IF(M171="","⚠️ Enter Code",IF(IFERROR(VLOOKUP(L171,DB_Agents!$B:$I,8,0),"")=M171,"Pending","🔒 BLOCKED — Wrong Code")))</f>
        <v/>
      </c>
      <c r="M171" s="491" t="n"/>
    </row>
    <row r="172" ht="15" customHeight="1" s="341">
      <c r="H172" s="536" t="n"/>
      <c r="K172" s="537">
        <f>IF(B172="","Pending",IF(M172="","⚠️ Enter Code",IF(IFERROR(VLOOKUP(L172,DB_Agents!$B:$I,8,0),"")=M172,"Pending","🔒 BLOCKED — Wrong Code")))</f>
        <v/>
      </c>
      <c r="M172" s="491" t="n"/>
    </row>
    <row r="173" ht="15" customHeight="1" s="341">
      <c r="H173" s="536" t="n"/>
      <c r="K173" s="342">
        <f>IF(B173="","Pending",IF(M173="","⚠️ Enter Code",IF(IFERROR(VLOOKUP(L173,DB_Agents!$B:$I,8,0),"")=M173,"Pending","🔒 BLOCKED — Wrong Code")))</f>
        <v/>
      </c>
      <c r="M173" s="491" t="n"/>
    </row>
    <row r="174" ht="15" customHeight="1" s="341">
      <c r="H174" s="536" t="n"/>
      <c r="K174" s="537">
        <f>IF(B174="","Pending",IF(M174="","⚠️ Enter Code",IF(IFERROR(VLOOKUP(L174,DB_Agents!$B:$I,8,0),"")=M174,"Pending","🔒 BLOCKED — Wrong Code")))</f>
        <v/>
      </c>
      <c r="M174" s="491" t="n"/>
    </row>
    <row r="175" ht="15" customHeight="1" s="341">
      <c r="H175" s="536" t="n"/>
      <c r="K175" s="342">
        <f>IF(B175="","Pending",IF(M175="","⚠️ Enter Code",IF(IFERROR(VLOOKUP(L175,DB_Agents!$B:$I,8,0),"")=M175,"Pending","🔒 BLOCKED — Wrong Code")))</f>
        <v/>
      </c>
      <c r="M175" s="491" t="n"/>
    </row>
    <row r="176" ht="15" customHeight="1" s="341">
      <c r="H176" s="536" t="n"/>
      <c r="K176" s="537">
        <f>IF(B176="","Pending",IF(M176="","⚠️ Enter Code",IF(IFERROR(VLOOKUP(L176,DB_Agents!$B:$I,8,0),"")=M176,"Pending","🔒 BLOCKED — Wrong Code")))</f>
        <v/>
      </c>
      <c r="M176" s="491" t="n"/>
    </row>
    <row r="177" ht="15" customHeight="1" s="341">
      <c r="H177" s="536" t="n"/>
      <c r="K177" s="342">
        <f>IF(B177="","Pending",IF(M177="","⚠️ Enter Code",IF(IFERROR(VLOOKUP(L177,DB_Agents!$B:$I,8,0),"")=M177,"Pending","🔒 BLOCKED — Wrong Code")))</f>
        <v/>
      </c>
      <c r="M177" s="491" t="n"/>
    </row>
    <row r="178" ht="15" customHeight="1" s="341">
      <c r="H178" s="536" t="n"/>
      <c r="K178" s="537">
        <f>IF(B178="","Pending",IF(M178="","⚠️ Enter Code",IF(IFERROR(VLOOKUP(L178,DB_Agents!$B:$I,8,0),"")=M178,"Pending","🔒 BLOCKED — Wrong Code")))</f>
        <v/>
      </c>
      <c r="M178" s="491" t="n"/>
    </row>
    <row r="179" ht="15" customHeight="1" s="341">
      <c r="H179" s="536" t="n"/>
      <c r="K179" s="342">
        <f>IF(B179="","Pending",IF(M179="","⚠️ Enter Code",IF(IFERROR(VLOOKUP(L179,DB_Agents!$B:$I,8,0),"")=M179,"Pending","🔒 BLOCKED — Wrong Code")))</f>
        <v/>
      </c>
      <c r="M179" s="491" t="n"/>
    </row>
    <row r="180" ht="15" customHeight="1" s="341">
      <c r="H180" s="536" t="n"/>
      <c r="K180" s="537">
        <f>IF(B180="","Pending",IF(M180="","⚠️ Enter Code",IF(IFERROR(VLOOKUP(L180,DB_Agents!$B:$I,8,0),"")=M180,"Pending","🔒 BLOCKED — Wrong Code")))</f>
        <v/>
      </c>
      <c r="M180" s="491" t="n"/>
    </row>
    <row r="181" ht="15" customHeight="1" s="341">
      <c r="H181" s="536" t="n"/>
      <c r="K181" s="342">
        <f>IF(B181="","Pending",IF(M181="","⚠️ Enter Code",IF(IFERROR(VLOOKUP(L181,DB_Agents!$B:$I,8,0),"")=M181,"Pending","🔒 BLOCKED — Wrong Code")))</f>
        <v/>
      </c>
      <c r="M181" s="491" t="n"/>
    </row>
    <row r="182" ht="15" customHeight="1" s="341">
      <c r="H182" s="536" t="n"/>
      <c r="K182" s="537">
        <f>IF(B182="","Pending",IF(M182="","⚠️ Enter Code",IF(IFERROR(VLOOKUP(L182,DB_Agents!$B:$I,8,0),"")=M182,"Pending","🔒 BLOCKED — Wrong Code")))</f>
        <v/>
      </c>
      <c r="M182" s="491" t="n"/>
    </row>
    <row r="183" ht="15" customHeight="1" s="341">
      <c r="H183" s="536" t="n"/>
      <c r="K183" s="342">
        <f>IF(B183="","Pending",IF(M183="","⚠️ Enter Code",IF(IFERROR(VLOOKUP(L183,DB_Agents!$B:$I,8,0),"")=M183,"Pending","🔒 BLOCKED — Wrong Code")))</f>
        <v/>
      </c>
      <c r="M183" s="491" t="n"/>
    </row>
    <row r="184" ht="15" customHeight="1" s="341">
      <c r="H184" s="536" t="n"/>
      <c r="K184" s="537">
        <f>IF(B184="","Pending",IF(M184="","⚠️ Enter Code",IF(IFERROR(VLOOKUP(L184,DB_Agents!$B:$I,8,0),"")=M184,"Pending","🔒 BLOCKED — Wrong Code")))</f>
        <v/>
      </c>
      <c r="M184" s="491" t="n"/>
    </row>
    <row r="185" ht="15" customHeight="1" s="341">
      <c r="H185" s="536" t="n"/>
      <c r="K185" s="342">
        <f>IF(B185="","Pending",IF(M185="","⚠️ Enter Code",IF(IFERROR(VLOOKUP(L185,DB_Agents!$B:$I,8,0),"")=M185,"Pending","🔒 BLOCKED — Wrong Code")))</f>
        <v/>
      </c>
      <c r="M185" s="491" t="n"/>
    </row>
    <row r="186" ht="15" customHeight="1" s="341">
      <c r="H186" s="536" t="n"/>
      <c r="K186" s="537">
        <f>IF(B186="","Pending",IF(M186="","⚠️ Enter Code",IF(IFERROR(VLOOKUP(L186,DB_Agents!$B:$I,8,0),"")=M186,"Pending","🔒 BLOCKED — Wrong Code")))</f>
        <v/>
      </c>
      <c r="M186" s="491" t="n"/>
    </row>
    <row r="187" ht="15" customHeight="1" s="341">
      <c r="H187" s="536" t="n"/>
      <c r="K187" s="342">
        <f>IF(B187="","Pending",IF(M187="","⚠️ Enter Code",IF(IFERROR(VLOOKUP(L187,DB_Agents!$B:$I,8,0),"")=M187,"Pending","🔒 BLOCKED — Wrong Code")))</f>
        <v/>
      </c>
      <c r="M187" s="491" t="n"/>
    </row>
    <row r="188" ht="15" customHeight="1" s="341">
      <c r="H188" s="536" t="n"/>
      <c r="K188" s="537">
        <f>IF(B188="","Pending",IF(M188="","⚠️ Enter Code",IF(IFERROR(VLOOKUP(L188,DB_Agents!$B:$I,8,0),"")=M188,"Pending","🔒 BLOCKED — Wrong Code")))</f>
        <v/>
      </c>
      <c r="M188" s="491" t="n"/>
    </row>
    <row r="189" ht="15" customHeight="1" s="341">
      <c r="H189" s="536" t="n"/>
      <c r="K189" s="342">
        <f>IF(B189="","Pending",IF(M189="","⚠️ Enter Code",IF(IFERROR(VLOOKUP(L189,DB_Agents!$B:$I,8,0),"")=M189,"Pending","🔒 BLOCKED — Wrong Code")))</f>
        <v/>
      </c>
      <c r="M189" s="491" t="n"/>
    </row>
    <row r="190" ht="15" customHeight="1" s="341">
      <c r="H190" s="536" t="n"/>
      <c r="K190" s="537">
        <f>IF(B190="","Pending",IF(M190="","⚠️ Enter Code",IF(IFERROR(VLOOKUP(L190,DB_Agents!$B:$I,8,0),"")=M190,"Pending","🔒 BLOCKED — Wrong Code")))</f>
        <v/>
      </c>
      <c r="M190" s="491" t="n"/>
    </row>
    <row r="191" ht="15" customHeight="1" s="341">
      <c r="H191" s="536" t="n"/>
      <c r="K191" s="342">
        <f>IF(B191="","Pending",IF(M191="","⚠️ Enter Code",IF(IFERROR(VLOOKUP(L191,DB_Agents!$B:$I,8,0),"")=M191,"Pending","🔒 BLOCKED — Wrong Code")))</f>
        <v/>
      </c>
      <c r="M191" s="491" t="n"/>
    </row>
    <row r="192" ht="15" customHeight="1" s="341">
      <c r="H192" s="536" t="n"/>
      <c r="K192" s="537">
        <f>IF(B192="","Pending",IF(M192="","⚠️ Enter Code",IF(IFERROR(VLOOKUP(L192,DB_Agents!$B:$I,8,0),"")=M192,"Pending","🔒 BLOCKED — Wrong Code")))</f>
        <v/>
      </c>
      <c r="M192" s="491" t="n"/>
    </row>
    <row r="193" ht="15" customHeight="1" s="341">
      <c r="H193" s="536" t="n"/>
      <c r="K193" s="342">
        <f>IF(B193="","Pending",IF(M193="","⚠️ Enter Code",IF(IFERROR(VLOOKUP(L193,DB_Agents!$B:$I,8,0),"")=M193,"Pending","🔒 BLOCKED — Wrong Code")))</f>
        <v/>
      </c>
      <c r="M193" s="491" t="n"/>
    </row>
    <row r="194" ht="15" customHeight="1" s="341">
      <c r="H194" s="536" t="n"/>
      <c r="K194" s="537">
        <f>IF(B194="","Pending",IF(M194="","⚠️ Enter Code",IF(IFERROR(VLOOKUP(L194,DB_Agents!$B:$I,8,0),"")=M194,"Pending","🔒 BLOCKED — Wrong Code")))</f>
        <v/>
      </c>
      <c r="M194" s="491" t="n"/>
    </row>
    <row r="195" ht="15" customHeight="1" s="341">
      <c r="H195" s="536" t="n"/>
      <c r="K195" s="342">
        <f>IF(B195="","Pending",IF(M195="","⚠️ Enter Code",IF(IFERROR(VLOOKUP(L195,DB_Agents!$B:$I,8,0),"")=M195,"Pending","🔒 BLOCKED — Wrong Code")))</f>
        <v/>
      </c>
      <c r="M195" s="491" t="n"/>
    </row>
    <row r="196" ht="15" customHeight="1" s="341">
      <c r="H196" s="536" t="n"/>
      <c r="K196" s="537">
        <f>IF(B196="","Pending",IF(M196="","⚠️ Enter Code",IF(IFERROR(VLOOKUP(L196,DB_Agents!$B:$I,8,0),"")=M196,"Pending","🔒 BLOCKED — Wrong Code")))</f>
        <v/>
      </c>
      <c r="M196" s="491" t="n"/>
    </row>
    <row r="197" ht="15" customHeight="1" s="341">
      <c r="H197" s="536" t="n"/>
      <c r="K197" s="342">
        <f>IF(B197="","Pending",IF(M197="","⚠️ Enter Code",IF(IFERROR(VLOOKUP(L197,DB_Agents!$B:$I,8,0),"")=M197,"Pending","🔒 BLOCKED — Wrong Code")))</f>
        <v/>
      </c>
      <c r="M197" s="491" t="n"/>
    </row>
    <row r="198" ht="15" customHeight="1" s="341">
      <c r="H198" s="536" t="n"/>
      <c r="K198" s="537">
        <f>IF(B198="","Pending",IF(M198="","⚠️ Enter Code",IF(IFERROR(VLOOKUP(L198,DB_Agents!$B:$I,8,0),"")=M198,"Pending","🔒 BLOCKED — Wrong Code")))</f>
        <v/>
      </c>
      <c r="M198" s="491" t="n"/>
    </row>
    <row r="199" ht="15" customHeight="1" s="341">
      <c r="H199" s="536" t="n"/>
      <c r="K199" s="342">
        <f>IF(B199="","Pending",IF(M199="","⚠️ Enter Code",IF(IFERROR(VLOOKUP(L199,DB_Agents!$B:$I,8,0),"")=M199,"Pending","🔒 BLOCKED — Wrong Code")))</f>
        <v/>
      </c>
      <c r="M199" s="491" t="n"/>
    </row>
    <row r="200" ht="15" customHeight="1" s="341">
      <c r="H200" s="536" t="n"/>
      <c r="K200" s="537">
        <f>IF(B200="","Pending",IF(M200="","⚠️ Enter Code",IF(IFERROR(VLOOKUP(L200,DB_Agents!$B:$I,8,0),"")=M200,"Pending","🔒 BLOCKED — Wrong Code")))</f>
        <v/>
      </c>
      <c r="M200" s="491" t="n"/>
    </row>
    <row r="201" ht="15" customHeight="1" s="341">
      <c r="K201" s="342">
        <f>IF(B201="","Pending",IF(M201="","⚠️ Enter Code",IF(IFERROR(VLOOKUP(L201,DB_Agents!$B:$I,8,0),"")=M201,"Pending","🔒 BLOCKED — Wrong Code")))</f>
        <v/>
      </c>
      <c r="M201" s="491" t="n"/>
    </row>
    <row r="202" ht="15" customHeight="1" s="341">
      <c r="K202" s="537">
        <f>IF(B202="","Pending",IF(M202="","⚠️ Enter Code",IF(IFERROR(VLOOKUP(L202,DB_Agents!$B:$I,8,0),"")=M202,"Pending","🔒 BLOCKED — Wrong Code")))</f>
        <v/>
      </c>
      <c r="M202" s="491" t="n"/>
    </row>
    <row r="203" ht="15" customHeight="1" s="341">
      <c r="K203" s="342">
        <f>IF(B203="","Pending",IF(M203="","⚠️ Enter Code",IF(IFERROR(VLOOKUP(L203,DB_Agents!$B:$I,8,0),"")=M203,"Pending","🔒 BLOCKED — Wrong Code")))</f>
        <v/>
      </c>
      <c r="M203" s="491" t="n"/>
    </row>
    <row r="204" ht="15" customHeight="1" s="341">
      <c r="K204" s="537">
        <f>IF(B204="","Pending",IF(M204="","⚠️ Enter Code",IF(IFERROR(VLOOKUP(L204,DB_Agents!$B:$I,8,0),"")=M204,"Pending","🔒 BLOCKED — Wrong Code")))</f>
        <v/>
      </c>
      <c r="M204" s="491" t="n"/>
    </row>
    <row r="205" ht="15" customHeight="1" s="341">
      <c r="K205" s="342">
        <f>IF(B205="","Pending",IF(M205="","⚠️ Enter Code",IF(IFERROR(VLOOKUP(L205,DB_Agents!$B:$I,8,0),"")=M205,"Pending","🔒 BLOCKED — Wrong Code")))</f>
        <v/>
      </c>
      <c r="M205" s="491" t="n"/>
    </row>
    <row r="206" ht="15" customHeight="1" s="341">
      <c r="K206" s="537">
        <f>IF(B206="","Pending",IF(M206="","⚠️ Enter Code",IF(IFERROR(VLOOKUP(L206,DB_Agents!$B:$I,8,0),"")=M206,"Pending","🔒 BLOCKED — Wrong Code")))</f>
        <v/>
      </c>
      <c r="M206" s="491" t="n"/>
    </row>
    <row r="207" ht="15" customHeight="1" s="341">
      <c r="K207" s="342">
        <f>IF(B207="","Pending",IF(M207="","⚠️ Enter Code",IF(IFERROR(VLOOKUP(L207,DB_Agents!$B:$I,8,0),"")=M207,"Pending","🔒 BLOCKED — Wrong Code")))</f>
        <v/>
      </c>
      <c r="M207" s="491" t="n"/>
    </row>
    <row r="208" ht="15" customHeight="1" s="341">
      <c r="K208" s="537">
        <f>IF(B208="","Pending",IF(M208="","⚠️ Enter Code",IF(IFERROR(VLOOKUP(L208,DB_Agents!$B:$I,8,0),"")=M208,"Pending","🔒 BLOCKED — Wrong Code")))</f>
        <v/>
      </c>
      <c r="M208" s="491" t="n"/>
    </row>
    <row r="209" ht="15" customHeight="1" s="341">
      <c r="K209" s="342">
        <f>IF(B209="","Pending",IF(M209="","⚠️ Enter Code",IF(IFERROR(VLOOKUP(L209,DB_Agents!$B:$I,8,0),"")=M209,"Pending","🔒 BLOCKED — Wrong Code")))</f>
        <v/>
      </c>
      <c r="M209" s="491" t="n"/>
    </row>
    <row r="210" ht="15" customHeight="1" s="341">
      <c r="K210" s="537">
        <f>IF(B210="","Pending",IF(M210="","⚠️ Enter Code",IF(IFERROR(VLOOKUP(L210,DB_Agents!$B:$I,8,0),"")=M210,"Pending","🔒 BLOCKED — Wrong Code")))</f>
        <v/>
      </c>
      <c r="M210" s="491" t="n"/>
    </row>
    <row r="211" ht="15" customHeight="1" s="341">
      <c r="K211" s="342">
        <f>IF(B211="","Pending",IF(M211="","⚠️ Enter Code",IF(IFERROR(VLOOKUP(L211,DB_Agents!$B:$I,8,0),"")=M211,"Pending","🔒 BLOCKED — Wrong Code")))</f>
        <v/>
      </c>
      <c r="M211" s="491" t="n"/>
    </row>
    <row r="212" ht="15" customHeight="1" s="341">
      <c r="K212" s="537">
        <f>IF(B212="","Pending",IF(M212="","⚠️ Enter Code",IF(IFERROR(VLOOKUP(L212,DB_Agents!$B:$I,8,0),"")=M212,"Pending","🔒 BLOCKED — Wrong Code")))</f>
        <v/>
      </c>
      <c r="M212" s="491" t="n"/>
    </row>
    <row r="213" ht="15" customHeight="1" s="341">
      <c r="K213" s="342">
        <f>IF(B213="","Pending",IF(M213="","⚠️ Enter Code",IF(IFERROR(VLOOKUP(L213,DB_Agents!$B:$I,8,0),"")=M213,"Pending","🔒 BLOCKED — Wrong Code")))</f>
        <v/>
      </c>
      <c r="M213" s="491" t="n"/>
    </row>
  </sheetData>
  <mergeCells count="10">
    <mergeCell ref="B10:D10"/>
    <mergeCell ref="B5:D5"/>
    <mergeCell ref="A12:N12"/>
    <mergeCell ref="A4:D4"/>
    <mergeCell ref="B8:D8"/>
    <mergeCell ref="A2:N2"/>
    <mergeCell ref="B9:D9"/>
    <mergeCell ref="B7:D7"/>
    <mergeCell ref="B6:D6"/>
    <mergeCell ref="A1:N1"/>
  </mergeCells>
  <conditionalFormatting sqref="K14:K113">
    <cfRule type="cellIs" rank="0" priority="2" equalAverage="0" operator="equal" aboveAverage="0" dxfId="0" text="" percent="0" bottom="0">
      <formula>"Approved"</formula>
    </cfRule>
    <cfRule type="cellIs" rank="0" priority="3" equalAverage="0" operator="equal" aboveAverage="0" dxfId="11" text="" percent="0" bottom="0">
      <formula>"Pending"</formula>
    </cfRule>
    <cfRule type="cellIs" rank="0" priority="4" equalAverage="0" operator="equal" aboveAverage="0" dxfId="1" text="" percent="0" bottom="0">
      <formula>"Rejected"</formula>
    </cfRule>
  </conditionalFormatting>
  <dataValidations count="2">
    <dataValidation sqref="G14:G113" showDropDown="0" showInputMessage="0" showErrorMessage="1" allowBlank="0" error="Enter 1-36 months" type="whole" errorStyle="stop" operator="between">
      <formula1>1</formula1>
      <formula2>36</formula2>
    </dataValidation>
    <dataValidation sqref="L14:L113"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5.xml><?xml version="1.0" encoding="utf-8"?>
<worksheet xmlns="http://schemas.openxmlformats.org/spreadsheetml/2006/main">
  <sheetPr filterMode="0">
    <tabColor rgb="FF27AE60"/>
    <outlinePr summaryBelow="1" summaryRight="1"/>
    <pageSetUpPr fitToPage="0"/>
  </sheetPr>
  <dimension ref="A1:L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2" customWidth="1" style="340" min="7" max="7"/>
    <col width="14" customWidth="1" style="340" min="8" max="8"/>
    <col width="22" customWidth="1" style="340" min="9" max="10"/>
  </cols>
  <sheetData>
    <row r="1" ht="31.5" customHeight="1" s="341">
      <c r="A1" s="409" t="inlineStr">
        <is>
          <t>💰  SAMICIOUS MICROFINANCE — AGENT04 SAVINGS</t>
        </is>
      </c>
    </row>
    <row r="2" ht="19.5" customHeight="1" s="341">
      <c r="A2" s="479" t="inlineStr">
        <is>
          <t>Agent: Agent 04  |  Enter Account # → All fields auto-populate  |  Status auto-sets to "Saved"  |  🔑 Security: Enter your 4-digit Agent Code in each row</t>
        </is>
      </c>
    </row>
    <row r="3" ht="18" customHeight="1" s="341">
      <c r="A3" s="364" t="inlineStr">
        <is>
          <t>💰 Total Collected Today</t>
        </is>
      </c>
      <c r="D3" s="367" t="inlineStr">
        <is>
          <t>📊 Transactions Today</t>
        </is>
      </c>
      <c r="G3" s="439" t="inlineStr">
        <is>
          <t>📅 Date</t>
        </is>
      </c>
      <c r="J3" s="340" t="n"/>
    </row>
    <row r="4" ht="27.75" customHeight="1" s="341">
      <c r="A4" s="480">
        <f>SUMIFS(DB_Savings!$F:$F,DB_Savings!$G:$G,"Agent 04",DB_Savings!$E:$E,TODAY())</f>
        <v/>
      </c>
      <c r="D4" s="481">
        <f>COUNTIFS(DB_Savings!$G:$G,"Agent 04",DB_Savings!$E:$E,TODAY())</f>
        <v/>
      </c>
      <c r="G4" s="482">
        <f>TEXT(TODAY(),"DDDD, DD MMMM YYYY")</f>
        <v/>
      </c>
      <c r="J4" s="340" t="n"/>
    </row>
    <row r="5" ht="21.75" customHeight="1" s="341">
      <c r="A5" s="483">
        <f>IF(SUMIFS(DB_Savings!$F:$F,DB_Savings!$G:$G,"Agent 04",DB_Savings!$E:$E,TODAY())&gt;=J4,"✅ DAILY TARGET ACHIEVED! Well done Agent 04!","⏳ Collection in progress — Keep going! Remaining: GHC "&amp;TEXT(J4-SUMIFS(DB_Savings!$F:$F,DB_Savings!$G:$G,"Agent 04",DB_Savings!$E:$E,TODAY()),"#,##0.00"))</f>
        <v/>
      </c>
    </row>
    <row r="6" ht="7.5" customHeight="1" s="341"/>
    <row r="7" ht="19.5" customHeight="1" s="341">
      <c r="A7" s="484" t="inlineStr">
        <is>
          <t>📝  ENTRY FORM — Enter Account Number in column A. All other fields auto-populate. Enter Savings Amount in column E then Tab to complete. | Enter Agent Code in 🔑 column to authorize each transaction.</t>
        </is>
      </c>
    </row>
    <row r="8" ht="19.5" customHeight="1" s="341">
      <c r="A8" s="377" t="inlineStr">
        <is>
          <t>Account #</t>
        </is>
      </c>
      <c r="B8" s="377" t="inlineStr">
        <is>
          <t>Customer Name</t>
        </is>
      </c>
      <c r="C8" s="377" t="inlineStr">
        <is>
          <t>Current Balance</t>
        </is>
      </c>
      <c r="D8" s="377" t="inlineStr">
        <is>
          <t>Date</t>
        </is>
      </c>
      <c r="E8" s="377" t="inlineStr">
        <is>
          <t>Savings Amount</t>
        </is>
      </c>
      <c r="F8" s="377" t="inlineStr">
        <is>
          <t>New Balance</t>
        </is>
      </c>
      <c r="G8" s="377" t="inlineStr">
        <is>
          <t>Agent</t>
        </is>
      </c>
      <c r="H8" s="485" t="inlineStr">
        <is>
          <t>🔑 Agent Code</t>
        </is>
      </c>
      <c r="I8" s="377" t="inlineStr">
        <is>
          <t>Status</t>
        </is>
      </c>
      <c r="J8" s="377" t="inlineStr">
        <is>
          <t>Saved At</t>
        </is>
      </c>
      <c r="K8" s="377" t="inlineStr">
        <is>
          <t>Notes</t>
        </is>
      </c>
    </row>
    <row r="9" ht="15" customHeight="1" s="341">
      <c r="A9" s="486" t="n"/>
      <c r="B9" s="378">
        <f>IF(A9="","",IFERROR(VLOOKUP(A9,DB_Customers!$A:$D,4,0),"❌ Account Not Found"))</f>
        <v/>
      </c>
      <c r="C9" s="487">
        <f>IF(A9="","",IFERROR(VLOOKUP(A9,DB_Customers!$A:$N,14,0),""))</f>
        <v/>
      </c>
      <c r="D9" s="488">
        <f>IF(A9="","",TODAY())</f>
        <v/>
      </c>
      <c r="E9" s="489" t="n"/>
      <c r="F9" s="490">
        <f>IF(OR(A9="",E9=""),"",IF(C9="","",C9+E9))</f>
        <v/>
      </c>
      <c r="G9" s="380" t="inlineStr">
        <is>
          <t>Agent 04</t>
        </is>
      </c>
      <c r="H9" s="491" t="n"/>
      <c r="I9" s="492">
        <f>IF(A9="","Pending",IF(H9="","⚠️ Enter Code",IF(IFERROR(VLOOKUP(G9,DB_Agents!$B:$I,8,0),"")=H9,IF(AND(A9&lt;&gt;"",E9&lt;&gt;""),"Saved","Pending"),"🔒 BLOCKED — Wrong Code")))</f>
        <v/>
      </c>
      <c r="J9" s="493">
        <f>IF(I9="Saved",TEXT(TODAY(),"YYYY-MM-DD")&amp;" Auto","—")</f>
        <v/>
      </c>
      <c r="K9" s="494" t="n"/>
    </row>
    <row r="10" ht="15" customHeight="1" s="341">
      <c r="A10" s="495" t="n"/>
      <c r="B10" s="382">
        <f>IF(A10="","",IFERROR(VLOOKUP(A10,DB_Customers!$A:$D,4,0),"❌ Account Not Found"))</f>
        <v/>
      </c>
      <c r="C10" s="496">
        <f>IF(A10="","",IFERROR(VLOOKUP(A10,DB_Customers!$A:$N,14,0),""))</f>
        <v/>
      </c>
      <c r="D10" s="497">
        <f>IF(A10="","",TODAY())</f>
        <v/>
      </c>
      <c r="E10" s="489" t="n"/>
      <c r="F10" s="498">
        <f>IF(OR(A10="",E10=""),"",IF(C10="","",C10+E10))</f>
        <v/>
      </c>
      <c r="G10" s="384" t="inlineStr">
        <is>
          <t>Agent 04</t>
        </is>
      </c>
      <c r="H10" s="491" t="n"/>
      <c r="I10" s="499">
        <f>IF(A10="","Pending",IF(H10="","⚠️ Enter Code",IF(IFERROR(VLOOKUP(G10,DB_Agents!$B:$I,8,0),"")=H10,IF(AND(A10&lt;&gt;"",E10&lt;&gt;""),"Saved","Pending"),"🔒 BLOCKED — Wrong Code")))</f>
        <v/>
      </c>
      <c r="J10" s="500">
        <f>IF(I10="Saved",TEXT(TODAY(),"YYYY-MM-DD")&amp;" Auto","—")</f>
        <v/>
      </c>
      <c r="K10" s="501" t="n"/>
    </row>
    <row r="11" ht="15" customHeight="1" s="341">
      <c r="A11" s="486" t="n"/>
      <c r="B11" s="378">
        <f>IF(A11="","",IFERROR(VLOOKUP(A11,DB_Customers!$A:$D,4,0),"❌ Account Not Found"))</f>
        <v/>
      </c>
      <c r="C11" s="487">
        <f>IF(A11="","",IFERROR(VLOOKUP(A11,DB_Customers!$A:$N,14,0),""))</f>
        <v/>
      </c>
      <c r="D11" s="488">
        <f>IF(A11="","",TODAY())</f>
        <v/>
      </c>
      <c r="E11" s="489" t="n"/>
      <c r="F11" s="490">
        <f>IF(OR(A11="",E11=""),"",IF(C11="","",C11+E11))</f>
        <v/>
      </c>
      <c r="G11" s="380" t="inlineStr">
        <is>
          <t>Agent 04</t>
        </is>
      </c>
      <c r="H11" s="491" t="n"/>
      <c r="I11" s="492">
        <f>IF(A11="","Pending",IF(H11="","⚠️ Enter Code",IF(IFERROR(VLOOKUP(G11,DB_Agents!$B:$I,8,0),"")=H11,IF(AND(A11&lt;&gt;"",E11&lt;&gt;""),"Saved","Pending"),"🔒 BLOCKED — Wrong Code")))</f>
        <v/>
      </c>
      <c r="J11" s="493">
        <f>IF(I11="Saved",TEXT(TODAY(),"YYYY-MM-DD")&amp;" Auto","—")</f>
        <v/>
      </c>
      <c r="K11" s="494" t="n"/>
    </row>
    <row r="12" ht="15" customHeight="1" s="341">
      <c r="A12" s="495" t="n"/>
      <c r="B12" s="382">
        <f>IF(A12="","",IFERROR(VLOOKUP(A12,DB_Customers!$A:$D,4,0),"❌ Account Not Found"))</f>
        <v/>
      </c>
      <c r="C12" s="496">
        <f>IF(A12="","",IFERROR(VLOOKUP(A12,DB_Customers!$A:$N,14,0),""))</f>
        <v/>
      </c>
      <c r="D12" s="497">
        <f>IF(A12="","",TODAY())</f>
        <v/>
      </c>
      <c r="E12" s="489" t="n"/>
      <c r="F12" s="498">
        <f>IF(OR(A12="",E12=""),"",IF(C12="","",C12+E12))</f>
        <v/>
      </c>
      <c r="G12" s="384" t="inlineStr">
        <is>
          <t>Agent 04</t>
        </is>
      </c>
      <c r="H12" s="491" t="n"/>
      <c r="I12" s="499">
        <f>IF(A12="","Pending",IF(H12="","⚠️ Enter Code",IF(IFERROR(VLOOKUP(G12,DB_Agents!$B:$I,8,0),"")=H12,IF(AND(A12&lt;&gt;"",E12&lt;&gt;""),"Saved","Pending"),"🔒 BLOCKED — Wrong Code")))</f>
        <v/>
      </c>
      <c r="J12" s="500">
        <f>IF(I12="Saved",TEXT(TODAY(),"YYYY-MM-DD")&amp;" Auto","—")</f>
        <v/>
      </c>
      <c r="K12" s="501" t="n"/>
    </row>
    <row r="13" ht="15" customHeight="1" s="341">
      <c r="A13" s="486" t="n"/>
      <c r="B13" s="378">
        <f>IF(A13="","",IFERROR(VLOOKUP(A13,DB_Customers!$A:$D,4,0),"❌ Account Not Found"))</f>
        <v/>
      </c>
      <c r="C13" s="487">
        <f>IF(A13="","",IFERROR(VLOOKUP(A13,DB_Customers!$A:$N,14,0),""))</f>
        <v/>
      </c>
      <c r="D13" s="488">
        <f>IF(A13="","",TODAY())</f>
        <v/>
      </c>
      <c r="E13" s="489" t="n"/>
      <c r="F13" s="490">
        <f>IF(OR(A13="",E13=""),"",IF(C13="","",C13+E13))</f>
        <v/>
      </c>
      <c r="G13" s="380" t="inlineStr">
        <is>
          <t>Agent 04</t>
        </is>
      </c>
      <c r="H13" s="491" t="n"/>
      <c r="I13" s="492">
        <f>IF(A13="","Pending",IF(H13="","⚠️ Enter Code",IF(IFERROR(VLOOKUP(G13,DB_Agents!$B:$I,8,0),"")=H13,IF(AND(A13&lt;&gt;"",E13&lt;&gt;""),"Saved","Pending"),"🔒 BLOCKED — Wrong Code")))</f>
        <v/>
      </c>
      <c r="J13" s="493">
        <f>IF(I13="Saved",TEXT(TODAY(),"YYYY-MM-DD")&amp;" Auto","—")</f>
        <v/>
      </c>
      <c r="K13" s="494" t="n"/>
    </row>
    <row r="14" ht="15" customHeight="1" s="341">
      <c r="A14" s="495" t="n"/>
      <c r="B14" s="382">
        <f>IF(A14="","",IFERROR(VLOOKUP(A14,DB_Customers!$A:$D,4,0),"❌ Account Not Found"))</f>
        <v/>
      </c>
      <c r="C14" s="496">
        <f>IF(A14="","",IFERROR(VLOOKUP(A14,DB_Customers!$A:$N,14,0),""))</f>
        <v/>
      </c>
      <c r="D14" s="497">
        <f>IF(A14="","",TODAY())</f>
        <v/>
      </c>
      <c r="E14" s="489" t="n"/>
      <c r="F14" s="498">
        <f>IF(OR(A14="",E14=""),"",IF(C14="","",C14+E14))</f>
        <v/>
      </c>
      <c r="G14" s="384" t="inlineStr">
        <is>
          <t>Agent 04</t>
        </is>
      </c>
      <c r="H14" s="491" t="n"/>
      <c r="I14" s="499">
        <f>IF(A14="","Pending",IF(H14="","⚠️ Enter Code",IF(IFERROR(VLOOKUP(G14,DB_Agents!$B:$I,8,0),"")=H14,IF(AND(A14&lt;&gt;"",E14&lt;&gt;""),"Saved","Pending"),"🔒 BLOCKED — Wrong Code")))</f>
        <v/>
      </c>
      <c r="J14" s="500">
        <f>IF(I14="Saved",TEXT(TODAY(),"YYYY-MM-DD")&amp;" Auto","—")</f>
        <v/>
      </c>
      <c r="K14" s="501" t="n"/>
    </row>
    <row r="15" ht="15" customHeight="1" s="341">
      <c r="A15" s="486" t="n"/>
      <c r="B15" s="378">
        <f>IF(A15="","",IFERROR(VLOOKUP(A15,DB_Customers!$A:$D,4,0),"❌ Account Not Found"))</f>
        <v/>
      </c>
      <c r="C15" s="487">
        <f>IF(A15="","",IFERROR(VLOOKUP(A15,DB_Customers!$A:$N,14,0),""))</f>
        <v/>
      </c>
      <c r="D15" s="488">
        <f>IF(A15="","",TODAY())</f>
        <v/>
      </c>
      <c r="E15" s="489" t="n"/>
      <c r="F15" s="490">
        <f>IF(OR(A15="",E15=""),"",IF(C15="","",C15+E15))</f>
        <v/>
      </c>
      <c r="G15" s="380" t="inlineStr">
        <is>
          <t>Agent 04</t>
        </is>
      </c>
      <c r="H15" s="491" t="n"/>
      <c r="I15" s="492">
        <f>IF(A15="","Pending",IF(H15="","⚠️ Enter Code",IF(IFERROR(VLOOKUP(G15,DB_Agents!$B:$I,8,0),"")=H15,IF(AND(A15&lt;&gt;"",E15&lt;&gt;""),"Saved","Pending"),"🔒 BLOCKED — Wrong Code")))</f>
        <v/>
      </c>
      <c r="J15" s="493">
        <f>IF(I15="Saved",TEXT(TODAY(),"YYYY-MM-DD")&amp;" Auto","—")</f>
        <v/>
      </c>
      <c r="K15" s="494" t="n"/>
    </row>
    <row r="16" ht="15" customHeight="1" s="341">
      <c r="A16" s="495" t="n"/>
      <c r="B16" s="382">
        <f>IF(A16="","",IFERROR(VLOOKUP(A16,DB_Customers!$A:$D,4,0),"❌ Account Not Found"))</f>
        <v/>
      </c>
      <c r="C16" s="496">
        <f>IF(A16="","",IFERROR(VLOOKUP(A16,DB_Customers!$A:$N,14,0),""))</f>
        <v/>
      </c>
      <c r="D16" s="497">
        <f>IF(A16="","",TODAY())</f>
        <v/>
      </c>
      <c r="E16" s="489" t="n"/>
      <c r="F16" s="498">
        <f>IF(OR(A16="",E16=""),"",IF(C16="","",C16+E16))</f>
        <v/>
      </c>
      <c r="G16" s="384" t="inlineStr">
        <is>
          <t>Agent 04</t>
        </is>
      </c>
      <c r="H16" s="491" t="n"/>
      <c r="I16" s="499">
        <f>IF(A16="","Pending",IF(H16="","⚠️ Enter Code",IF(IFERROR(VLOOKUP(G16,DB_Agents!$B:$I,8,0),"")=H16,IF(AND(A16&lt;&gt;"",E16&lt;&gt;""),"Saved","Pending"),"🔒 BLOCKED — Wrong Code")))</f>
        <v/>
      </c>
      <c r="J16" s="500">
        <f>IF(I16="Saved",TEXT(TODAY(),"YYYY-MM-DD")&amp;" Auto","—")</f>
        <v/>
      </c>
      <c r="K16" s="501" t="n"/>
    </row>
    <row r="17" ht="15" customHeight="1" s="341">
      <c r="A17" s="486" t="n"/>
      <c r="B17" s="378">
        <f>IF(A17="","",IFERROR(VLOOKUP(A17,DB_Customers!$A:$D,4,0),"❌ Account Not Found"))</f>
        <v/>
      </c>
      <c r="C17" s="487">
        <f>IF(A17="","",IFERROR(VLOOKUP(A17,DB_Customers!$A:$N,14,0),""))</f>
        <v/>
      </c>
      <c r="D17" s="488">
        <f>IF(A17="","",TODAY())</f>
        <v/>
      </c>
      <c r="E17" s="489" t="n"/>
      <c r="F17" s="490">
        <f>IF(OR(A17="",E17=""),"",IF(C17="","",C17+E17))</f>
        <v/>
      </c>
      <c r="G17" s="380" t="inlineStr">
        <is>
          <t>Agent 04</t>
        </is>
      </c>
      <c r="H17" s="491" t="n"/>
      <c r="I17" s="492">
        <f>IF(A17="","Pending",IF(H17="","⚠️ Enter Code",IF(IFERROR(VLOOKUP(G17,DB_Agents!$B:$I,8,0),"")=H17,IF(AND(A17&lt;&gt;"",E17&lt;&gt;""),"Saved","Pending"),"🔒 BLOCKED — Wrong Code")))</f>
        <v/>
      </c>
      <c r="J17" s="493">
        <f>IF(I17="Saved",TEXT(TODAY(),"YYYY-MM-DD")&amp;" Auto","—")</f>
        <v/>
      </c>
      <c r="K17" s="494" t="n"/>
    </row>
    <row r="18" ht="15" customHeight="1" s="341">
      <c r="A18" s="495" t="n"/>
      <c r="B18" s="382">
        <f>IF(A18="","",IFERROR(VLOOKUP(A18,DB_Customers!$A:$D,4,0),"❌ Account Not Found"))</f>
        <v/>
      </c>
      <c r="C18" s="496">
        <f>IF(A18="","",IFERROR(VLOOKUP(A18,DB_Customers!$A:$N,14,0),""))</f>
        <v/>
      </c>
      <c r="D18" s="497">
        <f>IF(A18="","",TODAY())</f>
        <v/>
      </c>
      <c r="E18" s="489" t="n"/>
      <c r="F18" s="498">
        <f>IF(OR(A18="",E18=""),"",IF(C18="","",C18+E18))</f>
        <v/>
      </c>
      <c r="G18" s="384" t="inlineStr">
        <is>
          <t>Agent 04</t>
        </is>
      </c>
      <c r="H18" s="491" t="n"/>
      <c r="I18" s="499">
        <f>IF(A18="","Pending",IF(H18="","⚠️ Enter Code",IF(IFERROR(VLOOKUP(G18,DB_Agents!$B:$I,8,0),"")=H18,IF(AND(A18&lt;&gt;"",E18&lt;&gt;""),"Saved","Pending"),"🔒 BLOCKED — Wrong Code")))</f>
        <v/>
      </c>
      <c r="J18" s="500">
        <f>IF(I18="Saved",TEXT(TODAY(),"YYYY-MM-DD")&amp;" Auto","—")</f>
        <v/>
      </c>
      <c r="K18" s="501" t="n"/>
    </row>
    <row r="19" ht="15" customHeight="1" s="341">
      <c r="A19" s="486" t="n"/>
      <c r="B19" s="378">
        <f>IF(A19="","",IFERROR(VLOOKUP(A19,DB_Customers!$A:$D,4,0),"❌ Account Not Found"))</f>
        <v/>
      </c>
      <c r="C19" s="487">
        <f>IF(A19="","",IFERROR(VLOOKUP(A19,DB_Customers!$A:$N,14,0),""))</f>
        <v/>
      </c>
      <c r="D19" s="488">
        <f>IF(A19="","",TODAY())</f>
        <v/>
      </c>
      <c r="E19" s="489" t="n"/>
      <c r="F19" s="490">
        <f>IF(OR(A19="",E19=""),"",IF(C19="","",C19+E19))</f>
        <v/>
      </c>
      <c r="G19" s="380" t="inlineStr">
        <is>
          <t>Agent 04</t>
        </is>
      </c>
      <c r="H19" s="491" t="n"/>
      <c r="I19" s="492">
        <f>IF(A19="","Pending",IF(H19="","⚠️ Enter Code",IF(IFERROR(VLOOKUP(G19,DB_Agents!$B:$I,8,0),"")=H19,IF(AND(A19&lt;&gt;"",E19&lt;&gt;""),"Saved","Pending"),"🔒 BLOCKED — Wrong Code")))</f>
        <v/>
      </c>
      <c r="J19" s="493">
        <f>IF(I19="Saved",TEXT(TODAY(),"YYYY-MM-DD")&amp;" Auto","—")</f>
        <v/>
      </c>
      <c r="K19" s="494" t="n"/>
    </row>
    <row r="20" ht="15" customHeight="1" s="341">
      <c r="A20" s="495" t="n"/>
      <c r="B20" s="382">
        <f>IF(A20="","",IFERROR(VLOOKUP(A20,DB_Customers!$A:$D,4,0),"❌ Account Not Found"))</f>
        <v/>
      </c>
      <c r="C20" s="496">
        <f>IF(A20="","",IFERROR(VLOOKUP(A20,DB_Customers!$A:$N,14,0),""))</f>
        <v/>
      </c>
      <c r="D20" s="497">
        <f>IF(A20="","",TODAY())</f>
        <v/>
      </c>
      <c r="E20" s="489" t="n"/>
      <c r="F20" s="498">
        <f>IF(OR(A20="",E20=""),"",IF(C20="","",C20+E20))</f>
        <v/>
      </c>
      <c r="G20" s="384" t="inlineStr">
        <is>
          <t>Agent 04</t>
        </is>
      </c>
      <c r="H20" s="491" t="n"/>
      <c r="I20" s="499">
        <f>IF(A20="","Pending",IF(H20="","⚠️ Enter Code",IF(IFERROR(VLOOKUP(G20,DB_Agents!$B:$I,8,0),"")=H20,IF(AND(A20&lt;&gt;"",E20&lt;&gt;""),"Saved","Pending"),"🔒 BLOCKED — Wrong Code")))</f>
        <v/>
      </c>
      <c r="J20" s="500">
        <f>IF(I20="Saved",TEXT(TODAY(),"YYYY-MM-DD")&amp;" Auto","—")</f>
        <v/>
      </c>
      <c r="K20" s="501" t="n"/>
    </row>
    <row r="21" ht="15" customHeight="1" s="341">
      <c r="A21" s="486" t="n"/>
      <c r="B21" s="378">
        <f>IF(A21="","",IFERROR(VLOOKUP(A21,DB_Customers!$A:$D,4,0),"❌ Account Not Found"))</f>
        <v/>
      </c>
      <c r="C21" s="487">
        <f>IF(A21="","",IFERROR(VLOOKUP(A21,DB_Customers!$A:$N,14,0),""))</f>
        <v/>
      </c>
      <c r="D21" s="488">
        <f>IF(A21="","",TODAY())</f>
        <v/>
      </c>
      <c r="E21" s="489" t="n"/>
      <c r="F21" s="490">
        <f>IF(OR(A21="",E21=""),"",IF(C21="","",C21+E21))</f>
        <v/>
      </c>
      <c r="G21" s="380" t="inlineStr">
        <is>
          <t>Agent 04</t>
        </is>
      </c>
      <c r="H21" s="491" t="n"/>
      <c r="I21" s="492">
        <f>IF(A21="","Pending",IF(H21="","⚠️ Enter Code",IF(IFERROR(VLOOKUP(G21,DB_Agents!$B:$I,8,0),"")=H21,IF(AND(A21&lt;&gt;"",E21&lt;&gt;""),"Saved","Pending"),"🔒 BLOCKED — Wrong Code")))</f>
        <v/>
      </c>
      <c r="J21" s="493">
        <f>IF(I21="Saved",TEXT(TODAY(),"YYYY-MM-DD")&amp;" Auto","—")</f>
        <v/>
      </c>
      <c r="K21" s="494" t="n"/>
    </row>
    <row r="22" ht="15" customHeight="1" s="341">
      <c r="A22" s="495" t="n"/>
      <c r="B22" s="382">
        <f>IF(A22="","",IFERROR(VLOOKUP(A22,DB_Customers!$A:$D,4,0),"❌ Account Not Found"))</f>
        <v/>
      </c>
      <c r="C22" s="496">
        <f>IF(A22="","",IFERROR(VLOOKUP(A22,DB_Customers!$A:$N,14,0),""))</f>
        <v/>
      </c>
      <c r="D22" s="497">
        <f>IF(A22="","",TODAY())</f>
        <v/>
      </c>
      <c r="E22" s="489" t="n"/>
      <c r="F22" s="498">
        <f>IF(OR(A22="",E22=""),"",IF(C22="","",C22+E22))</f>
        <v/>
      </c>
      <c r="G22" s="384" t="inlineStr">
        <is>
          <t>Agent 04</t>
        </is>
      </c>
      <c r="H22" s="491" t="n"/>
      <c r="I22" s="499">
        <f>IF(A22="","Pending",IF(H22="","⚠️ Enter Code",IF(IFERROR(VLOOKUP(G22,DB_Agents!$B:$I,8,0),"")=H22,IF(AND(A22&lt;&gt;"",E22&lt;&gt;""),"Saved","Pending"),"🔒 BLOCKED — Wrong Code")))</f>
        <v/>
      </c>
      <c r="J22" s="500">
        <f>IF(I22="Saved",TEXT(TODAY(),"YYYY-MM-DD")&amp;" Auto","—")</f>
        <v/>
      </c>
      <c r="K22" s="501" t="n"/>
    </row>
    <row r="23" ht="15" customHeight="1" s="341">
      <c r="A23" s="486" t="n"/>
      <c r="B23" s="378">
        <f>IF(A23="","",IFERROR(VLOOKUP(A23,DB_Customers!$A:$D,4,0),"❌ Account Not Found"))</f>
        <v/>
      </c>
      <c r="C23" s="487">
        <f>IF(A23="","",IFERROR(VLOOKUP(A23,DB_Customers!$A:$N,14,0),""))</f>
        <v/>
      </c>
      <c r="D23" s="488">
        <f>IF(A23="","",TODAY())</f>
        <v/>
      </c>
      <c r="E23" s="489" t="n"/>
      <c r="F23" s="490">
        <f>IF(OR(A23="",E23=""),"",IF(C23="","",C23+E23))</f>
        <v/>
      </c>
      <c r="G23" s="380" t="inlineStr">
        <is>
          <t>Agent 04</t>
        </is>
      </c>
      <c r="H23" s="491" t="n"/>
      <c r="I23" s="492">
        <f>IF(A23="","Pending",IF(H23="","⚠️ Enter Code",IF(IFERROR(VLOOKUP(G23,DB_Agents!$B:$I,8,0),"")=H23,IF(AND(A23&lt;&gt;"",E23&lt;&gt;""),"Saved","Pending"),"🔒 BLOCKED — Wrong Code")))</f>
        <v/>
      </c>
      <c r="J23" s="493">
        <f>IF(I23="Saved",TEXT(TODAY(),"YYYY-MM-DD")&amp;" Auto","—")</f>
        <v/>
      </c>
      <c r="K23" s="494" t="n"/>
    </row>
    <row r="24" ht="15" customHeight="1" s="341">
      <c r="A24" s="495" t="n"/>
      <c r="B24" s="382">
        <f>IF(A24="","",IFERROR(VLOOKUP(A24,DB_Customers!$A:$D,4,0),"❌ Account Not Found"))</f>
        <v/>
      </c>
      <c r="C24" s="496">
        <f>IF(A24="","",IFERROR(VLOOKUP(A24,DB_Customers!$A:$N,14,0),""))</f>
        <v/>
      </c>
      <c r="D24" s="497">
        <f>IF(A24="","",TODAY())</f>
        <v/>
      </c>
      <c r="E24" s="489" t="n"/>
      <c r="F24" s="498">
        <f>IF(OR(A24="",E24=""),"",IF(C24="","",C24+E24))</f>
        <v/>
      </c>
      <c r="G24" s="384" t="inlineStr">
        <is>
          <t>Agent 04</t>
        </is>
      </c>
      <c r="H24" s="491" t="n"/>
      <c r="I24" s="499">
        <f>IF(A24="","Pending",IF(H24="","⚠️ Enter Code",IF(IFERROR(VLOOKUP(G24,DB_Agents!$B:$I,8,0),"")=H24,IF(AND(A24&lt;&gt;"",E24&lt;&gt;""),"Saved","Pending"),"🔒 BLOCKED — Wrong Code")))</f>
        <v/>
      </c>
      <c r="J24" s="500">
        <f>IF(I24="Saved",TEXT(TODAY(),"YYYY-MM-DD")&amp;" Auto","—")</f>
        <v/>
      </c>
      <c r="K24" s="501" t="n"/>
    </row>
    <row r="25" ht="15" customHeight="1" s="341">
      <c r="A25" s="486" t="n"/>
      <c r="B25" s="378">
        <f>IF(A25="","",IFERROR(VLOOKUP(A25,DB_Customers!$A:$D,4,0),"❌ Account Not Found"))</f>
        <v/>
      </c>
      <c r="C25" s="487">
        <f>IF(A25="","",IFERROR(VLOOKUP(A25,DB_Customers!$A:$N,14,0),""))</f>
        <v/>
      </c>
      <c r="D25" s="488">
        <f>IF(A25="","",TODAY())</f>
        <v/>
      </c>
      <c r="E25" s="489" t="n"/>
      <c r="F25" s="490">
        <f>IF(OR(A25="",E25=""),"",IF(C25="","",C25+E25))</f>
        <v/>
      </c>
      <c r="G25" s="380" t="inlineStr">
        <is>
          <t>Agent 04</t>
        </is>
      </c>
      <c r="H25" s="491" t="n"/>
      <c r="I25" s="492">
        <f>IF(A25="","Pending",IF(H25="","⚠️ Enter Code",IF(IFERROR(VLOOKUP(G25,DB_Agents!$B:$I,8,0),"")=H25,IF(AND(A25&lt;&gt;"",E25&lt;&gt;""),"Saved","Pending"),"🔒 BLOCKED — Wrong Code")))</f>
        <v/>
      </c>
      <c r="J25" s="493">
        <f>IF(I25="Saved",TEXT(TODAY(),"YYYY-MM-DD")&amp;" Auto","—")</f>
        <v/>
      </c>
      <c r="K25" s="494" t="n"/>
    </row>
    <row r="26" ht="15" customHeight="1" s="341">
      <c r="A26" s="495" t="n"/>
      <c r="B26" s="382">
        <f>IF(A26="","",IFERROR(VLOOKUP(A26,DB_Customers!$A:$D,4,0),"❌ Account Not Found"))</f>
        <v/>
      </c>
      <c r="C26" s="496">
        <f>IF(A26="","",IFERROR(VLOOKUP(A26,DB_Customers!$A:$N,14,0),""))</f>
        <v/>
      </c>
      <c r="D26" s="497">
        <f>IF(A26="","",TODAY())</f>
        <v/>
      </c>
      <c r="E26" s="489" t="n"/>
      <c r="F26" s="498">
        <f>IF(OR(A26="",E26=""),"",IF(C26="","",C26+E26))</f>
        <v/>
      </c>
      <c r="G26" s="384" t="inlineStr">
        <is>
          <t>Agent 04</t>
        </is>
      </c>
      <c r="H26" s="491" t="n"/>
      <c r="I26" s="499">
        <f>IF(A26="","Pending",IF(H26="","⚠️ Enter Code",IF(IFERROR(VLOOKUP(G26,DB_Agents!$B:$I,8,0),"")=H26,IF(AND(A26&lt;&gt;"",E26&lt;&gt;""),"Saved","Pending"),"🔒 BLOCKED — Wrong Code")))</f>
        <v/>
      </c>
      <c r="J26" s="500">
        <f>IF(I26="Saved",TEXT(TODAY(),"YYYY-MM-DD")&amp;" Auto","—")</f>
        <v/>
      </c>
      <c r="K26" s="501" t="n"/>
    </row>
    <row r="27" ht="15" customHeight="1" s="341">
      <c r="A27" s="486" t="n"/>
      <c r="B27" s="378">
        <f>IF(A27="","",IFERROR(VLOOKUP(A27,DB_Customers!$A:$D,4,0),"❌ Account Not Found"))</f>
        <v/>
      </c>
      <c r="C27" s="487">
        <f>IF(A27="","",IFERROR(VLOOKUP(A27,DB_Customers!$A:$N,14,0),""))</f>
        <v/>
      </c>
      <c r="D27" s="488">
        <f>IF(A27="","",TODAY())</f>
        <v/>
      </c>
      <c r="E27" s="489" t="n"/>
      <c r="F27" s="490">
        <f>IF(OR(A27="",E27=""),"",IF(C27="","",C27+E27))</f>
        <v/>
      </c>
      <c r="G27" s="380" t="inlineStr">
        <is>
          <t>Agent 04</t>
        </is>
      </c>
      <c r="H27" s="491" t="n"/>
      <c r="I27" s="492">
        <f>IF(A27="","Pending",IF(H27="","⚠️ Enter Code",IF(IFERROR(VLOOKUP(G27,DB_Agents!$B:$I,8,0),"")=H27,IF(AND(A27&lt;&gt;"",E27&lt;&gt;""),"Saved","Pending"),"🔒 BLOCKED — Wrong Code")))</f>
        <v/>
      </c>
      <c r="J27" s="493">
        <f>IF(I27="Saved",TEXT(TODAY(),"YYYY-MM-DD")&amp;" Auto","—")</f>
        <v/>
      </c>
      <c r="K27" s="494" t="n"/>
    </row>
    <row r="28" ht="15" customHeight="1" s="341">
      <c r="A28" s="495" t="n"/>
      <c r="B28" s="382">
        <f>IF(A28="","",IFERROR(VLOOKUP(A28,DB_Customers!$A:$D,4,0),"❌ Account Not Found"))</f>
        <v/>
      </c>
      <c r="C28" s="496">
        <f>IF(A28="","",IFERROR(VLOOKUP(A28,DB_Customers!$A:$N,14,0),""))</f>
        <v/>
      </c>
      <c r="D28" s="497">
        <f>IF(A28="","",TODAY())</f>
        <v/>
      </c>
      <c r="E28" s="489" t="n"/>
      <c r="F28" s="498">
        <f>IF(OR(A28="",E28=""),"",IF(C28="","",C28+E28))</f>
        <v/>
      </c>
      <c r="G28" s="384" t="inlineStr">
        <is>
          <t>Agent 04</t>
        </is>
      </c>
      <c r="H28" s="491" t="n"/>
      <c r="I28" s="499">
        <f>IF(A28="","Pending",IF(H28="","⚠️ Enter Code",IF(IFERROR(VLOOKUP(G28,DB_Agents!$B:$I,8,0),"")=H28,IF(AND(A28&lt;&gt;"",E28&lt;&gt;""),"Saved","Pending"),"🔒 BLOCKED — Wrong Code")))</f>
        <v/>
      </c>
      <c r="J28" s="500">
        <f>IF(I28="Saved",TEXT(TODAY(),"YYYY-MM-DD")&amp;" Auto","—")</f>
        <v/>
      </c>
      <c r="K28" s="501" t="n"/>
    </row>
    <row r="29" ht="15" customHeight="1" s="341">
      <c r="A29" s="486" t="n"/>
      <c r="B29" s="378">
        <f>IF(A29="","",IFERROR(VLOOKUP(A29,DB_Customers!$A:$D,4,0),"❌ Account Not Found"))</f>
        <v/>
      </c>
      <c r="C29" s="487">
        <f>IF(A29="","",IFERROR(VLOOKUP(A29,DB_Customers!$A:$N,14,0),""))</f>
        <v/>
      </c>
      <c r="D29" s="488">
        <f>IF(A29="","",TODAY())</f>
        <v/>
      </c>
      <c r="E29" s="489" t="n"/>
      <c r="F29" s="490">
        <f>IF(OR(A29="",E29=""),"",IF(C29="","",C29+E29))</f>
        <v/>
      </c>
      <c r="G29" s="380" t="inlineStr">
        <is>
          <t>Agent 04</t>
        </is>
      </c>
      <c r="H29" s="491" t="n"/>
      <c r="I29" s="492">
        <f>IF(A29="","Pending",IF(H29="","⚠️ Enter Code",IF(IFERROR(VLOOKUP(G29,DB_Agents!$B:$I,8,0),"")=H29,IF(AND(A29&lt;&gt;"",E29&lt;&gt;""),"Saved","Pending"),"🔒 BLOCKED — Wrong Code")))</f>
        <v/>
      </c>
      <c r="J29" s="493">
        <f>IF(I29="Saved",TEXT(TODAY(),"YYYY-MM-DD")&amp;" Auto","—")</f>
        <v/>
      </c>
      <c r="K29" s="494" t="n"/>
    </row>
    <row r="30" ht="15" customHeight="1" s="341">
      <c r="A30" s="495" t="n"/>
      <c r="B30" s="382">
        <f>IF(A30="","",IFERROR(VLOOKUP(A30,DB_Customers!$A:$D,4,0),"❌ Account Not Found"))</f>
        <v/>
      </c>
      <c r="C30" s="496">
        <f>IF(A30="","",IFERROR(VLOOKUP(A30,DB_Customers!$A:$N,14,0),""))</f>
        <v/>
      </c>
      <c r="D30" s="497">
        <f>IF(A30="","",TODAY())</f>
        <v/>
      </c>
      <c r="E30" s="489" t="n"/>
      <c r="F30" s="498">
        <f>IF(OR(A30="",E30=""),"",IF(C30="","",C30+E30))</f>
        <v/>
      </c>
      <c r="G30" s="384" t="inlineStr">
        <is>
          <t>Agent 04</t>
        </is>
      </c>
      <c r="H30" s="491" t="n"/>
      <c r="I30" s="499">
        <f>IF(A30="","Pending",IF(H30="","⚠️ Enter Code",IF(IFERROR(VLOOKUP(G30,DB_Agents!$B:$I,8,0),"")=H30,IF(AND(A30&lt;&gt;"",E30&lt;&gt;""),"Saved","Pending"),"🔒 BLOCKED — Wrong Code")))</f>
        <v/>
      </c>
      <c r="J30" s="500">
        <f>IF(I30="Saved",TEXT(TODAY(),"YYYY-MM-DD")&amp;" Auto","—")</f>
        <v/>
      </c>
      <c r="K30" s="501" t="n"/>
    </row>
    <row r="31" ht="15" customHeight="1" s="341">
      <c r="A31" s="486" t="n"/>
      <c r="B31" s="378">
        <f>IF(A31="","",IFERROR(VLOOKUP(A31,DB_Customers!$A:$D,4,0),"❌ Account Not Found"))</f>
        <v/>
      </c>
      <c r="C31" s="487">
        <f>IF(A31="","",IFERROR(VLOOKUP(A31,DB_Customers!$A:$N,14,0),""))</f>
        <v/>
      </c>
      <c r="D31" s="488">
        <f>IF(A31="","",TODAY())</f>
        <v/>
      </c>
      <c r="E31" s="489" t="n"/>
      <c r="F31" s="490">
        <f>IF(OR(A31="",E31=""),"",IF(C31="","",C31+E31))</f>
        <v/>
      </c>
      <c r="G31" s="380" t="inlineStr">
        <is>
          <t>Agent 04</t>
        </is>
      </c>
      <c r="H31" s="491" t="n"/>
      <c r="I31" s="492">
        <f>IF(A31="","Pending",IF(H31="","⚠️ Enter Code",IF(IFERROR(VLOOKUP(G31,DB_Agents!$B:$I,8,0),"")=H31,IF(AND(A31&lt;&gt;"",E31&lt;&gt;""),"Saved","Pending"),"🔒 BLOCKED — Wrong Code")))</f>
        <v/>
      </c>
      <c r="J31" s="493">
        <f>IF(I31="Saved",TEXT(TODAY(),"YYYY-MM-DD")&amp;" Auto","—")</f>
        <v/>
      </c>
      <c r="K31" s="494" t="n"/>
    </row>
    <row r="32" ht="15" customHeight="1" s="341">
      <c r="A32" s="495" t="n"/>
      <c r="B32" s="382">
        <f>IF(A32="","",IFERROR(VLOOKUP(A32,DB_Customers!$A:$D,4,0),"❌ Account Not Found"))</f>
        <v/>
      </c>
      <c r="C32" s="496">
        <f>IF(A32="","",IFERROR(VLOOKUP(A32,DB_Customers!$A:$N,14,0),""))</f>
        <v/>
      </c>
      <c r="D32" s="497">
        <f>IF(A32="","",TODAY())</f>
        <v/>
      </c>
      <c r="E32" s="489" t="n"/>
      <c r="F32" s="498">
        <f>IF(OR(A32="",E32=""),"",IF(C32="","",C32+E32))</f>
        <v/>
      </c>
      <c r="G32" s="384" t="inlineStr">
        <is>
          <t>Agent 04</t>
        </is>
      </c>
      <c r="H32" s="491" t="n"/>
      <c r="I32" s="499">
        <f>IF(A32="","Pending",IF(H32="","⚠️ Enter Code",IF(IFERROR(VLOOKUP(G32,DB_Agents!$B:$I,8,0),"")=H32,IF(AND(A32&lt;&gt;"",E32&lt;&gt;""),"Saved","Pending"),"🔒 BLOCKED — Wrong Code")))</f>
        <v/>
      </c>
      <c r="J32" s="500">
        <f>IF(I32="Saved",TEXT(TODAY(),"YYYY-MM-DD")&amp;" Auto","—")</f>
        <v/>
      </c>
      <c r="K32" s="501" t="n"/>
    </row>
    <row r="33" ht="15" customHeight="1" s="341">
      <c r="A33" s="486" t="n"/>
      <c r="B33" s="378">
        <f>IF(A33="","",IFERROR(VLOOKUP(A33,DB_Customers!$A:$D,4,0),"❌ Account Not Found"))</f>
        <v/>
      </c>
      <c r="C33" s="487">
        <f>IF(A33="","",IFERROR(VLOOKUP(A33,DB_Customers!$A:$N,14,0),""))</f>
        <v/>
      </c>
      <c r="D33" s="488">
        <f>IF(A33="","",TODAY())</f>
        <v/>
      </c>
      <c r="E33" s="489" t="n"/>
      <c r="F33" s="490">
        <f>IF(OR(A33="",E33=""),"",IF(C33="","",C33+E33))</f>
        <v/>
      </c>
      <c r="G33" s="380" t="inlineStr">
        <is>
          <t>Agent 04</t>
        </is>
      </c>
      <c r="H33" s="491" t="n"/>
      <c r="I33" s="492">
        <f>IF(A33="","Pending",IF(H33="","⚠️ Enter Code",IF(IFERROR(VLOOKUP(G33,DB_Agents!$B:$I,8,0),"")=H33,IF(AND(A33&lt;&gt;"",E33&lt;&gt;""),"Saved","Pending"),"🔒 BLOCKED — Wrong Code")))</f>
        <v/>
      </c>
      <c r="J33" s="493">
        <f>IF(I33="Saved",TEXT(TODAY(),"YYYY-MM-DD")&amp;" Auto","—")</f>
        <v/>
      </c>
      <c r="K33" s="494" t="n"/>
    </row>
    <row r="34" ht="15" customHeight="1" s="341">
      <c r="A34" s="495" t="n"/>
      <c r="B34" s="382">
        <f>IF(A34="","",IFERROR(VLOOKUP(A34,DB_Customers!$A:$D,4,0),"❌ Account Not Found"))</f>
        <v/>
      </c>
      <c r="C34" s="496">
        <f>IF(A34="","",IFERROR(VLOOKUP(A34,DB_Customers!$A:$N,14,0),""))</f>
        <v/>
      </c>
      <c r="D34" s="497">
        <f>IF(A34="","",TODAY())</f>
        <v/>
      </c>
      <c r="E34" s="489" t="n"/>
      <c r="F34" s="498">
        <f>IF(OR(A34="",E34=""),"",IF(C34="","",C34+E34))</f>
        <v/>
      </c>
      <c r="G34" s="384" t="inlineStr">
        <is>
          <t>Agent 04</t>
        </is>
      </c>
      <c r="H34" s="491" t="n"/>
      <c r="I34" s="499">
        <f>IF(A34="","Pending",IF(H34="","⚠️ Enter Code",IF(IFERROR(VLOOKUP(G34,DB_Agents!$B:$I,8,0),"")=H34,IF(AND(A34&lt;&gt;"",E34&lt;&gt;""),"Saved","Pending"),"🔒 BLOCKED — Wrong Code")))</f>
        <v/>
      </c>
      <c r="J34" s="500">
        <f>IF(I34="Saved",TEXT(TODAY(),"YYYY-MM-DD")&amp;" Auto","—")</f>
        <v/>
      </c>
      <c r="K34" s="501" t="n"/>
    </row>
    <row r="35" ht="15" customHeight="1" s="341">
      <c r="A35" s="486" t="n"/>
      <c r="B35" s="378">
        <f>IF(A35="","",IFERROR(VLOOKUP(A35,DB_Customers!$A:$D,4,0),"❌ Account Not Found"))</f>
        <v/>
      </c>
      <c r="C35" s="487">
        <f>IF(A35="","",IFERROR(VLOOKUP(A35,DB_Customers!$A:$N,14,0),""))</f>
        <v/>
      </c>
      <c r="D35" s="488">
        <f>IF(A35="","",TODAY())</f>
        <v/>
      </c>
      <c r="E35" s="489" t="n"/>
      <c r="F35" s="490">
        <f>IF(OR(A35="",E35=""),"",IF(C35="","",C35+E35))</f>
        <v/>
      </c>
      <c r="G35" s="380" t="inlineStr">
        <is>
          <t>Agent 04</t>
        </is>
      </c>
      <c r="H35" s="491" t="n"/>
      <c r="I35" s="492">
        <f>IF(A35="","Pending",IF(H35="","⚠️ Enter Code",IF(IFERROR(VLOOKUP(G35,DB_Agents!$B:$I,8,0),"")=H35,IF(AND(A35&lt;&gt;"",E35&lt;&gt;""),"Saved","Pending"),"🔒 BLOCKED — Wrong Code")))</f>
        <v/>
      </c>
      <c r="J35" s="493">
        <f>IF(I35="Saved",TEXT(TODAY(),"YYYY-MM-DD")&amp;" Auto","—")</f>
        <v/>
      </c>
      <c r="K35" s="494" t="n"/>
    </row>
    <row r="36" ht="15" customHeight="1" s="341">
      <c r="A36" s="495" t="n"/>
      <c r="B36" s="382">
        <f>IF(A36="","",IFERROR(VLOOKUP(A36,DB_Customers!$A:$D,4,0),"❌ Account Not Found"))</f>
        <v/>
      </c>
      <c r="C36" s="496">
        <f>IF(A36="","",IFERROR(VLOOKUP(A36,DB_Customers!$A:$N,14,0),""))</f>
        <v/>
      </c>
      <c r="D36" s="497">
        <f>IF(A36="","",TODAY())</f>
        <v/>
      </c>
      <c r="E36" s="489" t="n"/>
      <c r="F36" s="498">
        <f>IF(OR(A36="",E36=""),"",IF(C36="","",C36+E36))</f>
        <v/>
      </c>
      <c r="G36" s="384" t="inlineStr">
        <is>
          <t>Agent 04</t>
        </is>
      </c>
      <c r="H36" s="491" t="n"/>
      <c r="I36" s="499">
        <f>IF(A36="","Pending",IF(H36="","⚠️ Enter Code",IF(IFERROR(VLOOKUP(G36,DB_Agents!$B:$I,8,0),"")=H36,IF(AND(A36&lt;&gt;"",E36&lt;&gt;""),"Saved","Pending"),"🔒 BLOCKED — Wrong Code")))</f>
        <v/>
      </c>
      <c r="J36" s="500">
        <f>IF(I36="Saved",TEXT(TODAY(),"YYYY-MM-DD")&amp;" Auto","—")</f>
        <v/>
      </c>
      <c r="K36" s="501" t="n"/>
    </row>
    <row r="37" ht="15" customHeight="1" s="341">
      <c r="A37" s="486" t="n"/>
      <c r="B37" s="378">
        <f>IF(A37="","",IFERROR(VLOOKUP(A37,DB_Customers!$A:$D,4,0),"❌ Account Not Found"))</f>
        <v/>
      </c>
      <c r="C37" s="487">
        <f>IF(A37="","",IFERROR(VLOOKUP(A37,DB_Customers!$A:$N,14,0),""))</f>
        <v/>
      </c>
      <c r="D37" s="488">
        <f>IF(A37="","",TODAY())</f>
        <v/>
      </c>
      <c r="E37" s="489" t="n"/>
      <c r="F37" s="490">
        <f>IF(OR(A37="",E37=""),"",IF(C37="","",C37+E37))</f>
        <v/>
      </c>
      <c r="G37" s="380" t="inlineStr">
        <is>
          <t>Agent 04</t>
        </is>
      </c>
      <c r="H37" s="491" t="n"/>
      <c r="I37" s="492">
        <f>IF(A37="","Pending",IF(H37="","⚠️ Enter Code",IF(IFERROR(VLOOKUP(G37,DB_Agents!$B:$I,8,0),"")=H37,IF(AND(A37&lt;&gt;"",E37&lt;&gt;""),"Saved","Pending"),"🔒 BLOCKED — Wrong Code")))</f>
        <v/>
      </c>
      <c r="J37" s="493">
        <f>IF(I37="Saved",TEXT(TODAY(),"YYYY-MM-DD")&amp;" Auto","—")</f>
        <v/>
      </c>
      <c r="K37" s="494" t="n"/>
    </row>
    <row r="38" ht="15" customHeight="1" s="341">
      <c r="A38" s="495" t="n"/>
      <c r="B38" s="382">
        <f>IF(A38="","",IFERROR(VLOOKUP(A38,DB_Customers!$A:$D,4,0),"❌ Account Not Found"))</f>
        <v/>
      </c>
      <c r="C38" s="496">
        <f>IF(A38="","",IFERROR(VLOOKUP(A38,DB_Customers!$A:$N,14,0),""))</f>
        <v/>
      </c>
      <c r="D38" s="497">
        <f>IF(A38="","",TODAY())</f>
        <v/>
      </c>
      <c r="E38" s="489" t="n"/>
      <c r="F38" s="498">
        <f>IF(OR(A38="",E38=""),"",IF(C38="","",C38+E38))</f>
        <v/>
      </c>
      <c r="G38" s="384" t="inlineStr">
        <is>
          <t>Agent 04</t>
        </is>
      </c>
      <c r="H38" s="491" t="n"/>
      <c r="I38" s="499">
        <f>IF(A38="","Pending",IF(H38="","⚠️ Enter Code",IF(IFERROR(VLOOKUP(G38,DB_Agents!$B:$I,8,0),"")=H38,IF(AND(A38&lt;&gt;"",E38&lt;&gt;""),"Saved","Pending"),"🔒 BLOCKED — Wrong Code")))</f>
        <v/>
      </c>
      <c r="J38" s="500">
        <f>IF(I38="Saved",TEXT(TODAY(),"YYYY-MM-DD")&amp;" Auto","—")</f>
        <v/>
      </c>
      <c r="K38" s="501" t="n"/>
    </row>
    <row r="39" ht="15" customHeight="1" s="341">
      <c r="A39" s="486" t="n"/>
      <c r="B39" s="378">
        <f>IF(A39="","",IFERROR(VLOOKUP(A39,DB_Customers!$A:$D,4,0),"❌ Account Not Found"))</f>
        <v/>
      </c>
      <c r="C39" s="487">
        <f>IF(A39="","",IFERROR(VLOOKUP(A39,DB_Customers!$A:$N,14,0),""))</f>
        <v/>
      </c>
      <c r="D39" s="488">
        <f>IF(A39="","",TODAY())</f>
        <v/>
      </c>
      <c r="E39" s="489" t="n"/>
      <c r="F39" s="490">
        <f>IF(OR(A39="",E39=""),"",IF(C39="","",C39+E39))</f>
        <v/>
      </c>
      <c r="G39" s="380" t="inlineStr">
        <is>
          <t>Agent 04</t>
        </is>
      </c>
      <c r="H39" s="491" t="n"/>
      <c r="I39" s="492">
        <f>IF(A39="","Pending",IF(H39="","⚠️ Enter Code",IF(IFERROR(VLOOKUP(G39,DB_Agents!$B:$I,8,0),"")=H39,IF(AND(A39&lt;&gt;"",E39&lt;&gt;""),"Saved","Pending"),"🔒 BLOCKED — Wrong Code")))</f>
        <v/>
      </c>
      <c r="J39" s="493">
        <f>IF(I39="Saved",TEXT(TODAY(),"YYYY-MM-DD")&amp;" Auto","—")</f>
        <v/>
      </c>
      <c r="K39" s="494" t="n"/>
    </row>
    <row r="40" ht="15" customHeight="1" s="341">
      <c r="A40" s="495" t="n"/>
      <c r="B40" s="382">
        <f>IF(A40="","",IFERROR(VLOOKUP(A40,DB_Customers!$A:$D,4,0),"❌ Account Not Found"))</f>
        <v/>
      </c>
      <c r="C40" s="496">
        <f>IF(A40="","",IFERROR(VLOOKUP(A40,DB_Customers!$A:$N,14,0),""))</f>
        <v/>
      </c>
      <c r="D40" s="497">
        <f>IF(A40="","",TODAY())</f>
        <v/>
      </c>
      <c r="E40" s="489" t="n"/>
      <c r="F40" s="498">
        <f>IF(OR(A40="",E40=""),"",IF(C40="","",C40+E40))</f>
        <v/>
      </c>
      <c r="G40" s="384" t="inlineStr">
        <is>
          <t>Agent 04</t>
        </is>
      </c>
      <c r="H40" s="491" t="n"/>
      <c r="I40" s="499">
        <f>IF(A40="","Pending",IF(H40="","⚠️ Enter Code",IF(IFERROR(VLOOKUP(G40,DB_Agents!$B:$I,8,0),"")=H40,IF(AND(A40&lt;&gt;"",E40&lt;&gt;""),"Saved","Pending"),"🔒 BLOCKED — Wrong Code")))</f>
        <v/>
      </c>
      <c r="J40" s="500">
        <f>IF(I40="Saved",TEXT(TODAY(),"YYYY-MM-DD")&amp;" Auto","—")</f>
        <v/>
      </c>
      <c r="K40" s="501" t="n"/>
    </row>
    <row r="41" ht="15" customHeight="1" s="341">
      <c r="A41" s="486" t="n"/>
      <c r="B41" s="378">
        <f>IF(A41="","",IFERROR(VLOOKUP(A41,DB_Customers!$A:$D,4,0),"❌ Account Not Found"))</f>
        <v/>
      </c>
      <c r="C41" s="487">
        <f>IF(A41="","",IFERROR(VLOOKUP(A41,DB_Customers!$A:$N,14,0),""))</f>
        <v/>
      </c>
      <c r="D41" s="488">
        <f>IF(A41="","",TODAY())</f>
        <v/>
      </c>
      <c r="E41" s="489" t="n"/>
      <c r="F41" s="490">
        <f>IF(OR(A41="",E41=""),"",IF(C41="","",C41+E41))</f>
        <v/>
      </c>
      <c r="G41" s="380" t="inlineStr">
        <is>
          <t>Agent 04</t>
        </is>
      </c>
      <c r="H41" s="491" t="n"/>
      <c r="I41" s="492">
        <f>IF(A41="","Pending",IF(H41="","⚠️ Enter Code",IF(IFERROR(VLOOKUP(G41,DB_Agents!$B:$I,8,0),"")=H41,IF(AND(A41&lt;&gt;"",E41&lt;&gt;""),"Saved","Pending"),"🔒 BLOCKED — Wrong Code")))</f>
        <v/>
      </c>
      <c r="J41" s="493">
        <f>IF(I41="Saved",TEXT(TODAY(),"YYYY-MM-DD")&amp;" Auto","—")</f>
        <v/>
      </c>
      <c r="K41" s="494" t="n"/>
    </row>
    <row r="42" ht="15" customHeight="1" s="341">
      <c r="A42" s="495" t="n"/>
      <c r="B42" s="382">
        <f>IF(A42="","",IFERROR(VLOOKUP(A42,DB_Customers!$A:$D,4,0),"❌ Account Not Found"))</f>
        <v/>
      </c>
      <c r="C42" s="496">
        <f>IF(A42="","",IFERROR(VLOOKUP(A42,DB_Customers!$A:$N,14,0),""))</f>
        <v/>
      </c>
      <c r="D42" s="497">
        <f>IF(A42="","",TODAY())</f>
        <v/>
      </c>
      <c r="E42" s="489" t="n"/>
      <c r="F42" s="498">
        <f>IF(OR(A42="",E42=""),"",IF(C42="","",C42+E42))</f>
        <v/>
      </c>
      <c r="G42" s="384" t="inlineStr">
        <is>
          <t>Agent 04</t>
        </is>
      </c>
      <c r="H42" s="491" t="n"/>
      <c r="I42" s="499">
        <f>IF(A42="","Pending",IF(H42="","⚠️ Enter Code",IF(IFERROR(VLOOKUP(G42,DB_Agents!$B:$I,8,0),"")=H42,IF(AND(A42&lt;&gt;"",E42&lt;&gt;""),"Saved","Pending"),"🔒 BLOCKED — Wrong Code")))</f>
        <v/>
      </c>
      <c r="J42" s="500">
        <f>IF(I42="Saved",TEXT(TODAY(),"YYYY-MM-DD")&amp;" Auto","—")</f>
        <v/>
      </c>
      <c r="K42" s="501" t="n"/>
    </row>
    <row r="43" ht="15" customHeight="1" s="341">
      <c r="A43" s="486" t="n"/>
      <c r="B43" s="378">
        <f>IF(A43="","",IFERROR(VLOOKUP(A43,DB_Customers!$A:$D,4,0),"❌ Account Not Found"))</f>
        <v/>
      </c>
      <c r="C43" s="487">
        <f>IF(A43="","",IFERROR(VLOOKUP(A43,DB_Customers!$A:$N,14,0),""))</f>
        <v/>
      </c>
      <c r="D43" s="488">
        <f>IF(A43="","",TODAY())</f>
        <v/>
      </c>
      <c r="E43" s="489" t="n"/>
      <c r="F43" s="490">
        <f>IF(OR(A43="",E43=""),"",IF(C43="","",C43+E43))</f>
        <v/>
      </c>
      <c r="G43" s="380" t="inlineStr">
        <is>
          <t>Agent 04</t>
        </is>
      </c>
      <c r="H43" s="491" t="n"/>
      <c r="I43" s="492">
        <f>IF(A43="","Pending",IF(H43="","⚠️ Enter Code",IF(IFERROR(VLOOKUP(G43,DB_Agents!$B:$I,8,0),"")=H43,IF(AND(A43&lt;&gt;"",E43&lt;&gt;""),"Saved","Pending"),"🔒 BLOCKED — Wrong Code")))</f>
        <v/>
      </c>
      <c r="J43" s="493">
        <f>IF(I43="Saved",TEXT(TODAY(),"YYYY-MM-DD")&amp;" Auto","—")</f>
        <v/>
      </c>
      <c r="K43" s="494" t="n"/>
    </row>
    <row r="44" ht="15" customHeight="1" s="341">
      <c r="A44" s="495" t="n"/>
      <c r="B44" s="382">
        <f>IF(A44="","",IFERROR(VLOOKUP(A44,DB_Customers!$A:$D,4,0),"❌ Account Not Found"))</f>
        <v/>
      </c>
      <c r="C44" s="496">
        <f>IF(A44="","",IFERROR(VLOOKUP(A44,DB_Customers!$A:$N,14,0),""))</f>
        <v/>
      </c>
      <c r="D44" s="497">
        <f>IF(A44="","",TODAY())</f>
        <v/>
      </c>
      <c r="E44" s="489" t="n"/>
      <c r="F44" s="498">
        <f>IF(OR(A44="",E44=""),"",IF(C44="","",C44+E44))</f>
        <v/>
      </c>
      <c r="G44" s="384" t="inlineStr">
        <is>
          <t>Agent 04</t>
        </is>
      </c>
      <c r="H44" s="491" t="n"/>
      <c r="I44" s="499">
        <f>IF(A44="","Pending",IF(H44="","⚠️ Enter Code",IF(IFERROR(VLOOKUP(G44,DB_Agents!$B:$I,8,0),"")=H44,IF(AND(A44&lt;&gt;"",E44&lt;&gt;""),"Saved","Pending"),"🔒 BLOCKED — Wrong Code")))</f>
        <v/>
      </c>
      <c r="J44" s="500">
        <f>IF(I44="Saved",TEXT(TODAY(),"YYYY-MM-DD")&amp;" Auto","—")</f>
        <v/>
      </c>
      <c r="K44" s="501" t="n"/>
    </row>
    <row r="45" ht="15" customHeight="1" s="341">
      <c r="A45" s="486" t="n"/>
      <c r="B45" s="378">
        <f>IF(A45="","",IFERROR(VLOOKUP(A45,DB_Customers!$A:$D,4,0),"❌ Account Not Found"))</f>
        <v/>
      </c>
      <c r="C45" s="487">
        <f>IF(A45="","",IFERROR(VLOOKUP(A45,DB_Customers!$A:$N,14,0),""))</f>
        <v/>
      </c>
      <c r="D45" s="488">
        <f>IF(A45="","",TODAY())</f>
        <v/>
      </c>
      <c r="E45" s="489" t="n"/>
      <c r="F45" s="490">
        <f>IF(OR(A45="",E45=""),"",IF(C45="","",C45+E45))</f>
        <v/>
      </c>
      <c r="G45" s="380" t="inlineStr">
        <is>
          <t>Agent 04</t>
        </is>
      </c>
      <c r="H45" s="491" t="n"/>
      <c r="I45" s="492">
        <f>IF(A45="","Pending",IF(H45="","⚠️ Enter Code",IF(IFERROR(VLOOKUP(G45,DB_Agents!$B:$I,8,0),"")=H45,IF(AND(A45&lt;&gt;"",E45&lt;&gt;""),"Saved","Pending"),"🔒 BLOCKED — Wrong Code")))</f>
        <v/>
      </c>
      <c r="J45" s="493">
        <f>IF(I45="Saved",TEXT(TODAY(),"YYYY-MM-DD")&amp;" Auto","—")</f>
        <v/>
      </c>
      <c r="K45" s="494" t="n"/>
    </row>
    <row r="46" ht="15" customHeight="1" s="341">
      <c r="A46" s="495" t="n"/>
      <c r="B46" s="382">
        <f>IF(A46="","",IFERROR(VLOOKUP(A46,DB_Customers!$A:$D,4,0),"❌ Account Not Found"))</f>
        <v/>
      </c>
      <c r="C46" s="496">
        <f>IF(A46="","",IFERROR(VLOOKUP(A46,DB_Customers!$A:$N,14,0),""))</f>
        <v/>
      </c>
      <c r="D46" s="497">
        <f>IF(A46="","",TODAY())</f>
        <v/>
      </c>
      <c r="E46" s="489" t="n"/>
      <c r="F46" s="498">
        <f>IF(OR(A46="",E46=""),"",IF(C46="","",C46+E46))</f>
        <v/>
      </c>
      <c r="G46" s="384" t="inlineStr">
        <is>
          <t>Agent 04</t>
        </is>
      </c>
      <c r="H46" s="491" t="n"/>
      <c r="I46" s="499">
        <f>IF(A46="","Pending",IF(H46="","⚠️ Enter Code",IF(IFERROR(VLOOKUP(G46,DB_Agents!$B:$I,8,0),"")=H46,IF(AND(A46&lt;&gt;"",E46&lt;&gt;""),"Saved","Pending"),"🔒 BLOCKED — Wrong Code")))</f>
        <v/>
      </c>
      <c r="J46" s="500">
        <f>IF(I46="Saved",TEXT(TODAY(),"YYYY-MM-DD")&amp;" Auto","—")</f>
        <v/>
      </c>
      <c r="K46" s="501" t="n"/>
    </row>
    <row r="47" ht="15" customHeight="1" s="341">
      <c r="A47" s="486" t="n"/>
      <c r="B47" s="378">
        <f>IF(A47="","",IFERROR(VLOOKUP(A47,DB_Customers!$A:$D,4,0),"❌ Account Not Found"))</f>
        <v/>
      </c>
      <c r="C47" s="487">
        <f>IF(A47="","",IFERROR(VLOOKUP(A47,DB_Customers!$A:$N,14,0),""))</f>
        <v/>
      </c>
      <c r="D47" s="488">
        <f>IF(A47="","",TODAY())</f>
        <v/>
      </c>
      <c r="E47" s="489" t="n"/>
      <c r="F47" s="490">
        <f>IF(OR(A47="",E47=""),"",IF(C47="","",C47+E47))</f>
        <v/>
      </c>
      <c r="G47" s="380" t="inlineStr">
        <is>
          <t>Agent 04</t>
        </is>
      </c>
      <c r="H47" s="491" t="n"/>
      <c r="I47" s="492">
        <f>IF(A47="","Pending",IF(H47="","⚠️ Enter Code",IF(IFERROR(VLOOKUP(G47,DB_Agents!$B:$I,8,0),"")=H47,IF(AND(A47&lt;&gt;"",E47&lt;&gt;""),"Saved","Pending"),"🔒 BLOCKED — Wrong Code")))</f>
        <v/>
      </c>
      <c r="J47" s="493">
        <f>IF(I47="Saved",TEXT(TODAY(),"YYYY-MM-DD")&amp;" Auto","—")</f>
        <v/>
      </c>
      <c r="K47" s="494" t="n"/>
    </row>
    <row r="48" ht="15" customHeight="1" s="341">
      <c r="A48" s="495" t="n"/>
      <c r="B48" s="382">
        <f>IF(A48="","",IFERROR(VLOOKUP(A48,DB_Customers!$A:$D,4,0),"❌ Account Not Found"))</f>
        <v/>
      </c>
      <c r="C48" s="496">
        <f>IF(A48="","",IFERROR(VLOOKUP(A48,DB_Customers!$A:$N,14,0),""))</f>
        <v/>
      </c>
      <c r="D48" s="497">
        <f>IF(A48="","",TODAY())</f>
        <v/>
      </c>
      <c r="E48" s="489" t="n"/>
      <c r="F48" s="498">
        <f>IF(OR(A48="",E48=""),"",IF(C48="","",C48+E48))</f>
        <v/>
      </c>
      <c r="G48" s="384" t="inlineStr">
        <is>
          <t>Agent 04</t>
        </is>
      </c>
      <c r="H48" s="491" t="n"/>
      <c r="I48" s="499">
        <f>IF(A48="","Pending",IF(H48="","⚠️ Enter Code",IF(IFERROR(VLOOKUP(G48,DB_Agents!$B:$I,8,0),"")=H48,IF(AND(A48&lt;&gt;"",E48&lt;&gt;""),"Saved","Pending"),"🔒 BLOCKED — Wrong Code")))</f>
        <v/>
      </c>
      <c r="J48" s="500">
        <f>IF(I48="Saved",TEXT(TODAY(),"YYYY-MM-DD")&amp;" Auto","—")</f>
        <v/>
      </c>
      <c r="K48" s="501" t="n"/>
    </row>
    <row r="49" ht="15" customHeight="1" s="341">
      <c r="A49" s="486" t="n"/>
      <c r="B49" s="378">
        <f>IF(A49="","",IFERROR(VLOOKUP(A49,DB_Customers!$A:$D,4,0),"❌ Account Not Found"))</f>
        <v/>
      </c>
      <c r="C49" s="487">
        <f>IF(A49="","",IFERROR(VLOOKUP(A49,DB_Customers!$A:$N,14,0),""))</f>
        <v/>
      </c>
      <c r="D49" s="488">
        <f>IF(A49="","",TODAY())</f>
        <v/>
      </c>
      <c r="E49" s="489" t="n"/>
      <c r="F49" s="490">
        <f>IF(OR(A49="",E49=""),"",IF(C49="","",C49+E49))</f>
        <v/>
      </c>
      <c r="G49" s="380" t="inlineStr">
        <is>
          <t>Agent 04</t>
        </is>
      </c>
      <c r="H49" s="491" t="n"/>
      <c r="I49" s="492">
        <f>IF(A49="","Pending",IF(H49="","⚠️ Enter Code",IF(IFERROR(VLOOKUP(G49,DB_Agents!$B:$I,8,0),"")=H49,IF(AND(A49&lt;&gt;"",E49&lt;&gt;""),"Saved","Pending"),"🔒 BLOCKED — Wrong Code")))</f>
        <v/>
      </c>
      <c r="J49" s="493">
        <f>IF(I49="Saved",TEXT(TODAY(),"YYYY-MM-DD")&amp;" Auto","—")</f>
        <v/>
      </c>
      <c r="K49" s="494" t="n"/>
    </row>
    <row r="50" ht="15" customHeight="1" s="341">
      <c r="A50" s="495" t="n"/>
      <c r="B50" s="382">
        <f>IF(A50="","",IFERROR(VLOOKUP(A50,DB_Customers!$A:$D,4,0),"❌ Account Not Found"))</f>
        <v/>
      </c>
      <c r="C50" s="496">
        <f>IF(A50="","",IFERROR(VLOOKUP(A50,DB_Customers!$A:$N,14,0),""))</f>
        <v/>
      </c>
      <c r="D50" s="497">
        <f>IF(A50="","",TODAY())</f>
        <v/>
      </c>
      <c r="E50" s="489" t="n"/>
      <c r="F50" s="498">
        <f>IF(OR(A50="",E50=""),"",IF(C50="","",C50+E50))</f>
        <v/>
      </c>
      <c r="G50" s="384" t="inlineStr">
        <is>
          <t>Agent 04</t>
        </is>
      </c>
      <c r="H50" s="491" t="n"/>
      <c r="I50" s="499">
        <f>IF(A50="","Pending",IF(H50="","⚠️ Enter Code",IF(IFERROR(VLOOKUP(G50,DB_Agents!$B:$I,8,0),"")=H50,IF(AND(A50&lt;&gt;"",E50&lt;&gt;""),"Saved","Pending"),"🔒 BLOCKED — Wrong Code")))</f>
        <v/>
      </c>
      <c r="J50" s="500">
        <f>IF(I50="Saved",TEXT(TODAY(),"YYYY-MM-DD")&amp;" Auto","—")</f>
        <v/>
      </c>
      <c r="K50" s="501" t="n"/>
    </row>
    <row r="51" ht="15" customHeight="1" s="341">
      <c r="A51" s="486" t="n"/>
      <c r="B51" s="378">
        <f>IF(A51="","",IFERROR(VLOOKUP(A51,DB_Customers!$A:$D,4,0),"❌ Account Not Found"))</f>
        <v/>
      </c>
      <c r="C51" s="487">
        <f>IF(A51="","",IFERROR(VLOOKUP(A51,DB_Customers!$A:$N,14,0),""))</f>
        <v/>
      </c>
      <c r="D51" s="488">
        <f>IF(A51="","",TODAY())</f>
        <v/>
      </c>
      <c r="E51" s="489" t="n"/>
      <c r="F51" s="490">
        <f>IF(OR(A51="",E51=""),"",IF(C51="","",C51+E51))</f>
        <v/>
      </c>
      <c r="G51" s="380" t="inlineStr">
        <is>
          <t>Agent 04</t>
        </is>
      </c>
      <c r="H51" s="491" t="n"/>
      <c r="I51" s="492">
        <f>IF(A51="","Pending",IF(H51="","⚠️ Enter Code",IF(IFERROR(VLOOKUP(G51,DB_Agents!$B:$I,8,0),"")=H51,IF(AND(A51&lt;&gt;"",E51&lt;&gt;""),"Saved","Pending"),"🔒 BLOCKED — Wrong Code")))</f>
        <v/>
      </c>
      <c r="J51" s="493">
        <f>IF(I51="Saved",TEXT(TODAY(),"YYYY-MM-DD")&amp;" Auto","—")</f>
        <v/>
      </c>
      <c r="K51" s="494" t="n"/>
    </row>
    <row r="52" ht="15" customHeight="1" s="341">
      <c r="A52" s="495" t="n"/>
      <c r="B52" s="382">
        <f>IF(A52="","",IFERROR(VLOOKUP(A52,DB_Customers!$A:$D,4,0),"❌ Account Not Found"))</f>
        <v/>
      </c>
      <c r="C52" s="496">
        <f>IF(A52="","",IFERROR(VLOOKUP(A52,DB_Customers!$A:$N,14,0),""))</f>
        <v/>
      </c>
      <c r="D52" s="497">
        <f>IF(A52="","",TODAY())</f>
        <v/>
      </c>
      <c r="E52" s="489" t="n"/>
      <c r="F52" s="498">
        <f>IF(OR(A52="",E52=""),"",IF(C52="","",C52+E52))</f>
        <v/>
      </c>
      <c r="G52" s="384" t="inlineStr">
        <is>
          <t>Agent 04</t>
        </is>
      </c>
      <c r="H52" s="491" t="n"/>
      <c r="I52" s="499">
        <f>IF(A52="","Pending",IF(H52="","⚠️ Enter Code",IF(IFERROR(VLOOKUP(G52,DB_Agents!$B:$I,8,0),"")=H52,IF(AND(A52&lt;&gt;"",E52&lt;&gt;""),"Saved","Pending"),"🔒 BLOCKED — Wrong Code")))</f>
        <v/>
      </c>
      <c r="J52" s="500">
        <f>IF(I52="Saved",TEXT(TODAY(),"YYYY-MM-DD")&amp;" Auto","—")</f>
        <v/>
      </c>
      <c r="K52" s="501" t="n"/>
    </row>
    <row r="53" ht="15" customHeight="1" s="341">
      <c r="A53" s="486" t="n"/>
      <c r="B53" s="378">
        <f>IF(A53="","",IFERROR(VLOOKUP(A53,DB_Customers!$A:$D,4,0),"❌ Account Not Found"))</f>
        <v/>
      </c>
      <c r="C53" s="487">
        <f>IF(A53="","",IFERROR(VLOOKUP(A53,DB_Customers!$A:$N,14,0),""))</f>
        <v/>
      </c>
      <c r="D53" s="488">
        <f>IF(A53="","",TODAY())</f>
        <v/>
      </c>
      <c r="E53" s="489" t="n"/>
      <c r="F53" s="490">
        <f>IF(OR(A53="",E53=""),"",IF(C53="","",C53+E53))</f>
        <v/>
      </c>
      <c r="G53" s="380" t="inlineStr">
        <is>
          <t>Agent 04</t>
        </is>
      </c>
      <c r="H53" s="491" t="n"/>
      <c r="I53" s="492">
        <f>IF(A53="","Pending",IF(H53="","⚠️ Enter Code",IF(IFERROR(VLOOKUP(G53,DB_Agents!$B:$I,8,0),"")=H53,IF(AND(A53&lt;&gt;"",E53&lt;&gt;""),"Saved","Pending"),"🔒 BLOCKED — Wrong Code")))</f>
        <v/>
      </c>
      <c r="J53" s="493">
        <f>IF(I53="Saved",TEXT(TODAY(),"YYYY-MM-DD")&amp;" Auto","—")</f>
        <v/>
      </c>
      <c r="K53" s="494" t="n"/>
    </row>
    <row r="54" ht="15" customHeight="1" s="341">
      <c r="A54" s="495" t="n"/>
      <c r="B54" s="382">
        <f>IF(A54="","",IFERROR(VLOOKUP(A54,DB_Customers!$A:$D,4,0),"❌ Account Not Found"))</f>
        <v/>
      </c>
      <c r="C54" s="496">
        <f>IF(A54="","",IFERROR(VLOOKUP(A54,DB_Customers!$A:$N,14,0),""))</f>
        <v/>
      </c>
      <c r="D54" s="497">
        <f>IF(A54="","",TODAY())</f>
        <v/>
      </c>
      <c r="E54" s="489" t="n"/>
      <c r="F54" s="498">
        <f>IF(OR(A54="",E54=""),"",IF(C54="","",C54+E54))</f>
        <v/>
      </c>
      <c r="G54" s="384" t="inlineStr">
        <is>
          <t>Agent 04</t>
        </is>
      </c>
      <c r="H54" s="491" t="n"/>
      <c r="I54" s="499">
        <f>IF(A54="","Pending",IF(H54="","⚠️ Enter Code",IF(IFERROR(VLOOKUP(G54,DB_Agents!$B:$I,8,0),"")=H54,IF(AND(A54&lt;&gt;"",E54&lt;&gt;""),"Saved","Pending"),"🔒 BLOCKED — Wrong Code")))</f>
        <v/>
      </c>
      <c r="J54" s="500">
        <f>IF(I54="Saved",TEXT(TODAY(),"YYYY-MM-DD")&amp;" Auto","—")</f>
        <v/>
      </c>
      <c r="K54" s="501" t="n"/>
    </row>
    <row r="55" ht="15" customHeight="1" s="341">
      <c r="A55" s="486" t="n"/>
      <c r="B55" s="378">
        <f>IF(A55="","",IFERROR(VLOOKUP(A55,DB_Customers!$A:$D,4,0),"❌ Account Not Found"))</f>
        <v/>
      </c>
      <c r="C55" s="487">
        <f>IF(A55="","",IFERROR(VLOOKUP(A55,DB_Customers!$A:$N,14,0),""))</f>
        <v/>
      </c>
      <c r="D55" s="488">
        <f>IF(A55="","",TODAY())</f>
        <v/>
      </c>
      <c r="E55" s="489" t="n"/>
      <c r="F55" s="490">
        <f>IF(OR(A55="",E55=""),"",IF(C55="","",C55+E55))</f>
        <v/>
      </c>
      <c r="G55" s="380" t="inlineStr">
        <is>
          <t>Agent 04</t>
        </is>
      </c>
      <c r="H55" s="491" t="n"/>
      <c r="I55" s="492">
        <f>IF(A55="","Pending",IF(H55="","⚠️ Enter Code",IF(IFERROR(VLOOKUP(G55,DB_Agents!$B:$I,8,0),"")=H55,IF(AND(A55&lt;&gt;"",E55&lt;&gt;""),"Saved","Pending"),"🔒 BLOCKED — Wrong Code")))</f>
        <v/>
      </c>
      <c r="J55" s="493">
        <f>IF(I55="Saved",TEXT(TODAY(),"YYYY-MM-DD")&amp;" Auto","—")</f>
        <v/>
      </c>
      <c r="K55" s="494" t="n"/>
    </row>
    <row r="56" ht="15" customHeight="1" s="341">
      <c r="A56" s="495" t="n"/>
      <c r="B56" s="382">
        <f>IF(A56="","",IFERROR(VLOOKUP(A56,DB_Customers!$A:$D,4,0),"❌ Account Not Found"))</f>
        <v/>
      </c>
      <c r="C56" s="496">
        <f>IF(A56="","",IFERROR(VLOOKUP(A56,DB_Customers!$A:$N,14,0),""))</f>
        <v/>
      </c>
      <c r="D56" s="497">
        <f>IF(A56="","",TODAY())</f>
        <v/>
      </c>
      <c r="E56" s="489" t="n"/>
      <c r="F56" s="498">
        <f>IF(OR(A56="",E56=""),"",IF(C56="","",C56+E56))</f>
        <v/>
      </c>
      <c r="G56" s="384" t="inlineStr">
        <is>
          <t>Agent 04</t>
        </is>
      </c>
      <c r="H56" s="491" t="n"/>
      <c r="I56" s="499">
        <f>IF(A56="","Pending",IF(H56="","⚠️ Enter Code",IF(IFERROR(VLOOKUP(G56,DB_Agents!$B:$I,8,0),"")=H56,IF(AND(A56&lt;&gt;"",E56&lt;&gt;""),"Saved","Pending"),"🔒 BLOCKED — Wrong Code")))</f>
        <v/>
      </c>
      <c r="J56" s="500">
        <f>IF(I56="Saved",TEXT(TODAY(),"YYYY-MM-DD")&amp;" Auto","—")</f>
        <v/>
      </c>
      <c r="K56" s="501" t="n"/>
    </row>
    <row r="57" ht="15" customHeight="1" s="341">
      <c r="A57" s="486" t="n"/>
      <c r="B57" s="378">
        <f>IF(A57="","",IFERROR(VLOOKUP(A57,DB_Customers!$A:$D,4,0),"❌ Account Not Found"))</f>
        <v/>
      </c>
      <c r="C57" s="487">
        <f>IF(A57="","",IFERROR(VLOOKUP(A57,DB_Customers!$A:$N,14,0),""))</f>
        <v/>
      </c>
      <c r="D57" s="488">
        <f>IF(A57="","",TODAY())</f>
        <v/>
      </c>
      <c r="E57" s="489" t="n"/>
      <c r="F57" s="490">
        <f>IF(OR(A57="",E57=""),"",IF(C57="","",C57+E57))</f>
        <v/>
      </c>
      <c r="G57" s="380" t="inlineStr">
        <is>
          <t>Agent 04</t>
        </is>
      </c>
      <c r="H57" s="491" t="n"/>
      <c r="I57" s="492">
        <f>IF(A57="","Pending",IF(H57="","⚠️ Enter Code",IF(IFERROR(VLOOKUP(G57,DB_Agents!$B:$I,8,0),"")=H57,IF(AND(A57&lt;&gt;"",E57&lt;&gt;""),"Saved","Pending"),"🔒 BLOCKED — Wrong Code")))</f>
        <v/>
      </c>
      <c r="J57" s="493">
        <f>IF(I57="Saved",TEXT(TODAY(),"YYYY-MM-DD")&amp;" Auto","—")</f>
        <v/>
      </c>
      <c r="K57" s="494" t="n"/>
    </row>
    <row r="58" ht="15" customHeight="1" s="341">
      <c r="A58" s="495" t="n"/>
      <c r="B58" s="382">
        <f>IF(A58="","",IFERROR(VLOOKUP(A58,DB_Customers!$A:$D,4,0),"❌ Account Not Found"))</f>
        <v/>
      </c>
      <c r="C58" s="496">
        <f>IF(A58="","",IFERROR(VLOOKUP(A58,DB_Customers!$A:$N,14,0),""))</f>
        <v/>
      </c>
      <c r="D58" s="497">
        <f>IF(A58="","",TODAY())</f>
        <v/>
      </c>
      <c r="E58" s="489" t="n"/>
      <c r="F58" s="498">
        <f>IF(OR(A58="",E58=""),"",IF(C58="","",C58+E58))</f>
        <v/>
      </c>
      <c r="G58" s="384" t="inlineStr">
        <is>
          <t>Agent 04</t>
        </is>
      </c>
      <c r="H58" s="491" t="n"/>
      <c r="I58" s="499">
        <f>IF(A58="","Pending",IF(H58="","⚠️ Enter Code",IF(IFERROR(VLOOKUP(G58,DB_Agents!$B:$I,8,0),"")=H58,IF(AND(A58&lt;&gt;"",E58&lt;&gt;""),"Saved","Pending"),"🔒 BLOCKED — Wrong Code")))</f>
        <v/>
      </c>
      <c r="J58" s="500">
        <f>IF(I58="Saved",TEXT(TODAY(),"YYYY-MM-DD")&amp;" Auto","—")</f>
        <v/>
      </c>
      <c r="K58" s="501" t="n"/>
    </row>
    <row r="59" ht="15" customHeight="1" s="341">
      <c r="A59" s="486" t="n"/>
      <c r="B59" s="378">
        <f>IF(A59="","",IFERROR(VLOOKUP(A59,DB_Customers!$A:$D,4,0),"❌ Account Not Found"))</f>
        <v/>
      </c>
      <c r="C59" s="487">
        <f>IF(A59="","",IFERROR(VLOOKUP(A59,DB_Customers!$A:$N,14,0),""))</f>
        <v/>
      </c>
      <c r="D59" s="488">
        <f>IF(A59="","",TODAY())</f>
        <v/>
      </c>
      <c r="E59" s="489" t="n"/>
      <c r="F59" s="490">
        <f>IF(OR(A59="",E59=""),"",IF(C59="","",C59+E59))</f>
        <v/>
      </c>
      <c r="G59" s="380" t="inlineStr">
        <is>
          <t>Agent 04</t>
        </is>
      </c>
      <c r="H59" s="491" t="n"/>
      <c r="I59" s="492">
        <f>IF(A59="","Pending",IF(H59="","⚠️ Enter Code",IF(IFERROR(VLOOKUP(G59,DB_Agents!$B:$I,8,0),"")=H59,IF(AND(A59&lt;&gt;"",E59&lt;&gt;""),"Saved","Pending"),"🔒 BLOCKED — Wrong Code")))</f>
        <v/>
      </c>
      <c r="J59" s="493">
        <f>IF(I59="Saved",TEXT(TODAY(),"YYYY-MM-DD")&amp;" Auto","—")</f>
        <v/>
      </c>
      <c r="K59" s="494" t="n"/>
    </row>
    <row r="60" ht="15" customHeight="1" s="341">
      <c r="A60" s="495" t="n"/>
      <c r="B60" s="382">
        <f>IF(A60="","",IFERROR(VLOOKUP(A60,DB_Customers!$A:$D,4,0),"❌ Account Not Found"))</f>
        <v/>
      </c>
      <c r="C60" s="496">
        <f>IF(A60="","",IFERROR(VLOOKUP(A60,DB_Customers!$A:$N,14,0),""))</f>
        <v/>
      </c>
      <c r="D60" s="497">
        <f>IF(A60="","",TODAY())</f>
        <v/>
      </c>
      <c r="E60" s="489" t="n"/>
      <c r="F60" s="498">
        <f>IF(OR(A60="",E60=""),"",IF(C60="","",C60+E60))</f>
        <v/>
      </c>
      <c r="G60" s="384" t="inlineStr">
        <is>
          <t>Agent 04</t>
        </is>
      </c>
      <c r="H60" s="491" t="n"/>
      <c r="I60" s="499">
        <f>IF(A60="","Pending",IF(H60="","⚠️ Enter Code",IF(IFERROR(VLOOKUP(G60,DB_Agents!$B:$I,8,0),"")=H60,IF(AND(A60&lt;&gt;"",E60&lt;&gt;""),"Saved","Pending"),"🔒 BLOCKED — Wrong Code")))</f>
        <v/>
      </c>
      <c r="J60" s="500">
        <f>IF(I60="Saved",TEXT(TODAY(),"YYYY-MM-DD")&amp;" Auto","—")</f>
        <v/>
      </c>
      <c r="K60" s="501" t="n"/>
    </row>
    <row r="61" ht="15" customHeight="1" s="341">
      <c r="A61" s="486" t="n"/>
      <c r="B61" s="378">
        <f>IF(A61="","",IFERROR(VLOOKUP(A61,DB_Customers!$A:$D,4,0),"❌ Account Not Found"))</f>
        <v/>
      </c>
      <c r="C61" s="487">
        <f>IF(A61="","",IFERROR(VLOOKUP(A61,DB_Customers!$A:$N,14,0),""))</f>
        <v/>
      </c>
      <c r="D61" s="488">
        <f>IF(A61="","",TODAY())</f>
        <v/>
      </c>
      <c r="E61" s="489" t="n"/>
      <c r="F61" s="490">
        <f>IF(OR(A61="",E61=""),"",IF(C61="","",C61+E61))</f>
        <v/>
      </c>
      <c r="G61" s="380" t="inlineStr">
        <is>
          <t>Agent 04</t>
        </is>
      </c>
      <c r="H61" s="491" t="n"/>
      <c r="I61" s="492">
        <f>IF(A61="","Pending",IF(H61="","⚠️ Enter Code",IF(IFERROR(VLOOKUP(G61,DB_Agents!$B:$I,8,0),"")=H61,IF(AND(A61&lt;&gt;"",E61&lt;&gt;""),"Saved","Pending"),"🔒 BLOCKED — Wrong Code")))</f>
        <v/>
      </c>
      <c r="J61" s="493">
        <f>IF(I61="Saved",TEXT(TODAY(),"YYYY-MM-DD")&amp;" Auto","—")</f>
        <v/>
      </c>
      <c r="K61" s="494" t="n"/>
    </row>
    <row r="62" ht="15" customHeight="1" s="341">
      <c r="A62" s="495" t="n"/>
      <c r="B62" s="382">
        <f>IF(A62="","",IFERROR(VLOOKUP(A62,DB_Customers!$A:$D,4,0),"❌ Account Not Found"))</f>
        <v/>
      </c>
      <c r="C62" s="496">
        <f>IF(A62="","",IFERROR(VLOOKUP(A62,DB_Customers!$A:$N,14,0),""))</f>
        <v/>
      </c>
      <c r="D62" s="497">
        <f>IF(A62="","",TODAY())</f>
        <v/>
      </c>
      <c r="E62" s="489" t="n"/>
      <c r="F62" s="498">
        <f>IF(OR(A62="",E62=""),"",IF(C62="","",C62+E62))</f>
        <v/>
      </c>
      <c r="G62" s="384" t="inlineStr">
        <is>
          <t>Agent 04</t>
        </is>
      </c>
      <c r="H62" s="491" t="n"/>
      <c r="I62" s="499">
        <f>IF(A62="","Pending",IF(H62="","⚠️ Enter Code",IF(IFERROR(VLOOKUP(G62,DB_Agents!$B:$I,8,0),"")=H62,IF(AND(A62&lt;&gt;"",E62&lt;&gt;""),"Saved","Pending"),"🔒 BLOCKED — Wrong Code")))</f>
        <v/>
      </c>
      <c r="J62" s="500">
        <f>IF(I62="Saved",TEXT(TODAY(),"YYYY-MM-DD")&amp;" Auto","—")</f>
        <v/>
      </c>
      <c r="K62" s="501" t="n"/>
    </row>
    <row r="63" ht="15" customHeight="1" s="341">
      <c r="A63" s="486" t="n"/>
      <c r="B63" s="378">
        <f>IF(A63="","",IFERROR(VLOOKUP(A63,DB_Customers!$A:$D,4,0),"❌ Account Not Found"))</f>
        <v/>
      </c>
      <c r="C63" s="487">
        <f>IF(A63="","",IFERROR(VLOOKUP(A63,DB_Customers!$A:$N,14,0),""))</f>
        <v/>
      </c>
      <c r="D63" s="488">
        <f>IF(A63="","",TODAY())</f>
        <v/>
      </c>
      <c r="E63" s="489" t="n"/>
      <c r="F63" s="490">
        <f>IF(OR(A63="",E63=""),"",IF(C63="","",C63+E63))</f>
        <v/>
      </c>
      <c r="G63" s="380" t="inlineStr">
        <is>
          <t>Agent 04</t>
        </is>
      </c>
      <c r="H63" s="491" t="n"/>
      <c r="I63" s="492">
        <f>IF(A63="","Pending",IF(H63="","⚠️ Enter Code",IF(IFERROR(VLOOKUP(G63,DB_Agents!$B:$I,8,0),"")=H63,IF(AND(A63&lt;&gt;"",E63&lt;&gt;""),"Saved","Pending"),"🔒 BLOCKED — Wrong Code")))</f>
        <v/>
      </c>
      <c r="J63" s="493">
        <f>IF(I63="Saved",TEXT(TODAY(),"YYYY-MM-DD")&amp;" Auto","—")</f>
        <v/>
      </c>
      <c r="K63" s="494" t="n"/>
    </row>
    <row r="64" ht="15" customHeight="1" s="341">
      <c r="A64" s="495" t="n"/>
      <c r="B64" s="382">
        <f>IF(A64="","",IFERROR(VLOOKUP(A64,DB_Customers!$A:$D,4,0),"❌ Account Not Found"))</f>
        <v/>
      </c>
      <c r="C64" s="496">
        <f>IF(A64="","",IFERROR(VLOOKUP(A64,DB_Customers!$A:$N,14,0),""))</f>
        <v/>
      </c>
      <c r="D64" s="497">
        <f>IF(A64="","",TODAY())</f>
        <v/>
      </c>
      <c r="E64" s="489" t="n"/>
      <c r="F64" s="498">
        <f>IF(OR(A64="",E64=""),"",IF(C64="","",C64+E64))</f>
        <v/>
      </c>
      <c r="G64" s="384" t="inlineStr">
        <is>
          <t>Agent 04</t>
        </is>
      </c>
      <c r="H64" s="491" t="n"/>
      <c r="I64" s="499">
        <f>IF(A64="","Pending",IF(H64="","⚠️ Enter Code",IF(IFERROR(VLOOKUP(G64,DB_Agents!$B:$I,8,0),"")=H64,IF(AND(A64&lt;&gt;"",E64&lt;&gt;""),"Saved","Pending"),"🔒 BLOCKED — Wrong Code")))</f>
        <v/>
      </c>
      <c r="J64" s="500">
        <f>IF(I64="Saved",TEXT(TODAY(),"YYYY-MM-DD")&amp;" Auto","—")</f>
        <v/>
      </c>
      <c r="K64" s="501" t="n"/>
    </row>
    <row r="65" ht="15" customHeight="1" s="341">
      <c r="A65" s="486" t="n"/>
      <c r="B65" s="378">
        <f>IF(A65="","",IFERROR(VLOOKUP(A65,DB_Customers!$A:$D,4,0),"❌ Account Not Found"))</f>
        <v/>
      </c>
      <c r="C65" s="487">
        <f>IF(A65="","",IFERROR(VLOOKUP(A65,DB_Customers!$A:$N,14,0),""))</f>
        <v/>
      </c>
      <c r="D65" s="488">
        <f>IF(A65="","",TODAY())</f>
        <v/>
      </c>
      <c r="E65" s="489" t="n"/>
      <c r="F65" s="490">
        <f>IF(OR(A65="",E65=""),"",IF(C65="","",C65+E65))</f>
        <v/>
      </c>
      <c r="G65" s="380" t="inlineStr">
        <is>
          <t>Agent 04</t>
        </is>
      </c>
      <c r="H65" s="491" t="n"/>
      <c r="I65" s="492">
        <f>IF(A65="","Pending",IF(H65="","⚠️ Enter Code",IF(IFERROR(VLOOKUP(G65,DB_Agents!$B:$I,8,0),"")=H65,IF(AND(A65&lt;&gt;"",E65&lt;&gt;""),"Saved","Pending"),"🔒 BLOCKED — Wrong Code")))</f>
        <v/>
      </c>
      <c r="J65" s="493">
        <f>IF(I65="Saved",TEXT(TODAY(),"YYYY-MM-DD")&amp;" Auto","—")</f>
        <v/>
      </c>
      <c r="K65" s="494" t="n"/>
    </row>
    <row r="66" ht="15" customHeight="1" s="341">
      <c r="A66" s="495" t="n"/>
      <c r="B66" s="382">
        <f>IF(A66="","",IFERROR(VLOOKUP(A66,DB_Customers!$A:$D,4,0),"❌ Account Not Found"))</f>
        <v/>
      </c>
      <c r="C66" s="496">
        <f>IF(A66="","",IFERROR(VLOOKUP(A66,DB_Customers!$A:$N,14,0),""))</f>
        <v/>
      </c>
      <c r="D66" s="497">
        <f>IF(A66="","",TODAY())</f>
        <v/>
      </c>
      <c r="E66" s="489" t="n"/>
      <c r="F66" s="498">
        <f>IF(OR(A66="",E66=""),"",IF(C66="","",C66+E66))</f>
        <v/>
      </c>
      <c r="G66" s="384" t="inlineStr">
        <is>
          <t>Agent 04</t>
        </is>
      </c>
      <c r="H66" s="491" t="n"/>
      <c r="I66" s="499">
        <f>IF(A66="","Pending",IF(H66="","⚠️ Enter Code",IF(IFERROR(VLOOKUP(G66,DB_Agents!$B:$I,8,0),"")=H66,IF(AND(A66&lt;&gt;"",E66&lt;&gt;""),"Saved","Pending"),"🔒 BLOCKED — Wrong Code")))</f>
        <v/>
      </c>
      <c r="J66" s="500">
        <f>IF(I66="Saved",TEXT(TODAY(),"YYYY-MM-DD")&amp;" Auto","—")</f>
        <v/>
      </c>
      <c r="K66" s="501" t="n"/>
    </row>
    <row r="67" ht="15" customHeight="1" s="341">
      <c r="A67" s="486" t="n"/>
      <c r="B67" s="378">
        <f>IF(A67="","",IFERROR(VLOOKUP(A67,DB_Customers!$A:$D,4,0),"❌ Account Not Found"))</f>
        <v/>
      </c>
      <c r="C67" s="487">
        <f>IF(A67="","",IFERROR(VLOOKUP(A67,DB_Customers!$A:$N,14,0),""))</f>
        <v/>
      </c>
      <c r="D67" s="488">
        <f>IF(A67="","",TODAY())</f>
        <v/>
      </c>
      <c r="E67" s="489" t="n"/>
      <c r="F67" s="490">
        <f>IF(OR(A67="",E67=""),"",IF(C67="","",C67+E67))</f>
        <v/>
      </c>
      <c r="G67" s="380" t="inlineStr">
        <is>
          <t>Agent 04</t>
        </is>
      </c>
      <c r="H67" s="491" t="n"/>
      <c r="I67" s="492">
        <f>IF(A67="","Pending",IF(H67="","⚠️ Enter Code",IF(IFERROR(VLOOKUP(G67,DB_Agents!$B:$I,8,0),"")=H67,IF(AND(A67&lt;&gt;"",E67&lt;&gt;""),"Saved","Pending"),"🔒 BLOCKED — Wrong Code")))</f>
        <v/>
      </c>
      <c r="J67" s="493">
        <f>IF(I67="Saved",TEXT(TODAY(),"YYYY-MM-DD")&amp;" Auto","—")</f>
        <v/>
      </c>
      <c r="K67" s="494" t="n"/>
    </row>
    <row r="68" ht="15" customHeight="1" s="341">
      <c r="A68" s="495" t="n"/>
      <c r="B68" s="382">
        <f>IF(A68="","",IFERROR(VLOOKUP(A68,DB_Customers!$A:$D,4,0),"❌ Account Not Found"))</f>
        <v/>
      </c>
      <c r="C68" s="496">
        <f>IF(A68="","",IFERROR(VLOOKUP(A68,DB_Customers!$A:$N,14,0),""))</f>
        <v/>
      </c>
      <c r="D68" s="497">
        <f>IF(A68="","",TODAY())</f>
        <v/>
      </c>
      <c r="E68" s="489" t="n"/>
      <c r="F68" s="498">
        <f>IF(OR(A68="",E68=""),"",IF(C68="","",C68+E68))</f>
        <v/>
      </c>
      <c r="G68" s="384" t="inlineStr">
        <is>
          <t>Agent 04</t>
        </is>
      </c>
      <c r="H68" s="491" t="n"/>
      <c r="I68" s="499">
        <f>IF(A68="","Pending",IF(H68="","⚠️ Enter Code",IF(IFERROR(VLOOKUP(G68,DB_Agents!$B:$I,8,0),"")=H68,IF(AND(A68&lt;&gt;"",E68&lt;&gt;""),"Saved","Pending"),"🔒 BLOCKED — Wrong Code")))</f>
        <v/>
      </c>
      <c r="J68" s="500">
        <f>IF(I68="Saved",TEXT(TODAY(),"YYYY-MM-DD")&amp;" Auto","—")</f>
        <v/>
      </c>
      <c r="K68" s="501" t="n"/>
    </row>
    <row r="69" ht="15" customHeight="1" s="341">
      <c r="A69" s="486" t="n"/>
      <c r="B69" s="378">
        <f>IF(A69="","",IFERROR(VLOOKUP(A69,DB_Customers!$A:$D,4,0),"❌ Account Not Found"))</f>
        <v/>
      </c>
      <c r="C69" s="487">
        <f>IF(A69="","",IFERROR(VLOOKUP(A69,DB_Customers!$A:$N,14,0),""))</f>
        <v/>
      </c>
      <c r="D69" s="488">
        <f>IF(A69="","",TODAY())</f>
        <v/>
      </c>
      <c r="E69" s="489" t="n"/>
      <c r="F69" s="490">
        <f>IF(OR(A69="",E69=""),"",IF(C69="","",C69+E69))</f>
        <v/>
      </c>
      <c r="G69" s="380" t="inlineStr">
        <is>
          <t>Agent 04</t>
        </is>
      </c>
      <c r="H69" s="491" t="n"/>
      <c r="I69" s="492">
        <f>IF(A69="","Pending",IF(H69="","⚠️ Enter Code",IF(IFERROR(VLOOKUP(G69,DB_Agents!$B:$I,8,0),"")=H69,IF(AND(A69&lt;&gt;"",E69&lt;&gt;""),"Saved","Pending"),"🔒 BLOCKED — Wrong Code")))</f>
        <v/>
      </c>
      <c r="J69" s="493">
        <f>IF(I69="Saved",TEXT(TODAY(),"YYYY-MM-DD")&amp;" Auto","—")</f>
        <v/>
      </c>
      <c r="K69" s="494" t="n"/>
    </row>
    <row r="70" ht="15" customHeight="1" s="341">
      <c r="A70" s="495" t="n"/>
      <c r="B70" s="382">
        <f>IF(A70="","",IFERROR(VLOOKUP(A70,DB_Customers!$A:$D,4,0),"❌ Account Not Found"))</f>
        <v/>
      </c>
      <c r="C70" s="496">
        <f>IF(A70="","",IFERROR(VLOOKUP(A70,DB_Customers!$A:$N,14,0),""))</f>
        <v/>
      </c>
      <c r="D70" s="497">
        <f>IF(A70="","",TODAY())</f>
        <v/>
      </c>
      <c r="E70" s="489" t="n"/>
      <c r="F70" s="498">
        <f>IF(OR(A70="",E70=""),"",IF(C70="","",C70+E70))</f>
        <v/>
      </c>
      <c r="G70" s="384" t="inlineStr">
        <is>
          <t>Agent 04</t>
        </is>
      </c>
      <c r="H70" s="491" t="n"/>
      <c r="I70" s="499">
        <f>IF(A70="","Pending",IF(H70="","⚠️ Enter Code",IF(IFERROR(VLOOKUP(G70,DB_Agents!$B:$I,8,0),"")=H70,IF(AND(A70&lt;&gt;"",E70&lt;&gt;""),"Saved","Pending"),"🔒 BLOCKED — Wrong Code")))</f>
        <v/>
      </c>
      <c r="J70" s="500">
        <f>IF(I70="Saved",TEXT(TODAY(),"YYYY-MM-DD")&amp;" Auto","—")</f>
        <v/>
      </c>
      <c r="K70" s="501" t="n"/>
    </row>
    <row r="71" ht="15" customHeight="1" s="341">
      <c r="A71" s="486" t="n"/>
      <c r="B71" s="378">
        <f>IF(A71="","",IFERROR(VLOOKUP(A71,DB_Customers!$A:$D,4,0),"❌ Account Not Found"))</f>
        <v/>
      </c>
      <c r="C71" s="487">
        <f>IF(A71="","",IFERROR(VLOOKUP(A71,DB_Customers!$A:$N,14,0),""))</f>
        <v/>
      </c>
      <c r="D71" s="488">
        <f>IF(A71="","",TODAY())</f>
        <v/>
      </c>
      <c r="E71" s="489" t="n"/>
      <c r="F71" s="490">
        <f>IF(OR(A71="",E71=""),"",IF(C71="","",C71+E71))</f>
        <v/>
      </c>
      <c r="G71" s="380" t="inlineStr">
        <is>
          <t>Agent 04</t>
        </is>
      </c>
      <c r="H71" s="491" t="n"/>
      <c r="I71" s="492">
        <f>IF(A71="","Pending",IF(H71="","⚠️ Enter Code",IF(IFERROR(VLOOKUP(G71,DB_Agents!$B:$I,8,0),"")=H71,IF(AND(A71&lt;&gt;"",E71&lt;&gt;""),"Saved","Pending"),"🔒 BLOCKED — Wrong Code")))</f>
        <v/>
      </c>
      <c r="J71" s="493">
        <f>IF(I71="Saved",TEXT(TODAY(),"YYYY-MM-DD")&amp;" Auto","—")</f>
        <v/>
      </c>
      <c r="K71" s="494" t="n"/>
    </row>
    <row r="72" ht="15" customHeight="1" s="341">
      <c r="A72" s="495" t="n"/>
      <c r="B72" s="382">
        <f>IF(A72="","",IFERROR(VLOOKUP(A72,DB_Customers!$A:$D,4,0),"❌ Account Not Found"))</f>
        <v/>
      </c>
      <c r="C72" s="496">
        <f>IF(A72="","",IFERROR(VLOOKUP(A72,DB_Customers!$A:$N,14,0),""))</f>
        <v/>
      </c>
      <c r="D72" s="497">
        <f>IF(A72="","",TODAY())</f>
        <v/>
      </c>
      <c r="E72" s="489" t="n"/>
      <c r="F72" s="498">
        <f>IF(OR(A72="",E72=""),"",IF(C72="","",C72+E72))</f>
        <v/>
      </c>
      <c r="G72" s="384" t="inlineStr">
        <is>
          <t>Agent 04</t>
        </is>
      </c>
      <c r="H72" s="491" t="n"/>
      <c r="I72" s="499">
        <f>IF(A72="","Pending",IF(H72="","⚠️ Enter Code",IF(IFERROR(VLOOKUP(G72,DB_Agents!$B:$I,8,0),"")=H72,IF(AND(A72&lt;&gt;"",E72&lt;&gt;""),"Saved","Pending"),"🔒 BLOCKED — Wrong Code")))</f>
        <v/>
      </c>
      <c r="J72" s="500">
        <f>IF(I72="Saved",TEXT(TODAY(),"YYYY-MM-DD")&amp;" Auto","—")</f>
        <v/>
      </c>
      <c r="K72" s="501" t="n"/>
    </row>
    <row r="73" ht="15" customHeight="1" s="341">
      <c r="A73" s="486" t="n"/>
      <c r="B73" s="378">
        <f>IF(A73="","",IFERROR(VLOOKUP(A73,DB_Customers!$A:$D,4,0),"❌ Account Not Found"))</f>
        <v/>
      </c>
      <c r="C73" s="487">
        <f>IF(A73="","",IFERROR(VLOOKUP(A73,DB_Customers!$A:$N,14,0),""))</f>
        <v/>
      </c>
      <c r="D73" s="488">
        <f>IF(A73="","",TODAY())</f>
        <v/>
      </c>
      <c r="E73" s="489" t="n"/>
      <c r="F73" s="490">
        <f>IF(OR(A73="",E73=""),"",IF(C73="","",C73+E73))</f>
        <v/>
      </c>
      <c r="G73" s="380" t="inlineStr">
        <is>
          <t>Agent 04</t>
        </is>
      </c>
      <c r="H73" s="491" t="n"/>
      <c r="I73" s="492">
        <f>IF(A73="","Pending",IF(H73="","⚠️ Enter Code",IF(IFERROR(VLOOKUP(G73,DB_Agents!$B:$I,8,0),"")=H73,IF(AND(A73&lt;&gt;"",E73&lt;&gt;""),"Saved","Pending"),"🔒 BLOCKED — Wrong Code")))</f>
        <v/>
      </c>
      <c r="J73" s="493">
        <f>IF(I73="Saved",TEXT(TODAY(),"YYYY-MM-DD")&amp;" Auto","—")</f>
        <v/>
      </c>
      <c r="K73" s="494" t="n"/>
    </row>
    <row r="74" ht="15" customHeight="1" s="341">
      <c r="A74" s="495" t="n"/>
      <c r="B74" s="382">
        <f>IF(A74="","",IFERROR(VLOOKUP(A74,DB_Customers!$A:$D,4,0),"❌ Account Not Found"))</f>
        <v/>
      </c>
      <c r="C74" s="496">
        <f>IF(A74="","",IFERROR(VLOOKUP(A74,DB_Customers!$A:$N,14,0),""))</f>
        <v/>
      </c>
      <c r="D74" s="497">
        <f>IF(A74="","",TODAY())</f>
        <v/>
      </c>
      <c r="E74" s="489" t="n"/>
      <c r="F74" s="498">
        <f>IF(OR(A74="",E74=""),"",IF(C74="","",C74+E74))</f>
        <v/>
      </c>
      <c r="G74" s="384" t="inlineStr">
        <is>
          <t>Agent 04</t>
        </is>
      </c>
      <c r="H74" s="491" t="n"/>
      <c r="I74" s="499">
        <f>IF(A74="","Pending",IF(H74="","⚠️ Enter Code",IF(IFERROR(VLOOKUP(G74,DB_Agents!$B:$I,8,0),"")=H74,IF(AND(A74&lt;&gt;"",E74&lt;&gt;""),"Saved","Pending"),"🔒 BLOCKED — Wrong Code")))</f>
        <v/>
      </c>
      <c r="J74" s="500">
        <f>IF(I74="Saved",TEXT(TODAY(),"YYYY-MM-DD")&amp;" Auto","—")</f>
        <v/>
      </c>
      <c r="K74" s="501" t="n"/>
    </row>
    <row r="75" ht="15" customHeight="1" s="341">
      <c r="A75" s="486" t="n"/>
      <c r="B75" s="378">
        <f>IF(A75="","",IFERROR(VLOOKUP(A75,DB_Customers!$A:$D,4,0),"❌ Account Not Found"))</f>
        <v/>
      </c>
      <c r="C75" s="487">
        <f>IF(A75="","",IFERROR(VLOOKUP(A75,DB_Customers!$A:$N,14,0),""))</f>
        <v/>
      </c>
      <c r="D75" s="488">
        <f>IF(A75="","",TODAY())</f>
        <v/>
      </c>
      <c r="E75" s="489" t="n"/>
      <c r="F75" s="490">
        <f>IF(OR(A75="",E75=""),"",IF(C75="","",C75+E75))</f>
        <v/>
      </c>
      <c r="G75" s="380" t="inlineStr">
        <is>
          <t>Agent 04</t>
        </is>
      </c>
      <c r="H75" s="491" t="n"/>
      <c r="I75" s="492">
        <f>IF(A75="","Pending",IF(H75="","⚠️ Enter Code",IF(IFERROR(VLOOKUP(G75,DB_Agents!$B:$I,8,0),"")=H75,IF(AND(A75&lt;&gt;"",E75&lt;&gt;""),"Saved","Pending"),"🔒 BLOCKED — Wrong Code")))</f>
        <v/>
      </c>
      <c r="J75" s="493">
        <f>IF(I75="Saved",TEXT(TODAY(),"YYYY-MM-DD")&amp;" Auto","—")</f>
        <v/>
      </c>
      <c r="K75" s="494" t="n"/>
    </row>
    <row r="76" ht="15" customHeight="1" s="341">
      <c r="A76" s="495" t="n"/>
      <c r="B76" s="382">
        <f>IF(A76="","",IFERROR(VLOOKUP(A76,DB_Customers!$A:$D,4,0),"❌ Account Not Found"))</f>
        <v/>
      </c>
      <c r="C76" s="496">
        <f>IF(A76="","",IFERROR(VLOOKUP(A76,DB_Customers!$A:$N,14,0),""))</f>
        <v/>
      </c>
      <c r="D76" s="497">
        <f>IF(A76="","",TODAY())</f>
        <v/>
      </c>
      <c r="E76" s="489" t="n"/>
      <c r="F76" s="498">
        <f>IF(OR(A76="",E76=""),"",IF(C76="","",C76+E76))</f>
        <v/>
      </c>
      <c r="G76" s="384" t="inlineStr">
        <is>
          <t>Agent 04</t>
        </is>
      </c>
      <c r="H76" s="491" t="n"/>
      <c r="I76" s="499">
        <f>IF(A76="","Pending",IF(H76="","⚠️ Enter Code",IF(IFERROR(VLOOKUP(G76,DB_Agents!$B:$I,8,0),"")=H76,IF(AND(A76&lt;&gt;"",E76&lt;&gt;""),"Saved","Pending"),"🔒 BLOCKED — Wrong Code")))</f>
        <v/>
      </c>
      <c r="J76" s="500">
        <f>IF(I76="Saved",TEXT(TODAY(),"YYYY-MM-DD")&amp;" Auto","—")</f>
        <v/>
      </c>
      <c r="K76" s="501" t="n"/>
    </row>
    <row r="77" ht="15" customHeight="1" s="341">
      <c r="A77" s="486" t="n"/>
      <c r="B77" s="378">
        <f>IF(A77="","",IFERROR(VLOOKUP(A77,DB_Customers!$A:$D,4,0),"❌ Account Not Found"))</f>
        <v/>
      </c>
      <c r="C77" s="487">
        <f>IF(A77="","",IFERROR(VLOOKUP(A77,DB_Customers!$A:$N,14,0),""))</f>
        <v/>
      </c>
      <c r="D77" s="488">
        <f>IF(A77="","",TODAY())</f>
        <v/>
      </c>
      <c r="E77" s="489" t="n"/>
      <c r="F77" s="490">
        <f>IF(OR(A77="",E77=""),"",IF(C77="","",C77+E77))</f>
        <v/>
      </c>
      <c r="G77" s="380" t="inlineStr">
        <is>
          <t>Agent 04</t>
        </is>
      </c>
      <c r="H77" s="491" t="n"/>
      <c r="I77" s="492">
        <f>IF(A77="","Pending",IF(H77="","⚠️ Enter Code",IF(IFERROR(VLOOKUP(G77,DB_Agents!$B:$I,8,0),"")=H77,IF(AND(A77&lt;&gt;"",E77&lt;&gt;""),"Saved","Pending"),"🔒 BLOCKED — Wrong Code")))</f>
        <v/>
      </c>
      <c r="J77" s="493">
        <f>IF(I77="Saved",TEXT(TODAY(),"YYYY-MM-DD")&amp;" Auto","—")</f>
        <v/>
      </c>
      <c r="K77" s="494" t="n"/>
    </row>
    <row r="78" ht="15" customHeight="1" s="341">
      <c r="A78" s="495" t="n"/>
      <c r="B78" s="382">
        <f>IF(A78="","",IFERROR(VLOOKUP(A78,DB_Customers!$A:$D,4,0),"❌ Account Not Found"))</f>
        <v/>
      </c>
      <c r="C78" s="496">
        <f>IF(A78="","",IFERROR(VLOOKUP(A78,DB_Customers!$A:$N,14,0),""))</f>
        <v/>
      </c>
      <c r="D78" s="497">
        <f>IF(A78="","",TODAY())</f>
        <v/>
      </c>
      <c r="E78" s="489" t="n"/>
      <c r="F78" s="498">
        <f>IF(OR(A78="",E78=""),"",IF(C78="","",C78+E78))</f>
        <v/>
      </c>
      <c r="G78" s="384" t="inlineStr">
        <is>
          <t>Agent 04</t>
        </is>
      </c>
      <c r="H78" s="491" t="n"/>
      <c r="I78" s="499">
        <f>IF(A78="","Pending",IF(H78="","⚠️ Enter Code",IF(IFERROR(VLOOKUP(G78,DB_Agents!$B:$I,8,0),"")=H78,IF(AND(A78&lt;&gt;"",E78&lt;&gt;""),"Saved","Pending"),"🔒 BLOCKED — Wrong Code")))</f>
        <v/>
      </c>
      <c r="J78" s="500">
        <f>IF(I78="Saved",TEXT(TODAY(),"YYYY-MM-DD")&amp;" Auto","—")</f>
        <v/>
      </c>
      <c r="K78" s="501" t="n"/>
    </row>
    <row r="79" ht="15" customHeight="1" s="341">
      <c r="A79" s="486" t="n"/>
      <c r="B79" s="378">
        <f>IF(A79="","",IFERROR(VLOOKUP(A79,DB_Customers!$A:$D,4,0),"❌ Account Not Found"))</f>
        <v/>
      </c>
      <c r="C79" s="487">
        <f>IF(A79="","",IFERROR(VLOOKUP(A79,DB_Customers!$A:$N,14,0),""))</f>
        <v/>
      </c>
      <c r="D79" s="488">
        <f>IF(A79="","",TODAY())</f>
        <v/>
      </c>
      <c r="E79" s="489" t="n"/>
      <c r="F79" s="490">
        <f>IF(OR(A79="",E79=""),"",IF(C79="","",C79+E79))</f>
        <v/>
      </c>
      <c r="G79" s="380" t="inlineStr">
        <is>
          <t>Agent 04</t>
        </is>
      </c>
      <c r="H79" s="491" t="n"/>
      <c r="I79" s="492">
        <f>IF(A79="","Pending",IF(H79="","⚠️ Enter Code",IF(IFERROR(VLOOKUP(G79,DB_Agents!$B:$I,8,0),"")=H79,IF(AND(A79&lt;&gt;"",E79&lt;&gt;""),"Saved","Pending"),"🔒 BLOCKED — Wrong Code")))</f>
        <v/>
      </c>
      <c r="J79" s="493">
        <f>IF(I79="Saved",TEXT(TODAY(),"YYYY-MM-DD")&amp;" Auto","—")</f>
        <v/>
      </c>
      <c r="K79" s="494" t="n"/>
    </row>
    <row r="80" ht="15" customHeight="1" s="341">
      <c r="A80" s="495" t="n"/>
      <c r="B80" s="382">
        <f>IF(A80="","",IFERROR(VLOOKUP(A80,DB_Customers!$A:$D,4,0),"❌ Account Not Found"))</f>
        <v/>
      </c>
      <c r="C80" s="496">
        <f>IF(A80="","",IFERROR(VLOOKUP(A80,DB_Customers!$A:$N,14,0),""))</f>
        <v/>
      </c>
      <c r="D80" s="497">
        <f>IF(A80="","",TODAY())</f>
        <v/>
      </c>
      <c r="E80" s="489" t="n"/>
      <c r="F80" s="498">
        <f>IF(OR(A80="",E80=""),"",IF(C80="","",C80+E80))</f>
        <v/>
      </c>
      <c r="G80" s="384" t="inlineStr">
        <is>
          <t>Agent 04</t>
        </is>
      </c>
      <c r="H80" s="491" t="n"/>
      <c r="I80" s="499">
        <f>IF(A80="","Pending",IF(H80="","⚠️ Enter Code",IF(IFERROR(VLOOKUP(G80,DB_Agents!$B:$I,8,0),"")=H80,IF(AND(A80&lt;&gt;"",E80&lt;&gt;""),"Saved","Pending"),"🔒 BLOCKED — Wrong Code")))</f>
        <v/>
      </c>
      <c r="J80" s="500">
        <f>IF(I80="Saved",TEXT(TODAY(),"YYYY-MM-DD")&amp;" Auto","—")</f>
        <v/>
      </c>
      <c r="K80" s="501" t="n"/>
    </row>
    <row r="81" ht="15" customHeight="1" s="341">
      <c r="A81" s="486" t="n"/>
      <c r="B81" s="378">
        <f>IF(A81="","",IFERROR(VLOOKUP(A81,DB_Customers!$A:$D,4,0),"❌ Account Not Found"))</f>
        <v/>
      </c>
      <c r="C81" s="487">
        <f>IF(A81="","",IFERROR(VLOOKUP(A81,DB_Customers!$A:$N,14,0),""))</f>
        <v/>
      </c>
      <c r="D81" s="488">
        <f>IF(A81="","",TODAY())</f>
        <v/>
      </c>
      <c r="E81" s="489" t="n"/>
      <c r="F81" s="490">
        <f>IF(OR(A81="",E81=""),"",IF(C81="","",C81+E81))</f>
        <v/>
      </c>
      <c r="G81" s="380" t="inlineStr">
        <is>
          <t>Agent 04</t>
        </is>
      </c>
      <c r="H81" s="491" t="n"/>
      <c r="I81" s="492">
        <f>IF(A81="","Pending",IF(H81="","⚠️ Enter Code",IF(IFERROR(VLOOKUP(G81,DB_Agents!$B:$I,8,0),"")=H81,IF(AND(A81&lt;&gt;"",E81&lt;&gt;""),"Saved","Pending"),"🔒 BLOCKED — Wrong Code")))</f>
        <v/>
      </c>
      <c r="J81" s="493">
        <f>IF(I81="Saved",TEXT(TODAY(),"YYYY-MM-DD")&amp;" Auto","—")</f>
        <v/>
      </c>
      <c r="K81" s="494" t="n"/>
    </row>
    <row r="82" ht="15" customHeight="1" s="341">
      <c r="A82" s="495" t="n"/>
      <c r="B82" s="382">
        <f>IF(A82="","",IFERROR(VLOOKUP(A82,DB_Customers!$A:$D,4,0),"❌ Account Not Found"))</f>
        <v/>
      </c>
      <c r="C82" s="496">
        <f>IF(A82="","",IFERROR(VLOOKUP(A82,DB_Customers!$A:$N,14,0),""))</f>
        <v/>
      </c>
      <c r="D82" s="497">
        <f>IF(A82="","",TODAY())</f>
        <v/>
      </c>
      <c r="E82" s="489" t="n"/>
      <c r="F82" s="498">
        <f>IF(OR(A82="",E82=""),"",IF(C82="","",C82+E82))</f>
        <v/>
      </c>
      <c r="G82" s="384" t="inlineStr">
        <is>
          <t>Agent 04</t>
        </is>
      </c>
      <c r="H82" s="491" t="n"/>
      <c r="I82" s="499">
        <f>IF(A82="","Pending",IF(H82="","⚠️ Enter Code",IF(IFERROR(VLOOKUP(G82,DB_Agents!$B:$I,8,0),"")=H82,IF(AND(A82&lt;&gt;"",E82&lt;&gt;""),"Saved","Pending"),"🔒 BLOCKED — Wrong Code")))</f>
        <v/>
      </c>
      <c r="J82" s="500">
        <f>IF(I82="Saved",TEXT(TODAY(),"YYYY-MM-DD")&amp;" Auto","—")</f>
        <v/>
      </c>
      <c r="K82" s="501" t="n"/>
    </row>
    <row r="83" ht="15" customHeight="1" s="341">
      <c r="A83" s="486" t="n"/>
      <c r="B83" s="378">
        <f>IF(A83="","",IFERROR(VLOOKUP(A83,DB_Customers!$A:$D,4,0),"❌ Account Not Found"))</f>
        <v/>
      </c>
      <c r="C83" s="487">
        <f>IF(A83="","",IFERROR(VLOOKUP(A83,DB_Customers!$A:$N,14,0),""))</f>
        <v/>
      </c>
      <c r="D83" s="488">
        <f>IF(A83="","",TODAY())</f>
        <v/>
      </c>
      <c r="E83" s="489" t="n"/>
      <c r="F83" s="490">
        <f>IF(OR(A83="",E83=""),"",IF(C83="","",C83+E83))</f>
        <v/>
      </c>
      <c r="G83" s="380" t="inlineStr">
        <is>
          <t>Agent 04</t>
        </is>
      </c>
      <c r="H83" s="491" t="n"/>
      <c r="I83" s="492">
        <f>IF(A83="","Pending",IF(H83="","⚠️ Enter Code",IF(IFERROR(VLOOKUP(G83,DB_Agents!$B:$I,8,0),"")=H83,IF(AND(A83&lt;&gt;"",E83&lt;&gt;""),"Saved","Pending"),"🔒 BLOCKED — Wrong Code")))</f>
        <v/>
      </c>
      <c r="J83" s="493">
        <f>IF(I83="Saved",TEXT(TODAY(),"YYYY-MM-DD")&amp;" Auto","—")</f>
        <v/>
      </c>
      <c r="K83" s="494" t="n"/>
    </row>
    <row r="84" ht="15" customHeight="1" s="341">
      <c r="A84" s="495" t="n"/>
      <c r="B84" s="382">
        <f>IF(A84="","",IFERROR(VLOOKUP(A84,DB_Customers!$A:$D,4,0),"❌ Account Not Found"))</f>
        <v/>
      </c>
      <c r="C84" s="496">
        <f>IF(A84="","",IFERROR(VLOOKUP(A84,DB_Customers!$A:$N,14,0),""))</f>
        <v/>
      </c>
      <c r="D84" s="497">
        <f>IF(A84="","",TODAY())</f>
        <v/>
      </c>
      <c r="E84" s="489" t="n"/>
      <c r="F84" s="498">
        <f>IF(OR(A84="",E84=""),"",IF(C84="","",C84+E84))</f>
        <v/>
      </c>
      <c r="G84" s="384" t="inlineStr">
        <is>
          <t>Agent 04</t>
        </is>
      </c>
      <c r="H84" s="491" t="n"/>
      <c r="I84" s="499">
        <f>IF(A84="","Pending",IF(H84="","⚠️ Enter Code",IF(IFERROR(VLOOKUP(G84,DB_Agents!$B:$I,8,0),"")=H84,IF(AND(A84&lt;&gt;"",E84&lt;&gt;""),"Saved","Pending"),"🔒 BLOCKED — Wrong Code")))</f>
        <v/>
      </c>
      <c r="J84" s="500">
        <f>IF(I84="Saved",TEXT(TODAY(),"YYYY-MM-DD")&amp;" Auto","—")</f>
        <v/>
      </c>
      <c r="K84" s="501" t="n"/>
    </row>
    <row r="85" ht="15" customHeight="1" s="341">
      <c r="A85" s="486" t="n"/>
      <c r="B85" s="378">
        <f>IF(A85="","",IFERROR(VLOOKUP(A85,DB_Customers!$A:$D,4,0),"❌ Account Not Found"))</f>
        <v/>
      </c>
      <c r="C85" s="487">
        <f>IF(A85="","",IFERROR(VLOOKUP(A85,DB_Customers!$A:$N,14,0),""))</f>
        <v/>
      </c>
      <c r="D85" s="488">
        <f>IF(A85="","",TODAY())</f>
        <v/>
      </c>
      <c r="E85" s="489" t="n"/>
      <c r="F85" s="490">
        <f>IF(OR(A85="",E85=""),"",IF(C85="","",C85+E85))</f>
        <v/>
      </c>
      <c r="G85" s="380" t="inlineStr">
        <is>
          <t>Agent 04</t>
        </is>
      </c>
      <c r="H85" s="491" t="n"/>
      <c r="I85" s="492">
        <f>IF(A85="","Pending",IF(H85="","⚠️ Enter Code",IF(IFERROR(VLOOKUP(G85,DB_Agents!$B:$I,8,0),"")=H85,IF(AND(A85&lt;&gt;"",E85&lt;&gt;""),"Saved","Pending"),"🔒 BLOCKED — Wrong Code")))</f>
        <v/>
      </c>
      <c r="J85" s="493">
        <f>IF(I85="Saved",TEXT(TODAY(),"YYYY-MM-DD")&amp;" Auto","—")</f>
        <v/>
      </c>
      <c r="K85" s="494" t="n"/>
    </row>
    <row r="86" ht="15" customHeight="1" s="341">
      <c r="A86" s="495" t="n"/>
      <c r="B86" s="382">
        <f>IF(A86="","",IFERROR(VLOOKUP(A86,DB_Customers!$A:$D,4,0),"❌ Account Not Found"))</f>
        <v/>
      </c>
      <c r="C86" s="496">
        <f>IF(A86="","",IFERROR(VLOOKUP(A86,DB_Customers!$A:$N,14,0),""))</f>
        <v/>
      </c>
      <c r="D86" s="497">
        <f>IF(A86="","",TODAY())</f>
        <v/>
      </c>
      <c r="E86" s="489" t="n"/>
      <c r="F86" s="498">
        <f>IF(OR(A86="",E86=""),"",IF(C86="","",C86+E86))</f>
        <v/>
      </c>
      <c r="G86" s="384" t="inlineStr">
        <is>
          <t>Agent 04</t>
        </is>
      </c>
      <c r="H86" s="491" t="n"/>
      <c r="I86" s="499">
        <f>IF(A86="","Pending",IF(H86="","⚠️ Enter Code",IF(IFERROR(VLOOKUP(G86,DB_Agents!$B:$I,8,0),"")=H86,IF(AND(A86&lt;&gt;"",E86&lt;&gt;""),"Saved","Pending"),"🔒 BLOCKED — Wrong Code")))</f>
        <v/>
      </c>
      <c r="J86" s="500">
        <f>IF(I86="Saved",TEXT(TODAY(),"YYYY-MM-DD")&amp;" Auto","—")</f>
        <v/>
      </c>
      <c r="K86" s="501" t="n"/>
    </row>
    <row r="87" ht="15" customHeight="1" s="341">
      <c r="A87" s="486" t="n"/>
      <c r="B87" s="378">
        <f>IF(A87="","",IFERROR(VLOOKUP(A87,DB_Customers!$A:$D,4,0),"❌ Account Not Found"))</f>
        <v/>
      </c>
      <c r="C87" s="487">
        <f>IF(A87="","",IFERROR(VLOOKUP(A87,DB_Customers!$A:$N,14,0),""))</f>
        <v/>
      </c>
      <c r="D87" s="488">
        <f>IF(A87="","",TODAY())</f>
        <v/>
      </c>
      <c r="E87" s="489" t="n"/>
      <c r="F87" s="490">
        <f>IF(OR(A87="",E87=""),"",IF(C87="","",C87+E87))</f>
        <v/>
      </c>
      <c r="G87" s="380" t="inlineStr">
        <is>
          <t>Agent 04</t>
        </is>
      </c>
      <c r="H87" s="491" t="n"/>
      <c r="I87" s="492">
        <f>IF(A87="","Pending",IF(H87="","⚠️ Enter Code",IF(IFERROR(VLOOKUP(G87,DB_Agents!$B:$I,8,0),"")=H87,IF(AND(A87&lt;&gt;"",E87&lt;&gt;""),"Saved","Pending"),"🔒 BLOCKED — Wrong Code")))</f>
        <v/>
      </c>
      <c r="J87" s="493">
        <f>IF(I87="Saved",TEXT(TODAY(),"YYYY-MM-DD")&amp;" Auto","—")</f>
        <v/>
      </c>
      <c r="K87" s="494" t="n"/>
    </row>
    <row r="88" ht="15" customHeight="1" s="341">
      <c r="A88" s="495" t="n"/>
      <c r="B88" s="382">
        <f>IF(A88="","",IFERROR(VLOOKUP(A88,DB_Customers!$A:$D,4,0),"❌ Account Not Found"))</f>
        <v/>
      </c>
      <c r="C88" s="496">
        <f>IF(A88="","",IFERROR(VLOOKUP(A88,DB_Customers!$A:$N,14,0),""))</f>
        <v/>
      </c>
      <c r="D88" s="497">
        <f>IF(A88="","",TODAY())</f>
        <v/>
      </c>
      <c r="E88" s="489" t="n"/>
      <c r="F88" s="498">
        <f>IF(OR(A88="",E88=""),"",IF(C88="","",C88+E88))</f>
        <v/>
      </c>
      <c r="G88" s="384" t="inlineStr">
        <is>
          <t>Agent 04</t>
        </is>
      </c>
      <c r="H88" s="491" t="n"/>
      <c r="I88" s="499">
        <f>IF(A88="","Pending",IF(H88="","⚠️ Enter Code",IF(IFERROR(VLOOKUP(G88,DB_Agents!$B:$I,8,0),"")=H88,IF(AND(A88&lt;&gt;"",E88&lt;&gt;""),"Saved","Pending"),"🔒 BLOCKED — Wrong Code")))</f>
        <v/>
      </c>
      <c r="J88" s="500">
        <f>IF(I88="Saved",TEXT(TODAY(),"YYYY-MM-DD")&amp;" Auto","—")</f>
        <v/>
      </c>
      <c r="K88" s="501" t="n"/>
    </row>
    <row r="89" ht="15" customHeight="1" s="341">
      <c r="A89" s="486" t="n"/>
      <c r="B89" s="378">
        <f>IF(A89="","",IFERROR(VLOOKUP(A89,DB_Customers!$A:$D,4,0),"❌ Account Not Found"))</f>
        <v/>
      </c>
      <c r="C89" s="487">
        <f>IF(A89="","",IFERROR(VLOOKUP(A89,DB_Customers!$A:$N,14,0),""))</f>
        <v/>
      </c>
      <c r="D89" s="488">
        <f>IF(A89="","",TODAY())</f>
        <v/>
      </c>
      <c r="E89" s="489" t="n"/>
      <c r="F89" s="490">
        <f>IF(OR(A89="",E89=""),"",IF(C89="","",C89+E89))</f>
        <v/>
      </c>
      <c r="G89" s="380" t="inlineStr">
        <is>
          <t>Agent 04</t>
        </is>
      </c>
      <c r="H89" s="491" t="n"/>
      <c r="I89" s="492">
        <f>IF(A89="","Pending",IF(H89="","⚠️ Enter Code",IF(IFERROR(VLOOKUP(G89,DB_Agents!$B:$I,8,0),"")=H89,IF(AND(A89&lt;&gt;"",E89&lt;&gt;""),"Saved","Pending"),"🔒 BLOCKED — Wrong Code")))</f>
        <v/>
      </c>
      <c r="J89" s="493">
        <f>IF(I89="Saved",TEXT(TODAY(),"YYYY-MM-DD")&amp;" Auto","—")</f>
        <v/>
      </c>
      <c r="K89" s="494" t="n"/>
    </row>
    <row r="90" ht="15" customHeight="1" s="341">
      <c r="A90" s="495" t="n"/>
      <c r="B90" s="382">
        <f>IF(A90="","",IFERROR(VLOOKUP(A90,DB_Customers!$A:$D,4,0),"❌ Account Not Found"))</f>
        <v/>
      </c>
      <c r="C90" s="496">
        <f>IF(A90="","",IFERROR(VLOOKUP(A90,DB_Customers!$A:$N,14,0),""))</f>
        <v/>
      </c>
      <c r="D90" s="497">
        <f>IF(A90="","",TODAY())</f>
        <v/>
      </c>
      <c r="E90" s="489" t="n"/>
      <c r="F90" s="498">
        <f>IF(OR(A90="",E90=""),"",IF(C90="","",C90+E90))</f>
        <v/>
      </c>
      <c r="G90" s="384" t="inlineStr">
        <is>
          <t>Agent 04</t>
        </is>
      </c>
      <c r="H90" s="491" t="n"/>
      <c r="I90" s="499">
        <f>IF(A90="","Pending",IF(H90="","⚠️ Enter Code",IF(IFERROR(VLOOKUP(G90,DB_Agents!$B:$I,8,0),"")=H90,IF(AND(A90&lt;&gt;"",E90&lt;&gt;""),"Saved","Pending"),"🔒 BLOCKED — Wrong Code")))</f>
        <v/>
      </c>
      <c r="J90" s="500">
        <f>IF(I90="Saved",TEXT(TODAY(),"YYYY-MM-DD")&amp;" Auto","—")</f>
        <v/>
      </c>
      <c r="K90" s="501" t="n"/>
    </row>
    <row r="91" ht="15" customHeight="1" s="341">
      <c r="A91" s="486" t="n"/>
      <c r="B91" s="378">
        <f>IF(A91="","",IFERROR(VLOOKUP(A91,DB_Customers!$A:$D,4,0),"❌ Account Not Found"))</f>
        <v/>
      </c>
      <c r="C91" s="487">
        <f>IF(A91="","",IFERROR(VLOOKUP(A91,DB_Customers!$A:$N,14,0),""))</f>
        <v/>
      </c>
      <c r="D91" s="488">
        <f>IF(A91="","",TODAY())</f>
        <v/>
      </c>
      <c r="E91" s="489" t="n"/>
      <c r="F91" s="490">
        <f>IF(OR(A91="",E91=""),"",IF(C91="","",C91+E91))</f>
        <v/>
      </c>
      <c r="G91" s="380" t="inlineStr">
        <is>
          <t>Agent 04</t>
        </is>
      </c>
      <c r="H91" s="491" t="n"/>
      <c r="I91" s="492">
        <f>IF(A91="","Pending",IF(H91="","⚠️ Enter Code",IF(IFERROR(VLOOKUP(G91,DB_Agents!$B:$I,8,0),"")=H91,IF(AND(A91&lt;&gt;"",E91&lt;&gt;""),"Saved","Pending"),"🔒 BLOCKED — Wrong Code")))</f>
        <v/>
      </c>
      <c r="J91" s="493">
        <f>IF(I91="Saved",TEXT(TODAY(),"YYYY-MM-DD")&amp;" Auto","—")</f>
        <v/>
      </c>
      <c r="K91" s="494" t="n"/>
    </row>
    <row r="92" ht="15" customHeight="1" s="341">
      <c r="A92" s="495" t="n"/>
      <c r="B92" s="382">
        <f>IF(A92="","",IFERROR(VLOOKUP(A92,DB_Customers!$A:$D,4,0),"❌ Account Not Found"))</f>
        <v/>
      </c>
      <c r="C92" s="496">
        <f>IF(A92="","",IFERROR(VLOOKUP(A92,DB_Customers!$A:$N,14,0),""))</f>
        <v/>
      </c>
      <c r="D92" s="497">
        <f>IF(A92="","",TODAY())</f>
        <v/>
      </c>
      <c r="E92" s="489" t="n"/>
      <c r="F92" s="498">
        <f>IF(OR(A92="",E92=""),"",IF(C92="","",C92+E92))</f>
        <v/>
      </c>
      <c r="G92" s="384" t="inlineStr">
        <is>
          <t>Agent 04</t>
        </is>
      </c>
      <c r="H92" s="491" t="n"/>
      <c r="I92" s="499">
        <f>IF(A92="","Pending",IF(H92="","⚠️ Enter Code",IF(IFERROR(VLOOKUP(G92,DB_Agents!$B:$I,8,0),"")=H92,IF(AND(A92&lt;&gt;"",E92&lt;&gt;""),"Saved","Pending"),"🔒 BLOCKED — Wrong Code")))</f>
        <v/>
      </c>
      <c r="J92" s="500">
        <f>IF(I92="Saved",TEXT(TODAY(),"YYYY-MM-DD")&amp;" Auto","—")</f>
        <v/>
      </c>
      <c r="K92" s="501" t="n"/>
    </row>
    <row r="93" ht="15" customHeight="1" s="341">
      <c r="A93" s="486" t="n"/>
      <c r="B93" s="378">
        <f>IF(A93="","",IFERROR(VLOOKUP(A93,DB_Customers!$A:$D,4,0),"❌ Account Not Found"))</f>
        <v/>
      </c>
      <c r="C93" s="487">
        <f>IF(A93="","",IFERROR(VLOOKUP(A93,DB_Customers!$A:$N,14,0),""))</f>
        <v/>
      </c>
      <c r="D93" s="488">
        <f>IF(A93="","",TODAY())</f>
        <v/>
      </c>
      <c r="E93" s="489" t="n"/>
      <c r="F93" s="490">
        <f>IF(OR(A93="",E93=""),"",IF(C93="","",C93+E93))</f>
        <v/>
      </c>
      <c r="G93" s="380" t="inlineStr">
        <is>
          <t>Agent 04</t>
        </is>
      </c>
      <c r="H93" s="491" t="n"/>
      <c r="I93" s="492">
        <f>IF(A93="","Pending",IF(H93="","⚠️ Enter Code",IF(IFERROR(VLOOKUP(G93,DB_Agents!$B:$I,8,0),"")=H93,IF(AND(A93&lt;&gt;"",E93&lt;&gt;""),"Saved","Pending"),"🔒 BLOCKED — Wrong Code")))</f>
        <v/>
      </c>
      <c r="J93" s="493">
        <f>IF(I93="Saved",TEXT(TODAY(),"YYYY-MM-DD")&amp;" Auto","—")</f>
        <v/>
      </c>
      <c r="K93" s="494" t="n"/>
    </row>
    <row r="94" ht="15" customHeight="1" s="341">
      <c r="A94" s="495" t="n"/>
      <c r="B94" s="382">
        <f>IF(A94="","",IFERROR(VLOOKUP(A94,DB_Customers!$A:$D,4,0),"❌ Account Not Found"))</f>
        <v/>
      </c>
      <c r="C94" s="496">
        <f>IF(A94="","",IFERROR(VLOOKUP(A94,DB_Customers!$A:$N,14,0),""))</f>
        <v/>
      </c>
      <c r="D94" s="497">
        <f>IF(A94="","",TODAY())</f>
        <v/>
      </c>
      <c r="E94" s="489" t="n"/>
      <c r="F94" s="498">
        <f>IF(OR(A94="",E94=""),"",IF(C94="","",C94+E94))</f>
        <v/>
      </c>
      <c r="G94" s="384" t="inlineStr">
        <is>
          <t>Agent 04</t>
        </is>
      </c>
      <c r="H94" s="491" t="n"/>
      <c r="I94" s="499">
        <f>IF(A94="","Pending",IF(H94="","⚠️ Enter Code",IF(IFERROR(VLOOKUP(G94,DB_Agents!$B:$I,8,0),"")=H94,IF(AND(A94&lt;&gt;"",E94&lt;&gt;""),"Saved","Pending"),"🔒 BLOCKED — Wrong Code")))</f>
        <v/>
      </c>
      <c r="J94" s="500">
        <f>IF(I94="Saved",TEXT(TODAY(),"YYYY-MM-DD")&amp;" Auto","—")</f>
        <v/>
      </c>
      <c r="K94" s="501" t="n"/>
    </row>
    <row r="95" ht="15" customHeight="1" s="341">
      <c r="A95" s="486" t="n"/>
      <c r="B95" s="378">
        <f>IF(A95="","",IFERROR(VLOOKUP(A95,DB_Customers!$A:$D,4,0),"❌ Account Not Found"))</f>
        <v/>
      </c>
      <c r="C95" s="487">
        <f>IF(A95="","",IFERROR(VLOOKUP(A95,DB_Customers!$A:$N,14,0),""))</f>
        <v/>
      </c>
      <c r="D95" s="488">
        <f>IF(A95="","",TODAY())</f>
        <v/>
      </c>
      <c r="E95" s="489" t="n"/>
      <c r="F95" s="490">
        <f>IF(OR(A95="",E95=""),"",IF(C95="","",C95+E95))</f>
        <v/>
      </c>
      <c r="G95" s="380" t="inlineStr">
        <is>
          <t>Agent 04</t>
        </is>
      </c>
      <c r="H95" s="491" t="n"/>
      <c r="I95" s="492">
        <f>IF(A95="","Pending",IF(H95="","⚠️ Enter Code",IF(IFERROR(VLOOKUP(G95,DB_Agents!$B:$I,8,0),"")=H95,IF(AND(A95&lt;&gt;"",E95&lt;&gt;""),"Saved","Pending"),"🔒 BLOCKED — Wrong Code")))</f>
        <v/>
      </c>
      <c r="J95" s="493">
        <f>IF(I95="Saved",TEXT(TODAY(),"YYYY-MM-DD")&amp;" Auto","—")</f>
        <v/>
      </c>
      <c r="K95" s="494" t="n"/>
    </row>
    <row r="96" ht="15" customHeight="1" s="341">
      <c r="A96" s="495" t="n"/>
      <c r="B96" s="382">
        <f>IF(A96="","",IFERROR(VLOOKUP(A96,DB_Customers!$A:$D,4,0),"❌ Account Not Found"))</f>
        <v/>
      </c>
      <c r="C96" s="496">
        <f>IF(A96="","",IFERROR(VLOOKUP(A96,DB_Customers!$A:$N,14,0),""))</f>
        <v/>
      </c>
      <c r="D96" s="497">
        <f>IF(A96="","",TODAY())</f>
        <v/>
      </c>
      <c r="E96" s="489" t="n"/>
      <c r="F96" s="498">
        <f>IF(OR(A96="",E96=""),"",IF(C96="","",C96+E96))</f>
        <v/>
      </c>
      <c r="G96" s="384" t="inlineStr">
        <is>
          <t>Agent 04</t>
        </is>
      </c>
      <c r="H96" s="491" t="n"/>
      <c r="I96" s="499">
        <f>IF(A96="","Pending",IF(H96="","⚠️ Enter Code",IF(IFERROR(VLOOKUP(G96,DB_Agents!$B:$I,8,0),"")=H96,IF(AND(A96&lt;&gt;"",E96&lt;&gt;""),"Saved","Pending"),"🔒 BLOCKED — Wrong Code")))</f>
        <v/>
      </c>
      <c r="J96" s="500">
        <f>IF(I96="Saved",TEXT(TODAY(),"YYYY-MM-DD")&amp;" Auto","—")</f>
        <v/>
      </c>
      <c r="K96" s="501" t="n"/>
    </row>
    <row r="97" ht="15" customHeight="1" s="341">
      <c r="A97" s="486" t="n"/>
      <c r="B97" s="378">
        <f>IF(A97="","",IFERROR(VLOOKUP(A97,DB_Customers!$A:$D,4,0),"❌ Account Not Found"))</f>
        <v/>
      </c>
      <c r="C97" s="487">
        <f>IF(A97="","",IFERROR(VLOOKUP(A97,DB_Customers!$A:$N,14,0),""))</f>
        <v/>
      </c>
      <c r="D97" s="488">
        <f>IF(A97="","",TODAY())</f>
        <v/>
      </c>
      <c r="E97" s="489" t="n"/>
      <c r="F97" s="490">
        <f>IF(OR(A97="",E97=""),"",IF(C97="","",C97+E97))</f>
        <v/>
      </c>
      <c r="G97" s="380" t="inlineStr">
        <is>
          <t>Agent 04</t>
        </is>
      </c>
      <c r="H97" s="491" t="n"/>
      <c r="I97" s="492">
        <f>IF(A97="","Pending",IF(H97="","⚠️ Enter Code",IF(IFERROR(VLOOKUP(G97,DB_Agents!$B:$I,8,0),"")=H97,IF(AND(A97&lt;&gt;"",E97&lt;&gt;""),"Saved","Pending"),"🔒 BLOCKED — Wrong Code")))</f>
        <v/>
      </c>
      <c r="J97" s="493">
        <f>IF(I97="Saved",TEXT(TODAY(),"YYYY-MM-DD")&amp;" Auto","—")</f>
        <v/>
      </c>
      <c r="K97" s="494" t="n"/>
    </row>
    <row r="98" ht="15" customHeight="1" s="341">
      <c r="A98" s="495" t="n"/>
      <c r="B98" s="382">
        <f>IF(A98="","",IFERROR(VLOOKUP(A98,DB_Customers!$A:$D,4,0),"❌ Account Not Found"))</f>
        <v/>
      </c>
      <c r="C98" s="496">
        <f>IF(A98="","",IFERROR(VLOOKUP(A98,DB_Customers!$A:$N,14,0),""))</f>
        <v/>
      </c>
      <c r="D98" s="497">
        <f>IF(A98="","",TODAY())</f>
        <v/>
      </c>
      <c r="E98" s="489" t="n"/>
      <c r="F98" s="498">
        <f>IF(OR(A98="",E98=""),"",IF(C98="","",C98+E98))</f>
        <v/>
      </c>
      <c r="G98" s="384" t="inlineStr">
        <is>
          <t>Agent 04</t>
        </is>
      </c>
      <c r="H98" s="491" t="n"/>
      <c r="I98" s="499">
        <f>IF(A98="","Pending",IF(H98="","⚠️ Enter Code",IF(IFERROR(VLOOKUP(G98,DB_Agents!$B:$I,8,0),"")=H98,IF(AND(A98&lt;&gt;"",E98&lt;&gt;""),"Saved","Pending"),"🔒 BLOCKED — Wrong Code")))</f>
        <v/>
      </c>
      <c r="J98" s="500">
        <f>IF(I98="Saved",TEXT(TODAY(),"YYYY-MM-DD")&amp;" Auto","—")</f>
        <v/>
      </c>
      <c r="K98" s="501" t="n"/>
    </row>
    <row r="99" ht="15" customHeight="1" s="341">
      <c r="A99" s="486" t="n"/>
      <c r="B99" s="378">
        <f>IF(A99="","",IFERROR(VLOOKUP(A99,DB_Customers!$A:$D,4,0),"❌ Account Not Found"))</f>
        <v/>
      </c>
      <c r="C99" s="487">
        <f>IF(A99="","",IFERROR(VLOOKUP(A99,DB_Customers!$A:$N,14,0),""))</f>
        <v/>
      </c>
      <c r="D99" s="488">
        <f>IF(A99="","",TODAY())</f>
        <v/>
      </c>
      <c r="E99" s="489" t="n"/>
      <c r="F99" s="490">
        <f>IF(OR(A99="",E99=""),"",IF(C99="","",C99+E99))</f>
        <v/>
      </c>
      <c r="G99" s="380" t="inlineStr">
        <is>
          <t>Agent 04</t>
        </is>
      </c>
      <c r="H99" s="491" t="n"/>
      <c r="I99" s="492">
        <f>IF(A99="","Pending",IF(H99="","⚠️ Enter Code",IF(IFERROR(VLOOKUP(G99,DB_Agents!$B:$I,8,0),"")=H99,IF(AND(A99&lt;&gt;"",E99&lt;&gt;""),"Saved","Pending"),"🔒 BLOCKED — Wrong Code")))</f>
        <v/>
      </c>
      <c r="J99" s="493">
        <f>IF(I99="Saved",TEXT(TODAY(),"YYYY-MM-DD")&amp;" Auto","—")</f>
        <v/>
      </c>
      <c r="K99" s="494" t="n"/>
    </row>
    <row r="100" ht="15" customHeight="1" s="341">
      <c r="A100" s="495" t="n"/>
      <c r="B100" s="382">
        <f>IF(A100="","",IFERROR(VLOOKUP(A100,DB_Customers!$A:$D,4,0),"❌ Account Not Found"))</f>
        <v/>
      </c>
      <c r="C100" s="496">
        <f>IF(A100="","",IFERROR(VLOOKUP(A100,DB_Customers!$A:$N,14,0),""))</f>
        <v/>
      </c>
      <c r="D100" s="497">
        <f>IF(A100="","",TODAY())</f>
        <v/>
      </c>
      <c r="E100" s="489" t="n"/>
      <c r="F100" s="498">
        <f>IF(OR(A100="",E100=""),"",IF(C100="","",C100+E100))</f>
        <v/>
      </c>
      <c r="G100" s="384" t="inlineStr">
        <is>
          <t>Agent 04</t>
        </is>
      </c>
      <c r="H100" s="491" t="n"/>
      <c r="I100" s="499">
        <f>IF(A100="","Pending",IF(H100="","⚠️ Enter Code",IF(IFERROR(VLOOKUP(G100,DB_Agents!$B:$I,8,0),"")=H100,IF(AND(A100&lt;&gt;"",E100&lt;&gt;""),"Saved","Pending"),"🔒 BLOCKED — Wrong Code")))</f>
        <v/>
      </c>
      <c r="J100" s="500">
        <f>IF(I100="Saved",TEXT(TODAY(),"YYYY-MM-DD")&amp;" Auto","—")</f>
        <v/>
      </c>
      <c r="K100" s="501" t="n"/>
    </row>
    <row r="101" ht="15" customHeight="1" s="341">
      <c r="A101" s="486" t="n"/>
      <c r="B101" s="378">
        <f>IF(A101="","",IFERROR(VLOOKUP(A101,DB_Customers!$A:$D,4,0),"❌ Account Not Found"))</f>
        <v/>
      </c>
      <c r="C101" s="487">
        <f>IF(A101="","",IFERROR(VLOOKUP(A101,DB_Customers!$A:$N,14,0),""))</f>
        <v/>
      </c>
      <c r="D101" s="488">
        <f>IF(A101="","",TODAY())</f>
        <v/>
      </c>
      <c r="E101" s="489" t="n"/>
      <c r="F101" s="490">
        <f>IF(OR(A101="",E101=""),"",IF(C101="","",C101+E101))</f>
        <v/>
      </c>
      <c r="G101" s="380" t="inlineStr">
        <is>
          <t>Agent 04</t>
        </is>
      </c>
      <c r="H101" s="491" t="n"/>
      <c r="I101" s="492">
        <f>IF(A101="","Pending",IF(H101="","⚠️ Enter Code",IF(IFERROR(VLOOKUP(G101,DB_Agents!$B:$I,8,0),"")=H101,IF(AND(A101&lt;&gt;"",E101&lt;&gt;""),"Saved","Pending"),"🔒 BLOCKED — Wrong Code")))</f>
        <v/>
      </c>
      <c r="J101" s="493">
        <f>IF(I101="Saved",TEXT(TODAY(),"YYYY-MM-DD")&amp;" Auto","—")</f>
        <v/>
      </c>
      <c r="K101" s="494" t="n"/>
    </row>
    <row r="102" ht="15" customHeight="1" s="341">
      <c r="A102" s="495" t="n"/>
      <c r="B102" s="382">
        <f>IF(A102="","",IFERROR(VLOOKUP(A102,DB_Customers!$A:$D,4,0),"❌ Account Not Found"))</f>
        <v/>
      </c>
      <c r="C102" s="496">
        <f>IF(A102="","",IFERROR(VLOOKUP(A102,DB_Customers!$A:$N,14,0),""))</f>
        <v/>
      </c>
      <c r="D102" s="497">
        <f>IF(A102="","",TODAY())</f>
        <v/>
      </c>
      <c r="E102" s="489" t="n"/>
      <c r="F102" s="498">
        <f>IF(OR(A102="",E102=""),"",IF(C102="","",C102+E102))</f>
        <v/>
      </c>
      <c r="G102" s="384" t="inlineStr">
        <is>
          <t>Agent 04</t>
        </is>
      </c>
      <c r="H102" s="491" t="n"/>
      <c r="I102" s="499">
        <f>IF(A102="","Pending",IF(H102="","⚠️ Enter Code",IF(IFERROR(VLOOKUP(G102,DB_Agents!$B:$I,8,0),"")=H102,IF(AND(A102&lt;&gt;"",E102&lt;&gt;""),"Saved","Pending"),"🔒 BLOCKED — Wrong Code")))</f>
        <v/>
      </c>
      <c r="J102" s="500">
        <f>IF(I102="Saved",TEXT(TODAY(),"YYYY-MM-DD")&amp;" Auto","—")</f>
        <v/>
      </c>
      <c r="K102" s="501" t="n"/>
    </row>
    <row r="103" ht="15" customHeight="1" s="341">
      <c r="A103" s="486" t="n"/>
      <c r="B103" s="378">
        <f>IF(A103="","",IFERROR(VLOOKUP(A103,DB_Customers!$A:$D,4,0),"❌ Account Not Found"))</f>
        <v/>
      </c>
      <c r="C103" s="487">
        <f>IF(A103="","",IFERROR(VLOOKUP(A103,DB_Customers!$A:$N,14,0),""))</f>
        <v/>
      </c>
      <c r="D103" s="488">
        <f>IF(A103="","",TODAY())</f>
        <v/>
      </c>
      <c r="E103" s="489" t="n"/>
      <c r="F103" s="490">
        <f>IF(OR(A103="",E103=""),"",IF(C103="","",C103+E103))</f>
        <v/>
      </c>
      <c r="G103" s="380" t="inlineStr">
        <is>
          <t>Agent 04</t>
        </is>
      </c>
      <c r="H103" s="491" t="n"/>
      <c r="I103" s="492">
        <f>IF(A103="","Pending",IF(H103="","⚠️ Enter Code",IF(IFERROR(VLOOKUP(G103,DB_Agents!$B:$I,8,0),"")=H103,IF(AND(A103&lt;&gt;"",E103&lt;&gt;""),"Saved","Pending"),"🔒 BLOCKED — Wrong Code")))</f>
        <v/>
      </c>
      <c r="J103" s="493">
        <f>IF(I103="Saved",TEXT(TODAY(),"YYYY-MM-DD")&amp;" Auto","—")</f>
        <v/>
      </c>
      <c r="K103" s="494" t="n"/>
    </row>
    <row r="104" ht="15" customHeight="1" s="341">
      <c r="A104" s="495" t="n"/>
      <c r="B104" s="382">
        <f>IF(A104="","",IFERROR(VLOOKUP(A104,DB_Customers!$A:$D,4,0),"❌ Account Not Found"))</f>
        <v/>
      </c>
      <c r="C104" s="496">
        <f>IF(A104="","",IFERROR(VLOOKUP(A104,DB_Customers!$A:$N,14,0),""))</f>
        <v/>
      </c>
      <c r="D104" s="497">
        <f>IF(A104="","",TODAY())</f>
        <v/>
      </c>
      <c r="E104" s="489" t="n"/>
      <c r="F104" s="498">
        <f>IF(OR(A104="",E104=""),"",IF(C104="","",C104+E104))</f>
        <v/>
      </c>
      <c r="G104" s="384" t="inlineStr">
        <is>
          <t>Agent 04</t>
        </is>
      </c>
      <c r="H104" s="491" t="n"/>
      <c r="I104" s="499">
        <f>IF(A104="","Pending",IF(H104="","⚠️ Enter Code",IF(IFERROR(VLOOKUP(G104,DB_Agents!$B:$I,8,0),"")=H104,IF(AND(A104&lt;&gt;"",E104&lt;&gt;""),"Saved","Pending"),"🔒 BLOCKED — Wrong Code")))</f>
        <v/>
      </c>
      <c r="J104" s="500">
        <f>IF(I104="Saved",TEXT(TODAY(),"YYYY-MM-DD")&amp;" Auto","—")</f>
        <v/>
      </c>
      <c r="K104" s="501" t="n"/>
    </row>
    <row r="105" ht="15" customHeight="1" s="341">
      <c r="A105" s="486" t="n"/>
      <c r="B105" s="378">
        <f>IF(A105="","",IFERROR(VLOOKUP(A105,DB_Customers!$A:$D,4,0),"❌ Account Not Found"))</f>
        <v/>
      </c>
      <c r="C105" s="487">
        <f>IF(A105="","",IFERROR(VLOOKUP(A105,DB_Customers!$A:$N,14,0),""))</f>
        <v/>
      </c>
      <c r="D105" s="488">
        <f>IF(A105="","",TODAY())</f>
        <v/>
      </c>
      <c r="E105" s="489" t="n"/>
      <c r="F105" s="490">
        <f>IF(OR(A105="",E105=""),"",IF(C105="","",C105+E105))</f>
        <v/>
      </c>
      <c r="G105" s="380" t="inlineStr">
        <is>
          <t>Agent 04</t>
        </is>
      </c>
      <c r="H105" s="491" t="n"/>
      <c r="I105" s="492">
        <f>IF(A105="","Pending",IF(H105="","⚠️ Enter Code",IF(IFERROR(VLOOKUP(G105,DB_Agents!$B:$I,8,0),"")=H105,IF(AND(A105&lt;&gt;"",E105&lt;&gt;""),"Saved","Pending"),"🔒 BLOCKED — Wrong Code")))</f>
        <v/>
      </c>
      <c r="J105" s="493">
        <f>IF(I105="Saved",TEXT(TODAY(),"YYYY-MM-DD")&amp;" Auto","—")</f>
        <v/>
      </c>
      <c r="K105" s="494" t="n"/>
    </row>
    <row r="106" ht="15" customHeight="1" s="341">
      <c r="A106" s="495" t="n"/>
      <c r="B106" s="382">
        <f>IF(A106="","",IFERROR(VLOOKUP(A106,DB_Customers!$A:$D,4,0),"❌ Account Not Found"))</f>
        <v/>
      </c>
      <c r="C106" s="496">
        <f>IF(A106="","",IFERROR(VLOOKUP(A106,DB_Customers!$A:$N,14,0),""))</f>
        <v/>
      </c>
      <c r="D106" s="497">
        <f>IF(A106="","",TODAY())</f>
        <v/>
      </c>
      <c r="E106" s="489" t="n"/>
      <c r="F106" s="498">
        <f>IF(OR(A106="",E106=""),"",IF(C106="","",C106+E106))</f>
        <v/>
      </c>
      <c r="G106" s="384" t="inlineStr">
        <is>
          <t>Agent 04</t>
        </is>
      </c>
      <c r="H106" s="491" t="n"/>
      <c r="I106" s="499">
        <f>IF(A106="","Pending",IF(H106="","⚠️ Enter Code",IF(IFERROR(VLOOKUP(G106,DB_Agents!$B:$I,8,0),"")=H106,IF(AND(A106&lt;&gt;"",E106&lt;&gt;""),"Saved","Pending"),"🔒 BLOCKED — Wrong Code")))</f>
        <v/>
      </c>
      <c r="J106" s="500">
        <f>IF(I106="Saved",TEXT(TODAY(),"YYYY-MM-DD")&amp;" Auto","—")</f>
        <v/>
      </c>
      <c r="K106" s="501" t="n"/>
    </row>
    <row r="107" ht="15" customHeight="1" s="341">
      <c r="A107" s="486" t="n"/>
      <c r="B107" s="378">
        <f>IF(A107="","",IFERROR(VLOOKUP(A107,DB_Customers!$A:$D,4,0),"❌ Account Not Found"))</f>
        <v/>
      </c>
      <c r="C107" s="487">
        <f>IF(A107="","",IFERROR(VLOOKUP(A107,DB_Customers!$A:$N,14,0),""))</f>
        <v/>
      </c>
      <c r="D107" s="488">
        <f>IF(A107="","",TODAY())</f>
        <v/>
      </c>
      <c r="E107" s="489" t="n"/>
      <c r="F107" s="490">
        <f>IF(OR(A107="",E107=""),"",IF(C107="","",C107+E107))</f>
        <v/>
      </c>
      <c r="G107" s="380" t="inlineStr">
        <is>
          <t>Agent 04</t>
        </is>
      </c>
      <c r="H107" s="491" t="n"/>
      <c r="I107" s="492">
        <f>IF(A107="","Pending",IF(H107="","⚠️ Enter Code",IF(IFERROR(VLOOKUP(G107,DB_Agents!$B:$I,8,0),"")=H107,IF(AND(A107&lt;&gt;"",E107&lt;&gt;""),"Saved","Pending"),"🔒 BLOCKED — Wrong Code")))</f>
        <v/>
      </c>
      <c r="J107" s="493">
        <f>IF(I107="Saved",TEXT(TODAY(),"YYYY-MM-DD")&amp;" Auto","—")</f>
        <v/>
      </c>
      <c r="K107" s="494" t="n"/>
    </row>
    <row r="108" ht="15" customHeight="1" s="341">
      <c r="A108" s="495" t="n"/>
      <c r="B108" s="382">
        <f>IF(A108="","",IFERROR(VLOOKUP(A108,DB_Customers!$A:$D,4,0),"❌ Account Not Found"))</f>
        <v/>
      </c>
      <c r="C108" s="496">
        <f>IF(A108="","",IFERROR(VLOOKUP(A108,DB_Customers!$A:$N,14,0),""))</f>
        <v/>
      </c>
      <c r="D108" s="497">
        <f>IF(A108="","",TODAY())</f>
        <v/>
      </c>
      <c r="E108" s="489" t="n"/>
      <c r="F108" s="498">
        <f>IF(OR(A108="",E108=""),"",IF(C108="","",C108+E108))</f>
        <v/>
      </c>
      <c r="G108" s="384" t="inlineStr">
        <is>
          <t>Agent 04</t>
        </is>
      </c>
      <c r="H108" s="491" t="n"/>
      <c r="I108" s="499">
        <f>IF(A108="","Pending",IF(H108="","⚠️ Enter Code",IF(IFERROR(VLOOKUP(G108,DB_Agents!$B:$I,8,0),"")=H108,IF(AND(A108&lt;&gt;"",E108&lt;&gt;""),"Saved","Pending"),"🔒 BLOCKED — Wrong Code")))</f>
        <v/>
      </c>
      <c r="J108" s="500">
        <f>IF(I108="Saved",TEXT(TODAY(),"YYYY-MM-DD")&amp;" Auto","—")</f>
        <v/>
      </c>
      <c r="K108" s="501" t="n"/>
    </row>
    <row r="109" ht="15" customHeight="1" s="341">
      <c r="A109" s="486" t="n"/>
      <c r="B109" s="378">
        <f>IF(A109="","",IFERROR(VLOOKUP(A109,DB_Customers!$A:$D,4,0),"❌ Account Not Found"))</f>
        <v/>
      </c>
      <c r="C109" s="487">
        <f>IF(A109="","",IFERROR(VLOOKUP(A109,DB_Customers!$A:$N,14,0),""))</f>
        <v/>
      </c>
      <c r="D109" s="488">
        <f>IF(A109="","",TODAY())</f>
        <v/>
      </c>
      <c r="E109" s="489" t="n"/>
      <c r="F109" s="490">
        <f>IF(OR(A109="",E109=""),"",IF(C109="","",C109+E109))</f>
        <v/>
      </c>
      <c r="G109" s="380" t="inlineStr">
        <is>
          <t>Agent 04</t>
        </is>
      </c>
      <c r="H109" s="491" t="n"/>
      <c r="I109" s="492">
        <f>IF(A109="","Pending",IF(H109="","⚠️ Enter Code",IF(IFERROR(VLOOKUP(G109,DB_Agents!$B:$I,8,0),"")=H109,IF(AND(A109&lt;&gt;"",E109&lt;&gt;""),"Saved","Pending"),"🔒 BLOCKED — Wrong Code")))</f>
        <v/>
      </c>
      <c r="J109" s="493">
        <f>IF(I109="Saved",TEXT(TODAY(),"YYYY-MM-DD")&amp;" Auto","—")</f>
        <v/>
      </c>
      <c r="K109" s="494" t="n"/>
    </row>
    <row r="110" ht="15" customHeight="1" s="341">
      <c r="A110" s="495" t="n"/>
      <c r="B110" s="382">
        <f>IF(A110="","",IFERROR(VLOOKUP(A110,DB_Customers!$A:$D,4,0),"❌ Account Not Found"))</f>
        <v/>
      </c>
      <c r="C110" s="496">
        <f>IF(A110="","",IFERROR(VLOOKUP(A110,DB_Customers!$A:$N,14,0),""))</f>
        <v/>
      </c>
      <c r="D110" s="497">
        <f>IF(A110="","",TODAY())</f>
        <v/>
      </c>
      <c r="E110" s="489" t="n"/>
      <c r="F110" s="498">
        <f>IF(OR(A110="",E110=""),"",IF(C110="","",C110+E110))</f>
        <v/>
      </c>
      <c r="G110" s="384" t="inlineStr">
        <is>
          <t>Agent 04</t>
        </is>
      </c>
      <c r="H110" s="491" t="n"/>
      <c r="I110" s="499">
        <f>IF(A110="","Pending",IF(H110="","⚠️ Enter Code",IF(IFERROR(VLOOKUP(G110,DB_Agents!$B:$I,8,0),"")=H110,IF(AND(A110&lt;&gt;"",E110&lt;&gt;""),"Saved","Pending"),"🔒 BLOCKED — Wrong Code")))</f>
        <v/>
      </c>
      <c r="J110" s="500">
        <f>IF(I110="Saved",TEXT(TODAY(),"YYYY-MM-DD")&amp;" Auto","—")</f>
        <v/>
      </c>
      <c r="K110" s="501" t="n"/>
    </row>
    <row r="111" ht="15" customHeight="1" s="341">
      <c r="A111" s="486" t="n"/>
      <c r="B111" s="378">
        <f>IF(A111="","",IFERROR(VLOOKUP(A111,DB_Customers!$A:$D,4,0),"❌ Account Not Found"))</f>
        <v/>
      </c>
      <c r="C111" s="487">
        <f>IF(A111="","",IFERROR(VLOOKUP(A111,DB_Customers!$A:$N,14,0),""))</f>
        <v/>
      </c>
      <c r="D111" s="488">
        <f>IF(A111="","",TODAY())</f>
        <v/>
      </c>
      <c r="E111" s="489" t="n"/>
      <c r="F111" s="490">
        <f>IF(OR(A111="",E111=""),"",IF(C111="","",C111+E111))</f>
        <v/>
      </c>
      <c r="G111" s="380" t="inlineStr">
        <is>
          <t>Agent 04</t>
        </is>
      </c>
      <c r="H111" s="491" t="n"/>
      <c r="I111" s="492">
        <f>IF(A111="","Pending",IF(H111="","⚠️ Enter Code",IF(IFERROR(VLOOKUP(G111,DB_Agents!$B:$I,8,0),"")=H111,IF(AND(A111&lt;&gt;"",E111&lt;&gt;""),"Saved","Pending"),"🔒 BLOCKED — Wrong Code")))</f>
        <v/>
      </c>
      <c r="J111" s="493">
        <f>IF(I111="Saved",TEXT(TODAY(),"YYYY-MM-DD")&amp;" Auto","—")</f>
        <v/>
      </c>
      <c r="K111" s="494" t="n"/>
    </row>
    <row r="112" ht="15" customHeight="1" s="341">
      <c r="A112" s="495" t="n"/>
      <c r="B112" s="382">
        <f>IF(A112="","",IFERROR(VLOOKUP(A112,DB_Customers!$A:$D,4,0),"❌ Account Not Found"))</f>
        <v/>
      </c>
      <c r="C112" s="496">
        <f>IF(A112="","",IFERROR(VLOOKUP(A112,DB_Customers!$A:$N,14,0),""))</f>
        <v/>
      </c>
      <c r="D112" s="497">
        <f>IF(A112="","",TODAY())</f>
        <v/>
      </c>
      <c r="E112" s="489" t="n"/>
      <c r="F112" s="498">
        <f>IF(OR(A112="",E112=""),"",IF(C112="","",C112+E112))</f>
        <v/>
      </c>
      <c r="G112" s="384" t="inlineStr">
        <is>
          <t>Agent 04</t>
        </is>
      </c>
      <c r="H112" s="491" t="n"/>
      <c r="I112" s="499">
        <f>IF(A112="","Pending",IF(H112="","⚠️ Enter Code",IF(IFERROR(VLOOKUP(G112,DB_Agents!$B:$I,8,0),"")=H112,IF(AND(A112&lt;&gt;"",E112&lt;&gt;""),"Saved","Pending"),"🔒 BLOCKED — Wrong Code")))</f>
        <v/>
      </c>
      <c r="J112" s="500">
        <f>IF(I112="Saved",TEXT(TODAY(),"YYYY-MM-DD")&amp;" Auto","—")</f>
        <v/>
      </c>
      <c r="K112" s="501" t="n"/>
    </row>
    <row r="113" ht="15" customHeight="1" s="341">
      <c r="A113" s="486" t="n"/>
      <c r="B113" s="378">
        <f>IF(A113="","",IFERROR(VLOOKUP(A113,DB_Customers!$A:$D,4,0),"❌ Account Not Found"))</f>
        <v/>
      </c>
      <c r="C113" s="487">
        <f>IF(A113="","",IFERROR(VLOOKUP(A113,DB_Customers!$A:$N,14,0),""))</f>
        <v/>
      </c>
      <c r="D113" s="488">
        <f>IF(A113="","",TODAY())</f>
        <v/>
      </c>
      <c r="E113" s="489" t="n"/>
      <c r="F113" s="490">
        <f>IF(OR(A113="",E113=""),"",IF(C113="","",C113+E113))</f>
        <v/>
      </c>
      <c r="G113" s="380" t="inlineStr">
        <is>
          <t>Agent 04</t>
        </is>
      </c>
      <c r="H113" s="491" t="n"/>
      <c r="I113" s="492">
        <f>IF(A113="","Pending",IF(H113="","⚠️ Enter Code",IF(IFERROR(VLOOKUP(G113,DB_Agents!$B:$I,8,0),"")=H113,IF(AND(A113&lt;&gt;"",E113&lt;&gt;""),"Saved","Pending"),"🔒 BLOCKED — Wrong Code")))</f>
        <v/>
      </c>
      <c r="J113" s="493">
        <f>IF(I113="Saved",TEXT(TODAY(),"YYYY-MM-DD")&amp;" Auto","—")</f>
        <v/>
      </c>
      <c r="K113" s="494" t="n"/>
    </row>
    <row r="114" ht="15" customHeight="1" s="341">
      <c r="A114" s="495" t="n"/>
      <c r="B114" s="382">
        <f>IF(A114="","",IFERROR(VLOOKUP(A114,DB_Customers!$A:$D,4,0),"❌ Account Not Found"))</f>
        <v/>
      </c>
      <c r="C114" s="496">
        <f>IF(A114="","",IFERROR(VLOOKUP(A114,DB_Customers!$A:$N,14,0),""))</f>
        <v/>
      </c>
      <c r="D114" s="497">
        <f>IF(A114="","",TODAY())</f>
        <v/>
      </c>
      <c r="E114" s="489" t="n"/>
      <c r="F114" s="498">
        <f>IF(OR(A114="",E114=""),"",IF(C114="","",C114+E114))</f>
        <v/>
      </c>
      <c r="G114" s="384" t="inlineStr">
        <is>
          <t>Agent 04</t>
        </is>
      </c>
      <c r="H114" s="491" t="n"/>
      <c r="I114" s="499">
        <f>IF(A114="","Pending",IF(H114="","⚠️ Enter Code",IF(IFERROR(VLOOKUP(G114,DB_Agents!$B:$I,8,0),"")=H114,IF(AND(A114&lt;&gt;"",E114&lt;&gt;""),"Saved","Pending"),"🔒 BLOCKED — Wrong Code")))</f>
        <v/>
      </c>
      <c r="J114" s="500">
        <f>IF(I114="Saved",TEXT(TODAY(),"YYYY-MM-DD")&amp;" Auto","—")</f>
        <v/>
      </c>
      <c r="K114" s="501" t="n"/>
    </row>
    <row r="115" ht="15" customHeight="1" s="341">
      <c r="A115" s="486" t="n"/>
      <c r="B115" s="378">
        <f>IF(A115="","",IFERROR(VLOOKUP(A115,DB_Customers!$A:$D,4,0),"❌ Account Not Found"))</f>
        <v/>
      </c>
      <c r="C115" s="487">
        <f>IF(A115="","",IFERROR(VLOOKUP(A115,DB_Customers!$A:$N,14,0),""))</f>
        <v/>
      </c>
      <c r="D115" s="488">
        <f>IF(A115="","",TODAY())</f>
        <v/>
      </c>
      <c r="E115" s="489" t="n"/>
      <c r="F115" s="490">
        <f>IF(OR(A115="",E115=""),"",IF(C115="","",C115+E115))</f>
        <v/>
      </c>
      <c r="G115" s="380" t="inlineStr">
        <is>
          <t>Agent 04</t>
        </is>
      </c>
      <c r="H115" s="491" t="n"/>
      <c r="I115" s="492">
        <f>IF(A115="","Pending",IF(H115="","⚠️ Enter Code",IF(IFERROR(VLOOKUP(G115,DB_Agents!$B:$I,8,0),"")=H115,IF(AND(A115&lt;&gt;"",E115&lt;&gt;""),"Saved","Pending"),"🔒 BLOCKED — Wrong Code")))</f>
        <v/>
      </c>
      <c r="J115" s="493">
        <f>IF(I115="Saved",TEXT(TODAY(),"YYYY-MM-DD")&amp;" Auto","—")</f>
        <v/>
      </c>
      <c r="K115" s="494" t="n"/>
    </row>
    <row r="116" ht="15" customHeight="1" s="341">
      <c r="A116" s="495" t="n"/>
      <c r="B116" s="382">
        <f>IF(A116="","",IFERROR(VLOOKUP(A116,DB_Customers!$A:$D,4,0),"❌ Account Not Found"))</f>
        <v/>
      </c>
      <c r="C116" s="496">
        <f>IF(A116="","",IFERROR(VLOOKUP(A116,DB_Customers!$A:$N,14,0),""))</f>
        <v/>
      </c>
      <c r="D116" s="497">
        <f>IF(A116="","",TODAY())</f>
        <v/>
      </c>
      <c r="E116" s="489" t="n"/>
      <c r="F116" s="498">
        <f>IF(OR(A116="",E116=""),"",IF(C116="","",C116+E116))</f>
        <v/>
      </c>
      <c r="G116" s="384" t="inlineStr">
        <is>
          <t>Agent 04</t>
        </is>
      </c>
      <c r="H116" s="491" t="n"/>
      <c r="I116" s="499">
        <f>IF(A116="","Pending",IF(H116="","⚠️ Enter Code",IF(IFERROR(VLOOKUP(G116,DB_Agents!$B:$I,8,0),"")=H116,IF(AND(A116&lt;&gt;"",E116&lt;&gt;""),"Saved","Pending"),"🔒 BLOCKED — Wrong Code")))</f>
        <v/>
      </c>
      <c r="J116" s="500">
        <f>IF(I116="Saved",TEXT(TODAY(),"YYYY-MM-DD")&amp;" Auto","—")</f>
        <v/>
      </c>
      <c r="K116" s="501" t="n"/>
    </row>
    <row r="117" ht="15" customHeight="1" s="341">
      <c r="A117" s="486" t="n"/>
      <c r="B117" s="378">
        <f>IF(A117="","",IFERROR(VLOOKUP(A117,DB_Customers!$A:$D,4,0),"❌ Account Not Found"))</f>
        <v/>
      </c>
      <c r="C117" s="487">
        <f>IF(A117="","",IFERROR(VLOOKUP(A117,DB_Customers!$A:$N,14,0),""))</f>
        <v/>
      </c>
      <c r="D117" s="488">
        <f>IF(A117="","",TODAY())</f>
        <v/>
      </c>
      <c r="E117" s="489" t="n"/>
      <c r="F117" s="490">
        <f>IF(OR(A117="",E117=""),"",IF(C117="","",C117+E117))</f>
        <v/>
      </c>
      <c r="G117" s="380" t="inlineStr">
        <is>
          <t>Agent 04</t>
        </is>
      </c>
      <c r="H117" s="491" t="n"/>
      <c r="I117" s="492">
        <f>IF(A117="","Pending",IF(H117="","⚠️ Enter Code",IF(IFERROR(VLOOKUP(G117,DB_Agents!$B:$I,8,0),"")=H117,IF(AND(A117&lt;&gt;"",E117&lt;&gt;""),"Saved","Pending"),"🔒 BLOCKED — Wrong Code")))</f>
        <v/>
      </c>
      <c r="J117" s="493">
        <f>IF(I117="Saved",TEXT(TODAY(),"YYYY-MM-DD")&amp;" Auto","—")</f>
        <v/>
      </c>
      <c r="K117" s="494" t="n"/>
    </row>
    <row r="118" ht="15" customHeight="1" s="341">
      <c r="A118" s="495" t="n"/>
      <c r="B118" s="382">
        <f>IF(A118="","",IFERROR(VLOOKUP(A118,DB_Customers!$A:$D,4,0),"❌ Account Not Found"))</f>
        <v/>
      </c>
      <c r="C118" s="496">
        <f>IF(A118="","",IFERROR(VLOOKUP(A118,DB_Customers!$A:$N,14,0),""))</f>
        <v/>
      </c>
      <c r="D118" s="497">
        <f>IF(A118="","",TODAY())</f>
        <v/>
      </c>
      <c r="E118" s="489" t="n"/>
      <c r="F118" s="498">
        <f>IF(OR(A118="",E118=""),"",IF(C118="","",C118+E118))</f>
        <v/>
      </c>
      <c r="G118" s="384" t="inlineStr">
        <is>
          <t>Agent 04</t>
        </is>
      </c>
      <c r="H118" s="491" t="n"/>
      <c r="I118" s="499">
        <f>IF(A118="","Pending",IF(H118="","⚠️ Enter Code",IF(IFERROR(VLOOKUP(G118,DB_Agents!$B:$I,8,0),"")=H118,IF(AND(A118&lt;&gt;"",E118&lt;&gt;""),"Saved","Pending"),"🔒 BLOCKED — Wrong Code")))</f>
        <v/>
      </c>
      <c r="J118" s="500">
        <f>IF(I118="Saved",TEXT(TODAY(),"YYYY-MM-DD")&amp;" Auto","—")</f>
        <v/>
      </c>
      <c r="K118" s="501" t="n"/>
    </row>
    <row r="119" ht="15" customHeight="1" s="341">
      <c r="A119" s="486" t="n"/>
      <c r="B119" s="378">
        <f>IF(A119="","",IFERROR(VLOOKUP(A119,DB_Customers!$A:$D,4,0),"❌ Account Not Found"))</f>
        <v/>
      </c>
      <c r="C119" s="487">
        <f>IF(A119="","",IFERROR(VLOOKUP(A119,DB_Customers!$A:$N,14,0),""))</f>
        <v/>
      </c>
      <c r="D119" s="488">
        <f>IF(A119="","",TODAY())</f>
        <v/>
      </c>
      <c r="E119" s="489" t="n"/>
      <c r="F119" s="490">
        <f>IF(OR(A119="",E119=""),"",IF(C119="","",C119+E119))</f>
        <v/>
      </c>
      <c r="G119" s="380" t="inlineStr">
        <is>
          <t>Agent 04</t>
        </is>
      </c>
      <c r="H119" s="491" t="n"/>
      <c r="I119" s="492">
        <f>IF(A119="","Pending",IF(H119="","⚠️ Enter Code",IF(IFERROR(VLOOKUP(G119,DB_Agents!$B:$I,8,0),"")=H119,IF(AND(A119&lt;&gt;"",E119&lt;&gt;""),"Saved","Pending"),"🔒 BLOCKED — Wrong Code")))</f>
        <v/>
      </c>
      <c r="J119" s="493">
        <f>IF(I119="Saved",TEXT(TODAY(),"YYYY-MM-DD")&amp;" Auto","—")</f>
        <v/>
      </c>
      <c r="K119" s="494" t="n"/>
    </row>
    <row r="120" ht="15" customHeight="1" s="341">
      <c r="A120" s="495" t="n"/>
      <c r="B120" s="382">
        <f>IF(A120="","",IFERROR(VLOOKUP(A120,DB_Customers!$A:$D,4,0),"❌ Account Not Found"))</f>
        <v/>
      </c>
      <c r="C120" s="496">
        <f>IF(A120="","",IFERROR(VLOOKUP(A120,DB_Customers!$A:$N,14,0),""))</f>
        <v/>
      </c>
      <c r="D120" s="497">
        <f>IF(A120="","",TODAY())</f>
        <v/>
      </c>
      <c r="E120" s="489" t="n"/>
      <c r="F120" s="498">
        <f>IF(OR(A120="",E120=""),"",IF(C120="","",C120+E120))</f>
        <v/>
      </c>
      <c r="G120" s="384" t="inlineStr">
        <is>
          <t>Agent 04</t>
        </is>
      </c>
      <c r="H120" s="491" t="n"/>
      <c r="I120" s="499">
        <f>IF(A120="","Pending",IF(H120="","⚠️ Enter Code",IF(IFERROR(VLOOKUP(G120,DB_Agents!$B:$I,8,0),"")=H120,IF(AND(A120&lt;&gt;"",E120&lt;&gt;""),"Saved","Pending"),"🔒 BLOCKED — Wrong Code")))</f>
        <v/>
      </c>
      <c r="J120" s="500">
        <f>IF(I120="Saved",TEXT(TODAY(),"YYYY-MM-DD")&amp;" Auto","—")</f>
        <v/>
      </c>
      <c r="K120" s="501" t="n"/>
    </row>
    <row r="121" ht="15" customHeight="1" s="341">
      <c r="A121" s="486" t="n"/>
      <c r="B121" s="378">
        <f>IF(A121="","",IFERROR(VLOOKUP(A121,DB_Customers!$A:$D,4,0),"❌ Account Not Found"))</f>
        <v/>
      </c>
      <c r="C121" s="487">
        <f>IF(A121="","",IFERROR(VLOOKUP(A121,DB_Customers!$A:$N,14,0),""))</f>
        <v/>
      </c>
      <c r="D121" s="488">
        <f>IF(A121="","",TODAY())</f>
        <v/>
      </c>
      <c r="E121" s="489" t="n"/>
      <c r="F121" s="490">
        <f>IF(OR(A121="",E121=""),"",IF(C121="","",C121+E121))</f>
        <v/>
      </c>
      <c r="G121" s="380" t="inlineStr">
        <is>
          <t>Agent 04</t>
        </is>
      </c>
      <c r="H121" s="491" t="n"/>
      <c r="I121" s="492">
        <f>IF(A121="","Pending",IF(H121="","⚠️ Enter Code",IF(IFERROR(VLOOKUP(G121,DB_Agents!$B:$I,8,0),"")=H121,IF(AND(A121&lt;&gt;"",E121&lt;&gt;""),"Saved","Pending"),"🔒 BLOCKED — Wrong Code")))</f>
        <v/>
      </c>
      <c r="J121" s="493">
        <f>IF(I121="Saved",TEXT(TODAY(),"YYYY-MM-DD")&amp;" Auto","—")</f>
        <v/>
      </c>
      <c r="K121" s="494" t="n"/>
    </row>
    <row r="122" ht="15" customHeight="1" s="341">
      <c r="A122" s="495" t="n"/>
      <c r="B122" s="382">
        <f>IF(A122="","",IFERROR(VLOOKUP(A122,DB_Customers!$A:$D,4,0),"❌ Account Not Found"))</f>
        <v/>
      </c>
      <c r="C122" s="496">
        <f>IF(A122="","",IFERROR(VLOOKUP(A122,DB_Customers!$A:$N,14,0),""))</f>
        <v/>
      </c>
      <c r="D122" s="497">
        <f>IF(A122="","",TODAY())</f>
        <v/>
      </c>
      <c r="E122" s="489" t="n"/>
      <c r="F122" s="498">
        <f>IF(OR(A122="",E122=""),"",IF(C122="","",C122+E122))</f>
        <v/>
      </c>
      <c r="G122" s="384" t="inlineStr">
        <is>
          <t>Agent 04</t>
        </is>
      </c>
      <c r="H122" s="491" t="n"/>
      <c r="I122" s="499">
        <f>IF(A122="","Pending",IF(H122="","⚠️ Enter Code",IF(IFERROR(VLOOKUP(G122,DB_Agents!$B:$I,8,0),"")=H122,IF(AND(A122&lt;&gt;"",E122&lt;&gt;""),"Saved","Pending"),"🔒 BLOCKED — Wrong Code")))</f>
        <v/>
      </c>
      <c r="J122" s="500">
        <f>IF(I122="Saved",TEXT(TODAY(),"YYYY-MM-DD")&amp;" Auto","—")</f>
        <v/>
      </c>
      <c r="K122" s="501" t="n"/>
    </row>
    <row r="123" ht="15" customHeight="1" s="341">
      <c r="A123" s="486" t="n"/>
      <c r="B123" s="378">
        <f>IF(A123="","",IFERROR(VLOOKUP(A123,DB_Customers!$A:$D,4,0),"❌ Account Not Found"))</f>
        <v/>
      </c>
      <c r="C123" s="487">
        <f>IF(A123="","",IFERROR(VLOOKUP(A123,DB_Customers!$A:$N,14,0),""))</f>
        <v/>
      </c>
      <c r="D123" s="488">
        <f>IF(A123="","",TODAY())</f>
        <v/>
      </c>
      <c r="E123" s="489" t="n"/>
      <c r="F123" s="490">
        <f>IF(OR(A123="",E123=""),"",IF(C123="","",C123+E123))</f>
        <v/>
      </c>
      <c r="G123" s="380" t="inlineStr">
        <is>
          <t>Agent 04</t>
        </is>
      </c>
      <c r="H123" s="491" t="n"/>
      <c r="I123" s="492">
        <f>IF(A123="","Pending",IF(H123="","⚠️ Enter Code",IF(IFERROR(VLOOKUP(G123,DB_Agents!$B:$I,8,0),"")=H123,IF(AND(A123&lt;&gt;"",E123&lt;&gt;""),"Saved","Pending"),"🔒 BLOCKED — Wrong Code")))</f>
        <v/>
      </c>
      <c r="J123" s="493">
        <f>IF(I123="Saved",TEXT(TODAY(),"YYYY-MM-DD")&amp;" Auto","—")</f>
        <v/>
      </c>
      <c r="K123" s="494" t="n"/>
    </row>
    <row r="124" ht="15" customHeight="1" s="341">
      <c r="A124" s="495" t="n"/>
      <c r="B124" s="382">
        <f>IF(A124="","",IFERROR(VLOOKUP(A124,DB_Customers!$A:$D,4,0),"❌ Account Not Found"))</f>
        <v/>
      </c>
      <c r="C124" s="496">
        <f>IF(A124="","",IFERROR(VLOOKUP(A124,DB_Customers!$A:$N,14,0),""))</f>
        <v/>
      </c>
      <c r="D124" s="497">
        <f>IF(A124="","",TODAY())</f>
        <v/>
      </c>
      <c r="E124" s="489" t="n"/>
      <c r="F124" s="498">
        <f>IF(OR(A124="",E124=""),"",IF(C124="","",C124+E124))</f>
        <v/>
      </c>
      <c r="G124" s="384" t="inlineStr">
        <is>
          <t>Agent 04</t>
        </is>
      </c>
      <c r="H124" s="491" t="n"/>
      <c r="I124" s="499">
        <f>IF(A124="","Pending",IF(H124="","⚠️ Enter Code",IF(IFERROR(VLOOKUP(G124,DB_Agents!$B:$I,8,0),"")=H124,IF(AND(A124&lt;&gt;"",E124&lt;&gt;""),"Saved","Pending"),"🔒 BLOCKED — Wrong Code")))</f>
        <v/>
      </c>
      <c r="J124" s="500">
        <f>IF(I124="Saved",TEXT(TODAY(),"YYYY-MM-DD")&amp;" Auto","—")</f>
        <v/>
      </c>
      <c r="K124" s="501" t="n"/>
    </row>
    <row r="125" ht="15" customHeight="1" s="341">
      <c r="A125" s="486" t="n"/>
      <c r="B125" s="378">
        <f>IF(A125="","",IFERROR(VLOOKUP(A125,DB_Customers!$A:$D,4,0),"❌ Account Not Found"))</f>
        <v/>
      </c>
      <c r="C125" s="487">
        <f>IF(A125="","",IFERROR(VLOOKUP(A125,DB_Customers!$A:$N,14,0),""))</f>
        <v/>
      </c>
      <c r="D125" s="488">
        <f>IF(A125="","",TODAY())</f>
        <v/>
      </c>
      <c r="E125" s="489" t="n"/>
      <c r="F125" s="490">
        <f>IF(OR(A125="",E125=""),"",IF(C125="","",C125+E125))</f>
        <v/>
      </c>
      <c r="G125" s="380" t="inlineStr">
        <is>
          <t>Agent 04</t>
        </is>
      </c>
      <c r="H125" s="491" t="n"/>
      <c r="I125" s="492">
        <f>IF(A125="","Pending",IF(H125="","⚠️ Enter Code",IF(IFERROR(VLOOKUP(G125,DB_Agents!$B:$I,8,0),"")=H125,IF(AND(A125&lt;&gt;"",E125&lt;&gt;""),"Saved","Pending"),"🔒 BLOCKED — Wrong Code")))</f>
        <v/>
      </c>
      <c r="J125" s="493">
        <f>IF(I125="Saved",TEXT(TODAY(),"YYYY-MM-DD")&amp;" Auto","—")</f>
        <v/>
      </c>
      <c r="K125" s="494" t="n"/>
    </row>
    <row r="126" ht="15" customHeight="1" s="341">
      <c r="A126" s="495" t="n"/>
      <c r="B126" s="382">
        <f>IF(A126="","",IFERROR(VLOOKUP(A126,DB_Customers!$A:$D,4,0),"❌ Account Not Found"))</f>
        <v/>
      </c>
      <c r="C126" s="496">
        <f>IF(A126="","",IFERROR(VLOOKUP(A126,DB_Customers!$A:$N,14,0),""))</f>
        <v/>
      </c>
      <c r="D126" s="497">
        <f>IF(A126="","",TODAY())</f>
        <v/>
      </c>
      <c r="E126" s="489" t="n"/>
      <c r="F126" s="498">
        <f>IF(OR(A126="",E126=""),"",IF(C126="","",C126+E126))</f>
        <v/>
      </c>
      <c r="G126" s="384" t="inlineStr">
        <is>
          <t>Agent 04</t>
        </is>
      </c>
      <c r="H126" s="491" t="n"/>
      <c r="I126" s="499">
        <f>IF(A126="","Pending",IF(H126="","⚠️ Enter Code",IF(IFERROR(VLOOKUP(G126,DB_Agents!$B:$I,8,0),"")=H126,IF(AND(A126&lt;&gt;"",E126&lt;&gt;""),"Saved","Pending"),"🔒 BLOCKED — Wrong Code")))</f>
        <v/>
      </c>
      <c r="J126" s="500">
        <f>IF(I126="Saved",TEXT(TODAY(),"YYYY-MM-DD")&amp;" Auto","—")</f>
        <v/>
      </c>
      <c r="K126" s="501" t="n"/>
    </row>
    <row r="127" ht="15" customHeight="1" s="341">
      <c r="A127" s="486" t="n"/>
      <c r="B127" s="378">
        <f>IF(A127="","",IFERROR(VLOOKUP(A127,DB_Customers!$A:$D,4,0),"❌ Account Not Found"))</f>
        <v/>
      </c>
      <c r="C127" s="487">
        <f>IF(A127="","",IFERROR(VLOOKUP(A127,DB_Customers!$A:$N,14,0),""))</f>
        <v/>
      </c>
      <c r="D127" s="488">
        <f>IF(A127="","",TODAY())</f>
        <v/>
      </c>
      <c r="E127" s="489" t="n"/>
      <c r="F127" s="490">
        <f>IF(OR(A127="",E127=""),"",IF(C127="","",C127+E127))</f>
        <v/>
      </c>
      <c r="G127" s="380" t="inlineStr">
        <is>
          <t>Agent 04</t>
        </is>
      </c>
      <c r="H127" s="491" t="n"/>
      <c r="I127" s="492">
        <f>IF(A127="","Pending",IF(H127="","⚠️ Enter Code",IF(IFERROR(VLOOKUP(G127,DB_Agents!$B:$I,8,0),"")=H127,IF(AND(A127&lt;&gt;"",E127&lt;&gt;""),"Saved","Pending"),"🔒 BLOCKED — Wrong Code")))</f>
        <v/>
      </c>
      <c r="J127" s="493">
        <f>IF(I127="Saved",TEXT(TODAY(),"YYYY-MM-DD")&amp;" Auto","—")</f>
        <v/>
      </c>
      <c r="K127" s="494" t="n"/>
    </row>
    <row r="128" ht="15" customHeight="1" s="341">
      <c r="A128" s="495" t="n"/>
      <c r="B128" s="382">
        <f>IF(A128="","",IFERROR(VLOOKUP(A128,DB_Customers!$A:$D,4,0),"❌ Account Not Found"))</f>
        <v/>
      </c>
      <c r="C128" s="496">
        <f>IF(A128="","",IFERROR(VLOOKUP(A128,DB_Customers!$A:$N,14,0),""))</f>
        <v/>
      </c>
      <c r="D128" s="497">
        <f>IF(A128="","",TODAY())</f>
        <v/>
      </c>
      <c r="E128" s="489" t="n"/>
      <c r="F128" s="498">
        <f>IF(OR(A128="",E128=""),"",IF(C128="","",C128+E128))</f>
        <v/>
      </c>
      <c r="G128" s="384" t="inlineStr">
        <is>
          <t>Agent 04</t>
        </is>
      </c>
      <c r="H128" s="491" t="n"/>
      <c r="I128" s="499">
        <f>IF(A128="","Pending",IF(H128="","⚠️ Enter Code",IF(IFERROR(VLOOKUP(G128,DB_Agents!$B:$I,8,0),"")=H128,IF(AND(A128&lt;&gt;"",E128&lt;&gt;""),"Saved","Pending"),"🔒 BLOCKED — Wrong Code")))</f>
        <v/>
      </c>
      <c r="J128" s="500">
        <f>IF(I128="Saved",TEXT(TODAY(),"YYYY-MM-DD")&amp;" Auto","—")</f>
        <v/>
      </c>
      <c r="K128" s="501" t="n"/>
    </row>
    <row r="129" ht="15" customHeight="1" s="341">
      <c r="A129" s="486" t="n"/>
      <c r="B129" s="378">
        <f>IF(A129="","",IFERROR(VLOOKUP(A129,DB_Customers!$A:$D,4,0),"❌ Account Not Found"))</f>
        <v/>
      </c>
      <c r="C129" s="487">
        <f>IF(A129="","",IFERROR(VLOOKUP(A129,DB_Customers!$A:$N,14,0),""))</f>
        <v/>
      </c>
      <c r="D129" s="488">
        <f>IF(A129="","",TODAY())</f>
        <v/>
      </c>
      <c r="E129" s="489" t="n"/>
      <c r="F129" s="490">
        <f>IF(OR(A129="",E129=""),"",IF(C129="","",C129+E129))</f>
        <v/>
      </c>
      <c r="G129" s="380" t="inlineStr">
        <is>
          <t>Agent 04</t>
        </is>
      </c>
      <c r="H129" s="491" t="n"/>
      <c r="I129" s="492">
        <f>IF(A129="","Pending",IF(H129="","⚠️ Enter Code",IF(IFERROR(VLOOKUP(G129,DB_Agents!$B:$I,8,0),"")=H129,IF(AND(A129&lt;&gt;"",E129&lt;&gt;""),"Saved","Pending"),"🔒 BLOCKED — Wrong Code")))</f>
        <v/>
      </c>
      <c r="J129" s="493">
        <f>IF(I129="Saved",TEXT(TODAY(),"YYYY-MM-DD")&amp;" Auto","—")</f>
        <v/>
      </c>
      <c r="K129" s="494" t="n"/>
    </row>
    <row r="130" ht="15" customHeight="1" s="341">
      <c r="A130" s="495" t="n"/>
      <c r="B130" s="382">
        <f>IF(A130="","",IFERROR(VLOOKUP(A130,DB_Customers!$A:$D,4,0),"❌ Account Not Found"))</f>
        <v/>
      </c>
      <c r="C130" s="496">
        <f>IF(A130="","",IFERROR(VLOOKUP(A130,DB_Customers!$A:$N,14,0),""))</f>
        <v/>
      </c>
      <c r="D130" s="497">
        <f>IF(A130="","",TODAY())</f>
        <v/>
      </c>
      <c r="E130" s="489" t="n"/>
      <c r="F130" s="498">
        <f>IF(OR(A130="",E130=""),"",IF(C130="","",C130+E130))</f>
        <v/>
      </c>
      <c r="G130" s="384" t="inlineStr">
        <is>
          <t>Agent 04</t>
        </is>
      </c>
      <c r="H130" s="491" t="n"/>
      <c r="I130" s="499">
        <f>IF(A130="","Pending",IF(H130="","⚠️ Enter Code",IF(IFERROR(VLOOKUP(G130,DB_Agents!$B:$I,8,0),"")=H130,IF(AND(A130&lt;&gt;"",E130&lt;&gt;""),"Saved","Pending"),"🔒 BLOCKED — Wrong Code")))</f>
        <v/>
      </c>
      <c r="J130" s="500">
        <f>IF(I130="Saved",TEXT(TODAY(),"YYYY-MM-DD")&amp;" Auto","—")</f>
        <v/>
      </c>
      <c r="K130" s="501" t="n"/>
    </row>
    <row r="131" ht="15" customHeight="1" s="341">
      <c r="A131" s="486" t="n"/>
      <c r="B131" s="378">
        <f>IF(A131="","",IFERROR(VLOOKUP(A131,DB_Customers!$A:$D,4,0),"❌ Account Not Found"))</f>
        <v/>
      </c>
      <c r="C131" s="487">
        <f>IF(A131="","",IFERROR(VLOOKUP(A131,DB_Customers!$A:$N,14,0),""))</f>
        <v/>
      </c>
      <c r="D131" s="488">
        <f>IF(A131="","",TODAY())</f>
        <v/>
      </c>
      <c r="E131" s="489" t="n"/>
      <c r="F131" s="490">
        <f>IF(OR(A131="",E131=""),"",IF(C131="","",C131+E131))</f>
        <v/>
      </c>
      <c r="G131" s="380" t="inlineStr">
        <is>
          <t>Agent 04</t>
        </is>
      </c>
      <c r="H131" s="491" t="n"/>
      <c r="I131" s="492">
        <f>IF(A131="","Pending",IF(H131="","⚠️ Enter Code",IF(IFERROR(VLOOKUP(G131,DB_Agents!$B:$I,8,0),"")=H131,IF(AND(A131&lt;&gt;"",E131&lt;&gt;""),"Saved","Pending"),"🔒 BLOCKED — Wrong Code")))</f>
        <v/>
      </c>
      <c r="J131" s="493">
        <f>IF(I131="Saved",TEXT(TODAY(),"YYYY-MM-DD")&amp;" Auto","—")</f>
        <v/>
      </c>
      <c r="K131" s="494" t="n"/>
    </row>
    <row r="132" ht="15" customHeight="1" s="341">
      <c r="A132" s="495" t="n"/>
      <c r="B132" s="382">
        <f>IF(A132="","",IFERROR(VLOOKUP(A132,DB_Customers!$A:$D,4,0),"❌ Account Not Found"))</f>
        <v/>
      </c>
      <c r="C132" s="496">
        <f>IF(A132="","",IFERROR(VLOOKUP(A132,DB_Customers!$A:$N,14,0),""))</f>
        <v/>
      </c>
      <c r="D132" s="497">
        <f>IF(A132="","",TODAY())</f>
        <v/>
      </c>
      <c r="E132" s="489" t="n"/>
      <c r="F132" s="498">
        <f>IF(OR(A132="",E132=""),"",IF(C132="","",C132+E132))</f>
        <v/>
      </c>
      <c r="G132" s="384" t="inlineStr">
        <is>
          <t>Agent 04</t>
        </is>
      </c>
      <c r="H132" s="491" t="n"/>
      <c r="I132" s="499">
        <f>IF(A132="","Pending",IF(H132="","⚠️ Enter Code",IF(IFERROR(VLOOKUP(G132,DB_Agents!$B:$I,8,0),"")=H132,IF(AND(A132&lt;&gt;"",E132&lt;&gt;""),"Saved","Pending"),"🔒 BLOCKED — Wrong Code")))</f>
        <v/>
      </c>
      <c r="J132" s="500">
        <f>IF(I132="Saved",TEXT(TODAY(),"YYYY-MM-DD")&amp;" Auto","—")</f>
        <v/>
      </c>
      <c r="K132" s="501" t="n"/>
    </row>
    <row r="133" ht="15" customHeight="1" s="341">
      <c r="A133" s="486" t="n"/>
      <c r="B133" s="378">
        <f>IF(A133="","",IFERROR(VLOOKUP(A133,DB_Customers!$A:$D,4,0),"❌ Account Not Found"))</f>
        <v/>
      </c>
      <c r="C133" s="487">
        <f>IF(A133="","",IFERROR(VLOOKUP(A133,DB_Customers!$A:$N,14,0),""))</f>
        <v/>
      </c>
      <c r="D133" s="488">
        <f>IF(A133="","",TODAY())</f>
        <v/>
      </c>
      <c r="E133" s="489" t="n"/>
      <c r="F133" s="490">
        <f>IF(OR(A133="",E133=""),"",IF(C133="","",C133+E133))</f>
        <v/>
      </c>
      <c r="G133" s="380" t="inlineStr">
        <is>
          <t>Agent 04</t>
        </is>
      </c>
      <c r="H133" s="491" t="n"/>
      <c r="I133" s="492">
        <f>IF(A133="","Pending",IF(H133="","⚠️ Enter Code",IF(IFERROR(VLOOKUP(G133,DB_Agents!$B:$I,8,0),"")=H133,IF(AND(A133&lt;&gt;"",E133&lt;&gt;""),"Saved","Pending"),"🔒 BLOCKED — Wrong Code")))</f>
        <v/>
      </c>
      <c r="J133" s="493">
        <f>IF(I133="Saved",TEXT(TODAY(),"YYYY-MM-DD")&amp;" Auto","—")</f>
        <v/>
      </c>
      <c r="K133" s="494" t="n"/>
    </row>
    <row r="134" ht="15" customHeight="1" s="341">
      <c r="A134" s="495" t="n"/>
      <c r="B134" s="382">
        <f>IF(A134="","",IFERROR(VLOOKUP(A134,DB_Customers!$A:$D,4,0),"❌ Account Not Found"))</f>
        <v/>
      </c>
      <c r="C134" s="496">
        <f>IF(A134="","",IFERROR(VLOOKUP(A134,DB_Customers!$A:$N,14,0),""))</f>
        <v/>
      </c>
      <c r="D134" s="497">
        <f>IF(A134="","",TODAY())</f>
        <v/>
      </c>
      <c r="E134" s="489" t="n"/>
      <c r="F134" s="498">
        <f>IF(OR(A134="",E134=""),"",IF(C134="","",C134+E134))</f>
        <v/>
      </c>
      <c r="G134" s="384" t="inlineStr">
        <is>
          <t>Agent 04</t>
        </is>
      </c>
      <c r="H134" s="491" t="n"/>
      <c r="I134" s="499">
        <f>IF(A134="","Pending",IF(H134="","⚠️ Enter Code",IF(IFERROR(VLOOKUP(G134,DB_Agents!$B:$I,8,0),"")=H134,IF(AND(A134&lt;&gt;"",E134&lt;&gt;""),"Saved","Pending"),"🔒 BLOCKED — Wrong Code")))</f>
        <v/>
      </c>
      <c r="J134" s="500">
        <f>IF(I134="Saved",TEXT(TODAY(),"YYYY-MM-DD")&amp;" Auto","—")</f>
        <v/>
      </c>
      <c r="K134" s="501" t="n"/>
    </row>
    <row r="135" ht="15" customHeight="1" s="341">
      <c r="A135" s="486" t="n"/>
      <c r="B135" s="378">
        <f>IF(A135="","",IFERROR(VLOOKUP(A135,DB_Customers!$A:$D,4,0),"❌ Account Not Found"))</f>
        <v/>
      </c>
      <c r="C135" s="487">
        <f>IF(A135="","",IFERROR(VLOOKUP(A135,DB_Customers!$A:$N,14,0),""))</f>
        <v/>
      </c>
      <c r="D135" s="488">
        <f>IF(A135="","",TODAY())</f>
        <v/>
      </c>
      <c r="E135" s="489" t="n"/>
      <c r="F135" s="490">
        <f>IF(OR(A135="",E135=""),"",IF(C135="","",C135+E135))</f>
        <v/>
      </c>
      <c r="G135" s="380" t="inlineStr">
        <is>
          <t>Agent 04</t>
        </is>
      </c>
      <c r="H135" s="491" t="n"/>
      <c r="I135" s="492">
        <f>IF(A135="","Pending",IF(H135="","⚠️ Enter Code",IF(IFERROR(VLOOKUP(G135,DB_Agents!$B:$I,8,0),"")=H135,IF(AND(A135&lt;&gt;"",E135&lt;&gt;""),"Saved","Pending"),"🔒 BLOCKED — Wrong Code")))</f>
        <v/>
      </c>
      <c r="J135" s="493">
        <f>IF(I135="Saved",TEXT(TODAY(),"YYYY-MM-DD")&amp;" Auto","—")</f>
        <v/>
      </c>
      <c r="K135" s="494" t="n"/>
    </row>
    <row r="136" ht="15" customHeight="1" s="341">
      <c r="A136" s="495" t="n"/>
      <c r="B136" s="382">
        <f>IF(A136="","",IFERROR(VLOOKUP(A136,DB_Customers!$A:$D,4,0),"❌ Account Not Found"))</f>
        <v/>
      </c>
      <c r="C136" s="496">
        <f>IF(A136="","",IFERROR(VLOOKUP(A136,DB_Customers!$A:$N,14,0),""))</f>
        <v/>
      </c>
      <c r="D136" s="497">
        <f>IF(A136="","",TODAY())</f>
        <v/>
      </c>
      <c r="E136" s="489" t="n"/>
      <c r="F136" s="498">
        <f>IF(OR(A136="",E136=""),"",IF(C136="","",C136+E136))</f>
        <v/>
      </c>
      <c r="G136" s="384" t="inlineStr">
        <is>
          <t>Agent 04</t>
        </is>
      </c>
      <c r="H136" s="491" t="n"/>
      <c r="I136" s="499">
        <f>IF(A136="","Pending",IF(H136="","⚠️ Enter Code",IF(IFERROR(VLOOKUP(G136,DB_Agents!$B:$I,8,0),"")=H136,IF(AND(A136&lt;&gt;"",E136&lt;&gt;""),"Saved","Pending"),"🔒 BLOCKED — Wrong Code")))</f>
        <v/>
      </c>
      <c r="J136" s="500">
        <f>IF(I136="Saved",TEXT(TODAY(),"YYYY-MM-DD")&amp;" Auto","—")</f>
        <v/>
      </c>
      <c r="K136" s="501" t="n"/>
    </row>
    <row r="137" ht="15" customHeight="1" s="341">
      <c r="A137" s="486" t="n"/>
      <c r="B137" s="378">
        <f>IF(A137="","",IFERROR(VLOOKUP(A137,DB_Customers!$A:$D,4,0),"❌ Account Not Found"))</f>
        <v/>
      </c>
      <c r="C137" s="487">
        <f>IF(A137="","",IFERROR(VLOOKUP(A137,DB_Customers!$A:$N,14,0),""))</f>
        <v/>
      </c>
      <c r="D137" s="488">
        <f>IF(A137="","",TODAY())</f>
        <v/>
      </c>
      <c r="E137" s="489" t="n"/>
      <c r="F137" s="490">
        <f>IF(OR(A137="",E137=""),"",IF(C137="","",C137+E137))</f>
        <v/>
      </c>
      <c r="G137" s="380" t="inlineStr">
        <is>
          <t>Agent 04</t>
        </is>
      </c>
      <c r="H137" s="491" t="n"/>
      <c r="I137" s="492">
        <f>IF(A137="","Pending",IF(H137="","⚠️ Enter Code",IF(IFERROR(VLOOKUP(G137,DB_Agents!$B:$I,8,0),"")=H137,IF(AND(A137&lt;&gt;"",E137&lt;&gt;""),"Saved","Pending"),"🔒 BLOCKED — Wrong Code")))</f>
        <v/>
      </c>
      <c r="J137" s="493">
        <f>IF(I137="Saved",TEXT(TODAY(),"YYYY-MM-DD")&amp;" Auto","—")</f>
        <v/>
      </c>
      <c r="K137" s="494" t="n"/>
    </row>
    <row r="138" ht="15" customHeight="1" s="341">
      <c r="A138" s="495" t="n"/>
      <c r="B138" s="382">
        <f>IF(A138="","",IFERROR(VLOOKUP(A138,DB_Customers!$A:$D,4,0),"❌ Account Not Found"))</f>
        <v/>
      </c>
      <c r="C138" s="496">
        <f>IF(A138="","",IFERROR(VLOOKUP(A138,DB_Customers!$A:$N,14,0),""))</f>
        <v/>
      </c>
      <c r="D138" s="497">
        <f>IF(A138="","",TODAY())</f>
        <v/>
      </c>
      <c r="E138" s="489" t="n"/>
      <c r="F138" s="498">
        <f>IF(OR(A138="",E138=""),"",IF(C138="","",C138+E138))</f>
        <v/>
      </c>
      <c r="G138" s="384" t="inlineStr">
        <is>
          <t>Agent 04</t>
        </is>
      </c>
      <c r="H138" s="491" t="n"/>
      <c r="I138" s="499">
        <f>IF(A138="","Pending",IF(H138="","⚠️ Enter Code",IF(IFERROR(VLOOKUP(G138,DB_Agents!$B:$I,8,0),"")=H138,IF(AND(A138&lt;&gt;"",E138&lt;&gt;""),"Saved","Pending"),"🔒 BLOCKED — Wrong Code")))</f>
        <v/>
      </c>
      <c r="J138" s="500">
        <f>IF(I138="Saved",TEXT(TODAY(),"YYYY-MM-DD")&amp;" Auto","—")</f>
        <v/>
      </c>
      <c r="K138" s="501" t="n"/>
    </row>
    <row r="139" ht="15" customHeight="1" s="341">
      <c r="A139" s="486" t="n"/>
      <c r="B139" s="378">
        <f>IF(A139="","",IFERROR(VLOOKUP(A139,DB_Customers!$A:$D,4,0),"❌ Account Not Found"))</f>
        <v/>
      </c>
      <c r="C139" s="487">
        <f>IF(A139="","",IFERROR(VLOOKUP(A139,DB_Customers!$A:$N,14,0),""))</f>
        <v/>
      </c>
      <c r="D139" s="488">
        <f>IF(A139="","",TODAY())</f>
        <v/>
      </c>
      <c r="E139" s="489" t="n"/>
      <c r="F139" s="490">
        <f>IF(OR(A139="",E139=""),"",IF(C139="","",C139+E139))</f>
        <v/>
      </c>
      <c r="G139" s="380" t="inlineStr">
        <is>
          <t>Agent 04</t>
        </is>
      </c>
      <c r="H139" s="491" t="n"/>
      <c r="I139" s="492">
        <f>IF(A139="","Pending",IF(H139="","⚠️ Enter Code",IF(IFERROR(VLOOKUP(G139,DB_Agents!$B:$I,8,0),"")=H139,IF(AND(A139&lt;&gt;"",E139&lt;&gt;""),"Saved","Pending"),"🔒 BLOCKED — Wrong Code")))</f>
        <v/>
      </c>
      <c r="J139" s="493">
        <f>IF(I139="Saved",TEXT(TODAY(),"YYYY-MM-DD")&amp;" Auto","—")</f>
        <v/>
      </c>
      <c r="K139" s="494" t="n"/>
    </row>
    <row r="140" ht="15" customHeight="1" s="341">
      <c r="A140" s="495" t="n"/>
      <c r="B140" s="382">
        <f>IF(A140="","",IFERROR(VLOOKUP(A140,DB_Customers!$A:$D,4,0),"❌ Account Not Found"))</f>
        <v/>
      </c>
      <c r="C140" s="496">
        <f>IF(A140="","",IFERROR(VLOOKUP(A140,DB_Customers!$A:$N,14,0),""))</f>
        <v/>
      </c>
      <c r="D140" s="497">
        <f>IF(A140="","",TODAY())</f>
        <v/>
      </c>
      <c r="E140" s="489" t="n"/>
      <c r="F140" s="498">
        <f>IF(OR(A140="",E140=""),"",IF(C140="","",C140+E140))</f>
        <v/>
      </c>
      <c r="G140" s="384" t="inlineStr">
        <is>
          <t>Agent 04</t>
        </is>
      </c>
      <c r="H140" s="491" t="n"/>
      <c r="I140" s="499">
        <f>IF(A140="","Pending",IF(H140="","⚠️ Enter Code",IF(IFERROR(VLOOKUP(G140,DB_Agents!$B:$I,8,0),"")=H140,IF(AND(A140&lt;&gt;"",E140&lt;&gt;""),"Saved","Pending"),"🔒 BLOCKED — Wrong Code")))</f>
        <v/>
      </c>
      <c r="J140" s="500">
        <f>IF(I140="Saved",TEXT(TODAY(),"YYYY-MM-DD")&amp;" Auto","—")</f>
        <v/>
      </c>
      <c r="K140" s="501" t="n"/>
    </row>
    <row r="141" ht="15" customHeight="1" s="341">
      <c r="A141" s="486" t="n"/>
      <c r="B141" s="378">
        <f>IF(A141="","",IFERROR(VLOOKUP(A141,DB_Customers!$A:$D,4,0),"❌ Account Not Found"))</f>
        <v/>
      </c>
      <c r="C141" s="487">
        <f>IF(A141="","",IFERROR(VLOOKUP(A141,DB_Customers!$A:$N,14,0),""))</f>
        <v/>
      </c>
      <c r="D141" s="488">
        <f>IF(A141="","",TODAY())</f>
        <v/>
      </c>
      <c r="E141" s="489" t="n"/>
      <c r="F141" s="490">
        <f>IF(OR(A141="",E141=""),"",IF(C141="","",C141+E141))</f>
        <v/>
      </c>
      <c r="G141" s="380" t="inlineStr">
        <is>
          <t>Agent 04</t>
        </is>
      </c>
      <c r="H141" s="491" t="n"/>
      <c r="I141" s="492">
        <f>IF(A141="","Pending",IF(H141="","⚠️ Enter Code",IF(IFERROR(VLOOKUP(G141,DB_Agents!$B:$I,8,0),"")=H141,IF(AND(A141&lt;&gt;"",E141&lt;&gt;""),"Saved","Pending"),"🔒 BLOCKED — Wrong Code")))</f>
        <v/>
      </c>
      <c r="J141" s="493">
        <f>IF(I141="Saved",TEXT(TODAY(),"YYYY-MM-DD")&amp;" Auto","—")</f>
        <v/>
      </c>
      <c r="K141" s="494" t="n"/>
    </row>
    <row r="142" ht="15" customHeight="1" s="341">
      <c r="A142" s="495" t="n"/>
      <c r="B142" s="382">
        <f>IF(A142="","",IFERROR(VLOOKUP(A142,DB_Customers!$A:$D,4,0),"❌ Account Not Found"))</f>
        <v/>
      </c>
      <c r="C142" s="496">
        <f>IF(A142="","",IFERROR(VLOOKUP(A142,DB_Customers!$A:$N,14,0),""))</f>
        <v/>
      </c>
      <c r="D142" s="497">
        <f>IF(A142="","",TODAY())</f>
        <v/>
      </c>
      <c r="E142" s="489" t="n"/>
      <c r="F142" s="498">
        <f>IF(OR(A142="",E142=""),"",IF(C142="","",C142+E142))</f>
        <v/>
      </c>
      <c r="G142" s="384" t="inlineStr">
        <is>
          <t>Agent 04</t>
        </is>
      </c>
      <c r="H142" s="491" t="n"/>
      <c r="I142" s="499">
        <f>IF(A142="","Pending",IF(H142="","⚠️ Enter Code",IF(IFERROR(VLOOKUP(G142,DB_Agents!$B:$I,8,0),"")=H142,IF(AND(A142&lt;&gt;"",E142&lt;&gt;""),"Saved","Pending"),"🔒 BLOCKED — Wrong Code")))</f>
        <v/>
      </c>
      <c r="J142" s="500">
        <f>IF(I142="Saved",TEXT(TODAY(),"YYYY-MM-DD")&amp;" Auto","—")</f>
        <v/>
      </c>
      <c r="K142" s="501" t="n"/>
    </row>
    <row r="143" ht="15" customHeight="1" s="341">
      <c r="A143" s="486" t="n"/>
      <c r="B143" s="378">
        <f>IF(A143="","",IFERROR(VLOOKUP(A143,DB_Customers!$A:$D,4,0),"❌ Account Not Found"))</f>
        <v/>
      </c>
      <c r="C143" s="487">
        <f>IF(A143="","",IFERROR(VLOOKUP(A143,DB_Customers!$A:$N,14,0),""))</f>
        <v/>
      </c>
      <c r="D143" s="488">
        <f>IF(A143="","",TODAY())</f>
        <v/>
      </c>
      <c r="E143" s="489" t="n"/>
      <c r="F143" s="490">
        <f>IF(OR(A143="",E143=""),"",IF(C143="","",C143+E143))</f>
        <v/>
      </c>
      <c r="G143" s="380" t="inlineStr">
        <is>
          <t>Agent 04</t>
        </is>
      </c>
      <c r="H143" s="491" t="n"/>
      <c r="I143" s="492">
        <f>IF(A143="","Pending",IF(H143="","⚠️ Enter Code",IF(IFERROR(VLOOKUP(G143,DB_Agents!$B:$I,8,0),"")=H143,IF(AND(A143&lt;&gt;"",E143&lt;&gt;""),"Saved","Pending"),"🔒 BLOCKED — Wrong Code")))</f>
        <v/>
      </c>
      <c r="J143" s="493">
        <f>IF(I143="Saved",TEXT(TODAY(),"YYYY-MM-DD")&amp;" Auto","—")</f>
        <v/>
      </c>
      <c r="K143" s="494" t="n"/>
    </row>
    <row r="144" ht="15" customHeight="1" s="341">
      <c r="A144" s="495" t="n"/>
      <c r="B144" s="382">
        <f>IF(A144="","",IFERROR(VLOOKUP(A144,DB_Customers!$A:$D,4,0),"❌ Account Not Found"))</f>
        <v/>
      </c>
      <c r="C144" s="496">
        <f>IF(A144="","",IFERROR(VLOOKUP(A144,DB_Customers!$A:$N,14,0),""))</f>
        <v/>
      </c>
      <c r="D144" s="497">
        <f>IF(A144="","",TODAY())</f>
        <v/>
      </c>
      <c r="E144" s="489" t="n"/>
      <c r="F144" s="498">
        <f>IF(OR(A144="",E144=""),"",IF(C144="","",C144+E144))</f>
        <v/>
      </c>
      <c r="G144" s="384" t="inlineStr">
        <is>
          <t>Agent 04</t>
        </is>
      </c>
      <c r="H144" s="491" t="n"/>
      <c r="I144" s="499">
        <f>IF(A144="","Pending",IF(H144="","⚠️ Enter Code",IF(IFERROR(VLOOKUP(G144,DB_Agents!$B:$I,8,0),"")=H144,IF(AND(A144&lt;&gt;"",E144&lt;&gt;""),"Saved","Pending"),"🔒 BLOCKED — Wrong Code")))</f>
        <v/>
      </c>
      <c r="J144" s="500">
        <f>IF(I144="Saved",TEXT(TODAY(),"YYYY-MM-DD")&amp;" Auto","—")</f>
        <v/>
      </c>
      <c r="K144" s="501" t="n"/>
    </row>
    <row r="145" ht="15" customHeight="1" s="341">
      <c r="A145" s="486" t="n"/>
      <c r="B145" s="378">
        <f>IF(A145="","",IFERROR(VLOOKUP(A145,DB_Customers!$A:$D,4,0),"❌ Account Not Found"))</f>
        <v/>
      </c>
      <c r="C145" s="487">
        <f>IF(A145="","",IFERROR(VLOOKUP(A145,DB_Customers!$A:$N,14,0),""))</f>
        <v/>
      </c>
      <c r="D145" s="488">
        <f>IF(A145="","",TODAY())</f>
        <v/>
      </c>
      <c r="E145" s="489" t="n"/>
      <c r="F145" s="490">
        <f>IF(OR(A145="",E145=""),"",IF(C145="","",C145+E145))</f>
        <v/>
      </c>
      <c r="G145" s="380" t="inlineStr">
        <is>
          <t>Agent 04</t>
        </is>
      </c>
      <c r="H145" s="491" t="n"/>
      <c r="I145" s="492">
        <f>IF(A145="","Pending",IF(H145="","⚠️ Enter Code",IF(IFERROR(VLOOKUP(G145,DB_Agents!$B:$I,8,0),"")=H145,IF(AND(A145&lt;&gt;"",E145&lt;&gt;""),"Saved","Pending"),"🔒 BLOCKED — Wrong Code")))</f>
        <v/>
      </c>
      <c r="J145" s="493">
        <f>IF(I145="Saved",TEXT(TODAY(),"YYYY-MM-DD")&amp;" Auto","—")</f>
        <v/>
      </c>
      <c r="K145" s="494" t="n"/>
    </row>
    <row r="146" ht="15" customHeight="1" s="341">
      <c r="A146" s="495" t="n"/>
      <c r="B146" s="382">
        <f>IF(A146="","",IFERROR(VLOOKUP(A146,DB_Customers!$A:$D,4,0),"❌ Account Not Found"))</f>
        <v/>
      </c>
      <c r="C146" s="496">
        <f>IF(A146="","",IFERROR(VLOOKUP(A146,DB_Customers!$A:$N,14,0),""))</f>
        <v/>
      </c>
      <c r="D146" s="497">
        <f>IF(A146="","",TODAY())</f>
        <v/>
      </c>
      <c r="E146" s="489" t="n"/>
      <c r="F146" s="498">
        <f>IF(OR(A146="",E146=""),"",IF(C146="","",C146+E146))</f>
        <v/>
      </c>
      <c r="G146" s="384" t="inlineStr">
        <is>
          <t>Agent 04</t>
        </is>
      </c>
      <c r="H146" s="491" t="n"/>
      <c r="I146" s="499">
        <f>IF(A146="","Pending",IF(H146="","⚠️ Enter Code",IF(IFERROR(VLOOKUP(G146,DB_Agents!$B:$I,8,0),"")=H146,IF(AND(A146&lt;&gt;"",E146&lt;&gt;""),"Saved","Pending"),"🔒 BLOCKED — Wrong Code")))</f>
        <v/>
      </c>
      <c r="J146" s="500">
        <f>IF(I146="Saved",TEXT(TODAY(),"YYYY-MM-DD")&amp;" Auto","—")</f>
        <v/>
      </c>
      <c r="K146" s="501" t="n"/>
    </row>
    <row r="147" ht="15" customHeight="1" s="341">
      <c r="A147" s="486" t="n"/>
      <c r="B147" s="378">
        <f>IF(A147="","",IFERROR(VLOOKUP(A147,DB_Customers!$A:$D,4,0),"❌ Account Not Found"))</f>
        <v/>
      </c>
      <c r="C147" s="487">
        <f>IF(A147="","",IFERROR(VLOOKUP(A147,DB_Customers!$A:$N,14,0),""))</f>
        <v/>
      </c>
      <c r="D147" s="488">
        <f>IF(A147="","",TODAY())</f>
        <v/>
      </c>
      <c r="E147" s="489" t="n"/>
      <c r="F147" s="490">
        <f>IF(OR(A147="",E147=""),"",IF(C147="","",C147+E147))</f>
        <v/>
      </c>
      <c r="G147" s="380" t="inlineStr">
        <is>
          <t>Agent 04</t>
        </is>
      </c>
      <c r="H147" s="491" t="n"/>
      <c r="I147" s="492">
        <f>IF(A147="","Pending",IF(H147="","⚠️ Enter Code",IF(IFERROR(VLOOKUP(G147,DB_Agents!$B:$I,8,0),"")=H147,IF(AND(A147&lt;&gt;"",E147&lt;&gt;""),"Saved","Pending"),"🔒 BLOCKED — Wrong Code")))</f>
        <v/>
      </c>
      <c r="J147" s="493">
        <f>IF(I147="Saved",TEXT(TODAY(),"YYYY-MM-DD")&amp;" Auto","—")</f>
        <v/>
      </c>
      <c r="K147" s="494" t="n"/>
    </row>
    <row r="148" ht="15" customHeight="1" s="341">
      <c r="A148" s="495" t="n"/>
      <c r="B148" s="382">
        <f>IF(A148="","",IFERROR(VLOOKUP(A148,DB_Customers!$A:$D,4,0),"❌ Account Not Found"))</f>
        <v/>
      </c>
      <c r="C148" s="496">
        <f>IF(A148="","",IFERROR(VLOOKUP(A148,DB_Customers!$A:$N,14,0),""))</f>
        <v/>
      </c>
      <c r="D148" s="497">
        <f>IF(A148="","",TODAY())</f>
        <v/>
      </c>
      <c r="E148" s="489" t="n"/>
      <c r="F148" s="498">
        <f>IF(OR(A148="",E148=""),"",IF(C148="","",C148+E148))</f>
        <v/>
      </c>
      <c r="G148" s="384" t="inlineStr">
        <is>
          <t>Agent 04</t>
        </is>
      </c>
      <c r="H148" s="491" t="n"/>
      <c r="I148" s="499">
        <f>IF(A148="","Pending",IF(H148="","⚠️ Enter Code",IF(IFERROR(VLOOKUP(G148,DB_Agents!$B:$I,8,0),"")=H148,IF(AND(A148&lt;&gt;"",E148&lt;&gt;""),"Saved","Pending"),"🔒 BLOCKED — Wrong Code")))</f>
        <v/>
      </c>
      <c r="J148" s="500">
        <f>IF(I148="Saved",TEXT(TODAY(),"YYYY-MM-DD")&amp;" Auto","—")</f>
        <v/>
      </c>
      <c r="K148" s="501" t="n"/>
    </row>
    <row r="149" ht="15" customHeight="1" s="341">
      <c r="A149" s="486" t="n"/>
      <c r="B149" s="378">
        <f>IF(A149="","",IFERROR(VLOOKUP(A149,DB_Customers!$A:$D,4,0),"❌ Account Not Found"))</f>
        <v/>
      </c>
      <c r="C149" s="487">
        <f>IF(A149="","",IFERROR(VLOOKUP(A149,DB_Customers!$A:$N,14,0),""))</f>
        <v/>
      </c>
      <c r="D149" s="488">
        <f>IF(A149="","",TODAY())</f>
        <v/>
      </c>
      <c r="E149" s="489" t="n"/>
      <c r="F149" s="490">
        <f>IF(OR(A149="",E149=""),"",IF(C149="","",C149+E149))</f>
        <v/>
      </c>
      <c r="G149" s="380" t="inlineStr">
        <is>
          <t>Agent 04</t>
        </is>
      </c>
      <c r="H149" s="491" t="n"/>
      <c r="I149" s="492">
        <f>IF(A149="","Pending",IF(H149="","⚠️ Enter Code",IF(IFERROR(VLOOKUP(G149,DB_Agents!$B:$I,8,0),"")=H149,IF(AND(A149&lt;&gt;"",E149&lt;&gt;""),"Saved","Pending"),"🔒 BLOCKED — Wrong Code")))</f>
        <v/>
      </c>
      <c r="J149" s="493">
        <f>IF(I149="Saved",TEXT(TODAY(),"YYYY-MM-DD")&amp;" Auto","—")</f>
        <v/>
      </c>
      <c r="K149" s="494" t="n"/>
    </row>
    <row r="150" ht="15" customHeight="1" s="341">
      <c r="A150" s="495" t="n"/>
      <c r="B150" s="382">
        <f>IF(A150="","",IFERROR(VLOOKUP(A150,DB_Customers!$A:$D,4,0),"❌ Account Not Found"))</f>
        <v/>
      </c>
      <c r="C150" s="496">
        <f>IF(A150="","",IFERROR(VLOOKUP(A150,DB_Customers!$A:$N,14,0),""))</f>
        <v/>
      </c>
      <c r="D150" s="497">
        <f>IF(A150="","",TODAY())</f>
        <v/>
      </c>
      <c r="E150" s="489" t="n"/>
      <c r="F150" s="498">
        <f>IF(OR(A150="",E150=""),"",IF(C150="","",C150+E150))</f>
        <v/>
      </c>
      <c r="G150" s="384" t="inlineStr">
        <is>
          <t>Agent 04</t>
        </is>
      </c>
      <c r="H150" s="491" t="n"/>
      <c r="I150" s="499">
        <f>IF(A150="","Pending",IF(H150="","⚠️ Enter Code",IF(IFERROR(VLOOKUP(G150,DB_Agents!$B:$I,8,0),"")=H150,IF(AND(A150&lt;&gt;"",E150&lt;&gt;""),"Saved","Pending"),"🔒 BLOCKED — Wrong Code")))</f>
        <v/>
      </c>
      <c r="J150" s="500">
        <f>IF(I150="Saved",TEXT(TODAY(),"YYYY-MM-DD")&amp;" Auto","—")</f>
        <v/>
      </c>
      <c r="K150" s="501" t="n"/>
    </row>
    <row r="151" ht="15" customHeight="1" s="341">
      <c r="A151" s="486" t="n"/>
      <c r="B151" s="378">
        <f>IF(A151="","",IFERROR(VLOOKUP(A151,DB_Customers!$A:$D,4,0),"❌ Account Not Found"))</f>
        <v/>
      </c>
      <c r="C151" s="487">
        <f>IF(A151="","",IFERROR(VLOOKUP(A151,DB_Customers!$A:$N,14,0),""))</f>
        <v/>
      </c>
      <c r="D151" s="488">
        <f>IF(A151="","",TODAY())</f>
        <v/>
      </c>
      <c r="E151" s="489" t="n"/>
      <c r="F151" s="490">
        <f>IF(OR(A151="",E151=""),"",IF(C151="","",C151+E151))</f>
        <v/>
      </c>
      <c r="G151" s="380" t="inlineStr">
        <is>
          <t>Agent 04</t>
        </is>
      </c>
      <c r="H151" s="491" t="n"/>
      <c r="I151" s="492">
        <f>IF(A151="","Pending",IF(H151="","⚠️ Enter Code",IF(IFERROR(VLOOKUP(G151,DB_Agents!$B:$I,8,0),"")=H151,IF(AND(A151&lt;&gt;"",E151&lt;&gt;""),"Saved","Pending"),"🔒 BLOCKED — Wrong Code")))</f>
        <v/>
      </c>
      <c r="J151" s="493">
        <f>IF(I151="Saved",TEXT(TODAY(),"YYYY-MM-DD")&amp;" Auto","—")</f>
        <v/>
      </c>
      <c r="K151" s="494" t="n"/>
    </row>
    <row r="152" ht="15" customHeight="1" s="341">
      <c r="A152" s="495" t="n"/>
      <c r="B152" s="382">
        <f>IF(A152="","",IFERROR(VLOOKUP(A152,DB_Customers!$A:$D,4,0),"❌ Account Not Found"))</f>
        <v/>
      </c>
      <c r="C152" s="496">
        <f>IF(A152="","",IFERROR(VLOOKUP(A152,DB_Customers!$A:$N,14,0),""))</f>
        <v/>
      </c>
      <c r="D152" s="497">
        <f>IF(A152="","",TODAY())</f>
        <v/>
      </c>
      <c r="E152" s="489" t="n"/>
      <c r="F152" s="498">
        <f>IF(OR(A152="",E152=""),"",IF(C152="","",C152+E152))</f>
        <v/>
      </c>
      <c r="G152" s="384" t="inlineStr">
        <is>
          <t>Agent 04</t>
        </is>
      </c>
      <c r="H152" s="491" t="n"/>
      <c r="I152" s="499">
        <f>IF(A152="","Pending",IF(H152="","⚠️ Enter Code",IF(IFERROR(VLOOKUP(G152,DB_Agents!$B:$I,8,0),"")=H152,IF(AND(A152&lt;&gt;"",E152&lt;&gt;""),"Saved","Pending"),"🔒 BLOCKED — Wrong Code")))</f>
        <v/>
      </c>
      <c r="J152" s="500">
        <f>IF(I152="Saved",TEXT(TODAY(),"YYYY-MM-DD")&amp;" Auto","—")</f>
        <v/>
      </c>
      <c r="K152" s="501" t="n"/>
    </row>
    <row r="153" ht="15" customHeight="1" s="341">
      <c r="A153" s="486" t="n"/>
      <c r="B153" s="378">
        <f>IF(A153="","",IFERROR(VLOOKUP(A153,DB_Customers!$A:$D,4,0),"❌ Account Not Found"))</f>
        <v/>
      </c>
      <c r="C153" s="487">
        <f>IF(A153="","",IFERROR(VLOOKUP(A153,DB_Customers!$A:$N,14,0),""))</f>
        <v/>
      </c>
      <c r="D153" s="488">
        <f>IF(A153="","",TODAY())</f>
        <v/>
      </c>
      <c r="E153" s="489" t="n"/>
      <c r="F153" s="490">
        <f>IF(OR(A153="",E153=""),"",IF(C153="","",C153+E153))</f>
        <v/>
      </c>
      <c r="G153" s="380" t="inlineStr">
        <is>
          <t>Agent 04</t>
        </is>
      </c>
      <c r="H153" s="491" t="n"/>
      <c r="I153" s="492">
        <f>IF(A153="","Pending",IF(H153="","⚠️ Enter Code",IF(IFERROR(VLOOKUP(G153,DB_Agents!$B:$I,8,0),"")=H153,IF(AND(A153&lt;&gt;"",E153&lt;&gt;""),"Saved","Pending"),"🔒 BLOCKED — Wrong Code")))</f>
        <v/>
      </c>
      <c r="J153" s="493">
        <f>IF(I153="Saved",TEXT(TODAY(),"YYYY-MM-DD")&amp;" Auto","—")</f>
        <v/>
      </c>
      <c r="K153" s="494" t="n"/>
    </row>
    <row r="154" ht="15" customHeight="1" s="341">
      <c r="A154" s="495" t="n"/>
      <c r="B154" s="382">
        <f>IF(A154="","",IFERROR(VLOOKUP(A154,DB_Customers!$A:$D,4,0),"❌ Account Not Found"))</f>
        <v/>
      </c>
      <c r="C154" s="496">
        <f>IF(A154="","",IFERROR(VLOOKUP(A154,DB_Customers!$A:$N,14,0),""))</f>
        <v/>
      </c>
      <c r="D154" s="497">
        <f>IF(A154="","",TODAY())</f>
        <v/>
      </c>
      <c r="E154" s="489" t="n"/>
      <c r="F154" s="498">
        <f>IF(OR(A154="",E154=""),"",IF(C154="","",C154+E154))</f>
        <v/>
      </c>
      <c r="G154" s="384" t="inlineStr">
        <is>
          <t>Agent 04</t>
        </is>
      </c>
      <c r="H154" s="491" t="n"/>
      <c r="I154" s="499">
        <f>IF(A154="","Pending",IF(H154="","⚠️ Enter Code",IF(IFERROR(VLOOKUP(G154,DB_Agents!$B:$I,8,0),"")=H154,IF(AND(A154&lt;&gt;"",E154&lt;&gt;""),"Saved","Pending"),"🔒 BLOCKED — Wrong Code")))</f>
        <v/>
      </c>
      <c r="J154" s="500">
        <f>IF(I154="Saved",TEXT(TODAY(),"YYYY-MM-DD")&amp;" Auto","—")</f>
        <v/>
      </c>
      <c r="K154" s="501" t="n"/>
    </row>
    <row r="155" ht="15" customHeight="1" s="341">
      <c r="A155" s="486" t="n"/>
      <c r="B155" s="378">
        <f>IF(A155="","",IFERROR(VLOOKUP(A155,DB_Customers!$A:$D,4,0),"❌ Account Not Found"))</f>
        <v/>
      </c>
      <c r="C155" s="487">
        <f>IF(A155="","",IFERROR(VLOOKUP(A155,DB_Customers!$A:$N,14,0),""))</f>
        <v/>
      </c>
      <c r="D155" s="488">
        <f>IF(A155="","",TODAY())</f>
        <v/>
      </c>
      <c r="E155" s="489" t="n"/>
      <c r="F155" s="490">
        <f>IF(OR(A155="",E155=""),"",IF(C155="","",C155+E155))</f>
        <v/>
      </c>
      <c r="G155" s="380" t="inlineStr">
        <is>
          <t>Agent 04</t>
        </is>
      </c>
      <c r="H155" s="491" t="n"/>
      <c r="I155" s="492">
        <f>IF(A155="","Pending",IF(H155="","⚠️ Enter Code",IF(IFERROR(VLOOKUP(G155,DB_Agents!$B:$I,8,0),"")=H155,IF(AND(A155&lt;&gt;"",E155&lt;&gt;""),"Saved","Pending"),"🔒 BLOCKED — Wrong Code")))</f>
        <v/>
      </c>
      <c r="J155" s="493">
        <f>IF(I155="Saved",TEXT(TODAY(),"YYYY-MM-DD")&amp;" Auto","—")</f>
        <v/>
      </c>
      <c r="K155" s="494" t="n"/>
    </row>
    <row r="156" ht="15" customHeight="1" s="341">
      <c r="A156" s="495" t="n"/>
      <c r="B156" s="382">
        <f>IF(A156="","",IFERROR(VLOOKUP(A156,DB_Customers!$A:$D,4,0),"❌ Account Not Found"))</f>
        <v/>
      </c>
      <c r="C156" s="496">
        <f>IF(A156="","",IFERROR(VLOOKUP(A156,DB_Customers!$A:$N,14,0),""))</f>
        <v/>
      </c>
      <c r="D156" s="497">
        <f>IF(A156="","",TODAY())</f>
        <v/>
      </c>
      <c r="E156" s="489" t="n"/>
      <c r="F156" s="498">
        <f>IF(OR(A156="",E156=""),"",IF(C156="","",C156+E156))</f>
        <v/>
      </c>
      <c r="G156" s="384" t="inlineStr">
        <is>
          <t>Agent 04</t>
        </is>
      </c>
      <c r="H156" s="491" t="n"/>
      <c r="I156" s="499">
        <f>IF(A156="","Pending",IF(H156="","⚠️ Enter Code",IF(IFERROR(VLOOKUP(G156,DB_Agents!$B:$I,8,0),"")=H156,IF(AND(A156&lt;&gt;"",E156&lt;&gt;""),"Saved","Pending"),"🔒 BLOCKED — Wrong Code")))</f>
        <v/>
      </c>
      <c r="J156" s="500">
        <f>IF(I156="Saved",TEXT(TODAY(),"YYYY-MM-DD")&amp;" Auto","—")</f>
        <v/>
      </c>
      <c r="K156" s="501" t="n"/>
    </row>
    <row r="157" ht="15" customHeight="1" s="341">
      <c r="A157" s="486" t="n"/>
      <c r="B157" s="378">
        <f>IF(A157="","",IFERROR(VLOOKUP(A157,DB_Customers!$A:$D,4,0),"❌ Account Not Found"))</f>
        <v/>
      </c>
      <c r="C157" s="487">
        <f>IF(A157="","",IFERROR(VLOOKUP(A157,DB_Customers!$A:$N,14,0),""))</f>
        <v/>
      </c>
      <c r="D157" s="488">
        <f>IF(A157="","",TODAY())</f>
        <v/>
      </c>
      <c r="E157" s="489" t="n"/>
      <c r="F157" s="490">
        <f>IF(OR(A157="",E157=""),"",IF(C157="","",C157+E157))</f>
        <v/>
      </c>
      <c r="G157" s="380" t="inlineStr">
        <is>
          <t>Agent 04</t>
        </is>
      </c>
      <c r="H157" s="491" t="n"/>
      <c r="I157" s="492">
        <f>IF(A157="","Pending",IF(H157="","⚠️ Enter Code",IF(IFERROR(VLOOKUP(G157,DB_Agents!$B:$I,8,0),"")=H157,IF(AND(A157&lt;&gt;"",E157&lt;&gt;""),"Saved","Pending"),"🔒 BLOCKED — Wrong Code")))</f>
        <v/>
      </c>
      <c r="J157" s="493">
        <f>IF(I157="Saved",TEXT(TODAY(),"YYYY-MM-DD")&amp;" Auto","—")</f>
        <v/>
      </c>
      <c r="K157" s="494" t="n"/>
    </row>
    <row r="158" ht="15" customHeight="1" s="341">
      <c r="A158" s="495" t="n"/>
      <c r="B158" s="382">
        <f>IF(A158="","",IFERROR(VLOOKUP(A158,DB_Customers!$A:$D,4,0),"❌ Account Not Found"))</f>
        <v/>
      </c>
      <c r="C158" s="496">
        <f>IF(A158="","",IFERROR(VLOOKUP(A158,DB_Customers!$A:$N,14,0),""))</f>
        <v/>
      </c>
      <c r="D158" s="497">
        <f>IF(A158="","",TODAY())</f>
        <v/>
      </c>
      <c r="E158" s="489" t="n"/>
      <c r="F158" s="498">
        <f>IF(OR(A158="",E158=""),"",IF(C158="","",C158+E158))</f>
        <v/>
      </c>
      <c r="G158" s="384" t="inlineStr">
        <is>
          <t>Agent 04</t>
        </is>
      </c>
      <c r="H158" s="491" t="n"/>
      <c r="I158" s="499">
        <f>IF(A158="","Pending",IF(H158="","⚠️ Enter Code",IF(IFERROR(VLOOKUP(G158,DB_Agents!$B:$I,8,0),"")=H158,IF(AND(A158&lt;&gt;"",E158&lt;&gt;""),"Saved","Pending"),"🔒 BLOCKED — Wrong Code")))</f>
        <v/>
      </c>
      <c r="J158" s="500">
        <f>IF(I158="Saved",TEXT(TODAY(),"YYYY-MM-DD")&amp;" Auto","—")</f>
        <v/>
      </c>
      <c r="K158" s="501" t="n"/>
    </row>
    <row r="159" ht="15" customHeight="1" s="341">
      <c r="A159" s="486" t="n"/>
      <c r="B159" s="378">
        <f>IF(A159="","",IFERROR(VLOOKUP(A159,DB_Customers!$A:$D,4,0),"❌ Account Not Found"))</f>
        <v/>
      </c>
      <c r="C159" s="487">
        <f>IF(A159="","",IFERROR(VLOOKUP(A159,DB_Customers!$A:$N,14,0),""))</f>
        <v/>
      </c>
      <c r="D159" s="488">
        <f>IF(A159="","",TODAY())</f>
        <v/>
      </c>
      <c r="E159" s="489" t="n"/>
      <c r="F159" s="490">
        <f>IF(OR(A159="",E159=""),"",IF(C159="","",C159+E159))</f>
        <v/>
      </c>
      <c r="G159" s="380" t="inlineStr">
        <is>
          <t>Agent 04</t>
        </is>
      </c>
      <c r="H159" s="491" t="n"/>
      <c r="I159" s="492">
        <f>IF(A159="","Pending",IF(H159="","⚠️ Enter Code",IF(IFERROR(VLOOKUP(G159,DB_Agents!$B:$I,8,0),"")=H159,IF(AND(A159&lt;&gt;"",E159&lt;&gt;""),"Saved","Pending"),"🔒 BLOCKED — Wrong Code")))</f>
        <v/>
      </c>
      <c r="J159" s="493">
        <f>IF(I159="Saved",TEXT(TODAY(),"YYYY-MM-DD")&amp;" Auto","—")</f>
        <v/>
      </c>
      <c r="K159" s="494" t="n"/>
    </row>
    <row r="160" ht="15" customHeight="1" s="341">
      <c r="A160" s="495" t="n"/>
      <c r="B160" s="382">
        <f>IF(A160="","",IFERROR(VLOOKUP(A160,DB_Customers!$A:$D,4,0),"❌ Account Not Found"))</f>
        <v/>
      </c>
      <c r="C160" s="496">
        <f>IF(A160="","",IFERROR(VLOOKUP(A160,DB_Customers!$A:$N,14,0),""))</f>
        <v/>
      </c>
      <c r="D160" s="497">
        <f>IF(A160="","",TODAY())</f>
        <v/>
      </c>
      <c r="E160" s="489" t="n"/>
      <c r="F160" s="498">
        <f>IF(OR(A160="",E160=""),"",IF(C160="","",C160+E160))</f>
        <v/>
      </c>
      <c r="G160" s="384" t="inlineStr">
        <is>
          <t>Agent 04</t>
        </is>
      </c>
      <c r="H160" s="491" t="n"/>
      <c r="I160" s="499">
        <f>IF(A160="","Pending",IF(H160="","⚠️ Enter Code",IF(IFERROR(VLOOKUP(G160,DB_Agents!$B:$I,8,0),"")=H160,IF(AND(A160&lt;&gt;"",E160&lt;&gt;""),"Saved","Pending"),"🔒 BLOCKED — Wrong Code")))</f>
        <v/>
      </c>
      <c r="J160" s="500">
        <f>IF(I160="Saved",TEXT(TODAY(),"YYYY-MM-DD")&amp;" Auto","—")</f>
        <v/>
      </c>
      <c r="K160" s="501" t="n"/>
    </row>
    <row r="161" ht="15" customHeight="1" s="341">
      <c r="A161" s="486" t="n"/>
      <c r="B161" s="378">
        <f>IF(A161="","",IFERROR(VLOOKUP(A161,DB_Customers!$A:$D,4,0),"❌ Account Not Found"))</f>
        <v/>
      </c>
      <c r="C161" s="487">
        <f>IF(A161="","",IFERROR(VLOOKUP(A161,DB_Customers!$A:$N,14,0),""))</f>
        <v/>
      </c>
      <c r="D161" s="488">
        <f>IF(A161="","",TODAY())</f>
        <v/>
      </c>
      <c r="E161" s="489" t="n"/>
      <c r="F161" s="490">
        <f>IF(OR(A161="",E161=""),"",IF(C161="","",C161+E161))</f>
        <v/>
      </c>
      <c r="G161" s="380" t="inlineStr">
        <is>
          <t>Agent 04</t>
        </is>
      </c>
      <c r="H161" s="491" t="n"/>
      <c r="I161" s="492">
        <f>IF(A161="","Pending",IF(H161="","⚠️ Enter Code",IF(IFERROR(VLOOKUP(G161,DB_Agents!$B:$I,8,0),"")=H161,IF(AND(A161&lt;&gt;"",E161&lt;&gt;""),"Saved","Pending"),"🔒 BLOCKED — Wrong Code")))</f>
        <v/>
      </c>
      <c r="J161" s="493">
        <f>IF(I161="Saved",TEXT(TODAY(),"YYYY-MM-DD")&amp;" Auto","—")</f>
        <v/>
      </c>
      <c r="K161" s="494" t="n"/>
    </row>
    <row r="162" ht="15" customHeight="1" s="341">
      <c r="A162" s="495" t="n"/>
      <c r="B162" s="382">
        <f>IF(A162="","",IFERROR(VLOOKUP(A162,DB_Customers!$A:$D,4,0),"❌ Account Not Found"))</f>
        <v/>
      </c>
      <c r="C162" s="496">
        <f>IF(A162="","",IFERROR(VLOOKUP(A162,DB_Customers!$A:$N,14,0),""))</f>
        <v/>
      </c>
      <c r="D162" s="497">
        <f>IF(A162="","",TODAY())</f>
        <v/>
      </c>
      <c r="E162" s="489" t="n"/>
      <c r="F162" s="498">
        <f>IF(OR(A162="",E162=""),"",IF(C162="","",C162+E162))</f>
        <v/>
      </c>
      <c r="G162" s="384" t="inlineStr">
        <is>
          <t>Agent 04</t>
        </is>
      </c>
      <c r="H162" s="491" t="n"/>
      <c r="I162" s="499">
        <f>IF(A162="","Pending",IF(H162="","⚠️ Enter Code",IF(IFERROR(VLOOKUP(G162,DB_Agents!$B:$I,8,0),"")=H162,IF(AND(A162&lt;&gt;"",E162&lt;&gt;""),"Saved","Pending"),"🔒 BLOCKED — Wrong Code")))</f>
        <v/>
      </c>
      <c r="J162" s="500">
        <f>IF(I162="Saved",TEXT(TODAY(),"YYYY-MM-DD")&amp;" Auto","—")</f>
        <v/>
      </c>
      <c r="K162" s="501" t="n"/>
    </row>
    <row r="163" ht="15" customHeight="1" s="341">
      <c r="A163" s="486" t="n"/>
      <c r="B163" s="378">
        <f>IF(A163="","",IFERROR(VLOOKUP(A163,DB_Customers!$A:$D,4,0),"❌ Account Not Found"))</f>
        <v/>
      </c>
      <c r="C163" s="487">
        <f>IF(A163="","",IFERROR(VLOOKUP(A163,DB_Customers!$A:$N,14,0),""))</f>
        <v/>
      </c>
      <c r="D163" s="488">
        <f>IF(A163="","",TODAY())</f>
        <v/>
      </c>
      <c r="E163" s="489" t="n"/>
      <c r="F163" s="490">
        <f>IF(OR(A163="",E163=""),"",IF(C163="","",C163+E163))</f>
        <v/>
      </c>
      <c r="G163" s="380" t="inlineStr">
        <is>
          <t>Agent 04</t>
        </is>
      </c>
      <c r="H163" s="491" t="n"/>
      <c r="I163" s="492">
        <f>IF(A163="","Pending",IF(H163="","⚠️ Enter Code",IF(IFERROR(VLOOKUP(G163,DB_Agents!$B:$I,8,0),"")=H163,IF(AND(A163&lt;&gt;"",E163&lt;&gt;""),"Saved","Pending"),"🔒 BLOCKED — Wrong Code")))</f>
        <v/>
      </c>
      <c r="J163" s="493">
        <f>IF(I163="Saved",TEXT(TODAY(),"YYYY-MM-DD")&amp;" Auto","—")</f>
        <v/>
      </c>
      <c r="K163" s="494" t="n"/>
    </row>
    <row r="164" ht="15" customHeight="1" s="341">
      <c r="A164" s="495" t="n"/>
      <c r="B164" s="382">
        <f>IF(A164="","",IFERROR(VLOOKUP(A164,DB_Customers!$A:$D,4,0),"❌ Account Not Found"))</f>
        <v/>
      </c>
      <c r="C164" s="496">
        <f>IF(A164="","",IFERROR(VLOOKUP(A164,DB_Customers!$A:$N,14,0),""))</f>
        <v/>
      </c>
      <c r="D164" s="497">
        <f>IF(A164="","",TODAY())</f>
        <v/>
      </c>
      <c r="E164" s="489" t="n"/>
      <c r="F164" s="498">
        <f>IF(OR(A164="",E164=""),"",IF(C164="","",C164+E164))</f>
        <v/>
      </c>
      <c r="G164" s="384" t="inlineStr">
        <is>
          <t>Agent 04</t>
        </is>
      </c>
      <c r="H164" s="491" t="n"/>
      <c r="I164" s="499">
        <f>IF(A164="","Pending",IF(H164="","⚠️ Enter Code",IF(IFERROR(VLOOKUP(G164,DB_Agents!$B:$I,8,0),"")=H164,IF(AND(A164&lt;&gt;"",E164&lt;&gt;""),"Saved","Pending"),"🔒 BLOCKED — Wrong Code")))</f>
        <v/>
      </c>
      <c r="J164" s="500">
        <f>IF(I164="Saved",TEXT(TODAY(),"YYYY-MM-DD")&amp;" Auto","—")</f>
        <v/>
      </c>
      <c r="K164" s="501" t="n"/>
    </row>
    <row r="165" ht="15" customHeight="1" s="341">
      <c r="A165" s="486" t="n"/>
      <c r="B165" s="378">
        <f>IF(A165="","",IFERROR(VLOOKUP(A165,DB_Customers!$A:$D,4,0),"❌ Account Not Found"))</f>
        <v/>
      </c>
      <c r="C165" s="487">
        <f>IF(A165="","",IFERROR(VLOOKUP(A165,DB_Customers!$A:$N,14,0),""))</f>
        <v/>
      </c>
      <c r="D165" s="488">
        <f>IF(A165="","",TODAY())</f>
        <v/>
      </c>
      <c r="E165" s="489" t="n"/>
      <c r="F165" s="490">
        <f>IF(OR(A165="",E165=""),"",IF(C165="","",C165+E165))</f>
        <v/>
      </c>
      <c r="G165" s="380" t="inlineStr">
        <is>
          <t>Agent 04</t>
        </is>
      </c>
      <c r="H165" s="491" t="n"/>
      <c r="I165" s="492">
        <f>IF(A165="","Pending",IF(H165="","⚠️ Enter Code",IF(IFERROR(VLOOKUP(G165,DB_Agents!$B:$I,8,0),"")=H165,IF(AND(A165&lt;&gt;"",E165&lt;&gt;""),"Saved","Pending"),"🔒 BLOCKED — Wrong Code")))</f>
        <v/>
      </c>
      <c r="J165" s="493">
        <f>IF(I165="Saved",TEXT(TODAY(),"YYYY-MM-DD")&amp;" Auto","—")</f>
        <v/>
      </c>
      <c r="K165" s="494" t="n"/>
    </row>
    <row r="166" ht="15" customHeight="1" s="341">
      <c r="A166" s="495" t="n"/>
      <c r="B166" s="382">
        <f>IF(A166="","",IFERROR(VLOOKUP(A166,DB_Customers!$A:$D,4,0),"❌ Account Not Found"))</f>
        <v/>
      </c>
      <c r="C166" s="496">
        <f>IF(A166="","",IFERROR(VLOOKUP(A166,DB_Customers!$A:$N,14,0),""))</f>
        <v/>
      </c>
      <c r="D166" s="497">
        <f>IF(A166="","",TODAY())</f>
        <v/>
      </c>
      <c r="E166" s="489" t="n"/>
      <c r="F166" s="498">
        <f>IF(OR(A166="",E166=""),"",IF(C166="","",C166+E166))</f>
        <v/>
      </c>
      <c r="G166" s="384" t="inlineStr">
        <is>
          <t>Agent 04</t>
        </is>
      </c>
      <c r="H166" s="491" t="n"/>
      <c r="I166" s="499">
        <f>IF(A166="","Pending",IF(H166="","⚠️ Enter Code",IF(IFERROR(VLOOKUP(G166,DB_Agents!$B:$I,8,0),"")=H166,IF(AND(A166&lt;&gt;"",E166&lt;&gt;""),"Saved","Pending"),"🔒 BLOCKED — Wrong Code")))</f>
        <v/>
      </c>
      <c r="J166" s="500">
        <f>IF(I166="Saved",TEXT(TODAY(),"YYYY-MM-DD")&amp;" Auto","—")</f>
        <v/>
      </c>
      <c r="K166" s="501" t="n"/>
    </row>
    <row r="167" ht="15" customHeight="1" s="341">
      <c r="A167" s="486" t="n"/>
      <c r="B167" s="378">
        <f>IF(A167="","",IFERROR(VLOOKUP(A167,DB_Customers!$A:$D,4,0),"❌ Account Not Found"))</f>
        <v/>
      </c>
      <c r="C167" s="487">
        <f>IF(A167="","",IFERROR(VLOOKUP(A167,DB_Customers!$A:$N,14,0),""))</f>
        <v/>
      </c>
      <c r="D167" s="488">
        <f>IF(A167="","",TODAY())</f>
        <v/>
      </c>
      <c r="E167" s="489" t="n"/>
      <c r="F167" s="490">
        <f>IF(OR(A167="",E167=""),"",IF(C167="","",C167+E167))</f>
        <v/>
      </c>
      <c r="G167" s="380" t="inlineStr">
        <is>
          <t>Agent 04</t>
        </is>
      </c>
      <c r="H167" s="491" t="n"/>
      <c r="I167" s="492">
        <f>IF(A167="","Pending",IF(H167="","⚠️ Enter Code",IF(IFERROR(VLOOKUP(G167,DB_Agents!$B:$I,8,0),"")=H167,IF(AND(A167&lt;&gt;"",E167&lt;&gt;""),"Saved","Pending"),"🔒 BLOCKED — Wrong Code")))</f>
        <v/>
      </c>
      <c r="J167" s="493">
        <f>IF(I167="Saved",TEXT(TODAY(),"YYYY-MM-DD")&amp;" Auto","—")</f>
        <v/>
      </c>
      <c r="K167" s="494" t="n"/>
    </row>
    <row r="168" ht="15" customHeight="1" s="341">
      <c r="A168" s="495" t="n"/>
      <c r="B168" s="382">
        <f>IF(A168="","",IFERROR(VLOOKUP(A168,DB_Customers!$A:$D,4,0),"❌ Account Not Found"))</f>
        <v/>
      </c>
      <c r="C168" s="496">
        <f>IF(A168="","",IFERROR(VLOOKUP(A168,DB_Customers!$A:$N,14,0),""))</f>
        <v/>
      </c>
      <c r="D168" s="497">
        <f>IF(A168="","",TODAY())</f>
        <v/>
      </c>
      <c r="E168" s="489" t="n"/>
      <c r="F168" s="498">
        <f>IF(OR(A168="",E168=""),"",IF(C168="","",C168+E168))</f>
        <v/>
      </c>
      <c r="G168" s="384" t="inlineStr">
        <is>
          <t>Agent 04</t>
        </is>
      </c>
      <c r="H168" s="491" t="n"/>
      <c r="I168" s="499">
        <f>IF(A168="","Pending",IF(H168="","⚠️ Enter Code",IF(IFERROR(VLOOKUP(G168,DB_Agents!$B:$I,8,0),"")=H168,IF(AND(A168&lt;&gt;"",E168&lt;&gt;""),"Saved","Pending"),"🔒 BLOCKED — Wrong Code")))</f>
        <v/>
      </c>
      <c r="J168" s="500">
        <f>IF(I168="Saved",TEXT(TODAY(),"YYYY-MM-DD")&amp;" Auto","—")</f>
        <v/>
      </c>
      <c r="K168" s="501" t="n"/>
    </row>
    <row r="169" ht="15" customHeight="1" s="341">
      <c r="A169" s="486" t="n"/>
      <c r="B169" s="378">
        <f>IF(A169="","",IFERROR(VLOOKUP(A169,DB_Customers!$A:$D,4,0),"❌ Account Not Found"))</f>
        <v/>
      </c>
      <c r="C169" s="487">
        <f>IF(A169="","",IFERROR(VLOOKUP(A169,DB_Customers!$A:$N,14,0),""))</f>
        <v/>
      </c>
      <c r="D169" s="488">
        <f>IF(A169="","",TODAY())</f>
        <v/>
      </c>
      <c r="E169" s="489" t="n"/>
      <c r="F169" s="490">
        <f>IF(OR(A169="",E169=""),"",IF(C169="","",C169+E169))</f>
        <v/>
      </c>
      <c r="G169" s="380" t="inlineStr">
        <is>
          <t>Agent 04</t>
        </is>
      </c>
      <c r="H169" s="491" t="n"/>
      <c r="I169" s="492">
        <f>IF(A169="","Pending",IF(H169="","⚠️ Enter Code",IF(IFERROR(VLOOKUP(G169,DB_Agents!$B:$I,8,0),"")=H169,IF(AND(A169&lt;&gt;"",E169&lt;&gt;""),"Saved","Pending"),"🔒 BLOCKED — Wrong Code")))</f>
        <v/>
      </c>
      <c r="J169" s="493">
        <f>IF(I169="Saved",TEXT(TODAY(),"YYYY-MM-DD")&amp;" Auto","—")</f>
        <v/>
      </c>
      <c r="K169" s="494" t="n"/>
    </row>
    <row r="170" ht="15" customHeight="1" s="341">
      <c r="A170" s="495" t="n"/>
      <c r="B170" s="382">
        <f>IF(A170="","",IFERROR(VLOOKUP(A170,DB_Customers!$A:$D,4,0),"❌ Account Not Found"))</f>
        <v/>
      </c>
      <c r="C170" s="496">
        <f>IF(A170="","",IFERROR(VLOOKUP(A170,DB_Customers!$A:$N,14,0),""))</f>
        <v/>
      </c>
      <c r="D170" s="497">
        <f>IF(A170="","",TODAY())</f>
        <v/>
      </c>
      <c r="E170" s="489" t="n"/>
      <c r="F170" s="498">
        <f>IF(OR(A170="",E170=""),"",IF(C170="","",C170+E170))</f>
        <v/>
      </c>
      <c r="G170" s="384" t="inlineStr">
        <is>
          <t>Agent 04</t>
        </is>
      </c>
      <c r="H170" s="491" t="n"/>
      <c r="I170" s="499">
        <f>IF(A170="","Pending",IF(H170="","⚠️ Enter Code",IF(IFERROR(VLOOKUP(G170,DB_Agents!$B:$I,8,0),"")=H170,IF(AND(A170&lt;&gt;"",E170&lt;&gt;""),"Saved","Pending"),"🔒 BLOCKED — Wrong Code")))</f>
        <v/>
      </c>
      <c r="J170" s="500">
        <f>IF(I170="Saved",TEXT(TODAY(),"YYYY-MM-DD")&amp;" Auto","—")</f>
        <v/>
      </c>
      <c r="K170" s="501" t="n"/>
    </row>
    <row r="171" ht="15" customHeight="1" s="341">
      <c r="A171" s="486" t="n"/>
      <c r="B171" s="378">
        <f>IF(A171="","",IFERROR(VLOOKUP(A171,DB_Customers!$A:$D,4,0),"❌ Account Not Found"))</f>
        <v/>
      </c>
      <c r="C171" s="487">
        <f>IF(A171="","",IFERROR(VLOOKUP(A171,DB_Customers!$A:$N,14,0),""))</f>
        <v/>
      </c>
      <c r="D171" s="488">
        <f>IF(A171="","",TODAY())</f>
        <v/>
      </c>
      <c r="E171" s="489" t="n"/>
      <c r="F171" s="490">
        <f>IF(OR(A171="",E171=""),"",IF(C171="","",C171+E171))</f>
        <v/>
      </c>
      <c r="G171" s="380" t="inlineStr">
        <is>
          <t>Agent 04</t>
        </is>
      </c>
      <c r="H171" s="491" t="n"/>
      <c r="I171" s="492">
        <f>IF(A171="","Pending",IF(H171="","⚠️ Enter Code",IF(IFERROR(VLOOKUP(G171,DB_Agents!$B:$I,8,0),"")=H171,IF(AND(A171&lt;&gt;"",E171&lt;&gt;""),"Saved","Pending"),"🔒 BLOCKED — Wrong Code")))</f>
        <v/>
      </c>
      <c r="J171" s="493">
        <f>IF(I171="Saved",TEXT(TODAY(),"YYYY-MM-DD")&amp;" Auto","—")</f>
        <v/>
      </c>
      <c r="K171" s="494" t="n"/>
    </row>
    <row r="172" ht="15" customHeight="1" s="341">
      <c r="A172" s="495" t="n"/>
      <c r="B172" s="382">
        <f>IF(A172="","",IFERROR(VLOOKUP(A172,DB_Customers!$A:$D,4,0),"❌ Account Not Found"))</f>
        <v/>
      </c>
      <c r="C172" s="496">
        <f>IF(A172="","",IFERROR(VLOOKUP(A172,DB_Customers!$A:$N,14,0),""))</f>
        <v/>
      </c>
      <c r="D172" s="497">
        <f>IF(A172="","",TODAY())</f>
        <v/>
      </c>
      <c r="E172" s="489" t="n"/>
      <c r="F172" s="498">
        <f>IF(OR(A172="",E172=""),"",IF(C172="","",C172+E172))</f>
        <v/>
      </c>
      <c r="G172" s="384" t="inlineStr">
        <is>
          <t>Agent 04</t>
        </is>
      </c>
      <c r="H172" s="491" t="n"/>
      <c r="I172" s="499">
        <f>IF(A172="","Pending",IF(H172="","⚠️ Enter Code",IF(IFERROR(VLOOKUP(G172,DB_Agents!$B:$I,8,0),"")=H172,IF(AND(A172&lt;&gt;"",E172&lt;&gt;""),"Saved","Pending"),"🔒 BLOCKED — Wrong Code")))</f>
        <v/>
      </c>
      <c r="J172" s="500">
        <f>IF(I172="Saved",TEXT(TODAY(),"YYYY-MM-DD")&amp;" Auto","—")</f>
        <v/>
      </c>
      <c r="K172" s="501" t="n"/>
    </row>
    <row r="173" ht="15" customHeight="1" s="341">
      <c r="A173" s="486" t="n"/>
      <c r="B173" s="378">
        <f>IF(A173="","",IFERROR(VLOOKUP(A173,DB_Customers!$A:$D,4,0),"❌ Account Not Found"))</f>
        <v/>
      </c>
      <c r="C173" s="487">
        <f>IF(A173="","",IFERROR(VLOOKUP(A173,DB_Customers!$A:$N,14,0),""))</f>
        <v/>
      </c>
      <c r="D173" s="488">
        <f>IF(A173="","",TODAY())</f>
        <v/>
      </c>
      <c r="E173" s="489" t="n"/>
      <c r="F173" s="490">
        <f>IF(OR(A173="",E173=""),"",IF(C173="","",C173+E173))</f>
        <v/>
      </c>
      <c r="G173" s="380" t="inlineStr">
        <is>
          <t>Agent 04</t>
        </is>
      </c>
      <c r="H173" s="491" t="n"/>
      <c r="I173" s="492">
        <f>IF(A173="","Pending",IF(H173="","⚠️ Enter Code",IF(IFERROR(VLOOKUP(G173,DB_Agents!$B:$I,8,0),"")=H173,IF(AND(A173&lt;&gt;"",E173&lt;&gt;""),"Saved","Pending"),"🔒 BLOCKED — Wrong Code")))</f>
        <v/>
      </c>
      <c r="J173" s="493">
        <f>IF(I173="Saved",TEXT(TODAY(),"YYYY-MM-DD")&amp;" Auto","—")</f>
        <v/>
      </c>
      <c r="K173" s="494" t="n"/>
    </row>
    <row r="174" ht="15" customHeight="1" s="341">
      <c r="A174" s="495" t="n"/>
      <c r="B174" s="382">
        <f>IF(A174="","",IFERROR(VLOOKUP(A174,DB_Customers!$A:$D,4,0),"❌ Account Not Found"))</f>
        <v/>
      </c>
      <c r="C174" s="496">
        <f>IF(A174="","",IFERROR(VLOOKUP(A174,DB_Customers!$A:$N,14,0),""))</f>
        <v/>
      </c>
      <c r="D174" s="497">
        <f>IF(A174="","",TODAY())</f>
        <v/>
      </c>
      <c r="E174" s="489" t="n"/>
      <c r="F174" s="498">
        <f>IF(OR(A174="",E174=""),"",IF(C174="","",C174+E174))</f>
        <v/>
      </c>
      <c r="G174" s="384" t="inlineStr">
        <is>
          <t>Agent 04</t>
        </is>
      </c>
      <c r="H174" s="491" t="n"/>
      <c r="I174" s="499">
        <f>IF(A174="","Pending",IF(H174="","⚠️ Enter Code",IF(IFERROR(VLOOKUP(G174,DB_Agents!$B:$I,8,0),"")=H174,IF(AND(A174&lt;&gt;"",E174&lt;&gt;""),"Saved","Pending"),"🔒 BLOCKED — Wrong Code")))</f>
        <v/>
      </c>
      <c r="J174" s="500">
        <f>IF(I174="Saved",TEXT(TODAY(),"YYYY-MM-DD")&amp;" Auto","—")</f>
        <v/>
      </c>
      <c r="K174" s="501" t="n"/>
    </row>
    <row r="175" ht="15" customHeight="1" s="341">
      <c r="A175" s="486" t="n"/>
      <c r="B175" s="378">
        <f>IF(A175="","",IFERROR(VLOOKUP(A175,DB_Customers!$A:$D,4,0),"❌ Account Not Found"))</f>
        <v/>
      </c>
      <c r="C175" s="487">
        <f>IF(A175="","",IFERROR(VLOOKUP(A175,DB_Customers!$A:$N,14,0),""))</f>
        <v/>
      </c>
      <c r="D175" s="488">
        <f>IF(A175="","",TODAY())</f>
        <v/>
      </c>
      <c r="E175" s="489" t="n"/>
      <c r="F175" s="490">
        <f>IF(OR(A175="",E175=""),"",IF(C175="","",C175+E175))</f>
        <v/>
      </c>
      <c r="G175" s="380" t="inlineStr">
        <is>
          <t>Agent 04</t>
        </is>
      </c>
      <c r="H175" s="491" t="n"/>
      <c r="I175" s="492">
        <f>IF(A175="","Pending",IF(H175="","⚠️ Enter Code",IF(IFERROR(VLOOKUP(G175,DB_Agents!$B:$I,8,0),"")=H175,IF(AND(A175&lt;&gt;"",E175&lt;&gt;""),"Saved","Pending"),"🔒 BLOCKED — Wrong Code")))</f>
        <v/>
      </c>
      <c r="J175" s="493">
        <f>IF(I175="Saved",TEXT(TODAY(),"YYYY-MM-DD")&amp;" Auto","—")</f>
        <v/>
      </c>
      <c r="K175" s="494" t="n"/>
    </row>
    <row r="176" ht="15" customHeight="1" s="341">
      <c r="A176" s="495" t="n"/>
      <c r="B176" s="382">
        <f>IF(A176="","",IFERROR(VLOOKUP(A176,DB_Customers!$A:$D,4,0),"❌ Account Not Found"))</f>
        <v/>
      </c>
      <c r="C176" s="496">
        <f>IF(A176="","",IFERROR(VLOOKUP(A176,DB_Customers!$A:$N,14,0),""))</f>
        <v/>
      </c>
      <c r="D176" s="497">
        <f>IF(A176="","",TODAY())</f>
        <v/>
      </c>
      <c r="E176" s="489" t="n"/>
      <c r="F176" s="498">
        <f>IF(OR(A176="",E176=""),"",IF(C176="","",C176+E176))</f>
        <v/>
      </c>
      <c r="G176" s="384" t="inlineStr">
        <is>
          <t>Agent 04</t>
        </is>
      </c>
      <c r="H176" s="491" t="n"/>
      <c r="I176" s="499">
        <f>IF(A176="","Pending",IF(H176="","⚠️ Enter Code",IF(IFERROR(VLOOKUP(G176,DB_Agents!$B:$I,8,0),"")=H176,IF(AND(A176&lt;&gt;"",E176&lt;&gt;""),"Saved","Pending"),"🔒 BLOCKED — Wrong Code")))</f>
        <v/>
      </c>
      <c r="J176" s="500">
        <f>IF(I176="Saved",TEXT(TODAY(),"YYYY-MM-DD")&amp;" Auto","—")</f>
        <v/>
      </c>
      <c r="K176" s="501" t="n"/>
    </row>
    <row r="177" ht="15" customHeight="1" s="341">
      <c r="A177" s="486" t="n"/>
      <c r="B177" s="378">
        <f>IF(A177="","",IFERROR(VLOOKUP(A177,DB_Customers!$A:$D,4,0),"❌ Account Not Found"))</f>
        <v/>
      </c>
      <c r="C177" s="487">
        <f>IF(A177="","",IFERROR(VLOOKUP(A177,DB_Customers!$A:$N,14,0),""))</f>
        <v/>
      </c>
      <c r="D177" s="488">
        <f>IF(A177="","",TODAY())</f>
        <v/>
      </c>
      <c r="E177" s="489" t="n"/>
      <c r="F177" s="490">
        <f>IF(OR(A177="",E177=""),"",IF(C177="","",C177+E177))</f>
        <v/>
      </c>
      <c r="G177" s="380" t="inlineStr">
        <is>
          <t>Agent 04</t>
        </is>
      </c>
      <c r="H177" s="491" t="n"/>
      <c r="I177" s="492">
        <f>IF(A177="","Pending",IF(H177="","⚠️ Enter Code",IF(IFERROR(VLOOKUP(G177,DB_Agents!$B:$I,8,0),"")=H177,IF(AND(A177&lt;&gt;"",E177&lt;&gt;""),"Saved","Pending"),"🔒 BLOCKED — Wrong Code")))</f>
        <v/>
      </c>
      <c r="J177" s="493">
        <f>IF(I177="Saved",TEXT(TODAY(),"YYYY-MM-DD")&amp;" Auto","—")</f>
        <v/>
      </c>
      <c r="K177" s="494" t="n"/>
    </row>
    <row r="178" ht="15" customHeight="1" s="341">
      <c r="A178" s="495" t="n"/>
      <c r="B178" s="382">
        <f>IF(A178="","",IFERROR(VLOOKUP(A178,DB_Customers!$A:$D,4,0),"❌ Account Not Found"))</f>
        <v/>
      </c>
      <c r="C178" s="496">
        <f>IF(A178="","",IFERROR(VLOOKUP(A178,DB_Customers!$A:$N,14,0),""))</f>
        <v/>
      </c>
      <c r="D178" s="497">
        <f>IF(A178="","",TODAY())</f>
        <v/>
      </c>
      <c r="E178" s="489" t="n"/>
      <c r="F178" s="498">
        <f>IF(OR(A178="",E178=""),"",IF(C178="","",C178+E178))</f>
        <v/>
      </c>
      <c r="G178" s="384" t="inlineStr">
        <is>
          <t>Agent 04</t>
        </is>
      </c>
      <c r="H178" s="491" t="n"/>
      <c r="I178" s="499">
        <f>IF(A178="","Pending",IF(H178="","⚠️ Enter Code",IF(IFERROR(VLOOKUP(G178,DB_Agents!$B:$I,8,0),"")=H178,IF(AND(A178&lt;&gt;"",E178&lt;&gt;""),"Saved","Pending"),"🔒 BLOCKED — Wrong Code")))</f>
        <v/>
      </c>
      <c r="J178" s="500">
        <f>IF(I178="Saved",TEXT(TODAY(),"YYYY-MM-DD")&amp;" Auto","—")</f>
        <v/>
      </c>
      <c r="K178" s="501" t="n"/>
    </row>
    <row r="179" ht="15" customHeight="1" s="341">
      <c r="A179" s="486" t="n"/>
      <c r="B179" s="378">
        <f>IF(A179="","",IFERROR(VLOOKUP(A179,DB_Customers!$A:$D,4,0),"❌ Account Not Found"))</f>
        <v/>
      </c>
      <c r="C179" s="487">
        <f>IF(A179="","",IFERROR(VLOOKUP(A179,DB_Customers!$A:$N,14,0),""))</f>
        <v/>
      </c>
      <c r="D179" s="488">
        <f>IF(A179="","",TODAY())</f>
        <v/>
      </c>
      <c r="E179" s="489" t="n"/>
      <c r="F179" s="490">
        <f>IF(OR(A179="",E179=""),"",IF(C179="","",C179+E179))</f>
        <v/>
      </c>
      <c r="G179" s="380" t="inlineStr">
        <is>
          <t>Agent 04</t>
        </is>
      </c>
      <c r="H179" s="491" t="n"/>
      <c r="I179" s="492">
        <f>IF(A179="","Pending",IF(H179="","⚠️ Enter Code",IF(IFERROR(VLOOKUP(G179,DB_Agents!$B:$I,8,0),"")=H179,IF(AND(A179&lt;&gt;"",E179&lt;&gt;""),"Saved","Pending"),"🔒 BLOCKED — Wrong Code")))</f>
        <v/>
      </c>
      <c r="J179" s="493">
        <f>IF(I179="Saved",TEXT(TODAY(),"YYYY-MM-DD")&amp;" Auto","—")</f>
        <v/>
      </c>
      <c r="K179" s="494" t="n"/>
    </row>
    <row r="180" ht="15" customHeight="1" s="341">
      <c r="A180" s="495" t="n"/>
      <c r="B180" s="382">
        <f>IF(A180="","",IFERROR(VLOOKUP(A180,DB_Customers!$A:$D,4,0),"❌ Account Not Found"))</f>
        <v/>
      </c>
      <c r="C180" s="496">
        <f>IF(A180="","",IFERROR(VLOOKUP(A180,DB_Customers!$A:$N,14,0),""))</f>
        <v/>
      </c>
      <c r="D180" s="497">
        <f>IF(A180="","",TODAY())</f>
        <v/>
      </c>
      <c r="E180" s="489" t="n"/>
      <c r="F180" s="498">
        <f>IF(OR(A180="",E180=""),"",IF(C180="","",C180+E180))</f>
        <v/>
      </c>
      <c r="G180" s="384" t="inlineStr">
        <is>
          <t>Agent 04</t>
        </is>
      </c>
      <c r="H180" s="491" t="n"/>
      <c r="I180" s="499">
        <f>IF(A180="","Pending",IF(H180="","⚠️ Enter Code",IF(IFERROR(VLOOKUP(G180,DB_Agents!$B:$I,8,0),"")=H180,IF(AND(A180&lt;&gt;"",E180&lt;&gt;""),"Saved","Pending"),"🔒 BLOCKED — Wrong Code")))</f>
        <v/>
      </c>
      <c r="J180" s="500">
        <f>IF(I180="Saved",TEXT(TODAY(),"YYYY-MM-DD")&amp;" Auto","—")</f>
        <v/>
      </c>
      <c r="K180" s="501" t="n"/>
    </row>
    <row r="181" ht="15" customHeight="1" s="341">
      <c r="A181" s="486" t="n"/>
      <c r="B181" s="378">
        <f>IF(A181="","",IFERROR(VLOOKUP(A181,DB_Customers!$A:$D,4,0),"❌ Account Not Found"))</f>
        <v/>
      </c>
      <c r="C181" s="487">
        <f>IF(A181="","",IFERROR(VLOOKUP(A181,DB_Customers!$A:$N,14,0),""))</f>
        <v/>
      </c>
      <c r="D181" s="488">
        <f>IF(A181="","",TODAY())</f>
        <v/>
      </c>
      <c r="E181" s="489" t="n"/>
      <c r="F181" s="490">
        <f>IF(OR(A181="",E181=""),"",IF(C181="","",C181+E181))</f>
        <v/>
      </c>
      <c r="G181" s="380" t="inlineStr">
        <is>
          <t>Agent 04</t>
        </is>
      </c>
      <c r="H181" s="491" t="n"/>
      <c r="I181" s="492">
        <f>IF(A181="","Pending",IF(H181="","⚠️ Enter Code",IF(IFERROR(VLOOKUP(G181,DB_Agents!$B:$I,8,0),"")=H181,IF(AND(A181&lt;&gt;"",E181&lt;&gt;""),"Saved","Pending"),"🔒 BLOCKED — Wrong Code")))</f>
        <v/>
      </c>
      <c r="J181" s="493">
        <f>IF(I181="Saved",TEXT(TODAY(),"YYYY-MM-DD")&amp;" Auto","—")</f>
        <v/>
      </c>
      <c r="K181" s="494" t="n"/>
    </row>
    <row r="182" ht="15" customHeight="1" s="341">
      <c r="A182" s="495" t="n"/>
      <c r="B182" s="382">
        <f>IF(A182="","",IFERROR(VLOOKUP(A182,DB_Customers!$A:$D,4,0),"❌ Account Not Found"))</f>
        <v/>
      </c>
      <c r="C182" s="496">
        <f>IF(A182="","",IFERROR(VLOOKUP(A182,DB_Customers!$A:$N,14,0),""))</f>
        <v/>
      </c>
      <c r="D182" s="497">
        <f>IF(A182="","",TODAY())</f>
        <v/>
      </c>
      <c r="E182" s="489" t="n"/>
      <c r="F182" s="498">
        <f>IF(OR(A182="",E182=""),"",IF(C182="","",C182+E182))</f>
        <v/>
      </c>
      <c r="G182" s="384" t="inlineStr">
        <is>
          <t>Agent 04</t>
        </is>
      </c>
      <c r="H182" s="491" t="n"/>
      <c r="I182" s="499">
        <f>IF(A182="","Pending",IF(H182="","⚠️ Enter Code",IF(IFERROR(VLOOKUP(G182,DB_Agents!$B:$I,8,0),"")=H182,IF(AND(A182&lt;&gt;"",E182&lt;&gt;""),"Saved","Pending"),"🔒 BLOCKED — Wrong Code")))</f>
        <v/>
      </c>
      <c r="J182" s="500">
        <f>IF(I182="Saved",TEXT(TODAY(),"YYYY-MM-DD")&amp;" Auto","—")</f>
        <v/>
      </c>
      <c r="K182" s="501" t="n"/>
    </row>
    <row r="183" ht="15" customHeight="1" s="341">
      <c r="A183" s="486" t="n"/>
      <c r="B183" s="378">
        <f>IF(A183="","",IFERROR(VLOOKUP(A183,DB_Customers!$A:$D,4,0),"❌ Account Not Found"))</f>
        <v/>
      </c>
      <c r="C183" s="487">
        <f>IF(A183="","",IFERROR(VLOOKUP(A183,DB_Customers!$A:$N,14,0),""))</f>
        <v/>
      </c>
      <c r="D183" s="488">
        <f>IF(A183="","",TODAY())</f>
        <v/>
      </c>
      <c r="E183" s="489" t="n"/>
      <c r="F183" s="490">
        <f>IF(OR(A183="",E183=""),"",IF(C183="","",C183+E183))</f>
        <v/>
      </c>
      <c r="G183" s="380" t="inlineStr">
        <is>
          <t>Agent 04</t>
        </is>
      </c>
      <c r="H183" s="491" t="n"/>
      <c r="I183" s="492">
        <f>IF(A183="","Pending",IF(H183="","⚠️ Enter Code",IF(IFERROR(VLOOKUP(G183,DB_Agents!$B:$I,8,0),"")=H183,IF(AND(A183&lt;&gt;"",E183&lt;&gt;""),"Saved","Pending"),"🔒 BLOCKED — Wrong Code")))</f>
        <v/>
      </c>
      <c r="J183" s="493">
        <f>IF(I183="Saved",TEXT(TODAY(),"YYYY-MM-DD")&amp;" Auto","—")</f>
        <v/>
      </c>
      <c r="K183" s="494" t="n"/>
    </row>
    <row r="184" ht="15" customHeight="1" s="341">
      <c r="A184" s="495" t="n"/>
      <c r="B184" s="382">
        <f>IF(A184="","",IFERROR(VLOOKUP(A184,DB_Customers!$A:$D,4,0),"❌ Account Not Found"))</f>
        <v/>
      </c>
      <c r="C184" s="496">
        <f>IF(A184="","",IFERROR(VLOOKUP(A184,DB_Customers!$A:$N,14,0),""))</f>
        <v/>
      </c>
      <c r="D184" s="497">
        <f>IF(A184="","",TODAY())</f>
        <v/>
      </c>
      <c r="E184" s="489" t="n"/>
      <c r="F184" s="498">
        <f>IF(OR(A184="",E184=""),"",IF(C184="","",C184+E184))</f>
        <v/>
      </c>
      <c r="G184" s="384" t="inlineStr">
        <is>
          <t>Agent 04</t>
        </is>
      </c>
      <c r="H184" s="491" t="n"/>
      <c r="I184" s="499">
        <f>IF(A184="","Pending",IF(H184="","⚠️ Enter Code",IF(IFERROR(VLOOKUP(G184,DB_Agents!$B:$I,8,0),"")=H184,IF(AND(A184&lt;&gt;"",E184&lt;&gt;""),"Saved","Pending"),"🔒 BLOCKED — Wrong Code")))</f>
        <v/>
      </c>
      <c r="J184" s="500">
        <f>IF(I184="Saved",TEXT(TODAY(),"YYYY-MM-DD")&amp;" Auto","—")</f>
        <v/>
      </c>
      <c r="K184" s="501" t="n"/>
    </row>
    <row r="185" ht="15" customHeight="1" s="341">
      <c r="A185" s="486" t="n"/>
      <c r="B185" s="378">
        <f>IF(A185="","",IFERROR(VLOOKUP(A185,DB_Customers!$A:$D,4,0),"❌ Account Not Found"))</f>
        <v/>
      </c>
      <c r="C185" s="487">
        <f>IF(A185="","",IFERROR(VLOOKUP(A185,DB_Customers!$A:$N,14,0),""))</f>
        <v/>
      </c>
      <c r="D185" s="488">
        <f>IF(A185="","",TODAY())</f>
        <v/>
      </c>
      <c r="E185" s="489" t="n"/>
      <c r="F185" s="490">
        <f>IF(OR(A185="",E185=""),"",IF(C185="","",C185+E185))</f>
        <v/>
      </c>
      <c r="G185" s="380" t="inlineStr">
        <is>
          <t>Agent 04</t>
        </is>
      </c>
      <c r="H185" s="491" t="n"/>
      <c r="I185" s="492">
        <f>IF(A185="","Pending",IF(H185="","⚠️ Enter Code",IF(IFERROR(VLOOKUP(G185,DB_Agents!$B:$I,8,0),"")=H185,IF(AND(A185&lt;&gt;"",E185&lt;&gt;""),"Saved","Pending"),"🔒 BLOCKED — Wrong Code")))</f>
        <v/>
      </c>
      <c r="J185" s="493">
        <f>IF(I185="Saved",TEXT(TODAY(),"YYYY-MM-DD")&amp;" Auto","—")</f>
        <v/>
      </c>
      <c r="K185" s="494" t="n"/>
    </row>
    <row r="186" ht="15" customHeight="1" s="341">
      <c r="A186" s="495" t="n"/>
      <c r="B186" s="382">
        <f>IF(A186="","",IFERROR(VLOOKUP(A186,DB_Customers!$A:$D,4,0),"❌ Account Not Found"))</f>
        <v/>
      </c>
      <c r="C186" s="496">
        <f>IF(A186="","",IFERROR(VLOOKUP(A186,DB_Customers!$A:$N,14,0),""))</f>
        <v/>
      </c>
      <c r="D186" s="497">
        <f>IF(A186="","",TODAY())</f>
        <v/>
      </c>
      <c r="E186" s="489" t="n"/>
      <c r="F186" s="498">
        <f>IF(OR(A186="",E186=""),"",IF(C186="","",C186+E186))</f>
        <v/>
      </c>
      <c r="G186" s="384" t="inlineStr">
        <is>
          <t>Agent 04</t>
        </is>
      </c>
      <c r="H186" s="491" t="n"/>
      <c r="I186" s="499">
        <f>IF(A186="","Pending",IF(H186="","⚠️ Enter Code",IF(IFERROR(VLOOKUP(G186,DB_Agents!$B:$I,8,0),"")=H186,IF(AND(A186&lt;&gt;"",E186&lt;&gt;""),"Saved","Pending"),"🔒 BLOCKED — Wrong Code")))</f>
        <v/>
      </c>
      <c r="J186" s="500">
        <f>IF(I186="Saved",TEXT(TODAY(),"YYYY-MM-DD")&amp;" Auto","—")</f>
        <v/>
      </c>
      <c r="K186" s="501" t="n"/>
    </row>
    <row r="187" ht="15" customHeight="1" s="341">
      <c r="A187" s="486" t="n"/>
      <c r="B187" s="378">
        <f>IF(A187="","",IFERROR(VLOOKUP(A187,DB_Customers!$A:$D,4,0),"❌ Account Not Found"))</f>
        <v/>
      </c>
      <c r="C187" s="487">
        <f>IF(A187="","",IFERROR(VLOOKUP(A187,DB_Customers!$A:$N,14,0),""))</f>
        <v/>
      </c>
      <c r="D187" s="488">
        <f>IF(A187="","",TODAY())</f>
        <v/>
      </c>
      <c r="E187" s="489" t="n"/>
      <c r="F187" s="490">
        <f>IF(OR(A187="",E187=""),"",IF(C187="","",C187+E187))</f>
        <v/>
      </c>
      <c r="G187" s="380" t="inlineStr">
        <is>
          <t>Agent 04</t>
        </is>
      </c>
      <c r="H187" s="491" t="n"/>
      <c r="I187" s="492">
        <f>IF(A187="","Pending",IF(H187="","⚠️ Enter Code",IF(IFERROR(VLOOKUP(G187,DB_Agents!$B:$I,8,0),"")=H187,IF(AND(A187&lt;&gt;"",E187&lt;&gt;""),"Saved","Pending"),"🔒 BLOCKED — Wrong Code")))</f>
        <v/>
      </c>
      <c r="J187" s="493">
        <f>IF(I187="Saved",TEXT(TODAY(),"YYYY-MM-DD")&amp;" Auto","—")</f>
        <v/>
      </c>
      <c r="K187" s="494" t="n"/>
    </row>
    <row r="188" ht="15" customHeight="1" s="341">
      <c r="A188" s="495" t="n"/>
      <c r="B188" s="382">
        <f>IF(A188="","",IFERROR(VLOOKUP(A188,DB_Customers!$A:$D,4,0),"❌ Account Not Found"))</f>
        <v/>
      </c>
      <c r="C188" s="496">
        <f>IF(A188="","",IFERROR(VLOOKUP(A188,DB_Customers!$A:$N,14,0),""))</f>
        <v/>
      </c>
      <c r="D188" s="497">
        <f>IF(A188="","",TODAY())</f>
        <v/>
      </c>
      <c r="E188" s="489" t="n"/>
      <c r="F188" s="498">
        <f>IF(OR(A188="",E188=""),"",IF(C188="","",C188+E188))</f>
        <v/>
      </c>
      <c r="G188" s="384" t="inlineStr">
        <is>
          <t>Agent 04</t>
        </is>
      </c>
      <c r="H188" s="491" t="n"/>
      <c r="I188" s="499">
        <f>IF(A188="","Pending",IF(H188="","⚠️ Enter Code",IF(IFERROR(VLOOKUP(G188,DB_Agents!$B:$I,8,0),"")=H188,IF(AND(A188&lt;&gt;"",E188&lt;&gt;""),"Saved","Pending"),"🔒 BLOCKED — Wrong Code")))</f>
        <v/>
      </c>
      <c r="J188" s="500">
        <f>IF(I188="Saved",TEXT(TODAY(),"YYYY-MM-DD")&amp;" Auto","—")</f>
        <v/>
      </c>
      <c r="K188" s="501" t="n"/>
    </row>
    <row r="189" ht="15" customHeight="1" s="341">
      <c r="A189" s="486" t="n"/>
      <c r="B189" s="378">
        <f>IF(A189="","",IFERROR(VLOOKUP(A189,DB_Customers!$A:$D,4,0),"❌ Account Not Found"))</f>
        <v/>
      </c>
      <c r="C189" s="487">
        <f>IF(A189="","",IFERROR(VLOOKUP(A189,DB_Customers!$A:$N,14,0),""))</f>
        <v/>
      </c>
      <c r="D189" s="488">
        <f>IF(A189="","",TODAY())</f>
        <v/>
      </c>
      <c r="E189" s="489" t="n"/>
      <c r="F189" s="490">
        <f>IF(OR(A189="",E189=""),"",IF(C189="","",C189+E189))</f>
        <v/>
      </c>
      <c r="G189" s="380" t="inlineStr">
        <is>
          <t>Agent 04</t>
        </is>
      </c>
      <c r="H189" s="491" t="n"/>
      <c r="I189" s="492">
        <f>IF(A189="","Pending",IF(H189="","⚠️ Enter Code",IF(IFERROR(VLOOKUP(G189,DB_Agents!$B:$I,8,0),"")=H189,IF(AND(A189&lt;&gt;"",E189&lt;&gt;""),"Saved","Pending"),"🔒 BLOCKED — Wrong Code")))</f>
        <v/>
      </c>
      <c r="J189" s="493">
        <f>IF(I189="Saved",TEXT(TODAY(),"YYYY-MM-DD")&amp;" Auto","—")</f>
        <v/>
      </c>
      <c r="K189" s="494" t="n"/>
    </row>
    <row r="190" ht="15" customHeight="1" s="341">
      <c r="A190" s="495" t="n"/>
      <c r="B190" s="382">
        <f>IF(A190="","",IFERROR(VLOOKUP(A190,DB_Customers!$A:$D,4,0),"❌ Account Not Found"))</f>
        <v/>
      </c>
      <c r="C190" s="496">
        <f>IF(A190="","",IFERROR(VLOOKUP(A190,DB_Customers!$A:$N,14,0),""))</f>
        <v/>
      </c>
      <c r="D190" s="497">
        <f>IF(A190="","",TODAY())</f>
        <v/>
      </c>
      <c r="E190" s="489" t="n"/>
      <c r="F190" s="498">
        <f>IF(OR(A190="",E190=""),"",IF(C190="","",C190+E190))</f>
        <v/>
      </c>
      <c r="G190" s="384" t="inlineStr">
        <is>
          <t>Agent 04</t>
        </is>
      </c>
      <c r="H190" s="491" t="n"/>
      <c r="I190" s="499">
        <f>IF(A190="","Pending",IF(H190="","⚠️ Enter Code",IF(IFERROR(VLOOKUP(G190,DB_Agents!$B:$I,8,0),"")=H190,IF(AND(A190&lt;&gt;"",E190&lt;&gt;""),"Saved","Pending"),"🔒 BLOCKED — Wrong Code")))</f>
        <v/>
      </c>
      <c r="J190" s="500">
        <f>IF(I190="Saved",TEXT(TODAY(),"YYYY-MM-DD")&amp;" Auto","—")</f>
        <v/>
      </c>
      <c r="K190" s="501" t="n"/>
    </row>
    <row r="191" ht="15" customHeight="1" s="341">
      <c r="A191" s="486" t="n"/>
      <c r="B191" s="378">
        <f>IF(A191="","",IFERROR(VLOOKUP(A191,DB_Customers!$A:$D,4,0),"❌ Account Not Found"))</f>
        <v/>
      </c>
      <c r="C191" s="487">
        <f>IF(A191="","",IFERROR(VLOOKUP(A191,DB_Customers!$A:$N,14,0),""))</f>
        <v/>
      </c>
      <c r="D191" s="488">
        <f>IF(A191="","",TODAY())</f>
        <v/>
      </c>
      <c r="E191" s="489" t="n"/>
      <c r="F191" s="490">
        <f>IF(OR(A191="",E191=""),"",IF(C191="","",C191+E191))</f>
        <v/>
      </c>
      <c r="G191" s="380" t="inlineStr">
        <is>
          <t>Agent 04</t>
        </is>
      </c>
      <c r="H191" s="491" t="n"/>
      <c r="I191" s="492">
        <f>IF(A191="","Pending",IF(H191="","⚠️ Enter Code",IF(IFERROR(VLOOKUP(G191,DB_Agents!$B:$I,8,0),"")=H191,IF(AND(A191&lt;&gt;"",E191&lt;&gt;""),"Saved","Pending"),"🔒 BLOCKED — Wrong Code")))</f>
        <v/>
      </c>
      <c r="J191" s="493">
        <f>IF(I191="Saved",TEXT(TODAY(),"YYYY-MM-DD")&amp;" Auto","—")</f>
        <v/>
      </c>
      <c r="K191" s="494" t="n"/>
    </row>
    <row r="192" ht="15" customHeight="1" s="341">
      <c r="A192" s="495" t="n"/>
      <c r="B192" s="382">
        <f>IF(A192="","",IFERROR(VLOOKUP(A192,DB_Customers!$A:$D,4,0),"❌ Account Not Found"))</f>
        <v/>
      </c>
      <c r="C192" s="496">
        <f>IF(A192="","",IFERROR(VLOOKUP(A192,DB_Customers!$A:$N,14,0),""))</f>
        <v/>
      </c>
      <c r="D192" s="497">
        <f>IF(A192="","",TODAY())</f>
        <v/>
      </c>
      <c r="E192" s="489" t="n"/>
      <c r="F192" s="498">
        <f>IF(OR(A192="",E192=""),"",IF(C192="","",C192+E192))</f>
        <v/>
      </c>
      <c r="G192" s="384" t="inlineStr">
        <is>
          <t>Agent 04</t>
        </is>
      </c>
      <c r="H192" s="491" t="n"/>
      <c r="I192" s="499">
        <f>IF(A192="","Pending",IF(H192="","⚠️ Enter Code",IF(IFERROR(VLOOKUP(G192,DB_Agents!$B:$I,8,0),"")=H192,IF(AND(A192&lt;&gt;"",E192&lt;&gt;""),"Saved","Pending"),"🔒 BLOCKED — Wrong Code")))</f>
        <v/>
      </c>
      <c r="J192" s="500">
        <f>IF(I192="Saved",TEXT(TODAY(),"YYYY-MM-DD")&amp;" Auto","—")</f>
        <v/>
      </c>
      <c r="K192" s="501" t="n"/>
    </row>
    <row r="193" ht="15" customHeight="1" s="341">
      <c r="A193" s="486" t="n"/>
      <c r="B193" s="378">
        <f>IF(A193="","",IFERROR(VLOOKUP(A193,DB_Customers!$A:$D,4,0),"❌ Account Not Found"))</f>
        <v/>
      </c>
      <c r="C193" s="487">
        <f>IF(A193="","",IFERROR(VLOOKUP(A193,DB_Customers!$A:$N,14,0),""))</f>
        <v/>
      </c>
      <c r="D193" s="488">
        <f>IF(A193="","",TODAY())</f>
        <v/>
      </c>
      <c r="E193" s="489" t="n"/>
      <c r="F193" s="490">
        <f>IF(OR(A193="",E193=""),"",IF(C193="","",C193+E193))</f>
        <v/>
      </c>
      <c r="G193" s="380" t="inlineStr">
        <is>
          <t>Agent 04</t>
        </is>
      </c>
      <c r="H193" s="491" t="n"/>
      <c r="I193" s="492">
        <f>IF(A193="","Pending",IF(H193="","⚠️ Enter Code",IF(IFERROR(VLOOKUP(G193,DB_Agents!$B:$I,8,0),"")=H193,IF(AND(A193&lt;&gt;"",E193&lt;&gt;""),"Saved","Pending"),"🔒 BLOCKED — Wrong Code")))</f>
        <v/>
      </c>
      <c r="J193" s="493">
        <f>IF(I193="Saved",TEXT(TODAY(),"YYYY-MM-DD")&amp;" Auto","—")</f>
        <v/>
      </c>
      <c r="K193" s="494" t="n"/>
    </row>
    <row r="194" ht="15" customHeight="1" s="341">
      <c r="A194" s="495" t="n"/>
      <c r="B194" s="382">
        <f>IF(A194="","",IFERROR(VLOOKUP(A194,DB_Customers!$A:$D,4,0),"❌ Account Not Found"))</f>
        <v/>
      </c>
      <c r="C194" s="496">
        <f>IF(A194="","",IFERROR(VLOOKUP(A194,DB_Customers!$A:$N,14,0),""))</f>
        <v/>
      </c>
      <c r="D194" s="497">
        <f>IF(A194="","",TODAY())</f>
        <v/>
      </c>
      <c r="E194" s="489" t="n"/>
      <c r="F194" s="498">
        <f>IF(OR(A194="",E194=""),"",IF(C194="","",C194+E194))</f>
        <v/>
      </c>
      <c r="G194" s="384" t="inlineStr">
        <is>
          <t>Agent 04</t>
        </is>
      </c>
      <c r="H194" s="491" t="n"/>
      <c r="I194" s="499">
        <f>IF(A194="","Pending",IF(H194="","⚠️ Enter Code",IF(IFERROR(VLOOKUP(G194,DB_Agents!$B:$I,8,0),"")=H194,IF(AND(A194&lt;&gt;"",E194&lt;&gt;""),"Saved","Pending"),"🔒 BLOCKED — Wrong Code")))</f>
        <v/>
      </c>
      <c r="J194" s="500">
        <f>IF(I194="Saved",TEXT(TODAY(),"YYYY-MM-DD")&amp;" Auto","—")</f>
        <v/>
      </c>
      <c r="K194" s="501" t="n"/>
    </row>
    <row r="195" ht="15" customHeight="1" s="341">
      <c r="A195" s="486" t="n"/>
      <c r="B195" s="378">
        <f>IF(A195="","",IFERROR(VLOOKUP(A195,DB_Customers!$A:$D,4,0),"❌ Account Not Found"))</f>
        <v/>
      </c>
      <c r="C195" s="487">
        <f>IF(A195="","",IFERROR(VLOOKUP(A195,DB_Customers!$A:$N,14,0),""))</f>
        <v/>
      </c>
      <c r="D195" s="488">
        <f>IF(A195="","",TODAY())</f>
        <v/>
      </c>
      <c r="E195" s="489" t="n"/>
      <c r="F195" s="490">
        <f>IF(OR(A195="",E195=""),"",IF(C195="","",C195+E195))</f>
        <v/>
      </c>
      <c r="G195" s="380" t="inlineStr">
        <is>
          <t>Agent 04</t>
        </is>
      </c>
      <c r="H195" s="491" t="n"/>
      <c r="I195" s="492">
        <f>IF(A195="","Pending",IF(H195="","⚠️ Enter Code",IF(IFERROR(VLOOKUP(G195,DB_Agents!$B:$I,8,0),"")=H195,IF(AND(A195&lt;&gt;"",E195&lt;&gt;""),"Saved","Pending"),"🔒 BLOCKED — Wrong Code")))</f>
        <v/>
      </c>
      <c r="J195" s="493">
        <f>IF(I195="Saved",TEXT(TODAY(),"YYYY-MM-DD")&amp;" Auto","—")</f>
        <v/>
      </c>
      <c r="K195" s="494" t="n"/>
    </row>
    <row r="196" ht="15" customHeight="1" s="341">
      <c r="A196" s="495" t="n"/>
      <c r="B196" s="382">
        <f>IF(A196="","",IFERROR(VLOOKUP(A196,DB_Customers!$A:$D,4,0),"❌ Account Not Found"))</f>
        <v/>
      </c>
      <c r="C196" s="496">
        <f>IF(A196="","",IFERROR(VLOOKUP(A196,DB_Customers!$A:$N,14,0),""))</f>
        <v/>
      </c>
      <c r="D196" s="497">
        <f>IF(A196="","",TODAY())</f>
        <v/>
      </c>
      <c r="E196" s="489" t="n"/>
      <c r="F196" s="498">
        <f>IF(OR(A196="",E196=""),"",IF(C196="","",C196+E196))</f>
        <v/>
      </c>
      <c r="G196" s="384" t="inlineStr">
        <is>
          <t>Agent 04</t>
        </is>
      </c>
      <c r="H196" s="491" t="n"/>
      <c r="I196" s="499">
        <f>IF(A196="","Pending",IF(H196="","⚠️ Enter Code",IF(IFERROR(VLOOKUP(G196,DB_Agents!$B:$I,8,0),"")=H196,IF(AND(A196&lt;&gt;"",E196&lt;&gt;""),"Saved","Pending"),"🔒 BLOCKED — Wrong Code")))</f>
        <v/>
      </c>
      <c r="J196" s="500">
        <f>IF(I196="Saved",TEXT(TODAY(),"YYYY-MM-DD")&amp;" Auto","—")</f>
        <v/>
      </c>
      <c r="K196" s="501" t="n"/>
    </row>
    <row r="197" ht="15" customHeight="1" s="341">
      <c r="A197" s="486" t="n"/>
      <c r="B197" s="378">
        <f>IF(A197="","",IFERROR(VLOOKUP(A197,DB_Customers!$A:$D,4,0),"❌ Account Not Found"))</f>
        <v/>
      </c>
      <c r="C197" s="487">
        <f>IF(A197="","",IFERROR(VLOOKUP(A197,DB_Customers!$A:$N,14,0),""))</f>
        <v/>
      </c>
      <c r="D197" s="488">
        <f>IF(A197="","",TODAY())</f>
        <v/>
      </c>
      <c r="E197" s="489" t="n"/>
      <c r="F197" s="490">
        <f>IF(OR(A197="",E197=""),"",IF(C197="","",C197+E197))</f>
        <v/>
      </c>
      <c r="G197" s="380" t="inlineStr">
        <is>
          <t>Agent 04</t>
        </is>
      </c>
      <c r="H197" s="491" t="n"/>
      <c r="I197" s="492">
        <f>IF(A197="","Pending",IF(H197="","⚠️ Enter Code",IF(IFERROR(VLOOKUP(G197,DB_Agents!$B:$I,8,0),"")=H197,IF(AND(A197&lt;&gt;"",E197&lt;&gt;""),"Saved","Pending"),"🔒 BLOCKED — Wrong Code")))</f>
        <v/>
      </c>
      <c r="J197" s="493">
        <f>IF(I197="Saved",TEXT(TODAY(),"YYYY-MM-DD")&amp;" Auto","—")</f>
        <v/>
      </c>
      <c r="K197" s="494" t="n"/>
    </row>
    <row r="198" ht="15" customHeight="1" s="341">
      <c r="A198" s="495" t="n"/>
      <c r="B198" s="382">
        <f>IF(A198="","",IFERROR(VLOOKUP(A198,DB_Customers!$A:$D,4,0),"❌ Account Not Found"))</f>
        <v/>
      </c>
      <c r="C198" s="496">
        <f>IF(A198="","",IFERROR(VLOOKUP(A198,DB_Customers!$A:$N,14,0),""))</f>
        <v/>
      </c>
      <c r="D198" s="497">
        <f>IF(A198="","",TODAY())</f>
        <v/>
      </c>
      <c r="E198" s="489" t="n"/>
      <c r="F198" s="498">
        <f>IF(OR(A198="",E198=""),"",IF(C198="","",C198+E198))</f>
        <v/>
      </c>
      <c r="G198" s="384" t="inlineStr">
        <is>
          <t>Agent 04</t>
        </is>
      </c>
      <c r="H198" s="491" t="n"/>
      <c r="I198" s="499">
        <f>IF(A198="","Pending",IF(H198="","⚠️ Enter Code",IF(IFERROR(VLOOKUP(G198,DB_Agents!$B:$I,8,0),"")=H198,IF(AND(A198&lt;&gt;"",E198&lt;&gt;""),"Saved","Pending"),"🔒 BLOCKED — Wrong Code")))</f>
        <v/>
      </c>
      <c r="J198" s="500">
        <f>IF(I198="Saved",TEXT(TODAY(),"YYYY-MM-DD")&amp;" Auto","—")</f>
        <v/>
      </c>
      <c r="K198" s="501" t="n"/>
    </row>
    <row r="199" ht="15" customHeight="1" s="341">
      <c r="A199" s="486" t="n"/>
      <c r="B199" s="378">
        <f>IF(A199="","",IFERROR(VLOOKUP(A199,DB_Customers!$A:$D,4,0),"❌ Account Not Found"))</f>
        <v/>
      </c>
      <c r="C199" s="487">
        <f>IF(A199="","",IFERROR(VLOOKUP(A199,DB_Customers!$A:$N,14,0),""))</f>
        <v/>
      </c>
      <c r="D199" s="488">
        <f>IF(A199="","",TODAY())</f>
        <v/>
      </c>
      <c r="E199" s="489" t="n"/>
      <c r="F199" s="490">
        <f>IF(OR(A199="",E199=""),"",IF(C199="","",C199+E199))</f>
        <v/>
      </c>
      <c r="G199" s="380" t="inlineStr">
        <is>
          <t>Agent 04</t>
        </is>
      </c>
      <c r="H199" s="491" t="n"/>
      <c r="I199" s="492">
        <f>IF(A199="","Pending",IF(H199="","⚠️ Enter Code",IF(IFERROR(VLOOKUP(G199,DB_Agents!$B:$I,8,0),"")=H199,IF(AND(A199&lt;&gt;"",E199&lt;&gt;""),"Saved","Pending"),"🔒 BLOCKED — Wrong Code")))</f>
        <v/>
      </c>
      <c r="J199" s="493">
        <f>IF(I199="Saved",TEXT(TODAY(),"YYYY-MM-DD")&amp;" Auto","—")</f>
        <v/>
      </c>
      <c r="K199" s="494" t="n"/>
    </row>
    <row r="200" ht="15" customHeight="1" s="341">
      <c r="A200" s="495" t="n"/>
      <c r="B200" s="382">
        <f>IF(A200="","",IFERROR(VLOOKUP(A200,DB_Customers!$A:$D,4,0),"❌ Account Not Found"))</f>
        <v/>
      </c>
      <c r="C200" s="496">
        <f>IF(A200="","",IFERROR(VLOOKUP(A200,DB_Customers!$A:$N,14,0),""))</f>
        <v/>
      </c>
      <c r="D200" s="497">
        <f>IF(A200="","",TODAY())</f>
        <v/>
      </c>
      <c r="E200" s="489" t="n"/>
      <c r="F200" s="498">
        <f>IF(OR(A200="",E200=""),"",IF(C200="","",C200+E200))</f>
        <v/>
      </c>
      <c r="G200" s="384" t="inlineStr">
        <is>
          <t>Agent 04</t>
        </is>
      </c>
      <c r="H200" s="491" t="n"/>
      <c r="I200" s="499">
        <f>IF(A200="","Pending",IF(H200="","⚠️ Enter Code",IF(IFERROR(VLOOKUP(G200,DB_Agents!$B:$I,8,0),"")=H200,IF(AND(A200&lt;&gt;"",E200&lt;&gt;""),"Saved","Pending"),"🔒 BLOCKED — Wrong Code")))</f>
        <v/>
      </c>
      <c r="J200" s="500">
        <f>IF(I200="Saved",TEXT(TODAY(),"YYYY-MM-DD")&amp;" Auto","—")</f>
        <v/>
      </c>
      <c r="K200" s="501" t="n"/>
    </row>
    <row r="201" ht="15" customHeight="1" s="341">
      <c r="A201" s="486" t="n"/>
      <c r="B201" s="378">
        <f>IF(A201="","",IFERROR(VLOOKUP(A201,DB_Customers!$A:$D,4,0),"❌ Account Not Found"))</f>
        <v/>
      </c>
      <c r="C201" s="487">
        <f>IF(A201="","",IFERROR(VLOOKUP(A201,DB_Customers!$A:$N,14,0),""))</f>
        <v/>
      </c>
      <c r="D201" s="488">
        <f>IF(A201="","",TODAY())</f>
        <v/>
      </c>
      <c r="E201" s="489" t="n"/>
      <c r="F201" s="490">
        <f>IF(OR(A201="",E201=""),"",IF(C201="","",C201+E201))</f>
        <v/>
      </c>
      <c r="G201" s="380" t="inlineStr">
        <is>
          <t>Agent 04</t>
        </is>
      </c>
      <c r="H201" s="491" t="n"/>
      <c r="I201" s="492">
        <f>IF(A201="","Pending",IF(H201="","⚠️ Enter Code",IF(IFERROR(VLOOKUP(G201,DB_Agents!$B:$I,8,0),"")=H201,IF(AND(A201&lt;&gt;"",E201&lt;&gt;""),"Saved","Pending"),"🔒 BLOCKED — Wrong Code")))</f>
        <v/>
      </c>
      <c r="J201" s="493">
        <f>IF(I201="Saved",TEXT(TODAY(),"YYYY-MM-DD")&amp;" Auto","—")</f>
        <v/>
      </c>
      <c r="K201" s="494" t="n"/>
    </row>
    <row r="202" ht="15" customHeight="1" s="341">
      <c r="A202" s="495" t="n"/>
      <c r="B202" s="382">
        <f>IF(A202="","",IFERROR(VLOOKUP(A202,DB_Customers!$A:$D,4,0),"❌ Account Not Found"))</f>
        <v/>
      </c>
      <c r="C202" s="496">
        <f>IF(A202="","",IFERROR(VLOOKUP(A202,DB_Customers!$A:$N,14,0),""))</f>
        <v/>
      </c>
      <c r="D202" s="497">
        <f>IF(A202="","",TODAY())</f>
        <v/>
      </c>
      <c r="E202" s="489" t="n"/>
      <c r="F202" s="498">
        <f>IF(OR(A202="",E202=""),"",IF(C202="","",C202+E202))</f>
        <v/>
      </c>
      <c r="G202" s="384" t="inlineStr">
        <is>
          <t>Agent 04</t>
        </is>
      </c>
      <c r="H202" s="491" t="n"/>
      <c r="I202" s="499">
        <f>IF(A202="","Pending",IF(H202="","⚠️ Enter Code",IF(IFERROR(VLOOKUP(G202,DB_Agents!$B:$I,8,0),"")=H202,IF(AND(A202&lt;&gt;"",E202&lt;&gt;""),"Saved","Pending"),"🔒 BLOCKED — Wrong Code")))</f>
        <v/>
      </c>
      <c r="J202" s="500">
        <f>IF(I202="Saved",TEXT(TODAY(),"YYYY-MM-DD")&amp;" Auto","—")</f>
        <v/>
      </c>
      <c r="K202" s="501" t="n"/>
    </row>
    <row r="203" ht="15" customHeight="1" s="341">
      <c r="A203" s="486" t="n"/>
      <c r="B203" s="378">
        <f>IF(A203="","",IFERROR(VLOOKUP(A203,DB_Customers!$A:$D,4,0),"❌ Account Not Found"))</f>
        <v/>
      </c>
      <c r="C203" s="487">
        <f>IF(A203="","",IFERROR(VLOOKUP(A203,DB_Customers!$A:$N,14,0),""))</f>
        <v/>
      </c>
      <c r="D203" s="488">
        <f>IF(A203="","",TODAY())</f>
        <v/>
      </c>
      <c r="E203" s="489" t="n"/>
      <c r="F203" s="490">
        <f>IF(OR(A203="",E203=""),"",IF(C203="","",C203+E203))</f>
        <v/>
      </c>
      <c r="G203" s="380" t="inlineStr">
        <is>
          <t>Agent 04</t>
        </is>
      </c>
      <c r="H203" s="491" t="n"/>
      <c r="I203" s="492">
        <f>IF(A203="","Pending",IF(H203="","⚠️ Enter Code",IF(IFERROR(VLOOKUP(G203,DB_Agents!$B:$I,8,0),"")=H203,IF(AND(A203&lt;&gt;"",E203&lt;&gt;""),"Saved","Pending"),"🔒 BLOCKED — Wrong Code")))</f>
        <v/>
      </c>
      <c r="J203" s="493">
        <f>IF(I203="Saved",TEXT(TODAY(),"YYYY-MM-DD")&amp;" Auto","—")</f>
        <v/>
      </c>
      <c r="K203" s="494" t="n"/>
    </row>
    <row r="204" ht="15" customHeight="1" s="341">
      <c r="A204" s="495" t="n"/>
      <c r="B204" s="382">
        <f>IF(A204="","",IFERROR(VLOOKUP(A204,DB_Customers!$A:$D,4,0),"❌ Account Not Found"))</f>
        <v/>
      </c>
      <c r="C204" s="496">
        <f>IF(A204="","",IFERROR(VLOOKUP(A204,DB_Customers!$A:$N,14,0),""))</f>
        <v/>
      </c>
      <c r="D204" s="497">
        <f>IF(A204="","",TODAY())</f>
        <v/>
      </c>
      <c r="E204" s="489" t="n"/>
      <c r="F204" s="498">
        <f>IF(OR(A204="",E204=""),"",IF(C204="","",C204+E204))</f>
        <v/>
      </c>
      <c r="G204" s="384" t="inlineStr">
        <is>
          <t>Agent 04</t>
        </is>
      </c>
      <c r="H204" s="491" t="n"/>
      <c r="I204" s="499">
        <f>IF(A204="","Pending",IF(H204="","⚠️ Enter Code",IF(IFERROR(VLOOKUP(G204,DB_Agents!$B:$I,8,0),"")=H204,IF(AND(A204&lt;&gt;"",E204&lt;&gt;""),"Saved","Pending"),"🔒 BLOCKED — Wrong Code")))</f>
        <v/>
      </c>
      <c r="J204" s="500">
        <f>IF(I204="Saved",TEXT(TODAY(),"YYYY-MM-DD")&amp;" Auto","—")</f>
        <v/>
      </c>
      <c r="K204" s="501" t="n"/>
    </row>
    <row r="205" ht="15" customHeight="1" s="341">
      <c r="A205" s="486" t="n"/>
      <c r="B205" s="378">
        <f>IF(A205="","",IFERROR(VLOOKUP(A205,DB_Customers!$A:$D,4,0),"❌ Account Not Found"))</f>
        <v/>
      </c>
      <c r="C205" s="487">
        <f>IF(A205="","",IFERROR(VLOOKUP(A205,DB_Customers!$A:$N,14,0),""))</f>
        <v/>
      </c>
      <c r="D205" s="488">
        <f>IF(A205="","",TODAY())</f>
        <v/>
      </c>
      <c r="E205" s="489" t="n"/>
      <c r="F205" s="490">
        <f>IF(OR(A205="",E205=""),"",IF(C205="","",C205+E205))</f>
        <v/>
      </c>
      <c r="G205" s="380" t="inlineStr">
        <is>
          <t>Agent 04</t>
        </is>
      </c>
      <c r="H205" s="491" t="n"/>
      <c r="I205" s="492">
        <f>IF(A205="","Pending",IF(H205="","⚠️ Enter Code",IF(IFERROR(VLOOKUP(G205,DB_Agents!$B:$I,8,0),"")=H205,IF(AND(A205&lt;&gt;"",E205&lt;&gt;""),"Saved","Pending"),"🔒 BLOCKED — Wrong Code")))</f>
        <v/>
      </c>
      <c r="J205" s="493">
        <f>IF(I205="Saved",TEXT(TODAY(),"YYYY-MM-DD")&amp;" Auto","—")</f>
        <v/>
      </c>
      <c r="K205" s="494" t="n"/>
    </row>
    <row r="206" ht="15" customHeight="1" s="341">
      <c r="A206" s="495" t="n"/>
      <c r="B206" s="382">
        <f>IF(A206="","",IFERROR(VLOOKUP(A206,DB_Customers!$A:$D,4,0),"❌ Account Not Found"))</f>
        <v/>
      </c>
      <c r="C206" s="496">
        <f>IF(A206="","",IFERROR(VLOOKUP(A206,DB_Customers!$A:$N,14,0),""))</f>
        <v/>
      </c>
      <c r="D206" s="497">
        <f>IF(A206="","",TODAY())</f>
        <v/>
      </c>
      <c r="E206" s="489" t="n"/>
      <c r="F206" s="498">
        <f>IF(OR(A206="",E206=""),"",IF(C206="","",C206+E206))</f>
        <v/>
      </c>
      <c r="G206" s="384" t="inlineStr">
        <is>
          <t>Agent 04</t>
        </is>
      </c>
      <c r="H206" s="491" t="n"/>
      <c r="I206" s="499">
        <f>IF(A206="","Pending",IF(H206="","⚠️ Enter Code",IF(IFERROR(VLOOKUP(G206,DB_Agents!$B:$I,8,0),"")=H206,IF(AND(A206&lt;&gt;"",E206&lt;&gt;""),"Saved","Pending"),"🔒 BLOCKED — Wrong Code")))</f>
        <v/>
      </c>
      <c r="J206" s="500">
        <f>IF(I206="Saved",TEXT(TODAY(),"YYYY-MM-DD")&amp;" Auto","—")</f>
        <v/>
      </c>
      <c r="K206" s="501" t="n"/>
    </row>
    <row r="207" ht="15" customHeight="1" s="341">
      <c r="A207" s="486" t="n"/>
      <c r="B207" s="378">
        <f>IF(A207="","",IFERROR(VLOOKUP(A207,DB_Customers!$A:$D,4,0),"❌ Account Not Found"))</f>
        <v/>
      </c>
      <c r="C207" s="487">
        <f>IF(A207="","",IFERROR(VLOOKUP(A207,DB_Customers!$A:$N,14,0),""))</f>
        <v/>
      </c>
      <c r="D207" s="488">
        <f>IF(A207="","",TODAY())</f>
        <v/>
      </c>
      <c r="E207" s="489" t="n"/>
      <c r="F207" s="490">
        <f>IF(OR(A207="",E207=""),"",IF(C207="","",C207+E207))</f>
        <v/>
      </c>
      <c r="G207" s="380" t="inlineStr">
        <is>
          <t>Agent 04</t>
        </is>
      </c>
      <c r="H207" s="491" t="n"/>
      <c r="I207" s="492">
        <f>IF(A207="","Pending",IF(H207="","⚠️ Enter Code",IF(IFERROR(VLOOKUP(G207,DB_Agents!$B:$I,8,0),"")=H207,IF(AND(A207&lt;&gt;"",E207&lt;&gt;""),"Saved","Pending"),"🔒 BLOCKED — Wrong Code")))</f>
        <v/>
      </c>
      <c r="J207" s="493">
        <f>IF(I207="Saved",TEXT(TODAY(),"YYYY-MM-DD")&amp;" Auto","—")</f>
        <v/>
      </c>
      <c r="K207" s="494" t="n"/>
    </row>
    <row r="208" ht="15" customHeight="1" s="341">
      <c r="A208" s="495" t="n"/>
      <c r="B208" s="382">
        <f>IF(A208="","",IFERROR(VLOOKUP(A208,DB_Customers!$A:$D,4,0),"❌ Account Not Found"))</f>
        <v/>
      </c>
      <c r="C208" s="496">
        <f>IF(A208="","",IFERROR(VLOOKUP(A208,DB_Customers!$A:$N,14,0),""))</f>
        <v/>
      </c>
      <c r="D208" s="497">
        <f>IF(A208="","",TODAY())</f>
        <v/>
      </c>
      <c r="E208" s="489" t="n"/>
      <c r="F208" s="498">
        <f>IF(OR(A208="",E208=""),"",IF(C208="","",C208+E208))</f>
        <v/>
      </c>
      <c r="G208" s="384" t="inlineStr">
        <is>
          <t>Agent 04</t>
        </is>
      </c>
      <c r="H208" s="491" t="n"/>
      <c r="I208" s="499">
        <f>IF(A208="","Pending",IF(H208="","⚠️ Enter Code",IF(IFERROR(VLOOKUP(G208,DB_Agents!$B:$I,8,0),"")=H208,IF(AND(A208&lt;&gt;"",E208&lt;&gt;""),"Saved","Pending"),"🔒 BLOCKED — Wrong Code")))</f>
        <v/>
      </c>
      <c r="J208" s="500">
        <f>IF(I208="Saved",TEXT(TODAY(),"YYYY-MM-DD")&amp;" Auto","—")</f>
        <v/>
      </c>
      <c r="K208" s="501" t="n"/>
    </row>
  </sheetData>
  <mergeCells count="12">
    <mergeCell ref="A2:L2"/>
    <mergeCell ref="A7:L7"/>
    <mergeCell ref="A1:L1"/>
    <mergeCell ref="A5:L5"/>
    <mergeCell ref="D4:F4"/>
    <mergeCell ref="D3:F3"/>
    <mergeCell ref="A3:C3"/>
    <mergeCell ref="G3:I3"/>
    <mergeCell ref="G4:I4"/>
    <mergeCell ref="J4:L4"/>
    <mergeCell ref="A4:C4"/>
    <mergeCell ref="J3:L3"/>
  </mergeCells>
  <conditionalFormatting sqref="H9:H208">
    <cfRule type="cellIs" rank="0" priority="2" equalAverage="0" operator="equal" aboveAverage="0" dxfId="0" text="" percent="0" bottom="0">
      <formula>"Saved"</formula>
    </cfRule>
    <cfRule type="cellIs" rank="0" priority="3" equalAverage="0" operator="equal" aboveAverage="0" dxfId="11" text="" percent="0" bottom="0">
      <formula>"Pending"</formula>
    </cfRule>
  </conditionalFormatting>
  <conditionalFormatting sqref="A9:J208">
    <cfRule type="expression" rank="0" priority="4" equalAverage="0" aboveAverage="0" dxfId="12" text="" percent="0" bottom="0">
      <formula>$H9="Saved"</formula>
    </cfRule>
  </conditionalFormatting>
  <dataValidations count="2">
    <dataValidation sqref="E9:E208" showDropDown="0" showInputMessage="0" showErrorMessage="1" allowBlank="0" error="Must be &gt; 0" type="decimal" errorStyle="stop" operator="greaterThan">
      <formula1>0</formula1>
      <formula2>0</formula2>
    </dataValidation>
    <dataValidation sqref="G9:G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6.xml><?xml version="1.0" encoding="utf-8"?>
<worksheet xmlns="http://schemas.openxmlformats.org/spreadsheetml/2006/main">
  <sheetPr filterMode="0">
    <tabColor rgb="FFC0392B"/>
    <outlinePr summaryBelow="1" summaryRight="1"/>
    <pageSetUpPr fitToPage="0"/>
  </sheetPr>
  <dimension ref="A1:M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5" customWidth="1" style="340" min="7" max="7"/>
    <col width="12" customWidth="1" style="340" min="8" max="8"/>
    <col width="14" customWidth="1" style="340" min="9" max="9"/>
    <col width="22" customWidth="1" style="340" min="10" max="10"/>
    <col width="20" customWidth="1" style="340" min="11" max="11"/>
  </cols>
  <sheetData>
    <row r="1" ht="31.5" customHeight="1" s="341">
      <c r="A1" s="502" t="inlineStr">
        <is>
          <t>🏧  SAMICIOUS MICROFINANCE — AGENT04 WITHDRAWALS</t>
        </is>
      </c>
    </row>
    <row r="2" ht="19.5" customHeight="1" s="341">
      <c r="A2" s="503" t="inlineStr">
        <is>
          <t>Agent: Agent 04  |  Status auto: "Successful" or "Unsuccessful" based on balance check  |  🔑 Security: Enter your 4-digit Agent Code in each row</t>
        </is>
      </c>
    </row>
    <row r="3" ht="18" customHeight="1" s="341">
      <c r="A3" s="365" t="inlineStr">
        <is>
          <t>🏧 Total Withdrawn Today</t>
        </is>
      </c>
      <c r="D3" s="364" t="inlineStr">
        <is>
          <t>✅ Successful</t>
        </is>
      </c>
      <c r="G3" s="368" t="inlineStr">
        <is>
          <t>❌ Unsuccessful</t>
        </is>
      </c>
      <c r="K3" s="439" t="inlineStr">
        <is>
          <t>📅 Date</t>
        </is>
      </c>
    </row>
    <row r="4" ht="27.75" customHeight="1" s="341">
      <c r="A4" s="504">
        <f>SUMIFS(DB_Withdrawals!$G:$G,DB_Withdrawals!$J:$J,"Agent 04",DB_Withdrawals!$F:$F,TODAY())</f>
        <v/>
      </c>
      <c r="D4" s="505">
        <f>COUNTIFS(DB_Withdrawals!$J:$J,"Agent 04",DB_Withdrawals!$K:$K,"Successful",DB_Withdrawals!$F:$F,TODAY())</f>
        <v/>
      </c>
      <c r="G4" s="506">
        <f>COUNTIFS(DB_Withdrawals!$J:$J,"Agent 04",DB_Withdrawals!$K:$K,"Unsuccessful",DB_Withdrawals!$F:$F,TODAY())</f>
        <v/>
      </c>
      <c r="K4" s="482">
        <f>TEXT(TODAY(),"DD MMM YYYY")</f>
        <v/>
      </c>
    </row>
    <row r="5" ht="19.5" customHeight="1" s="341">
      <c r="A5" s="507" t="inlineStr">
        <is>
          <t>⚠️  WITHDRAWALS — System auto-validates balance. Insufficient funds will show "Unsuccessful" status.</t>
        </is>
      </c>
    </row>
    <row r="6" ht="7.5" customHeight="1" s="341"/>
    <row r="7" ht="19.5" customHeight="1" s="341">
      <c r="A7" s="508" t="inlineStr">
        <is>
          <t>📝  ENTRY FORM — Enter Account # → Name, Balance, Date auto-populate. Enter Withdrawal Amount &amp; Authorized By. | Enter Agent Code in 🔑 column to authorize each transaction.</t>
        </is>
      </c>
    </row>
    <row r="8" ht="19.5" customHeight="1" s="341">
      <c r="A8" s="509" t="inlineStr">
        <is>
          <t>Account #</t>
        </is>
      </c>
      <c r="B8" s="509" t="inlineStr">
        <is>
          <t>Customer Name</t>
        </is>
      </c>
      <c r="C8" s="509" t="inlineStr">
        <is>
          <t>Available Balance</t>
        </is>
      </c>
      <c r="D8" s="509" t="inlineStr">
        <is>
          <t>Date</t>
        </is>
      </c>
      <c r="E8" s="509" t="inlineStr">
        <is>
          <t>Withdrawal Amt</t>
        </is>
      </c>
      <c r="F8" s="509" t="inlineStr">
        <is>
          <t>Authorized By</t>
        </is>
      </c>
      <c r="G8" s="509" t="inlineStr">
        <is>
          <t>New Balance</t>
        </is>
      </c>
      <c r="H8" s="509" t="inlineStr">
        <is>
          <t>Agent</t>
        </is>
      </c>
      <c r="I8" s="485" t="inlineStr">
        <is>
          <t>🔑 Agent Code</t>
        </is>
      </c>
      <c r="J8" s="509" t="inlineStr">
        <is>
          <t>Status</t>
        </is>
      </c>
      <c r="K8" s="509" t="inlineStr">
        <is>
          <t>Saved At</t>
        </is>
      </c>
      <c r="L8" s="509" t="inlineStr">
        <is>
          <t>Notes</t>
        </is>
      </c>
    </row>
    <row r="9" ht="15" customHeight="1" s="341">
      <c r="A9" s="486" t="n"/>
      <c r="B9" s="378">
        <f>IF(A9="","",IFERROR(VLOOKUP(A9,DB_Customers!$A:$D,4,0),"❌ Account Not Found"))</f>
        <v/>
      </c>
      <c r="C9" s="487">
        <f>IF(A9="","",IFERROR(VLOOKUP(A9,DB_Customers!$A:$N,14,0),""))</f>
        <v/>
      </c>
      <c r="D9" s="488">
        <f>IF(A9="","",TODAY())</f>
        <v/>
      </c>
      <c r="E9" s="510" t="n"/>
      <c r="F9" s="378" t="n"/>
      <c r="G9" s="511">
        <f>IF(OR(A9="",E9=""),"",IF(C9="","",C9-E9))</f>
        <v/>
      </c>
      <c r="H9" s="380" t="inlineStr">
        <is>
          <t>Agent 04</t>
        </is>
      </c>
      <c r="I9" s="491" t="n"/>
      <c r="J9" s="492">
        <f>IF(AND(A9&lt;&gt;"",E9&lt;&gt;""),IF(I9="","⚠️ Enter Code",IF(IFERROR(VLOOKUP(H9,DB_Agents!$B:$I,8,0),"")=I9,IF(C9&gt;=E9,"Successful","Unsuccessful"),"🔒 BLOCKED — Wrong Code")),"—")</f>
        <v/>
      </c>
      <c r="K9" s="493">
        <f>IF(J9="Successful",TEXT(TODAY(),"YYYY-MM-DD")&amp;" Auto","—")</f>
        <v/>
      </c>
      <c r="L9" s="494" t="n"/>
    </row>
    <row r="10" ht="15" customHeight="1" s="341">
      <c r="A10" s="495" t="n"/>
      <c r="B10" s="382">
        <f>IF(A10="","",IFERROR(VLOOKUP(A10,DB_Customers!$A:$D,4,0),"❌ Account Not Found"))</f>
        <v/>
      </c>
      <c r="C10" s="496">
        <f>IF(A10="","",IFERROR(VLOOKUP(A10,DB_Customers!$A:$N,14,0),""))</f>
        <v/>
      </c>
      <c r="D10" s="497">
        <f>IF(A10="","",TODAY())</f>
        <v/>
      </c>
      <c r="E10" s="510" t="n"/>
      <c r="F10" s="382" t="n"/>
      <c r="G10" s="512">
        <f>IF(OR(A10="",E10=""),"",IF(C10="","",C10-E10))</f>
        <v/>
      </c>
      <c r="H10" s="384" t="inlineStr">
        <is>
          <t>Agent 04</t>
        </is>
      </c>
      <c r="I10" s="491" t="n"/>
      <c r="J10" s="499">
        <f>IF(AND(A10&lt;&gt;"",E10&lt;&gt;""),IF(I10="","⚠️ Enter Code",IF(IFERROR(VLOOKUP(H10,DB_Agents!$B:$I,8,0),"")=I10,IF(C10&gt;=E10,"Successful","Unsuccessful"),"🔒 BLOCKED — Wrong Code")),"—")</f>
        <v/>
      </c>
      <c r="K10" s="500">
        <f>IF(J10="Successful",TEXT(TODAY(),"YYYY-MM-DD")&amp;" Auto","—")</f>
        <v/>
      </c>
      <c r="L10" s="501" t="n"/>
    </row>
    <row r="11" ht="15" customHeight="1" s="341">
      <c r="A11" s="486" t="n"/>
      <c r="B11" s="378">
        <f>IF(A11="","",IFERROR(VLOOKUP(A11,DB_Customers!$A:$D,4,0),"❌ Account Not Found"))</f>
        <v/>
      </c>
      <c r="C11" s="487">
        <f>IF(A11="","",IFERROR(VLOOKUP(A11,DB_Customers!$A:$N,14,0),""))</f>
        <v/>
      </c>
      <c r="D11" s="488">
        <f>IF(A11="","",TODAY())</f>
        <v/>
      </c>
      <c r="E11" s="510" t="n"/>
      <c r="F11" s="378" t="n"/>
      <c r="G11" s="511">
        <f>IF(OR(A11="",E11=""),"",IF(C11="","",C11-E11))</f>
        <v/>
      </c>
      <c r="H11" s="380" t="inlineStr">
        <is>
          <t>Agent 04</t>
        </is>
      </c>
      <c r="I11" s="491" t="n"/>
      <c r="J11" s="492">
        <f>IF(AND(A11&lt;&gt;"",E11&lt;&gt;""),IF(I11="","⚠️ Enter Code",IF(IFERROR(VLOOKUP(H11,DB_Agents!$B:$I,8,0),"")=I11,IF(C11&gt;=E11,"Successful","Unsuccessful"),"🔒 BLOCKED — Wrong Code")),"—")</f>
        <v/>
      </c>
      <c r="K11" s="493">
        <f>IF(J11="Successful",TEXT(TODAY(),"YYYY-MM-DD")&amp;" Auto","—")</f>
        <v/>
      </c>
      <c r="L11" s="494" t="n"/>
    </row>
    <row r="12" ht="15" customHeight="1" s="341">
      <c r="A12" s="495" t="n"/>
      <c r="B12" s="382">
        <f>IF(A12="","",IFERROR(VLOOKUP(A12,DB_Customers!$A:$D,4,0),"❌ Account Not Found"))</f>
        <v/>
      </c>
      <c r="C12" s="496">
        <f>IF(A12="","",IFERROR(VLOOKUP(A12,DB_Customers!$A:$N,14,0),""))</f>
        <v/>
      </c>
      <c r="D12" s="497">
        <f>IF(A12="","",TODAY())</f>
        <v/>
      </c>
      <c r="E12" s="510" t="n"/>
      <c r="F12" s="382" t="n"/>
      <c r="G12" s="512">
        <f>IF(OR(A12="",E12=""),"",IF(C12="","",C12-E12))</f>
        <v/>
      </c>
      <c r="H12" s="384" t="inlineStr">
        <is>
          <t>Agent 04</t>
        </is>
      </c>
      <c r="I12" s="491" t="n"/>
      <c r="J12" s="499">
        <f>IF(AND(A12&lt;&gt;"",E12&lt;&gt;""),IF(I12="","⚠️ Enter Code",IF(IFERROR(VLOOKUP(H12,DB_Agents!$B:$I,8,0),"")=I12,IF(C12&gt;=E12,"Successful","Unsuccessful"),"🔒 BLOCKED — Wrong Code")),"—")</f>
        <v/>
      </c>
      <c r="K12" s="500">
        <f>IF(J12="Successful",TEXT(TODAY(),"YYYY-MM-DD")&amp;" Auto","—")</f>
        <v/>
      </c>
      <c r="L12" s="501" t="n"/>
    </row>
    <row r="13" ht="15" customHeight="1" s="341">
      <c r="A13" s="486" t="n"/>
      <c r="B13" s="378">
        <f>IF(A13="","",IFERROR(VLOOKUP(A13,DB_Customers!$A:$D,4,0),"❌ Account Not Found"))</f>
        <v/>
      </c>
      <c r="C13" s="487">
        <f>IF(A13="","",IFERROR(VLOOKUP(A13,DB_Customers!$A:$N,14,0),""))</f>
        <v/>
      </c>
      <c r="D13" s="488">
        <f>IF(A13="","",TODAY())</f>
        <v/>
      </c>
      <c r="E13" s="510" t="n"/>
      <c r="F13" s="378" t="n"/>
      <c r="G13" s="511">
        <f>IF(OR(A13="",E13=""),"",IF(C13="","",C13-E13))</f>
        <v/>
      </c>
      <c r="H13" s="380" t="inlineStr">
        <is>
          <t>Agent 04</t>
        </is>
      </c>
      <c r="I13" s="491" t="n"/>
      <c r="J13" s="492">
        <f>IF(AND(A13&lt;&gt;"",E13&lt;&gt;""),IF(I13="","⚠️ Enter Code",IF(IFERROR(VLOOKUP(H13,DB_Agents!$B:$I,8,0),"")=I13,IF(C13&gt;=E13,"Successful","Unsuccessful"),"🔒 BLOCKED — Wrong Code")),"—")</f>
        <v/>
      </c>
      <c r="K13" s="493">
        <f>IF(J13="Successful",TEXT(TODAY(),"YYYY-MM-DD")&amp;" Auto","—")</f>
        <v/>
      </c>
      <c r="L13" s="494" t="n"/>
    </row>
    <row r="14" ht="15" customHeight="1" s="341">
      <c r="A14" s="495" t="n"/>
      <c r="B14" s="382">
        <f>IF(A14="","",IFERROR(VLOOKUP(A14,DB_Customers!$A:$D,4,0),"❌ Account Not Found"))</f>
        <v/>
      </c>
      <c r="C14" s="496">
        <f>IF(A14="","",IFERROR(VLOOKUP(A14,DB_Customers!$A:$N,14,0),""))</f>
        <v/>
      </c>
      <c r="D14" s="497">
        <f>IF(A14="","",TODAY())</f>
        <v/>
      </c>
      <c r="E14" s="510" t="n"/>
      <c r="F14" s="382" t="n"/>
      <c r="G14" s="512">
        <f>IF(OR(A14="",E14=""),"",IF(C14="","",C14-E14))</f>
        <v/>
      </c>
      <c r="H14" s="384" t="inlineStr">
        <is>
          <t>Agent 04</t>
        </is>
      </c>
      <c r="I14" s="491" t="n"/>
      <c r="J14" s="499">
        <f>IF(AND(A14&lt;&gt;"",E14&lt;&gt;""),IF(I14="","⚠️ Enter Code",IF(IFERROR(VLOOKUP(H14,DB_Agents!$B:$I,8,0),"")=I14,IF(C14&gt;=E14,"Successful","Unsuccessful"),"🔒 BLOCKED — Wrong Code")),"—")</f>
        <v/>
      </c>
      <c r="K14" s="500">
        <f>IF(J14="Successful",TEXT(TODAY(),"YYYY-MM-DD")&amp;" Auto","—")</f>
        <v/>
      </c>
      <c r="L14" s="501" t="n"/>
    </row>
    <row r="15" ht="15" customHeight="1" s="341">
      <c r="A15" s="486" t="n"/>
      <c r="B15" s="378">
        <f>IF(A15="","",IFERROR(VLOOKUP(A15,DB_Customers!$A:$D,4,0),"❌ Account Not Found"))</f>
        <v/>
      </c>
      <c r="C15" s="487">
        <f>IF(A15="","",IFERROR(VLOOKUP(A15,DB_Customers!$A:$N,14,0),""))</f>
        <v/>
      </c>
      <c r="D15" s="488">
        <f>IF(A15="","",TODAY())</f>
        <v/>
      </c>
      <c r="E15" s="510" t="n"/>
      <c r="F15" s="378" t="n"/>
      <c r="G15" s="511">
        <f>IF(OR(A15="",E15=""),"",IF(C15="","",C15-E15))</f>
        <v/>
      </c>
      <c r="H15" s="380" t="inlineStr">
        <is>
          <t>Agent 04</t>
        </is>
      </c>
      <c r="I15" s="491" t="n"/>
      <c r="J15" s="492">
        <f>IF(AND(A15&lt;&gt;"",E15&lt;&gt;""),IF(I15="","⚠️ Enter Code",IF(IFERROR(VLOOKUP(H15,DB_Agents!$B:$I,8,0),"")=I15,IF(C15&gt;=E15,"Successful","Unsuccessful"),"🔒 BLOCKED — Wrong Code")),"—")</f>
        <v/>
      </c>
      <c r="K15" s="493">
        <f>IF(J15="Successful",TEXT(TODAY(),"YYYY-MM-DD")&amp;" Auto","—")</f>
        <v/>
      </c>
      <c r="L15" s="494" t="n"/>
    </row>
    <row r="16" ht="15" customHeight="1" s="341">
      <c r="A16" s="495" t="n"/>
      <c r="B16" s="382">
        <f>IF(A16="","",IFERROR(VLOOKUP(A16,DB_Customers!$A:$D,4,0),"❌ Account Not Found"))</f>
        <v/>
      </c>
      <c r="C16" s="496">
        <f>IF(A16="","",IFERROR(VLOOKUP(A16,DB_Customers!$A:$N,14,0),""))</f>
        <v/>
      </c>
      <c r="D16" s="497">
        <f>IF(A16="","",TODAY())</f>
        <v/>
      </c>
      <c r="E16" s="510" t="n"/>
      <c r="F16" s="382" t="n"/>
      <c r="G16" s="512">
        <f>IF(OR(A16="",E16=""),"",IF(C16="","",C16-E16))</f>
        <v/>
      </c>
      <c r="H16" s="384" t="inlineStr">
        <is>
          <t>Agent 04</t>
        </is>
      </c>
      <c r="I16" s="491" t="n"/>
      <c r="J16" s="499">
        <f>IF(AND(A16&lt;&gt;"",E16&lt;&gt;""),IF(I16="","⚠️ Enter Code",IF(IFERROR(VLOOKUP(H16,DB_Agents!$B:$I,8,0),"")=I16,IF(C16&gt;=E16,"Successful","Unsuccessful"),"🔒 BLOCKED — Wrong Code")),"—")</f>
        <v/>
      </c>
      <c r="K16" s="500">
        <f>IF(J16="Successful",TEXT(TODAY(),"YYYY-MM-DD")&amp;" Auto","—")</f>
        <v/>
      </c>
      <c r="L16" s="501" t="n"/>
    </row>
    <row r="17" ht="15" customHeight="1" s="341">
      <c r="A17" s="486" t="n"/>
      <c r="B17" s="378">
        <f>IF(A17="","",IFERROR(VLOOKUP(A17,DB_Customers!$A:$D,4,0),"❌ Account Not Found"))</f>
        <v/>
      </c>
      <c r="C17" s="487">
        <f>IF(A17="","",IFERROR(VLOOKUP(A17,DB_Customers!$A:$N,14,0),""))</f>
        <v/>
      </c>
      <c r="D17" s="488">
        <f>IF(A17="","",TODAY())</f>
        <v/>
      </c>
      <c r="E17" s="510" t="n"/>
      <c r="F17" s="378" t="n"/>
      <c r="G17" s="511">
        <f>IF(OR(A17="",E17=""),"",IF(C17="","",C17-E17))</f>
        <v/>
      </c>
      <c r="H17" s="380" t="inlineStr">
        <is>
          <t>Agent 04</t>
        </is>
      </c>
      <c r="I17" s="491" t="n"/>
      <c r="J17" s="492">
        <f>IF(AND(A17&lt;&gt;"",E17&lt;&gt;""),IF(I17="","⚠️ Enter Code",IF(IFERROR(VLOOKUP(H17,DB_Agents!$B:$I,8,0),"")=I17,IF(C17&gt;=E17,"Successful","Unsuccessful"),"🔒 BLOCKED — Wrong Code")),"—")</f>
        <v/>
      </c>
      <c r="K17" s="493">
        <f>IF(J17="Successful",TEXT(TODAY(),"YYYY-MM-DD")&amp;" Auto","—")</f>
        <v/>
      </c>
      <c r="L17" s="494" t="n"/>
    </row>
    <row r="18" ht="15" customHeight="1" s="341">
      <c r="A18" s="495" t="n"/>
      <c r="B18" s="382">
        <f>IF(A18="","",IFERROR(VLOOKUP(A18,DB_Customers!$A:$D,4,0),"❌ Account Not Found"))</f>
        <v/>
      </c>
      <c r="C18" s="496">
        <f>IF(A18="","",IFERROR(VLOOKUP(A18,DB_Customers!$A:$N,14,0),""))</f>
        <v/>
      </c>
      <c r="D18" s="497">
        <f>IF(A18="","",TODAY())</f>
        <v/>
      </c>
      <c r="E18" s="510" t="n"/>
      <c r="F18" s="382" t="n"/>
      <c r="G18" s="512">
        <f>IF(OR(A18="",E18=""),"",IF(C18="","",C18-E18))</f>
        <v/>
      </c>
      <c r="H18" s="384" t="inlineStr">
        <is>
          <t>Agent 04</t>
        </is>
      </c>
      <c r="I18" s="491" t="n"/>
      <c r="J18" s="499">
        <f>IF(AND(A18&lt;&gt;"",E18&lt;&gt;""),IF(I18="","⚠️ Enter Code",IF(IFERROR(VLOOKUP(H18,DB_Agents!$B:$I,8,0),"")=I18,IF(C18&gt;=E18,"Successful","Unsuccessful"),"🔒 BLOCKED — Wrong Code")),"—")</f>
        <v/>
      </c>
      <c r="K18" s="500">
        <f>IF(J18="Successful",TEXT(TODAY(),"YYYY-MM-DD")&amp;" Auto","—")</f>
        <v/>
      </c>
      <c r="L18" s="501" t="n"/>
    </row>
    <row r="19" ht="15" customHeight="1" s="341">
      <c r="A19" s="486" t="n"/>
      <c r="B19" s="378">
        <f>IF(A19="","",IFERROR(VLOOKUP(A19,DB_Customers!$A:$D,4,0),"❌ Account Not Found"))</f>
        <v/>
      </c>
      <c r="C19" s="487">
        <f>IF(A19="","",IFERROR(VLOOKUP(A19,DB_Customers!$A:$N,14,0),""))</f>
        <v/>
      </c>
      <c r="D19" s="488">
        <f>IF(A19="","",TODAY())</f>
        <v/>
      </c>
      <c r="E19" s="510" t="n"/>
      <c r="F19" s="378" t="n"/>
      <c r="G19" s="511">
        <f>IF(OR(A19="",E19=""),"",IF(C19="","",C19-E19))</f>
        <v/>
      </c>
      <c r="H19" s="380" t="inlineStr">
        <is>
          <t>Agent 04</t>
        </is>
      </c>
      <c r="I19" s="491" t="n"/>
      <c r="J19" s="492">
        <f>IF(AND(A19&lt;&gt;"",E19&lt;&gt;""),IF(I19="","⚠️ Enter Code",IF(IFERROR(VLOOKUP(H19,DB_Agents!$B:$I,8,0),"")=I19,IF(C19&gt;=E19,"Successful","Unsuccessful"),"🔒 BLOCKED — Wrong Code")),"—")</f>
        <v/>
      </c>
      <c r="K19" s="493">
        <f>IF(J19="Successful",TEXT(TODAY(),"YYYY-MM-DD")&amp;" Auto","—")</f>
        <v/>
      </c>
      <c r="L19" s="494" t="n"/>
    </row>
    <row r="20" ht="15" customHeight="1" s="341">
      <c r="A20" s="495" t="n"/>
      <c r="B20" s="382">
        <f>IF(A20="","",IFERROR(VLOOKUP(A20,DB_Customers!$A:$D,4,0),"❌ Account Not Found"))</f>
        <v/>
      </c>
      <c r="C20" s="496">
        <f>IF(A20="","",IFERROR(VLOOKUP(A20,DB_Customers!$A:$N,14,0),""))</f>
        <v/>
      </c>
      <c r="D20" s="497">
        <f>IF(A20="","",TODAY())</f>
        <v/>
      </c>
      <c r="E20" s="510" t="n"/>
      <c r="F20" s="382" t="n"/>
      <c r="G20" s="512">
        <f>IF(OR(A20="",E20=""),"",IF(C20="","",C20-E20))</f>
        <v/>
      </c>
      <c r="H20" s="384" t="inlineStr">
        <is>
          <t>Agent 04</t>
        </is>
      </c>
      <c r="I20" s="491" t="n"/>
      <c r="J20" s="499">
        <f>IF(AND(A20&lt;&gt;"",E20&lt;&gt;""),IF(I20="","⚠️ Enter Code",IF(IFERROR(VLOOKUP(H20,DB_Agents!$B:$I,8,0),"")=I20,IF(C20&gt;=E20,"Successful","Unsuccessful"),"🔒 BLOCKED — Wrong Code")),"—")</f>
        <v/>
      </c>
      <c r="K20" s="500">
        <f>IF(J20="Successful",TEXT(TODAY(),"YYYY-MM-DD")&amp;" Auto","—")</f>
        <v/>
      </c>
      <c r="L20" s="501" t="n"/>
    </row>
    <row r="21" ht="15" customHeight="1" s="341">
      <c r="A21" s="486" t="n"/>
      <c r="B21" s="378">
        <f>IF(A21="","",IFERROR(VLOOKUP(A21,DB_Customers!$A:$D,4,0),"❌ Account Not Found"))</f>
        <v/>
      </c>
      <c r="C21" s="487">
        <f>IF(A21="","",IFERROR(VLOOKUP(A21,DB_Customers!$A:$N,14,0),""))</f>
        <v/>
      </c>
      <c r="D21" s="488">
        <f>IF(A21="","",TODAY())</f>
        <v/>
      </c>
      <c r="E21" s="510" t="n"/>
      <c r="F21" s="378" t="n"/>
      <c r="G21" s="511">
        <f>IF(OR(A21="",E21=""),"",IF(C21="","",C21-E21))</f>
        <v/>
      </c>
      <c r="H21" s="380" t="inlineStr">
        <is>
          <t>Agent 04</t>
        </is>
      </c>
      <c r="I21" s="491" t="n"/>
      <c r="J21" s="492">
        <f>IF(AND(A21&lt;&gt;"",E21&lt;&gt;""),IF(I21="","⚠️ Enter Code",IF(IFERROR(VLOOKUP(H21,DB_Agents!$B:$I,8,0),"")=I21,IF(C21&gt;=E21,"Successful","Unsuccessful"),"🔒 BLOCKED — Wrong Code")),"—")</f>
        <v/>
      </c>
      <c r="K21" s="493">
        <f>IF(J21="Successful",TEXT(TODAY(),"YYYY-MM-DD")&amp;" Auto","—")</f>
        <v/>
      </c>
      <c r="L21" s="494" t="n"/>
    </row>
    <row r="22" ht="15" customHeight="1" s="341">
      <c r="A22" s="495" t="n"/>
      <c r="B22" s="382">
        <f>IF(A22="","",IFERROR(VLOOKUP(A22,DB_Customers!$A:$D,4,0),"❌ Account Not Found"))</f>
        <v/>
      </c>
      <c r="C22" s="496">
        <f>IF(A22="","",IFERROR(VLOOKUP(A22,DB_Customers!$A:$N,14,0),""))</f>
        <v/>
      </c>
      <c r="D22" s="497">
        <f>IF(A22="","",TODAY())</f>
        <v/>
      </c>
      <c r="E22" s="510" t="n"/>
      <c r="F22" s="382" t="n"/>
      <c r="G22" s="512">
        <f>IF(OR(A22="",E22=""),"",IF(C22="","",C22-E22))</f>
        <v/>
      </c>
      <c r="H22" s="384" t="inlineStr">
        <is>
          <t>Agent 04</t>
        </is>
      </c>
      <c r="I22" s="491" t="n"/>
      <c r="J22" s="499">
        <f>IF(AND(A22&lt;&gt;"",E22&lt;&gt;""),IF(I22="","⚠️ Enter Code",IF(IFERROR(VLOOKUP(H22,DB_Agents!$B:$I,8,0),"")=I22,IF(C22&gt;=E22,"Successful","Unsuccessful"),"🔒 BLOCKED — Wrong Code")),"—")</f>
        <v/>
      </c>
      <c r="K22" s="500">
        <f>IF(J22="Successful",TEXT(TODAY(),"YYYY-MM-DD")&amp;" Auto","—")</f>
        <v/>
      </c>
      <c r="L22" s="501" t="n"/>
    </row>
    <row r="23" ht="15" customHeight="1" s="341">
      <c r="A23" s="486" t="n"/>
      <c r="B23" s="378">
        <f>IF(A23="","",IFERROR(VLOOKUP(A23,DB_Customers!$A:$D,4,0),"❌ Account Not Found"))</f>
        <v/>
      </c>
      <c r="C23" s="487">
        <f>IF(A23="","",IFERROR(VLOOKUP(A23,DB_Customers!$A:$N,14,0),""))</f>
        <v/>
      </c>
      <c r="D23" s="488">
        <f>IF(A23="","",TODAY())</f>
        <v/>
      </c>
      <c r="E23" s="510" t="n"/>
      <c r="F23" s="378" t="n"/>
      <c r="G23" s="511">
        <f>IF(OR(A23="",E23=""),"",IF(C23="","",C23-E23))</f>
        <v/>
      </c>
      <c r="H23" s="380" t="inlineStr">
        <is>
          <t>Agent 04</t>
        </is>
      </c>
      <c r="I23" s="491" t="n"/>
      <c r="J23" s="492">
        <f>IF(AND(A23&lt;&gt;"",E23&lt;&gt;""),IF(I23="","⚠️ Enter Code",IF(IFERROR(VLOOKUP(H23,DB_Agents!$B:$I,8,0),"")=I23,IF(C23&gt;=E23,"Successful","Unsuccessful"),"🔒 BLOCKED — Wrong Code")),"—")</f>
        <v/>
      </c>
      <c r="K23" s="493">
        <f>IF(J23="Successful",TEXT(TODAY(),"YYYY-MM-DD")&amp;" Auto","—")</f>
        <v/>
      </c>
      <c r="L23" s="494" t="n"/>
    </row>
    <row r="24" ht="15" customHeight="1" s="341">
      <c r="A24" s="495" t="n"/>
      <c r="B24" s="382">
        <f>IF(A24="","",IFERROR(VLOOKUP(A24,DB_Customers!$A:$D,4,0),"❌ Account Not Found"))</f>
        <v/>
      </c>
      <c r="C24" s="496">
        <f>IF(A24="","",IFERROR(VLOOKUP(A24,DB_Customers!$A:$N,14,0),""))</f>
        <v/>
      </c>
      <c r="D24" s="497">
        <f>IF(A24="","",TODAY())</f>
        <v/>
      </c>
      <c r="E24" s="510" t="n"/>
      <c r="F24" s="382" t="n"/>
      <c r="G24" s="512">
        <f>IF(OR(A24="",E24=""),"",IF(C24="","",C24-E24))</f>
        <v/>
      </c>
      <c r="H24" s="384" t="inlineStr">
        <is>
          <t>Agent 04</t>
        </is>
      </c>
      <c r="I24" s="491" t="n"/>
      <c r="J24" s="499">
        <f>IF(AND(A24&lt;&gt;"",E24&lt;&gt;""),IF(I24="","⚠️ Enter Code",IF(IFERROR(VLOOKUP(H24,DB_Agents!$B:$I,8,0),"")=I24,IF(C24&gt;=E24,"Successful","Unsuccessful"),"🔒 BLOCKED — Wrong Code")),"—")</f>
        <v/>
      </c>
      <c r="K24" s="500">
        <f>IF(J24="Successful",TEXT(TODAY(),"YYYY-MM-DD")&amp;" Auto","—")</f>
        <v/>
      </c>
      <c r="L24" s="501" t="n"/>
    </row>
    <row r="25" ht="15" customHeight="1" s="341">
      <c r="A25" s="486" t="n"/>
      <c r="B25" s="378">
        <f>IF(A25="","",IFERROR(VLOOKUP(A25,DB_Customers!$A:$D,4,0),"❌ Account Not Found"))</f>
        <v/>
      </c>
      <c r="C25" s="487">
        <f>IF(A25="","",IFERROR(VLOOKUP(A25,DB_Customers!$A:$N,14,0),""))</f>
        <v/>
      </c>
      <c r="D25" s="488">
        <f>IF(A25="","",TODAY())</f>
        <v/>
      </c>
      <c r="E25" s="510" t="n"/>
      <c r="F25" s="378" t="n"/>
      <c r="G25" s="511">
        <f>IF(OR(A25="",E25=""),"",IF(C25="","",C25-E25))</f>
        <v/>
      </c>
      <c r="H25" s="380" t="inlineStr">
        <is>
          <t>Agent 04</t>
        </is>
      </c>
      <c r="I25" s="491" t="n"/>
      <c r="J25" s="492">
        <f>IF(AND(A25&lt;&gt;"",E25&lt;&gt;""),IF(I25="","⚠️ Enter Code",IF(IFERROR(VLOOKUP(H25,DB_Agents!$B:$I,8,0),"")=I25,IF(C25&gt;=E25,"Successful","Unsuccessful"),"🔒 BLOCKED — Wrong Code")),"—")</f>
        <v/>
      </c>
      <c r="K25" s="493">
        <f>IF(J25="Successful",TEXT(TODAY(),"YYYY-MM-DD")&amp;" Auto","—")</f>
        <v/>
      </c>
      <c r="L25" s="494" t="n"/>
    </row>
    <row r="26" ht="15" customHeight="1" s="341">
      <c r="A26" s="495" t="n"/>
      <c r="B26" s="382">
        <f>IF(A26="","",IFERROR(VLOOKUP(A26,DB_Customers!$A:$D,4,0),"❌ Account Not Found"))</f>
        <v/>
      </c>
      <c r="C26" s="496">
        <f>IF(A26="","",IFERROR(VLOOKUP(A26,DB_Customers!$A:$N,14,0),""))</f>
        <v/>
      </c>
      <c r="D26" s="497">
        <f>IF(A26="","",TODAY())</f>
        <v/>
      </c>
      <c r="E26" s="510" t="n"/>
      <c r="F26" s="382" t="n"/>
      <c r="G26" s="512">
        <f>IF(OR(A26="",E26=""),"",IF(C26="","",C26-E26))</f>
        <v/>
      </c>
      <c r="H26" s="384" t="inlineStr">
        <is>
          <t>Agent 04</t>
        </is>
      </c>
      <c r="I26" s="491" t="n"/>
      <c r="J26" s="499">
        <f>IF(AND(A26&lt;&gt;"",E26&lt;&gt;""),IF(I26="","⚠️ Enter Code",IF(IFERROR(VLOOKUP(H26,DB_Agents!$B:$I,8,0),"")=I26,IF(C26&gt;=E26,"Successful","Unsuccessful"),"🔒 BLOCKED — Wrong Code")),"—")</f>
        <v/>
      </c>
      <c r="K26" s="500">
        <f>IF(J26="Successful",TEXT(TODAY(),"YYYY-MM-DD")&amp;" Auto","—")</f>
        <v/>
      </c>
      <c r="L26" s="501" t="n"/>
    </row>
    <row r="27" ht="15" customHeight="1" s="341">
      <c r="A27" s="486" t="n"/>
      <c r="B27" s="378">
        <f>IF(A27="","",IFERROR(VLOOKUP(A27,DB_Customers!$A:$D,4,0),"❌ Account Not Found"))</f>
        <v/>
      </c>
      <c r="C27" s="487">
        <f>IF(A27="","",IFERROR(VLOOKUP(A27,DB_Customers!$A:$N,14,0),""))</f>
        <v/>
      </c>
      <c r="D27" s="488">
        <f>IF(A27="","",TODAY())</f>
        <v/>
      </c>
      <c r="E27" s="510" t="n"/>
      <c r="F27" s="378" t="n"/>
      <c r="G27" s="511">
        <f>IF(OR(A27="",E27=""),"",IF(C27="","",C27-E27))</f>
        <v/>
      </c>
      <c r="H27" s="380" t="inlineStr">
        <is>
          <t>Agent 04</t>
        </is>
      </c>
      <c r="I27" s="491" t="n"/>
      <c r="J27" s="492">
        <f>IF(AND(A27&lt;&gt;"",E27&lt;&gt;""),IF(I27="","⚠️ Enter Code",IF(IFERROR(VLOOKUP(H27,DB_Agents!$B:$I,8,0),"")=I27,IF(C27&gt;=E27,"Successful","Unsuccessful"),"🔒 BLOCKED — Wrong Code")),"—")</f>
        <v/>
      </c>
      <c r="K27" s="493">
        <f>IF(J27="Successful",TEXT(TODAY(),"YYYY-MM-DD")&amp;" Auto","—")</f>
        <v/>
      </c>
      <c r="L27" s="494" t="n"/>
    </row>
    <row r="28" ht="15" customHeight="1" s="341">
      <c r="A28" s="495" t="n"/>
      <c r="B28" s="382">
        <f>IF(A28="","",IFERROR(VLOOKUP(A28,DB_Customers!$A:$D,4,0),"❌ Account Not Found"))</f>
        <v/>
      </c>
      <c r="C28" s="496">
        <f>IF(A28="","",IFERROR(VLOOKUP(A28,DB_Customers!$A:$N,14,0),""))</f>
        <v/>
      </c>
      <c r="D28" s="497">
        <f>IF(A28="","",TODAY())</f>
        <v/>
      </c>
      <c r="E28" s="510" t="n"/>
      <c r="F28" s="382" t="n"/>
      <c r="G28" s="512">
        <f>IF(OR(A28="",E28=""),"",IF(C28="","",C28-E28))</f>
        <v/>
      </c>
      <c r="H28" s="384" t="inlineStr">
        <is>
          <t>Agent 04</t>
        </is>
      </c>
      <c r="I28" s="491" t="n"/>
      <c r="J28" s="499">
        <f>IF(AND(A28&lt;&gt;"",E28&lt;&gt;""),IF(I28="","⚠️ Enter Code",IF(IFERROR(VLOOKUP(H28,DB_Agents!$B:$I,8,0),"")=I28,IF(C28&gt;=E28,"Successful","Unsuccessful"),"🔒 BLOCKED — Wrong Code")),"—")</f>
        <v/>
      </c>
      <c r="K28" s="500">
        <f>IF(J28="Successful",TEXT(TODAY(),"YYYY-MM-DD")&amp;" Auto","—")</f>
        <v/>
      </c>
      <c r="L28" s="501" t="n"/>
    </row>
    <row r="29" ht="15" customHeight="1" s="341">
      <c r="A29" s="486" t="n"/>
      <c r="B29" s="378">
        <f>IF(A29="","",IFERROR(VLOOKUP(A29,DB_Customers!$A:$D,4,0),"❌ Account Not Found"))</f>
        <v/>
      </c>
      <c r="C29" s="487">
        <f>IF(A29="","",IFERROR(VLOOKUP(A29,DB_Customers!$A:$N,14,0),""))</f>
        <v/>
      </c>
      <c r="D29" s="488">
        <f>IF(A29="","",TODAY())</f>
        <v/>
      </c>
      <c r="E29" s="510" t="n"/>
      <c r="F29" s="378" t="n"/>
      <c r="G29" s="511">
        <f>IF(OR(A29="",E29=""),"",IF(C29="","",C29-E29))</f>
        <v/>
      </c>
      <c r="H29" s="380" t="inlineStr">
        <is>
          <t>Agent 04</t>
        </is>
      </c>
      <c r="I29" s="491" t="n"/>
      <c r="J29" s="492">
        <f>IF(AND(A29&lt;&gt;"",E29&lt;&gt;""),IF(I29="","⚠️ Enter Code",IF(IFERROR(VLOOKUP(H29,DB_Agents!$B:$I,8,0),"")=I29,IF(C29&gt;=E29,"Successful","Unsuccessful"),"🔒 BLOCKED — Wrong Code")),"—")</f>
        <v/>
      </c>
      <c r="K29" s="493">
        <f>IF(J29="Successful",TEXT(TODAY(),"YYYY-MM-DD")&amp;" Auto","—")</f>
        <v/>
      </c>
      <c r="L29" s="494" t="n"/>
    </row>
    <row r="30" ht="15" customHeight="1" s="341">
      <c r="A30" s="495" t="n"/>
      <c r="B30" s="382">
        <f>IF(A30="","",IFERROR(VLOOKUP(A30,DB_Customers!$A:$D,4,0),"❌ Account Not Found"))</f>
        <v/>
      </c>
      <c r="C30" s="496">
        <f>IF(A30="","",IFERROR(VLOOKUP(A30,DB_Customers!$A:$N,14,0),""))</f>
        <v/>
      </c>
      <c r="D30" s="497">
        <f>IF(A30="","",TODAY())</f>
        <v/>
      </c>
      <c r="E30" s="510" t="n"/>
      <c r="F30" s="382" t="n"/>
      <c r="G30" s="512">
        <f>IF(OR(A30="",E30=""),"",IF(C30="","",C30-E30))</f>
        <v/>
      </c>
      <c r="H30" s="384" t="inlineStr">
        <is>
          <t>Agent 04</t>
        </is>
      </c>
      <c r="I30" s="491" t="n"/>
      <c r="J30" s="499">
        <f>IF(AND(A30&lt;&gt;"",E30&lt;&gt;""),IF(I30="","⚠️ Enter Code",IF(IFERROR(VLOOKUP(H30,DB_Agents!$B:$I,8,0),"")=I30,IF(C30&gt;=E30,"Successful","Unsuccessful"),"🔒 BLOCKED — Wrong Code")),"—")</f>
        <v/>
      </c>
      <c r="K30" s="500">
        <f>IF(J30="Successful",TEXT(TODAY(),"YYYY-MM-DD")&amp;" Auto","—")</f>
        <v/>
      </c>
      <c r="L30" s="501" t="n"/>
    </row>
    <row r="31" ht="15" customHeight="1" s="341">
      <c r="A31" s="486" t="n"/>
      <c r="B31" s="378">
        <f>IF(A31="","",IFERROR(VLOOKUP(A31,DB_Customers!$A:$D,4,0),"❌ Account Not Found"))</f>
        <v/>
      </c>
      <c r="C31" s="487">
        <f>IF(A31="","",IFERROR(VLOOKUP(A31,DB_Customers!$A:$N,14,0),""))</f>
        <v/>
      </c>
      <c r="D31" s="488">
        <f>IF(A31="","",TODAY())</f>
        <v/>
      </c>
      <c r="E31" s="510" t="n"/>
      <c r="F31" s="378" t="n"/>
      <c r="G31" s="511">
        <f>IF(OR(A31="",E31=""),"",IF(C31="","",C31-E31))</f>
        <v/>
      </c>
      <c r="H31" s="380" t="inlineStr">
        <is>
          <t>Agent 04</t>
        </is>
      </c>
      <c r="I31" s="491" t="n"/>
      <c r="J31" s="492">
        <f>IF(AND(A31&lt;&gt;"",E31&lt;&gt;""),IF(I31="","⚠️ Enter Code",IF(IFERROR(VLOOKUP(H31,DB_Agents!$B:$I,8,0),"")=I31,IF(C31&gt;=E31,"Successful","Unsuccessful"),"🔒 BLOCKED — Wrong Code")),"—")</f>
        <v/>
      </c>
      <c r="K31" s="493">
        <f>IF(J31="Successful",TEXT(TODAY(),"YYYY-MM-DD")&amp;" Auto","—")</f>
        <v/>
      </c>
      <c r="L31" s="494" t="n"/>
    </row>
    <row r="32" ht="15" customHeight="1" s="341">
      <c r="A32" s="495" t="n"/>
      <c r="B32" s="382">
        <f>IF(A32="","",IFERROR(VLOOKUP(A32,DB_Customers!$A:$D,4,0),"❌ Account Not Found"))</f>
        <v/>
      </c>
      <c r="C32" s="496">
        <f>IF(A32="","",IFERROR(VLOOKUP(A32,DB_Customers!$A:$N,14,0),""))</f>
        <v/>
      </c>
      <c r="D32" s="497">
        <f>IF(A32="","",TODAY())</f>
        <v/>
      </c>
      <c r="E32" s="510" t="n"/>
      <c r="F32" s="382" t="n"/>
      <c r="G32" s="512">
        <f>IF(OR(A32="",E32=""),"",IF(C32="","",C32-E32))</f>
        <v/>
      </c>
      <c r="H32" s="384" t="inlineStr">
        <is>
          <t>Agent 04</t>
        </is>
      </c>
      <c r="I32" s="491" t="n"/>
      <c r="J32" s="499">
        <f>IF(AND(A32&lt;&gt;"",E32&lt;&gt;""),IF(I32="","⚠️ Enter Code",IF(IFERROR(VLOOKUP(H32,DB_Agents!$B:$I,8,0),"")=I32,IF(C32&gt;=E32,"Successful","Unsuccessful"),"🔒 BLOCKED — Wrong Code")),"—")</f>
        <v/>
      </c>
      <c r="K32" s="500">
        <f>IF(J32="Successful",TEXT(TODAY(),"YYYY-MM-DD")&amp;" Auto","—")</f>
        <v/>
      </c>
      <c r="L32" s="501" t="n"/>
    </row>
    <row r="33" ht="15" customHeight="1" s="341">
      <c r="A33" s="486" t="n"/>
      <c r="B33" s="378">
        <f>IF(A33="","",IFERROR(VLOOKUP(A33,DB_Customers!$A:$D,4,0),"❌ Account Not Found"))</f>
        <v/>
      </c>
      <c r="C33" s="487">
        <f>IF(A33="","",IFERROR(VLOOKUP(A33,DB_Customers!$A:$N,14,0),""))</f>
        <v/>
      </c>
      <c r="D33" s="488">
        <f>IF(A33="","",TODAY())</f>
        <v/>
      </c>
      <c r="E33" s="510" t="n"/>
      <c r="F33" s="378" t="n"/>
      <c r="G33" s="511">
        <f>IF(OR(A33="",E33=""),"",IF(C33="","",C33-E33))</f>
        <v/>
      </c>
      <c r="H33" s="380" t="inlineStr">
        <is>
          <t>Agent 04</t>
        </is>
      </c>
      <c r="I33" s="491" t="n"/>
      <c r="J33" s="492">
        <f>IF(AND(A33&lt;&gt;"",E33&lt;&gt;""),IF(I33="","⚠️ Enter Code",IF(IFERROR(VLOOKUP(H33,DB_Agents!$B:$I,8,0),"")=I33,IF(C33&gt;=E33,"Successful","Unsuccessful"),"🔒 BLOCKED — Wrong Code")),"—")</f>
        <v/>
      </c>
      <c r="K33" s="493">
        <f>IF(J33="Successful",TEXT(TODAY(),"YYYY-MM-DD")&amp;" Auto","—")</f>
        <v/>
      </c>
      <c r="L33" s="494" t="n"/>
    </row>
    <row r="34" ht="15" customHeight="1" s="341">
      <c r="A34" s="495" t="n"/>
      <c r="B34" s="382">
        <f>IF(A34="","",IFERROR(VLOOKUP(A34,DB_Customers!$A:$D,4,0),"❌ Account Not Found"))</f>
        <v/>
      </c>
      <c r="C34" s="496">
        <f>IF(A34="","",IFERROR(VLOOKUP(A34,DB_Customers!$A:$N,14,0),""))</f>
        <v/>
      </c>
      <c r="D34" s="497">
        <f>IF(A34="","",TODAY())</f>
        <v/>
      </c>
      <c r="E34" s="510" t="n"/>
      <c r="F34" s="382" t="n"/>
      <c r="G34" s="512">
        <f>IF(OR(A34="",E34=""),"",IF(C34="","",C34-E34))</f>
        <v/>
      </c>
      <c r="H34" s="384" t="inlineStr">
        <is>
          <t>Agent 04</t>
        </is>
      </c>
      <c r="I34" s="491" t="n"/>
      <c r="J34" s="499">
        <f>IF(AND(A34&lt;&gt;"",E34&lt;&gt;""),IF(I34="","⚠️ Enter Code",IF(IFERROR(VLOOKUP(H34,DB_Agents!$B:$I,8,0),"")=I34,IF(C34&gt;=E34,"Successful","Unsuccessful"),"🔒 BLOCKED — Wrong Code")),"—")</f>
        <v/>
      </c>
      <c r="K34" s="500">
        <f>IF(J34="Successful",TEXT(TODAY(),"YYYY-MM-DD")&amp;" Auto","—")</f>
        <v/>
      </c>
      <c r="L34" s="501" t="n"/>
    </row>
    <row r="35" ht="15" customHeight="1" s="341">
      <c r="A35" s="486" t="n"/>
      <c r="B35" s="378">
        <f>IF(A35="","",IFERROR(VLOOKUP(A35,DB_Customers!$A:$D,4,0),"❌ Account Not Found"))</f>
        <v/>
      </c>
      <c r="C35" s="487">
        <f>IF(A35="","",IFERROR(VLOOKUP(A35,DB_Customers!$A:$N,14,0),""))</f>
        <v/>
      </c>
      <c r="D35" s="488">
        <f>IF(A35="","",TODAY())</f>
        <v/>
      </c>
      <c r="E35" s="510" t="n"/>
      <c r="F35" s="378" t="n"/>
      <c r="G35" s="511">
        <f>IF(OR(A35="",E35=""),"",IF(C35="","",C35-E35))</f>
        <v/>
      </c>
      <c r="H35" s="380" t="inlineStr">
        <is>
          <t>Agent 04</t>
        </is>
      </c>
      <c r="I35" s="491" t="n"/>
      <c r="J35" s="492">
        <f>IF(AND(A35&lt;&gt;"",E35&lt;&gt;""),IF(I35="","⚠️ Enter Code",IF(IFERROR(VLOOKUP(H35,DB_Agents!$B:$I,8,0),"")=I35,IF(C35&gt;=E35,"Successful","Unsuccessful"),"🔒 BLOCKED — Wrong Code")),"—")</f>
        <v/>
      </c>
      <c r="K35" s="493">
        <f>IF(J35="Successful",TEXT(TODAY(),"YYYY-MM-DD")&amp;" Auto","—")</f>
        <v/>
      </c>
      <c r="L35" s="494" t="n"/>
    </row>
    <row r="36" ht="15" customHeight="1" s="341">
      <c r="A36" s="495" t="n"/>
      <c r="B36" s="382">
        <f>IF(A36="","",IFERROR(VLOOKUP(A36,DB_Customers!$A:$D,4,0),"❌ Account Not Found"))</f>
        <v/>
      </c>
      <c r="C36" s="496">
        <f>IF(A36="","",IFERROR(VLOOKUP(A36,DB_Customers!$A:$N,14,0),""))</f>
        <v/>
      </c>
      <c r="D36" s="497">
        <f>IF(A36="","",TODAY())</f>
        <v/>
      </c>
      <c r="E36" s="510" t="n"/>
      <c r="F36" s="382" t="n"/>
      <c r="G36" s="512">
        <f>IF(OR(A36="",E36=""),"",IF(C36="","",C36-E36))</f>
        <v/>
      </c>
      <c r="H36" s="384" t="inlineStr">
        <is>
          <t>Agent 04</t>
        </is>
      </c>
      <c r="I36" s="491" t="n"/>
      <c r="J36" s="499">
        <f>IF(AND(A36&lt;&gt;"",E36&lt;&gt;""),IF(I36="","⚠️ Enter Code",IF(IFERROR(VLOOKUP(H36,DB_Agents!$B:$I,8,0),"")=I36,IF(C36&gt;=E36,"Successful","Unsuccessful"),"🔒 BLOCKED — Wrong Code")),"—")</f>
        <v/>
      </c>
      <c r="K36" s="500">
        <f>IF(J36="Successful",TEXT(TODAY(),"YYYY-MM-DD")&amp;" Auto","—")</f>
        <v/>
      </c>
      <c r="L36" s="501" t="n"/>
    </row>
    <row r="37" ht="15" customHeight="1" s="341">
      <c r="A37" s="486" t="n"/>
      <c r="B37" s="378">
        <f>IF(A37="","",IFERROR(VLOOKUP(A37,DB_Customers!$A:$D,4,0),"❌ Account Not Found"))</f>
        <v/>
      </c>
      <c r="C37" s="487">
        <f>IF(A37="","",IFERROR(VLOOKUP(A37,DB_Customers!$A:$N,14,0),""))</f>
        <v/>
      </c>
      <c r="D37" s="488">
        <f>IF(A37="","",TODAY())</f>
        <v/>
      </c>
      <c r="E37" s="510" t="n"/>
      <c r="F37" s="378" t="n"/>
      <c r="G37" s="511">
        <f>IF(OR(A37="",E37=""),"",IF(C37="","",C37-E37))</f>
        <v/>
      </c>
      <c r="H37" s="380" t="inlineStr">
        <is>
          <t>Agent 04</t>
        </is>
      </c>
      <c r="I37" s="491" t="n"/>
      <c r="J37" s="492">
        <f>IF(AND(A37&lt;&gt;"",E37&lt;&gt;""),IF(I37="","⚠️ Enter Code",IF(IFERROR(VLOOKUP(H37,DB_Agents!$B:$I,8,0),"")=I37,IF(C37&gt;=E37,"Successful","Unsuccessful"),"🔒 BLOCKED — Wrong Code")),"—")</f>
        <v/>
      </c>
      <c r="K37" s="493">
        <f>IF(J37="Successful",TEXT(TODAY(),"YYYY-MM-DD")&amp;" Auto","—")</f>
        <v/>
      </c>
      <c r="L37" s="494" t="n"/>
    </row>
    <row r="38" ht="15" customHeight="1" s="341">
      <c r="A38" s="495" t="n"/>
      <c r="B38" s="382">
        <f>IF(A38="","",IFERROR(VLOOKUP(A38,DB_Customers!$A:$D,4,0),"❌ Account Not Found"))</f>
        <v/>
      </c>
      <c r="C38" s="496">
        <f>IF(A38="","",IFERROR(VLOOKUP(A38,DB_Customers!$A:$N,14,0),""))</f>
        <v/>
      </c>
      <c r="D38" s="497">
        <f>IF(A38="","",TODAY())</f>
        <v/>
      </c>
      <c r="E38" s="510" t="n"/>
      <c r="F38" s="382" t="n"/>
      <c r="G38" s="512">
        <f>IF(OR(A38="",E38=""),"",IF(C38="","",C38-E38))</f>
        <v/>
      </c>
      <c r="H38" s="384" t="inlineStr">
        <is>
          <t>Agent 04</t>
        </is>
      </c>
      <c r="I38" s="491" t="n"/>
      <c r="J38" s="499">
        <f>IF(AND(A38&lt;&gt;"",E38&lt;&gt;""),IF(I38="","⚠️ Enter Code",IF(IFERROR(VLOOKUP(H38,DB_Agents!$B:$I,8,0),"")=I38,IF(C38&gt;=E38,"Successful","Unsuccessful"),"🔒 BLOCKED — Wrong Code")),"—")</f>
        <v/>
      </c>
      <c r="K38" s="500">
        <f>IF(J38="Successful",TEXT(TODAY(),"YYYY-MM-DD")&amp;" Auto","—")</f>
        <v/>
      </c>
      <c r="L38" s="501" t="n"/>
    </row>
    <row r="39" ht="15" customHeight="1" s="341">
      <c r="A39" s="486" t="n"/>
      <c r="B39" s="378">
        <f>IF(A39="","",IFERROR(VLOOKUP(A39,DB_Customers!$A:$D,4,0),"❌ Account Not Found"))</f>
        <v/>
      </c>
      <c r="C39" s="487">
        <f>IF(A39="","",IFERROR(VLOOKUP(A39,DB_Customers!$A:$N,14,0),""))</f>
        <v/>
      </c>
      <c r="D39" s="488">
        <f>IF(A39="","",TODAY())</f>
        <v/>
      </c>
      <c r="E39" s="510" t="n"/>
      <c r="F39" s="378" t="n"/>
      <c r="G39" s="511">
        <f>IF(OR(A39="",E39=""),"",IF(C39="","",C39-E39))</f>
        <v/>
      </c>
      <c r="H39" s="380" t="inlineStr">
        <is>
          <t>Agent 04</t>
        </is>
      </c>
      <c r="I39" s="491" t="n"/>
      <c r="J39" s="492">
        <f>IF(AND(A39&lt;&gt;"",E39&lt;&gt;""),IF(I39="","⚠️ Enter Code",IF(IFERROR(VLOOKUP(H39,DB_Agents!$B:$I,8,0),"")=I39,IF(C39&gt;=E39,"Successful","Unsuccessful"),"🔒 BLOCKED — Wrong Code")),"—")</f>
        <v/>
      </c>
      <c r="K39" s="493">
        <f>IF(J39="Successful",TEXT(TODAY(),"YYYY-MM-DD")&amp;" Auto","—")</f>
        <v/>
      </c>
      <c r="L39" s="494" t="n"/>
    </row>
    <row r="40" ht="15" customHeight="1" s="341">
      <c r="A40" s="495" t="n"/>
      <c r="B40" s="382">
        <f>IF(A40="","",IFERROR(VLOOKUP(A40,DB_Customers!$A:$D,4,0),"❌ Account Not Found"))</f>
        <v/>
      </c>
      <c r="C40" s="496">
        <f>IF(A40="","",IFERROR(VLOOKUP(A40,DB_Customers!$A:$N,14,0),""))</f>
        <v/>
      </c>
      <c r="D40" s="497">
        <f>IF(A40="","",TODAY())</f>
        <v/>
      </c>
      <c r="E40" s="510" t="n"/>
      <c r="F40" s="382" t="n"/>
      <c r="G40" s="512">
        <f>IF(OR(A40="",E40=""),"",IF(C40="","",C40-E40))</f>
        <v/>
      </c>
      <c r="H40" s="384" t="inlineStr">
        <is>
          <t>Agent 04</t>
        </is>
      </c>
      <c r="I40" s="491" t="n"/>
      <c r="J40" s="499">
        <f>IF(AND(A40&lt;&gt;"",E40&lt;&gt;""),IF(I40="","⚠️ Enter Code",IF(IFERROR(VLOOKUP(H40,DB_Agents!$B:$I,8,0),"")=I40,IF(C40&gt;=E40,"Successful","Unsuccessful"),"🔒 BLOCKED — Wrong Code")),"—")</f>
        <v/>
      </c>
      <c r="K40" s="500">
        <f>IF(J40="Successful",TEXT(TODAY(),"YYYY-MM-DD")&amp;" Auto","—")</f>
        <v/>
      </c>
      <c r="L40" s="501" t="n"/>
    </row>
    <row r="41" ht="15" customHeight="1" s="341">
      <c r="A41" s="486" t="n"/>
      <c r="B41" s="378">
        <f>IF(A41="","",IFERROR(VLOOKUP(A41,DB_Customers!$A:$D,4,0),"❌ Account Not Found"))</f>
        <v/>
      </c>
      <c r="C41" s="487">
        <f>IF(A41="","",IFERROR(VLOOKUP(A41,DB_Customers!$A:$N,14,0),""))</f>
        <v/>
      </c>
      <c r="D41" s="488">
        <f>IF(A41="","",TODAY())</f>
        <v/>
      </c>
      <c r="E41" s="510" t="n"/>
      <c r="F41" s="378" t="n"/>
      <c r="G41" s="511">
        <f>IF(OR(A41="",E41=""),"",IF(C41="","",C41-E41))</f>
        <v/>
      </c>
      <c r="H41" s="380" t="inlineStr">
        <is>
          <t>Agent 04</t>
        </is>
      </c>
      <c r="I41" s="491" t="n"/>
      <c r="J41" s="492">
        <f>IF(AND(A41&lt;&gt;"",E41&lt;&gt;""),IF(I41="","⚠️ Enter Code",IF(IFERROR(VLOOKUP(H41,DB_Agents!$B:$I,8,0),"")=I41,IF(C41&gt;=E41,"Successful","Unsuccessful"),"🔒 BLOCKED — Wrong Code")),"—")</f>
        <v/>
      </c>
      <c r="K41" s="493">
        <f>IF(J41="Successful",TEXT(TODAY(),"YYYY-MM-DD")&amp;" Auto","—")</f>
        <v/>
      </c>
      <c r="L41" s="494" t="n"/>
    </row>
    <row r="42" ht="15" customHeight="1" s="341">
      <c r="A42" s="495" t="n"/>
      <c r="B42" s="382">
        <f>IF(A42="","",IFERROR(VLOOKUP(A42,DB_Customers!$A:$D,4,0),"❌ Account Not Found"))</f>
        <v/>
      </c>
      <c r="C42" s="496">
        <f>IF(A42="","",IFERROR(VLOOKUP(A42,DB_Customers!$A:$N,14,0),""))</f>
        <v/>
      </c>
      <c r="D42" s="497">
        <f>IF(A42="","",TODAY())</f>
        <v/>
      </c>
      <c r="E42" s="510" t="n"/>
      <c r="F42" s="382" t="n"/>
      <c r="G42" s="512">
        <f>IF(OR(A42="",E42=""),"",IF(C42="","",C42-E42))</f>
        <v/>
      </c>
      <c r="H42" s="384" t="inlineStr">
        <is>
          <t>Agent 04</t>
        </is>
      </c>
      <c r="I42" s="491" t="n"/>
      <c r="J42" s="499">
        <f>IF(AND(A42&lt;&gt;"",E42&lt;&gt;""),IF(I42="","⚠️ Enter Code",IF(IFERROR(VLOOKUP(H42,DB_Agents!$B:$I,8,0),"")=I42,IF(C42&gt;=E42,"Successful","Unsuccessful"),"🔒 BLOCKED — Wrong Code")),"—")</f>
        <v/>
      </c>
      <c r="K42" s="500">
        <f>IF(J42="Successful",TEXT(TODAY(),"YYYY-MM-DD")&amp;" Auto","—")</f>
        <v/>
      </c>
      <c r="L42" s="501" t="n"/>
    </row>
    <row r="43" ht="15" customHeight="1" s="341">
      <c r="A43" s="486" t="n"/>
      <c r="B43" s="378">
        <f>IF(A43="","",IFERROR(VLOOKUP(A43,DB_Customers!$A:$D,4,0),"❌ Account Not Found"))</f>
        <v/>
      </c>
      <c r="C43" s="487">
        <f>IF(A43="","",IFERROR(VLOOKUP(A43,DB_Customers!$A:$N,14,0),""))</f>
        <v/>
      </c>
      <c r="D43" s="488">
        <f>IF(A43="","",TODAY())</f>
        <v/>
      </c>
      <c r="E43" s="510" t="n"/>
      <c r="F43" s="378" t="n"/>
      <c r="G43" s="511">
        <f>IF(OR(A43="",E43=""),"",IF(C43="","",C43-E43))</f>
        <v/>
      </c>
      <c r="H43" s="380" t="inlineStr">
        <is>
          <t>Agent 04</t>
        </is>
      </c>
      <c r="I43" s="491" t="n"/>
      <c r="J43" s="492">
        <f>IF(AND(A43&lt;&gt;"",E43&lt;&gt;""),IF(I43="","⚠️ Enter Code",IF(IFERROR(VLOOKUP(H43,DB_Agents!$B:$I,8,0),"")=I43,IF(C43&gt;=E43,"Successful","Unsuccessful"),"🔒 BLOCKED — Wrong Code")),"—")</f>
        <v/>
      </c>
      <c r="K43" s="493">
        <f>IF(J43="Successful",TEXT(TODAY(),"YYYY-MM-DD")&amp;" Auto","—")</f>
        <v/>
      </c>
      <c r="L43" s="494" t="n"/>
    </row>
    <row r="44" ht="15" customHeight="1" s="341">
      <c r="A44" s="495" t="n"/>
      <c r="B44" s="382">
        <f>IF(A44="","",IFERROR(VLOOKUP(A44,DB_Customers!$A:$D,4,0),"❌ Account Not Found"))</f>
        <v/>
      </c>
      <c r="C44" s="496">
        <f>IF(A44="","",IFERROR(VLOOKUP(A44,DB_Customers!$A:$N,14,0),""))</f>
        <v/>
      </c>
      <c r="D44" s="497">
        <f>IF(A44="","",TODAY())</f>
        <v/>
      </c>
      <c r="E44" s="510" t="n"/>
      <c r="F44" s="382" t="n"/>
      <c r="G44" s="512">
        <f>IF(OR(A44="",E44=""),"",IF(C44="","",C44-E44))</f>
        <v/>
      </c>
      <c r="H44" s="384" t="inlineStr">
        <is>
          <t>Agent 04</t>
        </is>
      </c>
      <c r="I44" s="491" t="n"/>
      <c r="J44" s="499">
        <f>IF(AND(A44&lt;&gt;"",E44&lt;&gt;""),IF(I44="","⚠️ Enter Code",IF(IFERROR(VLOOKUP(H44,DB_Agents!$B:$I,8,0),"")=I44,IF(C44&gt;=E44,"Successful","Unsuccessful"),"🔒 BLOCKED — Wrong Code")),"—")</f>
        <v/>
      </c>
      <c r="K44" s="500">
        <f>IF(J44="Successful",TEXT(TODAY(),"YYYY-MM-DD")&amp;" Auto","—")</f>
        <v/>
      </c>
      <c r="L44" s="501" t="n"/>
    </row>
    <row r="45" ht="15" customHeight="1" s="341">
      <c r="A45" s="486" t="n"/>
      <c r="B45" s="378">
        <f>IF(A45="","",IFERROR(VLOOKUP(A45,DB_Customers!$A:$D,4,0),"❌ Account Not Found"))</f>
        <v/>
      </c>
      <c r="C45" s="487">
        <f>IF(A45="","",IFERROR(VLOOKUP(A45,DB_Customers!$A:$N,14,0),""))</f>
        <v/>
      </c>
      <c r="D45" s="488">
        <f>IF(A45="","",TODAY())</f>
        <v/>
      </c>
      <c r="E45" s="510" t="n"/>
      <c r="F45" s="378" t="n"/>
      <c r="G45" s="511">
        <f>IF(OR(A45="",E45=""),"",IF(C45="","",C45-E45))</f>
        <v/>
      </c>
      <c r="H45" s="380" t="inlineStr">
        <is>
          <t>Agent 04</t>
        </is>
      </c>
      <c r="I45" s="491" t="n"/>
      <c r="J45" s="492">
        <f>IF(AND(A45&lt;&gt;"",E45&lt;&gt;""),IF(I45="","⚠️ Enter Code",IF(IFERROR(VLOOKUP(H45,DB_Agents!$B:$I,8,0),"")=I45,IF(C45&gt;=E45,"Successful","Unsuccessful"),"🔒 BLOCKED — Wrong Code")),"—")</f>
        <v/>
      </c>
      <c r="K45" s="493">
        <f>IF(J45="Successful",TEXT(TODAY(),"YYYY-MM-DD")&amp;" Auto","—")</f>
        <v/>
      </c>
      <c r="L45" s="494" t="n"/>
    </row>
    <row r="46" ht="15" customHeight="1" s="341">
      <c r="A46" s="495" t="n"/>
      <c r="B46" s="382">
        <f>IF(A46="","",IFERROR(VLOOKUP(A46,DB_Customers!$A:$D,4,0),"❌ Account Not Found"))</f>
        <v/>
      </c>
      <c r="C46" s="496">
        <f>IF(A46="","",IFERROR(VLOOKUP(A46,DB_Customers!$A:$N,14,0),""))</f>
        <v/>
      </c>
      <c r="D46" s="497">
        <f>IF(A46="","",TODAY())</f>
        <v/>
      </c>
      <c r="E46" s="510" t="n"/>
      <c r="F46" s="382" t="n"/>
      <c r="G46" s="512">
        <f>IF(OR(A46="",E46=""),"",IF(C46="","",C46-E46))</f>
        <v/>
      </c>
      <c r="H46" s="384" t="inlineStr">
        <is>
          <t>Agent 04</t>
        </is>
      </c>
      <c r="I46" s="491" t="n"/>
      <c r="J46" s="499">
        <f>IF(AND(A46&lt;&gt;"",E46&lt;&gt;""),IF(I46="","⚠️ Enter Code",IF(IFERROR(VLOOKUP(H46,DB_Agents!$B:$I,8,0),"")=I46,IF(C46&gt;=E46,"Successful","Unsuccessful"),"🔒 BLOCKED — Wrong Code")),"—")</f>
        <v/>
      </c>
      <c r="K46" s="500">
        <f>IF(J46="Successful",TEXT(TODAY(),"YYYY-MM-DD")&amp;" Auto","—")</f>
        <v/>
      </c>
      <c r="L46" s="501" t="n"/>
    </row>
    <row r="47" ht="15" customHeight="1" s="341">
      <c r="A47" s="486" t="n"/>
      <c r="B47" s="378">
        <f>IF(A47="","",IFERROR(VLOOKUP(A47,DB_Customers!$A:$D,4,0),"❌ Account Not Found"))</f>
        <v/>
      </c>
      <c r="C47" s="487">
        <f>IF(A47="","",IFERROR(VLOOKUP(A47,DB_Customers!$A:$N,14,0),""))</f>
        <v/>
      </c>
      <c r="D47" s="488">
        <f>IF(A47="","",TODAY())</f>
        <v/>
      </c>
      <c r="E47" s="510" t="n"/>
      <c r="F47" s="378" t="n"/>
      <c r="G47" s="511">
        <f>IF(OR(A47="",E47=""),"",IF(C47="","",C47-E47))</f>
        <v/>
      </c>
      <c r="H47" s="380" t="inlineStr">
        <is>
          <t>Agent 04</t>
        </is>
      </c>
      <c r="I47" s="491" t="n"/>
      <c r="J47" s="492">
        <f>IF(AND(A47&lt;&gt;"",E47&lt;&gt;""),IF(I47="","⚠️ Enter Code",IF(IFERROR(VLOOKUP(H47,DB_Agents!$B:$I,8,0),"")=I47,IF(C47&gt;=E47,"Successful","Unsuccessful"),"🔒 BLOCKED — Wrong Code")),"—")</f>
        <v/>
      </c>
      <c r="K47" s="493">
        <f>IF(J47="Successful",TEXT(TODAY(),"YYYY-MM-DD")&amp;" Auto","—")</f>
        <v/>
      </c>
      <c r="L47" s="494" t="n"/>
    </row>
    <row r="48" ht="15" customHeight="1" s="341">
      <c r="A48" s="495" t="n"/>
      <c r="B48" s="382">
        <f>IF(A48="","",IFERROR(VLOOKUP(A48,DB_Customers!$A:$D,4,0),"❌ Account Not Found"))</f>
        <v/>
      </c>
      <c r="C48" s="496">
        <f>IF(A48="","",IFERROR(VLOOKUP(A48,DB_Customers!$A:$N,14,0),""))</f>
        <v/>
      </c>
      <c r="D48" s="497">
        <f>IF(A48="","",TODAY())</f>
        <v/>
      </c>
      <c r="E48" s="510" t="n"/>
      <c r="F48" s="382" t="n"/>
      <c r="G48" s="512">
        <f>IF(OR(A48="",E48=""),"",IF(C48="","",C48-E48))</f>
        <v/>
      </c>
      <c r="H48" s="384" t="inlineStr">
        <is>
          <t>Agent 04</t>
        </is>
      </c>
      <c r="I48" s="491" t="n"/>
      <c r="J48" s="499">
        <f>IF(AND(A48&lt;&gt;"",E48&lt;&gt;""),IF(I48="","⚠️ Enter Code",IF(IFERROR(VLOOKUP(H48,DB_Agents!$B:$I,8,0),"")=I48,IF(C48&gt;=E48,"Successful","Unsuccessful"),"🔒 BLOCKED — Wrong Code")),"—")</f>
        <v/>
      </c>
      <c r="K48" s="500">
        <f>IF(J48="Successful",TEXT(TODAY(),"YYYY-MM-DD")&amp;" Auto","—")</f>
        <v/>
      </c>
      <c r="L48" s="501" t="n"/>
    </row>
    <row r="49" ht="15" customHeight="1" s="341">
      <c r="A49" s="486" t="n"/>
      <c r="B49" s="378">
        <f>IF(A49="","",IFERROR(VLOOKUP(A49,DB_Customers!$A:$D,4,0),"❌ Account Not Found"))</f>
        <v/>
      </c>
      <c r="C49" s="487">
        <f>IF(A49="","",IFERROR(VLOOKUP(A49,DB_Customers!$A:$N,14,0),""))</f>
        <v/>
      </c>
      <c r="D49" s="488">
        <f>IF(A49="","",TODAY())</f>
        <v/>
      </c>
      <c r="E49" s="510" t="n"/>
      <c r="F49" s="378" t="n"/>
      <c r="G49" s="511">
        <f>IF(OR(A49="",E49=""),"",IF(C49="","",C49-E49))</f>
        <v/>
      </c>
      <c r="H49" s="380" t="inlineStr">
        <is>
          <t>Agent 04</t>
        </is>
      </c>
      <c r="I49" s="491" t="n"/>
      <c r="J49" s="492">
        <f>IF(AND(A49&lt;&gt;"",E49&lt;&gt;""),IF(I49="","⚠️ Enter Code",IF(IFERROR(VLOOKUP(H49,DB_Agents!$B:$I,8,0),"")=I49,IF(C49&gt;=E49,"Successful","Unsuccessful"),"🔒 BLOCKED — Wrong Code")),"—")</f>
        <v/>
      </c>
      <c r="K49" s="493">
        <f>IF(J49="Successful",TEXT(TODAY(),"YYYY-MM-DD")&amp;" Auto","—")</f>
        <v/>
      </c>
      <c r="L49" s="494" t="n"/>
    </row>
    <row r="50" ht="15" customHeight="1" s="341">
      <c r="A50" s="495" t="n"/>
      <c r="B50" s="382">
        <f>IF(A50="","",IFERROR(VLOOKUP(A50,DB_Customers!$A:$D,4,0),"❌ Account Not Found"))</f>
        <v/>
      </c>
      <c r="C50" s="496">
        <f>IF(A50="","",IFERROR(VLOOKUP(A50,DB_Customers!$A:$N,14,0),""))</f>
        <v/>
      </c>
      <c r="D50" s="497">
        <f>IF(A50="","",TODAY())</f>
        <v/>
      </c>
      <c r="E50" s="510" t="n"/>
      <c r="F50" s="382" t="n"/>
      <c r="G50" s="512">
        <f>IF(OR(A50="",E50=""),"",IF(C50="","",C50-E50))</f>
        <v/>
      </c>
      <c r="H50" s="384" t="inlineStr">
        <is>
          <t>Agent 04</t>
        </is>
      </c>
      <c r="I50" s="491" t="n"/>
      <c r="J50" s="499">
        <f>IF(AND(A50&lt;&gt;"",E50&lt;&gt;""),IF(I50="","⚠️ Enter Code",IF(IFERROR(VLOOKUP(H50,DB_Agents!$B:$I,8,0),"")=I50,IF(C50&gt;=E50,"Successful","Unsuccessful"),"🔒 BLOCKED — Wrong Code")),"—")</f>
        <v/>
      </c>
      <c r="K50" s="500">
        <f>IF(J50="Successful",TEXT(TODAY(),"YYYY-MM-DD")&amp;" Auto","—")</f>
        <v/>
      </c>
      <c r="L50" s="501" t="n"/>
    </row>
    <row r="51" ht="15" customHeight="1" s="341">
      <c r="A51" s="486" t="n"/>
      <c r="B51" s="378">
        <f>IF(A51="","",IFERROR(VLOOKUP(A51,DB_Customers!$A:$D,4,0),"❌ Account Not Found"))</f>
        <v/>
      </c>
      <c r="C51" s="487">
        <f>IF(A51="","",IFERROR(VLOOKUP(A51,DB_Customers!$A:$N,14,0),""))</f>
        <v/>
      </c>
      <c r="D51" s="488">
        <f>IF(A51="","",TODAY())</f>
        <v/>
      </c>
      <c r="E51" s="510" t="n"/>
      <c r="F51" s="378" t="n"/>
      <c r="G51" s="511">
        <f>IF(OR(A51="",E51=""),"",IF(C51="","",C51-E51))</f>
        <v/>
      </c>
      <c r="H51" s="380" t="inlineStr">
        <is>
          <t>Agent 04</t>
        </is>
      </c>
      <c r="I51" s="491" t="n"/>
      <c r="J51" s="492">
        <f>IF(AND(A51&lt;&gt;"",E51&lt;&gt;""),IF(I51="","⚠️ Enter Code",IF(IFERROR(VLOOKUP(H51,DB_Agents!$B:$I,8,0),"")=I51,IF(C51&gt;=E51,"Successful","Unsuccessful"),"🔒 BLOCKED — Wrong Code")),"—")</f>
        <v/>
      </c>
      <c r="K51" s="493">
        <f>IF(J51="Successful",TEXT(TODAY(),"YYYY-MM-DD")&amp;" Auto","—")</f>
        <v/>
      </c>
      <c r="L51" s="494" t="n"/>
    </row>
    <row r="52" ht="15" customHeight="1" s="341">
      <c r="A52" s="495" t="n"/>
      <c r="B52" s="382">
        <f>IF(A52="","",IFERROR(VLOOKUP(A52,DB_Customers!$A:$D,4,0),"❌ Account Not Found"))</f>
        <v/>
      </c>
      <c r="C52" s="496">
        <f>IF(A52="","",IFERROR(VLOOKUP(A52,DB_Customers!$A:$N,14,0),""))</f>
        <v/>
      </c>
      <c r="D52" s="497">
        <f>IF(A52="","",TODAY())</f>
        <v/>
      </c>
      <c r="E52" s="510" t="n"/>
      <c r="F52" s="382" t="n"/>
      <c r="G52" s="512">
        <f>IF(OR(A52="",E52=""),"",IF(C52="","",C52-E52))</f>
        <v/>
      </c>
      <c r="H52" s="384" t="inlineStr">
        <is>
          <t>Agent 04</t>
        </is>
      </c>
      <c r="I52" s="491" t="n"/>
      <c r="J52" s="499">
        <f>IF(AND(A52&lt;&gt;"",E52&lt;&gt;""),IF(I52="","⚠️ Enter Code",IF(IFERROR(VLOOKUP(H52,DB_Agents!$B:$I,8,0),"")=I52,IF(C52&gt;=E52,"Successful","Unsuccessful"),"🔒 BLOCKED — Wrong Code")),"—")</f>
        <v/>
      </c>
      <c r="K52" s="500">
        <f>IF(J52="Successful",TEXT(TODAY(),"YYYY-MM-DD")&amp;" Auto","—")</f>
        <v/>
      </c>
      <c r="L52" s="501" t="n"/>
    </row>
    <row r="53" ht="15" customHeight="1" s="341">
      <c r="A53" s="486" t="n"/>
      <c r="B53" s="378">
        <f>IF(A53="","",IFERROR(VLOOKUP(A53,DB_Customers!$A:$D,4,0),"❌ Account Not Found"))</f>
        <v/>
      </c>
      <c r="C53" s="487">
        <f>IF(A53="","",IFERROR(VLOOKUP(A53,DB_Customers!$A:$N,14,0),""))</f>
        <v/>
      </c>
      <c r="D53" s="488">
        <f>IF(A53="","",TODAY())</f>
        <v/>
      </c>
      <c r="E53" s="510" t="n"/>
      <c r="F53" s="378" t="n"/>
      <c r="G53" s="511">
        <f>IF(OR(A53="",E53=""),"",IF(C53="","",C53-E53))</f>
        <v/>
      </c>
      <c r="H53" s="380" t="inlineStr">
        <is>
          <t>Agent 04</t>
        </is>
      </c>
      <c r="I53" s="491" t="n"/>
      <c r="J53" s="492">
        <f>IF(AND(A53&lt;&gt;"",E53&lt;&gt;""),IF(I53="","⚠️ Enter Code",IF(IFERROR(VLOOKUP(H53,DB_Agents!$B:$I,8,0),"")=I53,IF(C53&gt;=E53,"Successful","Unsuccessful"),"🔒 BLOCKED — Wrong Code")),"—")</f>
        <v/>
      </c>
      <c r="K53" s="493">
        <f>IF(J53="Successful",TEXT(TODAY(),"YYYY-MM-DD")&amp;" Auto","—")</f>
        <v/>
      </c>
      <c r="L53" s="494" t="n"/>
    </row>
    <row r="54" ht="15" customHeight="1" s="341">
      <c r="A54" s="495" t="n"/>
      <c r="B54" s="382">
        <f>IF(A54="","",IFERROR(VLOOKUP(A54,DB_Customers!$A:$D,4,0),"❌ Account Not Found"))</f>
        <v/>
      </c>
      <c r="C54" s="496">
        <f>IF(A54="","",IFERROR(VLOOKUP(A54,DB_Customers!$A:$N,14,0),""))</f>
        <v/>
      </c>
      <c r="D54" s="497">
        <f>IF(A54="","",TODAY())</f>
        <v/>
      </c>
      <c r="E54" s="510" t="n"/>
      <c r="F54" s="382" t="n"/>
      <c r="G54" s="512">
        <f>IF(OR(A54="",E54=""),"",IF(C54="","",C54-E54))</f>
        <v/>
      </c>
      <c r="H54" s="384" t="inlineStr">
        <is>
          <t>Agent 04</t>
        </is>
      </c>
      <c r="I54" s="491" t="n"/>
      <c r="J54" s="499">
        <f>IF(AND(A54&lt;&gt;"",E54&lt;&gt;""),IF(I54="","⚠️ Enter Code",IF(IFERROR(VLOOKUP(H54,DB_Agents!$B:$I,8,0),"")=I54,IF(C54&gt;=E54,"Successful","Unsuccessful"),"🔒 BLOCKED — Wrong Code")),"—")</f>
        <v/>
      </c>
      <c r="K54" s="500">
        <f>IF(J54="Successful",TEXT(TODAY(),"YYYY-MM-DD")&amp;" Auto","—")</f>
        <v/>
      </c>
      <c r="L54" s="501" t="n"/>
    </row>
    <row r="55" ht="15" customHeight="1" s="341">
      <c r="A55" s="486" t="n"/>
      <c r="B55" s="378">
        <f>IF(A55="","",IFERROR(VLOOKUP(A55,DB_Customers!$A:$D,4,0),"❌ Account Not Found"))</f>
        <v/>
      </c>
      <c r="C55" s="487">
        <f>IF(A55="","",IFERROR(VLOOKUP(A55,DB_Customers!$A:$N,14,0),""))</f>
        <v/>
      </c>
      <c r="D55" s="488">
        <f>IF(A55="","",TODAY())</f>
        <v/>
      </c>
      <c r="E55" s="510" t="n"/>
      <c r="F55" s="378" t="n"/>
      <c r="G55" s="511">
        <f>IF(OR(A55="",E55=""),"",IF(C55="","",C55-E55))</f>
        <v/>
      </c>
      <c r="H55" s="380" t="inlineStr">
        <is>
          <t>Agent 04</t>
        </is>
      </c>
      <c r="I55" s="491" t="n"/>
      <c r="J55" s="492">
        <f>IF(AND(A55&lt;&gt;"",E55&lt;&gt;""),IF(I55="","⚠️ Enter Code",IF(IFERROR(VLOOKUP(H55,DB_Agents!$B:$I,8,0),"")=I55,IF(C55&gt;=E55,"Successful","Unsuccessful"),"🔒 BLOCKED — Wrong Code")),"—")</f>
        <v/>
      </c>
      <c r="K55" s="493">
        <f>IF(J55="Successful",TEXT(TODAY(),"YYYY-MM-DD")&amp;" Auto","—")</f>
        <v/>
      </c>
      <c r="L55" s="494" t="n"/>
    </row>
    <row r="56" ht="15" customHeight="1" s="341">
      <c r="A56" s="495" t="n"/>
      <c r="B56" s="382">
        <f>IF(A56="","",IFERROR(VLOOKUP(A56,DB_Customers!$A:$D,4,0),"❌ Account Not Found"))</f>
        <v/>
      </c>
      <c r="C56" s="496">
        <f>IF(A56="","",IFERROR(VLOOKUP(A56,DB_Customers!$A:$N,14,0),""))</f>
        <v/>
      </c>
      <c r="D56" s="497">
        <f>IF(A56="","",TODAY())</f>
        <v/>
      </c>
      <c r="E56" s="510" t="n"/>
      <c r="F56" s="382" t="n"/>
      <c r="G56" s="512">
        <f>IF(OR(A56="",E56=""),"",IF(C56="","",C56-E56))</f>
        <v/>
      </c>
      <c r="H56" s="384" t="inlineStr">
        <is>
          <t>Agent 04</t>
        </is>
      </c>
      <c r="I56" s="491" t="n"/>
      <c r="J56" s="499">
        <f>IF(AND(A56&lt;&gt;"",E56&lt;&gt;""),IF(I56="","⚠️ Enter Code",IF(IFERROR(VLOOKUP(H56,DB_Agents!$B:$I,8,0),"")=I56,IF(C56&gt;=E56,"Successful","Unsuccessful"),"🔒 BLOCKED — Wrong Code")),"—")</f>
        <v/>
      </c>
      <c r="K56" s="500">
        <f>IF(J56="Successful",TEXT(TODAY(),"YYYY-MM-DD")&amp;" Auto","—")</f>
        <v/>
      </c>
      <c r="L56" s="501" t="n"/>
    </row>
    <row r="57" ht="15" customHeight="1" s="341">
      <c r="A57" s="486" t="n"/>
      <c r="B57" s="378">
        <f>IF(A57="","",IFERROR(VLOOKUP(A57,DB_Customers!$A:$D,4,0),"❌ Account Not Found"))</f>
        <v/>
      </c>
      <c r="C57" s="487">
        <f>IF(A57="","",IFERROR(VLOOKUP(A57,DB_Customers!$A:$N,14,0),""))</f>
        <v/>
      </c>
      <c r="D57" s="488">
        <f>IF(A57="","",TODAY())</f>
        <v/>
      </c>
      <c r="E57" s="510" t="n"/>
      <c r="F57" s="378" t="n"/>
      <c r="G57" s="511">
        <f>IF(OR(A57="",E57=""),"",IF(C57="","",C57-E57))</f>
        <v/>
      </c>
      <c r="H57" s="380" t="inlineStr">
        <is>
          <t>Agent 04</t>
        </is>
      </c>
      <c r="I57" s="491" t="n"/>
      <c r="J57" s="492">
        <f>IF(AND(A57&lt;&gt;"",E57&lt;&gt;""),IF(I57="","⚠️ Enter Code",IF(IFERROR(VLOOKUP(H57,DB_Agents!$B:$I,8,0),"")=I57,IF(C57&gt;=E57,"Successful","Unsuccessful"),"🔒 BLOCKED — Wrong Code")),"—")</f>
        <v/>
      </c>
      <c r="K57" s="493">
        <f>IF(J57="Successful",TEXT(TODAY(),"YYYY-MM-DD")&amp;" Auto","—")</f>
        <v/>
      </c>
      <c r="L57" s="494" t="n"/>
    </row>
    <row r="58" ht="15" customHeight="1" s="341">
      <c r="A58" s="495" t="n"/>
      <c r="B58" s="382">
        <f>IF(A58="","",IFERROR(VLOOKUP(A58,DB_Customers!$A:$D,4,0),"❌ Account Not Found"))</f>
        <v/>
      </c>
      <c r="C58" s="496">
        <f>IF(A58="","",IFERROR(VLOOKUP(A58,DB_Customers!$A:$N,14,0),""))</f>
        <v/>
      </c>
      <c r="D58" s="497">
        <f>IF(A58="","",TODAY())</f>
        <v/>
      </c>
      <c r="E58" s="510" t="n"/>
      <c r="F58" s="382" t="n"/>
      <c r="G58" s="512">
        <f>IF(OR(A58="",E58=""),"",IF(C58="","",C58-E58))</f>
        <v/>
      </c>
      <c r="H58" s="384" t="inlineStr">
        <is>
          <t>Agent 04</t>
        </is>
      </c>
      <c r="I58" s="491" t="n"/>
      <c r="J58" s="499">
        <f>IF(AND(A58&lt;&gt;"",E58&lt;&gt;""),IF(I58="","⚠️ Enter Code",IF(IFERROR(VLOOKUP(H58,DB_Agents!$B:$I,8,0),"")=I58,IF(C58&gt;=E58,"Successful","Unsuccessful"),"🔒 BLOCKED — Wrong Code")),"—")</f>
        <v/>
      </c>
      <c r="K58" s="500">
        <f>IF(J58="Successful",TEXT(TODAY(),"YYYY-MM-DD")&amp;" Auto","—")</f>
        <v/>
      </c>
      <c r="L58" s="501" t="n"/>
    </row>
    <row r="59" ht="15" customHeight="1" s="341">
      <c r="A59" s="486" t="n"/>
      <c r="B59" s="378">
        <f>IF(A59="","",IFERROR(VLOOKUP(A59,DB_Customers!$A:$D,4,0),"❌ Account Not Found"))</f>
        <v/>
      </c>
      <c r="C59" s="487">
        <f>IF(A59="","",IFERROR(VLOOKUP(A59,DB_Customers!$A:$N,14,0),""))</f>
        <v/>
      </c>
      <c r="D59" s="488">
        <f>IF(A59="","",TODAY())</f>
        <v/>
      </c>
      <c r="E59" s="510" t="n"/>
      <c r="F59" s="378" t="n"/>
      <c r="G59" s="511">
        <f>IF(OR(A59="",E59=""),"",IF(C59="","",C59-E59))</f>
        <v/>
      </c>
      <c r="H59" s="380" t="inlineStr">
        <is>
          <t>Agent 04</t>
        </is>
      </c>
      <c r="I59" s="491" t="n"/>
      <c r="J59" s="492">
        <f>IF(AND(A59&lt;&gt;"",E59&lt;&gt;""),IF(I59="","⚠️ Enter Code",IF(IFERROR(VLOOKUP(H59,DB_Agents!$B:$I,8,0),"")=I59,IF(C59&gt;=E59,"Successful","Unsuccessful"),"🔒 BLOCKED — Wrong Code")),"—")</f>
        <v/>
      </c>
      <c r="K59" s="493">
        <f>IF(J59="Successful",TEXT(TODAY(),"YYYY-MM-DD")&amp;" Auto","—")</f>
        <v/>
      </c>
      <c r="L59" s="494" t="n"/>
    </row>
    <row r="60" ht="15" customHeight="1" s="341">
      <c r="A60" s="495" t="n"/>
      <c r="B60" s="382">
        <f>IF(A60="","",IFERROR(VLOOKUP(A60,DB_Customers!$A:$D,4,0),"❌ Account Not Found"))</f>
        <v/>
      </c>
      <c r="C60" s="496">
        <f>IF(A60="","",IFERROR(VLOOKUP(A60,DB_Customers!$A:$N,14,0),""))</f>
        <v/>
      </c>
      <c r="D60" s="497">
        <f>IF(A60="","",TODAY())</f>
        <v/>
      </c>
      <c r="E60" s="510" t="n"/>
      <c r="F60" s="382" t="n"/>
      <c r="G60" s="512">
        <f>IF(OR(A60="",E60=""),"",IF(C60="","",C60-E60))</f>
        <v/>
      </c>
      <c r="H60" s="384" t="inlineStr">
        <is>
          <t>Agent 04</t>
        </is>
      </c>
      <c r="I60" s="491" t="n"/>
      <c r="J60" s="499">
        <f>IF(AND(A60&lt;&gt;"",E60&lt;&gt;""),IF(I60="","⚠️ Enter Code",IF(IFERROR(VLOOKUP(H60,DB_Agents!$B:$I,8,0),"")=I60,IF(C60&gt;=E60,"Successful","Unsuccessful"),"🔒 BLOCKED — Wrong Code")),"—")</f>
        <v/>
      </c>
      <c r="K60" s="500">
        <f>IF(J60="Successful",TEXT(TODAY(),"YYYY-MM-DD")&amp;" Auto","—")</f>
        <v/>
      </c>
      <c r="L60" s="501" t="n"/>
    </row>
    <row r="61" ht="15" customHeight="1" s="341">
      <c r="A61" s="486" t="n"/>
      <c r="B61" s="378">
        <f>IF(A61="","",IFERROR(VLOOKUP(A61,DB_Customers!$A:$D,4,0),"❌ Account Not Found"))</f>
        <v/>
      </c>
      <c r="C61" s="487">
        <f>IF(A61="","",IFERROR(VLOOKUP(A61,DB_Customers!$A:$N,14,0),""))</f>
        <v/>
      </c>
      <c r="D61" s="488">
        <f>IF(A61="","",TODAY())</f>
        <v/>
      </c>
      <c r="E61" s="510" t="n"/>
      <c r="F61" s="378" t="n"/>
      <c r="G61" s="511">
        <f>IF(OR(A61="",E61=""),"",IF(C61="","",C61-E61))</f>
        <v/>
      </c>
      <c r="H61" s="380" t="inlineStr">
        <is>
          <t>Agent 04</t>
        </is>
      </c>
      <c r="I61" s="491" t="n"/>
      <c r="J61" s="492">
        <f>IF(AND(A61&lt;&gt;"",E61&lt;&gt;""),IF(I61="","⚠️ Enter Code",IF(IFERROR(VLOOKUP(H61,DB_Agents!$B:$I,8,0),"")=I61,IF(C61&gt;=E61,"Successful","Unsuccessful"),"🔒 BLOCKED — Wrong Code")),"—")</f>
        <v/>
      </c>
      <c r="K61" s="493">
        <f>IF(J61="Successful",TEXT(TODAY(),"YYYY-MM-DD")&amp;" Auto","—")</f>
        <v/>
      </c>
      <c r="L61" s="494" t="n"/>
    </row>
    <row r="62" ht="15" customHeight="1" s="341">
      <c r="A62" s="495" t="n"/>
      <c r="B62" s="382">
        <f>IF(A62="","",IFERROR(VLOOKUP(A62,DB_Customers!$A:$D,4,0),"❌ Account Not Found"))</f>
        <v/>
      </c>
      <c r="C62" s="496">
        <f>IF(A62="","",IFERROR(VLOOKUP(A62,DB_Customers!$A:$N,14,0),""))</f>
        <v/>
      </c>
      <c r="D62" s="497">
        <f>IF(A62="","",TODAY())</f>
        <v/>
      </c>
      <c r="E62" s="510" t="n"/>
      <c r="F62" s="382" t="n"/>
      <c r="G62" s="512">
        <f>IF(OR(A62="",E62=""),"",IF(C62="","",C62-E62))</f>
        <v/>
      </c>
      <c r="H62" s="384" t="inlineStr">
        <is>
          <t>Agent 04</t>
        </is>
      </c>
      <c r="I62" s="491" t="n"/>
      <c r="J62" s="499">
        <f>IF(AND(A62&lt;&gt;"",E62&lt;&gt;""),IF(I62="","⚠️ Enter Code",IF(IFERROR(VLOOKUP(H62,DB_Agents!$B:$I,8,0),"")=I62,IF(C62&gt;=E62,"Successful","Unsuccessful"),"🔒 BLOCKED — Wrong Code")),"—")</f>
        <v/>
      </c>
      <c r="K62" s="500">
        <f>IF(J62="Successful",TEXT(TODAY(),"YYYY-MM-DD")&amp;" Auto","—")</f>
        <v/>
      </c>
      <c r="L62" s="501" t="n"/>
    </row>
    <row r="63" ht="15" customHeight="1" s="341">
      <c r="A63" s="486" t="n"/>
      <c r="B63" s="378">
        <f>IF(A63="","",IFERROR(VLOOKUP(A63,DB_Customers!$A:$D,4,0),"❌ Account Not Found"))</f>
        <v/>
      </c>
      <c r="C63" s="487">
        <f>IF(A63="","",IFERROR(VLOOKUP(A63,DB_Customers!$A:$N,14,0),""))</f>
        <v/>
      </c>
      <c r="D63" s="488">
        <f>IF(A63="","",TODAY())</f>
        <v/>
      </c>
      <c r="E63" s="510" t="n"/>
      <c r="F63" s="378" t="n"/>
      <c r="G63" s="511">
        <f>IF(OR(A63="",E63=""),"",IF(C63="","",C63-E63))</f>
        <v/>
      </c>
      <c r="H63" s="380" t="inlineStr">
        <is>
          <t>Agent 04</t>
        </is>
      </c>
      <c r="I63" s="491" t="n"/>
      <c r="J63" s="492">
        <f>IF(AND(A63&lt;&gt;"",E63&lt;&gt;""),IF(I63="","⚠️ Enter Code",IF(IFERROR(VLOOKUP(H63,DB_Agents!$B:$I,8,0),"")=I63,IF(C63&gt;=E63,"Successful","Unsuccessful"),"🔒 BLOCKED — Wrong Code")),"—")</f>
        <v/>
      </c>
      <c r="K63" s="493">
        <f>IF(J63="Successful",TEXT(TODAY(),"YYYY-MM-DD")&amp;" Auto","—")</f>
        <v/>
      </c>
      <c r="L63" s="494" t="n"/>
    </row>
    <row r="64" ht="15" customHeight="1" s="341">
      <c r="A64" s="495" t="n"/>
      <c r="B64" s="382">
        <f>IF(A64="","",IFERROR(VLOOKUP(A64,DB_Customers!$A:$D,4,0),"❌ Account Not Found"))</f>
        <v/>
      </c>
      <c r="C64" s="496">
        <f>IF(A64="","",IFERROR(VLOOKUP(A64,DB_Customers!$A:$N,14,0),""))</f>
        <v/>
      </c>
      <c r="D64" s="497">
        <f>IF(A64="","",TODAY())</f>
        <v/>
      </c>
      <c r="E64" s="510" t="n"/>
      <c r="F64" s="382" t="n"/>
      <c r="G64" s="512">
        <f>IF(OR(A64="",E64=""),"",IF(C64="","",C64-E64))</f>
        <v/>
      </c>
      <c r="H64" s="384" t="inlineStr">
        <is>
          <t>Agent 04</t>
        </is>
      </c>
      <c r="I64" s="491" t="n"/>
      <c r="J64" s="499">
        <f>IF(AND(A64&lt;&gt;"",E64&lt;&gt;""),IF(I64="","⚠️ Enter Code",IF(IFERROR(VLOOKUP(H64,DB_Agents!$B:$I,8,0),"")=I64,IF(C64&gt;=E64,"Successful","Unsuccessful"),"🔒 BLOCKED — Wrong Code")),"—")</f>
        <v/>
      </c>
      <c r="K64" s="500">
        <f>IF(J64="Successful",TEXT(TODAY(),"YYYY-MM-DD")&amp;" Auto","—")</f>
        <v/>
      </c>
      <c r="L64" s="501" t="n"/>
    </row>
    <row r="65" ht="15" customHeight="1" s="341">
      <c r="A65" s="486" t="n"/>
      <c r="B65" s="378">
        <f>IF(A65="","",IFERROR(VLOOKUP(A65,DB_Customers!$A:$D,4,0),"❌ Account Not Found"))</f>
        <v/>
      </c>
      <c r="C65" s="487">
        <f>IF(A65="","",IFERROR(VLOOKUP(A65,DB_Customers!$A:$N,14,0),""))</f>
        <v/>
      </c>
      <c r="D65" s="488">
        <f>IF(A65="","",TODAY())</f>
        <v/>
      </c>
      <c r="E65" s="510" t="n"/>
      <c r="F65" s="378" t="n"/>
      <c r="G65" s="511">
        <f>IF(OR(A65="",E65=""),"",IF(C65="","",C65-E65))</f>
        <v/>
      </c>
      <c r="H65" s="380" t="inlineStr">
        <is>
          <t>Agent 04</t>
        </is>
      </c>
      <c r="I65" s="491" t="n"/>
      <c r="J65" s="492">
        <f>IF(AND(A65&lt;&gt;"",E65&lt;&gt;""),IF(I65="","⚠️ Enter Code",IF(IFERROR(VLOOKUP(H65,DB_Agents!$B:$I,8,0),"")=I65,IF(C65&gt;=E65,"Successful","Unsuccessful"),"🔒 BLOCKED — Wrong Code")),"—")</f>
        <v/>
      </c>
      <c r="K65" s="493">
        <f>IF(J65="Successful",TEXT(TODAY(),"YYYY-MM-DD")&amp;" Auto","—")</f>
        <v/>
      </c>
      <c r="L65" s="494" t="n"/>
    </row>
    <row r="66" ht="15" customHeight="1" s="341">
      <c r="A66" s="495" t="n"/>
      <c r="B66" s="382">
        <f>IF(A66="","",IFERROR(VLOOKUP(A66,DB_Customers!$A:$D,4,0),"❌ Account Not Found"))</f>
        <v/>
      </c>
      <c r="C66" s="496">
        <f>IF(A66="","",IFERROR(VLOOKUP(A66,DB_Customers!$A:$N,14,0),""))</f>
        <v/>
      </c>
      <c r="D66" s="497">
        <f>IF(A66="","",TODAY())</f>
        <v/>
      </c>
      <c r="E66" s="510" t="n"/>
      <c r="F66" s="382" t="n"/>
      <c r="G66" s="512">
        <f>IF(OR(A66="",E66=""),"",IF(C66="","",C66-E66))</f>
        <v/>
      </c>
      <c r="H66" s="384" t="inlineStr">
        <is>
          <t>Agent 04</t>
        </is>
      </c>
      <c r="I66" s="491" t="n"/>
      <c r="J66" s="499">
        <f>IF(AND(A66&lt;&gt;"",E66&lt;&gt;""),IF(I66="","⚠️ Enter Code",IF(IFERROR(VLOOKUP(H66,DB_Agents!$B:$I,8,0),"")=I66,IF(C66&gt;=E66,"Successful","Unsuccessful"),"🔒 BLOCKED — Wrong Code")),"—")</f>
        <v/>
      </c>
      <c r="K66" s="500">
        <f>IF(J66="Successful",TEXT(TODAY(),"YYYY-MM-DD")&amp;" Auto","—")</f>
        <v/>
      </c>
      <c r="L66" s="501" t="n"/>
    </row>
    <row r="67" ht="15" customHeight="1" s="341">
      <c r="A67" s="486" t="n"/>
      <c r="B67" s="378">
        <f>IF(A67="","",IFERROR(VLOOKUP(A67,DB_Customers!$A:$D,4,0),"❌ Account Not Found"))</f>
        <v/>
      </c>
      <c r="C67" s="487">
        <f>IF(A67="","",IFERROR(VLOOKUP(A67,DB_Customers!$A:$N,14,0),""))</f>
        <v/>
      </c>
      <c r="D67" s="488">
        <f>IF(A67="","",TODAY())</f>
        <v/>
      </c>
      <c r="E67" s="510" t="n"/>
      <c r="F67" s="378" t="n"/>
      <c r="G67" s="511">
        <f>IF(OR(A67="",E67=""),"",IF(C67="","",C67-E67))</f>
        <v/>
      </c>
      <c r="H67" s="380" t="inlineStr">
        <is>
          <t>Agent 04</t>
        </is>
      </c>
      <c r="I67" s="491" t="n"/>
      <c r="J67" s="492">
        <f>IF(AND(A67&lt;&gt;"",E67&lt;&gt;""),IF(I67="","⚠️ Enter Code",IF(IFERROR(VLOOKUP(H67,DB_Agents!$B:$I,8,0),"")=I67,IF(C67&gt;=E67,"Successful","Unsuccessful"),"🔒 BLOCKED — Wrong Code")),"—")</f>
        <v/>
      </c>
      <c r="K67" s="493">
        <f>IF(J67="Successful",TEXT(TODAY(),"YYYY-MM-DD")&amp;" Auto","—")</f>
        <v/>
      </c>
      <c r="L67" s="494" t="n"/>
    </row>
    <row r="68" ht="15" customHeight="1" s="341">
      <c r="A68" s="495" t="n"/>
      <c r="B68" s="382">
        <f>IF(A68="","",IFERROR(VLOOKUP(A68,DB_Customers!$A:$D,4,0),"❌ Account Not Found"))</f>
        <v/>
      </c>
      <c r="C68" s="496">
        <f>IF(A68="","",IFERROR(VLOOKUP(A68,DB_Customers!$A:$N,14,0),""))</f>
        <v/>
      </c>
      <c r="D68" s="497">
        <f>IF(A68="","",TODAY())</f>
        <v/>
      </c>
      <c r="E68" s="510" t="n"/>
      <c r="F68" s="382" t="n"/>
      <c r="G68" s="512">
        <f>IF(OR(A68="",E68=""),"",IF(C68="","",C68-E68))</f>
        <v/>
      </c>
      <c r="H68" s="384" t="inlineStr">
        <is>
          <t>Agent 04</t>
        </is>
      </c>
      <c r="I68" s="491" t="n"/>
      <c r="J68" s="499">
        <f>IF(AND(A68&lt;&gt;"",E68&lt;&gt;""),IF(I68="","⚠️ Enter Code",IF(IFERROR(VLOOKUP(H68,DB_Agents!$B:$I,8,0),"")=I68,IF(C68&gt;=E68,"Successful","Unsuccessful"),"🔒 BLOCKED — Wrong Code")),"—")</f>
        <v/>
      </c>
      <c r="K68" s="500">
        <f>IF(J68="Successful",TEXT(TODAY(),"YYYY-MM-DD")&amp;" Auto","—")</f>
        <v/>
      </c>
      <c r="L68" s="501" t="n"/>
    </row>
    <row r="69" ht="15" customHeight="1" s="341">
      <c r="A69" s="486" t="n"/>
      <c r="B69" s="378">
        <f>IF(A69="","",IFERROR(VLOOKUP(A69,DB_Customers!$A:$D,4,0),"❌ Account Not Found"))</f>
        <v/>
      </c>
      <c r="C69" s="487">
        <f>IF(A69="","",IFERROR(VLOOKUP(A69,DB_Customers!$A:$N,14,0),""))</f>
        <v/>
      </c>
      <c r="D69" s="488">
        <f>IF(A69="","",TODAY())</f>
        <v/>
      </c>
      <c r="E69" s="510" t="n"/>
      <c r="F69" s="378" t="n"/>
      <c r="G69" s="511">
        <f>IF(OR(A69="",E69=""),"",IF(C69="","",C69-E69))</f>
        <v/>
      </c>
      <c r="H69" s="380" t="inlineStr">
        <is>
          <t>Agent 04</t>
        </is>
      </c>
      <c r="I69" s="491" t="n"/>
      <c r="J69" s="492">
        <f>IF(AND(A69&lt;&gt;"",E69&lt;&gt;""),IF(I69="","⚠️ Enter Code",IF(IFERROR(VLOOKUP(H69,DB_Agents!$B:$I,8,0),"")=I69,IF(C69&gt;=E69,"Successful","Unsuccessful"),"🔒 BLOCKED — Wrong Code")),"—")</f>
        <v/>
      </c>
      <c r="K69" s="493">
        <f>IF(J69="Successful",TEXT(TODAY(),"YYYY-MM-DD")&amp;" Auto","—")</f>
        <v/>
      </c>
      <c r="L69" s="494" t="n"/>
    </row>
    <row r="70" ht="15" customHeight="1" s="341">
      <c r="A70" s="495" t="n"/>
      <c r="B70" s="382">
        <f>IF(A70="","",IFERROR(VLOOKUP(A70,DB_Customers!$A:$D,4,0),"❌ Account Not Found"))</f>
        <v/>
      </c>
      <c r="C70" s="496">
        <f>IF(A70="","",IFERROR(VLOOKUP(A70,DB_Customers!$A:$N,14,0),""))</f>
        <v/>
      </c>
      <c r="D70" s="497">
        <f>IF(A70="","",TODAY())</f>
        <v/>
      </c>
      <c r="E70" s="510" t="n"/>
      <c r="F70" s="382" t="n"/>
      <c r="G70" s="512">
        <f>IF(OR(A70="",E70=""),"",IF(C70="","",C70-E70))</f>
        <v/>
      </c>
      <c r="H70" s="384" t="inlineStr">
        <is>
          <t>Agent 04</t>
        </is>
      </c>
      <c r="I70" s="491" t="n"/>
      <c r="J70" s="499">
        <f>IF(AND(A70&lt;&gt;"",E70&lt;&gt;""),IF(I70="","⚠️ Enter Code",IF(IFERROR(VLOOKUP(H70,DB_Agents!$B:$I,8,0),"")=I70,IF(C70&gt;=E70,"Successful","Unsuccessful"),"🔒 BLOCKED — Wrong Code")),"—")</f>
        <v/>
      </c>
      <c r="K70" s="500">
        <f>IF(J70="Successful",TEXT(TODAY(),"YYYY-MM-DD")&amp;" Auto","—")</f>
        <v/>
      </c>
      <c r="L70" s="501" t="n"/>
    </row>
    <row r="71" ht="15" customHeight="1" s="341">
      <c r="A71" s="486" t="n"/>
      <c r="B71" s="378">
        <f>IF(A71="","",IFERROR(VLOOKUP(A71,DB_Customers!$A:$D,4,0),"❌ Account Not Found"))</f>
        <v/>
      </c>
      <c r="C71" s="487">
        <f>IF(A71="","",IFERROR(VLOOKUP(A71,DB_Customers!$A:$N,14,0),""))</f>
        <v/>
      </c>
      <c r="D71" s="488">
        <f>IF(A71="","",TODAY())</f>
        <v/>
      </c>
      <c r="E71" s="510" t="n"/>
      <c r="F71" s="378" t="n"/>
      <c r="G71" s="511">
        <f>IF(OR(A71="",E71=""),"",IF(C71="","",C71-E71))</f>
        <v/>
      </c>
      <c r="H71" s="380" t="inlineStr">
        <is>
          <t>Agent 04</t>
        </is>
      </c>
      <c r="I71" s="491" t="n"/>
      <c r="J71" s="492">
        <f>IF(AND(A71&lt;&gt;"",E71&lt;&gt;""),IF(I71="","⚠️ Enter Code",IF(IFERROR(VLOOKUP(H71,DB_Agents!$B:$I,8,0),"")=I71,IF(C71&gt;=E71,"Successful","Unsuccessful"),"🔒 BLOCKED — Wrong Code")),"—")</f>
        <v/>
      </c>
      <c r="K71" s="493">
        <f>IF(J71="Successful",TEXT(TODAY(),"YYYY-MM-DD")&amp;" Auto","—")</f>
        <v/>
      </c>
      <c r="L71" s="494" t="n"/>
    </row>
    <row r="72" ht="15" customHeight="1" s="341">
      <c r="A72" s="495" t="n"/>
      <c r="B72" s="382">
        <f>IF(A72="","",IFERROR(VLOOKUP(A72,DB_Customers!$A:$D,4,0),"❌ Account Not Found"))</f>
        <v/>
      </c>
      <c r="C72" s="496">
        <f>IF(A72="","",IFERROR(VLOOKUP(A72,DB_Customers!$A:$N,14,0),""))</f>
        <v/>
      </c>
      <c r="D72" s="497">
        <f>IF(A72="","",TODAY())</f>
        <v/>
      </c>
      <c r="E72" s="510" t="n"/>
      <c r="F72" s="382" t="n"/>
      <c r="G72" s="512">
        <f>IF(OR(A72="",E72=""),"",IF(C72="","",C72-E72))</f>
        <v/>
      </c>
      <c r="H72" s="384" t="inlineStr">
        <is>
          <t>Agent 04</t>
        </is>
      </c>
      <c r="I72" s="491" t="n"/>
      <c r="J72" s="499">
        <f>IF(AND(A72&lt;&gt;"",E72&lt;&gt;""),IF(I72="","⚠️ Enter Code",IF(IFERROR(VLOOKUP(H72,DB_Agents!$B:$I,8,0),"")=I72,IF(C72&gt;=E72,"Successful","Unsuccessful"),"🔒 BLOCKED — Wrong Code")),"—")</f>
        <v/>
      </c>
      <c r="K72" s="500">
        <f>IF(J72="Successful",TEXT(TODAY(),"YYYY-MM-DD")&amp;" Auto","—")</f>
        <v/>
      </c>
      <c r="L72" s="501" t="n"/>
    </row>
    <row r="73" ht="15" customHeight="1" s="341">
      <c r="A73" s="486" t="n"/>
      <c r="B73" s="378">
        <f>IF(A73="","",IFERROR(VLOOKUP(A73,DB_Customers!$A:$D,4,0),"❌ Account Not Found"))</f>
        <v/>
      </c>
      <c r="C73" s="487">
        <f>IF(A73="","",IFERROR(VLOOKUP(A73,DB_Customers!$A:$N,14,0),""))</f>
        <v/>
      </c>
      <c r="D73" s="488">
        <f>IF(A73="","",TODAY())</f>
        <v/>
      </c>
      <c r="E73" s="510" t="n"/>
      <c r="F73" s="378" t="n"/>
      <c r="G73" s="511">
        <f>IF(OR(A73="",E73=""),"",IF(C73="","",C73-E73))</f>
        <v/>
      </c>
      <c r="H73" s="380" t="inlineStr">
        <is>
          <t>Agent 04</t>
        </is>
      </c>
      <c r="I73" s="491" t="n"/>
      <c r="J73" s="492">
        <f>IF(AND(A73&lt;&gt;"",E73&lt;&gt;""),IF(I73="","⚠️ Enter Code",IF(IFERROR(VLOOKUP(H73,DB_Agents!$B:$I,8,0),"")=I73,IF(C73&gt;=E73,"Successful","Unsuccessful"),"🔒 BLOCKED — Wrong Code")),"—")</f>
        <v/>
      </c>
      <c r="K73" s="493">
        <f>IF(J73="Successful",TEXT(TODAY(),"YYYY-MM-DD")&amp;" Auto","—")</f>
        <v/>
      </c>
      <c r="L73" s="494" t="n"/>
    </row>
    <row r="74" ht="15" customHeight="1" s="341">
      <c r="A74" s="495" t="n"/>
      <c r="B74" s="382">
        <f>IF(A74="","",IFERROR(VLOOKUP(A74,DB_Customers!$A:$D,4,0),"❌ Account Not Found"))</f>
        <v/>
      </c>
      <c r="C74" s="496">
        <f>IF(A74="","",IFERROR(VLOOKUP(A74,DB_Customers!$A:$N,14,0),""))</f>
        <v/>
      </c>
      <c r="D74" s="497">
        <f>IF(A74="","",TODAY())</f>
        <v/>
      </c>
      <c r="E74" s="510" t="n"/>
      <c r="F74" s="382" t="n"/>
      <c r="G74" s="512">
        <f>IF(OR(A74="",E74=""),"",IF(C74="","",C74-E74))</f>
        <v/>
      </c>
      <c r="H74" s="384" t="inlineStr">
        <is>
          <t>Agent 04</t>
        </is>
      </c>
      <c r="I74" s="491" t="n"/>
      <c r="J74" s="499">
        <f>IF(AND(A74&lt;&gt;"",E74&lt;&gt;""),IF(I74="","⚠️ Enter Code",IF(IFERROR(VLOOKUP(H74,DB_Agents!$B:$I,8,0),"")=I74,IF(C74&gt;=E74,"Successful","Unsuccessful"),"🔒 BLOCKED — Wrong Code")),"—")</f>
        <v/>
      </c>
      <c r="K74" s="500">
        <f>IF(J74="Successful",TEXT(TODAY(),"YYYY-MM-DD")&amp;" Auto","—")</f>
        <v/>
      </c>
      <c r="L74" s="501" t="n"/>
    </row>
    <row r="75" ht="15" customHeight="1" s="341">
      <c r="A75" s="486" t="n"/>
      <c r="B75" s="378">
        <f>IF(A75="","",IFERROR(VLOOKUP(A75,DB_Customers!$A:$D,4,0),"❌ Account Not Found"))</f>
        <v/>
      </c>
      <c r="C75" s="487">
        <f>IF(A75="","",IFERROR(VLOOKUP(A75,DB_Customers!$A:$N,14,0),""))</f>
        <v/>
      </c>
      <c r="D75" s="488">
        <f>IF(A75="","",TODAY())</f>
        <v/>
      </c>
      <c r="E75" s="510" t="n"/>
      <c r="F75" s="378" t="n"/>
      <c r="G75" s="511">
        <f>IF(OR(A75="",E75=""),"",IF(C75="","",C75-E75))</f>
        <v/>
      </c>
      <c r="H75" s="380" t="inlineStr">
        <is>
          <t>Agent 04</t>
        </is>
      </c>
      <c r="I75" s="491" t="n"/>
      <c r="J75" s="492">
        <f>IF(AND(A75&lt;&gt;"",E75&lt;&gt;""),IF(I75="","⚠️ Enter Code",IF(IFERROR(VLOOKUP(H75,DB_Agents!$B:$I,8,0),"")=I75,IF(C75&gt;=E75,"Successful","Unsuccessful"),"🔒 BLOCKED — Wrong Code")),"—")</f>
        <v/>
      </c>
      <c r="K75" s="493">
        <f>IF(J75="Successful",TEXT(TODAY(),"YYYY-MM-DD")&amp;" Auto","—")</f>
        <v/>
      </c>
      <c r="L75" s="494" t="n"/>
    </row>
    <row r="76" ht="15" customHeight="1" s="341">
      <c r="A76" s="495" t="n"/>
      <c r="B76" s="382">
        <f>IF(A76="","",IFERROR(VLOOKUP(A76,DB_Customers!$A:$D,4,0),"❌ Account Not Found"))</f>
        <v/>
      </c>
      <c r="C76" s="496">
        <f>IF(A76="","",IFERROR(VLOOKUP(A76,DB_Customers!$A:$N,14,0),""))</f>
        <v/>
      </c>
      <c r="D76" s="497">
        <f>IF(A76="","",TODAY())</f>
        <v/>
      </c>
      <c r="E76" s="510" t="n"/>
      <c r="F76" s="382" t="n"/>
      <c r="G76" s="512">
        <f>IF(OR(A76="",E76=""),"",IF(C76="","",C76-E76))</f>
        <v/>
      </c>
      <c r="H76" s="384" t="inlineStr">
        <is>
          <t>Agent 04</t>
        </is>
      </c>
      <c r="I76" s="491" t="n"/>
      <c r="J76" s="499">
        <f>IF(AND(A76&lt;&gt;"",E76&lt;&gt;""),IF(I76="","⚠️ Enter Code",IF(IFERROR(VLOOKUP(H76,DB_Agents!$B:$I,8,0),"")=I76,IF(C76&gt;=E76,"Successful","Unsuccessful"),"🔒 BLOCKED — Wrong Code")),"—")</f>
        <v/>
      </c>
      <c r="K76" s="500">
        <f>IF(J76="Successful",TEXT(TODAY(),"YYYY-MM-DD")&amp;" Auto","—")</f>
        <v/>
      </c>
      <c r="L76" s="501" t="n"/>
    </row>
    <row r="77" ht="15" customHeight="1" s="341">
      <c r="A77" s="486" t="n"/>
      <c r="B77" s="378">
        <f>IF(A77="","",IFERROR(VLOOKUP(A77,DB_Customers!$A:$D,4,0),"❌ Account Not Found"))</f>
        <v/>
      </c>
      <c r="C77" s="487">
        <f>IF(A77="","",IFERROR(VLOOKUP(A77,DB_Customers!$A:$N,14,0),""))</f>
        <v/>
      </c>
      <c r="D77" s="488">
        <f>IF(A77="","",TODAY())</f>
        <v/>
      </c>
      <c r="E77" s="510" t="n"/>
      <c r="F77" s="378" t="n"/>
      <c r="G77" s="511">
        <f>IF(OR(A77="",E77=""),"",IF(C77="","",C77-E77))</f>
        <v/>
      </c>
      <c r="H77" s="380" t="inlineStr">
        <is>
          <t>Agent 04</t>
        </is>
      </c>
      <c r="I77" s="491" t="n"/>
      <c r="J77" s="492">
        <f>IF(AND(A77&lt;&gt;"",E77&lt;&gt;""),IF(I77="","⚠️ Enter Code",IF(IFERROR(VLOOKUP(H77,DB_Agents!$B:$I,8,0),"")=I77,IF(C77&gt;=E77,"Successful","Unsuccessful"),"🔒 BLOCKED — Wrong Code")),"—")</f>
        <v/>
      </c>
      <c r="K77" s="493">
        <f>IF(J77="Successful",TEXT(TODAY(),"YYYY-MM-DD")&amp;" Auto","—")</f>
        <v/>
      </c>
      <c r="L77" s="494" t="n"/>
    </row>
    <row r="78" ht="15" customHeight="1" s="341">
      <c r="A78" s="495" t="n"/>
      <c r="B78" s="382">
        <f>IF(A78="","",IFERROR(VLOOKUP(A78,DB_Customers!$A:$D,4,0),"❌ Account Not Found"))</f>
        <v/>
      </c>
      <c r="C78" s="496">
        <f>IF(A78="","",IFERROR(VLOOKUP(A78,DB_Customers!$A:$N,14,0),""))</f>
        <v/>
      </c>
      <c r="D78" s="497">
        <f>IF(A78="","",TODAY())</f>
        <v/>
      </c>
      <c r="E78" s="510" t="n"/>
      <c r="F78" s="382" t="n"/>
      <c r="G78" s="512">
        <f>IF(OR(A78="",E78=""),"",IF(C78="","",C78-E78))</f>
        <v/>
      </c>
      <c r="H78" s="384" t="inlineStr">
        <is>
          <t>Agent 04</t>
        </is>
      </c>
      <c r="I78" s="491" t="n"/>
      <c r="J78" s="499">
        <f>IF(AND(A78&lt;&gt;"",E78&lt;&gt;""),IF(I78="","⚠️ Enter Code",IF(IFERROR(VLOOKUP(H78,DB_Agents!$B:$I,8,0),"")=I78,IF(C78&gt;=E78,"Successful","Unsuccessful"),"🔒 BLOCKED — Wrong Code")),"—")</f>
        <v/>
      </c>
      <c r="K78" s="500">
        <f>IF(J78="Successful",TEXT(TODAY(),"YYYY-MM-DD")&amp;" Auto","—")</f>
        <v/>
      </c>
      <c r="L78" s="501" t="n"/>
    </row>
    <row r="79" ht="15" customHeight="1" s="341">
      <c r="A79" s="486" t="n"/>
      <c r="B79" s="378">
        <f>IF(A79="","",IFERROR(VLOOKUP(A79,DB_Customers!$A:$D,4,0),"❌ Account Not Found"))</f>
        <v/>
      </c>
      <c r="C79" s="487">
        <f>IF(A79="","",IFERROR(VLOOKUP(A79,DB_Customers!$A:$N,14,0),""))</f>
        <v/>
      </c>
      <c r="D79" s="488">
        <f>IF(A79="","",TODAY())</f>
        <v/>
      </c>
      <c r="E79" s="510" t="n"/>
      <c r="F79" s="378" t="n"/>
      <c r="G79" s="511">
        <f>IF(OR(A79="",E79=""),"",IF(C79="","",C79-E79))</f>
        <v/>
      </c>
      <c r="H79" s="380" t="inlineStr">
        <is>
          <t>Agent 04</t>
        </is>
      </c>
      <c r="I79" s="491" t="n"/>
      <c r="J79" s="492">
        <f>IF(AND(A79&lt;&gt;"",E79&lt;&gt;""),IF(I79="","⚠️ Enter Code",IF(IFERROR(VLOOKUP(H79,DB_Agents!$B:$I,8,0),"")=I79,IF(C79&gt;=E79,"Successful","Unsuccessful"),"🔒 BLOCKED — Wrong Code")),"—")</f>
        <v/>
      </c>
      <c r="K79" s="493">
        <f>IF(J79="Successful",TEXT(TODAY(),"YYYY-MM-DD")&amp;" Auto","—")</f>
        <v/>
      </c>
      <c r="L79" s="494" t="n"/>
    </row>
    <row r="80" ht="15" customHeight="1" s="341">
      <c r="A80" s="495" t="n"/>
      <c r="B80" s="382">
        <f>IF(A80="","",IFERROR(VLOOKUP(A80,DB_Customers!$A:$D,4,0),"❌ Account Not Found"))</f>
        <v/>
      </c>
      <c r="C80" s="496">
        <f>IF(A80="","",IFERROR(VLOOKUP(A80,DB_Customers!$A:$N,14,0),""))</f>
        <v/>
      </c>
      <c r="D80" s="497">
        <f>IF(A80="","",TODAY())</f>
        <v/>
      </c>
      <c r="E80" s="510" t="n"/>
      <c r="F80" s="382" t="n"/>
      <c r="G80" s="512">
        <f>IF(OR(A80="",E80=""),"",IF(C80="","",C80-E80))</f>
        <v/>
      </c>
      <c r="H80" s="384" t="inlineStr">
        <is>
          <t>Agent 04</t>
        </is>
      </c>
      <c r="I80" s="491" t="n"/>
      <c r="J80" s="499">
        <f>IF(AND(A80&lt;&gt;"",E80&lt;&gt;""),IF(I80="","⚠️ Enter Code",IF(IFERROR(VLOOKUP(H80,DB_Agents!$B:$I,8,0),"")=I80,IF(C80&gt;=E80,"Successful","Unsuccessful"),"🔒 BLOCKED — Wrong Code")),"—")</f>
        <v/>
      </c>
      <c r="K80" s="500">
        <f>IF(J80="Successful",TEXT(TODAY(),"YYYY-MM-DD")&amp;" Auto","—")</f>
        <v/>
      </c>
      <c r="L80" s="501" t="n"/>
    </row>
    <row r="81" ht="15" customHeight="1" s="341">
      <c r="A81" s="486" t="n"/>
      <c r="B81" s="378">
        <f>IF(A81="","",IFERROR(VLOOKUP(A81,DB_Customers!$A:$D,4,0),"❌ Account Not Found"))</f>
        <v/>
      </c>
      <c r="C81" s="487">
        <f>IF(A81="","",IFERROR(VLOOKUP(A81,DB_Customers!$A:$N,14,0),""))</f>
        <v/>
      </c>
      <c r="D81" s="488">
        <f>IF(A81="","",TODAY())</f>
        <v/>
      </c>
      <c r="E81" s="510" t="n"/>
      <c r="F81" s="378" t="n"/>
      <c r="G81" s="511">
        <f>IF(OR(A81="",E81=""),"",IF(C81="","",C81-E81))</f>
        <v/>
      </c>
      <c r="H81" s="380" t="inlineStr">
        <is>
          <t>Agent 04</t>
        </is>
      </c>
      <c r="I81" s="491" t="n"/>
      <c r="J81" s="492">
        <f>IF(AND(A81&lt;&gt;"",E81&lt;&gt;""),IF(I81="","⚠️ Enter Code",IF(IFERROR(VLOOKUP(H81,DB_Agents!$B:$I,8,0),"")=I81,IF(C81&gt;=E81,"Successful","Unsuccessful"),"🔒 BLOCKED — Wrong Code")),"—")</f>
        <v/>
      </c>
      <c r="K81" s="493">
        <f>IF(J81="Successful",TEXT(TODAY(),"YYYY-MM-DD")&amp;" Auto","—")</f>
        <v/>
      </c>
      <c r="L81" s="494" t="n"/>
    </row>
    <row r="82" ht="15" customHeight="1" s="341">
      <c r="A82" s="495" t="n"/>
      <c r="B82" s="382">
        <f>IF(A82="","",IFERROR(VLOOKUP(A82,DB_Customers!$A:$D,4,0),"❌ Account Not Found"))</f>
        <v/>
      </c>
      <c r="C82" s="496">
        <f>IF(A82="","",IFERROR(VLOOKUP(A82,DB_Customers!$A:$N,14,0),""))</f>
        <v/>
      </c>
      <c r="D82" s="497">
        <f>IF(A82="","",TODAY())</f>
        <v/>
      </c>
      <c r="E82" s="510" t="n"/>
      <c r="F82" s="382" t="n"/>
      <c r="G82" s="512">
        <f>IF(OR(A82="",E82=""),"",IF(C82="","",C82-E82))</f>
        <v/>
      </c>
      <c r="H82" s="384" t="inlineStr">
        <is>
          <t>Agent 04</t>
        </is>
      </c>
      <c r="I82" s="491" t="n"/>
      <c r="J82" s="499">
        <f>IF(AND(A82&lt;&gt;"",E82&lt;&gt;""),IF(I82="","⚠️ Enter Code",IF(IFERROR(VLOOKUP(H82,DB_Agents!$B:$I,8,0),"")=I82,IF(C82&gt;=E82,"Successful","Unsuccessful"),"🔒 BLOCKED — Wrong Code")),"—")</f>
        <v/>
      </c>
      <c r="K82" s="500">
        <f>IF(J82="Successful",TEXT(TODAY(),"YYYY-MM-DD")&amp;" Auto","—")</f>
        <v/>
      </c>
      <c r="L82" s="501" t="n"/>
    </row>
    <row r="83" ht="15" customHeight="1" s="341">
      <c r="A83" s="486" t="n"/>
      <c r="B83" s="378">
        <f>IF(A83="","",IFERROR(VLOOKUP(A83,DB_Customers!$A:$D,4,0),"❌ Account Not Found"))</f>
        <v/>
      </c>
      <c r="C83" s="487">
        <f>IF(A83="","",IFERROR(VLOOKUP(A83,DB_Customers!$A:$N,14,0),""))</f>
        <v/>
      </c>
      <c r="D83" s="488">
        <f>IF(A83="","",TODAY())</f>
        <v/>
      </c>
      <c r="E83" s="510" t="n"/>
      <c r="F83" s="378" t="n"/>
      <c r="G83" s="511">
        <f>IF(OR(A83="",E83=""),"",IF(C83="","",C83-E83))</f>
        <v/>
      </c>
      <c r="H83" s="380" t="inlineStr">
        <is>
          <t>Agent 04</t>
        </is>
      </c>
      <c r="I83" s="491" t="n"/>
      <c r="J83" s="492">
        <f>IF(AND(A83&lt;&gt;"",E83&lt;&gt;""),IF(I83="","⚠️ Enter Code",IF(IFERROR(VLOOKUP(H83,DB_Agents!$B:$I,8,0),"")=I83,IF(C83&gt;=E83,"Successful","Unsuccessful"),"🔒 BLOCKED — Wrong Code")),"—")</f>
        <v/>
      </c>
      <c r="K83" s="493">
        <f>IF(J83="Successful",TEXT(TODAY(),"YYYY-MM-DD")&amp;" Auto","—")</f>
        <v/>
      </c>
      <c r="L83" s="494" t="n"/>
    </row>
    <row r="84" ht="15" customHeight="1" s="341">
      <c r="A84" s="495" t="n"/>
      <c r="B84" s="382">
        <f>IF(A84="","",IFERROR(VLOOKUP(A84,DB_Customers!$A:$D,4,0),"❌ Account Not Found"))</f>
        <v/>
      </c>
      <c r="C84" s="496">
        <f>IF(A84="","",IFERROR(VLOOKUP(A84,DB_Customers!$A:$N,14,0),""))</f>
        <v/>
      </c>
      <c r="D84" s="497">
        <f>IF(A84="","",TODAY())</f>
        <v/>
      </c>
      <c r="E84" s="510" t="n"/>
      <c r="F84" s="382" t="n"/>
      <c r="G84" s="512">
        <f>IF(OR(A84="",E84=""),"",IF(C84="","",C84-E84))</f>
        <v/>
      </c>
      <c r="H84" s="384" t="inlineStr">
        <is>
          <t>Agent 04</t>
        </is>
      </c>
      <c r="I84" s="491" t="n"/>
      <c r="J84" s="499">
        <f>IF(AND(A84&lt;&gt;"",E84&lt;&gt;""),IF(I84="","⚠️ Enter Code",IF(IFERROR(VLOOKUP(H84,DB_Agents!$B:$I,8,0),"")=I84,IF(C84&gt;=E84,"Successful","Unsuccessful"),"🔒 BLOCKED — Wrong Code")),"—")</f>
        <v/>
      </c>
      <c r="K84" s="500">
        <f>IF(J84="Successful",TEXT(TODAY(),"YYYY-MM-DD")&amp;" Auto","—")</f>
        <v/>
      </c>
      <c r="L84" s="501" t="n"/>
    </row>
    <row r="85" ht="15" customHeight="1" s="341">
      <c r="A85" s="486" t="n"/>
      <c r="B85" s="378">
        <f>IF(A85="","",IFERROR(VLOOKUP(A85,DB_Customers!$A:$D,4,0),"❌ Account Not Found"))</f>
        <v/>
      </c>
      <c r="C85" s="487">
        <f>IF(A85="","",IFERROR(VLOOKUP(A85,DB_Customers!$A:$N,14,0),""))</f>
        <v/>
      </c>
      <c r="D85" s="488">
        <f>IF(A85="","",TODAY())</f>
        <v/>
      </c>
      <c r="E85" s="510" t="n"/>
      <c r="F85" s="378" t="n"/>
      <c r="G85" s="511">
        <f>IF(OR(A85="",E85=""),"",IF(C85="","",C85-E85))</f>
        <v/>
      </c>
      <c r="H85" s="380" t="inlineStr">
        <is>
          <t>Agent 04</t>
        </is>
      </c>
      <c r="I85" s="491" t="n"/>
      <c r="J85" s="492">
        <f>IF(AND(A85&lt;&gt;"",E85&lt;&gt;""),IF(I85="","⚠️ Enter Code",IF(IFERROR(VLOOKUP(H85,DB_Agents!$B:$I,8,0),"")=I85,IF(C85&gt;=E85,"Successful","Unsuccessful"),"🔒 BLOCKED — Wrong Code")),"—")</f>
        <v/>
      </c>
      <c r="K85" s="493">
        <f>IF(J85="Successful",TEXT(TODAY(),"YYYY-MM-DD")&amp;" Auto","—")</f>
        <v/>
      </c>
      <c r="L85" s="494" t="n"/>
    </row>
    <row r="86" ht="15" customHeight="1" s="341">
      <c r="A86" s="495" t="n"/>
      <c r="B86" s="382">
        <f>IF(A86="","",IFERROR(VLOOKUP(A86,DB_Customers!$A:$D,4,0),"❌ Account Not Found"))</f>
        <v/>
      </c>
      <c r="C86" s="496">
        <f>IF(A86="","",IFERROR(VLOOKUP(A86,DB_Customers!$A:$N,14,0),""))</f>
        <v/>
      </c>
      <c r="D86" s="497">
        <f>IF(A86="","",TODAY())</f>
        <v/>
      </c>
      <c r="E86" s="510" t="n"/>
      <c r="F86" s="382" t="n"/>
      <c r="G86" s="512">
        <f>IF(OR(A86="",E86=""),"",IF(C86="","",C86-E86))</f>
        <v/>
      </c>
      <c r="H86" s="384" t="inlineStr">
        <is>
          <t>Agent 04</t>
        </is>
      </c>
      <c r="I86" s="491" t="n"/>
      <c r="J86" s="499">
        <f>IF(AND(A86&lt;&gt;"",E86&lt;&gt;""),IF(I86="","⚠️ Enter Code",IF(IFERROR(VLOOKUP(H86,DB_Agents!$B:$I,8,0),"")=I86,IF(C86&gt;=E86,"Successful","Unsuccessful"),"🔒 BLOCKED — Wrong Code")),"—")</f>
        <v/>
      </c>
      <c r="K86" s="500">
        <f>IF(J86="Successful",TEXT(TODAY(),"YYYY-MM-DD")&amp;" Auto","—")</f>
        <v/>
      </c>
      <c r="L86" s="501" t="n"/>
    </row>
    <row r="87" ht="15" customHeight="1" s="341">
      <c r="A87" s="486" t="n"/>
      <c r="B87" s="378">
        <f>IF(A87="","",IFERROR(VLOOKUP(A87,DB_Customers!$A:$D,4,0),"❌ Account Not Found"))</f>
        <v/>
      </c>
      <c r="C87" s="487">
        <f>IF(A87="","",IFERROR(VLOOKUP(A87,DB_Customers!$A:$N,14,0),""))</f>
        <v/>
      </c>
      <c r="D87" s="488">
        <f>IF(A87="","",TODAY())</f>
        <v/>
      </c>
      <c r="E87" s="510" t="n"/>
      <c r="F87" s="378" t="n"/>
      <c r="G87" s="511">
        <f>IF(OR(A87="",E87=""),"",IF(C87="","",C87-E87))</f>
        <v/>
      </c>
      <c r="H87" s="380" t="inlineStr">
        <is>
          <t>Agent 04</t>
        </is>
      </c>
      <c r="I87" s="491" t="n"/>
      <c r="J87" s="492">
        <f>IF(AND(A87&lt;&gt;"",E87&lt;&gt;""),IF(I87="","⚠️ Enter Code",IF(IFERROR(VLOOKUP(H87,DB_Agents!$B:$I,8,0),"")=I87,IF(C87&gt;=E87,"Successful","Unsuccessful"),"🔒 BLOCKED — Wrong Code")),"—")</f>
        <v/>
      </c>
      <c r="K87" s="493">
        <f>IF(J87="Successful",TEXT(TODAY(),"YYYY-MM-DD")&amp;" Auto","—")</f>
        <v/>
      </c>
      <c r="L87" s="494" t="n"/>
    </row>
    <row r="88" ht="15" customHeight="1" s="341">
      <c r="A88" s="495" t="n"/>
      <c r="B88" s="382">
        <f>IF(A88="","",IFERROR(VLOOKUP(A88,DB_Customers!$A:$D,4,0),"❌ Account Not Found"))</f>
        <v/>
      </c>
      <c r="C88" s="496">
        <f>IF(A88="","",IFERROR(VLOOKUP(A88,DB_Customers!$A:$N,14,0),""))</f>
        <v/>
      </c>
      <c r="D88" s="497">
        <f>IF(A88="","",TODAY())</f>
        <v/>
      </c>
      <c r="E88" s="510" t="n"/>
      <c r="F88" s="382" t="n"/>
      <c r="G88" s="512">
        <f>IF(OR(A88="",E88=""),"",IF(C88="","",C88-E88))</f>
        <v/>
      </c>
      <c r="H88" s="384" t="inlineStr">
        <is>
          <t>Agent 04</t>
        </is>
      </c>
      <c r="I88" s="491" t="n"/>
      <c r="J88" s="499">
        <f>IF(AND(A88&lt;&gt;"",E88&lt;&gt;""),IF(I88="","⚠️ Enter Code",IF(IFERROR(VLOOKUP(H88,DB_Agents!$B:$I,8,0),"")=I88,IF(C88&gt;=E88,"Successful","Unsuccessful"),"🔒 BLOCKED — Wrong Code")),"—")</f>
        <v/>
      </c>
      <c r="K88" s="500">
        <f>IF(J88="Successful",TEXT(TODAY(),"YYYY-MM-DD")&amp;" Auto","—")</f>
        <v/>
      </c>
      <c r="L88" s="501" t="n"/>
    </row>
    <row r="89" ht="15" customHeight="1" s="341">
      <c r="A89" s="486" t="n"/>
      <c r="B89" s="378">
        <f>IF(A89="","",IFERROR(VLOOKUP(A89,DB_Customers!$A:$D,4,0),"❌ Account Not Found"))</f>
        <v/>
      </c>
      <c r="C89" s="487">
        <f>IF(A89="","",IFERROR(VLOOKUP(A89,DB_Customers!$A:$N,14,0),""))</f>
        <v/>
      </c>
      <c r="D89" s="488">
        <f>IF(A89="","",TODAY())</f>
        <v/>
      </c>
      <c r="E89" s="510" t="n"/>
      <c r="F89" s="378" t="n"/>
      <c r="G89" s="511">
        <f>IF(OR(A89="",E89=""),"",IF(C89="","",C89-E89))</f>
        <v/>
      </c>
      <c r="H89" s="380" t="inlineStr">
        <is>
          <t>Agent 04</t>
        </is>
      </c>
      <c r="I89" s="491" t="n"/>
      <c r="J89" s="492">
        <f>IF(AND(A89&lt;&gt;"",E89&lt;&gt;""),IF(I89="","⚠️ Enter Code",IF(IFERROR(VLOOKUP(H89,DB_Agents!$B:$I,8,0),"")=I89,IF(C89&gt;=E89,"Successful","Unsuccessful"),"🔒 BLOCKED — Wrong Code")),"—")</f>
        <v/>
      </c>
      <c r="K89" s="493">
        <f>IF(J89="Successful",TEXT(TODAY(),"YYYY-MM-DD")&amp;" Auto","—")</f>
        <v/>
      </c>
      <c r="L89" s="494" t="n"/>
    </row>
    <row r="90" ht="15" customHeight="1" s="341">
      <c r="A90" s="495" t="n"/>
      <c r="B90" s="382">
        <f>IF(A90="","",IFERROR(VLOOKUP(A90,DB_Customers!$A:$D,4,0),"❌ Account Not Found"))</f>
        <v/>
      </c>
      <c r="C90" s="496">
        <f>IF(A90="","",IFERROR(VLOOKUP(A90,DB_Customers!$A:$N,14,0),""))</f>
        <v/>
      </c>
      <c r="D90" s="497">
        <f>IF(A90="","",TODAY())</f>
        <v/>
      </c>
      <c r="E90" s="510" t="n"/>
      <c r="F90" s="382" t="n"/>
      <c r="G90" s="512">
        <f>IF(OR(A90="",E90=""),"",IF(C90="","",C90-E90))</f>
        <v/>
      </c>
      <c r="H90" s="384" t="inlineStr">
        <is>
          <t>Agent 04</t>
        </is>
      </c>
      <c r="I90" s="491" t="n"/>
      <c r="J90" s="499">
        <f>IF(AND(A90&lt;&gt;"",E90&lt;&gt;""),IF(I90="","⚠️ Enter Code",IF(IFERROR(VLOOKUP(H90,DB_Agents!$B:$I,8,0),"")=I90,IF(C90&gt;=E90,"Successful","Unsuccessful"),"🔒 BLOCKED — Wrong Code")),"—")</f>
        <v/>
      </c>
      <c r="K90" s="500">
        <f>IF(J90="Successful",TEXT(TODAY(),"YYYY-MM-DD")&amp;" Auto","—")</f>
        <v/>
      </c>
      <c r="L90" s="501" t="n"/>
    </row>
    <row r="91" ht="15" customHeight="1" s="341">
      <c r="A91" s="486" t="n"/>
      <c r="B91" s="378">
        <f>IF(A91="","",IFERROR(VLOOKUP(A91,DB_Customers!$A:$D,4,0),"❌ Account Not Found"))</f>
        <v/>
      </c>
      <c r="C91" s="487">
        <f>IF(A91="","",IFERROR(VLOOKUP(A91,DB_Customers!$A:$N,14,0),""))</f>
        <v/>
      </c>
      <c r="D91" s="488">
        <f>IF(A91="","",TODAY())</f>
        <v/>
      </c>
      <c r="E91" s="510" t="n"/>
      <c r="F91" s="378" t="n"/>
      <c r="G91" s="511">
        <f>IF(OR(A91="",E91=""),"",IF(C91="","",C91-E91))</f>
        <v/>
      </c>
      <c r="H91" s="380" t="inlineStr">
        <is>
          <t>Agent 04</t>
        </is>
      </c>
      <c r="I91" s="491" t="n"/>
      <c r="J91" s="492">
        <f>IF(AND(A91&lt;&gt;"",E91&lt;&gt;""),IF(I91="","⚠️ Enter Code",IF(IFERROR(VLOOKUP(H91,DB_Agents!$B:$I,8,0),"")=I91,IF(C91&gt;=E91,"Successful","Unsuccessful"),"🔒 BLOCKED — Wrong Code")),"—")</f>
        <v/>
      </c>
      <c r="K91" s="493">
        <f>IF(J91="Successful",TEXT(TODAY(),"YYYY-MM-DD")&amp;" Auto","—")</f>
        <v/>
      </c>
      <c r="L91" s="494" t="n"/>
    </row>
    <row r="92" ht="15" customHeight="1" s="341">
      <c r="A92" s="495" t="n"/>
      <c r="B92" s="382">
        <f>IF(A92="","",IFERROR(VLOOKUP(A92,DB_Customers!$A:$D,4,0),"❌ Account Not Found"))</f>
        <v/>
      </c>
      <c r="C92" s="496">
        <f>IF(A92="","",IFERROR(VLOOKUP(A92,DB_Customers!$A:$N,14,0),""))</f>
        <v/>
      </c>
      <c r="D92" s="497">
        <f>IF(A92="","",TODAY())</f>
        <v/>
      </c>
      <c r="E92" s="510" t="n"/>
      <c r="F92" s="382" t="n"/>
      <c r="G92" s="512">
        <f>IF(OR(A92="",E92=""),"",IF(C92="","",C92-E92))</f>
        <v/>
      </c>
      <c r="H92" s="384" t="inlineStr">
        <is>
          <t>Agent 04</t>
        </is>
      </c>
      <c r="I92" s="491" t="n"/>
      <c r="J92" s="499">
        <f>IF(AND(A92&lt;&gt;"",E92&lt;&gt;""),IF(I92="","⚠️ Enter Code",IF(IFERROR(VLOOKUP(H92,DB_Agents!$B:$I,8,0),"")=I92,IF(C92&gt;=E92,"Successful","Unsuccessful"),"🔒 BLOCKED — Wrong Code")),"—")</f>
        <v/>
      </c>
      <c r="K92" s="500">
        <f>IF(J92="Successful",TEXT(TODAY(),"YYYY-MM-DD")&amp;" Auto","—")</f>
        <v/>
      </c>
      <c r="L92" s="501" t="n"/>
    </row>
    <row r="93" ht="15" customHeight="1" s="341">
      <c r="A93" s="486" t="n"/>
      <c r="B93" s="378">
        <f>IF(A93="","",IFERROR(VLOOKUP(A93,DB_Customers!$A:$D,4,0),"❌ Account Not Found"))</f>
        <v/>
      </c>
      <c r="C93" s="487">
        <f>IF(A93="","",IFERROR(VLOOKUP(A93,DB_Customers!$A:$N,14,0),""))</f>
        <v/>
      </c>
      <c r="D93" s="488">
        <f>IF(A93="","",TODAY())</f>
        <v/>
      </c>
      <c r="E93" s="510" t="n"/>
      <c r="F93" s="378" t="n"/>
      <c r="G93" s="511">
        <f>IF(OR(A93="",E93=""),"",IF(C93="","",C93-E93))</f>
        <v/>
      </c>
      <c r="H93" s="380" t="inlineStr">
        <is>
          <t>Agent 04</t>
        </is>
      </c>
      <c r="I93" s="491" t="n"/>
      <c r="J93" s="492">
        <f>IF(AND(A93&lt;&gt;"",E93&lt;&gt;""),IF(I93="","⚠️ Enter Code",IF(IFERROR(VLOOKUP(H93,DB_Agents!$B:$I,8,0),"")=I93,IF(C93&gt;=E93,"Successful","Unsuccessful"),"🔒 BLOCKED — Wrong Code")),"—")</f>
        <v/>
      </c>
      <c r="K93" s="493">
        <f>IF(J93="Successful",TEXT(TODAY(),"YYYY-MM-DD")&amp;" Auto","—")</f>
        <v/>
      </c>
      <c r="L93" s="494" t="n"/>
    </row>
    <row r="94" ht="15" customHeight="1" s="341">
      <c r="A94" s="495" t="n"/>
      <c r="B94" s="382">
        <f>IF(A94="","",IFERROR(VLOOKUP(A94,DB_Customers!$A:$D,4,0),"❌ Account Not Found"))</f>
        <v/>
      </c>
      <c r="C94" s="496">
        <f>IF(A94="","",IFERROR(VLOOKUP(A94,DB_Customers!$A:$N,14,0),""))</f>
        <v/>
      </c>
      <c r="D94" s="497">
        <f>IF(A94="","",TODAY())</f>
        <v/>
      </c>
      <c r="E94" s="510" t="n"/>
      <c r="F94" s="382" t="n"/>
      <c r="G94" s="512">
        <f>IF(OR(A94="",E94=""),"",IF(C94="","",C94-E94))</f>
        <v/>
      </c>
      <c r="H94" s="384" t="inlineStr">
        <is>
          <t>Agent 04</t>
        </is>
      </c>
      <c r="I94" s="491" t="n"/>
      <c r="J94" s="499">
        <f>IF(AND(A94&lt;&gt;"",E94&lt;&gt;""),IF(I94="","⚠️ Enter Code",IF(IFERROR(VLOOKUP(H94,DB_Agents!$B:$I,8,0),"")=I94,IF(C94&gt;=E94,"Successful","Unsuccessful"),"🔒 BLOCKED — Wrong Code")),"—")</f>
        <v/>
      </c>
      <c r="K94" s="500">
        <f>IF(J94="Successful",TEXT(TODAY(),"YYYY-MM-DD")&amp;" Auto","—")</f>
        <v/>
      </c>
      <c r="L94" s="501" t="n"/>
    </row>
    <row r="95" ht="15" customHeight="1" s="341">
      <c r="A95" s="486" t="n"/>
      <c r="B95" s="378">
        <f>IF(A95="","",IFERROR(VLOOKUP(A95,DB_Customers!$A:$D,4,0),"❌ Account Not Found"))</f>
        <v/>
      </c>
      <c r="C95" s="487">
        <f>IF(A95="","",IFERROR(VLOOKUP(A95,DB_Customers!$A:$N,14,0),""))</f>
        <v/>
      </c>
      <c r="D95" s="488">
        <f>IF(A95="","",TODAY())</f>
        <v/>
      </c>
      <c r="E95" s="510" t="n"/>
      <c r="F95" s="378" t="n"/>
      <c r="G95" s="511">
        <f>IF(OR(A95="",E95=""),"",IF(C95="","",C95-E95))</f>
        <v/>
      </c>
      <c r="H95" s="380" t="inlineStr">
        <is>
          <t>Agent 04</t>
        </is>
      </c>
      <c r="I95" s="491" t="n"/>
      <c r="J95" s="492">
        <f>IF(AND(A95&lt;&gt;"",E95&lt;&gt;""),IF(I95="","⚠️ Enter Code",IF(IFERROR(VLOOKUP(H95,DB_Agents!$B:$I,8,0),"")=I95,IF(C95&gt;=E95,"Successful","Unsuccessful"),"🔒 BLOCKED — Wrong Code")),"—")</f>
        <v/>
      </c>
      <c r="K95" s="493">
        <f>IF(J95="Successful",TEXT(TODAY(),"YYYY-MM-DD")&amp;" Auto","—")</f>
        <v/>
      </c>
      <c r="L95" s="494" t="n"/>
    </row>
    <row r="96" ht="15" customHeight="1" s="341">
      <c r="A96" s="495" t="n"/>
      <c r="B96" s="382">
        <f>IF(A96="","",IFERROR(VLOOKUP(A96,DB_Customers!$A:$D,4,0),"❌ Account Not Found"))</f>
        <v/>
      </c>
      <c r="C96" s="496">
        <f>IF(A96="","",IFERROR(VLOOKUP(A96,DB_Customers!$A:$N,14,0),""))</f>
        <v/>
      </c>
      <c r="D96" s="497">
        <f>IF(A96="","",TODAY())</f>
        <v/>
      </c>
      <c r="E96" s="510" t="n"/>
      <c r="F96" s="382" t="n"/>
      <c r="G96" s="512">
        <f>IF(OR(A96="",E96=""),"",IF(C96="","",C96-E96))</f>
        <v/>
      </c>
      <c r="H96" s="384" t="inlineStr">
        <is>
          <t>Agent 04</t>
        </is>
      </c>
      <c r="I96" s="491" t="n"/>
      <c r="J96" s="499">
        <f>IF(AND(A96&lt;&gt;"",E96&lt;&gt;""),IF(I96="","⚠️ Enter Code",IF(IFERROR(VLOOKUP(H96,DB_Agents!$B:$I,8,0),"")=I96,IF(C96&gt;=E96,"Successful","Unsuccessful"),"🔒 BLOCKED — Wrong Code")),"—")</f>
        <v/>
      </c>
      <c r="K96" s="500">
        <f>IF(J96="Successful",TEXT(TODAY(),"YYYY-MM-DD")&amp;" Auto","—")</f>
        <v/>
      </c>
      <c r="L96" s="501" t="n"/>
    </row>
    <row r="97" ht="15" customHeight="1" s="341">
      <c r="A97" s="486" t="n"/>
      <c r="B97" s="378">
        <f>IF(A97="","",IFERROR(VLOOKUP(A97,DB_Customers!$A:$D,4,0),"❌ Account Not Found"))</f>
        <v/>
      </c>
      <c r="C97" s="487">
        <f>IF(A97="","",IFERROR(VLOOKUP(A97,DB_Customers!$A:$N,14,0),""))</f>
        <v/>
      </c>
      <c r="D97" s="488">
        <f>IF(A97="","",TODAY())</f>
        <v/>
      </c>
      <c r="E97" s="510" t="n"/>
      <c r="F97" s="378" t="n"/>
      <c r="G97" s="511">
        <f>IF(OR(A97="",E97=""),"",IF(C97="","",C97-E97))</f>
        <v/>
      </c>
      <c r="H97" s="380" t="inlineStr">
        <is>
          <t>Agent 04</t>
        </is>
      </c>
      <c r="I97" s="491" t="n"/>
      <c r="J97" s="492">
        <f>IF(AND(A97&lt;&gt;"",E97&lt;&gt;""),IF(I97="","⚠️ Enter Code",IF(IFERROR(VLOOKUP(H97,DB_Agents!$B:$I,8,0),"")=I97,IF(C97&gt;=E97,"Successful","Unsuccessful"),"🔒 BLOCKED — Wrong Code")),"—")</f>
        <v/>
      </c>
      <c r="K97" s="493">
        <f>IF(J97="Successful",TEXT(TODAY(),"YYYY-MM-DD")&amp;" Auto","—")</f>
        <v/>
      </c>
      <c r="L97" s="494" t="n"/>
    </row>
    <row r="98" ht="15" customHeight="1" s="341">
      <c r="A98" s="495" t="n"/>
      <c r="B98" s="382">
        <f>IF(A98="","",IFERROR(VLOOKUP(A98,DB_Customers!$A:$D,4,0),"❌ Account Not Found"))</f>
        <v/>
      </c>
      <c r="C98" s="496">
        <f>IF(A98="","",IFERROR(VLOOKUP(A98,DB_Customers!$A:$N,14,0),""))</f>
        <v/>
      </c>
      <c r="D98" s="497">
        <f>IF(A98="","",TODAY())</f>
        <v/>
      </c>
      <c r="E98" s="510" t="n"/>
      <c r="F98" s="382" t="n"/>
      <c r="G98" s="512">
        <f>IF(OR(A98="",E98=""),"",IF(C98="","",C98-E98))</f>
        <v/>
      </c>
      <c r="H98" s="384" t="inlineStr">
        <is>
          <t>Agent 04</t>
        </is>
      </c>
      <c r="I98" s="491" t="n"/>
      <c r="J98" s="499">
        <f>IF(AND(A98&lt;&gt;"",E98&lt;&gt;""),IF(I98="","⚠️ Enter Code",IF(IFERROR(VLOOKUP(H98,DB_Agents!$B:$I,8,0),"")=I98,IF(C98&gt;=E98,"Successful","Unsuccessful"),"🔒 BLOCKED — Wrong Code")),"—")</f>
        <v/>
      </c>
      <c r="K98" s="500">
        <f>IF(J98="Successful",TEXT(TODAY(),"YYYY-MM-DD")&amp;" Auto","—")</f>
        <v/>
      </c>
      <c r="L98" s="501" t="n"/>
    </row>
    <row r="99" ht="15" customHeight="1" s="341">
      <c r="A99" s="486" t="n"/>
      <c r="B99" s="378">
        <f>IF(A99="","",IFERROR(VLOOKUP(A99,DB_Customers!$A:$D,4,0),"❌ Account Not Found"))</f>
        <v/>
      </c>
      <c r="C99" s="487">
        <f>IF(A99="","",IFERROR(VLOOKUP(A99,DB_Customers!$A:$N,14,0),""))</f>
        <v/>
      </c>
      <c r="D99" s="488">
        <f>IF(A99="","",TODAY())</f>
        <v/>
      </c>
      <c r="E99" s="510" t="n"/>
      <c r="F99" s="378" t="n"/>
      <c r="G99" s="511">
        <f>IF(OR(A99="",E99=""),"",IF(C99="","",C99-E99))</f>
        <v/>
      </c>
      <c r="H99" s="380" t="inlineStr">
        <is>
          <t>Agent 04</t>
        </is>
      </c>
      <c r="I99" s="491" t="n"/>
      <c r="J99" s="492">
        <f>IF(AND(A99&lt;&gt;"",E99&lt;&gt;""),IF(I99="","⚠️ Enter Code",IF(IFERROR(VLOOKUP(H99,DB_Agents!$B:$I,8,0),"")=I99,IF(C99&gt;=E99,"Successful","Unsuccessful"),"🔒 BLOCKED — Wrong Code")),"—")</f>
        <v/>
      </c>
      <c r="K99" s="493">
        <f>IF(J99="Successful",TEXT(TODAY(),"YYYY-MM-DD")&amp;" Auto","—")</f>
        <v/>
      </c>
      <c r="L99" s="494" t="n"/>
    </row>
    <row r="100" ht="15" customHeight="1" s="341">
      <c r="A100" s="495" t="n"/>
      <c r="B100" s="382">
        <f>IF(A100="","",IFERROR(VLOOKUP(A100,DB_Customers!$A:$D,4,0),"❌ Account Not Found"))</f>
        <v/>
      </c>
      <c r="C100" s="496">
        <f>IF(A100="","",IFERROR(VLOOKUP(A100,DB_Customers!$A:$N,14,0),""))</f>
        <v/>
      </c>
      <c r="D100" s="497">
        <f>IF(A100="","",TODAY())</f>
        <v/>
      </c>
      <c r="E100" s="510" t="n"/>
      <c r="F100" s="382" t="n"/>
      <c r="G100" s="512">
        <f>IF(OR(A100="",E100=""),"",IF(C100="","",C100-E100))</f>
        <v/>
      </c>
      <c r="H100" s="384" t="inlineStr">
        <is>
          <t>Agent 04</t>
        </is>
      </c>
      <c r="I100" s="491" t="n"/>
      <c r="J100" s="499">
        <f>IF(AND(A100&lt;&gt;"",E100&lt;&gt;""),IF(I100="","⚠️ Enter Code",IF(IFERROR(VLOOKUP(H100,DB_Agents!$B:$I,8,0),"")=I100,IF(C100&gt;=E100,"Successful","Unsuccessful"),"🔒 BLOCKED — Wrong Code")),"—")</f>
        <v/>
      </c>
      <c r="K100" s="500">
        <f>IF(J100="Successful",TEXT(TODAY(),"YYYY-MM-DD")&amp;" Auto","—")</f>
        <v/>
      </c>
      <c r="L100" s="501" t="n"/>
    </row>
    <row r="101" ht="15" customHeight="1" s="341">
      <c r="A101" s="486" t="n"/>
      <c r="B101" s="378">
        <f>IF(A101="","",IFERROR(VLOOKUP(A101,DB_Customers!$A:$D,4,0),"❌ Account Not Found"))</f>
        <v/>
      </c>
      <c r="C101" s="487">
        <f>IF(A101="","",IFERROR(VLOOKUP(A101,DB_Customers!$A:$N,14,0),""))</f>
        <v/>
      </c>
      <c r="D101" s="488">
        <f>IF(A101="","",TODAY())</f>
        <v/>
      </c>
      <c r="E101" s="510" t="n"/>
      <c r="F101" s="378" t="n"/>
      <c r="G101" s="511">
        <f>IF(OR(A101="",E101=""),"",IF(C101="","",C101-E101))</f>
        <v/>
      </c>
      <c r="H101" s="380" t="inlineStr">
        <is>
          <t>Agent 04</t>
        </is>
      </c>
      <c r="I101" s="491" t="n"/>
      <c r="J101" s="492">
        <f>IF(AND(A101&lt;&gt;"",E101&lt;&gt;""),IF(I101="","⚠️ Enter Code",IF(IFERROR(VLOOKUP(H101,DB_Agents!$B:$I,8,0),"")=I101,IF(C101&gt;=E101,"Successful","Unsuccessful"),"🔒 BLOCKED — Wrong Code")),"—")</f>
        <v/>
      </c>
      <c r="K101" s="493">
        <f>IF(J101="Successful",TEXT(TODAY(),"YYYY-MM-DD")&amp;" Auto","—")</f>
        <v/>
      </c>
      <c r="L101" s="494" t="n"/>
    </row>
    <row r="102" ht="15" customHeight="1" s="341">
      <c r="A102" s="495" t="n"/>
      <c r="B102" s="382">
        <f>IF(A102="","",IFERROR(VLOOKUP(A102,DB_Customers!$A:$D,4,0),"❌ Account Not Found"))</f>
        <v/>
      </c>
      <c r="C102" s="496">
        <f>IF(A102="","",IFERROR(VLOOKUP(A102,DB_Customers!$A:$N,14,0),""))</f>
        <v/>
      </c>
      <c r="D102" s="497">
        <f>IF(A102="","",TODAY())</f>
        <v/>
      </c>
      <c r="E102" s="510" t="n"/>
      <c r="F102" s="382" t="n"/>
      <c r="G102" s="512">
        <f>IF(OR(A102="",E102=""),"",IF(C102="","",C102-E102))</f>
        <v/>
      </c>
      <c r="H102" s="384" t="inlineStr">
        <is>
          <t>Agent 04</t>
        </is>
      </c>
      <c r="I102" s="491" t="n"/>
      <c r="J102" s="499">
        <f>IF(AND(A102&lt;&gt;"",E102&lt;&gt;""),IF(I102="","⚠️ Enter Code",IF(IFERROR(VLOOKUP(H102,DB_Agents!$B:$I,8,0),"")=I102,IF(C102&gt;=E102,"Successful","Unsuccessful"),"🔒 BLOCKED — Wrong Code")),"—")</f>
        <v/>
      </c>
      <c r="K102" s="500">
        <f>IF(J102="Successful",TEXT(TODAY(),"YYYY-MM-DD")&amp;" Auto","—")</f>
        <v/>
      </c>
      <c r="L102" s="501" t="n"/>
    </row>
    <row r="103" ht="15" customHeight="1" s="341">
      <c r="A103" s="486" t="n"/>
      <c r="B103" s="378">
        <f>IF(A103="","",IFERROR(VLOOKUP(A103,DB_Customers!$A:$D,4,0),"❌ Account Not Found"))</f>
        <v/>
      </c>
      <c r="C103" s="487">
        <f>IF(A103="","",IFERROR(VLOOKUP(A103,DB_Customers!$A:$N,14,0),""))</f>
        <v/>
      </c>
      <c r="D103" s="488">
        <f>IF(A103="","",TODAY())</f>
        <v/>
      </c>
      <c r="E103" s="510" t="n"/>
      <c r="F103" s="378" t="n"/>
      <c r="G103" s="511">
        <f>IF(OR(A103="",E103=""),"",IF(C103="","",C103-E103))</f>
        <v/>
      </c>
      <c r="H103" s="380" t="inlineStr">
        <is>
          <t>Agent 04</t>
        </is>
      </c>
      <c r="I103" s="491" t="n"/>
      <c r="J103" s="492">
        <f>IF(AND(A103&lt;&gt;"",E103&lt;&gt;""),IF(I103="","⚠️ Enter Code",IF(IFERROR(VLOOKUP(H103,DB_Agents!$B:$I,8,0),"")=I103,IF(C103&gt;=E103,"Successful","Unsuccessful"),"🔒 BLOCKED — Wrong Code")),"—")</f>
        <v/>
      </c>
      <c r="K103" s="493">
        <f>IF(J103="Successful",TEXT(TODAY(),"YYYY-MM-DD")&amp;" Auto","—")</f>
        <v/>
      </c>
      <c r="L103" s="494" t="n"/>
    </row>
    <row r="104" ht="15" customHeight="1" s="341">
      <c r="A104" s="495" t="n"/>
      <c r="B104" s="382">
        <f>IF(A104="","",IFERROR(VLOOKUP(A104,DB_Customers!$A:$D,4,0),"❌ Account Not Found"))</f>
        <v/>
      </c>
      <c r="C104" s="496">
        <f>IF(A104="","",IFERROR(VLOOKUP(A104,DB_Customers!$A:$N,14,0),""))</f>
        <v/>
      </c>
      <c r="D104" s="497">
        <f>IF(A104="","",TODAY())</f>
        <v/>
      </c>
      <c r="E104" s="510" t="n"/>
      <c r="F104" s="382" t="n"/>
      <c r="G104" s="512">
        <f>IF(OR(A104="",E104=""),"",IF(C104="","",C104-E104))</f>
        <v/>
      </c>
      <c r="H104" s="384" t="inlineStr">
        <is>
          <t>Agent 04</t>
        </is>
      </c>
      <c r="I104" s="491" t="n"/>
      <c r="J104" s="499">
        <f>IF(AND(A104&lt;&gt;"",E104&lt;&gt;""),IF(I104="","⚠️ Enter Code",IF(IFERROR(VLOOKUP(H104,DB_Agents!$B:$I,8,0),"")=I104,IF(C104&gt;=E104,"Successful","Unsuccessful"),"🔒 BLOCKED — Wrong Code")),"—")</f>
        <v/>
      </c>
      <c r="K104" s="500">
        <f>IF(J104="Successful",TEXT(TODAY(),"YYYY-MM-DD")&amp;" Auto","—")</f>
        <v/>
      </c>
      <c r="L104" s="501" t="n"/>
    </row>
    <row r="105" ht="15" customHeight="1" s="341">
      <c r="A105" s="486" t="n"/>
      <c r="B105" s="378">
        <f>IF(A105="","",IFERROR(VLOOKUP(A105,DB_Customers!$A:$D,4,0),"❌ Account Not Found"))</f>
        <v/>
      </c>
      <c r="C105" s="487">
        <f>IF(A105="","",IFERROR(VLOOKUP(A105,DB_Customers!$A:$N,14,0),""))</f>
        <v/>
      </c>
      <c r="D105" s="488">
        <f>IF(A105="","",TODAY())</f>
        <v/>
      </c>
      <c r="E105" s="510" t="n"/>
      <c r="F105" s="378" t="n"/>
      <c r="G105" s="511">
        <f>IF(OR(A105="",E105=""),"",IF(C105="","",C105-E105))</f>
        <v/>
      </c>
      <c r="H105" s="380" t="inlineStr">
        <is>
          <t>Agent 04</t>
        </is>
      </c>
      <c r="I105" s="491" t="n"/>
      <c r="J105" s="492">
        <f>IF(AND(A105&lt;&gt;"",E105&lt;&gt;""),IF(I105="","⚠️ Enter Code",IF(IFERROR(VLOOKUP(H105,DB_Agents!$B:$I,8,0),"")=I105,IF(C105&gt;=E105,"Successful","Unsuccessful"),"🔒 BLOCKED — Wrong Code")),"—")</f>
        <v/>
      </c>
      <c r="K105" s="493">
        <f>IF(J105="Successful",TEXT(TODAY(),"YYYY-MM-DD")&amp;" Auto","—")</f>
        <v/>
      </c>
      <c r="L105" s="494" t="n"/>
    </row>
    <row r="106" ht="15" customHeight="1" s="341">
      <c r="A106" s="495" t="n"/>
      <c r="B106" s="382">
        <f>IF(A106="","",IFERROR(VLOOKUP(A106,DB_Customers!$A:$D,4,0),"❌ Account Not Found"))</f>
        <v/>
      </c>
      <c r="C106" s="496">
        <f>IF(A106="","",IFERROR(VLOOKUP(A106,DB_Customers!$A:$N,14,0),""))</f>
        <v/>
      </c>
      <c r="D106" s="497">
        <f>IF(A106="","",TODAY())</f>
        <v/>
      </c>
      <c r="E106" s="510" t="n"/>
      <c r="F106" s="382" t="n"/>
      <c r="G106" s="512">
        <f>IF(OR(A106="",E106=""),"",IF(C106="","",C106-E106))</f>
        <v/>
      </c>
      <c r="H106" s="384" t="inlineStr">
        <is>
          <t>Agent 04</t>
        </is>
      </c>
      <c r="I106" s="491" t="n"/>
      <c r="J106" s="499">
        <f>IF(AND(A106&lt;&gt;"",E106&lt;&gt;""),IF(I106="","⚠️ Enter Code",IF(IFERROR(VLOOKUP(H106,DB_Agents!$B:$I,8,0),"")=I106,IF(C106&gt;=E106,"Successful","Unsuccessful"),"🔒 BLOCKED — Wrong Code")),"—")</f>
        <v/>
      </c>
      <c r="K106" s="500">
        <f>IF(J106="Successful",TEXT(TODAY(),"YYYY-MM-DD")&amp;" Auto","—")</f>
        <v/>
      </c>
      <c r="L106" s="501" t="n"/>
    </row>
    <row r="107" ht="15" customHeight="1" s="341">
      <c r="A107" s="486" t="n"/>
      <c r="B107" s="378">
        <f>IF(A107="","",IFERROR(VLOOKUP(A107,DB_Customers!$A:$D,4,0),"❌ Account Not Found"))</f>
        <v/>
      </c>
      <c r="C107" s="487">
        <f>IF(A107="","",IFERROR(VLOOKUP(A107,DB_Customers!$A:$N,14,0),""))</f>
        <v/>
      </c>
      <c r="D107" s="488">
        <f>IF(A107="","",TODAY())</f>
        <v/>
      </c>
      <c r="E107" s="510" t="n"/>
      <c r="F107" s="378" t="n"/>
      <c r="G107" s="511">
        <f>IF(OR(A107="",E107=""),"",IF(C107="","",C107-E107))</f>
        <v/>
      </c>
      <c r="H107" s="380" t="inlineStr">
        <is>
          <t>Agent 04</t>
        </is>
      </c>
      <c r="I107" s="491" t="n"/>
      <c r="J107" s="492">
        <f>IF(AND(A107&lt;&gt;"",E107&lt;&gt;""),IF(I107="","⚠️ Enter Code",IF(IFERROR(VLOOKUP(H107,DB_Agents!$B:$I,8,0),"")=I107,IF(C107&gt;=E107,"Successful","Unsuccessful"),"🔒 BLOCKED — Wrong Code")),"—")</f>
        <v/>
      </c>
      <c r="K107" s="493">
        <f>IF(J107="Successful",TEXT(TODAY(),"YYYY-MM-DD")&amp;" Auto","—")</f>
        <v/>
      </c>
      <c r="L107" s="494" t="n"/>
    </row>
    <row r="108" ht="15" customHeight="1" s="341">
      <c r="A108" s="495" t="n"/>
      <c r="B108" s="382">
        <f>IF(A108="","",IFERROR(VLOOKUP(A108,DB_Customers!$A:$D,4,0),"❌ Account Not Found"))</f>
        <v/>
      </c>
      <c r="C108" s="496">
        <f>IF(A108="","",IFERROR(VLOOKUP(A108,DB_Customers!$A:$N,14,0),""))</f>
        <v/>
      </c>
      <c r="D108" s="497">
        <f>IF(A108="","",TODAY())</f>
        <v/>
      </c>
      <c r="E108" s="510" t="n"/>
      <c r="F108" s="382" t="n"/>
      <c r="G108" s="512">
        <f>IF(OR(A108="",E108=""),"",IF(C108="","",C108-E108))</f>
        <v/>
      </c>
      <c r="H108" s="384" t="inlineStr">
        <is>
          <t>Agent 04</t>
        </is>
      </c>
      <c r="I108" s="491" t="n"/>
      <c r="J108" s="499">
        <f>IF(AND(A108&lt;&gt;"",E108&lt;&gt;""),IF(I108="","⚠️ Enter Code",IF(IFERROR(VLOOKUP(H108,DB_Agents!$B:$I,8,0),"")=I108,IF(C108&gt;=E108,"Successful","Unsuccessful"),"🔒 BLOCKED — Wrong Code")),"—")</f>
        <v/>
      </c>
      <c r="K108" s="500">
        <f>IF(J108="Successful",TEXT(TODAY(),"YYYY-MM-DD")&amp;" Auto","—")</f>
        <v/>
      </c>
      <c r="L108" s="501" t="n"/>
    </row>
    <row r="109" ht="15" customHeight="1" s="341">
      <c r="A109" s="486" t="n"/>
      <c r="B109" s="378">
        <f>IF(A109="","",IFERROR(VLOOKUP(A109,DB_Customers!$A:$D,4,0),"❌ Account Not Found"))</f>
        <v/>
      </c>
      <c r="C109" s="487">
        <f>IF(A109="","",IFERROR(VLOOKUP(A109,DB_Customers!$A:$N,14,0),""))</f>
        <v/>
      </c>
      <c r="D109" s="488">
        <f>IF(A109="","",TODAY())</f>
        <v/>
      </c>
      <c r="E109" s="510" t="n"/>
      <c r="F109" s="378" t="n"/>
      <c r="G109" s="511">
        <f>IF(OR(A109="",E109=""),"",IF(C109="","",C109-E109))</f>
        <v/>
      </c>
      <c r="H109" s="380" t="inlineStr">
        <is>
          <t>Agent 04</t>
        </is>
      </c>
      <c r="I109" s="491" t="n"/>
      <c r="J109" s="492">
        <f>IF(AND(A109&lt;&gt;"",E109&lt;&gt;""),IF(I109="","⚠️ Enter Code",IF(IFERROR(VLOOKUP(H109,DB_Agents!$B:$I,8,0),"")=I109,IF(C109&gt;=E109,"Successful","Unsuccessful"),"🔒 BLOCKED — Wrong Code")),"—")</f>
        <v/>
      </c>
      <c r="K109" s="493">
        <f>IF(J109="Successful",TEXT(TODAY(),"YYYY-MM-DD")&amp;" Auto","—")</f>
        <v/>
      </c>
      <c r="L109" s="494" t="n"/>
    </row>
    <row r="110" ht="15" customHeight="1" s="341">
      <c r="A110" s="495" t="n"/>
      <c r="B110" s="382">
        <f>IF(A110="","",IFERROR(VLOOKUP(A110,DB_Customers!$A:$D,4,0),"❌ Account Not Found"))</f>
        <v/>
      </c>
      <c r="C110" s="496">
        <f>IF(A110="","",IFERROR(VLOOKUP(A110,DB_Customers!$A:$N,14,0),""))</f>
        <v/>
      </c>
      <c r="D110" s="497">
        <f>IF(A110="","",TODAY())</f>
        <v/>
      </c>
      <c r="E110" s="510" t="n"/>
      <c r="F110" s="382" t="n"/>
      <c r="G110" s="512">
        <f>IF(OR(A110="",E110=""),"",IF(C110="","",C110-E110))</f>
        <v/>
      </c>
      <c r="H110" s="384" t="inlineStr">
        <is>
          <t>Agent 04</t>
        </is>
      </c>
      <c r="I110" s="491" t="n"/>
      <c r="J110" s="499">
        <f>IF(AND(A110&lt;&gt;"",E110&lt;&gt;""),IF(I110="","⚠️ Enter Code",IF(IFERROR(VLOOKUP(H110,DB_Agents!$B:$I,8,0),"")=I110,IF(C110&gt;=E110,"Successful","Unsuccessful"),"🔒 BLOCKED — Wrong Code")),"—")</f>
        <v/>
      </c>
      <c r="K110" s="500">
        <f>IF(J110="Successful",TEXT(TODAY(),"YYYY-MM-DD")&amp;" Auto","—")</f>
        <v/>
      </c>
      <c r="L110" s="501" t="n"/>
    </row>
    <row r="111" ht="15" customHeight="1" s="341">
      <c r="A111" s="486" t="n"/>
      <c r="B111" s="378">
        <f>IF(A111="","",IFERROR(VLOOKUP(A111,DB_Customers!$A:$D,4,0),"❌ Account Not Found"))</f>
        <v/>
      </c>
      <c r="C111" s="487">
        <f>IF(A111="","",IFERROR(VLOOKUP(A111,DB_Customers!$A:$N,14,0),""))</f>
        <v/>
      </c>
      <c r="D111" s="488">
        <f>IF(A111="","",TODAY())</f>
        <v/>
      </c>
      <c r="E111" s="510" t="n"/>
      <c r="F111" s="378" t="n"/>
      <c r="G111" s="511">
        <f>IF(OR(A111="",E111=""),"",IF(C111="","",C111-E111))</f>
        <v/>
      </c>
      <c r="H111" s="380" t="inlineStr">
        <is>
          <t>Agent 04</t>
        </is>
      </c>
      <c r="I111" s="491" t="n"/>
      <c r="J111" s="492">
        <f>IF(AND(A111&lt;&gt;"",E111&lt;&gt;""),IF(I111="","⚠️ Enter Code",IF(IFERROR(VLOOKUP(H111,DB_Agents!$B:$I,8,0),"")=I111,IF(C111&gt;=E111,"Successful","Unsuccessful"),"🔒 BLOCKED — Wrong Code")),"—")</f>
        <v/>
      </c>
      <c r="K111" s="493">
        <f>IF(J111="Successful",TEXT(TODAY(),"YYYY-MM-DD")&amp;" Auto","—")</f>
        <v/>
      </c>
      <c r="L111" s="494" t="n"/>
    </row>
    <row r="112" ht="15" customHeight="1" s="341">
      <c r="A112" s="495" t="n"/>
      <c r="B112" s="382">
        <f>IF(A112="","",IFERROR(VLOOKUP(A112,DB_Customers!$A:$D,4,0),"❌ Account Not Found"))</f>
        <v/>
      </c>
      <c r="C112" s="496">
        <f>IF(A112="","",IFERROR(VLOOKUP(A112,DB_Customers!$A:$N,14,0),""))</f>
        <v/>
      </c>
      <c r="D112" s="497">
        <f>IF(A112="","",TODAY())</f>
        <v/>
      </c>
      <c r="E112" s="510" t="n"/>
      <c r="F112" s="382" t="n"/>
      <c r="G112" s="512">
        <f>IF(OR(A112="",E112=""),"",IF(C112="","",C112-E112))</f>
        <v/>
      </c>
      <c r="H112" s="384" t="inlineStr">
        <is>
          <t>Agent 04</t>
        </is>
      </c>
      <c r="I112" s="491" t="n"/>
      <c r="J112" s="499">
        <f>IF(AND(A112&lt;&gt;"",E112&lt;&gt;""),IF(I112="","⚠️ Enter Code",IF(IFERROR(VLOOKUP(H112,DB_Agents!$B:$I,8,0),"")=I112,IF(C112&gt;=E112,"Successful","Unsuccessful"),"🔒 BLOCKED — Wrong Code")),"—")</f>
        <v/>
      </c>
      <c r="K112" s="500">
        <f>IF(J112="Successful",TEXT(TODAY(),"YYYY-MM-DD")&amp;" Auto","—")</f>
        <v/>
      </c>
      <c r="L112" s="501" t="n"/>
    </row>
    <row r="113" ht="15" customHeight="1" s="341">
      <c r="A113" s="486" t="n"/>
      <c r="B113" s="378">
        <f>IF(A113="","",IFERROR(VLOOKUP(A113,DB_Customers!$A:$D,4,0),"❌ Account Not Found"))</f>
        <v/>
      </c>
      <c r="C113" s="487">
        <f>IF(A113="","",IFERROR(VLOOKUP(A113,DB_Customers!$A:$N,14,0),""))</f>
        <v/>
      </c>
      <c r="D113" s="488">
        <f>IF(A113="","",TODAY())</f>
        <v/>
      </c>
      <c r="E113" s="510" t="n"/>
      <c r="F113" s="378" t="n"/>
      <c r="G113" s="511">
        <f>IF(OR(A113="",E113=""),"",IF(C113="","",C113-E113))</f>
        <v/>
      </c>
      <c r="H113" s="380" t="inlineStr">
        <is>
          <t>Agent 04</t>
        </is>
      </c>
      <c r="I113" s="491" t="n"/>
      <c r="J113" s="492">
        <f>IF(AND(A113&lt;&gt;"",E113&lt;&gt;""),IF(I113="","⚠️ Enter Code",IF(IFERROR(VLOOKUP(H113,DB_Agents!$B:$I,8,0),"")=I113,IF(C113&gt;=E113,"Successful","Unsuccessful"),"🔒 BLOCKED — Wrong Code")),"—")</f>
        <v/>
      </c>
      <c r="K113" s="493">
        <f>IF(J113="Successful",TEXT(TODAY(),"YYYY-MM-DD")&amp;" Auto","—")</f>
        <v/>
      </c>
      <c r="L113" s="494" t="n"/>
    </row>
    <row r="114" ht="15" customHeight="1" s="341">
      <c r="A114" s="495" t="n"/>
      <c r="B114" s="382">
        <f>IF(A114="","",IFERROR(VLOOKUP(A114,DB_Customers!$A:$D,4,0),"❌ Account Not Found"))</f>
        <v/>
      </c>
      <c r="C114" s="496">
        <f>IF(A114="","",IFERROR(VLOOKUP(A114,DB_Customers!$A:$N,14,0),""))</f>
        <v/>
      </c>
      <c r="D114" s="497">
        <f>IF(A114="","",TODAY())</f>
        <v/>
      </c>
      <c r="E114" s="510" t="n"/>
      <c r="F114" s="382" t="n"/>
      <c r="G114" s="512">
        <f>IF(OR(A114="",E114=""),"",IF(C114="","",C114-E114))</f>
        <v/>
      </c>
      <c r="H114" s="384" t="inlineStr">
        <is>
          <t>Agent 04</t>
        </is>
      </c>
      <c r="I114" s="491" t="n"/>
      <c r="J114" s="499">
        <f>IF(AND(A114&lt;&gt;"",E114&lt;&gt;""),IF(I114="","⚠️ Enter Code",IF(IFERROR(VLOOKUP(H114,DB_Agents!$B:$I,8,0),"")=I114,IF(C114&gt;=E114,"Successful","Unsuccessful"),"🔒 BLOCKED — Wrong Code")),"—")</f>
        <v/>
      </c>
      <c r="K114" s="500">
        <f>IF(J114="Successful",TEXT(TODAY(),"YYYY-MM-DD")&amp;" Auto","—")</f>
        <v/>
      </c>
      <c r="L114" s="501" t="n"/>
    </row>
    <row r="115" ht="15" customHeight="1" s="341">
      <c r="A115" s="486" t="n"/>
      <c r="B115" s="378">
        <f>IF(A115="","",IFERROR(VLOOKUP(A115,DB_Customers!$A:$D,4,0),"❌ Account Not Found"))</f>
        <v/>
      </c>
      <c r="C115" s="487">
        <f>IF(A115="","",IFERROR(VLOOKUP(A115,DB_Customers!$A:$N,14,0),""))</f>
        <v/>
      </c>
      <c r="D115" s="488">
        <f>IF(A115="","",TODAY())</f>
        <v/>
      </c>
      <c r="E115" s="510" t="n"/>
      <c r="F115" s="378" t="n"/>
      <c r="G115" s="511">
        <f>IF(OR(A115="",E115=""),"",IF(C115="","",C115-E115))</f>
        <v/>
      </c>
      <c r="H115" s="380" t="inlineStr">
        <is>
          <t>Agent 04</t>
        </is>
      </c>
      <c r="I115" s="491" t="n"/>
      <c r="J115" s="492">
        <f>IF(AND(A115&lt;&gt;"",E115&lt;&gt;""),IF(I115="","⚠️ Enter Code",IF(IFERROR(VLOOKUP(H115,DB_Agents!$B:$I,8,0),"")=I115,IF(C115&gt;=E115,"Successful","Unsuccessful"),"🔒 BLOCKED — Wrong Code")),"—")</f>
        <v/>
      </c>
      <c r="K115" s="493">
        <f>IF(J115="Successful",TEXT(TODAY(),"YYYY-MM-DD")&amp;" Auto","—")</f>
        <v/>
      </c>
      <c r="L115" s="494" t="n"/>
    </row>
    <row r="116" ht="15" customHeight="1" s="341">
      <c r="A116" s="495" t="n"/>
      <c r="B116" s="382">
        <f>IF(A116="","",IFERROR(VLOOKUP(A116,DB_Customers!$A:$D,4,0),"❌ Account Not Found"))</f>
        <v/>
      </c>
      <c r="C116" s="496">
        <f>IF(A116="","",IFERROR(VLOOKUP(A116,DB_Customers!$A:$N,14,0),""))</f>
        <v/>
      </c>
      <c r="D116" s="497">
        <f>IF(A116="","",TODAY())</f>
        <v/>
      </c>
      <c r="E116" s="510" t="n"/>
      <c r="F116" s="382" t="n"/>
      <c r="G116" s="512">
        <f>IF(OR(A116="",E116=""),"",IF(C116="","",C116-E116))</f>
        <v/>
      </c>
      <c r="H116" s="384" t="inlineStr">
        <is>
          <t>Agent 04</t>
        </is>
      </c>
      <c r="I116" s="491" t="n"/>
      <c r="J116" s="499">
        <f>IF(AND(A116&lt;&gt;"",E116&lt;&gt;""),IF(I116="","⚠️ Enter Code",IF(IFERROR(VLOOKUP(H116,DB_Agents!$B:$I,8,0),"")=I116,IF(C116&gt;=E116,"Successful","Unsuccessful"),"🔒 BLOCKED — Wrong Code")),"—")</f>
        <v/>
      </c>
      <c r="K116" s="500">
        <f>IF(J116="Successful",TEXT(TODAY(),"YYYY-MM-DD")&amp;" Auto","—")</f>
        <v/>
      </c>
      <c r="L116" s="501" t="n"/>
    </row>
    <row r="117" ht="15" customHeight="1" s="341">
      <c r="A117" s="486" t="n"/>
      <c r="B117" s="378">
        <f>IF(A117="","",IFERROR(VLOOKUP(A117,DB_Customers!$A:$D,4,0),"❌ Account Not Found"))</f>
        <v/>
      </c>
      <c r="C117" s="487">
        <f>IF(A117="","",IFERROR(VLOOKUP(A117,DB_Customers!$A:$N,14,0),""))</f>
        <v/>
      </c>
      <c r="D117" s="488">
        <f>IF(A117="","",TODAY())</f>
        <v/>
      </c>
      <c r="E117" s="510" t="n"/>
      <c r="F117" s="378" t="n"/>
      <c r="G117" s="511">
        <f>IF(OR(A117="",E117=""),"",IF(C117="","",C117-E117))</f>
        <v/>
      </c>
      <c r="H117" s="380" t="inlineStr">
        <is>
          <t>Agent 04</t>
        </is>
      </c>
      <c r="I117" s="491" t="n"/>
      <c r="J117" s="492">
        <f>IF(AND(A117&lt;&gt;"",E117&lt;&gt;""),IF(I117="","⚠️ Enter Code",IF(IFERROR(VLOOKUP(H117,DB_Agents!$B:$I,8,0),"")=I117,IF(C117&gt;=E117,"Successful","Unsuccessful"),"🔒 BLOCKED — Wrong Code")),"—")</f>
        <v/>
      </c>
      <c r="K117" s="493">
        <f>IF(J117="Successful",TEXT(TODAY(),"YYYY-MM-DD")&amp;" Auto","—")</f>
        <v/>
      </c>
      <c r="L117" s="494" t="n"/>
    </row>
    <row r="118" ht="15" customHeight="1" s="341">
      <c r="A118" s="495" t="n"/>
      <c r="B118" s="382">
        <f>IF(A118="","",IFERROR(VLOOKUP(A118,DB_Customers!$A:$D,4,0),"❌ Account Not Found"))</f>
        <v/>
      </c>
      <c r="C118" s="496">
        <f>IF(A118="","",IFERROR(VLOOKUP(A118,DB_Customers!$A:$N,14,0),""))</f>
        <v/>
      </c>
      <c r="D118" s="497">
        <f>IF(A118="","",TODAY())</f>
        <v/>
      </c>
      <c r="E118" s="510" t="n"/>
      <c r="F118" s="382" t="n"/>
      <c r="G118" s="512">
        <f>IF(OR(A118="",E118=""),"",IF(C118="","",C118-E118))</f>
        <v/>
      </c>
      <c r="H118" s="384" t="inlineStr">
        <is>
          <t>Agent 04</t>
        </is>
      </c>
      <c r="I118" s="491" t="n"/>
      <c r="J118" s="499">
        <f>IF(AND(A118&lt;&gt;"",E118&lt;&gt;""),IF(I118="","⚠️ Enter Code",IF(IFERROR(VLOOKUP(H118,DB_Agents!$B:$I,8,0),"")=I118,IF(C118&gt;=E118,"Successful","Unsuccessful"),"🔒 BLOCKED — Wrong Code")),"—")</f>
        <v/>
      </c>
      <c r="K118" s="500">
        <f>IF(J118="Successful",TEXT(TODAY(),"YYYY-MM-DD")&amp;" Auto","—")</f>
        <v/>
      </c>
      <c r="L118" s="501" t="n"/>
    </row>
    <row r="119" ht="15" customHeight="1" s="341">
      <c r="A119" s="486" t="n"/>
      <c r="B119" s="378">
        <f>IF(A119="","",IFERROR(VLOOKUP(A119,DB_Customers!$A:$D,4,0),"❌ Account Not Found"))</f>
        <v/>
      </c>
      <c r="C119" s="487">
        <f>IF(A119="","",IFERROR(VLOOKUP(A119,DB_Customers!$A:$N,14,0),""))</f>
        <v/>
      </c>
      <c r="D119" s="488">
        <f>IF(A119="","",TODAY())</f>
        <v/>
      </c>
      <c r="E119" s="510" t="n"/>
      <c r="F119" s="378" t="n"/>
      <c r="G119" s="511">
        <f>IF(OR(A119="",E119=""),"",IF(C119="","",C119-E119))</f>
        <v/>
      </c>
      <c r="H119" s="380" t="inlineStr">
        <is>
          <t>Agent 04</t>
        </is>
      </c>
      <c r="I119" s="491" t="n"/>
      <c r="J119" s="492">
        <f>IF(AND(A119&lt;&gt;"",E119&lt;&gt;""),IF(I119="","⚠️ Enter Code",IF(IFERROR(VLOOKUP(H119,DB_Agents!$B:$I,8,0),"")=I119,IF(C119&gt;=E119,"Successful","Unsuccessful"),"🔒 BLOCKED — Wrong Code")),"—")</f>
        <v/>
      </c>
      <c r="K119" s="493">
        <f>IF(J119="Successful",TEXT(TODAY(),"YYYY-MM-DD")&amp;" Auto","—")</f>
        <v/>
      </c>
      <c r="L119" s="494" t="n"/>
    </row>
    <row r="120" ht="15" customHeight="1" s="341">
      <c r="A120" s="495" t="n"/>
      <c r="B120" s="382">
        <f>IF(A120="","",IFERROR(VLOOKUP(A120,DB_Customers!$A:$D,4,0),"❌ Account Not Found"))</f>
        <v/>
      </c>
      <c r="C120" s="496">
        <f>IF(A120="","",IFERROR(VLOOKUP(A120,DB_Customers!$A:$N,14,0),""))</f>
        <v/>
      </c>
      <c r="D120" s="497">
        <f>IF(A120="","",TODAY())</f>
        <v/>
      </c>
      <c r="E120" s="510" t="n"/>
      <c r="F120" s="382" t="n"/>
      <c r="G120" s="512">
        <f>IF(OR(A120="",E120=""),"",IF(C120="","",C120-E120))</f>
        <v/>
      </c>
      <c r="H120" s="384" t="inlineStr">
        <is>
          <t>Agent 04</t>
        </is>
      </c>
      <c r="I120" s="491" t="n"/>
      <c r="J120" s="499">
        <f>IF(AND(A120&lt;&gt;"",E120&lt;&gt;""),IF(I120="","⚠️ Enter Code",IF(IFERROR(VLOOKUP(H120,DB_Agents!$B:$I,8,0),"")=I120,IF(C120&gt;=E120,"Successful","Unsuccessful"),"🔒 BLOCKED — Wrong Code")),"—")</f>
        <v/>
      </c>
      <c r="K120" s="500">
        <f>IF(J120="Successful",TEXT(TODAY(),"YYYY-MM-DD")&amp;" Auto","—")</f>
        <v/>
      </c>
      <c r="L120" s="501" t="n"/>
    </row>
    <row r="121" ht="15" customHeight="1" s="341">
      <c r="A121" s="486" t="n"/>
      <c r="B121" s="378">
        <f>IF(A121="","",IFERROR(VLOOKUP(A121,DB_Customers!$A:$D,4,0),"❌ Account Not Found"))</f>
        <v/>
      </c>
      <c r="C121" s="487">
        <f>IF(A121="","",IFERROR(VLOOKUP(A121,DB_Customers!$A:$N,14,0),""))</f>
        <v/>
      </c>
      <c r="D121" s="488">
        <f>IF(A121="","",TODAY())</f>
        <v/>
      </c>
      <c r="E121" s="510" t="n"/>
      <c r="F121" s="378" t="n"/>
      <c r="G121" s="511">
        <f>IF(OR(A121="",E121=""),"",IF(C121="","",C121-E121))</f>
        <v/>
      </c>
      <c r="H121" s="380" t="inlineStr">
        <is>
          <t>Agent 04</t>
        </is>
      </c>
      <c r="I121" s="491" t="n"/>
      <c r="J121" s="492">
        <f>IF(AND(A121&lt;&gt;"",E121&lt;&gt;""),IF(I121="","⚠️ Enter Code",IF(IFERROR(VLOOKUP(H121,DB_Agents!$B:$I,8,0),"")=I121,IF(C121&gt;=E121,"Successful","Unsuccessful"),"🔒 BLOCKED — Wrong Code")),"—")</f>
        <v/>
      </c>
      <c r="K121" s="493">
        <f>IF(J121="Successful",TEXT(TODAY(),"YYYY-MM-DD")&amp;" Auto","—")</f>
        <v/>
      </c>
      <c r="L121" s="494" t="n"/>
    </row>
    <row r="122" ht="15" customHeight="1" s="341">
      <c r="A122" s="495" t="n"/>
      <c r="B122" s="382">
        <f>IF(A122="","",IFERROR(VLOOKUP(A122,DB_Customers!$A:$D,4,0),"❌ Account Not Found"))</f>
        <v/>
      </c>
      <c r="C122" s="496">
        <f>IF(A122="","",IFERROR(VLOOKUP(A122,DB_Customers!$A:$N,14,0),""))</f>
        <v/>
      </c>
      <c r="D122" s="497">
        <f>IF(A122="","",TODAY())</f>
        <v/>
      </c>
      <c r="E122" s="510" t="n"/>
      <c r="F122" s="382" t="n"/>
      <c r="G122" s="512">
        <f>IF(OR(A122="",E122=""),"",IF(C122="","",C122-E122))</f>
        <v/>
      </c>
      <c r="H122" s="384" t="inlineStr">
        <is>
          <t>Agent 04</t>
        </is>
      </c>
      <c r="I122" s="491" t="n"/>
      <c r="J122" s="499">
        <f>IF(AND(A122&lt;&gt;"",E122&lt;&gt;""),IF(I122="","⚠️ Enter Code",IF(IFERROR(VLOOKUP(H122,DB_Agents!$B:$I,8,0),"")=I122,IF(C122&gt;=E122,"Successful","Unsuccessful"),"🔒 BLOCKED — Wrong Code")),"—")</f>
        <v/>
      </c>
      <c r="K122" s="500">
        <f>IF(J122="Successful",TEXT(TODAY(),"YYYY-MM-DD")&amp;" Auto","—")</f>
        <v/>
      </c>
      <c r="L122" s="501" t="n"/>
    </row>
    <row r="123" ht="15" customHeight="1" s="341">
      <c r="A123" s="486" t="n"/>
      <c r="B123" s="378">
        <f>IF(A123="","",IFERROR(VLOOKUP(A123,DB_Customers!$A:$D,4,0),"❌ Account Not Found"))</f>
        <v/>
      </c>
      <c r="C123" s="487">
        <f>IF(A123="","",IFERROR(VLOOKUP(A123,DB_Customers!$A:$N,14,0),""))</f>
        <v/>
      </c>
      <c r="D123" s="488">
        <f>IF(A123="","",TODAY())</f>
        <v/>
      </c>
      <c r="E123" s="510" t="n"/>
      <c r="F123" s="378" t="n"/>
      <c r="G123" s="511">
        <f>IF(OR(A123="",E123=""),"",IF(C123="","",C123-E123))</f>
        <v/>
      </c>
      <c r="H123" s="380" t="inlineStr">
        <is>
          <t>Agent 04</t>
        </is>
      </c>
      <c r="I123" s="491" t="n"/>
      <c r="J123" s="492">
        <f>IF(AND(A123&lt;&gt;"",E123&lt;&gt;""),IF(I123="","⚠️ Enter Code",IF(IFERROR(VLOOKUP(H123,DB_Agents!$B:$I,8,0),"")=I123,IF(C123&gt;=E123,"Successful","Unsuccessful"),"🔒 BLOCKED — Wrong Code")),"—")</f>
        <v/>
      </c>
      <c r="K123" s="493">
        <f>IF(J123="Successful",TEXT(TODAY(),"YYYY-MM-DD")&amp;" Auto","—")</f>
        <v/>
      </c>
      <c r="L123" s="494" t="n"/>
    </row>
    <row r="124" ht="15" customHeight="1" s="341">
      <c r="A124" s="495" t="n"/>
      <c r="B124" s="382">
        <f>IF(A124="","",IFERROR(VLOOKUP(A124,DB_Customers!$A:$D,4,0),"❌ Account Not Found"))</f>
        <v/>
      </c>
      <c r="C124" s="496">
        <f>IF(A124="","",IFERROR(VLOOKUP(A124,DB_Customers!$A:$N,14,0),""))</f>
        <v/>
      </c>
      <c r="D124" s="497">
        <f>IF(A124="","",TODAY())</f>
        <v/>
      </c>
      <c r="E124" s="510" t="n"/>
      <c r="F124" s="382" t="n"/>
      <c r="G124" s="512">
        <f>IF(OR(A124="",E124=""),"",IF(C124="","",C124-E124))</f>
        <v/>
      </c>
      <c r="H124" s="384" t="inlineStr">
        <is>
          <t>Agent 04</t>
        </is>
      </c>
      <c r="I124" s="491" t="n"/>
      <c r="J124" s="499">
        <f>IF(AND(A124&lt;&gt;"",E124&lt;&gt;""),IF(I124="","⚠️ Enter Code",IF(IFERROR(VLOOKUP(H124,DB_Agents!$B:$I,8,0),"")=I124,IF(C124&gt;=E124,"Successful","Unsuccessful"),"🔒 BLOCKED — Wrong Code")),"—")</f>
        <v/>
      </c>
      <c r="K124" s="500">
        <f>IF(J124="Successful",TEXT(TODAY(),"YYYY-MM-DD")&amp;" Auto","—")</f>
        <v/>
      </c>
      <c r="L124" s="501" t="n"/>
    </row>
    <row r="125" ht="15" customHeight="1" s="341">
      <c r="A125" s="486" t="n"/>
      <c r="B125" s="378">
        <f>IF(A125="","",IFERROR(VLOOKUP(A125,DB_Customers!$A:$D,4,0),"❌ Account Not Found"))</f>
        <v/>
      </c>
      <c r="C125" s="487">
        <f>IF(A125="","",IFERROR(VLOOKUP(A125,DB_Customers!$A:$N,14,0),""))</f>
        <v/>
      </c>
      <c r="D125" s="488">
        <f>IF(A125="","",TODAY())</f>
        <v/>
      </c>
      <c r="E125" s="510" t="n"/>
      <c r="F125" s="378" t="n"/>
      <c r="G125" s="511">
        <f>IF(OR(A125="",E125=""),"",IF(C125="","",C125-E125))</f>
        <v/>
      </c>
      <c r="H125" s="380" t="inlineStr">
        <is>
          <t>Agent 04</t>
        </is>
      </c>
      <c r="I125" s="491" t="n"/>
      <c r="J125" s="492">
        <f>IF(AND(A125&lt;&gt;"",E125&lt;&gt;""),IF(I125="","⚠️ Enter Code",IF(IFERROR(VLOOKUP(H125,DB_Agents!$B:$I,8,0),"")=I125,IF(C125&gt;=E125,"Successful","Unsuccessful"),"🔒 BLOCKED — Wrong Code")),"—")</f>
        <v/>
      </c>
      <c r="K125" s="493">
        <f>IF(J125="Successful",TEXT(TODAY(),"YYYY-MM-DD")&amp;" Auto","—")</f>
        <v/>
      </c>
      <c r="L125" s="494" t="n"/>
    </row>
    <row r="126" ht="15" customHeight="1" s="341">
      <c r="A126" s="495" t="n"/>
      <c r="B126" s="382">
        <f>IF(A126="","",IFERROR(VLOOKUP(A126,DB_Customers!$A:$D,4,0),"❌ Account Not Found"))</f>
        <v/>
      </c>
      <c r="C126" s="496">
        <f>IF(A126="","",IFERROR(VLOOKUP(A126,DB_Customers!$A:$N,14,0),""))</f>
        <v/>
      </c>
      <c r="D126" s="497">
        <f>IF(A126="","",TODAY())</f>
        <v/>
      </c>
      <c r="E126" s="510" t="n"/>
      <c r="F126" s="382" t="n"/>
      <c r="G126" s="512">
        <f>IF(OR(A126="",E126=""),"",IF(C126="","",C126-E126))</f>
        <v/>
      </c>
      <c r="H126" s="384" t="inlineStr">
        <is>
          <t>Agent 04</t>
        </is>
      </c>
      <c r="I126" s="491" t="n"/>
      <c r="J126" s="499">
        <f>IF(AND(A126&lt;&gt;"",E126&lt;&gt;""),IF(I126="","⚠️ Enter Code",IF(IFERROR(VLOOKUP(H126,DB_Agents!$B:$I,8,0),"")=I126,IF(C126&gt;=E126,"Successful","Unsuccessful"),"🔒 BLOCKED — Wrong Code")),"—")</f>
        <v/>
      </c>
      <c r="K126" s="500">
        <f>IF(J126="Successful",TEXT(TODAY(),"YYYY-MM-DD")&amp;" Auto","—")</f>
        <v/>
      </c>
      <c r="L126" s="501" t="n"/>
    </row>
    <row r="127" ht="15" customHeight="1" s="341">
      <c r="A127" s="486" t="n"/>
      <c r="B127" s="378">
        <f>IF(A127="","",IFERROR(VLOOKUP(A127,DB_Customers!$A:$D,4,0),"❌ Account Not Found"))</f>
        <v/>
      </c>
      <c r="C127" s="487">
        <f>IF(A127="","",IFERROR(VLOOKUP(A127,DB_Customers!$A:$N,14,0),""))</f>
        <v/>
      </c>
      <c r="D127" s="488">
        <f>IF(A127="","",TODAY())</f>
        <v/>
      </c>
      <c r="E127" s="510" t="n"/>
      <c r="F127" s="378" t="n"/>
      <c r="G127" s="511">
        <f>IF(OR(A127="",E127=""),"",IF(C127="","",C127-E127))</f>
        <v/>
      </c>
      <c r="H127" s="380" t="inlineStr">
        <is>
          <t>Agent 04</t>
        </is>
      </c>
      <c r="I127" s="491" t="n"/>
      <c r="J127" s="492">
        <f>IF(AND(A127&lt;&gt;"",E127&lt;&gt;""),IF(I127="","⚠️ Enter Code",IF(IFERROR(VLOOKUP(H127,DB_Agents!$B:$I,8,0),"")=I127,IF(C127&gt;=E127,"Successful","Unsuccessful"),"🔒 BLOCKED — Wrong Code")),"—")</f>
        <v/>
      </c>
      <c r="K127" s="493">
        <f>IF(J127="Successful",TEXT(TODAY(),"YYYY-MM-DD")&amp;" Auto","—")</f>
        <v/>
      </c>
      <c r="L127" s="494" t="n"/>
    </row>
    <row r="128" ht="15" customHeight="1" s="341">
      <c r="A128" s="495" t="n"/>
      <c r="B128" s="382">
        <f>IF(A128="","",IFERROR(VLOOKUP(A128,DB_Customers!$A:$D,4,0),"❌ Account Not Found"))</f>
        <v/>
      </c>
      <c r="C128" s="496">
        <f>IF(A128="","",IFERROR(VLOOKUP(A128,DB_Customers!$A:$N,14,0),""))</f>
        <v/>
      </c>
      <c r="D128" s="497">
        <f>IF(A128="","",TODAY())</f>
        <v/>
      </c>
      <c r="E128" s="510" t="n"/>
      <c r="F128" s="382" t="n"/>
      <c r="G128" s="512">
        <f>IF(OR(A128="",E128=""),"",IF(C128="","",C128-E128))</f>
        <v/>
      </c>
      <c r="H128" s="384" t="inlineStr">
        <is>
          <t>Agent 04</t>
        </is>
      </c>
      <c r="I128" s="491" t="n"/>
      <c r="J128" s="499">
        <f>IF(AND(A128&lt;&gt;"",E128&lt;&gt;""),IF(I128="","⚠️ Enter Code",IF(IFERROR(VLOOKUP(H128,DB_Agents!$B:$I,8,0),"")=I128,IF(C128&gt;=E128,"Successful","Unsuccessful"),"🔒 BLOCKED — Wrong Code")),"—")</f>
        <v/>
      </c>
      <c r="K128" s="500">
        <f>IF(J128="Successful",TEXT(TODAY(),"YYYY-MM-DD")&amp;" Auto","—")</f>
        <v/>
      </c>
      <c r="L128" s="501" t="n"/>
    </row>
    <row r="129" ht="15" customHeight="1" s="341">
      <c r="A129" s="486" t="n"/>
      <c r="B129" s="378">
        <f>IF(A129="","",IFERROR(VLOOKUP(A129,DB_Customers!$A:$D,4,0),"❌ Account Not Found"))</f>
        <v/>
      </c>
      <c r="C129" s="487">
        <f>IF(A129="","",IFERROR(VLOOKUP(A129,DB_Customers!$A:$N,14,0),""))</f>
        <v/>
      </c>
      <c r="D129" s="488">
        <f>IF(A129="","",TODAY())</f>
        <v/>
      </c>
      <c r="E129" s="510" t="n"/>
      <c r="F129" s="378" t="n"/>
      <c r="G129" s="511">
        <f>IF(OR(A129="",E129=""),"",IF(C129="","",C129-E129))</f>
        <v/>
      </c>
      <c r="H129" s="380" t="inlineStr">
        <is>
          <t>Agent 04</t>
        </is>
      </c>
      <c r="I129" s="491" t="n"/>
      <c r="J129" s="492">
        <f>IF(AND(A129&lt;&gt;"",E129&lt;&gt;""),IF(I129="","⚠️ Enter Code",IF(IFERROR(VLOOKUP(H129,DB_Agents!$B:$I,8,0),"")=I129,IF(C129&gt;=E129,"Successful","Unsuccessful"),"🔒 BLOCKED — Wrong Code")),"—")</f>
        <v/>
      </c>
      <c r="K129" s="493">
        <f>IF(J129="Successful",TEXT(TODAY(),"YYYY-MM-DD")&amp;" Auto","—")</f>
        <v/>
      </c>
      <c r="L129" s="494" t="n"/>
    </row>
    <row r="130" ht="15" customHeight="1" s="341">
      <c r="A130" s="495" t="n"/>
      <c r="B130" s="382">
        <f>IF(A130="","",IFERROR(VLOOKUP(A130,DB_Customers!$A:$D,4,0),"❌ Account Not Found"))</f>
        <v/>
      </c>
      <c r="C130" s="496">
        <f>IF(A130="","",IFERROR(VLOOKUP(A130,DB_Customers!$A:$N,14,0),""))</f>
        <v/>
      </c>
      <c r="D130" s="497">
        <f>IF(A130="","",TODAY())</f>
        <v/>
      </c>
      <c r="E130" s="510" t="n"/>
      <c r="F130" s="382" t="n"/>
      <c r="G130" s="512">
        <f>IF(OR(A130="",E130=""),"",IF(C130="","",C130-E130))</f>
        <v/>
      </c>
      <c r="H130" s="384" t="inlineStr">
        <is>
          <t>Agent 04</t>
        </is>
      </c>
      <c r="I130" s="491" t="n"/>
      <c r="J130" s="499">
        <f>IF(AND(A130&lt;&gt;"",E130&lt;&gt;""),IF(I130="","⚠️ Enter Code",IF(IFERROR(VLOOKUP(H130,DB_Agents!$B:$I,8,0),"")=I130,IF(C130&gt;=E130,"Successful","Unsuccessful"),"🔒 BLOCKED — Wrong Code")),"—")</f>
        <v/>
      </c>
      <c r="K130" s="500">
        <f>IF(J130="Successful",TEXT(TODAY(),"YYYY-MM-DD")&amp;" Auto","—")</f>
        <v/>
      </c>
      <c r="L130" s="501" t="n"/>
    </row>
    <row r="131" ht="15" customHeight="1" s="341">
      <c r="A131" s="486" t="n"/>
      <c r="B131" s="378">
        <f>IF(A131="","",IFERROR(VLOOKUP(A131,DB_Customers!$A:$D,4,0),"❌ Account Not Found"))</f>
        <v/>
      </c>
      <c r="C131" s="487">
        <f>IF(A131="","",IFERROR(VLOOKUP(A131,DB_Customers!$A:$N,14,0),""))</f>
        <v/>
      </c>
      <c r="D131" s="488">
        <f>IF(A131="","",TODAY())</f>
        <v/>
      </c>
      <c r="E131" s="510" t="n"/>
      <c r="F131" s="378" t="n"/>
      <c r="G131" s="511">
        <f>IF(OR(A131="",E131=""),"",IF(C131="","",C131-E131))</f>
        <v/>
      </c>
      <c r="H131" s="380" t="inlineStr">
        <is>
          <t>Agent 04</t>
        </is>
      </c>
      <c r="I131" s="491" t="n"/>
      <c r="J131" s="492">
        <f>IF(AND(A131&lt;&gt;"",E131&lt;&gt;""),IF(I131="","⚠️ Enter Code",IF(IFERROR(VLOOKUP(H131,DB_Agents!$B:$I,8,0),"")=I131,IF(C131&gt;=E131,"Successful","Unsuccessful"),"🔒 BLOCKED — Wrong Code")),"—")</f>
        <v/>
      </c>
      <c r="K131" s="493">
        <f>IF(J131="Successful",TEXT(TODAY(),"YYYY-MM-DD")&amp;" Auto","—")</f>
        <v/>
      </c>
      <c r="L131" s="494" t="n"/>
    </row>
    <row r="132" ht="15" customHeight="1" s="341">
      <c r="A132" s="495" t="n"/>
      <c r="B132" s="382">
        <f>IF(A132="","",IFERROR(VLOOKUP(A132,DB_Customers!$A:$D,4,0),"❌ Account Not Found"))</f>
        <v/>
      </c>
      <c r="C132" s="496">
        <f>IF(A132="","",IFERROR(VLOOKUP(A132,DB_Customers!$A:$N,14,0),""))</f>
        <v/>
      </c>
      <c r="D132" s="497">
        <f>IF(A132="","",TODAY())</f>
        <v/>
      </c>
      <c r="E132" s="510" t="n"/>
      <c r="F132" s="382" t="n"/>
      <c r="G132" s="512">
        <f>IF(OR(A132="",E132=""),"",IF(C132="","",C132-E132))</f>
        <v/>
      </c>
      <c r="H132" s="384" t="inlineStr">
        <is>
          <t>Agent 04</t>
        </is>
      </c>
      <c r="I132" s="491" t="n"/>
      <c r="J132" s="499">
        <f>IF(AND(A132&lt;&gt;"",E132&lt;&gt;""),IF(I132="","⚠️ Enter Code",IF(IFERROR(VLOOKUP(H132,DB_Agents!$B:$I,8,0),"")=I132,IF(C132&gt;=E132,"Successful","Unsuccessful"),"🔒 BLOCKED — Wrong Code")),"—")</f>
        <v/>
      </c>
      <c r="K132" s="500">
        <f>IF(J132="Successful",TEXT(TODAY(),"YYYY-MM-DD")&amp;" Auto","—")</f>
        <v/>
      </c>
      <c r="L132" s="501" t="n"/>
    </row>
    <row r="133" ht="15" customHeight="1" s="341">
      <c r="A133" s="486" t="n"/>
      <c r="B133" s="378">
        <f>IF(A133="","",IFERROR(VLOOKUP(A133,DB_Customers!$A:$D,4,0),"❌ Account Not Found"))</f>
        <v/>
      </c>
      <c r="C133" s="487">
        <f>IF(A133="","",IFERROR(VLOOKUP(A133,DB_Customers!$A:$N,14,0),""))</f>
        <v/>
      </c>
      <c r="D133" s="488">
        <f>IF(A133="","",TODAY())</f>
        <v/>
      </c>
      <c r="E133" s="510" t="n"/>
      <c r="F133" s="378" t="n"/>
      <c r="G133" s="511">
        <f>IF(OR(A133="",E133=""),"",IF(C133="","",C133-E133))</f>
        <v/>
      </c>
      <c r="H133" s="380" t="inlineStr">
        <is>
          <t>Agent 04</t>
        </is>
      </c>
      <c r="I133" s="491" t="n"/>
      <c r="J133" s="492">
        <f>IF(AND(A133&lt;&gt;"",E133&lt;&gt;""),IF(I133="","⚠️ Enter Code",IF(IFERROR(VLOOKUP(H133,DB_Agents!$B:$I,8,0),"")=I133,IF(C133&gt;=E133,"Successful","Unsuccessful"),"🔒 BLOCKED — Wrong Code")),"—")</f>
        <v/>
      </c>
      <c r="K133" s="493">
        <f>IF(J133="Successful",TEXT(TODAY(),"YYYY-MM-DD")&amp;" Auto","—")</f>
        <v/>
      </c>
      <c r="L133" s="494" t="n"/>
    </row>
    <row r="134" ht="15" customHeight="1" s="341">
      <c r="A134" s="495" t="n"/>
      <c r="B134" s="382">
        <f>IF(A134="","",IFERROR(VLOOKUP(A134,DB_Customers!$A:$D,4,0),"❌ Account Not Found"))</f>
        <v/>
      </c>
      <c r="C134" s="496">
        <f>IF(A134="","",IFERROR(VLOOKUP(A134,DB_Customers!$A:$N,14,0),""))</f>
        <v/>
      </c>
      <c r="D134" s="497">
        <f>IF(A134="","",TODAY())</f>
        <v/>
      </c>
      <c r="E134" s="510" t="n"/>
      <c r="F134" s="382" t="n"/>
      <c r="G134" s="512">
        <f>IF(OR(A134="",E134=""),"",IF(C134="","",C134-E134))</f>
        <v/>
      </c>
      <c r="H134" s="384" t="inlineStr">
        <is>
          <t>Agent 04</t>
        </is>
      </c>
      <c r="I134" s="491" t="n"/>
      <c r="J134" s="499">
        <f>IF(AND(A134&lt;&gt;"",E134&lt;&gt;""),IF(I134="","⚠️ Enter Code",IF(IFERROR(VLOOKUP(H134,DB_Agents!$B:$I,8,0),"")=I134,IF(C134&gt;=E134,"Successful","Unsuccessful"),"🔒 BLOCKED — Wrong Code")),"—")</f>
        <v/>
      </c>
      <c r="K134" s="500">
        <f>IF(J134="Successful",TEXT(TODAY(),"YYYY-MM-DD")&amp;" Auto","—")</f>
        <v/>
      </c>
      <c r="L134" s="501" t="n"/>
    </row>
    <row r="135" ht="15" customHeight="1" s="341">
      <c r="A135" s="486" t="n"/>
      <c r="B135" s="378">
        <f>IF(A135="","",IFERROR(VLOOKUP(A135,DB_Customers!$A:$D,4,0),"❌ Account Not Found"))</f>
        <v/>
      </c>
      <c r="C135" s="487">
        <f>IF(A135="","",IFERROR(VLOOKUP(A135,DB_Customers!$A:$N,14,0),""))</f>
        <v/>
      </c>
      <c r="D135" s="488">
        <f>IF(A135="","",TODAY())</f>
        <v/>
      </c>
      <c r="E135" s="510" t="n"/>
      <c r="F135" s="378" t="n"/>
      <c r="G135" s="511">
        <f>IF(OR(A135="",E135=""),"",IF(C135="","",C135-E135))</f>
        <v/>
      </c>
      <c r="H135" s="380" t="inlineStr">
        <is>
          <t>Agent 04</t>
        </is>
      </c>
      <c r="I135" s="491" t="n"/>
      <c r="J135" s="492">
        <f>IF(AND(A135&lt;&gt;"",E135&lt;&gt;""),IF(I135="","⚠️ Enter Code",IF(IFERROR(VLOOKUP(H135,DB_Agents!$B:$I,8,0),"")=I135,IF(C135&gt;=E135,"Successful","Unsuccessful"),"🔒 BLOCKED — Wrong Code")),"—")</f>
        <v/>
      </c>
      <c r="K135" s="493">
        <f>IF(J135="Successful",TEXT(TODAY(),"YYYY-MM-DD")&amp;" Auto","—")</f>
        <v/>
      </c>
      <c r="L135" s="494" t="n"/>
    </row>
    <row r="136" ht="15" customHeight="1" s="341">
      <c r="A136" s="495" t="n"/>
      <c r="B136" s="382">
        <f>IF(A136="","",IFERROR(VLOOKUP(A136,DB_Customers!$A:$D,4,0),"❌ Account Not Found"))</f>
        <v/>
      </c>
      <c r="C136" s="496">
        <f>IF(A136="","",IFERROR(VLOOKUP(A136,DB_Customers!$A:$N,14,0),""))</f>
        <v/>
      </c>
      <c r="D136" s="497">
        <f>IF(A136="","",TODAY())</f>
        <v/>
      </c>
      <c r="E136" s="510" t="n"/>
      <c r="F136" s="382" t="n"/>
      <c r="G136" s="512">
        <f>IF(OR(A136="",E136=""),"",IF(C136="","",C136-E136))</f>
        <v/>
      </c>
      <c r="H136" s="384" t="inlineStr">
        <is>
          <t>Agent 04</t>
        </is>
      </c>
      <c r="I136" s="491" t="n"/>
      <c r="J136" s="499">
        <f>IF(AND(A136&lt;&gt;"",E136&lt;&gt;""),IF(I136="","⚠️ Enter Code",IF(IFERROR(VLOOKUP(H136,DB_Agents!$B:$I,8,0),"")=I136,IF(C136&gt;=E136,"Successful","Unsuccessful"),"🔒 BLOCKED — Wrong Code")),"—")</f>
        <v/>
      </c>
      <c r="K136" s="500">
        <f>IF(J136="Successful",TEXT(TODAY(),"YYYY-MM-DD")&amp;" Auto","—")</f>
        <v/>
      </c>
      <c r="L136" s="501" t="n"/>
    </row>
    <row r="137" ht="15" customHeight="1" s="341">
      <c r="A137" s="486" t="n"/>
      <c r="B137" s="378">
        <f>IF(A137="","",IFERROR(VLOOKUP(A137,DB_Customers!$A:$D,4,0),"❌ Account Not Found"))</f>
        <v/>
      </c>
      <c r="C137" s="487">
        <f>IF(A137="","",IFERROR(VLOOKUP(A137,DB_Customers!$A:$N,14,0),""))</f>
        <v/>
      </c>
      <c r="D137" s="488">
        <f>IF(A137="","",TODAY())</f>
        <v/>
      </c>
      <c r="E137" s="510" t="n"/>
      <c r="F137" s="378" t="n"/>
      <c r="G137" s="511">
        <f>IF(OR(A137="",E137=""),"",IF(C137="","",C137-E137))</f>
        <v/>
      </c>
      <c r="H137" s="380" t="inlineStr">
        <is>
          <t>Agent 04</t>
        </is>
      </c>
      <c r="I137" s="491" t="n"/>
      <c r="J137" s="492">
        <f>IF(AND(A137&lt;&gt;"",E137&lt;&gt;""),IF(I137="","⚠️ Enter Code",IF(IFERROR(VLOOKUP(H137,DB_Agents!$B:$I,8,0),"")=I137,IF(C137&gt;=E137,"Successful","Unsuccessful"),"🔒 BLOCKED — Wrong Code")),"—")</f>
        <v/>
      </c>
      <c r="K137" s="493">
        <f>IF(J137="Successful",TEXT(TODAY(),"YYYY-MM-DD")&amp;" Auto","—")</f>
        <v/>
      </c>
      <c r="L137" s="494" t="n"/>
    </row>
    <row r="138" ht="15" customHeight="1" s="341">
      <c r="A138" s="495" t="n"/>
      <c r="B138" s="382">
        <f>IF(A138="","",IFERROR(VLOOKUP(A138,DB_Customers!$A:$D,4,0),"❌ Account Not Found"))</f>
        <v/>
      </c>
      <c r="C138" s="496">
        <f>IF(A138="","",IFERROR(VLOOKUP(A138,DB_Customers!$A:$N,14,0),""))</f>
        <v/>
      </c>
      <c r="D138" s="497">
        <f>IF(A138="","",TODAY())</f>
        <v/>
      </c>
      <c r="E138" s="510" t="n"/>
      <c r="F138" s="382" t="n"/>
      <c r="G138" s="512">
        <f>IF(OR(A138="",E138=""),"",IF(C138="","",C138-E138))</f>
        <v/>
      </c>
      <c r="H138" s="384" t="inlineStr">
        <is>
          <t>Agent 04</t>
        </is>
      </c>
      <c r="I138" s="491" t="n"/>
      <c r="J138" s="499">
        <f>IF(AND(A138&lt;&gt;"",E138&lt;&gt;""),IF(I138="","⚠️ Enter Code",IF(IFERROR(VLOOKUP(H138,DB_Agents!$B:$I,8,0),"")=I138,IF(C138&gt;=E138,"Successful","Unsuccessful"),"🔒 BLOCKED — Wrong Code")),"—")</f>
        <v/>
      </c>
      <c r="K138" s="500">
        <f>IF(J138="Successful",TEXT(TODAY(),"YYYY-MM-DD")&amp;" Auto","—")</f>
        <v/>
      </c>
      <c r="L138" s="501" t="n"/>
    </row>
    <row r="139" ht="15" customHeight="1" s="341">
      <c r="A139" s="486" t="n"/>
      <c r="B139" s="378">
        <f>IF(A139="","",IFERROR(VLOOKUP(A139,DB_Customers!$A:$D,4,0),"❌ Account Not Found"))</f>
        <v/>
      </c>
      <c r="C139" s="487">
        <f>IF(A139="","",IFERROR(VLOOKUP(A139,DB_Customers!$A:$N,14,0),""))</f>
        <v/>
      </c>
      <c r="D139" s="488">
        <f>IF(A139="","",TODAY())</f>
        <v/>
      </c>
      <c r="E139" s="510" t="n"/>
      <c r="F139" s="378" t="n"/>
      <c r="G139" s="511">
        <f>IF(OR(A139="",E139=""),"",IF(C139="","",C139-E139))</f>
        <v/>
      </c>
      <c r="H139" s="380" t="inlineStr">
        <is>
          <t>Agent 04</t>
        </is>
      </c>
      <c r="I139" s="491" t="n"/>
      <c r="J139" s="492">
        <f>IF(AND(A139&lt;&gt;"",E139&lt;&gt;""),IF(I139="","⚠️ Enter Code",IF(IFERROR(VLOOKUP(H139,DB_Agents!$B:$I,8,0),"")=I139,IF(C139&gt;=E139,"Successful","Unsuccessful"),"🔒 BLOCKED — Wrong Code")),"—")</f>
        <v/>
      </c>
      <c r="K139" s="493">
        <f>IF(J139="Successful",TEXT(TODAY(),"YYYY-MM-DD")&amp;" Auto","—")</f>
        <v/>
      </c>
      <c r="L139" s="494" t="n"/>
    </row>
    <row r="140" ht="15" customHeight="1" s="341">
      <c r="A140" s="495" t="n"/>
      <c r="B140" s="382">
        <f>IF(A140="","",IFERROR(VLOOKUP(A140,DB_Customers!$A:$D,4,0),"❌ Account Not Found"))</f>
        <v/>
      </c>
      <c r="C140" s="496">
        <f>IF(A140="","",IFERROR(VLOOKUP(A140,DB_Customers!$A:$N,14,0),""))</f>
        <v/>
      </c>
      <c r="D140" s="497">
        <f>IF(A140="","",TODAY())</f>
        <v/>
      </c>
      <c r="E140" s="510" t="n"/>
      <c r="F140" s="382" t="n"/>
      <c r="G140" s="512">
        <f>IF(OR(A140="",E140=""),"",IF(C140="","",C140-E140))</f>
        <v/>
      </c>
      <c r="H140" s="384" t="inlineStr">
        <is>
          <t>Agent 04</t>
        </is>
      </c>
      <c r="I140" s="491" t="n"/>
      <c r="J140" s="499">
        <f>IF(AND(A140&lt;&gt;"",E140&lt;&gt;""),IF(I140="","⚠️ Enter Code",IF(IFERROR(VLOOKUP(H140,DB_Agents!$B:$I,8,0),"")=I140,IF(C140&gt;=E140,"Successful","Unsuccessful"),"🔒 BLOCKED — Wrong Code")),"—")</f>
        <v/>
      </c>
      <c r="K140" s="500">
        <f>IF(J140="Successful",TEXT(TODAY(),"YYYY-MM-DD")&amp;" Auto","—")</f>
        <v/>
      </c>
      <c r="L140" s="501" t="n"/>
    </row>
    <row r="141" ht="15" customHeight="1" s="341">
      <c r="A141" s="486" t="n"/>
      <c r="B141" s="378">
        <f>IF(A141="","",IFERROR(VLOOKUP(A141,DB_Customers!$A:$D,4,0),"❌ Account Not Found"))</f>
        <v/>
      </c>
      <c r="C141" s="487">
        <f>IF(A141="","",IFERROR(VLOOKUP(A141,DB_Customers!$A:$N,14,0),""))</f>
        <v/>
      </c>
      <c r="D141" s="488">
        <f>IF(A141="","",TODAY())</f>
        <v/>
      </c>
      <c r="E141" s="510" t="n"/>
      <c r="F141" s="378" t="n"/>
      <c r="G141" s="511">
        <f>IF(OR(A141="",E141=""),"",IF(C141="","",C141-E141))</f>
        <v/>
      </c>
      <c r="H141" s="380" t="inlineStr">
        <is>
          <t>Agent 04</t>
        </is>
      </c>
      <c r="I141" s="491" t="n"/>
      <c r="J141" s="492">
        <f>IF(AND(A141&lt;&gt;"",E141&lt;&gt;""),IF(I141="","⚠️ Enter Code",IF(IFERROR(VLOOKUP(H141,DB_Agents!$B:$I,8,0),"")=I141,IF(C141&gt;=E141,"Successful","Unsuccessful"),"🔒 BLOCKED — Wrong Code")),"—")</f>
        <v/>
      </c>
      <c r="K141" s="493">
        <f>IF(J141="Successful",TEXT(TODAY(),"YYYY-MM-DD")&amp;" Auto","—")</f>
        <v/>
      </c>
      <c r="L141" s="494" t="n"/>
    </row>
    <row r="142" ht="15" customHeight="1" s="341">
      <c r="A142" s="495" t="n"/>
      <c r="B142" s="382">
        <f>IF(A142="","",IFERROR(VLOOKUP(A142,DB_Customers!$A:$D,4,0),"❌ Account Not Found"))</f>
        <v/>
      </c>
      <c r="C142" s="496">
        <f>IF(A142="","",IFERROR(VLOOKUP(A142,DB_Customers!$A:$N,14,0),""))</f>
        <v/>
      </c>
      <c r="D142" s="497">
        <f>IF(A142="","",TODAY())</f>
        <v/>
      </c>
      <c r="E142" s="510" t="n"/>
      <c r="F142" s="382" t="n"/>
      <c r="G142" s="512">
        <f>IF(OR(A142="",E142=""),"",IF(C142="","",C142-E142))</f>
        <v/>
      </c>
      <c r="H142" s="384" t="inlineStr">
        <is>
          <t>Agent 04</t>
        </is>
      </c>
      <c r="I142" s="491" t="n"/>
      <c r="J142" s="499">
        <f>IF(AND(A142&lt;&gt;"",E142&lt;&gt;""),IF(I142="","⚠️ Enter Code",IF(IFERROR(VLOOKUP(H142,DB_Agents!$B:$I,8,0),"")=I142,IF(C142&gt;=E142,"Successful","Unsuccessful"),"🔒 BLOCKED — Wrong Code")),"—")</f>
        <v/>
      </c>
      <c r="K142" s="500">
        <f>IF(J142="Successful",TEXT(TODAY(),"YYYY-MM-DD")&amp;" Auto","—")</f>
        <v/>
      </c>
      <c r="L142" s="501" t="n"/>
    </row>
    <row r="143" ht="15" customHeight="1" s="341">
      <c r="A143" s="486" t="n"/>
      <c r="B143" s="378">
        <f>IF(A143="","",IFERROR(VLOOKUP(A143,DB_Customers!$A:$D,4,0),"❌ Account Not Found"))</f>
        <v/>
      </c>
      <c r="C143" s="487">
        <f>IF(A143="","",IFERROR(VLOOKUP(A143,DB_Customers!$A:$N,14,0),""))</f>
        <v/>
      </c>
      <c r="D143" s="488">
        <f>IF(A143="","",TODAY())</f>
        <v/>
      </c>
      <c r="E143" s="510" t="n"/>
      <c r="F143" s="378" t="n"/>
      <c r="G143" s="511">
        <f>IF(OR(A143="",E143=""),"",IF(C143="","",C143-E143))</f>
        <v/>
      </c>
      <c r="H143" s="380" t="inlineStr">
        <is>
          <t>Agent 04</t>
        </is>
      </c>
      <c r="I143" s="491" t="n"/>
      <c r="J143" s="492">
        <f>IF(AND(A143&lt;&gt;"",E143&lt;&gt;""),IF(I143="","⚠️ Enter Code",IF(IFERROR(VLOOKUP(H143,DB_Agents!$B:$I,8,0),"")=I143,IF(C143&gt;=E143,"Successful","Unsuccessful"),"🔒 BLOCKED — Wrong Code")),"—")</f>
        <v/>
      </c>
      <c r="K143" s="493">
        <f>IF(J143="Successful",TEXT(TODAY(),"YYYY-MM-DD")&amp;" Auto","—")</f>
        <v/>
      </c>
      <c r="L143" s="494" t="n"/>
    </row>
    <row r="144" ht="15" customHeight="1" s="341">
      <c r="A144" s="495" t="n"/>
      <c r="B144" s="382">
        <f>IF(A144="","",IFERROR(VLOOKUP(A144,DB_Customers!$A:$D,4,0),"❌ Account Not Found"))</f>
        <v/>
      </c>
      <c r="C144" s="496">
        <f>IF(A144="","",IFERROR(VLOOKUP(A144,DB_Customers!$A:$N,14,0),""))</f>
        <v/>
      </c>
      <c r="D144" s="497">
        <f>IF(A144="","",TODAY())</f>
        <v/>
      </c>
      <c r="E144" s="510" t="n"/>
      <c r="F144" s="382" t="n"/>
      <c r="G144" s="512">
        <f>IF(OR(A144="",E144=""),"",IF(C144="","",C144-E144))</f>
        <v/>
      </c>
      <c r="H144" s="384" t="inlineStr">
        <is>
          <t>Agent 04</t>
        </is>
      </c>
      <c r="I144" s="491" t="n"/>
      <c r="J144" s="499">
        <f>IF(AND(A144&lt;&gt;"",E144&lt;&gt;""),IF(I144="","⚠️ Enter Code",IF(IFERROR(VLOOKUP(H144,DB_Agents!$B:$I,8,0),"")=I144,IF(C144&gt;=E144,"Successful","Unsuccessful"),"🔒 BLOCKED — Wrong Code")),"—")</f>
        <v/>
      </c>
      <c r="K144" s="500">
        <f>IF(J144="Successful",TEXT(TODAY(),"YYYY-MM-DD")&amp;" Auto","—")</f>
        <v/>
      </c>
      <c r="L144" s="501" t="n"/>
    </row>
    <row r="145" ht="15" customHeight="1" s="341">
      <c r="A145" s="486" t="n"/>
      <c r="B145" s="378">
        <f>IF(A145="","",IFERROR(VLOOKUP(A145,DB_Customers!$A:$D,4,0),"❌ Account Not Found"))</f>
        <v/>
      </c>
      <c r="C145" s="487">
        <f>IF(A145="","",IFERROR(VLOOKUP(A145,DB_Customers!$A:$N,14,0),""))</f>
        <v/>
      </c>
      <c r="D145" s="488">
        <f>IF(A145="","",TODAY())</f>
        <v/>
      </c>
      <c r="E145" s="510" t="n"/>
      <c r="F145" s="378" t="n"/>
      <c r="G145" s="511">
        <f>IF(OR(A145="",E145=""),"",IF(C145="","",C145-E145))</f>
        <v/>
      </c>
      <c r="H145" s="380" t="inlineStr">
        <is>
          <t>Agent 04</t>
        </is>
      </c>
      <c r="I145" s="491" t="n"/>
      <c r="J145" s="492">
        <f>IF(AND(A145&lt;&gt;"",E145&lt;&gt;""),IF(I145="","⚠️ Enter Code",IF(IFERROR(VLOOKUP(H145,DB_Agents!$B:$I,8,0),"")=I145,IF(C145&gt;=E145,"Successful","Unsuccessful"),"🔒 BLOCKED — Wrong Code")),"—")</f>
        <v/>
      </c>
      <c r="K145" s="493">
        <f>IF(J145="Successful",TEXT(TODAY(),"YYYY-MM-DD")&amp;" Auto","—")</f>
        <v/>
      </c>
      <c r="L145" s="494" t="n"/>
    </row>
    <row r="146" ht="15" customHeight="1" s="341">
      <c r="A146" s="495" t="n"/>
      <c r="B146" s="382">
        <f>IF(A146="","",IFERROR(VLOOKUP(A146,DB_Customers!$A:$D,4,0),"❌ Account Not Found"))</f>
        <v/>
      </c>
      <c r="C146" s="496">
        <f>IF(A146="","",IFERROR(VLOOKUP(A146,DB_Customers!$A:$N,14,0),""))</f>
        <v/>
      </c>
      <c r="D146" s="497">
        <f>IF(A146="","",TODAY())</f>
        <v/>
      </c>
      <c r="E146" s="510" t="n"/>
      <c r="F146" s="382" t="n"/>
      <c r="G146" s="512">
        <f>IF(OR(A146="",E146=""),"",IF(C146="","",C146-E146))</f>
        <v/>
      </c>
      <c r="H146" s="384" t="inlineStr">
        <is>
          <t>Agent 04</t>
        </is>
      </c>
      <c r="I146" s="491" t="n"/>
      <c r="J146" s="499">
        <f>IF(AND(A146&lt;&gt;"",E146&lt;&gt;""),IF(I146="","⚠️ Enter Code",IF(IFERROR(VLOOKUP(H146,DB_Agents!$B:$I,8,0),"")=I146,IF(C146&gt;=E146,"Successful","Unsuccessful"),"🔒 BLOCKED — Wrong Code")),"—")</f>
        <v/>
      </c>
      <c r="K146" s="500">
        <f>IF(J146="Successful",TEXT(TODAY(),"YYYY-MM-DD")&amp;" Auto","—")</f>
        <v/>
      </c>
      <c r="L146" s="501" t="n"/>
    </row>
    <row r="147" ht="15" customHeight="1" s="341">
      <c r="A147" s="486" t="n"/>
      <c r="B147" s="378">
        <f>IF(A147="","",IFERROR(VLOOKUP(A147,DB_Customers!$A:$D,4,0),"❌ Account Not Found"))</f>
        <v/>
      </c>
      <c r="C147" s="487">
        <f>IF(A147="","",IFERROR(VLOOKUP(A147,DB_Customers!$A:$N,14,0),""))</f>
        <v/>
      </c>
      <c r="D147" s="488">
        <f>IF(A147="","",TODAY())</f>
        <v/>
      </c>
      <c r="E147" s="510" t="n"/>
      <c r="F147" s="378" t="n"/>
      <c r="G147" s="511">
        <f>IF(OR(A147="",E147=""),"",IF(C147="","",C147-E147))</f>
        <v/>
      </c>
      <c r="H147" s="380" t="inlineStr">
        <is>
          <t>Agent 04</t>
        </is>
      </c>
      <c r="I147" s="491" t="n"/>
      <c r="J147" s="492">
        <f>IF(AND(A147&lt;&gt;"",E147&lt;&gt;""),IF(I147="","⚠️ Enter Code",IF(IFERROR(VLOOKUP(H147,DB_Agents!$B:$I,8,0),"")=I147,IF(C147&gt;=E147,"Successful","Unsuccessful"),"🔒 BLOCKED — Wrong Code")),"—")</f>
        <v/>
      </c>
      <c r="K147" s="493">
        <f>IF(J147="Successful",TEXT(TODAY(),"YYYY-MM-DD")&amp;" Auto","—")</f>
        <v/>
      </c>
      <c r="L147" s="494" t="n"/>
    </row>
    <row r="148" ht="15" customHeight="1" s="341">
      <c r="A148" s="495" t="n"/>
      <c r="B148" s="382">
        <f>IF(A148="","",IFERROR(VLOOKUP(A148,DB_Customers!$A:$D,4,0),"❌ Account Not Found"))</f>
        <v/>
      </c>
      <c r="C148" s="496">
        <f>IF(A148="","",IFERROR(VLOOKUP(A148,DB_Customers!$A:$N,14,0),""))</f>
        <v/>
      </c>
      <c r="D148" s="497">
        <f>IF(A148="","",TODAY())</f>
        <v/>
      </c>
      <c r="E148" s="510" t="n"/>
      <c r="F148" s="382" t="n"/>
      <c r="G148" s="512">
        <f>IF(OR(A148="",E148=""),"",IF(C148="","",C148-E148))</f>
        <v/>
      </c>
      <c r="H148" s="384" t="inlineStr">
        <is>
          <t>Agent 04</t>
        </is>
      </c>
      <c r="I148" s="491" t="n"/>
      <c r="J148" s="499">
        <f>IF(AND(A148&lt;&gt;"",E148&lt;&gt;""),IF(I148="","⚠️ Enter Code",IF(IFERROR(VLOOKUP(H148,DB_Agents!$B:$I,8,0),"")=I148,IF(C148&gt;=E148,"Successful","Unsuccessful"),"🔒 BLOCKED — Wrong Code")),"—")</f>
        <v/>
      </c>
      <c r="K148" s="500">
        <f>IF(J148="Successful",TEXT(TODAY(),"YYYY-MM-DD")&amp;" Auto","—")</f>
        <v/>
      </c>
      <c r="L148" s="501" t="n"/>
    </row>
    <row r="149" ht="15" customHeight="1" s="341">
      <c r="A149" s="486" t="n"/>
      <c r="B149" s="378">
        <f>IF(A149="","",IFERROR(VLOOKUP(A149,DB_Customers!$A:$D,4,0),"❌ Account Not Found"))</f>
        <v/>
      </c>
      <c r="C149" s="487">
        <f>IF(A149="","",IFERROR(VLOOKUP(A149,DB_Customers!$A:$N,14,0),""))</f>
        <v/>
      </c>
      <c r="D149" s="488">
        <f>IF(A149="","",TODAY())</f>
        <v/>
      </c>
      <c r="E149" s="510" t="n"/>
      <c r="F149" s="378" t="n"/>
      <c r="G149" s="511">
        <f>IF(OR(A149="",E149=""),"",IF(C149="","",C149-E149))</f>
        <v/>
      </c>
      <c r="H149" s="380" t="inlineStr">
        <is>
          <t>Agent 04</t>
        </is>
      </c>
      <c r="I149" s="491" t="n"/>
      <c r="J149" s="492">
        <f>IF(AND(A149&lt;&gt;"",E149&lt;&gt;""),IF(I149="","⚠️ Enter Code",IF(IFERROR(VLOOKUP(H149,DB_Agents!$B:$I,8,0),"")=I149,IF(C149&gt;=E149,"Successful","Unsuccessful"),"🔒 BLOCKED — Wrong Code")),"—")</f>
        <v/>
      </c>
      <c r="K149" s="493">
        <f>IF(J149="Successful",TEXT(TODAY(),"YYYY-MM-DD")&amp;" Auto","—")</f>
        <v/>
      </c>
      <c r="L149" s="494" t="n"/>
    </row>
    <row r="150" ht="15" customHeight="1" s="341">
      <c r="A150" s="495" t="n"/>
      <c r="B150" s="382">
        <f>IF(A150="","",IFERROR(VLOOKUP(A150,DB_Customers!$A:$D,4,0),"❌ Account Not Found"))</f>
        <v/>
      </c>
      <c r="C150" s="496">
        <f>IF(A150="","",IFERROR(VLOOKUP(A150,DB_Customers!$A:$N,14,0),""))</f>
        <v/>
      </c>
      <c r="D150" s="497">
        <f>IF(A150="","",TODAY())</f>
        <v/>
      </c>
      <c r="E150" s="510" t="n"/>
      <c r="F150" s="382" t="n"/>
      <c r="G150" s="512">
        <f>IF(OR(A150="",E150=""),"",IF(C150="","",C150-E150))</f>
        <v/>
      </c>
      <c r="H150" s="384" t="inlineStr">
        <is>
          <t>Agent 04</t>
        </is>
      </c>
      <c r="I150" s="491" t="n"/>
      <c r="J150" s="499">
        <f>IF(AND(A150&lt;&gt;"",E150&lt;&gt;""),IF(I150="","⚠️ Enter Code",IF(IFERROR(VLOOKUP(H150,DB_Agents!$B:$I,8,0),"")=I150,IF(C150&gt;=E150,"Successful","Unsuccessful"),"🔒 BLOCKED — Wrong Code")),"—")</f>
        <v/>
      </c>
      <c r="K150" s="500">
        <f>IF(J150="Successful",TEXT(TODAY(),"YYYY-MM-DD")&amp;" Auto","—")</f>
        <v/>
      </c>
      <c r="L150" s="501" t="n"/>
    </row>
    <row r="151" ht="15" customHeight="1" s="341">
      <c r="A151" s="486" t="n"/>
      <c r="B151" s="378">
        <f>IF(A151="","",IFERROR(VLOOKUP(A151,DB_Customers!$A:$D,4,0),"❌ Account Not Found"))</f>
        <v/>
      </c>
      <c r="C151" s="487">
        <f>IF(A151="","",IFERROR(VLOOKUP(A151,DB_Customers!$A:$N,14,0),""))</f>
        <v/>
      </c>
      <c r="D151" s="488">
        <f>IF(A151="","",TODAY())</f>
        <v/>
      </c>
      <c r="E151" s="510" t="n"/>
      <c r="F151" s="378" t="n"/>
      <c r="G151" s="511">
        <f>IF(OR(A151="",E151=""),"",IF(C151="","",C151-E151))</f>
        <v/>
      </c>
      <c r="H151" s="380" t="inlineStr">
        <is>
          <t>Agent 04</t>
        </is>
      </c>
      <c r="I151" s="491" t="n"/>
      <c r="J151" s="492">
        <f>IF(AND(A151&lt;&gt;"",E151&lt;&gt;""),IF(I151="","⚠️ Enter Code",IF(IFERROR(VLOOKUP(H151,DB_Agents!$B:$I,8,0),"")=I151,IF(C151&gt;=E151,"Successful","Unsuccessful"),"🔒 BLOCKED — Wrong Code")),"—")</f>
        <v/>
      </c>
      <c r="K151" s="493">
        <f>IF(J151="Successful",TEXT(TODAY(),"YYYY-MM-DD")&amp;" Auto","—")</f>
        <v/>
      </c>
      <c r="L151" s="494" t="n"/>
    </row>
    <row r="152" ht="15" customHeight="1" s="341">
      <c r="A152" s="495" t="n"/>
      <c r="B152" s="382">
        <f>IF(A152="","",IFERROR(VLOOKUP(A152,DB_Customers!$A:$D,4,0),"❌ Account Not Found"))</f>
        <v/>
      </c>
      <c r="C152" s="496">
        <f>IF(A152="","",IFERROR(VLOOKUP(A152,DB_Customers!$A:$N,14,0),""))</f>
        <v/>
      </c>
      <c r="D152" s="497">
        <f>IF(A152="","",TODAY())</f>
        <v/>
      </c>
      <c r="E152" s="510" t="n"/>
      <c r="F152" s="382" t="n"/>
      <c r="G152" s="512">
        <f>IF(OR(A152="",E152=""),"",IF(C152="","",C152-E152))</f>
        <v/>
      </c>
      <c r="H152" s="384" t="inlineStr">
        <is>
          <t>Agent 04</t>
        </is>
      </c>
      <c r="I152" s="491" t="n"/>
      <c r="J152" s="499">
        <f>IF(AND(A152&lt;&gt;"",E152&lt;&gt;""),IF(I152="","⚠️ Enter Code",IF(IFERROR(VLOOKUP(H152,DB_Agents!$B:$I,8,0),"")=I152,IF(C152&gt;=E152,"Successful","Unsuccessful"),"🔒 BLOCKED — Wrong Code")),"—")</f>
        <v/>
      </c>
      <c r="K152" s="500">
        <f>IF(J152="Successful",TEXT(TODAY(),"YYYY-MM-DD")&amp;" Auto","—")</f>
        <v/>
      </c>
      <c r="L152" s="501" t="n"/>
    </row>
    <row r="153" ht="15" customHeight="1" s="341">
      <c r="A153" s="486" t="n"/>
      <c r="B153" s="378">
        <f>IF(A153="","",IFERROR(VLOOKUP(A153,DB_Customers!$A:$D,4,0),"❌ Account Not Found"))</f>
        <v/>
      </c>
      <c r="C153" s="487">
        <f>IF(A153="","",IFERROR(VLOOKUP(A153,DB_Customers!$A:$N,14,0),""))</f>
        <v/>
      </c>
      <c r="D153" s="488">
        <f>IF(A153="","",TODAY())</f>
        <v/>
      </c>
      <c r="E153" s="510" t="n"/>
      <c r="F153" s="378" t="n"/>
      <c r="G153" s="511">
        <f>IF(OR(A153="",E153=""),"",IF(C153="","",C153-E153))</f>
        <v/>
      </c>
      <c r="H153" s="380" t="inlineStr">
        <is>
          <t>Agent 04</t>
        </is>
      </c>
      <c r="I153" s="491" t="n"/>
      <c r="J153" s="492">
        <f>IF(AND(A153&lt;&gt;"",E153&lt;&gt;""),IF(I153="","⚠️ Enter Code",IF(IFERROR(VLOOKUP(H153,DB_Agents!$B:$I,8,0),"")=I153,IF(C153&gt;=E153,"Successful","Unsuccessful"),"🔒 BLOCKED — Wrong Code")),"—")</f>
        <v/>
      </c>
      <c r="K153" s="493">
        <f>IF(J153="Successful",TEXT(TODAY(),"YYYY-MM-DD")&amp;" Auto","—")</f>
        <v/>
      </c>
      <c r="L153" s="494" t="n"/>
    </row>
    <row r="154" ht="15" customHeight="1" s="341">
      <c r="A154" s="495" t="n"/>
      <c r="B154" s="382">
        <f>IF(A154="","",IFERROR(VLOOKUP(A154,DB_Customers!$A:$D,4,0),"❌ Account Not Found"))</f>
        <v/>
      </c>
      <c r="C154" s="496">
        <f>IF(A154="","",IFERROR(VLOOKUP(A154,DB_Customers!$A:$N,14,0),""))</f>
        <v/>
      </c>
      <c r="D154" s="497">
        <f>IF(A154="","",TODAY())</f>
        <v/>
      </c>
      <c r="E154" s="510" t="n"/>
      <c r="F154" s="382" t="n"/>
      <c r="G154" s="512">
        <f>IF(OR(A154="",E154=""),"",IF(C154="","",C154-E154))</f>
        <v/>
      </c>
      <c r="H154" s="384" t="inlineStr">
        <is>
          <t>Agent 04</t>
        </is>
      </c>
      <c r="I154" s="491" t="n"/>
      <c r="J154" s="499">
        <f>IF(AND(A154&lt;&gt;"",E154&lt;&gt;""),IF(I154="","⚠️ Enter Code",IF(IFERROR(VLOOKUP(H154,DB_Agents!$B:$I,8,0),"")=I154,IF(C154&gt;=E154,"Successful","Unsuccessful"),"🔒 BLOCKED — Wrong Code")),"—")</f>
        <v/>
      </c>
      <c r="K154" s="500">
        <f>IF(J154="Successful",TEXT(TODAY(),"YYYY-MM-DD")&amp;" Auto","—")</f>
        <v/>
      </c>
      <c r="L154" s="501" t="n"/>
    </row>
    <row r="155" ht="15" customHeight="1" s="341">
      <c r="A155" s="486" t="n"/>
      <c r="B155" s="378">
        <f>IF(A155="","",IFERROR(VLOOKUP(A155,DB_Customers!$A:$D,4,0),"❌ Account Not Found"))</f>
        <v/>
      </c>
      <c r="C155" s="487">
        <f>IF(A155="","",IFERROR(VLOOKUP(A155,DB_Customers!$A:$N,14,0),""))</f>
        <v/>
      </c>
      <c r="D155" s="488">
        <f>IF(A155="","",TODAY())</f>
        <v/>
      </c>
      <c r="E155" s="510" t="n"/>
      <c r="F155" s="378" t="n"/>
      <c r="G155" s="511">
        <f>IF(OR(A155="",E155=""),"",IF(C155="","",C155-E155))</f>
        <v/>
      </c>
      <c r="H155" s="380" t="inlineStr">
        <is>
          <t>Agent 04</t>
        </is>
      </c>
      <c r="I155" s="491" t="n"/>
      <c r="J155" s="492">
        <f>IF(AND(A155&lt;&gt;"",E155&lt;&gt;""),IF(I155="","⚠️ Enter Code",IF(IFERROR(VLOOKUP(H155,DB_Agents!$B:$I,8,0),"")=I155,IF(C155&gt;=E155,"Successful","Unsuccessful"),"🔒 BLOCKED — Wrong Code")),"—")</f>
        <v/>
      </c>
      <c r="K155" s="493">
        <f>IF(J155="Successful",TEXT(TODAY(),"YYYY-MM-DD")&amp;" Auto","—")</f>
        <v/>
      </c>
      <c r="L155" s="494" t="n"/>
    </row>
    <row r="156" ht="15" customHeight="1" s="341">
      <c r="A156" s="495" t="n"/>
      <c r="B156" s="382">
        <f>IF(A156="","",IFERROR(VLOOKUP(A156,DB_Customers!$A:$D,4,0),"❌ Account Not Found"))</f>
        <v/>
      </c>
      <c r="C156" s="496">
        <f>IF(A156="","",IFERROR(VLOOKUP(A156,DB_Customers!$A:$N,14,0),""))</f>
        <v/>
      </c>
      <c r="D156" s="497">
        <f>IF(A156="","",TODAY())</f>
        <v/>
      </c>
      <c r="E156" s="510" t="n"/>
      <c r="F156" s="382" t="n"/>
      <c r="G156" s="512">
        <f>IF(OR(A156="",E156=""),"",IF(C156="","",C156-E156))</f>
        <v/>
      </c>
      <c r="H156" s="384" t="inlineStr">
        <is>
          <t>Agent 04</t>
        </is>
      </c>
      <c r="I156" s="491" t="n"/>
      <c r="J156" s="499">
        <f>IF(AND(A156&lt;&gt;"",E156&lt;&gt;""),IF(I156="","⚠️ Enter Code",IF(IFERROR(VLOOKUP(H156,DB_Agents!$B:$I,8,0),"")=I156,IF(C156&gt;=E156,"Successful","Unsuccessful"),"🔒 BLOCKED — Wrong Code")),"—")</f>
        <v/>
      </c>
      <c r="K156" s="500">
        <f>IF(J156="Successful",TEXT(TODAY(),"YYYY-MM-DD")&amp;" Auto","—")</f>
        <v/>
      </c>
      <c r="L156" s="501" t="n"/>
    </row>
    <row r="157" ht="15" customHeight="1" s="341">
      <c r="A157" s="486" t="n"/>
      <c r="B157" s="378">
        <f>IF(A157="","",IFERROR(VLOOKUP(A157,DB_Customers!$A:$D,4,0),"❌ Account Not Found"))</f>
        <v/>
      </c>
      <c r="C157" s="487">
        <f>IF(A157="","",IFERROR(VLOOKUP(A157,DB_Customers!$A:$N,14,0),""))</f>
        <v/>
      </c>
      <c r="D157" s="488">
        <f>IF(A157="","",TODAY())</f>
        <v/>
      </c>
      <c r="E157" s="510" t="n"/>
      <c r="F157" s="378" t="n"/>
      <c r="G157" s="511">
        <f>IF(OR(A157="",E157=""),"",IF(C157="","",C157-E157))</f>
        <v/>
      </c>
      <c r="H157" s="380" t="inlineStr">
        <is>
          <t>Agent 04</t>
        </is>
      </c>
      <c r="I157" s="491" t="n"/>
      <c r="J157" s="492">
        <f>IF(AND(A157&lt;&gt;"",E157&lt;&gt;""),IF(I157="","⚠️ Enter Code",IF(IFERROR(VLOOKUP(H157,DB_Agents!$B:$I,8,0),"")=I157,IF(C157&gt;=E157,"Successful","Unsuccessful"),"🔒 BLOCKED — Wrong Code")),"—")</f>
        <v/>
      </c>
      <c r="K157" s="493">
        <f>IF(J157="Successful",TEXT(TODAY(),"YYYY-MM-DD")&amp;" Auto","—")</f>
        <v/>
      </c>
      <c r="L157" s="494" t="n"/>
    </row>
    <row r="158" ht="15" customHeight="1" s="341">
      <c r="A158" s="495" t="n"/>
      <c r="B158" s="382">
        <f>IF(A158="","",IFERROR(VLOOKUP(A158,DB_Customers!$A:$D,4,0),"❌ Account Not Found"))</f>
        <v/>
      </c>
      <c r="C158" s="496">
        <f>IF(A158="","",IFERROR(VLOOKUP(A158,DB_Customers!$A:$N,14,0),""))</f>
        <v/>
      </c>
      <c r="D158" s="497">
        <f>IF(A158="","",TODAY())</f>
        <v/>
      </c>
      <c r="E158" s="510" t="n"/>
      <c r="F158" s="382" t="n"/>
      <c r="G158" s="512">
        <f>IF(OR(A158="",E158=""),"",IF(C158="","",C158-E158))</f>
        <v/>
      </c>
      <c r="H158" s="384" t="inlineStr">
        <is>
          <t>Agent 04</t>
        </is>
      </c>
      <c r="I158" s="491" t="n"/>
      <c r="J158" s="499">
        <f>IF(AND(A158&lt;&gt;"",E158&lt;&gt;""),IF(I158="","⚠️ Enter Code",IF(IFERROR(VLOOKUP(H158,DB_Agents!$B:$I,8,0),"")=I158,IF(C158&gt;=E158,"Successful","Unsuccessful"),"🔒 BLOCKED — Wrong Code")),"—")</f>
        <v/>
      </c>
      <c r="K158" s="500">
        <f>IF(J158="Successful",TEXT(TODAY(),"YYYY-MM-DD")&amp;" Auto","—")</f>
        <v/>
      </c>
      <c r="L158" s="501" t="n"/>
    </row>
    <row r="159" ht="15" customHeight="1" s="341">
      <c r="A159" s="486" t="n"/>
      <c r="B159" s="378">
        <f>IF(A159="","",IFERROR(VLOOKUP(A159,DB_Customers!$A:$D,4,0),"❌ Account Not Found"))</f>
        <v/>
      </c>
      <c r="C159" s="487">
        <f>IF(A159="","",IFERROR(VLOOKUP(A159,DB_Customers!$A:$N,14,0),""))</f>
        <v/>
      </c>
      <c r="D159" s="488">
        <f>IF(A159="","",TODAY())</f>
        <v/>
      </c>
      <c r="E159" s="510" t="n"/>
      <c r="F159" s="378" t="n"/>
      <c r="G159" s="511">
        <f>IF(OR(A159="",E159=""),"",IF(C159="","",C159-E159))</f>
        <v/>
      </c>
      <c r="H159" s="380" t="inlineStr">
        <is>
          <t>Agent 04</t>
        </is>
      </c>
      <c r="I159" s="491" t="n"/>
      <c r="J159" s="492">
        <f>IF(AND(A159&lt;&gt;"",E159&lt;&gt;""),IF(I159="","⚠️ Enter Code",IF(IFERROR(VLOOKUP(H159,DB_Agents!$B:$I,8,0),"")=I159,IF(C159&gt;=E159,"Successful","Unsuccessful"),"🔒 BLOCKED — Wrong Code")),"—")</f>
        <v/>
      </c>
      <c r="K159" s="493">
        <f>IF(J159="Successful",TEXT(TODAY(),"YYYY-MM-DD")&amp;" Auto","—")</f>
        <v/>
      </c>
      <c r="L159" s="494" t="n"/>
    </row>
    <row r="160" ht="15" customHeight="1" s="341">
      <c r="A160" s="495" t="n"/>
      <c r="B160" s="382">
        <f>IF(A160="","",IFERROR(VLOOKUP(A160,DB_Customers!$A:$D,4,0),"❌ Account Not Found"))</f>
        <v/>
      </c>
      <c r="C160" s="496">
        <f>IF(A160="","",IFERROR(VLOOKUP(A160,DB_Customers!$A:$N,14,0),""))</f>
        <v/>
      </c>
      <c r="D160" s="497">
        <f>IF(A160="","",TODAY())</f>
        <v/>
      </c>
      <c r="E160" s="510" t="n"/>
      <c r="F160" s="382" t="n"/>
      <c r="G160" s="512">
        <f>IF(OR(A160="",E160=""),"",IF(C160="","",C160-E160))</f>
        <v/>
      </c>
      <c r="H160" s="384" t="inlineStr">
        <is>
          <t>Agent 04</t>
        </is>
      </c>
      <c r="I160" s="491" t="n"/>
      <c r="J160" s="499">
        <f>IF(AND(A160&lt;&gt;"",E160&lt;&gt;""),IF(I160="","⚠️ Enter Code",IF(IFERROR(VLOOKUP(H160,DB_Agents!$B:$I,8,0),"")=I160,IF(C160&gt;=E160,"Successful","Unsuccessful"),"🔒 BLOCKED — Wrong Code")),"—")</f>
        <v/>
      </c>
      <c r="K160" s="500">
        <f>IF(J160="Successful",TEXT(TODAY(),"YYYY-MM-DD")&amp;" Auto","—")</f>
        <v/>
      </c>
      <c r="L160" s="501" t="n"/>
    </row>
    <row r="161" ht="15" customHeight="1" s="341">
      <c r="A161" s="486" t="n"/>
      <c r="B161" s="378">
        <f>IF(A161="","",IFERROR(VLOOKUP(A161,DB_Customers!$A:$D,4,0),"❌ Account Not Found"))</f>
        <v/>
      </c>
      <c r="C161" s="487">
        <f>IF(A161="","",IFERROR(VLOOKUP(A161,DB_Customers!$A:$N,14,0),""))</f>
        <v/>
      </c>
      <c r="D161" s="488">
        <f>IF(A161="","",TODAY())</f>
        <v/>
      </c>
      <c r="E161" s="510" t="n"/>
      <c r="F161" s="378" t="n"/>
      <c r="G161" s="511">
        <f>IF(OR(A161="",E161=""),"",IF(C161="","",C161-E161))</f>
        <v/>
      </c>
      <c r="H161" s="380" t="inlineStr">
        <is>
          <t>Agent 04</t>
        </is>
      </c>
      <c r="I161" s="491" t="n"/>
      <c r="J161" s="492">
        <f>IF(AND(A161&lt;&gt;"",E161&lt;&gt;""),IF(I161="","⚠️ Enter Code",IF(IFERROR(VLOOKUP(H161,DB_Agents!$B:$I,8,0),"")=I161,IF(C161&gt;=E161,"Successful","Unsuccessful"),"🔒 BLOCKED — Wrong Code")),"—")</f>
        <v/>
      </c>
      <c r="K161" s="493">
        <f>IF(J161="Successful",TEXT(TODAY(),"YYYY-MM-DD")&amp;" Auto","—")</f>
        <v/>
      </c>
      <c r="L161" s="494" t="n"/>
    </row>
    <row r="162" ht="15" customHeight="1" s="341">
      <c r="A162" s="495" t="n"/>
      <c r="B162" s="382">
        <f>IF(A162="","",IFERROR(VLOOKUP(A162,DB_Customers!$A:$D,4,0),"❌ Account Not Found"))</f>
        <v/>
      </c>
      <c r="C162" s="496">
        <f>IF(A162="","",IFERROR(VLOOKUP(A162,DB_Customers!$A:$N,14,0),""))</f>
        <v/>
      </c>
      <c r="D162" s="497">
        <f>IF(A162="","",TODAY())</f>
        <v/>
      </c>
      <c r="E162" s="510" t="n"/>
      <c r="F162" s="382" t="n"/>
      <c r="G162" s="512">
        <f>IF(OR(A162="",E162=""),"",IF(C162="","",C162-E162))</f>
        <v/>
      </c>
      <c r="H162" s="384" t="inlineStr">
        <is>
          <t>Agent 04</t>
        </is>
      </c>
      <c r="I162" s="491" t="n"/>
      <c r="J162" s="499">
        <f>IF(AND(A162&lt;&gt;"",E162&lt;&gt;""),IF(I162="","⚠️ Enter Code",IF(IFERROR(VLOOKUP(H162,DB_Agents!$B:$I,8,0),"")=I162,IF(C162&gt;=E162,"Successful","Unsuccessful"),"🔒 BLOCKED — Wrong Code")),"—")</f>
        <v/>
      </c>
      <c r="K162" s="500">
        <f>IF(J162="Successful",TEXT(TODAY(),"YYYY-MM-DD")&amp;" Auto","—")</f>
        <v/>
      </c>
      <c r="L162" s="501" t="n"/>
    </row>
    <row r="163" ht="15" customHeight="1" s="341">
      <c r="A163" s="486" t="n"/>
      <c r="B163" s="378">
        <f>IF(A163="","",IFERROR(VLOOKUP(A163,DB_Customers!$A:$D,4,0),"❌ Account Not Found"))</f>
        <v/>
      </c>
      <c r="C163" s="487">
        <f>IF(A163="","",IFERROR(VLOOKUP(A163,DB_Customers!$A:$N,14,0),""))</f>
        <v/>
      </c>
      <c r="D163" s="488">
        <f>IF(A163="","",TODAY())</f>
        <v/>
      </c>
      <c r="E163" s="510" t="n"/>
      <c r="F163" s="378" t="n"/>
      <c r="G163" s="511">
        <f>IF(OR(A163="",E163=""),"",IF(C163="","",C163-E163))</f>
        <v/>
      </c>
      <c r="H163" s="380" t="inlineStr">
        <is>
          <t>Agent 04</t>
        </is>
      </c>
      <c r="I163" s="491" t="n"/>
      <c r="J163" s="492">
        <f>IF(AND(A163&lt;&gt;"",E163&lt;&gt;""),IF(I163="","⚠️ Enter Code",IF(IFERROR(VLOOKUP(H163,DB_Agents!$B:$I,8,0),"")=I163,IF(C163&gt;=E163,"Successful","Unsuccessful"),"🔒 BLOCKED — Wrong Code")),"—")</f>
        <v/>
      </c>
      <c r="K163" s="493">
        <f>IF(J163="Successful",TEXT(TODAY(),"YYYY-MM-DD")&amp;" Auto","—")</f>
        <v/>
      </c>
      <c r="L163" s="494" t="n"/>
    </row>
    <row r="164" ht="15" customHeight="1" s="341">
      <c r="A164" s="495" t="n"/>
      <c r="B164" s="382">
        <f>IF(A164="","",IFERROR(VLOOKUP(A164,DB_Customers!$A:$D,4,0),"❌ Account Not Found"))</f>
        <v/>
      </c>
      <c r="C164" s="496">
        <f>IF(A164="","",IFERROR(VLOOKUP(A164,DB_Customers!$A:$N,14,0),""))</f>
        <v/>
      </c>
      <c r="D164" s="497">
        <f>IF(A164="","",TODAY())</f>
        <v/>
      </c>
      <c r="E164" s="510" t="n"/>
      <c r="F164" s="382" t="n"/>
      <c r="G164" s="512">
        <f>IF(OR(A164="",E164=""),"",IF(C164="","",C164-E164))</f>
        <v/>
      </c>
      <c r="H164" s="384" t="inlineStr">
        <is>
          <t>Agent 04</t>
        </is>
      </c>
      <c r="I164" s="491" t="n"/>
      <c r="J164" s="499">
        <f>IF(AND(A164&lt;&gt;"",E164&lt;&gt;""),IF(I164="","⚠️ Enter Code",IF(IFERROR(VLOOKUP(H164,DB_Agents!$B:$I,8,0),"")=I164,IF(C164&gt;=E164,"Successful","Unsuccessful"),"🔒 BLOCKED — Wrong Code")),"—")</f>
        <v/>
      </c>
      <c r="K164" s="500">
        <f>IF(J164="Successful",TEXT(TODAY(),"YYYY-MM-DD")&amp;" Auto","—")</f>
        <v/>
      </c>
      <c r="L164" s="501" t="n"/>
    </row>
    <row r="165" ht="15" customHeight="1" s="341">
      <c r="A165" s="486" t="n"/>
      <c r="B165" s="378">
        <f>IF(A165="","",IFERROR(VLOOKUP(A165,DB_Customers!$A:$D,4,0),"❌ Account Not Found"))</f>
        <v/>
      </c>
      <c r="C165" s="487">
        <f>IF(A165="","",IFERROR(VLOOKUP(A165,DB_Customers!$A:$N,14,0),""))</f>
        <v/>
      </c>
      <c r="D165" s="488">
        <f>IF(A165="","",TODAY())</f>
        <v/>
      </c>
      <c r="E165" s="510" t="n"/>
      <c r="F165" s="378" t="n"/>
      <c r="G165" s="511">
        <f>IF(OR(A165="",E165=""),"",IF(C165="","",C165-E165))</f>
        <v/>
      </c>
      <c r="H165" s="380" t="inlineStr">
        <is>
          <t>Agent 04</t>
        </is>
      </c>
      <c r="I165" s="491" t="n"/>
      <c r="J165" s="492">
        <f>IF(AND(A165&lt;&gt;"",E165&lt;&gt;""),IF(I165="","⚠️ Enter Code",IF(IFERROR(VLOOKUP(H165,DB_Agents!$B:$I,8,0),"")=I165,IF(C165&gt;=E165,"Successful","Unsuccessful"),"🔒 BLOCKED — Wrong Code")),"—")</f>
        <v/>
      </c>
      <c r="K165" s="493">
        <f>IF(J165="Successful",TEXT(TODAY(),"YYYY-MM-DD")&amp;" Auto","—")</f>
        <v/>
      </c>
      <c r="L165" s="494" t="n"/>
    </row>
    <row r="166" ht="15" customHeight="1" s="341">
      <c r="A166" s="495" t="n"/>
      <c r="B166" s="382">
        <f>IF(A166="","",IFERROR(VLOOKUP(A166,DB_Customers!$A:$D,4,0),"❌ Account Not Found"))</f>
        <v/>
      </c>
      <c r="C166" s="496">
        <f>IF(A166="","",IFERROR(VLOOKUP(A166,DB_Customers!$A:$N,14,0),""))</f>
        <v/>
      </c>
      <c r="D166" s="497">
        <f>IF(A166="","",TODAY())</f>
        <v/>
      </c>
      <c r="E166" s="510" t="n"/>
      <c r="F166" s="382" t="n"/>
      <c r="G166" s="512">
        <f>IF(OR(A166="",E166=""),"",IF(C166="","",C166-E166))</f>
        <v/>
      </c>
      <c r="H166" s="384" t="inlineStr">
        <is>
          <t>Agent 04</t>
        </is>
      </c>
      <c r="I166" s="491" t="n"/>
      <c r="J166" s="499">
        <f>IF(AND(A166&lt;&gt;"",E166&lt;&gt;""),IF(I166="","⚠️ Enter Code",IF(IFERROR(VLOOKUP(H166,DB_Agents!$B:$I,8,0),"")=I166,IF(C166&gt;=E166,"Successful","Unsuccessful"),"🔒 BLOCKED — Wrong Code")),"—")</f>
        <v/>
      </c>
      <c r="K166" s="500">
        <f>IF(J166="Successful",TEXT(TODAY(),"YYYY-MM-DD")&amp;" Auto","—")</f>
        <v/>
      </c>
      <c r="L166" s="501" t="n"/>
    </row>
    <row r="167" ht="15" customHeight="1" s="341">
      <c r="A167" s="486" t="n"/>
      <c r="B167" s="378">
        <f>IF(A167="","",IFERROR(VLOOKUP(A167,DB_Customers!$A:$D,4,0),"❌ Account Not Found"))</f>
        <v/>
      </c>
      <c r="C167" s="487">
        <f>IF(A167="","",IFERROR(VLOOKUP(A167,DB_Customers!$A:$N,14,0),""))</f>
        <v/>
      </c>
      <c r="D167" s="488">
        <f>IF(A167="","",TODAY())</f>
        <v/>
      </c>
      <c r="E167" s="510" t="n"/>
      <c r="F167" s="378" t="n"/>
      <c r="G167" s="511">
        <f>IF(OR(A167="",E167=""),"",IF(C167="","",C167-E167))</f>
        <v/>
      </c>
      <c r="H167" s="380" t="inlineStr">
        <is>
          <t>Agent 04</t>
        </is>
      </c>
      <c r="I167" s="491" t="n"/>
      <c r="J167" s="492">
        <f>IF(AND(A167&lt;&gt;"",E167&lt;&gt;""),IF(I167="","⚠️ Enter Code",IF(IFERROR(VLOOKUP(H167,DB_Agents!$B:$I,8,0),"")=I167,IF(C167&gt;=E167,"Successful","Unsuccessful"),"🔒 BLOCKED — Wrong Code")),"—")</f>
        <v/>
      </c>
      <c r="K167" s="493">
        <f>IF(J167="Successful",TEXT(TODAY(),"YYYY-MM-DD")&amp;" Auto","—")</f>
        <v/>
      </c>
      <c r="L167" s="494" t="n"/>
    </row>
    <row r="168" ht="15" customHeight="1" s="341">
      <c r="A168" s="495" t="n"/>
      <c r="B168" s="382">
        <f>IF(A168="","",IFERROR(VLOOKUP(A168,DB_Customers!$A:$D,4,0),"❌ Account Not Found"))</f>
        <v/>
      </c>
      <c r="C168" s="496">
        <f>IF(A168="","",IFERROR(VLOOKUP(A168,DB_Customers!$A:$N,14,0),""))</f>
        <v/>
      </c>
      <c r="D168" s="497">
        <f>IF(A168="","",TODAY())</f>
        <v/>
      </c>
      <c r="E168" s="510" t="n"/>
      <c r="F168" s="382" t="n"/>
      <c r="G168" s="512">
        <f>IF(OR(A168="",E168=""),"",IF(C168="","",C168-E168))</f>
        <v/>
      </c>
      <c r="H168" s="384" t="inlineStr">
        <is>
          <t>Agent 04</t>
        </is>
      </c>
      <c r="I168" s="491" t="n"/>
      <c r="J168" s="499">
        <f>IF(AND(A168&lt;&gt;"",E168&lt;&gt;""),IF(I168="","⚠️ Enter Code",IF(IFERROR(VLOOKUP(H168,DB_Agents!$B:$I,8,0),"")=I168,IF(C168&gt;=E168,"Successful","Unsuccessful"),"🔒 BLOCKED — Wrong Code")),"—")</f>
        <v/>
      </c>
      <c r="K168" s="500">
        <f>IF(J168="Successful",TEXT(TODAY(),"YYYY-MM-DD")&amp;" Auto","—")</f>
        <v/>
      </c>
      <c r="L168" s="501" t="n"/>
    </row>
    <row r="169" ht="15" customHeight="1" s="341">
      <c r="A169" s="486" t="n"/>
      <c r="B169" s="378">
        <f>IF(A169="","",IFERROR(VLOOKUP(A169,DB_Customers!$A:$D,4,0),"❌ Account Not Found"))</f>
        <v/>
      </c>
      <c r="C169" s="487">
        <f>IF(A169="","",IFERROR(VLOOKUP(A169,DB_Customers!$A:$N,14,0),""))</f>
        <v/>
      </c>
      <c r="D169" s="488">
        <f>IF(A169="","",TODAY())</f>
        <v/>
      </c>
      <c r="E169" s="510" t="n"/>
      <c r="F169" s="378" t="n"/>
      <c r="G169" s="511">
        <f>IF(OR(A169="",E169=""),"",IF(C169="","",C169-E169))</f>
        <v/>
      </c>
      <c r="H169" s="380" t="inlineStr">
        <is>
          <t>Agent 04</t>
        </is>
      </c>
      <c r="I169" s="491" t="n"/>
      <c r="J169" s="492">
        <f>IF(AND(A169&lt;&gt;"",E169&lt;&gt;""),IF(I169="","⚠️ Enter Code",IF(IFERROR(VLOOKUP(H169,DB_Agents!$B:$I,8,0),"")=I169,IF(C169&gt;=E169,"Successful","Unsuccessful"),"🔒 BLOCKED — Wrong Code")),"—")</f>
        <v/>
      </c>
      <c r="K169" s="493">
        <f>IF(J169="Successful",TEXT(TODAY(),"YYYY-MM-DD")&amp;" Auto","—")</f>
        <v/>
      </c>
      <c r="L169" s="494" t="n"/>
    </row>
    <row r="170" ht="15" customHeight="1" s="341">
      <c r="A170" s="495" t="n"/>
      <c r="B170" s="382">
        <f>IF(A170="","",IFERROR(VLOOKUP(A170,DB_Customers!$A:$D,4,0),"❌ Account Not Found"))</f>
        <v/>
      </c>
      <c r="C170" s="496">
        <f>IF(A170="","",IFERROR(VLOOKUP(A170,DB_Customers!$A:$N,14,0),""))</f>
        <v/>
      </c>
      <c r="D170" s="497">
        <f>IF(A170="","",TODAY())</f>
        <v/>
      </c>
      <c r="E170" s="510" t="n"/>
      <c r="F170" s="382" t="n"/>
      <c r="G170" s="512">
        <f>IF(OR(A170="",E170=""),"",IF(C170="","",C170-E170))</f>
        <v/>
      </c>
      <c r="H170" s="384" t="inlineStr">
        <is>
          <t>Agent 04</t>
        </is>
      </c>
      <c r="I170" s="491" t="n"/>
      <c r="J170" s="499">
        <f>IF(AND(A170&lt;&gt;"",E170&lt;&gt;""),IF(I170="","⚠️ Enter Code",IF(IFERROR(VLOOKUP(H170,DB_Agents!$B:$I,8,0),"")=I170,IF(C170&gt;=E170,"Successful","Unsuccessful"),"🔒 BLOCKED — Wrong Code")),"—")</f>
        <v/>
      </c>
      <c r="K170" s="500">
        <f>IF(J170="Successful",TEXT(TODAY(),"YYYY-MM-DD")&amp;" Auto","—")</f>
        <v/>
      </c>
      <c r="L170" s="501" t="n"/>
    </row>
    <row r="171" ht="15" customHeight="1" s="341">
      <c r="A171" s="486" t="n"/>
      <c r="B171" s="378">
        <f>IF(A171="","",IFERROR(VLOOKUP(A171,DB_Customers!$A:$D,4,0),"❌ Account Not Found"))</f>
        <v/>
      </c>
      <c r="C171" s="487">
        <f>IF(A171="","",IFERROR(VLOOKUP(A171,DB_Customers!$A:$N,14,0),""))</f>
        <v/>
      </c>
      <c r="D171" s="488">
        <f>IF(A171="","",TODAY())</f>
        <v/>
      </c>
      <c r="E171" s="510" t="n"/>
      <c r="F171" s="378" t="n"/>
      <c r="G171" s="511">
        <f>IF(OR(A171="",E171=""),"",IF(C171="","",C171-E171))</f>
        <v/>
      </c>
      <c r="H171" s="380" t="inlineStr">
        <is>
          <t>Agent 04</t>
        </is>
      </c>
      <c r="I171" s="491" t="n"/>
      <c r="J171" s="492">
        <f>IF(AND(A171&lt;&gt;"",E171&lt;&gt;""),IF(I171="","⚠️ Enter Code",IF(IFERROR(VLOOKUP(H171,DB_Agents!$B:$I,8,0),"")=I171,IF(C171&gt;=E171,"Successful","Unsuccessful"),"🔒 BLOCKED — Wrong Code")),"—")</f>
        <v/>
      </c>
      <c r="K171" s="493">
        <f>IF(J171="Successful",TEXT(TODAY(),"YYYY-MM-DD")&amp;" Auto","—")</f>
        <v/>
      </c>
      <c r="L171" s="494" t="n"/>
    </row>
    <row r="172" ht="15" customHeight="1" s="341">
      <c r="A172" s="495" t="n"/>
      <c r="B172" s="382">
        <f>IF(A172="","",IFERROR(VLOOKUP(A172,DB_Customers!$A:$D,4,0),"❌ Account Not Found"))</f>
        <v/>
      </c>
      <c r="C172" s="496">
        <f>IF(A172="","",IFERROR(VLOOKUP(A172,DB_Customers!$A:$N,14,0),""))</f>
        <v/>
      </c>
      <c r="D172" s="497">
        <f>IF(A172="","",TODAY())</f>
        <v/>
      </c>
      <c r="E172" s="510" t="n"/>
      <c r="F172" s="382" t="n"/>
      <c r="G172" s="512">
        <f>IF(OR(A172="",E172=""),"",IF(C172="","",C172-E172))</f>
        <v/>
      </c>
      <c r="H172" s="384" t="inlineStr">
        <is>
          <t>Agent 04</t>
        </is>
      </c>
      <c r="I172" s="491" t="n"/>
      <c r="J172" s="499">
        <f>IF(AND(A172&lt;&gt;"",E172&lt;&gt;""),IF(I172="","⚠️ Enter Code",IF(IFERROR(VLOOKUP(H172,DB_Agents!$B:$I,8,0),"")=I172,IF(C172&gt;=E172,"Successful","Unsuccessful"),"🔒 BLOCKED — Wrong Code")),"—")</f>
        <v/>
      </c>
      <c r="K172" s="500">
        <f>IF(J172="Successful",TEXT(TODAY(),"YYYY-MM-DD")&amp;" Auto","—")</f>
        <v/>
      </c>
      <c r="L172" s="501" t="n"/>
    </row>
    <row r="173" ht="15" customHeight="1" s="341">
      <c r="A173" s="486" t="n"/>
      <c r="B173" s="378">
        <f>IF(A173="","",IFERROR(VLOOKUP(A173,DB_Customers!$A:$D,4,0),"❌ Account Not Found"))</f>
        <v/>
      </c>
      <c r="C173" s="487">
        <f>IF(A173="","",IFERROR(VLOOKUP(A173,DB_Customers!$A:$N,14,0),""))</f>
        <v/>
      </c>
      <c r="D173" s="488">
        <f>IF(A173="","",TODAY())</f>
        <v/>
      </c>
      <c r="E173" s="510" t="n"/>
      <c r="F173" s="378" t="n"/>
      <c r="G173" s="511">
        <f>IF(OR(A173="",E173=""),"",IF(C173="","",C173-E173))</f>
        <v/>
      </c>
      <c r="H173" s="380" t="inlineStr">
        <is>
          <t>Agent 04</t>
        </is>
      </c>
      <c r="I173" s="491" t="n"/>
      <c r="J173" s="492">
        <f>IF(AND(A173&lt;&gt;"",E173&lt;&gt;""),IF(I173="","⚠️ Enter Code",IF(IFERROR(VLOOKUP(H173,DB_Agents!$B:$I,8,0),"")=I173,IF(C173&gt;=E173,"Successful","Unsuccessful"),"🔒 BLOCKED — Wrong Code")),"—")</f>
        <v/>
      </c>
      <c r="K173" s="493">
        <f>IF(J173="Successful",TEXT(TODAY(),"YYYY-MM-DD")&amp;" Auto","—")</f>
        <v/>
      </c>
      <c r="L173" s="494" t="n"/>
    </row>
    <row r="174" ht="15" customHeight="1" s="341">
      <c r="A174" s="495" t="n"/>
      <c r="B174" s="382">
        <f>IF(A174="","",IFERROR(VLOOKUP(A174,DB_Customers!$A:$D,4,0),"❌ Account Not Found"))</f>
        <v/>
      </c>
      <c r="C174" s="496">
        <f>IF(A174="","",IFERROR(VLOOKUP(A174,DB_Customers!$A:$N,14,0),""))</f>
        <v/>
      </c>
      <c r="D174" s="497">
        <f>IF(A174="","",TODAY())</f>
        <v/>
      </c>
      <c r="E174" s="510" t="n"/>
      <c r="F174" s="382" t="n"/>
      <c r="G174" s="512">
        <f>IF(OR(A174="",E174=""),"",IF(C174="","",C174-E174))</f>
        <v/>
      </c>
      <c r="H174" s="384" t="inlineStr">
        <is>
          <t>Agent 04</t>
        </is>
      </c>
      <c r="I174" s="491" t="n"/>
      <c r="J174" s="499">
        <f>IF(AND(A174&lt;&gt;"",E174&lt;&gt;""),IF(I174="","⚠️ Enter Code",IF(IFERROR(VLOOKUP(H174,DB_Agents!$B:$I,8,0),"")=I174,IF(C174&gt;=E174,"Successful","Unsuccessful"),"🔒 BLOCKED — Wrong Code")),"—")</f>
        <v/>
      </c>
      <c r="K174" s="500">
        <f>IF(J174="Successful",TEXT(TODAY(),"YYYY-MM-DD")&amp;" Auto","—")</f>
        <v/>
      </c>
      <c r="L174" s="501" t="n"/>
    </row>
    <row r="175" ht="15" customHeight="1" s="341">
      <c r="A175" s="486" t="n"/>
      <c r="B175" s="378">
        <f>IF(A175="","",IFERROR(VLOOKUP(A175,DB_Customers!$A:$D,4,0),"❌ Account Not Found"))</f>
        <v/>
      </c>
      <c r="C175" s="487">
        <f>IF(A175="","",IFERROR(VLOOKUP(A175,DB_Customers!$A:$N,14,0),""))</f>
        <v/>
      </c>
      <c r="D175" s="488">
        <f>IF(A175="","",TODAY())</f>
        <v/>
      </c>
      <c r="E175" s="510" t="n"/>
      <c r="F175" s="378" t="n"/>
      <c r="G175" s="511">
        <f>IF(OR(A175="",E175=""),"",IF(C175="","",C175-E175))</f>
        <v/>
      </c>
      <c r="H175" s="380" t="inlineStr">
        <is>
          <t>Agent 04</t>
        </is>
      </c>
      <c r="I175" s="491" t="n"/>
      <c r="J175" s="492">
        <f>IF(AND(A175&lt;&gt;"",E175&lt;&gt;""),IF(I175="","⚠️ Enter Code",IF(IFERROR(VLOOKUP(H175,DB_Agents!$B:$I,8,0),"")=I175,IF(C175&gt;=E175,"Successful","Unsuccessful"),"🔒 BLOCKED — Wrong Code")),"—")</f>
        <v/>
      </c>
      <c r="K175" s="493">
        <f>IF(J175="Successful",TEXT(TODAY(),"YYYY-MM-DD")&amp;" Auto","—")</f>
        <v/>
      </c>
      <c r="L175" s="494" t="n"/>
    </row>
    <row r="176" ht="15" customHeight="1" s="341">
      <c r="A176" s="495" t="n"/>
      <c r="B176" s="382">
        <f>IF(A176="","",IFERROR(VLOOKUP(A176,DB_Customers!$A:$D,4,0),"❌ Account Not Found"))</f>
        <v/>
      </c>
      <c r="C176" s="496">
        <f>IF(A176="","",IFERROR(VLOOKUP(A176,DB_Customers!$A:$N,14,0),""))</f>
        <v/>
      </c>
      <c r="D176" s="497">
        <f>IF(A176="","",TODAY())</f>
        <v/>
      </c>
      <c r="E176" s="510" t="n"/>
      <c r="F176" s="382" t="n"/>
      <c r="G176" s="512">
        <f>IF(OR(A176="",E176=""),"",IF(C176="","",C176-E176))</f>
        <v/>
      </c>
      <c r="H176" s="384" t="inlineStr">
        <is>
          <t>Agent 04</t>
        </is>
      </c>
      <c r="I176" s="491" t="n"/>
      <c r="J176" s="499">
        <f>IF(AND(A176&lt;&gt;"",E176&lt;&gt;""),IF(I176="","⚠️ Enter Code",IF(IFERROR(VLOOKUP(H176,DB_Agents!$B:$I,8,0),"")=I176,IF(C176&gt;=E176,"Successful","Unsuccessful"),"🔒 BLOCKED — Wrong Code")),"—")</f>
        <v/>
      </c>
      <c r="K176" s="500">
        <f>IF(J176="Successful",TEXT(TODAY(),"YYYY-MM-DD")&amp;" Auto","—")</f>
        <v/>
      </c>
      <c r="L176" s="501" t="n"/>
    </row>
    <row r="177" ht="15" customHeight="1" s="341">
      <c r="A177" s="486" t="n"/>
      <c r="B177" s="378">
        <f>IF(A177="","",IFERROR(VLOOKUP(A177,DB_Customers!$A:$D,4,0),"❌ Account Not Found"))</f>
        <v/>
      </c>
      <c r="C177" s="487">
        <f>IF(A177="","",IFERROR(VLOOKUP(A177,DB_Customers!$A:$N,14,0),""))</f>
        <v/>
      </c>
      <c r="D177" s="488">
        <f>IF(A177="","",TODAY())</f>
        <v/>
      </c>
      <c r="E177" s="510" t="n"/>
      <c r="F177" s="378" t="n"/>
      <c r="G177" s="511">
        <f>IF(OR(A177="",E177=""),"",IF(C177="","",C177-E177))</f>
        <v/>
      </c>
      <c r="H177" s="380" t="inlineStr">
        <is>
          <t>Agent 04</t>
        </is>
      </c>
      <c r="I177" s="491" t="n"/>
      <c r="J177" s="492">
        <f>IF(AND(A177&lt;&gt;"",E177&lt;&gt;""),IF(I177="","⚠️ Enter Code",IF(IFERROR(VLOOKUP(H177,DB_Agents!$B:$I,8,0),"")=I177,IF(C177&gt;=E177,"Successful","Unsuccessful"),"🔒 BLOCKED — Wrong Code")),"—")</f>
        <v/>
      </c>
      <c r="K177" s="493">
        <f>IF(J177="Successful",TEXT(TODAY(),"YYYY-MM-DD")&amp;" Auto","—")</f>
        <v/>
      </c>
      <c r="L177" s="494" t="n"/>
    </row>
    <row r="178" ht="15" customHeight="1" s="341">
      <c r="A178" s="495" t="n"/>
      <c r="B178" s="382">
        <f>IF(A178="","",IFERROR(VLOOKUP(A178,DB_Customers!$A:$D,4,0),"❌ Account Not Found"))</f>
        <v/>
      </c>
      <c r="C178" s="496">
        <f>IF(A178="","",IFERROR(VLOOKUP(A178,DB_Customers!$A:$N,14,0),""))</f>
        <v/>
      </c>
      <c r="D178" s="497">
        <f>IF(A178="","",TODAY())</f>
        <v/>
      </c>
      <c r="E178" s="510" t="n"/>
      <c r="F178" s="382" t="n"/>
      <c r="G178" s="512">
        <f>IF(OR(A178="",E178=""),"",IF(C178="","",C178-E178))</f>
        <v/>
      </c>
      <c r="H178" s="384" t="inlineStr">
        <is>
          <t>Agent 04</t>
        </is>
      </c>
      <c r="I178" s="491" t="n"/>
      <c r="J178" s="499">
        <f>IF(AND(A178&lt;&gt;"",E178&lt;&gt;""),IF(I178="","⚠️ Enter Code",IF(IFERROR(VLOOKUP(H178,DB_Agents!$B:$I,8,0),"")=I178,IF(C178&gt;=E178,"Successful","Unsuccessful"),"🔒 BLOCKED — Wrong Code")),"—")</f>
        <v/>
      </c>
      <c r="K178" s="500">
        <f>IF(J178="Successful",TEXT(TODAY(),"YYYY-MM-DD")&amp;" Auto","—")</f>
        <v/>
      </c>
      <c r="L178" s="501" t="n"/>
    </row>
    <row r="179" ht="15" customHeight="1" s="341">
      <c r="A179" s="486" t="n"/>
      <c r="B179" s="378">
        <f>IF(A179="","",IFERROR(VLOOKUP(A179,DB_Customers!$A:$D,4,0),"❌ Account Not Found"))</f>
        <v/>
      </c>
      <c r="C179" s="487">
        <f>IF(A179="","",IFERROR(VLOOKUP(A179,DB_Customers!$A:$N,14,0),""))</f>
        <v/>
      </c>
      <c r="D179" s="488">
        <f>IF(A179="","",TODAY())</f>
        <v/>
      </c>
      <c r="E179" s="510" t="n"/>
      <c r="F179" s="378" t="n"/>
      <c r="G179" s="511">
        <f>IF(OR(A179="",E179=""),"",IF(C179="","",C179-E179))</f>
        <v/>
      </c>
      <c r="H179" s="380" t="inlineStr">
        <is>
          <t>Agent 04</t>
        </is>
      </c>
      <c r="I179" s="491" t="n"/>
      <c r="J179" s="492">
        <f>IF(AND(A179&lt;&gt;"",E179&lt;&gt;""),IF(I179="","⚠️ Enter Code",IF(IFERROR(VLOOKUP(H179,DB_Agents!$B:$I,8,0),"")=I179,IF(C179&gt;=E179,"Successful","Unsuccessful"),"🔒 BLOCKED — Wrong Code")),"—")</f>
        <v/>
      </c>
      <c r="K179" s="493">
        <f>IF(J179="Successful",TEXT(TODAY(),"YYYY-MM-DD")&amp;" Auto","—")</f>
        <v/>
      </c>
      <c r="L179" s="494" t="n"/>
    </row>
    <row r="180" ht="15" customHeight="1" s="341">
      <c r="A180" s="495" t="n"/>
      <c r="B180" s="382">
        <f>IF(A180="","",IFERROR(VLOOKUP(A180,DB_Customers!$A:$D,4,0),"❌ Account Not Found"))</f>
        <v/>
      </c>
      <c r="C180" s="496">
        <f>IF(A180="","",IFERROR(VLOOKUP(A180,DB_Customers!$A:$N,14,0),""))</f>
        <v/>
      </c>
      <c r="D180" s="497">
        <f>IF(A180="","",TODAY())</f>
        <v/>
      </c>
      <c r="E180" s="510" t="n"/>
      <c r="F180" s="382" t="n"/>
      <c r="G180" s="512">
        <f>IF(OR(A180="",E180=""),"",IF(C180="","",C180-E180))</f>
        <v/>
      </c>
      <c r="H180" s="384" t="inlineStr">
        <is>
          <t>Agent 04</t>
        </is>
      </c>
      <c r="I180" s="491" t="n"/>
      <c r="J180" s="499">
        <f>IF(AND(A180&lt;&gt;"",E180&lt;&gt;""),IF(I180="","⚠️ Enter Code",IF(IFERROR(VLOOKUP(H180,DB_Agents!$B:$I,8,0),"")=I180,IF(C180&gt;=E180,"Successful","Unsuccessful"),"🔒 BLOCKED — Wrong Code")),"—")</f>
        <v/>
      </c>
      <c r="K180" s="500">
        <f>IF(J180="Successful",TEXT(TODAY(),"YYYY-MM-DD")&amp;" Auto","—")</f>
        <v/>
      </c>
      <c r="L180" s="501" t="n"/>
    </row>
    <row r="181" ht="15" customHeight="1" s="341">
      <c r="A181" s="486" t="n"/>
      <c r="B181" s="378">
        <f>IF(A181="","",IFERROR(VLOOKUP(A181,DB_Customers!$A:$D,4,0),"❌ Account Not Found"))</f>
        <v/>
      </c>
      <c r="C181" s="487">
        <f>IF(A181="","",IFERROR(VLOOKUP(A181,DB_Customers!$A:$N,14,0),""))</f>
        <v/>
      </c>
      <c r="D181" s="488">
        <f>IF(A181="","",TODAY())</f>
        <v/>
      </c>
      <c r="E181" s="510" t="n"/>
      <c r="F181" s="378" t="n"/>
      <c r="G181" s="511">
        <f>IF(OR(A181="",E181=""),"",IF(C181="","",C181-E181))</f>
        <v/>
      </c>
      <c r="H181" s="380" t="inlineStr">
        <is>
          <t>Agent 04</t>
        </is>
      </c>
      <c r="I181" s="491" t="n"/>
      <c r="J181" s="492">
        <f>IF(AND(A181&lt;&gt;"",E181&lt;&gt;""),IF(I181="","⚠️ Enter Code",IF(IFERROR(VLOOKUP(H181,DB_Agents!$B:$I,8,0),"")=I181,IF(C181&gt;=E181,"Successful","Unsuccessful"),"🔒 BLOCKED — Wrong Code")),"—")</f>
        <v/>
      </c>
      <c r="K181" s="493">
        <f>IF(J181="Successful",TEXT(TODAY(),"YYYY-MM-DD")&amp;" Auto","—")</f>
        <v/>
      </c>
      <c r="L181" s="494" t="n"/>
    </row>
    <row r="182" ht="15" customHeight="1" s="341">
      <c r="A182" s="495" t="n"/>
      <c r="B182" s="382">
        <f>IF(A182="","",IFERROR(VLOOKUP(A182,DB_Customers!$A:$D,4,0),"❌ Account Not Found"))</f>
        <v/>
      </c>
      <c r="C182" s="496">
        <f>IF(A182="","",IFERROR(VLOOKUP(A182,DB_Customers!$A:$N,14,0),""))</f>
        <v/>
      </c>
      <c r="D182" s="497">
        <f>IF(A182="","",TODAY())</f>
        <v/>
      </c>
      <c r="E182" s="510" t="n"/>
      <c r="F182" s="382" t="n"/>
      <c r="G182" s="512">
        <f>IF(OR(A182="",E182=""),"",IF(C182="","",C182-E182))</f>
        <v/>
      </c>
      <c r="H182" s="384" t="inlineStr">
        <is>
          <t>Agent 04</t>
        </is>
      </c>
      <c r="I182" s="491" t="n"/>
      <c r="J182" s="499">
        <f>IF(AND(A182&lt;&gt;"",E182&lt;&gt;""),IF(I182="","⚠️ Enter Code",IF(IFERROR(VLOOKUP(H182,DB_Agents!$B:$I,8,0),"")=I182,IF(C182&gt;=E182,"Successful","Unsuccessful"),"🔒 BLOCKED — Wrong Code")),"—")</f>
        <v/>
      </c>
      <c r="K182" s="500">
        <f>IF(J182="Successful",TEXT(TODAY(),"YYYY-MM-DD")&amp;" Auto","—")</f>
        <v/>
      </c>
      <c r="L182" s="501" t="n"/>
    </row>
    <row r="183" ht="15" customHeight="1" s="341">
      <c r="A183" s="486" t="n"/>
      <c r="B183" s="378">
        <f>IF(A183="","",IFERROR(VLOOKUP(A183,DB_Customers!$A:$D,4,0),"❌ Account Not Found"))</f>
        <v/>
      </c>
      <c r="C183" s="487">
        <f>IF(A183="","",IFERROR(VLOOKUP(A183,DB_Customers!$A:$N,14,0),""))</f>
        <v/>
      </c>
      <c r="D183" s="488">
        <f>IF(A183="","",TODAY())</f>
        <v/>
      </c>
      <c r="E183" s="510" t="n"/>
      <c r="F183" s="378" t="n"/>
      <c r="G183" s="511">
        <f>IF(OR(A183="",E183=""),"",IF(C183="","",C183-E183))</f>
        <v/>
      </c>
      <c r="H183" s="380" t="inlineStr">
        <is>
          <t>Agent 04</t>
        </is>
      </c>
      <c r="I183" s="491" t="n"/>
      <c r="J183" s="492">
        <f>IF(AND(A183&lt;&gt;"",E183&lt;&gt;""),IF(I183="","⚠️ Enter Code",IF(IFERROR(VLOOKUP(H183,DB_Agents!$B:$I,8,0),"")=I183,IF(C183&gt;=E183,"Successful","Unsuccessful"),"🔒 BLOCKED — Wrong Code")),"—")</f>
        <v/>
      </c>
      <c r="K183" s="493">
        <f>IF(J183="Successful",TEXT(TODAY(),"YYYY-MM-DD")&amp;" Auto","—")</f>
        <v/>
      </c>
      <c r="L183" s="494" t="n"/>
    </row>
    <row r="184" ht="15" customHeight="1" s="341">
      <c r="A184" s="495" t="n"/>
      <c r="B184" s="382">
        <f>IF(A184="","",IFERROR(VLOOKUP(A184,DB_Customers!$A:$D,4,0),"❌ Account Not Found"))</f>
        <v/>
      </c>
      <c r="C184" s="496">
        <f>IF(A184="","",IFERROR(VLOOKUP(A184,DB_Customers!$A:$N,14,0),""))</f>
        <v/>
      </c>
      <c r="D184" s="497">
        <f>IF(A184="","",TODAY())</f>
        <v/>
      </c>
      <c r="E184" s="510" t="n"/>
      <c r="F184" s="382" t="n"/>
      <c r="G184" s="512">
        <f>IF(OR(A184="",E184=""),"",IF(C184="","",C184-E184))</f>
        <v/>
      </c>
      <c r="H184" s="384" t="inlineStr">
        <is>
          <t>Agent 04</t>
        </is>
      </c>
      <c r="I184" s="491" t="n"/>
      <c r="J184" s="499">
        <f>IF(AND(A184&lt;&gt;"",E184&lt;&gt;""),IF(I184="","⚠️ Enter Code",IF(IFERROR(VLOOKUP(H184,DB_Agents!$B:$I,8,0),"")=I184,IF(C184&gt;=E184,"Successful","Unsuccessful"),"🔒 BLOCKED — Wrong Code")),"—")</f>
        <v/>
      </c>
      <c r="K184" s="500">
        <f>IF(J184="Successful",TEXT(TODAY(),"YYYY-MM-DD")&amp;" Auto","—")</f>
        <v/>
      </c>
      <c r="L184" s="501" t="n"/>
    </row>
    <row r="185" ht="15" customHeight="1" s="341">
      <c r="A185" s="486" t="n"/>
      <c r="B185" s="378">
        <f>IF(A185="","",IFERROR(VLOOKUP(A185,DB_Customers!$A:$D,4,0),"❌ Account Not Found"))</f>
        <v/>
      </c>
      <c r="C185" s="487">
        <f>IF(A185="","",IFERROR(VLOOKUP(A185,DB_Customers!$A:$N,14,0),""))</f>
        <v/>
      </c>
      <c r="D185" s="488">
        <f>IF(A185="","",TODAY())</f>
        <v/>
      </c>
      <c r="E185" s="510" t="n"/>
      <c r="F185" s="378" t="n"/>
      <c r="G185" s="511">
        <f>IF(OR(A185="",E185=""),"",IF(C185="","",C185-E185))</f>
        <v/>
      </c>
      <c r="H185" s="380" t="inlineStr">
        <is>
          <t>Agent 04</t>
        </is>
      </c>
      <c r="I185" s="491" t="n"/>
      <c r="J185" s="492">
        <f>IF(AND(A185&lt;&gt;"",E185&lt;&gt;""),IF(I185="","⚠️ Enter Code",IF(IFERROR(VLOOKUP(H185,DB_Agents!$B:$I,8,0),"")=I185,IF(C185&gt;=E185,"Successful","Unsuccessful"),"🔒 BLOCKED — Wrong Code")),"—")</f>
        <v/>
      </c>
      <c r="K185" s="493">
        <f>IF(J185="Successful",TEXT(TODAY(),"YYYY-MM-DD")&amp;" Auto","—")</f>
        <v/>
      </c>
      <c r="L185" s="494" t="n"/>
    </row>
    <row r="186" ht="15" customHeight="1" s="341">
      <c r="A186" s="495" t="n"/>
      <c r="B186" s="382">
        <f>IF(A186="","",IFERROR(VLOOKUP(A186,DB_Customers!$A:$D,4,0),"❌ Account Not Found"))</f>
        <v/>
      </c>
      <c r="C186" s="496">
        <f>IF(A186="","",IFERROR(VLOOKUP(A186,DB_Customers!$A:$N,14,0),""))</f>
        <v/>
      </c>
      <c r="D186" s="497">
        <f>IF(A186="","",TODAY())</f>
        <v/>
      </c>
      <c r="E186" s="510" t="n"/>
      <c r="F186" s="382" t="n"/>
      <c r="G186" s="512">
        <f>IF(OR(A186="",E186=""),"",IF(C186="","",C186-E186))</f>
        <v/>
      </c>
      <c r="H186" s="384" t="inlineStr">
        <is>
          <t>Agent 04</t>
        </is>
      </c>
      <c r="I186" s="491" t="n"/>
      <c r="J186" s="499">
        <f>IF(AND(A186&lt;&gt;"",E186&lt;&gt;""),IF(I186="","⚠️ Enter Code",IF(IFERROR(VLOOKUP(H186,DB_Agents!$B:$I,8,0),"")=I186,IF(C186&gt;=E186,"Successful","Unsuccessful"),"🔒 BLOCKED — Wrong Code")),"—")</f>
        <v/>
      </c>
      <c r="K186" s="500">
        <f>IF(J186="Successful",TEXT(TODAY(),"YYYY-MM-DD")&amp;" Auto","—")</f>
        <v/>
      </c>
      <c r="L186" s="501" t="n"/>
    </row>
    <row r="187" ht="15" customHeight="1" s="341">
      <c r="A187" s="486" t="n"/>
      <c r="B187" s="378">
        <f>IF(A187="","",IFERROR(VLOOKUP(A187,DB_Customers!$A:$D,4,0),"❌ Account Not Found"))</f>
        <v/>
      </c>
      <c r="C187" s="487">
        <f>IF(A187="","",IFERROR(VLOOKUP(A187,DB_Customers!$A:$N,14,0),""))</f>
        <v/>
      </c>
      <c r="D187" s="488">
        <f>IF(A187="","",TODAY())</f>
        <v/>
      </c>
      <c r="E187" s="510" t="n"/>
      <c r="F187" s="378" t="n"/>
      <c r="G187" s="511">
        <f>IF(OR(A187="",E187=""),"",IF(C187="","",C187-E187))</f>
        <v/>
      </c>
      <c r="H187" s="380" t="inlineStr">
        <is>
          <t>Agent 04</t>
        </is>
      </c>
      <c r="I187" s="491" t="n"/>
      <c r="J187" s="492">
        <f>IF(AND(A187&lt;&gt;"",E187&lt;&gt;""),IF(I187="","⚠️ Enter Code",IF(IFERROR(VLOOKUP(H187,DB_Agents!$B:$I,8,0),"")=I187,IF(C187&gt;=E187,"Successful","Unsuccessful"),"🔒 BLOCKED — Wrong Code")),"—")</f>
        <v/>
      </c>
      <c r="K187" s="493">
        <f>IF(J187="Successful",TEXT(TODAY(),"YYYY-MM-DD")&amp;" Auto","—")</f>
        <v/>
      </c>
      <c r="L187" s="494" t="n"/>
    </row>
    <row r="188" ht="15" customHeight="1" s="341">
      <c r="A188" s="495" t="n"/>
      <c r="B188" s="382">
        <f>IF(A188="","",IFERROR(VLOOKUP(A188,DB_Customers!$A:$D,4,0),"❌ Account Not Found"))</f>
        <v/>
      </c>
      <c r="C188" s="496">
        <f>IF(A188="","",IFERROR(VLOOKUP(A188,DB_Customers!$A:$N,14,0),""))</f>
        <v/>
      </c>
      <c r="D188" s="497">
        <f>IF(A188="","",TODAY())</f>
        <v/>
      </c>
      <c r="E188" s="510" t="n"/>
      <c r="F188" s="382" t="n"/>
      <c r="G188" s="512">
        <f>IF(OR(A188="",E188=""),"",IF(C188="","",C188-E188))</f>
        <v/>
      </c>
      <c r="H188" s="384" t="inlineStr">
        <is>
          <t>Agent 04</t>
        </is>
      </c>
      <c r="I188" s="491" t="n"/>
      <c r="J188" s="499">
        <f>IF(AND(A188&lt;&gt;"",E188&lt;&gt;""),IF(I188="","⚠️ Enter Code",IF(IFERROR(VLOOKUP(H188,DB_Agents!$B:$I,8,0),"")=I188,IF(C188&gt;=E188,"Successful","Unsuccessful"),"🔒 BLOCKED — Wrong Code")),"—")</f>
        <v/>
      </c>
      <c r="K188" s="500">
        <f>IF(J188="Successful",TEXT(TODAY(),"YYYY-MM-DD")&amp;" Auto","—")</f>
        <v/>
      </c>
      <c r="L188" s="501" t="n"/>
    </row>
    <row r="189" ht="15" customHeight="1" s="341">
      <c r="A189" s="486" t="n"/>
      <c r="B189" s="378">
        <f>IF(A189="","",IFERROR(VLOOKUP(A189,DB_Customers!$A:$D,4,0),"❌ Account Not Found"))</f>
        <v/>
      </c>
      <c r="C189" s="487">
        <f>IF(A189="","",IFERROR(VLOOKUP(A189,DB_Customers!$A:$N,14,0),""))</f>
        <v/>
      </c>
      <c r="D189" s="488">
        <f>IF(A189="","",TODAY())</f>
        <v/>
      </c>
      <c r="E189" s="510" t="n"/>
      <c r="F189" s="378" t="n"/>
      <c r="G189" s="511">
        <f>IF(OR(A189="",E189=""),"",IF(C189="","",C189-E189))</f>
        <v/>
      </c>
      <c r="H189" s="380" t="inlineStr">
        <is>
          <t>Agent 04</t>
        </is>
      </c>
      <c r="I189" s="491" t="n"/>
      <c r="J189" s="492">
        <f>IF(AND(A189&lt;&gt;"",E189&lt;&gt;""),IF(I189="","⚠️ Enter Code",IF(IFERROR(VLOOKUP(H189,DB_Agents!$B:$I,8,0),"")=I189,IF(C189&gt;=E189,"Successful","Unsuccessful"),"🔒 BLOCKED — Wrong Code")),"—")</f>
        <v/>
      </c>
      <c r="K189" s="493">
        <f>IF(J189="Successful",TEXT(TODAY(),"YYYY-MM-DD")&amp;" Auto","—")</f>
        <v/>
      </c>
      <c r="L189" s="494" t="n"/>
    </row>
    <row r="190" ht="15" customHeight="1" s="341">
      <c r="A190" s="495" t="n"/>
      <c r="B190" s="382">
        <f>IF(A190="","",IFERROR(VLOOKUP(A190,DB_Customers!$A:$D,4,0),"❌ Account Not Found"))</f>
        <v/>
      </c>
      <c r="C190" s="496">
        <f>IF(A190="","",IFERROR(VLOOKUP(A190,DB_Customers!$A:$N,14,0),""))</f>
        <v/>
      </c>
      <c r="D190" s="497">
        <f>IF(A190="","",TODAY())</f>
        <v/>
      </c>
      <c r="E190" s="510" t="n"/>
      <c r="F190" s="382" t="n"/>
      <c r="G190" s="512">
        <f>IF(OR(A190="",E190=""),"",IF(C190="","",C190-E190))</f>
        <v/>
      </c>
      <c r="H190" s="384" t="inlineStr">
        <is>
          <t>Agent 04</t>
        </is>
      </c>
      <c r="I190" s="491" t="n"/>
      <c r="J190" s="499">
        <f>IF(AND(A190&lt;&gt;"",E190&lt;&gt;""),IF(I190="","⚠️ Enter Code",IF(IFERROR(VLOOKUP(H190,DB_Agents!$B:$I,8,0),"")=I190,IF(C190&gt;=E190,"Successful","Unsuccessful"),"🔒 BLOCKED — Wrong Code")),"—")</f>
        <v/>
      </c>
      <c r="K190" s="500">
        <f>IF(J190="Successful",TEXT(TODAY(),"YYYY-MM-DD")&amp;" Auto","—")</f>
        <v/>
      </c>
      <c r="L190" s="501" t="n"/>
    </row>
    <row r="191" ht="15" customHeight="1" s="341">
      <c r="A191" s="486" t="n"/>
      <c r="B191" s="378">
        <f>IF(A191="","",IFERROR(VLOOKUP(A191,DB_Customers!$A:$D,4,0),"❌ Account Not Found"))</f>
        <v/>
      </c>
      <c r="C191" s="487">
        <f>IF(A191="","",IFERROR(VLOOKUP(A191,DB_Customers!$A:$N,14,0),""))</f>
        <v/>
      </c>
      <c r="D191" s="488">
        <f>IF(A191="","",TODAY())</f>
        <v/>
      </c>
      <c r="E191" s="510" t="n"/>
      <c r="F191" s="378" t="n"/>
      <c r="G191" s="511">
        <f>IF(OR(A191="",E191=""),"",IF(C191="","",C191-E191))</f>
        <v/>
      </c>
      <c r="H191" s="380" t="inlineStr">
        <is>
          <t>Agent 04</t>
        </is>
      </c>
      <c r="I191" s="491" t="n"/>
      <c r="J191" s="492">
        <f>IF(AND(A191&lt;&gt;"",E191&lt;&gt;""),IF(I191="","⚠️ Enter Code",IF(IFERROR(VLOOKUP(H191,DB_Agents!$B:$I,8,0),"")=I191,IF(C191&gt;=E191,"Successful","Unsuccessful"),"🔒 BLOCKED — Wrong Code")),"—")</f>
        <v/>
      </c>
      <c r="K191" s="493">
        <f>IF(J191="Successful",TEXT(TODAY(),"YYYY-MM-DD")&amp;" Auto","—")</f>
        <v/>
      </c>
      <c r="L191" s="494" t="n"/>
    </row>
    <row r="192" ht="15" customHeight="1" s="341">
      <c r="A192" s="495" t="n"/>
      <c r="B192" s="382">
        <f>IF(A192="","",IFERROR(VLOOKUP(A192,DB_Customers!$A:$D,4,0),"❌ Account Not Found"))</f>
        <v/>
      </c>
      <c r="C192" s="496">
        <f>IF(A192="","",IFERROR(VLOOKUP(A192,DB_Customers!$A:$N,14,0),""))</f>
        <v/>
      </c>
      <c r="D192" s="497">
        <f>IF(A192="","",TODAY())</f>
        <v/>
      </c>
      <c r="E192" s="510" t="n"/>
      <c r="F192" s="382" t="n"/>
      <c r="G192" s="512">
        <f>IF(OR(A192="",E192=""),"",IF(C192="","",C192-E192))</f>
        <v/>
      </c>
      <c r="H192" s="384" t="inlineStr">
        <is>
          <t>Agent 04</t>
        </is>
      </c>
      <c r="I192" s="491" t="n"/>
      <c r="J192" s="499">
        <f>IF(AND(A192&lt;&gt;"",E192&lt;&gt;""),IF(I192="","⚠️ Enter Code",IF(IFERROR(VLOOKUP(H192,DB_Agents!$B:$I,8,0),"")=I192,IF(C192&gt;=E192,"Successful","Unsuccessful"),"🔒 BLOCKED — Wrong Code")),"—")</f>
        <v/>
      </c>
      <c r="K192" s="500">
        <f>IF(J192="Successful",TEXT(TODAY(),"YYYY-MM-DD")&amp;" Auto","—")</f>
        <v/>
      </c>
      <c r="L192" s="501" t="n"/>
    </row>
    <row r="193" ht="15" customHeight="1" s="341">
      <c r="A193" s="486" t="n"/>
      <c r="B193" s="378">
        <f>IF(A193="","",IFERROR(VLOOKUP(A193,DB_Customers!$A:$D,4,0),"❌ Account Not Found"))</f>
        <v/>
      </c>
      <c r="C193" s="487">
        <f>IF(A193="","",IFERROR(VLOOKUP(A193,DB_Customers!$A:$N,14,0),""))</f>
        <v/>
      </c>
      <c r="D193" s="488">
        <f>IF(A193="","",TODAY())</f>
        <v/>
      </c>
      <c r="E193" s="510" t="n"/>
      <c r="F193" s="378" t="n"/>
      <c r="G193" s="511">
        <f>IF(OR(A193="",E193=""),"",IF(C193="","",C193-E193))</f>
        <v/>
      </c>
      <c r="H193" s="380" t="inlineStr">
        <is>
          <t>Agent 04</t>
        </is>
      </c>
      <c r="I193" s="491" t="n"/>
      <c r="J193" s="492">
        <f>IF(AND(A193&lt;&gt;"",E193&lt;&gt;""),IF(I193="","⚠️ Enter Code",IF(IFERROR(VLOOKUP(H193,DB_Agents!$B:$I,8,0),"")=I193,IF(C193&gt;=E193,"Successful","Unsuccessful"),"🔒 BLOCKED — Wrong Code")),"—")</f>
        <v/>
      </c>
      <c r="K193" s="493">
        <f>IF(J193="Successful",TEXT(TODAY(),"YYYY-MM-DD")&amp;" Auto","—")</f>
        <v/>
      </c>
      <c r="L193" s="494" t="n"/>
    </row>
    <row r="194" ht="15" customHeight="1" s="341">
      <c r="A194" s="495" t="n"/>
      <c r="B194" s="382">
        <f>IF(A194="","",IFERROR(VLOOKUP(A194,DB_Customers!$A:$D,4,0),"❌ Account Not Found"))</f>
        <v/>
      </c>
      <c r="C194" s="496">
        <f>IF(A194="","",IFERROR(VLOOKUP(A194,DB_Customers!$A:$N,14,0),""))</f>
        <v/>
      </c>
      <c r="D194" s="497">
        <f>IF(A194="","",TODAY())</f>
        <v/>
      </c>
      <c r="E194" s="510" t="n"/>
      <c r="F194" s="382" t="n"/>
      <c r="G194" s="512">
        <f>IF(OR(A194="",E194=""),"",IF(C194="","",C194-E194))</f>
        <v/>
      </c>
      <c r="H194" s="384" t="inlineStr">
        <is>
          <t>Agent 04</t>
        </is>
      </c>
      <c r="I194" s="491" t="n"/>
      <c r="J194" s="499">
        <f>IF(AND(A194&lt;&gt;"",E194&lt;&gt;""),IF(I194="","⚠️ Enter Code",IF(IFERROR(VLOOKUP(H194,DB_Agents!$B:$I,8,0),"")=I194,IF(C194&gt;=E194,"Successful","Unsuccessful"),"🔒 BLOCKED — Wrong Code")),"—")</f>
        <v/>
      </c>
      <c r="K194" s="500">
        <f>IF(J194="Successful",TEXT(TODAY(),"YYYY-MM-DD")&amp;" Auto","—")</f>
        <v/>
      </c>
      <c r="L194" s="501" t="n"/>
    </row>
    <row r="195" ht="15" customHeight="1" s="341">
      <c r="A195" s="486" t="n"/>
      <c r="B195" s="378">
        <f>IF(A195="","",IFERROR(VLOOKUP(A195,DB_Customers!$A:$D,4,0),"❌ Account Not Found"))</f>
        <v/>
      </c>
      <c r="C195" s="487">
        <f>IF(A195="","",IFERROR(VLOOKUP(A195,DB_Customers!$A:$N,14,0),""))</f>
        <v/>
      </c>
      <c r="D195" s="488">
        <f>IF(A195="","",TODAY())</f>
        <v/>
      </c>
      <c r="E195" s="510" t="n"/>
      <c r="F195" s="378" t="n"/>
      <c r="G195" s="511">
        <f>IF(OR(A195="",E195=""),"",IF(C195="","",C195-E195))</f>
        <v/>
      </c>
      <c r="H195" s="380" t="inlineStr">
        <is>
          <t>Agent 04</t>
        </is>
      </c>
      <c r="I195" s="491" t="n"/>
      <c r="J195" s="492">
        <f>IF(AND(A195&lt;&gt;"",E195&lt;&gt;""),IF(I195="","⚠️ Enter Code",IF(IFERROR(VLOOKUP(H195,DB_Agents!$B:$I,8,0),"")=I195,IF(C195&gt;=E195,"Successful","Unsuccessful"),"🔒 BLOCKED — Wrong Code")),"—")</f>
        <v/>
      </c>
      <c r="K195" s="493">
        <f>IF(J195="Successful",TEXT(TODAY(),"YYYY-MM-DD")&amp;" Auto","—")</f>
        <v/>
      </c>
      <c r="L195" s="494" t="n"/>
    </row>
    <row r="196" ht="15" customHeight="1" s="341">
      <c r="A196" s="495" t="n"/>
      <c r="B196" s="382">
        <f>IF(A196="","",IFERROR(VLOOKUP(A196,DB_Customers!$A:$D,4,0),"❌ Account Not Found"))</f>
        <v/>
      </c>
      <c r="C196" s="496">
        <f>IF(A196="","",IFERROR(VLOOKUP(A196,DB_Customers!$A:$N,14,0),""))</f>
        <v/>
      </c>
      <c r="D196" s="497">
        <f>IF(A196="","",TODAY())</f>
        <v/>
      </c>
      <c r="E196" s="510" t="n"/>
      <c r="F196" s="382" t="n"/>
      <c r="G196" s="512">
        <f>IF(OR(A196="",E196=""),"",IF(C196="","",C196-E196))</f>
        <v/>
      </c>
      <c r="H196" s="384" t="inlineStr">
        <is>
          <t>Agent 04</t>
        </is>
      </c>
      <c r="I196" s="491" t="n"/>
      <c r="J196" s="499">
        <f>IF(AND(A196&lt;&gt;"",E196&lt;&gt;""),IF(I196="","⚠️ Enter Code",IF(IFERROR(VLOOKUP(H196,DB_Agents!$B:$I,8,0),"")=I196,IF(C196&gt;=E196,"Successful","Unsuccessful"),"🔒 BLOCKED — Wrong Code")),"—")</f>
        <v/>
      </c>
      <c r="K196" s="500">
        <f>IF(J196="Successful",TEXT(TODAY(),"YYYY-MM-DD")&amp;" Auto","—")</f>
        <v/>
      </c>
      <c r="L196" s="501" t="n"/>
    </row>
    <row r="197" ht="15" customHeight="1" s="341">
      <c r="A197" s="486" t="n"/>
      <c r="B197" s="378">
        <f>IF(A197="","",IFERROR(VLOOKUP(A197,DB_Customers!$A:$D,4,0),"❌ Account Not Found"))</f>
        <v/>
      </c>
      <c r="C197" s="487">
        <f>IF(A197="","",IFERROR(VLOOKUP(A197,DB_Customers!$A:$N,14,0),""))</f>
        <v/>
      </c>
      <c r="D197" s="488">
        <f>IF(A197="","",TODAY())</f>
        <v/>
      </c>
      <c r="E197" s="510" t="n"/>
      <c r="F197" s="378" t="n"/>
      <c r="G197" s="511">
        <f>IF(OR(A197="",E197=""),"",IF(C197="","",C197-E197))</f>
        <v/>
      </c>
      <c r="H197" s="380" t="inlineStr">
        <is>
          <t>Agent 04</t>
        </is>
      </c>
      <c r="I197" s="491" t="n"/>
      <c r="J197" s="492">
        <f>IF(AND(A197&lt;&gt;"",E197&lt;&gt;""),IF(I197="","⚠️ Enter Code",IF(IFERROR(VLOOKUP(H197,DB_Agents!$B:$I,8,0),"")=I197,IF(C197&gt;=E197,"Successful","Unsuccessful"),"🔒 BLOCKED — Wrong Code")),"—")</f>
        <v/>
      </c>
      <c r="K197" s="493">
        <f>IF(J197="Successful",TEXT(TODAY(),"YYYY-MM-DD")&amp;" Auto","—")</f>
        <v/>
      </c>
      <c r="L197" s="494" t="n"/>
    </row>
    <row r="198" ht="15" customHeight="1" s="341">
      <c r="A198" s="495" t="n"/>
      <c r="B198" s="382">
        <f>IF(A198="","",IFERROR(VLOOKUP(A198,DB_Customers!$A:$D,4,0),"❌ Account Not Found"))</f>
        <v/>
      </c>
      <c r="C198" s="496">
        <f>IF(A198="","",IFERROR(VLOOKUP(A198,DB_Customers!$A:$N,14,0),""))</f>
        <v/>
      </c>
      <c r="D198" s="497">
        <f>IF(A198="","",TODAY())</f>
        <v/>
      </c>
      <c r="E198" s="510" t="n"/>
      <c r="F198" s="382" t="n"/>
      <c r="G198" s="512">
        <f>IF(OR(A198="",E198=""),"",IF(C198="","",C198-E198))</f>
        <v/>
      </c>
      <c r="H198" s="384" t="inlineStr">
        <is>
          <t>Agent 04</t>
        </is>
      </c>
      <c r="I198" s="491" t="n"/>
      <c r="J198" s="499">
        <f>IF(AND(A198&lt;&gt;"",E198&lt;&gt;""),IF(I198="","⚠️ Enter Code",IF(IFERROR(VLOOKUP(H198,DB_Agents!$B:$I,8,0),"")=I198,IF(C198&gt;=E198,"Successful","Unsuccessful"),"🔒 BLOCKED — Wrong Code")),"—")</f>
        <v/>
      </c>
      <c r="K198" s="500">
        <f>IF(J198="Successful",TEXT(TODAY(),"YYYY-MM-DD")&amp;" Auto","—")</f>
        <v/>
      </c>
      <c r="L198" s="501" t="n"/>
    </row>
    <row r="199" ht="15" customHeight="1" s="341">
      <c r="A199" s="486" t="n"/>
      <c r="B199" s="378">
        <f>IF(A199="","",IFERROR(VLOOKUP(A199,DB_Customers!$A:$D,4,0),"❌ Account Not Found"))</f>
        <v/>
      </c>
      <c r="C199" s="487">
        <f>IF(A199="","",IFERROR(VLOOKUP(A199,DB_Customers!$A:$N,14,0),""))</f>
        <v/>
      </c>
      <c r="D199" s="488">
        <f>IF(A199="","",TODAY())</f>
        <v/>
      </c>
      <c r="E199" s="510" t="n"/>
      <c r="F199" s="378" t="n"/>
      <c r="G199" s="511">
        <f>IF(OR(A199="",E199=""),"",IF(C199="","",C199-E199))</f>
        <v/>
      </c>
      <c r="H199" s="380" t="inlineStr">
        <is>
          <t>Agent 04</t>
        </is>
      </c>
      <c r="I199" s="491" t="n"/>
      <c r="J199" s="492">
        <f>IF(AND(A199&lt;&gt;"",E199&lt;&gt;""),IF(I199="","⚠️ Enter Code",IF(IFERROR(VLOOKUP(H199,DB_Agents!$B:$I,8,0),"")=I199,IF(C199&gt;=E199,"Successful","Unsuccessful"),"🔒 BLOCKED — Wrong Code")),"—")</f>
        <v/>
      </c>
      <c r="K199" s="493">
        <f>IF(J199="Successful",TEXT(TODAY(),"YYYY-MM-DD")&amp;" Auto","—")</f>
        <v/>
      </c>
      <c r="L199" s="494" t="n"/>
    </row>
    <row r="200" ht="15" customHeight="1" s="341">
      <c r="A200" s="495" t="n"/>
      <c r="B200" s="382">
        <f>IF(A200="","",IFERROR(VLOOKUP(A200,DB_Customers!$A:$D,4,0),"❌ Account Not Found"))</f>
        <v/>
      </c>
      <c r="C200" s="496">
        <f>IF(A200="","",IFERROR(VLOOKUP(A200,DB_Customers!$A:$N,14,0),""))</f>
        <v/>
      </c>
      <c r="D200" s="497">
        <f>IF(A200="","",TODAY())</f>
        <v/>
      </c>
      <c r="E200" s="510" t="n"/>
      <c r="F200" s="382" t="n"/>
      <c r="G200" s="512">
        <f>IF(OR(A200="",E200=""),"",IF(C200="","",C200-E200))</f>
        <v/>
      </c>
      <c r="H200" s="384" t="inlineStr">
        <is>
          <t>Agent 04</t>
        </is>
      </c>
      <c r="I200" s="491" t="n"/>
      <c r="J200" s="499">
        <f>IF(AND(A200&lt;&gt;"",E200&lt;&gt;""),IF(I200="","⚠️ Enter Code",IF(IFERROR(VLOOKUP(H200,DB_Agents!$B:$I,8,0),"")=I200,IF(C200&gt;=E200,"Successful","Unsuccessful"),"🔒 BLOCKED — Wrong Code")),"—")</f>
        <v/>
      </c>
      <c r="K200" s="500">
        <f>IF(J200="Successful",TEXT(TODAY(),"YYYY-MM-DD")&amp;" Auto","—")</f>
        <v/>
      </c>
      <c r="L200" s="501" t="n"/>
    </row>
    <row r="201" ht="15" customHeight="1" s="341">
      <c r="A201" s="486" t="n"/>
      <c r="B201" s="378">
        <f>IF(A201="","",IFERROR(VLOOKUP(A201,DB_Customers!$A:$D,4,0),"❌ Account Not Found"))</f>
        <v/>
      </c>
      <c r="C201" s="487">
        <f>IF(A201="","",IFERROR(VLOOKUP(A201,DB_Customers!$A:$N,14,0),""))</f>
        <v/>
      </c>
      <c r="D201" s="488">
        <f>IF(A201="","",TODAY())</f>
        <v/>
      </c>
      <c r="E201" s="510" t="n"/>
      <c r="F201" s="378" t="n"/>
      <c r="G201" s="511">
        <f>IF(OR(A201="",E201=""),"",IF(C201="","",C201-E201))</f>
        <v/>
      </c>
      <c r="H201" s="380" t="inlineStr">
        <is>
          <t>Agent 04</t>
        </is>
      </c>
      <c r="I201" s="491" t="n"/>
      <c r="J201" s="492">
        <f>IF(AND(A201&lt;&gt;"",E201&lt;&gt;""),IF(I201="","⚠️ Enter Code",IF(IFERROR(VLOOKUP(H201,DB_Agents!$B:$I,8,0),"")=I201,IF(C201&gt;=E201,"Successful","Unsuccessful"),"🔒 BLOCKED — Wrong Code")),"—")</f>
        <v/>
      </c>
      <c r="K201" s="493">
        <f>IF(J201="Successful",TEXT(TODAY(),"YYYY-MM-DD")&amp;" Auto","—")</f>
        <v/>
      </c>
      <c r="L201" s="494" t="n"/>
    </row>
    <row r="202" ht="15" customHeight="1" s="341">
      <c r="A202" s="495" t="n"/>
      <c r="B202" s="382">
        <f>IF(A202="","",IFERROR(VLOOKUP(A202,DB_Customers!$A:$D,4,0),"❌ Account Not Found"))</f>
        <v/>
      </c>
      <c r="C202" s="496">
        <f>IF(A202="","",IFERROR(VLOOKUP(A202,DB_Customers!$A:$N,14,0),""))</f>
        <v/>
      </c>
      <c r="D202" s="497">
        <f>IF(A202="","",TODAY())</f>
        <v/>
      </c>
      <c r="E202" s="510" t="n"/>
      <c r="F202" s="382" t="n"/>
      <c r="G202" s="512">
        <f>IF(OR(A202="",E202=""),"",IF(C202="","",C202-E202))</f>
        <v/>
      </c>
      <c r="H202" s="384" t="inlineStr">
        <is>
          <t>Agent 04</t>
        </is>
      </c>
      <c r="I202" s="491" t="n"/>
      <c r="J202" s="499">
        <f>IF(AND(A202&lt;&gt;"",E202&lt;&gt;""),IF(I202="","⚠️ Enter Code",IF(IFERROR(VLOOKUP(H202,DB_Agents!$B:$I,8,0),"")=I202,IF(C202&gt;=E202,"Successful","Unsuccessful"),"🔒 BLOCKED — Wrong Code")),"—")</f>
        <v/>
      </c>
      <c r="K202" s="500">
        <f>IF(J202="Successful",TEXT(TODAY(),"YYYY-MM-DD")&amp;" Auto","—")</f>
        <v/>
      </c>
      <c r="L202" s="501" t="n"/>
    </row>
    <row r="203" ht="15" customHeight="1" s="341">
      <c r="A203" s="486" t="n"/>
      <c r="B203" s="378">
        <f>IF(A203="","",IFERROR(VLOOKUP(A203,DB_Customers!$A:$D,4,0),"❌ Account Not Found"))</f>
        <v/>
      </c>
      <c r="C203" s="487">
        <f>IF(A203="","",IFERROR(VLOOKUP(A203,DB_Customers!$A:$N,14,0),""))</f>
        <v/>
      </c>
      <c r="D203" s="488">
        <f>IF(A203="","",TODAY())</f>
        <v/>
      </c>
      <c r="E203" s="510" t="n"/>
      <c r="F203" s="378" t="n"/>
      <c r="G203" s="511">
        <f>IF(OR(A203="",E203=""),"",IF(C203="","",C203-E203))</f>
        <v/>
      </c>
      <c r="H203" s="380" t="inlineStr">
        <is>
          <t>Agent 04</t>
        </is>
      </c>
      <c r="I203" s="491" t="n"/>
      <c r="J203" s="492">
        <f>IF(AND(A203&lt;&gt;"",E203&lt;&gt;""),IF(I203="","⚠️ Enter Code",IF(IFERROR(VLOOKUP(H203,DB_Agents!$B:$I,8,0),"")=I203,IF(C203&gt;=E203,"Successful","Unsuccessful"),"🔒 BLOCKED — Wrong Code")),"—")</f>
        <v/>
      </c>
      <c r="K203" s="493">
        <f>IF(J203="Successful",TEXT(TODAY(),"YYYY-MM-DD")&amp;" Auto","—")</f>
        <v/>
      </c>
      <c r="L203" s="494" t="n"/>
    </row>
    <row r="204" ht="15" customHeight="1" s="341">
      <c r="A204" s="495" t="n"/>
      <c r="B204" s="382">
        <f>IF(A204="","",IFERROR(VLOOKUP(A204,DB_Customers!$A:$D,4,0),"❌ Account Not Found"))</f>
        <v/>
      </c>
      <c r="C204" s="496">
        <f>IF(A204="","",IFERROR(VLOOKUP(A204,DB_Customers!$A:$N,14,0),""))</f>
        <v/>
      </c>
      <c r="D204" s="497">
        <f>IF(A204="","",TODAY())</f>
        <v/>
      </c>
      <c r="E204" s="510" t="n"/>
      <c r="F204" s="382" t="n"/>
      <c r="G204" s="512">
        <f>IF(OR(A204="",E204=""),"",IF(C204="","",C204-E204))</f>
        <v/>
      </c>
      <c r="H204" s="384" t="inlineStr">
        <is>
          <t>Agent 04</t>
        </is>
      </c>
      <c r="I204" s="491" t="n"/>
      <c r="J204" s="499">
        <f>IF(AND(A204&lt;&gt;"",E204&lt;&gt;""),IF(I204="","⚠️ Enter Code",IF(IFERROR(VLOOKUP(H204,DB_Agents!$B:$I,8,0),"")=I204,IF(C204&gt;=E204,"Successful","Unsuccessful"),"🔒 BLOCKED — Wrong Code")),"—")</f>
        <v/>
      </c>
      <c r="K204" s="500">
        <f>IF(J204="Successful",TEXT(TODAY(),"YYYY-MM-DD")&amp;" Auto","—")</f>
        <v/>
      </c>
      <c r="L204" s="501" t="n"/>
    </row>
    <row r="205" ht="15" customHeight="1" s="341">
      <c r="A205" s="486" t="n"/>
      <c r="B205" s="378">
        <f>IF(A205="","",IFERROR(VLOOKUP(A205,DB_Customers!$A:$D,4,0),"❌ Account Not Found"))</f>
        <v/>
      </c>
      <c r="C205" s="487">
        <f>IF(A205="","",IFERROR(VLOOKUP(A205,DB_Customers!$A:$N,14,0),""))</f>
        <v/>
      </c>
      <c r="D205" s="488">
        <f>IF(A205="","",TODAY())</f>
        <v/>
      </c>
      <c r="E205" s="510" t="n"/>
      <c r="F205" s="378" t="n"/>
      <c r="G205" s="511">
        <f>IF(OR(A205="",E205=""),"",IF(C205="","",C205-E205))</f>
        <v/>
      </c>
      <c r="H205" s="380" t="inlineStr">
        <is>
          <t>Agent 04</t>
        </is>
      </c>
      <c r="I205" s="491" t="n"/>
      <c r="J205" s="492">
        <f>IF(AND(A205&lt;&gt;"",E205&lt;&gt;""),IF(I205="","⚠️ Enter Code",IF(IFERROR(VLOOKUP(H205,DB_Agents!$B:$I,8,0),"")=I205,IF(C205&gt;=E205,"Successful","Unsuccessful"),"🔒 BLOCKED — Wrong Code")),"—")</f>
        <v/>
      </c>
      <c r="K205" s="493">
        <f>IF(J205="Successful",TEXT(TODAY(),"YYYY-MM-DD")&amp;" Auto","—")</f>
        <v/>
      </c>
      <c r="L205" s="494" t="n"/>
    </row>
    <row r="206" ht="15" customHeight="1" s="341">
      <c r="A206" s="495" t="n"/>
      <c r="B206" s="382">
        <f>IF(A206="","",IFERROR(VLOOKUP(A206,DB_Customers!$A:$D,4,0),"❌ Account Not Found"))</f>
        <v/>
      </c>
      <c r="C206" s="496">
        <f>IF(A206="","",IFERROR(VLOOKUP(A206,DB_Customers!$A:$N,14,0),""))</f>
        <v/>
      </c>
      <c r="D206" s="497">
        <f>IF(A206="","",TODAY())</f>
        <v/>
      </c>
      <c r="E206" s="510" t="n"/>
      <c r="F206" s="382" t="n"/>
      <c r="G206" s="512">
        <f>IF(OR(A206="",E206=""),"",IF(C206="","",C206-E206))</f>
        <v/>
      </c>
      <c r="H206" s="384" t="inlineStr">
        <is>
          <t>Agent 04</t>
        </is>
      </c>
      <c r="I206" s="491" t="n"/>
      <c r="J206" s="499">
        <f>IF(AND(A206&lt;&gt;"",E206&lt;&gt;""),IF(I206="","⚠️ Enter Code",IF(IFERROR(VLOOKUP(H206,DB_Agents!$B:$I,8,0),"")=I206,IF(C206&gt;=E206,"Successful","Unsuccessful"),"🔒 BLOCKED — Wrong Code")),"—")</f>
        <v/>
      </c>
      <c r="K206" s="500">
        <f>IF(J206="Successful",TEXT(TODAY(),"YYYY-MM-DD")&amp;" Auto","—")</f>
        <v/>
      </c>
      <c r="L206" s="501" t="n"/>
    </row>
    <row r="207" ht="15" customHeight="1" s="341">
      <c r="A207" s="486" t="n"/>
      <c r="B207" s="378">
        <f>IF(A207="","",IFERROR(VLOOKUP(A207,DB_Customers!$A:$D,4,0),"❌ Account Not Found"))</f>
        <v/>
      </c>
      <c r="C207" s="487">
        <f>IF(A207="","",IFERROR(VLOOKUP(A207,DB_Customers!$A:$N,14,0),""))</f>
        <v/>
      </c>
      <c r="D207" s="488">
        <f>IF(A207="","",TODAY())</f>
        <v/>
      </c>
      <c r="E207" s="510" t="n"/>
      <c r="F207" s="378" t="n"/>
      <c r="G207" s="511">
        <f>IF(OR(A207="",E207=""),"",IF(C207="","",C207-E207))</f>
        <v/>
      </c>
      <c r="H207" s="380" t="inlineStr">
        <is>
          <t>Agent 04</t>
        </is>
      </c>
      <c r="I207" s="491" t="n"/>
      <c r="J207" s="492">
        <f>IF(AND(A207&lt;&gt;"",E207&lt;&gt;""),IF(I207="","⚠️ Enter Code",IF(IFERROR(VLOOKUP(H207,DB_Agents!$B:$I,8,0),"")=I207,IF(C207&gt;=E207,"Successful","Unsuccessful"),"🔒 BLOCKED — Wrong Code")),"—")</f>
        <v/>
      </c>
      <c r="K207" s="493">
        <f>IF(J207="Successful",TEXT(TODAY(),"YYYY-MM-DD")&amp;" Auto","—")</f>
        <v/>
      </c>
      <c r="L207" s="494" t="n"/>
    </row>
    <row r="208" ht="15" customHeight="1" s="341">
      <c r="A208" s="495" t="n"/>
      <c r="B208" s="382">
        <f>IF(A208="","",IFERROR(VLOOKUP(A208,DB_Customers!$A:$D,4,0),"❌ Account Not Found"))</f>
        <v/>
      </c>
      <c r="C208" s="496">
        <f>IF(A208="","",IFERROR(VLOOKUP(A208,DB_Customers!$A:$N,14,0),""))</f>
        <v/>
      </c>
      <c r="D208" s="497">
        <f>IF(A208="","",TODAY())</f>
        <v/>
      </c>
      <c r="E208" s="510" t="n"/>
      <c r="F208" s="382" t="n"/>
      <c r="G208" s="512">
        <f>IF(OR(A208="",E208=""),"",IF(C208="","",C208-E208))</f>
        <v/>
      </c>
      <c r="H208" s="384" t="inlineStr">
        <is>
          <t>Agent 04</t>
        </is>
      </c>
      <c r="I208" s="491" t="n"/>
      <c r="J208" s="499">
        <f>IF(AND(A208&lt;&gt;"",E208&lt;&gt;""),IF(I208="","⚠️ Enter Code",IF(IFERROR(VLOOKUP(H208,DB_Agents!$B:$I,8,0),"")=I208,IF(C208&gt;=E208,"Successful","Unsuccessful"),"🔒 BLOCKED — Wrong Code")),"—")</f>
        <v/>
      </c>
      <c r="K208" s="500">
        <f>IF(J208="Successful",TEXT(TODAY(),"YYYY-MM-DD")&amp;" Auto","—")</f>
        <v/>
      </c>
      <c r="L208" s="501" t="n"/>
    </row>
  </sheetData>
  <mergeCells count="8">
    <mergeCell ref="A1:M1"/>
    <mergeCell ref="A5:M5"/>
    <mergeCell ref="D4:F4"/>
    <mergeCell ref="D3:F3"/>
    <mergeCell ref="A3:C3"/>
    <mergeCell ref="A7:M7"/>
    <mergeCell ref="A4:C4"/>
    <mergeCell ref="A2:M2"/>
  </mergeCells>
  <conditionalFormatting sqref="I9:I208">
    <cfRule type="cellIs" rank="0" priority="2" equalAverage="0" operator="equal" aboveAverage="0" dxfId="0" text="" percent="0" bottom="0">
      <formula>"Successful"</formula>
    </cfRule>
    <cfRule type="cellIs" rank="0" priority="3" equalAverage="0" operator="equal" aboveAverage="0" dxfId="1" text="" percent="0" bottom="0">
      <formula>"Unsuccessful"</formula>
    </cfRule>
  </conditionalFormatting>
  <conditionalFormatting sqref="A9:K208">
    <cfRule type="expression" rank="0" priority="4" equalAverage="0" aboveAverage="0" dxfId="13" text="" percent="0" bottom="0">
      <formula>$I9="Unsuccessful"</formula>
    </cfRule>
  </conditionalFormatting>
  <conditionalFormatting sqref="G9:G208">
    <cfRule type="cellIs" rank="0" priority="5" equalAverage="0" operator="lessThan" aboveAverage="0" dxfId="1" text="" percent="0" bottom="0">
      <formula>0</formula>
    </cfRule>
  </conditionalFormatting>
  <dataValidations count="1">
    <dataValidation sqref="H9:H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7.xml><?xml version="1.0" encoding="utf-8"?>
<worksheet xmlns="http://schemas.openxmlformats.org/spreadsheetml/2006/main">
  <sheetPr filterMode="0">
    <tabColor rgb="FFE67E22"/>
    <outlinePr summaryBelow="1" summaryRight="1"/>
    <pageSetUpPr fitToPage="0"/>
  </sheetPr>
  <dimension ref="A1:N213"/>
  <sheetViews>
    <sheetView showFormulas="0" showGridLines="1" showRowColHeaders="1" showZeros="1" rightToLeft="0" tabSelected="0" showOutlineSymbols="1" defaultGridColor="1" view="normal" topLeftCell="A1" colorId="64" zoomScale="100" zoomScaleNormal="100" zoomScalePageLayoutView="100" workbookViewId="0">
      <pane xSplit="0" ySplit="13" topLeftCell="A1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22" customWidth="1" style="340" min="1" max="1"/>
    <col width="16" customWidth="1" style="340" min="2" max="2"/>
    <col width="22" customWidth="1" style="340" min="3" max="3"/>
    <col width="13" customWidth="1" style="340" min="4" max="4"/>
    <col width="14" customWidth="1" style="340" min="5" max="5"/>
    <col width="22" customWidth="1" style="340" min="6" max="6"/>
    <col width="9" customWidth="1" style="340" min="7" max="7"/>
    <col width="8" customWidth="1" style="340" min="8" max="8"/>
    <col width="16" customWidth="1" style="340" min="9" max="9"/>
    <col width="15" customWidth="1" style="340" min="10" max="10"/>
    <col width="14" customWidth="1" style="340" min="11" max="11"/>
    <col width="12" customWidth="1" style="340" min="12" max="12"/>
    <col width="14" customWidth="1" style="340" min="13" max="13"/>
  </cols>
  <sheetData>
    <row r="1" ht="31.5" customHeight="1" s="341">
      <c r="A1" s="513" t="inlineStr">
        <is>
          <t>🏦  SAMICIOUS MICROFINANCE — AGENT04 LOAN REQUESTS</t>
        </is>
      </c>
    </row>
    <row r="2" ht="19.5" customHeight="1" s="341">
      <c r="A2" s="514" t="inlineStr">
        <is>
          <t>Total Repayable = Loan Amount + (Loan Amount × Rate% × Months) | Status: Pending → Approved when credited</t>
        </is>
      </c>
    </row>
    <row r="4" ht="21.75" customHeight="1" s="341">
      <c r="A4" s="515" t="inlineStr">
        <is>
          <t>🔢  INSTANT LOAN CALCULATOR</t>
        </is>
      </c>
    </row>
    <row r="5" ht="19.5" customHeight="1" s="341">
      <c r="A5" s="516" t="inlineStr">
        <is>
          <t>Loan Amount (GHC):</t>
        </is>
      </c>
      <c r="B5" s="517" t="n"/>
      <c r="C5" s="453" t="n"/>
      <c r="D5" s="518" t="n"/>
    </row>
    <row r="6" ht="19.5" customHeight="1" s="341">
      <c r="A6" s="516" t="inlineStr">
        <is>
          <t>Duration (Months):</t>
        </is>
      </c>
      <c r="B6" s="517" t="n"/>
      <c r="C6" s="453" t="n"/>
      <c r="D6" s="518" t="n"/>
    </row>
    <row r="7" ht="19.5" customHeight="1" s="341">
      <c r="A7" s="519" t="inlineStr">
        <is>
          <t>Interest Rate (%/month):</t>
        </is>
      </c>
      <c r="B7" s="520" t="n">
        <v>2.5</v>
      </c>
      <c r="C7" s="393" t="n"/>
      <c r="D7" s="521" t="n"/>
    </row>
    <row r="8" ht="19.5" customHeight="1" s="341">
      <c r="A8" s="519" t="inlineStr">
        <is>
          <t>━ Total Interest:</t>
        </is>
      </c>
      <c r="B8" s="522">
        <f>IF(B5="","",B5*B7/100*B6)</f>
        <v/>
      </c>
      <c r="C8" s="393" t="n"/>
      <c r="D8" s="521" t="n"/>
    </row>
    <row r="9" ht="19.5" customHeight="1" s="341">
      <c r="A9" s="519" t="n"/>
      <c r="B9" s="523">
        <f>IF(B5="","",B5+(B5*B7/100*B6))</f>
        <v/>
      </c>
      <c r="C9" s="393" t="n"/>
      <c r="D9" s="521" t="n"/>
    </row>
    <row r="10" ht="19.5" customHeight="1" s="341">
      <c r="A10" s="519" t="n"/>
      <c r="B10" s="523">
        <f>IFERROR(B9/B6,"")</f>
        <v/>
      </c>
      <c r="C10" s="393" t="n"/>
      <c r="D10" s="521" t="n"/>
    </row>
    <row r="11" ht="7.5" customHeight="1" s="341"/>
    <row r="12" ht="21.75" customHeight="1" s="341">
      <c r="A12" s="524" t="n"/>
    </row>
    <row r="13" ht="19.5" customHeight="1" s="341">
      <c r="A13" s="525" t="n"/>
      <c r="B13" s="525" t="n"/>
      <c r="C13" s="525" t="n"/>
      <c r="D13" s="525" t="n"/>
      <c r="E13" s="525" t="n"/>
      <c r="F13" s="525" t="n"/>
      <c r="G13" s="525" t="n"/>
      <c r="H13" s="525" t="n"/>
      <c r="I13" s="525" t="n"/>
      <c r="J13" s="525" t="n"/>
      <c r="K13" s="525" t="n"/>
      <c r="L13" s="525" t="inlineStr">
        <is>
          <t>Agent</t>
        </is>
      </c>
      <c r="M13" s="485" t="n"/>
      <c r="N13" s="525" t="n"/>
    </row>
    <row r="14" ht="15" customHeight="1" s="341">
      <c r="A14" s="499">
        <f>IF(B14="","",IF(C14="❌ Account Not Found","INVALID","LN"&amp;TEXT(D14,"YYYYMMDD")&amp;TEXT(ROW()-13,"0000")))</f>
        <v/>
      </c>
      <c r="B14" s="495" t="n"/>
      <c r="C14" s="382">
        <f>IF(B14="","",IFERROR(VLOOKUP(B14,DB_Customers!$A:$D,4,0),"❌ Account Not Found"))</f>
        <v/>
      </c>
      <c r="D14" s="497">
        <f>IF(B14="","",TODAY())</f>
        <v/>
      </c>
      <c r="E14" s="526" t="n"/>
      <c r="F14" s="382" t="n"/>
      <c r="G14" s="527" t="n"/>
      <c r="H14" s="528" t="n"/>
      <c r="I14" s="529">
        <f>IF(E14="","",E14+(E14*H14/100*G14))</f>
        <v/>
      </c>
      <c r="J14" s="530">
        <f>IFERROR(I14/G14,"")</f>
        <v/>
      </c>
      <c r="K14" s="531">
        <f>IF(B14="","Pending",IF(M14="","⚠️ Enter Code",IF(IFERROR(VLOOKUP(L14,DB_Agents!$B:$I,8,0),"")=M14,"Pending","🔒 BLOCKED — Wrong Code")))</f>
        <v/>
      </c>
      <c r="L14" s="384" t="inlineStr">
        <is>
          <t>Agent 04</t>
        </is>
      </c>
      <c r="M14" s="491" t="n"/>
      <c r="N14" s="501" t="n"/>
    </row>
    <row r="15" ht="15" customHeight="1" s="341">
      <c r="A15" s="492">
        <f>IF(B15="","",IF(C15="❌ Account Not Found","INVALID","LN"&amp;TEXT(D15,"YYYYMMDD")&amp;TEXT(ROW()-13,"0000")))</f>
        <v/>
      </c>
      <c r="B15" s="486" t="n"/>
      <c r="C15" s="378">
        <f>IF(B15="","",IFERROR(VLOOKUP(B15,DB_Customers!$A:$D,4,0),"❌ Account Not Found"))</f>
        <v/>
      </c>
      <c r="D15" s="488">
        <f>IF(B15="","",TODAY())</f>
        <v/>
      </c>
      <c r="E15" s="526" t="n"/>
      <c r="F15" s="378" t="n"/>
      <c r="G15" s="532" t="n"/>
      <c r="H15" s="533" t="n"/>
      <c r="I15" s="529">
        <f>IF(E15="","",E15+(E15*H15/100*G15))</f>
        <v/>
      </c>
      <c r="J15" s="534">
        <f>IFERROR(I15/G15,"")</f>
        <v/>
      </c>
      <c r="K15" s="535">
        <f>IF(B15="","Pending",IF(M15="","⚠️ Enter Code",IF(IFERROR(VLOOKUP(L15,DB_Agents!$B:$I,8,0),"")=M15,"Pending","🔒 BLOCKED — Wrong Code")))</f>
        <v/>
      </c>
      <c r="L15" s="380" t="inlineStr">
        <is>
          <t>Agent 04</t>
        </is>
      </c>
      <c r="M15" s="491" t="n"/>
      <c r="N15" s="494" t="n"/>
    </row>
    <row r="16" ht="15" customHeight="1" s="341">
      <c r="A16" s="499">
        <f>IF(B16="","",IF(C16="❌ Account Not Found","INVALID","LN"&amp;TEXT(D16,"YYYYMMDD")&amp;TEXT(ROW()-13,"0000")))</f>
        <v/>
      </c>
      <c r="B16" s="495" t="n"/>
      <c r="C16" s="382">
        <f>IF(B16="","",IFERROR(VLOOKUP(B16,DB_Customers!$A:$D,4,0),"❌ Account Not Found"))</f>
        <v/>
      </c>
      <c r="D16" s="497">
        <f>IF(B16="","",TODAY())</f>
        <v/>
      </c>
      <c r="E16" s="526" t="n"/>
      <c r="F16" s="382" t="n"/>
      <c r="G16" s="527" t="n"/>
      <c r="H16" s="528" t="n"/>
      <c r="I16" s="529">
        <f>IF(E16="","",E16+(E16*H16/100*G16))</f>
        <v/>
      </c>
      <c r="J16" s="530">
        <f>IFERROR(I16/G16,"")</f>
        <v/>
      </c>
      <c r="K16" s="531">
        <f>IF(B16="","Pending",IF(M16="","⚠️ Enter Code",IF(IFERROR(VLOOKUP(L16,DB_Agents!$B:$I,8,0),"")=M16,"Pending","🔒 BLOCKED — Wrong Code")))</f>
        <v/>
      </c>
      <c r="L16" s="384" t="inlineStr">
        <is>
          <t>Agent 04</t>
        </is>
      </c>
      <c r="M16" s="491" t="n"/>
      <c r="N16" s="501" t="n"/>
    </row>
    <row r="17" ht="15" customHeight="1" s="341">
      <c r="A17" s="492">
        <f>IF(B17="","",IF(C17="❌ Account Not Found","INVALID","LN"&amp;TEXT(D17,"YYYYMMDD")&amp;TEXT(ROW()-13,"0000")))</f>
        <v/>
      </c>
      <c r="B17" s="486" t="n"/>
      <c r="C17" s="378">
        <f>IF(B17="","",IFERROR(VLOOKUP(B17,DB_Customers!$A:$D,4,0),"❌ Account Not Found"))</f>
        <v/>
      </c>
      <c r="D17" s="488">
        <f>IF(B17="","",TODAY())</f>
        <v/>
      </c>
      <c r="E17" s="526" t="n"/>
      <c r="F17" s="378" t="n"/>
      <c r="G17" s="532" t="n"/>
      <c r="H17" s="533" t="n"/>
      <c r="I17" s="529">
        <f>IF(E17="","",E17+(E17*H17/100*G17))</f>
        <v/>
      </c>
      <c r="J17" s="534">
        <f>IFERROR(I17/G17,"")</f>
        <v/>
      </c>
      <c r="K17" s="535">
        <f>IF(B17="","Pending",IF(M17="","⚠️ Enter Code",IF(IFERROR(VLOOKUP(L17,DB_Agents!$B:$I,8,0),"")=M17,"Pending","🔒 BLOCKED — Wrong Code")))</f>
        <v/>
      </c>
      <c r="L17" s="380" t="inlineStr">
        <is>
          <t>Agent 04</t>
        </is>
      </c>
      <c r="M17" s="491" t="n"/>
      <c r="N17" s="494" t="n"/>
    </row>
    <row r="18" ht="15" customHeight="1" s="341">
      <c r="A18" s="499">
        <f>IF(B18="","",IF(C18="❌ Account Not Found","INVALID","LN"&amp;TEXT(D18,"YYYYMMDD")&amp;TEXT(ROW()-13,"0000")))</f>
        <v/>
      </c>
      <c r="B18" s="495" t="n"/>
      <c r="C18" s="382">
        <f>IF(B18="","",IFERROR(VLOOKUP(B18,DB_Customers!$A:$D,4,0),"❌ Account Not Found"))</f>
        <v/>
      </c>
      <c r="D18" s="497">
        <f>IF(B18="","",TODAY())</f>
        <v/>
      </c>
      <c r="E18" s="526" t="n"/>
      <c r="F18" s="382" t="n"/>
      <c r="G18" s="527" t="n"/>
      <c r="H18" s="528" t="n"/>
      <c r="I18" s="529">
        <f>IF(E18="","",E18+(E18*H18/100*G18))</f>
        <v/>
      </c>
      <c r="J18" s="530">
        <f>IFERROR(I18/G18,"")</f>
        <v/>
      </c>
      <c r="K18" s="531">
        <f>IF(B18="","Pending",IF(M18="","⚠️ Enter Code",IF(IFERROR(VLOOKUP(L18,DB_Agents!$B:$I,8,0),"")=M18,"Pending","🔒 BLOCKED — Wrong Code")))</f>
        <v/>
      </c>
      <c r="L18" s="384" t="inlineStr">
        <is>
          <t>Agent 04</t>
        </is>
      </c>
      <c r="M18" s="491" t="n"/>
      <c r="N18" s="501" t="n"/>
    </row>
    <row r="19" ht="15" customHeight="1" s="341">
      <c r="A19" s="492">
        <f>IF(B19="","",IF(C19="❌ Account Not Found","INVALID","LN"&amp;TEXT(D19,"YYYYMMDD")&amp;TEXT(ROW()-13,"0000")))</f>
        <v/>
      </c>
      <c r="B19" s="486" t="n"/>
      <c r="C19" s="378">
        <f>IF(B19="","",IFERROR(VLOOKUP(B19,DB_Customers!$A:$D,4,0),"❌ Account Not Found"))</f>
        <v/>
      </c>
      <c r="D19" s="488">
        <f>IF(B19="","",TODAY())</f>
        <v/>
      </c>
      <c r="E19" s="526" t="n"/>
      <c r="F19" s="378" t="n"/>
      <c r="G19" s="532" t="n"/>
      <c r="H19" s="533" t="n"/>
      <c r="I19" s="529">
        <f>IF(E19="","",E19+(E19*H19/100*G19))</f>
        <v/>
      </c>
      <c r="J19" s="534">
        <f>IFERROR(I19/G19,"")</f>
        <v/>
      </c>
      <c r="K19" s="535">
        <f>IF(B19="","Pending",IF(M19="","⚠️ Enter Code",IF(IFERROR(VLOOKUP(L19,DB_Agents!$B:$I,8,0),"")=M19,"Pending","🔒 BLOCKED — Wrong Code")))</f>
        <v/>
      </c>
      <c r="L19" s="380" t="inlineStr">
        <is>
          <t>Agent 04</t>
        </is>
      </c>
      <c r="M19" s="491" t="n"/>
      <c r="N19" s="494" t="n"/>
    </row>
    <row r="20" ht="15" customHeight="1" s="341">
      <c r="A20" s="499">
        <f>IF(B20="","",IF(C20="❌ Account Not Found","INVALID","LN"&amp;TEXT(D20,"YYYYMMDD")&amp;TEXT(ROW()-13,"0000")))</f>
        <v/>
      </c>
      <c r="B20" s="495" t="n"/>
      <c r="C20" s="382">
        <f>IF(B20="","",IFERROR(VLOOKUP(B20,DB_Customers!$A:$D,4,0),"❌ Account Not Found"))</f>
        <v/>
      </c>
      <c r="D20" s="497">
        <f>IF(B20="","",TODAY())</f>
        <v/>
      </c>
      <c r="E20" s="526" t="n"/>
      <c r="F20" s="382" t="n"/>
      <c r="G20" s="527" t="n"/>
      <c r="H20" s="528" t="n"/>
      <c r="I20" s="529">
        <f>IF(E20="","",E20+(E20*H20/100*G20))</f>
        <v/>
      </c>
      <c r="J20" s="530">
        <f>IFERROR(I20/G20,"")</f>
        <v/>
      </c>
      <c r="K20" s="531">
        <f>IF(B20="","Pending",IF(M20="","⚠️ Enter Code",IF(IFERROR(VLOOKUP(L20,DB_Agents!$B:$I,8,0),"")=M20,"Pending","🔒 BLOCKED — Wrong Code")))</f>
        <v/>
      </c>
      <c r="L20" s="384" t="inlineStr">
        <is>
          <t>Agent 04</t>
        </is>
      </c>
      <c r="M20" s="491" t="n"/>
      <c r="N20" s="501" t="n"/>
    </row>
    <row r="21" ht="15" customHeight="1" s="341">
      <c r="A21" s="492">
        <f>IF(B21="","",IF(C21="❌ Account Not Found","INVALID","LN"&amp;TEXT(D21,"YYYYMMDD")&amp;TEXT(ROW()-13,"0000")))</f>
        <v/>
      </c>
      <c r="B21" s="486" t="n"/>
      <c r="C21" s="378">
        <f>IF(B21="","",IFERROR(VLOOKUP(B21,DB_Customers!$A:$D,4,0),"❌ Account Not Found"))</f>
        <v/>
      </c>
      <c r="D21" s="488">
        <f>IF(B21="","",TODAY())</f>
        <v/>
      </c>
      <c r="E21" s="526" t="n"/>
      <c r="F21" s="378" t="n"/>
      <c r="G21" s="532" t="n"/>
      <c r="H21" s="533" t="n"/>
      <c r="I21" s="529">
        <f>IF(E21="","",E21+(E21*H21/100*G21))</f>
        <v/>
      </c>
      <c r="J21" s="534">
        <f>IFERROR(I21/G21,"")</f>
        <v/>
      </c>
      <c r="K21" s="535">
        <f>IF(B21="","Pending",IF(M21="","⚠️ Enter Code",IF(IFERROR(VLOOKUP(L21,DB_Agents!$B:$I,8,0),"")=M21,"Pending","🔒 BLOCKED — Wrong Code")))</f>
        <v/>
      </c>
      <c r="L21" s="380" t="inlineStr">
        <is>
          <t>Agent 04</t>
        </is>
      </c>
      <c r="M21" s="491" t="n"/>
      <c r="N21" s="494" t="n"/>
    </row>
    <row r="22" ht="15" customHeight="1" s="341">
      <c r="A22" s="499">
        <f>IF(B22="","",IF(C22="❌ Account Not Found","INVALID","LN"&amp;TEXT(D22,"YYYYMMDD")&amp;TEXT(ROW()-13,"0000")))</f>
        <v/>
      </c>
      <c r="B22" s="495" t="n"/>
      <c r="C22" s="382">
        <f>IF(B22="","",IFERROR(VLOOKUP(B22,DB_Customers!$A:$D,4,0),"❌ Account Not Found"))</f>
        <v/>
      </c>
      <c r="D22" s="497">
        <f>IF(B22="","",TODAY())</f>
        <v/>
      </c>
      <c r="E22" s="526" t="n"/>
      <c r="F22" s="382" t="n"/>
      <c r="G22" s="527" t="n"/>
      <c r="H22" s="528" t="n"/>
      <c r="I22" s="529">
        <f>IF(E22="","",E22+(E22*H22/100*G22))</f>
        <v/>
      </c>
      <c r="J22" s="530">
        <f>IFERROR(I22/G22,"")</f>
        <v/>
      </c>
      <c r="K22" s="531">
        <f>IF(B22="","Pending",IF(M22="","⚠️ Enter Code",IF(IFERROR(VLOOKUP(L22,DB_Agents!$B:$I,8,0),"")=M22,"Pending","🔒 BLOCKED — Wrong Code")))</f>
        <v/>
      </c>
      <c r="L22" s="384" t="inlineStr">
        <is>
          <t>Agent 04</t>
        </is>
      </c>
      <c r="M22" s="491" t="n"/>
      <c r="N22" s="501" t="n"/>
    </row>
    <row r="23" ht="15" customHeight="1" s="341">
      <c r="A23" s="492">
        <f>IF(B23="","",IF(C23="❌ Account Not Found","INVALID","LN"&amp;TEXT(D23,"YYYYMMDD")&amp;TEXT(ROW()-13,"0000")))</f>
        <v/>
      </c>
      <c r="B23" s="486" t="n"/>
      <c r="C23" s="378">
        <f>IF(B23="","",IFERROR(VLOOKUP(B23,DB_Customers!$A:$D,4,0),"❌ Account Not Found"))</f>
        <v/>
      </c>
      <c r="D23" s="488">
        <f>IF(B23="","",TODAY())</f>
        <v/>
      </c>
      <c r="E23" s="526" t="n"/>
      <c r="F23" s="378" t="n"/>
      <c r="G23" s="532" t="n"/>
      <c r="H23" s="533" t="n"/>
      <c r="I23" s="529">
        <f>IF(E23="","",E23+(E23*H23/100*G23))</f>
        <v/>
      </c>
      <c r="J23" s="534">
        <f>IFERROR(I23/G23,"")</f>
        <v/>
      </c>
      <c r="K23" s="535">
        <f>IF(B23="","Pending",IF(M23="","⚠️ Enter Code",IF(IFERROR(VLOOKUP(L23,DB_Agents!$B:$I,8,0),"")=M23,"Pending","🔒 BLOCKED — Wrong Code")))</f>
        <v/>
      </c>
      <c r="L23" s="380" t="inlineStr">
        <is>
          <t>Agent 04</t>
        </is>
      </c>
      <c r="M23" s="491" t="n"/>
      <c r="N23" s="494" t="n"/>
    </row>
    <row r="24" ht="15" customHeight="1" s="341">
      <c r="A24" s="499">
        <f>IF(B24="","",IF(C24="❌ Account Not Found","INVALID","LN"&amp;TEXT(D24,"YYYYMMDD")&amp;TEXT(ROW()-13,"0000")))</f>
        <v/>
      </c>
      <c r="B24" s="495" t="n"/>
      <c r="C24" s="382">
        <f>IF(B24="","",IFERROR(VLOOKUP(B24,DB_Customers!$A:$D,4,0),"❌ Account Not Found"))</f>
        <v/>
      </c>
      <c r="D24" s="497">
        <f>IF(B24="","",TODAY())</f>
        <v/>
      </c>
      <c r="E24" s="526" t="n"/>
      <c r="F24" s="382" t="n"/>
      <c r="G24" s="527" t="n"/>
      <c r="H24" s="528" t="n"/>
      <c r="I24" s="529">
        <f>IF(E24="","",E24+(E24*H24/100*G24))</f>
        <v/>
      </c>
      <c r="J24" s="530">
        <f>IFERROR(I24/G24,"")</f>
        <v/>
      </c>
      <c r="K24" s="531">
        <f>IF(B24="","Pending",IF(M24="","⚠️ Enter Code",IF(IFERROR(VLOOKUP(L24,DB_Agents!$B:$I,8,0),"")=M24,"Pending","🔒 BLOCKED — Wrong Code")))</f>
        <v/>
      </c>
      <c r="L24" s="384" t="inlineStr">
        <is>
          <t>Agent 04</t>
        </is>
      </c>
      <c r="M24" s="491" t="n"/>
      <c r="N24" s="501" t="n"/>
    </row>
    <row r="25" ht="15" customHeight="1" s="341">
      <c r="A25" s="492">
        <f>IF(B25="","",IF(C25="❌ Account Not Found","INVALID","LN"&amp;TEXT(D25,"YYYYMMDD")&amp;TEXT(ROW()-13,"0000")))</f>
        <v/>
      </c>
      <c r="B25" s="486" t="n"/>
      <c r="C25" s="378">
        <f>IF(B25="","",IFERROR(VLOOKUP(B25,DB_Customers!$A:$D,4,0),"❌ Account Not Found"))</f>
        <v/>
      </c>
      <c r="D25" s="488">
        <f>IF(B25="","",TODAY())</f>
        <v/>
      </c>
      <c r="E25" s="526" t="n"/>
      <c r="F25" s="378" t="n"/>
      <c r="G25" s="532" t="n"/>
      <c r="H25" s="533" t="n"/>
      <c r="I25" s="529">
        <f>IF(E25="","",E25+(E25*H25/100*G25))</f>
        <v/>
      </c>
      <c r="J25" s="534">
        <f>IFERROR(I25/G25,"")</f>
        <v/>
      </c>
      <c r="K25" s="535">
        <f>IF(B25="","Pending",IF(M25="","⚠️ Enter Code",IF(IFERROR(VLOOKUP(L25,DB_Agents!$B:$I,8,0),"")=M25,"Pending","🔒 BLOCKED — Wrong Code")))</f>
        <v/>
      </c>
      <c r="L25" s="380" t="inlineStr">
        <is>
          <t>Agent 04</t>
        </is>
      </c>
      <c r="M25" s="491" t="n"/>
      <c r="N25" s="494" t="n"/>
    </row>
    <row r="26" ht="15" customHeight="1" s="341">
      <c r="A26" s="499">
        <f>IF(B26="","",IF(C26="❌ Account Not Found","INVALID","LN"&amp;TEXT(D26,"YYYYMMDD")&amp;TEXT(ROW()-13,"0000")))</f>
        <v/>
      </c>
      <c r="B26" s="495" t="n"/>
      <c r="C26" s="382">
        <f>IF(B26="","",IFERROR(VLOOKUP(B26,DB_Customers!$A:$D,4,0),"❌ Account Not Found"))</f>
        <v/>
      </c>
      <c r="D26" s="497">
        <f>IF(B26="","",TODAY())</f>
        <v/>
      </c>
      <c r="E26" s="526" t="n"/>
      <c r="F26" s="382" t="n"/>
      <c r="G26" s="527" t="n"/>
      <c r="H26" s="528" t="n"/>
      <c r="I26" s="529">
        <f>IF(E26="","",E26+(E26*H26/100*G26))</f>
        <v/>
      </c>
      <c r="J26" s="530">
        <f>IFERROR(I26/G26,"")</f>
        <v/>
      </c>
      <c r="K26" s="531">
        <f>IF(B26="","Pending",IF(M26="","⚠️ Enter Code",IF(IFERROR(VLOOKUP(L26,DB_Agents!$B:$I,8,0),"")=M26,"Pending","🔒 BLOCKED — Wrong Code")))</f>
        <v/>
      </c>
      <c r="L26" s="384" t="inlineStr">
        <is>
          <t>Agent 04</t>
        </is>
      </c>
      <c r="M26" s="491" t="n"/>
      <c r="N26" s="501" t="n"/>
    </row>
    <row r="27" ht="15" customHeight="1" s="341">
      <c r="A27" s="492">
        <f>IF(B27="","",IF(C27="❌ Account Not Found","INVALID","LN"&amp;TEXT(D27,"YYYYMMDD")&amp;TEXT(ROW()-13,"0000")))</f>
        <v/>
      </c>
      <c r="B27" s="486" t="n"/>
      <c r="C27" s="378">
        <f>IF(B27="","",IFERROR(VLOOKUP(B27,DB_Customers!$A:$D,4,0),"❌ Account Not Found"))</f>
        <v/>
      </c>
      <c r="D27" s="488">
        <f>IF(B27="","",TODAY())</f>
        <v/>
      </c>
      <c r="E27" s="526" t="n"/>
      <c r="F27" s="378" t="n"/>
      <c r="G27" s="532" t="n"/>
      <c r="H27" s="533" t="n"/>
      <c r="I27" s="529">
        <f>IF(E27="","",E27+(E27*H27/100*G27))</f>
        <v/>
      </c>
      <c r="J27" s="534">
        <f>IFERROR(I27/G27,"")</f>
        <v/>
      </c>
      <c r="K27" s="535">
        <f>IF(B27="","Pending",IF(M27="","⚠️ Enter Code",IF(IFERROR(VLOOKUP(L27,DB_Agents!$B:$I,8,0),"")=M27,"Pending","🔒 BLOCKED — Wrong Code")))</f>
        <v/>
      </c>
      <c r="L27" s="380" t="inlineStr">
        <is>
          <t>Agent 04</t>
        </is>
      </c>
      <c r="M27" s="491" t="n"/>
      <c r="N27" s="494" t="n"/>
    </row>
    <row r="28" ht="15" customHeight="1" s="341">
      <c r="A28" s="499">
        <f>IF(B28="","",IF(C28="❌ Account Not Found","INVALID","LN"&amp;TEXT(D28,"YYYYMMDD")&amp;TEXT(ROW()-13,"0000")))</f>
        <v/>
      </c>
      <c r="B28" s="495" t="n"/>
      <c r="C28" s="382">
        <f>IF(B28="","",IFERROR(VLOOKUP(B28,DB_Customers!$A:$D,4,0),"❌ Account Not Found"))</f>
        <v/>
      </c>
      <c r="D28" s="497">
        <f>IF(B28="","",TODAY())</f>
        <v/>
      </c>
      <c r="E28" s="526" t="n"/>
      <c r="F28" s="382" t="n"/>
      <c r="G28" s="527" t="n"/>
      <c r="H28" s="528" t="n"/>
      <c r="I28" s="529">
        <f>IF(E28="","",E28+(E28*H28/100*G28))</f>
        <v/>
      </c>
      <c r="J28" s="530">
        <f>IFERROR(I28/G28,"")</f>
        <v/>
      </c>
      <c r="K28" s="531">
        <f>IF(B28="","Pending",IF(M28="","⚠️ Enter Code",IF(IFERROR(VLOOKUP(L28,DB_Agents!$B:$I,8,0),"")=M28,"Pending","🔒 BLOCKED — Wrong Code")))</f>
        <v/>
      </c>
      <c r="L28" s="384" t="inlineStr">
        <is>
          <t>Agent 04</t>
        </is>
      </c>
      <c r="M28" s="491" t="n"/>
      <c r="N28" s="501" t="n"/>
    </row>
    <row r="29" ht="15" customHeight="1" s="341">
      <c r="A29" s="492">
        <f>IF(B29="","",IF(C29="❌ Account Not Found","INVALID","LN"&amp;TEXT(D29,"YYYYMMDD")&amp;TEXT(ROW()-13,"0000")))</f>
        <v/>
      </c>
      <c r="B29" s="486" t="n"/>
      <c r="C29" s="378">
        <f>IF(B29="","",IFERROR(VLOOKUP(B29,DB_Customers!$A:$D,4,0),"❌ Account Not Found"))</f>
        <v/>
      </c>
      <c r="D29" s="488">
        <f>IF(B29="","",TODAY())</f>
        <v/>
      </c>
      <c r="E29" s="526" t="n"/>
      <c r="F29" s="378" t="n"/>
      <c r="G29" s="532" t="n"/>
      <c r="H29" s="533" t="n"/>
      <c r="I29" s="529">
        <f>IF(E29="","",E29+(E29*H29/100*G29))</f>
        <v/>
      </c>
      <c r="J29" s="534">
        <f>IFERROR(I29/G29,"")</f>
        <v/>
      </c>
      <c r="K29" s="535">
        <f>IF(B29="","Pending",IF(M29="","⚠️ Enter Code",IF(IFERROR(VLOOKUP(L29,DB_Agents!$B:$I,8,0),"")=M29,"Pending","🔒 BLOCKED — Wrong Code")))</f>
        <v/>
      </c>
      <c r="L29" s="380" t="inlineStr">
        <is>
          <t>Agent 04</t>
        </is>
      </c>
      <c r="M29" s="491" t="n"/>
      <c r="N29" s="494" t="n"/>
    </row>
    <row r="30" ht="15" customHeight="1" s="341">
      <c r="A30" s="499">
        <f>IF(B30="","",IF(C30="❌ Account Not Found","INVALID","LN"&amp;TEXT(D30,"YYYYMMDD")&amp;TEXT(ROW()-13,"0000")))</f>
        <v/>
      </c>
      <c r="B30" s="495" t="n"/>
      <c r="C30" s="382">
        <f>IF(B30="","",IFERROR(VLOOKUP(B30,DB_Customers!$A:$D,4,0),"❌ Account Not Found"))</f>
        <v/>
      </c>
      <c r="D30" s="497">
        <f>IF(B30="","",TODAY())</f>
        <v/>
      </c>
      <c r="E30" s="526" t="n"/>
      <c r="F30" s="382" t="n"/>
      <c r="G30" s="527" t="n"/>
      <c r="H30" s="528" t="n"/>
      <c r="I30" s="529">
        <f>IF(E30="","",E30+(E30*H30/100*G30))</f>
        <v/>
      </c>
      <c r="J30" s="530">
        <f>IFERROR(I30/G30,"")</f>
        <v/>
      </c>
      <c r="K30" s="531">
        <f>IF(B30="","Pending",IF(M30="","⚠️ Enter Code",IF(IFERROR(VLOOKUP(L30,DB_Agents!$B:$I,8,0),"")=M30,"Pending","🔒 BLOCKED — Wrong Code")))</f>
        <v/>
      </c>
      <c r="L30" s="384" t="inlineStr">
        <is>
          <t>Agent 04</t>
        </is>
      </c>
      <c r="M30" s="491" t="n"/>
      <c r="N30" s="501" t="n"/>
    </row>
    <row r="31" ht="15" customHeight="1" s="341">
      <c r="A31" s="492">
        <f>IF(B31="","",IF(C31="❌ Account Not Found","INVALID","LN"&amp;TEXT(D31,"YYYYMMDD")&amp;TEXT(ROW()-13,"0000")))</f>
        <v/>
      </c>
      <c r="B31" s="486" t="n"/>
      <c r="C31" s="378">
        <f>IF(B31="","",IFERROR(VLOOKUP(B31,DB_Customers!$A:$D,4,0),"❌ Account Not Found"))</f>
        <v/>
      </c>
      <c r="D31" s="488">
        <f>IF(B31="","",TODAY())</f>
        <v/>
      </c>
      <c r="E31" s="526" t="n"/>
      <c r="F31" s="378" t="n"/>
      <c r="G31" s="532" t="n"/>
      <c r="H31" s="533" t="n"/>
      <c r="I31" s="529">
        <f>IF(E31="","",E31+(E31*H31/100*G31))</f>
        <v/>
      </c>
      <c r="J31" s="534">
        <f>IFERROR(I31/G31,"")</f>
        <v/>
      </c>
      <c r="K31" s="535">
        <f>IF(B31="","Pending",IF(M31="","⚠️ Enter Code",IF(IFERROR(VLOOKUP(L31,DB_Agents!$B:$I,8,0),"")=M31,"Pending","🔒 BLOCKED — Wrong Code")))</f>
        <v/>
      </c>
      <c r="L31" s="380" t="inlineStr">
        <is>
          <t>Agent 04</t>
        </is>
      </c>
      <c r="M31" s="491" t="n"/>
      <c r="N31" s="494" t="n"/>
    </row>
    <row r="32" ht="15" customHeight="1" s="341">
      <c r="A32" s="499">
        <f>IF(B32="","",IF(C32="❌ Account Not Found","INVALID","LN"&amp;TEXT(D32,"YYYYMMDD")&amp;TEXT(ROW()-13,"0000")))</f>
        <v/>
      </c>
      <c r="B32" s="495" t="n"/>
      <c r="C32" s="382">
        <f>IF(B32="","",IFERROR(VLOOKUP(B32,DB_Customers!$A:$D,4,0),"❌ Account Not Found"))</f>
        <v/>
      </c>
      <c r="D32" s="497">
        <f>IF(B32="","",TODAY())</f>
        <v/>
      </c>
      <c r="E32" s="526" t="n"/>
      <c r="F32" s="382" t="n"/>
      <c r="G32" s="527" t="n"/>
      <c r="H32" s="528" t="n"/>
      <c r="I32" s="529">
        <f>IF(E32="","",E32+(E32*H32/100*G32))</f>
        <v/>
      </c>
      <c r="J32" s="530">
        <f>IFERROR(I32/G32,"")</f>
        <v/>
      </c>
      <c r="K32" s="531">
        <f>IF(B32="","Pending",IF(M32="","⚠️ Enter Code",IF(IFERROR(VLOOKUP(L32,DB_Agents!$B:$I,8,0),"")=M32,"Pending","🔒 BLOCKED — Wrong Code")))</f>
        <v/>
      </c>
      <c r="L32" s="384" t="inlineStr">
        <is>
          <t>Agent 04</t>
        </is>
      </c>
      <c r="M32" s="491" t="n"/>
      <c r="N32" s="501" t="n"/>
    </row>
    <row r="33" ht="15" customHeight="1" s="341">
      <c r="A33" s="492">
        <f>IF(B33="","",IF(C33="❌ Account Not Found","INVALID","LN"&amp;TEXT(D33,"YYYYMMDD")&amp;TEXT(ROW()-13,"0000")))</f>
        <v/>
      </c>
      <c r="B33" s="486" t="n"/>
      <c r="C33" s="378">
        <f>IF(B33="","",IFERROR(VLOOKUP(B33,DB_Customers!$A:$D,4,0),"❌ Account Not Found"))</f>
        <v/>
      </c>
      <c r="D33" s="488">
        <f>IF(B33="","",TODAY())</f>
        <v/>
      </c>
      <c r="E33" s="526" t="n"/>
      <c r="F33" s="378" t="n"/>
      <c r="G33" s="532" t="n"/>
      <c r="H33" s="533" t="n"/>
      <c r="I33" s="529">
        <f>IF(E33="","",E33+(E33*H33/100*G33))</f>
        <v/>
      </c>
      <c r="J33" s="534">
        <f>IFERROR(I33/G33,"")</f>
        <v/>
      </c>
      <c r="K33" s="535">
        <f>IF(B33="","Pending",IF(M33="","⚠️ Enter Code",IF(IFERROR(VLOOKUP(L33,DB_Agents!$B:$I,8,0),"")=M33,"Pending","🔒 BLOCKED — Wrong Code")))</f>
        <v/>
      </c>
      <c r="L33" s="380" t="inlineStr">
        <is>
          <t>Agent 04</t>
        </is>
      </c>
      <c r="M33" s="491" t="n"/>
      <c r="N33" s="494" t="n"/>
    </row>
    <row r="34" ht="15" customHeight="1" s="341">
      <c r="A34" s="499">
        <f>IF(B34="","",IF(C34="❌ Account Not Found","INVALID","LN"&amp;TEXT(D34,"YYYYMMDD")&amp;TEXT(ROW()-13,"0000")))</f>
        <v/>
      </c>
      <c r="B34" s="495" t="n"/>
      <c r="C34" s="382">
        <f>IF(B34="","",IFERROR(VLOOKUP(B34,DB_Customers!$A:$D,4,0),"❌ Account Not Found"))</f>
        <v/>
      </c>
      <c r="D34" s="497">
        <f>IF(B34="","",TODAY())</f>
        <v/>
      </c>
      <c r="E34" s="526" t="n"/>
      <c r="F34" s="382" t="n"/>
      <c r="G34" s="527" t="n"/>
      <c r="H34" s="528" t="n"/>
      <c r="I34" s="529">
        <f>IF(E34="","",E34+(E34*H34/100*G34))</f>
        <v/>
      </c>
      <c r="J34" s="530">
        <f>IFERROR(I34/G34,"")</f>
        <v/>
      </c>
      <c r="K34" s="531">
        <f>IF(B34="","Pending",IF(M34="","⚠️ Enter Code",IF(IFERROR(VLOOKUP(L34,DB_Agents!$B:$I,8,0),"")=M34,"Pending","🔒 BLOCKED — Wrong Code")))</f>
        <v/>
      </c>
      <c r="L34" s="384" t="inlineStr">
        <is>
          <t>Agent 04</t>
        </is>
      </c>
      <c r="M34" s="491" t="n"/>
      <c r="N34" s="501" t="n"/>
    </row>
    <row r="35" ht="15" customHeight="1" s="341">
      <c r="A35" s="492">
        <f>IF(B35="","",IF(C35="❌ Account Not Found","INVALID","LN"&amp;TEXT(D35,"YYYYMMDD")&amp;TEXT(ROW()-13,"0000")))</f>
        <v/>
      </c>
      <c r="B35" s="486" t="n"/>
      <c r="C35" s="378">
        <f>IF(B35="","",IFERROR(VLOOKUP(B35,DB_Customers!$A:$D,4,0),"❌ Account Not Found"))</f>
        <v/>
      </c>
      <c r="D35" s="488">
        <f>IF(B35="","",TODAY())</f>
        <v/>
      </c>
      <c r="E35" s="526" t="n"/>
      <c r="F35" s="378" t="n"/>
      <c r="G35" s="532" t="n"/>
      <c r="H35" s="533" t="n"/>
      <c r="I35" s="529">
        <f>IF(E35="","",E35+(E35*H35/100*G35))</f>
        <v/>
      </c>
      <c r="J35" s="534">
        <f>IFERROR(I35/G35,"")</f>
        <v/>
      </c>
      <c r="K35" s="535">
        <f>IF(B35="","Pending",IF(M35="","⚠️ Enter Code",IF(IFERROR(VLOOKUP(L35,DB_Agents!$B:$I,8,0),"")=M35,"Pending","🔒 BLOCKED — Wrong Code")))</f>
        <v/>
      </c>
      <c r="L35" s="380" t="inlineStr">
        <is>
          <t>Agent 04</t>
        </is>
      </c>
      <c r="M35" s="491" t="n"/>
      <c r="N35" s="494" t="n"/>
    </row>
    <row r="36" ht="15" customHeight="1" s="341">
      <c r="A36" s="499">
        <f>IF(B36="","",IF(C36="❌ Account Not Found","INVALID","LN"&amp;TEXT(D36,"YYYYMMDD")&amp;TEXT(ROW()-13,"0000")))</f>
        <v/>
      </c>
      <c r="B36" s="495" t="n"/>
      <c r="C36" s="382">
        <f>IF(B36="","",IFERROR(VLOOKUP(B36,DB_Customers!$A:$D,4,0),"❌ Account Not Found"))</f>
        <v/>
      </c>
      <c r="D36" s="497">
        <f>IF(B36="","",TODAY())</f>
        <v/>
      </c>
      <c r="E36" s="526" t="n"/>
      <c r="F36" s="382" t="n"/>
      <c r="G36" s="527" t="n"/>
      <c r="H36" s="528" t="n"/>
      <c r="I36" s="529">
        <f>IF(E36="","",E36+(E36*H36/100*G36))</f>
        <v/>
      </c>
      <c r="J36" s="530">
        <f>IFERROR(I36/G36,"")</f>
        <v/>
      </c>
      <c r="K36" s="531">
        <f>IF(B36="","Pending",IF(M36="","⚠️ Enter Code",IF(IFERROR(VLOOKUP(L36,DB_Agents!$B:$I,8,0),"")=M36,"Pending","🔒 BLOCKED — Wrong Code")))</f>
        <v/>
      </c>
      <c r="L36" s="384" t="inlineStr">
        <is>
          <t>Agent 04</t>
        </is>
      </c>
      <c r="M36" s="491" t="n"/>
      <c r="N36" s="501" t="n"/>
    </row>
    <row r="37" ht="15" customHeight="1" s="341">
      <c r="A37" s="492">
        <f>IF(B37="","",IF(C37="❌ Account Not Found","INVALID","LN"&amp;TEXT(D37,"YYYYMMDD")&amp;TEXT(ROW()-13,"0000")))</f>
        <v/>
      </c>
      <c r="B37" s="486" t="n"/>
      <c r="C37" s="378">
        <f>IF(B37="","",IFERROR(VLOOKUP(B37,DB_Customers!$A:$D,4,0),"❌ Account Not Found"))</f>
        <v/>
      </c>
      <c r="D37" s="488">
        <f>IF(B37="","",TODAY())</f>
        <v/>
      </c>
      <c r="E37" s="526" t="n"/>
      <c r="F37" s="378" t="n"/>
      <c r="G37" s="532" t="n"/>
      <c r="H37" s="533" t="n"/>
      <c r="I37" s="529">
        <f>IF(E37="","",E37+(E37*H37/100*G37))</f>
        <v/>
      </c>
      <c r="J37" s="534">
        <f>IFERROR(I37/G37,"")</f>
        <v/>
      </c>
      <c r="K37" s="535">
        <f>IF(B37="","Pending",IF(M37="","⚠️ Enter Code",IF(IFERROR(VLOOKUP(L37,DB_Agents!$B:$I,8,0),"")=M37,"Pending","🔒 BLOCKED — Wrong Code")))</f>
        <v/>
      </c>
      <c r="L37" s="380" t="inlineStr">
        <is>
          <t>Agent 04</t>
        </is>
      </c>
      <c r="M37" s="491" t="n"/>
      <c r="N37" s="494" t="n"/>
    </row>
    <row r="38" ht="15" customHeight="1" s="341">
      <c r="A38" s="499">
        <f>IF(B38="","",IF(C38="❌ Account Not Found","INVALID","LN"&amp;TEXT(D38,"YYYYMMDD")&amp;TEXT(ROW()-13,"0000")))</f>
        <v/>
      </c>
      <c r="B38" s="495" t="n"/>
      <c r="C38" s="382">
        <f>IF(B38="","",IFERROR(VLOOKUP(B38,DB_Customers!$A:$D,4,0),"❌ Account Not Found"))</f>
        <v/>
      </c>
      <c r="D38" s="497">
        <f>IF(B38="","",TODAY())</f>
        <v/>
      </c>
      <c r="E38" s="526" t="n"/>
      <c r="F38" s="382" t="n"/>
      <c r="G38" s="527" t="n"/>
      <c r="H38" s="528" t="n"/>
      <c r="I38" s="529">
        <f>IF(E38="","",E38+(E38*H38/100*G38))</f>
        <v/>
      </c>
      <c r="J38" s="530">
        <f>IFERROR(I38/G38,"")</f>
        <v/>
      </c>
      <c r="K38" s="531">
        <f>IF(B38="","Pending",IF(M38="","⚠️ Enter Code",IF(IFERROR(VLOOKUP(L38,DB_Agents!$B:$I,8,0),"")=M38,"Pending","🔒 BLOCKED — Wrong Code")))</f>
        <v/>
      </c>
      <c r="L38" s="384" t="inlineStr">
        <is>
          <t>Agent 04</t>
        </is>
      </c>
      <c r="M38" s="491" t="n"/>
      <c r="N38" s="501" t="n"/>
    </row>
    <row r="39" ht="15" customHeight="1" s="341">
      <c r="A39" s="492">
        <f>IF(B39="","",IF(C39="❌ Account Not Found","INVALID","LN"&amp;TEXT(D39,"YYYYMMDD")&amp;TEXT(ROW()-13,"0000")))</f>
        <v/>
      </c>
      <c r="B39" s="486" t="n"/>
      <c r="C39" s="378">
        <f>IF(B39="","",IFERROR(VLOOKUP(B39,DB_Customers!$A:$D,4,0),"❌ Account Not Found"))</f>
        <v/>
      </c>
      <c r="D39" s="488">
        <f>IF(B39="","",TODAY())</f>
        <v/>
      </c>
      <c r="E39" s="526" t="n"/>
      <c r="F39" s="378" t="n"/>
      <c r="G39" s="532" t="n"/>
      <c r="H39" s="533" t="n"/>
      <c r="I39" s="529">
        <f>IF(E39="","",E39+(E39*H39/100*G39))</f>
        <v/>
      </c>
      <c r="J39" s="534">
        <f>IFERROR(I39/G39,"")</f>
        <v/>
      </c>
      <c r="K39" s="535">
        <f>IF(B39="","Pending",IF(M39="","⚠️ Enter Code",IF(IFERROR(VLOOKUP(L39,DB_Agents!$B:$I,8,0),"")=M39,"Pending","🔒 BLOCKED — Wrong Code")))</f>
        <v/>
      </c>
      <c r="L39" s="380" t="inlineStr">
        <is>
          <t>Agent 04</t>
        </is>
      </c>
      <c r="M39" s="491" t="n"/>
      <c r="N39" s="494" t="n"/>
    </row>
    <row r="40" ht="15" customHeight="1" s="341">
      <c r="A40" s="499">
        <f>IF(B40="","",IF(C40="❌ Account Not Found","INVALID","LN"&amp;TEXT(D40,"YYYYMMDD")&amp;TEXT(ROW()-13,"0000")))</f>
        <v/>
      </c>
      <c r="B40" s="495" t="n"/>
      <c r="C40" s="382">
        <f>IF(B40="","",IFERROR(VLOOKUP(B40,DB_Customers!$A:$D,4,0),"❌ Account Not Found"))</f>
        <v/>
      </c>
      <c r="D40" s="497">
        <f>IF(B40="","",TODAY())</f>
        <v/>
      </c>
      <c r="E40" s="526" t="n"/>
      <c r="F40" s="382" t="n"/>
      <c r="G40" s="527" t="n"/>
      <c r="H40" s="528" t="n"/>
      <c r="I40" s="529">
        <f>IF(E40="","",E40+(E40*H40/100*G40))</f>
        <v/>
      </c>
      <c r="J40" s="530">
        <f>IFERROR(I40/G40,"")</f>
        <v/>
      </c>
      <c r="K40" s="531">
        <f>IF(B40="","Pending",IF(M40="","⚠️ Enter Code",IF(IFERROR(VLOOKUP(L40,DB_Agents!$B:$I,8,0),"")=M40,"Pending","🔒 BLOCKED — Wrong Code")))</f>
        <v/>
      </c>
      <c r="L40" s="384" t="inlineStr">
        <is>
          <t>Agent 04</t>
        </is>
      </c>
      <c r="M40" s="491" t="n"/>
      <c r="N40" s="501" t="n"/>
    </row>
    <row r="41" ht="15" customHeight="1" s="341">
      <c r="A41" s="492">
        <f>IF(B41="","",IF(C41="❌ Account Not Found","INVALID","LN"&amp;TEXT(D41,"YYYYMMDD")&amp;TEXT(ROW()-13,"0000")))</f>
        <v/>
      </c>
      <c r="B41" s="486" t="n"/>
      <c r="C41" s="378">
        <f>IF(B41="","",IFERROR(VLOOKUP(B41,DB_Customers!$A:$D,4,0),"❌ Account Not Found"))</f>
        <v/>
      </c>
      <c r="D41" s="488">
        <f>IF(B41="","",TODAY())</f>
        <v/>
      </c>
      <c r="E41" s="526" t="n"/>
      <c r="F41" s="378" t="n"/>
      <c r="G41" s="532" t="n"/>
      <c r="H41" s="533" t="n"/>
      <c r="I41" s="529">
        <f>IF(E41="","",E41+(E41*H41/100*G41))</f>
        <v/>
      </c>
      <c r="J41" s="534">
        <f>IFERROR(I41/G41,"")</f>
        <v/>
      </c>
      <c r="K41" s="535">
        <f>IF(B41="","Pending",IF(M41="","⚠️ Enter Code",IF(IFERROR(VLOOKUP(L41,DB_Agents!$B:$I,8,0),"")=M41,"Pending","🔒 BLOCKED — Wrong Code")))</f>
        <v/>
      </c>
      <c r="L41" s="380" t="inlineStr">
        <is>
          <t>Agent 04</t>
        </is>
      </c>
      <c r="M41" s="491" t="n"/>
      <c r="N41" s="494" t="n"/>
    </row>
    <row r="42" ht="15" customHeight="1" s="341">
      <c r="A42" s="499">
        <f>IF(B42="","",IF(C42="❌ Account Not Found","INVALID","LN"&amp;TEXT(D42,"YYYYMMDD")&amp;TEXT(ROW()-13,"0000")))</f>
        <v/>
      </c>
      <c r="B42" s="495" t="n"/>
      <c r="C42" s="382">
        <f>IF(B42="","",IFERROR(VLOOKUP(B42,DB_Customers!$A:$D,4,0),"❌ Account Not Found"))</f>
        <v/>
      </c>
      <c r="D42" s="497">
        <f>IF(B42="","",TODAY())</f>
        <v/>
      </c>
      <c r="E42" s="526" t="n"/>
      <c r="F42" s="382" t="n"/>
      <c r="G42" s="527" t="n"/>
      <c r="H42" s="528" t="n"/>
      <c r="I42" s="529">
        <f>IF(E42="","",E42+(E42*H42/100*G42))</f>
        <v/>
      </c>
      <c r="J42" s="530">
        <f>IFERROR(I42/G42,"")</f>
        <v/>
      </c>
      <c r="K42" s="531">
        <f>IF(B42="","Pending",IF(M42="","⚠️ Enter Code",IF(IFERROR(VLOOKUP(L42,DB_Agents!$B:$I,8,0),"")=M42,"Pending","🔒 BLOCKED — Wrong Code")))</f>
        <v/>
      </c>
      <c r="L42" s="384" t="inlineStr">
        <is>
          <t>Agent 04</t>
        </is>
      </c>
      <c r="M42" s="491" t="n"/>
      <c r="N42" s="501" t="n"/>
    </row>
    <row r="43" ht="15" customHeight="1" s="341">
      <c r="A43" s="492">
        <f>IF(B43="","",IF(C43="❌ Account Not Found","INVALID","LN"&amp;TEXT(D43,"YYYYMMDD")&amp;TEXT(ROW()-13,"0000")))</f>
        <v/>
      </c>
      <c r="B43" s="486" t="n"/>
      <c r="C43" s="378">
        <f>IF(B43="","",IFERROR(VLOOKUP(B43,DB_Customers!$A:$D,4,0),"❌ Account Not Found"))</f>
        <v/>
      </c>
      <c r="D43" s="488">
        <f>IF(B43="","",TODAY())</f>
        <v/>
      </c>
      <c r="E43" s="526" t="n"/>
      <c r="F43" s="378" t="n"/>
      <c r="G43" s="532" t="n"/>
      <c r="H43" s="533" t="n"/>
      <c r="I43" s="529">
        <f>IF(E43="","",E43+(E43*H43/100*G43))</f>
        <v/>
      </c>
      <c r="J43" s="534">
        <f>IFERROR(I43/G43,"")</f>
        <v/>
      </c>
      <c r="K43" s="535">
        <f>IF(B43="","Pending",IF(M43="","⚠️ Enter Code",IF(IFERROR(VLOOKUP(L43,DB_Agents!$B:$I,8,0),"")=M43,"Pending","🔒 BLOCKED — Wrong Code")))</f>
        <v/>
      </c>
      <c r="L43" s="380" t="inlineStr">
        <is>
          <t>Agent 04</t>
        </is>
      </c>
      <c r="M43" s="491" t="n"/>
      <c r="N43" s="494" t="n"/>
    </row>
    <row r="44" ht="15" customHeight="1" s="341">
      <c r="A44" s="499">
        <f>IF(B44="","",IF(C44="❌ Account Not Found","INVALID","LN"&amp;TEXT(D44,"YYYYMMDD")&amp;TEXT(ROW()-13,"0000")))</f>
        <v/>
      </c>
      <c r="B44" s="495" t="n"/>
      <c r="C44" s="382">
        <f>IF(B44="","",IFERROR(VLOOKUP(B44,DB_Customers!$A:$D,4,0),"❌ Account Not Found"))</f>
        <v/>
      </c>
      <c r="D44" s="497">
        <f>IF(B44="","",TODAY())</f>
        <v/>
      </c>
      <c r="E44" s="526" t="n"/>
      <c r="F44" s="382" t="n"/>
      <c r="G44" s="527" t="n"/>
      <c r="H44" s="528" t="n"/>
      <c r="I44" s="529">
        <f>IF(E44="","",E44+(E44*H44/100*G44))</f>
        <v/>
      </c>
      <c r="J44" s="530">
        <f>IFERROR(I44/G44,"")</f>
        <v/>
      </c>
      <c r="K44" s="531">
        <f>IF(B44="","Pending",IF(M44="","⚠️ Enter Code",IF(IFERROR(VLOOKUP(L44,DB_Agents!$B:$I,8,0),"")=M44,"Pending","🔒 BLOCKED — Wrong Code")))</f>
        <v/>
      </c>
      <c r="L44" s="384" t="inlineStr">
        <is>
          <t>Agent 04</t>
        </is>
      </c>
      <c r="M44" s="491" t="n"/>
      <c r="N44" s="501" t="n"/>
    </row>
    <row r="45" ht="15" customHeight="1" s="341">
      <c r="A45" s="492">
        <f>IF(B45="","",IF(C45="❌ Account Not Found","INVALID","LN"&amp;TEXT(D45,"YYYYMMDD")&amp;TEXT(ROW()-13,"0000")))</f>
        <v/>
      </c>
      <c r="B45" s="486" t="n"/>
      <c r="C45" s="378">
        <f>IF(B45="","",IFERROR(VLOOKUP(B45,DB_Customers!$A:$D,4,0),"❌ Account Not Found"))</f>
        <v/>
      </c>
      <c r="D45" s="488">
        <f>IF(B45="","",TODAY())</f>
        <v/>
      </c>
      <c r="E45" s="526" t="n"/>
      <c r="F45" s="378" t="n"/>
      <c r="G45" s="532" t="n"/>
      <c r="H45" s="533" t="n"/>
      <c r="I45" s="529">
        <f>IF(E45="","",E45+(E45*H45/100*G45))</f>
        <v/>
      </c>
      <c r="J45" s="534">
        <f>IFERROR(I45/G45,"")</f>
        <v/>
      </c>
      <c r="K45" s="535">
        <f>IF(B45="","Pending",IF(M45="","⚠️ Enter Code",IF(IFERROR(VLOOKUP(L45,DB_Agents!$B:$I,8,0),"")=M45,"Pending","🔒 BLOCKED — Wrong Code")))</f>
        <v/>
      </c>
      <c r="L45" s="380" t="inlineStr">
        <is>
          <t>Agent 04</t>
        </is>
      </c>
      <c r="M45" s="491" t="n"/>
      <c r="N45" s="494" t="n"/>
    </row>
    <row r="46" ht="15" customHeight="1" s="341">
      <c r="A46" s="499">
        <f>IF(B46="","",IF(C46="❌ Account Not Found","INVALID","LN"&amp;TEXT(D46,"YYYYMMDD")&amp;TEXT(ROW()-13,"0000")))</f>
        <v/>
      </c>
      <c r="B46" s="495" t="n"/>
      <c r="C46" s="382">
        <f>IF(B46="","",IFERROR(VLOOKUP(B46,DB_Customers!$A:$D,4,0),"❌ Account Not Found"))</f>
        <v/>
      </c>
      <c r="D46" s="497">
        <f>IF(B46="","",TODAY())</f>
        <v/>
      </c>
      <c r="E46" s="526" t="n"/>
      <c r="F46" s="382" t="n"/>
      <c r="G46" s="527" t="n"/>
      <c r="H46" s="528" t="n"/>
      <c r="I46" s="529">
        <f>IF(E46="","",E46+(E46*H46/100*G46))</f>
        <v/>
      </c>
      <c r="J46" s="530">
        <f>IFERROR(I46/G46,"")</f>
        <v/>
      </c>
      <c r="K46" s="531">
        <f>IF(B46="","Pending",IF(M46="","⚠️ Enter Code",IF(IFERROR(VLOOKUP(L46,DB_Agents!$B:$I,8,0),"")=M46,"Pending","🔒 BLOCKED — Wrong Code")))</f>
        <v/>
      </c>
      <c r="L46" s="384" t="inlineStr">
        <is>
          <t>Agent 04</t>
        </is>
      </c>
      <c r="M46" s="491" t="n"/>
      <c r="N46" s="501" t="n"/>
    </row>
    <row r="47" ht="15" customHeight="1" s="341">
      <c r="A47" s="492">
        <f>IF(B47="","",IF(C47="❌ Account Not Found","INVALID","LN"&amp;TEXT(D47,"YYYYMMDD")&amp;TEXT(ROW()-13,"0000")))</f>
        <v/>
      </c>
      <c r="B47" s="486" t="n"/>
      <c r="C47" s="378">
        <f>IF(B47="","",IFERROR(VLOOKUP(B47,DB_Customers!$A:$D,4,0),"❌ Account Not Found"))</f>
        <v/>
      </c>
      <c r="D47" s="488">
        <f>IF(B47="","",TODAY())</f>
        <v/>
      </c>
      <c r="E47" s="526" t="n"/>
      <c r="F47" s="378" t="n"/>
      <c r="G47" s="532" t="n"/>
      <c r="H47" s="533" t="n"/>
      <c r="I47" s="529">
        <f>IF(E47="","",E47+(E47*H47/100*G47))</f>
        <v/>
      </c>
      <c r="J47" s="534">
        <f>IFERROR(I47/G47,"")</f>
        <v/>
      </c>
      <c r="K47" s="535">
        <f>IF(B47="","Pending",IF(M47="","⚠️ Enter Code",IF(IFERROR(VLOOKUP(L47,DB_Agents!$B:$I,8,0),"")=M47,"Pending","🔒 BLOCKED — Wrong Code")))</f>
        <v/>
      </c>
      <c r="L47" s="380" t="inlineStr">
        <is>
          <t>Agent 04</t>
        </is>
      </c>
      <c r="M47" s="491" t="n"/>
      <c r="N47" s="494" t="n"/>
    </row>
    <row r="48" ht="15" customHeight="1" s="341">
      <c r="A48" s="499">
        <f>IF(B48="","",IF(C48="❌ Account Not Found","INVALID","LN"&amp;TEXT(D48,"YYYYMMDD")&amp;TEXT(ROW()-13,"0000")))</f>
        <v/>
      </c>
      <c r="B48" s="495" t="n"/>
      <c r="C48" s="382">
        <f>IF(B48="","",IFERROR(VLOOKUP(B48,DB_Customers!$A:$D,4,0),"❌ Account Not Found"))</f>
        <v/>
      </c>
      <c r="D48" s="497">
        <f>IF(B48="","",TODAY())</f>
        <v/>
      </c>
      <c r="E48" s="526" t="n"/>
      <c r="F48" s="382" t="n"/>
      <c r="G48" s="527" t="n"/>
      <c r="H48" s="528" t="n"/>
      <c r="I48" s="529">
        <f>IF(E48="","",E48+(E48*H48/100*G48))</f>
        <v/>
      </c>
      <c r="J48" s="530">
        <f>IFERROR(I48/G48,"")</f>
        <v/>
      </c>
      <c r="K48" s="531">
        <f>IF(B48="","Pending",IF(M48="","⚠️ Enter Code",IF(IFERROR(VLOOKUP(L48,DB_Agents!$B:$I,8,0),"")=M48,"Pending","🔒 BLOCKED — Wrong Code")))</f>
        <v/>
      </c>
      <c r="L48" s="384" t="inlineStr">
        <is>
          <t>Agent 04</t>
        </is>
      </c>
      <c r="M48" s="491" t="n"/>
      <c r="N48" s="501" t="n"/>
    </row>
    <row r="49" ht="15" customHeight="1" s="341">
      <c r="A49" s="492">
        <f>IF(B49="","",IF(C49="❌ Account Not Found","INVALID","LN"&amp;TEXT(D49,"YYYYMMDD")&amp;TEXT(ROW()-13,"0000")))</f>
        <v/>
      </c>
      <c r="B49" s="486" t="n"/>
      <c r="C49" s="378">
        <f>IF(B49="","",IFERROR(VLOOKUP(B49,DB_Customers!$A:$D,4,0),"❌ Account Not Found"))</f>
        <v/>
      </c>
      <c r="D49" s="488">
        <f>IF(B49="","",TODAY())</f>
        <v/>
      </c>
      <c r="E49" s="526" t="n"/>
      <c r="F49" s="378" t="n"/>
      <c r="G49" s="532" t="n"/>
      <c r="H49" s="533" t="n"/>
      <c r="I49" s="529">
        <f>IF(E49="","",E49+(E49*H49/100*G49))</f>
        <v/>
      </c>
      <c r="J49" s="534">
        <f>IFERROR(I49/G49,"")</f>
        <v/>
      </c>
      <c r="K49" s="535">
        <f>IF(B49="","Pending",IF(M49="","⚠️ Enter Code",IF(IFERROR(VLOOKUP(L49,DB_Agents!$B:$I,8,0),"")=M49,"Pending","🔒 BLOCKED — Wrong Code")))</f>
        <v/>
      </c>
      <c r="L49" s="380" t="inlineStr">
        <is>
          <t>Agent 04</t>
        </is>
      </c>
      <c r="M49" s="491" t="n"/>
      <c r="N49" s="494" t="n"/>
    </row>
    <row r="50" ht="15" customHeight="1" s="341">
      <c r="A50" s="499">
        <f>IF(B50="","",IF(C50="❌ Account Not Found","INVALID","LN"&amp;TEXT(D50,"YYYYMMDD")&amp;TEXT(ROW()-13,"0000")))</f>
        <v/>
      </c>
      <c r="B50" s="495" t="n"/>
      <c r="C50" s="382">
        <f>IF(B50="","",IFERROR(VLOOKUP(B50,DB_Customers!$A:$D,4,0),"❌ Account Not Found"))</f>
        <v/>
      </c>
      <c r="D50" s="497">
        <f>IF(B50="","",TODAY())</f>
        <v/>
      </c>
      <c r="E50" s="526" t="n"/>
      <c r="F50" s="382" t="n"/>
      <c r="G50" s="527" t="n"/>
      <c r="H50" s="528" t="n"/>
      <c r="I50" s="529">
        <f>IF(E50="","",E50+(E50*H50/100*G50))</f>
        <v/>
      </c>
      <c r="J50" s="530">
        <f>IFERROR(I50/G50,"")</f>
        <v/>
      </c>
      <c r="K50" s="531">
        <f>IF(B50="","Pending",IF(M50="","⚠️ Enter Code",IF(IFERROR(VLOOKUP(L50,DB_Agents!$B:$I,8,0),"")=M50,"Pending","🔒 BLOCKED — Wrong Code")))</f>
        <v/>
      </c>
      <c r="L50" s="384" t="inlineStr">
        <is>
          <t>Agent 04</t>
        </is>
      </c>
      <c r="M50" s="491" t="n"/>
      <c r="N50" s="501" t="n"/>
    </row>
    <row r="51" ht="15" customHeight="1" s="341">
      <c r="A51" s="492">
        <f>IF(B51="","",IF(C51="❌ Account Not Found","INVALID","LN"&amp;TEXT(D51,"YYYYMMDD")&amp;TEXT(ROW()-13,"0000")))</f>
        <v/>
      </c>
      <c r="B51" s="486" t="n"/>
      <c r="C51" s="378">
        <f>IF(B51="","",IFERROR(VLOOKUP(B51,DB_Customers!$A:$D,4,0),"❌ Account Not Found"))</f>
        <v/>
      </c>
      <c r="D51" s="488">
        <f>IF(B51="","",TODAY())</f>
        <v/>
      </c>
      <c r="E51" s="526" t="n"/>
      <c r="F51" s="378" t="n"/>
      <c r="G51" s="532" t="n"/>
      <c r="H51" s="533" t="n"/>
      <c r="I51" s="529">
        <f>IF(E51="","",E51+(E51*H51/100*G51))</f>
        <v/>
      </c>
      <c r="J51" s="534">
        <f>IFERROR(I51/G51,"")</f>
        <v/>
      </c>
      <c r="K51" s="535">
        <f>IF(B51="","Pending",IF(M51="","⚠️ Enter Code",IF(IFERROR(VLOOKUP(L51,DB_Agents!$B:$I,8,0),"")=M51,"Pending","🔒 BLOCKED — Wrong Code")))</f>
        <v/>
      </c>
      <c r="L51" s="380" t="inlineStr">
        <is>
          <t>Agent 04</t>
        </is>
      </c>
      <c r="M51" s="491" t="n"/>
      <c r="N51" s="494" t="n"/>
    </row>
    <row r="52" ht="15" customHeight="1" s="341">
      <c r="A52" s="499">
        <f>IF(B52="","",IF(C52="❌ Account Not Found","INVALID","LN"&amp;TEXT(D52,"YYYYMMDD")&amp;TEXT(ROW()-13,"0000")))</f>
        <v/>
      </c>
      <c r="B52" s="495" t="n"/>
      <c r="C52" s="382">
        <f>IF(B52="","",IFERROR(VLOOKUP(B52,DB_Customers!$A:$D,4,0),"❌ Account Not Found"))</f>
        <v/>
      </c>
      <c r="D52" s="497">
        <f>IF(B52="","",TODAY())</f>
        <v/>
      </c>
      <c r="E52" s="526" t="n"/>
      <c r="F52" s="382" t="n"/>
      <c r="G52" s="527" t="n"/>
      <c r="H52" s="528" t="n"/>
      <c r="I52" s="529">
        <f>IF(E52="","",E52+(E52*H52/100*G52))</f>
        <v/>
      </c>
      <c r="J52" s="530">
        <f>IFERROR(I52/G52,"")</f>
        <v/>
      </c>
      <c r="K52" s="531">
        <f>IF(B52="","Pending",IF(M52="","⚠️ Enter Code",IF(IFERROR(VLOOKUP(L52,DB_Agents!$B:$I,8,0),"")=M52,"Pending","🔒 BLOCKED — Wrong Code")))</f>
        <v/>
      </c>
      <c r="L52" s="384" t="inlineStr">
        <is>
          <t>Agent 04</t>
        </is>
      </c>
      <c r="M52" s="491" t="n"/>
      <c r="N52" s="501" t="n"/>
    </row>
    <row r="53" ht="15" customHeight="1" s="341">
      <c r="A53" s="492">
        <f>IF(B53="","",IF(C53="❌ Account Not Found","INVALID","LN"&amp;TEXT(D53,"YYYYMMDD")&amp;TEXT(ROW()-13,"0000")))</f>
        <v/>
      </c>
      <c r="B53" s="486" t="n"/>
      <c r="C53" s="378">
        <f>IF(B53="","",IFERROR(VLOOKUP(B53,DB_Customers!$A:$D,4,0),"❌ Account Not Found"))</f>
        <v/>
      </c>
      <c r="D53" s="488">
        <f>IF(B53="","",TODAY())</f>
        <v/>
      </c>
      <c r="E53" s="526" t="n"/>
      <c r="F53" s="378" t="n"/>
      <c r="G53" s="532" t="n"/>
      <c r="H53" s="533" t="n"/>
      <c r="I53" s="529">
        <f>IF(E53="","",E53+(E53*H53/100*G53))</f>
        <v/>
      </c>
      <c r="J53" s="534">
        <f>IFERROR(I53/G53,"")</f>
        <v/>
      </c>
      <c r="K53" s="535">
        <f>IF(B53="","Pending",IF(M53="","⚠️ Enter Code",IF(IFERROR(VLOOKUP(L53,DB_Agents!$B:$I,8,0),"")=M53,"Pending","🔒 BLOCKED — Wrong Code")))</f>
        <v/>
      </c>
      <c r="L53" s="380" t="inlineStr">
        <is>
          <t>Agent 04</t>
        </is>
      </c>
      <c r="M53" s="491" t="n"/>
      <c r="N53" s="494" t="n"/>
    </row>
    <row r="54" ht="15" customHeight="1" s="341">
      <c r="A54" s="499">
        <f>IF(B54="","",IF(C54="❌ Account Not Found","INVALID","LN"&amp;TEXT(D54,"YYYYMMDD")&amp;TEXT(ROW()-13,"0000")))</f>
        <v/>
      </c>
      <c r="B54" s="495" t="n"/>
      <c r="C54" s="382">
        <f>IF(B54="","",IFERROR(VLOOKUP(B54,DB_Customers!$A:$D,4,0),"❌ Account Not Found"))</f>
        <v/>
      </c>
      <c r="D54" s="497">
        <f>IF(B54="","",TODAY())</f>
        <v/>
      </c>
      <c r="E54" s="526" t="n"/>
      <c r="F54" s="382" t="n"/>
      <c r="G54" s="527" t="n"/>
      <c r="H54" s="528" t="n"/>
      <c r="I54" s="529">
        <f>IF(E54="","",E54+(E54*H54/100*G54))</f>
        <v/>
      </c>
      <c r="J54" s="530">
        <f>IFERROR(I54/G54,"")</f>
        <v/>
      </c>
      <c r="K54" s="531">
        <f>IF(B54="","Pending",IF(M54="","⚠️ Enter Code",IF(IFERROR(VLOOKUP(L54,DB_Agents!$B:$I,8,0),"")=M54,"Pending","🔒 BLOCKED — Wrong Code")))</f>
        <v/>
      </c>
      <c r="L54" s="384" t="inlineStr">
        <is>
          <t>Agent 04</t>
        </is>
      </c>
      <c r="M54" s="491" t="n"/>
      <c r="N54" s="501" t="n"/>
    </row>
    <row r="55" ht="15" customHeight="1" s="341">
      <c r="A55" s="492">
        <f>IF(B55="","",IF(C55="❌ Account Not Found","INVALID","LN"&amp;TEXT(D55,"YYYYMMDD")&amp;TEXT(ROW()-13,"0000")))</f>
        <v/>
      </c>
      <c r="B55" s="486" t="n"/>
      <c r="C55" s="378">
        <f>IF(B55="","",IFERROR(VLOOKUP(B55,DB_Customers!$A:$D,4,0),"❌ Account Not Found"))</f>
        <v/>
      </c>
      <c r="D55" s="488">
        <f>IF(B55="","",TODAY())</f>
        <v/>
      </c>
      <c r="E55" s="526" t="n"/>
      <c r="F55" s="378" t="n"/>
      <c r="G55" s="532" t="n"/>
      <c r="H55" s="533" t="n"/>
      <c r="I55" s="529">
        <f>IF(E55="","",E55+(E55*H55/100*G55))</f>
        <v/>
      </c>
      <c r="J55" s="534">
        <f>IFERROR(I55/G55,"")</f>
        <v/>
      </c>
      <c r="K55" s="535">
        <f>IF(B55="","Pending",IF(M55="","⚠️ Enter Code",IF(IFERROR(VLOOKUP(L55,DB_Agents!$B:$I,8,0),"")=M55,"Pending","🔒 BLOCKED — Wrong Code")))</f>
        <v/>
      </c>
      <c r="L55" s="380" t="inlineStr">
        <is>
          <t>Agent 04</t>
        </is>
      </c>
      <c r="M55" s="491" t="n"/>
      <c r="N55" s="494" t="n"/>
    </row>
    <row r="56" ht="15" customHeight="1" s="341">
      <c r="A56" s="499">
        <f>IF(B56="","",IF(C56="❌ Account Not Found","INVALID","LN"&amp;TEXT(D56,"YYYYMMDD")&amp;TEXT(ROW()-13,"0000")))</f>
        <v/>
      </c>
      <c r="B56" s="495" t="n"/>
      <c r="C56" s="382">
        <f>IF(B56="","",IFERROR(VLOOKUP(B56,DB_Customers!$A:$D,4,0),"❌ Account Not Found"))</f>
        <v/>
      </c>
      <c r="D56" s="497">
        <f>IF(B56="","",TODAY())</f>
        <v/>
      </c>
      <c r="E56" s="526" t="n"/>
      <c r="F56" s="382" t="n"/>
      <c r="G56" s="527" t="n"/>
      <c r="H56" s="528" t="n"/>
      <c r="I56" s="529">
        <f>IF(E56="","",E56+(E56*H56/100*G56))</f>
        <v/>
      </c>
      <c r="J56" s="530">
        <f>IFERROR(I56/G56,"")</f>
        <v/>
      </c>
      <c r="K56" s="531">
        <f>IF(B56="","Pending",IF(M56="","⚠️ Enter Code",IF(IFERROR(VLOOKUP(L56,DB_Agents!$B:$I,8,0),"")=M56,"Pending","🔒 BLOCKED — Wrong Code")))</f>
        <v/>
      </c>
      <c r="L56" s="384" t="inlineStr">
        <is>
          <t>Agent 04</t>
        </is>
      </c>
      <c r="M56" s="491" t="n"/>
      <c r="N56" s="501" t="n"/>
    </row>
    <row r="57" ht="15" customHeight="1" s="341">
      <c r="A57" s="492">
        <f>IF(B57="","",IF(C57="❌ Account Not Found","INVALID","LN"&amp;TEXT(D57,"YYYYMMDD")&amp;TEXT(ROW()-13,"0000")))</f>
        <v/>
      </c>
      <c r="B57" s="486" t="n"/>
      <c r="C57" s="378">
        <f>IF(B57="","",IFERROR(VLOOKUP(B57,DB_Customers!$A:$D,4,0),"❌ Account Not Found"))</f>
        <v/>
      </c>
      <c r="D57" s="488">
        <f>IF(B57="","",TODAY())</f>
        <v/>
      </c>
      <c r="E57" s="526" t="n"/>
      <c r="F57" s="378" t="n"/>
      <c r="G57" s="532" t="n"/>
      <c r="H57" s="533" t="n"/>
      <c r="I57" s="529">
        <f>IF(E57="","",E57+(E57*H57/100*G57))</f>
        <v/>
      </c>
      <c r="J57" s="534">
        <f>IFERROR(I57/G57,"")</f>
        <v/>
      </c>
      <c r="K57" s="535">
        <f>IF(B57="","Pending",IF(M57="","⚠️ Enter Code",IF(IFERROR(VLOOKUP(L57,DB_Agents!$B:$I,8,0),"")=M57,"Pending","🔒 BLOCKED — Wrong Code")))</f>
        <v/>
      </c>
      <c r="L57" s="380" t="inlineStr">
        <is>
          <t>Agent 04</t>
        </is>
      </c>
      <c r="M57" s="491" t="n"/>
      <c r="N57" s="494" t="n"/>
    </row>
    <row r="58" ht="15" customHeight="1" s="341">
      <c r="A58" s="499">
        <f>IF(B58="","",IF(C58="❌ Account Not Found","INVALID","LN"&amp;TEXT(D58,"YYYYMMDD")&amp;TEXT(ROW()-13,"0000")))</f>
        <v/>
      </c>
      <c r="B58" s="495" t="n"/>
      <c r="C58" s="382">
        <f>IF(B58="","",IFERROR(VLOOKUP(B58,DB_Customers!$A:$D,4,0),"❌ Account Not Found"))</f>
        <v/>
      </c>
      <c r="D58" s="497">
        <f>IF(B58="","",TODAY())</f>
        <v/>
      </c>
      <c r="E58" s="526" t="n"/>
      <c r="F58" s="382" t="n"/>
      <c r="G58" s="527" t="n"/>
      <c r="H58" s="528" t="n"/>
      <c r="I58" s="529">
        <f>IF(E58="","",E58+(E58*H58/100*G58))</f>
        <v/>
      </c>
      <c r="J58" s="530">
        <f>IFERROR(I58/G58,"")</f>
        <v/>
      </c>
      <c r="K58" s="531">
        <f>IF(B58="","Pending",IF(M58="","⚠️ Enter Code",IF(IFERROR(VLOOKUP(L58,DB_Agents!$B:$I,8,0),"")=M58,"Pending","🔒 BLOCKED — Wrong Code")))</f>
        <v/>
      </c>
      <c r="L58" s="384" t="inlineStr">
        <is>
          <t>Agent 04</t>
        </is>
      </c>
      <c r="M58" s="491" t="n"/>
      <c r="N58" s="501" t="n"/>
    </row>
    <row r="59" ht="15" customHeight="1" s="341">
      <c r="A59" s="492">
        <f>IF(B59="","",IF(C59="❌ Account Not Found","INVALID","LN"&amp;TEXT(D59,"YYYYMMDD")&amp;TEXT(ROW()-13,"0000")))</f>
        <v/>
      </c>
      <c r="B59" s="486" t="n"/>
      <c r="C59" s="378">
        <f>IF(B59="","",IFERROR(VLOOKUP(B59,DB_Customers!$A:$D,4,0),"❌ Account Not Found"))</f>
        <v/>
      </c>
      <c r="D59" s="488">
        <f>IF(B59="","",TODAY())</f>
        <v/>
      </c>
      <c r="E59" s="526" t="n"/>
      <c r="F59" s="378" t="n"/>
      <c r="G59" s="532" t="n"/>
      <c r="H59" s="533" t="n"/>
      <c r="I59" s="529">
        <f>IF(E59="","",E59+(E59*H59/100*G59))</f>
        <v/>
      </c>
      <c r="J59" s="534">
        <f>IFERROR(I59/G59,"")</f>
        <v/>
      </c>
      <c r="K59" s="535">
        <f>IF(B59="","Pending",IF(M59="","⚠️ Enter Code",IF(IFERROR(VLOOKUP(L59,DB_Agents!$B:$I,8,0),"")=M59,"Pending","🔒 BLOCKED — Wrong Code")))</f>
        <v/>
      </c>
      <c r="L59" s="380" t="inlineStr">
        <is>
          <t>Agent 04</t>
        </is>
      </c>
      <c r="M59" s="491" t="n"/>
      <c r="N59" s="494" t="n"/>
    </row>
    <row r="60" ht="15" customHeight="1" s="341">
      <c r="A60" s="499">
        <f>IF(B60="","",IF(C60="❌ Account Not Found","INVALID","LN"&amp;TEXT(D60,"YYYYMMDD")&amp;TEXT(ROW()-13,"0000")))</f>
        <v/>
      </c>
      <c r="B60" s="495" t="n"/>
      <c r="C60" s="382">
        <f>IF(B60="","",IFERROR(VLOOKUP(B60,DB_Customers!$A:$D,4,0),"❌ Account Not Found"))</f>
        <v/>
      </c>
      <c r="D60" s="497">
        <f>IF(B60="","",TODAY())</f>
        <v/>
      </c>
      <c r="E60" s="526" t="n"/>
      <c r="F60" s="382" t="n"/>
      <c r="G60" s="527" t="n"/>
      <c r="H60" s="528" t="n"/>
      <c r="I60" s="529">
        <f>IF(E60="","",E60+(E60*H60/100*G60))</f>
        <v/>
      </c>
      <c r="J60" s="530">
        <f>IFERROR(I60/G60,"")</f>
        <v/>
      </c>
      <c r="K60" s="531">
        <f>IF(B60="","Pending",IF(M60="","⚠️ Enter Code",IF(IFERROR(VLOOKUP(L60,DB_Agents!$B:$I,8,0),"")=M60,"Pending","🔒 BLOCKED — Wrong Code")))</f>
        <v/>
      </c>
      <c r="L60" s="384" t="inlineStr">
        <is>
          <t>Agent 04</t>
        </is>
      </c>
      <c r="M60" s="491" t="n"/>
      <c r="N60" s="501" t="n"/>
    </row>
    <row r="61" ht="15" customHeight="1" s="341">
      <c r="A61" s="492">
        <f>IF(B61="","",IF(C61="❌ Account Not Found","INVALID","LN"&amp;TEXT(D61,"YYYYMMDD")&amp;TEXT(ROW()-13,"0000")))</f>
        <v/>
      </c>
      <c r="B61" s="486" t="n"/>
      <c r="C61" s="378">
        <f>IF(B61="","",IFERROR(VLOOKUP(B61,DB_Customers!$A:$D,4,0),"❌ Account Not Found"))</f>
        <v/>
      </c>
      <c r="D61" s="488">
        <f>IF(B61="","",TODAY())</f>
        <v/>
      </c>
      <c r="E61" s="526" t="n"/>
      <c r="F61" s="378" t="n"/>
      <c r="G61" s="532" t="n"/>
      <c r="H61" s="533" t="n"/>
      <c r="I61" s="529">
        <f>IF(E61="","",E61+(E61*H61/100*G61))</f>
        <v/>
      </c>
      <c r="J61" s="534">
        <f>IFERROR(I61/G61,"")</f>
        <v/>
      </c>
      <c r="K61" s="535">
        <f>IF(B61="","Pending",IF(M61="","⚠️ Enter Code",IF(IFERROR(VLOOKUP(L61,DB_Agents!$B:$I,8,0),"")=M61,"Pending","🔒 BLOCKED — Wrong Code")))</f>
        <v/>
      </c>
      <c r="L61" s="380" t="inlineStr">
        <is>
          <t>Agent 04</t>
        </is>
      </c>
      <c r="M61" s="491" t="n"/>
      <c r="N61" s="494" t="n"/>
    </row>
    <row r="62" ht="15" customHeight="1" s="341">
      <c r="A62" s="499">
        <f>IF(B62="","",IF(C62="❌ Account Not Found","INVALID","LN"&amp;TEXT(D62,"YYYYMMDD")&amp;TEXT(ROW()-13,"0000")))</f>
        <v/>
      </c>
      <c r="B62" s="495" t="n"/>
      <c r="C62" s="382">
        <f>IF(B62="","",IFERROR(VLOOKUP(B62,DB_Customers!$A:$D,4,0),"❌ Account Not Found"))</f>
        <v/>
      </c>
      <c r="D62" s="497">
        <f>IF(B62="","",TODAY())</f>
        <v/>
      </c>
      <c r="E62" s="526" t="n"/>
      <c r="F62" s="382" t="n"/>
      <c r="G62" s="527" t="n"/>
      <c r="H62" s="528" t="n"/>
      <c r="I62" s="529">
        <f>IF(E62="","",E62+(E62*H62/100*G62))</f>
        <v/>
      </c>
      <c r="J62" s="530">
        <f>IFERROR(I62/G62,"")</f>
        <v/>
      </c>
      <c r="K62" s="531">
        <f>IF(B62="","Pending",IF(M62="","⚠️ Enter Code",IF(IFERROR(VLOOKUP(L62,DB_Agents!$B:$I,8,0),"")=M62,"Pending","🔒 BLOCKED — Wrong Code")))</f>
        <v/>
      </c>
      <c r="L62" s="384" t="inlineStr">
        <is>
          <t>Agent 04</t>
        </is>
      </c>
      <c r="M62" s="491" t="n"/>
      <c r="N62" s="501" t="n"/>
    </row>
    <row r="63" ht="15" customHeight="1" s="341">
      <c r="A63" s="492">
        <f>IF(B63="","",IF(C63="❌ Account Not Found","INVALID","LN"&amp;TEXT(D63,"YYYYMMDD")&amp;TEXT(ROW()-13,"0000")))</f>
        <v/>
      </c>
      <c r="B63" s="486" t="n"/>
      <c r="C63" s="378">
        <f>IF(B63="","",IFERROR(VLOOKUP(B63,DB_Customers!$A:$D,4,0),"❌ Account Not Found"))</f>
        <v/>
      </c>
      <c r="D63" s="488">
        <f>IF(B63="","",TODAY())</f>
        <v/>
      </c>
      <c r="E63" s="526" t="n"/>
      <c r="F63" s="378" t="n"/>
      <c r="G63" s="532" t="n"/>
      <c r="H63" s="533" t="n"/>
      <c r="I63" s="529">
        <f>IF(E63="","",E63+(E63*H63/100*G63))</f>
        <v/>
      </c>
      <c r="J63" s="534">
        <f>IFERROR(I63/G63,"")</f>
        <v/>
      </c>
      <c r="K63" s="535">
        <f>IF(B63="","Pending",IF(M63="","⚠️ Enter Code",IF(IFERROR(VLOOKUP(L63,DB_Agents!$B:$I,8,0),"")=M63,"Pending","🔒 BLOCKED — Wrong Code")))</f>
        <v/>
      </c>
      <c r="L63" s="380" t="inlineStr">
        <is>
          <t>Agent 04</t>
        </is>
      </c>
      <c r="M63" s="491" t="n"/>
      <c r="N63" s="494" t="n"/>
    </row>
    <row r="64" ht="15" customHeight="1" s="341">
      <c r="A64" s="499">
        <f>IF(B64="","",IF(C64="❌ Account Not Found","INVALID","LN"&amp;TEXT(D64,"YYYYMMDD")&amp;TEXT(ROW()-13,"0000")))</f>
        <v/>
      </c>
      <c r="B64" s="495" t="n"/>
      <c r="C64" s="382">
        <f>IF(B64="","",IFERROR(VLOOKUP(B64,DB_Customers!$A:$D,4,0),"❌ Account Not Found"))</f>
        <v/>
      </c>
      <c r="D64" s="497">
        <f>IF(B64="","",TODAY())</f>
        <v/>
      </c>
      <c r="E64" s="526" t="n"/>
      <c r="F64" s="382" t="n"/>
      <c r="G64" s="527" t="n"/>
      <c r="H64" s="528" t="n"/>
      <c r="I64" s="529">
        <f>IF(E64="","",E64+(E64*H64/100*G64))</f>
        <v/>
      </c>
      <c r="J64" s="530">
        <f>IFERROR(I64/G64,"")</f>
        <v/>
      </c>
      <c r="K64" s="531">
        <f>IF(B64="","Pending",IF(M64="","⚠️ Enter Code",IF(IFERROR(VLOOKUP(L64,DB_Agents!$B:$I,8,0),"")=M64,"Pending","🔒 BLOCKED — Wrong Code")))</f>
        <v/>
      </c>
      <c r="L64" s="384" t="inlineStr">
        <is>
          <t>Agent 04</t>
        </is>
      </c>
      <c r="M64" s="491" t="n"/>
      <c r="N64" s="501" t="n"/>
    </row>
    <row r="65" ht="15" customHeight="1" s="341">
      <c r="A65" s="492">
        <f>IF(B65="","",IF(C65="❌ Account Not Found","INVALID","LN"&amp;TEXT(D65,"YYYYMMDD")&amp;TEXT(ROW()-13,"0000")))</f>
        <v/>
      </c>
      <c r="B65" s="486" t="n"/>
      <c r="C65" s="378">
        <f>IF(B65="","",IFERROR(VLOOKUP(B65,DB_Customers!$A:$D,4,0),"❌ Account Not Found"))</f>
        <v/>
      </c>
      <c r="D65" s="488">
        <f>IF(B65="","",TODAY())</f>
        <v/>
      </c>
      <c r="E65" s="526" t="n"/>
      <c r="F65" s="378" t="n"/>
      <c r="G65" s="532" t="n"/>
      <c r="H65" s="533" t="n"/>
      <c r="I65" s="529">
        <f>IF(E65="","",E65+(E65*H65/100*G65))</f>
        <v/>
      </c>
      <c r="J65" s="534">
        <f>IFERROR(I65/G65,"")</f>
        <v/>
      </c>
      <c r="K65" s="535">
        <f>IF(B65="","Pending",IF(M65="","⚠️ Enter Code",IF(IFERROR(VLOOKUP(L65,DB_Agents!$B:$I,8,0),"")=M65,"Pending","🔒 BLOCKED — Wrong Code")))</f>
        <v/>
      </c>
      <c r="L65" s="380" t="inlineStr">
        <is>
          <t>Agent 04</t>
        </is>
      </c>
      <c r="M65" s="491" t="n"/>
      <c r="N65" s="494" t="n"/>
    </row>
    <row r="66" ht="15" customHeight="1" s="341">
      <c r="A66" s="499">
        <f>IF(B66="","",IF(C66="❌ Account Not Found","INVALID","LN"&amp;TEXT(D66,"YYYYMMDD")&amp;TEXT(ROW()-13,"0000")))</f>
        <v/>
      </c>
      <c r="B66" s="495" t="n"/>
      <c r="C66" s="382">
        <f>IF(B66="","",IFERROR(VLOOKUP(B66,DB_Customers!$A:$D,4,0),"❌ Account Not Found"))</f>
        <v/>
      </c>
      <c r="D66" s="497">
        <f>IF(B66="","",TODAY())</f>
        <v/>
      </c>
      <c r="E66" s="526" t="n"/>
      <c r="F66" s="382" t="n"/>
      <c r="G66" s="527" t="n"/>
      <c r="H66" s="528" t="n"/>
      <c r="I66" s="529">
        <f>IF(E66="","",E66+(E66*H66/100*G66))</f>
        <v/>
      </c>
      <c r="J66" s="530">
        <f>IFERROR(I66/G66,"")</f>
        <v/>
      </c>
      <c r="K66" s="531">
        <f>IF(B66="","Pending",IF(M66="","⚠️ Enter Code",IF(IFERROR(VLOOKUP(L66,DB_Agents!$B:$I,8,0),"")=M66,"Pending","🔒 BLOCKED — Wrong Code")))</f>
        <v/>
      </c>
      <c r="L66" s="384" t="inlineStr">
        <is>
          <t>Agent 04</t>
        </is>
      </c>
      <c r="M66" s="491" t="n"/>
      <c r="N66" s="501" t="n"/>
    </row>
    <row r="67" ht="15" customHeight="1" s="341">
      <c r="A67" s="492">
        <f>IF(B67="","",IF(C67="❌ Account Not Found","INVALID","LN"&amp;TEXT(D67,"YYYYMMDD")&amp;TEXT(ROW()-13,"0000")))</f>
        <v/>
      </c>
      <c r="B67" s="486" t="n"/>
      <c r="C67" s="378">
        <f>IF(B67="","",IFERROR(VLOOKUP(B67,DB_Customers!$A:$D,4,0),"❌ Account Not Found"))</f>
        <v/>
      </c>
      <c r="D67" s="488">
        <f>IF(B67="","",TODAY())</f>
        <v/>
      </c>
      <c r="E67" s="526" t="n"/>
      <c r="F67" s="378" t="n"/>
      <c r="G67" s="532" t="n"/>
      <c r="H67" s="533" t="n"/>
      <c r="I67" s="529">
        <f>IF(E67="","",E67+(E67*H67/100*G67))</f>
        <v/>
      </c>
      <c r="J67" s="534">
        <f>IFERROR(I67/G67,"")</f>
        <v/>
      </c>
      <c r="K67" s="535">
        <f>IF(B67="","Pending",IF(M67="","⚠️ Enter Code",IF(IFERROR(VLOOKUP(L67,DB_Agents!$B:$I,8,0),"")=M67,"Pending","🔒 BLOCKED — Wrong Code")))</f>
        <v/>
      </c>
      <c r="L67" s="380" t="inlineStr">
        <is>
          <t>Agent 04</t>
        </is>
      </c>
      <c r="M67" s="491" t="n"/>
      <c r="N67" s="494" t="n"/>
    </row>
    <row r="68" ht="15" customHeight="1" s="341">
      <c r="A68" s="499">
        <f>IF(B68="","",IF(C68="❌ Account Not Found","INVALID","LN"&amp;TEXT(D68,"YYYYMMDD")&amp;TEXT(ROW()-13,"0000")))</f>
        <v/>
      </c>
      <c r="B68" s="495" t="n"/>
      <c r="C68" s="382">
        <f>IF(B68="","",IFERROR(VLOOKUP(B68,DB_Customers!$A:$D,4,0),"❌ Account Not Found"))</f>
        <v/>
      </c>
      <c r="D68" s="497">
        <f>IF(B68="","",TODAY())</f>
        <v/>
      </c>
      <c r="E68" s="526" t="n"/>
      <c r="F68" s="382" t="n"/>
      <c r="G68" s="527" t="n"/>
      <c r="H68" s="528" t="n"/>
      <c r="I68" s="529">
        <f>IF(E68="","",E68+(E68*H68/100*G68))</f>
        <v/>
      </c>
      <c r="J68" s="530">
        <f>IFERROR(I68/G68,"")</f>
        <v/>
      </c>
      <c r="K68" s="531">
        <f>IF(B68="","Pending",IF(M68="","⚠️ Enter Code",IF(IFERROR(VLOOKUP(L68,DB_Agents!$B:$I,8,0),"")=M68,"Pending","🔒 BLOCKED — Wrong Code")))</f>
        <v/>
      </c>
      <c r="L68" s="384" t="inlineStr">
        <is>
          <t>Agent 04</t>
        </is>
      </c>
      <c r="M68" s="491" t="n"/>
      <c r="N68" s="501" t="n"/>
    </row>
    <row r="69" ht="15" customHeight="1" s="341">
      <c r="A69" s="492">
        <f>IF(B69="","",IF(C69="❌ Account Not Found","INVALID","LN"&amp;TEXT(D69,"YYYYMMDD")&amp;TEXT(ROW()-13,"0000")))</f>
        <v/>
      </c>
      <c r="B69" s="486" t="n"/>
      <c r="C69" s="378">
        <f>IF(B69="","",IFERROR(VLOOKUP(B69,DB_Customers!$A:$D,4,0),"❌ Account Not Found"))</f>
        <v/>
      </c>
      <c r="D69" s="488">
        <f>IF(B69="","",TODAY())</f>
        <v/>
      </c>
      <c r="E69" s="526" t="n"/>
      <c r="F69" s="378" t="n"/>
      <c r="G69" s="532" t="n"/>
      <c r="H69" s="533" t="n"/>
      <c r="I69" s="529">
        <f>IF(E69="","",E69+(E69*H69/100*G69))</f>
        <v/>
      </c>
      <c r="J69" s="534">
        <f>IFERROR(I69/G69,"")</f>
        <v/>
      </c>
      <c r="K69" s="535">
        <f>IF(B69="","Pending",IF(M69="","⚠️ Enter Code",IF(IFERROR(VLOOKUP(L69,DB_Agents!$B:$I,8,0),"")=M69,"Pending","🔒 BLOCKED — Wrong Code")))</f>
        <v/>
      </c>
      <c r="L69" s="380" t="inlineStr">
        <is>
          <t>Agent 04</t>
        </is>
      </c>
      <c r="M69" s="491" t="n"/>
      <c r="N69" s="494" t="n"/>
    </row>
    <row r="70" ht="15" customHeight="1" s="341">
      <c r="A70" s="499">
        <f>IF(B70="","",IF(C70="❌ Account Not Found","INVALID","LN"&amp;TEXT(D70,"YYYYMMDD")&amp;TEXT(ROW()-13,"0000")))</f>
        <v/>
      </c>
      <c r="B70" s="495" t="n"/>
      <c r="C70" s="382">
        <f>IF(B70="","",IFERROR(VLOOKUP(B70,DB_Customers!$A:$D,4,0),"❌ Account Not Found"))</f>
        <v/>
      </c>
      <c r="D70" s="497">
        <f>IF(B70="","",TODAY())</f>
        <v/>
      </c>
      <c r="E70" s="526" t="n"/>
      <c r="F70" s="382" t="n"/>
      <c r="G70" s="527" t="n"/>
      <c r="H70" s="528" t="n"/>
      <c r="I70" s="529">
        <f>IF(E70="","",E70+(E70*H70/100*G70))</f>
        <v/>
      </c>
      <c r="J70" s="530">
        <f>IFERROR(I70/G70,"")</f>
        <v/>
      </c>
      <c r="K70" s="531">
        <f>IF(B70="","Pending",IF(M70="","⚠️ Enter Code",IF(IFERROR(VLOOKUP(L70,DB_Agents!$B:$I,8,0),"")=M70,"Pending","🔒 BLOCKED — Wrong Code")))</f>
        <v/>
      </c>
      <c r="L70" s="384" t="inlineStr">
        <is>
          <t>Agent 04</t>
        </is>
      </c>
      <c r="M70" s="491" t="n"/>
      <c r="N70" s="501" t="n"/>
    </row>
    <row r="71" ht="15" customHeight="1" s="341">
      <c r="A71" s="492">
        <f>IF(B71="","",IF(C71="❌ Account Not Found","INVALID","LN"&amp;TEXT(D71,"YYYYMMDD")&amp;TEXT(ROW()-13,"0000")))</f>
        <v/>
      </c>
      <c r="B71" s="486" t="n"/>
      <c r="C71" s="378">
        <f>IF(B71="","",IFERROR(VLOOKUP(B71,DB_Customers!$A:$D,4,0),"❌ Account Not Found"))</f>
        <v/>
      </c>
      <c r="D71" s="488">
        <f>IF(B71="","",TODAY())</f>
        <v/>
      </c>
      <c r="E71" s="526" t="n"/>
      <c r="F71" s="378" t="n"/>
      <c r="G71" s="532" t="n"/>
      <c r="H71" s="533" t="n"/>
      <c r="I71" s="529">
        <f>IF(E71="","",E71+(E71*H71/100*G71))</f>
        <v/>
      </c>
      <c r="J71" s="534">
        <f>IFERROR(I71/G71,"")</f>
        <v/>
      </c>
      <c r="K71" s="535">
        <f>IF(B71="","Pending",IF(M71="","⚠️ Enter Code",IF(IFERROR(VLOOKUP(L71,DB_Agents!$B:$I,8,0),"")=M71,"Pending","🔒 BLOCKED — Wrong Code")))</f>
        <v/>
      </c>
      <c r="L71" s="380" t="inlineStr">
        <is>
          <t>Agent 04</t>
        </is>
      </c>
      <c r="M71" s="491" t="n"/>
      <c r="N71" s="494" t="n"/>
    </row>
    <row r="72" ht="15" customHeight="1" s="341">
      <c r="A72" s="499">
        <f>IF(B72="","",IF(C72="❌ Account Not Found","INVALID","LN"&amp;TEXT(D72,"YYYYMMDD")&amp;TEXT(ROW()-13,"0000")))</f>
        <v/>
      </c>
      <c r="B72" s="495" t="n"/>
      <c r="C72" s="382">
        <f>IF(B72="","",IFERROR(VLOOKUP(B72,DB_Customers!$A:$D,4,0),"❌ Account Not Found"))</f>
        <v/>
      </c>
      <c r="D72" s="497">
        <f>IF(B72="","",TODAY())</f>
        <v/>
      </c>
      <c r="E72" s="526" t="n"/>
      <c r="F72" s="382" t="n"/>
      <c r="G72" s="527" t="n"/>
      <c r="H72" s="528" t="n"/>
      <c r="I72" s="529">
        <f>IF(E72="","",E72+(E72*H72/100*G72))</f>
        <v/>
      </c>
      <c r="J72" s="530">
        <f>IFERROR(I72/G72,"")</f>
        <v/>
      </c>
      <c r="K72" s="531">
        <f>IF(B72="","Pending",IF(M72="","⚠️ Enter Code",IF(IFERROR(VLOOKUP(L72,DB_Agents!$B:$I,8,0),"")=M72,"Pending","🔒 BLOCKED — Wrong Code")))</f>
        <v/>
      </c>
      <c r="L72" s="384" t="inlineStr">
        <is>
          <t>Agent 04</t>
        </is>
      </c>
      <c r="M72" s="491" t="n"/>
      <c r="N72" s="501" t="n"/>
    </row>
    <row r="73" ht="15" customHeight="1" s="341">
      <c r="A73" s="492">
        <f>IF(B73="","",IF(C73="❌ Account Not Found","INVALID","LN"&amp;TEXT(D73,"YYYYMMDD")&amp;TEXT(ROW()-13,"0000")))</f>
        <v/>
      </c>
      <c r="B73" s="486" t="n"/>
      <c r="C73" s="378">
        <f>IF(B73="","",IFERROR(VLOOKUP(B73,DB_Customers!$A:$D,4,0),"❌ Account Not Found"))</f>
        <v/>
      </c>
      <c r="D73" s="488">
        <f>IF(B73="","",TODAY())</f>
        <v/>
      </c>
      <c r="E73" s="526" t="n"/>
      <c r="F73" s="378" t="n"/>
      <c r="G73" s="532" t="n"/>
      <c r="H73" s="533" t="n"/>
      <c r="I73" s="529">
        <f>IF(E73="","",E73+(E73*H73/100*G73))</f>
        <v/>
      </c>
      <c r="J73" s="534">
        <f>IFERROR(I73/G73,"")</f>
        <v/>
      </c>
      <c r="K73" s="535">
        <f>IF(B73="","Pending",IF(M73="","⚠️ Enter Code",IF(IFERROR(VLOOKUP(L73,DB_Agents!$B:$I,8,0),"")=M73,"Pending","🔒 BLOCKED — Wrong Code")))</f>
        <v/>
      </c>
      <c r="L73" s="380" t="inlineStr">
        <is>
          <t>Agent 04</t>
        </is>
      </c>
      <c r="M73" s="491" t="n"/>
      <c r="N73" s="494" t="n"/>
    </row>
    <row r="74" ht="15" customHeight="1" s="341">
      <c r="A74" s="499">
        <f>IF(B74="","",IF(C74="❌ Account Not Found","INVALID","LN"&amp;TEXT(D74,"YYYYMMDD")&amp;TEXT(ROW()-13,"0000")))</f>
        <v/>
      </c>
      <c r="B74" s="495" t="n"/>
      <c r="C74" s="382">
        <f>IF(B74="","",IFERROR(VLOOKUP(B74,DB_Customers!$A:$D,4,0),"❌ Account Not Found"))</f>
        <v/>
      </c>
      <c r="D74" s="497">
        <f>IF(B74="","",TODAY())</f>
        <v/>
      </c>
      <c r="E74" s="526" t="n"/>
      <c r="F74" s="382" t="n"/>
      <c r="G74" s="527" t="n"/>
      <c r="H74" s="528" t="n"/>
      <c r="I74" s="529">
        <f>IF(E74="","",E74+(E74*H74/100*G74))</f>
        <v/>
      </c>
      <c r="J74" s="530">
        <f>IFERROR(I74/G74,"")</f>
        <v/>
      </c>
      <c r="K74" s="531">
        <f>IF(B74="","Pending",IF(M74="","⚠️ Enter Code",IF(IFERROR(VLOOKUP(L74,DB_Agents!$B:$I,8,0),"")=M74,"Pending","🔒 BLOCKED — Wrong Code")))</f>
        <v/>
      </c>
      <c r="L74" s="384" t="inlineStr">
        <is>
          <t>Agent 04</t>
        </is>
      </c>
      <c r="M74" s="491" t="n"/>
      <c r="N74" s="501" t="n"/>
    </row>
    <row r="75" ht="15" customHeight="1" s="341">
      <c r="A75" s="492">
        <f>IF(B75="","",IF(C75="❌ Account Not Found","INVALID","LN"&amp;TEXT(D75,"YYYYMMDD")&amp;TEXT(ROW()-13,"0000")))</f>
        <v/>
      </c>
      <c r="B75" s="486" t="n"/>
      <c r="C75" s="378">
        <f>IF(B75="","",IFERROR(VLOOKUP(B75,DB_Customers!$A:$D,4,0),"❌ Account Not Found"))</f>
        <v/>
      </c>
      <c r="D75" s="488">
        <f>IF(B75="","",TODAY())</f>
        <v/>
      </c>
      <c r="E75" s="526" t="n"/>
      <c r="F75" s="378" t="n"/>
      <c r="G75" s="532" t="n"/>
      <c r="H75" s="533" t="n"/>
      <c r="I75" s="529">
        <f>IF(E75="","",E75+(E75*H75/100*G75))</f>
        <v/>
      </c>
      <c r="J75" s="534">
        <f>IFERROR(I75/G75,"")</f>
        <v/>
      </c>
      <c r="K75" s="535">
        <f>IF(B75="","Pending",IF(M75="","⚠️ Enter Code",IF(IFERROR(VLOOKUP(L75,DB_Agents!$B:$I,8,0),"")=M75,"Pending","🔒 BLOCKED — Wrong Code")))</f>
        <v/>
      </c>
      <c r="L75" s="380" t="inlineStr">
        <is>
          <t>Agent 04</t>
        </is>
      </c>
      <c r="M75" s="491" t="n"/>
      <c r="N75" s="494" t="n"/>
    </row>
    <row r="76" ht="15" customHeight="1" s="341">
      <c r="A76" s="499">
        <f>IF(B76="","",IF(C76="❌ Account Not Found","INVALID","LN"&amp;TEXT(D76,"YYYYMMDD")&amp;TEXT(ROW()-13,"0000")))</f>
        <v/>
      </c>
      <c r="B76" s="495" t="n"/>
      <c r="C76" s="382">
        <f>IF(B76="","",IFERROR(VLOOKUP(B76,DB_Customers!$A:$D,4,0),"❌ Account Not Found"))</f>
        <v/>
      </c>
      <c r="D76" s="497">
        <f>IF(B76="","",TODAY())</f>
        <v/>
      </c>
      <c r="E76" s="526" t="n"/>
      <c r="F76" s="382" t="n"/>
      <c r="G76" s="527" t="n"/>
      <c r="H76" s="528" t="n"/>
      <c r="I76" s="529">
        <f>IF(E76="","",E76+(E76*H76/100*G76))</f>
        <v/>
      </c>
      <c r="J76" s="530">
        <f>IFERROR(I76/G76,"")</f>
        <v/>
      </c>
      <c r="K76" s="531">
        <f>IF(B76="","Pending",IF(M76="","⚠️ Enter Code",IF(IFERROR(VLOOKUP(L76,DB_Agents!$B:$I,8,0),"")=M76,"Pending","🔒 BLOCKED — Wrong Code")))</f>
        <v/>
      </c>
      <c r="L76" s="384" t="inlineStr">
        <is>
          <t>Agent 04</t>
        </is>
      </c>
      <c r="M76" s="491" t="n"/>
      <c r="N76" s="501" t="n"/>
    </row>
    <row r="77" ht="15" customHeight="1" s="341">
      <c r="A77" s="492">
        <f>IF(B77="","",IF(C77="❌ Account Not Found","INVALID","LN"&amp;TEXT(D77,"YYYYMMDD")&amp;TEXT(ROW()-13,"0000")))</f>
        <v/>
      </c>
      <c r="B77" s="486" t="n"/>
      <c r="C77" s="378">
        <f>IF(B77="","",IFERROR(VLOOKUP(B77,DB_Customers!$A:$D,4,0),"❌ Account Not Found"))</f>
        <v/>
      </c>
      <c r="D77" s="488">
        <f>IF(B77="","",TODAY())</f>
        <v/>
      </c>
      <c r="E77" s="526" t="n"/>
      <c r="F77" s="378" t="n"/>
      <c r="G77" s="532" t="n"/>
      <c r="H77" s="533" t="n"/>
      <c r="I77" s="529">
        <f>IF(E77="","",E77+(E77*H77/100*G77))</f>
        <v/>
      </c>
      <c r="J77" s="534">
        <f>IFERROR(I77/G77,"")</f>
        <v/>
      </c>
      <c r="K77" s="535">
        <f>IF(B77="","Pending",IF(M77="","⚠️ Enter Code",IF(IFERROR(VLOOKUP(L77,DB_Agents!$B:$I,8,0),"")=M77,"Pending","🔒 BLOCKED — Wrong Code")))</f>
        <v/>
      </c>
      <c r="L77" s="380" t="inlineStr">
        <is>
          <t>Agent 04</t>
        </is>
      </c>
      <c r="M77" s="491" t="n"/>
      <c r="N77" s="494" t="n"/>
    </row>
    <row r="78" ht="15" customHeight="1" s="341">
      <c r="A78" s="499">
        <f>IF(B78="","",IF(C78="❌ Account Not Found","INVALID","LN"&amp;TEXT(D78,"YYYYMMDD")&amp;TEXT(ROW()-13,"0000")))</f>
        <v/>
      </c>
      <c r="B78" s="495" t="n"/>
      <c r="C78" s="382">
        <f>IF(B78="","",IFERROR(VLOOKUP(B78,DB_Customers!$A:$D,4,0),"❌ Account Not Found"))</f>
        <v/>
      </c>
      <c r="D78" s="497">
        <f>IF(B78="","",TODAY())</f>
        <v/>
      </c>
      <c r="E78" s="526" t="n"/>
      <c r="F78" s="382" t="n"/>
      <c r="G78" s="527" t="n"/>
      <c r="H78" s="528" t="n"/>
      <c r="I78" s="529">
        <f>IF(E78="","",E78+(E78*H78/100*G78))</f>
        <v/>
      </c>
      <c r="J78" s="530">
        <f>IFERROR(I78/G78,"")</f>
        <v/>
      </c>
      <c r="K78" s="531">
        <f>IF(B78="","Pending",IF(M78="","⚠️ Enter Code",IF(IFERROR(VLOOKUP(L78,DB_Agents!$B:$I,8,0),"")=M78,"Pending","🔒 BLOCKED — Wrong Code")))</f>
        <v/>
      </c>
      <c r="L78" s="384" t="inlineStr">
        <is>
          <t>Agent 04</t>
        </is>
      </c>
      <c r="M78" s="491" t="n"/>
      <c r="N78" s="501" t="n"/>
    </row>
    <row r="79" ht="15" customHeight="1" s="341">
      <c r="A79" s="492">
        <f>IF(B79="","",IF(C79="❌ Account Not Found","INVALID","LN"&amp;TEXT(D79,"YYYYMMDD")&amp;TEXT(ROW()-13,"0000")))</f>
        <v/>
      </c>
      <c r="B79" s="486" t="n"/>
      <c r="C79" s="378">
        <f>IF(B79="","",IFERROR(VLOOKUP(B79,DB_Customers!$A:$D,4,0),"❌ Account Not Found"))</f>
        <v/>
      </c>
      <c r="D79" s="488">
        <f>IF(B79="","",TODAY())</f>
        <v/>
      </c>
      <c r="E79" s="526" t="n"/>
      <c r="F79" s="378" t="n"/>
      <c r="G79" s="532" t="n"/>
      <c r="H79" s="533" t="n"/>
      <c r="I79" s="529">
        <f>IF(E79="","",E79+(E79*H79/100*G79))</f>
        <v/>
      </c>
      <c r="J79" s="534">
        <f>IFERROR(I79/G79,"")</f>
        <v/>
      </c>
      <c r="K79" s="535">
        <f>IF(B79="","Pending",IF(M79="","⚠️ Enter Code",IF(IFERROR(VLOOKUP(L79,DB_Agents!$B:$I,8,0),"")=M79,"Pending","🔒 BLOCKED — Wrong Code")))</f>
        <v/>
      </c>
      <c r="L79" s="380" t="inlineStr">
        <is>
          <t>Agent 04</t>
        </is>
      </c>
      <c r="M79" s="491" t="n"/>
      <c r="N79" s="494" t="n"/>
    </row>
    <row r="80" ht="15" customHeight="1" s="341">
      <c r="A80" s="499">
        <f>IF(B80="","",IF(C80="❌ Account Not Found","INVALID","LN"&amp;TEXT(D80,"YYYYMMDD")&amp;TEXT(ROW()-13,"0000")))</f>
        <v/>
      </c>
      <c r="B80" s="495" t="n"/>
      <c r="C80" s="382">
        <f>IF(B80="","",IFERROR(VLOOKUP(B80,DB_Customers!$A:$D,4,0),"❌ Account Not Found"))</f>
        <v/>
      </c>
      <c r="D80" s="497">
        <f>IF(B80="","",TODAY())</f>
        <v/>
      </c>
      <c r="E80" s="526" t="n"/>
      <c r="F80" s="382" t="n"/>
      <c r="G80" s="527" t="n"/>
      <c r="H80" s="528" t="n"/>
      <c r="I80" s="529">
        <f>IF(E80="","",E80+(E80*H80/100*G80))</f>
        <v/>
      </c>
      <c r="J80" s="530">
        <f>IFERROR(I80/G80,"")</f>
        <v/>
      </c>
      <c r="K80" s="531">
        <f>IF(B80="","Pending",IF(M80="","⚠️ Enter Code",IF(IFERROR(VLOOKUP(L80,DB_Agents!$B:$I,8,0),"")=M80,"Pending","🔒 BLOCKED — Wrong Code")))</f>
        <v/>
      </c>
      <c r="L80" s="384" t="inlineStr">
        <is>
          <t>Agent 04</t>
        </is>
      </c>
      <c r="M80" s="491" t="n"/>
      <c r="N80" s="501" t="n"/>
    </row>
    <row r="81" ht="15" customHeight="1" s="341">
      <c r="A81" s="492">
        <f>IF(B81="","",IF(C81="❌ Account Not Found","INVALID","LN"&amp;TEXT(D81,"YYYYMMDD")&amp;TEXT(ROW()-13,"0000")))</f>
        <v/>
      </c>
      <c r="B81" s="486" t="n"/>
      <c r="C81" s="378">
        <f>IF(B81="","",IFERROR(VLOOKUP(B81,DB_Customers!$A:$D,4,0),"❌ Account Not Found"))</f>
        <v/>
      </c>
      <c r="D81" s="488">
        <f>IF(B81="","",TODAY())</f>
        <v/>
      </c>
      <c r="E81" s="526" t="n"/>
      <c r="F81" s="378" t="n"/>
      <c r="G81" s="532" t="n"/>
      <c r="H81" s="533" t="n"/>
      <c r="I81" s="529">
        <f>IF(E81="","",E81+(E81*H81/100*G81))</f>
        <v/>
      </c>
      <c r="J81" s="534">
        <f>IFERROR(I81/G81,"")</f>
        <v/>
      </c>
      <c r="K81" s="535">
        <f>IF(B81="","Pending",IF(M81="","⚠️ Enter Code",IF(IFERROR(VLOOKUP(L81,DB_Agents!$B:$I,8,0),"")=M81,"Pending","🔒 BLOCKED — Wrong Code")))</f>
        <v/>
      </c>
      <c r="L81" s="380" t="inlineStr">
        <is>
          <t>Agent 04</t>
        </is>
      </c>
      <c r="M81" s="491" t="n"/>
      <c r="N81" s="494" t="n"/>
    </row>
    <row r="82" ht="15" customHeight="1" s="341">
      <c r="A82" s="499">
        <f>IF(B82="","",IF(C82="❌ Account Not Found","INVALID","LN"&amp;TEXT(D82,"YYYYMMDD")&amp;TEXT(ROW()-13,"0000")))</f>
        <v/>
      </c>
      <c r="B82" s="495" t="n"/>
      <c r="C82" s="382">
        <f>IF(B82="","",IFERROR(VLOOKUP(B82,DB_Customers!$A:$D,4,0),"❌ Account Not Found"))</f>
        <v/>
      </c>
      <c r="D82" s="497">
        <f>IF(B82="","",TODAY())</f>
        <v/>
      </c>
      <c r="E82" s="526" t="n"/>
      <c r="F82" s="382" t="n"/>
      <c r="G82" s="527" t="n"/>
      <c r="H82" s="528" t="n"/>
      <c r="I82" s="529">
        <f>IF(E82="","",E82+(E82*H82/100*G82))</f>
        <v/>
      </c>
      <c r="J82" s="530">
        <f>IFERROR(I82/G82,"")</f>
        <v/>
      </c>
      <c r="K82" s="531">
        <f>IF(B82="","Pending",IF(M82="","⚠️ Enter Code",IF(IFERROR(VLOOKUP(L82,DB_Agents!$B:$I,8,0),"")=M82,"Pending","🔒 BLOCKED — Wrong Code")))</f>
        <v/>
      </c>
      <c r="L82" s="384" t="inlineStr">
        <is>
          <t>Agent 04</t>
        </is>
      </c>
      <c r="M82" s="491" t="n"/>
      <c r="N82" s="501" t="n"/>
    </row>
    <row r="83" ht="15" customHeight="1" s="341">
      <c r="A83" s="492">
        <f>IF(B83="","",IF(C83="❌ Account Not Found","INVALID","LN"&amp;TEXT(D83,"YYYYMMDD")&amp;TEXT(ROW()-13,"0000")))</f>
        <v/>
      </c>
      <c r="B83" s="486" t="n"/>
      <c r="C83" s="378">
        <f>IF(B83="","",IFERROR(VLOOKUP(B83,DB_Customers!$A:$D,4,0),"❌ Account Not Found"))</f>
        <v/>
      </c>
      <c r="D83" s="488">
        <f>IF(B83="","",TODAY())</f>
        <v/>
      </c>
      <c r="E83" s="526" t="n"/>
      <c r="F83" s="378" t="n"/>
      <c r="G83" s="532" t="n"/>
      <c r="H83" s="533" t="n"/>
      <c r="I83" s="529">
        <f>IF(E83="","",E83+(E83*H83/100*G83))</f>
        <v/>
      </c>
      <c r="J83" s="534">
        <f>IFERROR(I83/G83,"")</f>
        <v/>
      </c>
      <c r="K83" s="535">
        <f>IF(B83="","Pending",IF(M83="","⚠️ Enter Code",IF(IFERROR(VLOOKUP(L83,DB_Agents!$B:$I,8,0),"")=M83,"Pending","🔒 BLOCKED — Wrong Code")))</f>
        <v/>
      </c>
      <c r="L83" s="380" t="inlineStr">
        <is>
          <t>Agent 04</t>
        </is>
      </c>
      <c r="M83" s="491" t="n"/>
      <c r="N83" s="494" t="n"/>
    </row>
    <row r="84" ht="15" customHeight="1" s="341">
      <c r="A84" s="499">
        <f>IF(B84="","",IF(C84="❌ Account Not Found","INVALID","LN"&amp;TEXT(D84,"YYYYMMDD")&amp;TEXT(ROW()-13,"0000")))</f>
        <v/>
      </c>
      <c r="B84" s="495" t="n"/>
      <c r="C84" s="382">
        <f>IF(B84="","",IFERROR(VLOOKUP(B84,DB_Customers!$A:$D,4,0),"❌ Account Not Found"))</f>
        <v/>
      </c>
      <c r="D84" s="497">
        <f>IF(B84="","",TODAY())</f>
        <v/>
      </c>
      <c r="E84" s="526" t="n"/>
      <c r="F84" s="382" t="n"/>
      <c r="G84" s="527" t="n"/>
      <c r="H84" s="528" t="n"/>
      <c r="I84" s="529">
        <f>IF(E84="","",E84+(E84*H84/100*G84))</f>
        <v/>
      </c>
      <c r="J84" s="530">
        <f>IFERROR(I84/G84,"")</f>
        <v/>
      </c>
      <c r="K84" s="531">
        <f>IF(B84="","Pending",IF(M84="","⚠️ Enter Code",IF(IFERROR(VLOOKUP(L84,DB_Agents!$B:$I,8,0),"")=M84,"Pending","🔒 BLOCKED — Wrong Code")))</f>
        <v/>
      </c>
      <c r="L84" s="384" t="inlineStr">
        <is>
          <t>Agent 04</t>
        </is>
      </c>
      <c r="M84" s="491" t="n"/>
      <c r="N84" s="501" t="n"/>
    </row>
    <row r="85" ht="15" customHeight="1" s="341">
      <c r="A85" s="492">
        <f>IF(B85="","",IF(C85="❌ Account Not Found","INVALID","LN"&amp;TEXT(D85,"YYYYMMDD")&amp;TEXT(ROW()-13,"0000")))</f>
        <v/>
      </c>
      <c r="B85" s="486" t="n"/>
      <c r="C85" s="378">
        <f>IF(B85="","",IFERROR(VLOOKUP(B85,DB_Customers!$A:$D,4,0),"❌ Account Not Found"))</f>
        <v/>
      </c>
      <c r="D85" s="488">
        <f>IF(B85="","",TODAY())</f>
        <v/>
      </c>
      <c r="E85" s="526" t="n"/>
      <c r="F85" s="378" t="n"/>
      <c r="G85" s="532" t="n"/>
      <c r="H85" s="533" t="n"/>
      <c r="I85" s="529">
        <f>IF(E85="","",E85+(E85*H85/100*G85))</f>
        <v/>
      </c>
      <c r="J85" s="534">
        <f>IFERROR(I85/G85,"")</f>
        <v/>
      </c>
      <c r="K85" s="535">
        <f>IF(B85="","Pending",IF(M85="","⚠️ Enter Code",IF(IFERROR(VLOOKUP(L85,DB_Agents!$B:$I,8,0),"")=M85,"Pending","🔒 BLOCKED — Wrong Code")))</f>
        <v/>
      </c>
      <c r="L85" s="380" t="inlineStr">
        <is>
          <t>Agent 04</t>
        </is>
      </c>
      <c r="M85" s="491" t="n"/>
      <c r="N85" s="494" t="n"/>
    </row>
    <row r="86" ht="15" customHeight="1" s="341">
      <c r="A86" s="499">
        <f>IF(B86="","",IF(C86="❌ Account Not Found","INVALID","LN"&amp;TEXT(D86,"YYYYMMDD")&amp;TEXT(ROW()-13,"0000")))</f>
        <v/>
      </c>
      <c r="B86" s="495" t="n"/>
      <c r="C86" s="382">
        <f>IF(B86="","",IFERROR(VLOOKUP(B86,DB_Customers!$A:$D,4,0),"❌ Account Not Found"))</f>
        <v/>
      </c>
      <c r="D86" s="497">
        <f>IF(B86="","",TODAY())</f>
        <v/>
      </c>
      <c r="E86" s="526" t="n"/>
      <c r="F86" s="382" t="n"/>
      <c r="G86" s="527" t="n"/>
      <c r="H86" s="528" t="n"/>
      <c r="I86" s="529">
        <f>IF(E86="","",E86+(E86*H86/100*G86))</f>
        <v/>
      </c>
      <c r="J86" s="530">
        <f>IFERROR(I86/G86,"")</f>
        <v/>
      </c>
      <c r="K86" s="531">
        <f>IF(B86="","Pending",IF(M86="","⚠️ Enter Code",IF(IFERROR(VLOOKUP(L86,DB_Agents!$B:$I,8,0),"")=M86,"Pending","🔒 BLOCKED — Wrong Code")))</f>
        <v/>
      </c>
      <c r="L86" s="384" t="inlineStr">
        <is>
          <t>Agent 04</t>
        </is>
      </c>
      <c r="M86" s="491" t="n"/>
      <c r="N86" s="501" t="n"/>
    </row>
    <row r="87" ht="15" customHeight="1" s="341">
      <c r="A87" s="492">
        <f>IF(B87="","",IF(C87="❌ Account Not Found","INVALID","LN"&amp;TEXT(D87,"YYYYMMDD")&amp;TEXT(ROW()-13,"0000")))</f>
        <v/>
      </c>
      <c r="B87" s="486" t="n"/>
      <c r="C87" s="378">
        <f>IF(B87="","",IFERROR(VLOOKUP(B87,DB_Customers!$A:$D,4,0),"❌ Account Not Found"))</f>
        <v/>
      </c>
      <c r="D87" s="488">
        <f>IF(B87="","",TODAY())</f>
        <v/>
      </c>
      <c r="E87" s="526" t="n"/>
      <c r="F87" s="378" t="n"/>
      <c r="G87" s="532" t="n"/>
      <c r="H87" s="533" t="n"/>
      <c r="I87" s="529">
        <f>IF(E87="","",E87+(E87*H87/100*G87))</f>
        <v/>
      </c>
      <c r="J87" s="534">
        <f>IFERROR(I87/G87,"")</f>
        <v/>
      </c>
      <c r="K87" s="535">
        <f>IF(B87="","Pending",IF(M87="","⚠️ Enter Code",IF(IFERROR(VLOOKUP(L87,DB_Agents!$B:$I,8,0),"")=M87,"Pending","🔒 BLOCKED — Wrong Code")))</f>
        <v/>
      </c>
      <c r="L87" s="380" t="inlineStr">
        <is>
          <t>Agent 04</t>
        </is>
      </c>
      <c r="M87" s="491" t="n"/>
      <c r="N87" s="494" t="n"/>
    </row>
    <row r="88" ht="15" customHeight="1" s="341">
      <c r="A88" s="499">
        <f>IF(B88="","",IF(C88="❌ Account Not Found","INVALID","LN"&amp;TEXT(D88,"YYYYMMDD")&amp;TEXT(ROW()-13,"0000")))</f>
        <v/>
      </c>
      <c r="B88" s="495" t="n"/>
      <c r="C88" s="382">
        <f>IF(B88="","",IFERROR(VLOOKUP(B88,DB_Customers!$A:$D,4,0),"❌ Account Not Found"))</f>
        <v/>
      </c>
      <c r="D88" s="497">
        <f>IF(B88="","",TODAY())</f>
        <v/>
      </c>
      <c r="E88" s="526" t="n"/>
      <c r="F88" s="382" t="n"/>
      <c r="G88" s="527" t="n"/>
      <c r="H88" s="528" t="n"/>
      <c r="I88" s="529">
        <f>IF(E88="","",E88+(E88*H88/100*G88))</f>
        <v/>
      </c>
      <c r="J88" s="530">
        <f>IFERROR(I88/G88,"")</f>
        <v/>
      </c>
      <c r="K88" s="531">
        <f>IF(B88="","Pending",IF(M88="","⚠️ Enter Code",IF(IFERROR(VLOOKUP(L88,DB_Agents!$B:$I,8,0),"")=M88,"Pending","🔒 BLOCKED — Wrong Code")))</f>
        <v/>
      </c>
      <c r="L88" s="384" t="inlineStr">
        <is>
          <t>Agent 04</t>
        </is>
      </c>
      <c r="M88" s="491" t="n"/>
      <c r="N88" s="501" t="n"/>
    </row>
    <row r="89" ht="15" customHeight="1" s="341">
      <c r="A89" s="492">
        <f>IF(B89="","",IF(C89="❌ Account Not Found","INVALID","LN"&amp;TEXT(D89,"YYYYMMDD")&amp;TEXT(ROW()-13,"0000")))</f>
        <v/>
      </c>
      <c r="B89" s="486" t="n"/>
      <c r="C89" s="378">
        <f>IF(B89="","",IFERROR(VLOOKUP(B89,DB_Customers!$A:$D,4,0),"❌ Account Not Found"))</f>
        <v/>
      </c>
      <c r="D89" s="488">
        <f>IF(B89="","",TODAY())</f>
        <v/>
      </c>
      <c r="E89" s="526" t="n"/>
      <c r="F89" s="378" t="n"/>
      <c r="G89" s="532" t="n"/>
      <c r="H89" s="533" t="n"/>
      <c r="I89" s="529">
        <f>IF(E89="","",E89+(E89*H89/100*G89))</f>
        <v/>
      </c>
      <c r="J89" s="534">
        <f>IFERROR(I89/G89,"")</f>
        <v/>
      </c>
      <c r="K89" s="535">
        <f>IF(B89="","Pending",IF(M89="","⚠️ Enter Code",IF(IFERROR(VLOOKUP(L89,DB_Agents!$B:$I,8,0),"")=M89,"Pending","🔒 BLOCKED — Wrong Code")))</f>
        <v/>
      </c>
      <c r="L89" s="380" t="inlineStr">
        <is>
          <t>Agent 04</t>
        </is>
      </c>
      <c r="M89" s="491" t="n"/>
      <c r="N89" s="494" t="n"/>
    </row>
    <row r="90" ht="15" customHeight="1" s="341">
      <c r="A90" s="499">
        <f>IF(B90="","",IF(C90="❌ Account Not Found","INVALID","LN"&amp;TEXT(D90,"YYYYMMDD")&amp;TEXT(ROW()-13,"0000")))</f>
        <v/>
      </c>
      <c r="B90" s="495" t="n"/>
      <c r="C90" s="382">
        <f>IF(B90="","",IFERROR(VLOOKUP(B90,DB_Customers!$A:$D,4,0),"❌ Account Not Found"))</f>
        <v/>
      </c>
      <c r="D90" s="497">
        <f>IF(B90="","",TODAY())</f>
        <v/>
      </c>
      <c r="E90" s="526" t="n"/>
      <c r="F90" s="382" t="n"/>
      <c r="G90" s="527" t="n"/>
      <c r="H90" s="528" t="n"/>
      <c r="I90" s="529">
        <f>IF(E90="","",E90+(E90*H90/100*G90))</f>
        <v/>
      </c>
      <c r="J90" s="530">
        <f>IFERROR(I90/G90,"")</f>
        <v/>
      </c>
      <c r="K90" s="531">
        <f>IF(B90="","Pending",IF(M90="","⚠️ Enter Code",IF(IFERROR(VLOOKUP(L90,DB_Agents!$B:$I,8,0),"")=M90,"Pending","🔒 BLOCKED — Wrong Code")))</f>
        <v/>
      </c>
      <c r="L90" s="384" t="inlineStr">
        <is>
          <t>Agent 04</t>
        </is>
      </c>
      <c r="M90" s="491" t="n"/>
      <c r="N90" s="501" t="n"/>
    </row>
    <row r="91" ht="15" customHeight="1" s="341">
      <c r="A91" s="492">
        <f>IF(B91="","",IF(C91="❌ Account Not Found","INVALID","LN"&amp;TEXT(D91,"YYYYMMDD")&amp;TEXT(ROW()-13,"0000")))</f>
        <v/>
      </c>
      <c r="B91" s="486" t="n"/>
      <c r="C91" s="378">
        <f>IF(B91="","",IFERROR(VLOOKUP(B91,DB_Customers!$A:$D,4,0),"❌ Account Not Found"))</f>
        <v/>
      </c>
      <c r="D91" s="488">
        <f>IF(B91="","",TODAY())</f>
        <v/>
      </c>
      <c r="E91" s="526" t="n"/>
      <c r="F91" s="378" t="n"/>
      <c r="G91" s="532" t="n"/>
      <c r="H91" s="533" t="n"/>
      <c r="I91" s="529">
        <f>IF(E91="","",E91+(E91*H91/100*G91))</f>
        <v/>
      </c>
      <c r="J91" s="534">
        <f>IFERROR(I91/G91,"")</f>
        <v/>
      </c>
      <c r="K91" s="535">
        <f>IF(B91="","Pending",IF(M91="","⚠️ Enter Code",IF(IFERROR(VLOOKUP(L91,DB_Agents!$B:$I,8,0),"")=M91,"Pending","🔒 BLOCKED — Wrong Code")))</f>
        <v/>
      </c>
      <c r="L91" s="380" t="inlineStr">
        <is>
          <t>Agent 04</t>
        </is>
      </c>
      <c r="M91" s="491" t="n"/>
      <c r="N91" s="494" t="n"/>
    </row>
    <row r="92" ht="15" customHeight="1" s="341">
      <c r="A92" s="499">
        <f>IF(B92="","",IF(C92="❌ Account Not Found","INVALID","LN"&amp;TEXT(D92,"YYYYMMDD")&amp;TEXT(ROW()-13,"0000")))</f>
        <v/>
      </c>
      <c r="B92" s="495" t="n"/>
      <c r="C92" s="382">
        <f>IF(B92="","",IFERROR(VLOOKUP(B92,DB_Customers!$A:$D,4,0),"❌ Account Not Found"))</f>
        <v/>
      </c>
      <c r="D92" s="497">
        <f>IF(B92="","",TODAY())</f>
        <v/>
      </c>
      <c r="E92" s="526" t="n"/>
      <c r="F92" s="382" t="n"/>
      <c r="G92" s="527" t="n"/>
      <c r="H92" s="528" t="n"/>
      <c r="I92" s="529">
        <f>IF(E92="","",E92+(E92*H92/100*G92))</f>
        <v/>
      </c>
      <c r="J92" s="530">
        <f>IFERROR(I92/G92,"")</f>
        <v/>
      </c>
      <c r="K92" s="531">
        <f>IF(B92="","Pending",IF(M92="","⚠️ Enter Code",IF(IFERROR(VLOOKUP(L92,DB_Agents!$B:$I,8,0),"")=M92,"Pending","🔒 BLOCKED — Wrong Code")))</f>
        <v/>
      </c>
      <c r="L92" s="384" t="inlineStr">
        <is>
          <t>Agent 04</t>
        </is>
      </c>
      <c r="M92" s="491" t="n"/>
      <c r="N92" s="501" t="n"/>
    </row>
    <row r="93" ht="15" customHeight="1" s="341">
      <c r="A93" s="492">
        <f>IF(B93="","",IF(C93="❌ Account Not Found","INVALID","LN"&amp;TEXT(D93,"YYYYMMDD")&amp;TEXT(ROW()-13,"0000")))</f>
        <v/>
      </c>
      <c r="B93" s="486" t="n"/>
      <c r="C93" s="378">
        <f>IF(B93="","",IFERROR(VLOOKUP(B93,DB_Customers!$A:$D,4,0),"❌ Account Not Found"))</f>
        <v/>
      </c>
      <c r="D93" s="488">
        <f>IF(B93="","",TODAY())</f>
        <v/>
      </c>
      <c r="E93" s="526" t="n"/>
      <c r="F93" s="378" t="n"/>
      <c r="G93" s="532" t="n"/>
      <c r="H93" s="533" t="n"/>
      <c r="I93" s="529">
        <f>IF(E93="","",E93+(E93*H93/100*G93))</f>
        <v/>
      </c>
      <c r="J93" s="534">
        <f>IFERROR(I93/G93,"")</f>
        <v/>
      </c>
      <c r="K93" s="535">
        <f>IF(B93="","Pending",IF(M93="","⚠️ Enter Code",IF(IFERROR(VLOOKUP(L93,DB_Agents!$B:$I,8,0),"")=M93,"Pending","🔒 BLOCKED — Wrong Code")))</f>
        <v/>
      </c>
      <c r="L93" s="380" t="inlineStr">
        <is>
          <t>Agent 04</t>
        </is>
      </c>
      <c r="M93" s="491" t="n"/>
      <c r="N93" s="494" t="n"/>
    </row>
    <row r="94" ht="15" customHeight="1" s="341">
      <c r="A94" s="499">
        <f>IF(B94="","",IF(C94="❌ Account Not Found","INVALID","LN"&amp;TEXT(D94,"YYYYMMDD")&amp;TEXT(ROW()-13,"0000")))</f>
        <v/>
      </c>
      <c r="B94" s="495" t="n"/>
      <c r="C94" s="382">
        <f>IF(B94="","",IFERROR(VLOOKUP(B94,DB_Customers!$A:$D,4,0),"❌ Account Not Found"))</f>
        <v/>
      </c>
      <c r="D94" s="497">
        <f>IF(B94="","",TODAY())</f>
        <v/>
      </c>
      <c r="E94" s="526" t="n"/>
      <c r="F94" s="382" t="n"/>
      <c r="G94" s="527" t="n"/>
      <c r="H94" s="528" t="n"/>
      <c r="I94" s="529">
        <f>IF(E94="","",E94+(E94*H94/100*G94))</f>
        <v/>
      </c>
      <c r="J94" s="530">
        <f>IFERROR(I94/G94,"")</f>
        <v/>
      </c>
      <c r="K94" s="531">
        <f>IF(B94="","Pending",IF(M94="","⚠️ Enter Code",IF(IFERROR(VLOOKUP(L94,DB_Agents!$B:$I,8,0),"")=M94,"Pending","🔒 BLOCKED — Wrong Code")))</f>
        <v/>
      </c>
      <c r="L94" s="384" t="inlineStr">
        <is>
          <t>Agent 04</t>
        </is>
      </c>
      <c r="M94" s="491" t="n"/>
      <c r="N94" s="501" t="n"/>
    </row>
    <row r="95" ht="15" customHeight="1" s="341">
      <c r="A95" s="492">
        <f>IF(B95="","",IF(C95="❌ Account Not Found","INVALID","LN"&amp;TEXT(D95,"YYYYMMDD")&amp;TEXT(ROW()-13,"0000")))</f>
        <v/>
      </c>
      <c r="B95" s="486" t="n"/>
      <c r="C95" s="378">
        <f>IF(B95="","",IFERROR(VLOOKUP(B95,DB_Customers!$A:$D,4,0),"❌ Account Not Found"))</f>
        <v/>
      </c>
      <c r="D95" s="488">
        <f>IF(B95="","",TODAY())</f>
        <v/>
      </c>
      <c r="E95" s="526" t="n"/>
      <c r="F95" s="378" t="n"/>
      <c r="G95" s="532" t="n"/>
      <c r="H95" s="533" t="n"/>
      <c r="I95" s="529">
        <f>IF(E95="","",E95+(E95*H95/100*G95))</f>
        <v/>
      </c>
      <c r="J95" s="534">
        <f>IFERROR(I95/G95,"")</f>
        <v/>
      </c>
      <c r="K95" s="535">
        <f>IF(B95="","Pending",IF(M95="","⚠️ Enter Code",IF(IFERROR(VLOOKUP(L95,DB_Agents!$B:$I,8,0),"")=M95,"Pending","🔒 BLOCKED — Wrong Code")))</f>
        <v/>
      </c>
      <c r="L95" s="380" t="inlineStr">
        <is>
          <t>Agent 04</t>
        </is>
      </c>
      <c r="M95" s="491" t="n"/>
      <c r="N95" s="494" t="n"/>
    </row>
    <row r="96" ht="15" customHeight="1" s="341">
      <c r="A96" s="499">
        <f>IF(B96="","",IF(C96="❌ Account Not Found","INVALID","LN"&amp;TEXT(D96,"YYYYMMDD")&amp;TEXT(ROW()-13,"0000")))</f>
        <v/>
      </c>
      <c r="B96" s="495" t="n"/>
      <c r="C96" s="382">
        <f>IF(B96="","",IFERROR(VLOOKUP(B96,DB_Customers!$A:$D,4,0),"❌ Account Not Found"))</f>
        <v/>
      </c>
      <c r="D96" s="497">
        <f>IF(B96="","",TODAY())</f>
        <v/>
      </c>
      <c r="E96" s="526" t="n"/>
      <c r="F96" s="382" t="n"/>
      <c r="G96" s="527" t="n"/>
      <c r="H96" s="528" t="n"/>
      <c r="I96" s="529">
        <f>IF(E96="","",E96+(E96*H96/100*G96))</f>
        <v/>
      </c>
      <c r="J96" s="530">
        <f>IFERROR(I96/G96,"")</f>
        <v/>
      </c>
      <c r="K96" s="531">
        <f>IF(B96="","Pending",IF(M96="","⚠️ Enter Code",IF(IFERROR(VLOOKUP(L96,DB_Agents!$B:$I,8,0),"")=M96,"Pending","🔒 BLOCKED — Wrong Code")))</f>
        <v/>
      </c>
      <c r="L96" s="384" t="inlineStr">
        <is>
          <t>Agent 04</t>
        </is>
      </c>
      <c r="M96" s="491" t="n"/>
      <c r="N96" s="501" t="n"/>
    </row>
    <row r="97" ht="15" customHeight="1" s="341">
      <c r="A97" s="492">
        <f>IF(B97="","",IF(C97="❌ Account Not Found","INVALID","LN"&amp;TEXT(D97,"YYYYMMDD")&amp;TEXT(ROW()-13,"0000")))</f>
        <v/>
      </c>
      <c r="B97" s="486" t="n"/>
      <c r="C97" s="378">
        <f>IF(B97="","",IFERROR(VLOOKUP(B97,DB_Customers!$A:$D,4,0),"❌ Account Not Found"))</f>
        <v/>
      </c>
      <c r="D97" s="488">
        <f>IF(B97="","",TODAY())</f>
        <v/>
      </c>
      <c r="E97" s="526" t="n"/>
      <c r="F97" s="378" t="n"/>
      <c r="G97" s="532" t="n"/>
      <c r="H97" s="533" t="n"/>
      <c r="I97" s="529">
        <f>IF(E97="","",E97+(E97*H97/100*G97))</f>
        <v/>
      </c>
      <c r="J97" s="534">
        <f>IFERROR(I97/G97,"")</f>
        <v/>
      </c>
      <c r="K97" s="535">
        <f>IF(B97="","Pending",IF(M97="","⚠️ Enter Code",IF(IFERROR(VLOOKUP(L97,DB_Agents!$B:$I,8,0),"")=M97,"Pending","🔒 BLOCKED — Wrong Code")))</f>
        <v/>
      </c>
      <c r="L97" s="380" t="inlineStr">
        <is>
          <t>Agent 04</t>
        </is>
      </c>
      <c r="M97" s="491" t="n"/>
      <c r="N97" s="494" t="n"/>
    </row>
    <row r="98" ht="15" customHeight="1" s="341">
      <c r="A98" s="499">
        <f>IF(B98="","",IF(C98="❌ Account Not Found","INVALID","LN"&amp;TEXT(D98,"YYYYMMDD")&amp;TEXT(ROW()-13,"0000")))</f>
        <v/>
      </c>
      <c r="B98" s="495" t="n"/>
      <c r="C98" s="382">
        <f>IF(B98="","",IFERROR(VLOOKUP(B98,DB_Customers!$A:$D,4,0),"❌ Account Not Found"))</f>
        <v/>
      </c>
      <c r="D98" s="497">
        <f>IF(B98="","",TODAY())</f>
        <v/>
      </c>
      <c r="E98" s="526" t="n"/>
      <c r="F98" s="382" t="n"/>
      <c r="G98" s="527" t="n"/>
      <c r="H98" s="528" t="n"/>
      <c r="I98" s="529">
        <f>IF(E98="","",E98+(E98*H98/100*G98))</f>
        <v/>
      </c>
      <c r="J98" s="530">
        <f>IFERROR(I98/G98,"")</f>
        <v/>
      </c>
      <c r="K98" s="531">
        <f>IF(B98="","Pending",IF(M98="","⚠️ Enter Code",IF(IFERROR(VLOOKUP(L98,DB_Agents!$B:$I,8,0),"")=M98,"Pending","🔒 BLOCKED — Wrong Code")))</f>
        <v/>
      </c>
      <c r="L98" s="384" t="inlineStr">
        <is>
          <t>Agent 04</t>
        </is>
      </c>
      <c r="M98" s="491" t="n"/>
      <c r="N98" s="501" t="n"/>
    </row>
    <row r="99" ht="15" customHeight="1" s="341">
      <c r="A99" s="492">
        <f>IF(B99="","",IF(C99="❌ Account Not Found","INVALID","LN"&amp;TEXT(D99,"YYYYMMDD")&amp;TEXT(ROW()-13,"0000")))</f>
        <v/>
      </c>
      <c r="B99" s="486" t="n"/>
      <c r="C99" s="378">
        <f>IF(B99="","",IFERROR(VLOOKUP(B99,DB_Customers!$A:$D,4,0),"❌ Account Not Found"))</f>
        <v/>
      </c>
      <c r="D99" s="488">
        <f>IF(B99="","",TODAY())</f>
        <v/>
      </c>
      <c r="E99" s="526" t="n"/>
      <c r="F99" s="378" t="n"/>
      <c r="G99" s="532" t="n"/>
      <c r="H99" s="533" t="n"/>
      <c r="I99" s="529">
        <f>IF(E99="","",E99+(E99*H99/100*G99))</f>
        <v/>
      </c>
      <c r="J99" s="534">
        <f>IFERROR(I99/G99,"")</f>
        <v/>
      </c>
      <c r="K99" s="535">
        <f>IF(B99="","Pending",IF(M99="","⚠️ Enter Code",IF(IFERROR(VLOOKUP(L99,DB_Agents!$B:$I,8,0),"")=M99,"Pending","🔒 BLOCKED — Wrong Code")))</f>
        <v/>
      </c>
      <c r="L99" s="380" t="inlineStr">
        <is>
          <t>Agent 04</t>
        </is>
      </c>
      <c r="M99" s="491" t="n"/>
      <c r="N99" s="494" t="n"/>
    </row>
    <row r="100" ht="15" customHeight="1" s="341">
      <c r="A100" s="499">
        <f>IF(B100="","",IF(C100="❌ Account Not Found","INVALID","LN"&amp;TEXT(D100,"YYYYMMDD")&amp;TEXT(ROW()-13,"0000")))</f>
        <v/>
      </c>
      <c r="B100" s="495" t="n"/>
      <c r="C100" s="382">
        <f>IF(B100="","",IFERROR(VLOOKUP(B100,DB_Customers!$A:$D,4,0),"❌ Account Not Found"))</f>
        <v/>
      </c>
      <c r="D100" s="497">
        <f>IF(B100="","",TODAY())</f>
        <v/>
      </c>
      <c r="E100" s="526" t="n"/>
      <c r="F100" s="382" t="n"/>
      <c r="G100" s="527" t="n"/>
      <c r="H100" s="528" t="n"/>
      <c r="I100" s="529">
        <f>IF(E100="","",E100+(E100*H100/100*G100))</f>
        <v/>
      </c>
      <c r="J100" s="530">
        <f>IFERROR(I100/G100,"")</f>
        <v/>
      </c>
      <c r="K100" s="531">
        <f>IF(B100="","Pending",IF(M100="","⚠️ Enter Code",IF(IFERROR(VLOOKUP(L100,DB_Agents!$B:$I,8,0),"")=M100,"Pending","🔒 BLOCKED — Wrong Code")))</f>
        <v/>
      </c>
      <c r="L100" s="384" t="inlineStr">
        <is>
          <t>Agent 04</t>
        </is>
      </c>
      <c r="M100" s="491" t="n"/>
      <c r="N100" s="501" t="n"/>
    </row>
    <row r="101" ht="15" customHeight="1" s="341">
      <c r="A101" s="492">
        <f>IF(B101="","",IF(C101="❌ Account Not Found","INVALID","LN"&amp;TEXT(D101,"YYYYMMDD")&amp;TEXT(ROW()-13,"0000")))</f>
        <v/>
      </c>
      <c r="B101" s="486" t="n"/>
      <c r="C101" s="378">
        <f>IF(B101="","",IFERROR(VLOOKUP(B101,DB_Customers!$A:$D,4,0),"❌ Account Not Found"))</f>
        <v/>
      </c>
      <c r="D101" s="488">
        <f>IF(B101="","",TODAY())</f>
        <v/>
      </c>
      <c r="E101" s="526" t="n"/>
      <c r="F101" s="378" t="n"/>
      <c r="G101" s="532" t="n"/>
      <c r="H101" s="533" t="n"/>
      <c r="I101" s="529">
        <f>IF(E101="","",E101+(E101*H101/100*G101))</f>
        <v/>
      </c>
      <c r="J101" s="534">
        <f>IFERROR(I101/G101,"")</f>
        <v/>
      </c>
      <c r="K101" s="535">
        <f>IF(B101="","Pending",IF(M101="","⚠️ Enter Code",IF(IFERROR(VLOOKUP(L101,DB_Agents!$B:$I,8,0),"")=M101,"Pending","🔒 BLOCKED — Wrong Code")))</f>
        <v/>
      </c>
      <c r="L101" s="380" t="inlineStr">
        <is>
          <t>Agent 04</t>
        </is>
      </c>
      <c r="M101" s="491" t="n"/>
      <c r="N101" s="494" t="n"/>
    </row>
    <row r="102" ht="15" customHeight="1" s="341">
      <c r="A102" s="499">
        <f>IF(B102="","",IF(C102="❌ Account Not Found","INVALID","LN"&amp;TEXT(D102,"YYYYMMDD")&amp;TEXT(ROW()-13,"0000")))</f>
        <v/>
      </c>
      <c r="B102" s="495" t="n"/>
      <c r="C102" s="382">
        <f>IF(B102="","",IFERROR(VLOOKUP(B102,DB_Customers!$A:$D,4,0),"❌ Account Not Found"))</f>
        <v/>
      </c>
      <c r="D102" s="497">
        <f>IF(B102="","",TODAY())</f>
        <v/>
      </c>
      <c r="E102" s="526" t="n"/>
      <c r="F102" s="382" t="n"/>
      <c r="G102" s="527" t="n"/>
      <c r="H102" s="528" t="n"/>
      <c r="I102" s="529">
        <f>IF(E102="","",E102+(E102*H102/100*G102))</f>
        <v/>
      </c>
      <c r="J102" s="530">
        <f>IFERROR(I102/G102,"")</f>
        <v/>
      </c>
      <c r="K102" s="531">
        <f>IF(B102="","Pending",IF(M102="","⚠️ Enter Code",IF(IFERROR(VLOOKUP(L102,DB_Agents!$B:$I,8,0),"")=M102,"Pending","🔒 BLOCKED — Wrong Code")))</f>
        <v/>
      </c>
      <c r="L102" s="384" t="inlineStr">
        <is>
          <t>Agent 04</t>
        </is>
      </c>
      <c r="M102" s="491" t="n"/>
      <c r="N102" s="501" t="n"/>
    </row>
    <row r="103" ht="15" customHeight="1" s="341">
      <c r="A103" s="492">
        <f>IF(B103="","",IF(C103="❌ Account Not Found","INVALID","LN"&amp;TEXT(D103,"YYYYMMDD")&amp;TEXT(ROW()-13,"0000")))</f>
        <v/>
      </c>
      <c r="B103" s="486" t="n"/>
      <c r="C103" s="378">
        <f>IF(B103="","",IFERROR(VLOOKUP(B103,DB_Customers!$A:$D,4,0),"❌ Account Not Found"))</f>
        <v/>
      </c>
      <c r="D103" s="488">
        <f>IF(B103="","",TODAY())</f>
        <v/>
      </c>
      <c r="E103" s="526" t="n"/>
      <c r="F103" s="378" t="n"/>
      <c r="G103" s="532" t="n"/>
      <c r="H103" s="533" t="n"/>
      <c r="I103" s="529">
        <f>IF(E103="","",E103+(E103*H103/100*G103))</f>
        <v/>
      </c>
      <c r="J103" s="534">
        <f>IFERROR(I103/G103,"")</f>
        <v/>
      </c>
      <c r="K103" s="535">
        <f>IF(B103="","Pending",IF(M103="","⚠️ Enter Code",IF(IFERROR(VLOOKUP(L103,DB_Agents!$B:$I,8,0),"")=M103,"Pending","🔒 BLOCKED — Wrong Code")))</f>
        <v/>
      </c>
      <c r="L103" s="380" t="inlineStr">
        <is>
          <t>Agent 04</t>
        </is>
      </c>
      <c r="M103" s="491" t="n"/>
      <c r="N103" s="494" t="n"/>
    </row>
    <row r="104" ht="15" customHeight="1" s="341">
      <c r="A104" s="499">
        <f>IF(B104="","",IF(C104="❌ Account Not Found","INVALID","LN"&amp;TEXT(D104,"YYYYMMDD")&amp;TEXT(ROW()-13,"0000")))</f>
        <v/>
      </c>
      <c r="B104" s="495" t="n"/>
      <c r="C104" s="382">
        <f>IF(B104="","",IFERROR(VLOOKUP(B104,DB_Customers!$A:$D,4,0),"❌ Account Not Found"))</f>
        <v/>
      </c>
      <c r="D104" s="497">
        <f>IF(B104="","",TODAY())</f>
        <v/>
      </c>
      <c r="E104" s="526" t="n"/>
      <c r="F104" s="382" t="n"/>
      <c r="G104" s="527" t="n"/>
      <c r="H104" s="528" t="n"/>
      <c r="I104" s="529">
        <f>IF(E104="","",E104+(E104*H104/100*G104))</f>
        <v/>
      </c>
      <c r="J104" s="530">
        <f>IFERROR(I104/G104,"")</f>
        <v/>
      </c>
      <c r="K104" s="531">
        <f>IF(B104="","Pending",IF(M104="","⚠️ Enter Code",IF(IFERROR(VLOOKUP(L104,DB_Agents!$B:$I,8,0),"")=M104,"Pending","🔒 BLOCKED — Wrong Code")))</f>
        <v/>
      </c>
      <c r="L104" s="384" t="inlineStr">
        <is>
          <t>Agent 04</t>
        </is>
      </c>
      <c r="M104" s="491" t="n"/>
      <c r="N104" s="501" t="n"/>
    </row>
    <row r="105" ht="15" customHeight="1" s="341">
      <c r="A105" s="492">
        <f>IF(B105="","",IF(C105="❌ Account Not Found","INVALID","LN"&amp;TEXT(D105,"YYYYMMDD")&amp;TEXT(ROW()-13,"0000")))</f>
        <v/>
      </c>
      <c r="B105" s="486" t="n"/>
      <c r="C105" s="378">
        <f>IF(B105="","",IFERROR(VLOOKUP(B105,DB_Customers!$A:$D,4,0),"❌ Account Not Found"))</f>
        <v/>
      </c>
      <c r="D105" s="488">
        <f>IF(B105="","",TODAY())</f>
        <v/>
      </c>
      <c r="E105" s="526" t="n"/>
      <c r="F105" s="378" t="n"/>
      <c r="G105" s="532" t="n"/>
      <c r="H105" s="533" t="n"/>
      <c r="I105" s="529">
        <f>IF(E105="","",E105+(E105*H105/100*G105))</f>
        <v/>
      </c>
      <c r="J105" s="534">
        <f>IFERROR(I105/G105,"")</f>
        <v/>
      </c>
      <c r="K105" s="535">
        <f>IF(B105="","Pending",IF(M105="","⚠️ Enter Code",IF(IFERROR(VLOOKUP(L105,DB_Agents!$B:$I,8,0),"")=M105,"Pending","🔒 BLOCKED — Wrong Code")))</f>
        <v/>
      </c>
      <c r="L105" s="380" t="inlineStr">
        <is>
          <t>Agent 04</t>
        </is>
      </c>
      <c r="M105" s="491" t="n"/>
      <c r="N105" s="494" t="n"/>
    </row>
    <row r="106" ht="15" customHeight="1" s="341">
      <c r="A106" s="499">
        <f>IF(B106="","",IF(C106="❌ Account Not Found","INVALID","LN"&amp;TEXT(D106,"YYYYMMDD")&amp;TEXT(ROW()-13,"0000")))</f>
        <v/>
      </c>
      <c r="B106" s="495" t="n"/>
      <c r="C106" s="382">
        <f>IF(B106="","",IFERROR(VLOOKUP(B106,DB_Customers!$A:$D,4,0),"❌ Account Not Found"))</f>
        <v/>
      </c>
      <c r="D106" s="497">
        <f>IF(B106="","",TODAY())</f>
        <v/>
      </c>
      <c r="E106" s="526" t="n"/>
      <c r="F106" s="382" t="n"/>
      <c r="G106" s="527" t="n"/>
      <c r="H106" s="528" t="n"/>
      <c r="I106" s="529">
        <f>IF(E106="","",E106+(E106*H106/100*G106))</f>
        <v/>
      </c>
      <c r="J106" s="530">
        <f>IFERROR(I106/G106,"")</f>
        <v/>
      </c>
      <c r="K106" s="531">
        <f>IF(B106="","Pending",IF(M106="","⚠️ Enter Code",IF(IFERROR(VLOOKUP(L106,DB_Agents!$B:$I,8,0),"")=M106,"Pending","🔒 BLOCKED — Wrong Code")))</f>
        <v/>
      </c>
      <c r="L106" s="384" t="inlineStr">
        <is>
          <t>Agent 04</t>
        </is>
      </c>
      <c r="M106" s="491" t="n"/>
      <c r="N106" s="501" t="n"/>
    </row>
    <row r="107" ht="15" customHeight="1" s="341">
      <c r="A107" s="492">
        <f>IF(B107="","",IF(C107="❌ Account Not Found","INVALID","LN"&amp;TEXT(D107,"YYYYMMDD")&amp;TEXT(ROW()-13,"0000")))</f>
        <v/>
      </c>
      <c r="B107" s="486" t="n"/>
      <c r="C107" s="378">
        <f>IF(B107="","",IFERROR(VLOOKUP(B107,DB_Customers!$A:$D,4,0),"❌ Account Not Found"))</f>
        <v/>
      </c>
      <c r="D107" s="488">
        <f>IF(B107="","",TODAY())</f>
        <v/>
      </c>
      <c r="E107" s="526" t="n"/>
      <c r="F107" s="378" t="n"/>
      <c r="G107" s="532" t="n"/>
      <c r="H107" s="533" t="n"/>
      <c r="I107" s="529">
        <f>IF(E107="","",E107+(E107*H107/100*G107))</f>
        <v/>
      </c>
      <c r="J107" s="534">
        <f>IFERROR(I107/G107,"")</f>
        <v/>
      </c>
      <c r="K107" s="535">
        <f>IF(B107="","Pending",IF(M107="","⚠️ Enter Code",IF(IFERROR(VLOOKUP(L107,DB_Agents!$B:$I,8,0),"")=M107,"Pending","🔒 BLOCKED — Wrong Code")))</f>
        <v/>
      </c>
      <c r="L107" s="380" t="inlineStr">
        <is>
          <t>Agent 04</t>
        </is>
      </c>
      <c r="M107" s="491" t="n"/>
      <c r="N107" s="494" t="n"/>
    </row>
    <row r="108" ht="15" customHeight="1" s="341">
      <c r="A108" s="499">
        <f>IF(B108="","",IF(C108="❌ Account Not Found","INVALID","LN"&amp;TEXT(D108,"YYYYMMDD")&amp;TEXT(ROW()-13,"0000")))</f>
        <v/>
      </c>
      <c r="B108" s="495" t="n"/>
      <c r="C108" s="382">
        <f>IF(B108="","",IFERROR(VLOOKUP(B108,DB_Customers!$A:$D,4,0),"❌ Account Not Found"))</f>
        <v/>
      </c>
      <c r="D108" s="497">
        <f>IF(B108="","",TODAY())</f>
        <v/>
      </c>
      <c r="E108" s="526" t="n"/>
      <c r="F108" s="382" t="n"/>
      <c r="G108" s="527" t="n"/>
      <c r="H108" s="528" t="n"/>
      <c r="I108" s="529">
        <f>IF(E108="","",E108+(E108*H108/100*G108))</f>
        <v/>
      </c>
      <c r="J108" s="530">
        <f>IFERROR(I108/G108,"")</f>
        <v/>
      </c>
      <c r="K108" s="531">
        <f>IF(B108="","Pending",IF(M108="","⚠️ Enter Code",IF(IFERROR(VLOOKUP(L108,DB_Agents!$B:$I,8,0),"")=M108,"Pending","🔒 BLOCKED — Wrong Code")))</f>
        <v/>
      </c>
      <c r="L108" s="384" t="inlineStr">
        <is>
          <t>Agent 04</t>
        </is>
      </c>
      <c r="M108" s="491" t="n"/>
      <c r="N108" s="501" t="n"/>
    </row>
    <row r="109" ht="15" customHeight="1" s="341">
      <c r="A109" s="492">
        <f>IF(B109="","",IF(C109="❌ Account Not Found","INVALID","LN"&amp;TEXT(D109,"YYYYMMDD")&amp;TEXT(ROW()-13,"0000")))</f>
        <v/>
      </c>
      <c r="B109" s="486" t="n"/>
      <c r="C109" s="378">
        <f>IF(B109="","",IFERROR(VLOOKUP(B109,DB_Customers!$A:$D,4,0),"❌ Account Not Found"))</f>
        <v/>
      </c>
      <c r="D109" s="488">
        <f>IF(B109="","",TODAY())</f>
        <v/>
      </c>
      <c r="E109" s="526" t="n"/>
      <c r="F109" s="378" t="n"/>
      <c r="G109" s="532" t="n"/>
      <c r="H109" s="533" t="n"/>
      <c r="I109" s="529">
        <f>IF(E109="","",E109+(E109*H109/100*G109))</f>
        <v/>
      </c>
      <c r="J109" s="534">
        <f>IFERROR(I109/G109,"")</f>
        <v/>
      </c>
      <c r="K109" s="535">
        <f>IF(B109="","Pending",IF(M109="","⚠️ Enter Code",IF(IFERROR(VLOOKUP(L109,DB_Agents!$B:$I,8,0),"")=M109,"Pending","🔒 BLOCKED — Wrong Code")))</f>
        <v/>
      </c>
      <c r="L109" s="380" t="inlineStr">
        <is>
          <t>Agent 04</t>
        </is>
      </c>
      <c r="M109" s="491" t="n"/>
      <c r="N109" s="494" t="n"/>
    </row>
    <row r="110" ht="15" customHeight="1" s="341">
      <c r="A110" s="499">
        <f>IF(B110="","",IF(C110="❌ Account Not Found","INVALID","LN"&amp;TEXT(D110,"YYYYMMDD")&amp;TEXT(ROW()-13,"0000")))</f>
        <v/>
      </c>
      <c r="B110" s="495" t="n"/>
      <c r="C110" s="382">
        <f>IF(B110="","",IFERROR(VLOOKUP(B110,DB_Customers!$A:$D,4,0),"❌ Account Not Found"))</f>
        <v/>
      </c>
      <c r="D110" s="497">
        <f>IF(B110="","",TODAY())</f>
        <v/>
      </c>
      <c r="E110" s="526" t="n"/>
      <c r="F110" s="382" t="n"/>
      <c r="G110" s="527" t="n"/>
      <c r="H110" s="528" t="n"/>
      <c r="I110" s="529">
        <f>IF(E110="","",E110+(E110*H110/100*G110))</f>
        <v/>
      </c>
      <c r="J110" s="530">
        <f>IFERROR(I110/G110,"")</f>
        <v/>
      </c>
      <c r="K110" s="531">
        <f>IF(B110="","Pending",IF(M110="","⚠️ Enter Code",IF(IFERROR(VLOOKUP(L110,DB_Agents!$B:$I,8,0),"")=M110,"Pending","🔒 BLOCKED — Wrong Code")))</f>
        <v/>
      </c>
      <c r="L110" s="384" t="inlineStr">
        <is>
          <t>Agent 04</t>
        </is>
      </c>
      <c r="M110" s="491" t="n"/>
      <c r="N110" s="501" t="n"/>
    </row>
    <row r="111" ht="15" customHeight="1" s="341">
      <c r="A111" s="492">
        <f>IF(B111="","",IF(C111="❌ Account Not Found","INVALID","LN"&amp;TEXT(D111,"YYYYMMDD")&amp;TEXT(ROW()-13,"0000")))</f>
        <v/>
      </c>
      <c r="B111" s="486" t="n"/>
      <c r="C111" s="378">
        <f>IF(B111="","",IFERROR(VLOOKUP(B111,DB_Customers!$A:$D,4,0),"❌ Account Not Found"))</f>
        <v/>
      </c>
      <c r="D111" s="488">
        <f>IF(B111="","",TODAY())</f>
        <v/>
      </c>
      <c r="E111" s="526" t="n"/>
      <c r="F111" s="378" t="n"/>
      <c r="G111" s="532" t="n"/>
      <c r="H111" s="533" t="n"/>
      <c r="I111" s="529">
        <f>IF(E111="","",E111+(E111*H111/100*G111))</f>
        <v/>
      </c>
      <c r="J111" s="534">
        <f>IFERROR(I111/G111,"")</f>
        <v/>
      </c>
      <c r="K111" s="535">
        <f>IF(B111="","Pending",IF(M111="","⚠️ Enter Code",IF(IFERROR(VLOOKUP(L111,DB_Agents!$B:$I,8,0),"")=M111,"Pending","🔒 BLOCKED — Wrong Code")))</f>
        <v/>
      </c>
      <c r="L111" s="380" t="inlineStr">
        <is>
          <t>Agent 04</t>
        </is>
      </c>
      <c r="M111" s="491" t="n"/>
      <c r="N111" s="494" t="n"/>
    </row>
    <row r="112" ht="15" customHeight="1" s="341">
      <c r="A112" s="499">
        <f>IF(B112="","",IF(C112="❌ Account Not Found","INVALID","LN"&amp;TEXT(D112,"YYYYMMDD")&amp;TEXT(ROW()-13,"0000")))</f>
        <v/>
      </c>
      <c r="B112" s="495" t="n"/>
      <c r="C112" s="382">
        <f>IF(B112="","",IFERROR(VLOOKUP(B112,DB_Customers!$A:$D,4,0),"❌ Account Not Found"))</f>
        <v/>
      </c>
      <c r="D112" s="497">
        <f>IF(B112="","",TODAY())</f>
        <v/>
      </c>
      <c r="E112" s="526" t="n"/>
      <c r="F112" s="382" t="n"/>
      <c r="G112" s="527" t="n"/>
      <c r="H112" s="528" t="n"/>
      <c r="I112" s="529">
        <f>IF(E112="","",E112+(E112*H112/100*G112))</f>
        <v/>
      </c>
      <c r="J112" s="530">
        <f>IFERROR(I112/G112,"")</f>
        <v/>
      </c>
      <c r="K112" s="531">
        <f>IF(B112="","Pending",IF(M112="","⚠️ Enter Code",IF(IFERROR(VLOOKUP(L112,DB_Agents!$B:$I,8,0),"")=M112,"Pending","🔒 BLOCKED — Wrong Code")))</f>
        <v/>
      </c>
      <c r="L112" s="384" t="inlineStr">
        <is>
          <t>Agent 04</t>
        </is>
      </c>
      <c r="M112" s="491" t="n"/>
      <c r="N112" s="501" t="n"/>
    </row>
    <row r="113" ht="15" customHeight="1" s="341">
      <c r="A113" s="492">
        <f>IF(B113="","",IF(C113="❌ Account Not Found","INVALID","LN"&amp;TEXT(D113,"YYYYMMDD")&amp;TEXT(ROW()-13,"0000")))</f>
        <v/>
      </c>
      <c r="B113" s="486" t="n"/>
      <c r="C113" s="378">
        <f>IF(B113="","",IFERROR(VLOOKUP(B113,DB_Customers!$A:$D,4,0),"❌ Account Not Found"))</f>
        <v/>
      </c>
      <c r="D113" s="488">
        <f>IF(B113="","",TODAY())</f>
        <v/>
      </c>
      <c r="E113" s="526" t="n"/>
      <c r="F113" s="378" t="n"/>
      <c r="G113" s="532" t="n"/>
      <c r="H113" s="533" t="n"/>
      <c r="I113" s="529">
        <f>IF(E113="","",E113+(E113*H113/100*G113))</f>
        <v/>
      </c>
      <c r="J113" s="534">
        <f>IFERROR(I113/G113,"")</f>
        <v/>
      </c>
      <c r="K113" s="535">
        <f>IF(B113="","Pending",IF(M113="","⚠️ Enter Code",IF(IFERROR(VLOOKUP(L113,DB_Agents!$B:$I,8,0),"")=M113,"Pending","🔒 BLOCKED — Wrong Code")))</f>
        <v/>
      </c>
      <c r="L113" s="380" t="inlineStr">
        <is>
          <t>Agent 04</t>
        </is>
      </c>
      <c r="M113" s="491" t="n"/>
      <c r="N113" s="494" t="n"/>
    </row>
    <row r="114" ht="15" customHeight="1" s="341">
      <c r="H114" s="536" t="n"/>
      <c r="K114" s="537">
        <f>IF(B114="","Pending",IF(M114="","⚠️ Enter Code",IF(IFERROR(VLOOKUP(L114,DB_Agents!$B:$I,8,0),"")=M114,"Pending","🔒 BLOCKED — Wrong Code")))</f>
        <v/>
      </c>
      <c r="M114" s="491" t="n"/>
    </row>
    <row r="115" ht="15" customHeight="1" s="341">
      <c r="H115" s="536" t="n"/>
      <c r="K115" s="342">
        <f>IF(B115="","Pending",IF(M115="","⚠️ Enter Code",IF(IFERROR(VLOOKUP(L115,DB_Agents!$B:$I,8,0),"")=M115,"Pending","🔒 BLOCKED — Wrong Code")))</f>
        <v/>
      </c>
      <c r="M115" s="491" t="n"/>
    </row>
    <row r="116" ht="15" customHeight="1" s="341">
      <c r="H116" s="536" t="n"/>
      <c r="K116" s="537">
        <f>IF(B116="","Pending",IF(M116="","⚠️ Enter Code",IF(IFERROR(VLOOKUP(L116,DB_Agents!$B:$I,8,0),"")=M116,"Pending","🔒 BLOCKED — Wrong Code")))</f>
        <v/>
      </c>
      <c r="M116" s="491" t="n"/>
    </row>
    <row r="117" ht="15" customHeight="1" s="341">
      <c r="H117" s="536" t="n"/>
      <c r="K117" s="342">
        <f>IF(B117="","Pending",IF(M117="","⚠️ Enter Code",IF(IFERROR(VLOOKUP(L117,DB_Agents!$B:$I,8,0),"")=M117,"Pending","🔒 BLOCKED — Wrong Code")))</f>
        <v/>
      </c>
      <c r="M117" s="491" t="n"/>
    </row>
    <row r="118" ht="15" customHeight="1" s="341">
      <c r="H118" s="536" t="n"/>
      <c r="K118" s="537">
        <f>IF(B118="","Pending",IF(M118="","⚠️ Enter Code",IF(IFERROR(VLOOKUP(L118,DB_Agents!$B:$I,8,0),"")=M118,"Pending","🔒 BLOCKED — Wrong Code")))</f>
        <v/>
      </c>
      <c r="M118" s="491" t="n"/>
    </row>
    <row r="119" ht="15" customHeight="1" s="341">
      <c r="H119" s="536" t="n"/>
      <c r="K119" s="342">
        <f>IF(B119="","Pending",IF(M119="","⚠️ Enter Code",IF(IFERROR(VLOOKUP(L119,DB_Agents!$B:$I,8,0),"")=M119,"Pending","🔒 BLOCKED — Wrong Code")))</f>
        <v/>
      </c>
      <c r="M119" s="491" t="n"/>
    </row>
    <row r="120" ht="15" customHeight="1" s="341">
      <c r="H120" s="536" t="n"/>
      <c r="K120" s="537">
        <f>IF(B120="","Pending",IF(M120="","⚠️ Enter Code",IF(IFERROR(VLOOKUP(L120,DB_Agents!$B:$I,8,0),"")=M120,"Pending","🔒 BLOCKED — Wrong Code")))</f>
        <v/>
      </c>
      <c r="M120" s="491" t="n"/>
    </row>
    <row r="121" ht="15" customHeight="1" s="341">
      <c r="H121" s="536" t="n"/>
      <c r="K121" s="342">
        <f>IF(B121="","Pending",IF(M121="","⚠️ Enter Code",IF(IFERROR(VLOOKUP(L121,DB_Agents!$B:$I,8,0),"")=M121,"Pending","🔒 BLOCKED — Wrong Code")))</f>
        <v/>
      </c>
      <c r="M121" s="491" t="n"/>
    </row>
    <row r="122" ht="15" customHeight="1" s="341">
      <c r="H122" s="536" t="n"/>
      <c r="K122" s="537">
        <f>IF(B122="","Pending",IF(M122="","⚠️ Enter Code",IF(IFERROR(VLOOKUP(L122,DB_Agents!$B:$I,8,0),"")=M122,"Pending","🔒 BLOCKED — Wrong Code")))</f>
        <v/>
      </c>
      <c r="M122" s="491" t="n"/>
    </row>
    <row r="123" ht="15" customHeight="1" s="341">
      <c r="H123" s="536" t="n"/>
      <c r="K123" s="342">
        <f>IF(B123="","Pending",IF(M123="","⚠️ Enter Code",IF(IFERROR(VLOOKUP(L123,DB_Agents!$B:$I,8,0),"")=M123,"Pending","🔒 BLOCKED — Wrong Code")))</f>
        <v/>
      </c>
      <c r="M123" s="491" t="n"/>
    </row>
    <row r="124" ht="15" customHeight="1" s="341">
      <c r="H124" s="536" t="n"/>
      <c r="K124" s="537">
        <f>IF(B124="","Pending",IF(M124="","⚠️ Enter Code",IF(IFERROR(VLOOKUP(L124,DB_Agents!$B:$I,8,0),"")=M124,"Pending","🔒 BLOCKED — Wrong Code")))</f>
        <v/>
      </c>
      <c r="M124" s="491" t="n"/>
    </row>
    <row r="125" ht="15" customHeight="1" s="341">
      <c r="H125" s="536" t="n"/>
      <c r="K125" s="342">
        <f>IF(B125="","Pending",IF(M125="","⚠️ Enter Code",IF(IFERROR(VLOOKUP(L125,DB_Agents!$B:$I,8,0),"")=M125,"Pending","🔒 BLOCKED — Wrong Code")))</f>
        <v/>
      </c>
      <c r="M125" s="491" t="n"/>
    </row>
    <row r="126" ht="15" customHeight="1" s="341">
      <c r="H126" s="536" t="n"/>
      <c r="K126" s="537">
        <f>IF(B126="","Pending",IF(M126="","⚠️ Enter Code",IF(IFERROR(VLOOKUP(L126,DB_Agents!$B:$I,8,0),"")=M126,"Pending","🔒 BLOCKED — Wrong Code")))</f>
        <v/>
      </c>
      <c r="M126" s="491" t="n"/>
    </row>
    <row r="127" ht="15" customHeight="1" s="341">
      <c r="H127" s="536" t="n"/>
      <c r="K127" s="342">
        <f>IF(B127="","Pending",IF(M127="","⚠️ Enter Code",IF(IFERROR(VLOOKUP(L127,DB_Agents!$B:$I,8,0),"")=M127,"Pending","🔒 BLOCKED — Wrong Code")))</f>
        <v/>
      </c>
      <c r="M127" s="491" t="n"/>
    </row>
    <row r="128" ht="15" customHeight="1" s="341">
      <c r="H128" s="536" t="n"/>
      <c r="K128" s="537">
        <f>IF(B128="","Pending",IF(M128="","⚠️ Enter Code",IF(IFERROR(VLOOKUP(L128,DB_Agents!$B:$I,8,0),"")=M128,"Pending","🔒 BLOCKED — Wrong Code")))</f>
        <v/>
      </c>
      <c r="M128" s="491" t="n"/>
    </row>
    <row r="129" ht="15" customHeight="1" s="341">
      <c r="H129" s="536" t="n"/>
      <c r="K129" s="342">
        <f>IF(B129="","Pending",IF(M129="","⚠️ Enter Code",IF(IFERROR(VLOOKUP(L129,DB_Agents!$B:$I,8,0),"")=M129,"Pending","🔒 BLOCKED — Wrong Code")))</f>
        <v/>
      </c>
      <c r="M129" s="491" t="n"/>
    </row>
    <row r="130" ht="15" customHeight="1" s="341">
      <c r="H130" s="536" t="n"/>
      <c r="K130" s="537">
        <f>IF(B130="","Pending",IF(M130="","⚠️ Enter Code",IF(IFERROR(VLOOKUP(L130,DB_Agents!$B:$I,8,0),"")=M130,"Pending","🔒 BLOCKED — Wrong Code")))</f>
        <v/>
      </c>
      <c r="M130" s="491" t="n"/>
    </row>
    <row r="131" ht="15" customHeight="1" s="341">
      <c r="H131" s="536" t="n"/>
      <c r="K131" s="342">
        <f>IF(B131="","Pending",IF(M131="","⚠️ Enter Code",IF(IFERROR(VLOOKUP(L131,DB_Agents!$B:$I,8,0),"")=M131,"Pending","🔒 BLOCKED — Wrong Code")))</f>
        <v/>
      </c>
      <c r="M131" s="491" t="n"/>
    </row>
    <row r="132" ht="15" customHeight="1" s="341">
      <c r="H132" s="536" t="n"/>
      <c r="K132" s="537">
        <f>IF(B132="","Pending",IF(M132="","⚠️ Enter Code",IF(IFERROR(VLOOKUP(L132,DB_Agents!$B:$I,8,0),"")=M132,"Pending","🔒 BLOCKED — Wrong Code")))</f>
        <v/>
      </c>
      <c r="M132" s="491" t="n"/>
    </row>
    <row r="133" ht="15" customHeight="1" s="341">
      <c r="H133" s="536" t="n"/>
      <c r="K133" s="342">
        <f>IF(B133="","Pending",IF(M133="","⚠️ Enter Code",IF(IFERROR(VLOOKUP(L133,DB_Agents!$B:$I,8,0),"")=M133,"Pending","🔒 BLOCKED — Wrong Code")))</f>
        <v/>
      </c>
      <c r="M133" s="491" t="n"/>
    </row>
    <row r="134" ht="15" customHeight="1" s="341">
      <c r="H134" s="536" t="n"/>
      <c r="K134" s="537">
        <f>IF(B134="","Pending",IF(M134="","⚠️ Enter Code",IF(IFERROR(VLOOKUP(L134,DB_Agents!$B:$I,8,0),"")=M134,"Pending","🔒 BLOCKED — Wrong Code")))</f>
        <v/>
      </c>
      <c r="M134" s="491" t="n"/>
    </row>
    <row r="135" ht="15" customHeight="1" s="341">
      <c r="H135" s="536" t="n"/>
      <c r="K135" s="342">
        <f>IF(B135="","Pending",IF(M135="","⚠️ Enter Code",IF(IFERROR(VLOOKUP(L135,DB_Agents!$B:$I,8,0),"")=M135,"Pending","🔒 BLOCKED — Wrong Code")))</f>
        <v/>
      </c>
      <c r="M135" s="491" t="n"/>
    </row>
    <row r="136" ht="15" customHeight="1" s="341">
      <c r="H136" s="536" t="n"/>
      <c r="K136" s="537">
        <f>IF(B136="","Pending",IF(M136="","⚠️ Enter Code",IF(IFERROR(VLOOKUP(L136,DB_Agents!$B:$I,8,0),"")=M136,"Pending","🔒 BLOCKED — Wrong Code")))</f>
        <v/>
      </c>
      <c r="M136" s="491" t="n"/>
    </row>
    <row r="137" ht="15" customHeight="1" s="341">
      <c r="H137" s="536" t="n"/>
      <c r="K137" s="342">
        <f>IF(B137="","Pending",IF(M137="","⚠️ Enter Code",IF(IFERROR(VLOOKUP(L137,DB_Agents!$B:$I,8,0),"")=M137,"Pending","🔒 BLOCKED — Wrong Code")))</f>
        <v/>
      </c>
      <c r="M137" s="491" t="n"/>
    </row>
    <row r="138" ht="15" customHeight="1" s="341">
      <c r="H138" s="536" t="n"/>
      <c r="K138" s="537">
        <f>IF(B138="","Pending",IF(M138="","⚠️ Enter Code",IF(IFERROR(VLOOKUP(L138,DB_Agents!$B:$I,8,0),"")=M138,"Pending","🔒 BLOCKED — Wrong Code")))</f>
        <v/>
      </c>
      <c r="M138" s="491" t="n"/>
    </row>
    <row r="139" ht="15" customHeight="1" s="341">
      <c r="H139" s="536" t="n"/>
      <c r="K139" s="342">
        <f>IF(B139="","Pending",IF(M139="","⚠️ Enter Code",IF(IFERROR(VLOOKUP(L139,DB_Agents!$B:$I,8,0),"")=M139,"Pending","🔒 BLOCKED — Wrong Code")))</f>
        <v/>
      </c>
      <c r="M139" s="491" t="n"/>
    </row>
    <row r="140" ht="15" customHeight="1" s="341">
      <c r="H140" s="536" t="n"/>
      <c r="K140" s="537">
        <f>IF(B140="","Pending",IF(M140="","⚠️ Enter Code",IF(IFERROR(VLOOKUP(L140,DB_Agents!$B:$I,8,0),"")=M140,"Pending","🔒 BLOCKED — Wrong Code")))</f>
        <v/>
      </c>
      <c r="M140" s="491" t="n"/>
    </row>
    <row r="141" ht="15" customHeight="1" s="341">
      <c r="H141" s="536" t="n"/>
      <c r="K141" s="342">
        <f>IF(B141="","Pending",IF(M141="","⚠️ Enter Code",IF(IFERROR(VLOOKUP(L141,DB_Agents!$B:$I,8,0),"")=M141,"Pending","🔒 BLOCKED — Wrong Code")))</f>
        <v/>
      </c>
      <c r="M141" s="491" t="n"/>
    </row>
    <row r="142" ht="15" customHeight="1" s="341">
      <c r="H142" s="536" t="n"/>
      <c r="K142" s="537">
        <f>IF(B142="","Pending",IF(M142="","⚠️ Enter Code",IF(IFERROR(VLOOKUP(L142,DB_Agents!$B:$I,8,0),"")=M142,"Pending","🔒 BLOCKED — Wrong Code")))</f>
        <v/>
      </c>
      <c r="M142" s="491" t="n"/>
    </row>
    <row r="143" ht="15" customHeight="1" s="341">
      <c r="H143" s="536" t="n"/>
      <c r="K143" s="342">
        <f>IF(B143="","Pending",IF(M143="","⚠️ Enter Code",IF(IFERROR(VLOOKUP(L143,DB_Agents!$B:$I,8,0),"")=M143,"Pending","🔒 BLOCKED — Wrong Code")))</f>
        <v/>
      </c>
      <c r="M143" s="491" t="n"/>
    </row>
    <row r="144" ht="15" customHeight="1" s="341">
      <c r="H144" s="536" t="n"/>
      <c r="K144" s="537">
        <f>IF(B144="","Pending",IF(M144="","⚠️ Enter Code",IF(IFERROR(VLOOKUP(L144,DB_Agents!$B:$I,8,0),"")=M144,"Pending","🔒 BLOCKED — Wrong Code")))</f>
        <v/>
      </c>
      <c r="M144" s="491" t="n"/>
    </row>
    <row r="145" ht="15" customHeight="1" s="341">
      <c r="H145" s="536" t="n"/>
      <c r="K145" s="342">
        <f>IF(B145="","Pending",IF(M145="","⚠️ Enter Code",IF(IFERROR(VLOOKUP(L145,DB_Agents!$B:$I,8,0),"")=M145,"Pending","🔒 BLOCKED — Wrong Code")))</f>
        <v/>
      </c>
      <c r="M145" s="491" t="n"/>
    </row>
    <row r="146" ht="15" customHeight="1" s="341">
      <c r="H146" s="536" t="n"/>
      <c r="K146" s="537">
        <f>IF(B146="","Pending",IF(M146="","⚠️ Enter Code",IF(IFERROR(VLOOKUP(L146,DB_Agents!$B:$I,8,0),"")=M146,"Pending","🔒 BLOCKED — Wrong Code")))</f>
        <v/>
      </c>
      <c r="M146" s="491" t="n"/>
    </row>
    <row r="147" ht="15" customHeight="1" s="341">
      <c r="H147" s="536" t="n"/>
      <c r="K147" s="342">
        <f>IF(B147="","Pending",IF(M147="","⚠️ Enter Code",IF(IFERROR(VLOOKUP(L147,DB_Agents!$B:$I,8,0),"")=M147,"Pending","🔒 BLOCKED — Wrong Code")))</f>
        <v/>
      </c>
      <c r="M147" s="491" t="n"/>
    </row>
    <row r="148" ht="15" customHeight="1" s="341">
      <c r="H148" s="536" t="n"/>
      <c r="K148" s="537">
        <f>IF(B148="","Pending",IF(M148="","⚠️ Enter Code",IF(IFERROR(VLOOKUP(L148,DB_Agents!$B:$I,8,0),"")=M148,"Pending","🔒 BLOCKED — Wrong Code")))</f>
        <v/>
      </c>
      <c r="M148" s="491" t="n"/>
    </row>
    <row r="149" ht="15" customHeight="1" s="341">
      <c r="H149" s="536" t="n"/>
      <c r="K149" s="342">
        <f>IF(B149="","Pending",IF(M149="","⚠️ Enter Code",IF(IFERROR(VLOOKUP(L149,DB_Agents!$B:$I,8,0),"")=M149,"Pending","🔒 BLOCKED — Wrong Code")))</f>
        <v/>
      </c>
      <c r="M149" s="491" t="n"/>
    </row>
    <row r="150" ht="15" customHeight="1" s="341">
      <c r="H150" s="536" t="n"/>
      <c r="K150" s="537">
        <f>IF(B150="","Pending",IF(M150="","⚠️ Enter Code",IF(IFERROR(VLOOKUP(L150,DB_Agents!$B:$I,8,0),"")=M150,"Pending","🔒 BLOCKED — Wrong Code")))</f>
        <v/>
      </c>
      <c r="M150" s="491" t="n"/>
    </row>
    <row r="151" ht="15" customHeight="1" s="341">
      <c r="H151" s="536" t="n"/>
      <c r="K151" s="342">
        <f>IF(B151="","Pending",IF(M151="","⚠️ Enter Code",IF(IFERROR(VLOOKUP(L151,DB_Agents!$B:$I,8,0),"")=M151,"Pending","🔒 BLOCKED — Wrong Code")))</f>
        <v/>
      </c>
      <c r="M151" s="491" t="n"/>
    </row>
    <row r="152" ht="15" customHeight="1" s="341">
      <c r="H152" s="536" t="n"/>
      <c r="K152" s="537">
        <f>IF(B152="","Pending",IF(M152="","⚠️ Enter Code",IF(IFERROR(VLOOKUP(L152,DB_Agents!$B:$I,8,0),"")=M152,"Pending","🔒 BLOCKED — Wrong Code")))</f>
        <v/>
      </c>
      <c r="M152" s="491" t="n"/>
    </row>
    <row r="153" ht="15" customHeight="1" s="341">
      <c r="H153" s="536" t="n"/>
      <c r="K153" s="342">
        <f>IF(B153="","Pending",IF(M153="","⚠️ Enter Code",IF(IFERROR(VLOOKUP(L153,DB_Agents!$B:$I,8,0),"")=M153,"Pending","🔒 BLOCKED — Wrong Code")))</f>
        <v/>
      </c>
      <c r="M153" s="491" t="n"/>
    </row>
    <row r="154" ht="15" customHeight="1" s="341">
      <c r="H154" s="536" t="n"/>
      <c r="K154" s="537">
        <f>IF(B154="","Pending",IF(M154="","⚠️ Enter Code",IF(IFERROR(VLOOKUP(L154,DB_Agents!$B:$I,8,0),"")=M154,"Pending","🔒 BLOCKED — Wrong Code")))</f>
        <v/>
      </c>
      <c r="M154" s="491" t="n"/>
    </row>
    <row r="155" ht="15" customHeight="1" s="341">
      <c r="H155" s="536" t="n"/>
      <c r="K155" s="342">
        <f>IF(B155="","Pending",IF(M155="","⚠️ Enter Code",IF(IFERROR(VLOOKUP(L155,DB_Agents!$B:$I,8,0),"")=M155,"Pending","🔒 BLOCKED — Wrong Code")))</f>
        <v/>
      </c>
      <c r="M155" s="491" t="n"/>
    </row>
    <row r="156" ht="15" customHeight="1" s="341">
      <c r="H156" s="536" t="n"/>
      <c r="K156" s="537">
        <f>IF(B156="","Pending",IF(M156="","⚠️ Enter Code",IF(IFERROR(VLOOKUP(L156,DB_Agents!$B:$I,8,0),"")=M156,"Pending","🔒 BLOCKED — Wrong Code")))</f>
        <v/>
      </c>
      <c r="M156" s="491" t="n"/>
    </row>
    <row r="157" ht="15" customHeight="1" s="341">
      <c r="H157" s="536" t="n"/>
      <c r="K157" s="342">
        <f>IF(B157="","Pending",IF(M157="","⚠️ Enter Code",IF(IFERROR(VLOOKUP(L157,DB_Agents!$B:$I,8,0),"")=M157,"Pending","🔒 BLOCKED — Wrong Code")))</f>
        <v/>
      </c>
      <c r="M157" s="491" t="n"/>
    </row>
    <row r="158" ht="15" customHeight="1" s="341">
      <c r="H158" s="536" t="n"/>
      <c r="K158" s="537">
        <f>IF(B158="","Pending",IF(M158="","⚠️ Enter Code",IF(IFERROR(VLOOKUP(L158,DB_Agents!$B:$I,8,0),"")=M158,"Pending","🔒 BLOCKED — Wrong Code")))</f>
        <v/>
      </c>
      <c r="M158" s="491" t="n"/>
    </row>
    <row r="159" ht="15" customHeight="1" s="341">
      <c r="H159" s="536" t="n"/>
      <c r="K159" s="342">
        <f>IF(B159="","Pending",IF(M159="","⚠️ Enter Code",IF(IFERROR(VLOOKUP(L159,DB_Agents!$B:$I,8,0),"")=M159,"Pending","🔒 BLOCKED — Wrong Code")))</f>
        <v/>
      </c>
      <c r="M159" s="491" t="n"/>
    </row>
    <row r="160" ht="15" customHeight="1" s="341">
      <c r="H160" s="536" t="n"/>
      <c r="K160" s="537">
        <f>IF(B160="","Pending",IF(M160="","⚠️ Enter Code",IF(IFERROR(VLOOKUP(L160,DB_Agents!$B:$I,8,0),"")=M160,"Pending","🔒 BLOCKED — Wrong Code")))</f>
        <v/>
      </c>
      <c r="M160" s="491" t="n"/>
    </row>
    <row r="161" ht="15" customHeight="1" s="341">
      <c r="H161" s="536" t="n"/>
      <c r="K161" s="342">
        <f>IF(B161="","Pending",IF(M161="","⚠️ Enter Code",IF(IFERROR(VLOOKUP(L161,DB_Agents!$B:$I,8,0),"")=M161,"Pending","🔒 BLOCKED — Wrong Code")))</f>
        <v/>
      </c>
      <c r="M161" s="491" t="n"/>
    </row>
    <row r="162" ht="15" customHeight="1" s="341">
      <c r="H162" s="536" t="n"/>
      <c r="K162" s="537">
        <f>IF(B162="","Pending",IF(M162="","⚠️ Enter Code",IF(IFERROR(VLOOKUP(L162,DB_Agents!$B:$I,8,0),"")=M162,"Pending","🔒 BLOCKED — Wrong Code")))</f>
        <v/>
      </c>
      <c r="M162" s="491" t="n"/>
    </row>
    <row r="163" ht="15" customHeight="1" s="341">
      <c r="H163" s="536" t="n"/>
      <c r="K163" s="342">
        <f>IF(B163="","Pending",IF(M163="","⚠️ Enter Code",IF(IFERROR(VLOOKUP(L163,DB_Agents!$B:$I,8,0),"")=M163,"Pending","🔒 BLOCKED — Wrong Code")))</f>
        <v/>
      </c>
      <c r="M163" s="491" t="n"/>
    </row>
    <row r="164" ht="15" customHeight="1" s="341">
      <c r="H164" s="536" t="n"/>
      <c r="K164" s="537">
        <f>IF(B164="","Pending",IF(M164="","⚠️ Enter Code",IF(IFERROR(VLOOKUP(L164,DB_Agents!$B:$I,8,0),"")=M164,"Pending","🔒 BLOCKED — Wrong Code")))</f>
        <v/>
      </c>
      <c r="M164" s="491" t="n"/>
    </row>
    <row r="165" ht="15" customHeight="1" s="341">
      <c r="H165" s="536" t="n"/>
      <c r="K165" s="342">
        <f>IF(B165="","Pending",IF(M165="","⚠️ Enter Code",IF(IFERROR(VLOOKUP(L165,DB_Agents!$B:$I,8,0),"")=M165,"Pending","🔒 BLOCKED — Wrong Code")))</f>
        <v/>
      </c>
      <c r="M165" s="491" t="n"/>
    </row>
    <row r="166" ht="15" customHeight="1" s="341">
      <c r="H166" s="536" t="n"/>
      <c r="K166" s="537">
        <f>IF(B166="","Pending",IF(M166="","⚠️ Enter Code",IF(IFERROR(VLOOKUP(L166,DB_Agents!$B:$I,8,0),"")=M166,"Pending","🔒 BLOCKED — Wrong Code")))</f>
        <v/>
      </c>
      <c r="M166" s="491" t="n"/>
    </row>
    <row r="167" ht="15" customHeight="1" s="341">
      <c r="H167" s="536" t="n"/>
      <c r="K167" s="342">
        <f>IF(B167="","Pending",IF(M167="","⚠️ Enter Code",IF(IFERROR(VLOOKUP(L167,DB_Agents!$B:$I,8,0),"")=M167,"Pending","🔒 BLOCKED — Wrong Code")))</f>
        <v/>
      </c>
      <c r="M167" s="491" t="n"/>
    </row>
    <row r="168" ht="15" customHeight="1" s="341">
      <c r="H168" s="536" t="n"/>
      <c r="K168" s="537">
        <f>IF(B168="","Pending",IF(M168="","⚠️ Enter Code",IF(IFERROR(VLOOKUP(L168,DB_Agents!$B:$I,8,0),"")=M168,"Pending","🔒 BLOCKED — Wrong Code")))</f>
        <v/>
      </c>
      <c r="M168" s="491" t="n"/>
    </row>
    <row r="169" ht="15" customHeight="1" s="341">
      <c r="H169" s="536" t="n"/>
      <c r="K169" s="342">
        <f>IF(B169="","Pending",IF(M169="","⚠️ Enter Code",IF(IFERROR(VLOOKUP(L169,DB_Agents!$B:$I,8,0),"")=M169,"Pending","🔒 BLOCKED — Wrong Code")))</f>
        <v/>
      </c>
      <c r="M169" s="491" t="n"/>
    </row>
    <row r="170" ht="15" customHeight="1" s="341">
      <c r="H170" s="536" t="n"/>
      <c r="K170" s="537">
        <f>IF(B170="","Pending",IF(M170="","⚠️ Enter Code",IF(IFERROR(VLOOKUP(L170,DB_Agents!$B:$I,8,0),"")=M170,"Pending","🔒 BLOCKED — Wrong Code")))</f>
        <v/>
      </c>
      <c r="M170" s="491" t="n"/>
    </row>
    <row r="171" ht="15" customHeight="1" s="341">
      <c r="H171" s="536" t="n"/>
      <c r="K171" s="342">
        <f>IF(B171="","Pending",IF(M171="","⚠️ Enter Code",IF(IFERROR(VLOOKUP(L171,DB_Agents!$B:$I,8,0),"")=M171,"Pending","🔒 BLOCKED — Wrong Code")))</f>
        <v/>
      </c>
      <c r="M171" s="491" t="n"/>
    </row>
    <row r="172" ht="15" customHeight="1" s="341">
      <c r="H172" s="536" t="n"/>
      <c r="K172" s="537">
        <f>IF(B172="","Pending",IF(M172="","⚠️ Enter Code",IF(IFERROR(VLOOKUP(L172,DB_Agents!$B:$I,8,0),"")=M172,"Pending","🔒 BLOCKED — Wrong Code")))</f>
        <v/>
      </c>
      <c r="M172" s="491" t="n"/>
    </row>
    <row r="173" ht="15" customHeight="1" s="341">
      <c r="H173" s="536" t="n"/>
      <c r="K173" s="342">
        <f>IF(B173="","Pending",IF(M173="","⚠️ Enter Code",IF(IFERROR(VLOOKUP(L173,DB_Agents!$B:$I,8,0),"")=M173,"Pending","🔒 BLOCKED — Wrong Code")))</f>
        <v/>
      </c>
      <c r="M173" s="491" t="n"/>
    </row>
    <row r="174" ht="15" customHeight="1" s="341">
      <c r="H174" s="536" t="n"/>
      <c r="K174" s="537">
        <f>IF(B174="","Pending",IF(M174="","⚠️ Enter Code",IF(IFERROR(VLOOKUP(L174,DB_Agents!$B:$I,8,0),"")=M174,"Pending","🔒 BLOCKED — Wrong Code")))</f>
        <v/>
      </c>
      <c r="M174" s="491" t="n"/>
    </row>
    <row r="175" ht="15" customHeight="1" s="341">
      <c r="H175" s="536" t="n"/>
      <c r="K175" s="342">
        <f>IF(B175="","Pending",IF(M175="","⚠️ Enter Code",IF(IFERROR(VLOOKUP(L175,DB_Agents!$B:$I,8,0),"")=M175,"Pending","🔒 BLOCKED — Wrong Code")))</f>
        <v/>
      </c>
      <c r="M175" s="491" t="n"/>
    </row>
    <row r="176" ht="15" customHeight="1" s="341">
      <c r="H176" s="536" t="n"/>
      <c r="K176" s="537">
        <f>IF(B176="","Pending",IF(M176="","⚠️ Enter Code",IF(IFERROR(VLOOKUP(L176,DB_Agents!$B:$I,8,0),"")=M176,"Pending","🔒 BLOCKED — Wrong Code")))</f>
        <v/>
      </c>
      <c r="M176" s="491" t="n"/>
    </row>
    <row r="177" ht="15" customHeight="1" s="341">
      <c r="H177" s="536" t="n"/>
      <c r="K177" s="342">
        <f>IF(B177="","Pending",IF(M177="","⚠️ Enter Code",IF(IFERROR(VLOOKUP(L177,DB_Agents!$B:$I,8,0),"")=M177,"Pending","🔒 BLOCKED — Wrong Code")))</f>
        <v/>
      </c>
      <c r="M177" s="491" t="n"/>
    </row>
    <row r="178" ht="15" customHeight="1" s="341">
      <c r="H178" s="536" t="n"/>
      <c r="K178" s="537">
        <f>IF(B178="","Pending",IF(M178="","⚠️ Enter Code",IF(IFERROR(VLOOKUP(L178,DB_Agents!$B:$I,8,0),"")=M178,"Pending","🔒 BLOCKED — Wrong Code")))</f>
        <v/>
      </c>
      <c r="M178" s="491" t="n"/>
    </row>
    <row r="179" ht="15" customHeight="1" s="341">
      <c r="H179" s="536" t="n"/>
      <c r="K179" s="342">
        <f>IF(B179="","Pending",IF(M179="","⚠️ Enter Code",IF(IFERROR(VLOOKUP(L179,DB_Agents!$B:$I,8,0),"")=M179,"Pending","🔒 BLOCKED — Wrong Code")))</f>
        <v/>
      </c>
      <c r="M179" s="491" t="n"/>
    </row>
    <row r="180" ht="15" customHeight="1" s="341">
      <c r="H180" s="536" t="n"/>
      <c r="K180" s="537">
        <f>IF(B180="","Pending",IF(M180="","⚠️ Enter Code",IF(IFERROR(VLOOKUP(L180,DB_Agents!$B:$I,8,0),"")=M180,"Pending","🔒 BLOCKED — Wrong Code")))</f>
        <v/>
      </c>
      <c r="M180" s="491" t="n"/>
    </row>
    <row r="181" ht="15" customHeight="1" s="341">
      <c r="H181" s="536" t="n"/>
      <c r="K181" s="342">
        <f>IF(B181="","Pending",IF(M181="","⚠️ Enter Code",IF(IFERROR(VLOOKUP(L181,DB_Agents!$B:$I,8,0),"")=M181,"Pending","🔒 BLOCKED — Wrong Code")))</f>
        <v/>
      </c>
      <c r="M181" s="491" t="n"/>
    </row>
    <row r="182" ht="15" customHeight="1" s="341">
      <c r="H182" s="536" t="n"/>
      <c r="K182" s="537">
        <f>IF(B182="","Pending",IF(M182="","⚠️ Enter Code",IF(IFERROR(VLOOKUP(L182,DB_Agents!$B:$I,8,0),"")=M182,"Pending","🔒 BLOCKED — Wrong Code")))</f>
        <v/>
      </c>
      <c r="M182" s="491" t="n"/>
    </row>
    <row r="183" ht="15" customHeight="1" s="341">
      <c r="H183" s="536" t="n"/>
      <c r="K183" s="342">
        <f>IF(B183="","Pending",IF(M183="","⚠️ Enter Code",IF(IFERROR(VLOOKUP(L183,DB_Agents!$B:$I,8,0),"")=M183,"Pending","🔒 BLOCKED — Wrong Code")))</f>
        <v/>
      </c>
      <c r="M183" s="491" t="n"/>
    </row>
    <row r="184" ht="15" customHeight="1" s="341">
      <c r="H184" s="536" t="n"/>
      <c r="K184" s="537">
        <f>IF(B184="","Pending",IF(M184="","⚠️ Enter Code",IF(IFERROR(VLOOKUP(L184,DB_Agents!$B:$I,8,0),"")=M184,"Pending","🔒 BLOCKED — Wrong Code")))</f>
        <v/>
      </c>
      <c r="M184" s="491" t="n"/>
    </row>
    <row r="185" ht="15" customHeight="1" s="341">
      <c r="H185" s="536" t="n"/>
      <c r="K185" s="342">
        <f>IF(B185="","Pending",IF(M185="","⚠️ Enter Code",IF(IFERROR(VLOOKUP(L185,DB_Agents!$B:$I,8,0),"")=M185,"Pending","🔒 BLOCKED — Wrong Code")))</f>
        <v/>
      </c>
      <c r="M185" s="491" t="n"/>
    </row>
    <row r="186" ht="15" customHeight="1" s="341">
      <c r="H186" s="536" t="n"/>
      <c r="K186" s="537">
        <f>IF(B186="","Pending",IF(M186="","⚠️ Enter Code",IF(IFERROR(VLOOKUP(L186,DB_Agents!$B:$I,8,0),"")=M186,"Pending","🔒 BLOCKED — Wrong Code")))</f>
        <v/>
      </c>
      <c r="M186" s="491" t="n"/>
    </row>
    <row r="187" ht="15" customHeight="1" s="341">
      <c r="H187" s="536" t="n"/>
      <c r="K187" s="342">
        <f>IF(B187="","Pending",IF(M187="","⚠️ Enter Code",IF(IFERROR(VLOOKUP(L187,DB_Agents!$B:$I,8,0),"")=M187,"Pending","🔒 BLOCKED — Wrong Code")))</f>
        <v/>
      </c>
      <c r="M187" s="491" t="n"/>
    </row>
    <row r="188" ht="15" customHeight="1" s="341">
      <c r="H188" s="536" t="n"/>
      <c r="K188" s="537">
        <f>IF(B188="","Pending",IF(M188="","⚠️ Enter Code",IF(IFERROR(VLOOKUP(L188,DB_Agents!$B:$I,8,0),"")=M188,"Pending","🔒 BLOCKED — Wrong Code")))</f>
        <v/>
      </c>
      <c r="M188" s="491" t="n"/>
    </row>
    <row r="189" ht="15" customHeight="1" s="341">
      <c r="H189" s="536" t="n"/>
      <c r="K189" s="342">
        <f>IF(B189="","Pending",IF(M189="","⚠️ Enter Code",IF(IFERROR(VLOOKUP(L189,DB_Agents!$B:$I,8,0),"")=M189,"Pending","🔒 BLOCKED — Wrong Code")))</f>
        <v/>
      </c>
      <c r="M189" s="491" t="n"/>
    </row>
    <row r="190" ht="15" customHeight="1" s="341">
      <c r="H190" s="536" t="n"/>
      <c r="K190" s="537">
        <f>IF(B190="","Pending",IF(M190="","⚠️ Enter Code",IF(IFERROR(VLOOKUP(L190,DB_Agents!$B:$I,8,0),"")=M190,"Pending","🔒 BLOCKED — Wrong Code")))</f>
        <v/>
      </c>
      <c r="M190" s="491" t="n"/>
    </row>
    <row r="191" ht="15" customHeight="1" s="341">
      <c r="H191" s="536" t="n"/>
      <c r="K191" s="342">
        <f>IF(B191="","Pending",IF(M191="","⚠️ Enter Code",IF(IFERROR(VLOOKUP(L191,DB_Agents!$B:$I,8,0),"")=M191,"Pending","🔒 BLOCKED — Wrong Code")))</f>
        <v/>
      </c>
      <c r="M191" s="491" t="n"/>
    </row>
    <row r="192" ht="15" customHeight="1" s="341">
      <c r="H192" s="536" t="n"/>
      <c r="K192" s="537">
        <f>IF(B192="","Pending",IF(M192="","⚠️ Enter Code",IF(IFERROR(VLOOKUP(L192,DB_Agents!$B:$I,8,0),"")=M192,"Pending","🔒 BLOCKED — Wrong Code")))</f>
        <v/>
      </c>
      <c r="M192" s="491" t="n"/>
    </row>
    <row r="193" ht="15" customHeight="1" s="341">
      <c r="H193" s="536" t="n"/>
      <c r="K193" s="342">
        <f>IF(B193="","Pending",IF(M193="","⚠️ Enter Code",IF(IFERROR(VLOOKUP(L193,DB_Agents!$B:$I,8,0),"")=M193,"Pending","🔒 BLOCKED — Wrong Code")))</f>
        <v/>
      </c>
      <c r="M193" s="491" t="n"/>
    </row>
    <row r="194" ht="15" customHeight="1" s="341">
      <c r="H194" s="536" t="n"/>
      <c r="K194" s="537">
        <f>IF(B194="","Pending",IF(M194="","⚠️ Enter Code",IF(IFERROR(VLOOKUP(L194,DB_Agents!$B:$I,8,0),"")=M194,"Pending","🔒 BLOCKED — Wrong Code")))</f>
        <v/>
      </c>
      <c r="M194" s="491" t="n"/>
    </row>
    <row r="195" ht="15" customHeight="1" s="341">
      <c r="H195" s="536" t="n"/>
      <c r="K195" s="342">
        <f>IF(B195="","Pending",IF(M195="","⚠️ Enter Code",IF(IFERROR(VLOOKUP(L195,DB_Agents!$B:$I,8,0),"")=M195,"Pending","🔒 BLOCKED — Wrong Code")))</f>
        <v/>
      </c>
      <c r="M195" s="491" t="n"/>
    </row>
    <row r="196" ht="15" customHeight="1" s="341">
      <c r="H196" s="536" t="n"/>
      <c r="K196" s="537">
        <f>IF(B196="","Pending",IF(M196="","⚠️ Enter Code",IF(IFERROR(VLOOKUP(L196,DB_Agents!$B:$I,8,0),"")=M196,"Pending","🔒 BLOCKED — Wrong Code")))</f>
        <v/>
      </c>
      <c r="M196" s="491" t="n"/>
    </row>
    <row r="197" ht="15" customHeight="1" s="341">
      <c r="H197" s="536" t="n"/>
      <c r="K197" s="342">
        <f>IF(B197="","Pending",IF(M197="","⚠️ Enter Code",IF(IFERROR(VLOOKUP(L197,DB_Agents!$B:$I,8,0),"")=M197,"Pending","🔒 BLOCKED — Wrong Code")))</f>
        <v/>
      </c>
      <c r="M197" s="491" t="n"/>
    </row>
    <row r="198" ht="15" customHeight="1" s="341">
      <c r="H198" s="536" t="n"/>
      <c r="K198" s="537">
        <f>IF(B198="","Pending",IF(M198="","⚠️ Enter Code",IF(IFERROR(VLOOKUP(L198,DB_Agents!$B:$I,8,0),"")=M198,"Pending","🔒 BLOCKED — Wrong Code")))</f>
        <v/>
      </c>
      <c r="M198" s="491" t="n"/>
    </row>
    <row r="199" ht="15" customHeight="1" s="341">
      <c r="H199" s="536" t="n"/>
      <c r="K199" s="342">
        <f>IF(B199="","Pending",IF(M199="","⚠️ Enter Code",IF(IFERROR(VLOOKUP(L199,DB_Agents!$B:$I,8,0),"")=M199,"Pending","🔒 BLOCKED — Wrong Code")))</f>
        <v/>
      </c>
      <c r="M199" s="491" t="n"/>
    </row>
    <row r="200" ht="15" customHeight="1" s="341">
      <c r="H200" s="536" t="n"/>
      <c r="K200" s="537">
        <f>IF(B200="","Pending",IF(M200="","⚠️ Enter Code",IF(IFERROR(VLOOKUP(L200,DB_Agents!$B:$I,8,0),"")=M200,"Pending","🔒 BLOCKED — Wrong Code")))</f>
        <v/>
      </c>
      <c r="M200" s="491" t="n"/>
    </row>
    <row r="201" ht="15" customHeight="1" s="341">
      <c r="K201" s="342">
        <f>IF(B201="","Pending",IF(M201="","⚠️ Enter Code",IF(IFERROR(VLOOKUP(L201,DB_Agents!$B:$I,8,0),"")=M201,"Pending","🔒 BLOCKED — Wrong Code")))</f>
        <v/>
      </c>
      <c r="M201" s="491" t="n"/>
    </row>
    <row r="202" ht="15" customHeight="1" s="341">
      <c r="K202" s="537">
        <f>IF(B202="","Pending",IF(M202="","⚠️ Enter Code",IF(IFERROR(VLOOKUP(L202,DB_Agents!$B:$I,8,0),"")=M202,"Pending","🔒 BLOCKED — Wrong Code")))</f>
        <v/>
      </c>
      <c r="M202" s="491" t="n"/>
    </row>
    <row r="203" ht="15" customHeight="1" s="341">
      <c r="K203" s="342">
        <f>IF(B203="","Pending",IF(M203="","⚠️ Enter Code",IF(IFERROR(VLOOKUP(L203,DB_Agents!$B:$I,8,0),"")=M203,"Pending","🔒 BLOCKED — Wrong Code")))</f>
        <v/>
      </c>
      <c r="M203" s="491" t="n"/>
    </row>
    <row r="204" ht="15" customHeight="1" s="341">
      <c r="K204" s="537">
        <f>IF(B204="","Pending",IF(M204="","⚠️ Enter Code",IF(IFERROR(VLOOKUP(L204,DB_Agents!$B:$I,8,0),"")=M204,"Pending","🔒 BLOCKED — Wrong Code")))</f>
        <v/>
      </c>
      <c r="M204" s="491" t="n"/>
    </row>
    <row r="205" ht="15" customHeight="1" s="341">
      <c r="K205" s="342">
        <f>IF(B205="","Pending",IF(M205="","⚠️ Enter Code",IF(IFERROR(VLOOKUP(L205,DB_Agents!$B:$I,8,0),"")=M205,"Pending","🔒 BLOCKED — Wrong Code")))</f>
        <v/>
      </c>
      <c r="M205" s="491" t="n"/>
    </row>
    <row r="206" ht="15" customHeight="1" s="341">
      <c r="K206" s="537">
        <f>IF(B206="","Pending",IF(M206="","⚠️ Enter Code",IF(IFERROR(VLOOKUP(L206,DB_Agents!$B:$I,8,0),"")=M206,"Pending","🔒 BLOCKED — Wrong Code")))</f>
        <v/>
      </c>
      <c r="M206" s="491" t="n"/>
    </row>
    <row r="207" ht="15" customHeight="1" s="341">
      <c r="K207" s="342">
        <f>IF(B207="","Pending",IF(M207="","⚠️ Enter Code",IF(IFERROR(VLOOKUP(L207,DB_Agents!$B:$I,8,0),"")=M207,"Pending","🔒 BLOCKED — Wrong Code")))</f>
        <v/>
      </c>
      <c r="M207" s="491" t="n"/>
    </row>
    <row r="208" ht="15" customHeight="1" s="341">
      <c r="K208" s="537">
        <f>IF(B208="","Pending",IF(M208="","⚠️ Enter Code",IF(IFERROR(VLOOKUP(L208,DB_Agents!$B:$I,8,0),"")=M208,"Pending","🔒 BLOCKED — Wrong Code")))</f>
        <v/>
      </c>
      <c r="M208" s="491" t="n"/>
    </row>
    <row r="209" ht="15" customHeight="1" s="341">
      <c r="K209" s="342">
        <f>IF(B209="","Pending",IF(M209="","⚠️ Enter Code",IF(IFERROR(VLOOKUP(L209,DB_Agents!$B:$I,8,0),"")=M209,"Pending","🔒 BLOCKED — Wrong Code")))</f>
        <v/>
      </c>
      <c r="M209" s="491" t="n"/>
    </row>
    <row r="210" ht="15" customHeight="1" s="341">
      <c r="K210" s="537">
        <f>IF(B210="","Pending",IF(M210="","⚠️ Enter Code",IF(IFERROR(VLOOKUP(L210,DB_Agents!$B:$I,8,0),"")=M210,"Pending","🔒 BLOCKED — Wrong Code")))</f>
        <v/>
      </c>
      <c r="M210" s="491" t="n"/>
    </row>
    <row r="211" ht="15" customHeight="1" s="341">
      <c r="K211" s="342">
        <f>IF(B211="","Pending",IF(M211="","⚠️ Enter Code",IF(IFERROR(VLOOKUP(L211,DB_Agents!$B:$I,8,0),"")=M211,"Pending","🔒 BLOCKED — Wrong Code")))</f>
        <v/>
      </c>
      <c r="M211" s="491" t="n"/>
    </row>
    <row r="212" ht="15" customHeight="1" s="341">
      <c r="K212" s="537">
        <f>IF(B212="","Pending",IF(M212="","⚠️ Enter Code",IF(IFERROR(VLOOKUP(L212,DB_Agents!$B:$I,8,0),"")=M212,"Pending","🔒 BLOCKED — Wrong Code")))</f>
        <v/>
      </c>
      <c r="M212" s="491" t="n"/>
    </row>
    <row r="213" ht="15" customHeight="1" s="341">
      <c r="K213" s="342">
        <f>IF(B213="","Pending",IF(M213="","⚠️ Enter Code",IF(IFERROR(VLOOKUP(L213,DB_Agents!$B:$I,8,0),"")=M213,"Pending","🔒 BLOCKED — Wrong Code")))</f>
        <v/>
      </c>
      <c r="M213" s="491" t="n"/>
    </row>
  </sheetData>
  <mergeCells count="10">
    <mergeCell ref="B10:D10"/>
    <mergeCell ref="B5:D5"/>
    <mergeCell ref="A12:N12"/>
    <mergeCell ref="A4:D4"/>
    <mergeCell ref="B8:D8"/>
    <mergeCell ref="A2:N2"/>
    <mergeCell ref="B9:D9"/>
    <mergeCell ref="B7:D7"/>
    <mergeCell ref="B6:D6"/>
    <mergeCell ref="A1:N1"/>
  </mergeCells>
  <conditionalFormatting sqref="K14:K113">
    <cfRule type="cellIs" rank="0" priority="2" equalAverage="0" operator="equal" aboveAverage="0" dxfId="0" text="" percent="0" bottom="0">
      <formula>"Approved"</formula>
    </cfRule>
    <cfRule type="cellIs" rank="0" priority="3" equalAverage="0" operator="equal" aboveAverage="0" dxfId="11" text="" percent="0" bottom="0">
      <formula>"Pending"</formula>
    </cfRule>
    <cfRule type="cellIs" rank="0" priority="4" equalAverage="0" operator="equal" aboveAverage="0" dxfId="1" text="" percent="0" bottom="0">
      <formula>"Rejected"</formula>
    </cfRule>
  </conditionalFormatting>
  <dataValidations count="2">
    <dataValidation sqref="G14:G113" showDropDown="0" showInputMessage="0" showErrorMessage="1" allowBlank="0" error="Enter 1-36 months" type="whole" errorStyle="stop" operator="between">
      <formula1>1</formula1>
      <formula2>36</formula2>
    </dataValidation>
    <dataValidation sqref="L14:L113"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8.xml><?xml version="1.0" encoding="utf-8"?>
<worksheet xmlns="http://schemas.openxmlformats.org/spreadsheetml/2006/main">
  <sheetPr filterMode="0">
    <tabColor rgb="FF27AE60"/>
    <outlinePr summaryBelow="1" summaryRight="1"/>
    <pageSetUpPr fitToPage="0"/>
  </sheetPr>
  <dimension ref="A1:L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2" customWidth="1" style="340" min="7" max="7"/>
    <col width="14" customWidth="1" style="340" min="8" max="8"/>
    <col width="22" customWidth="1" style="340" min="9" max="10"/>
  </cols>
  <sheetData>
    <row r="1" ht="31.5" customHeight="1" s="341">
      <c r="A1" s="409" t="inlineStr">
        <is>
          <t>💰  SAMICIOUS MICROFINANCE — AGENT05 SAVINGS</t>
        </is>
      </c>
    </row>
    <row r="2" ht="19.5" customHeight="1" s="341">
      <c r="A2" s="479" t="inlineStr">
        <is>
          <t>Agent: Agent 05  |  Enter Account # → All fields auto-populate  |  Status auto-sets to "Saved"  |  🔑 Security: Enter your 4-digit Agent Code in each row</t>
        </is>
      </c>
    </row>
    <row r="3" ht="18" customHeight="1" s="341">
      <c r="A3" s="364" t="inlineStr">
        <is>
          <t>💰 Total Collected Today</t>
        </is>
      </c>
      <c r="D3" s="367" t="inlineStr">
        <is>
          <t>📊 Transactions Today</t>
        </is>
      </c>
      <c r="G3" s="439" t="inlineStr">
        <is>
          <t>📅 Date</t>
        </is>
      </c>
      <c r="J3" s="340" t="n"/>
    </row>
    <row r="4" ht="27.75" customHeight="1" s="341">
      <c r="A4" s="480">
        <f>SUMIFS(DB_Savings!$F:$F,DB_Savings!$G:$G,"Agent 05",DB_Savings!$E:$E,TODAY())</f>
        <v/>
      </c>
      <c r="D4" s="481">
        <f>COUNTIFS(DB_Savings!$G:$G,"Agent 05",DB_Savings!$E:$E,TODAY())</f>
        <v/>
      </c>
      <c r="G4" s="482">
        <f>TEXT(TODAY(),"DDDD, DD MMMM YYYY")</f>
        <v/>
      </c>
      <c r="J4" s="340" t="n"/>
    </row>
    <row r="5" ht="21.75" customHeight="1" s="341">
      <c r="A5" s="483">
        <f>IF(SUMIFS(DB_Savings!$F:$F,DB_Savings!$G:$G,"Agent 05",DB_Savings!$E:$E,TODAY())&gt;=J4,"✅ DAILY TARGET ACHIEVED! Well done Agent 05!","⏳ Collection in progress — Keep going! Remaining: GHC "&amp;TEXT(J4-SUMIFS(DB_Savings!$F:$F,DB_Savings!$G:$G,"Agent 05",DB_Savings!$E:$E,TODAY()),"#,##0.00"))</f>
        <v/>
      </c>
    </row>
    <row r="6" ht="7.5" customHeight="1" s="341"/>
    <row r="7" ht="19.5" customHeight="1" s="341">
      <c r="A7" s="484" t="inlineStr">
        <is>
          <t>📝  ENTRY FORM — Enter Account Number in column A. All other fields auto-populate. Enter Savings Amount in column E then Tab to complete. | Enter Agent Code in 🔑 column to authorize each transaction.</t>
        </is>
      </c>
    </row>
    <row r="8" ht="19.5" customHeight="1" s="341">
      <c r="A8" s="377" t="inlineStr">
        <is>
          <t>Account #</t>
        </is>
      </c>
      <c r="B8" s="377" t="inlineStr">
        <is>
          <t>Customer Name</t>
        </is>
      </c>
      <c r="C8" s="377" t="inlineStr">
        <is>
          <t>Current Balance</t>
        </is>
      </c>
      <c r="D8" s="377" t="inlineStr">
        <is>
          <t>Date</t>
        </is>
      </c>
      <c r="E8" s="377" t="inlineStr">
        <is>
          <t>Savings Amount</t>
        </is>
      </c>
      <c r="F8" s="377" t="inlineStr">
        <is>
          <t>New Balance</t>
        </is>
      </c>
      <c r="G8" s="377" t="inlineStr">
        <is>
          <t>Agent</t>
        </is>
      </c>
      <c r="H8" s="485" t="inlineStr">
        <is>
          <t>🔑 Agent Code</t>
        </is>
      </c>
      <c r="I8" s="377" t="inlineStr">
        <is>
          <t>Status</t>
        </is>
      </c>
      <c r="J8" s="377" t="inlineStr">
        <is>
          <t>Saved At</t>
        </is>
      </c>
      <c r="K8" s="377" t="inlineStr">
        <is>
          <t>Notes</t>
        </is>
      </c>
    </row>
    <row r="9" ht="15" customHeight="1" s="341">
      <c r="A9" s="486" t="n"/>
      <c r="B9" s="378">
        <f>IF(A9="","",IFERROR(VLOOKUP(A9,DB_Customers!$A:$D,4,0),"❌ Account Not Found"))</f>
        <v/>
      </c>
      <c r="C9" s="487">
        <f>IF(A9="","",IFERROR(VLOOKUP(A9,DB_Customers!$A:$N,14,0),""))</f>
        <v/>
      </c>
      <c r="D9" s="488">
        <f>IF(A9="","",TODAY())</f>
        <v/>
      </c>
      <c r="E9" s="489" t="n"/>
      <c r="F9" s="490">
        <f>IF(OR(A9="",E9=""),"",IF(C9="","",C9+E9))</f>
        <v/>
      </c>
      <c r="G9" s="380" t="inlineStr">
        <is>
          <t>Agent 05</t>
        </is>
      </c>
      <c r="H9" s="491" t="n"/>
      <c r="I9" s="492">
        <f>IF(A9="","Pending",IF(H9="","⚠️ Enter Code",IF(IFERROR(VLOOKUP(G9,DB_Agents!$B:$I,8,0),"")=H9,IF(AND(A9&lt;&gt;"",E9&lt;&gt;""),"Saved","Pending"),"🔒 BLOCKED — Wrong Code")))</f>
        <v/>
      </c>
      <c r="J9" s="493">
        <f>IF(I9="Saved",TEXT(TODAY(),"YYYY-MM-DD")&amp;" Auto","—")</f>
        <v/>
      </c>
      <c r="K9" s="494" t="n"/>
    </row>
    <row r="10" ht="15" customHeight="1" s="341">
      <c r="A10" s="495" t="n"/>
      <c r="B10" s="382">
        <f>IF(A10="","",IFERROR(VLOOKUP(A10,DB_Customers!$A:$D,4,0),"❌ Account Not Found"))</f>
        <v/>
      </c>
      <c r="C10" s="496">
        <f>IF(A10="","",IFERROR(VLOOKUP(A10,DB_Customers!$A:$N,14,0),""))</f>
        <v/>
      </c>
      <c r="D10" s="497">
        <f>IF(A10="","",TODAY())</f>
        <v/>
      </c>
      <c r="E10" s="489" t="n"/>
      <c r="F10" s="498">
        <f>IF(OR(A10="",E10=""),"",IF(C10="","",C10+E10))</f>
        <v/>
      </c>
      <c r="G10" s="384" t="inlineStr">
        <is>
          <t>Agent 05</t>
        </is>
      </c>
      <c r="H10" s="491" t="n"/>
      <c r="I10" s="499">
        <f>IF(A10="","Pending",IF(H10="","⚠️ Enter Code",IF(IFERROR(VLOOKUP(G10,DB_Agents!$B:$I,8,0),"")=H10,IF(AND(A10&lt;&gt;"",E10&lt;&gt;""),"Saved","Pending"),"🔒 BLOCKED — Wrong Code")))</f>
        <v/>
      </c>
      <c r="J10" s="500">
        <f>IF(I10="Saved",TEXT(TODAY(),"YYYY-MM-DD")&amp;" Auto","—")</f>
        <v/>
      </c>
      <c r="K10" s="501" t="n"/>
    </row>
    <row r="11" ht="15" customHeight="1" s="341">
      <c r="A11" s="486" t="n"/>
      <c r="B11" s="378">
        <f>IF(A11="","",IFERROR(VLOOKUP(A11,DB_Customers!$A:$D,4,0),"❌ Account Not Found"))</f>
        <v/>
      </c>
      <c r="C11" s="487">
        <f>IF(A11="","",IFERROR(VLOOKUP(A11,DB_Customers!$A:$N,14,0),""))</f>
        <v/>
      </c>
      <c r="D11" s="488">
        <f>IF(A11="","",TODAY())</f>
        <v/>
      </c>
      <c r="E11" s="489" t="n"/>
      <c r="F11" s="490">
        <f>IF(OR(A11="",E11=""),"",IF(C11="","",C11+E11))</f>
        <v/>
      </c>
      <c r="G11" s="380" t="inlineStr">
        <is>
          <t>Agent 05</t>
        </is>
      </c>
      <c r="H11" s="491" t="n"/>
      <c r="I11" s="492">
        <f>IF(A11="","Pending",IF(H11="","⚠️ Enter Code",IF(IFERROR(VLOOKUP(G11,DB_Agents!$B:$I,8,0),"")=H11,IF(AND(A11&lt;&gt;"",E11&lt;&gt;""),"Saved","Pending"),"🔒 BLOCKED — Wrong Code")))</f>
        <v/>
      </c>
      <c r="J11" s="493">
        <f>IF(I11="Saved",TEXT(TODAY(),"YYYY-MM-DD")&amp;" Auto","—")</f>
        <v/>
      </c>
      <c r="K11" s="494" t="n"/>
    </row>
    <row r="12" ht="15" customHeight="1" s="341">
      <c r="A12" s="495" t="n"/>
      <c r="B12" s="382">
        <f>IF(A12="","",IFERROR(VLOOKUP(A12,DB_Customers!$A:$D,4,0),"❌ Account Not Found"))</f>
        <v/>
      </c>
      <c r="C12" s="496">
        <f>IF(A12="","",IFERROR(VLOOKUP(A12,DB_Customers!$A:$N,14,0),""))</f>
        <v/>
      </c>
      <c r="D12" s="497">
        <f>IF(A12="","",TODAY())</f>
        <v/>
      </c>
      <c r="E12" s="489" t="n"/>
      <c r="F12" s="498">
        <f>IF(OR(A12="",E12=""),"",IF(C12="","",C12+E12))</f>
        <v/>
      </c>
      <c r="G12" s="384" t="inlineStr">
        <is>
          <t>Agent 05</t>
        </is>
      </c>
      <c r="H12" s="491" t="n"/>
      <c r="I12" s="499">
        <f>IF(A12="","Pending",IF(H12="","⚠️ Enter Code",IF(IFERROR(VLOOKUP(G12,DB_Agents!$B:$I,8,0),"")=H12,IF(AND(A12&lt;&gt;"",E12&lt;&gt;""),"Saved","Pending"),"🔒 BLOCKED — Wrong Code")))</f>
        <v/>
      </c>
      <c r="J12" s="500">
        <f>IF(I12="Saved",TEXT(TODAY(),"YYYY-MM-DD")&amp;" Auto","—")</f>
        <v/>
      </c>
      <c r="K12" s="501" t="n"/>
    </row>
    <row r="13" ht="15" customHeight="1" s="341">
      <c r="A13" s="486" t="n"/>
      <c r="B13" s="378">
        <f>IF(A13="","",IFERROR(VLOOKUP(A13,DB_Customers!$A:$D,4,0),"❌ Account Not Found"))</f>
        <v/>
      </c>
      <c r="C13" s="487">
        <f>IF(A13="","",IFERROR(VLOOKUP(A13,DB_Customers!$A:$N,14,0),""))</f>
        <v/>
      </c>
      <c r="D13" s="488">
        <f>IF(A13="","",TODAY())</f>
        <v/>
      </c>
      <c r="E13" s="489" t="n"/>
      <c r="F13" s="490">
        <f>IF(OR(A13="",E13=""),"",IF(C13="","",C13+E13))</f>
        <v/>
      </c>
      <c r="G13" s="380" t="inlineStr">
        <is>
          <t>Agent 05</t>
        </is>
      </c>
      <c r="H13" s="491" t="n"/>
      <c r="I13" s="492">
        <f>IF(A13="","Pending",IF(H13="","⚠️ Enter Code",IF(IFERROR(VLOOKUP(G13,DB_Agents!$B:$I,8,0),"")=H13,IF(AND(A13&lt;&gt;"",E13&lt;&gt;""),"Saved","Pending"),"🔒 BLOCKED — Wrong Code")))</f>
        <v/>
      </c>
      <c r="J13" s="493">
        <f>IF(I13="Saved",TEXT(TODAY(),"YYYY-MM-DD")&amp;" Auto","—")</f>
        <v/>
      </c>
      <c r="K13" s="494" t="n"/>
    </row>
    <row r="14" ht="15" customHeight="1" s="341">
      <c r="A14" s="495" t="n"/>
      <c r="B14" s="382">
        <f>IF(A14="","",IFERROR(VLOOKUP(A14,DB_Customers!$A:$D,4,0),"❌ Account Not Found"))</f>
        <v/>
      </c>
      <c r="C14" s="496">
        <f>IF(A14="","",IFERROR(VLOOKUP(A14,DB_Customers!$A:$N,14,0),""))</f>
        <v/>
      </c>
      <c r="D14" s="497">
        <f>IF(A14="","",TODAY())</f>
        <v/>
      </c>
      <c r="E14" s="489" t="n"/>
      <c r="F14" s="498">
        <f>IF(OR(A14="",E14=""),"",IF(C14="","",C14+E14))</f>
        <v/>
      </c>
      <c r="G14" s="384" t="inlineStr">
        <is>
          <t>Agent 05</t>
        </is>
      </c>
      <c r="H14" s="491" t="n"/>
      <c r="I14" s="499">
        <f>IF(A14="","Pending",IF(H14="","⚠️ Enter Code",IF(IFERROR(VLOOKUP(G14,DB_Agents!$B:$I,8,0),"")=H14,IF(AND(A14&lt;&gt;"",E14&lt;&gt;""),"Saved","Pending"),"🔒 BLOCKED — Wrong Code")))</f>
        <v/>
      </c>
      <c r="J14" s="500">
        <f>IF(I14="Saved",TEXT(TODAY(),"YYYY-MM-DD")&amp;" Auto","—")</f>
        <v/>
      </c>
      <c r="K14" s="501" t="n"/>
    </row>
    <row r="15" ht="15" customHeight="1" s="341">
      <c r="A15" s="486" t="n"/>
      <c r="B15" s="378">
        <f>IF(A15="","",IFERROR(VLOOKUP(A15,DB_Customers!$A:$D,4,0),"❌ Account Not Found"))</f>
        <v/>
      </c>
      <c r="C15" s="487">
        <f>IF(A15="","",IFERROR(VLOOKUP(A15,DB_Customers!$A:$N,14,0),""))</f>
        <v/>
      </c>
      <c r="D15" s="488">
        <f>IF(A15="","",TODAY())</f>
        <v/>
      </c>
      <c r="E15" s="489" t="n"/>
      <c r="F15" s="490">
        <f>IF(OR(A15="",E15=""),"",IF(C15="","",C15+E15))</f>
        <v/>
      </c>
      <c r="G15" s="380" t="inlineStr">
        <is>
          <t>Agent 05</t>
        </is>
      </c>
      <c r="H15" s="491" t="n"/>
      <c r="I15" s="492">
        <f>IF(A15="","Pending",IF(H15="","⚠️ Enter Code",IF(IFERROR(VLOOKUP(G15,DB_Agents!$B:$I,8,0),"")=H15,IF(AND(A15&lt;&gt;"",E15&lt;&gt;""),"Saved","Pending"),"🔒 BLOCKED — Wrong Code")))</f>
        <v/>
      </c>
      <c r="J15" s="493">
        <f>IF(I15="Saved",TEXT(TODAY(),"YYYY-MM-DD")&amp;" Auto","—")</f>
        <v/>
      </c>
      <c r="K15" s="494" t="n"/>
    </row>
    <row r="16" ht="15" customHeight="1" s="341">
      <c r="A16" s="495" t="n"/>
      <c r="B16" s="382">
        <f>IF(A16="","",IFERROR(VLOOKUP(A16,DB_Customers!$A:$D,4,0),"❌ Account Not Found"))</f>
        <v/>
      </c>
      <c r="C16" s="496">
        <f>IF(A16="","",IFERROR(VLOOKUP(A16,DB_Customers!$A:$N,14,0),""))</f>
        <v/>
      </c>
      <c r="D16" s="497">
        <f>IF(A16="","",TODAY())</f>
        <v/>
      </c>
      <c r="E16" s="489" t="n"/>
      <c r="F16" s="498">
        <f>IF(OR(A16="",E16=""),"",IF(C16="","",C16+E16))</f>
        <v/>
      </c>
      <c r="G16" s="384" t="inlineStr">
        <is>
          <t>Agent 05</t>
        </is>
      </c>
      <c r="H16" s="491" t="n"/>
      <c r="I16" s="499">
        <f>IF(A16="","Pending",IF(H16="","⚠️ Enter Code",IF(IFERROR(VLOOKUP(G16,DB_Agents!$B:$I,8,0),"")=H16,IF(AND(A16&lt;&gt;"",E16&lt;&gt;""),"Saved","Pending"),"🔒 BLOCKED — Wrong Code")))</f>
        <v/>
      </c>
      <c r="J16" s="500">
        <f>IF(I16="Saved",TEXT(TODAY(),"YYYY-MM-DD")&amp;" Auto","—")</f>
        <v/>
      </c>
      <c r="K16" s="501" t="n"/>
    </row>
    <row r="17" ht="15" customHeight="1" s="341">
      <c r="A17" s="486" t="n"/>
      <c r="B17" s="378">
        <f>IF(A17="","",IFERROR(VLOOKUP(A17,DB_Customers!$A:$D,4,0),"❌ Account Not Found"))</f>
        <v/>
      </c>
      <c r="C17" s="487">
        <f>IF(A17="","",IFERROR(VLOOKUP(A17,DB_Customers!$A:$N,14,0),""))</f>
        <v/>
      </c>
      <c r="D17" s="488">
        <f>IF(A17="","",TODAY())</f>
        <v/>
      </c>
      <c r="E17" s="489" t="n"/>
      <c r="F17" s="490">
        <f>IF(OR(A17="",E17=""),"",IF(C17="","",C17+E17))</f>
        <v/>
      </c>
      <c r="G17" s="380" t="inlineStr">
        <is>
          <t>Agent 05</t>
        </is>
      </c>
      <c r="H17" s="491" t="n"/>
      <c r="I17" s="492">
        <f>IF(A17="","Pending",IF(H17="","⚠️ Enter Code",IF(IFERROR(VLOOKUP(G17,DB_Agents!$B:$I,8,0),"")=H17,IF(AND(A17&lt;&gt;"",E17&lt;&gt;""),"Saved","Pending"),"🔒 BLOCKED — Wrong Code")))</f>
        <v/>
      </c>
      <c r="J17" s="493">
        <f>IF(I17="Saved",TEXT(TODAY(),"YYYY-MM-DD")&amp;" Auto","—")</f>
        <v/>
      </c>
      <c r="K17" s="494" t="n"/>
    </row>
    <row r="18" ht="15" customHeight="1" s="341">
      <c r="A18" s="495" t="n"/>
      <c r="B18" s="382">
        <f>IF(A18="","",IFERROR(VLOOKUP(A18,DB_Customers!$A:$D,4,0),"❌ Account Not Found"))</f>
        <v/>
      </c>
      <c r="C18" s="496">
        <f>IF(A18="","",IFERROR(VLOOKUP(A18,DB_Customers!$A:$N,14,0),""))</f>
        <v/>
      </c>
      <c r="D18" s="497">
        <f>IF(A18="","",TODAY())</f>
        <v/>
      </c>
      <c r="E18" s="489" t="n"/>
      <c r="F18" s="498">
        <f>IF(OR(A18="",E18=""),"",IF(C18="","",C18+E18))</f>
        <v/>
      </c>
      <c r="G18" s="384" t="inlineStr">
        <is>
          <t>Agent 05</t>
        </is>
      </c>
      <c r="H18" s="491" t="n"/>
      <c r="I18" s="499">
        <f>IF(A18="","Pending",IF(H18="","⚠️ Enter Code",IF(IFERROR(VLOOKUP(G18,DB_Agents!$B:$I,8,0),"")=H18,IF(AND(A18&lt;&gt;"",E18&lt;&gt;""),"Saved","Pending"),"🔒 BLOCKED — Wrong Code")))</f>
        <v/>
      </c>
      <c r="J18" s="500">
        <f>IF(I18="Saved",TEXT(TODAY(),"YYYY-MM-DD")&amp;" Auto","—")</f>
        <v/>
      </c>
      <c r="K18" s="501" t="n"/>
    </row>
    <row r="19" ht="15" customHeight="1" s="341">
      <c r="A19" s="486" t="n"/>
      <c r="B19" s="378">
        <f>IF(A19="","",IFERROR(VLOOKUP(A19,DB_Customers!$A:$D,4,0),"❌ Account Not Found"))</f>
        <v/>
      </c>
      <c r="C19" s="487">
        <f>IF(A19="","",IFERROR(VLOOKUP(A19,DB_Customers!$A:$N,14,0),""))</f>
        <v/>
      </c>
      <c r="D19" s="488">
        <f>IF(A19="","",TODAY())</f>
        <v/>
      </c>
      <c r="E19" s="489" t="n"/>
      <c r="F19" s="490">
        <f>IF(OR(A19="",E19=""),"",IF(C19="","",C19+E19))</f>
        <v/>
      </c>
      <c r="G19" s="380" t="inlineStr">
        <is>
          <t>Agent 05</t>
        </is>
      </c>
      <c r="H19" s="491" t="n"/>
      <c r="I19" s="492">
        <f>IF(A19="","Pending",IF(H19="","⚠️ Enter Code",IF(IFERROR(VLOOKUP(G19,DB_Agents!$B:$I,8,0),"")=H19,IF(AND(A19&lt;&gt;"",E19&lt;&gt;""),"Saved","Pending"),"🔒 BLOCKED — Wrong Code")))</f>
        <v/>
      </c>
      <c r="J19" s="493">
        <f>IF(I19="Saved",TEXT(TODAY(),"YYYY-MM-DD")&amp;" Auto","—")</f>
        <v/>
      </c>
      <c r="K19" s="494" t="n"/>
    </row>
    <row r="20" ht="15" customHeight="1" s="341">
      <c r="A20" s="495" t="n"/>
      <c r="B20" s="382">
        <f>IF(A20="","",IFERROR(VLOOKUP(A20,DB_Customers!$A:$D,4,0),"❌ Account Not Found"))</f>
        <v/>
      </c>
      <c r="C20" s="496">
        <f>IF(A20="","",IFERROR(VLOOKUP(A20,DB_Customers!$A:$N,14,0),""))</f>
        <v/>
      </c>
      <c r="D20" s="497">
        <f>IF(A20="","",TODAY())</f>
        <v/>
      </c>
      <c r="E20" s="489" t="n"/>
      <c r="F20" s="498">
        <f>IF(OR(A20="",E20=""),"",IF(C20="","",C20+E20))</f>
        <v/>
      </c>
      <c r="G20" s="384" t="inlineStr">
        <is>
          <t>Agent 05</t>
        </is>
      </c>
      <c r="H20" s="491" t="n"/>
      <c r="I20" s="499">
        <f>IF(A20="","Pending",IF(H20="","⚠️ Enter Code",IF(IFERROR(VLOOKUP(G20,DB_Agents!$B:$I,8,0),"")=H20,IF(AND(A20&lt;&gt;"",E20&lt;&gt;""),"Saved","Pending"),"🔒 BLOCKED — Wrong Code")))</f>
        <v/>
      </c>
      <c r="J20" s="500">
        <f>IF(I20="Saved",TEXT(TODAY(),"YYYY-MM-DD")&amp;" Auto","—")</f>
        <v/>
      </c>
      <c r="K20" s="501" t="n"/>
    </row>
    <row r="21" ht="15" customHeight="1" s="341">
      <c r="A21" s="486" t="n"/>
      <c r="B21" s="378">
        <f>IF(A21="","",IFERROR(VLOOKUP(A21,DB_Customers!$A:$D,4,0),"❌ Account Not Found"))</f>
        <v/>
      </c>
      <c r="C21" s="487">
        <f>IF(A21="","",IFERROR(VLOOKUP(A21,DB_Customers!$A:$N,14,0),""))</f>
        <v/>
      </c>
      <c r="D21" s="488">
        <f>IF(A21="","",TODAY())</f>
        <v/>
      </c>
      <c r="E21" s="489" t="n"/>
      <c r="F21" s="490">
        <f>IF(OR(A21="",E21=""),"",IF(C21="","",C21+E21))</f>
        <v/>
      </c>
      <c r="G21" s="380" t="inlineStr">
        <is>
          <t>Agent 05</t>
        </is>
      </c>
      <c r="H21" s="491" t="n"/>
      <c r="I21" s="492">
        <f>IF(A21="","Pending",IF(H21="","⚠️ Enter Code",IF(IFERROR(VLOOKUP(G21,DB_Agents!$B:$I,8,0),"")=H21,IF(AND(A21&lt;&gt;"",E21&lt;&gt;""),"Saved","Pending"),"🔒 BLOCKED — Wrong Code")))</f>
        <v/>
      </c>
      <c r="J21" s="493">
        <f>IF(I21="Saved",TEXT(TODAY(),"YYYY-MM-DD")&amp;" Auto","—")</f>
        <v/>
      </c>
      <c r="K21" s="494" t="n"/>
    </row>
    <row r="22" ht="15" customHeight="1" s="341">
      <c r="A22" s="495" t="n"/>
      <c r="B22" s="382">
        <f>IF(A22="","",IFERROR(VLOOKUP(A22,DB_Customers!$A:$D,4,0),"❌ Account Not Found"))</f>
        <v/>
      </c>
      <c r="C22" s="496">
        <f>IF(A22="","",IFERROR(VLOOKUP(A22,DB_Customers!$A:$N,14,0),""))</f>
        <v/>
      </c>
      <c r="D22" s="497">
        <f>IF(A22="","",TODAY())</f>
        <v/>
      </c>
      <c r="E22" s="489" t="n"/>
      <c r="F22" s="498">
        <f>IF(OR(A22="",E22=""),"",IF(C22="","",C22+E22))</f>
        <v/>
      </c>
      <c r="G22" s="384" t="inlineStr">
        <is>
          <t>Agent 05</t>
        </is>
      </c>
      <c r="H22" s="491" t="n"/>
      <c r="I22" s="499">
        <f>IF(A22="","Pending",IF(H22="","⚠️ Enter Code",IF(IFERROR(VLOOKUP(G22,DB_Agents!$B:$I,8,0),"")=H22,IF(AND(A22&lt;&gt;"",E22&lt;&gt;""),"Saved","Pending"),"🔒 BLOCKED — Wrong Code")))</f>
        <v/>
      </c>
      <c r="J22" s="500">
        <f>IF(I22="Saved",TEXT(TODAY(),"YYYY-MM-DD")&amp;" Auto","—")</f>
        <v/>
      </c>
      <c r="K22" s="501" t="n"/>
    </row>
    <row r="23" ht="15" customHeight="1" s="341">
      <c r="A23" s="486" t="n"/>
      <c r="B23" s="378">
        <f>IF(A23="","",IFERROR(VLOOKUP(A23,DB_Customers!$A:$D,4,0),"❌ Account Not Found"))</f>
        <v/>
      </c>
      <c r="C23" s="487">
        <f>IF(A23="","",IFERROR(VLOOKUP(A23,DB_Customers!$A:$N,14,0),""))</f>
        <v/>
      </c>
      <c r="D23" s="488">
        <f>IF(A23="","",TODAY())</f>
        <v/>
      </c>
      <c r="E23" s="489" t="n"/>
      <c r="F23" s="490">
        <f>IF(OR(A23="",E23=""),"",IF(C23="","",C23+E23))</f>
        <v/>
      </c>
      <c r="G23" s="380" t="inlineStr">
        <is>
          <t>Agent 05</t>
        </is>
      </c>
      <c r="H23" s="491" t="n"/>
      <c r="I23" s="492">
        <f>IF(A23="","Pending",IF(H23="","⚠️ Enter Code",IF(IFERROR(VLOOKUP(G23,DB_Agents!$B:$I,8,0),"")=H23,IF(AND(A23&lt;&gt;"",E23&lt;&gt;""),"Saved","Pending"),"🔒 BLOCKED — Wrong Code")))</f>
        <v/>
      </c>
      <c r="J23" s="493">
        <f>IF(I23="Saved",TEXT(TODAY(),"YYYY-MM-DD")&amp;" Auto","—")</f>
        <v/>
      </c>
      <c r="K23" s="494" t="n"/>
    </row>
    <row r="24" ht="15" customHeight="1" s="341">
      <c r="A24" s="495" t="n"/>
      <c r="B24" s="382">
        <f>IF(A24="","",IFERROR(VLOOKUP(A24,DB_Customers!$A:$D,4,0),"❌ Account Not Found"))</f>
        <v/>
      </c>
      <c r="C24" s="496">
        <f>IF(A24="","",IFERROR(VLOOKUP(A24,DB_Customers!$A:$N,14,0),""))</f>
        <v/>
      </c>
      <c r="D24" s="497">
        <f>IF(A24="","",TODAY())</f>
        <v/>
      </c>
      <c r="E24" s="489" t="n"/>
      <c r="F24" s="498">
        <f>IF(OR(A24="",E24=""),"",IF(C24="","",C24+E24))</f>
        <v/>
      </c>
      <c r="G24" s="384" t="inlineStr">
        <is>
          <t>Agent 05</t>
        </is>
      </c>
      <c r="H24" s="491" t="n"/>
      <c r="I24" s="499">
        <f>IF(A24="","Pending",IF(H24="","⚠️ Enter Code",IF(IFERROR(VLOOKUP(G24,DB_Agents!$B:$I,8,0),"")=H24,IF(AND(A24&lt;&gt;"",E24&lt;&gt;""),"Saved","Pending"),"🔒 BLOCKED — Wrong Code")))</f>
        <v/>
      </c>
      <c r="J24" s="500">
        <f>IF(I24="Saved",TEXT(TODAY(),"YYYY-MM-DD")&amp;" Auto","—")</f>
        <v/>
      </c>
      <c r="K24" s="501" t="n"/>
    </row>
    <row r="25" ht="15" customHeight="1" s="341">
      <c r="A25" s="486" t="n"/>
      <c r="B25" s="378">
        <f>IF(A25="","",IFERROR(VLOOKUP(A25,DB_Customers!$A:$D,4,0),"❌ Account Not Found"))</f>
        <v/>
      </c>
      <c r="C25" s="487">
        <f>IF(A25="","",IFERROR(VLOOKUP(A25,DB_Customers!$A:$N,14,0),""))</f>
        <v/>
      </c>
      <c r="D25" s="488">
        <f>IF(A25="","",TODAY())</f>
        <v/>
      </c>
      <c r="E25" s="489" t="n"/>
      <c r="F25" s="490">
        <f>IF(OR(A25="",E25=""),"",IF(C25="","",C25+E25))</f>
        <v/>
      </c>
      <c r="G25" s="380" t="inlineStr">
        <is>
          <t>Agent 05</t>
        </is>
      </c>
      <c r="H25" s="491" t="n"/>
      <c r="I25" s="492">
        <f>IF(A25="","Pending",IF(H25="","⚠️ Enter Code",IF(IFERROR(VLOOKUP(G25,DB_Agents!$B:$I,8,0),"")=H25,IF(AND(A25&lt;&gt;"",E25&lt;&gt;""),"Saved","Pending"),"🔒 BLOCKED — Wrong Code")))</f>
        <v/>
      </c>
      <c r="J25" s="493">
        <f>IF(I25="Saved",TEXT(TODAY(),"YYYY-MM-DD")&amp;" Auto","—")</f>
        <v/>
      </c>
      <c r="K25" s="494" t="n"/>
    </row>
    <row r="26" ht="15" customHeight="1" s="341">
      <c r="A26" s="495" t="n"/>
      <c r="B26" s="382">
        <f>IF(A26="","",IFERROR(VLOOKUP(A26,DB_Customers!$A:$D,4,0),"❌ Account Not Found"))</f>
        <v/>
      </c>
      <c r="C26" s="496">
        <f>IF(A26="","",IFERROR(VLOOKUP(A26,DB_Customers!$A:$N,14,0),""))</f>
        <v/>
      </c>
      <c r="D26" s="497">
        <f>IF(A26="","",TODAY())</f>
        <v/>
      </c>
      <c r="E26" s="489" t="n"/>
      <c r="F26" s="498">
        <f>IF(OR(A26="",E26=""),"",IF(C26="","",C26+E26))</f>
        <v/>
      </c>
      <c r="G26" s="384" t="inlineStr">
        <is>
          <t>Agent 05</t>
        </is>
      </c>
      <c r="H26" s="491" t="n"/>
      <c r="I26" s="499">
        <f>IF(A26="","Pending",IF(H26="","⚠️ Enter Code",IF(IFERROR(VLOOKUP(G26,DB_Agents!$B:$I,8,0),"")=H26,IF(AND(A26&lt;&gt;"",E26&lt;&gt;""),"Saved","Pending"),"🔒 BLOCKED — Wrong Code")))</f>
        <v/>
      </c>
      <c r="J26" s="500">
        <f>IF(I26="Saved",TEXT(TODAY(),"YYYY-MM-DD")&amp;" Auto","—")</f>
        <v/>
      </c>
      <c r="K26" s="501" t="n"/>
    </row>
    <row r="27" ht="15" customHeight="1" s="341">
      <c r="A27" s="486" t="n"/>
      <c r="B27" s="378">
        <f>IF(A27="","",IFERROR(VLOOKUP(A27,DB_Customers!$A:$D,4,0),"❌ Account Not Found"))</f>
        <v/>
      </c>
      <c r="C27" s="487">
        <f>IF(A27="","",IFERROR(VLOOKUP(A27,DB_Customers!$A:$N,14,0),""))</f>
        <v/>
      </c>
      <c r="D27" s="488">
        <f>IF(A27="","",TODAY())</f>
        <v/>
      </c>
      <c r="E27" s="489" t="n"/>
      <c r="F27" s="490">
        <f>IF(OR(A27="",E27=""),"",IF(C27="","",C27+E27))</f>
        <v/>
      </c>
      <c r="G27" s="380" t="inlineStr">
        <is>
          <t>Agent 05</t>
        </is>
      </c>
      <c r="H27" s="491" t="n"/>
      <c r="I27" s="492">
        <f>IF(A27="","Pending",IF(H27="","⚠️ Enter Code",IF(IFERROR(VLOOKUP(G27,DB_Agents!$B:$I,8,0),"")=H27,IF(AND(A27&lt;&gt;"",E27&lt;&gt;""),"Saved","Pending"),"🔒 BLOCKED — Wrong Code")))</f>
        <v/>
      </c>
      <c r="J27" s="493">
        <f>IF(I27="Saved",TEXT(TODAY(),"YYYY-MM-DD")&amp;" Auto","—")</f>
        <v/>
      </c>
      <c r="K27" s="494" t="n"/>
    </row>
    <row r="28" ht="15" customHeight="1" s="341">
      <c r="A28" s="495" t="n"/>
      <c r="B28" s="382">
        <f>IF(A28="","",IFERROR(VLOOKUP(A28,DB_Customers!$A:$D,4,0),"❌ Account Not Found"))</f>
        <v/>
      </c>
      <c r="C28" s="496">
        <f>IF(A28="","",IFERROR(VLOOKUP(A28,DB_Customers!$A:$N,14,0),""))</f>
        <v/>
      </c>
      <c r="D28" s="497">
        <f>IF(A28="","",TODAY())</f>
        <v/>
      </c>
      <c r="E28" s="489" t="n"/>
      <c r="F28" s="498">
        <f>IF(OR(A28="",E28=""),"",IF(C28="","",C28+E28))</f>
        <v/>
      </c>
      <c r="G28" s="384" t="inlineStr">
        <is>
          <t>Agent 05</t>
        </is>
      </c>
      <c r="H28" s="491" t="n"/>
      <c r="I28" s="499">
        <f>IF(A28="","Pending",IF(H28="","⚠️ Enter Code",IF(IFERROR(VLOOKUP(G28,DB_Agents!$B:$I,8,0),"")=H28,IF(AND(A28&lt;&gt;"",E28&lt;&gt;""),"Saved","Pending"),"🔒 BLOCKED — Wrong Code")))</f>
        <v/>
      </c>
      <c r="J28" s="500">
        <f>IF(I28="Saved",TEXT(TODAY(),"YYYY-MM-DD")&amp;" Auto","—")</f>
        <v/>
      </c>
      <c r="K28" s="501" t="n"/>
    </row>
    <row r="29" ht="15" customHeight="1" s="341">
      <c r="A29" s="486" t="n"/>
      <c r="B29" s="378">
        <f>IF(A29="","",IFERROR(VLOOKUP(A29,DB_Customers!$A:$D,4,0),"❌ Account Not Found"))</f>
        <v/>
      </c>
      <c r="C29" s="487">
        <f>IF(A29="","",IFERROR(VLOOKUP(A29,DB_Customers!$A:$N,14,0),""))</f>
        <v/>
      </c>
      <c r="D29" s="488">
        <f>IF(A29="","",TODAY())</f>
        <v/>
      </c>
      <c r="E29" s="489" t="n"/>
      <c r="F29" s="490">
        <f>IF(OR(A29="",E29=""),"",IF(C29="","",C29+E29))</f>
        <v/>
      </c>
      <c r="G29" s="380" t="inlineStr">
        <is>
          <t>Agent 05</t>
        </is>
      </c>
      <c r="H29" s="491" t="n"/>
      <c r="I29" s="492">
        <f>IF(A29="","Pending",IF(H29="","⚠️ Enter Code",IF(IFERROR(VLOOKUP(G29,DB_Agents!$B:$I,8,0),"")=H29,IF(AND(A29&lt;&gt;"",E29&lt;&gt;""),"Saved","Pending"),"🔒 BLOCKED — Wrong Code")))</f>
        <v/>
      </c>
      <c r="J29" s="493">
        <f>IF(I29="Saved",TEXT(TODAY(),"YYYY-MM-DD")&amp;" Auto","—")</f>
        <v/>
      </c>
      <c r="K29" s="494" t="n"/>
    </row>
    <row r="30" ht="15" customHeight="1" s="341">
      <c r="A30" s="495" t="n"/>
      <c r="B30" s="382">
        <f>IF(A30="","",IFERROR(VLOOKUP(A30,DB_Customers!$A:$D,4,0),"❌ Account Not Found"))</f>
        <v/>
      </c>
      <c r="C30" s="496">
        <f>IF(A30="","",IFERROR(VLOOKUP(A30,DB_Customers!$A:$N,14,0),""))</f>
        <v/>
      </c>
      <c r="D30" s="497">
        <f>IF(A30="","",TODAY())</f>
        <v/>
      </c>
      <c r="E30" s="489" t="n"/>
      <c r="F30" s="498">
        <f>IF(OR(A30="",E30=""),"",IF(C30="","",C30+E30))</f>
        <v/>
      </c>
      <c r="G30" s="384" t="inlineStr">
        <is>
          <t>Agent 05</t>
        </is>
      </c>
      <c r="H30" s="491" t="n"/>
      <c r="I30" s="499">
        <f>IF(A30="","Pending",IF(H30="","⚠️ Enter Code",IF(IFERROR(VLOOKUP(G30,DB_Agents!$B:$I,8,0),"")=H30,IF(AND(A30&lt;&gt;"",E30&lt;&gt;""),"Saved","Pending"),"🔒 BLOCKED — Wrong Code")))</f>
        <v/>
      </c>
      <c r="J30" s="500">
        <f>IF(I30="Saved",TEXT(TODAY(),"YYYY-MM-DD")&amp;" Auto","—")</f>
        <v/>
      </c>
      <c r="K30" s="501" t="n"/>
    </row>
    <row r="31" ht="15" customHeight="1" s="341">
      <c r="A31" s="486" t="n"/>
      <c r="B31" s="378">
        <f>IF(A31="","",IFERROR(VLOOKUP(A31,DB_Customers!$A:$D,4,0),"❌ Account Not Found"))</f>
        <v/>
      </c>
      <c r="C31" s="487">
        <f>IF(A31="","",IFERROR(VLOOKUP(A31,DB_Customers!$A:$N,14,0),""))</f>
        <v/>
      </c>
      <c r="D31" s="488">
        <f>IF(A31="","",TODAY())</f>
        <v/>
      </c>
      <c r="E31" s="489" t="n"/>
      <c r="F31" s="490">
        <f>IF(OR(A31="",E31=""),"",IF(C31="","",C31+E31))</f>
        <v/>
      </c>
      <c r="G31" s="380" t="inlineStr">
        <is>
          <t>Agent 05</t>
        </is>
      </c>
      <c r="H31" s="491" t="n"/>
      <c r="I31" s="492">
        <f>IF(A31="","Pending",IF(H31="","⚠️ Enter Code",IF(IFERROR(VLOOKUP(G31,DB_Agents!$B:$I,8,0),"")=H31,IF(AND(A31&lt;&gt;"",E31&lt;&gt;""),"Saved","Pending"),"🔒 BLOCKED — Wrong Code")))</f>
        <v/>
      </c>
      <c r="J31" s="493">
        <f>IF(I31="Saved",TEXT(TODAY(),"YYYY-MM-DD")&amp;" Auto","—")</f>
        <v/>
      </c>
      <c r="K31" s="494" t="n"/>
    </row>
    <row r="32" ht="15" customHeight="1" s="341">
      <c r="A32" s="495" t="n"/>
      <c r="B32" s="382">
        <f>IF(A32="","",IFERROR(VLOOKUP(A32,DB_Customers!$A:$D,4,0),"❌ Account Not Found"))</f>
        <v/>
      </c>
      <c r="C32" s="496">
        <f>IF(A32="","",IFERROR(VLOOKUP(A32,DB_Customers!$A:$N,14,0),""))</f>
        <v/>
      </c>
      <c r="D32" s="497">
        <f>IF(A32="","",TODAY())</f>
        <v/>
      </c>
      <c r="E32" s="489" t="n"/>
      <c r="F32" s="498">
        <f>IF(OR(A32="",E32=""),"",IF(C32="","",C32+E32))</f>
        <v/>
      </c>
      <c r="G32" s="384" t="inlineStr">
        <is>
          <t>Agent 05</t>
        </is>
      </c>
      <c r="H32" s="491" t="n"/>
      <c r="I32" s="499">
        <f>IF(A32="","Pending",IF(H32="","⚠️ Enter Code",IF(IFERROR(VLOOKUP(G32,DB_Agents!$B:$I,8,0),"")=H32,IF(AND(A32&lt;&gt;"",E32&lt;&gt;""),"Saved","Pending"),"🔒 BLOCKED — Wrong Code")))</f>
        <v/>
      </c>
      <c r="J32" s="500">
        <f>IF(I32="Saved",TEXT(TODAY(),"YYYY-MM-DD")&amp;" Auto","—")</f>
        <v/>
      </c>
      <c r="K32" s="501" t="n"/>
    </row>
    <row r="33" ht="15" customHeight="1" s="341">
      <c r="A33" s="486" t="n"/>
      <c r="B33" s="378">
        <f>IF(A33="","",IFERROR(VLOOKUP(A33,DB_Customers!$A:$D,4,0),"❌ Account Not Found"))</f>
        <v/>
      </c>
      <c r="C33" s="487">
        <f>IF(A33="","",IFERROR(VLOOKUP(A33,DB_Customers!$A:$N,14,0),""))</f>
        <v/>
      </c>
      <c r="D33" s="488">
        <f>IF(A33="","",TODAY())</f>
        <v/>
      </c>
      <c r="E33" s="489" t="n"/>
      <c r="F33" s="490">
        <f>IF(OR(A33="",E33=""),"",IF(C33="","",C33+E33))</f>
        <v/>
      </c>
      <c r="G33" s="380" t="inlineStr">
        <is>
          <t>Agent 05</t>
        </is>
      </c>
      <c r="H33" s="491" t="n"/>
      <c r="I33" s="492">
        <f>IF(A33="","Pending",IF(H33="","⚠️ Enter Code",IF(IFERROR(VLOOKUP(G33,DB_Agents!$B:$I,8,0),"")=H33,IF(AND(A33&lt;&gt;"",E33&lt;&gt;""),"Saved","Pending"),"🔒 BLOCKED — Wrong Code")))</f>
        <v/>
      </c>
      <c r="J33" s="493">
        <f>IF(I33="Saved",TEXT(TODAY(),"YYYY-MM-DD")&amp;" Auto","—")</f>
        <v/>
      </c>
      <c r="K33" s="494" t="n"/>
    </row>
    <row r="34" ht="15" customHeight="1" s="341">
      <c r="A34" s="495" t="n"/>
      <c r="B34" s="382">
        <f>IF(A34="","",IFERROR(VLOOKUP(A34,DB_Customers!$A:$D,4,0),"❌ Account Not Found"))</f>
        <v/>
      </c>
      <c r="C34" s="496">
        <f>IF(A34="","",IFERROR(VLOOKUP(A34,DB_Customers!$A:$N,14,0),""))</f>
        <v/>
      </c>
      <c r="D34" s="497">
        <f>IF(A34="","",TODAY())</f>
        <v/>
      </c>
      <c r="E34" s="489" t="n"/>
      <c r="F34" s="498">
        <f>IF(OR(A34="",E34=""),"",IF(C34="","",C34+E34))</f>
        <v/>
      </c>
      <c r="G34" s="384" t="inlineStr">
        <is>
          <t>Agent 05</t>
        </is>
      </c>
      <c r="H34" s="491" t="n"/>
      <c r="I34" s="499">
        <f>IF(A34="","Pending",IF(H34="","⚠️ Enter Code",IF(IFERROR(VLOOKUP(G34,DB_Agents!$B:$I,8,0),"")=H34,IF(AND(A34&lt;&gt;"",E34&lt;&gt;""),"Saved","Pending"),"🔒 BLOCKED — Wrong Code")))</f>
        <v/>
      </c>
      <c r="J34" s="500">
        <f>IF(I34="Saved",TEXT(TODAY(),"YYYY-MM-DD")&amp;" Auto","—")</f>
        <v/>
      </c>
      <c r="K34" s="501" t="n"/>
    </row>
    <row r="35" ht="15" customHeight="1" s="341">
      <c r="A35" s="486" t="n"/>
      <c r="B35" s="378">
        <f>IF(A35="","",IFERROR(VLOOKUP(A35,DB_Customers!$A:$D,4,0),"❌ Account Not Found"))</f>
        <v/>
      </c>
      <c r="C35" s="487">
        <f>IF(A35="","",IFERROR(VLOOKUP(A35,DB_Customers!$A:$N,14,0),""))</f>
        <v/>
      </c>
      <c r="D35" s="488">
        <f>IF(A35="","",TODAY())</f>
        <v/>
      </c>
      <c r="E35" s="489" t="n"/>
      <c r="F35" s="490">
        <f>IF(OR(A35="",E35=""),"",IF(C35="","",C35+E35))</f>
        <v/>
      </c>
      <c r="G35" s="380" t="inlineStr">
        <is>
          <t>Agent 05</t>
        </is>
      </c>
      <c r="H35" s="491" t="n"/>
      <c r="I35" s="492">
        <f>IF(A35="","Pending",IF(H35="","⚠️ Enter Code",IF(IFERROR(VLOOKUP(G35,DB_Agents!$B:$I,8,0),"")=H35,IF(AND(A35&lt;&gt;"",E35&lt;&gt;""),"Saved","Pending"),"🔒 BLOCKED — Wrong Code")))</f>
        <v/>
      </c>
      <c r="J35" s="493">
        <f>IF(I35="Saved",TEXT(TODAY(),"YYYY-MM-DD")&amp;" Auto","—")</f>
        <v/>
      </c>
      <c r="K35" s="494" t="n"/>
    </row>
    <row r="36" ht="15" customHeight="1" s="341">
      <c r="A36" s="495" t="n"/>
      <c r="B36" s="382">
        <f>IF(A36="","",IFERROR(VLOOKUP(A36,DB_Customers!$A:$D,4,0),"❌ Account Not Found"))</f>
        <v/>
      </c>
      <c r="C36" s="496">
        <f>IF(A36="","",IFERROR(VLOOKUP(A36,DB_Customers!$A:$N,14,0),""))</f>
        <v/>
      </c>
      <c r="D36" s="497">
        <f>IF(A36="","",TODAY())</f>
        <v/>
      </c>
      <c r="E36" s="489" t="n"/>
      <c r="F36" s="498">
        <f>IF(OR(A36="",E36=""),"",IF(C36="","",C36+E36))</f>
        <v/>
      </c>
      <c r="G36" s="384" t="inlineStr">
        <is>
          <t>Agent 05</t>
        </is>
      </c>
      <c r="H36" s="491" t="n"/>
      <c r="I36" s="499">
        <f>IF(A36="","Pending",IF(H36="","⚠️ Enter Code",IF(IFERROR(VLOOKUP(G36,DB_Agents!$B:$I,8,0),"")=H36,IF(AND(A36&lt;&gt;"",E36&lt;&gt;""),"Saved","Pending"),"🔒 BLOCKED — Wrong Code")))</f>
        <v/>
      </c>
      <c r="J36" s="500">
        <f>IF(I36="Saved",TEXT(TODAY(),"YYYY-MM-DD")&amp;" Auto","—")</f>
        <v/>
      </c>
      <c r="K36" s="501" t="n"/>
    </row>
    <row r="37" ht="15" customHeight="1" s="341">
      <c r="A37" s="486" t="n"/>
      <c r="B37" s="378">
        <f>IF(A37="","",IFERROR(VLOOKUP(A37,DB_Customers!$A:$D,4,0),"❌ Account Not Found"))</f>
        <v/>
      </c>
      <c r="C37" s="487">
        <f>IF(A37="","",IFERROR(VLOOKUP(A37,DB_Customers!$A:$N,14,0),""))</f>
        <v/>
      </c>
      <c r="D37" s="488">
        <f>IF(A37="","",TODAY())</f>
        <v/>
      </c>
      <c r="E37" s="489" t="n"/>
      <c r="F37" s="490">
        <f>IF(OR(A37="",E37=""),"",IF(C37="","",C37+E37))</f>
        <v/>
      </c>
      <c r="G37" s="380" t="inlineStr">
        <is>
          <t>Agent 05</t>
        </is>
      </c>
      <c r="H37" s="491" t="n"/>
      <c r="I37" s="492">
        <f>IF(A37="","Pending",IF(H37="","⚠️ Enter Code",IF(IFERROR(VLOOKUP(G37,DB_Agents!$B:$I,8,0),"")=H37,IF(AND(A37&lt;&gt;"",E37&lt;&gt;""),"Saved","Pending"),"🔒 BLOCKED — Wrong Code")))</f>
        <v/>
      </c>
      <c r="J37" s="493">
        <f>IF(I37="Saved",TEXT(TODAY(),"YYYY-MM-DD")&amp;" Auto","—")</f>
        <v/>
      </c>
      <c r="K37" s="494" t="n"/>
    </row>
    <row r="38" ht="15" customHeight="1" s="341">
      <c r="A38" s="495" t="n"/>
      <c r="B38" s="382">
        <f>IF(A38="","",IFERROR(VLOOKUP(A38,DB_Customers!$A:$D,4,0),"❌ Account Not Found"))</f>
        <v/>
      </c>
      <c r="C38" s="496">
        <f>IF(A38="","",IFERROR(VLOOKUP(A38,DB_Customers!$A:$N,14,0),""))</f>
        <v/>
      </c>
      <c r="D38" s="497">
        <f>IF(A38="","",TODAY())</f>
        <v/>
      </c>
      <c r="E38" s="489" t="n"/>
      <c r="F38" s="498">
        <f>IF(OR(A38="",E38=""),"",IF(C38="","",C38+E38))</f>
        <v/>
      </c>
      <c r="G38" s="384" t="inlineStr">
        <is>
          <t>Agent 05</t>
        </is>
      </c>
      <c r="H38" s="491" t="n"/>
      <c r="I38" s="499">
        <f>IF(A38="","Pending",IF(H38="","⚠️ Enter Code",IF(IFERROR(VLOOKUP(G38,DB_Agents!$B:$I,8,0),"")=H38,IF(AND(A38&lt;&gt;"",E38&lt;&gt;""),"Saved","Pending"),"🔒 BLOCKED — Wrong Code")))</f>
        <v/>
      </c>
      <c r="J38" s="500">
        <f>IF(I38="Saved",TEXT(TODAY(),"YYYY-MM-DD")&amp;" Auto","—")</f>
        <v/>
      </c>
      <c r="K38" s="501" t="n"/>
    </row>
    <row r="39" ht="15" customHeight="1" s="341">
      <c r="A39" s="486" t="n"/>
      <c r="B39" s="378">
        <f>IF(A39="","",IFERROR(VLOOKUP(A39,DB_Customers!$A:$D,4,0),"❌ Account Not Found"))</f>
        <v/>
      </c>
      <c r="C39" s="487">
        <f>IF(A39="","",IFERROR(VLOOKUP(A39,DB_Customers!$A:$N,14,0),""))</f>
        <v/>
      </c>
      <c r="D39" s="488">
        <f>IF(A39="","",TODAY())</f>
        <v/>
      </c>
      <c r="E39" s="489" t="n"/>
      <c r="F39" s="490">
        <f>IF(OR(A39="",E39=""),"",IF(C39="","",C39+E39))</f>
        <v/>
      </c>
      <c r="G39" s="380" t="inlineStr">
        <is>
          <t>Agent 05</t>
        </is>
      </c>
      <c r="H39" s="491" t="n"/>
      <c r="I39" s="492">
        <f>IF(A39="","Pending",IF(H39="","⚠️ Enter Code",IF(IFERROR(VLOOKUP(G39,DB_Agents!$B:$I,8,0),"")=H39,IF(AND(A39&lt;&gt;"",E39&lt;&gt;""),"Saved","Pending"),"🔒 BLOCKED — Wrong Code")))</f>
        <v/>
      </c>
      <c r="J39" s="493">
        <f>IF(I39="Saved",TEXT(TODAY(),"YYYY-MM-DD")&amp;" Auto","—")</f>
        <v/>
      </c>
      <c r="K39" s="494" t="n"/>
    </row>
    <row r="40" ht="15" customHeight="1" s="341">
      <c r="A40" s="495" t="n"/>
      <c r="B40" s="382">
        <f>IF(A40="","",IFERROR(VLOOKUP(A40,DB_Customers!$A:$D,4,0),"❌ Account Not Found"))</f>
        <v/>
      </c>
      <c r="C40" s="496">
        <f>IF(A40="","",IFERROR(VLOOKUP(A40,DB_Customers!$A:$N,14,0),""))</f>
        <v/>
      </c>
      <c r="D40" s="497">
        <f>IF(A40="","",TODAY())</f>
        <v/>
      </c>
      <c r="E40" s="489" t="n"/>
      <c r="F40" s="498">
        <f>IF(OR(A40="",E40=""),"",IF(C40="","",C40+E40))</f>
        <v/>
      </c>
      <c r="G40" s="384" t="inlineStr">
        <is>
          <t>Agent 05</t>
        </is>
      </c>
      <c r="H40" s="491" t="n"/>
      <c r="I40" s="499">
        <f>IF(A40="","Pending",IF(H40="","⚠️ Enter Code",IF(IFERROR(VLOOKUP(G40,DB_Agents!$B:$I,8,0),"")=H40,IF(AND(A40&lt;&gt;"",E40&lt;&gt;""),"Saved","Pending"),"🔒 BLOCKED — Wrong Code")))</f>
        <v/>
      </c>
      <c r="J40" s="500">
        <f>IF(I40="Saved",TEXT(TODAY(),"YYYY-MM-DD")&amp;" Auto","—")</f>
        <v/>
      </c>
      <c r="K40" s="501" t="n"/>
    </row>
    <row r="41" ht="15" customHeight="1" s="341">
      <c r="A41" s="486" t="n"/>
      <c r="B41" s="378">
        <f>IF(A41="","",IFERROR(VLOOKUP(A41,DB_Customers!$A:$D,4,0),"❌ Account Not Found"))</f>
        <v/>
      </c>
      <c r="C41" s="487">
        <f>IF(A41="","",IFERROR(VLOOKUP(A41,DB_Customers!$A:$N,14,0),""))</f>
        <v/>
      </c>
      <c r="D41" s="488">
        <f>IF(A41="","",TODAY())</f>
        <v/>
      </c>
      <c r="E41" s="489" t="n"/>
      <c r="F41" s="490">
        <f>IF(OR(A41="",E41=""),"",IF(C41="","",C41+E41))</f>
        <v/>
      </c>
      <c r="G41" s="380" t="inlineStr">
        <is>
          <t>Agent 05</t>
        </is>
      </c>
      <c r="H41" s="491" t="n"/>
      <c r="I41" s="492">
        <f>IF(A41="","Pending",IF(H41="","⚠️ Enter Code",IF(IFERROR(VLOOKUP(G41,DB_Agents!$B:$I,8,0),"")=H41,IF(AND(A41&lt;&gt;"",E41&lt;&gt;""),"Saved","Pending"),"🔒 BLOCKED — Wrong Code")))</f>
        <v/>
      </c>
      <c r="J41" s="493">
        <f>IF(I41="Saved",TEXT(TODAY(),"YYYY-MM-DD")&amp;" Auto","—")</f>
        <v/>
      </c>
      <c r="K41" s="494" t="n"/>
    </row>
    <row r="42" ht="15" customHeight="1" s="341">
      <c r="A42" s="495" t="n"/>
      <c r="B42" s="382">
        <f>IF(A42="","",IFERROR(VLOOKUP(A42,DB_Customers!$A:$D,4,0),"❌ Account Not Found"))</f>
        <v/>
      </c>
      <c r="C42" s="496">
        <f>IF(A42="","",IFERROR(VLOOKUP(A42,DB_Customers!$A:$N,14,0),""))</f>
        <v/>
      </c>
      <c r="D42" s="497">
        <f>IF(A42="","",TODAY())</f>
        <v/>
      </c>
      <c r="E42" s="489" t="n"/>
      <c r="F42" s="498">
        <f>IF(OR(A42="",E42=""),"",IF(C42="","",C42+E42))</f>
        <v/>
      </c>
      <c r="G42" s="384" t="inlineStr">
        <is>
          <t>Agent 05</t>
        </is>
      </c>
      <c r="H42" s="491" t="n"/>
      <c r="I42" s="499">
        <f>IF(A42="","Pending",IF(H42="","⚠️ Enter Code",IF(IFERROR(VLOOKUP(G42,DB_Agents!$B:$I,8,0),"")=H42,IF(AND(A42&lt;&gt;"",E42&lt;&gt;""),"Saved","Pending"),"🔒 BLOCKED — Wrong Code")))</f>
        <v/>
      </c>
      <c r="J42" s="500">
        <f>IF(I42="Saved",TEXT(TODAY(),"YYYY-MM-DD")&amp;" Auto","—")</f>
        <v/>
      </c>
      <c r="K42" s="501" t="n"/>
    </row>
    <row r="43" ht="15" customHeight="1" s="341">
      <c r="A43" s="486" t="n"/>
      <c r="B43" s="378">
        <f>IF(A43="","",IFERROR(VLOOKUP(A43,DB_Customers!$A:$D,4,0),"❌ Account Not Found"))</f>
        <v/>
      </c>
      <c r="C43" s="487">
        <f>IF(A43="","",IFERROR(VLOOKUP(A43,DB_Customers!$A:$N,14,0),""))</f>
        <v/>
      </c>
      <c r="D43" s="488">
        <f>IF(A43="","",TODAY())</f>
        <v/>
      </c>
      <c r="E43" s="489" t="n"/>
      <c r="F43" s="490">
        <f>IF(OR(A43="",E43=""),"",IF(C43="","",C43+E43))</f>
        <v/>
      </c>
      <c r="G43" s="380" t="inlineStr">
        <is>
          <t>Agent 05</t>
        </is>
      </c>
      <c r="H43" s="491" t="n"/>
      <c r="I43" s="492">
        <f>IF(A43="","Pending",IF(H43="","⚠️ Enter Code",IF(IFERROR(VLOOKUP(G43,DB_Agents!$B:$I,8,0),"")=H43,IF(AND(A43&lt;&gt;"",E43&lt;&gt;""),"Saved","Pending"),"🔒 BLOCKED — Wrong Code")))</f>
        <v/>
      </c>
      <c r="J43" s="493">
        <f>IF(I43="Saved",TEXT(TODAY(),"YYYY-MM-DD")&amp;" Auto","—")</f>
        <v/>
      </c>
      <c r="K43" s="494" t="n"/>
    </row>
    <row r="44" ht="15" customHeight="1" s="341">
      <c r="A44" s="495" t="n"/>
      <c r="B44" s="382">
        <f>IF(A44="","",IFERROR(VLOOKUP(A44,DB_Customers!$A:$D,4,0),"❌ Account Not Found"))</f>
        <v/>
      </c>
      <c r="C44" s="496">
        <f>IF(A44="","",IFERROR(VLOOKUP(A44,DB_Customers!$A:$N,14,0),""))</f>
        <v/>
      </c>
      <c r="D44" s="497">
        <f>IF(A44="","",TODAY())</f>
        <v/>
      </c>
      <c r="E44" s="489" t="n"/>
      <c r="F44" s="498">
        <f>IF(OR(A44="",E44=""),"",IF(C44="","",C44+E44))</f>
        <v/>
      </c>
      <c r="G44" s="384" t="inlineStr">
        <is>
          <t>Agent 05</t>
        </is>
      </c>
      <c r="H44" s="491" t="n"/>
      <c r="I44" s="499">
        <f>IF(A44="","Pending",IF(H44="","⚠️ Enter Code",IF(IFERROR(VLOOKUP(G44,DB_Agents!$B:$I,8,0),"")=H44,IF(AND(A44&lt;&gt;"",E44&lt;&gt;""),"Saved","Pending"),"🔒 BLOCKED — Wrong Code")))</f>
        <v/>
      </c>
      <c r="J44" s="500">
        <f>IF(I44="Saved",TEXT(TODAY(),"YYYY-MM-DD")&amp;" Auto","—")</f>
        <v/>
      </c>
      <c r="K44" s="501" t="n"/>
    </row>
    <row r="45" ht="15" customHeight="1" s="341">
      <c r="A45" s="486" t="n"/>
      <c r="B45" s="378">
        <f>IF(A45="","",IFERROR(VLOOKUP(A45,DB_Customers!$A:$D,4,0),"❌ Account Not Found"))</f>
        <v/>
      </c>
      <c r="C45" s="487">
        <f>IF(A45="","",IFERROR(VLOOKUP(A45,DB_Customers!$A:$N,14,0),""))</f>
        <v/>
      </c>
      <c r="D45" s="488">
        <f>IF(A45="","",TODAY())</f>
        <v/>
      </c>
      <c r="E45" s="489" t="n"/>
      <c r="F45" s="490">
        <f>IF(OR(A45="",E45=""),"",IF(C45="","",C45+E45))</f>
        <v/>
      </c>
      <c r="G45" s="380" t="inlineStr">
        <is>
          <t>Agent 05</t>
        </is>
      </c>
      <c r="H45" s="491" t="n"/>
      <c r="I45" s="492">
        <f>IF(A45="","Pending",IF(H45="","⚠️ Enter Code",IF(IFERROR(VLOOKUP(G45,DB_Agents!$B:$I,8,0),"")=H45,IF(AND(A45&lt;&gt;"",E45&lt;&gt;""),"Saved","Pending"),"🔒 BLOCKED — Wrong Code")))</f>
        <v/>
      </c>
      <c r="J45" s="493">
        <f>IF(I45="Saved",TEXT(TODAY(),"YYYY-MM-DD")&amp;" Auto","—")</f>
        <v/>
      </c>
      <c r="K45" s="494" t="n"/>
    </row>
    <row r="46" ht="15" customHeight="1" s="341">
      <c r="A46" s="495" t="n"/>
      <c r="B46" s="382">
        <f>IF(A46="","",IFERROR(VLOOKUP(A46,DB_Customers!$A:$D,4,0),"❌ Account Not Found"))</f>
        <v/>
      </c>
      <c r="C46" s="496">
        <f>IF(A46="","",IFERROR(VLOOKUP(A46,DB_Customers!$A:$N,14,0),""))</f>
        <v/>
      </c>
      <c r="D46" s="497">
        <f>IF(A46="","",TODAY())</f>
        <v/>
      </c>
      <c r="E46" s="489" t="n"/>
      <c r="F46" s="498">
        <f>IF(OR(A46="",E46=""),"",IF(C46="","",C46+E46))</f>
        <v/>
      </c>
      <c r="G46" s="384" t="inlineStr">
        <is>
          <t>Agent 05</t>
        </is>
      </c>
      <c r="H46" s="491" t="n"/>
      <c r="I46" s="499">
        <f>IF(A46="","Pending",IF(H46="","⚠️ Enter Code",IF(IFERROR(VLOOKUP(G46,DB_Agents!$B:$I,8,0),"")=H46,IF(AND(A46&lt;&gt;"",E46&lt;&gt;""),"Saved","Pending"),"🔒 BLOCKED — Wrong Code")))</f>
        <v/>
      </c>
      <c r="J46" s="500">
        <f>IF(I46="Saved",TEXT(TODAY(),"YYYY-MM-DD")&amp;" Auto","—")</f>
        <v/>
      </c>
      <c r="K46" s="501" t="n"/>
    </row>
    <row r="47" ht="15" customHeight="1" s="341">
      <c r="A47" s="486" t="n"/>
      <c r="B47" s="378">
        <f>IF(A47="","",IFERROR(VLOOKUP(A47,DB_Customers!$A:$D,4,0),"❌ Account Not Found"))</f>
        <v/>
      </c>
      <c r="C47" s="487">
        <f>IF(A47="","",IFERROR(VLOOKUP(A47,DB_Customers!$A:$N,14,0),""))</f>
        <v/>
      </c>
      <c r="D47" s="488">
        <f>IF(A47="","",TODAY())</f>
        <v/>
      </c>
      <c r="E47" s="489" t="n"/>
      <c r="F47" s="490">
        <f>IF(OR(A47="",E47=""),"",IF(C47="","",C47+E47))</f>
        <v/>
      </c>
      <c r="G47" s="380" t="inlineStr">
        <is>
          <t>Agent 05</t>
        </is>
      </c>
      <c r="H47" s="491" t="n"/>
      <c r="I47" s="492">
        <f>IF(A47="","Pending",IF(H47="","⚠️ Enter Code",IF(IFERROR(VLOOKUP(G47,DB_Agents!$B:$I,8,0),"")=H47,IF(AND(A47&lt;&gt;"",E47&lt;&gt;""),"Saved","Pending"),"🔒 BLOCKED — Wrong Code")))</f>
        <v/>
      </c>
      <c r="J47" s="493">
        <f>IF(I47="Saved",TEXT(TODAY(),"YYYY-MM-DD")&amp;" Auto","—")</f>
        <v/>
      </c>
      <c r="K47" s="494" t="n"/>
    </row>
    <row r="48" ht="15" customHeight="1" s="341">
      <c r="A48" s="495" t="n"/>
      <c r="B48" s="382">
        <f>IF(A48="","",IFERROR(VLOOKUP(A48,DB_Customers!$A:$D,4,0),"❌ Account Not Found"))</f>
        <v/>
      </c>
      <c r="C48" s="496">
        <f>IF(A48="","",IFERROR(VLOOKUP(A48,DB_Customers!$A:$N,14,0),""))</f>
        <v/>
      </c>
      <c r="D48" s="497">
        <f>IF(A48="","",TODAY())</f>
        <v/>
      </c>
      <c r="E48" s="489" t="n"/>
      <c r="F48" s="498">
        <f>IF(OR(A48="",E48=""),"",IF(C48="","",C48+E48))</f>
        <v/>
      </c>
      <c r="G48" s="384" t="inlineStr">
        <is>
          <t>Agent 05</t>
        </is>
      </c>
      <c r="H48" s="491" t="n"/>
      <c r="I48" s="499">
        <f>IF(A48="","Pending",IF(H48="","⚠️ Enter Code",IF(IFERROR(VLOOKUP(G48,DB_Agents!$B:$I,8,0),"")=H48,IF(AND(A48&lt;&gt;"",E48&lt;&gt;""),"Saved","Pending"),"🔒 BLOCKED — Wrong Code")))</f>
        <v/>
      </c>
      <c r="J48" s="500">
        <f>IF(I48="Saved",TEXT(TODAY(),"YYYY-MM-DD")&amp;" Auto","—")</f>
        <v/>
      </c>
      <c r="K48" s="501" t="n"/>
    </row>
    <row r="49" ht="15" customHeight="1" s="341">
      <c r="A49" s="486" t="n"/>
      <c r="B49" s="378">
        <f>IF(A49="","",IFERROR(VLOOKUP(A49,DB_Customers!$A:$D,4,0),"❌ Account Not Found"))</f>
        <v/>
      </c>
      <c r="C49" s="487">
        <f>IF(A49="","",IFERROR(VLOOKUP(A49,DB_Customers!$A:$N,14,0),""))</f>
        <v/>
      </c>
      <c r="D49" s="488">
        <f>IF(A49="","",TODAY())</f>
        <v/>
      </c>
      <c r="E49" s="489" t="n"/>
      <c r="F49" s="490">
        <f>IF(OR(A49="",E49=""),"",IF(C49="","",C49+E49))</f>
        <v/>
      </c>
      <c r="G49" s="380" t="inlineStr">
        <is>
          <t>Agent 05</t>
        </is>
      </c>
      <c r="H49" s="491" t="n"/>
      <c r="I49" s="492">
        <f>IF(A49="","Pending",IF(H49="","⚠️ Enter Code",IF(IFERROR(VLOOKUP(G49,DB_Agents!$B:$I,8,0),"")=H49,IF(AND(A49&lt;&gt;"",E49&lt;&gt;""),"Saved","Pending"),"🔒 BLOCKED — Wrong Code")))</f>
        <v/>
      </c>
      <c r="J49" s="493">
        <f>IF(I49="Saved",TEXT(TODAY(),"YYYY-MM-DD")&amp;" Auto","—")</f>
        <v/>
      </c>
      <c r="K49" s="494" t="n"/>
    </row>
    <row r="50" ht="15" customHeight="1" s="341">
      <c r="A50" s="495" t="n"/>
      <c r="B50" s="382">
        <f>IF(A50="","",IFERROR(VLOOKUP(A50,DB_Customers!$A:$D,4,0),"❌ Account Not Found"))</f>
        <v/>
      </c>
      <c r="C50" s="496">
        <f>IF(A50="","",IFERROR(VLOOKUP(A50,DB_Customers!$A:$N,14,0),""))</f>
        <v/>
      </c>
      <c r="D50" s="497">
        <f>IF(A50="","",TODAY())</f>
        <v/>
      </c>
      <c r="E50" s="489" t="n"/>
      <c r="F50" s="498">
        <f>IF(OR(A50="",E50=""),"",IF(C50="","",C50+E50))</f>
        <v/>
      </c>
      <c r="G50" s="384" t="inlineStr">
        <is>
          <t>Agent 05</t>
        </is>
      </c>
      <c r="H50" s="491" t="n"/>
      <c r="I50" s="499">
        <f>IF(A50="","Pending",IF(H50="","⚠️ Enter Code",IF(IFERROR(VLOOKUP(G50,DB_Agents!$B:$I,8,0),"")=H50,IF(AND(A50&lt;&gt;"",E50&lt;&gt;""),"Saved","Pending"),"🔒 BLOCKED — Wrong Code")))</f>
        <v/>
      </c>
      <c r="J50" s="500">
        <f>IF(I50="Saved",TEXT(TODAY(),"YYYY-MM-DD")&amp;" Auto","—")</f>
        <v/>
      </c>
      <c r="K50" s="501" t="n"/>
    </row>
    <row r="51" ht="15" customHeight="1" s="341">
      <c r="A51" s="486" t="n"/>
      <c r="B51" s="378">
        <f>IF(A51="","",IFERROR(VLOOKUP(A51,DB_Customers!$A:$D,4,0),"❌ Account Not Found"))</f>
        <v/>
      </c>
      <c r="C51" s="487">
        <f>IF(A51="","",IFERROR(VLOOKUP(A51,DB_Customers!$A:$N,14,0),""))</f>
        <v/>
      </c>
      <c r="D51" s="488">
        <f>IF(A51="","",TODAY())</f>
        <v/>
      </c>
      <c r="E51" s="489" t="n"/>
      <c r="F51" s="490">
        <f>IF(OR(A51="",E51=""),"",IF(C51="","",C51+E51))</f>
        <v/>
      </c>
      <c r="G51" s="380" t="inlineStr">
        <is>
          <t>Agent 05</t>
        </is>
      </c>
      <c r="H51" s="491" t="n"/>
      <c r="I51" s="492">
        <f>IF(A51="","Pending",IF(H51="","⚠️ Enter Code",IF(IFERROR(VLOOKUP(G51,DB_Agents!$B:$I,8,0),"")=H51,IF(AND(A51&lt;&gt;"",E51&lt;&gt;""),"Saved","Pending"),"🔒 BLOCKED — Wrong Code")))</f>
        <v/>
      </c>
      <c r="J51" s="493">
        <f>IF(I51="Saved",TEXT(TODAY(),"YYYY-MM-DD")&amp;" Auto","—")</f>
        <v/>
      </c>
      <c r="K51" s="494" t="n"/>
    </row>
    <row r="52" ht="15" customHeight="1" s="341">
      <c r="A52" s="495" t="n"/>
      <c r="B52" s="382">
        <f>IF(A52="","",IFERROR(VLOOKUP(A52,DB_Customers!$A:$D,4,0),"❌ Account Not Found"))</f>
        <v/>
      </c>
      <c r="C52" s="496">
        <f>IF(A52="","",IFERROR(VLOOKUP(A52,DB_Customers!$A:$N,14,0),""))</f>
        <v/>
      </c>
      <c r="D52" s="497">
        <f>IF(A52="","",TODAY())</f>
        <v/>
      </c>
      <c r="E52" s="489" t="n"/>
      <c r="F52" s="498">
        <f>IF(OR(A52="",E52=""),"",IF(C52="","",C52+E52))</f>
        <v/>
      </c>
      <c r="G52" s="384" t="inlineStr">
        <is>
          <t>Agent 05</t>
        </is>
      </c>
      <c r="H52" s="491" t="n"/>
      <c r="I52" s="499">
        <f>IF(A52="","Pending",IF(H52="","⚠️ Enter Code",IF(IFERROR(VLOOKUP(G52,DB_Agents!$B:$I,8,0),"")=H52,IF(AND(A52&lt;&gt;"",E52&lt;&gt;""),"Saved","Pending"),"🔒 BLOCKED — Wrong Code")))</f>
        <v/>
      </c>
      <c r="J52" s="500">
        <f>IF(I52="Saved",TEXT(TODAY(),"YYYY-MM-DD")&amp;" Auto","—")</f>
        <v/>
      </c>
      <c r="K52" s="501" t="n"/>
    </row>
    <row r="53" ht="15" customHeight="1" s="341">
      <c r="A53" s="486" t="n"/>
      <c r="B53" s="378">
        <f>IF(A53="","",IFERROR(VLOOKUP(A53,DB_Customers!$A:$D,4,0),"❌ Account Not Found"))</f>
        <v/>
      </c>
      <c r="C53" s="487">
        <f>IF(A53="","",IFERROR(VLOOKUP(A53,DB_Customers!$A:$N,14,0),""))</f>
        <v/>
      </c>
      <c r="D53" s="488">
        <f>IF(A53="","",TODAY())</f>
        <v/>
      </c>
      <c r="E53" s="489" t="n"/>
      <c r="F53" s="490">
        <f>IF(OR(A53="",E53=""),"",IF(C53="","",C53+E53))</f>
        <v/>
      </c>
      <c r="G53" s="380" t="inlineStr">
        <is>
          <t>Agent 05</t>
        </is>
      </c>
      <c r="H53" s="491" t="n"/>
      <c r="I53" s="492">
        <f>IF(A53="","Pending",IF(H53="","⚠️ Enter Code",IF(IFERROR(VLOOKUP(G53,DB_Agents!$B:$I,8,0),"")=H53,IF(AND(A53&lt;&gt;"",E53&lt;&gt;""),"Saved","Pending"),"🔒 BLOCKED — Wrong Code")))</f>
        <v/>
      </c>
      <c r="J53" s="493">
        <f>IF(I53="Saved",TEXT(TODAY(),"YYYY-MM-DD")&amp;" Auto","—")</f>
        <v/>
      </c>
      <c r="K53" s="494" t="n"/>
    </row>
    <row r="54" ht="15" customHeight="1" s="341">
      <c r="A54" s="495" t="n"/>
      <c r="B54" s="382">
        <f>IF(A54="","",IFERROR(VLOOKUP(A54,DB_Customers!$A:$D,4,0),"❌ Account Not Found"))</f>
        <v/>
      </c>
      <c r="C54" s="496">
        <f>IF(A54="","",IFERROR(VLOOKUP(A54,DB_Customers!$A:$N,14,0),""))</f>
        <v/>
      </c>
      <c r="D54" s="497">
        <f>IF(A54="","",TODAY())</f>
        <v/>
      </c>
      <c r="E54" s="489" t="n"/>
      <c r="F54" s="498">
        <f>IF(OR(A54="",E54=""),"",IF(C54="","",C54+E54))</f>
        <v/>
      </c>
      <c r="G54" s="384" t="inlineStr">
        <is>
          <t>Agent 05</t>
        </is>
      </c>
      <c r="H54" s="491" t="n"/>
      <c r="I54" s="499">
        <f>IF(A54="","Pending",IF(H54="","⚠️ Enter Code",IF(IFERROR(VLOOKUP(G54,DB_Agents!$B:$I,8,0),"")=H54,IF(AND(A54&lt;&gt;"",E54&lt;&gt;""),"Saved","Pending"),"🔒 BLOCKED — Wrong Code")))</f>
        <v/>
      </c>
      <c r="J54" s="500">
        <f>IF(I54="Saved",TEXT(TODAY(),"YYYY-MM-DD")&amp;" Auto","—")</f>
        <v/>
      </c>
      <c r="K54" s="501" t="n"/>
    </row>
    <row r="55" ht="15" customHeight="1" s="341">
      <c r="A55" s="486" t="n"/>
      <c r="B55" s="378">
        <f>IF(A55="","",IFERROR(VLOOKUP(A55,DB_Customers!$A:$D,4,0),"❌ Account Not Found"))</f>
        <v/>
      </c>
      <c r="C55" s="487">
        <f>IF(A55="","",IFERROR(VLOOKUP(A55,DB_Customers!$A:$N,14,0),""))</f>
        <v/>
      </c>
      <c r="D55" s="488">
        <f>IF(A55="","",TODAY())</f>
        <v/>
      </c>
      <c r="E55" s="489" t="n"/>
      <c r="F55" s="490">
        <f>IF(OR(A55="",E55=""),"",IF(C55="","",C55+E55))</f>
        <v/>
      </c>
      <c r="G55" s="380" t="inlineStr">
        <is>
          <t>Agent 05</t>
        </is>
      </c>
      <c r="H55" s="491" t="n"/>
      <c r="I55" s="492">
        <f>IF(A55="","Pending",IF(H55="","⚠️ Enter Code",IF(IFERROR(VLOOKUP(G55,DB_Agents!$B:$I,8,0),"")=H55,IF(AND(A55&lt;&gt;"",E55&lt;&gt;""),"Saved","Pending"),"🔒 BLOCKED — Wrong Code")))</f>
        <v/>
      </c>
      <c r="J55" s="493">
        <f>IF(I55="Saved",TEXT(TODAY(),"YYYY-MM-DD")&amp;" Auto","—")</f>
        <v/>
      </c>
      <c r="K55" s="494" t="n"/>
    </row>
    <row r="56" ht="15" customHeight="1" s="341">
      <c r="A56" s="495" t="n"/>
      <c r="B56" s="382">
        <f>IF(A56="","",IFERROR(VLOOKUP(A56,DB_Customers!$A:$D,4,0),"❌ Account Not Found"))</f>
        <v/>
      </c>
      <c r="C56" s="496">
        <f>IF(A56="","",IFERROR(VLOOKUP(A56,DB_Customers!$A:$N,14,0),""))</f>
        <v/>
      </c>
      <c r="D56" s="497">
        <f>IF(A56="","",TODAY())</f>
        <v/>
      </c>
      <c r="E56" s="489" t="n"/>
      <c r="F56" s="498">
        <f>IF(OR(A56="",E56=""),"",IF(C56="","",C56+E56))</f>
        <v/>
      </c>
      <c r="G56" s="384" t="inlineStr">
        <is>
          <t>Agent 05</t>
        </is>
      </c>
      <c r="H56" s="491" t="n"/>
      <c r="I56" s="499">
        <f>IF(A56="","Pending",IF(H56="","⚠️ Enter Code",IF(IFERROR(VLOOKUP(G56,DB_Agents!$B:$I,8,0),"")=H56,IF(AND(A56&lt;&gt;"",E56&lt;&gt;""),"Saved","Pending"),"🔒 BLOCKED — Wrong Code")))</f>
        <v/>
      </c>
      <c r="J56" s="500">
        <f>IF(I56="Saved",TEXT(TODAY(),"YYYY-MM-DD")&amp;" Auto","—")</f>
        <v/>
      </c>
      <c r="K56" s="501" t="n"/>
    </row>
    <row r="57" ht="15" customHeight="1" s="341">
      <c r="A57" s="486" t="n"/>
      <c r="B57" s="378">
        <f>IF(A57="","",IFERROR(VLOOKUP(A57,DB_Customers!$A:$D,4,0),"❌ Account Not Found"))</f>
        <v/>
      </c>
      <c r="C57" s="487">
        <f>IF(A57="","",IFERROR(VLOOKUP(A57,DB_Customers!$A:$N,14,0),""))</f>
        <v/>
      </c>
      <c r="D57" s="488">
        <f>IF(A57="","",TODAY())</f>
        <v/>
      </c>
      <c r="E57" s="489" t="n"/>
      <c r="F57" s="490">
        <f>IF(OR(A57="",E57=""),"",IF(C57="","",C57+E57))</f>
        <v/>
      </c>
      <c r="G57" s="380" t="inlineStr">
        <is>
          <t>Agent 05</t>
        </is>
      </c>
      <c r="H57" s="491" t="n"/>
      <c r="I57" s="492">
        <f>IF(A57="","Pending",IF(H57="","⚠️ Enter Code",IF(IFERROR(VLOOKUP(G57,DB_Agents!$B:$I,8,0),"")=H57,IF(AND(A57&lt;&gt;"",E57&lt;&gt;""),"Saved","Pending"),"🔒 BLOCKED — Wrong Code")))</f>
        <v/>
      </c>
      <c r="J57" s="493">
        <f>IF(I57="Saved",TEXT(TODAY(),"YYYY-MM-DD")&amp;" Auto","—")</f>
        <v/>
      </c>
      <c r="K57" s="494" t="n"/>
    </row>
    <row r="58" ht="15" customHeight="1" s="341">
      <c r="A58" s="495" t="n"/>
      <c r="B58" s="382">
        <f>IF(A58="","",IFERROR(VLOOKUP(A58,DB_Customers!$A:$D,4,0),"❌ Account Not Found"))</f>
        <v/>
      </c>
      <c r="C58" s="496">
        <f>IF(A58="","",IFERROR(VLOOKUP(A58,DB_Customers!$A:$N,14,0),""))</f>
        <v/>
      </c>
      <c r="D58" s="497">
        <f>IF(A58="","",TODAY())</f>
        <v/>
      </c>
      <c r="E58" s="489" t="n"/>
      <c r="F58" s="498">
        <f>IF(OR(A58="",E58=""),"",IF(C58="","",C58+E58))</f>
        <v/>
      </c>
      <c r="G58" s="384" t="inlineStr">
        <is>
          <t>Agent 05</t>
        </is>
      </c>
      <c r="H58" s="491" t="n"/>
      <c r="I58" s="499">
        <f>IF(A58="","Pending",IF(H58="","⚠️ Enter Code",IF(IFERROR(VLOOKUP(G58,DB_Agents!$B:$I,8,0),"")=H58,IF(AND(A58&lt;&gt;"",E58&lt;&gt;""),"Saved","Pending"),"🔒 BLOCKED — Wrong Code")))</f>
        <v/>
      </c>
      <c r="J58" s="500">
        <f>IF(I58="Saved",TEXT(TODAY(),"YYYY-MM-DD")&amp;" Auto","—")</f>
        <v/>
      </c>
      <c r="K58" s="501" t="n"/>
    </row>
    <row r="59" ht="15" customHeight="1" s="341">
      <c r="A59" s="486" t="n"/>
      <c r="B59" s="378">
        <f>IF(A59="","",IFERROR(VLOOKUP(A59,DB_Customers!$A:$D,4,0),"❌ Account Not Found"))</f>
        <v/>
      </c>
      <c r="C59" s="487">
        <f>IF(A59="","",IFERROR(VLOOKUP(A59,DB_Customers!$A:$N,14,0),""))</f>
        <v/>
      </c>
      <c r="D59" s="488">
        <f>IF(A59="","",TODAY())</f>
        <v/>
      </c>
      <c r="E59" s="489" t="n"/>
      <c r="F59" s="490">
        <f>IF(OR(A59="",E59=""),"",IF(C59="","",C59+E59))</f>
        <v/>
      </c>
      <c r="G59" s="380" t="inlineStr">
        <is>
          <t>Agent 05</t>
        </is>
      </c>
      <c r="H59" s="491" t="n"/>
      <c r="I59" s="492">
        <f>IF(A59="","Pending",IF(H59="","⚠️ Enter Code",IF(IFERROR(VLOOKUP(G59,DB_Agents!$B:$I,8,0),"")=H59,IF(AND(A59&lt;&gt;"",E59&lt;&gt;""),"Saved","Pending"),"🔒 BLOCKED — Wrong Code")))</f>
        <v/>
      </c>
      <c r="J59" s="493">
        <f>IF(I59="Saved",TEXT(TODAY(),"YYYY-MM-DD")&amp;" Auto","—")</f>
        <v/>
      </c>
      <c r="K59" s="494" t="n"/>
    </row>
    <row r="60" ht="15" customHeight="1" s="341">
      <c r="A60" s="495" t="n"/>
      <c r="B60" s="382">
        <f>IF(A60="","",IFERROR(VLOOKUP(A60,DB_Customers!$A:$D,4,0),"❌ Account Not Found"))</f>
        <v/>
      </c>
      <c r="C60" s="496">
        <f>IF(A60="","",IFERROR(VLOOKUP(A60,DB_Customers!$A:$N,14,0),""))</f>
        <v/>
      </c>
      <c r="D60" s="497">
        <f>IF(A60="","",TODAY())</f>
        <v/>
      </c>
      <c r="E60" s="489" t="n"/>
      <c r="F60" s="498">
        <f>IF(OR(A60="",E60=""),"",IF(C60="","",C60+E60))</f>
        <v/>
      </c>
      <c r="G60" s="384" t="inlineStr">
        <is>
          <t>Agent 05</t>
        </is>
      </c>
      <c r="H60" s="491" t="n"/>
      <c r="I60" s="499">
        <f>IF(A60="","Pending",IF(H60="","⚠️ Enter Code",IF(IFERROR(VLOOKUP(G60,DB_Agents!$B:$I,8,0),"")=H60,IF(AND(A60&lt;&gt;"",E60&lt;&gt;""),"Saved","Pending"),"🔒 BLOCKED — Wrong Code")))</f>
        <v/>
      </c>
      <c r="J60" s="500">
        <f>IF(I60="Saved",TEXT(TODAY(),"YYYY-MM-DD")&amp;" Auto","—")</f>
        <v/>
      </c>
      <c r="K60" s="501" t="n"/>
    </row>
    <row r="61" ht="15" customHeight="1" s="341">
      <c r="A61" s="486" t="n"/>
      <c r="B61" s="378">
        <f>IF(A61="","",IFERROR(VLOOKUP(A61,DB_Customers!$A:$D,4,0),"❌ Account Not Found"))</f>
        <v/>
      </c>
      <c r="C61" s="487">
        <f>IF(A61="","",IFERROR(VLOOKUP(A61,DB_Customers!$A:$N,14,0),""))</f>
        <v/>
      </c>
      <c r="D61" s="488">
        <f>IF(A61="","",TODAY())</f>
        <v/>
      </c>
      <c r="E61" s="489" t="n"/>
      <c r="F61" s="490">
        <f>IF(OR(A61="",E61=""),"",IF(C61="","",C61+E61))</f>
        <v/>
      </c>
      <c r="G61" s="380" t="inlineStr">
        <is>
          <t>Agent 05</t>
        </is>
      </c>
      <c r="H61" s="491" t="n"/>
      <c r="I61" s="492">
        <f>IF(A61="","Pending",IF(H61="","⚠️ Enter Code",IF(IFERROR(VLOOKUP(G61,DB_Agents!$B:$I,8,0),"")=H61,IF(AND(A61&lt;&gt;"",E61&lt;&gt;""),"Saved","Pending"),"🔒 BLOCKED — Wrong Code")))</f>
        <v/>
      </c>
      <c r="J61" s="493">
        <f>IF(I61="Saved",TEXT(TODAY(),"YYYY-MM-DD")&amp;" Auto","—")</f>
        <v/>
      </c>
      <c r="K61" s="494" t="n"/>
    </row>
    <row r="62" ht="15" customHeight="1" s="341">
      <c r="A62" s="495" t="n"/>
      <c r="B62" s="382">
        <f>IF(A62="","",IFERROR(VLOOKUP(A62,DB_Customers!$A:$D,4,0),"❌ Account Not Found"))</f>
        <v/>
      </c>
      <c r="C62" s="496">
        <f>IF(A62="","",IFERROR(VLOOKUP(A62,DB_Customers!$A:$N,14,0),""))</f>
        <v/>
      </c>
      <c r="D62" s="497">
        <f>IF(A62="","",TODAY())</f>
        <v/>
      </c>
      <c r="E62" s="489" t="n"/>
      <c r="F62" s="498">
        <f>IF(OR(A62="",E62=""),"",IF(C62="","",C62+E62))</f>
        <v/>
      </c>
      <c r="G62" s="384" t="inlineStr">
        <is>
          <t>Agent 05</t>
        </is>
      </c>
      <c r="H62" s="491" t="n"/>
      <c r="I62" s="499">
        <f>IF(A62="","Pending",IF(H62="","⚠️ Enter Code",IF(IFERROR(VLOOKUP(G62,DB_Agents!$B:$I,8,0),"")=H62,IF(AND(A62&lt;&gt;"",E62&lt;&gt;""),"Saved","Pending"),"🔒 BLOCKED — Wrong Code")))</f>
        <v/>
      </c>
      <c r="J62" s="500">
        <f>IF(I62="Saved",TEXT(TODAY(),"YYYY-MM-DD")&amp;" Auto","—")</f>
        <v/>
      </c>
      <c r="K62" s="501" t="n"/>
    </row>
    <row r="63" ht="15" customHeight="1" s="341">
      <c r="A63" s="486" t="n"/>
      <c r="B63" s="378">
        <f>IF(A63="","",IFERROR(VLOOKUP(A63,DB_Customers!$A:$D,4,0),"❌ Account Not Found"))</f>
        <v/>
      </c>
      <c r="C63" s="487">
        <f>IF(A63="","",IFERROR(VLOOKUP(A63,DB_Customers!$A:$N,14,0),""))</f>
        <v/>
      </c>
      <c r="D63" s="488">
        <f>IF(A63="","",TODAY())</f>
        <v/>
      </c>
      <c r="E63" s="489" t="n"/>
      <c r="F63" s="490">
        <f>IF(OR(A63="",E63=""),"",IF(C63="","",C63+E63))</f>
        <v/>
      </c>
      <c r="G63" s="380" t="inlineStr">
        <is>
          <t>Agent 05</t>
        </is>
      </c>
      <c r="H63" s="491" t="n"/>
      <c r="I63" s="492">
        <f>IF(A63="","Pending",IF(H63="","⚠️ Enter Code",IF(IFERROR(VLOOKUP(G63,DB_Agents!$B:$I,8,0),"")=H63,IF(AND(A63&lt;&gt;"",E63&lt;&gt;""),"Saved","Pending"),"🔒 BLOCKED — Wrong Code")))</f>
        <v/>
      </c>
      <c r="J63" s="493">
        <f>IF(I63="Saved",TEXT(TODAY(),"YYYY-MM-DD")&amp;" Auto","—")</f>
        <v/>
      </c>
      <c r="K63" s="494" t="n"/>
    </row>
    <row r="64" ht="15" customHeight="1" s="341">
      <c r="A64" s="495" t="n"/>
      <c r="B64" s="382">
        <f>IF(A64="","",IFERROR(VLOOKUP(A64,DB_Customers!$A:$D,4,0),"❌ Account Not Found"))</f>
        <v/>
      </c>
      <c r="C64" s="496">
        <f>IF(A64="","",IFERROR(VLOOKUP(A64,DB_Customers!$A:$N,14,0),""))</f>
        <v/>
      </c>
      <c r="D64" s="497">
        <f>IF(A64="","",TODAY())</f>
        <v/>
      </c>
      <c r="E64" s="489" t="n"/>
      <c r="F64" s="498">
        <f>IF(OR(A64="",E64=""),"",IF(C64="","",C64+E64))</f>
        <v/>
      </c>
      <c r="G64" s="384" t="inlineStr">
        <is>
          <t>Agent 05</t>
        </is>
      </c>
      <c r="H64" s="491" t="n"/>
      <c r="I64" s="499">
        <f>IF(A64="","Pending",IF(H64="","⚠️ Enter Code",IF(IFERROR(VLOOKUP(G64,DB_Agents!$B:$I,8,0),"")=H64,IF(AND(A64&lt;&gt;"",E64&lt;&gt;""),"Saved","Pending"),"🔒 BLOCKED — Wrong Code")))</f>
        <v/>
      </c>
      <c r="J64" s="500">
        <f>IF(I64="Saved",TEXT(TODAY(),"YYYY-MM-DD")&amp;" Auto","—")</f>
        <v/>
      </c>
      <c r="K64" s="501" t="n"/>
    </row>
    <row r="65" ht="15" customHeight="1" s="341">
      <c r="A65" s="486" t="n"/>
      <c r="B65" s="378">
        <f>IF(A65="","",IFERROR(VLOOKUP(A65,DB_Customers!$A:$D,4,0),"❌ Account Not Found"))</f>
        <v/>
      </c>
      <c r="C65" s="487">
        <f>IF(A65="","",IFERROR(VLOOKUP(A65,DB_Customers!$A:$N,14,0),""))</f>
        <v/>
      </c>
      <c r="D65" s="488">
        <f>IF(A65="","",TODAY())</f>
        <v/>
      </c>
      <c r="E65" s="489" t="n"/>
      <c r="F65" s="490">
        <f>IF(OR(A65="",E65=""),"",IF(C65="","",C65+E65))</f>
        <v/>
      </c>
      <c r="G65" s="380" t="inlineStr">
        <is>
          <t>Agent 05</t>
        </is>
      </c>
      <c r="H65" s="491" t="n"/>
      <c r="I65" s="492">
        <f>IF(A65="","Pending",IF(H65="","⚠️ Enter Code",IF(IFERROR(VLOOKUP(G65,DB_Agents!$B:$I,8,0),"")=H65,IF(AND(A65&lt;&gt;"",E65&lt;&gt;""),"Saved","Pending"),"🔒 BLOCKED — Wrong Code")))</f>
        <v/>
      </c>
      <c r="J65" s="493">
        <f>IF(I65="Saved",TEXT(TODAY(),"YYYY-MM-DD")&amp;" Auto","—")</f>
        <v/>
      </c>
      <c r="K65" s="494" t="n"/>
    </row>
    <row r="66" ht="15" customHeight="1" s="341">
      <c r="A66" s="495" t="n"/>
      <c r="B66" s="382">
        <f>IF(A66="","",IFERROR(VLOOKUP(A66,DB_Customers!$A:$D,4,0),"❌ Account Not Found"))</f>
        <v/>
      </c>
      <c r="C66" s="496">
        <f>IF(A66="","",IFERROR(VLOOKUP(A66,DB_Customers!$A:$N,14,0),""))</f>
        <v/>
      </c>
      <c r="D66" s="497">
        <f>IF(A66="","",TODAY())</f>
        <v/>
      </c>
      <c r="E66" s="489" t="n"/>
      <c r="F66" s="498">
        <f>IF(OR(A66="",E66=""),"",IF(C66="","",C66+E66))</f>
        <v/>
      </c>
      <c r="G66" s="384" t="inlineStr">
        <is>
          <t>Agent 05</t>
        </is>
      </c>
      <c r="H66" s="491" t="n"/>
      <c r="I66" s="499">
        <f>IF(A66="","Pending",IF(H66="","⚠️ Enter Code",IF(IFERROR(VLOOKUP(G66,DB_Agents!$B:$I,8,0),"")=H66,IF(AND(A66&lt;&gt;"",E66&lt;&gt;""),"Saved","Pending"),"🔒 BLOCKED — Wrong Code")))</f>
        <v/>
      </c>
      <c r="J66" s="500">
        <f>IF(I66="Saved",TEXT(TODAY(),"YYYY-MM-DD")&amp;" Auto","—")</f>
        <v/>
      </c>
      <c r="K66" s="501" t="n"/>
    </row>
    <row r="67" ht="15" customHeight="1" s="341">
      <c r="A67" s="486" t="n"/>
      <c r="B67" s="378">
        <f>IF(A67="","",IFERROR(VLOOKUP(A67,DB_Customers!$A:$D,4,0),"❌ Account Not Found"))</f>
        <v/>
      </c>
      <c r="C67" s="487">
        <f>IF(A67="","",IFERROR(VLOOKUP(A67,DB_Customers!$A:$N,14,0),""))</f>
        <v/>
      </c>
      <c r="D67" s="488">
        <f>IF(A67="","",TODAY())</f>
        <v/>
      </c>
      <c r="E67" s="489" t="n"/>
      <c r="F67" s="490">
        <f>IF(OR(A67="",E67=""),"",IF(C67="","",C67+E67))</f>
        <v/>
      </c>
      <c r="G67" s="380" t="inlineStr">
        <is>
          <t>Agent 05</t>
        </is>
      </c>
      <c r="H67" s="491" t="n"/>
      <c r="I67" s="492">
        <f>IF(A67="","Pending",IF(H67="","⚠️ Enter Code",IF(IFERROR(VLOOKUP(G67,DB_Agents!$B:$I,8,0),"")=H67,IF(AND(A67&lt;&gt;"",E67&lt;&gt;""),"Saved","Pending"),"🔒 BLOCKED — Wrong Code")))</f>
        <v/>
      </c>
      <c r="J67" s="493">
        <f>IF(I67="Saved",TEXT(TODAY(),"YYYY-MM-DD")&amp;" Auto","—")</f>
        <v/>
      </c>
      <c r="K67" s="494" t="n"/>
    </row>
    <row r="68" ht="15" customHeight="1" s="341">
      <c r="A68" s="495" t="n"/>
      <c r="B68" s="382">
        <f>IF(A68="","",IFERROR(VLOOKUP(A68,DB_Customers!$A:$D,4,0),"❌ Account Not Found"))</f>
        <v/>
      </c>
      <c r="C68" s="496">
        <f>IF(A68="","",IFERROR(VLOOKUP(A68,DB_Customers!$A:$N,14,0),""))</f>
        <v/>
      </c>
      <c r="D68" s="497">
        <f>IF(A68="","",TODAY())</f>
        <v/>
      </c>
      <c r="E68" s="489" t="n"/>
      <c r="F68" s="498">
        <f>IF(OR(A68="",E68=""),"",IF(C68="","",C68+E68))</f>
        <v/>
      </c>
      <c r="G68" s="384" t="inlineStr">
        <is>
          <t>Agent 05</t>
        </is>
      </c>
      <c r="H68" s="491" t="n"/>
      <c r="I68" s="499">
        <f>IF(A68="","Pending",IF(H68="","⚠️ Enter Code",IF(IFERROR(VLOOKUP(G68,DB_Agents!$B:$I,8,0),"")=H68,IF(AND(A68&lt;&gt;"",E68&lt;&gt;""),"Saved","Pending"),"🔒 BLOCKED — Wrong Code")))</f>
        <v/>
      </c>
      <c r="J68" s="500">
        <f>IF(I68="Saved",TEXT(TODAY(),"YYYY-MM-DD")&amp;" Auto","—")</f>
        <v/>
      </c>
      <c r="K68" s="501" t="n"/>
    </row>
    <row r="69" ht="15" customHeight="1" s="341">
      <c r="A69" s="486" t="n"/>
      <c r="B69" s="378">
        <f>IF(A69="","",IFERROR(VLOOKUP(A69,DB_Customers!$A:$D,4,0),"❌ Account Not Found"))</f>
        <v/>
      </c>
      <c r="C69" s="487">
        <f>IF(A69="","",IFERROR(VLOOKUP(A69,DB_Customers!$A:$N,14,0),""))</f>
        <v/>
      </c>
      <c r="D69" s="488">
        <f>IF(A69="","",TODAY())</f>
        <v/>
      </c>
      <c r="E69" s="489" t="n"/>
      <c r="F69" s="490">
        <f>IF(OR(A69="",E69=""),"",IF(C69="","",C69+E69))</f>
        <v/>
      </c>
      <c r="G69" s="380" t="inlineStr">
        <is>
          <t>Agent 05</t>
        </is>
      </c>
      <c r="H69" s="491" t="n"/>
      <c r="I69" s="492">
        <f>IF(A69="","Pending",IF(H69="","⚠️ Enter Code",IF(IFERROR(VLOOKUP(G69,DB_Agents!$B:$I,8,0),"")=H69,IF(AND(A69&lt;&gt;"",E69&lt;&gt;""),"Saved","Pending"),"🔒 BLOCKED — Wrong Code")))</f>
        <v/>
      </c>
      <c r="J69" s="493">
        <f>IF(I69="Saved",TEXT(TODAY(),"YYYY-MM-DD")&amp;" Auto","—")</f>
        <v/>
      </c>
      <c r="K69" s="494" t="n"/>
    </row>
    <row r="70" ht="15" customHeight="1" s="341">
      <c r="A70" s="495" t="n"/>
      <c r="B70" s="382">
        <f>IF(A70="","",IFERROR(VLOOKUP(A70,DB_Customers!$A:$D,4,0),"❌ Account Not Found"))</f>
        <v/>
      </c>
      <c r="C70" s="496">
        <f>IF(A70="","",IFERROR(VLOOKUP(A70,DB_Customers!$A:$N,14,0),""))</f>
        <v/>
      </c>
      <c r="D70" s="497">
        <f>IF(A70="","",TODAY())</f>
        <v/>
      </c>
      <c r="E70" s="489" t="n"/>
      <c r="F70" s="498">
        <f>IF(OR(A70="",E70=""),"",IF(C70="","",C70+E70))</f>
        <v/>
      </c>
      <c r="G70" s="384" t="inlineStr">
        <is>
          <t>Agent 05</t>
        </is>
      </c>
      <c r="H70" s="491" t="n"/>
      <c r="I70" s="499">
        <f>IF(A70="","Pending",IF(H70="","⚠️ Enter Code",IF(IFERROR(VLOOKUP(G70,DB_Agents!$B:$I,8,0),"")=H70,IF(AND(A70&lt;&gt;"",E70&lt;&gt;""),"Saved","Pending"),"🔒 BLOCKED — Wrong Code")))</f>
        <v/>
      </c>
      <c r="J70" s="500">
        <f>IF(I70="Saved",TEXT(TODAY(),"YYYY-MM-DD")&amp;" Auto","—")</f>
        <v/>
      </c>
      <c r="K70" s="501" t="n"/>
    </row>
    <row r="71" ht="15" customHeight="1" s="341">
      <c r="A71" s="486" t="n"/>
      <c r="B71" s="378">
        <f>IF(A71="","",IFERROR(VLOOKUP(A71,DB_Customers!$A:$D,4,0),"❌ Account Not Found"))</f>
        <v/>
      </c>
      <c r="C71" s="487">
        <f>IF(A71="","",IFERROR(VLOOKUP(A71,DB_Customers!$A:$N,14,0),""))</f>
        <v/>
      </c>
      <c r="D71" s="488">
        <f>IF(A71="","",TODAY())</f>
        <v/>
      </c>
      <c r="E71" s="489" t="n"/>
      <c r="F71" s="490">
        <f>IF(OR(A71="",E71=""),"",IF(C71="","",C71+E71))</f>
        <v/>
      </c>
      <c r="G71" s="380" t="inlineStr">
        <is>
          <t>Agent 05</t>
        </is>
      </c>
      <c r="H71" s="491" t="n"/>
      <c r="I71" s="492">
        <f>IF(A71="","Pending",IF(H71="","⚠️ Enter Code",IF(IFERROR(VLOOKUP(G71,DB_Agents!$B:$I,8,0),"")=H71,IF(AND(A71&lt;&gt;"",E71&lt;&gt;""),"Saved","Pending"),"🔒 BLOCKED — Wrong Code")))</f>
        <v/>
      </c>
      <c r="J71" s="493">
        <f>IF(I71="Saved",TEXT(TODAY(),"YYYY-MM-DD")&amp;" Auto","—")</f>
        <v/>
      </c>
      <c r="K71" s="494" t="n"/>
    </row>
    <row r="72" ht="15" customHeight="1" s="341">
      <c r="A72" s="495" t="n"/>
      <c r="B72" s="382">
        <f>IF(A72="","",IFERROR(VLOOKUP(A72,DB_Customers!$A:$D,4,0),"❌ Account Not Found"))</f>
        <v/>
      </c>
      <c r="C72" s="496">
        <f>IF(A72="","",IFERROR(VLOOKUP(A72,DB_Customers!$A:$N,14,0),""))</f>
        <v/>
      </c>
      <c r="D72" s="497">
        <f>IF(A72="","",TODAY())</f>
        <v/>
      </c>
      <c r="E72" s="489" t="n"/>
      <c r="F72" s="498">
        <f>IF(OR(A72="",E72=""),"",IF(C72="","",C72+E72))</f>
        <v/>
      </c>
      <c r="G72" s="384" t="inlineStr">
        <is>
          <t>Agent 05</t>
        </is>
      </c>
      <c r="H72" s="491" t="n"/>
      <c r="I72" s="499">
        <f>IF(A72="","Pending",IF(H72="","⚠️ Enter Code",IF(IFERROR(VLOOKUP(G72,DB_Agents!$B:$I,8,0),"")=H72,IF(AND(A72&lt;&gt;"",E72&lt;&gt;""),"Saved","Pending"),"🔒 BLOCKED — Wrong Code")))</f>
        <v/>
      </c>
      <c r="J72" s="500">
        <f>IF(I72="Saved",TEXT(TODAY(),"YYYY-MM-DD")&amp;" Auto","—")</f>
        <v/>
      </c>
      <c r="K72" s="501" t="n"/>
    </row>
    <row r="73" ht="15" customHeight="1" s="341">
      <c r="A73" s="486" t="n"/>
      <c r="B73" s="378">
        <f>IF(A73="","",IFERROR(VLOOKUP(A73,DB_Customers!$A:$D,4,0),"❌ Account Not Found"))</f>
        <v/>
      </c>
      <c r="C73" s="487">
        <f>IF(A73="","",IFERROR(VLOOKUP(A73,DB_Customers!$A:$N,14,0),""))</f>
        <v/>
      </c>
      <c r="D73" s="488">
        <f>IF(A73="","",TODAY())</f>
        <v/>
      </c>
      <c r="E73" s="489" t="n"/>
      <c r="F73" s="490">
        <f>IF(OR(A73="",E73=""),"",IF(C73="","",C73+E73))</f>
        <v/>
      </c>
      <c r="G73" s="380" t="inlineStr">
        <is>
          <t>Agent 05</t>
        </is>
      </c>
      <c r="H73" s="491" t="n"/>
      <c r="I73" s="492">
        <f>IF(A73="","Pending",IF(H73="","⚠️ Enter Code",IF(IFERROR(VLOOKUP(G73,DB_Agents!$B:$I,8,0),"")=H73,IF(AND(A73&lt;&gt;"",E73&lt;&gt;""),"Saved","Pending"),"🔒 BLOCKED — Wrong Code")))</f>
        <v/>
      </c>
      <c r="J73" s="493">
        <f>IF(I73="Saved",TEXT(TODAY(),"YYYY-MM-DD")&amp;" Auto","—")</f>
        <v/>
      </c>
      <c r="K73" s="494" t="n"/>
    </row>
    <row r="74" ht="15" customHeight="1" s="341">
      <c r="A74" s="495" t="n"/>
      <c r="B74" s="382">
        <f>IF(A74="","",IFERROR(VLOOKUP(A74,DB_Customers!$A:$D,4,0),"❌ Account Not Found"))</f>
        <v/>
      </c>
      <c r="C74" s="496">
        <f>IF(A74="","",IFERROR(VLOOKUP(A74,DB_Customers!$A:$N,14,0),""))</f>
        <v/>
      </c>
      <c r="D74" s="497">
        <f>IF(A74="","",TODAY())</f>
        <v/>
      </c>
      <c r="E74" s="489" t="n"/>
      <c r="F74" s="498">
        <f>IF(OR(A74="",E74=""),"",IF(C74="","",C74+E74))</f>
        <v/>
      </c>
      <c r="G74" s="384" t="inlineStr">
        <is>
          <t>Agent 05</t>
        </is>
      </c>
      <c r="H74" s="491" t="n"/>
      <c r="I74" s="499">
        <f>IF(A74="","Pending",IF(H74="","⚠️ Enter Code",IF(IFERROR(VLOOKUP(G74,DB_Agents!$B:$I,8,0),"")=H74,IF(AND(A74&lt;&gt;"",E74&lt;&gt;""),"Saved","Pending"),"🔒 BLOCKED — Wrong Code")))</f>
        <v/>
      </c>
      <c r="J74" s="500">
        <f>IF(I74="Saved",TEXT(TODAY(),"YYYY-MM-DD")&amp;" Auto","—")</f>
        <v/>
      </c>
      <c r="K74" s="501" t="n"/>
    </row>
    <row r="75" ht="15" customHeight="1" s="341">
      <c r="A75" s="486" t="n"/>
      <c r="B75" s="378">
        <f>IF(A75="","",IFERROR(VLOOKUP(A75,DB_Customers!$A:$D,4,0),"❌ Account Not Found"))</f>
        <v/>
      </c>
      <c r="C75" s="487">
        <f>IF(A75="","",IFERROR(VLOOKUP(A75,DB_Customers!$A:$N,14,0),""))</f>
        <v/>
      </c>
      <c r="D75" s="488">
        <f>IF(A75="","",TODAY())</f>
        <v/>
      </c>
      <c r="E75" s="489" t="n"/>
      <c r="F75" s="490">
        <f>IF(OR(A75="",E75=""),"",IF(C75="","",C75+E75))</f>
        <v/>
      </c>
      <c r="G75" s="380" t="inlineStr">
        <is>
          <t>Agent 05</t>
        </is>
      </c>
      <c r="H75" s="491" t="n"/>
      <c r="I75" s="492">
        <f>IF(A75="","Pending",IF(H75="","⚠️ Enter Code",IF(IFERROR(VLOOKUP(G75,DB_Agents!$B:$I,8,0),"")=H75,IF(AND(A75&lt;&gt;"",E75&lt;&gt;""),"Saved","Pending"),"🔒 BLOCKED — Wrong Code")))</f>
        <v/>
      </c>
      <c r="J75" s="493">
        <f>IF(I75="Saved",TEXT(TODAY(),"YYYY-MM-DD")&amp;" Auto","—")</f>
        <v/>
      </c>
      <c r="K75" s="494" t="n"/>
    </row>
    <row r="76" ht="15" customHeight="1" s="341">
      <c r="A76" s="495" t="n"/>
      <c r="B76" s="382">
        <f>IF(A76="","",IFERROR(VLOOKUP(A76,DB_Customers!$A:$D,4,0),"❌ Account Not Found"))</f>
        <v/>
      </c>
      <c r="C76" s="496">
        <f>IF(A76="","",IFERROR(VLOOKUP(A76,DB_Customers!$A:$N,14,0),""))</f>
        <v/>
      </c>
      <c r="D76" s="497">
        <f>IF(A76="","",TODAY())</f>
        <v/>
      </c>
      <c r="E76" s="489" t="n"/>
      <c r="F76" s="498">
        <f>IF(OR(A76="",E76=""),"",IF(C76="","",C76+E76))</f>
        <v/>
      </c>
      <c r="G76" s="384" t="inlineStr">
        <is>
          <t>Agent 05</t>
        </is>
      </c>
      <c r="H76" s="491" t="n"/>
      <c r="I76" s="499">
        <f>IF(A76="","Pending",IF(H76="","⚠️ Enter Code",IF(IFERROR(VLOOKUP(G76,DB_Agents!$B:$I,8,0),"")=H76,IF(AND(A76&lt;&gt;"",E76&lt;&gt;""),"Saved","Pending"),"🔒 BLOCKED — Wrong Code")))</f>
        <v/>
      </c>
      <c r="J76" s="500">
        <f>IF(I76="Saved",TEXT(TODAY(),"YYYY-MM-DD")&amp;" Auto","—")</f>
        <v/>
      </c>
      <c r="K76" s="501" t="n"/>
    </row>
    <row r="77" ht="15" customHeight="1" s="341">
      <c r="A77" s="486" t="n"/>
      <c r="B77" s="378">
        <f>IF(A77="","",IFERROR(VLOOKUP(A77,DB_Customers!$A:$D,4,0),"❌ Account Not Found"))</f>
        <v/>
      </c>
      <c r="C77" s="487">
        <f>IF(A77="","",IFERROR(VLOOKUP(A77,DB_Customers!$A:$N,14,0),""))</f>
        <v/>
      </c>
      <c r="D77" s="488">
        <f>IF(A77="","",TODAY())</f>
        <v/>
      </c>
      <c r="E77" s="489" t="n"/>
      <c r="F77" s="490">
        <f>IF(OR(A77="",E77=""),"",IF(C77="","",C77+E77))</f>
        <v/>
      </c>
      <c r="G77" s="380" t="inlineStr">
        <is>
          <t>Agent 05</t>
        </is>
      </c>
      <c r="H77" s="491" t="n"/>
      <c r="I77" s="492">
        <f>IF(A77="","Pending",IF(H77="","⚠️ Enter Code",IF(IFERROR(VLOOKUP(G77,DB_Agents!$B:$I,8,0),"")=H77,IF(AND(A77&lt;&gt;"",E77&lt;&gt;""),"Saved","Pending"),"🔒 BLOCKED — Wrong Code")))</f>
        <v/>
      </c>
      <c r="J77" s="493">
        <f>IF(I77="Saved",TEXT(TODAY(),"YYYY-MM-DD")&amp;" Auto","—")</f>
        <v/>
      </c>
      <c r="K77" s="494" t="n"/>
    </row>
    <row r="78" ht="15" customHeight="1" s="341">
      <c r="A78" s="495" t="n"/>
      <c r="B78" s="382">
        <f>IF(A78="","",IFERROR(VLOOKUP(A78,DB_Customers!$A:$D,4,0),"❌ Account Not Found"))</f>
        <v/>
      </c>
      <c r="C78" s="496">
        <f>IF(A78="","",IFERROR(VLOOKUP(A78,DB_Customers!$A:$N,14,0),""))</f>
        <v/>
      </c>
      <c r="D78" s="497">
        <f>IF(A78="","",TODAY())</f>
        <v/>
      </c>
      <c r="E78" s="489" t="n"/>
      <c r="F78" s="498">
        <f>IF(OR(A78="",E78=""),"",IF(C78="","",C78+E78))</f>
        <v/>
      </c>
      <c r="G78" s="384" t="inlineStr">
        <is>
          <t>Agent 05</t>
        </is>
      </c>
      <c r="H78" s="491" t="n"/>
      <c r="I78" s="499">
        <f>IF(A78="","Pending",IF(H78="","⚠️ Enter Code",IF(IFERROR(VLOOKUP(G78,DB_Agents!$B:$I,8,0),"")=H78,IF(AND(A78&lt;&gt;"",E78&lt;&gt;""),"Saved","Pending"),"🔒 BLOCKED — Wrong Code")))</f>
        <v/>
      </c>
      <c r="J78" s="500">
        <f>IF(I78="Saved",TEXT(TODAY(),"YYYY-MM-DD")&amp;" Auto","—")</f>
        <v/>
      </c>
      <c r="K78" s="501" t="n"/>
    </row>
    <row r="79" ht="15" customHeight="1" s="341">
      <c r="A79" s="486" t="n"/>
      <c r="B79" s="378">
        <f>IF(A79="","",IFERROR(VLOOKUP(A79,DB_Customers!$A:$D,4,0),"❌ Account Not Found"))</f>
        <v/>
      </c>
      <c r="C79" s="487">
        <f>IF(A79="","",IFERROR(VLOOKUP(A79,DB_Customers!$A:$N,14,0),""))</f>
        <v/>
      </c>
      <c r="D79" s="488">
        <f>IF(A79="","",TODAY())</f>
        <v/>
      </c>
      <c r="E79" s="489" t="n"/>
      <c r="F79" s="490">
        <f>IF(OR(A79="",E79=""),"",IF(C79="","",C79+E79))</f>
        <v/>
      </c>
      <c r="G79" s="380" t="inlineStr">
        <is>
          <t>Agent 05</t>
        </is>
      </c>
      <c r="H79" s="491" t="n"/>
      <c r="I79" s="492">
        <f>IF(A79="","Pending",IF(H79="","⚠️ Enter Code",IF(IFERROR(VLOOKUP(G79,DB_Agents!$B:$I,8,0),"")=H79,IF(AND(A79&lt;&gt;"",E79&lt;&gt;""),"Saved","Pending"),"🔒 BLOCKED — Wrong Code")))</f>
        <v/>
      </c>
      <c r="J79" s="493">
        <f>IF(I79="Saved",TEXT(TODAY(),"YYYY-MM-DD")&amp;" Auto","—")</f>
        <v/>
      </c>
      <c r="K79" s="494" t="n"/>
    </row>
    <row r="80" ht="15" customHeight="1" s="341">
      <c r="A80" s="495" t="n"/>
      <c r="B80" s="382">
        <f>IF(A80="","",IFERROR(VLOOKUP(A80,DB_Customers!$A:$D,4,0),"❌ Account Not Found"))</f>
        <v/>
      </c>
      <c r="C80" s="496">
        <f>IF(A80="","",IFERROR(VLOOKUP(A80,DB_Customers!$A:$N,14,0),""))</f>
        <v/>
      </c>
      <c r="D80" s="497">
        <f>IF(A80="","",TODAY())</f>
        <v/>
      </c>
      <c r="E80" s="489" t="n"/>
      <c r="F80" s="498">
        <f>IF(OR(A80="",E80=""),"",IF(C80="","",C80+E80))</f>
        <v/>
      </c>
      <c r="G80" s="384" t="inlineStr">
        <is>
          <t>Agent 05</t>
        </is>
      </c>
      <c r="H80" s="491" t="n"/>
      <c r="I80" s="499">
        <f>IF(A80="","Pending",IF(H80="","⚠️ Enter Code",IF(IFERROR(VLOOKUP(G80,DB_Agents!$B:$I,8,0),"")=H80,IF(AND(A80&lt;&gt;"",E80&lt;&gt;""),"Saved","Pending"),"🔒 BLOCKED — Wrong Code")))</f>
        <v/>
      </c>
      <c r="J80" s="500">
        <f>IF(I80="Saved",TEXT(TODAY(),"YYYY-MM-DD")&amp;" Auto","—")</f>
        <v/>
      </c>
      <c r="K80" s="501" t="n"/>
    </row>
    <row r="81" ht="15" customHeight="1" s="341">
      <c r="A81" s="486" t="n"/>
      <c r="B81" s="378">
        <f>IF(A81="","",IFERROR(VLOOKUP(A81,DB_Customers!$A:$D,4,0),"❌ Account Not Found"))</f>
        <v/>
      </c>
      <c r="C81" s="487">
        <f>IF(A81="","",IFERROR(VLOOKUP(A81,DB_Customers!$A:$N,14,0),""))</f>
        <v/>
      </c>
      <c r="D81" s="488">
        <f>IF(A81="","",TODAY())</f>
        <v/>
      </c>
      <c r="E81" s="489" t="n"/>
      <c r="F81" s="490">
        <f>IF(OR(A81="",E81=""),"",IF(C81="","",C81+E81))</f>
        <v/>
      </c>
      <c r="G81" s="380" t="inlineStr">
        <is>
          <t>Agent 05</t>
        </is>
      </c>
      <c r="H81" s="491" t="n"/>
      <c r="I81" s="492">
        <f>IF(A81="","Pending",IF(H81="","⚠️ Enter Code",IF(IFERROR(VLOOKUP(G81,DB_Agents!$B:$I,8,0),"")=H81,IF(AND(A81&lt;&gt;"",E81&lt;&gt;""),"Saved","Pending"),"🔒 BLOCKED — Wrong Code")))</f>
        <v/>
      </c>
      <c r="J81" s="493">
        <f>IF(I81="Saved",TEXT(TODAY(),"YYYY-MM-DD")&amp;" Auto","—")</f>
        <v/>
      </c>
      <c r="K81" s="494" t="n"/>
    </row>
    <row r="82" ht="15" customHeight="1" s="341">
      <c r="A82" s="495" t="n"/>
      <c r="B82" s="382">
        <f>IF(A82="","",IFERROR(VLOOKUP(A82,DB_Customers!$A:$D,4,0),"❌ Account Not Found"))</f>
        <v/>
      </c>
      <c r="C82" s="496">
        <f>IF(A82="","",IFERROR(VLOOKUP(A82,DB_Customers!$A:$N,14,0),""))</f>
        <v/>
      </c>
      <c r="D82" s="497">
        <f>IF(A82="","",TODAY())</f>
        <v/>
      </c>
      <c r="E82" s="489" t="n"/>
      <c r="F82" s="498">
        <f>IF(OR(A82="",E82=""),"",IF(C82="","",C82+E82))</f>
        <v/>
      </c>
      <c r="G82" s="384" t="inlineStr">
        <is>
          <t>Agent 05</t>
        </is>
      </c>
      <c r="H82" s="491" t="n"/>
      <c r="I82" s="499">
        <f>IF(A82="","Pending",IF(H82="","⚠️ Enter Code",IF(IFERROR(VLOOKUP(G82,DB_Agents!$B:$I,8,0),"")=H82,IF(AND(A82&lt;&gt;"",E82&lt;&gt;""),"Saved","Pending"),"🔒 BLOCKED — Wrong Code")))</f>
        <v/>
      </c>
      <c r="J82" s="500">
        <f>IF(I82="Saved",TEXT(TODAY(),"YYYY-MM-DD")&amp;" Auto","—")</f>
        <v/>
      </c>
      <c r="K82" s="501" t="n"/>
    </row>
    <row r="83" ht="15" customHeight="1" s="341">
      <c r="A83" s="486" t="n"/>
      <c r="B83" s="378">
        <f>IF(A83="","",IFERROR(VLOOKUP(A83,DB_Customers!$A:$D,4,0),"❌ Account Not Found"))</f>
        <v/>
      </c>
      <c r="C83" s="487">
        <f>IF(A83="","",IFERROR(VLOOKUP(A83,DB_Customers!$A:$N,14,0),""))</f>
        <v/>
      </c>
      <c r="D83" s="488">
        <f>IF(A83="","",TODAY())</f>
        <v/>
      </c>
      <c r="E83" s="489" t="n"/>
      <c r="F83" s="490">
        <f>IF(OR(A83="",E83=""),"",IF(C83="","",C83+E83))</f>
        <v/>
      </c>
      <c r="G83" s="380" t="inlineStr">
        <is>
          <t>Agent 05</t>
        </is>
      </c>
      <c r="H83" s="491" t="n"/>
      <c r="I83" s="492">
        <f>IF(A83="","Pending",IF(H83="","⚠️ Enter Code",IF(IFERROR(VLOOKUP(G83,DB_Agents!$B:$I,8,0),"")=H83,IF(AND(A83&lt;&gt;"",E83&lt;&gt;""),"Saved","Pending"),"🔒 BLOCKED — Wrong Code")))</f>
        <v/>
      </c>
      <c r="J83" s="493">
        <f>IF(I83="Saved",TEXT(TODAY(),"YYYY-MM-DD")&amp;" Auto","—")</f>
        <v/>
      </c>
      <c r="K83" s="494" t="n"/>
    </row>
    <row r="84" ht="15" customHeight="1" s="341">
      <c r="A84" s="495" t="n"/>
      <c r="B84" s="382">
        <f>IF(A84="","",IFERROR(VLOOKUP(A84,DB_Customers!$A:$D,4,0),"❌ Account Not Found"))</f>
        <v/>
      </c>
      <c r="C84" s="496">
        <f>IF(A84="","",IFERROR(VLOOKUP(A84,DB_Customers!$A:$N,14,0),""))</f>
        <v/>
      </c>
      <c r="D84" s="497">
        <f>IF(A84="","",TODAY())</f>
        <v/>
      </c>
      <c r="E84" s="489" t="n"/>
      <c r="F84" s="498">
        <f>IF(OR(A84="",E84=""),"",IF(C84="","",C84+E84))</f>
        <v/>
      </c>
      <c r="G84" s="384" t="inlineStr">
        <is>
          <t>Agent 05</t>
        </is>
      </c>
      <c r="H84" s="491" t="n"/>
      <c r="I84" s="499">
        <f>IF(A84="","Pending",IF(H84="","⚠️ Enter Code",IF(IFERROR(VLOOKUP(G84,DB_Agents!$B:$I,8,0),"")=H84,IF(AND(A84&lt;&gt;"",E84&lt;&gt;""),"Saved","Pending"),"🔒 BLOCKED — Wrong Code")))</f>
        <v/>
      </c>
      <c r="J84" s="500">
        <f>IF(I84="Saved",TEXT(TODAY(),"YYYY-MM-DD")&amp;" Auto","—")</f>
        <v/>
      </c>
      <c r="K84" s="501" t="n"/>
    </row>
    <row r="85" ht="15" customHeight="1" s="341">
      <c r="A85" s="486" t="n"/>
      <c r="B85" s="378">
        <f>IF(A85="","",IFERROR(VLOOKUP(A85,DB_Customers!$A:$D,4,0),"❌ Account Not Found"))</f>
        <v/>
      </c>
      <c r="C85" s="487">
        <f>IF(A85="","",IFERROR(VLOOKUP(A85,DB_Customers!$A:$N,14,0),""))</f>
        <v/>
      </c>
      <c r="D85" s="488">
        <f>IF(A85="","",TODAY())</f>
        <v/>
      </c>
      <c r="E85" s="489" t="n"/>
      <c r="F85" s="490">
        <f>IF(OR(A85="",E85=""),"",IF(C85="","",C85+E85))</f>
        <v/>
      </c>
      <c r="G85" s="380" t="inlineStr">
        <is>
          <t>Agent 05</t>
        </is>
      </c>
      <c r="H85" s="491" t="n"/>
      <c r="I85" s="492">
        <f>IF(A85="","Pending",IF(H85="","⚠️ Enter Code",IF(IFERROR(VLOOKUP(G85,DB_Agents!$B:$I,8,0),"")=H85,IF(AND(A85&lt;&gt;"",E85&lt;&gt;""),"Saved","Pending"),"🔒 BLOCKED — Wrong Code")))</f>
        <v/>
      </c>
      <c r="J85" s="493">
        <f>IF(I85="Saved",TEXT(TODAY(),"YYYY-MM-DD")&amp;" Auto","—")</f>
        <v/>
      </c>
      <c r="K85" s="494" t="n"/>
    </row>
    <row r="86" ht="15" customHeight="1" s="341">
      <c r="A86" s="495" t="n"/>
      <c r="B86" s="382">
        <f>IF(A86="","",IFERROR(VLOOKUP(A86,DB_Customers!$A:$D,4,0),"❌ Account Not Found"))</f>
        <v/>
      </c>
      <c r="C86" s="496">
        <f>IF(A86="","",IFERROR(VLOOKUP(A86,DB_Customers!$A:$N,14,0),""))</f>
        <v/>
      </c>
      <c r="D86" s="497">
        <f>IF(A86="","",TODAY())</f>
        <v/>
      </c>
      <c r="E86" s="489" t="n"/>
      <c r="F86" s="498">
        <f>IF(OR(A86="",E86=""),"",IF(C86="","",C86+E86))</f>
        <v/>
      </c>
      <c r="G86" s="384" t="inlineStr">
        <is>
          <t>Agent 05</t>
        </is>
      </c>
      <c r="H86" s="491" t="n"/>
      <c r="I86" s="499">
        <f>IF(A86="","Pending",IF(H86="","⚠️ Enter Code",IF(IFERROR(VLOOKUP(G86,DB_Agents!$B:$I,8,0),"")=H86,IF(AND(A86&lt;&gt;"",E86&lt;&gt;""),"Saved","Pending"),"🔒 BLOCKED — Wrong Code")))</f>
        <v/>
      </c>
      <c r="J86" s="500">
        <f>IF(I86="Saved",TEXT(TODAY(),"YYYY-MM-DD")&amp;" Auto","—")</f>
        <v/>
      </c>
      <c r="K86" s="501" t="n"/>
    </row>
    <row r="87" ht="15" customHeight="1" s="341">
      <c r="A87" s="486" t="n"/>
      <c r="B87" s="378">
        <f>IF(A87="","",IFERROR(VLOOKUP(A87,DB_Customers!$A:$D,4,0),"❌ Account Not Found"))</f>
        <v/>
      </c>
      <c r="C87" s="487">
        <f>IF(A87="","",IFERROR(VLOOKUP(A87,DB_Customers!$A:$N,14,0),""))</f>
        <v/>
      </c>
      <c r="D87" s="488">
        <f>IF(A87="","",TODAY())</f>
        <v/>
      </c>
      <c r="E87" s="489" t="n"/>
      <c r="F87" s="490">
        <f>IF(OR(A87="",E87=""),"",IF(C87="","",C87+E87))</f>
        <v/>
      </c>
      <c r="G87" s="380" t="inlineStr">
        <is>
          <t>Agent 05</t>
        </is>
      </c>
      <c r="H87" s="491" t="n"/>
      <c r="I87" s="492">
        <f>IF(A87="","Pending",IF(H87="","⚠️ Enter Code",IF(IFERROR(VLOOKUP(G87,DB_Agents!$B:$I,8,0),"")=H87,IF(AND(A87&lt;&gt;"",E87&lt;&gt;""),"Saved","Pending"),"🔒 BLOCKED — Wrong Code")))</f>
        <v/>
      </c>
      <c r="J87" s="493">
        <f>IF(I87="Saved",TEXT(TODAY(),"YYYY-MM-DD")&amp;" Auto","—")</f>
        <v/>
      </c>
      <c r="K87" s="494" t="n"/>
    </row>
    <row r="88" ht="15" customHeight="1" s="341">
      <c r="A88" s="495" t="n"/>
      <c r="B88" s="382">
        <f>IF(A88="","",IFERROR(VLOOKUP(A88,DB_Customers!$A:$D,4,0),"❌ Account Not Found"))</f>
        <v/>
      </c>
      <c r="C88" s="496">
        <f>IF(A88="","",IFERROR(VLOOKUP(A88,DB_Customers!$A:$N,14,0),""))</f>
        <v/>
      </c>
      <c r="D88" s="497">
        <f>IF(A88="","",TODAY())</f>
        <v/>
      </c>
      <c r="E88" s="489" t="n"/>
      <c r="F88" s="498">
        <f>IF(OR(A88="",E88=""),"",IF(C88="","",C88+E88))</f>
        <v/>
      </c>
      <c r="G88" s="384" t="inlineStr">
        <is>
          <t>Agent 05</t>
        </is>
      </c>
      <c r="H88" s="491" t="n"/>
      <c r="I88" s="499">
        <f>IF(A88="","Pending",IF(H88="","⚠️ Enter Code",IF(IFERROR(VLOOKUP(G88,DB_Agents!$B:$I,8,0),"")=H88,IF(AND(A88&lt;&gt;"",E88&lt;&gt;""),"Saved","Pending"),"🔒 BLOCKED — Wrong Code")))</f>
        <v/>
      </c>
      <c r="J88" s="500">
        <f>IF(I88="Saved",TEXT(TODAY(),"YYYY-MM-DD")&amp;" Auto","—")</f>
        <v/>
      </c>
      <c r="K88" s="501" t="n"/>
    </row>
    <row r="89" ht="15" customHeight="1" s="341">
      <c r="A89" s="486" t="n"/>
      <c r="B89" s="378">
        <f>IF(A89="","",IFERROR(VLOOKUP(A89,DB_Customers!$A:$D,4,0),"❌ Account Not Found"))</f>
        <v/>
      </c>
      <c r="C89" s="487">
        <f>IF(A89="","",IFERROR(VLOOKUP(A89,DB_Customers!$A:$N,14,0),""))</f>
        <v/>
      </c>
      <c r="D89" s="488">
        <f>IF(A89="","",TODAY())</f>
        <v/>
      </c>
      <c r="E89" s="489" t="n"/>
      <c r="F89" s="490">
        <f>IF(OR(A89="",E89=""),"",IF(C89="","",C89+E89))</f>
        <v/>
      </c>
      <c r="G89" s="380" t="inlineStr">
        <is>
          <t>Agent 05</t>
        </is>
      </c>
      <c r="H89" s="491" t="n"/>
      <c r="I89" s="492">
        <f>IF(A89="","Pending",IF(H89="","⚠️ Enter Code",IF(IFERROR(VLOOKUP(G89,DB_Agents!$B:$I,8,0),"")=H89,IF(AND(A89&lt;&gt;"",E89&lt;&gt;""),"Saved","Pending"),"🔒 BLOCKED — Wrong Code")))</f>
        <v/>
      </c>
      <c r="J89" s="493">
        <f>IF(I89="Saved",TEXT(TODAY(),"YYYY-MM-DD")&amp;" Auto","—")</f>
        <v/>
      </c>
      <c r="K89" s="494" t="n"/>
    </row>
    <row r="90" ht="15" customHeight="1" s="341">
      <c r="A90" s="495" t="n"/>
      <c r="B90" s="382">
        <f>IF(A90="","",IFERROR(VLOOKUP(A90,DB_Customers!$A:$D,4,0),"❌ Account Not Found"))</f>
        <v/>
      </c>
      <c r="C90" s="496">
        <f>IF(A90="","",IFERROR(VLOOKUP(A90,DB_Customers!$A:$N,14,0),""))</f>
        <v/>
      </c>
      <c r="D90" s="497">
        <f>IF(A90="","",TODAY())</f>
        <v/>
      </c>
      <c r="E90" s="489" t="n"/>
      <c r="F90" s="498">
        <f>IF(OR(A90="",E90=""),"",IF(C90="","",C90+E90))</f>
        <v/>
      </c>
      <c r="G90" s="384" t="inlineStr">
        <is>
          <t>Agent 05</t>
        </is>
      </c>
      <c r="H90" s="491" t="n"/>
      <c r="I90" s="499">
        <f>IF(A90="","Pending",IF(H90="","⚠️ Enter Code",IF(IFERROR(VLOOKUP(G90,DB_Agents!$B:$I,8,0),"")=H90,IF(AND(A90&lt;&gt;"",E90&lt;&gt;""),"Saved","Pending"),"🔒 BLOCKED — Wrong Code")))</f>
        <v/>
      </c>
      <c r="J90" s="500">
        <f>IF(I90="Saved",TEXT(TODAY(),"YYYY-MM-DD")&amp;" Auto","—")</f>
        <v/>
      </c>
      <c r="K90" s="501" t="n"/>
    </row>
    <row r="91" ht="15" customHeight="1" s="341">
      <c r="A91" s="486" t="n"/>
      <c r="B91" s="378">
        <f>IF(A91="","",IFERROR(VLOOKUP(A91,DB_Customers!$A:$D,4,0),"❌ Account Not Found"))</f>
        <v/>
      </c>
      <c r="C91" s="487">
        <f>IF(A91="","",IFERROR(VLOOKUP(A91,DB_Customers!$A:$N,14,0),""))</f>
        <v/>
      </c>
      <c r="D91" s="488">
        <f>IF(A91="","",TODAY())</f>
        <v/>
      </c>
      <c r="E91" s="489" t="n"/>
      <c r="F91" s="490">
        <f>IF(OR(A91="",E91=""),"",IF(C91="","",C91+E91))</f>
        <v/>
      </c>
      <c r="G91" s="380" t="inlineStr">
        <is>
          <t>Agent 05</t>
        </is>
      </c>
      <c r="H91" s="491" t="n"/>
      <c r="I91" s="492">
        <f>IF(A91="","Pending",IF(H91="","⚠️ Enter Code",IF(IFERROR(VLOOKUP(G91,DB_Agents!$B:$I,8,0),"")=H91,IF(AND(A91&lt;&gt;"",E91&lt;&gt;""),"Saved","Pending"),"🔒 BLOCKED — Wrong Code")))</f>
        <v/>
      </c>
      <c r="J91" s="493">
        <f>IF(I91="Saved",TEXT(TODAY(),"YYYY-MM-DD")&amp;" Auto","—")</f>
        <v/>
      </c>
      <c r="K91" s="494" t="n"/>
    </row>
    <row r="92" ht="15" customHeight="1" s="341">
      <c r="A92" s="495" t="n"/>
      <c r="B92" s="382">
        <f>IF(A92="","",IFERROR(VLOOKUP(A92,DB_Customers!$A:$D,4,0),"❌ Account Not Found"))</f>
        <v/>
      </c>
      <c r="C92" s="496">
        <f>IF(A92="","",IFERROR(VLOOKUP(A92,DB_Customers!$A:$N,14,0),""))</f>
        <v/>
      </c>
      <c r="D92" s="497">
        <f>IF(A92="","",TODAY())</f>
        <v/>
      </c>
      <c r="E92" s="489" t="n"/>
      <c r="F92" s="498">
        <f>IF(OR(A92="",E92=""),"",IF(C92="","",C92+E92))</f>
        <v/>
      </c>
      <c r="G92" s="384" t="inlineStr">
        <is>
          <t>Agent 05</t>
        </is>
      </c>
      <c r="H92" s="491" t="n"/>
      <c r="I92" s="499">
        <f>IF(A92="","Pending",IF(H92="","⚠️ Enter Code",IF(IFERROR(VLOOKUP(G92,DB_Agents!$B:$I,8,0),"")=H92,IF(AND(A92&lt;&gt;"",E92&lt;&gt;""),"Saved","Pending"),"🔒 BLOCKED — Wrong Code")))</f>
        <v/>
      </c>
      <c r="J92" s="500">
        <f>IF(I92="Saved",TEXT(TODAY(),"YYYY-MM-DD")&amp;" Auto","—")</f>
        <v/>
      </c>
      <c r="K92" s="501" t="n"/>
    </row>
    <row r="93" ht="15" customHeight="1" s="341">
      <c r="A93" s="486" t="n"/>
      <c r="B93" s="378">
        <f>IF(A93="","",IFERROR(VLOOKUP(A93,DB_Customers!$A:$D,4,0),"❌ Account Not Found"))</f>
        <v/>
      </c>
      <c r="C93" s="487">
        <f>IF(A93="","",IFERROR(VLOOKUP(A93,DB_Customers!$A:$N,14,0),""))</f>
        <v/>
      </c>
      <c r="D93" s="488">
        <f>IF(A93="","",TODAY())</f>
        <v/>
      </c>
      <c r="E93" s="489" t="n"/>
      <c r="F93" s="490">
        <f>IF(OR(A93="",E93=""),"",IF(C93="","",C93+E93))</f>
        <v/>
      </c>
      <c r="G93" s="380" t="inlineStr">
        <is>
          <t>Agent 05</t>
        </is>
      </c>
      <c r="H93" s="491" t="n"/>
      <c r="I93" s="492">
        <f>IF(A93="","Pending",IF(H93="","⚠️ Enter Code",IF(IFERROR(VLOOKUP(G93,DB_Agents!$B:$I,8,0),"")=H93,IF(AND(A93&lt;&gt;"",E93&lt;&gt;""),"Saved","Pending"),"🔒 BLOCKED — Wrong Code")))</f>
        <v/>
      </c>
      <c r="J93" s="493">
        <f>IF(I93="Saved",TEXT(TODAY(),"YYYY-MM-DD")&amp;" Auto","—")</f>
        <v/>
      </c>
      <c r="K93" s="494" t="n"/>
    </row>
    <row r="94" ht="15" customHeight="1" s="341">
      <c r="A94" s="495" t="n"/>
      <c r="B94" s="382">
        <f>IF(A94="","",IFERROR(VLOOKUP(A94,DB_Customers!$A:$D,4,0),"❌ Account Not Found"))</f>
        <v/>
      </c>
      <c r="C94" s="496">
        <f>IF(A94="","",IFERROR(VLOOKUP(A94,DB_Customers!$A:$N,14,0),""))</f>
        <v/>
      </c>
      <c r="D94" s="497">
        <f>IF(A94="","",TODAY())</f>
        <v/>
      </c>
      <c r="E94" s="489" t="n"/>
      <c r="F94" s="498">
        <f>IF(OR(A94="",E94=""),"",IF(C94="","",C94+E94))</f>
        <v/>
      </c>
      <c r="G94" s="384" t="inlineStr">
        <is>
          <t>Agent 05</t>
        </is>
      </c>
      <c r="H94" s="491" t="n"/>
      <c r="I94" s="499">
        <f>IF(A94="","Pending",IF(H94="","⚠️ Enter Code",IF(IFERROR(VLOOKUP(G94,DB_Agents!$B:$I,8,0),"")=H94,IF(AND(A94&lt;&gt;"",E94&lt;&gt;""),"Saved","Pending"),"🔒 BLOCKED — Wrong Code")))</f>
        <v/>
      </c>
      <c r="J94" s="500">
        <f>IF(I94="Saved",TEXT(TODAY(),"YYYY-MM-DD")&amp;" Auto","—")</f>
        <v/>
      </c>
      <c r="K94" s="501" t="n"/>
    </row>
    <row r="95" ht="15" customHeight="1" s="341">
      <c r="A95" s="486" t="n"/>
      <c r="B95" s="378">
        <f>IF(A95="","",IFERROR(VLOOKUP(A95,DB_Customers!$A:$D,4,0),"❌ Account Not Found"))</f>
        <v/>
      </c>
      <c r="C95" s="487">
        <f>IF(A95="","",IFERROR(VLOOKUP(A95,DB_Customers!$A:$N,14,0),""))</f>
        <v/>
      </c>
      <c r="D95" s="488">
        <f>IF(A95="","",TODAY())</f>
        <v/>
      </c>
      <c r="E95" s="489" t="n"/>
      <c r="F95" s="490">
        <f>IF(OR(A95="",E95=""),"",IF(C95="","",C95+E95))</f>
        <v/>
      </c>
      <c r="G95" s="380" t="inlineStr">
        <is>
          <t>Agent 05</t>
        </is>
      </c>
      <c r="H95" s="491" t="n"/>
      <c r="I95" s="492">
        <f>IF(A95="","Pending",IF(H95="","⚠️ Enter Code",IF(IFERROR(VLOOKUP(G95,DB_Agents!$B:$I,8,0),"")=H95,IF(AND(A95&lt;&gt;"",E95&lt;&gt;""),"Saved","Pending"),"🔒 BLOCKED — Wrong Code")))</f>
        <v/>
      </c>
      <c r="J95" s="493">
        <f>IF(I95="Saved",TEXT(TODAY(),"YYYY-MM-DD")&amp;" Auto","—")</f>
        <v/>
      </c>
      <c r="K95" s="494" t="n"/>
    </row>
    <row r="96" ht="15" customHeight="1" s="341">
      <c r="A96" s="495" t="n"/>
      <c r="B96" s="382">
        <f>IF(A96="","",IFERROR(VLOOKUP(A96,DB_Customers!$A:$D,4,0),"❌ Account Not Found"))</f>
        <v/>
      </c>
      <c r="C96" s="496">
        <f>IF(A96="","",IFERROR(VLOOKUP(A96,DB_Customers!$A:$N,14,0),""))</f>
        <v/>
      </c>
      <c r="D96" s="497">
        <f>IF(A96="","",TODAY())</f>
        <v/>
      </c>
      <c r="E96" s="489" t="n"/>
      <c r="F96" s="498">
        <f>IF(OR(A96="",E96=""),"",IF(C96="","",C96+E96))</f>
        <v/>
      </c>
      <c r="G96" s="384" t="inlineStr">
        <is>
          <t>Agent 05</t>
        </is>
      </c>
      <c r="H96" s="491" t="n"/>
      <c r="I96" s="499">
        <f>IF(A96="","Pending",IF(H96="","⚠️ Enter Code",IF(IFERROR(VLOOKUP(G96,DB_Agents!$B:$I,8,0),"")=H96,IF(AND(A96&lt;&gt;"",E96&lt;&gt;""),"Saved","Pending"),"🔒 BLOCKED — Wrong Code")))</f>
        <v/>
      </c>
      <c r="J96" s="500">
        <f>IF(I96="Saved",TEXT(TODAY(),"YYYY-MM-DD")&amp;" Auto","—")</f>
        <v/>
      </c>
      <c r="K96" s="501" t="n"/>
    </row>
    <row r="97" ht="15" customHeight="1" s="341">
      <c r="A97" s="486" t="n"/>
      <c r="B97" s="378">
        <f>IF(A97="","",IFERROR(VLOOKUP(A97,DB_Customers!$A:$D,4,0),"❌ Account Not Found"))</f>
        <v/>
      </c>
      <c r="C97" s="487">
        <f>IF(A97="","",IFERROR(VLOOKUP(A97,DB_Customers!$A:$N,14,0),""))</f>
        <v/>
      </c>
      <c r="D97" s="488">
        <f>IF(A97="","",TODAY())</f>
        <v/>
      </c>
      <c r="E97" s="489" t="n"/>
      <c r="F97" s="490">
        <f>IF(OR(A97="",E97=""),"",IF(C97="","",C97+E97))</f>
        <v/>
      </c>
      <c r="G97" s="380" t="inlineStr">
        <is>
          <t>Agent 05</t>
        </is>
      </c>
      <c r="H97" s="491" t="n"/>
      <c r="I97" s="492">
        <f>IF(A97="","Pending",IF(H97="","⚠️ Enter Code",IF(IFERROR(VLOOKUP(G97,DB_Agents!$B:$I,8,0),"")=H97,IF(AND(A97&lt;&gt;"",E97&lt;&gt;""),"Saved","Pending"),"🔒 BLOCKED — Wrong Code")))</f>
        <v/>
      </c>
      <c r="J97" s="493">
        <f>IF(I97="Saved",TEXT(TODAY(),"YYYY-MM-DD")&amp;" Auto","—")</f>
        <v/>
      </c>
      <c r="K97" s="494" t="n"/>
    </row>
    <row r="98" ht="15" customHeight="1" s="341">
      <c r="A98" s="495" t="n"/>
      <c r="B98" s="382">
        <f>IF(A98="","",IFERROR(VLOOKUP(A98,DB_Customers!$A:$D,4,0),"❌ Account Not Found"))</f>
        <v/>
      </c>
      <c r="C98" s="496">
        <f>IF(A98="","",IFERROR(VLOOKUP(A98,DB_Customers!$A:$N,14,0),""))</f>
        <v/>
      </c>
      <c r="D98" s="497">
        <f>IF(A98="","",TODAY())</f>
        <v/>
      </c>
      <c r="E98" s="489" t="n"/>
      <c r="F98" s="498">
        <f>IF(OR(A98="",E98=""),"",IF(C98="","",C98+E98))</f>
        <v/>
      </c>
      <c r="G98" s="384" t="inlineStr">
        <is>
          <t>Agent 05</t>
        </is>
      </c>
      <c r="H98" s="491" t="n"/>
      <c r="I98" s="499">
        <f>IF(A98="","Pending",IF(H98="","⚠️ Enter Code",IF(IFERROR(VLOOKUP(G98,DB_Agents!$B:$I,8,0),"")=H98,IF(AND(A98&lt;&gt;"",E98&lt;&gt;""),"Saved","Pending"),"🔒 BLOCKED — Wrong Code")))</f>
        <v/>
      </c>
      <c r="J98" s="500">
        <f>IF(I98="Saved",TEXT(TODAY(),"YYYY-MM-DD")&amp;" Auto","—")</f>
        <v/>
      </c>
      <c r="K98" s="501" t="n"/>
    </row>
    <row r="99" ht="15" customHeight="1" s="341">
      <c r="A99" s="486" t="n"/>
      <c r="B99" s="378">
        <f>IF(A99="","",IFERROR(VLOOKUP(A99,DB_Customers!$A:$D,4,0),"❌ Account Not Found"))</f>
        <v/>
      </c>
      <c r="C99" s="487">
        <f>IF(A99="","",IFERROR(VLOOKUP(A99,DB_Customers!$A:$N,14,0),""))</f>
        <v/>
      </c>
      <c r="D99" s="488">
        <f>IF(A99="","",TODAY())</f>
        <v/>
      </c>
      <c r="E99" s="489" t="n"/>
      <c r="F99" s="490">
        <f>IF(OR(A99="",E99=""),"",IF(C99="","",C99+E99))</f>
        <v/>
      </c>
      <c r="G99" s="380" t="inlineStr">
        <is>
          <t>Agent 05</t>
        </is>
      </c>
      <c r="H99" s="491" t="n"/>
      <c r="I99" s="492">
        <f>IF(A99="","Pending",IF(H99="","⚠️ Enter Code",IF(IFERROR(VLOOKUP(G99,DB_Agents!$B:$I,8,0),"")=H99,IF(AND(A99&lt;&gt;"",E99&lt;&gt;""),"Saved","Pending"),"🔒 BLOCKED — Wrong Code")))</f>
        <v/>
      </c>
      <c r="J99" s="493">
        <f>IF(I99="Saved",TEXT(TODAY(),"YYYY-MM-DD")&amp;" Auto","—")</f>
        <v/>
      </c>
      <c r="K99" s="494" t="n"/>
    </row>
    <row r="100" ht="15" customHeight="1" s="341">
      <c r="A100" s="495" t="n"/>
      <c r="B100" s="382">
        <f>IF(A100="","",IFERROR(VLOOKUP(A100,DB_Customers!$A:$D,4,0),"❌ Account Not Found"))</f>
        <v/>
      </c>
      <c r="C100" s="496">
        <f>IF(A100="","",IFERROR(VLOOKUP(A100,DB_Customers!$A:$N,14,0),""))</f>
        <v/>
      </c>
      <c r="D100" s="497">
        <f>IF(A100="","",TODAY())</f>
        <v/>
      </c>
      <c r="E100" s="489" t="n"/>
      <c r="F100" s="498">
        <f>IF(OR(A100="",E100=""),"",IF(C100="","",C100+E100))</f>
        <v/>
      </c>
      <c r="G100" s="384" t="inlineStr">
        <is>
          <t>Agent 05</t>
        </is>
      </c>
      <c r="H100" s="491" t="n"/>
      <c r="I100" s="499">
        <f>IF(A100="","Pending",IF(H100="","⚠️ Enter Code",IF(IFERROR(VLOOKUP(G100,DB_Agents!$B:$I,8,0),"")=H100,IF(AND(A100&lt;&gt;"",E100&lt;&gt;""),"Saved","Pending"),"🔒 BLOCKED — Wrong Code")))</f>
        <v/>
      </c>
      <c r="J100" s="500">
        <f>IF(I100="Saved",TEXT(TODAY(),"YYYY-MM-DD")&amp;" Auto","—")</f>
        <v/>
      </c>
      <c r="K100" s="501" t="n"/>
    </row>
    <row r="101" ht="15" customHeight="1" s="341">
      <c r="A101" s="486" t="n"/>
      <c r="B101" s="378">
        <f>IF(A101="","",IFERROR(VLOOKUP(A101,DB_Customers!$A:$D,4,0),"❌ Account Not Found"))</f>
        <v/>
      </c>
      <c r="C101" s="487">
        <f>IF(A101="","",IFERROR(VLOOKUP(A101,DB_Customers!$A:$N,14,0),""))</f>
        <v/>
      </c>
      <c r="D101" s="488">
        <f>IF(A101="","",TODAY())</f>
        <v/>
      </c>
      <c r="E101" s="489" t="n"/>
      <c r="F101" s="490">
        <f>IF(OR(A101="",E101=""),"",IF(C101="","",C101+E101))</f>
        <v/>
      </c>
      <c r="G101" s="380" t="inlineStr">
        <is>
          <t>Agent 05</t>
        </is>
      </c>
      <c r="H101" s="491" t="n"/>
      <c r="I101" s="492">
        <f>IF(A101="","Pending",IF(H101="","⚠️ Enter Code",IF(IFERROR(VLOOKUP(G101,DB_Agents!$B:$I,8,0),"")=H101,IF(AND(A101&lt;&gt;"",E101&lt;&gt;""),"Saved","Pending"),"🔒 BLOCKED — Wrong Code")))</f>
        <v/>
      </c>
      <c r="J101" s="493">
        <f>IF(I101="Saved",TEXT(TODAY(),"YYYY-MM-DD")&amp;" Auto","—")</f>
        <v/>
      </c>
      <c r="K101" s="494" t="n"/>
    </row>
    <row r="102" ht="15" customHeight="1" s="341">
      <c r="A102" s="495" t="n"/>
      <c r="B102" s="382">
        <f>IF(A102="","",IFERROR(VLOOKUP(A102,DB_Customers!$A:$D,4,0),"❌ Account Not Found"))</f>
        <v/>
      </c>
      <c r="C102" s="496">
        <f>IF(A102="","",IFERROR(VLOOKUP(A102,DB_Customers!$A:$N,14,0),""))</f>
        <v/>
      </c>
      <c r="D102" s="497">
        <f>IF(A102="","",TODAY())</f>
        <v/>
      </c>
      <c r="E102" s="489" t="n"/>
      <c r="F102" s="498">
        <f>IF(OR(A102="",E102=""),"",IF(C102="","",C102+E102))</f>
        <v/>
      </c>
      <c r="G102" s="384" t="inlineStr">
        <is>
          <t>Agent 05</t>
        </is>
      </c>
      <c r="H102" s="491" t="n"/>
      <c r="I102" s="499">
        <f>IF(A102="","Pending",IF(H102="","⚠️ Enter Code",IF(IFERROR(VLOOKUP(G102,DB_Agents!$B:$I,8,0),"")=H102,IF(AND(A102&lt;&gt;"",E102&lt;&gt;""),"Saved","Pending"),"🔒 BLOCKED — Wrong Code")))</f>
        <v/>
      </c>
      <c r="J102" s="500">
        <f>IF(I102="Saved",TEXT(TODAY(),"YYYY-MM-DD")&amp;" Auto","—")</f>
        <v/>
      </c>
      <c r="K102" s="501" t="n"/>
    </row>
    <row r="103" ht="15" customHeight="1" s="341">
      <c r="A103" s="486" t="n"/>
      <c r="B103" s="378">
        <f>IF(A103="","",IFERROR(VLOOKUP(A103,DB_Customers!$A:$D,4,0),"❌ Account Not Found"))</f>
        <v/>
      </c>
      <c r="C103" s="487">
        <f>IF(A103="","",IFERROR(VLOOKUP(A103,DB_Customers!$A:$N,14,0),""))</f>
        <v/>
      </c>
      <c r="D103" s="488">
        <f>IF(A103="","",TODAY())</f>
        <v/>
      </c>
      <c r="E103" s="489" t="n"/>
      <c r="F103" s="490">
        <f>IF(OR(A103="",E103=""),"",IF(C103="","",C103+E103))</f>
        <v/>
      </c>
      <c r="G103" s="380" t="inlineStr">
        <is>
          <t>Agent 05</t>
        </is>
      </c>
      <c r="H103" s="491" t="n"/>
      <c r="I103" s="492">
        <f>IF(A103="","Pending",IF(H103="","⚠️ Enter Code",IF(IFERROR(VLOOKUP(G103,DB_Agents!$B:$I,8,0),"")=H103,IF(AND(A103&lt;&gt;"",E103&lt;&gt;""),"Saved","Pending"),"🔒 BLOCKED — Wrong Code")))</f>
        <v/>
      </c>
      <c r="J103" s="493">
        <f>IF(I103="Saved",TEXT(TODAY(),"YYYY-MM-DD")&amp;" Auto","—")</f>
        <v/>
      </c>
      <c r="K103" s="494" t="n"/>
    </row>
    <row r="104" ht="15" customHeight="1" s="341">
      <c r="A104" s="495" t="n"/>
      <c r="B104" s="382">
        <f>IF(A104="","",IFERROR(VLOOKUP(A104,DB_Customers!$A:$D,4,0),"❌ Account Not Found"))</f>
        <v/>
      </c>
      <c r="C104" s="496">
        <f>IF(A104="","",IFERROR(VLOOKUP(A104,DB_Customers!$A:$N,14,0),""))</f>
        <v/>
      </c>
      <c r="D104" s="497">
        <f>IF(A104="","",TODAY())</f>
        <v/>
      </c>
      <c r="E104" s="489" t="n"/>
      <c r="F104" s="498">
        <f>IF(OR(A104="",E104=""),"",IF(C104="","",C104+E104))</f>
        <v/>
      </c>
      <c r="G104" s="384" t="inlineStr">
        <is>
          <t>Agent 05</t>
        </is>
      </c>
      <c r="H104" s="491" t="n"/>
      <c r="I104" s="499">
        <f>IF(A104="","Pending",IF(H104="","⚠️ Enter Code",IF(IFERROR(VLOOKUP(G104,DB_Agents!$B:$I,8,0),"")=H104,IF(AND(A104&lt;&gt;"",E104&lt;&gt;""),"Saved","Pending"),"🔒 BLOCKED — Wrong Code")))</f>
        <v/>
      </c>
      <c r="J104" s="500">
        <f>IF(I104="Saved",TEXT(TODAY(),"YYYY-MM-DD")&amp;" Auto","—")</f>
        <v/>
      </c>
      <c r="K104" s="501" t="n"/>
    </row>
    <row r="105" ht="15" customHeight="1" s="341">
      <c r="A105" s="486" t="n"/>
      <c r="B105" s="378">
        <f>IF(A105="","",IFERROR(VLOOKUP(A105,DB_Customers!$A:$D,4,0),"❌ Account Not Found"))</f>
        <v/>
      </c>
      <c r="C105" s="487">
        <f>IF(A105="","",IFERROR(VLOOKUP(A105,DB_Customers!$A:$N,14,0),""))</f>
        <v/>
      </c>
      <c r="D105" s="488">
        <f>IF(A105="","",TODAY())</f>
        <v/>
      </c>
      <c r="E105" s="489" t="n"/>
      <c r="F105" s="490">
        <f>IF(OR(A105="",E105=""),"",IF(C105="","",C105+E105))</f>
        <v/>
      </c>
      <c r="G105" s="380" t="inlineStr">
        <is>
          <t>Agent 05</t>
        </is>
      </c>
      <c r="H105" s="491" t="n"/>
      <c r="I105" s="492">
        <f>IF(A105="","Pending",IF(H105="","⚠️ Enter Code",IF(IFERROR(VLOOKUP(G105,DB_Agents!$B:$I,8,0),"")=H105,IF(AND(A105&lt;&gt;"",E105&lt;&gt;""),"Saved","Pending"),"🔒 BLOCKED — Wrong Code")))</f>
        <v/>
      </c>
      <c r="J105" s="493">
        <f>IF(I105="Saved",TEXT(TODAY(),"YYYY-MM-DD")&amp;" Auto","—")</f>
        <v/>
      </c>
      <c r="K105" s="494" t="n"/>
    </row>
    <row r="106" ht="15" customHeight="1" s="341">
      <c r="A106" s="495" t="n"/>
      <c r="B106" s="382">
        <f>IF(A106="","",IFERROR(VLOOKUP(A106,DB_Customers!$A:$D,4,0),"❌ Account Not Found"))</f>
        <v/>
      </c>
      <c r="C106" s="496">
        <f>IF(A106="","",IFERROR(VLOOKUP(A106,DB_Customers!$A:$N,14,0),""))</f>
        <v/>
      </c>
      <c r="D106" s="497">
        <f>IF(A106="","",TODAY())</f>
        <v/>
      </c>
      <c r="E106" s="489" t="n"/>
      <c r="F106" s="498">
        <f>IF(OR(A106="",E106=""),"",IF(C106="","",C106+E106))</f>
        <v/>
      </c>
      <c r="G106" s="384" t="inlineStr">
        <is>
          <t>Agent 05</t>
        </is>
      </c>
      <c r="H106" s="491" t="n"/>
      <c r="I106" s="499">
        <f>IF(A106="","Pending",IF(H106="","⚠️ Enter Code",IF(IFERROR(VLOOKUP(G106,DB_Agents!$B:$I,8,0),"")=H106,IF(AND(A106&lt;&gt;"",E106&lt;&gt;""),"Saved","Pending"),"🔒 BLOCKED — Wrong Code")))</f>
        <v/>
      </c>
      <c r="J106" s="500">
        <f>IF(I106="Saved",TEXT(TODAY(),"YYYY-MM-DD")&amp;" Auto","—")</f>
        <v/>
      </c>
      <c r="K106" s="501" t="n"/>
    </row>
    <row r="107" ht="15" customHeight="1" s="341">
      <c r="A107" s="486" t="n"/>
      <c r="B107" s="378">
        <f>IF(A107="","",IFERROR(VLOOKUP(A107,DB_Customers!$A:$D,4,0),"❌ Account Not Found"))</f>
        <v/>
      </c>
      <c r="C107" s="487">
        <f>IF(A107="","",IFERROR(VLOOKUP(A107,DB_Customers!$A:$N,14,0),""))</f>
        <v/>
      </c>
      <c r="D107" s="488">
        <f>IF(A107="","",TODAY())</f>
        <v/>
      </c>
      <c r="E107" s="489" t="n"/>
      <c r="F107" s="490">
        <f>IF(OR(A107="",E107=""),"",IF(C107="","",C107+E107))</f>
        <v/>
      </c>
      <c r="G107" s="380" t="inlineStr">
        <is>
          <t>Agent 05</t>
        </is>
      </c>
      <c r="H107" s="491" t="n"/>
      <c r="I107" s="492">
        <f>IF(A107="","Pending",IF(H107="","⚠️ Enter Code",IF(IFERROR(VLOOKUP(G107,DB_Agents!$B:$I,8,0),"")=H107,IF(AND(A107&lt;&gt;"",E107&lt;&gt;""),"Saved","Pending"),"🔒 BLOCKED — Wrong Code")))</f>
        <v/>
      </c>
      <c r="J107" s="493">
        <f>IF(I107="Saved",TEXT(TODAY(),"YYYY-MM-DD")&amp;" Auto","—")</f>
        <v/>
      </c>
      <c r="K107" s="494" t="n"/>
    </row>
    <row r="108" ht="15" customHeight="1" s="341">
      <c r="A108" s="495" t="n"/>
      <c r="B108" s="382">
        <f>IF(A108="","",IFERROR(VLOOKUP(A108,DB_Customers!$A:$D,4,0),"❌ Account Not Found"))</f>
        <v/>
      </c>
      <c r="C108" s="496">
        <f>IF(A108="","",IFERROR(VLOOKUP(A108,DB_Customers!$A:$N,14,0),""))</f>
        <v/>
      </c>
      <c r="D108" s="497">
        <f>IF(A108="","",TODAY())</f>
        <v/>
      </c>
      <c r="E108" s="489" t="n"/>
      <c r="F108" s="498">
        <f>IF(OR(A108="",E108=""),"",IF(C108="","",C108+E108))</f>
        <v/>
      </c>
      <c r="G108" s="384" t="inlineStr">
        <is>
          <t>Agent 05</t>
        </is>
      </c>
      <c r="H108" s="491" t="n"/>
      <c r="I108" s="499">
        <f>IF(A108="","Pending",IF(H108="","⚠️ Enter Code",IF(IFERROR(VLOOKUP(G108,DB_Agents!$B:$I,8,0),"")=H108,IF(AND(A108&lt;&gt;"",E108&lt;&gt;""),"Saved","Pending"),"🔒 BLOCKED — Wrong Code")))</f>
        <v/>
      </c>
      <c r="J108" s="500">
        <f>IF(I108="Saved",TEXT(TODAY(),"YYYY-MM-DD")&amp;" Auto","—")</f>
        <v/>
      </c>
      <c r="K108" s="501" t="n"/>
    </row>
    <row r="109" ht="15" customHeight="1" s="341">
      <c r="A109" s="486" t="n"/>
      <c r="B109" s="378">
        <f>IF(A109="","",IFERROR(VLOOKUP(A109,DB_Customers!$A:$D,4,0),"❌ Account Not Found"))</f>
        <v/>
      </c>
      <c r="C109" s="487">
        <f>IF(A109="","",IFERROR(VLOOKUP(A109,DB_Customers!$A:$N,14,0),""))</f>
        <v/>
      </c>
      <c r="D109" s="488">
        <f>IF(A109="","",TODAY())</f>
        <v/>
      </c>
      <c r="E109" s="489" t="n"/>
      <c r="F109" s="490">
        <f>IF(OR(A109="",E109=""),"",IF(C109="","",C109+E109))</f>
        <v/>
      </c>
      <c r="G109" s="380" t="inlineStr">
        <is>
          <t>Agent 05</t>
        </is>
      </c>
      <c r="H109" s="491" t="n"/>
      <c r="I109" s="492">
        <f>IF(A109="","Pending",IF(H109="","⚠️ Enter Code",IF(IFERROR(VLOOKUP(G109,DB_Agents!$B:$I,8,0),"")=H109,IF(AND(A109&lt;&gt;"",E109&lt;&gt;""),"Saved","Pending"),"🔒 BLOCKED — Wrong Code")))</f>
        <v/>
      </c>
      <c r="J109" s="493">
        <f>IF(I109="Saved",TEXT(TODAY(),"YYYY-MM-DD")&amp;" Auto","—")</f>
        <v/>
      </c>
      <c r="K109" s="494" t="n"/>
    </row>
    <row r="110" ht="15" customHeight="1" s="341">
      <c r="A110" s="495" t="n"/>
      <c r="B110" s="382">
        <f>IF(A110="","",IFERROR(VLOOKUP(A110,DB_Customers!$A:$D,4,0),"❌ Account Not Found"))</f>
        <v/>
      </c>
      <c r="C110" s="496">
        <f>IF(A110="","",IFERROR(VLOOKUP(A110,DB_Customers!$A:$N,14,0),""))</f>
        <v/>
      </c>
      <c r="D110" s="497">
        <f>IF(A110="","",TODAY())</f>
        <v/>
      </c>
      <c r="E110" s="489" t="n"/>
      <c r="F110" s="498">
        <f>IF(OR(A110="",E110=""),"",IF(C110="","",C110+E110))</f>
        <v/>
      </c>
      <c r="G110" s="384" t="inlineStr">
        <is>
          <t>Agent 05</t>
        </is>
      </c>
      <c r="H110" s="491" t="n"/>
      <c r="I110" s="499">
        <f>IF(A110="","Pending",IF(H110="","⚠️ Enter Code",IF(IFERROR(VLOOKUP(G110,DB_Agents!$B:$I,8,0),"")=H110,IF(AND(A110&lt;&gt;"",E110&lt;&gt;""),"Saved","Pending"),"🔒 BLOCKED — Wrong Code")))</f>
        <v/>
      </c>
      <c r="J110" s="500">
        <f>IF(I110="Saved",TEXT(TODAY(),"YYYY-MM-DD")&amp;" Auto","—")</f>
        <v/>
      </c>
      <c r="K110" s="501" t="n"/>
    </row>
    <row r="111" ht="15" customHeight="1" s="341">
      <c r="A111" s="486" t="n"/>
      <c r="B111" s="378">
        <f>IF(A111="","",IFERROR(VLOOKUP(A111,DB_Customers!$A:$D,4,0),"❌ Account Not Found"))</f>
        <v/>
      </c>
      <c r="C111" s="487">
        <f>IF(A111="","",IFERROR(VLOOKUP(A111,DB_Customers!$A:$N,14,0),""))</f>
        <v/>
      </c>
      <c r="D111" s="488">
        <f>IF(A111="","",TODAY())</f>
        <v/>
      </c>
      <c r="E111" s="489" t="n"/>
      <c r="F111" s="490">
        <f>IF(OR(A111="",E111=""),"",IF(C111="","",C111+E111))</f>
        <v/>
      </c>
      <c r="G111" s="380" t="inlineStr">
        <is>
          <t>Agent 05</t>
        </is>
      </c>
      <c r="H111" s="491" t="n"/>
      <c r="I111" s="492">
        <f>IF(A111="","Pending",IF(H111="","⚠️ Enter Code",IF(IFERROR(VLOOKUP(G111,DB_Agents!$B:$I,8,0),"")=H111,IF(AND(A111&lt;&gt;"",E111&lt;&gt;""),"Saved","Pending"),"🔒 BLOCKED — Wrong Code")))</f>
        <v/>
      </c>
      <c r="J111" s="493">
        <f>IF(I111="Saved",TEXT(TODAY(),"YYYY-MM-DD")&amp;" Auto","—")</f>
        <v/>
      </c>
      <c r="K111" s="494" t="n"/>
    </row>
    <row r="112" ht="15" customHeight="1" s="341">
      <c r="A112" s="495" t="n"/>
      <c r="B112" s="382">
        <f>IF(A112="","",IFERROR(VLOOKUP(A112,DB_Customers!$A:$D,4,0),"❌ Account Not Found"))</f>
        <v/>
      </c>
      <c r="C112" s="496">
        <f>IF(A112="","",IFERROR(VLOOKUP(A112,DB_Customers!$A:$N,14,0),""))</f>
        <v/>
      </c>
      <c r="D112" s="497">
        <f>IF(A112="","",TODAY())</f>
        <v/>
      </c>
      <c r="E112" s="489" t="n"/>
      <c r="F112" s="498">
        <f>IF(OR(A112="",E112=""),"",IF(C112="","",C112+E112))</f>
        <v/>
      </c>
      <c r="G112" s="384" t="inlineStr">
        <is>
          <t>Agent 05</t>
        </is>
      </c>
      <c r="H112" s="491" t="n"/>
      <c r="I112" s="499">
        <f>IF(A112="","Pending",IF(H112="","⚠️ Enter Code",IF(IFERROR(VLOOKUP(G112,DB_Agents!$B:$I,8,0),"")=H112,IF(AND(A112&lt;&gt;"",E112&lt;&gt;""),"Saved","Pending"),"🔒 BLOCKED — Wrong Code")))</f>
        <v/>
      </c>
      <c r="J112" s="500">
        <f>IF(I112="Saved",TEXT(TODAY(),"YYYY-MM-DD")&amp;" Auto","—")</f>
        <v/>
      </c>
      <c r="K112" s="501" t="n"/>
    </row>
    <row r="113" ht="15" customHeight="1" s="341">
      <c r="A113" s="486" t="n"/>
      <c r="B113" s="378">
        <f>IF(A113="","",IFERROR(VLOOKUP(A113,DB_Customers!$A:$D,4,0),"❌ Account Not Found"))</f>
        <v/>
      </c>
      <c r="C113" s="487">
        <f>IF(A113="","",IFERROR(VLOOKUP(A113,DB_Customers!$A:$N,14,0),""))</f>
        <v/>
      </c>
      <c r="D113" s="488">
        <f>IF(A113="","",TODAY())</f>
        <v/>
      </c>
      <c r="E113" s="489" t="n"/>
      <c r="F113" s="490">
        <f>IF(OR(A113="",E113=""),"",IF(C113="","",C113+E113))</f>
        <v/>
      </c>
      <c r="G113" s="380" t="inlineStr">
        <is>
          <t>Agent 05</t>
        </is>
      </c>
      <c r="H113" s="491" t="n"/>
      <c r="I113" s="492">
        <f>IF(A113="","Pending",IF(H113="","⚠️ Enter Code",IF(IFERROR(VLOOKUP(G113,DB_Agents!$B:$I,8,0),"")=H113,IF(AND(A113&lt;&gt;"",E113&lt;&gt;""),"Saved","Pending"),"🔒 BLOCKED — Wrong Code")))</f>
        <v/>
      </c>
      <c r="J113" s="493">
        <f>IF(I113="Saved",TEXT(TODAY(),"YYYY-MM-DD")&amp;" Auto","—")</f>
        <v/>
      </c>
      <c r="K113" s="494" t="n"/>
    </row>
    <row r="114" ht="15" customHeight="1" s="341">
      <c r="A114" s="495" t="n"/>
      <c r="B114" s="382">
        <f>IF(A114="","",IFERROR(VLOOKUP(A114,DB_Customers!$A:$D,4,0),"❌ Account Not Found"))</f>
        <v/>
      </c>
      <c r="C114" s="496">
        <f>IF(A114="","",IFERROR(VLOOKUP(A114,DB_Customers!$A:$N,14,0),""))</f>
        <v/>
      </c>
      <c r="D114" s="497">
        <f>IF(A114="","",TODAY())</f>
        <v/>
      </c>
      <c r="E114" s="489" t="n"/>
      <c r="F114" s="498">
        <f>IF(OR(A114="",E114=""),"",IF(C114="","",C114+E114))</f>
        <v/>
      </c>
      <c r="G114" s="384" t="inlineStr">
        <is>
          <t>Agent 05</t>
        </is>
      </c>
      <c r="H114" s="491" t="n"/>
      <c r="I114" s="499">
        <f>IF(A114="","Pending",IF(H114="","⚠️ Enter Code",IF(IFERROR(VLOOKUP(G114,DB_Agents!$B:$I,8,0),"")=H114,IF(AND(A114&lt;&gt;"",E114&lt;&gt;""),"Saved","Pending"),"🔒 BLOCKED — Wrong Code")))</f>
        <v/>
      </c>
      <c r="J114" s="500">
        <f>IF(I114="Saved",TEXT(TODAY(),"YYYY-MM-DD")&amp;" Auto","—")</f>
        <v/>
      </c>
      <c r="K114" s="501" t="n"/>
    </row>
    <row r="115" ht="15" customHeight="1" s="341">
      <c r="A115" s="486" t="n"/>
      <c r="B115" s="378">
        <f>IF(A115="","",IFERROR(VLOOKUP(A115,DB_Customers!$A:$D,4,0),"❌ Account Not Found"))</f>
        <v/>
      </c>
      <c r="C115" s="487">
        <f>IF(A115="","",IFERROR(VLOOKUP(A115,DB_Customers!$A:$N,14,0),""))</f>
        <v/>
      </c>
      <c r="D115" s="488">
        <f>IF(A115="","",TODAY())</f>
        <v/>
      </c>
      <c r="E115" s="489" t="n"/>
      <c r="F115" s="490">
        <f>IF(OR(A115="",E115=""),"",IF(C115="","",C115+E115))</f>
        <v/>
      </c>
      <c r="G115" s="380" t="inlineStr">
        <is>
          <t>Agent 05</t>
        </is>
      </c>
      <c r="H115" s="491" t="n"/>
      <c r="I115" s="492">
        <f>IF(A115="","Pending",IF(H115="","⚠️ Enter Code",IF(IFERROR(VLOOKUP(G115,DB_Agents!$B:$I,8,0),"")=H115,IF(AND(A115&lt;&gt;"",E115&lt;&gt;""),"Saved","Pending"),"🔒 BLOCKED — Wrong Code")))</f>
        <v/>
      </c>
      <c r="J115" s="493">
        <f>IF(I115="Saved",TEXT(TODAY(),"YYYY-MM-DD")&amp;" Auto","—")</f>
        <v/>
      </c>
      <c r="K115" s="494" t="n"/>
    </row>
    <row r="116" ht="15" customHeight="1" s="341">
      <c r="A116" s="495" t="n"/>
      <c r="B116" s="382">
        <f>IF(A116="","",IFERROR(VLOOKUP(A116,DB_Customers!$A:$D,4,0),"❌ Account Not Found"))</f>
        <v/>
      </c>
      <c r="C116" s="496">
        <f>IF(A116="","",IFERROR(VLOOKUP(A116,DB_Customers!$A:$N,14,0),""))</f>
        <v/>
      </c>
      <c r="D116" s="497">
        <f>IF(A116="","",TODAY())</f>
        <v/>
      </c>
      <c r="E116" s="489" t="n"/>
      <c r="F116" s="498">
        <f>IF(OR(A116="",E116=""),"",IF(C116="","",C116+E116))</f>
        <v/>
      </c>
      <c r="G116" s="384" t="inlineStr">
        <is>
          <t>Agent 05</t>
        </is>
      </c>
      <c r="H116" s="491" t="n"/>
      <c r="I116" s="499">
        <f>IF(A116="","Pending",IF(H116="","⚠️ Enter Code",IF(IFERROR(VLOOKUP(G116,DB_Agents!$B:$I,8,0),"")=H116,IF(AND(A116&lt;&gt;"",E116&lt;&gt;""),"Saved","Pending"),"🔒 BLOCKED — Wrong Code")))</f>
        <v/>
      </c>
      <c r="J116" s="500">
        <f>IF(I116="Saved",TEXT(TODAY(),"YYYY-MM-DD")&amp;" Auto","—")</f>
        <v/>
      </c>
      <c r="K116" s="501" t="n"/>
    </row>
    <row r="117" ht="15" customHeight="1" s="341">
      <c r="A117" s="486" t="n"/>
      <c r="B117" s="378">
        <f>IF(A117="","",IFERROR(VLOOKUP(A117,DB_Customers!$A:$D,4,0),"❌ Account Not Found"))</f>
        <v/>
      </c>
      <c r="C117" s="487">
        <f>IF(A117="","",IFERROR(VLOOKUP(A117,DB_Customers!$A:$N,14,0),""))</f>
        <v/>
      </c>
      <c r="D117" s="488">
        <f>IF(A117="","",TODAY())</f>
        <v/>
      </c>
      <c r="E117" s="489" t="n"/>
      <c r="F117" s="490">
        <f>IF(OR(A117="",E117=""),"",IF(C117="","",C117+E117))</f>
        <v/>
      </c>
      <c r="G117" s="380" t="inlineStr">
        <is>
          <t>Agent 05</t>
        </is>
      </c>
      <c r="H117" s="491" t="n"/>
      <c r="I117" s="492">
        <f>IF(A117="","Pending",IF(H117="","⚠️ Enter Code",IF(IFERROR(VLOOKUP(G117,DB_Agents!$B:$I,8,0),"")=H117,IF(AND(A117&lt;&gt;"",E117&lt;&gt;""),"Saved","Pending"),"🔒 BLOCKED — Wrong Code")))</f>
        <v/>
      </c>
      <c r="J117" s="493">
        <f>IF(I117="Saved",TEXT(TODAY(),"YYYY-MM-DD")&amp;" Auto","—")</f>
        <v/>
      </c>
      <c r="K117" s="494" t="n"/>
    </row>
    <row r="118" ht="15" customHeight="1" s="341">
      <c r="A118" s="495" t="n"/>
      <c r="B118" s="382">
        <f>IF(A118="","",IFERROR(VLOOKUP(A118,DB_Customers!$A:$D,4,0),"❌ Account Not Found"))</f>
        <v/>
      </c>
      <c r="C118" s="496">
        <f>IF(A118="","",IFERROR(VLOOKUP(A118,DB_Customers!$A:$N,14,0),""))</f>
        <v/>
      </c>
      <c r="D118" s="497">
        <f>IF(A118="","",TODAY())</f>
        <v/>
      </c>
      <c r="E118" s="489" t="n"/>
      <c r="F118" s="498">
        <f>IF(OR(A118="",E118=""),"",IF(C118="","",C118+E118))</f>
        <v/>
      </c>
      <c r="G118" s="384" t="inlineStr">
        <is>
          <t>Agent 05</t>
        </is>
      </c>
      <c r="H118" s="491" t="n"/>
      <c r="I118" s="499">
        <f>IF(A118="","Pending",IF(H118="","⚠️ Enter Code",IF(IFERROR(VLOOKUP(G118,DB_Agents!$B:$I,8,0),"")=H118,IF(AND(A118&lt;&gt;"",E118&lt;&gt;""),"Saved","Pending"),"🔒 BLOCKED — Wrong Code")))</f>
        <v/>
      </c>
      <c r="J118" s="500">
        <f>IF(I118="Saved",TEXT(TODAY(),"YYYY-MM-DD")&amp;" Auto","—")</f>
        <v/>
      </c>
      <c r="K118" s="501" t="n"/>
    </row>
    <row r="119" ht="15" customHeight="1" s="341">
      <c r="A119" s="486" t="n"/>
      <c r="B119" s="378">
        <f>IF(A119="","",IFERROR(VLOOKUP(A119,DB_Customers!$A:$D,4,0),"❌ Account Not Found"))</f>
        <v/>
      </c>
      <c r="C119" s="487">
        <f>IF(A119="","",IFERROR(VLOOKUP(A119,DB_Customers!$A:$N,14,0),""))</f>
        <v/>
      </c>
      <c r="D119" s="488">
        <f>IF(A119="","",TODAY())</f>
        <v/>
      </c>
      <c r="E119" s="489" t="n"/>
      <c r="F119" s="490">
        <f>IF(OR(A119="",E119=""),"",IF(C119="","",C119+E119))</f>
        <v/>
      </c>
      <c r="G119" s="380" t="inlineStr">
        <is>
          <t>Agent 05</t>
        </is>
      </c>
      <c r="H119" s="491" t="n"/>
      <c r="I119" s="492">
        <f>IF(A119="","Pending",IF(H119="","⚠️ Enter Code",IF(IFERROR(VLOOKUP(G119,DB_Agents!$B:$I,8,0),"")=H119,IF(AND(A119&lt;&gt;"",E119&lt;&gt;""),"Saved","Pending"),"🔒 BLOCKED — Wrong Code")))</f>
        <v/>
      </c>
      <c r="J119" s="493">
        <f>IF(I119="Saved",TEXT(TODAY(),"YYYY-MM-DD")&amp;" Auto","—")</f>
        <v/>
      </c>
      <c r="K119" s="494" t="n"/>
    </row>
    <row r="120" ht="15" customHeight="1" s="341">
      <c r="A120" s="495" t="n"/>
      <c r="B120" s="382">
        <f>IF(A120="","",IFERROR(VLOOKUP(A120,DB_Customers!$A:$D,4,0),"❌ Account Not Found"))</f>
        <v/>
      </c>
      <c r="C120" s="496">
        <f>IF(A120="","",IFERROR(VLOOKUP(A120,DB_Customers!$A:$N,14,0),""))</f>
        <v/>
      </c>
      <c r="D120" s="497">
        <f>IF(A120="","",TODAY())</f>
        <v/>
      </c>
      <c r="E120" s="489" t="n"/>
      <c r="F120" s="498">
        <f>IF(OR(A120="",E120=""),"",IF(C120="","",C120+E120))</f>
        <v/>
      </c>
      <c r="G120" s="384" t="inlineStr">
        <is>
          <t>Agent 05</t>
        </is>
      </c>
      <c r="H120" s="491" t="n"/>
      <c r="I120" s="499">
        <f>IF(A120="","Pending",IF(H120="","⚠️ Enter Code",IF(IFERROR(VLOOKUP(G120,DB_Agents!$B:$I,8,0),"")=H120,IF(AND(A120&lt;&gt;"",E120&lt;&gt;""),"Saved","Pending"),"🔒 BLOCKED — Wrong Code")))</f>
        <v/>
      </c>
      <c r="J120" s="500">
        <f>IF(I120="Saved",TEXT(TODAY(),"YYYY-MM-DD")&amp;" Auto","—")</f>
        <v/>
      </c>
      <c r="K120" s="501" t="n"/>
    </row>
    <row r="121" ht="15" customHeight="1" s="341">
      <c r="A121" s="486" t="n"/>
      <c r="B121" s="378">
        <f>IF(A121="","",IFERROR(VLOOKUP(A121,DB_Customers!$A:$D,4,0),"❌ Account Not Found"))</f>
        <v/>
      </c>
      <c r="C121" s="487">
        <f>IF(A121="","",IFERROR(VLOOKUP(A121,DB_Customers!$A:$N,14,0),""))</f>
        <v/>
      </c>
      <c r="D121" s="488">
        <f>IF(A121="","",TODAY())</f>
        <v/>
      </c>
      <c r="E121" s="489" t="n"/>
      <c r="F121" s="490">
        <f>IF(OR(A121="",E121=""),"",IF(C121="","",C121+E121))</f>
        <v/>
      </c>
      <c r="G121" s="380" t="inlineStr">
        <is>
          <t>Agent 05</t>
        </is>
      </c>
      <c r="H121" s="491" t="n"/>
      <c r="I121" s="492">
        <f>IF(A121="","Pending",IF(H121="","⚠️ Enter Code",IF(IFERROR(VLOOKUP(G121,DB_Agents!$B:$I,8,0),"")=H121,IF(AND(A121&lt;&gt;"",E121&lt;&gt;""),"Saved","Pending"),"🔒 BLOCKED — Wrong Code")))</f>
        <v/>
      </c>
      <c r="J121" s="493">
        <f>IF(I121="Saved",TEXT(TODAY(),"YYYY-MM-DD")&amp;" Auto","—")</f>
        <v/>
      </c>
      <c r="K121" s="494" t="n"/>
    </row>
    <row r="122" ht="15" customHeight="1" s="341">
      <c r="A122" s="495" t="n"/>
      <c r="B122" s="382">
        <f>IF(A122="","",IFERROR(VLOOKUP(A122,DB_Customers!$A:$D,4,0),"❌ Account Not Found"))</f>
        <v/>
      </c>
      <c r="C122" s="496">
        <f>IF(A122="","",IFERROR(VLOOKUP(A122,DB_Customers!$A:$N,14,0),""))</f>
        <v/>
      </c>
      <c r="D122" s="497">
        <f>IF(A122="","",TODAY())</f>
        <v/>
      </c>
      <c r="E122" s="489" t="n"/>
      <c r="F122" s="498">
        <f>IF(OR(A122="",E122=""),"",IF(C122="","",C122+E122))</f>
        <v/>
      </c>
      <c r="G122" s="384" t="inlineStr">
        <is>
          <t>Agent 05</t>
        </is>
      </c>
      <c r="H122" s="491" t="n"/>
      <c r="I122" s="499">
        <f>IF(A122="","Pending",IF(H122="","⚠️ Enter Code",IF(IFERROR(VLOOKUP(G122,DB_Agents!$B:$I,8,0),"")=H122,IF(AND(A122&lt;&gt;"",E122&lt;&gt;""),"Saved","Pending"),"🔒 BLOCKED — Wrong Code")))</f>
        <v/>
      </c>
      <c r="J122" s="500">
        <f>IF(I122="Saved",TEXT(TODAY(),"YYYY-MM-DD")&amp;" Auto","—")</f>
        <v/>
      </c>
      <c r="K122" s="501" t="n"/>
    </row>
    <row r="123" ht="15" customHeight="1" s="341">
      <c r="A123" s="486" t="n"/>
      <c r="B123" s="378">
        <f>IF(A123="","",IFERROR(VLOOKUP(A123,DB_Customers!$A:$D,4,0),"❌ Account Not Found"))</f>
        <v/>
      </c>
      <c r="C123" s="487">
        <f>IF(A123="","",IFERROR(VLOOKUP(A123,DB_Customers!$A:$N,14,0),""))</f>
        <v/>
      </c>
      <c r="D123" s="488">
        <f>IF(A123="","",TODAY())</f>
        <v/>
      </c>
      <c r="E123" s="489" t="n"/>
      <c r="F123" s="490">
        <f>IF(OR(A123="",E123=""),"",IF(C123="","",C123+E123))</f>
        <v/>
      </c>
      <c r="G123" s="380" t="inlineStr">
        <is>
          <t>Agent 05</t>
        </is>
      </c>
      <c r="H123" s="491" t="n"/>
      <c r="I123" s="492">
        <f>IF(A123="","Pending",IF(H123="","⚠️ Enter Code",IF(IFERROR(VLOOKUP(G123,DB_Agents!$B:$I,8,0),"")=H123,IF(AND(A123&lt;&gt;"",E123&lt;&gt;""),"Saved","Pending"),"🔒 BLOCKED — Wrong Code")))</f>
        <v/>
      </c>
      <c r="J123" s="493">
        <f>IF(I123="Saved",TEXT(TODAY(),"YYYY-MM-DD")&amp;" Auto","—")</f>
        <v/>
      </c>
      <c r="K123" s="494" t="n"/>
    </row>
    <row r="124" ht="15" customHeight="1" s="341">
      <c r="A124" s="495" t="n"/>
      <c r="B124" s="382">
        <f>IF(A124="","",IFERROR(VLOOKUP(A124,DB_Customers!$A:$D,4,0),"❌ Account Not Found"))</f>
        <v/>
      </c>
      <c r="C124" s="496">
        <f>IF(A124="","",IFERROR(VLOOKUP(A124,DB_Customers!$A:$N,14,0),""))</f>
        <v/>
      </c>
      <c r="D124" s="497">
        <f>IF(A124="","",TODAY())</f>
        <v/>
      </c>
      <c r="E124" s="489" t="n"/>
      <c r="F124" s="498">
        <f>IF(OR(A124="",E124=""),"",IF(C124="","",C124+E124))</f>
        <v/>
      </c>
      <c r="G124" s="384" t="inlineStr">
        <is>
          <t>Agent 05</t>
        </is>
      </c>
      <c r="H124" s="491" t="n"/>
      <c r="I124" s="499">
        <f>IF(A124="","Pending",IF(H124="","⚠️ Enter Code",IF(IFERROR(VLOOKUP(G124,DB_Agents!$B:$I,8,0),"")=H124,IF(AND(A124&lt;&gt;"",E124&lt;&gt;""),"Saved","Pending"),"🔒 BLOCKED — Wrong Code")))</f>
        <v/>
      </c>
      <c r="J124" s="500">
        <f>IF(I124="Saved",TEXT(TODAY(),"YYYY-MM-DD")&amp;" Auto","—")</f>
        <v/>
      </c>
      <c r="K124" s="501" t="n"/>
    </row>
    <row r="125" ht="15" customHeight="1" s="341">
      <c r="A125" s="486" t="n"/>
      <c r="B125" s="378">
        <f>IF(A125="","",IFERROR(VLOOKUP(A125,DB_Customers!$A:$D,4,0),"❌ Account Not Found"))</f>
        <v/>
      </c>
      <c r="C125" s="487">
        <f>IF(A125="","",IFERROR(VLOOKUP(A125,DB_Customers!$A:$N,14,0),""))</f>
        <v/>
      </c>
      <c r="D125" s="488">
        <f>IF(A125="","",TODAY())</f>
        <v/>
      </c>
      <c r="E125" s="489" t="n"/>
      <c r="F125" s="490">
        <f>IF(OR(A125="",E125=""),"",IF(C125="","",C125+E125))</f>
        <v/>
      </c>
      <c r="G125" s="380" t="inlineStr">
        <is>
          <t>Agent 05</t>
        </is>
      </c>
      <c r="H125" s="491" t="n"/>
      <c r="I125" s="492">
        <f>IF(A125="","Pending",IF(H125="","⚠️ Enter Code",IF(IFERROR(VLOOKUP(G125,DB_Agents!$B:$I,8,0),"")=H125,IF(AND(A125&lt;&gt;"",E125&lt;&gt;""),"Saved","Pending"),"🔒 BLOCKED — Wrong Code")))</f>
        <v/>
      </c>
      <c r="J125" s="493">
        <f>IF(I125="Saved",TEXT(TODAY(),"YYYY-MM-DD")&amp;" Auto","—")</f>
        <v/>
      </c>
      <c r="K125" s="494" t="n"/>
    </row>
    <row r="126" ht="15" customHeight="1" s="341">
      <c r="A126" s="495" t="n"/>
      <c r="B126" s="382">
        <f>IF(A126="","",IFERROR(VLOOKUP(A126,DB_Customers!$A:$D,4,0),"❌ Account Not Found"))</f>
        <v/>
      </c>
      <c r="C126" s="496">
        <f>IF(A126="","",IFERROR(VLOOKUP(A126,DB_Customers!$A:$N,14,0),""))</f>
        <v/>
      </c>
      <c r="D126" s="497">
        <f>IF(A126="","",TODAY())</f>
        <v/>
      </c>
      <c r="E126" s="489" t="n"/>
      <c r="F126" s="498">
        <f>IF(OR(A126="",E126=""),"",IF(C126="","",C126+E126))</f>
        <v/>
      </c>
      <c r="G126" s="384" t="inlineStr">
        <is>
          <t>Agent 05</t>
        </is>
      </c>
      <c r="H126" s="491" t="n"/>
      <c r="I126" s="499">
        <f>IF(A126="","Pending",IF(H126="","⚠️ Enter Code",IF(IFERROR(VLOOKUP(G126,DB_Agents!$B:$I,8,0),"")=H126,IF(AND(A126&lt;&gt;"",E126&lt;&gt;""),"Saved","Pending"),"🔒 BLOCKED — Wrong Code")))</f>
        <v/>
      </c>
      <c r="J126" s="500">
        <f>IF(I126="Saved",TEXT(TODAY(),"YYYY-MM-DD")&amp;" Auto","—")</f>
        <v/>
      </c>
      <c r="K126" s="501" t="n"/>
    </row>
    <row r="127" ht="15" customHeight="1" s="341">
      <c r="A127" s="486" t="n"/>
      <c r="B127" s="378">
        <f>IF(A127="","",IFERROR(VLOOKUP(A127,DB_Customers!$A:$D,4,0),"❌ Account Not Found"))</f>
        <v/>
      </c>
      <c r="C127" s="487">
        <f>IF(A127="","",IFERROR(VLOOKUP(A127,DB_Customers!$A:$N,14,0),""))</f>
        <v/>
      </c>
      <c r="D127" s="488">
        <f>IF(A127="","",TODAY())</f>
        <v/>
      </c>
      <c r="E127" s="489" t="n"/>
      <c r="F127" s="490">
        <f>IF(OR(A127="",E127=""),"",IF(C127="","",C127+E127))</f>
        <v/>
      </c>
      <c r="G127" s="380" t="inlineStr">
        <is>
          <t>Agent 05</t>
        </is>
      </c>
      <c r="H127" s="491" t="n"/>
      <c r="I127" s="492">
        <f>IF(A127="","Pending",IF(H127="","⚠️ Enter Code",IF(IFERROR(VLOOKUP(G127,DB_Agents!$B:$I,8,0),"")=H127,IF(AND(A127&lt;&gt;"",E127&lt;&gt;""),"Saved","Pending"),"🔒 BLOCKED — Wrong Code")))</f>
        <v/>
      </c>
      <c r="J127" s="493">
        <f>IF(I127="Saved",TEXT(TODAY(),"YYYY-MM-DD")&amp;" Auto","—")</f>
        <v/>
      </c>
      <c r="K127" s="494" t="n"/>
    </row>
    <row r="128" ht="15" customHeight="1" s="341">
      <c r="A128" s="495" t="n"/>
      <c r="B128" s="382">
        <f>IF(A128="","",IFERROR(VLOOKUP(A128,DB_Customers!$A:$D,4,0),"❌ Account Not Found"))</f>
        <v/>
      </c>
      <c r="C128" s="496">
        <f>IF(A128="","",IFERROR(VLOOKUP(A128,DB_Customers!$A:$N,14,0),""))</f>
        <v/>
      </c>
      <c r="D128" s="497">
        <f>IF(A128="","",TODAY())</f>
        <v/>
      </c>
      <c r="E128" s="489" t="n"/>
      <c r="F128" s="498">
        <f>IF(OR(A128="",E128=""),"",IF(C128="","",C128+E128))</f>
        <v/>
      </c>
      <c r="G128" s="384" t="inlineStr">
        <is>
          <t>Agent 05</t>
        </is>
      </c>
      <c r="H128" s="491" t="n"/>
      <c r="I128" s="499">
        <f>IF(A128="","Pending",IF(H128="","⚠️ Enter Code",IF(IFERROR(VLOOKUP(G128,DB_Agents!$B:$I,8,0),"")=H128,IF(AND(A128&lt;&gt;"",E128&lt;&gt;""),"Saved","Pending"),"🔒 BLOCKED — Wrong Code")))</f>
        <v/>
      </c>
      <c r="J128" s="500">
        <f>IF(I128="Saved",TEXT(TODAY(),"YYYY-MM-DD")&amp;" Auto","—")</f>
        <v/>
      </c>
      <c r="K128" s="501" t="n"/>
    </row>
    <row r="129" ht="15" customHeight="1" s="341">
      <c r="A129" s="486" t="n"/>
      <c r="B129" s="378">
        <f>IF(A129="","",IFERROR(VLOOKUP(A129,DB_Customers!$A:$D,4,0),"❌ Account Not Found"))</f>
        <v/>
      </c>
      <c r="C129" s="487">
        <f>IF(A129="","",IFERROR(VLOOKUP(A129,DB_Customers!$A:$N,14,0),""))</f>
        <v/>
      </c>
      <c r="D129" s="488">
        <f>IF(A129="","",TODAY())</f>
        <v/>
      </c>
      <c r="E129" s="489" t="n"/>
      <c r="F129" s="490">
        <f>IF(OR(A129="",E129=""),"",IF(C129="","",C129+E129))</f>
        <v/>
      </c>
      <c r="G129" s="380" t="inlineStr">
        <is>
          <t>Agent 05</t>
        </is>
      </c>
      <c r="H129" s="491" t="n"/>
      <c r="I129" s="492">
        <f>IF(A129="","Pending",IF(H129="","⚠️ Enter Code",IF(IFERROR(VLOOKUP(G129,DB_Agents!$B:$I,8,0),"")=H129,IF(AND(A129&lt;&gt;"",E129&lt;&gt;""),"Saved","Pending"),"🔒 BLOCKED — Wrong Code")))</f>
        <v/>
      </c>
      <c r="J129" s="493">
        <f>IF(I129="Saved",TEXT(TODAY(),"YYYY-MM-DD")&amp;" Auto","—")</f>
        <v/>
      </c>
      <c r="K129" s="494" t="n"/>
    </row>
    <row r="130" ht="15" customHeight="1" s="341">
      <c r="A130" s="495" t="n"/>
      <c r="B130" s="382">
        <f>IF(A130="","",IFERROR(VLOOKUP(A130,DB_Customers!$A:$D,4,0),"❌ Account Not Found"))</f>
        <v/>
      </c>
      <c r="C130" s="496">
        <f>IF(A130="","",IFERROR(VLOOKUP(A130,DB_Customers!$A:$N,14,0),""))</f>
        <v/>
      </c>
      <c r="D130" s="497">
        <f>IF(A130="","",TODAY())</f>
        <v/>
      </c>
      <c r="E130" s="489" t="n"/>
      <c r="F130" s="498">
        <f>IF(OR(A130="",E130=""),"",IF(C130="","",C130+E130))</f>
        <v/>
      </c>
      <c r="G130" s="384" t="inlineStr">
        <is>
          <t>Agent 05</t>
        </is>
      </c>
      <c r="H130" s="491" t="n"/>
      <c r="I130" s="499">
        <f>IF(A130="","Pending",IF(H130="","⚠️ Enter Code",IF(IFERROR(VLOOKUP(G130,DB_Agents!$B:$I,8,0),"")=H130,IF(AND(A130&lt;&gt;"",E130&lt;&gt;""),"Saved","Pending"),"🔒 BLOCKED — Wrong Code")))</f>
        <v/>
      </c>
      <c r="J130" s="500">
        <f>IF(I130="Saved",TEXT(TODAY(),"YYYY-MM-DD")&amp;" Auto","—")</f>
        <v/>
      </c>
      <c r="K130" s="501" t="n"/>
    </row>
    <row r="131" ht="15" customHeight="1" s="341">
      <c r="A131" s="486" t="n"/>
      <c r="B131" s="378">
        <f>IF(A131="","",IFERROR(VLOOKUP(A131,DB_Customers!$A:$D,4,0),"❌ Account Not Found"))</f>
        <v/>
      </c>
      <c r="C131" s="487">
        <f>IF(A131="","",IFERROR(VLOOKUP(A131,DB_Customers!$A:$N,14,0),""))</f>
        <v/>
      </c>
      <c r="D131" s="488">
        <f>IF(A131="","",TODAY())</f>
        <v/>
      </c>
      <c r="E131" s="489" t="n"/>
      <c r="F131" s="490">
        <f>IF(OR(A131="",E131=""),"",IF(C131="","",C131+E131))</f>
        <v/>
      </c>
      <c r="G131" s="380" t="inlineStr">
        <is>
          <t>Agent 05</t>
        </is>
      </c>
      <c r="H131" s="491" t="n"/>
      <c r="I131" s="492">
        <f>IF(A131="","Pending",IF(H131="","⚠️ Enter Code",IF(IFERROR(VLOOKUP(G131,DB_Agents!$B:$I,8,0),"")=H131,IF(AND(A131&lt;&gt;"",E131&lt;&gt;""),"Saved","Pending"),"🔒 BLOCKED — Wrong Code")))</f>
        <v/>
      </c>
      <c r="J131" s="493">
        <f>IF(I131="Saved",TEXT(TODAY(),"YYYY-MM-DD")&amp;" Auto","—")</f>
        <v/>
      </c>
      <c r="K131" s="494" t="n"/>
    </row>
    <row r="132" ht="15" customHeight="1" s="341">
      <c r="A132" s="495" t="n"/>
      <c r="B132" s="382">
        <f>IF(A132="","",IFERROR(VLOOKUP(A132,DB_Customers!$A:$D,4,0),"❌ Account Not Found"))</f>
        <v/>
      </c>
      <c r="C132" s="496">
        <f>IF(A132="","",IFERROR(VLOOKUP(A132,DB_Customers!$A:$N,14,0),""))</f>
        <v/>
      </c>
      <c r="D132" s="497">
        <f>IF(A132="","",TODAY())</f>
        <v/>
      </c>
      <c r="E132" s="489" t="n"/>
      <c r="F132" s="498">
        <f>IF(OR(A132="",E132=""),"",IF(C132="","",C132+E132))</f>
        <v/>
      </c>
      <c r="G132" s="384" t="inlineStr">
        <is>
          <t>Agent 05</t>
        </is>
      </c>
      <c r="H132" s="491" t="n"/>
      <c r="I132" s="499">
        <f>IF(A132="","Pending",IF(H132="","⚠️ Enter Code",IF(IFERROR(VLOOKUP(G132,DB_Agents!$B:$I,8,0),"")=H132,IF(AND(A132&lt;&gt;"",E132&lt;&gt;""),"Saved","Pending"),"🔒 BLOCKED — Wrong Code")))</f>
        <v/>
      </c>
      <c r="J132" s="500">
        <f>IF(I132="Saved",TEXT(TODAY(),"YYYY-MM-DD")&amp;" Auto","—")</f>
        <v/>
      </c>
      <c r="K132" s="501" t="n"/>
    </row>
    <row r="133" ht="15" customHeight="1" s="341">
      <c r="A133" s="486" t="n"/>
      <c r="B133" s="378">
        <f>IF(A133="","",IFERROR(VLOOKUP(A133,DB_Customers!$A:$D,4,0),"❌ Account Not Found"))</f>
        <v/>
      </c>
      <c r="C133" s="487">
        <f>IF(A133="","",IFERROR(VLOOKUP(A133,DB_Customers!$A:$N,14,0),""))</f>
        <v/>
      </c>
      <c r="D133" s="488">
        <f>IF(A133="","",TODAY())</f>
        <v/>
      </c>
      <c r="E133" s="489" t="n"/>
      <c r="F133" s="490">
        <f>IF(OR(A133="",E133=""),"",IF(C133="","",C133+E133))</f>
        <v/>
      </c>
      <c r="G133" s="380" t="inlineStr">
        <is>
          <t>Agent 05</t>
        </is>
      </c>
      <c r="H133" s="491" t="n"/>
      <c r="I133" s="492">
        <f>IF(A133="","Pending",IF(H133="","⚠️ Enter Code",IF(IFERROR(VLOOKUP(G133,DB_Agents!$B:$I,8,0),"")=H133,IF(AND(A133&lt;&gt;"",E133&lt;&gt;""),"Saved","Pending"),"🔒 BLOCKED — Wrong Code")))</f>
        <v/>
      </c>
      <c r="J133" s="493">
        <f>IF(I133="Saved",TEXT(TODAY(),"YYYY-MM-DD")&amp;" Auto","—")</f>
        <v/>
      </c>
      <c r="K133" s="494" t="n"/>
    </row>
    <row r="134" ht="15" customHeight="1" s="341">
      <c r="A134" s="495" t="n"/>
      <c r="B134" s="382">
        <f>IF(A134="","",IFERROR(VLOOKUP(A134,DB_Customers!$A:$D,4,0),"❌ Account Not Found"))</f>
        <v/>
      </c>
      <c r="C134" s="496">
        <f>IF(A134="","",IFERROR(VLOOKUP(A134,DB_Customers!$A:$N,14,0),""))</f>
        <v/>
      </c>
      <c r="D134" s="497">
        <f>IF(A134="","",TODAY())</f>
        <v/>
      </c>
      <c r="E134" s="489" t="n"/>
      <c r="F134" s="498">
        <f>IF(OR(A134="",E134=""),"",IF(C134="","",C134+E134))</f>
        <v/>
      </c>
      <c r="G134" s="384" t="inlineStr">
        <is>
          <t>Agent 05</t>
        </is>
      </c>
      <c r="H134" s="491" t="n"/>
      <c r="I134" s="499">
        <f>IF(A134="","Pending",IF(H134="","⚠️ Enter Code",IF(IFERROR(VLOOKUP(G134,DB_Agents!$B:$I,8,0),"")=H134,IF(AND(A134&lt;&gt;"",E134&lt;&gt;""),"Saved","Pending"),"🔒 BLOCKED — Wrong Code")))</f>
        <v/>
      </c>
      <c r="J134" s="500">
        <f>IF(I134="Saved",TEXT(TODAY(),"YYYY-MM-DD")&amp;" Auto","—")</f>
        <v/>
      </c>
      <c r="K134" s="501" t="n"/>
    </row>
    <row r="135" ht="15" customHeight="1" s="341">
      <c r="A135" s="486" t="n"/>
      <c r="B135" s="378">
        <f>IF(A135="","",IFERROR(VLOOKUP(A135,DB_Customers!$A:$D,4,0),"❌ Account Not Found"))</f>
        <v/>
      </c>
      <c r="C135" s="487">
        <f>IF(A135="","",IFERROR(VLOOKUP(A135,DB_Customers!$A:$N,14,0),""))</f>
        <v/>
      </c>
      <c r="D135" s="488">
        <f>IF(A135="","",TODAY())</f>
        <v/>
      </c>
      <c r="E135" s="489" t="n"/>
      <c r="F135" s="490">
        <f>IF(OR(A135="",E135=""),"",IF(C135="","",C135+E135))</f>
        <v/>
      </c>
      <c r="G135" s="380" t="inlineStr">
        <is>
          <t>Agent 05</t>
        </is>
      </c>
      <c r="H135" s="491" t="n"/>
      <c r="I135" s="492">
        <f>IF(A135="","Pending",IF(H135="","⚠️ Enter Code",IF(IFERROR(VLOOKUP(G135,DB_Agents!$B:$I,8,0),"")=H135,IF(AND(A135&lt;&gt;"",E135&lt;&gt;""),"Saved","Pending"),"🔒 BLOCKED — Wrong Code")))</f>
        <v/>
      </c>
      <c r="J135" s="493">
        <f>IF(I135="Saved",TEXT(TODAY(),"YYYY-MM-DD")&amp;" Auto","—")</f>
        <v/>
      </c>
      <c r="K135" s="494" t="n"/>
    </row>
    <row r="136" ht="15" customHeight="1" s="341">
      <c r="A136" s="495" t="n"/>
      <c r="B136" s="382">
        <f>IF(A136="","",IFERROR(VLOOKUP(A136,DB_Customers!$A:$D,4,0),"❌ Account Not Found"))</f>
        <v/>
      </c>
      <c r="C136" s="496">
        <f>IF(A136="","",IFERROR(VLOOKUP(A136,DB_Customers!$A:$N,14,0),""))</f>
        <v/>
      </c>
      <c r="D136" s="497">
        <f>IF(A136="","",TODAY())</f>
        <v/>
      </c>
      <c r="E136" s="489" t="n"/>
      <c r="F136" s="498">
        <f>IF(OR(A136="",E136=""),"",IF(C136="","",C136+E136))</f>
        <v/>
      </c>
      <c r="G136" s="384" t="inlineStr">
        <is>
          <t>Agent 05</t>
        </is>
      </c>
      <c r="H136" s="491" t="n"/>
      <c r="I136" s="499">
        <f>IF(A136="","Pending",IF(H136="","⚠️ Enter Code",IF(IFERROR(VLOOKUP(G136,DB_Agents!$B:$I,8,0),"")=H136,IF(AND(A136&lt;&gt;"",E136&lt;&gt;""),"Saved","Pending"),"🔒 BLOCKED — Wrong Code")))</f>
        <v/>
      </c>
      <c r="J136" s="500">
        <f>IF(I136="Saved",TEXT(TODAY(),"YYYY-MM-DD")&amp;" Auto","—")</f>
        <v/>
      </c>
      <c r="K136" s="501" t="n"/>
    </row>
    <row r="137" ht="15" customHeight="1" s="341">
      <c r="A137" s="486" t="n"/>
      <c r="B137" s="378">
        <f>IF(A137="","",IFERROR(VLOOKUP(A137,DB_Customers!$A:$D,4,0),"❌ Account Not Found"))</f>
        <v/>
      </c>
      <c r="C137" s="487">
        <f>IF(A137="","",IFERROR(VLOOKUP(A137,DB_Customers!$A:$N,14,0),""))</f>
        <v/>
      </c>
      <c r="D137" s="488">
        <f>IF(A137="","",TODAY())</f>
        <v/>
      </c>
      <c r="E137" s="489" t="n"/>
      <c r="F137" s="490">
        <f>IF(OR(A137="",E137=""),"",IF(C137="","",C137+E137))</f>
        <v/>
      </c>
      <c r="G137" s="380" t="inlineStr">
        <is>
          <t>Agent 05</t>
        </is>
      </c>
      <c r="H137" s="491" t="n"/>
      <c r="I137" s="492">
        <f>IF(A137="","Pending",IF(H137="","⚠️ Enter Code",IF(IFERROR(VLOOKUP(G137,DB_Agents!$B:$I,8,0),"")=H137,IF(AND(A137&lt;&gt;"",E137&lt;&gt;""),"Saved","Pending"),"🔒 BLOCKED — Wrong Code")))</f>
        <v/>
      </c>
      <c r="J137" s="493">
        <f>IF(I137="Saved",TEXT(TODAY(),"YYYY-MM-DD")&amp;" Auto","—")</f>
        <v/>
      </c>
      <c r="K137" s="494" t="n"/>
    </row>
    <row r="138" ht="15" customHeight="1" s="341">
      <c r="A138" s="495" t="n"/>
      <c r="B138" s="382">
        <f>IF(A138="","",IFERROR(VLOOKUP(A138,DB_Customers!$A:$D,4,0),"❌ Account Not Found"))</f>
        <v/>
      </c>
      <c r="C138" s="496">
        <f>IF(A138="","",IFERROR(VLOOKUP(A138,DB_Customers!$A:$N,14,0),""))</f>
        <v/>
      </c>
      <c r="D138" s="497">
        <f>IF(A138="","",TODAY())</f>
        <v/>
      </c>
      <c r="E138" s="489" t="n"/>
      <c r="F138" s="498">
        <f>IF(OR(A138="",E138=""),"",IF(C138="","",C138+E138))</f>
        <v/>
      </c>
      <c r="G138" s="384" t="inlineStr">
        <is>
          <t>Agent 05</t>
        </is>
      </c>
      <c r="H138" s="491" t="n"/>
      <c r="I138" s="499">
        <f>IF(A138="","Pending",IF(H138="","⚠️ Enter Code",IF(IFERROR(VLOOKUP(G138,DB_Agents!$B:$I,8,0),"")=H138,IF(AND(A138&lt;&gt;"",E138&lt;&gt;""),"Saved","Pending"),"🔒 BLOCKED — Wrong Code")))</f>
        <v/>
      </c>
      <c r="J138" s="500">
        <f>IF(I138="Saved",TEXT(TODAY(),"YYYY-MM-DD")&amp;" Auto","—")</f>
        <v/>
      </c>
      <c r="K138" s="501" t="n"/>
    </row>
    <row r="139" ht="15" customHeight="1" s="341">
      <c r="A139" s="486" t="n"/>
      <c r="B139" s="378">
        <f>IF(A139="","",IFERROR(VLOOKUP(A139,DB_Customers!$A:$D,4,0),"❌ Account Not Found"))</f>
        <v/>
      </c>
      <c r="C139" s="487">
        <f>IF(A139="","",IFERROR(VLOOKUP(A139,DB_Customers!$A:$N,14,0),""))</f>
        <v/>
      </c>
      <c r="D139" s="488">
        <f>IF(A139="","",TODAY())</f>
        <v/>
      </c>
      <c r="E139" s="489" t="n"/>
      <c r="F139" s="490">
        <f>IF(OR(A139="",E139=""),"",IF(C139="","",C139+E139))</f>
        <v/>
      </c>
      <c r="G139" s="380" t="inlineStr">
        <is>
          <t>Agent 05</t>
        </is>
      </c>
      <c r="H139" s="491" t="n"/>
      <c r="I139" s="492">
        <f>IF(A139="","Pending",IF(H139="","⚠️ Enter Code",IF(IFERROR(VLOOKUP(G139,DB_Agents!$B:$I,8,0),"")=H139,IF(AND(A139&lt;&gt;"",E139&lt;&gt;""),"Saved","Pending"),"🔒 BLOCKED — Wrong Code")))</f>
        <v/>
      </c>
      <c r="J139" s="493">
        <f>IF(I139="Saved",TEXT(TODAY(),"YYYY-MM-DD")&amp;" Auto","—")</f>
        <v/>
      </c>
      <c r="K139" s="494" t="n"/>
    </row>
    <row r="140" ht="15" customHeight="1" s="341">
      <c r="A140" s="495" t="n"/>
      <c r="B140" s="382">
        <f>IF(A140="","",IFERROR(VLOOKUP(A140,DB_Customers!$A:$D,4,0),"❌ Account Not Found"))</f>
        <v/>
      </c>
      <c r="C140" s="496">
        <f>IF(A140="","",IFERROR(VLOOKUP(A140,DB_Customers!$A:$N,14,0),""))</f>
        <v/>
      </c>
      <c r="D140" s="497">
        <f>IF(A140="","",TODAY())</f>
        <v/>
      </c>
      <c r="E140" s="489" t="n"/>
      <c r="F140" s="498">
        <f>IF(OR(A140="",E140=""),"",IF(C140="","",C140+E140))</f>
        <v/>
      </c>
      <c r="G140" s="384" t="inlineStr">
        <is>
          <t>Agent 05</t>
        </is>
      </c>
      <c r="H140" s="491" t="n"/>
      <c r="I140" s="499">
        <f>IF(A140="","Pending",IF(H140="","⚠️ Enter Code",IF(IFERROR(VLOOKUP(G140,DB_Agents!$B:$I,8,0),"")=H140,IF(AND(A140&lt;&gt;"",E140&lt;&gt;""),"Saved","Pending"),"🔒 BLOCKED — Wrong Code")))</f>
        <v/>
      </c>
      <c r="J140" s="500">
        <f>IF(I140="Saved",TEXT(TODAY(),"YYYY-MM-DD")&amp;" Auto","—")</f>
        <v/>
      </c>
      <c r="K140" s="501" t="n"/>
    </row>
    <row r="141" ht="15" customHeight="1" s="341">
      <c r="A141" s="486" t="n"/>
      <c r="B141" s="378">
        <f>IF(A141="","",IFERROR(VLOOKUP(A141,DB_Customers!$A:$D,4,0),"❌ Account Not Found"))</f>
        <v/>
      </c>
      <c r="C141" s="487">
        <f>IF(A141="","",IFERROR(VLOOKUP(A141,DB_Customers!$A:$N,14,0),""))</f>
        <v/>
      </c>
      <c r="D141" s="488">
        <f>IF(A141="","",TODAY())</f>
        <v/>
      </c>
      <c r="E141" s="489" t="n"/>
      <c r="F141" s="490">
        <f>IF(OR(A141="",E141=""),"",IF(C141="","",C141+E141))</f>
        <v/>
      </c>
      <c r="G141" s="380" t="inlineStr">
        <is>
          <t>Agent 05</t>
        </is>
      </c>
      <c r="H141" s="491" t="n"/>
      <c r="I141" s="492">
        <f>IF(A141="","Pending",IF(H141="","⚠️ Enter Code",IF(IFERROR(VLOOKUP(G141,DB_Agents!$B:$I,8,0),"")=H141,IF(AND(A141&lt;&gt;"",E141&lt;&gt;""),"Saved","Pending"),"🔒 BLOCKED — Wrong Code")))</f>
        <v/>
      </c>
      <c r="J141" s="493">
        <f>IF(I141="Saved",TEXT(TODAY(),"YYYY-MM-DD")&amp;" Auto","—")</f>
        <v/>
      </c>
      <c r="K141" s="494" t="n"/>
    </row>
    <row r="142" ht="15" customHeight="1" s="341">
      <c r="A142" s="495" t="n"/>
      <c r="B142" s="382">
        <f>IF(A142="","",IFERROR(VLOOKUP(A142,DB_Customers!$A:$D,4,0),"❌ Account Not Found"))</f>
        <v/>
      </c>
      <c r="C142" s="496">
        <f>IF(A142="","",IFERROR(VLOOKUP(A142,DB_Customers!$A:$N,14,0),""))</f>
        <v/>
      </c>
      <c r="D142" s="497">
        <f>IF(A142="","",TODAY())</f>
        <v/>
      </c>
      <c r="E142" s="489" t="n"/>
      <c r="F142" s="498">
        <f>IF(OR(A142="",E142=""),"",IF(C142="","",C142+E142))</f>
        <v/>
      </c>
      <c r="G142" s="384" t="inlineStr">
        <is>
          <t>Agent 05</t>
        </is>
      </c>
      <c r="H142" s="491" t="n"/>
      <c r="I142" s="499">
        <f>IF(A142="","Pending",IF(H142="","⚠️ Enter Code",IF(IFERROR(VLOOKUP(G142,DB_Agents!$B:$I,8,0),"")=H142,IF(AND(A142&lt;&gt;"",E142&lt;&gt;""),"Saved","Pending"),"🔒 BLOCKED — Wrong Code")))</f>
        <v/>
      </c>
      <c r="J142" s="500">
        <f>IF(I142="Saved",TEXT(TODAY(),"YYYY-MM-DD")&amp;" Auto","—")</f>
        <v/>
      </c>
      <c r="K142" s="501" t="n"/>
    </row>
    <row r="143" ht="15" customHeight="1" s="341">
      <c r="A143" s="486" t="n"/>
      <c r="B143" s="378">
        <f>IF(A143="","",IFERROR(VLOOKUP(A143,DB_Customers!$A:$D,4,0),"❌ Account Not Found"))</f>
        <v/>
      </c>
      <c r="C143" s="487">
        <f>IF(A143="","",IFERROR(VLOOKUP(A143,DB_Customers!$A:$N,14,0),""))</f>
        <v/>
      </c>
      <c r="D143" s="488">
        <f>IF(A143="","",TODAY())</f>
        <v/>
      </c>
      <c r="E143" s="489" t="n"/>
      <c r="F143" s="490">
        <f>IF(OR(A143="",E143=""),"",IF(C143="","",C143+E143))</f>
        <v/>
      </c>
      <c r="G143" s="380" t="inlineStr">
        <is>
          <t>Agent 05</t>
        </is>
      </c>
      <c r="H143" s="491" t="n"/>
      <c r="I143" s="492">
        <f>IF(A143="","Pending",IF(H143="","⚠️ Enter Code",IF(IFERROR(VLOOKUP(G143,DB_Agents!$B:$I,8,0),"")=H143,IF(AND(A143&lt;&gt;"",E143&lt;&gt;""),"Saved","Pending"),"🔒 BLOCKED — Wrong Code")))</f>
        <v/>
      </c>
      <c r="J143" s="493">
        <f>IF(I143="Saved",TEXT(TODAY(),"YYYY-MM-DD")&amp;" Auto","—")</f>
        <v/>
      </c>
      <c r="K143" s="494" t="n"/>
    </row>
    <row r="144" ht="15" customHeight="1" s="341">
      <c r="A144" s="495" t="n"/>
      <c r="B144" s="382">
        <f>IF(A144="","",IFERROR(VLOOKUP(A144,DB_Customers!$A:$D,4,0),"❌ Account Not Found"))</f>
        <v/>
      </c>
      <c r="C144" s="496">
        <f>IF(A144="","",IFERROR(VLOOKUP(A144,DB_Customers!$A:$N,14,0),""))</f>
        <v/>
      </c>
      <c r="D144" s="497">
        <f>IF(A144="","",TODAY())</f>
        <v/>
      </c>
      <c r="E144" s="489" t="n"/>
      <c r="F144" s="498">
        <f>IF(OR(A144="",E144=""),"",IF(C144="","",C144+E144))</f>
        <v/>
      </c>
      <c r="G144" s="384" t="inlineStr">
        <is>
          <t>Agent 05</t>
        </is>
      </c>
      <c r="H144" s="491" t="n"/>
      <c r="I144" s="499">
        <f>IF(A144="","Pending",IF(H144="","⚠️ Enter Code",IF(IFERROR(VLOOKUP(G144,DB_Agents!$B:$I,8,0),"")=H144,IF(AND(A144&lt;&gt;"",E144&lt;&gt;""),"Saved","Pending"),"🔒 BLOCKED — Wrong Code")))</f>
        <v/>
      </c>
      <c r="J144" s="500">
        <f>IF(I144="Saved",TEXT(TODAY(),"YYYY-MM-DD")&amp;" Auto","—")</f>
        <v/>
      </c>
      <c r="K144" s="501" t="n"/>
    </row>
    <row r="145" ht="15" customHeight="1" s="341">
      <c r="A145" s="486" t="n"/>
      <c r="B145" s="378">
        <f>IF(A145="","",IFERROR(VLOOKUP(A145,DB_Customers!$A:$D,4,0),"❌ Account Not Found"))</f>
        <v/>
      </c>
      <c r="C145" s="487">
        <f>IF(A145="","",IFERROR(VLOOKUP(A145,DB_Customers!$A:$N,14,0),""))</f>
        <v/>
      </c>
      <c r="D145" s="488">
        <f>IF(A145="","",TODAY())</f>
        <v/>
      </c>
      <c r="E145" s="489" t="n"/>
      <c r="F145" s="490">
        <f>IF(OR(A145="",E145=""),"",IF(C145="","",C145+E145))</f>
        <v/>
      </c>
      <c r="G145" s="380" t="inlineStr">
        <is>
          <t>Agent 05</t>
        </is>
      </c>
      <c r="H145" s="491" t="n"/>
      <c r="I145" s="492">
        <f>IF(A145="","Pending",IF(H145="","⚠️ Enter Code",IF(IFERROR(VLOOKUP(G145,DB_Agents!$B:$I,8,0),"")=H145,IF(AND(A145&lt;&gt;"",E145&lt;&gt;""),"Saved","Pending"),"🔒 BLOCKED — Wrong Code")))</f>
        <v/>
      </c>
      <c r="J145" s="493">
        <f>IF(I145="Saved",TEXT(TODAY(),"YYYY-MM-DD")&amp;" Auto","—")</f>
        <v/>
      </c>
      <c r="K145" s="494" t="n"/>
    </row>
    <row r="146" ht="15" customHeight="1" s="341">
      <c r="A146" s="495" t="n"/>
      <c r="B146" s="382">
        <f>IF(A146="","",IFERROR(VLOOKUP(A146,DB_Customers!$A:$D,4,0),"❌ Account Not Found"))</f>
        <v/>
      </c>
      <c r="C146" s="496">
        <f>IF(A146="","",IFERROR(VLOOKUP(A146,DB_Customers!$A:$N,14,0),""))</f>
        <v/>
      </c>
      <c r="D146" s="497">
        <f>IF(A146="","",TODAY())</f>
        <v/>
      </c>
      <c r="E146" s="489" t="n"/>
      <c r="F146" s="498">
        <f>IF(OR(A146="",E146=""),"",IF(C146="","",C146+E146))</f>
        <v/>
      </c>
      <c r="G146" s="384" t="inlineStr">
        <is>
          <t>Agent 05</t>
        </is>
      </c>
      <c r="H146" s="491" t="n"/>
      <c r="I146" s="499">
        <f>IF(A146="","Pending",IF(H146="","⚠️ Enter Code",IF(IFERROR(VLOOKUP(G146,DB_Agents!$B:$I,8,0),"")=H146,IF(AND(A146&lt;&gt;"",E146&lt;&gt;""),"Saved","Pending"),"🔒 BLOCKED — Wrong Code")))</f>
        <v/>
      </c>
      <c r="J146" s="500">
        <f>IF(I146="Saved",TEXT(TODAY(),"YYYY-MM-DD")&amp;" Auto","—")</f>
        <v/>
      </c>
      <c r="K146" s="501" t="n"/>
    </row>
    <row r="147" ht="15" customHeight="1" s="341">
      <c r="A147" s="486" t="n"/>
      <c r="B147" s="378">
        <f>IF(A147="","",IFERROR(VLOOKUP(A147,DB_Customers!$A:$D,4,0),"❌ Account Not Found"))</f>
        <v/>
      </c>
      <c r="C147" s="487">
        <f>IF(A147="","",IFERROR(VLOOKUP(A147,DB_Customers!$A:$N,14,0),""))</f>
        <v/>
      </c>
      <c r="D147" s="488">
        <f>IF(A147="","",TODAY())</f>
        <v/>
      </c>
      <c r="E147" s="489" t="n"/>
      <c r="F147" s="490">
        <f>IF(OR(A147="",E147=""),"",IF(C147="","",C147+E147))</f>
        <v/>
      </c>
      <c r="G147" s="380" t="inlineStr">
        <is>
          <t>Agent 05</t>
        </is>
      </c>
      <c r="H147" s="491" t="n"/>
      <c r="I147" s="492">
        <f>IF(A147="","Pending",IF(H147="","⚠️ Enter Code",IF(IFERROR(VLOOKUP(G147,DB_Agents!$B:$I,8,0),"")=H147,IF(AND(A147&lt;&gt;"",E147&lt;&gt;""),"Saved","Pending"),"🔒 BLOCKED — Wrong Code")))</f>
        <v/>
      </c>
      <c r="J147" s="493">
        <f>IF(I147="Saved",TEXT(TODAY(),"YYYY-MM-DD")&amp;" Auto","—")</f>
        <v/>
      </c>
      <c r="K147" s="494" t="n"/>
    </row>
    <row r="148" ht="15" customHeight="1" s="341">
      <c r="A148" s="495" t="n"/>
      <c r="B148" s="382">
        <f>IF(A148="","",IFERROR(VLOOKUP(A148,DB_Customers!$A:$D,4,0),"❌ Account Not Found"))</f>
        <v/>
      </c>
      <c r="C148" s="496">
        <f>IF(A148="","",IFERROR(VLOOKUP(A148,DB_Customers!$A:$N,14,0),""))</f>
        <v/>
      </c>
      <c r="D148" s="497">
        <f>IF(A148="","",TODAY())</f>
        <v/>
      </c>
      <c r="E148" s="489" t="n"/>
      <c r="F148" s="498">
        <f>IF(OR(A148="",E148=""),"",IF(C148="","",C148+E148))</f>
        <v/>
      </c>
      <c r="G148" s="384" t="inlineStr">
        <is>
          <t>Agent 05</t>
        </is>
      </c>
      <c r="H148" s="491" t="n"/>
      <c r="I148" s="499">
        <f>IF(A148="","Pending",IF(H148="","⚠️ Enter Code",IF(IFERROR(VLOOKUP(G148,DB_Agents!$B:$I,8,0),"")=H148,IF(AND(A148&lt;&gt;"",E148&lt;&gt;""),"Saved","Pending"),"🔒 BLOCKED — Wrong Code")))</f>
        <v/>
      </c>
      <c r="J148" s="500">
        <f>IF(I148="Saved",TEXT(TODAY(),"YYYY-MM-DD")&amp;" Auto","—")</f>
        <v/>
      </c>
      <c r="K148" s="501" t="n"/>
    </row>
    <row r="149" ht="15" customHeight="1" s="341">
      <c r="A149" s="486" t="n"/>
      <c r="B149" s="378">
        <f>IF(A149="","",IFERROR(VLOOKUP(A149,DB_Customers!$A:$D,4,0),"❌ Account Not Found"))</f>
        <v/>
      </c>
      <c r="C149" s="487">
        <f>IF(A149="","",IFERROR(VLOOKUP(A149,DB_Customers!$A:$N,14,0),""))</f>
        <v/>
      </c>
      <c r="D149" s="488">
        <f>IF(A149="","",TODAY())</f>
        <v/>
      </c>
      <c r="E149" s="489" t="n"/>
      <c r="F149" s="490">
        <f>IF(OR(A149="",E149=""),"",IF(C149="","",C149+E149))</f>
        <v/>
      </c>
      <c r="G149" s="380" t="inlineStr">
        <is>
          <t>Agent 05</t>
        </is>
      </c>
      <c r="H149" s="491" t="n"/>
      <c r="I149" s="492">
        <f>IF(A149="","Pending",IF(H149="","⚠️ Enter Code",IF(IFERROR(VLOOKUP(G149,DB_Agents!$B:$I,8,0),"")=H149,IF(AND(A149&lt;&gt;"",E149&lt;&gt;""),"Saved","Pending"),"🔒 BLOCKED — Wrong Code")))</f>
        <v/>
      </c>
      <c r="J149" s="493">
        <f>IF(I149="Saved",TEXT(TODAY(),"YYYY-MM-DD")&amp;" Auto","—")</f>
        <v/>
      </c>
      <c r="K149" s="494" t="n"/>
    </row>
    <row r="150" ht="15" customHeight="1" s="341">
      <c r="A150" s="495" t="n"/>
      <c r="B150" s="382">
        <f>IF(A150="","",IFERROR(VLOOKUP(A150,DB_Customers!$A:$D,4,0),"❌ Account Not Found"))</f>
        <v/>
      </c>
      <c r="C150" s="496">
        <f>IF(A150="","",IFERROR(VLOOKUP(A150,DB_Customers!$A:$N,14,0),""))</f>
        <v/>
      </c>
      <c r="D150" s="497">
        <f>IF(A150="","",TODAY())</f>
        <v/>
      </c>
      <c r="E150" s="489" t="n"/>
      <c r="F150" s="498">
        <f>IF(OR(A150="",E150=""),"",IF(C150="","",C150+E150))</f>
        <v/>
      </c>
      <c r="G150" s="384" t="inlineStr">
        <is>
          <t>Agent 05</t>
        </is>
      </c>
      <c r="H150" s="491" t="n"/>
      <c r="I150" s="499">
        <f>IF(A150="","Pending",IF(H150="","⚠️ Enter Code",IF(IFERROR(VLOOKUP(G150,DB_Agents!$B:$I,8,0),"")=H150,IF(AND(A150&lt;&gt;"",E150&lt;&gt;""),"Saved","Pending"),"🔒 BLOCKED — Wrong Code")))</f>
        <v/>
      </c>
      <c r="J150" s="500">
        <f>IF(I150="Saved",TEXT(TODAY(),"YYYY-MM-DD")&amp;" Auto","—")</f>
        <v/>
      </c>
      <c r="K150" s="501" t="n"/>
    </row>
    <row r="151" ht="15" customHeight="1" s="341">
      <c r="A151" s="486" t="n"/>
      <c r="B151" s="378">
        <f>IF(A151="","",IFERROR(VLOOKUP(A151,DB_Customers!$A:$D,4,0),"❌ Account Not Found"))</f>
        <v/>
      </c>
      <c r="C151" s="487">
        <f>IF(A151="","",IFERROR(VLOOKUP(A151,DB_Customers!$A:$N,14,0),""))</f>
        <v/>
      </c>
      <c r="D151" s="488">
        <f>IF(A151="","",TODAY())</f>
        <v/>
      </c>
      <c r="E151" s="489" t="n"/>
      <c r="F151" s="490">
        <f>IF(OR(A151="",E151=""),"",IF(C151="","",C151+E151))</f>
        <v/>
      </c>
      <c r="G151" s="380" t="inlineStr">
        <is>
          <t>Agent 05</t>
        </is>
      </c>
      <c r="H151" s="491" t="n"/>
      <c r="I151" s="492">
        <f>IF(A151="","Pending",IF(H151="","⚠️ Enter Code",IF(IFERROR(VLOOKUP(G151,DB_Agents!$B:$I,8,0),"")=H151,IF(AND(A151&lt;&gt;"",E151&lt;&gt;""),"Saved","Pending"),"🔒 BLOCKED — Wrong Code")))</f>
        <v/>
      </c>
      <c r="J151" s="493">
        <f>IF(I151="Saved",TEXT(TODAY(),"YYYY-MM-DD")&amp;" Auto","—")</f>
        <v/>
      </c>
      <c r="K151" s="494" t="n"/>
    </row>
    <row r="152" ht="15" customHeight="1" s="341">
      <c r="A152" s="495" t="n"/>
      <c r="B152" s="382">
        <f>IF(A152="","",IFERROR(VLOOKUP(A152,DB_Customers!$A:$D,4,0),"❌ Account Not Found"))</f>
        <v/>
      </c>
      <c r="C152" s="496">
        <f>IF(A152="","",IFERROR(VLOOKUP(A152,DB_Customers!$A:$N,14,0),""))</f>
        <v/>
      </c>
      <c r="D152" s="497">
        <f>IF(A152="","",TODAY())</f>
        <v/>
      </c>
      <c r="E152" s="489" t="n"/>
      <c r="F152" s="498">
        <f>IF(OR(A152="",E152=""),"",IF(C152="","",C152+E152))</f>
        <v/>
      </c>
      <c r="G152" s="384" t="inlineStr">
        <is>
          <t>Agent 05</t>
        </is>
      </c>
      <c r="H152" s="491" t="n"/>
      <c r="I152" s="499">
        <f>IF(A152="","Pending",IF(H152="","⚠️ Enter Code",IF(IFERROR(VLOOKUP(G152,DB_Agents!$B:$I,8,0),"")=H152,IF(AND(A152&lt;&gt;"",E152&lt;&gt;""),"Saved","Pending"),"🔒 BLOCKED — Wrong Code")))</f>
        <v/>
      </c>
      <c r="J152" s="500">
        <f>IF(I152="Saved",TEXT(TODAY(),"YYYY-MM-DD")&amp;" Auto","—")</f>
        <v/>
      </c>
      <c r="K152" s="501" t="n"/>
    </row>
    <row r="153" ht="15" customHeight="1" s="341">
      <c r="A153" s="486" t="n"/>
      <c r="B153" s="378">
        <f>IF(A153="","",IFERROR(VLOOKUP(A153,DB_Customers!$A:$D,4,0),"❌ Account Not Found"))</f>
        <v/>
      </c>
      <c r="C153" s="487">
        <f>IF(A153="","",IFERROR(VLOOKUP(A153,DB_Customers!$A:$N,14,0),""))</f>
        <v/>
      </c>
      <c r="D153" s="488">
        <f>IF(A153="","",TODAY())</f>
        <v/>
      </c>
      <c r="E153" s="489" t="n"/>
      <c r="F153" s="490">
        <f>IF(OR(A153="",E153=""),"",IF(C153="","",C153+E153))</f>
        <v/>
      </c>
      <c r="G153" s="380" t="inlineStr">
        <is>
          <t>Agent 05</t>
        </is>
      </c>
      <c r="H153" s="491" t="n"/>
      <c r="I153" s="492">
        <f>IF(A153="","Pending",IF(H153="","⚠️ Enter Code",IF(IFERROR(VLOOKUP(G153,DB_Agents!$B:$I,8,0),"")=H153,IF(AND(A153&lt;&gt;"",E153&lt;&gt;""),"Saved","Pending"),"🔒 BLOCKED — Wrong Code")))</f>
        <v/>
      </c>
      <c r="J153" s="493">
        <f>IF(I153="Saved",TEXT(TODAY(),"YYYY-MM-DD")&amp;" Auto","—")</f>
        <v/>
      </c>
      <c r="K153" s="494" t="n"/>
    </row>
    <row r="154" ht="15" customHeight="1" s="341">
      <c r="A154" s="495" t="n"/>
      <c r="B154" s="382">
        <f>IF(A154="","",IFERROR(VLOOKUP(A154,DB_Customers!$A:$D,4,0),"❌ Account Not Found"))</f>
        <v/>
      </c>
      <c r="C154" s="496">
        <f>IF(A154="","",IFERROR(VLOOKUP(A154,DB_Customers!$A:$N,14,0),""))</f>
        <v/>
      </c>
      <c r="D154" s="497">
        <f>IF(A154="","",TODAY())</f>
        <v/>
      </c>
      <c r="E154" s="489" t="n"/>
      <c r="F154" s="498">
        <f>IF(OR(A154="",E154=""),"",IF(C154="","",C154+E154))</f>
        <v/>
      </c>
      <c r="G154" s="384" t="inlineStr">
        <is>
          <t>Agent 05</t>
        </is>
      </c>
      <c r="H154" s="491" t="n"/>
      <c r="I154" s="499">
        <f>IF(A154="","Pending",IF(H154="","⚠️ Enter Code",IF(IFERROR(VLOOKUP(G154,DB_Agents!$B:$I,8,0),"")=H154,IF(AND(A154&lt;&gt;"",E154&lt;&gt;""),"Saved","Pending"),"🔒 BLOCKED — Wrong Code")))</f>
        <v/>
      </c>
      <c r="J154" s="500">
        <f>IF(I154="Saved",TEXT(TODAY(),"YYYY-MM-DD")&amp;" Auto","—")</f>
        <v/>
      </c>
      <c r="K154" s="501" t="n"/>
    </row>
    <row r="155" ht="15" customHeight="1" s="341">
      <c r="A155" s="486" t="n"/>
      <c r="B155" s="378">
        <f>IF(A155="","",IFERROR(VLOOKUP(A155,DB_Customers!$A:$D,4,0),"❌ Account Not Found"))</f>
        <v/>
      </c>
      <c r="C155" s="487">
        <f>IF(A155="","",IFERROR(VLOOKUP(A155,DB_Customers!$A:$N,14,0),""))</f>
        <v/>
      </c>
      <c r="D155" s="488">
        <f>IF(A155="","",TODAY())</f>
        <v/>
      </c>
      <c r="E155" s="489" t="n"/>
      <c r="F155" s="490">
        <f>IF(OR(A155="",E155=""),"",IF(C155="","",C155+E155))</f>
        <v/>
      </c>
      <c r="G155" s="380" t="inlineStr">
        <is>
          <t>Agent 05</t>
        </is>
      </c>
      <c r="H155" s="491" t="n"/>
      <c r="I155" s="492">
        <f>IF(A155="","Pending",IF(H155="","⚠️ Enter Code",IF(IFERROR(VLOOKUP(G155,DB_Agents!$B:$I,8,0),"")=H155,IF(AND(A155&lt;&gt;"",E155&lt;&gt;""),"Saved","Pending"),"🔒 BLOCKED — Wrong Code")))</f>
        <v/>
      </c>
      <c r="J155" s="493">
        <f>IF(I155="Saved",TEXT(TODAY(),"YYYY-MM-DD")&amp;" Auto","—")</f>
        <v/>
      </c>
      <c r="K155" s="494" t="n"/>
    </row>
    <row r="156" ht="15" customHeight="1" s="341">
      <c r="A156" s="495" t="n"/>
      <c r="B156" s="382">
        <f>IF(A156="","",IFERROR(VLOOKUP(A156,DB_Customers!$A:$D,4,0),"❌ Account Not Found"))</f>
        <v/>
      </c>
      <c r="C156" s="496">
        <f>IF(A156="","",IFERROR(VLOOKUP(A156,DB_Customers!$A:$N,14,0),""))</f>
        <v/>
      </c>
      <c r="D156" s="497">
        <f>IF(A156="","",TODAY())</f>
        <v/>
      </c>
      <c r="E156" s="489" t="n"/>
      <c r="F156" s="498">
        <f>IF(OR(A156="",E156=""),"",IF(C156="","",C156+E156))</f>
        <v/>
      </c>
      <c r="G156" s="384" t="inlineStr">
        <is>
          <t>Agent 05</t>
        </is>
      </c>
      <c r="H156" s="491" t="n"/>
      <c r="I156" s="499">
        <f>IF(A156="","Pending",IF(H156="","⚠️ Enter Code",IF(IFERROR(VLOOKUP(G156,DB_Agents!$B:$I,8,0),"")=H156,IF(AND(A156&lt;&gt;"",E156&lt;&gt;""),"Saved","Pending"),"🔒 BLOCKED — Wrong Code")))</f>
        <v/>
      </c>
      <c r="J156" s="500">
        <f>IF(I156="Saved",TEXT(TODAY(),"YYYY-MM-DD")&amp;" Auto","—")</f>
        <v/>
      </c>
      <c r="K156" s="501" t="n"/>
    </row>
    <row r="157" ht="15" customHeight="1" s="341">
      <c r="A157" s="486" t="n"/>
      <c r="B157" s="378">
        <f>IF(A157="","",IFERROR(VLOOKUP(A157,DB_Customers!$A:$D,4,0),"❌ Account Not Found"))</f>
        <v/>
      </c>
      <c r="C157" s="487">
        <f>IF(A157="","",IFERROR(VLOOKUP(A157,DB_Customers!$A:$N,14,0),""))</f>
        <v/>
      </c>
      <c r="D157" s="488">
        <f>IF(A157="","",TODAY())</f>
        <v/>
      </c>
      <c r="E157" s="489" t="n"/>
      <c r="F157" s="490">
        <f>IF(OR(A157="",E157=""),"",IF(C157="","",C157+E157))</f>
        <v/>
      </c>
      <c r="G157" s="380" t="inlineStr">
        <is>
          <t>Agent 05</t>
        </is>
      </c>
      <c r="H157" s="491" t="n"/>
      <c r="I157" s="492">
        <f>IF(A157="","Pending",IF(H157="","⚠️ Enter Code",IF(IFERROR(VLOOKUP(G157,DB_Agents!$B:$I,8,0),"")=H157,IF(AND(A157&lt;&gt;"",E157&lt;&gt;""),"Saved","Pending"),"🔒 BLOCKED — Wrong Code")))</f>
        <v/>
      </c>
      <c r="J157" s="493">
        <f>IF(I157="Saved",TEXT(TODAY(),"YYYY-MM-DD")&amp;" Auto","—")</f>
        <v/>
      </c>
      <c r="K157" s="494" t="n"/>
    </row>
    <row r="158" ht="15" customHeight="1" s="341">
      <c r="A158" s="495" t="n"/>
      <c r="B158" s="382">
        <f>IF(A158="","",IFERROR(VLOOKUP(A158,DB_Customers!$A:$D,4,0),"❌ Account Not Found"))</f>
        <v/>
      </c>
      <c r="C158" s="496">
        <f>IF(A158="","",IFERROR(VLOOKUP(A158,DB_Customers!$A:$N,14,0),""))</f>
        <v/>
      </c>
      <c r="D158" s="497">
        <f>IF(A158="","",TODAY())</f>
        <v/>
      </c>
      <c r="E158" s="489" t="n"/>
      <c r="F158" s="498">
        <f>IF(OR(A158="",E158=""),"",IF(C158="","",C158+E158))</f>
        <v/>
      </c>
      <c r="G158" s="384" t="inlineStr">
        <is>
          <t>Agent 05</t>
        </is>
      </c>
      <c r="H158" s="491" t="n"/>
      <c r="I158" s="499">
        <f>IF(A158="","Pending",IF(H158="","⚠️ Enter Code",IF(IFERROR(VLOOKUP(G158,DB_Agents!$B:$I,8,0),"")=H158,IF(AND(A158&lt;&gt;"",E158&lt;&gt;""),"Saved","Pending"),"🔒 BLOCKED — Wrong Code")))</f>
        <v/>
      </c>
      <c r="J158" s="500">
        <f>IF(I158="Saved",TEXT(TODAY(),"YYYY-MM-DD")&amp;" Auto","—")</f>
        <v/>
      </c>
      <c r="K158" s="501" t="n"/>
    </row>
    <row r="159" ht="15" customHeight="1" s="341">
      <c r="A159" s="486" t="n"/>
      <c r="B159" s="378">
        <f>IF(A159="","",IFERROR(VLOOKUP(A159,DB_Customers!$A:$D,4,0),"❌ Account Not Found"))</f>
        <v/>
      </c>
      <c r="C159" s="487">
        <f>IF(A159="","",IFERROR(VLOOKUP(A159,DB_Customers!$A:$N,14,0),""))</f>
        <v/>
      </c>
      <c r="D159" s="488">
        <f>IF(A159="","",TODAY())</f>
        <v/>
      </c>
      <c r="E159" s="489" t="n"/>
      <c r="F159" s="490">
        <f>IF(OR(A159="",E159=""),"",IF(C159="","",C159+E159))</f>
        <v/>
      </c>
      <c r="G159" s="380" t="inlineStr">
        <is>
          <t>Agent 05</t>
        </is>
      </c>
      <c r="H159" s="491" t="n"/>
      <c r="I159" s="492">
        <f>IF(A159="","Pending",IF(H159="","⚠️ Enter Code",IF(IFERROR(VLOOKUP(G159,DB_Agents!$B:$I,8,0),"")=H159,IF(AND(A159&lt;&gt;"",E159&lt;&gt;""),"Saved","Pending"),"🔒 BLOCKED — Wrong Code")))</f>
        <v/>
      </c>
      <c r="J159" s="493">
        <f>IF(I159="Saved",TEXT(TODAY(),"YYYY-MM-DD")&amp;" Auto","—")</f>
        <v/>
      </c>
      <c r="K159" s="494" t="n"/>
    </row>
    <row r="160" ht="15" customHeight="1" s="341">
      <c r="A160" s="495" t="n"/>
      <c r="B160" s="382">
        <f>IF(A160="","",IFERROR(VLOOKUP(A160,DB_Customers!$A:$D,4,0),"❌ Account Not Found"))</f>
        <v/>
      </c>
      <c r="C160" s="496">
        <f>IF(A160="","",IFERROR(VLOOKUP(A160,DB_Customers!$A:$N,14,0),""))</f>
        <v/>
      </c>
      <c r="D160" s="497">
        <f>IF(A160="","",TODAY())</f>
        <v/>
      </c>
      <c r="E160" s="489" t="n"/>
      <c r="F160" s="498">
        <f>IF(OR(A160="",E160=""),"",IF(C160="","",C160+E160))</f>
        <v/>
      </c>
      <c r="G160" s="384" t="inlineStr">
        <is>
          <t>Agent 05</t>
        </is>
      </c>
      <c r="H160" s="491" t="n"/>
      <c r="I160" s="499">
        <f>IF(A160="","Pending",IF(H160="","⚠️ Enter Code",IF(IFERROR(VLOOKUP(G160,DB_Agents!$B:$I,8,0),"")=H160,IF(AND(A160&lt;&gt;"",E160&lt;&gt;""),"Saved","Pending"),"🔒 BLOCKED — Wrong Code")))</f>
        <v/>
      </c>
      <c r="J160" s="500">
        <f>IF(I160="Saved",TEXT(TODAY(),"YYYY-MM-DD")&amp;" Auto","—")</f>
        <v/>
      </c>
      <c r="K160" s="501" t="n"/>
    </row>
    <row r="161" ht="15" customHeight="1" s="341">
      <c r="A161" s="486" t="n"/>
      <c r="B161" s="378">
        <f>IF(A161="","",IFERROR(VLOOKUP(A161,DB_Customers!$A:$D,4,0),"❌ Account Not Found"))</f>
        <v/>
      </c>
      <c r="C161" s="487">
        <f>IF(A161="","",IFERROR(VLOOKUP(A161,DB_Customers!$A:$N,14,0),""))</f>
        <v/>
      </c>
      <c r="D161" s="488">
        <f>IF(A161="","",TODAY())</f>
        <v/>
      </c>
      <c r="E161" s="489" t="n"/>
      <c r="F161" s="490">
        <f>IF(OR(A161="",E161=""),"",IF(C161="","",C161+E161))</f>
        <v/>
      </c>
      <c r="G161" s="380" t="inlineStr">
        <is>
          <t>Agent 05</t>
        </is>
      </c>
      <c r="H161" s="491" t="n"/>
      <c r="I161" s="492">
        <f>IF(A161="","Pending",IF(H161="","⚠️ Enter Code",IF(IFERROR(VLOOKUP(G161,DB_Agents!$B:$I,8,0),"")=H161,IF(AND(A161&lt;&gt;"",E161&lt;&gt;""),"Saved","Pending"),"🔒 BLOCKED — Wrong Code")))</f>
        <v/>
      </c>
      <c r="J161" s="493">
        <f>IF(I161="Saved",TEXT(TODAY(),"YYYY-MM-DD")&amp;" Auto","—")</f>
        <v/>
      </c>
      <c r="K161" s="494" t="n"/>
    </row>
    <row r="162" ht="15" customHeight="1" s="341">
      <c r="A162" s="495" t="n"/>
      <c r="B162" s="382">
        <f>IF(A162="","",IFERROR(VLOOKUP(A162,DB_Customers!$A:$D,4,0),"❌ Account Not Found"))</f>
        <v/>
      </c>
      <c r="C162" s="496">
        <f>IF(A162="","",IFERROR(VLOOKUP(A162,DB_Customers!$A:$N,14,0),""))</f>
        <v/>
      </c>
      <c r="D162" s="497">
        <f>IF(A162="","",TODAY())</f>
        <v/>
      </c>
      <c r="E162" s="489" t="n"/>
      <c r="F162" s="498">
        <f>IF(OR(A162="",E162=""),"",IF(C162="","",C162+E162))</f>
        <v/>
      </c>
      <c r="G162" s="384" t="inlineStr">
        <is>
          <t>Agent 05</t>
        </is>
      </c>
      <c r="H162" s="491" t="n"/>
      <c r="I162" s="499">
        <f>IF(A162="","Pending",IF(H162="","⚠️ Enter Code",IF(IFERROR(VLOOKUP(G162,DB_Agents!$B:$I,8,0),"")=H162,IF(AND(A162&lt;&gt;"",E162&lt;&gt;""),"Saved","Pending"),"🔒 BLOCKED — Wrong Code")))</f>
        <v/>
      </c>
      <c r="J162" s="500">
        <f>IF(I162="Saved",TEXT(TODAY(),"YYYY-MM-DD")&amp;" Auto","—")</f>
        <v/>
      </c>
      <c r="K162" s="501" t="n"/>
    </row>
    <row r="163" ht="15" customHeight="1" s="341">
      <c r="A163" s="486" t="n"/>
      <c r="B163" s="378">
        <f>IF(A163="","",IFERROR(VLOOKUP(A163,DB_Customers!$A:$D,4,0),"❌ Account Not Found"))</f>
        <v/>
      </c>
      <c r="C163" s="487">
        <f>IF(A163="","",IFERROR(VLOOKUP(A163,DB_Customers!$A:$N,14,0),""))</f>
        <v/>
      </c>
      <c r="D163" s="488">
        <f>IF(A163="","",TODAY())</f>
        <v/>
      </c>
      <c r="E163" s="489" t="n"/>
      <c r="F163" s="490">
        <f>IF(OR(A163="",E163=""),"",IF(C163="","",C163+E163))</f>
        <v/>
      </c>
      <c r="G163" s="380" t="inlineStr">
        <is>
          <t>Agent 05</t>
        </is>
      </c>
      <c r="H163" s="491" t="n"/>
      <c r="I163" s="492">
        <f>IF(A163="","Pending",IF(H163="","⚠️ Enter Code",IF(IFERROR(VLOOKUP(G163,DB_Agents!$B:$I,8,0),"")=H163,IF(AND(A163&lt;&gt;"",E163&lt;&gt;""),"Saved","Pending"),"🔒 BLOCKED — Wrong Code")))</f>
        <v/>
      </c>
      <c r="J163" s="493">
        <f>IF(I163="Saved",TEXT(TODAY(),"YYYY-MM-DD")&amp;" Auto","—")</f>
        <v/>
      </c>
      <c r="K163" s="494" t="n"/>
    </row>
    <row r="164" ht="15" customHeight="1" s="341">
      <c r="A164" s="495" t="n"/>
      <c r="B164" s="382">
        <f>IF(A164="","",IFERROR(VLOOKUP(A164,DB_Customers!$A:$D,4,0),"❌ Account Not Found"))</f>
        <v/>
      </c>
      <c r="C164" s="496">
        <f>IF(A164="","",IFERROR(VLOOKUP(A164,DB_Customers!$A:$N,14,0),""))</f>
        <v/>
      </c>
      <c r="D164" s="497">
        <f>IF(A164="","",TODAY())</f>
        <v/>
      </c>
      <c r="E164" s="489" t="n"/>
      <c r="F164" s="498">
        <f>IF(OR(A164="",E164=""),"",IF(C164="","",C164+E164))</f>
        <v/>
      </c>
      <c r="G164" s="384" t="inlineStr">
        <is>
          <t>Agent 05</t>
        </is>
      </c>
      <c r="H164" s="491" t="n"/>
      <c r="I164" s="499">
        <f>IF(A164="","Pending",IF(H164="","⚠️ Enter Code",IF(IFERROR(VLOOKUP(G164,DB_Agents!$B:$I,8,0),"")=H164,IF(AND(A164&lt;&gt;"",E164&lt;&gt;""),"Saved","Pending"),"🔒 BLOCKED — Wrong Code")))</f>
        <v/>
      </c>
      <c r="J164" s="500">
        <f>IF(I164="Saved",TEXT(TODAY(),"YYYY-MM-DD")&amp;" Auto","—")</f>
        <v/>
      </c>
      <c r="K164" s="501" t="n"/>
    </row>
    <row r="165" ht="15" customHeight="1" s="341">
      <c r="A165" s="486" t="n"/>
      <c r="B165" s="378">
        <f>IF(A165="","",IFERROR(VLOOKUP(A165,DB_Customers!$A:$D,4,0),"❌ Account Not Found"))</f>
        <v/>
      </c>
      <c r="C165" s="487">
        <f>IF(A165="","",IFERROR(VLOOKUP(A165,DB_Customers!$A:$N,14,0),""))</f>
        <v/>
      </c>
      <c r="D165" s="488">
        <f>IF(A165="","",TODAY())</f>
        <v/>
      </c>
      <c r="E165" s="489" t="n"/>
      <c r="F165" s="490">
        <f>IF(OR(A165="",E165=""),"",IF(C165="","",C165+E165))</f>
        <v/>
      </c>
      <c r="G165" s="380" t="inlineStr">
        <is>
          <t>Agent 05</t>
        </is>
      </c>
      <c r="H165" s="491" t="n"/>
      <c r="I165" s="492">
        <f>IF(A165="","Pending",IF(H165="","⚠️ Enter Code",IF(IFERROR(VLOOKUP(G165,DB_Agents!$B:$I,8,0),"")=H165,IF(AND(A165&lt;&gt;"",E165&lt;&gt;""),"Saved","Pending"),"🔒 BLOCKED — Wrong Code")))</f>
        <v/>
      </c>
      <c r="J165" s="493">
        <f>IF(I165="Saved",TEXT(TODAY(),"YYYY-MM-DD")&amp;" Auto","—")</f>
        <v/>
      </c>
      <c r="K165" s="494" t="n"/>
    </row>
    <row r="166" ht="15" customHeight="1" s="341">
      <c r="A166" s="495" t="n"/>
      <c r="B166" s="382">
        <f>IF(A166="","",IFERROR(VLOOKUP(A166,DB_Customers!$A:$D,4,0),"❌ Account Not Found"))</f>
        <v/>
      </c>
      <c r="C166" s="496">
        <f>IF(A166="","",IFERROR(VLOOKUP(A166,DB_Customers!$A:$N,14,0),""))</f>
        <v/>
      </c>
      <c r="D166" s="497">
        <f>IF(A166="","",TODAY())</f>
        <v/>
      </c>
      <c r="E166" s="489" t="n"/>
      <c r="F166" s="498">
        <f>IF(OR(A166="",E166=""),"",IF(C166="","",C166+E166))</f>
        <v/>
      </c>
      <c r="G166" s="384" t="inlineStr">
        <is>
          <t>Agent 05</t>
        </is>
      </c>
      <c r="H166" s="491" t="n"/>
      <c r="I166" s="499">
        <f>IF(A166="","Pending",IF(H166="","⚠️ Enter Code",IF(IFERROR(VLOOKUP(G166,DB_Agents!$B:$I,8,0),"")=H166,IF(AND(A166&lt;&gt;"",E166&lt;&gt;""),"Saved","Pending"),"🔒 BLOCKED — Wrong Code")))</f>
        <v/>
      </c>
      <c r="J166" s="500">
        <f>IF(I166="Saved",TEXT(TODAY(),"YYYY-MM-DD")&amp;" Auto","—")</f>
        <v/>
      </c>
      <c r="K166" s="501" t="n"/>
    </row>
    <row r="167" ht="15" customHeight="1" s="341">
      <c r="A167" s="486" t="n"/>
      <c r="B167" s="378">
        <f>IF(A167="","",IFERROR(VLOOKUP(A167,DB_Customers!$A:$D,4,0),"❌ Account Not Found"))</f>
        <v/>
      </c>
      <c r="C167" s="487">
        <f>IF(A167="","",IFERROR(VLOOKUP(A167,DB_Customers!$A:$N,14,0),""))</f>
        <v/>
      </c>
      <c r="D167" s="488">
        <f>IF(A167="","",TODAY())</f>
        <v/>
      </c>
      <c r="E167" s="489" t="n"/>
      <c r="F167" s="490">
        <f>IF(OR(A167="",E167=""),"",IF(C167="","",C167+E167))</f>
        <v/>
      </c>
      <c r="G167" s="380" t="inlineStr">
        <is>
          <t>Agent 05</t>
        </is>
      </c>
      <c r="H167" s="491" t="n"/>
      <c r="I167" s="492">
        <f>IF(A167="","Pending",IF(H167="","⚠️ Enter Code",IF(IFERROR(VLOOKUP(G167,DB_Agents!$B:$I,8,0),"")=H167,IF(AND(A167&lt;&gt;"",E167&lt;&gt;""),"Saved","Pending"),"🔒 BLOCKED — Wrong Code")))</f>
        <v/>
      </c>
      <c r="J167" s="493">
        <f>IF(I167="Saved",TEXT(TODAY(),"YYYY-MM-DD")&amp;" Auto","—")</f>
        <v/>
      </c>
      <c r="K167" s="494" t="n"/>
    </row>
    <row r="168" ht="15" customHeight="1" s="341">
      <c r="A168" s="495" t="n"/>
      <c r="B168" s="382">
        <f>IF(A168="","",IFERROR(VLOOKUP(A168,DB_Customers!$A:$D,4,0),"❌ Account Not Found"))</f>
        <v/>
      </c>
      <c r="C168" s="496">
        <f>IF(A168="","",IFERROR(VLOOKUP(A168,DB_Customers!$A:$N,14,0),""))</f>
        <v/>
      </c>
      <c r="D168" s="497">
        <f>IF(A168="","",TODAY())</f>
        <v/>
      </c>
      <c r="E168" s="489" t="n"/>
      <c r="F168" s="498">
        <f>IF(OR(A168="",E168=""),"",IF(C168="","",C168+E168))</f>
        <v/>
      </c>
      <c r="G168" s="384" t="inlineStr">
        <is>
          <t>Agent 05</t>
        </is>
      </c>
      <c r="H168" s="491" t="n"/>
      <c r="I168" s="499">
        <f>IF(A168="","Pending",IF(H168="","⚠️ Enter Code",IF(IFERROR(VLOOKUP(G168,DB_Agents!$B:$I,8,0),"")=H168,IF(AND(A168&lt;&gt;"",E168&lt;&gt;""),"Saved","Pending"),"🔒 BLOCKED — Wrong Code")))</f>
        <v/>
      </c>
      <c r="J168" s="500">
        <f>IF(I168="Saved",TEXT(TODAY(),"YYYY-MM-DD")&amp;" Auto","—")</f>
        <v/>
      </c>
      <c r="K168" s="501" t="n"/>
    </row>
    <row r="169" ht="15" customHeight="1" s="341">
      <c r="A169" s="486" t="n"/>
      <c r="B169" s="378">
        <f>IF(A169="","",IFERROR(VLOOKUP(A169,DB_Customers!$A:$D,4,0),"❌ Account Not Found"))</f>
        <v/>
      </c>
      <c r="C169" s="487">
        <f>IF(A169="","",IFERROR(VLOOKUP(A169,DB_Customers!$A:$N,14,0),""))</f>
        <v/>
      </c>
      <c r="D169" s="488">
        <f>IF(A169="","",TODAY())</f>
        <v/>
      </c>
      <c r="E169" s="489" t="n"/>
      <c r="F169" s="490">
        <f>IF(OR(A169="",E169=""),"",IF(C169="","",C169+E169))</f>
        <v/>
      </c>
      <c r="G169" s="380" t="inlineStr">
        <is>
          <t>Agent 05</t>
        </is>
      </c>
      <c r="H169" s="491" t="n"/>
      <c r="I169" s="492">
        <f>IF(A169="","Pending",IF(H169="","⚠️ Enter Code",IF(IFERROR(VLOOKUP(G169,DB_Agents!$B:$I,8,0),"")=H169,IF(AND(A169&lt;&gt;"",E169&lt;&gt;""),"Saved","Pending"),"🔒 BLOCKED — Wrong Code")))</f>
        <v/>
      </c>
      <c r="J169" s="493">
        <f>IF(I169="Saved",TEXT(TODAY(),"YYYY-MM-DD")&amp;" Auto","—")</f>
        <v/>
      </c>
      <c r="K169" s="494" t="n"/>
    </row>
    <row r="170" ht="15" customHeight="1" s="341">
      <c r="A170" s="495" t="n"/>
      <c r="B170" s="382">
        <f>IF(A170="","",IFERROR(VLOOKUP(A170,DB_Customers!$A:$D,4,0),"❌ Account Not Found"))</f>
        <v/>
      </c>
      <c r="C170" s="496">
        <f>IF(A170="","",IFERROR(VLOOKUP(A170,DB_Customers!$A:$N,14,0),""))</f>
        <v/>
      </c>
      <c r="D170" s="497">
        <f>IF(A170="","",TODAY())</f>
        <v/>
      </c>
      <c r="E170" s="489" t="n"/>
      <c r="F170" s="498">
        <f>IF(OR(A170="",E170=""),"",IF(C170="","",C170+E170))</f>
        <v/>
      </c>
      <c r="G170" s="384" t="inlineStr">
        <is>
          <t>Agent 05</t>
        </is>
      </c>
      <c r="H170" s="491" t="n"/>
      <c r="I170" s="499">
        <f>IF(A170="","Pending",IF(H170="","⚠️ Enter Code",IF(IFERROR(VLOOKUP(G170,DB_Agents!$B:$I,8,0),"")=H170,IF(AND(A170&lt;&gt;"",E170&lt;&gt;""),"Saved","Pending"),"🔒 BLOCKED — Wrong Code")))</f>
        <v/>
      </c>
      <c r="J170" s="500">
        <f>IF(I170="Saved",TEXT(TODAY(),"YYYY-MM-DD")&amp;" Auto","—")</f>
        <v/>
      </c>
      <c r="K170" s="501" t="n"/>
    </row>
    <row r="171" ht="15" customHeight="1" s="341">
      <c r="A171" s="486" t="n"/>
      <c r="B171" s="378">
        <f>IF(A171="","",IFERROR(VLOOKUP(A171,DB_Customers!$A:$D,4,0),"❌ Account Not Found"))</f>
        <v/>
      </c>
      <c r="C171" s="487">
        <f>IF(A171="","",IFERROR(VLOOKUP(A171,DB_Customers!$A:$N,14,0),""))</f>
        <v/>
      </c>
      <c r="D171" s="488">
        <f>IF(A171="","",TODAY())</f>
        <v/>
      </c>
      <c r="E171" s="489" t="n"/>
      <c r="F171" s="490">
        <f>IF(OR(A171="",E171=""),"",IF(C171="","",C171+E171))</f>
        <v/>
      </c>
      <c r="G171" s="380" t="inlineStr">
        <is>
          <t>Agent 05</t>
        </is>
      </c>
      <c r="H171" s="491" t="n"/>
      <c r="I171" s="492">
        <f>IF(A171="","Pending",IF(H171="","⚠️ Enter Code",IF(IFERROR(VLOOKUP(G171,DB_Agents!$B:$I,8,0),"")=H171,IF(AND(A171&lt;&gt;"",E171&lt;&gt;""),"Saved","Pending"),"🔒 BLOCKED — Wrong Code")))</f>
        <v/>
      </c>
      <c r="J171" s="493">
        <f>IF(I171="Saved",TEXT(TODAY(),"YYYY-MM-DD")&amp;" Auto","—")</f>
        <v/>
      </c>
      <c r="K171" s="494" t="n"/>
    </row>
    <row r="172" ht="15" customHeight="1" s="341">
      <c r="A172" s="495" t="n"/>
      <c r="B172" s="382">
        <f>IF(A172="","",IFERROR(VLOOKUP(A172,DB_Customers!$A:$D,4,0),"❌ Account Not Found"))</f>
        <v/>
      </c>
      <c r="C172" s="496">
        <f>IF(A172="","",IFERROR(VLOOKUP(A172,DB_Customers!$A:$N,14,0),""))</f>
        <v/>
      </c>
      <c r="D172" s="497">
        <f>IF(A172="","",TODAY())</f>
        <v/>
      </c>
      <c r="E172" s="489" t="n"/>
      <c r="F172" s="498">
        <f>IF(OR(A172="",E172=""),"",IF(C172="","",C172+E172))</f>
        <v/>
      </c>
      <c r="G172" s="384" t="inlineStr">
        <is>
          <t>Agent 05</t>
        </is>
      </c>
      <c r="H172" s="491" t="n"/>
      <c r="I172" s="499">
        <f>IF(A172="","Pending",IF(H172="","⚠️ Enter Code",IF(IFERROR(VLOOKUP(G172,DB_Agents!$B:$I,8,0),"")=H172,IF(AND(A172&lt;&gt;"",E172&lt;&gt;""),"Saved","Pending"),"🔒 BLOCKED — Wrong Code")))</f>
        <v/>
      </c>
      <c r="J172" s="500">
        <f>IF(I172="Saved",TEXT(TODAY(),"YYYY-MM-DD")&amp;" Auto","—")</f>
        <v/>
      </c>
      <c r="K172" s="501" t="n"/>
    </row>
    <row r="173" ht="15" customHeight="1" s="341">
      <c r="A173" s="486" t="n"/>
      <c r="B173" s="378">
        <f>IF(A173="","",IFERROR(VLOOKUP(A173,DB_Customers!$A:$D,4,0),"❌ Account Not Found"))</f>
        <v/>
      </c>
      <c r="C173" s="487">
        <f>IF(A173="","",IFERROR(VLOOKUP(A173,DB_Customers!$A:$N,14,0),""))</f>
        <v/>
      </c>
      <c r="D173" s="488">
        <f>IF(A173="","",TODAY())</f>
        <v/>
      </c>
      <c r="E173" s="489" t="n"/>
      <c r="F173" s="490">
        <f>IF(OR(A173="",E173=""),"",IF(C173="","",C173+E173))</f>
        <v/>
      </c>
      <c r="G173" s="380" t="inlineStr">
        <is>
          <t>Agent 05</t>
        </is>
      </c>
      <c r="H173" s="491" t="n"/>
      <c r="I173" s="492">
        <f>IF(A173="","Pending",IF(H173="","⚠️ Enter Code",IF(IFERROR(VLOOKUP(G173,DB_Agents!$B:$I,8,0),"")=H173,IF(AND(A173&lt;&gt;"",E173&lt;&gt;""),"Saved","Pending"),"🔒 BLOCKED — Wrong Code")))</f>
        <v/>
      </c>
      <c r="J173" s="493">
        <f>IF(I173="Saved",TEXT(TODAY(),"YYYY-MM-DD")&amp;" Auto","—")</f>
        <v/>
      </c>
      <c r="K173" s="494" t="n"/>
    </row>
    <row r="174" ht="15" customHeight="1" s="341">
      <c r="A174" s="495" t="n"/>
      <c r="B174" s="382">
        <f>IF(A174="","",IFERROR(VLOOKUP(A174,DB_Customers!$A:$D,4,0),"❌ Account Not Found"))</f>
        <v/>
      </c>
      <c r="C174" s="496">
        <f>IF(A174="","",IFERROR(VLOOKUP(A174,DB_Customers!$A:$N,14,0),""))</f>
        <v/>
      </c>
      <c r="D174" s="497">
        <f>IF(A174="","",TODAY())</f>
        <v/>
      </c>
      <c r="E174" s="489" t="n"/>
      <c r="F174" s="498">
        <f>IF(OR(A174="",E174=""),"",IF(C174="","",C174+E174))</f>
        <v/>
      </c>
      <c r="G174" s="384" t="inlineStr">
        <is>
          <t>Agent 05</t>
        </is>
      </c>
      <c r="H174" s="491" t="n"/>
      <c r="I174" s="499">
        <f>IF(A174="","Pending",IF(H174="","⚠️ Enter Code",IF(IFERROR(VLOOKUP(G174,DB_Agents!$B:$I,8,0),"")=H174,IF(AND(A174&lt;&gt;"",E174&lt;&gt;""),"Saved","Pending"),"🔒 BLOCKED — Wrong Code")))</f>
        <v/>
      </c>
      <c r="J174" s="500">
        <f>IF(I174="Saved",TEXT(TODAY(),"YYYY-MM-DD")&amp;" Auto","—")</f>
        <v/>
      </c>
      <c r="K174" s="501" t="n"/>
    </row>
    <row r="175" ht="15" customHeight="1" s="341">
      <c r="A175" s="486" t="n"/>
      <c r="B175" s="378">
        <f>IF(A175="","",IFERROR(VLOOKUP(A175,DB_Customers!$A:$D,4,0),"❌ Account Not Found"))</f>
        <v/>
      </c>
      <c r="C175" s="487">
        <f>IF(A175="","",IFERROR(VLOOKUP(A175,DB_Customers!$A:$N,14,0),""))</f>
        <v/>
      </c>
      <c r="D175" s="488">
        <f>IF(A175="","",TODAY())</f>
        <v/>
      </c>
      <c r="E175" s="489" t="n"/>
      <c r="F175" s="490">
        <f>IF(OR(A175="",E175=""),"",IF(C175="","",C175+E175))</f>
        <v/>
      </c>
      <c r="G175" s="380" t="inlineStr">
        <is>
          <t>Agent 05</t>
        </is>
      </c>
      <c r="H175" s="491" t="n"/>
      <c r="I175" s="492">
        <f>IF(A175="","Pending",IF(H175="","⚠️ Enter Code",IF(IFERROR(VLOOKUP(G175,DB_Agents!$B:$I,8,0),"")=H175,IF(AND(A175&lt;&gt;"",E175&lt;&gt;""),"Saved","Pending"),"🔒 BLOCKED — Wrong Code")))</f>
        <v/>
      </c>
      <c r="J175" s="493">
        <f>IF(I175="Saved",TEXT(TODAY(),"YYYY-MM-DD")&amp;" Auto","—")</f>
        <v/>
      </c>
      <c r="K175" s="494" t="n"/>
    </row>
    <row r="176" ht="15" customHeight="1" s="341">
      <c r="A176" s="495" t="n"/>
      <c r="B176" s="382">
        <f>IF(A176="","",IFERROR(VLOOKUP(A176,DB_Customers!$A:$D,4,0),"❌ Account Not Found"))</f>
        <v/>
      </c>
      <c r="C176" s="496">
        <f>IF(A176="","",IFERROR(VLOOKUP(A176,DB_Customers!$A:$N,14,0),""))</f>
        <v/>
      </c>
      <c r="D176" s="497">
        <f>IF(A176="","",TODAY())</f>
        <v/>
      </c>
      <c r="E176" s="489" t="n"/>
      <c r="F176" s="498">
        <f>IF(OR(A176="",E176=""),"",IF(C176="","",C176+E176))</f>
        <v/>
      </c>
      <c r="G176" s="384" t="inlineStr">
        <is>
          <t>Agent 05</t>
        </is>
      </c>
      <c r="H176" s="491" t="n"/>
      <c r="I176" s="499">
        <f>IF(A176="","Pending",IF(H176="","⚠️ Enter Code",IF(IFERROR(VLOOKUP(G176,DB_Agents!$B:$I,8,0),"")=H176,IF(AND(A176&lt;&gt;"",E176&lt;&gt;""),"Saved","Pending"),"🔒 BLOCKED — Wrong Code")))</f>
        <v/>
      </c>
      <c r="J176" s="500">
        <f>IF(I176="Saved",TEXT(TODAY(),"YYYY-MM-DD")&amp;" Auto","—")</f>
        <v/>
      </c>
      <c r="K176" s="501" t="n"/>
    </row>
    <row r="177" ht="15" customHeight="1" s="341">
      <c r="A177" s="486" t="n"/>
      <c r="B177" s="378">
        <f>IF(A177="","",IFERROR(VLOOKUP(A177,DB_Customers!$A:$D,4,0),"❌ Account Not Found"))</f>
        <v/>
      </c>
      <c r="C177" s="487">
        <f>IF(A177="","",IFERROR(VLOOKUP(A177,DB_Customers!$A:$N,14,0),""))</f>
        <v/>
      </c>
      <c r="D177" s="488">
        <f>IF(A177="","",TODAY())</f>
        <v/>
      </c>
      <c r="E177" s="489" t="n"/>
      <c r="F177" s="490">
        <f>IF(OR(A177="",E177=""),"",IF(C177="","",C177+E177))</f>
        <v/>
      </c>
      <c r="G177" s="380" t="inlineStr">
        <is>
          <t>Agent 05</t>
        </is>
      </c>
      <c r="H177" s="491" t="n"/>
      <c r="I177" s="492">
        <f>IF(A177="","Pending",IF(H177="","⚠️ Enter Code",IF(IFERROR(VLOOKUP(G177,DB_Agents!$B:$I,8,0),"")=H177,IF(AND(A177&lt;&gt;"",E177&lt;&gt;""),"Saved","Pending"),"🔒 BLOCKED — Wrong Code")))</f>
        <v/>
      </c>
      <c r="J177" s="493">
        <f>IF(I177="Saved",TEXT(TODAY(),"YYYY-MM-DD")&amp;" Auto","—")</f>
        <v/>
      </c>
      <c r="K177" s="494" t="n"/>
    </row>
    <row r="178" ht="15" customHeight="1" s="341">
      <c r="A178" s="495" t="n"/>
      <c r="B178" s="382">
        <f>IF(A178="","",IFERROR(VLOOKUP(A178,DB_Customers!$A:$D,4,0),"❌ Account Not Found"))</f>
        <v/>
      </c>
      <c r="C178" s="496">
        <f>IF(A178="","",IFERROR(VLOOKUP(A178,DB_Customers!$A:$N,14,0),""))</f>
        <v/>
      </c>
      <c r="D178" s="497">
        <f>IF(A178="","",TODAY())</f>
        <v/>
      </c>
      <c r="E178" s="489" t="n"/>
      <c r="F178" s="498">
        <f>IF(OR(A178="",E178=""),"",IF(C178="","",C178+E178))</f>
        <v/>
      </c>
      <c r="G178" s="384" t="inlineStr">
        <is>
          <t>Agent 05</t>
        </is>
      </c>
      <c r="H178" s="491" t="n"/>
      <c r="I178" s="499">
        <f>IF(A178="","Pending",IF(H178="","⚠️ Enter Code",IF(IFERROR(VLOOKUP(G178,DB_Agents!$B:$I,8,0),"")=H178,IF(AND(A178&lt;&gt;"",E178&lt;&gt;""),"Saved","Pending"),"🔒 BLOCKED — Wrong Code")))</f>
        <v/>
      </c>
      <c r="J178" s="500">
        <f>IF(I178="Saved",TEXT(TODAY(),"YYYY-MM-DD")&amp;" Auto","—")</f>
        <v/>
      </c>
      <c r="K178" s="501" t="n"/>
    </row>
    <row r="179" ht="15" customHeight="1" s="341">
      <c r="A179" s="486" t="n"/>
      <c r="B179" s="378">
        <f>IF(A179="","",IFERROR(VLOOKUP(A179,DB_Customers!$A:$D,4,0),"❌ Account Not Found"))</f>
        <v/>
      </c>
      <c r="C179" s="487">
        <f>IF(A179="","",IFERROR(VLOOKUP(A179,DB_Customers!$A:$N,14,0),""))</f>
        <v/>
      </c>
      <c r="D179" s="488">
        <f>IF(A179="","",TODAY())</f>
        <v/>
      </c>
      <c r="E179" s="489" t="n"/>
      <c r="F179" s="490">
        <f>IF(OR(A179="",E179=""),"",IF(C179="","",C179+E179))</f>
        <v/>
      </c>
      <c r="G179" s="380" t="inlineStr">
        <is>
          <t>Agent 05</t>
        </is>
      </c>
      <c r="H179" s="491" t="n"/>
      <c r="I179" s="492">
        <f>IF(A179="","Pending",IF(H179="","⚠️ Enter Code",IF(IFERROR(VLOOKUP(G179,DB_Agents!$B:$I,8,0),"")=H179,IF(AND(A179&lt;&gt;"",E179&lt;&gt;""),"Saved","Pending"),"🔒 BLOCKED — Wrong Code")))</f>
        <v/>
      </c>
      <c r="J179" s="493">
        <f>IF(I179="Saved",TEXT(TODAY(),"YYYY-MM-DD")&amp;" Auto","—")</f>
        <v/>
      </c>
      <c r="K179" s="494" t="n"/>
    </row>
    <row r="180" ht="15" customHeight="1" s="341">
      <c r="A180" s="495" t="n"/>
      <c r="B180" s="382">
        <f>IF(A180="","",IFERROR(VLOOKUP(A180,DB_Customers!$A:$D,4,0),"❌ Account Not Found"))</f>
        <v/>
      </c>
      <c r="C180" s="496">
        <f>IF(A180="","",IFERROR(VLOOKUP(A180,DB_Customers!$A:$N,14,0),""))</f>
        <v/>
      </c>
      <c r="D180" s="497">
        <f>IF(A180="","",TODAY())</f>
        <v/>
      </c>
      <c r="E180" s="489" t="n"/>
      <c r="F180" s="498">
        <f>IF(OR(A180="",E180=""),"",IF(C180="","",C180+E180))</f>
        <v/>
      </c>
      <c r="G180" s="384" t="inlineStr">
        <is>
          <t>Agent 05</t>
        </is>
      </c>
      <c r="H180" s="491" t="n"/>
      <c r="I180" s="499">
        <f>IF(A180="","Pending",IF(H180="","⚠️ Enter Code",IF(IFERROR(VLOOKUP(G180,DB_Agents!$B:$I,8,0),"")=H180,IF(AND(A180&lt;&gt;"",E180&lt;&gt;""),"Saved","Pending"),"🔒 BLOCKED — Wrong Code")))</f>
        <v/>
      </c>
      <c r="J180" s="500">
        <f>IF(I180="Saved",TEXT(TODAY(),"YYYY-MM-DD")&amp;" Auto","—")</f>
        <v/>
      </c>
      <c r="K180" s="501" t="n"/>
    </row>
    <row r="181" ht="15" customHeight="1" s="341">
      <c r="A181" s="486" t="n"/>
      <c r="B181" s="378">
        <f>IF(A181="","",IFERROR(VLOOKUP(A181,DB_Customers!$A:$D,4,0),"❌ Account Not Found"))</f>
        <v/>
      </c>
      <c r="C181" s="487">
        <f>IF(A181="","",IFERROR(VLOOKUP(A181,DB_Customers!$A:$N,14,0),""))</f>
        <v/>
      </c>
      <c r="D181" s="488">
        <f>IF(A181="","",TODAY())</f>
        <v/>
      </c>
      <c r="E181" s="489" t="n"/>
      <c r="F181" s="490">
        <f>IF(OR(A181="",E181=""),"",IF(C181="","",C181+E181))</f>
        <v/>
      </c>
      <c r="G181" s="380" t="inlineStr">
        <is>
          <t>Agent 05</t>
        </is>
      </c>
      <c r="H181" s="491" t="n"/>
      <c r="I181" s="492">
        <f>IF(A181="","Pending",IF(H181="","⚠️ Enter Code",IF(IFERROR(VLOOKUP(G181,DB_Agents!$B:$I,8,0),"")=H181,IF(AND(A181&lt;&gt;"",E181&lt;&gt;""),"Saved","Pending"),"🔒 BLOCKED — Wrong Code")))</f>
        <v/>
      </c>
      <c r="J181" s="493">
        <f>IF(I181="Saved",TEXT(TODAY(),"YYYY-MM-DD")&amp;" Auto","—")</f>
        <v/>
      </c>
      <c r="K181" s="494" t="n"/>
    </row>
    <row r="182" ht="15" customHeight="1" s="341">
      <c r="A182" s="495" t="n"/>
      <c r="B182" s="382">
        <f>IF(A182="","",IFERROR(VLOOKUP(A182,DB_Customers!$A:$D,4,0),"❌ Account Not Found"))</f>
        <v/>
      </c>
      <c r="C182" s="496">
        <f>IF(A182="","",IFERROR(VLOOKUP(A182,DB_Customers!$A:$N,14,0),""))</f>
        <v/>
      </c>
      <c r="D182" s="497">
        <f>IF(A182="","",TODAY())</f>
        <v/>
      </c>
      <c r="E182" s="489" t="n"/>
      <c r="F182" s="498">
        <f>IF(OR(A182="",E182=""),"",IF(C182="","",C182+E182))</f>
        <v/>
      </c>
      <c r="G182" s="384" t="inlineStr">
        <is>
          <t>Agent 05</t>
        </is>
      </c>
      <c r="H182" s="491" t="n"/>
      <c r="I182" s="499">
        <f>IF(A182="","Pending",IF(H182="","⚠️ Enter Code",IF(IFERROR(VLOOKUP(G182,DB_Agents!$B:$I,8,0),"")=H182,IF(AND(A182&lt;&gt;"",E182&lt;&gt;""),"Saved","Pending"),"🔒 BLOCKED — Wrong Code")))</f>
        <v/>
      </c>
      <c r="J182" s="500">
        <f>IF(I182="Saved",TEXT(TODAY(),"YYYY-MM-DD")&amp;" Auto","—")</f>
        <v/>
      </c>
      <c r="K182" s="501" t="n"/>
    </row>
    <row r="183" ht="15" customHeight="1" s="341">
      <c r="A183" s="486" t="n"/>
      <c r="B183" s="378">
        <f>IF(A183="","",IFERROR(VLOOKUP(A183,DB_Customers!$A:$D,4,0),"❌ Account Not Found"))</f>
        <v/>
      </c>
      <c r="C183" s="487">
        <f>IF(A183="","",IFERROR(VLOOKUP(A183,DB_Customers!$A:$N,14,0),""))</f>
        <v/>
      </c>
      <c r="D183" s="488">
        <f>IF(A183="","",TODAY())</f>
        <v/>
      </c>
      <c r="E183" s="489" t="n"/>
      <c r="F183" s="490">
        <f>IF(OR(A183="",E183=""),"",IF(C183="","",C183+E183))</f>
        <v/>
      </c>
      <c r="G183" s="380" t="inlineStr">
        <is>
          <t>Agent 05</t>
        </is>
      </c>
      <c r="H183" s="491" t="n"/>
      <c r="I183" s="492">
        <f>IF(A183="","Pending",IF(H183="","⚠️ Enter Code",IF(IFERROR(VLOOKUP(G183,DB_Agents!$B:$I,8,0),"")=H183,IF(AND(A183&lt;&gt;"",E183&lt;&gt;""),"Saved","Pending"),"🔒 BLOCKED — Wrong Code")))</f>
        <v/>
      </c>
      <c r="J183" s="493">
        <f>IF(I183="Saved",TEXT(TODAY(),"YYYY-MM-DD")&amp;" Auto","—")</f>
        <v/>
      </c>
      <c r="K183" s="494" t="n"/>
    </row>
    <row r="184" ht="15" customHeight="1" s="341">
      <c r="A184" s="495" t="n"/>
      <c r="B184" s="382">
        <f>IF(A184="","",IFERROR(VLOOKUP(A184,DB_Customers!$A:$D,4,0),"❌ Account Not Found"))</f>
        <v/>
      </c>
      <c r="C184" s="496">
        <f>IF(A184="","",IFERROR(VLOOKUP(A184,DB_Customers!$A:$N,14,0),""))</f>
        <v/>
      </c>
      <c r="D184" s="497">
        <f>IF(A184="","",TODAY())</f>
        <v/>
      </c>
      <c r="E184" s="489" t="n"/>
      <c r="F184" s="498">
        <f>IF(OR(A184="",E184=""),"",IF(C184="","",C184+E184))</f>
        <v/>
      </c>
      <c r="G184" s="384" t="inlineStr">
        <is>
          <t>Agent 05</t>
        </is>
      </c>
      <c r="H184" s="491" t="n"/>
      <c r="I184" s="499">
        <f>IF(A184="","Pending",IF(H184="","⚠️ Enter Code",IF(IFERROR(VLOOKUP(G184,DB_Agents!$B:$I,8,0),"")=H184,IF(AND(A184&lt;&gt;"",E184&lt;&gt;""),"Saved","Pending"),"🔒 BLOCKED — Wrong Code")))</f>
        <v/>
      </c>
      <c r="J184" s="500">
        <f>IF(I184="Saved",TEXT(TODAY(),"YYYY-MM-DD")&amp;" Auto","—")</f>
        <v/>
      </c>
      <c r="K184" s="501" t="n"/>
    </row>
    <row r="185" ht="15" customHeight="1" s="341">
      <c r="A185" s="486" t="n"/>
      <c r="B185" s="378">
        <f>IF(A185="","",IFERROR(VLOOKUP(A185,DB_Customers!$A:$D,4,0),"❌ Account Not Found"))</f>
        <v/>
      </c>
      <c r="C185" s="487">
        <f>IF(A185="","",IFERROR(VLOOKUP(A185,DB_Customers!$A:$N,14,0),""))</f>
        <v/>
      </c>
      <c r="D185" s="488">
        <f>IF(A185="","",TODAY())</f>
        <v/>
      </c>
      <c r="E185" s="489" t="n"/>
      <c r="F185" s="490">
        <f>IF(OR(A185="",E185=""),"",IF(C185="","",C185+E185))</f>
        <v/>
      </c>
      <c r="G185" s="380" t="inlineStr">
        <is>
          <t>Agent 05</t>
        </is>
      </c>
      <c r="H185" s="491" t="n"/>
      <c r="I185" s="492">
        <f>IF(A185="","Pending",IF(H185="","⚠️ Enter Code",IF(IFERROR(VLOOKUP(G185,DB_Agents!$B:$I,8,0),"")=H185,IF(AND(A185&lt;&gt;"",E185&lt;&gt;""),"Saved","Pending"),"🔒 BLOCKED — Wrong Code")))</f>
        <v/>
      </c>
      <c r="J185" s="493">
        <f>IF(I185="Saved",TEXT(TODAY(),"YYYY-MM-DD")&amp;" Auto","—")</f>
        <v/>
      </c>
      <c r="K185" s="494" t="n"/>
    </row>
    <row r="186" ht="15" customHeight="1" s="341">
      <c r="A186" s="495" t="n"/>
      <c r="B186" s="382">
        <f>IF(A186="","",IFERROR(VLOOKUP(A186,DB_Customers!$A:$D,4,0),"❌ Account Not Found"))</f>
        <v/>
      </c>
      <c r="C186" s="496">
        <f>IF(A186="","",IFERROR(VLOOKUP(A186,DB_Customers!$A:$N,14,0),""))</f>
        <v/>
      </c>
      <c r="D186" s="497">
        <f>IF(A186="","",TODAY())</f>
        <v/>
      </c>
      <c r="E186" s="489" t="n"/>
      <c r="F186" s="498">
        <f>IF(OR(A186="",E186=""),"",IF(C186="","",C186+E186))</f>
        <v/>
      </c>
      <c r="G186" s="384" t="inlineStr">
        <is>
          <t>Agent 05</t>
        </is>
      </c>
      <c r="H186" s="491" t="n"/>
      <c r="I186" s="499">
        <f>IF(A186="","Pending",IF(H186="","⚠️ Enter Code",IF(IFERROR(VLOOKUP(G186,DB_Agents!$B:$I,8,0),"")=H186,IF(AND(A186&lt;&gt;"",E186&lt;&gt;""),"Saved","Pending"),"🔒 BLOCKED — Wrong Code")))</f>
        <v/>
      </c>
      <c r="J186" s="500">
        <f>IF(I186="Saved",TEXT(TODAY(),"YYYY-MM-DD")&amp;" Auto","—")</f>
        <v/>
      </c>
      <c r="K186" s="501" t="n"/>
    </row>
    <row r="187" ht="15" customHeight="1" s="341">
      <c r="A187" s="486" t="n"/>
      <c r="B187" s="378">
        <f>IF(A187="","",IFERROR(VLOOKUP(A187,DB_Customers!$A:$D,4,0),"❌ Account Not Found"))</f>
        <v/>
      </c>
      <c r="C187" s="487">
        <f>IF(A187="","",IFERROR(VLOOKUP(A187,DB_Customers!$A:$N,14,0),""))</f>
        <v/>
      </c>
      <c r="D187" s="488">
        <f>IF(A187="","",TODAY())</f>
        <v/>
      </c>
      <c r="E187" s="489" t="n"/>
      <c r="F187" s="490">
        <f>IF(OR(A187="",E187=""),"",IF(C187="","",C187+E187))</f>
        <v/>
      </c>
      <c r="G187" s="380" t="inlineStr">
        <is>
          <t>Agent 05</t>
        </is>
      </c>
      <c r="H187" s="491" t="n"/>
      <c r="I187" s="492">
        <f>IF(A187="","Pending",IF(H187="","⚠️ Enter Code",IF(IFERROR(VLOOKUP(G187,DB_Agents!$B:$I,8,0),"")=H187,IF(AND(A187&lt;&gt;"",E187&lt;&gt;""),"Saved","Pending"),"🔒 BLOCKED — Wrong Code")))</f>
        <v/>
      </c>
      <c r="J187" s="493">
        <f>IF(I187="Saved",TEXT(TODAY(),"YYYY-MM-DD")&amp;" Auto","—")</f>
        <v/>
      </c>
      <c r="K187" s="494" t="n"/>
    </row>
    <row r="188" ht="15" customHeight="1" s="341">
      <c r="A188" s="495" t="n"/>
      <c r="B188" s="382">
        <f>IF(A188="","",IFERROR(VLOOKUP(A188,DB_Customers!$A:$D,4,0),"❌ Account Not Found"))</f>
        <v/>
      </c>
      <c r="C188" s="496">
        <f>IF(A188="","",IFERROR(VLOOKUP(A188,DB_Customers!$A:$N,14,0),""))</f>
        <v/>
      </c>
      <c r="D188" s="497">
        <f>IF(A188="","",TODAY())</f>
        <v/>
      </c>
      <c r="E188" s="489" t="n"/>
      <c r="F188" s="498">
        <f>IF(OR(A188="",E188=""),"",IF(C188="","",C188+E188))</f>
        <v/>
      </c>
      <c r="G188" s="384" t="inlineStr">
        <is>
          <t>Agent 05</t>
        </is>
      </c>
      <c r="H188" s="491" t="n"/>
      <c r="I188" s="499">
        <f>IF(A188="","Pending",IF(H188="","⚠️ Enter Code",IF(IFERROR(VLOOKUP(G188,DB_Agents!$B:$I,8,0),"")=H188,IF(AND(A188&lt;&gt;"",E188&lt;&gt;""),"Saved","Pending"),"🔒 BLOCKED — Wrong Code")))</f>
        <v/>
      </c>
      <c r="J188" s="500">
        <f>IF(I188="Saved",TEXT(TODAY(),"YYYY-MM-DD")&amp;" Auto","—")</f>
        <v/>
      </c>
      <c r="K188" s="501" t="n"/>
    </row>
    <row r="189" ht="15" customHeight="1" s="341">
      <c r="A189" s="486" t="n"/>
      <c r="B189" s="378">
        <f>IF(A189="","",IFERROR(VLOOKUP(A189,DB_Customers!$A:$D,4,0),"❌ Account Not Found"))</f>
        <v/>
      </c>
      <c r="C189" s="487">
        <f>IF(A189="","",IFERROR(VLOOKUP(A189,DB_Customers!$A:$N,14,0),""))</f>
        <v/>
      </c>
      <c r="D189" s="488">
        <f>IF(A189="","",TODAY())</f>
        <v/>
      </c>
      <c r="E189" s="489" t="n"/>
      <c r="F189" s="490">
        <f>IF(OR(A189="",E189=""),"",IF(C189="","",C189+E189))</f>
        <v/>
      </c>
      <c r="G189" s="380" t="inlineStr">
        <is>
          <t>Agent 05</t>
        </is>
      </c>
      <c r="H189" s="491" t="n"/>
      <c r="I189" s="492">
        <f>IF(A189="","Pending",IF(H189="","⚠️ Enter Code",IF(IFERROR(VLOOKUP(G189,DB_Agents!$B:$I,8,0),"")=H189,IF(AND(A189&lt;&gt;"",E189&lt;&gt;""),"Saved","Pending"),"🔒 BLOCKED — Wrong Code")))</f>
        <v/>
      </c>
      <c r="J189" s="493">
        <f>IF(I189="Saved",TEXT(TODAY(),"YYYY-MM-DD")&amp;" Auto","—")</f>
        <v/>
      </c>
      <c r="K189" s="494" t="n"/>
    </row>
    <row r="190" ht="15" customHeight="1" s="341">
      <c r="A190" s="495" t="n"/>
      <c r="B190" s="382">
        <f>IF(A190="","",IFERROR(VLOOKUP(A190,DB_Customers!$A:$D,4,0),"❌ Account Not Found"))</f>
        <v/>
      </c>
      <c r="C190" s="496">
        <f>IF(A190="","",IFERROR(VLOOKUP(A190,DB_Customers!$A:$N,14,0),""))</f>
        <v/>
      </c>
      <c r="D190" s="497">
        <f>IF(A190="","",TODAY())</f>
        <v/>
      </c>
      <c r="E190" s="489" t="n"/>
      <c r="F190" s="498">
        <f>IF(OR(A190="",E190=""),"",IF(C190="","",C190+E190))</f>
        <v/>
      </c>
      <c r="G190" s="384" t="inlineStr">
        <is>
          <t>Agent 05</t>
        </is>
      </c>
      <c r="H190" s="491" t="n"/>
      <c r="I190" s="499">
        <f>IF(A190="","Pending",IF(H190="","⚠️ Enter Code",IF(IFERROR(VLOOKUP(G190,DB_Agents!$B:$I,8,0),"")=H190,IF(AND(A190&lt;&gt;"",E190&lt;&gt;""),"Saved","Pending"),"🔒 BLOCKED — Wrong Code")))</f>
        <v/>
      </c>
      <c r="J190" s="500">
        <f>IF(I190="Saved",TEXT(TODAY(),"YYYY-MM-DD")&amp;" Auto","—")</f>
        <v/>
      </c>
      <c r="K190" s="501" t="n"/>
    </row>
    <row r="191" ht="15" customHeight="1" s="341">
      <c r="A191" s="486" t="n"/>
      <c r="B191" s="378">
        <f>IF(A191="","",IFERROR(VLOOKUP(A191,DB_Customers!$A:$D,4,0),"❌ Account Not Found"))</f>
        <v/>
      </c>
      <c r="C191" s="487">
        <f>IF(A191="","",IFERROR(VLOOKUP(A191,DB_Customers!$A:$N,14,0),""))</f>
        <v/>
      </c>
      <c r="D191" s="488">
        <f>IF(A191="","",TODAY())</f>
        <v/>
      </c>
      <c r="E191" s="489" t="n"/>
      <c r="F191" s="490">
        <f>IF(OR(A191="",E191=""),"",IF(C191="","",C191+E191))</f>
        <v/>
      </c>
      <c r="G191" s="380" t="inlineStr">
        <is>
          <t>Agent 05</t>
        </is>
      </c>
      <c r="H191" s="491" t="n"/>
      <c r="I191" s="492">
        <f>IF(A191="","Pending",IF(H191="","⚠️ Enter Code",IF(IFERROR(VLOOKUP(G191,DB_Agents!$B:$I,8,0),"")=H191,IF(AND(A191&lt;&gt;"",E191&lt;&gt;""),"Saved","Pending"),"🔒 BLOCKED — Wrong Code")))</f>
        <v/>
      </c>
      <c r="J191" s="493">
        <f>IF(I191="Saved",TEXT(TODAY(),"YYYY-MM-DD")&amp;" Auto","—")</f>
        <v/>
      </c>
      <c r="K191" s="494" t="n"/>
    </row>
    <row r="192" ht="15" customHeight="1" s="341">
      <c r="A192" s="495" t="n"/>
      <c r="B192" s="382">
        <f>IF(A192="","",IFERROR(VLOOKUP(A192,DB_Customers!$A:$D,4,0),"❌ Account Not Found"))</f>
        <v/>
      </c>
      <c r="C192" s="496">
        <f>IF(A192="","",IFERROR(VLOOKUP(A192,DB_Customers!$A:$N,14,0),""))</f>
        <v/>
      </c>
      <c r="D192" s="497">
        <f>IF(A192="","",TODAY())</f>
        <v/>
      </c>
      <c r="E192" s="489" t="n"/>
      <c r="F192" s="498">
        <f>IF(OR(A192="",E192=""),"",IF(C192="","",C192+E192))</f>
        <v/>
      </c>
      <c r="G192" s="384" t="inlineStr">
        <is>
          <t>Agent 05</t>
        </is>
      </c>
      <c r="H192" s="491" t="n"/>
      <c r="I192" s="499">
        <f>IF(A192="","Pending",IF(H192="","⚠️ Enter Code",IF(IFERROR(VLOOKUP(G192,DB_Agents!$B:$I,8,0),"")=H192,IF(AND(A192&lt;&gt;"",E192&lt;&gt;""),"Saved","Pending"),"🔒 BLOCKED — Wrong Code")))</f>
        <v/>
      </c>
      <c r="J192" s="500">
        <f>IF(I192="Saved",TEXT(TODAY(),"YYYY-MM-DD")&amp;" Auto","—")</f>
        <v/>
      </c>
      <c r="K192" s="501" t="n"/>
    </row>
    <row r="193" ht="15" customHeight="1" s="341">
      <c r="A193" s="486" t="n"/>
      <c r="B193" s="378">
        <f>IF(A193="","",IFERROR(VLOOKUP(A193,DB_Customers!$A:$D,4,0),"❌ Account Not Found"))</f>
        <v/>
      </c>
      <c r="C193" s="487">
        <f>IF(A193="","",IFERROR(VLOOKUP(A193,DB_Customers!$A:$N,14,0),""))</f>
        <v/>
      </c>
      <c r="D193" s="488">
        <f>IF(A193="","",TODAY())</f>
        <v/>
      </c>
      <c r="E193" s="489" t="n"/>
      <c r="F193" s="490">
        <f>IF(OR(A193="",E193=""),"",IF(C193="","",C193+E193))</f>
        <v/>
      </c>
      <c r="G193" s="380" t="inlineStr">
        <is>
          <t>Agent 05</t>
        </is>
      </c>
      <c r="H193" s="491" t="n"/>
      <c r="I193" s="492">
        <f>IF(A193="","Pending",IF(H193="","⚠️ Enter Code",IF(IFERROR(VLOOKUP(G193,DB_Agents!$B:$I,8,0),"")=H193,IF(AND(A193&lt;&gt;"",E193&lt;&gt;""),"Saved","Pending"),"🔒 BLOCKED — Wrong Code")))</f>
        <v/>
      </c>
      <c r="J193" s="493">
        <f>IF(I193="Saved",TEXT(TODAY(),"YYYY-MM-DD")&amp;" Auto","—")</f>
        <v/>
      </c>
      <c r="K193" s="494" t="n"/>
    </row>
    <row r="194" ht="15" customHeight="1" s="341">
      <c r="A194" s="495" t="n"/>
      <c r="B194" s="382">
        <f>IF(A194="","",IFERROR(VLOOKUP(A194,DB_Customers!$A:$D,4,0),"❌ Account Not Found"))</f>
        <v/>
      </c>
      <c r="C194" s="496">
        <f>IF(A194="","",IFERROR(VLOOKUP(A194,DB_Customers!$A:$N,14,0),""))</f>
        <v/>
      </c>
      <c r="D194" s="497">
        <f>IF(A194="","",TODAY())</f>
        <v/>
      </c>
      <c r="E194" s="489" t="n"/>
      <c r="F194" s="498">
        <f>IF(OR(A194="",E194=""),"",IF(C194="","",C194+E194))</f>
        <v/>
      </c>
      <c r="G194" s="384" t="inlineStr">
        <is>
          <t>Agent 05</t>
        </is>
      </c>
      <c r="H194" s="491" t="n"/>
      <c r="I194" s="499">
        <f>IF(A194="","Pending",IF(H194="","⚠️ Enter Code",IF(IFERROR(VLOOKUP(G194,DB_Agents!$B:$I,8,0),"")=H194,IF(AND(A194&lt;&gt;"",E194&lt;&gt;""),"Saved","Pending"),"🔒 BLOCKED — Wrong Code")))</f>
        <v/>
      </c>
      <c r="J194" s="500">
        <f>IF(I194="Saved",TEXT(TODAY(),"YYYY-MM-DD")&amp;" Auto","—")</f>
        <v/>
      </c>
      <c r="K194" s="501" t="n"/>
    </row>
    <row r="195" ht="15" customHeight="1" s="341">
      <c r="A195" s="486" t="n"/>
      <c r="B195" s="378">
        <f>IF(A195="","",IFERROR(VLOOKUP(A195,DB_Customers!$A:$D,4,0),"❌ Account Not Found"))</f>
        <v/>
      </c>
      <c r="C195" s="487">
        <f>IF(A195="","",IFERROR(VLOOKUP(A195,DB_Customers!$A:$N,14,0),""))</f>
        <v/>
      </c>
      <c r="D195" s="488">
        <f>IF(A195="","",TODAY())</f>
        <v/>
      </c>
      <c r="E195" s="489" t="n"/>
      <c r="F195" s="490">
        <f>IF(OR(A195="",E195=""),"",IF(C195="","",C195+E195))</f>
        <v/>
      </c>
      <c r="G195" s="380" t="inlineStr">
        <is>
          <t>Agent 05</t>
        </is>
      </c>
      <c r="H195" s="491" t="n"/>
      <c r="I195" s="492">
        <f>IF(A195="","Pending",IF(H195="","⚠️ Enter Code",IF(IFERROR(VLOOKUP(G195,DB_Agents!$B:$I,8,0),"")=H195,IF(AND(A195&lt;&gt;"",E195&lt;&gt;""),"Saved","Pending"),"🔒 BLOCKED — Wrong Code")))</f>
        <v/>
      </c>
      <c r="J195" s="493">
        <f>IF(I195="Saved",TEXT(TODAY(),"YYYY-MM-DD")&amp;" Auto","—")</f>
        <v/>
      </c>
      <c r="K195" s="494" t="n"/>
    </row>
    <row r="196" ht="15" customHeight="1" s="341">
      <c r="A196" s="495" t="n"/>
      <c r="B196" s="382">
        <f>IF(A196="","",IFERROR(VLOOKUP(A196,DB_Customers!$A:$D,4,0),"❌ Account Not Found"))</f>
        <v/>
      </c>
      <c r="C196" s="496">
        <f>IF(A196="","",IFERROR(VLOOKUP(A196,DB_Customers!$A:$N,14,0),""))</f>
        <v/>
      </c>
      <c r="D196" s="497">
        <f>IF(A196="","",TODAY())</f>
        <v/>
      </c>
      <c r="E196" s="489" t="n"/>
      <c r="F196" s="498">
        <f>IF(OR(A196="",E196=""),"",IF(C196="","",C196+E196))</f>
        <v/>
      </c>
      <c r="G196" s="384" t="inlineStr">
        <is>
          <t>Agent 05</t>
        </is>
      </c>
      <c r="H196" s="491" t="n"/>
      <c r="I196" s="499">
        <f>IF(A196="","Pending",IF(H196="","⚠️ Enter Code",IF(IFERROR(VLOOKUP(G196,DB_Agents!$B:$I,8,0),"")=H196,IF(AND(A196&lt;&gt;"",E196&lt;&gt;""),"Saved","Pending"),"🔒 BLOCKED — Wrong Code")))</f>
        <v/>
      </c>
      <c r="J196" s="500">
        <f>IF(I196="Saved",TEXT(TODAY(),"YYYY-MM-DD")&amp;" Auto","—")</f>
        <v/>
      </c>
      <c r="K196" s="501" t="n"/>
    </row>
    <row r="197" ht="15" customHeight="1" s="341">
      <c r="A197" s="486" t="n"/>
      <c r="B197" s="378">
        <f>IF(A197="","",IFERROR(VLOOKUP(A197,DB_Customers!$A:$D,4,0),"❌ Account Not Found"))</f>
        <v/>
      </c>
      <c r="C197" s="487">
        <f>IF(A197="","",IFERROR(VLOOKUP(A197,DB_Customers!$A:$N,14,0),""))</f>
        <v/>
      </c>
      <c r="D197" s="488">
        <f>IF(A197="","",TODAY())</f>
        <v/>
      </c>
      <c r="E197" s="489" t="n"/>
      <c r="F197" s="490">
        <f>IF(OR(A197="",E197=""),"",IF(C197="","",C197+E197))</f>
        <v/>
      </c>
      <c r="G197" s="380" t="inlineStr">
        <is>
          <t>Agent 05</t>
        </is>
      </c>
      <c r="H197" s="491" t="n"/>
      <c r="I197" s="492">
        <f>IF(A197="","Pending",IF(H197="","⚠️ Enter Code",IF(IFERROR(VLOOKUP(G197,DB_Agents!$B:$I,8,0),"")=H197,IF(AND(A197&lt;&gt;"",E197&lt;&gt;""),"Saved","Pending"),"🔒 BLOCKED — Wrong Code")))</f>
        <v/>
      </c>
      <c r="J197" s="493">
        <f>IF(I197="Saved",TEXT(TODAY(),"YYYY-MM-DD")&amp;" Auto","—")</f>
        <v/>
      </c>
      <c r="K197" s="494" t="n"/>
    </row>
    <row r="198" ht="15" customHeight="1" s="341">
      <c r="A198" s="495" t="n"/>
      <c r="B198" s="382">
        <f>IF(A198="","",IFERROR(VLOOKUP(A198,DB_Customers!$A:$D,4,0),"❌ Account Not Found"))</f>
        <v/>
      </c>
      <c r="C198" s="496">
        <f>IF(A198="","",IFERROR(VLOOKUP(A198,DB_Customers!$A:$N,14,0),""))</f>
        <v/>
      </c>
      <c r="D198" s="497">
        <f>IF(A198="","",TODAY())</f>
        <v/>
      </c>
      <c r="E198" s="489" t="n"/>
      <c r="F198" s="498">
        <f>IF(OR(A198="",E198=""),"",IF(C198="","",C198+E198))</f>
        <v/>
      </c>
      <c r="G198" s="384" t="inlineStr">
        <is>
          <t>Agent 05</t>
        </is>
      </c>
      <c r="H198" s="491" t="n"/>
      <c r="I198" s="499">
        <f>IF(A198="","Pending",IF(H198="","⚠️ Enter Code",IF(IFERROR(VLOOKUP(G198,DB_Agents!$B:$I,8,0),"")=H198,IF(AND(A198&lt;&gt;"",E198&lt;&gt;""),"Saved","Pending"),"🔒 BLOCKED — Wrong Code")))</f>
        <v/>
      </c>
      <c r="J198" s="500">
        <f>IF(I198="Saved",TEXT(TODAY(),"YYYY-MM-DD")&amp;" Auto","—")</f>
        <v/>
      </c>
      <c r="K198" s="501" t="n"/>
    </row>
    <row r="199" ht="15" customHeight="1" s="341">
      <c r="A199" s="486" t="n"/>
      <c r="B199" s="378">
        <f>IF(A199="","",IFERROR(VLOOKUP(A199,DB_Customers!$A:$D,4,0),"❌ Account Not Found"))</f>
        <v/>
      </c>
      <c r="C199" s="487">
        <f>IF(A199="","",IFERROR(VLOOKUP(A199,DB_Customers!$A:$N,14,0),""))</f>
        <v/>
      </c>
      <c r="D199" s="488">
        <f>IF(A199="","",TODAY())</f>
        <v/>
      </c>
      <c r="E199" s="489" t="n"/>
      <c r="F199" s="490">
        <f>IF(OR(A199="",E199=""),"",IF(C199="","",C199+E199))</f>
        <v/>
      </c>
      <c r="G199" s="380" t="inlineStr">
        <is>
          <t>Agent 05</t>
        </is>
      </c>
      <c r="H199" s="491" t="n"/>
      <c r="I199" s="492">
        <f>IF(A199="","Pending",IF(H199="","⚠️ Enter Code",IF(IFERROR(VLOOKUP(G199,DB_Agents!$B:$I,8,0),"")=H199,IF(AND(A199&lt;&gt;"",E199&lt;&gt;""),"Saved","Pending"),"🔒 BLOCKED — Wrong Code")))</f>
        <v/>
      </c>
      <c r="J199" s="493">
        <f>IF(I199="Saved",TEXT(TODAY(),"YYYY-MM-DD")&amp;" Auto","—")</f>
        <v/>
      </c>
      <c r="K199" s="494" t="n"/>
    </row>
    <row r="200" ht="15" customHeight="1" s="341">
      <c r="A200" s="495" t="n"/>
      <c r="B200" s="382">
        <f>IF(A200="","",IFERROR(VLOOKUP(A200,DB_Customers!$A:$D,4,0),"❌ Account Not Found"))</f>
        <v/>
      </c>
      <c r="C200" s="496">
        <f>IF(A200="","",IFERROR(VLOOKUP(A200,DB_Customers!$A:$N,14,0),""))</f>
        <v/>
      </c>
      <c r="D200" s="497">
        <f>IF(A200="","",TODAY())</f>
        <v/>
      </c>
      <c r="E200" s="489" t="n"/>
      <c r="F200" s="498">
        <f>IF(OR(A200="",E200=""),"",IF(C200="","",C200+E200))</f>
        <v/>
      </c>
      <c r="G200" s="384" t="inlineStr">
        <is>
          <t>Agent 05</t>
        </is>
      </c>
      <c r="H200" s="491" t="n"/>
      <c r="I200" s="499">
        <f>IF(A200="","Pending",IF(H200="","⚠️ Enter Code",IF(IFERROR(VLOOKUP(G200,DB_Agents!$B:$I,8,0),"")=H200,IF(AND(A200&lt;&gt;"",E200&lt;&gt;""),"Saved","Pending"),"🔒 BLOCKED — Wrong Code")))</f>
        <v/>
      </c>
      <c r="J200" s="500">
        <f>IF(I200="Saved",TEXT(TODAY(),"YYYY-MM-DD")&amp;" Auto","—")</f>
        <v/>
      </c>
      <c r="K200" s="501" t="n"/>
    </row>
    <row r="201" ht="15" customHeight="1" s="341">
      <c r="A201" s="486" t="n"/>
      <c r="B201" s="378">
        <f>IF(A201="","",IFERROR(VLOOKUP(A201,DB_Customers!$A:$D,4,0),"❌ Account Not Found"))</f>
        <v/>
      </c>
      <c r="C201" s="487">
        <f>IF(A201="","",IFERROR(VLOOKUP(A201,DB_Customers!$A:$N,14,0),""))</f>
        <v/>
      </c>
      <c r="D201" s="488">
        <f>IF(A201="","",TODAY())</f>
        <v/>
      </c>
      <c r="E201" s="489" t="n"/>
      <c r="F201" s="490">
        <f>IF(OR(A201="",E201=""),"",IF(C201="","",C201+E201))</f>
        <v/>
      </c>
      <c r="G201" s="380" t="inlineStr">
        <is>
          <t>Agent 05</t>
        </is>
      </c>
      <c r="H201" s="491" t="n"/>
      <c r="I201" s="492">
        <f>IF(A201="","Pending",IF(H201="","⚠️ Enter Code",IF(IFERROR(VLOOKUP(G201,DB_Agents!$B:$I,8,0),"")=H201,IF(AND(A201&lt;&gt;"",E201&lt;&gt;""),"Saved","Pending"),"🔒 BLOCKED — Wrong Code")))</f>
        <v/>
      </c>
      <c r="J201" s="493">
        <f>IF(I201="Saved",TEXT(TODAY(),"YYYY-MM-DD")&amp;" Auto","—")</f>
        <v/>
      </c>
      <c r="K201" s="494" t="n"/>
    </row>
    <row r="202" ht="15" customHeight="1" s="341">
      <c r="A202" s="495" t="n"/>
      <c r="B202" s="382">
        <f>IF(A202="","",IFERROR(VLOOKUP(A202,DB_Customers!$A:$D,4,0),"❌ Account Not Found"))</f>
        <v/>
      </c>
      <c r="C202" s="496">
        <f>IF(A202="","",IFERROR(VLOOKUP(A202,DB_Customers!$A:$N,14,0),""))</f>
        <v/>
      </c>
      <c r="D202" s="497">
        <f>IF(A202="","",TODAY())</f>
        <v/>
      </c>
      <c r="E202" s="489" t="n"/>
      <c r="F202" s="498">
        <f>IF(OR(A202="",E202=""),"",IF(C202="","",C202+E202))</f>
        <v/>
      </c>
      <c r="G202" s="384" t="inlineStr">
        <is>
          <t>Agent 05</t>
        </is>
      </c>
      <c r="H202" s="491" t="n"/>
      <c r="I202" s="499">
        <f>IF(A202="","Pending",IF(H202="","⚠️ Enter Code",IF(IFERROR(VLOOKUP(G202,DB_Agents!$B:$I,8,0),"")=H202,IF(AND(A202&lt;&gt;"",E202&lt;&gt;""),"Saved","Pending"),"🔒 BLOCKED — Wrong Code")))</f>
        <v/>
      </c>
      <c r="J202" s="500">
        <f>IF(I202="Saved",TEXT(TODAY(),"YYYY-MM-DD")&amp;" Auto","—")</f>
        <v/>
      </c>
      <c r="K202" s="501" t="n"/>
    </row>
    <row r="203" ht="15" customHeight="1" s="341">
      <c r="A203" s="486" t="n"/>
      <c r="B203" s="378">
        <f>IF(A203="","",IFERROR(VLOOKUP(A203,DB_Customers!$A:$D,4,0),"❌ Account Not Found"))</f>
        <v/>
      </c>
      <c r="C203" s="487">
        <f>IF(A203="","",IFERROR(VLOOKUP(A203,DB_Customers!$A:$N,14,0),""))</f>
        <v/>
      </c>
      <c r="D203" s="488">
        <f>IF(A203="","",TODAY())</f>
        <v/>
      </c>
      <c r="E203" s="489" t="n"/>
      <c r="F203" s="490">
        <f>IF(OR(A203="",E203=""),"",IF(C203="","",C203+E203))</f>
        <v/>
      </c>
      <c r="G203" s="380" t="inlineStr">
        <is>
          <t>Agent 05</t>
        </is>
      </c>
      <c r="H203" s="491" t="n"/>
      <c r="I203" s="492">
        <f>IF(A203="","Pending",IF(H203="","⚠️ Enter Code",IF(IFERROR(VLOOKUP(G203,DB_Agents!$B:$I,8,0),"")=H203,IF(AND(A203&lt;&gt;"",E203&lt;&gt;""),"Saved","Pending"),"🔒 BLOCKED — Wrong Code")))</f>
        <v/>
      </c>
      <c r="J203" s="493">
        <f>IF(I203="Saved",TEXT(TODAY(),"YYYY-MM-DD")&amp;" Auto","—")</f>
        <v/>
      </c>
      <c r="K203" s="494" t="n"/>
    </row>
    <row r="204" ht="15" customHeight="1" s="341">
      <c r="A204" s="495" t="n"/>
      <c r="B204" s="382">
        <f>IF(A204="","",IFERROR(VLOOKUP(A204,DB_Customers!$A:$D,4,0),"❌ Account Not Found"))</f>
        <v/>
      </c>
      <c r="C204" s="496">
        <f>IF(A204="","",IFERROR(VLOOKUP(A204,DB_Customers!$A:$N,14,0),""))</f>
        <v/>
      </c>
      <c r="D204" s="497">
        <f>IF(A204="","",TODAY())</f>
        <v/>
      </c>
      <c r="E204" s="489" t="n"/>
      <c r="F204" s="498">
        <f>IF(OR(A204="",E204=""),"",IF(C204="","",C204+E204))</f>
        <v/>
      </c>
      <c r="G204" s="384" t="inlineStr">
        <is>
          <t>Agent 05</t>
        </is>
      </c>
      <c r="H204" s="491" t="n"/>
      <c r="I204" s="499">
        <f>IF(A204="","Pending",IF(H204="","⚠️ Enter Code",IF(IFERROR(VLOOKUP(G204,DB_Agents!$B:$I,8,0),"")=H204,IF(AND(A204&lt;&gt;"",E204&lt;&gt;""),"Saved","Pending"),"🔒 BLOCKED — Wrong Code")))</f>
        <v/>
      </c>
      <c r="J204" s="500">
        <f>IF(I204="Saved",TEXT(TODAY(),"YYYY-MM-DD")&amp;" Auto","—")</f>
        <v/>
      </c>
      <c r="K204" s="501" t="n"/>
    </row>
    <row r="205" ht="15" customHeight="1" s="341">
      <c r="A205" s="486" t="n"/>
      <c r="B205" s="378">
        <f>IF(A205="","",IFERROR(VLOOKUP(A205,DB_Customers!$A:$D,4,0),"❌ Account Not Found"))</f>
        <v/>
      </c>
      <c r="C205" s="487">
        <f>IF(A205="","",IFERROR(VLOOKUP(A205,DB_Customers!$A:$N,14,0),""))</f>
        <v/>
      </c>
      <c r="D205" s="488">
        <f>IF(A205="","",TODAY())</f>
        <v/>
      </c>
      <c r="E205" s="489" t="n"/>
      <c r="F205" s="490">
        <f>IF(OR(A205="",E205=""),"",IF(C205="","",C205+E205))</f>
        <v/>
      </c>
      <c r="G205" s="380" t="inlineStr">
        <is>
          <t>Agent 05</t>
        </is>
      </c>
      <c r="H205" s="491" t="n"/>
      <c r="I205" s="492">
        <f>IF(A205="","Pending",IF(H205="","⚠️ Enter Code",IF(IFERROR(VLOOKUP(G205,DB_Agents!$B:$I,8,0),"")=H205,IF(AND(A205&lt;&gt;"",E205&lt;&gt;""),"Saved","Pending"),"🔒 BLOCKED — Wrong Code")))</f>
        <v/>
      </c>
      <c r="J205" s="493">
        <f>IF(I205="Saved",TEXT(TODAY(),"YYYY-MM-DD")&amp;" Auto","—")</f>
        <v/>
      </c>
      <c r="K205" s="494" t="n"/>
    </row>
    <row r="206" ht="15" customHeight="1" s="341">
      <c r="A206" s="495" t="n"/>
      <c r="B206" s="382">
        <f>IF(A206="","",IFERROR(VLOOKUP(A206,DB_Customers!$A:$D,4,0),"❌ Account Not Found"))</f>
        <v/>
      </c>
      <c r="C206" s="496">
        <f>IF(A206="","",IFERROR(VLOOKUP(A206,DB_Customers!$A:$N,14,0),""))</f>
        <v/>
      </c>
      <c r="D206" s="497">
        <f>IF(A206="","",TODAY())</f>
        <v/>
      </c>
      <c r="E206" s="489" t="n"/>
      <c r="F206" s="498">
        <f>IF(OR(A206="",E206=""),"",IF(C206="","",C206+E206))</f>
        <v/>
      </c>
      <c r="G206" s="384" t="inlineStr">
        <is>
          <t>Agent 05</t>
        </is>
      </c>
      <c r="H206" s="491" t="n"/>
      <c r="I206" s="499">
        <f>IF(A206="","Pending",IF(H206="","⚠️ Enter Code",IF(IFERROR(VLOOKUP(G206,DB_Agents!$B:$I,8,0),"")=H206,IF(AND(A206&lt;&gt;"",E206&lt;&gt;""),"Saved","Pending"),"🔒 BLOCKED — Wrong Code")))</f>
        <v/>
      </c>
      <c r="J206" s="500">
        <f>IF(I206="Saved",TEXT(TODAY(),"YYYY-MM-DD")&amp;" Auto","—")</f>
        <v/>
      </c>
      <c r="K206" s="501" t="n"/>
    </row>
    <row r="207" ht="15" customHeight="1" s="341">
      <c r="A207" s="486" t="n"/>
      <c r="B207" s="378">
        <f>IF(A207="","",IFERROR(VLOOKUP(A207,DB_Customers!$A:$D,4,0),"❌ Account Not Found"))</f>
        <v/>
      </c>
      <c r="C207" s="487">
        <f>IF(A207="","",IFERROR(VLOOKUP(A207,DB_Customers!$A:$N,14,0),""))</f>
        <v/>
      </c>
      <c r="D207" s="488">
        <f>IF(A207="","",TODAY())</f>
        <v/>
      </c>
      <c r="E207" s="489" t="n"/>
      <c r="F207" s="490">
        <f>IF(OR(A207="",E207=""),"",IF(C207="","",C207+E207))</f>
        <v/>
      </c>
      <c r="G207" s="380" t="inlineStr">
        <is>
          <t>Agent 05</t>
        </is>
      </c>
      <c r="H207" s="491" t="n"/>
      <c r="I207" s="492">
        <f>IF(A207="","Pending",IF(H207="","⚠️ Enter Code",IF(IFERROR(VLOOKUP(G207,DB_Agents!$B:$I,8,0),"")=H207,IF(AND(A207&lt;&gt;"",E207&lt;&gt;""),"Saved","Pending"),"🔒 BLOCKED — Wrong Code")))</f>
        <v/>
      </c>
      <c r="J207" s="493">
        <f>IF(I207="Saved",TEXT(TODAY(),"YYYY-MM-DD")&amp;" Auto","—")</f>
        <v/>
      </c>
      <c r="K207" s="494" t="n"/>
    </row>
    <row r="208" ht="15" customHeight="1" s="341">
      <c r="A208" s="495" t="n"/>
      <c r="B208" s="382">
        <f>IF(A208="","",IFERROR(VLOOKUP(A208,DB_Customers!$A:$D,4,0),"❌ Account Not Found"))</f>
        <v/>
      </c>
      <c r="C208" s="496">
        <f>IF(A208="","",IFERROR(VLOOKUP(A208,DB_Customers!$A:$N,14,0),""))</f>
        <v/>
      </c>
      <c r="D208" s="497">
        <f>IF(A208="","",TODAY())</f>
        <v/>
      </c>
      <c r="E208" s="489" t="n"/>
      <c r="F208" s="498">
        <f>IF(OR(A208="",E208=""),"",IF(C208="","",C208+E208))</f>
        <v/>
      </c>
      <c r="G208" s="384" t="inlineStr">
        <is>
          <t>Agent 05</t>
        </is>
      </c>
      <c r="H208" s="491" t="n"/>
      <c r="I208" s="499">
        <f>IF(A208="","Pending",IF(H208="","⚠️ Enter Code",IF(IFERROR(VLOOKUP(G208,DB_Agents!$B:$I,8,0),"")=H208,IF(AND(A208&lt;&gt;"",E208&lt;&gt;""),"Saved","Pending"),"🔒 BLOCKED — Wrong Code")))</f>
        <v/>
      </c>
      <c r="J208" s="500">
        <f>IF(I208="Saved",TEXT(TODAY(),"YYYY-MM-DD")&amp;" Auto","—")</f>
        <v/>
      </c>
      <c r="K208" s="501" t="n"/>
    </row>
  </sheetData>
  <mergeCells count="12">
    <mergeCell ref="A2:L2"/>
    <mergeCell ref="A7:L7"/>
    <mergeCell ref="A1:L1"/>
    <mergeCell ref="A5:L5"/>
    <mergeCell ref="D4:F4"/>
    <mergeCell ref="D3:F3"/>
    <mergeCell ref="A3:C3"/>
    <mergeCell ref="G3:I3"/>
    <mergeCell ref="G4:I4"/>
    <mergeCell ref="J4:L4"/>
    <mergeCell ref="A4:C4"/>
    <mergeCell ref="J3:L3"/>
  </mergeCells>
  <conditionalFormatting sqref="H9:H208">
    <cfRule type="cellIs" rank="0" priority="2" equalAverage="0" operator="equal" aboveAverage="0" dxfId="0" text="" percent="0" bottom="0">
      <formula>"Saved"</formula>
    </cfRule>
    <cfRule type="cellIs" rank="0" priority="3" equalAverage="0" operator="equal" aboveAverage="0" dxfId="11" text="" percent="0" bottom="0">
      <formula>"Pending"</formula>
    </cfRule>
  </conditionalFormatting>
  <conditionalFormatting sqref="A9:J208">
    <cfRule type="expression" rank="0" priority="4" equalAverage="0" aboveAverage="0" dxfId="12" text="" percent="0" bottom="0">
      <formula>$H9="Saved"</formula>
    </cfRule>
  </conditionalFormatting>
  <dataValidations count="2">
    <dataValidation sqref="E9:E208" showDropDown="0" showInputMessage="0" showErrorMessage="1" allowBlank="0" error="Must be &gt; 0" type="decimal" errorStyle="stop" operator="greaterThan">
      <formula1>0</formula1>
      <formula2>0</formula2>
    </dataValidation>
    <dataValidation sqref="G9:G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9.xml><?xml version="1.0" encoding="utf-8"?>
<worksheet xmlns="http://schemas.openxmlformats.org/spreadsheetml/2006/main">
  <sheetPr filterMode="0">
    <tabColor rgb="FFC0392B"/>
    <outlinePr summaryBelow="1" summaryRight="1"/>
    <pageSetUpPr fitToPage="0"/>
  </sheetPr>
  <dimension ref="A1:M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5" customWidth="1" style="340" min="7" max="7"/>
    <col width="12" customWidth="1" style="340" min="8" max="8"/>
    <col width="14" customWidth="1" style="340" min="9" max="9"/>
    <col width="22" customWidth="1" style="340" min="10" max="10"/>
    <col width="20" customWidth="1" style="340" min="11" max="11"/>
  </cols>
  <sheetData>
    <row r="1" ht="31.5" customHeight="1" s="341">
      <c r="A1" s="502" t="inlineStr">
        <is>
          <t>🏧  SAMICIOUS MICROFINANCE — AGENT05 WITHDRAWALS</t>
        </is>
      </c>
    </row>
    <row r="2" ht="19.5" customHeight="1" s="341">
      <c r="A2" s="503" t="inlineStr">
        <is>
          <t>Agent: Agent 05  |  Status auto: "Successful" or "Unsuccessful" based on balance check  |  🔑 Security: Enter your 4-digit Agent Code in each row</t>
        </is>
      </c>
    </row>
    <row r="3" ht="18" customHeight="1" s="341">
      <c r="A3" s="365" t="inlineStr">
        <is>
          <t>🏧 Total Withdrawn Today</t>
        </is>
      </c>
      <c r="D3" s="364" t="inlineStr">
        <is>
          <t>✅ Successful</t>
        </is>
      </c>
      <c r="G3" s="368" t="inlineStr">
        <is>
          <t>❌ Unsuccessful</t>
        </is>
      </c>
      <c r="K3" s="439" t="inlineStr">
        <is>
          <t>📅 Date</t>
        </is>
      </c>
    </row>
    <row r="4" ht="27.75" customHeight="1" s="341">
      <c r="A4" s="504">
        <f>SUMIFS(DB_Withdrawals!$G:$G,DB_Withdrawals!$J:$J,"Agent 05",DB_Withdrawals!$F:$F,TODAY())</f>
        <v/>
      </c>
      <c r="D4" s="505">
        <f>COUNTIFS(DB_Withdrawals!$J:$J,"Agent 05",DB_Withdrawals!$K:$K,"Successful",DB_Withdrawals!$F:$F,TODAY())</f>
        <v/>
      </c>
      <c r="G4" s="506">
        <f>COUNTIFS(DB_Withdrawals!$J:$J,"Agent 05",DB_Withdrawals!$K:$K,"Unsuccessful",DB_Withdrawals!$F:$F,TODAY())</f>
        <v/>
      </c>
      <c r="K4" s="482">
        <f>TEXT(TODAY(),"DD MMM YYYY")</f>
        <v/>
      </c>
    </row>
    <row r="5" ht="19.5" customHeight="1" s="341">
      <c r="A5" s="507" t="inlineStr">
        <is>
          <t>⚠️  WITHDRAWALS — System auto-validates balance. Insufficient funds will show "Unsuccessful" status.</t>
        </is>
      </c>
    </row>
    <row r="6" ht="7.5" customHeight="1" s="341"/>
    <row r="7" ht="19.5" customHeight="1" s="341">
      <c r="A7" s="508" t="inlineStr">
        <is>
          <t>📝  ENTRY FORM — Enter Account # → Name, Balance, Date auto-populate. Enter Withdrawal Amount &amp; Authorized By. | Enter Agent Code in 🔑 column to authorize each transaction.</t>
        </is>
      </c>
    </row>
    <row r="8" ht="19.5" customHeight="1" s="341">
      <c r="A8" s="509" t="inlineStr">
        <is>
          <t>Account #</t>
        </is>
      </c>
      <c r="B8" s="509" t="inlineStr">
        <is>
          <t>Customer Name</t>
        </is>
      </c>
      <c r="C8" s="509" t="inlineStr">
        <is>
          <t>Available Balance</t>
        </is>
      </c>
      <c r="D8" s="509" t="inlineStr">
        <is>
          <t>Date</t>
        </is>
      </c>
      <c r="E8" s="509" t="inlineStr">
        <is>
          <t>Withdrawal Amt</t>
        </is>
      </c>
      <c r="F8" s="509" t="inlineStr">
        <is>
          <t>Authorized By</t>
        </is>
      </c>
      <c r="G8" s="509" t="inlineStr">
        <is>
          <t>New Balance</t>
        </is>
      </c>
      <c r="H8" s="509" t="inlineStr">
        <is>
          <t>Agent</t>
        </is>
      </c>
      <c r="I8" s="485" t="inlineStr">
        <is>
          <t>🔑 Agent Code</t>
        </is>
      </c>
      <c r="J8" s="509" t="inlineStr">
        <is>
          <t>Status</t>
        </is>
      </c>
      <c r="K8" s="509" t="inlineStr">
        <is>
          <t>Saved At</t>
        </is>
      </c>
      <c r="L8" s="509" t="inlineStr">
        <is>
          <t>Notes</t>
        </is>
      </c>
    </row>
    <row r="9" ht="15" customHeight="1" s="341">
      <c r="A9" s="486" t="n"/>
      <c r="B9" s="378">
        <f>IF(A9="","",IFERROR(VLOOKUP(A9,DB_Customers!$A:$D,4,0),"❌ Account Not Found"))</f>
        <v/>
      </c>
      <c r="C9" s="487">
        <f>IF(A9="","",IFERROR(VLOOKUP(A9,DB_Customers!$A:$N,14,0),""))</f>
        <v/>
      </c>
      <c r="D9" s="488">
        <f>IF(A9="","",TODAY())</f>
        <v/>
      </c>
      <c r="E9" s="510" t="n"/>
      <c r="F9" s="378" t="n"/>
      <c r="G9" s="511">
        <f>IF(OR(A9="",E9=""),"",IF(C9="","",C9-E9))</f>
        <v/>
      </c>
      <c r="H9" s="380" t="inlineStr">
        <is>
          <t>Agent 05</t>
        </is>
      </c>
      <c r="I9" s="491" t="n"/>
      <c r="J9" s="492">
        <f>IF(AND(A9&lt;&gt;"",E9&lt;&gt;""),IF(I9="","⚠️ Enter Code",IF(IFERROR(VLOOKUP(H9,DB_Agents!$B:$I,8,0),"")=I9,IF(C9&gt;=E9,"Successful","Unsuccessful"),"🔒 BLOCKED — Wrong Code")),"—")</f>
        <v/>
      </c>
      <c r="K9" s="493">
        <f>IF(J9="Successful",TEXT(TODAY(),"YYYY-MM-DD")&amp;" Auto","—")</f>
        <v/>
      </c>
      <c r="L9" s="494" t="n"/>
    </row>
    <row r="10" ht="15" customHeight="1" s="341">
      <c r="A10" s="495" t="n"/>
      <c r="B10" s="382">
        <f>IF(A10="","",IFERROR(VLOOKUP(A10,DB_Customers!$A:$D,4,0),"❌ Account Not Found"))</f>
        <v/>
      </c>
      <c r="C10" s="496">
        <f>IF(A10="","",IFERROR(VLOOKUP(A10,DB_Customers!$A:$N,14,0),""))</f>
        <v/>
      </c>
      <c r="D10" s="497">
        <f>IF(A10="","",TODAY())</f>
        <v/>
      </c>
      <c r="E10" s="510" t="n"/>
      <c r="F10" s="382" t="n"/>
      <c r="G10" s="512">
        <f>IF(OR(A10="",E10=""),"",IF(C10="","",C10-E10))</f>
        <v/>
      </c>
      <c r="H10" s="384" t="inlineStr">
        <is>
          <t>Agent 05</t>
        </is>
      </c>
      <c r="I10" s="491" t="n"/>
      <c r="J10" s="499">
        <f>IF(AND(A10&lt;&gt;"",E10&lt;&gt;""),IF(I10="","⚠️ Enter Code",IF(IFERROR(VLOOKUP(H10,DB_Agents!$B:$I,8,0),"")=I10,IF(C10&gt;=E10,"Successful","Unsuccessful"),"🔒 BLOCKED — Wrong Code")),"—")</f>
        <v/>
      </c>
      <c r="K10" s="500">
        <f>IF(J10="Successful",TEXT(TODAY(),"YYYY-MM-DD")&amp;" Auto","—")</f>
        <v/>
      </c>
      <c r="L10" s="501" t="n"/>
    </row>
    <row r="11" ht="15" customHeight="1" s="341">
      <c r="A11" s="486" t="n"/>
      <c r="B11" s="378">
        <f>IF(A11="","",IFERROR(VLOOKUP(A11,DB_Customers!$A:$D,4,0),"❌ Account Not Found"))</f>
        <v/>
      </c>
      <c r="C11" s="487">
        <f>IF(A11="","",IFERROR(VLOOKUP(A11,DB_Customers!$A:$N,14,0),""))</f>
        <v/>
      </c>
      <c r="D11" s="488">
        <f>IF(A11="","",TODAY())</f>
        <v/>
      </c>
      <c r="E11" s="510" t="n"/>
      <c r="F11" s="378" t="n"/>
      <c r="G11" s="511">
        <f>IF(OR(A11="",E11=""),"",IF(C11="","",C11-E11))</f>
        <v/>
      </c>
      <c r="H11" s="380" t="inlineStr">
        <is>
          <t>Agent 05</t>
        </is>
      </c>
      <c r="I11" s="491" t="n"/>
      <c r="J11" s="492">
        <f>IF(AND(A11&lt;&gt;"",E11&lt;&gt;""),IF(I11="","⚠️ Enter Code",IF(IFERROR(VLOOKUP(H11,DB_Agents!$B:$I,8,0),"")=I11,IF(C11&gt;=E11,"Successful","Unsuccessful"),"🔒 BLOCKED — Wrong Code")),"—")</f>
        <v/>
      </c>
      <c r="K11" s="493">
        <f>IF(J11="Successful",TEXT(TODAY(),"YYYY-MM-DD")&amp;" Auto","—")</f>
        <v/>
      </c>
      <c r="L11" s="494" t="n"/>
    </row>
    <row r="12" ht="15" customHeight="1" s="341">
      <c r="A12" s="495" t="n"/>
      <c r="B12" s="382">
        <f>IF(A12="","",IFERROR(VLOOKUP(A12,DB_Customers!$A:$D,4,0),"❌ Account Not Found"))</f>
        <v/>
      </c>
      <c r="C12" s="496">
        <f>IF(A12="","",IFERROR(VLOOKUP(A12,DB_Customers!$A:$N,14,0),""))</f>
        <v/>
      </c>
      <c r="D12" s="497">
        <f>IF(A12="","",TODAY())</f>
        <v/>
      </c>
      <c r="E12" s="510" t="n"/>
      <c r="F12" s="382" t="n"/>
      <c r="G12" s="512">
        <f>IF(OR(A12="",E12=""),"",IF(C12="","",C12-E12))</f>
        <v/>
      </c>
      <c r="H12" s="384" t="inlineStr">
        <is>
          <t>Agent 05</t>
        </is>
      </c>
      <c r="I12" s="491" t="n"/>
      <c r="J12" s="499">
        <f>IF(AND(A12&lt;&gt;"",E12&lt;&gt;""),IF(I12="","⚠️ Enter Code",IF(IFERROR(VLOOKUP(H12,DB_Agents!$B:$I,8,0),"")=I12,IF(C12&gt;=E12,"Successful","Unsuccessful"),"🔒 BLOCKED — Wrong Code")),"—")</f>
        <v/>
      </c>
      <c r="K12" s="500">
        <f>IF(J12="Successful",TEXT(TODAY(),"YYYY-MM-DD")&amp;" Auto","—")</f>
        <v/>
      </c>
      <c r="L12" s="501" t="n"/>
    </row>
    <row r="13" ht="15" customHeight="1" s="341">
      <c r="A13" s="486" t="n"/>
      <c r="B13" s="378">
        <f>IF(A13="","",IFERROR(VLOOKUP(A13,DB_Customers!$A:$D,4,0),"❌ Account Not Found"))</f>
        <v/>
      </c>
      <c r="C13" s="487">
        <f>IF(A13="","",IFERROR(VLOOKUP(A13,DB_Customers!$A:$N,14,0),""))</f>
        <v/>
      </c>
      <c r="D13" s="488">
        <f>IF(A13="","",TODAY())</f>
        <v/>
      </c>
      <c r="E13" s="510" t="n"/>
      <c r="F13" s="378" t="n"/>
      <c r="G13" s="511">
        <f>IF(OR(A13="",E13=""),"",IF(C13="","",C13-E13))</f>
        <v/>
      </c>
      <c r="H13" s="380" t="inlineStr">
        <is>
          <t>Agent 05</t>
        </is>
      </c>
      <c r="I13" s="491" t="n"/>
      <c r="J13" s="492">
        <f>IF(AND(A13&lt;&gt;"",E13&lt;&gt;""),IF(I13="","⚠️ Enter Code",IF(IFERROR(VLOOKUP(H13,DB_Agents!$B:$I,8,0),"")=I13,IF(C13&gt;=E13,"Successful","Unsuccessful"),"🔒 BLOCKED — Wrong Code")),"—")</f>
        <v/>
      </c>
      <c r="K13" s="493">
        <f>IF(J13="Successful",TEXT(TODAY(),"YYYY-MM-DD")&amp;" Auto","—")</f>
        <v/>
      </c>
      <c r="L13" s="494" t="n"/>
    </row>
    <row r="14" ht="15" customHeight="1" s="341">
      <c r="A14" s="495" t="n"/>
      <c r="B14" s="382">
        <f>IF(A14="","",IFERROR(VLOOKUP(A14,DB_Customers!$A:$D,4,0),"❌ Account Not Found"))</f>
        <v/>
      </c>
      <c r="C14" s="496">
        <f>IF(A14="","",IFERROR(VLOOKUP(A14,DB_Customers!$A:$N,14,0),""))</f>
        <v/>
      </c>
      <c r="D14" s="497">
        <f>IF(A14="","",TODAY())</f>
        <v/>
      </c>
      <c r="E14" s="510" t="n"/>
      <c r="F14" s="382" t="n"/>
      <c r="G14" s="512">
        <f>IF(OR(A14="",E14=""),"",IF(C14="","",C14-E14))</f>
        <v/>
      </c>
      <c r="H14" s="384" t="inlineStr">
        <is>
          <t>Agent 05</t>
        </is>
      </c>
      <c r="I14" s="491" t="n"/>
      <c r="J14" s="499">
        <f>IF(AND(A14&lt;&gt;"",E14&lt;&gt;""),IF(I14="","⚠️ Enter Code",IF(IFERROR(VLOOKUP(H14,DB_Agents!$B:$I,8,0),"")=I14,IF(C14&gt;=E14,"Successful","Unsuccessful"),"🔒 BLOCKED — Wrong Code")),"—")</f>
        <v/>
      </c>
      <c r="K14" s="500">
        <f>IF(J14="Successful",TEXT(TODAY(),"YYYY-MM-DD")&amp;" Auto","—")</f>
        <v/>
      </c>
      <c r="L14" s="501" t="n"/>
    </row>
    <row r="15" ht="15" customHeight="1" s="341">
      <c r="A15" s="486" t="n"/>
      <c r="B15" s="378">
        <f>IF(A15="","",IFERROR(VLOOKUP(A15,DB_Customers!$A:$D,4,0),"❌ Account Not Found"))</f>
        <v/>
      </c>
      <c r="C15" s="487">
        <f>IF(A15="","",IFERROR(VLOOKUP(A15,DB_Customers!$A:$N,14,0),""))</f>
        <v/>
      </c>
      <c r="D15" s="488">
        <f>IF(A15="","",TODAY())</f>
        <v/>
      </c>
      <c r="E15" s="510" t="n"/>
      <c r="F15" s="378" t="n"/>
      <c r="G15" s="511">
        <f>IF(OR(A15="",E15=""),"",IF(C15="","",C15-E15))</f>
        <v/>
      </c>
      <c r="H15" s="380" t="inlineStr">
        <is>
          <t>Agent 05</t>
        </is>
      </c>
      <c r="I15" s="491" t="n"/>
      <c r="J15" s="492">
        <f>IF(AND(A15&lt;&gt;"",E15&lt;&gt;""),IF(I15="","⚠️ Enter Code",IF(IFERROR(VLOOKUP(H15,DB_Agents!$B:$I,8,0),"")=I15,IF(C15&gt;=E15,"Successful","Unsuccessful"),"🔒 BLOCKED — Wrong Code")),"—")</f>
        <v/>
      </c>
      <c r="K15" s="493">
        <f>IF(J15="Successful",TEXT(TODAY(),"YYYY-MM-DD")&amp;" Auto","—")</f>
        <v/>
      </c>
      <c r="L15" s="494" t="n"/>
    </row>
    <row r="16" ht="15" customHeight="1" s="341">
      <c r="A16" s="495" t="n"/>
      <c r="B16" s="382">
        <f>IF(A16="","",IFERROR(VLOOKUP(A16,DB_Customers!$A:$D,4,0),"❌ Account Not Found"))</f>
        <v/>
      </c>
      <c r="C16" s="496">
        <f>IF(A16="","",IFERROR(VLOOKUP(A16,DB_Customers!$A:$N,14,0),""))</f>
        <v/>
      </c>
      <c r="D16" s="497">
        <f>IF(A16="","",TODAY())</f>
        <v/>
      </c>
      <c r="E16" s="510" t="n"/>
      <c r="F16" s="382" t="n"/>
      <c r="G16" s="512">
        <f>IF(OR(A16="",E16=""),"",IF(C16="","",C16-E16))</f>
        <v/>
      </c>
      <c r="H16" s="384" t="inlineStr">
        <is>
          <t>Agent 05</t>
        </is>
      </c>
      <c r="I16" s="491" t="n"/>
      <c r="J16" s="499">
        <f>IF(AND(A16&lt;&gt;"",E16&lt;&gt;""),IF(I16="","⚠️ Enter Code",IF(IFERROR(VLOOKUP(H16,DB_Agents!$B:$I,8,0),"")=I16,IF(C16&gt;=E16,"Successful","Unsuccessful"),"🔒 BLOCKED — Wrong Code")),"—")</f>
        <v/>
      </c>
      <c r="K16" s="500">
        <f>IF(J16="Successful",TEXT(TODAY(),"YYYY-MM-DD")&amp;" Auto","—")</f>
        <v/>
      </c>
      <c r="L16" s="501" t="n"/>
    </row>
    <row r="17" ht="15" customHeight="1" s="341">
      <c r="A17" s="486" t="n"/>
      <c r="B17" s="378">
        <f>IF(A17="","",IFERROR(VLOOKUP(A17,DB_Customers!$A:$D,4,0),"❌ Account Not Found"))</f>
        <v/>
      </c>
      <c r="C17" s="487">
        <f>IF(A17="","",IFERROR(VLOOKUP(A17,DB_Customers!$A:$N,14,0),""))</f>
        <v/>
      </c>
      <c r="D17" s="488">
        <f>IF(A17="","",TODAY())</f>
        <v/>
      </c>
      <c r="E17" s="510" t="n"/>
      <c r="F17" s="378" t="n"/>
      <c r="G17" s="511">
        <f>IF(OR(A17="",E17=""),"",IF(C17="","",C17-E17))</f>
        <v/>
      </c>
      <c r="H17" s="380" t="inlineStr">
        <is>
          <t>Agent 05</t>
        </is>
      </c>
      <c r="I17" s="491" t="n"/>
      <c r="J17" s="492">
        <f>IF(AND(A17&lt;&gt;"",E17&lt;&gt;""),IF(I17="","⚠️ Enter Code",IF(IFERROR(VLOOKUP(H17,DB_Agents!$B:$I,8,0),"")=I17,IF(C17&gt;=E17,"Successful","Unsuccessful"),"🔒 BLOCKED — Wrong Code")),"—")</f>
        <v/>
      </c>
      <c r="K17" s="493">
        <f>IF(J17="Successful",TEXT(TODAY(),"YYYY-MM-DD")&amp;" Auto","—")</f>
        <v/>
      </c>
      <c r="L17" s="494" t="n"/>
    </row>
    <row r="18" ht="15" customHeight="1" s="341">
      <c r="A18" s="495" t="n"/>
      <c r="B18" s="382">
        <f>IF(A18="","",IFERROR(VLOOKUP(A18,DB_Customers!$A:$D,4,0),"❌ Account Not Found"))</f>
        <v/>
      </c>
      <c r="C18" s="496">
        <f>IF(A18="","",IFERROR(VLOOKUP(A18,DB_Customers!$A:$N,14,0),""))</f>
        <v/>
      </c>
      <c r="D18" s="497">
        <f>IF(A18="","",TODAY())</f>
        <v/>
      </c>
      <c r="E18" s="510" t="n"/>
      <c r="F18" s="382" t="n"/>
      <c r="G18" s="512">
        <f>IF(OR(A18="",E18=""),"",IF(C18="","",C18-E18))</f>
        <v/>
      </c>
      <c r="H18" s="384" t="inlineStr">
        <is>
          <t>Agent 05</t>
        </is>
      </c>
      <c r="I18" s="491" t="n"/>
      <c r="J18" s="499">
        <f>IF(AND(A18&lt;&gt;"",E18&lt;&gt;""),IF(I18="","⚠️ Enter Code",IF(IFERROR(VLOOKUP(H18,DB_Agents!$B:$I,8,0),"")=I18,IF(C18&gt;=E18,"Successful","Unsuccessful"),"🔒 BLOCKED — Wrong Code")),"—")</f>
        <v/>
      </c>
      <c r="K18" s="500">
        <f>IF(J18="Successful",TEXT(TODAY(),"YYYY-MM-DD")&amp;" Auto","—")</f>
        <v/>
      </c>
      <c r="L18" s="501" t="n"/>
    </row>
    <row r="19" ht="15" customHeight="1" s="341">
      <c r="A19" s="486" t="n"/>
      <c r="B19" s="378">
        <f>IF(A19="","",IFERROR(VLOOKUP(A19,DB_Customers!$A:$D,4,0),"❌ Account Not Found"))</f>
        <v/>
      </c>
      <c r="C19" s="487">
        <f>IF(A19="","",IFERROR(VLOOKUP(A19,DB_Customers!$A:$N,14,0),""))</f>
        <v/>
      </c>
      <c r="D19" s="488">
        <f>IF(A19="","",TODAY())</f>
        <v/>
      </c>
      <c r="E19" s="510" t="n"/>
      <c r="F19" s="378" t="n"/>
      <c r="G19" s="511">
        <f>IF(OR(A19="",E19=""),"",IF(C19="","",C19-E19))</f>
        <v/>
      </c>
      <c r="H19" s="380" t="inlineStr">
        <is>
          <t>Agent 05</t>
        </is>
      </c>
      <c r="I19" s="491" t="n"/>
      <c r="J19" s="492">
        <f>IF(AND(A19&lt;&gt;"",E19&lt;&gt;""),IF(I19="","⚠️ Enter Code",IF(IFERROR(VLOOKUP(H19,DB_Agents!$B:$I,8,0),"")=I19,IF(C19&gt;=E19,"Successful","Unsuccessful"),"🔒 BLOCKED — Wrong Code")),"—")</f>
        <v/>
      </c>
      <c r="K19" s="493">
        <f>IF(J19="Successful",TEXT(TODAY(),"YYYY-MM-DD")&amp;" Auto","—")</f>
        <v/>
      </c>
      <c r="L19" s="494" t="n"/>
    </row>
    <row r="20" ht="15" customHeight="1" s="341">
      <c r="A20" s="495" t="n"/>
      <c r="B20" s="382">
        <f>IF(A20="","",IFERROR(VLOOKUP(A20,DB_Customers!$A:$D,4,0),"❌ Account Not Found"))</f>
        <v/>
      </c>
      <c r="C20" s="496">
        <f>IF(A20="","",IFERROR(VLOOKUP(A20,DB_Customers!$A:$N,14,0),""))</f>
        <v/>
      </c>
      <c r="D20" s="497">
        <f>IF(A20="","",TODAY())</f>
        <v/>
      </c>
      <c r="E20" s="510" t="n"/>
      <c r="F20" s="382" t="n"/>
      <c r="G20" s="512">
        <f>IF(OR(A20="",E20=""),"",IF(C20="","",C20-E20))</f>
        <v/>
      </c>
      <c r="H20" s="384" t="inlineStr">
        <is>
          <t>Agent 05</t>
        </is>
      </c>
      <c r="I20" s="491" t="n"/>
      <c r="J20" s="499">
        <f>IF(AND(A20&lt;&gt;"",E20&lt;&gt;""),IF(I20="","⚠️ Enter Code",IF(IFERROR(VLOOKUP(H20,DB_Agents!$B:$I,8,0),"")=I20,IF(C20&gt;=E20,"Successful","Unsuccessful"),"🔒 BLOCKED — Wrong Code")),"—")</f>
        <v/>
      </c>
      <c r="K20" s="500">
        <f>IF(J20="Successful",TEXT(TODAY(),"YYYY-MM-DD")&amp;" Auto","—")</f>
        <v/>
      </c>
      <c r="L20" s="501" t="n"/>
    </row>
    <row r="21" ht="15" customHeight="1" s="341">
      <c r="A21" s="486" t="n"/>
      <c r="B21" s="378">
        <f>IF(A21="","",IFERROR(VLOOKUP(A21,DB_Customers!$A:$D,4,0),"❌ Account Not Found"))</f>
        <v/>
      </c>
      <c r="C21" s="487">
        <f>IF(A21="","",IFERROR(VLOOKUP(A21,DB_Customers!$A:$N,14,0),""))</f>
        <v/>
      </c>
      <c r="D21" s="488">
        <f>IF(A21="","",TODAY())</f>
        <v/>
      </c>
      <c r="E21" s="510" t="n"/>
      <c r="F21" s="378" t="n"/>
      <c r="G21" s="511">
        <f>IF(OR(A21="",E21=""),"",IF(C21="","",C21-E21))</f>
        <v/>
      </c>
      <c r="H21" s="380" t="inlineStr">
        <is>
          <t>Agent 05</t>
        </is>
      </c>
      <c r="I21" s="491" t="n"/>
      <c r="J21" s="492">
        <f>IF(AND(A21&lt;&gt;"",E21&lt;&gt;""),IF(I21="","⚠️ Enter Code",IF(IFERROR(VLOOKUP(H21,DB_Agents!$B:$I,8,0),"")=I21,IF(C21&gt;=E21,"Successful","Unsuccessful"),"🔒 BLOCKED — Wrong Code")),"—")</f>
        <v/>
      </c>
      <c r="K21" s="493">
        <f>IF(J21="Successful",TEXT(TODAY(),"YYYY-MM-DD")&amp;" Auto","—")</f>
        <v/>
      </c>
      <c r="L21" s="494" t="n"/>
    </row>
    <row r="22" ht="15" customHeight="1" s="341">
      <c r="A22" s="495" t="n"/>
      <c r="B22" s="382">
        <f>IF(A22="","",IFERROR(VLOOKUP(A22,DB_Customers!$A:$D,4,0),"❌ Account Not Found"))</f>
        <v/>
      </c>
      <c r="C22" s="496">
        <f>IF(A22="","",IFERROR(VLOOKUP(A22,DB_Customers!$A:$N,14,0),""))</f>
        <v/>
      </c>
      <c r="D22" s="497">
        <f>IF(A22="","",TODAY())</f>
        <v/>
      </c>
      <c r="E22" s="510" t="n"/>
      <c r="F22" s="382" t="n"/>
      <c r="G22" s="512">
        <f>IF(OR(A22="",E22=""),"",IF(C22="","",C22-E22))</f>
        <v/>
      </c>
      <c r="H22" s="384" t="inlineStr">
        <is>
          <t>Agent 05</t>
        </is>
      </c>
      <c r="I22" s="491" t="n"/>
      <c r="J22" s="499">
        <f>IF(AND(A22&lt;&gt;"",E22&lt;&gt;""),IF(I22="","⚠️ Enter Code",IF(IFERROR(VLOOKUP(H22,DB_Agents!$B:$I,8,0),"")=I22,IF(C22&gt;=E22,"Successful","Unsuccessful"),"🔒 BLOCKED — Wrong Code")),"—")</f>
        <v/>
      </c>
      <c r="K22" s="500">
        <f>IF(J22="Successful",TEXT(TODAY(),"YYYY-MM-DD")&amp;" Auto","—")</f>
        <v/>
      </c>
      <c r="L22" s="501" t="n"/>
    </row>
    <row r="23" ht="15" customHeight="1" s="341">
      <c r="A23" s="486" t="n"/>
      <c r="B23" s="378">
        <f>IF(A23="","",IFERROR(VLOOKUP(A23,DB_Customers!$A:$D,4,0),"❌ Account Not Found"))</f>
        <v/>
      </c>
      <c r="C23" s="487">
        <f>IF(A23="","",IFERROR(VLOOKUP(A23,DB_Customers!$A:$N,14,0),""))</f>
        <v/>
      </c>
      <c r="D23" s="488">
        <f>IF(A23="","",TODAY())</f>
        <v/>
      </c>
      <c r="E23" s="510" t="n"/>
      <c r="F23" s="378" t="n"/>
      <c r="G23" s="511">
        <f>IF(OR(A23="",E23=""),"",IF(C23="","",C23-E23))</f>
        <v/>
      </c>
      <c r="H23" s="380" t="inlineStr">
        <is>
          <t>Agent 05</t>
        </is>
      </c>
      <c r="I23" s="491" t="n"/>
      <c r="J23" s="492">
        <f>IF(AND(A23&lt;&gt;"",E23&lt;&gt;""),IF(I23="","⚠️ Enter Code",IF(IFERROR(VLOOKUP(H23,DB_Agents!$B:$I,8,0),"")=I23,IF(C23&gt;=E23,"Successful","Unsuccessful"),"🔒 BLOCKED — Wrong Code")),"—")</f>
        <v/>
      </c>
      <c r="K23" s="493">
        <f>IF(J23="Successful",TEXT(TODAY(),"YYYY-MM-DD")&amp;" Auto","—")</f>
        <v/>
      </c>
      <c r="L23" s="494" t="n"/>
    </row>
    <row r="24" ht="15" customHeight="1" s="341">
      <c r="A24" s="495" t="n"/>
      <c r="B24" s="382">
        <f>IF(A24="","",IFERROR(VLOOKUP(A24,DB_Customers!$A:$D,4,0),"❌ Account Not Found"))</f>
        <v/>
      </c>
      <c r="C24" s="496">
        <f>IF(A24="","",IFERROR(VLOOKUP(A24,DB_Customers!$A:$N,14,0),""))</f>
        <v/>
      </c>
      <c r="D24" s="497">
        <f>IF(A24="","",TODAY())</f>
        <v/>
      </c>
      <c r="E24" s="510" t="n"/>
      <c r="F24" s="382" t="n"/>
      <c r="G24" s="512">
        <f>IF(OR(A24="",E24=""),"",IF(C24="","",C24-E24))</f>
        <v/>
      </c>
      <c r="H24" s="384" t="inlineStr">
        <is>
          <t>Agent 05</t>
        </is>
      </c>
      <c r="I24" s="491" t="n"/>
      <c r="J24" s="499">
        <f>IF(AND(A24&lt;&gt;"",E24&lt;&gt;""),IF(I24="","⚠️ Enter Code",IF(IFERROR(VLOOKUP(H24,DB_Agents!$B:$I,8,0),"")=I24,IF(C24&gt;=E24,"Successful","Unsuccessful"),"🔒 BLOCKED — Wrong Code")),"—")</f>
        <v/>
      </c>
      <c r="K24" s="500">
        <f>IF(J24="Successful",TEXT(TODAY(),"YYYY-MM-DD")&amp;" Auto","—")</f>
        <v/>
      </c>
      <c r="L24" s="501" t="n"/>
    </row>
    <row r="25" ht="15" customHeight="1" s="341">
      <c r="A25" s="486" t="n"/>
      <c r="B25" s="378">
        <f>IF(A25="","",IFERROR(VLOOKUP(A25,DB_Customers!$A:$D,4,0),"❌ Account Not Found"))</f>
        <v/>
      </c>
      <c r="C25" s="487">
        <f>IF(A25="","",IFERROR(VLOOKUP(A25,DB_Customers!$A:$N,14,0),""))</f>
        <v/>
      </c>
      <c r="D25" s="488">
        <f>IF(A25="","",TODAY())</f>
        <v/>
      </c>
      <c r="E25" s="510" t="n"/>
      <c r="F25" s="378" t="n"/>
      <c r="G25" s="511">
        <f>IF(OR(A25="",E25=""),"",IF(C25="","",C25-E25))</f>
        <v/>
      </c>
      <c r="H25" s="380" t="inlineStr">
        <is>
          <t>Agent 05</t>
        </is>
      </c>
      <c r="I25" s="491" t="n"/>
      <c r="J25" s="492">
        <f>IF(AND(A25&lt;&gt;"",E25&lt;&gt;""),IF(I25="","⚠️ Enter Code",IF(IFERROR(VLOOKUP(H25,DB_Agents!$B:$I,8,0),"")=I25,IF(C25&gt;=E25,"Successful","Unsuccessful"),"🔒 BLOCKED — Wrong Code")),"—")</f>
        <v/>
      </c>
      <c r="K25" s="493">
        <f>IF(J25="Successful",TEXT(TODAY(),"YYYY-MM-DD")&amp;" Auto","—")</f>
        <v/>
      </c>
      <c r="L25" s="494" t="n"/>
    </row>
    <row r="26" ht="15" customHeight="1" s="341">
      <c r="A26" s="495" t="n"/>
      <c r="B26" s="382">
        <f>IF(A26="","",IFERROR(VLOOKUP(A26,DB_Customers!$A:$D,4,0),"❌ Account Not Found"))</f>
        <v/>
      </c>
      <c r="C26" s="496">
        <f>IF(A26="","",IFERROR(VLOOKUP(A26,DB_Customers!$A:$N,14,0),""))</f>
        <v/>
      </c>
      <c r="D26" s="497">
        <f>IF(A26="","",TODAY())</f>
        <v/>
      </c>
      <c r="E26" s="510" t="n"/>
      <c r="F26" s="382" t="n"/>
      <c r="G26" s="512">
        <f>IF(OR(A26="",E26=""),"",IF(C26="","",C26-E26))</f>
        <v/>
      </c>
      <c r="H26" s="384" t="inlineStr">
        <is>
          <t>Agent 05</t>
        </is>
      </c>
      <c r="I26" s="491" t="n"/>
      <c r="J26" s="499">
        <f>IF(AND(A26&lt;&gt;"",E26&lt;&gt;""),IF(I26="","⚠️ Enter Code",IF(IFERROR(VLOOKUP(H26,DB_Agents!$B:$I,8,0),"")=I26,IF(C26&gt;=E26,"Successful","Unsuccessful"),"🔒 BLOCKED — Wrong Code")),"—")</f>
        <v/>
      </c>
      <c r="K26" s="500">
        <f>IF(J26="Successful",TEXT(TODAY(),"YYYY-MM-DD")&amp;" Auto","—")</f>
        <v/>
      </c>
      <c r="L26" s="501" t="n"/>
    </row>
    <row r="27" ht="15" customHeight="1" s="341">
      <c r="A27" s="486" t="n"/>
      <c r="B27" s="378">
        <f>IF(A27="","",IFERROR(VLOOKUP(A27,DB_Customers!$A:$D,4,0),"❌ Account Not Found"))</f>
        <v/>
      </c>
      <c r="C27" s="487">
        <f>IF(A27="","",IFERROR(VLOOKUP(A27,DB_Customers!$A:$N,14,0),""))</f>
        <v/>
      </c>
      <c r="D27" s="488">
        <f>IF(A27="","",TODAY())</f>
        <v/>
      </c>
      <c r="E27" s="510" t="n"/>
      <c r="F27" s="378" t="n"/>
      <c r="G27" s="511">
        <f>IF(OR(A27="",E27=""),"",IF(C27="","",C27-E27))</f>
        <v/>
      </c>
      <c r="H27" s="380" t="inlineStr">
        <is>
          <t>Agent 05</t>
        </is>
      </c>
      <c r="I27" s="491" t="n"/>
      <c r="J27" s="492">
        <f>IF(AND(A27&lt;&gt;"",E27&lt;&gt;""),IF(I27="","⚠️ Enter Code",IF(IFERROR(VLOOKUP(H27,DB_Agents!$B:$I,8,0),"")=I27,IF(C27&gt;=E27,"Successful","Unsuccessful"),"🔒 BLOCKED — Wrong Code")),"—")</f>
        <v/>
      </c>
      <c r="K27" s="493">
        <f>IF(J27="Successful",TEXT(TODAY(),"YYYY-MM-DD")&amp;" Auto","—")</f>
        <v/>
      </c>
      <c r="L27" s="494" t="n"/>
    </row>
    <row r="28" ht="15" customHeight="1" s="341">
      <c r="A28" s="495" t="n"/>
      <c r="B28" s="382">
        <f>IF(A28="","",IFERROR(VLOOKUP(A28,DB_Customers!$A:$D,4,0),"❌ Account Not Found"))</f>
        <v/>
      </c>
      <c r="C28" s="496">
        <f>IF(A28="","",IFERROR(VLOOKUP(A28,DB_Customers!$A:$N,14,0),""))</f>
        <v/>
      </c>
      <c r="D28" s="497">
        <f>IF(A28="","",TODAY())</f>
        <v/>
      </c>
      <c r="E28" s="510" t="n"/>
      <c r="F28" s="382" t="n"/>
      <c r="G28" s="512">
        <f>IF(OR(A28="",E28=""),"",IF(C28="","",C28-E28))</f>
        <v/>
      </c>
      <c r="H28" s="384" t="inlineStr">
        <is>
          <t>Agent 05</t>
        </is>
      </c>
      <c r="I28" s="491" t="n"/>
      <c r="J28" s="499">
        <f>IF(AND(A28&lt;&gt;"",E28&lt;&gt;""),IF(I28="","⚠️ Enter Code",IF(IFERROR(VLOOKUP(H28,DB_Agents!$B:$I,8,0),"")=I28,IF(C28&gt;=E28,"Successful","Unsuccessful"),"🔒 BLOCKED — Wrong Code")),"—")</f>
        <v/>
      </c>
      <c r="K28" s="500">
        <f>IF(J28="Successful",TEXT(TODAY(),"YYYY-MM-DD")&amp;" Auto","—")</f>
        <v/>
      </c>
      <c r="L28" s="501" t="n"/>
    </row>
    <row r="29" ht="15" customHeight="1" s="341">
      <c r="A29" s="486" t="n"/>
      <c r="B29" s="378">
        <f>IF(A29="","",IFERROR(VLOOKUP(A29,DB_Customers!$A:$D,4,0),"❌ Account Not Found"))</f>
        <v/>
      </c>
      <c r="C29" s="487">
        <f>IF(A29="","",IFERROR(VLOOKUP(A29,DB_Customers!$A:$N,14,0),""))</f>
        <v/>
      </c>
      <c r="D29" s="488">
        <f>IF(A29="","",TODAY())</f>
        <v/>
      </c>
      <c r="E29" s="510" t="n"/>
      <c r="F29" s="378" t="n"/>
      <c r="G29" s="511">
        <f>IF(OR(A29="",E29=""),"",IF(C29="","",C29-E29))</f>
        <v/>
      </c>
      <c r="H29" s="380" t="inlineStr">
        <is>
          <t>Agent 05</t>
        </is>
      </c>
      <c r="I29" s="491" t="n"/>
      <c r="J29" s="492">
        <f>IF(AND(A29&lt;&gt;"",E29&lt;&gt;""),IF(I29="","⚠️ Enter Code",IF(IFERROR(VLOOKUP(H29,DB_Agents!$B:$I,8,0),"")=I29,IF(C29&gt;=E29,"Successful","Unsuccessful"),"🔒 BLOCKED — Wrong Code")),"—")</f>
        <v/>
      </c>
      <c r="K29" s="493">
        <f>IF(J29="Successful",TEXT(TODAY(),"YYYY-MM-DD")&amp;" Auto","—")</f>
        <v/>
      </c>
      <c r="L29" s="494" t="n"/>
    </row>
    <row r="30" ht="15" customHeight="1" s="341">
      <c r="A30" s="495" t="n"/>
      <c r="B30" s="382">
        <f>IF(A30="","",IFERROR(VLOOKUP(A30,DB_Customers!$A:$D,4,0),"❌ Account Not Found"))</f>
        <v/>
      </c>
      <c r="C30" s="496">
        <f>IF(A30="","",IFERROR(VLOOKUP(A30,DB_Customers!$A:$N,14,0),""))</f>
        <v/>
      </c>
      <c r="D30" s="497">
        <f>IF(A30="","",TODAY())</f>
        <v/>
      </c>
      <c r="E30" s="510" t="n"/>
      <c r="F30" s="382" t="n"/>
      <c r="G30" s="512">
        <f>IF(OR(A30="",E30=""),"",IF(C30="","",C30-E30))</f>
        <v/>
      </c>
      <c r="H30" s="384" t="inlineStr">
        <is>
          <t>Agent 05</t>
        </is>
      </c>
      <c r="I30" s="491" t="n"/>
      <c r="J30" s="499">
        <f>IF(AND(A30&lt;&gt;"",E30&lt;&gt;""),IF(I30="","⚠️ Enter Code",IF(IFERROR(VLOOKUP(H30,DB_Agents!$B:$I,8,0),"")=I30,IF(C30&gt;=E30,"Successful","Unsuccessful"),"🔒 BLOCKED — Wrong Code")),"—")</f>
        <v/>
      </c>
      <c r="K30" s="500">
        <f>IF(J30="Successful",TEXT(TODAY(),"YYYY-MM-DD")&amp;" Auto","—")</f>
        <v/>
      </c>
      <c r="L30" s="501" t="n"/>
    </row>
    <row r="31" ht="15" customHeight="1" s="341">
      <c r="A31" s="486" t="n"/>
      <c r="B31" s="378">
        <f>IF(A31="","",IFERROR(VLOOKUP(A31,DB_Customers!$A:$D,4,0),"❌ Account Not Found"))</f>
        <v/>
      </c>
      <c r="C31" s="487">
        <f>IF(A31="","",IFERROR(VLOOKUP(A31,DB_Customers!$A:$N,14,0),""))</f>
        <v/>
      </c>
      <c r="D31" s="488">
        <f>IF(A31="","",TODAY())</f>
        <v/>
      </c>
      <c r="E31" s="510" t="n"/>
      <c r="F31" s="378" t="n"/>
      <c r="G31" s="511">
        <f>IF(OR(A31="",E31=""),"",IF(C31="","",C31-E31))</f>
        <v/>
      </c>
      <c r="H31" s="380" t="inlineStr">
        <is>
          <t>Agent 05</t>
        </is>
      </c>
      <c r="I31" s="491" t="n"/>
      <c r="J31" s="492">
        <f>IF(AND(A31&lt;&gt;"",E31&lt;&gt;""),IF(I31="","⚠️ Enter Code",IF(IFERROR(VLOOKUP(H31,DB_Agents!$B:$I,8,0),"")=I31,IF(C31&gt;=E31,"Successful","Unsuccessful"),"🔒 BLOCKED — Wrong Code")),"—")</f>
        <v/>
      </c>
      <c r="K31" s="493">
        <f>IF(J31="Successful",TEXT(TODAY(),"YYYY-MM-DD")&amp;" Auto","—")</f>
        <v/>
      </c>
      <c r="L31" s="494" t="n"/>
    </row>
    <row r="32" ht="15" customHeight="1" s="341">
      <c r="A32" s="495" t="n"/>
      <c r="B32" s="382">
        <f>IF(A32="","",IFERROR(VLOOKUP(A32,DB_Customers!$A:$D,4,0),"❌ Account Not Found"))</f>
        <v/>
      </c>
      <c r="C32" s="496">
        <f>IF(A32="","",IFERROR(VLOOKUP(A32,DB_Customers!$A:$N,14,0),""))</f>
        <v/>
      </c>
      <c r="D32" s="497">
        <f>IF(A32="","",TODAY())</f>
        <v/>
      </c>
      <c r="E32" s="510" t="n"/>
      <c r="F32" s="382" t="n"/>
      <c r="G32" s="512">
        <f>IF(OR(A32="",E32=""),"",IF(C32="","",C32-E32))</f>
        <v/>
      </c>
      <c r="H32" s="384" t="inlineStr">
        <is>
          <t>Agent 05</t>
        </is>
      </c>
      <c r="I32" s="491" t="n"/>
      <c r="J32" s="499">
        <f>IF(AND(A32&lt;&gt;"",E32&lt;&gt;""),IF(I32="","⚠️ Enter Code",IF(IFERROR(VLOOKUP(H32,DB_Agents!$B:$I,8,0),"")=I32,IF(C32&gt;=E32,"Successful","Unsuccessful"),"🔒 BLOCKED — Wrong Code")),"—")</f>
        <v/>
      </c>
      <c r="K32" s="500">
        <f>IF(J32="Successful",TEXT(TODAY(),"YYYY-MM-DD")&amp;" Auto","—")</f>
        <v/>
      </c>
      <c r="L32" s="501" t="n"/>
    </row>
    <row r="33" ht="15" customHeight="1" s="341">
      <c r="A33" s="486" t="n"/>
      <c r="B33" s="378">
        <f>IF(A33="","",IFERROR(VLOOKUP(A33,DB_Customers!$A:$D,4,0),"❌ Account Not Found"))</f>
        <v/>
      </c>
      <c r="C33" s="487">
        <f>IF(A33="","",IFERROR(VLOOKUP(A33,DB_Customers!$A:$N,14,0),""))</f>
        <v/>
      </c>
      <c r="D33" s="488">
        <f>IF(A33="","",TODAY())</f>
        <v/>
      </c>
      <c r="E33" s="510" t="n"/>
      <c r="F33" s="378" t="n"/>
      <c r="G33" s="511">
        <f>IF(OR(A33="",E33=""),"",IF(C33="","",C33-E33))</f>
        <v/>
      </c>
      <c r="H33" s="380" t="inlineStr">
        <is>
          <t>Agent 05</t>
        </is>
      </c>
      <c r="I33" s="491" t="n"/>
      <c r="J33" s="492">
        <f>IF(AND(A33&lt;&gt;"",E33&lt;&gt;""),IF(I33="","⚠️ Enter Code",IF(IFERROR(VLOOKUP(H33,DB_Agents!$B:$I,8,0),"")=I33,IF(C33&gt;=E33,"Successful","Unsuccessful"),"🔒 BLOCKED — Wrong Code")),"—")</f>
        <v/>
      </c>
      <c r="K33" s="493">
        <f>IF(J33="Successful",TEXT(TODAY(),"YYYY-MM-DD")&amp;" Auto","—")</f>
        <v/>
      </c>
      <c r="L33" s="494" t="n"/>
    </row>
    <row r="34" ht="15" customHeight="1" s="341">
      <c r="A34" s="495" t="n"/>
      <c r="B34" s="382">
        <f>IF(A34="","",IFERROR(VLOOKUP(A34,DB_Customers!$A:$D,4,0),"❌ Account Not Found"))</f>
        <v/>
      </c>
      <c r="C34" s="496">
        <f>IF(A34="","",IFERROR(VLOOKUP(A34,DB_Customers!$A:$N,14,0),""))</f>
        <v/>
      </c>
      <c r="D34" s="497">
        <f>IF(A34="","",TODAY())</f>
        <v/>
      </c>
      <c r="E34" s="510" t="n"/>
      <c r="F34" s="382" t="n"/>
      <c r="G34" s="512">
        <f>IF(OR(A34="",E34=""),"",IF(C34="","",C34-E34))</f>
        <v/>
      </c>
      <c r="H34" s="384" t="inlineStr">
        <is>
          <t>Agent 05</t>
        </is>
      </c>
      <c r="I34" s="491" t="n"/>
      <c r="J34" s="499">
        <f>IF(AND(A34&lt;&gt;"",E34&lt;&gt;""),IF(I34="","⚠️ Enter Code",IF(IFERROR(VLOOKUP(H34,DB_Agents!$B:$I,8,0),"")=I34,IF(C34&gt;=E34,"Successful","Unsuccessful"),"🔒 BLOCKED — Wrong Code")),"—")</f>
        <v/>
      </c>
      <c r="K34" s="500">
        <f>IF(J34="Successful",TEXT(TODAY(),"YYYY-MM-DD")&amp;" Auto","—")</f>
        <v/>
      </c>
      <c r="L34" s="501" t="n"/>
    </row>
    <row r="35" ht="15" customHeight="1" s="341">
      <c r="A35" s="486" t="n"/>
      <c r="B35" s="378">
        <f>IF(A35="","",IFERROR(VLOOKUP(A35,DB_Customers!$A:$D,4,0),"❌ Account Not Found"))</f>
        <v/>
      </c>
      <c r="C35" s="487">
        <f>IF(A35="","",IFERROR(VLOOKUP(A35,DB_Customers!$A:$N,14,0),""))</f>
        <v/>
      </c>
      <c r="D35" s="488">
        <f>IF(A35="","",TODAY())</f>
        <v/>
      </c>
      <c r="E35" s="510" t="n"/>
      <c r="F35" s="378" t="n"/>
      <c r="G35" s="511">
        <f>IF(OR(A35="",E35=""),"",IF(C35="","",C35-E35))</f>
        <v/>
      </c>
      <c r="H35" s="380" t="inlineStr">
        <is>
          <t>Agent 05</t>
        </is>
      </c>
      <c r="I35" s="491" t="n"/>
      <c r="J35" s="492">
        <f>IF(AND(A35&lt;&gt;"",E35&lt;&gt;""),IF(I35="","⚠️ Enter Code",IF(IFERROR(VLOOKUP(H35,DB_Agents!$B:$I,8,0),"")=I35,IF(C35&gt;=E35,"Successful","Unsuccessful"),"🔒 BLOCKED — Wrong Code")),"—")</f>
        <v/>
      </c>
      <c r="K35" s="493">
        <f>IF(J35="Successful",TEXT(TODAY(),"YYYY-MM-DD")&amp;" Auto","—")</f>
        <v/>
      </c>
      <c r="L35" s="494" t="n"/>
    </row>
    <row r="36" ht="15" customHeight="1" s="341">
      <c r="A36" s="495" t="n"/>
      <c r="B36" s="382">
        <f>IF(A36="","",IFERROR(VLOOKUP(A36,DB_Customers!$A:$D,4,0),"❌ Account Not Found"))</f>
        <v/>
      </c>
      <c r="C36" s="496">
        <f>IF(A36="","",IFERROR(VLOOKUP(A36,DB_Customers!$A:$N,14,0),""))</f>
        <v/>
      </c>
      <c r="D36" s="497">
        <f>IF(A36="","",TODAY())</f>
        <v/>
      </c>
      <c r="E36" s="510" t="n"/>
      <c r="F36" s="382" t="n"/>
      <c r="G36" s="512">
        <f>IF(OR(A36="",E36=""),"",IF(C36="","",C36-E36))</f>
        <v/>
      </c>
      <c r="H36" s="384" t="inlineStr">
        <is>
          <t>Agent 05</t>
        </is>
      </c>
      <c r="I36" s="491" t="n"/>
      <c r="J36" s="499">
        <f>IF(AND(A36&lt;&gt;"",E36&lt;&gt;""),IF(I36="","⚠️ Enter Code",IF(IFERROR(VLOOKUP(H36,DB_Agents!$B:$I,8,0),"")=I36,IF(C36&gt;=E36,"Successful","Unsuccessful"),"🔒 BLOCKED — Wrong Code")),"—")</f>
        <v/>
      </c>
      <c r="K36" s="500">
        <f>IF(J36="Successful",TEXT(TODAY(),"YYYY-MM-DD")&amp;" Auto","—")</f>
        <v/>
      </c>
      <c r="L36" s="501" t="n"/>
    </row>
    <row r="37" ht="15" customHeight="1" s="341">
      <c r="A37" s="486" t="n"/>
      <c r="B37" s="378">
        <f>IF(A37="","",IFERROR(VLOOKUP(A37,DB_Customers!$A:$D,4,0),"❌ Account Not Found"))</f>
        <v/>
      </c>
      <c r="C37" s="487">
        <f>IF(A37="","",IFERROR(VLOOKUP(A37,DB_Customers!$A:$N,14,0),""))</f>
        <v/>
      </c>
      <c r="D37" s="488">
        <f>IF(A37="","",TODAY())</f>
        <v/>
      </c>
      <c r="E37" s="510" t="n"/>
      <c r="F37" s="378" t="n"/>
      <c r="G37" s="511">
        <f>IF(OR(A37="",E37=""),"",IF(C37="","",C37-E37))</f>
        <v/>
      </c>
      <c r="H37" s="380" t="inlineStr">
        <is>
          <t>Agent 05</t>
        </is>
      </c>
      <c r="I37" s="491" t="n"/>
      <c r="J37" s="492">
        <f>IF(AND(A37&lt;&gt;"",E37&lt;&gt;""),IF(I37="","⚠️ Enter Code",IF(IFERROR(VLOOKUP(H37,DB_Agents!$B:$I,8,0),"")=I37,IF(C37&gt;=E37,"Successful","Unsuccessful"),"🔒 BLOCKED — Wrong Code")),"—")</f>
        <v/>
      </c>
      <c r="K37" s="493">
        <f>IF(J37="Successful",TEXT(TODAY(),"YYYY-MM-DD")&amp;" Auto","—")</f>
        <v/>
      </c>
      <c r="L37" s="494" t="n"/>
    </row>
    <row r="38" ht="15" customHeight="1" s="341">
      <c r="A38" s="495" t="n"/>
      <c r="B38" s="382">
        <f>IF(A38="","",IFERROR(VLOOKUP(A38,DB_Customers!$A:$D,4,0),"❌ Account Not Found"))</f>
        <v/>
      </c>
      <c r="C38" s="496">
        <f>IF(A38="","",IFERROR(VLOOKUP(A38,DB_Customers!$A:$N,14,0),""))</f>
        <v/>
      </c>
      <c r="D38" s="497">
        <f>IF(A38="","",TODAY())</f>
        <v/>
      </c>
      <c r="E38" s="510" t="n"/>
      <c r="F38" s="382" t="n"/>
      <c r="G38" s="512">
        <f>IF(OR(A38="",E38=""),"",IF(C38="","",C38-E38))</f>
        <v/>
      </c>
      <c r="H38" s="384" t="inlineStr">
        <is>
          <t>Agent 05</t>
        </is>
      </c>
      <c r="I38" s="491" t="n"/>
      <c r="J38" s="499">
        <f>IF(AND(A38&lt;&gt;"",E38&lt;&gt;""),IF(I38="","⚠️ Enter Code",IF(IFERROR(VLOOKUP(H38,DB_Agents!$B:$I,8,0),"")=I38,IF(C38&gt;=E38,"Successful","Unsuccessful"),"🔒 BLOCKED — Wrong Code")),"—")</f>
        <v/>
      </c>
      <c r="K38" s="500">
        <f>IF(J38="Successful",TEXT(TODAY(),"YYYY-MM-DD")&amp;" Auto","—")</f>
        <v/>
      </c>
      <c r="L38" s="501" t="n"/>
    </row>
    <row r="39" ht="15" customHeight="1" s="341">
      <c r="A39" s="486" t="n"/>
      <c r="B39" s="378">
        <f>IF(A39="","",IFERROR(VLOOKUP(A39,DB_Customers!$A:$D,4,0),"❌ Account Not Found"))</f>
        <v/>
      </c>
      <c r="C39" s="487">
        <f>IF(A39="","",IFERROR(VLOOKUP(A39,DB_Customers!$A:$N,14,0),""))</f>
        <v/>
      </c>
      <c r="D39" s="488">
        <f>IF(A39="","",TODAY())</f>
        <v/>
      </c>
      <c r="E39" s="510" t="n"/>
      <c r="F39" s="378" t="n"/>
      <c r="G39" s="511">
        <f>IF(OR(A39="",E39=""),"",IF(C39="","",C39-E39))</f>
        <v/>
      </c>
      <c r="H39" s="380" t="inlineStr">
        <is>
          <t>Agent 05</t>
        </is>
      </c>
      <c r="I39" s="491" t="n"/>
      <c r="J39" s="492">
        <f>IF(AND(A39&lt;&gt;"",E39&lt;&gt;""),IF(I39="","⚠️ Enter Code",IF(IFERROR(VLOOKUP(H39,DB_Agents!$B:$I,8,0),"")=I39,IF(C39&gt;=E39,"Successful","Unsuccessful"),"🔒 BLOCKED — Wrong Code")),"—")</f>
        <v/>
      </c>
      <c r="K39" s="493">
        <f>IF(J39="Successful",TEXT(TODAY(),"YYYY-MM-DD")&amp;" Auto","—")</f>
        <v/>
      </c>
      <c r="L39" s="494" t="n"/>
    </row>
    <row r="40" ht="15" customHeight="1" s="341">
      <c r="A40" s="495" t="n"/>
      <c r="B40" s="382">
        <f>IF(A40="","",IFERROR(VLOOKUP(A40,DB_Customers!$A:$D,4,0),"❌ Account Not Found"))</f>
        <v/>
      </c>
      <c r="C40" s="496">
        <f>IF(A40="","",IFERROR(VLOOKUP(A40,DB_Customers!$A:$N,14,0),""))</f>
        <v/>
      </c>
      <c r="D40" s="497">
        <f>IF(A40="","",TODAY())</f>
        <v/>
      </c>
      <c r="E40" s="510" t="n"/>
      <c r="F40" s="382" t="n"/>
      <c r="G40" s="512">
        <f>IF(OR(A40="",E40=""),"",IF(C40="","",C40-E40))</f>
        <v/>
      </c>
      <c r="H40" s="384" t="inlineStr">
        <is>
          <t>Agent 05</t>
        </is>
      </c>
      <c r="I40" s="491" t="n"/>
      <c r="J40" s="499">
        <f>IF(AND(A40&lt;&gt;"",E40&lt;&gt;""),IF(I40="","⚠️ Enter Code",IF(IFERROR(VLOOKUP(H40,DB_Agents!$B:$I,8,0),"")=I40,IF(C40&gt;=E40,"Successful","Unsuccessful"),"🔒 BLOCKED — Wrong Code")),"—")</f>
        <v/>
      </c>
      <c r="K40" s="500">
        <f>IF(J40="Successful",TEXT(TODAY(),"YYYY-MM-DD")&amp;" Auto","—")</f>
        <v/>
      </c>
      <c r="L40" s="501" t="n"/>
    </row>
    <row r="41" ht="15" customHeight="1" s="341">
      <c r="A41" s="486" t="n"/>
      <c r="B41" s="378">
        <f>IF(A41="","",IFERROR(VLOOKUP(A41,DB_Customers!$A:$D,4,0),"❌ Account Not Found"))</f>
        <v/>
      </c>
      <c r="C41" s="487">
        <f>IF(A41="","",IFERROR(VLOOKUP(A41,DB_Customers!$A:$N,14,0),""))</f>
        <v/>
      </c>
      <c r="D41" s="488">
        <f>IF(A41="","",TODAY())</f>
        <v/>
      </c>
      <c r="E41" s="510" t="n"/>
      <c r="F41" s="378" t="n"/>
      <c r="G41" s="511">
        <f>IF(OR(A41="",E41=""),"",IF(C41="","",C41-E41))</f>
        <v/>
      </c>
      <c r="H41" s="380" t="inlineStr">
        <is>
          <t>Agent 05</t>
        </is>
      </c>
      <c r="I41" s="491" t="n"/>
      <c r="J41" s="492">
        <f>IF(AND(A41&lt;&gt;"",E41&lt;&gt;""),IF(I41="","⚠️ Enter Code",IF(IFERROR(VLOOKUP(H41,DB_Agents!$B:$I,8,0),"")=I41,IF(C41&gt;=E41,"Successful","Unsuccessful"),"🔒 BLOCKED — Wrong Code")),"—")</f>
        <v/>
      </c>
      <c r="K41" s="493">
        <f>IF(J41="Successful",TEXT(TODAY(),"YYYY-MM-DD")&amp;" Auto","—")</f>
        <v/>
      </c>
      <c r="L41" s="494" t="n"/>
    </row>
    <row r="42" ht="15" customHeight="1" s="341">
      <c r="A42" s="495" t="n"/>
      <c r="B42" s="382">
        <f>IF(A42="","",IFERROR(VLOOKUP(A42,DB_Customers!$A:$D,4,0),"❌ Account Not Found"))</f>
        <v/>
      </c>
      <c r="C42" s="496">
        <f>IF(A42="","",IFERROR(VLOOKUP(A42,DB_Customers!$A:$N,14,0),""))</f>
        <v/>
      </c>
      <c r="D42" s="497">
        <f>IF(A42="","",TODAY())</f>
        <v/>
      </c>
      <c r="E42" s="510" t="n"/>
      <c r="F42" s="382" t="n"/>
      <c r="G42" s="512">
        <f>IF(OR(A42="",E42=""),"",IF(C42="","",C42-E42))</f>
        <v/>
      </c>
      <c r="H42" s="384" t="inlineStr">
        <is>
          <t>Agent 05</t>
        </is>
      </c>
      <c r="I42" s="491" t="n"/>
      <c r="J42" s="499">
        <f>IF(AND(A42&lt;&gt;"",E42&lt;&gt;""),IF(I42="","⚠️ Enter Code",IF(IFERROR(VLOOKUP(H42,DB_Agents!$B:$I,8,0),"")=I42,IF(C42&gt;=E42,"Successful","Unsuccessful"),"🔒 BLOCKED — Wrong Code")),"—")</f>
        <v/>
      </c>
      <c r="K42" s="500">
        <f>IF(J42="Successful",TEXT(TODAY(),"YYYY-MM-DD")&amp;" Auto","—")</f>
        <v/>
      </c>
      <c r="L42" s="501" t="n"/>
    </row>
    <row r="43" ht="15" customHeight="1" s="341">
      <c r="A43" s="486" t="n"/>
      <c r="B43" s="378">
        <f>IF(A43="","",IFERROR(VLOOKUP(A43,DB_Customers!$A:$D,4,0),"❌ Account Not Found"))</f>
        <v/>
      </c>
      <c r="C43" s="487">
        <f>IF(A43="","",IFERROR(VLOOKUP(A43,DB_Customers!$A:$N,14,0),""))</f>
        <v/>
      </c>
      <c r="D43" s="488">
        <f>IF(A43="","",TODAY())</f>
        <v/>
      </c>
      <c r="E43" s="510" t="n"/>
      <c r="F43" s="378" t="n"/>
      <c r="G43" s="511">
        <f>IF(OR(A43="",E43=""),"",IF(C43="","",C43-E43))</f>
        <v/>
      </c>
      <c r="H43" s="380" t="inlineStr">
        <is>
          <t>Agent 05</t>
        </is>
      </c>
      <c r="I43" s="491" t="n"/>
      <c r="J43" s="492">
        <f>IF(AND(A43&lt;&gt;"",E43&lt;&gt;""),IF(I43="","⚠️ Enter Code",IF(IFERROR(VLOOKUP(H43,DB_Agents!$B:$I,8,0),"")=I43,IF(C43&gt;=E43,"Successful","Unsuccessful"),"🔒 BLOCKED — Wrong Code")),"—")</f>
        <v/>
      </c>
      <c r="K43" s="493">
        <f>IF(J43="Successful",TEXT(TODAY(),"YYYY-MM-DD")&amp;" Auto","—")</f>
        <v/>
      </c>
      <c r="L43" s="494" t="n"/>
    </row>
    <row r="44" ht="15" customHeight="1" s="341">
      <c r="A44" s="495" t="n"/>
      <c r="B44" s="382">
        <f>IF(A44="","",IFERROR(VLOOKUP(A44,DB_Customers!$A:$D,4,0),"❌ Account Not Found"))</f>
        <v/>
      </c>
      <c r="C44" s="496">
        <f>IF(A44="","",IFERROR(VLOOKUP(A44,DB_Customers!$A:$N,14,0),""))</f>
        <v/>
      </c>
      <c r="D44" s="497">
        <f>IF(A44="","",TODAY())</f>
        <v/>
      </c>
      <c r="E44" s="510" t="n"/>
      <c r="F44" s="382" t="n"/>
      <c r="G44" s="512">
        <f>IF(OR(A44="",E44=""),"",IF(C44="","",C44-E44))</f>
        <v/>
      </c>
      <c r="H44" s="384" t="inlineStr">
        <is>
          <t>Agent 05</t>
        </is>
      </c>
      <c r="I44" s="491" t="n"/>
      <c r="J44" s="499">
        <f>IF(AND(A44&lt;&gt;"",E44&lt;&gt;""),IF(I44="","⚠️ Enter Code",IF(IFERROR(VLOOKUP(H44,DB_Agents!$B:$I,8,0),"")=I44,IF(C44&gt;=E44,"Successful","Unsuccessful"),"🔒 BLOCKED — Wrong Code")),"—")</f>
        <v/>
      </c>
      <c r="K44" s="500">
        <f>IF(J44="Successful",TEXT(TODAY(),"YYYY-MM-DD")&amp;" Auto","—")</f>
        <v/>
      </c>
      <c r="L44" s="501" t="n"/>
    </row>
    <row r="45" ht="15" customHeight="1" s="341">
      <c r="A45" s="486" t="n"/>
      <c r="B45" s="378">
        <f>IF(A45="","",IFERROR(VLOOKUP(A45,DB_Customers!$A:$D,4,0),"❌ Account Not Found"))</f>
        <v/>
      </c>
      <c r="C45" s="487">
        <f>IF(A45="","",IFERROR(VLOOKUP(A45,DB_Customers!$A:$N,14,0),""))</f>
        <v/>
      </c>
      <c r="D45" s="488">
        <f>IF(A45="","",TODAY())</f>
        <v/>
      </c>
      <c r="E45" s="510" t="n"/>
      <c r="F45" s="378" t="n"/>
      <c r="G45" s="511">
        <f>IF(OR(A45="",E45=""),"",IF(C45="","",C45-E45))</f>
        <v/>
      </c>
      <c r="H45" s="380" t="inlineStr">
        <is>
          <t>Agent 05</t>
        </is>
      </c>
      <c r="I45" s="491" t="n"/>
      <c r="J45" s="492">
        <f>IF(AND(A45&lt;&gt;"",E45&lt;&gt;""),IF(I45="","⚠️ Enter Code",IF(IFERROR(VLOOKUP(H45,DB_Agents!$B:$I,8,0),"")=I45,IF(C45&gt;=E45,"Successful","Unsuccessful"),"🔒 BLOCKED — Wrong Code")),"—")</f>
        <v/>
      </c>
      <c r="K45" s="493">
        <f>IF(J45="Successful",TEXT(TODAY(),"YYYY-MM-DD")&amp;" Auto","—")</f>
        <v/>
      </c>
      <c r="L45" s="494" t="n"/>
    </row>
    <row r="46" ht="15" customHeight="1" s="341">
      <c r="A46" s="495" t="n"/>
      <c r="B46" s="382">
        <f>IF(A46="","",IFERROR(VLOOKUP(A46,DB_Customers!$A:$D,4,0),"❌ Account Not Found"))</f>
        <v/>
      </c>
      <c r="C46" s="496">
        <f>IF(A46="","",IFERROR(VLOOKUP(A46,DB_Customers!$A:$N,14,0),""))</f>
        <v/>
      </c>
      <c r="D46" s="497">
        <f>IF(A46="","",TODAY())</f>
        <v/>
      </c>
      <c r="E46" s="510" t="n"/>
      <c r="F46" s="382" t="n"/>
      <c r="G46" s="512">
        <f>IF(OR(A46="",E46=""),"",IF(C46="","",C46-E46))</f>
        <v/>
      </c>
      <c r="H46" s="384" t="inlineStr">
        <is>
          <t>Agent 05</t>
        </is>
      </c>
      <c r="I46" s="491" t="n"/>
      <c r="J46" s="499">
        <f>IF(AND(A46&lt;&gt;"",E46&lt;&gt;""),IF(I46="","⚠️ Enter Code",IF(IFERROR(VLOOKUP(H46,DB_Agents!$B:$I,8,0),"")=I46,IF(C46&gt;=E46,"Successful","Unsuccessful"),"🔒 BLOCKED — Wrong Code")),"—")</f>
        <v/>
      </c>
      <c r="K46" s="500">
        <f>IF(J46="Successful",TEXT(TODAY(),"YYYY-MM-DD")&amp;" Auto","—")</f>
        <v/>
      </c>
      <c r="L46" s="501" t="n"/>
    </row>
    <row r="47" ht="15" customHeight="1" s="341">
      <c r="A47" s="486" t="n"/>
      <c r="B47" s="378">
        <f>IF(A47="","",IFERROR(VLOOKUP(A47,DB_Customers!$A:$D,4,0),"❌ Account Not Found"))</f>
        <v/>
      </c>
      <c r="C47" s="487">
        <f>IF(A47="","",IFERROR(VLOOKUP(A47,DB_Customers!$A:$N,14,0),""))</f>
        <v/>
      </c>
      <c r="D47" s="488">
        <f>IF(A47="","",TODAY())</f>
        <v/>
      </c>
      <c r="E47" s="510" t="n"/>
      <c r="F47" s="378" t="n"/>
      <c r="G47" s="511">
        <f>IF(OR(A47="",E47=""),"",IF(C47="","",C47-E47))</f>
        <v/>
      </c>
      <c r="H47" s="380" t="inlineStr">
        <is>
          <t>Agent 05</t>
        </is>
      </c>
      <c r="I47" s="491" t="n"/>
      <c r="J47" s="492">
        <f>IF(AND(A47&lt;&gt;"",E47&lt;&gt;""),IF(I47="","⚠️ Enter Code",IF(IFERROR(VLOOKUP(H47,DB_Agents!$B:$I,8,0),"")=I47,IF(C47&gt;=E47,"Successful","Unsuccessful"),"🔒 BLOCKED — Wrong Code")),"—")</f>
        <v/>
      </c>
      <c r="K47" s="493">
        <f>IF(J47="Successful",TEXT(TODAY(),"YYYY-MM-DD")&amp;" Auto","—")</f>
        <v/>
      </c>
      <c r="L47" s="494" t="n"/>
    </row>
    <row r="48" ht="15" customHeight="1" s="341">
      <c r="A48" s="495" t="n"/>
      <c r="B48" s="382">
        <f>IF(A48="","",IFERROR(VLOOKUP(A48,DB_Customers!$A:$D,4,0),"❌ Account Not Found"))</f>
        <v/>
      </c>
      <c r="C48" s="496">
        <f>IF(A48="","",IFERROR(VLOOKUP(A48,DB_Customers!$A:$N,14,0),""))</f>
        <v/>
      </c>
      <c r="D48" s="497">
        <f>IF(A48="","",TODAY())</f>
        <v/>
      </c>
      <c r="E48" s="510" t="n"/>
      <c r="F48" s="382" t="n"/>
      <c r="G48" s="512">
        <f>IF(OR(A48="",E48=""),"",IF(C48="","",C48-E48))</f>
        <v/>
      </c>
      <c r="H48" s="384" t="inlineStr">
        <is>
          <t>Agent 05</t>
        </is>
      </c>
      <c r="I48" s="491" t="n"/>
      <c r="J48" s="499">
        <f>IF(AND(A48&lt;&gt;"",E48&lt;&gt;""),IF(I48="","⚠️ Enter Code",IF(IFERROR(VLOOKUP(H48,DB_Agents!$B:$I,8,0),"")=I48,IF(C48&gt;=E48,"Successful","Unsuccessful"),"🔒 BLOCKED — Wrong Code")),"—")</f>
        <v/>
      </c>
      <c r="K48" s="500">
        <f>IF(J48="Successful",TEXT(TODAY(),"YYYY-MM-DD")&amp;" Auto","—")</f>
        <v/>
      </c>
      <c r="L48" s="501" t="n"/>
    </row>
    <row r="49" ht="15" customHeight="1" s="341">
      <c r="A49" s="486" t="n"/>
      <c r="B49" s="378">
        <f>IF(A49="","",IFERROR(VLOOKUP(A49,DB_Customers!$A:$D,4,0),"❌ Account Not Found"))</f>
        <v/>
      </c>
      <c r="C49" s="487">
        <f>IF(A49="","",IFERROR(VLOOKUP(A49,DB_Customers!$A:$N,14,0),""))</f>
        <v/>
      </c>
      <c r="D49" s="488">
        <f>IF(A49="","",TODAY())</f>
        <v/>
      </c>
      <c r="E49" s="510" t="n"/>
      <c r="F49" s="378" t="n"/>
      <c r="G49" s="511">
        <f>IF(OR(A49="",E49=""),"",IF(C49="","",C49-E49))</f>
        <v/>
      </c>
      <c r="H49" s="380" t="inlineStr">
        <is>
          <t>Agent 05</t>
        </is>
      </c>
      <c r="I49" s="491" t="n"/>
      <c r="J49" s="492">
        <f>IF(AND(A49&lt;&gt;"",E49&lt;&gt;""),IF(I49="","⚠️ Enter Code",IF(IFERROR(VLOOKUP(H49,DB_Agents!$B:$I,8,0),"")=I49,IF(C49&gt;=E49,"Successful","Unsuccessful"),"🔒 BLOCKED — Wrong Code")),"—")</f>
        <v/>
      </c>
      <c r="K49" s="493">
        <f>IF(J49="Successful",TEXT(TODAY(),"YYYY-MM-DD")&amp;" Auto","—")</f>
        <v/>
      </c>
      <c r="L49" s="494" t="n"/>
    </row>
    <row r="50" ht="15" customHeight="1" s="341">
      <c r="A50" s="495" t="n"/>
      <c r="B50" s="382">
        <f>IF(A50="","",IFERROR(VLOOKUP(A50,DB_Customers!$A:$D,4,0),"❌ Account Not Found"))</f>
        <v/>
      </c>
      <c r="C50" s="496">
        <f>IF(A50="","",IFERROR(VLOOKUP(A50,DB_Customers!$A:$N,14,0),""))</f>
        <v/>
      </c>
      <c r="D50" s="497">
        <f>IF(A50="","",TODAY())</f>
        <v/>
      </c>
      <c r="E50" s="510" t="n"/>
      <c r="F50" s="382" t="n"/>
      <c r="G50" s="512">
        <f>IF(OR(A50="",E50=""),"",IF(C50="","",C50-E50))</f>
        <v/>
      </c>
      <c r="H50" s="384" t="inlineStr">
        <is>
          <t>Agent 05</t>
        </is>
      </c>
      <c r="I50" s="491" t="n"/>
      <c r="J50" s="499">
        <f>IF(AND(A50&lt;&gt;"",E50&lt;&gt;""),IF(I50="","⚠️ Enter Code",IF(IFERROR(VLOOKUP(H50,DB_Agents!$B:$I,8,0),"")=I50,IF(C50&gt;=E50,"Successful","Unsuccessful"),"🔒 BLOCKED — Wrong Code")),"—")</f>
        <v/>
      </c>
      <c r="K50" s="500">
        <f>IF(J50="Successful",TEXT(TODAY(),"YYYY-MM-DD")&amp;" Auto","—")</f>
        <v/>
      </c>
      <c r="L50" s="501" t="n"/>
    </row>
    <row r="51" ht="15" customHeight="1" s="341">
      <c r="A51" s="486" t="n"/>
      <c r="B51" s="378">
        <f>IF(A51="","",IFERROR(VLOOKUP(A51,DB_Customers!$A:$D,4,0),"❌ Account Not Found"))</f>
        <v/>
      </c>
      <c r="C51" s="487">
        <f>IF(A51="","",IFERROR(VLOOKUP(A51,DB_Customers!$A:$N,14,0),""))</f>
        <v/>
      </c>
      <c r="D51" s="488">
        <f>IF(A51="","",TODAY())</f>
        <v/>
      </c>
      <c r="E51" s="510" t="n"/>
      <c r="F51" s="378" t="n"/>
      <c r="G51" s="511">
        <f>IF(OR(A51="",E51=""),"",IF(C51="","",C51-E51))</f>
        <v/>
      </c>
      <c r="H51" s="380" t="inlineStr">
        <is>
          <t>Agent 05</t>
        </is>
      </c>
      <c r="I51" s="491" t="n"/>
      <c r="J51" s="492">
        <f>IF(AND(A51&lt;&gt;"",E51&lt;&gt;""),IF(I51="","⚠️ Enter Code",IF(IFERROR(VLOOKUP(H51,DB_Agents!$B:$I,8,0),"")=I51,IF(C51&gt;=E51,"Successful","Unsuccessful"),"🔒 BLOCKED — Wrong Code")),"—")</f>
        <v/>
      </c>
      <c r="K51" s="493">
        <f>IF(J51="Successful",TEXT(TODAY(),"YYYY-MM-DD")&amp;" Auto","—")</f>
        <v/>
      </c>
      <c r="L51" s="494" t="n"/>
    </row>
    <row r="52" ht="15" customHeight="1" s="341">
      <c r="A52" s="495" t="n"/>
      <c r="B52" s="382">
        <f>IF(A52="","",IFERROR(VLOOKUP(A52,DB_Customers!$A:$D,4,0),"❌ Account Not Found"))</f>
        <v/>
      </c>
      <c r="C52" s="496">
        <f>IF(A52="","",IFERROR(VLOOKUP(A52,DB_Customers!$A:$N,14,0),""))</f>
        <v/>
      </c>
      <c r="D52" s="497">
        <f>IF(A52="","",TODAY())</f>
        <v/>
      </c>
      <c r="E52" s="510" t="n"/>
      <c r="F52" s="382" t="n"/>
      <c r="G52" s="512">
        <f>IF(OR(A52="",E52=""),"",IF(C52="","",C52-E52))</f>
        <v/>
      </c>
      <c r="H52" s="384" t="inlineStr">
        <is>
          <t>Agent 05</t>
        </is>
      </c>
      <c r="I52" s="491" t="n"/>
      <c r="J52" s="499">
        <f>IF(AND(A52&lt;&gt;"",E52&lt;&gt;""),IF(I52="","⚠️ Enter Code",IF(IFERROR(VLOOKUP(H52,DB_Agents!$B:$I,8,0),"")=I52,IF(C52&gt;=E52,"Successful","Unsuccessful"),"🔒 BLOCKED — Wrong Code")),"—")</f>
        <v/>
      </c>
      <c r="K52" s="500">
        <f>IF(J52="Successful",TEXT(TODAY(),"YYYY-MM-DD")&amp;" Auto","—")</f>
        <v/>
      </c>
      <c r="L52" s="501" t="n"/>
    </row>
    <row r="53" ht="15" customHeight="1" s="341">
      <c r="A53" s="486" t="n"/>
      <c r="B53" s="378">
        <f>IF(A53="","",IFERROR(VLOOKUP(A53,DB_Customers!$A:$D,4,0),"❌ Account Not Found"))</f>
        <v/>
      </c>
      <c r="C53" s="487">
        <f>IF(A53="","",IFERROR(VLOOKUP(A53,DB_Customers!$A:$N,14,0),""))</f>
        <v/>
      </c>
      <c r="D53" s="488">
        <f>IF(A53="","",TODAY())</f>
        <v/>
      </c>
      <c r="E53" s="510" t="n"/>
      <c r="F53" s="378" t="n"/>
      <c r="G53" s="511">
        <f>IF(OR(A53="",E53=""),"",IF(C53="","",C53-E53))</f>
        <v/>
      </c>
      <c r="H53" s="380" t="inlineStr">
        <is>
          <t>Agent 05</t>
        </is>
      </c>
      <c r="I53" s="491" t="n"/>
      <c r="J53" s="492">
        <f>IF(AND(A53&lt;&gt;"",E53&lt;&gt;""),IF(I53="","⚠️ Enter Code",IF(IFERROR(VLOOKUP(H53,DB_Agents!$B:$I,8,0),"")=I53,IF(C53&gt;=E53,"Successful","Unsuccessful"),"🔒 BLOCKED — Wrong Code")),"—")</f>
        <v/>
      </c>
      <c r="K53" s="493">
        <f>IF(J53="Successful",TEXT(TODAY(),"YYYY-MM-DD")&amp;" Auto","—")</f>
        <v/>
      </c>
      <c r="L53" s="494" t="n"/>
    </row>
    <row r="54" ht="15" customHeight="1" s="341">
      <c r="A54" s="495" t="n"/>
      <c r="B54" s="382">
        <f>IF(A54="","",IFERROR(VLOOKUP(A54,DB_Customers!$A:$D,4,0),"❌ Account Not Found"))</f>
        <v/>
      </c>
      <c r="C54" s="496">
        <f>IF(A54="","",IFERROR(VLOOKUP(A54,DB_Customers!$A:$N,14,0),""))</f>
        <v/>
      </c>
      <c r="D54" s="497">
        <f>IF(A54="","",TODAY())</f>
        <v/>
      </c>
      <c r="E54" s="510" t="n"/>
      <c r="F54" s="382" t="n"/>
      <c r="G54" s="512">
        <f>IF(OR(A54="",E54=""),"",IF(C54="","",C54-E54))</f>
        <v/>
      </c>
      <c r="H54" s="384" t="inlineStr">
        <is>
          <t>Agent 05</t>
        </is>
      </c>
      <c r="I54" s="491" t="n"/>
      <c r="J54" s="499">
        <f>IF(AND(A54&lt;&gt;"",E54&lt;&gt;""),IF(I54="","⚠️ Enter Code",IF(IFERROR(VLOOKUP(H54,DB_Agents!$B:$I,8,0),"")=I54,IF(C54&gt;=E54,"Successful","Unsuccessful"),"🔒 BLOCKED — Wrong Code")),"—")</f>
        <v/>
      </c>
      <c r="K54" s="500">
        <f>IF(J54="Successful",TEXT(TODAY(),"YYYY-MM-DD")&amp;" Auto","—")</f>
        <v/>
      </c>
      <c r="L54" s="501" t="n"/>
    </row>
    <row r="55" ht="15" customHeight="1" s="341">
      <c r="A55" s="486" t="n"/>
      <c r="B55" s="378">
        <f>IF(A55="","",IFERROR(VLOOKUP(A55,DB_Customers!$A:$D,4,0),"❌ Account Not Found"))</f>
        <v/>
      </c>
      <c r="C55" s="487">
        <f>IF(A55="","",IFERROR(VLOOKUP(A55,DB_Customers!$A:$N,14,0),""))</f>
        <v/>
      </c>
      <c r="D55" s="488">
        <f>IF(A55="","",TODAY())</f>
        <v/>
      </c>
      <c r="E55" s="510" t="n"/>
      <c r="F55" s="378" t="n"/>
      <c r="G55" s="511">
        <f>IF(OR(A55="",E55=""),"",IF(C55="","",C55-E55))</f>
        <v/>
      </c>
      <c r="H55" s="380" t="inlineStr">
        <is>
          <t>Agent 05</t>
        </is>
      </c>
      <c r="I55" s="491" t="n"/>
      <c r="J55" s="492">
        <f>IF(AND(A55&lt;&gt;"",E55&lt;&gt;""),IF(I55="","⚠️ Enter Code",IF(IFERROR(VLOOKUP(H55,DB_Agents!$B:$I,8,0),"")=I55,IF(C55&gt;=E55,"Successful","Unsuccessful"),"🔒 BLOCKED — Wrong Code")),"—")</f>
        <v/>
      </c>
      <c r="K55" s="493">
        <f>IF(J55="Successful",TEXT(TODAY(),"YYYY-MM-DD")&amp;" Auto","—")</f>
        <v/>
      </c>
      <c r="L55" s="494" t="n"/>
    </row>
    <row r="56" ht="15" customHeight="1" s="341">
      <c r="A56" s="495" t="n"/>
      <c r="B56" s="382">
        <f>IF(A56="","",IFERROR(VLOOKUP(A56,DB_Customers!$A:$D,4,0),"❌ Account Not Found"))</f>
        <v/>
      </c>
      <c r="C56" s="496">
        <f>IF(A56="","",IFERROR(VLOOKUP(A56,DB_Customers!$A:$N,14,0),""))</f>
        <v/>
      </c>
      <c r="D56" s="497">
        <f>IF(A56="","",TODAY())</f>
        <v/>
      </c>
      <c r="E56" s="510" t="n"/>
      <c r="F56" s="382" t="n"/>
      <c r="G56" s="512">
        <f>IF(OR(A56="",E56=""),"",IF(C56="","",C56-E56))</f>
        <v/>
      </c>
      <c r="H56" s="384" t="inlineStr">
        <is>
          <t>Agent 05</t>
        </is>
      </c>
      <c r="I56" s="491" t="n"/>
      <c r="J56" s="499">
        <f>IF(AND(A56&lt;&gt;"",E56&lt;&gt;""),IF(I56="","⚠️ Enter Code",IF(IFERROR(VLOOKUP(H56,DB_Agents!$B:$I,8,0),"")=I56,IF(C56&gt;=E56,"Successful","Unsuccessful"),"🔒 BLOCKED — Wrong Code")),"—")</f>
        <v/>
      </c>
      <c r="K56" s="500">
        <f>IF(J56="Successful",TEXT(TODAY(),"YYYY-MM-DD")&amp;" Auto","—")</f>
        <v/>
      </c>
      <c r="L56" s="501" t="n"/>
    </row>
    <row r="57" ht="15" customHeight="1" s="341">
      <c r="A57" s="486" t="n"/>
      <c r="B57" s="378">
        <f>IF(A57="","",IFERROR(VLOOKUP(A57,DB_Customers!$A:$D,4,0),"❌ Account Not Found"))</f>
        <v/>
      </c>
      <c r="C57" s="487">
        <f>IF(A57="","",IFERROR(VLOOKUP(A57,DB_Customers!$A:$N,14,0),""))</f>
        <v/>
      </c>
      <c r="D57" s="488">
        <f>IF(A57="","",TODAY())</f>
        <v/>
      </c>
      <c r="E57" s="510" t="n"/>
      <c r="F57" s="378" t="n"/>
      <c r="G57" s="511">
        <f>IF(OR(A57="",E57=""),"",IF(C57="","",C57-E57))</f>
        <v/>
      </c>
      <c r="H57" s="380" t="inlineStr">
        <is>
          <t>Agent 05</t>
        </is>
      </c>
      <c r="I57" s="491" t="n"/>
      <c r="J57" s="492">
        <f>IF(AND(A57&lt;&gt;"",E57&lt;&gt;""),IF(I57="","⚠️ Enter Code",IF(IFERROR(VLOOKUP(H57,DB_Agents!$B:$I,8,0),"")=I57,IF(C57&gt;=E57,"Successful","Unsuccessful"),"🔒 BLOCKED — Wrong Code")),"—")</f>
        <v/>
      </c>
      <c r="K57" s="493">
        <f>IF(J57="Successful",TEXT(TODAY(),"YYYY-MM-DD")&amp;" Auto","—")</f>
        <v/>
      </c>
      <c r="L57" s="494" t="n"/>
    </row>
    <row r="58" ht="15" customHeight="1" s="341">
      <c r="A58" s="495" t="n"/>
      <c r="B58" s="382">
        <f>IF(A58="","",IFERROR(VLOOKUP(A58,DB_Customers!$A:$D,4,0),"❌ Account Not Found"))</f>
        <v/>
      </c>
      <c r="C58" s="496">
        <f>IF(A58="","",IFERROR(VLOOKUP(A58,DB_Customers!$A:$N,14,0),""))</f>
        <v/>
      </c>
      <c r="D58" s="497">
        <f>IF(A58="","",TODAY())</f>
        <v/>
      </c>
      <c r="E58" s="510" t="n"/>
      <c r="F58" s="382" t="n"/>
      <c r="G58" s="512">
        <f>IF(OR(A58="",E58=""),"",IF(C58="","",C58-E58))</f>
        <v/>
      </c>
      <c r="H58" s="384" t="inlineStr">
        <is>
          <t>Agent 05</t>
        </is>
      </c>
      <c r="I58" s="491" t="n"/>
      <c r="J58" s="499">
        <f>IF(AND(A58&lt;&gt;"",E58&lt;&gt;""),IF(I58="","⚠️ Enter Code",IF(IFERROR(VLOOKUP(H58,DB_Agents!$B:$I,8,0),"")=I58,IF(C58&gt;=E58,"Successful","Unsuccessful"),"🔒 BLOCKED — Wrong Code")),"—")</f>
        <v/>
      </c>
      <c r="K58" s="500">
        <f>IF(J58="Successful",TEXT(TODAY(),"YYYY-MM-DD")&amp;" Auto","—")</f>
        <v/>
      </c>
      <c r="L58" s="501" t="n"/>
    </row>
    <row r="59" ht="15" customHeight="1" s="341">
      <c r="A59" s="486" t="n"/>
      <c r="B59" s="378">
        <f>IF(A59="","",IFERROR(VLOOKUP(A59,DB_Customers!$A:$D,4,0),"❌ Account Not Found"))</f>
        <v/>
      </c>
      <c r="C59" s="487">
        <f>IF(A59="","",IFERROR(VLOOKUP(A59,DB_Customers!$A:$N,14,0),""))</f>
        <v/>
      </c>
      <c r="D59" s="488">
        <f>IF(A59="","",TODAY())</f>
        <v/>
      </c>
      <c r="E59" s="510" t="n"/>
      <c r="F59" s="378" t="n"/>
      <c r="G59" s="511">
        <f>IF(OR(A59="",E59=""),"",IF(C59="","",C59-E59))</f>
        <v/>
      </c>
      <c r="H59" s="380" t="inlineStr">
        <is>
          <t>Agent 05</t>
        </is>
      </c>
      <c r="I59" s="491" t="n"/>
      <c r="J59" s="492">
        <f>IF(AND(A59&lt;&gt;"",E59&lt;&gt;""),IF(I59="","⚠️ Enter Code",IF(IFERROR(VLOOKUP(H59,DB_Agents!$B:$I,8,0),"")=I59,IF(C59&gt;=E59,"Successful","Unsuccessful"),"🔒 BLOCKED — Wrong Code")),"—")</f>
        <v/>
      </c>
      <c r="K59" s="493">
        <f>IF(J59="Successful",TEXT(TODAY(),"YYYY-MM-DD")&amp;" Auto","—")</f>
        <v/>
      </c>
      <c r="L59" s="494" t="n"/>
    </row>
    <row r="60" ht="15" customHeight="1" s="341">
      <c r="A60" s="495" t="n"/>
      <c r="B60" s="382">
        <f>IF(A60="","",IFERROR(VLOOKUP(A60,DB_Customers!$A:$D,4,0),"❌ Account Not Found"))</f>
        <v/>
      </c>
      <c r="C60" s="496">
        <f>IF(A60="","",IFERROR(VLOOKUP(A60,DB_Customers!$A:$N,14,0),""))</f>
        <v/>
      </c>
      <c r="D60" s="497">
        <f>IF(A60="","",TODAY())</f>
        <v/>
      </c>
      <c r="E60" s="510" t="n"/>
      <c r="F60" s="382" t="n"/>
      <c r="G60" s="512">
        <f>IF(OR(A60="",E60=""),"",IF(C60="","",C60-E60))</f>
        <v/>
      </c>
      <c r="H60" s="384" t="inlineStr">
        <is>
          <t>Agent 05</t>
        </is>
      </c>
      <c r="I60" s="491" t="n"/>
      <c r="J60" s="499">
        <f>IF(AND(A60&lt;&gt;"",E60&lt;&gt;""),IF(I60="","⚠️ Enter Code",IF(IFERROR(VLOOKUP(H60,DB_Agents!$B:$I,8,0),"")=I60,IF(C60&gt;=E60,"Successful","Unsuccessful"),"🔒 BLOCKED — Wrong Code")),"—")</f>
        <v/>
      </c>
      <c r="K60" s="500">
        <f>IF(J60="Successful",TEXT(TODAY(),"YYYY-MM-DD")&amp;" Auto","—")</f>
        <v/>
      </c>
      <c r="L60" s="501" t="n"/>
    </row>
    <row r="61" ht="15" customHeight="1" s="341">
      <c r="A61" s="486" t="n"/>
      <c r="B61" s="378">
        <f>IF(A61="","",IFERROR(VLOOKUP(A61,DB_Customers!$A:$D,4,0),"❌ Account Not Found"))</f>
        <v/>
      </c>
      <c r="C61" s="487">
        <f>IF(A61="","",IFERROR(VLOOKUP(A61,DB_Customers!$A:$N,14,0),""))</f>
        <v/>
      </c>
      <c r="D61" s="488">
        <f>IF(A61="","",TODAY())</f>
        <v/>
      </c>
      <c r="E61" s="510" t="n"/>
      <c r="F61" s="378" t="n"/>
      <c r="G61" s="511">
        <f>IF(OR(A61="",E61=""),"",IF(C61="","",C61-E61))</f>
        <v/>
      </c>
      <c r="H61" s="380" t="inlineStr">
        <is>
          <t>Agent 05</t>
        </is>
      </c>
      <c r="I61" s="491" t="n"/>
      <c r="J61" s="492">
        <f>IF(AND(A61&lt;&gt;"",E61&lt;&gt;""),IF(I61="","⚠️ Enter Code",IF(IFERROR(VLOOKUP(H61,DB_Agents!$B:$I,8,0),"")=I61,IF(C61&gt;=E61,"Successful","Unsuccessful"),"🔒 BLOCKED — Wrong Code")),"—")</f>
        <v/>
      </c>
      <c r="K61" s="493">
        <f>IF(J61="Successful",TEXT(TODAY(),"YYYY-MM-DD")&amp;" Auto","—")</f>
        <v/>
      </c>
      <c r="L61" s="494" t="n"/>
    </row>
    <row r="62" ht="15" customHeight="1" s="341">
      <c r="A62" s="495" t="n"/>
      <c r="B62" s="382">
        <f>IF(A62="","",IFERROR(VLOOKUP(A62,DB_Customers!$A:$D,4,0),"❌ Account Not Found"))</f>
        <v/>
      </c>
      <c r="C62" s="496">
        <f>IF(A62="","",IFERROR(VLOOKUP(A62,DB_Customers!$A:$N,14,0),""))</f>
        <v/>
      </c>
      <c r="D62" s="497">
        <f>IF(A62="","",TODAY())</f>
        <v/>
      </c>
      <c r="E62" s="510" t="n"/>
      <c r="F62" s="382" t="n"/>
      <c r="G62" s="512">
        <f>IF(OR(A62="",E62=""),"",IF(C62="","",C62-E62))</f>
        <v/>
      </c>
      <c r="H62" s="384" t="inlineStr">
        <is>
          <t>Agent 05</t>
        </is>
      </c>
      <c r="I62" s="491" t="n"/>
      <c r="J62" s="499">
        <f>IF(AND(A62&lt;&gt;"",E62&lt;&gt;""),IF(I62="","⚠️ Enter Code",IF(IFERROR(VLOOKUP(H62,DB_Agents!$B:$I,8,0),"")=I62,IF(C62&gt;=E62,"Successful","Unsuccessful"),"🔒 BLOCKED — Wrong Code")),"—")</f>
        <v/>
      </c>
      <c r="K62" s="500">
        <f>IF(J62="Successful",TEXT(TODAY(),"YYYY-MM-DD")&amp;" Auto","—")</f>
        <v/>
      </c>
      <c r="L62" s="501" t="n"/>
    </row>
    <row r="63" ht="15" customHeight="1" s="341">
      <c r="A63" s="486" t="n"/>
      <c r="B63" s="378">
        <f>IF(A63="","",IFERROR(VLOOKUP(A63,DB_Customers!$A:$D,4,0),"❌ Account Not Found"))</f>
        <v/>
      </c>
      <c r="C63" s="487">
        <f>IF(A63="","",IFERROR(VLOOKUP(A63,DB_Customers!$A:$N,14,0),""))</f>
        <v/>
      </c>
      <c r="D63" s="488">
        <f>IF(A63="","",TODAY())</f>
        <v/>
      </c>
      <c r="E63" s="510" t="n"/>
      <c r="F63" s="378" t="n"/>
      <c r="G63" s="511">
        <f>IF(OR(A63="",E63=""),"",IF(C63="","",C63-E63))</f>
        <v/>
      </c>
      <c r="H63" s="380" t="inlineStr">
        <is>
          <t>Agent 05</t>
        </is>
      </c>
      <c r="I63" s="491" t="n"/>
      <c r="J63" s="492">
        <f>IF(AND(A63&lt;&gt;"",E63&lt;&gt;""),IF(I63="","⚠️ Enter Code",IF(IFERROR(VLOOKUP(H63,DB_Agents!$B:$I,8,0),"")=I63,IF(C63&gt;=E63,"Successful","Unsuccessful"),"🔒 BLOCKED — Wrong Code")),"—")</f>
        <v/>
      </c>
      <c r="K63" s="493">
        <f>IF(J63="Successful",TEXT(TODAY(),"YYYY-MM-DD")&amp;" Auto","—")</f>
        <v/>
      </c>
      <c r="L63" s="494" t="n"/>
    </row>
    <row r="64" ht="15" customHeight="1" s="341">
      <c r="A64" s="495" t="n"/>
      <c r="B64" s="382">
        <f>IF(A64="","",IFERROR(VLOOKUP(A64,DB_Customers!$A:$D,4,0),"❌ Account Not Found"))</f>
        <v/>
      </c>
      <c r="C64" s="496">
        <f>IF(A64="","",IFERROR(VLOOKUP(A64,DB_Customers!$A:$N,14,0),""))</f>
        <v/>
      </c>
      <c r="D64" s="497">
        <f>IF(A64="","",TODAY())</f>
        <v/>
      </c>
      <c r="E64" s="510" t="n"/>
      <c r="F64" s="382" t="n"/>
      <c r="G64" s="512">
        <f>IF(OR(A64="",E64=""),"",IF(C64="","",C64-E64))</f>
        <v/>
      </c>
      <c r="H64" s="384" t="inlineStr">
        <is>
          <t>Agent 05</t>
        </is>
      </c>
      <c r="I64" s="491" t="n"/>
      <c r="J64" s="499">
        <f>IF(AND(A64&lt;&gt;"",E64&lt;&gt;""),IF(I64="","⚠️ Enter Code",IF(IFERROR(VLOOKUP(H64,DB_Agents!$B:$I,8,0),"")=I64,IF(C64&gt;=E64,"Successful","Unsuccessful"),"🔒 BLOCKED — Wrong Code")),"—")</f>
        <v/>
      </c>
      <c r="K64" s="500">
        <f>IF(J64="Successful",TEXT(TODAY(),"YYYY-MM-DD")&amp;" Auto","—")</f>
        <v/>
      </c>
      <c r="L64" s="501" t="n"/>
    </row>
    <row r="65" ht="15" customHeight="1" s="341">
      <c r="A65" s="486" t="n"/>
      <c r="B65" s="378">
        <f>IF(A65="","",IFERROR(VLOOKUP(A65,DB_Customers!$A:$D,4,0),"❌ Account Not Found"))</f>
        <v/>
      </c>
      <c r="C65" s="487">
        <f>IF(A65="","",IFERROR(VLOOKUP(A65,DB_Customers!$A:$N,14,0),""))</f>
        <v/>
      </c>
      <c r="D65" s="488">
        <f>IF(A65="","",TODAY())</f>
        <v/>
      </c>
      <c r="E65" s="510" t="n"/>
      <c r="F65" s="378" t="n"/>
      <c r="G65" s="511">
        <f>IF(OR(A65="",E65=""),"",IF(C65="","",C65-E65))</f>
        <v/>
      </c>
      <c r="H65" s="380" t="inlineStr">
        <is>
          <t>Agent 05</t>
        </is>
      </c>
      <c r="I65" s="491" t="n"/>
      <c r="J65" s="492">
        <f>IF(AND(A65&lt;&gt;"",E65&lt;&gt;""),IF(I65="","⚠️ Enter Code",IF(IFERROR(VLOOKUP(H65,DB_Agents!$B:$I,8,0),"")=I65,IF(C65&gt;=E65,"Successful","Unsuccessful"),"🔒 BLOCKED — Wrong Code")),"—")</f>
        <v/>
      </c>
      <c r="K65" s="493">
        <f>IF(J65="Successful",TEXT(TODAY(),"YYYY-MM-DD")&amp;" Auto","—")</f>
        <v/>
      </c>
      <c r="L65" s="494" t="n"/>
    </row>
    <row r="66" ht="15" customHeight="1" s="341">
      <c r="A66" s="495" t="n"/>
      <c r="B66" s="382">
        <f>IF(A66="","",IFERROR(VLOOKUP(A66,DB_Customers!$A:$D,4,0),"❌ Account Not Found"))</f>
        <v/>
      </c>
      <c r="C66" s="496">
        <f>IF(A66="","",IFERROR(VLOOKUP(A66,DB_Customers!$A:$N,14,0),""))</f>
        <v/>
      </c>
      <c r="D66" s="497">
        <f>IF(A66="","",TODAY())</f>
        <v/>
      </c>
      <c r="E66" s="510" t="n"/>
      <c r="F66" s="382" t="n"/>
      <c r="G66" s="512">
        <f>IF(OR(A66="",E66=""),"",IF(C66="","",C66-E66))</f>
        <v/>
      </c>
      <c r="H66" s="384" t="inlineStr">
        <is>
          <t>Agent 05</t>
        </is>
      </c>
      <c r="I66" s="491" t="n"/>
      <c r="J66" s="499">
        <f>IF(AND(A66&lt;&gt;"",E66&lt;&gt;""),IF(I66="","⚠️ Enter Code",IF(IFERROR(VLOOKUP(H66,DB_Agents!$B:$I,8,0),"")=I66,IF(C66&gt;=E66,"Successful","Unsuccessful"),"🔒 BLOCKED — Wrong Code")),"—")</f>
        <v/>
      </c>
      <c r="K66" s="500">
        <f>IF(J66="Successful",TEXT(TODAY(),"YYYY-MM-DD")&amp;" Auto","—")</f>
        <v/>
      </c>
      <c r="L66" s="501" t="n"/>
    </row>
    <row r="67" ht="15" customHeight="1" s="341">
      <c r="A67" s="486" t="n"/>
      <c r="B67" s="378">
        <f>IF(A67="","",IFERROR(VLOOKUP(A67,DB_Customers!$A:$D,4,0),"❌ Account Not Found"))</f>
        <v/>
      </c>
      <c r="C67" s="487">
        <f>IF(A67="","",IFERROR(VLOOKUP(A67,DB_Customers!$A:$N,14,0),""))</f>
        <v/>
      </c>
      <c r="D67" s="488">
        <f>IF(A67="","",TODAY())</f>
        <v/>
      </c>
      <c r="E67" s="510" t="n"/>
      <c r="F67" s="378" t="n"/>
      <c r="G67" s="511">
        <f>IF(OR(A67="",E67=""),"",IF(C67="","",C67-E67))</f>
        <v/>
      </c>
      <c r="H67" s="380" t="inlineStr">
        <is>
          <t>Agent 05</t>
        </is>
      </c>
      <c r="I67" s="491" t="n"/>
      <c r="J67" s="492">
        <f>IF(AND(A67&lt;&gt;"",E67&lt;&gt;""),IF(I67="","⚠️ Enter Code",IF(IFERROR(VLOOKUP(H67,DB_Agents!$B:$I,8,0),"")=I67,IF(C67&gt;=E67,"Successful","Unsuccessful"),"🔒 BLOCKED — Wrong Code")),"—")</f>
        <v/>
      </c>
      <c r="K67" s="493">
        <f>IF(J67="Successful",TEXT(TODAY(),"YYYY-MM-DD")&amp;" Auto","—")</f>
        <v/>
      </c>
      <c r="L67" s="494" t="n"/>
    </row>
    <row r="68" ht="15" customHeight="1" s="341">
      <c r="A68" s="495" t="n"/>
      <c r="B68" s="382">
        <f>IF(A68="","",IFERROR(VLOOKUP(A68,DB_Customers!$A:$D,4,0),"❌ Account Not Found"))</f>
        <v/>
      </c>
      <c r="C68" s="496">
        <f>IF(A68="","",IFERROR(VLOOKUP(A68,DB_Customers!$A:$N,14,0),""))</f>
        <v/>
      </c>
      <c r="D68" s="497">
        <f>IF(A68="","",TODAY())</f>
        <v/>
      </c>
      <c r="E68" s="510" t="n"/>
      <c r="F68" s="382" t="n"/>
      <c r="G68" s="512">
        <f>IF(OR(A68="",E68=""),"",IF(C68="","",C68-E68))</f>
        <v/>
      </c>
      <c r="H68" s="384" t="inlineStr">
        <is>
          <t>Agent 05</t>
        </is>
      </c>
      <c r="I68" s="491" t="n"/>
      <c r="J68" s="499">
        <f>IF(AND(A68&lt;&gt;"",E68&lt;&gt;""),IF(I68="","⚠️ Enter Code",IF(IFERROR(VLOOKUP(H68,DB_Agents!$B:$I,8,0),"")=I68,IF(C68&gt;=E68,"Successful","Unsuccessful"),"🔒 BLOCKED — Wrong Code")),"—")</f>
        <v/>
      </c>
      <c r="K68" s="500">
        <f>IF(J68="Successful",TEXT(TODAY(),"YYYY-MM-DD")&amp;" Auto","—")</f>
        <v/>
      </c>
      <c r="L68" s="501" t="n"/>
    </row>
    <row r="69" ht="15" customHeight="1" s="341">
      <c r="A69" s="486" t="n"/>
      <c r="B69" s="378">
        <f>IF(A69="","",IFERROR(VLOOKUP(A69,DB_Customers!$A:$D,4,0),"❌ Account Not Found"))</f>
        <v/>
      </c>
      <c r="C69" s="487">
        <f>IF(A69="","",IFERROR(VLOOKUP(A69,DB_Customers!$A:$N,14,0),""))</f>
        <v/>
      </c>
      <c r="D69" s="488">
        <f>IF(A69="","",TODAY())</f>
        <v/>
      </c>
      <c r="E69" s="510" t="n"/>
      <c r="F69" s="378" t="n"/>
      <c r="G69" s="511">
        <f>IF(OR(A69="",E69=""),"",IF(C69="","",C69-E69))</f>
        <v/>
      </c>
      <c r="H69" s="380" t="inlineStr">
        <is>
          <t>Agent 05</t>
        </is>
      </c>
      <c r="I69" s="491" t="n"/>
      <c r="J69" s="492">
        <f>IF(AND(A69&lt;&gt;"",E69&lt;&gt;""),IF(I69="","⚠️ Enter Code",IF(IFERROR(VLOOKUP(H69,DB_Agents!$B:$I,8,0),"")=I69,IF(C69&gt;=E69,"Successful","Unsuccessful"),"🔒 BLOCKED — Wrong Code")),"—")</f>
        <v/>
      </c>
      <c r="K69" s="493">
        <f>IF(J69="Successful",TEXT(TODAY(),"YYYY-MM-DD")&amp;" Auto","—")</f>
        <v/>
      </c>
      <c r="L69" s="494" t="n"/>
    </row>
    <row r="70" ht="15" customHeight="1" s="341">
      <c r="A70" s="495" t="n"/>
      <c r="B70" s="382">
        <f>IF(A70="","",IFERROR(VLOOKUP(A70,DB_Customers!$A:$D,4,0),"❌ Account Not Found"))</f>
        <v/>
      </c>
      <c r="C70" s="496">
        <f>IF(A70="","",IFERROR(VLOOKUP(A70,DB_Customers!$A:$N,14,0),""))</f>
        <v/>
      </c>
      <c r="D70" s="497">
        <f>IF(A70="","",TODAY())</f>
        <v/>
      </c>
      <c r="E70" s="510" t="n"/>
      <c r="F70" s="382" t="n"/>
      <c r="G70" s="512">
        <f>IF(OR(A70="",E70=""),"",IF(C70="","",C70-E70))</f>
        <v/>
      </c>
      <c r="H70" s="384" t="inlineStr">
        <is>
          <t>Agent 05</t>
        </is>
      </c>
      <c r="I70" s="491" t="n"/>
      <c r="J70" s="499">
        <f>IF(AND(A70&lt;&gt;"",E70&lt;&gt;""),IF(I70="","⚠️ Enter Code",IF(IFERROR(VLOOKUP(H70,DB_Agents!$B:$I,8,0),"")=I70,IF(C70&gt;=E70,"Successful","Unsuccessful"),"🔒 BLOCKED — Wrong Code")),"—")</f>
        <v/>
      </c>
      <c r="K70" s="500">
        <f>IF(J70="Successful",TEXT(TODAY(),"YYYY-MM-DD")&amp;" Auto","—")</f>
        <v/>
      </c>
      <c r="L70" s="501" t="n"/>
    </row>
    <row r="71" ht="15" customHeight="1" s="341">
      <c r="A71" s="486" t="n"/>
      <c r="B71" s="378">
        <f>IF(A71="","",IFERROR(VLOOKUP(A71,DB_Customers!$A:$D,4,0),"❌ Account Not Found"))</f>
        <v/>
      </c>
      <c r="C71" s="487">
        <f>IF(A71="","",IFERROR(VLOOKUP(A71,DB_Customers!$A:$N,14,0),""))</f>
        <v/>
      </c>
      <c r="D71" s="488">
        <f>IF(A71="","",TODAY())</f>
        <v/>
      </c>
      <c r="E71" s="510" t="n"/>
      <c r="F71" s="378" t="n"/>
      <c r="G71" s="511">
        <f>IF(OR(A71="",E71=""),"",IF(C71="","",C71-E71))</f>
        <v/>
      </c>
      <c r="H71" s="380" t="inlineStr">
        <is>
          <t>Agent 05</t>
        </is>
      </c>
      <c r="I71" s="491" t="n"/>
      <c r="J71" s="492">
        <f>IF(AND(A71&lt;&gt;"",E71&lt;&gt;""),IF(I71="","⚠️ Enter Code",IF(IFERROR(VLOOKUP(H71,DB_Agents!$B:$I,8,0),"")=I71,IF(C71&gt;=E71,"Successful","Unsuccessful"),"🔒 BLOCKED — Wrong Code")),"—")</f>
        <v/>
      </c>
      <c r="K71" s="493">
        <f>IF(J71="Successful",TEXT(TODAY(),"YYYY-MM-DD")&amp;" Auto","—")</f>
        <v/>
      </c>
      <c r="L71" s="494" t="n"/>
    </row>
    <row r="72" ht="15" customHeight="1" s="341">
      <c r="A72" s="495" t="n"/>
      <c r="B72" s="382">
        <f>IF(A72="","",IFERROR(VLOOKUP(A72,DB_Customers!$A:$D,4,0),"❌ Account Not Found"))</f>
        <v/>
      </c>
      <c r="C72" s="496">
        <f>IF(A72="","",IFERROR(VLOOKUP(A72,DB_Customers!$A:$N,14,0),""))</f>
        <v/>
      </c>
      <c r="D72" s="497">
        <f>IF(A72="","",TODAY())</f>
        <v/>
      </c>
      <c r="E72" s="510" t="n"/>
      <c r="F72" s="382" t="n"/>
      <c r="G72" s="512">
        <f>IF(OR(A72="",E72=""),"",IF(C72="","",C72-E72))</f>
        <v/>
      </c>
      <c r="H72" s="384" t="inlineStr">
        <is>
          <t>Agent 05</t>
        </is>
      </c>
      <c r="I72" s="491" t="n"/>
      <c r="J72" s="499">
        <f>IF(AND(A72&lt;&gt;"",E72&lt;&gt;""),IF(I72="","⚠️ Enter Code",IF(IFERROR(VLOOKUP(H72,DB_Agents!$B:$I,8,0),"")=I72,IF(C72&gt;=E72,"Successful","Unsuccessful"),"🔒 BLOCKED — Wrong Code")),"—")</f>
        <v/>
      </c>
      <c r="K72" s="500">
        <f>IF(J72="Successful",TEXT(TODAY(),"YYYY-MM-DD")&amp;" Auto","—")</f>
        <v/>
      </c>
      <c r="L72" s="501" t="n"/>
    </row>
    <row r="73" ht="15" customHeight="1" s="341">
      <c r="A73" s="486" t="n"/>
      <c r="B73" s="378">
        <f>IF(A73="","",IFERROR(VLOOKUP(A73,DB_Customers!$A:$D,4,0),"❌ Account Not Found"))</f>
        <v/>
      </c>
      <c r="C73" s="487">
        <f>IF(A73="","",IFERROR(VLOOKUP(A73,DB_Customers!$A:$N,14,0),""))</f>
        <v/>
      </c>
      <c r="D73" s="488">
        <f>IF(A73="","",TODAY())</f>
        <v/>
      </c>
      <c r="E73" s="510" t="n"/>
      <c r="F73" s="378" t="n"/>
      <c r="G73" s="511">
        <f>IF(OR(A73="",E73=""),"",IF(C73="","",C73-E73))</f>
        <v/>
      </c>
      <c r="H73" s="380" t="inlineStr">
        <is>
          <t>Agent 05</t>
        </is>
      </c>
      <c r="I73" s="491" t="n"/>
      <c r="J73" s="492">
        <f>IF(AND(A73&lt;&gt;"",E73&lt;&gt;""),IF(I73="","⚠️ Enter Code",IF(IFERROR(VLOOKUP(H73,DB_Agents!$B:$I,8,0),"")=I73,IF(C73&gt;=E73,"Successful","Unsuccessful"),"🔒 BLOCKED — Wrong Code")),"—")</f>
        <v/>
      </c>
      <c r="K73" s="493">
        <f>IF(J73="Successful",TEXT(TODAY(),"YYYY-MM-DD")&amp;" Auto","—")</f>
        <v/>
      </c>
      <c r="L73" s="494" t="n"/>
    </row>
    <row r="74" ht="15" customHeight="1" s="341">
      <c r="A74" s="495" t="n"/>
      <c r="B74" s="382">
        <f>IF(A74="","",IFERROR(VLOOKUP(A74,DB_Customers!$A:$D,4,0),"❌ Account Not Found"))</f>
        <v/>
      </c>
      <c r="C74" s="496">
        <f>IF(A74="","",IFERROR(VLOOKUP(A74,DB_Customers!$A:$N,14,0),""))</f>
        <v/>
      </c>
      <c r="D74" s="497">
        <f>IF(A74="","",TODAY())</f>
        <v/>
      </c>
      <c r="E74" s="510" t="n"/>
      <c r="F74" s="382" t="n"/>
      <c r="G74" s="512">
        <f>IF(OR(A74="",E74=""),"",IF(C74="","",C74-E74))</f>
        <v/>
      </c>
      <c r="H74" s="384" t="inlineStr">
        <is>
          <t>Agent 05</t>
        </is>
      </c>
      <c r="I74" s="491" t="n"/>
      <c r="J74" s="499">
        <f>IF(AND(A74&lt;&gt;"",E74&lt;&gt;""),IF(I74="","⚠️ Enter Code",IF(IFERROR(VLOOKUP(H74,DB_Agents!$B:$I,8,0),"")=I74,IF(C74&gt;=E74,"Successful","Unsuccessful"),"🔒 BLOCKED — Wrong Code")),"—")</f>
        <v/>
      </c>
      <c r="K74" s="500">
        <f>IF(J74="Successful",TEXT(TODAY(),"YYYY-MM-DD")&amp;" Auto","—")</f>
        <v/>
      </c>
      <c r="L74" s="501" t="n"/>
    </row>
    <row r="75" ht="15" customHeight="1" s="341">
      <c r="A75" s="486" t="n"/>
      <c r="B75" s="378">
        <f>IF(A75="","",IFERROR(VLOOKUP(A75,DB_Customers!$A:$D,4,0),"❌ Account Not Found"))</f>
        <v/>
      </c>
      <c r="C75" s="487">
        <f>IF(A75="","",IFERROR(VLOOKUP(A75,DB_Customers!$A:$N,14,0),""))</f>
        <v/>
      </c>
      <c r="D75" s="488">
        <f>IF(A75="","",TODAY())</f>
        <v/>
      </c>
      <c r="E75" s="510" t="n"/>
      <c r="F75" s="378" t="n"/>
      <c r="G75" s="511">
        <f>IF(OR(A75="",E75=""),"",IF(C75="","",C75-E75))</f>
        <v/>
      </c>
      <c r="H75" s="380" t="inlineStr">
        <is>
          <t>Agent 05</t>
        </is>
      </c>
      <c r="I75" s="491" t="n"/>
      <c r="J75" s="492">
        <f>IF(AND(A75&lt;&gt;"",E75&lt;&gt;""),IF(I75="","⚠️ Enter Code",IF(IFERROR(VLOOKUP(H75,DB_Agents!$B:$I,8,0),"")=I75,IF(C75&gt;=E75,"Successful","Unsuccessful"),"🔒 BLOCKED — Wrong Code")),"—")</f>
        <v/>
      </c>
      <c r="K75" s="493">
        <f>IF(J75="Successful",TEXT(TODAY(),"YYYY-MM-DD")&amp;" Auto","—")</f>
        <v/>
      </c>
      <c r="L75" s="494" t="n"/>
    </row>
    <row r="76" ht="15" customHeight="1" s="341">
      <c r="A76" s="495" t="n"/>
      <c r="B76" s="382">
        <f>IF(A76="","",IFERROR(VLOOKUP(A76,DB_Customers!$A:$D,4,0),"❌ Account Not Found"))</f>
        <v/>
      </c>
      <c r="C76" s="496">
        <f>IF(A76="","",IFERROR(VLOOKUP(A76,DB_Customers!$A:$N,14,0),""))</f>
        <v/>
      </c>
      <c r="D76" s="497">
        <f>IF(A76="","",TODAY())</f>
        <v/>
      </c>
      <c r="E76" s="510" t="n"/>
      <c r="F76" s="382" t="n"/>
      <c r="G76" s="512">
        <f>IF(OR(A76="",E76=""),"",IF(C76="","",C76-E76))</f>
        <v/>
      </c>
      <c r="H76" s="384" t="inlineStr">
        <is>
          <t>Agent 05</t>
        </is>
      </c>
      <c r="I76" s="491" t="n"/>
      <c r="J76" s="499">
        <f>IF(AND(A76&lt;&gt;"",E76&lt;&gt;""),IF(I76="","⚠️ Enter Code",IF(IFERROR(VLOOKUP(H76,DB_Agents!$B:$I,8,0),"")=I76,IF(C76&gt;=E76,"Successful","Unsuccessful"),"🔒 BLOCKED — Wrong Code")),"—")</f>
        <v/>
      </c>
      <c r="K76" s="500">
        <f>IF(J76="Successful",TEXT(TODAY(),"YYYY-MM-DD")&amp;" Auto","—")</f>
        <v/>
      </c>
      <c r="L76" s="501" t="n"/>
    </row>
    <row r="77" ht="15" customHeight="1" s="341">
      <c r="A77" s="486" t="n"/>
      <c r="B77" s="378">
        <f>IF(A77="","",IFERROR(VLOOKUP(A77,DB_Customers!$A:$D,4,0),"❌ Account Not Found"))</f>
        <v/>
      </c>
      <c r="C77" s="487">
        <f>IF(A77="","",IFERROR(VLOOKUP(A77,DB_Customers!$A:$N,14,0),""))</f>
        <v/>
      </c>
      <c r="D77" s="488">
        <f>IF(A77="","",TODAY())</f>
        <v/>
      </c>
      <c r="E77" s="510" t="n"/>
      <c r="F77" s="378" t="n"/>
      <c r="G77" s="511">
        <f>IF(OR(A77="",E77=""),"",IF(C77="","",C77-E77))</f>
        <v/>
      </c>
      <c r="H77" s="380" t="inlineStr">
        <is>
          <t>Agent 05</t>
        </is>
      </c>
      <c r="I77" s="491" t="n"/>
      <c r="J77" s="492">
        <f>IF(AND(A77&lt;&gt;"",E77&lt;&gt;""),IF(I77="","⚠️ Enter Code",IF(IFERROR(VLOOKUP(H77,DB_Agents!$B:$I,8,0),"")=I77,IF(C77&gt;=E77,"Successful","Unsuccessful"),"🔒 BLOCKED — Wrong Code")),"—")</f>
        <v/>
      </c>
      <c r="K77" s="493">
        <f>IF(J77="Successful",TEXT(TODAY(),"YYYY-MM-DD")&amp;" Auto","—")</f>
        <v/>
      </c>
      <c r="L77" s="494" t="n"/>
    </row>
    <row r="78" ht="15" customHeight="1" s="341">
      <c r="A78" s="495" t="n"/>
      <c r="B78" s="382">
        <f>IF(A78="","",IFERROR(VLOOKUP(A78,DB_Customers!$A:$D,4,0),"❌ Account Not Found"))</f>
        <v/>
      </c>
      <c r="C78" s="496">
        <f>IF(A78="","",IFERROR(VLOOKUP(A78,DB_Customers!$A:$N,14,0),""))</f>
        <v/>
      </c>
      <c r="D78" s="497">
        <f>IF(A78="","",TODAY())</f>
        <v/>
      </c>
      <c r="E78" s="510" t="n"/>
      <c r="F78" s="382" t="n"/>
      <c r="G78" s="512">
        <f>IF(OR(A78="",E78=""),"",IF(C78="","",C78-E78))</f>
        <v/>
      </c>
      <c r="H78" s="384" t="inlineStr">
        <is>
          <t>Agent 05</t>
        </is>
      </c>
      <c r="I78" s="491" t="n"/>
      <c r="J78" s="499">
        <f>IF(AND(A78&lt;&gt;"",E78&lt;&gt;""),IF(I78="","⚠️ Enter Code",IF(IFERROR(VLOOKUP(H78,DB_Agents!$B:$I,8,0),"")=I78,IF(C78&gt;=E78,"Successful","Unsuccessful"),"🔒 BLOCKED — Wrong Code")),"—")</f>
        <v/>
      </c>
      <c r="K78" s="500">
        <f>IF(J78="Successful",TEXT(TODAY(),"YYYY-MM-DD")&amp;" Auto","—")</f>
        <v/>
      </c>
      <c r="L78" s="501" t="n"/>
    </row>
    <row r="79" ht="15" customHeight="1" s="341">
      <c r="A79" s="486" t="n"/>
      <c r="B79" s="378">
        <f>IF(A79="","",IFERROR(VLOOKUP(A79,DB_Customers!$A:$D,4,0),"❌ Account Not Found"))</f>
        <v/>
      </c>
      <c r="C79" s="487">
        <f>IF(A79="","",IFERROR(VLOOKUP(A79,DB_Customers!$A:$N,14,0),""))</f>
        <v/>
      </c>
      <c r="D79" s="488">
        <f>IF(A79="","",TODAY())</f>
        <v/>
      </c>
      <c r="E79" s="510" t="n"/>
      <c r="F79" s="378" t="n"/>
      <c r="G79" s="511">
        <f>IF(OR(A79="",E79=""),"",IF(C79="","",C79-E79))</f>
        <v/>
      </c>
      <c r="H79" s="380" t="inlineStr">
        <is>
          <t>Agent 05</t>
        </is>
      </c>
      <c r="I79" s="491" t="n"/>
      <c r="J79" s="492">
        <f>IF(AND(A79&lt;&gt;"",E79&lt;&gt;""),IF(I79="","⚠️ Enter Code",IF(IFERROR(VLOOKUP(H79,DB_Agents!$B:$I,8,0),"")=I79,IF(C79&gt;=E79,"Successful","Unsuccessful"),"🔒 BLOCKED — Wrong Code")),"—")</f>
        <v/>
      </c>
      <c r="K79" s="493">
        <f>IF(J79="Successful",TEXT(TODAY(),"YYYY-MM-DD")&amp;" Auto","—")</f>
        <v/>
      </c>
      <c r="L79" s="494" t="n"/>
    </row>
    <row r="80" ht="15" customHeight="1" s="341">
      <c r="A80" s="495" t="n"/>
      <c r="B80" s="382">
        <f>IF(A80="","",IFERROR(VLOOKUP(A80,DB_Customers!$A:$D,4,0),"❌ Account Not Found"))</f>
        <v/>
      </c>
      <c r="C80" s="496">
        <f>IF(A80="","",IFERROR(VLOOKUP(A80,DB_Customers!$A:$N,14,0),""))</f>
        <v/>
      </c>
      <c r="D80" s="497">
        <f>IF(A80="","",TODAY())</f>
        <v/>
      </c>
      <c r="E80" s="510" t="n"/>
      <c r="F80" s="382" t="n"/>
      <c r="G80" s="512">
        <f>IF(OR(A80="",E80=""),"",IF(C80="","",C80-E80))</f>
        <v/>
      </c>
      <c r="H80" s="384" t="inlineStr">
        <is>
          <t>Agent 05</t>
        </is>
      </c>
      <c r="I80" s="491" t="n"/>
      <c r="J80" s="499">
        <f>IF(AND(A80&lt;&gt;"",E80&lt;&gt;""),IF(I80="","⚠️ Enter Code",IF(IFERROR(VLOOKUP(H80,DB_Agents!$B:$I,8,0),"")=I80,IF(C80&gt;=E80,"Successful","Unsuccessful"),"🔒 BLOCKED — Wrong Code")),"—")</f>
        <v/>
      </c>
      <c r="K80" s="500">
        <f>IF(J80="Successful",TEXT(TODAY(),"YYYY-MM-DD")&amp;" Auto","—")</f>
        <v/>
      </c>
      <c r="L80" s="501" t="n"/>
    </row>
    <row r="81" ht="15" customHeight="1" s="341">
      <c r="A81" s="486" t="n"/>
      <c r="B81" s="378">
        <f>IF(A81="","",IFERROR(VLOOKUP(A81,DB_Customers!$A:$D,4,0),"❌ Account Not Found"))</f>
        <v/>
      </c>
      <c r="C81" s="487">
        <f>IF(A81="","",IFERROR(VLOOKUP(A81,DB_Customers!$A:$N,14,0),""))</f>
        <v/>
      </c>
      <c r="D81" s="488">
        <f>IF(A81="","",TODAY())</f>
        <v/>
      </c>
      <c r="E81" s="510" t="n"/>
      <c r="F81" s="378" t="n"/>
      <c r="G81" s="511">
        <f>IF(OR(A81="",E81=""),"",IF(C81="","",C81-E81))</f>
        <v/>
      </c>
      <c r="H81" s="380" t="inlineStr">
        <is>
          <t>Agent 05</t>
        </is>
      </c>
      <c r="I81" s="491" t="n"/>
      <c r="J81" s="492">
        <f>IF(AND(A81&lt;&gt;"",E81&lt;&gt;""),IF(I81="","⚠️ Enter Code",IF(IFERROR(VLOOKUP(H81,DB_Agents!$B:$I,8,0),"")=I81,IF(C81&gt;=E81,"Successful","Unsuccessful"),"🔒 BLOCKED — Wrong Code")),"—")</f>
        <v/>
      </c>
      <c r="K81" s="493">
        <f>IF(J81="Successful",TEXT(TODAY(),"YYYY-MM-DD")&amp;" Auto","—")</f>
        <v/>
      </c>
      <c r="L81" s="494" t="n"/>
    </row>
    <row r="82" ht="15" customHeight="1" s="341">
      <c r="A82" s="495" t="n"/>
      <c r="B82" s="382">
        <f>IF(A82="","",IFERROR(VLOOKUP(A82,DB_Customers!$A:$D,4,0),"❌ Account Not Found"))</f>
        <v/>
      </c>
      <c r="C82" s="496">
        <f>IF(A82="","",IFERROR(VLOOKUP(A82,DB_Customers!$A:$N,14,0),""))</f>
        <v/>
      </c>
      <c r="D82" s="497">
        <f>IF(A82="","",TODAY())</f>
        <v/>
      </c>
      <c r="E82" s="510" t="n"/>
      <c r="F82" s="382" t="n"/>
      <c r="G82" s="512">
        <f>IF(OR(A82="",E82=""),"",IF(C82="","",C82-E82))</f>
        <v/>
      </c>
      <c r="H82" s="384" t="inlineStr">
        <is>
          <t>Agent 05</t>
        </is>
      </c>
      <c r="I82" s="491" t="n"/>
      <c r="J82" s="499">
        <f>IF(AND(A82&lt;&gt;"",E82&lt;&gt;""),IF(I82="","⚠️ Enter Code",IF(IFERROR(VLOOKUP(H82,DB_Agents!$B:$I,8,0),"")=I82,IF(C82&gt;=E82,"Successful","Unsuccessful"),"🔒 BLOCKED — Wrong Code")),"—")</f>
        <v/>
      </c>
      <c r="K82" s="500">
        <f>IF(J82="Successful",TEXT(TODAY(),"YYYY-MM-DD")&amp;" Auto","—")</f>
        <v/>
      </c>
      <c r="L82" s="501" t="n"/>
    </row>
    <row r="83" ht="15" customHeight="1" s="341">
      <c r="A83" s="486" t="n"/>
      <c r="B83" s="378">
        <f>IF(A83="","",IFERROR(VLOOKUP(A83,DB_Customers!$A:$D,4,0),"❌ Account Not Found"))</f>
        <v/>
      </c>
      <c r="C83" s="487">
        <f>IF(A83="","",IFERROR(VLOOKUP(A83,DB_Customers!$A:$N,14,0),""))</f>
        <v/>
      </c>
      <c r="D83" s="488">
        <f>IF(A83="","",TODAY())</f>
        <v/>
      </c>
      <c r="E83" s="510" t="n"/>
      <c r="F83" s="378" t="n"/>
      <c r="G83" s="511">
        <f>IF(OR(A83="",E83=""),"",IF(C83="","",C83-E83))</f>
        <v/>
      </c>
      <c r="H83" s="380" t="inlineStr">
        <is>
          <t>Agent 05</t>
        </is>
      </c>
      <c r="I83" s="491" t="n"/>
      <c r="J83" s="492">
        <f>IF(AND(A83&lt;&gt;"",E83&lt;&gt;""),IF(I83="","⚠️ Enter Code",IF(IFERROR(VLOOKUP(H83,DB_Agents!$B:$I,8,0),"")=I83,IF(C83&gt;=E83,"Successful","Unsuccessful"),"🔒 BLOCKED — Wrong Code")),"—")</f>
        <v/>
      </c>
      <c r="K83" s="493">
        <f>IF(J83="Successful",TEXT(TODAY(),"YYYY-MM-DD")&amp;" Auto","—")</f>
        <v/>
      </c>
      <c r="L83" s="494" t="n"/>
    </row>
    <row r="84" ht="15" customHeight="1" s="341">
      <c r="A84" s="495" t="n"/>
      <c r="B84" s="382">
        <f>IF(A84="","",IFERROR(VLOOKUP(A84,DB_Customers!$A:$D,4,0),"❌ Account Not Found"))</f>
        <v/>
      </c>
      <c r="C84" s="496">
        <f>IF(A84="","",IFERROR(VLOOKUP(A84,DB_Customers!$A:$N,14,0),""))</f>
        <v/>
      </c>
      <c r="D84" s="497">
        <f>IF(A84="","",TODAY())</f>
        <v/>
      </c>
      <c r="E84" s="510" t="n"/>
      <c r="F84" s="382" t="n"/>
      <c r="G84" s="512">
        <f>IF(OR(A84="",E84=""),"",IF(C84="","",C84-E84))</f>
        <v/>
      </c>
      <c r="H84" s="384" t="inlineStr">
        <is>
          <t>Agent 05</t>
        </is>
      </c>
      <c r="I84" s="491" t="n"/>
      <c r="J84" s="499">
        <f>IF(AND(A84&lt;&gt;"",E84&lt;&gt;""),IF(I84="","⚠️ Enter Code",IF(IFERROR(VLOOKUP(H84,DB_Agents!$B:$I,8,0),"")=I84,IF(C84&gt;=E84,"Successful","Unsuccessful"),"🔒 BLOCKED — Wrong Code")),"—")</f>
        <v/>
      </c>
      <c r="K84" s="500">
        <f>IF(J84="Successful",TEXT(TODAY(),"YYYY-MM-DD")&amp;" Auto","—")</f>
        <v/>
      </c>
      <c r="L84" s="501" t="n"/>
    </row>
    <row r="85" ht="15" customHeight="1" s="341">
      <c r="A85" s="486" t="n"/>
      <c r="B85" s="378">
        <f>IF(A85="","",IFERROR(VLOOKUP(A85,DB_Customers!$A:$D,4,0),"❌ Account Not Found"))</f>
        <v/>
      </c>
      <c r="C85" s="487">
        <f>IF(A85="","",IFERROR(VLOOKUP(A85,DB_Customers!$A:$N,14,0),""))</f>
        <v/>
      </c>
      <c r="D85" s="488">
        <f>IF(A85="","",TODAY())</f>
        <v/>
      </c>
      <c r="E85" s="510" t="n"/>
      <c r="F85" s="378" t="n"/>
      <c r="G85" s="511">
        <f>IF(OR(A85="",E85=""),"",IF(C85="","",C85-E85))</f>
        <v/>
      </c>
      <c r="H85" s="380" t="inlineStr">
        <is>
          <t>Agent 05</t>
        </is>
      </c>
      <c r="I85" s="491" t="n"/>
      <c r="J85" s="492">
        <f>IF(AND(A85&lt;&gt;"",E85&lt;&gt;""),IF(I85="","⚠️ Enter Code",IF(IFERROR(VLOOKUP(H85,DB_Agents!$B:$I,8,0),"")=I85,IF(C85&gt;=E85,"Successful","Unsuccessful"),"🔒 BLOCKED — Wrong Code")),"—")</f>
        <v/>
      </c>
      <c r="K85" s="493">
        <f>IF(J85="Successful",TEXT(TODAY(),"YYYY-MM-DD")&amp;" Auto","—")</f>
        <v/>
      </c>
      <c r="L85" s="494" t="n"/>
    </row>
    <row r="86" ht="15" customHeight="1" s="341">
      <c r="A86" s="495" t="n"/>
      <c r="B86" s="382">
        <f>IF(A86="","",IFERROR(VLOOKUP(A86,DB_Customers!$A:$D,4,0),"❌ Account Not Found"))</f>
        <v/>
      </c>
      <c r="C86" s="496">
        <f>IF(A86="","",IFERROR(VLOOKUP(A86,DB_Customers!$A:$N,14,0),""))</f>
        <v/>
      </c>
      <c r="D86" s="497">
        <f>IF(A86="","",TODAY())</f>
        <v/>
      </c>
      <c r="E86" s="510" t="n"/>
      <c r="F86" s="382" t="n"/>
      <c r="G86" s="512">
        <f>IF(OR(A86="",E86=""),"",IF(C86="","",C86-E86))</f>
        <v/>
      </c>
      <c r="H86" s="384" t="inlineStr">
        <is>
          <t>Agent 05</t>
        </is>
      </c>
      <c r="I86" s="491" t="n"/>
      <c r="J86" s="499">
        <f>IF(AND(A86&lt;&gt;"",E86&lt;&gt;""),IF(I86="","⚠️ Enter Code",IF(IFERROR(VLOOKUP(H86,DB_Agents!$B:$I,8,0),"")=I86,IF(C86&gt;=E86,"Successful","Unsuccessful"),"🔒 BLOCKED — Wrong Code")),"—")</f>
        <v/>
      </c>
      <c r="K86" s="500">
        <f>IF(J86="Successful",TEXT(TODAY(),"YYYY-MM-DD")&amp;" Auto","—")</f>
        <v/>
      </c>
      <c r="L86" s="501" t="n"/>
    </row>
    <row r="87" ht="15" customHeight="1" s="341">
      <c r="A87" s="486" t="n"/>
      <c r="B87" s="378">
        <f>IF(A87="","",IFERROR(VLOOKUP(A87,DB_Customers!$A:$D,4,0),"❌ Account Not Found"))</f>
        <v/>
      </c>
      <c r="C87" s="487">
        <f>IF(A87="","",IFERROR(VLOOKUP(A87,DB_Customers!$A:$N,14,0),""))</f>
        <v/>
      </c>
      <c r="D87" s="488">
        <f>IF(A87="","",TODAY())</f>
        <v/>
      </c>
      <c r="E87" s="510" t="n"/>
      <c r="F87" s="378" t="n"/>
      <c r="G87" s="511">
        <f>IF(OR(A87="",E87=""),"",IF(C87="","",C87-E87))</f>
        <v/>
      </c>
      <c r="H87" s="380" t="inlineStr">
        <is>
          <t>Agent 05</t>
        </is>
      </c>
      <c r="I87" s="491" t="n"/>
      <c r="J87" s="492">
        <f>IF(AND(A87&lt;&gt;"",E87&lt;&gt;""),IF(I87="","⚠️ Enter Code",IF(IFERROR(VLOOKUP(H87,DB_Agents!$B:$I,8,0),"")=I87,IF(C87&gt;=E87,"Successful","Unsuccessful"),"🔒 BLOCKED — Wrong Code")),"—")</f>
        <v/>
      </c>
      <c r="K87" s="493">
        <f>IF(J87="Successful",TEXT(TODAY(),"YYYY-MM-DD")&amp;" Auto","—")</f>
        <v/>
      </c>
      <c r="L87" s="494" t="n"/>
    </row>
    <row r="88" ht="15" customHeight="1" s="341">
      <c r="A88" s="495" t="n"/>
      <c r="B88" s="382">
        <f>IF(A88="","",IFERROR(VLOOKUP(A88,DB_Customers!$A:$D,4,0),"❌ Account Not Found"))</f>
        <v/>
      </c>
      <c r="C88" s="496">
        <f>IF(A88="","",IFERROR(VLOOKUP(A88,DB_Customers!$A:$N,14,0),""))</f>
        <v/>
      </c>
      <c r="D88" s="497">
        <f>IF(A88="","",TODAY())</f>
        <v/>
      </c>
      <c r="E88" s="510" t="n"/>
      <c r="F88" s="382" t="n"/>
      <c r="G88" s="512">
        <f>IF(OR(A88="",E88=""),"",IF(C88="","",C88-E88))</f>
        <v/>
      </c>
      <c r="H88" s="384" t="inlineStr">
        <is>
          <t>Agent 05</t>
        </is>
      </c>
      <c r="I88" s="491" t="n"/>
      <c r="J88" s="499">
        <f>IF(AND(A88&lt;&gt;"",E88&lt;&gt;""),IF(I88="","⚠️ Enter Code",IF(IFERROR(VLOOKUP(H88,DB_Agents!$B:$I,8,0),"")=I88,IF(C88&gt;=E88,"Successful","Unsuccessful"),"🔒 BLOCKED — Wrong Code")),"—")</f>
        <v/>
      </c>
      <c r="K88" s="500">
        <f>IF(J88="Successful",TEXT(TODAY(),"YYYY-MM-DD")&amp;" Auto","—")</f>
        <v/>
      </c>
      <c r="L88" s="501" t="n"/>
    </row>
    <row r="89" ht="15" customHeight="1" s="341">
      <c r="A89" s="486" t="n"/>
      <c r="B89" s="378">
        <f>IF(A89="","",IFERROR(VLOOKUP(A89,DB_Customers!$A:$D,4,0),"❌ Account Not Found"))</f>
        <v/>
      </c>
      <c r="C89" s="487">
        <f>IF(A89="","",IFERROR(VLOOKUP(A89,DB_Customers!$A:$N,14,0),""))</f>
        <v/>
      </c>
      <c r="D89" s="488">
        <f>IF(A89="","",TODAY())</f>
        <v/>
      </c>
      <c r="E89" s="510" t="n"/>
      <c r="F89" s="378" t="n"/>
      <c r="G89" s="511">
        <f>IF(OR(A89="",E89=""),"",IF(C89="","",C89-E89))</f>
        <v/>
      </c>
      <c r="H89" s="380" t="inlineStr">
        <is>
          <t>Agent 05</t>
        </is>
      </c>
      <c r="I89" s="491" t="n"/>
      <c r="J89" s="492">
        <f>IF(AND(A89&lt;&gt;"",E89&lt;&gt;""),IF(I89="","⚠️ Enter Code",IF(IFERROR(VLOOKUP(H89,DB_Agents!$B:$I,8,0),"")=I89,IF(C89&gt;=E89,"Successful","Unsuccessful"),"🔒 BLOCKED — Wrong Code")),"—")</f>
        <v/>
      </c>
      <c r="K89" s="493">
        <f>IF(J89="Successful",TEXT(TODAY(),"YYYY-MM-DD")&amp;" Auto","—")</f>
        <v/>
      </c>
      <c r="L89" s="494" t="n"/>
    </row>
    <row r="90" ht="15" customHeight="1" s="341">
      <c r="A90" s="495" t="n"/>
      <c r="B90" s="382">
        <f>IF(A90="","",IFERROR(VLOOKUP(A90,DB_Customers!$A:$D,4,0),"❌ Account Not Found"))</f>
        <v/>
      </c>
      <c r="C90" s="496">
        <f>IF(A90="","",IFERROR(VLOOKUP(A90,DB_Customers!$A:$N,14,0),""))</f>
        <v/>
      </c>
      <c r="D90" s="497">
        <f>IF(A90="","",TODAY())</f>
        <v/>
      </c>
      <c r="E90" s="510" t="n"/>
      <c r="F90" s="382" t="n"/>
      <c r="G90" s="512">
        <f>IF(OR(A90="",E90=""),"",IF(C90="","",C90-E90))</f>
        <v/>
      </c>
      <c r="H90" s="384" t="inlineStr">
        <is>
          <t>Agent 05</t>
        </is>
      </c>
      <c r="I90" s="491" t="n"/>
      <c r="J90" s="499">
        <f>IF(AND(A90&lt;&gt;"",E90&lt;&gt;""),IF(I90="","⚠️ Enter Code",IF(IFERROR(VLOOKUP(H90,DB_Agents!$B:$I,8,0),"")=I90,IF(C90&gt;=E90,"Successful","Unsuccessful"),"🔒 BLOCKED — Wrong Code")),"—")</f>
        <v/>
      </c>
      <c r="K90" s="500">
        <f>IF(J90="Successful",TEXT(TODAY(),"YYYY-MM-DD")&amp;" Auto","—")</f>
        <v/>
      </c>
      <c r="L90" s="501" t="n"/>
    </row>
    <row r="91" ht="15" customHeight="1" s="341">
      <c r="A91" s="486" t="n"/>
      <c r="B91" s="378">
        <f>IF(A91="","",IFERROR(VLOOKUP(A91,DB_Customers!$A:$D,4,0),"❌ Account Not Found"))</f>
        <v/>
      </c>
      <c r="C91" s="487">
        <f>IF(A91="","",IFERROR(VLOOKUP(A91,DB_Customers!$A:$N,14,0),""))</f>
        <v/>
      </c>
      <c r="D91" s="488">
        <f>IF(A91="","",TODAY())</f>
        <v/>
      </c>
      <c r="E91" s="510" t="n"/>
      <c r="F91" s="378" t="n"/>
      <c r="G91" s="511">
        <f>IF(OR(A91="",E91=""),"",IF(C91="","",C91-E91))</f>
        <v/>
      </c>
      <c r="H91" s="380" t="inlineStr">
        <is>
          <t>Agent 05</t>
        </is>
      </c>
      <c r="I91" s="491" t="n"/>
      <c r="J91" s="492">
        <f>IF(AND(A91&lt;&gt;"",E91&lt;&gt;""),IF(I91="","⚠️ Enter Code",IF(IFERROR(VLOOKUP(H91,DB_Agents!$B:$I,8,0),"")=I91,IF(C91&gt;=E91,"Successful","Unsuccessful"),"🔒 BLOCKED — Wrong Code")),"—")</f>
        <v/>
      </c>
      <c r="K91" s="493">
        <f>IF(J91="Successful",TEXT(TODAY(),"YYYY-MM-DD")&amp;" Auto","—")</f>
        <v/>
      </c>
      <c r="L91" s="494" t="n"/>
    </row>
    <row r="92" ht="15" customHeight="1" s="341">
      <c r="A92" s="495" t="n"/>
      <c r="B92" s="382">
        <f>IF(A92="","",IFERROR(VLOOKUP(A92,DB_Customers!$A:$D,4,0),"❌ Account Not Found"))</f>
        <v/>
      </c>
      <c r="C92" s="496">
        <f>IF(A92="","",IFERROR(VLOOKUP(A92,DB_Customers!$A:$N,14,0),""))</f>
        <v/>
      </c>
      <c r="D92" s="497">
        <f>IF(A92="","",TODAY())</f>
        <v/>
      </c>
      <c r="E92" s="510" t="n"/>
      <c r="F92" s="382" t="n"/>
      <c r="G92" s="512">
        <f>IF(OR(A92="",E92=""),"",IF(C92="","",C92-E92))</f>
        <v/>
      </c>
      <c r="H92" s="384" t="inlineStr">
        <is>
          <t>Agent 05</t>
        </is>
      </c>
      <c r="I92" s="491" t="n"/>
      <c r="J92" s="499">
        <f>IF(AND(A92&lt;&gt;"",E92&lt;&gt;""),IF(I92="","⚠️ Enter Code",IF(IFERROR(VLOOKUP(H92,DB_Agents!$B:$I,8,0),"")=I92,IF(C92&gt;=E92,"Successful","Unsuccessful"),"🔒 BLOCKED — Wrong Code")),"—")</f>
        <v/>
      </c>
      <c r="K92" s="500">
        <f>IF(J92="Successful",TEXT(TODAY(),"YYYY-MM-DD")&amp;" Auto","—")</f>
        <v/>
      </c>
      <c r="L92" s="501" t="n"/>
    </row>
    <row r="93" ht="15" customHeight="1" s="341">
      <c r="A93" s="486" t="n"/>
      <c r="B93" s="378">
        <f>IF(A93="","",IFERROR(VLOOKUP(A93,DB_Customers!$A:$D,4,0),"❌ Account Not Found"))</f>
        <v/>
      </c>
      <c r="C93" s="487">
        <f>IF(A93="","",IFERROR(VLOOKUP(A93,DB_Customers!$A:$N,14,0),""))</f>
        <v/>
      </c>
      <c r="D93" s="488">
        <f>IF(A93="","",TODAY())</f>
        <v/>
      </c>
      <c r="E93" s="510" t="n"/>
      <c r="F93" s="378" t="n"/>
      <c r="G93" s="511">
        <f>IF(OR(A93="",E93=""),"",IF(C93="","",C93-E93))</f>
        <v/>
      </c>
      <c r="H93" s="380" t="inlineStr">
        <is>
          <t>Agent 05</t>
        </is>
      </c>
      <c r="I93" s="491" t="n"/>
      <c r="J93" s="492">
        <f>IF(AND(A93&lt;&gt;"",E93&lt;&gt;""),IF(I93="","⚠️ Enter Code",IF(IFERROR(VLOOKUP(H93,DB_Agents!$B:$I,8,0),"")=I93,IF(C93&gt;=E93,"Successful","Unsuccessful"),"🔒 BLOCKED — Wrong Code")),"—")</f>
        <v/>
      </c>
      <c r="K93" s="493">
        <f>IF(J93="Successful",TEXT(TODAY(),"YYYY-MM-DD")&amp;" Auto","—")</f>
        <v/>
      </c>
      <c r="L93" s="494" t="n"/>
    </row>
    <row r="94" ht="15" customHeight="1" s="341">
      <c r="A94" s="495" t="n"/>
      <c r="B94" s="382">
        <f>IF(A94="","",IFERROR(VLOOKUP(A94,DB_Customers!$A:$D,4,0),"❌ Account Not Found"))</f>
        <v/>
      </c>
      <c r="C94" s="496">
        <f>IF(A94="","",IFERROR(VLOOKUP(A94,DB_Customers!$A:$N,14,0),""))</f>
        <v/>
      </c>
      <c r="D94" s="497">
        <f>IF(A94="","",TODAY())</f>
        <v/>
      </c>
      <c r="E94" s="510" t="n"/>
      <c r="F94" s="382" t="n"/>
      <c r="G94" s="512">
        <f>IF(OR(A94="",E94=""),"",IF(C94="","",C94-E94))</f>
        <v/>
      </c>
      <c r="H94" s="384" t="inlineStr">
        <is>
          <t>Agent 05</t>
        </is>
      </c>
      <c r="I94" s="491" t="n"/>
      <c r="J94" s="499">
        <f>IF(AND(A94&lt;&gt;"",E94&lt;&gt;""),IF(I94="","⚠️ Enter Code",IF(IFERROR(VLOOKUP(H94,DB_Agents!$B:$I,8,0),"")=I94,IF(C94&gt;=E94,"Successful","Unsuccessful"),"🔒 BLOCKED — Wrong Code")),"—")</f>
        <v/>
      </c>
      <c r="K94" s="500">
        <f>IF(J94="Successful",TEXT(TODAY(),"YYYY-MM-DD")&amp;" Auto","—")</f>
        <v/>
      </c>
      <c r="L94" s="501" t="n"/>
    </row>
    <row r="95" ht="15" customHeight="1" s="341">
      <c r="A95" s="486" t="n"/>
      <c r="B95" s="378">
        <f>IF(A95="","",IFERROR(VLOOKUP(A95,DB_Customers!$A:$D,4,0),"❌ Account Not Found"))</f>
        <v/>
      </c>
      <c r="C95" s="487">
        <f>IF(A95="","",IFERROR(VLOOKUP(A95,DB_Customers!$A:$N,14,0),""))</f>
        <v/>
      </c>
      <c r="D95" s="488">
        <f>IF(A95="","",TODAY())</f>
        <v/>
      </c>
      <c r="E95" s="510" t="n"/>
      <c r="F95" s="378" t="n"/>
      <c r="G95" s="511">
        <f>IF(OR(A95="",E95=""),"",IF(C95="","",C95-E95))</f>
        <v/>
      </c>
      <c r="H95" s="380" t="inlineStr">
        <is>
          <t>Agent 05</t>
        </is>
      </c>
      <c r="I95" s="491" t="n"/>
      <c r="J95" s="492">
        <f>IF(AND(A95&lt;&gt;"",E95&lt;&gt;""),IF(I95="","⚠️ Enter Code",IF(IFERROR(VLOOKUP(H95,DB_Agents!$B:$I,8,0),"")=I95,IF(C95&gt;=E95,"Successful","Unsuccessful"),"🔒 BLOCKED — Wrong Code")),"—")</f>
        <v/>
      </c>
      <c r="K95" s="493">
        <f>IF(J95="Successful",TEXT(TODAY(),"YYYY-MM-DD")&amp;" Auto","—")</f>
        <v/>
      </c>
      <c r="L95" s="494" t="n"/>
    </row>
    <row r="96" ht="15" customHeight="1" s="341">
      <c r="A96" s="495" t="n"/>
      <c r="B96" s="382">
        <f>IF(A96="","",IFERROR(VLOOKUP(A96,DB_Customers!$A:$D,4,0),"❌ Account Not Found"))</f>
        <v/>
      </c>
      <c r="C96" s="496">
        <f>IF(A96="","",IFERROR(VLOOKUP(A96,DB_Customers!$A:$N,14,0),""))</f>
        <v/>
      </c>
      <c r="D96" s="497">
        <f>IF(A96="","",TODAY())</f>
        <v/>
      </c>
      <c r="E96" s="510" t="n"/>
      <c r="F96" s="382" t="n"/>
      <c r="G96" s="512">
        <f>IF(OR(A96="",E96=""),"",IF(C96="","",C96-E96))</f>
        <v/>
      </c>
      <c r="H96" s="384" t="inlineStr">
        <is>
          <t>Agent 05</t>
        </is>
      </c>
      <c r="I96" s="491" t="n"/>
      <c r="J96" s="499">
        <f>IF(AND(A96&lt;&gt;"",E96&lt;&gt;""),IF(I96="","⚠️ Enter Code",IF(IFERROR(VLOOKUP(H96,DB_Agents!$B:$I,8,0),"")=I96,IF(C96&gt;=E96,"Successful","Unsuccessful"),"🔒 BLOCKED — Wrong Code")),"—")</f>
        <v/>
      </c>
      <c r="K96" s="500">
        <f>IF(J96="Successful",TEXT(TODAY(),"YYYY-MM-DD")&amp;" Auto","—")</f>
        <v/>
      </c>
      <c r="L96" s="501" t="n"/>
    </row>
    <row r="97" ht="15" customHeight="1" s="341">
      <c r="A97" s="486" t="n"/>
      <c r="B97" s="378">
        <f>IF(A97="","",IFERROR(VLOOKUP(A97,DB_Customers!$A:$D,4,0),"❌ Account Not Found"))</f>
        <v/>
      </c>
      <c r="C97" s="487">
        <f>IF(A97="","",IFERROR(VLOOKUP(A97,DB_Customers!$A:$N,14,0),""))</f>
        <v/>
      </c>
      <c r="D97" s="488">
        <f>IF(A97="","",TODAY())</f>
        <v/>
      </c>
      <c r="E97" s="510" t="n"/>
      <c r="F97" s="378" t="n"/>
      <c r="G97" s="511">
        <f>IF(OR(A97="",E97=""),"",IF(C97="","",C97-E97))</f>
        <v/>
      </c>
      <c r="H97" s="380" t="inlineStr">
        <is>
          <t>Agent 05</t>
        </is>
      </c>
      <c r="I97" s="491" t="n"/>
      <c r="J97" s="492">
        <f>IF(AND(A97&lt;&gt;"",E97&lt;&gt;""),IF(I97="","⚠️ Enter Code",IF(IFERROR(VLOOKUP(H97,DB_Agents!$B:$I,8,0),"")=I97,IF(C97&gt;=E97,"Successful","Unsuccessful"),"🔒 BLOCKED — Wrong Code")),"—")</f>
        <v/>
      </c>
      <c r="K97" s="493">
        <f>IF(J97="Successful",TEXT(TODAY(),"YYYY-MM-DD")&amp;" Auto","—")</f>
        <v/>
      </c>
      <c r="L97" s="494" t="n"/>
    </row>
    <row r="98" ht="15" customHeight="1" s="341">
      <c r="A98" s="495" t="n"/>
      <c r="B98" s="382">
        <f>IF(A98="","",IFERROR(VLOOKUP(A98,DB_Customers!$A:$D,4,0),"❌ Account Not Found"))</f>
        <v/>
      </c>
      <c r="C98" s="496">
        <f>IF(A98="","",IFERROR(VLOOKUP(A98,DB_Customers!$A:$N,14,0),""))</f>
        <v/>
      </c>
      <c r="D98" s="497">
        <f>IF(A98="","",TODAY())</f>
        <v/>
      </c>
      <c r="E98" s="510" t="n"/>
      <c r="F98" s="382" t="n"/>
      <c r="G98" s="512">
        <f>IF(OR(A98="",E98=""),"",IF(C98="","",C98-E98))</f>
        <v/>
      </c>
      <c r="H98" s="384" t="inlineStr">
        <is>
          <t>Agent 05</t>
        </is>
      </c>
      <c r="I98" s="491" t="n"/>
      <c r="J98" s="499">
        <f>IF(AND(A98&lt;&gt;"",E98&lt;&gt;""),IF(I98="","⚠️ Enter Code",IF(IFERROR(VLOOKUP(H98,DB_Agents!$B:$I,8,0),"")=I98,IF(C98&gt;=E98,"Successful","Unsuccessful"),"🔒 BLOCKED — Wrong Code")),"—")</f>
        <v/>
      </c>
      <c r="K98" s="500">
        <f>IF(J98="Successful",TEXT(TODAY(),"YYYY-MM-DD")&amp;" Auto","—")</f>
        <v/>
      </c>
      <c r="L98" s="501" t="n"/>
    </row>
    <row r="99" ht="15" customHeight="1" s="341">
      <c r="A99" s="486" t="n"/>
      <c r="B99" s="378">
        <f>IF(A99="","",IFERROR(VLOOKUP(A99,DB_Customers!$A:$D,4,0),"❌ Account Not Found"))</f>
        <v/>
      </c>
      <c r="C99" s="487">
        <f>IF(A99="","",IFERROR(VLOOKUP(A99,DB_Customers!$A:$N,14,0),""))</f>
        <v/>
      </c>
      <c r="D99" s="488">
        <f>IF(A99="","",TODAY())</f>
        <v/>
      </c>
      <c r="E99" s="510" t="n"/>
      <c r="F99" s="378" t="n"/>
      <c r="G99" s="511">
        <f>IF(OR(A99="",E99=""),"",IF(C99="","",C99-E99))</f>
        <v/>
      </c>
      <c r="H99" s="380" t="inlineStr">
        <is>
          <t>Agent 05</t>
        </is>
      </c>
      <c r="I99" s="491" t="n"/>
      <c r="J99" s="492">
        <f>IF(AND(A99&lt;&gt;"",E99&lt;&gt;""),IF(I99="","⚠️ Enter Code",IF(IFERROR(VLOOKUP(H99,DB_Agents!$B:$I,8,0),"")=I99,IF(C99&gt;=E99,"Successful","Unsuccessful"),"🔒 BLOCKED — Wrong Code")),"—")</f>
        <v/>
      </c>
      <c r="K99" s="493">
        <f>IF(J99="Successful",TEXT(TODAY(),"YYYY-MM-DD")&amp;" Auto","—")</f>
        <v/>
      </c>
      <c r="L99" s="494" t="n"/>
    </row>
    <row r="100" ht="15" customHeight="1" s="341">
      <c r="A100" s="495" t="n"/>
      <c r="B100" s="382">
        <f>IF(A100="","",IFERROR(VLOOKUP(A100,DB_Customers!$A:$D,4,0),"❌ Account Not Found"))</f>
        <v/>
      </c>
      <c r="C100" s="496">
        <f>IF(A100="","",IFERROR(VLOOKUP(A100,DB_Customers!$A:$N,14,0),""))</f>
        <v/>
      </c>
      <c r="D100" s="497">
        <f>IF(A100="","",TODAY())</f>
        <v/>
      </c>
      <c r="E100" s="510" t="n"/>
      <c r="F100" s="382" t="n"/>
      <c r="G100" s="512">
        <f>IF(OR(A100="",E100=""),"",IF(C100="","",C100-E100))</f>
        <v/>
      </c>
      <c r="H100" s="384" t="inlineStr">
        <is>
          <t>Agent 05</t>
        </is>
      </c>
      <c r="I100" s="491" t="n"/>
      <c r="J100" s="499">
        <f>IF(AND(A100&lt;&gt;"",E100&lt;&gt;""),IF(I100="","⚠️ Enter Code",IF(IFERROR(VLOOKUP(H100,DB_Agents!$B:$I,8,0),"")=I100,IF(C100&gt;=E100,"Successful","Unsuccessful"),"🔒 BLOCKED — Wrong Code")),"—")</f>
        <v/>
      </c>
      <c r="K100" s="500">
        <f>IF(J100="Successful",TEXT(TODAY(),"YYYY-MM-DD")&amp;" Auto","—")</f>
        <v/>
      </c>
      <c r="L100" s="501" t="n"/>
    </row>
    <row r="101" ht="15" customHeight="1" s="341">
      <c r="A101" s="486" t="n"/>
      <c r="B101" s="378">
        <f>IF(A101="","",IFERROR(VLOOKUP(A101,DB_Customers!$A:$D,4,0),"❌ Account Not Found"))</f>
        <v/>
      </c>
      <c r="C101" s="487">
        <f>IF(A101="","",IFERROR(VLOOKUP(A101,DB_Customers!$A:$N,14,0),""))</f>
        <v/>
      </c>
      <c r="D101" s="488">
        <f>IF(A101="","",TODAY())</f>
        <v/>
      </c>
      <c r="E101" s="510" t="n"/>
      <c r="F101" s="378" t="n"/>
      <c r="G101" s="511">
        <f>IF(OR(A101="",E101=""),"",IF(C101="","",C101-E101))</f>
        <v/>
      </c>
      <c r="H101" s="380" t="inlineStr">
        <is>
          <t>Agent 05</t>
        </is>
      </c>
      <c r="I101" s="491" t="n"/>
      <c r="J101" s="492">
        <f>IF(AND(A101&lt;&gt;"",E101&lt;&gt;""),IF(I101="","⚠️ Enter Code",IF(IFERROR(VLOOKUP(H101,DB_Agents!$B:$I,8,0),"")=I101,IF(C101&gt;=E101,"Successful","Unsuccessful"),"🔒 BLOCKED — Wrong Code")),"—")</f>
        <v/>
      </c>
      <c r="K101" s="493">
        <f>IF(J101="Successful",TEXT(TODAY(),"YYYY-MM-DD")&amp;" Auto","—")</f>
        <v/>
      </c>
      <c r="L101" s="494" t="n"/>
    </row>
    <row r="102" ht="15" customHeight="1" s="341">
      <c r="A102" s="495" t="n"/>
      <c r="B102" s="382">
        <f>IF(A102="","",IFERROR(VLOOKUP(A102,DB_Customers!$A:$D,4,0),"❌ Account Not Found"))</f>
        <v/>
      </c>
      <c r="C102" s="496">
        <f>IF(A102="","",IFERROR(VLOOKUP(A102,DB_Customers!$A:$N,14,0),""))</f>
        <v/>
      </c>
      <c r="D102" s="497">
        <f>IF(A102="","",TODAY())</f>
        <v/>
      </c>
      <c r="E102" s="510" t="n"/>
      <c r="F102" s="382" t="n"/>
      <c r="G102" s="512">
        <f>IF(OR(A102="",E102=""),"",IF(C102="","",C102-E102))</f>
        <v/>
      </c>
      <c r="H102" s="384" t="inlineStr">
        <is>
          <t>Agent 05</t>
        </is>
      </c>
      <c r="I102" s="491" t="n"/>
      <c r="J102" s="499">
        <f>IF(AND(A102&lt;&gt;"",E102&lt;&gt;""),IF(I102="","⚠️ Enter Code",IF(IFERROR(VLOOKUP(H102,DB_Agents!$B:$I,8,0),"")=I102,IF(C102&gt;=E102,"Successful","Unsuccessful"),"🔒 BLOCKED — Wrong Code")),"—")</f>
        <v/>
      </c>
      <c r="K102" s="500">
        <f>IF(J102="Successful",TEXT(TODAY(),"YYYY-MM-DD")&amp;" Auto","—")</f>
        <v/>
      </c>
      <c r="L102" s="501" t="n"/>
    </row>
    <row r="103" ht="15" customHeight="1" s="341">
      <c r="A103" s="486" t="n"/>
      <c r="B103" s="378">
        <f>IF(A103="","",IFERROR(VLOOKUP(A103,DB_Customers!$A:$D,4,0),"❌ Account Not Found"))</f>
        <v/>
      </c>
      <c r="C103" s="487">
        <f>IF(A103="","",IFERROR(VLOOKUP(A103,DB_Customers!$A:$N,14,0),""))</f>
        <v/>
      </c>
      <c r="D103" s="488">
        <f>IF(A103="","",TODAY())</f>
        <v/>
      </c>
      <c r="E103" s="510" t="n"/>
      <c r="F103" s="378" t="n"/>
      <c r="G103" s="511">
        <f>IF(OR(A103="",E103=""),"",IF(C103="","",C103-E103))</f>
        <v/>
      </c>
      <c r="H103" s="380" t="inlineStr">
        <is>
          <t>Agent 05</t>
        </is>
      </c>
      <c r="I103" s="491" t="n"/>
      <c r="J103" s="492">
        <f>IF(AND(A103&lt;&gt;"",E103&lt;&gt;""),IF(I103="","⚠️ Enter Code",IF(IFERROR(VLOOKUP(H103,DB_Agents!$B:$I,8,0),"")=I103,IF(C103&gt;=E103,"Successful","Unsuccessful"),"🔒 BLOCKED — Wrong Code")),"—")</f>
        <v/>
      </c>
      <c r="K103" s="493">
        <f>IF(J103="Successful",TEXT(TODAY(),"YYYY-MM-DD")&amp;" Auto","—")</f>
        <v/>
      </c>
      <c r="L103" s="494" t="n"/>
    </row>
    <row r="104" ht="15" customHeight="1" s="341">
      <c r="A104" s="495" t="n"/>
      <c r="B104" s="382">
        <f>IF(A104="","",IFERROR(VLOOKUP(A104,DB_Customers!$A:$D,4,0),"❌ Account Not Found"))</f>
        <v/>
      </c>
      <c r="C104" s="496">
        <f>IF(A104="","",IFERROR(VLOOKUP(A104,DB_Customers!$A:$N,14,0),""))</f>
        <v/>
      </c>
      <c r="D104" s="497">
        <f>IF(A104="","",TODAY())</f>
        <v/>
      </c>
      <c r="E104" s="510" t="n"/>
      <c r="F104" s="382" t="n"/>
      <c r="G104" s="512">
        <f>IF(OR(A104="",E104=""),"",IF(C104="","",C104-E104))</f>
        <v/>
      </c>
      <c r="H104" s="384" t="inlineStr">
        <is>
          <t>Agent 05</t>
        </is>
      </c>
      <c r="I104" s="491" t="n"/>
      <c r="J104" s="499">
        <f>IF(AND(A104&lt;&gt;"",E104&lt;&gt;""),IF(I104="","⚠️ Enter Code",IF(IFERROR(VLOOKUP(H104,DB_Agents!$B:$I,8,0),"")=I104,IF(C104&gt;=E104,"Successful","Unsuccessful"),"🔒 BLOCKED — Wrong Code")),"—")</f>
        <v/>
      </c>
      <c r="K104" s="500">
        <f>IF(J104="Successful",TEXT(TODAY(),"YYYY-MM-DD")&amp;" Auto","—")</f>
        <v/>
      </c>
      <c r="L104" s="501" t="n"/>
    </row>
    <row r="105" ht="15" customHeight="1" s="341">
      <c r="A105" s="486" t="n"/>
      <c r="B105" s="378">
        <f>IF(A105="","",IFERROR(VLOOKUP(A105,DB_Customers!$A:$D,4,0),"❌ Account Not Found"))</f>
        <v/>
      </c>
      <c r="C105" s="487">
        <f>IF(A105="","",IFERROR(VLOOKUP(A105,DB_Customers!$A:$N,14,0),""))</f>
        <v/>
      </c>
      <c r="D105" s="488">
        <f>IF(A105="","",TODAY())</f>
        <v/>
      </c>
      <c r="E105" s="510" t="n"/>
      <c r="F105" s="378" t="n"/>
      <c r="G105" s="511">
        <f>IF(OR(A105="",E105=""),"",IF(C105="","",C105-E105))</f>
        <v/>
      </c>
      <c r="H105" s="380" t="inlineStr">
        <is>
          <t>Agent 05</t>
        </is>
      </c>
      <c r="I105" s="491" t="n"/>
      <c r="J105" s="492">
        <f>IF(AND(A105&lt;&gt;"",E105&lt;&gt;""),IF(I105="","⚠️ Enter Code",IF(IFERROR(VLOOKUP(H105,DB_Agents!$B:$I,8,0),"")=I105,IF(C105&gt;=E105,"Successful","Unsuccessful"),"🔒 BLOCKED — Wrong Code")),"—")</f>
        <v/>
      </c>
      <c r="K105" s="493">
        <f>IF(J105="Successful",TEXT(TODAY(),"YYYY-MM-DD")&amp;" Auto","—")</f>
        <v/>
      </c>
      <c r="L105" s="494" t="n"/>
    </row>
    <row r="106" ht="15" customHeight="1" s="341">
      <c r="A106" s="495" t="n"/>
      <c r="B106" s="382">
        <f>IF(A106="","",IFERROR(VLOOKUP(A106,DB_Customers!$A:$D,4,0),"❌ Account Not Found"))</f>
        <v/>
      </c>
      <c r="C106" s="496">
        <f>IF(A106="","",IFERROR(VLOOKUP(A106,DB_Customers!$A:$N,14,0),""))</f>
        <v/>
      </c>
      <c r="D106" s="497">
        <f>IF(A106="","",TODAY())</f>
        <v/>
      </c>
      <c r="E106" s="510" t="n"/>
      <c r="F106" s="382" t="n"/>
      <c r="G106" s="512">
        <f>IF(OR(A106="",E106=""),"",IF(C106="","",C106-E106))</f>
        <v/>
      </c>
      <c r="H106" s="384" t="inlineStr">
        <is>
          <t>Agent 05</t>
        </is>
      </c>
      <c r="I106" s="491" t="n"/>
      <c r="J106" s="499">
        <f>IF(AND(A106&lt;&gt;"",E106&lt;&gt;""),IF(I106="","⚠️ Enter Code",IF(IFERROR(VLOOKUP(H106,DB_Agents!$B:$I,8,0),"")=I106,IF(C106&gt;=E106,"Successful","Unsuccessful"),"🔒 BLOCKED — Wrong Code")),"—")</f>
        <v/>
      </c>
      <c r="K106" s="500">
        <f>IF(J106="Successful",TEXT(TODAY(),"YYYY-MM-DD")&amp;" Auto","—")</f>
        <v/>
      </c>
      <c r="L106" s="501" t="n"/>
    </row>
    <row r="107" ht="15" customHeight="1" s="341">
      <c r="A107" s="486" t="n"/>
      <c r="B107" s="378">
        <f>IF(A107="","",IFERROR(VLOOKUP(A107,DB_Customers!$A:$D,4,0),"❌ Account Not Found"))</f>
        <v/>
      </c>
      <c r="C107" s="487">
        <f>IF(A107="","",IFERROR(VLOOKUP(A107,DB_Customers!$A:$N,14,0),""))</f>
        <v/>
      </c>
      <c r="D107" s="488">
        <f>IF(A107="","",TODAY())</f>
        <v/>
      </c>
      <c r="E107" s="510" t="n"/>
      <c r="F107" s="378" t="n"/>
      <c r="G107" s="511">
        <f>IF(OR(A107="",E107=""),"",IF(C107="","",C107-E107))</f>
        <v/>
      </c>
      <c r="H107" s="380" t="inlineStr">
        <is>
          <t>Agent 05</t>
        </is>
      </c>
      <c r="I107" s="491" t="n"/>
      <c r="J107" s="492">
        <f>IF(AND(A107&lt;&gt;"",E107&lt;&gt;""),IF(I107="","⚠️ Enter Code",IF(IFERROR(VLOOKUP(H107,DB_Agents!$B:$I,8,0),"")=I107,IF(C107&gt;=E107,"Successful","Unsuccessful"),"🔒 BLOCKED — Wrong Code")),"—")</f>
        <v/>
      </c>
      <c r="K107" s="493">
        <f>IF(J107="Successful",TEXT(TODAY(),"YYYY-MM-DD")&amp;" Auto","—")</f>
        <v/>
      </c>
      <c r="L107" s="494" t="n"/>
    </row>
    <row r="108" ht="15" customHeight="1" s="341">
      <c r="A108" s="495" t="n"/>
      <c r="B108" s="382">
        <f>IF(A108="","",IFERROR(VLOOKUP(A108,DB_Customers!$A:$D,4,0),"❌ Account Not Found"))</f>
        <v/>
      </c>
      <c r="C108" s="496">
        <f>IF(A108="","",IFERROR(VLOOKUP(A108,DB_Customers!$A:$N,14,0),""))</f>
        <v/>
      </c>
      <c r="D108" s="497">
        <f>IF(A108="","",TODAY())</f>
        <v/>
      </c>
      <c r="E108" s="510" t="n"/>
      <c r="F108" s="382" t="n"/>
      <c r="G108" s="512">
        <f>IF(OR(A108="",E108=""),"",IF(C108="","",C108-E108))</f>
        <v/>
      </c>
      <c r="H108" s="384" t="inlineStr">
        <is>
          <t>Agent 05</t>
        </is>
      </c>
      <c r="I108" s="491" t="n"/>
      <c r="J108" s="499">
        <f>IF(AND(A108&lt;&gt;"",E108&lt;&gt;""),IF(I108="","⚠️ Enter Code",IF(IFERROR(VLOOKUP(H108,DB_Agents!$B:$I,8,0),"")=I108,IF(C108&gt;=E108,"Successful","Unsuccessful"),"🔒 BLOCKED — Wrong Code")),"—")</f>
        <v/>
      </c>
      <c r="K108" s="500">
        <f>IF(J108="Successful",TEXT(TODAY(),"YYYY-MM-DD")&amp;" Auto","—")</f>
        <v/>
      </c>
      <c r="L108" s="501" t="n"/>
    </row>
    <row r="109" ht="15" customHeight="1" s="341">
      <c r="A109" s="486" t="n"/>
      <c r="B109" s="378">
        <f>IF(A109="","",IFERROR(VLOOKUP(A109,DB_Customers!$A:$D,4,0),"❌ Account Not Found"))</f>
        <v/>
      </c>
      <c r="C109" s="487">
        <f>IF(A109="","",IFERROR(VLOOKUP(A109,DB_Customers!$A:$N,14,0),""))</f>
        <v/>
      </c>
      <c r="D109" s="488">
        <f>IF(A109="","",TODAY())</f>
        <v/>
      </c>
      <c r="E109" s="510" t="n"/>
      <c r="F109" s="378" t="n"/>
      <c r="G109" s="511">
        <f>IF(OR(A109="",E109=""),"",IF(C109="","",C109-E109))</f>
        <v/>
      </c>
      <c r="H109" s="380" t="inlineStr">
        <is>
          <t>Agent 05</t>
        </is>
      </c>
      <c r="I109" s="491" t="n"/>
      <c r="J109" s="492">
        <f>IF(AND(A109&lt;&gt;"",E109&lt;&gt;""),IF(I109="","⚠️ Enter Code",IF(IFERROR(VLOOKUP(H109,DB_Agents!$B:$I,8,0),"")=I109,IF(C109&gt;=E109,"Successful","Unsuccessful"),"🔒 BLOCKED — Wrong Code")),"—")</f>
        <v/>
      </c>
      <c r="K109" s="493">
        <f>IF(J109="Successful",TEXT(TODAY(),"YYYY-MM-DD")&amp;" Auto","—")</f>
        <v/>
      </c>
      <c r="L109" s="494" t="n"/>
    </row>
    <row r="110" ht="15" customHeight="1" s="341">
      <c r="A110" s="495" t="n"/>
      <c r="B110" s="382">
        <f>IF(A110="","",IFERROR(VLOOKUP(A110,DB_Customers!$A:$D,4,0),"❌ Account Not Found"))</f>
        <v/>
      </c>
      <c r="C110" s="496">
        <f>IF(A110="","",IFERROR(VLOOKUP(A110,DB_Customers!$A:$N,14,0),""))</f>
        <v/>
      </c>
      <c r="D110" s="497">
        <f>IF(A110="","",TODAY())</f>
        <v/>
      </c>
      <c r="E110" s="510" t="n"/>
      <c r="F110" s="382" t="n"/>
      <c r="G110" s="512">
        <f>IF(OR(A110="",E110=""),"",IF(C110="","",C110-E110))</f>
        <v/>
      </c>
      <c r="H110" s="384" t="inlineStr">
        <is>
          <t>Agent 05</t>
        </is>
      </c>
      <c r="I110" s="491" t="n"/>
      <c r="J110" s="499">
        <f>IF(AND(A110&lt;&gt;"",E110&lt;&gt;""),IF(I110="","⚠️ Enter Code",IF(IFERROR(VLOOKUP(H110,DB_Agents!$B:$I,8,0),"")=I110,IF(C110&gt;=E110,"Successful","Unsuccessful"),"🔒 BLOCKED — Wrong Code")),"—")</f>
        <v/>
      </c>
      <c r="K110" s="500">
        <f>IF(J110="Successful",TEXT(TODAY(),"YYYY-MM-DD")&amp;" Auto","—")</f>
        <v/>
      </c>
      <c r="L110" s="501" t="n"/>
    </row>
    <row r="111" ht="15" customHeight="1" s="341">
      <c r="A111" s="486" t="n"/>
      <c r="B111" s="378">
        <f>IF(A111="","",IFERROR(VLOOKUP(A111,DB_Customers!$A:$D,4,0),"❌ Account Not Found"))</f>
        <v/>
      </c>
      <c r="C111" s="487">
        <f>IF(A111="","",IFERROR(VLOOKUP(A111,DB_Customers!$A:$N,14,0),""))</f>
        <v/>
      </c>
      <c r="D111" s="488">
        <f>IF(A111="","",TODAY())</f>
        <v/>
      </c>
      <c r="E111" s="510" t="n"/>
      <c r="F111" s="378" t="n"/>
      <c r="G111" s="511">
        <f>IF(OR(A111="",E111=""),"",IF(C111="","",C111-E111))</f>
        <v/>
      </c>
      <c r="H111" s="380" t="inlineStr">
        <is>
          <t>Agent 05</t>
        </is>
      </c>
      <c r="I111" s="491" t="n"/>
      <c r="J111" s="492">
        <f>IF(AND(A111&lt;&gt;"",E111&lt;&gt;""),IF(I111="","⚠️ Enter Code",IF(IFERROR(VLOOKUP(H111,DB_Agents!$B:$I,8,0),"")=I111,IF(C111&gt;=E111,"Successful","Unsuccessful"),"🔒 BLOCKED — Wrong Code")),"—")</f>
        <v/>
      </c>
      <c r="K111" s="493">
        <f>IF(J111="Successful",TEXT(TODAY(),"YYYY-MM-DD")&amp;" Auto","—")</f>
        <v/>
      </c>
      <c r="L111" s="494" t="n"/>
    </row>
    <row r="112" ht="15" customHeight="1" s="341">
      <c r="A112" s="495" t="n"/>
      <c r="B112" s="382">
        <f>IF(A112="","",IFERROR(VLOOKUP(A112,DB_Customers!$A:$D,4,0),"❌ Account Not Found"))</f>
        <v/>
      </c>
      <c r="C112" s="496">
        <f>IF(A112="","",IFERROR(VLOOKUP(A112,DB_Customers!$A:$N,14,0),""))</f>
        <v/>
      </c>
      <c r="D112" s="497">
        <f>IF(A112="","",TODAY())</f>
        <v/>
      </c>
      <c r="E112" s="510" t="n"/>
      <c r="F112" s="382" t="n"/>
      <c r="G112" s="512">
        <f>IF(OR(A112="",E112=""),"",IF(C112="","",C112-E112))</f>
        <v/>
      </c>
      <c r="H112" s="384" t="inlineStr">
        <is>
          <t>Agent 05</t>
        </is>
      </c>
      <c r="I112" s="491" t="n"/>
      <c r="J112" s="499">
        <f>IF(AND(A112&lt;&gt;"",E112&lt;&gt;""),IF(I112="","⚠️ Enter Code",IF(IFERROR(VLOOKUP(H112,DB_Agents!$B:$I,8,0),"")=I112,IF(C112&gt;=E112,"Successful","Unsuccessful"),"🔒 BLOCKED — Wrong Code")),"—")</f>
        <v/>
      </c>
      <c r="K112" s="500">
        <f>IF(J112="Successful",TEXT(TODAY(),"YYYY-MM-DD")&amp;" Auto","—")</f>
        <v/>
      </c>
      <c r="L112" s="501" t="n"/>
    </row>
    <row r="113" ht="15" customHeight="1" s="341">
      <c r="A113" s="486" t="n"/>
      <c r="B113" s="378">
        <f>IF(A113="","",IFERROR(VLOOKUP(A113,DB_Customers!$A:$D,4,0),"❌ Account Not Found"))</f>
        <v/>
      </c>
      <c r="C113" s="487">
        <f>IF(A113="","",IFERROR(VLOOKUP(A113,DB_Customers!$A:$N,14,0),""))</f>
        <v/>
      </c>
      <c r="D113" s="488">
        <f>IF(A113="","",TODAY())</f>
        <v/>
      </c>
      <c r="E113" s="510" t="n"/>
      <c r="F113" s="378" t="n"/>
      <c r="G113" s="511">
        <f>IF(OR(A113="",E113=""),"",IF(C113="","",C113-E113))</f>
        <v/>
      </c>
      <c r="H113" s="380" t="inlineStr">
        <is>
          <t>Agent 05</t>
        </is>
      </c>
      <c r="I113" s="491" t="n"/>
      <c r="J113" s="492">
        <f>IF(AND(A113&lt;&gt;"",E113&lt;&gt;""),IF(I113="","⚠️ Enter Code",IF(IFERROR(VLOOKUP(H113,DB_Agents!$B:$I,8,0),"")=I113,IF(C113&gt;=E113,"Successful","Unsuccessful"),"🔒 BLOCKED — Wrong Code")),"—")</f>
        <v/>
      </c>
      <c r="K113" s="493">
        <f>IF(J113="Successful",TEXT(TODAY(),"YYYY-MM-DD")&amp;" Auto","—")</f>
        <v/>
      </c>
      <c r="L113" s="494" t="n"/>
    </row>
    <row r="114" ht="15" customHeight="1" s="341">
      <c r="A114" s="495" t="n"/>
      <c r="B114" s="382">
        <f>IF(A114="","",IFERROR(VLOOKUP(A114,DB_Customers!$A:$D,4,0),"❌ Account Not Found"))</f>
        <v/>
      </c>
      <c r="C114" s="496">
        <f>IF(A114="","",IFERROR(VLOOKUP(A114,DB_Customers!$A:$N,14,0),""))</f>
        <v/>
      </c>
      <c r="D114" s="497">
        <f>IF(A114="","",TODAY())</f>
        <v/>
      </c>
      <c r="E114" s="510" t="n"/>
      <c r="F114" s="382" t="n"/>
      <c r="G114" s="512">
        <f>IF(OR(A114="",E114=""),"",IF(C114="","",C114-E114))</f>
        <v/>
      </c>
      <c r="H114" s="384" t="inlineStr">
        <is>
          <t>Agent 05</t>
        </is>
      </c>
      <c r="I114" s="491" t="n"/>
      <c r="J114" s="499">
        <f>IF(AND(A114&lt;&gt;"",E114&lt;&gt;""),IF(I114="","⚠️ Enter Code",IF(IFERROR(VLOOKUP(H114,DB_Agents!$B:$I,8,0),"")=I114,IF(C114&gt;=E114,"Successful","Unsuccessful"),"🔒 BLOCKED — Wrong Code")),"—")</f>
        <v/>
      </c>
      <c r="K114" s="500">
        <f>IF(J114="Successful",TEXT(TODAY(),"YYYY-MM-DD")&amp;" Auto","—")</f>
        <v/>
      </c>
      <c r="L114" s="501" t="n"/>
    </row>
    <row r="115" ht="15" customHeight="1" s="341">
      <c r="A115" s="486" t="n"/>
      <c r="B115" s="378">
        <f>IF(A115="","",IFERROR(VLOOKUP(A115,DB_Customers!$A:$D,4,0),"❌ Account Not Found"))</f>
        <v/>
      </c>
      <c r="C115" s="487">
        <f>IF(A115="","",IFERROR(VLOOKUP(A115,DB_Customers!$A:$N,14,0),""))</f>
        <v/>
      </c>
      <c r="D115" s="488">
        <f>IF(A115="","",TODAY())</f>
        <v/>
      </c>
      <c r="E115" s="510" t="n"/>
      <c r="F115" s="378" t="n"/>
      <c r="G115" s="511">
        <f>IF(OR(A115="",E115=""),"",IF(C115="","",C115-E115))</f>
        <v/>
      </c>
      <c r="H115" s="380" t="inlineStr">
        <is>
          <t>Agent 05</t>
        </is>
      </c>
      <c r="I115" s="491" t="n"/>
      <c r="J115" s="492">
        <f>IF(AND(A115&lt;&gt;"",E115&lt;&gt;""),IF(I115="","⚠️ Enter Code",IF(IFERROR(VLOOKUP(H115,DB_Agents!$B:$I,8,0),"")=I115,IF(C115&gt;=E115,"Successful","Unsuccessful"),"🔒 BLOCKED — Wrong Code")),"—")</f>
        <v/>
      </c>
      <c r="K115" s="493">
        <f>IF(J115="Successful",TEXT(TODAY(),"YYYY-MM-DD")&amp;" Auto","—")</f>
        <v/>
      </c>
      <c r="L115" s="494" t="n"/>
    </row>
    <row r="116" ht="15" customHeight="1" s="341">
      <c r="A116" s="495" t="n"/>
      <c r="B116" s="382">
        <f>IF(A116="","",IFERROR(VLOOKUP(A116,DB_Customers!$A:$D,4,0),"❌ Account Not Found"))</f>
        <v/>
      </c>
      <c r="C116" s="496">
        <f>IF(A116="","",IFERROR(VLOOKUP(A116,DB_Customers!$A:$N,14,0),""))</f>
        <v/>
      </c>
      <c r="D116" s="497">
        <f>IF(A116="","",TODAY())</f>
        <v/>
      </c>
      <c r="E116" s="510" t="n"/>
      <c r="F116" s="382" t="n"/>
      <c r="G116" s="512">
        <f>IF(OR(A116="",E116=""),"",IF(C116="","",C116-E116))</f>
        <v/>
      </c>
      <c r="H116" s="384" t="inlineStr">
        <is>
          <t>Agent 05</t>
        </is>
      </c>
      <c r="I116" s="491" t="n"/>
      <c r="J116" s="499">
        <f>IF(AND(A116&lt;&gt;"",E116&lt;&gt;""),IF(I116="","⚠️ Enter Code",IF(IFERROR(VLOOKUP(H116,DB_Agents!$B:$I,8,0),"")=I116,IF(C116&gt;=E116,"Successful","Unsuccessful"),"🔒 BLOCKED — Wrong Code")),"—")</f>
        <v/>
      </c>
      <c r="K116" s="500">
        <f>IF(J116="Successful",TEXT(TODAY(),"YYYY-MM-DD")&amp;" Auto","—")</f>
        <v/>
      </c>
      <c r="L116" s="501" t="n"/>
    </row>
    <row r="117" ht="15" customHeight="1" s="341">
      <c r="A117" s="486" t="n"/>
      <c r="B117" s="378">
        <f>IF(A117="","",IFERROR(VLOOKUP(A117,DB_Customers!$A:$D,4,0),"❌ Account Not Found"))</f>
        <v/>
      </c>
      <c r="C117" s="487">
        <f>IF(A117="","",IFERROR(VLOOKUP(A117,DB_Customers!$A:$N,14,0),""))</f>
        <v/>
      </c>
      <c r="D117" s="488">
        <f>IF(A117="","",TODAY())</f>
        <v/>
      </c>
      <c r="E117" s="510" t="n"/>
      <c r="F117" s="378" t="n"/>
      <c r="G117" s="511">
        <f>IF(OR(A117="",E117=""),"",IF(C117="","",C117-E117))</f>
        <v/>
      </c>
      <c r="H117" s="380" t="inlineStr">
        <is>
          <t>Agent 05</t>
        </is>
      </c>
      <c r="I117" s="491" t="n"/>
      <c r="J117" s="492">
        <f>IF(AND(A117&lt;&gt;"",E117&lt;&gt;""),IF(I117="","⚠️ Enter Code",IF(IFERROR(VLOOKUP(H117,DB_Agents!$B:$I,8,0),"")=I117,IF(C117&gt;=E117,"Successful","Unsuccessful"),"🔒 BLOCKED — Wrong Code")),"—")</f>
        <v/>
      </c>
      <c r="K117" s="493">
        <f>IF(J117="Successful",TEXT(TODAY(),"YYYY-MM-DD")&amp;" Auto","—")</f>
        <v/>
      </c>
      <c r="L117" s="494" t="n"/>
    </row>
    <row r="118" ht="15" customHeight="1" s="341">
      <c r="A118" s="495" t="n"/>
      <c r="B118" s="382">
        <f>IF(A118="","",IFERROR(VLOOKUP(A118,DB_Customers!$A:$D,4,0),"❌ Account Not Found"))</f>
        <v/>
      </c>
      <c r="C118" s="496">
        <f>IF(A118="","",IFERROR(VLOOKUP(A118,DB_Customers!$A:$N,14,0),""))</f>
        <v/>
      </c>
      <c r="D118" s="497">
        <f>IF(A118="","",TODAY())</f>
        <v/>
      </c>
      <c r="E118" s="510" t="n"/>
      <c r="F118" s="382" t="n"/>
      <c r="G118" s="512">
        <f>IF(OR(A118="",E118=""),"",IF(C118="","",C118-E118))</f>
        <v/>
      </c>
      <c r="H118" s="384" t="inlineStr">
        <is>
          <t>Agent 05</t>
        </is>
      </c>
      <c r="I118" s="491" t="n"/>
      <c r="J118" s="499">
        <f>IF(AND(A118&lt;&gt;"",E118&lt;&gt;""),IF(I118="","⚠️ Enter Code",IF(IFERROR(VLOOKUP(H118,DB_Agents!$B:$I,8,0),"")=I118,IF(C118&gt;=E118,"Successful","Unsuccessful"),"🔒 BLOCKED — Wrong Code")),"—")</f>
        <v/>
      </c>
      <c r="K118" s="500">
        <f>IF(J118="Successful",TEXT(TODAY(),"YYYY-MM-DD")&amp;" Auto","—")</f>
        <v/>
      </c>
      <c r="L118" s="501" t="n"/>
    </row>
    <row r="119" ht="15" customHeight="1" s="341">
      <c r="A119" s="486" t="n"/>
      <c r="B119" s="378">
        <f>IF(A119="","",IFERROR(VLOOKUP(A119,DB_Customers!$A:$D,4,0),"❌ Account Not Found"))</f>
        <v/>
      </c>
      <c r="C119" s="487">
        <f>IF(A119="","",IFERROR(VLOOKUP(A119,DB_Customers!$A:$N,14,0),""))</f>
        <v/>
      </c>
      <c r="D119" s="488">
        <f>IF(A119="","",TODAY())</f>
        <v/>
      </c>
      <c r="E119" s="510" t="n"/>
      <c r="F119" s="378" t="n"/>
      <c r="G119" s="511">
        <f>IF(OR(A119="",E119=""),"",IF(C119="","",C119-E119))</f>
        <v/>
      </c>
      <c r="H119" s="380" t="inlineStr">
        <is>
          <t>Agent 05</t>
        </is>
      </c>
      <c r="I119" s="491" t="n"/>
      <c r="J119" s="492">
        <f>IF(AND(A119&lt;&gt;"",E119&lt;&gt;""),IF(I119="","⚠️ Enter Code",IF(IFERROR(VLOOKUP(H119,DB_Agents!$B:$I,8,0),"")=I119,IF(C119&gt;=E119,"Successful","Unsuccessful"),"🔒 BLOCKED — Wrong Code")),"—")</f>
        <v/>
      </c>
      <c r="K119" s="493">
        <f>IF(J119="Successful",TEXT(TODAY(),"YYYY-MM-DD")&amp;" Auto","—")</f>
        <v/>
      </c>
      <c r="L119" s="494" t="n"/>
    </row>
    <row r="120" ht="15" customHeight="1" s="341">
      <c r="A120" s="495" t="n"/>
      <c r="B120" s="382">
        <f>IF(A120="","",IFERROR(VLOOKUP(A120,DB_Customers!$A:$D,4,0),"❌ Account Not Found"))</f>
        <v/>
      </c>
      <c r="C120" s="496">
        <f>IF(A120="","",IFERROR(VLOOKUP(A120,DB_Customers!$A:$N,14,0),""))</f>
        <v/>
      </c>
      <c r="D120" s="497">
        <f>IF(A120="","",TODAY())</f>
        <v/>
      </c>
      <c r="E120" s="510" t="n"/>
      <c r="F120" s="382" t="n"/>
      <c r="G120" s="512">
        <f>IF(OR(A120="",E120=""),"",IF(C120="","",C120-E120))</f>
        <v/>
      </c>
      <c r="H120" s="384" t="inlineStr">
        <is>
          <t>Agent 05</t>
        </is>
      </c>
      <c r="I120" s="491" t="n"/>
      <c r="J120" s="499">
        <f>IF(AND(A120&lt;&gt;"",E120&lt;&gt;""),IF(I120="","⚠️ Enter Code",IF(IFERROR(VLOOKUP(H120,DB_Agents!$B:$I,8,0),"")=I120,IF(C120&gt;=E120,"Successful","Unsuccessful"),"🔒 BLOCKED — Wrong Code")),"—")</f>
        <v/>
      </c>
      <c r="K120" s="500">
        <f>IF(J120="Successful",TEXT(TODAY(),"YYYY-MM-DD")&amp;" Auto","—")</f>
        <v/>
      </c>
      <c r="L120" s="501" t="n"/>
    </row>
    <row r="121" ht="15" customHeight="1" s="341">
      <c r="A121" s="486" t="n"/>
      <c r="B121" s="378">
        <f>IF(A121="","",IFERROR(VLOOKUP(A121,DB_Customers!$A:$D,4,0),"❌ Account Not Found"))</f>
        <v/>
      </c>
      <c r="C121" s="487">
        <f>IF(A121="","",IFERROR(VLOOKUP(A121,DB_Customers!$A:$N,14,0),""))</f>
        <v/>
      </c>
      <c r="D121" s="488">
        <f>IF(A121="","",TODAY())</f>
        <v/>
      </c>
      <c r="E121" s="510" t="n"/>
      <c r="F121" s="378" t="n"/>
      <c r="G121" s="511">
        <f>IF(OR(A121="",E121=""),"",IF(C121="","",C121-E121))</f>
        <v/>
      </c>
      <c r="H121" s="380" t="inlineStr">
        <is>
          <t>Agent 05</t>
        </is>
      </c>
      <c r="I121" s="491" t="n"/>
      <c r="J121" s="492">
        <f>IF(AND(A121&lt;&gt;"",E121&lt;&gt;""),IF(I121="","⚠️ Enter Code",IF(IFERROR(VLOOKUP(H121,DB_Agents!$B:$I,8,0),"")=I121,IF(C121&gt;=E121,"Successful","Unsuccessful"),"🔒 BLOCKED — Wrong Code")),"—")</f>
        <v/>
      </c>
      <c r="K121" s="493">
        <f>IF(J121="Successful",TEXT(TODAY(),"YYYY-MM-DD")&amp;" Auto","—")</f>
        <v/>
      </c>
      <c r="L121" s="494" t="n"/>
    </row>
    <row r="122" ht="15" customHeight="1" s="341">
      <c r="A122" s="495" t="n"/>
      <c r="B122" s="382">
        <f>IF(A122="","",IFERROR(VLOOKUP(A122,DB_Customers!$A:$D,4,0),"❌ Account Not Found"))</f>
        <v/>
      </c>
      <c r="C122" s="496">
        <f>IF(A122="","",IFERROR(VLOOKUP(A122,DB_Customers!$A:$N,14,0),""))</f>
        <v/>
      </c>
      <c r="D122" s="497">
        <f>IF(A122="","",TODAY())</f>
        <v/>
      </c>
      <c r="E122" s="510" t="n"/>
      <c r="F122" s="382" t="n"/>
      <c r="G122" s="512">
        <f>IF(OR(A122="",E122=""),"",IF(C122="","",C122-E122))</f>
        <v/>
      </c>
      <c r="H122" s="384" t="inlineStr">
        <is>
          <t>Agent 05</t>
        </is>
      </c>
      <c r="I122" s="491" t="n"/>
      <c r="J122" s="499">
        <f>IF(AND(A122&lt;&gt;"",E122&lt;&gt;""),IF(I122="","⚠️ Enter Code",IF(IFERROR(VLOOKUP(H122,DB_Agents!$B:$I,8,0),"")=I122,IF(C122&gt;=E122,"Successful","Unsuccessful"),"🔒 BLOCKED — Wrong Code")),"—")</f>
        <v/>
      </c>
      <c r="K122" s="500">
        <f>IF(J122="Successful",TEXT(TODAY(),"YYYY-MM-DD")&amp;" Auto","—")</f>
        <v/>
      </c>
      <c r="L122" s="501" t="n"/>
    </row>
    <row r="123" ht="15" customHeight="1" s="341">
      <c r="A123" s="486" t="n"/>
      <c r="B123" s="378">
        <f>IF(A123="","",IFERROR(VLOOKUP(A123,DB_Customers!$A:$D,4,0),"❌ Account Not Found"))</f>
        <v/>
      </c>
      <c r="C123" s="487">
        <f>IF(A123="","",IFERROR(VLOOKUP(A123,DB_Customers!$A:$N,14,0),""))</f>
        <v/>
      </c>
      <c r="D123" s="488">
        <f>IF(A123="","",TODAY())</f>
        <v/>
      </c>
      <c r="E123" s="510" t="n"/>
      <c r="F123" s="378" t="n"/>
      <c r="G123" s="511">
        <f>IF(OR(A123="",E123=""),"",IF(C123="","",C123-E123))</f>
        <v/>
      </c>
      <c r="H123" s="380" t="inlineStr">
        <is>
          <t>Agent 05</t>
        </is>
      </c>
      <c r="I123" s="491" t="n"/>
      <c r="J123" s="492">
        <f>IF(AND(A123&lt;&gt;"",E123&lt;&gt;""),IF(I123="","⚠️ Enter Code",IF(IFERROR(VLOOKUP(H123,DB_Agents!$B:$I,8,0),"")=I123,IF(C123&gt;=E123,"Successful","Unsuccessful"),"🔒 BLOCKED — Wrong Code")),"—")</f>
        <v/>
      </c>
      <c r="K123" s="493">
        <f>IF(J123="Successful",TEXT(TODAY(),"YYYY-MM-DD")&amp;" Auto","—")</f>
        <v/>
      </c>
      <c r="L123" s="494" t="n"/>
    </row>
    <row r="124" ht="15" customHeight="1" s="341">
      <c r="A124" s="495" t="n"/>
      <c r="B124" s="382">
        <f>IF(A124="","",IFERROR(VLOOKUP(A124,DB_Customers!$A:$D,4,0),"❌ Account Not Found"))</f>
        <v/>
      </c>
      <c r="C124" s="496">
        <f>IF(A124="","",IFERROR(VLOOKUP(A124,DB_Customers!$A:$N,14,0),""))</f>
        <v/>
      </c>
      <c r="D124" s="497">
        <f>IF(A124="","",TODAY())</f>
        <v/>
      </c>
      <c r="E124" s="510" t="n"/>
      <c r="F124" s="382" t="n"/>
      <c r="G124" s="512">
        <f>IF(OR(A124="",E124=""),"",IF(C124="","",C124-E124))</f>
        <v/>
      </c>
      <c r="H124" s="384" t="inlineStr">
        <is>
          <t>Agent 05</t>
        </is>
      </c>
      <c r="I124" s="491" t="n"/>
      <c r="J124" s="499">
        <f>IF(AND(A124&lt;&gt;"",E124&lt;&gt;""),IF(I124="","⚠️ Enter Code",IF(IFERROR(VLOOKUP(H124,DB_Agents!$B:$I,8,0),"")=I124,IF(C124&gt;=E124,"Successful","Unsuccessful"),"🔒 BLOCKED — Wrong Code")),"—")</f>
        <v/>
      </c>
      <c r="K124" s="500">
        <f>IF(J124="Successful",TEXT(TODAY(),"YYYY-MM-DD")&amp;" Auto","—")</f>
        <v/>
      </c>
      <c r="L124" s="501" t="n"/>
    </row>
    <row r="125" ht="15" customHeight="1" s="341">
      <c r="A125" s="486" t="n"/>
      <c r="B125" s="378">
        <f>IF(A125="","",IFERROR(VLOOKUP(A125,DB_Customers!$A:$D,4,0),"❌ Account Not Found"))</f>
        <v/>
      </c>
      <c r="C125" s="487">
        <f>IF(A125="","",IFERROR(VLOOKUP(A125,DB_Customers!$A:$N,14,0),""))</f>
        <v/>
      </c>
      <c r="D125" s="488">
        <f>IF(A125="","",TODAY())</f>
        <v/>
      </c>
      <c r="E125" s="510" t="n"/>
      <c r="F125" s="378" t="n"/>
      <c r="G125" s="511">
        <f>IF(OR(A125="",E125=""),"",IF(C125="","",C125-E125))</f>
        <v/>
      </c>
      <c r="H125" s="380" t="inlineStr">
        <is>
          <t>Agent 05</t>
        </is>
      </c>
      <c r="I125" s="491" t="n"/>
      <c r="J125" s="492">
        <f>IF(AND(A125&lt;&gt;"",E125&lt;&gt;""),IF(I125="","⚠️ Enter Code",IF(IFERROR(VLOOKUP(H125,DB_Agents!$B:$I,8,0),"")=I125,IF(C125&gt;=E125,"Successful","Unsuccessful"),"🔒 BLOCKED — Wrong Code")),"—")</f>
        <v/>
      </c>
      <c r="K125" s="493">
        <f>IF(J125="Successful",TEXT(TODAY(),"YYYY-MM-DD")&amp;" Auto","—")</f>
        <v/>
      </c>
      <c r="L125" s="494" t="n"/>
    </row>
    <row r="126" ht="15" customHeight="1" s="341">
      <c r="A126" s="495" t="n"/>
      <c r="B126" s="382">
        <f>IF(A126="","",IFERROR(VLOOKUP(A126,DB_Customers!$A:$D,4,0),"❌ Account Not Found"))</f>
        <v/>
      </c>
      <c r="C126" s="496">
        <f>IF(A126="","",IFERROR(VLOOKUP(A126,DB_Customers!$A:$N,14,0),""))</f>
        <v/>
      </c>
      <c r="D126" s="497">
        <f>IF(A126="","",TODAY())</f>
        <v/>
      </c>
      <c r="E126" s="510" t="n"/>
      <c r="F126" s="382" t="n"/>
      <c r="G126" s="512">
        <f>IF(OR(A126="",E126=""),"",IF(C126="","",C126-E126))</f>
        <v/>
      </c>
      <c r="H126" s="384" t="inlineStr">
        <is>
          <t>Agent 05</t>
        </is>
      </c>
      <c r="I126" s="491" t="n"/>
      <c r="J126" s="499">
        <f>IF(AND(A126&lt;&gt;"",E126&lt;&gt;""),IF(I126="","⚠️ Enter Code",IF(IFERROR(VLOOKUP(H126,DB_Agents!$B:$I,8,0),"")=I126,IF(C126&gt;=E126,"Successful","Unsuccessful"),"🔒 BLOCKED — Wrong Code")),"—")</f>
        <v/>
      </c>
      <c r="K126" s="500">
        <f>IF(J126="Successful",TEXT(TODAY(),"YYYY-MM-DD")&amp;" Auto","—")</f>
        <v/>
      </c>
      <c r="L126" s="501" t="n"/>
    </row>
    <row r="127" ht="15" customHeight="1" s="341">
      <c r="A127" s="486" t="n"/>
      <c r="B127" s="378">
        <f>IF(A127="","",IFERROR(VLOOKUP(A127,DB_Customers!$A:$D,4,0),"❌ Account Not Found"))</f>
        <v/>
      </c>
      <c r="C127" s="487">
        <f>IF(A127="","",IFERROR(VLOOKUP(A127,DB_Customers!$A:$N,14,0),""))</f>
        <v/>
      </c>
      <c r="D127" s="488">
        <f>IF(A127="","",TODAY())</f>
        <v/>
      </c>
      <c r="E127" s="510" t="n"/>
      <c r="F127" s="378" t="n"/>
      <c r="G127" s="511">
        <f>IF(OR(A127="",E127=""),"",IF(C127="","",C127-E127))</f>
        <v/>
      </c>
      <c r="H127" s="380" t="inlineStr">
        <is>
          <t>Agent 05</t>
        </is>
      </c>
      <c r="I127" s="491" t="n"/>
      <c r="J127" s="492">
        <f>IF(AND(A127&lt;&gt;"",E127&lt;&gt;""),IF(I127="","⚠️ Enter Code",IF(IFERROR(VLOOKUP(H127,DB_Agents!$B:$I,8,0),"")=I127,IF(C127&gt;=E127,"Successful","Unsuccessful"),"🔒 BLOCKED — Wrong Code")),"—")</f>
        <v/>
      </c>
      <c r="K127" s="493">
        <f>IF(J127="Successful",TEXT(TODAY(),"YYYY-MM-DD")&amp;" Auto","—")</f>
        <v/>
      </c>
      <c r="L127" s="494" t="n"/>
    </row>
    <row r="128" ht="15" customHeight="1" s="341">
      <c r="A128" s="495" t="n"/>
      <c r="B128" s="382">
        <f>IF(A128="","",IFERROR(VLOOKUP(A128,DB_Customers!$A:$D,4,0),"❌ Account Not Found"))</f>
        <v/>
      </c>
      <c r="C128" s="496">
        <f>IF(A128="","",IFERROR(VLOOKUP(A128,DB_Customers!$A:$N,14,0),""))</f>
        <v/>
      </c>
      <c r="D128" s="497">
        <f>IF(A128="","",TODAY())</f>
        <v/>
      </c>
      <c r="E128" s="510" t="n"/>
      <c r="F128" s="382" t="n"/>
      <c r="G128" s="512">
        <f>IF(OR(A128="",E128=""),"",IF(C128="","",C128-E128))</f>
        <v/>
      </c>
      <c r="H128" s="384" t="inlineStr">
        <is>
          <t>Agent 05</t>
        </is>
      </c>
      <c r="I128" s="491" t="n"/>
      <c r="J128" s="499">
        <f>IF(AND(A128&lt;&gt;"",E128&lt;&gt;""),IF(I128="","⚠️ Enter Code",IF(IFERROR(VLOOKUP(H128,DB_Agents!$B:$I,8,0),"")=I128,IF(C128&gt;=E128,"Successful","Unsuccessful"),"🔒 BLOCKED — Wrong Code")),"—")</f>
        <v/>
      </c>
      <c r="K128" s="500">
        <f>IF(J128="Successful",TEXT(TODAY(),"YYYY-MM-DD")&amp;" Auto","—")</f>
        <v/>
      </c>
      <c r="L128" s="501" t="n"/>
    </row>
    <row r="129" ht="15" customHeight="1" s="341">
      <c r="A129" s="486" t="n"/>
      <c r="B129" s="378">
        <f>IF(A129="","",IFERROR(VLOOKUP(A129,DB_Customers!$A:$D,4,0),"❌ Account Not Found"))</f>
        <v/>
      </c>
      <c r="C129" s="487">
        <f>IF(A129="","",IFERROR(VLOOKUP(A129,DB_Customers!$A:$N,14,0),""))</f>
        <v/>
      </c>
      <c r="D129" s="488">
        <f>IF(A129="","",TODAY())</f>
        <v/>
      </c>
      <c r="E129" s="510" t="n"/>
      <c r="F129" s="378" t="n"/>
      <c r="G129" s="511">
        <f>IF(OR(A129="",E129=""),"",IF(C129="","",C129-E129))</f>
        <v/>
      </c>
      <c r="H129" s="380" t="inlineStr">
        <is>
          <t>Agent 05</t>
        </is>
      </c>
      <c r="I129" s="491" t="n"/>
      <c r="J129" s="492">
        <f>IF(AND(A129&lt;&gt;"",E129&lt;&gt;""),IF(I129="","⚠️ Enter Code",IF(IFERROR(VLOOKUP(H129,DB_Agents!$B:$I,8,0),"")=I129,IF(C129&gt;=E129,"Successful","Unsuccessful"),"🔒 BLOCKED — Wrong Code")),"—")</f>
        <v/>
      </c>
      <c r="K129" s="493">
        <f>IF(J129="Successful",TEXT(TODAY(),"YYYY-MM-DD")&amp;" Auto","—")</f>
        <v/>
      </c>
      <c r="L129" s="494" t="n"/>
    </row>
    <row r="130" ht="15" customHeight="1" s="341">
      <c r="A130" s="495" t="n"/>
      <c r="B130" s="382">
        <f>IF(A130="","",IFERROR(VLOOKUP(A130,DB_Customers!$A:$D,4,0),"❌ Account Not Found"))</f>
        <v/>
      </c>
      <c r="C130" s="496">
        <f>IF(A130="","",IFERROR(VLOOKUP(A130,DB_Customers!$A:$N,14,0),""))</f>
        <v/>
      </c>
      <c r="D130" s="497">
        <f>IF(A130="","",TODAY())</f>
        <v/>
      </c>
      <c r="E130" s="510" t="n"/>
      <c r="F130" s="382" t="n"/>
      <c r="G130" s="512">
        <f>IF(OR(A130="",E130=""),"",IF(C130="","",C130-E130))</f>
        <v/>
      </c>
      <c r="H130" s="384" t="inlineStr">
        <is>
          <t>Agent 05</t>
        </is>
      </c>
      <c r="I130" s="491" t="n"/>
      <c r="J130" s="499">
        <f>IF(AND(A130&lt;&gt;"",E130&lt;&gt;""),IF(I130="","⚠️ Enter Code",IF(IFERROR(VLOOKUP(H130,DB_Agents!$B:$I,8,0),"")=I130,IF(C130&gt;=E130,"Successful","Unsuccessful"),"🔒 BLOCKED — Wrong Code")),"—")</f>
        <v/>
      </c>
      <c r="K130" s="500">
        <f>IF(J130="Successful",TEXT(TODAY(),"YYYY-MM-DD")&amp;" Auto","—")</f>
        <v/>
      </c>
      <c r="L130" s="501" t="n"/>
    </row>
    <row r="131" ht="15" customHeight="1" s="341">
      <c r="A131" s="486" t="n"/>
      <c r="B131" s="378">
        <f>IF(A131="","",IFERROR(VLOOKUP(A131,DB_Customers!$A:$D,4,0),"❌ Account Not Found"))</f>
        <v/>
      </c>
      <c r="C131" s="487">
        <f>IF(A131="","",IFERROR(VLOOKUP(A131,DB_Customers!$A:$N,14,0),""))</f>
        <v/>
      </c>
      <c r="D131" s="488">
        <f>IF(A131="","",TODAY())</f>
        <v/>
      </c>
      <c r="E131" s="510" t="n"/>
      <c r="F131" s="378" t="n"/>
      <c r="G131" s="511">
        <f>IF(OR(A131="",E131=""),"",IF(C131="","",C131-E131))</f>
        <v/>
      </c>
      <c r="H131" s="380" t="inlineStr">
        <is>
          <t>Agent 05</t>
        </is>
      </c>
      <c r="I131" s="491" t="n"/>
      <c r="J131" s="492">
        <f>IF(AND(A131&lt;&gt;"",E131&lt;&gt;""),IF(I131="","⚠️ Enter Code",IF(IFERROR(VLOOKUP(H131,DB_Agents!$B:$I,8,0),"")=I131,IF(C131&gt;=E131,"Successful","Unsuccessful"),"🔒 BLOCKED — Wrong Code")),"—")</f>
        <v/>
      </c>
      <c r="K131" s="493">
        <f>IF(J131="Successful",TEXT(TODAY(),"YYYY-MM-DD")&amp;" Auto","—")</f>
        <v/>
      </c>
      <c r="L131" s="494" t="n"/>
    </row>
    <row r="132" ht="15" customHeight="1" s="341">
      <c r="A132" s="495" t="n"/>
      <c r="B132" s="382">
        <f>IF(A132="","",IFERROR(VLOOKUP(A132,DB_Customers!$A:$D,4,0),"❌ Account Not Found"))</f>
        <v/>
      </c>
      <c r="C132" s="496">
        <f>IF(A132="","",IFERROR(VLOOKUP(A132,DB_Customers!$A:$N,14,0),""))</f>
        <v/>
      </c>
      <c r="D132" s="497">
        <f>IF(A132="","",TODAY())</f>
        <v/>
      </c>
      <c r="E132" s="510" t="n"/>
      <c r="F132" s="382" t="n"/>
      <c r="G132" s="512">
        <f>IF(OR(A132="",E132=""),"",IF(C132="","",C132-E132))</f>
        <v/>
      </c>
      <c r="H132" s="384" t="inlineStr">
        <is>
          <t>Agent 05</t>
        </is>
      </c>
      <c r="I132" s="491" t="n"/>
      <c r="J132" s="499">
        <f>IF(AND(A132&lt;&gt;"",E132&lt;&gt;""),IF(I132="","⚠️ Enter Code",IF(IFERROR(VLOOKUP(H132,DB_Agents!$B:$I,8,0),"")=I132,IF(C132&gt;=E132,"Successful","Unsuccessful"),"🔒 BLOCKED — Wrong Code")),"—")</f>
        <v/>
      </c>
      <c r="K132" s="500">
        <f>IF(J132="Successful",TEXT(TODAY(),"YYYY-MM-DD")&amp;" Auto","—")</f>
        <v/>
      </c>
      <c r="L132" s="501" t="n"/>
    </row>
    <row r="133" ht="15" customHeight="1" s="341">
      <c r="A133" s="486" t="n"/>
      <c r="B133" s="378">
        <f>IF(A133="","",IFERROR(VLOOKUP(A133,DB_Customers!$A:$D,4,0),"❌ Account Not Found"))</f>
        <v/>
      </c>
      <c r="C133" s="487">
        <f>IF(A133="","",IFERROR(VLOOKUP(A133,DB_Customers!$A:$N,14,0),""))</f>
        <v/>
      </c>
      <c r="D133" s="488">
        <f>IF(A133="","",TODAY())</f>
        <v/>
      </c>
      <c r="E133" s="510" t="n"/>
      <c r="F133" s="378" t="n"/>
      <c r="G133" s="511">
        <f>IF(OR(A133="",E133=""),"",IF(C133="","",C133-E133))</f>
        <v/>
      </c>
      <c r="H133" s="380" t="inlineStr">
        <is>
          <t>Agent 05</t>
        </is>
      </c>
      <c r="I133" s="491" t="n"/>
      <c r="J133" s="492">
        <f>IF(AND(A133&lt;&gt;"",E133&lt;&gt;""),IF(I133="","⚠️ Enter Code",IF(IFERROR(VLOOKUP(H133,DB_Agents!$B:$I,8,0),"")=I133,IF(C133&gt;=E133,"Successful","Unsuccessful"),"🔒 BLOCKED — Wrong Code")),"—")</f>
        <v/>
      </c>
      <c r="K133" s="493">
        <f>IF(J133="Successful",TEXT(TODAY(),"YYYY-MM-DD")&amp;" Auto","—")</f>
        <v/>
      </c>
      <c r="L133" s="494" t="n"/>
    </row>
    <row r="134" ht="15" customHeight="1" s="341">
      <c r="A134" s="495" t="n"/>
      <c r="B134" s="382">
        <f>IF(A134="","",IFERROR(VLOOKUP(A134,DB_Customers!$A:$D,4,0),"❌ Account Not Found"))</f>
        <v/>
      </c>
      <c r="C134" s="496">
        <f>IF(A134="","",IFERROR(VLOOKUP(A134,DB_Customers!$A:$N,14,0),""))</f>
        <v/>
      </c>
      <c r="D134" s="497">
        <f>IF(A134="","",TODAY())</f>
        <v/>
      </c>
      <c r="E134" s="510" t="n"/>
      <c r="F134" s="382" t="n"/>
      <c r="G134" s="512">
        <f>IF(OR(A134="",E134=""),"",IF(C134="","",C134-E134))</f>
        <v/>
      </c>
      <c r="H134" s="384" t="inlineStr">
        <is>
          <t>Agent 05</t>
        </is>
      </c>
      <c r="I134" s="491" t="n"/>
      <c r="J134" s="499">
        <f>IF(AND(A134&lt;&gt;"",E134&lt;&gt;""),IF(I134="","⚠️ Enter Code",IF(IFERROR(VLOOKUP(H134,DB_Agents!$B:$I,8,0),"")=I134,IF(C134&gt;=E134,"Successful","Unsuccessful"),"🔒 BLOCKED — Wrong Code")),"—")</f>
        <v/>
      </c>
      <c r="K134" s="500">
        <f>IF(J134="Successful",TEXT(TODAY(),"YYYY-MM-DD")&amp;" Auto","—")</f>
        <v/>
      </c>
      <c r="L134" s="501" t="n"/>
    </row>
    <row r="135" ht="15" customHeight="1" s="341">
      <c r="A135" s="486" t="n"/>
      <c r="B135" s="378">
        <f>IF(A135="","",IFERROR(VLOOKUP(A135,DB_Customers!$A:$D,4,0),"❌ Account Not Found"))</f>
        <v/>
      </c>
      <c r="C135" s="487">
        <f>IF(A135="","",IFERROR(VLOOKUP(A135,DB_Customers!$A:$N,14,0),""))</f>
        <v/>
      </c>
      <c r="D135" s="488">
        <f>IF(A135="","",TODAY())</f>
        <v/>
      </c>
      <c r="E135" s="510" t="n"/>
      <c r="F135" s="378" t="n"/>
      <c r="G135" s="511">
        <f>IF(OR(A135="",E135=""),"",IF(C135="","",C135-E135))</f>
        <v/>
      </c>
      <c r="H135" s="380" t="inlineStr">
        <is>
          <t>Agent 05</t>
        </is>
      </c>
      <c r="I135" s="491" t="n"/>
      <c r="J135" s="492">
        <f>IF(AND(A135&lt;&gt;"",E135&lt;&gt;""),IF(I135="","⚠️ Enter Code",IF(IFERROR(VLOOKUP(H135,DB_Agents!$B:$I,8,0),"")=I135,IF(C135&gt;=E135,"Successful","Unsuccessful"),"🔒 BLOCKED — Wrong Code")),"—")</f>
        <v/>
      </c>
      <c r="K135" s="493">
        <f>IF(J135="Successful",TEXT(TODAY(),"YYYY-MM-DD")&amp;" Auto","—")</f>
        <v/>
      </c>
      <c r="L135" s="494" t="n"/>
    </row>
    <row r="136" ht="15" customHeight="1" s="341">
      <c r="A136" s="495" t="n"/>
      <c r="B136" s="382">
        <f>IF(A136="","",IFERROR(VLOOKUP(A136,DB_Customers!$A:$D,4,0),"❌ Account Not Found"))</f>
        <v/>
      </c>
      <c r="C136" s="496">
        <f>IF(A136="","",IFERROR(VLOOKUP(A136,DB_Customers!$A:$N,14,0),""))</f>
        <v/>
      </c>
      <c r="D136" s="497">
        <f>IF(A136="","",TODAY())</f>
        <v/>
      </c>
      <c r="E136" s="510" t="n"/>
      <c r="F136" s="382" t="n"/>
      <c r="G136" s="512">
        <f>IF(OR(A136="",E136=""),"",IF(C136="","",C136-E136))</f>
        <v/>
      </c>
      <c r="H136" s="384" t="inlineStr">
        <is>
          <t>Agent 05</t>
        </is>
      </c>
      <c r="I136" s="491" t="n"/>
      <c r="J136" s="499">
        <f>IF(AND(A136&lt;&gt;"",E136&lt;&gt;""),IF(I136="","⚠️ Enter Code",IF(IFERROR(VLOOKUP(H136,DB_Agents!$B:$I,8,0),"")=I136,IF(C136&gt;=E136,"Successful","Unsuccessful"),"🔒 BLOCKED — Wrong Code")),"—")</f>
        <v/>
      </c>
      <c r="K136" s="500">
        <f>IF(J136="Successful",TEXT(TODAY(),"YYYY-MM-DD")&amp;" Auto","—")</f>
        <v/>
      </c>
      <c r="L136" s="501" t="n"/>
    </row>
    <row r="137" ht="15" customHeight="1" s="341">
      <c r="A137" s="486" t="n"/>
      <c r="B137" s="378">
        <f>IF(A137="","",IFERROR(VLOOKUP(A137,DB_Customers!$A:$D,4,0),"❌ Account Not Found"))</f>
        <v/>
      </c>
      <c r="C137" s="487">
        <f>IF(A137="","",IFERROR(VLOOKUP(A137,DB_Customers!$A:$N,14,0),""))</f>
        <v/>
      </c>
      <c r="D137" s="488">
        <f>IF(A137="","",TODAY())</f>
        <v/>
      </c>
      <c r="E137" s="510" t="n"/>
      <c r="F137" s="378" t="n"/>
      <c r="G137" s="511">
        <f>IF(OR(A137="",E137=""),"",IF(C137="","",C137-E137))</f>
        <v/>
      </c>
      <c r="H137" s="380" t="inlineStr">
        <is>
          <t>Agent 05</t>
        </is>
      </c>
      <c r="I137" s="491" t="n"/>
      <c r="J137" s="492">
        <f>IF(AND(A137&lt;&gt;"",E137&lt;&gt;""),IF(I137="","⚠️ Enter Code",IF(IFERROR(VLOOKUP(H137,DB_Agents!$B:$I,8,0),"")=I137,IF(C137&gt;=E137,"Successful","Unsuccessful"),"🔒 BLOCKED — Wrong Code")),"—")</f>
        <v/>
      </c>
      <c r="K137" s="493">
        <f>IF(J137="Successful",TEXT(TODAY(),"YYYY-MM-DD")&amp;" Auto","—")</f>
        <v/>
      </c>
      <c r="L137" s="494" t="n"/>
    </row>
    <row r="138" ht="15" customHeight="1" s="341">
      <c r="A138" s="495" t="n"/>
      <c r="B138" s="382">
        <f>IF(A138="","",IFERROR(VLOOKUP(A138,DB_Customers!$A:$D,4,0),"❌ Account Not Found"))</f>
        <v/>
      </c>
      <c r="C138" s="496">
        <f>IF(A138="","",IFERROR(VLOOKUP(A138,DB_Customers!$A:$N,14,0),""))</f>
        <v/>
      </c>
      <c r="D138" s="497">
        <f>IF(A138="","",TODAY())</f>
        <v/>
      </c>
      <c r="E138" s="510" t="n"/>
      <c r="F138" s="382" t="n"/>
      <c r="G138" s="512">
        <f>IF(OR(A138="",E138=""),"",IF(C138="","",C138-E138))</f>
        <v/>
      </c>
      <c r="H138" s="384" t="inlineStr">
        <is>
          <t>Agent 05</t>
        </is>
      </c>
      <c r="I138" s="491" t="n"/>
      <c r="J138" s="499">
        <f>IF(AND(A138&lt;&gt;"",E138&lt;&gt;""),IF(I138="","⚠️ Enter Code",IF(IFERROR(VLOOKUP(H138,DB_Agents!$B:$I,8,0),"")=I138,IF(C138&gt;=E138,"Successful","Unsuccessful"),"🔒 BLOCKED — Wrong Code")),"—")</f>
        <v/>
      </c>
      <c r="K138" s="500">
        <f>IF(J138="Successful",TEXT(TODAY(),"YYYY-MM-DD")&amp;" Auto","—")</f>
        <v/>
      </c>
      <c r="L138" s="501" t="n"/>
    </row>
    <row r="139" ht="15" customHeight="1" s="341">
      <c r="A139" s="486" t="n"/>
      <c r="B139" s="378">
        <f>IF(A139="","",IFERROR(VLOOKUP(A139,DB_Customers!$A:$D,4,0),"❌ Account Not Found"))</f>
        <v/>
      </c>
      <c r="C139" s="487">
        <f>IF(A139="","",IFERROR(VLOOKUP(A139,DB_Customers!$A:$N,14,0),""))</f>
        <v/>
      </c>
      <c r="D139" s="488">
        <f>IF(A139="","",TODAY())</f>
        <v/>
      </c>
      <c r="E139" s="510" t="n"/>
      <c r="F139" s="378" t="n"/>
      <c r="G139" s="511">
        <f>IF(OR(A139="",E139=""),"",IF(C139="","",C139-E139))</f>
        <v/>
      </c>
      <c r="H139" s="380" t="inlineStr">
        <is>
          <t>Agent 05</t>
        </is>
      </c>
      <c r="I139" s="491" t="n"/>
      <c r="J139" s="492">
        <f>IF(AND(A139&lt;&gt;"",E139&lt;&gt;""),IF(I139="","⚠️ Enter Code",IF(IFERROR(VLOOKUP(H139,DB_Agents!$B:$I,8,0),"")=I139,IF(C139&gt;=E139,"Successful","Unsuccessful"),"🔒 BLOCKED — Wrong Code")),"—")</f>
        <v/>
      </c>
      <c r="K139" s="493">
        <f>IF(J139="Successful",TEXT(TODAY(),"YYYY-MM-DD")&amp;" Auto","—")</f>
        <v/>
      </c>
      <c r="L139" s="494" t="n"/>
    </row>
    <row r="140" ht="15" customHeight="1" s="341">
      <c r="A140" s="495" t="n"/>
      <c r="B140" s="382">
        <f>IF(A140="","",IFERROR(VLOOKUP(A140,DB_Customers!$A:$D,4,0),"❌ Account Not Found"))</f>
        <v/>
      </c>
      <c r="C140" s="496">
        <f>IF(A140="","",IFERROR(VLOOKUP(A140,DB_Customers!$A:$N,14,0),""))</f>
        <v/>
      </c>
      <c r="D140" s="497">
        <f>IF(A140="","",TODAY())</f>
        <v/>
      </c>
      <c r="E140" s="510" t="n"/>
      <c r="F140" s="382" t="n"/>
      <c r="G140" s="512">
        <f>IF(OR(A140="",E140=""),"",IF(C140="","",C140-E140))</f>
        <v/>
      </c>
      <c r="H140" s="384" t="inlineStr">
        <is>
          <t>Agent 05</t>
        </is>
      </c>
      <c r="I140" s="491" t="n"/>
      <c r="J140" s="499">
        <f>IF(AND(A140&lt;&gt;"",E140&lt;&gt;""),IF(I140="","⚠️ Enter Code",IF(IFERROR(VLOOKUP(H140,DB_Agents!$B:$I,8,0),"")=I140,IF(C140&gt;=E140,"Successful","Unsuccessful"),"🔒 BLOCKED — Wrong Code")),"—")</f>
        <v/>
      </c>
      <c r="K140" s="500">
        <f>IF(J140="Successful",TEXT(TODAY(),"YYYY-MM-DD")&amp;" Auto","—")</f>
        <v/>
      </c>
      <c r="L140" s="501" t="n"/>
    </row>
    <row r="141" ht="15" customHeight="1" s="341">
      <c r="A141" s="486" t="n"/>
      <c r="B141" s="378">
        <f>IF(A141="","",IFERROR(VLOOKUP(A141,DB_Customers!$A:$D,4,0),"❌ Account Not Found"))</f>
        <v/>
      </c>
      <c r="C141" s="487">
        <f>IF(A141="","",IFERROR(VLOOKUP(A141,DB_Customers!$A:$N,14,0),""))</f>
        <v/>
      </c>
      <c r="D141" s="488">
        <f>IF(A141="","",TODAY())</f>
        <v/>
      </c>
      <c r="E141" s="510" t="n"/>
      <c r="F141" s="378" t="n"/>
      <c r="G141" s="511">
        <f>IF(OR(A141="",E141=""),"",IF(C141="","",C141-E141))</f>
        <v/>
      </c>
      <c r="H141" s="380" t="inlineStr">
        <is>
          <t>Agent 05</t>
        </is>
      </c>
      <c r="I141" s="491" t="n"/>
      <c r="J141" s="492">
        <f>IF(AND(A141&lt;&gt;"",E141&lt;&gt;""),IF(I141="","⚠️ Enter Code",IF(IFERROR(VLOOKUP(H141,DB_Agents!$B:$I,8,0),"")=I141,IF(C141&gt;=E141,"Successful","Unsuccessful"),"🔒 BLOCKED — Wrong Code")),"—")</f>
        <v/>
      </c>
      <c r="K141" s="493">
        <f>IF(J141="Successful",TEXT(TODAY(),"YYYY-MM-DD")&amp;" Auto","—")</f>
        <v/>
      </c>
      <c r="L141" s="494" t="n"/>
    </row>
    <row r="142" ht="15" customHeight="1" s="341">
      <c r="A142" s="495" t="n"/>
      <c r="B142" s="382">
        <f>IF(A142="","",IFERROR(VLOOKUP(A142,DB_Customers!$A:$D,4,0),"❌ Account Not Found"))</f>
        <v/>
      </c>
      <c r="C142" s="496">
        <f>IF(A142="","",IFERROR(VLOOKUP(A142,DB_Customers!$A:$N,14,0),""))</f>
        <v/>
      </c>
      <c r="D142" s="497">
        <f>IF(A142="","",TODAY())</f>
        <v/>
      </c>
      <c r="E142" s="510" t="n"/>
      <c r="F142" s="382" t="n"/>
      <c r="G142" s="512">
        <f>IF(OR(A142="",E142=""),"",IF(C142="","",C142-E142))</f>
        <v/>
      </c>
      <c r="H142" s="384" t="inlineStr">
        <is>
          <t>Agent 05</t>
        </is>
      </c>
      <c r="I142" s="491" t="n"/>
      <c r="J142" s="499">
        <f>IF(AND(A142&lt;&gt;"",E142&lt;&gt;""),IF(I142="","⚠️ Enter Code",IF(IFERROR(VLOOKUP(H142,DB_Agents!$B:$I,8,0),"")=I142,IF(C142&gt;=E142,"Successful","Unsuccessful"),"🔒 BLOCKED — Wrong Code")),"—")</f>
        <v/>
      </c>
      <c r="K142" s="500">
        <f>IF(J142="Successful",TEXT(TODAY(),"YYYY-MM-DD")&amp;" Auto","—")</f>
        <v/>
      </c>
      <c r="L142" s="501" t="n"/>
    </row>
    <row r="143" ht="15" customHeight="1" s="341">
      <c r="A143" s="486" t="n"/>
      <c r="B143" s="378">
        <f>IF(A143="","",IFERROR(VLOOKUP(A143,DB_Customers!$A:$D,4,0),"❌ Account Not Found"))</f>
        <v/>
      </c>
      <c r="C143" s="487">
        <f>IF(A143="","",IFERROR(VLOOKUP(A143,DB_Customers!$A:$N,14,0),""))</f>
        <v/>
      </c>
      <c r="D143" s="488">
        <f>IF(A143="","",TODAY())</f>
        <v/>
      </c>
      <c r="E143" s="510" t="n"/>
      <c r="F143" s="378" t="n"/>
      <c r="G143" s="511">
        <f>IF(OR(A143="",E143=""),"",IF(C143="","",C143-E143))</f>
        <v/>
      </c>
      <c r="H143" s="380" t="inlineStr">
        <is>
          <t>Agent 05</t>
        </is>
      </c>
      <c r="I143" s="491" t="n"/>
      <c r="J143" s="492">
        <f>IF(AND(A143&lt;&gt;"",E143&lt;&gt;""),IF(I143="","⚠️ Enter Code",IF(IFERROR(VLOOKUP(H143,DB_Agents!$B:$I,8,0),"")=I143,IF(C143&gt;=E143,"Successful","Unsuccessful"),"🔒 BLOCKED — Wrong Code")),"—")</f>
        <v/>
      </c>
      <c r="K143" s="493">
        <f>IF(J143="Successful",TEXT(TODAY(),"YYYY-MM-DD")&amp;" Auto","—")</f>
        <v/>
      </c>
      <c r="L143" s="494" t="n"/>
    </row>
    <row r="144" ht="15" customHeight="1" s="341">
      <c r="A144" s="495" t="n"/>
      <c r="B144" s="382">
        <f>IF(A144="","",IFERROR(VLOOKUP(A144,DB_Customers!$A:$D,4,0),"❌ Account Not Found"))</f>
        <v/>
      </c>
      <c r="C144" s="496">
        <f>IF(A144="","",IFERROR(VLOOKUP(A144,DB_Customers!$A:$N,14,0),""))</f>
        <v/>
      </c>
      <c r="D144" s="497">
        <f>IF(A144="","",TODAY())</f>
        <v/>
      </c>
      <c r="E144" s="510" t="n"/>
      <c r="F144" s="382" t="n"/>
      <c r="G144" s="512">
        <f>IF(OR(A144="",E144=""),"",IF(C144="","",C144-E144))</f>
        <v/>
      </c>
      <c r="H144" s="384" t="inlineStr">
        <is>
          <t>Agent 05</t>
        </is>
      </c>
      <c r="I144" s="491" t="n"/>
      <c r="J144" s="499">
        <f>IF(AND(A144&lt;&gt;"",E144&lt;&gt;""),IF(I144="","⚠️ Enter Code",IF(IFERROR(VLOOKUP(H144,DB_Agents!$B:$I,8,0),"")=I144,IF(C144&gt;=E144,"Successful","Unsuccessful"),"🔒 BLOCKED — Wrong Code")),"—")</f>
        <v/>
      </c>
      <c r="K144" s="500">
        <f>IF(J144="Successful",TEXT(TODAY(),"YYYY-MM-DD")&amp;" Auto","—")</f>
        <v/>
      </c>
      <c r="L144" s="501" t="n"/>
    </row>
    <row r="145" ht="15" customHeight="1" s="341">
      <c r="A145" s="486" t="n"/>
      <c r="B145" s="378">
        <f>IF(A145="","",IFERROR(VLOOKUP(A145,DB_Customers!$A:$D,4,0),"❌ Account Not Found"))</f>
        <v/>
      </c>
      <c r="C145" s="487">
        <f>IF(A145="","",IFERROR(VLOOKUP(A145,DB_Customers!$A:$N,14,0),""))</f>
        <v/>
      </c>
      <c r="D145" s="488">
        <f>IF(A145="","",TODAY())</f>
        <v/>
      </c>
      <c r="E145" s="510" t="n"/>
      <c r="F145" s="378" t="n"/>
      <c r="G145" s="511">
        <f>IF(OR(A145="",E145=""),"",IF(C145="","",C145-E145))</f>
        <v/>
      </c>
      <c r="H145" s="380" t="inlineStr">
        <is>
          <t>Agent 05</t>
        </is>
      </c>
      <c r="I145" s="491" t="n"/>
      <c r="J145" s="492">
        <f>IF(AND(A145&lt;&gt;"",E145&lt;&gt;""),IF(I145="","⚠️ Enter Code",IF(IFERROR(VLOOKUP(H145,DB_Agents!$B:$I,8,0),"")=I145,IF(C145&gt;=E145,"Successful","Unsuccessful"),"🔒 BLOCKED — Wrong Code")),"—")</f>
        <v/>
      </c>
      <c r="K145" s="493">
        <f>IF(J145="Successful",TEXT(TODAY(),"YYYY-MM-DD")&amp;" Auto","—")</f>
        <v/>
      </c>
      <c r="L145" s="494" t="n"/>
    </row>
    <row r="146" ht="15" customHeight="1" s="341">
      <c r="A146" s="495" t="n"/>
      <c r="B146" s="382">
        <f>IF(A146="","",IFERROR(VLOOKUP(A146,DB_Customers!$A:$D,4,0),"❌ Account Not Found"))</f>
        <v/>
      </c>
      <c r="C146" s="496">
        <f>IF(A146="","",IFERROR(VLOOKUP(A146,DB_Customers!$A:$N,14,0),""))</f>
        <v/>
      </c>
      <c r="D146" s="497">
        <f>IF(A146="","",TODAY())</f>
        <v/>
      </c>
      <c r="E146" s="510" t="n"/>
      <c r="F146" s="382" t="n"/>
      <c r="G146" s="512">
        <f>IF(OR(A146="",E146=""),"",IF(C146="","",C146-E146))</f>
        <v/>
      </c>
      <c r="H146" s="384" t="inlineStr">
        <is>
          <t>Agent 05</t>
        </is>
      </c>
      <c r="I146" s="491" t="n"/>
      <c r="J146" s="499">
        <f>IF(AND(A146&lt;&gt;"",E146&lt;&gt;""),IF(I146="","⚠️ Enter Code",IF(IFERROR(VLOOKUP(H146,DB_Agents!$B:$I,8,0),"")=I146,IF(C146&gt;=E146,"Successful","Unsuccessful"),"🔒 BLOCKED — Wrong Code")),"—")</f>
        <v/>
      </c>
      <c r="K146" s="500">
        <f>IF(J146="Successful",TEXT(TODAY(),"YYYY-MM-DD")&amp;" Auto","—")</f>
        <v/>
      </c>
      <c r="L146" s="501" t="n"/>
    </row>
    <row r="147" ht="15" customHeight="1" s="341">
      <c r="A147" s="486" t="n"/>
      <c r="B147" s="378">
        <f>IF(A147="","",IFERROR(VLOOKUP(A147,DB_Customers!$A:$D,4,0),"❌ Account Not Found"))</f>
        <v/>
      </c>
      <c r="C147" s="487">
        <f>IF(A147="","",IFERROR(VLOOKUP(A147,DB_Customers!$A:$N,14,0),""))</f>
        <v/>
      </c>
      <c r="D147" s="488">
        <f>IF(A147="","",TODAY())</f>
        <v/>
      </c>
      <c r="E147" s="510" t="n"/>
      <c r="F147" s="378" t="n"/>
      <c r="G147" s="511">
        <f>IF(OR(A147="",E147=""),"",IF(C147="","",C147-E147))</f>
        <v/>
      </c>
      <c r="H147" s="380" t="inlineStr">
        <is>
          <t>Agent 05</t>
        </is>
      </c>
      <c r="I147" s="491" t="n"/>
      <c r="J147" s="492">
        <f>IF(AND(A147&lt;&gt;"",E147&lt;&gt;""),IF(I147="","⚠️ Enter Code",IF(IFERROR(VLOOKUP(H147,DB_Agents!$B:$I,8,0),"")=I147,IF(C147&gt;=E147,"Successful","Unsuccessful"),"🔒 BLOCKED — Wrong Code")),"—")</f>
        <v/>
      </c>
      <c r="K147" s="493">
        <f>IF(J147="Successful",TEXT(TODAY(),"YYYY-MM-DD")&amp;" Auto","—")</f>
        <v/>
      </c>
      <c r="L147" s="494" t="n"/>
    </row>
    <row r="148" ht="15" customHeight="1" s="341">
      <c r="A148" s="495" t="n"/>
      <c r="B148" s="382">
        <f>IF(A148="","",IFERROR(VLOOKUP(A148,DB_Customers!$A:$D,4,0),"❌ Account Not Found"))</f>
        <v/>
      </c>
      <c r="C148" s="496">
        <f>IF(A148="","",IFERROR(VLOOKUP(A148,DB_Customers!$A:$N,14,0),""))</f>
        <v/>
      </c>
      <c r="D148" s="497">
        <f>IF(A148="","",TODAY())</f>
        <v/>
      </c>
      <c r="E148" s="510" t="n"/>
      <c r="F148" s="382" t="n"/>
      <c r="G148" s="512">
        <f>IF(OR(A148="",E148=""),"",IF(C148="","",C148-E148))</f>
        <v/>
      </c>
      <c r="H148" s="384" t="inlineStr">
        <is>
          <t>Agent 05</t>
        </is>
      </c>
      <c r="I148" s="491" t="n"/>
      <c r="J148" s="499">
        <f>IF(AND(A148&lt;&gt;"",E148&lt;&gt;""),IF(I148="","⚠️ Enter Code",IF(IFERROR(VLOOKUP(H148,DB_Agents!$B:$I,8,0),"")=I148,IF(C148&gt;=E148,"Successful","Unsuccessful"),"🔒 BLOCKED — Wrong Code")),"—")</f>
        <v/>
      </c>
      <c r="K148" s="500">
        <f>IF(J148="Successful",TEXT(TODAY(),"YYYY-MM-DD")&amp;" Auto","—")</f>
        <v/>
      </c>
      <c r="L148" s="501" t="n"/>
    </row>
    <row r="149" ht="15" customHeight="1" s="341">
      <c r="A149" s="486" t="n"/>
      <c r="B149" s="378">
        <f>IF(A149="","",IFERROR(VLOOKUP(A149,DB_Customers!$A:$D,4,0),"❌ Account Not Found"))</f>
        <v/>
      </c>
      <c r="C149" s="487">
        <f>IF(A149="","",IFERROR(VLOOKUP(A149,DB_Customers!$A:$N,14,0),""))</f>
        <v/>
      </c>
      <c r="D149" s="488">
        <f>IF(A149="","",TODAY())</f>
        <v/>
      </c>
      <c r="E149" s="510" t="n"/>
      <c r="F149" s="378" t="n"/>
      <c r="G149" s="511">
        <f>IF(OR(A149="",E149=""),"",IF(C149="","",C149-E149))</f>
        <v/>
      </c>
      <c r="H149" s="380" t="inlineStr">
        <is>
          <t>Agent 05</t>
        </is>
      </c>
      <c r="I149" s="491" t="n"/>
      <c r="J149" s="492">
        <f>IF(AND(A149&lt;&gt;"",E149&lt;&gt;""),IF(I149="","⚠️ Enter Code",IF(IFERROR(VLOOKUP(H149,DB_Agents!$B:$I,8,0),"")=I149,IF(C149&gt;=E149,"Successful","Unsuccessful"),"🔒 BLOCKED — Wrong Code")),"—")</f>
        <v/>
      </c>
      <c r="K149" s="493">
        <f>IF(J149="Successful",TEXT(TODAY(),"YYYY-MM-DD")&amp;" Auto","—")</f>
        <v/>
      </c>
      <c r="L149" s="494" t="n"/>
    </row>
    <row r="150" ht="15" customHeight="1" s="341">
      <c r="A150" s="495" t="n"/>
      <c r="B150" s="382">
        <f>IF(A150="","",IFERROR(VLOOKUP(A150,DB_Customers!$A:$D,4,0),"❌ Account Not Found"))</f>
        <v/>
      </c>
      <c r="C150" s="496">
        <f>IF(A150="","",IFERROR(VLOOKUP(A150,DB_Customers!$A:$N,14,0),""))</f>
        <v/>
      </c>
      <c r="D150" s="497">
        <f>IF(A150="","",TODAY())</f>
        <v/>
      </c>
      <c r="E150" s="510" t="n"/>
      <c r="F150" s="382" t="n"/>
      <c r="G150" s="512">
        <f>IF(OR(A150="",E150=""),"",IF(C150="","",C150-E150))</f>
        <v/>
      </c>
      <c r="H150" s="384" t="inlineStr">
        <is>
          <t>Agent 05</t>
        </is>
      </c>
      <c r="I150" s="491" t="n"/>
      <c r="J150" s="499">
        <f>IF(AND(A150&lt;&gt;"",E150&lt;&gt;""),IF(I150="","⚠️ Enter Code",IF(IFERROR(VLOOKUP(H150,DB_Agents!$B:$I,8,0),"")=I150,IF(C150&gt;=E150,"Successful","Unsuccessful"),"🔒 BLOCKED — Wrong Code")),"—")</f>
        <v/>
      </c>
      <c r="K150" s="500">
        <f>IF(J150="Successful",TEXT(TODAY(),"YYYY-MM-DD")&amp;" Auto","—")</f>
        <v/>
      </c>
      <c r="L150" s="501" t="n"/>
    </row>
    <row r="151" ht="15" customHeight="1" s="341">
      <c r="A151" s="486" t="n"/>
      <c r="B151" s="378">
        <f>IF(A151="","",IFERROR(VLOOKUP(A151,DB_Customers!$A:$D,4,0),"❌ Account Not Found"))</f>
        <v/>
      </c>
      <c r="C151" s="487">
        <f>IF(A151="","",IFERROR(VLOOKUP(A151,DB_Customers!$A:$N,14,0),""))</f>
        <v/>
      </c>
      <c r="D151" s="488">
        <f>IF(A151="","",TODAY())</f>
        <v/>
      </c>
      <c r="E151" s="510" t="n"/>
      <c r="F151" s="378" t="n"/>
      <c r="G151" s="511">
        <f>IF(OR(A151="",E151=""),"",IF(C151="","",C151-E151))</f>
        <v/>
      </c>
      <c r="H151" s="380" t="inlineStr">
        <is>
          <t>Agent 05</t>
        </is>
      </c>
      <c r="I151" s="491" t="n"/>
      <c r="J151" s="492">
        <f>IF(AND(A151&lt;&gt;"",E151&lt;&gt;""),IF(I151="","⚠️ Enter Code",IF(IFERROR(VLOOKUP(H151,DB_Agents!$B:$I,8,0),"")=I151,IF(C151&gt;=E151,"Successful","Unsuccessful"),"🔒 BLOCKED — Wrong Code")),"—")</f>
        <v/>
      </c>
      <c r="K151" s="493">
        <f>IF(J151="Successful",TEXT(TODAY(),"YYYY-MM-DD")&amp;" Auto","—")</f>
        <v/>
      </c>
      <c r="L151" s="494" t="n"/>
    </row>
    <row r="152" ht="15" customHeight="1" s="341">
      <c r="A152" s="495" t="n"/>
      <c r="B152" s="382">
        <f>IF(A152="","",IFERROR(VLOOKUP(A152,DB_Customers!$A:$D,4,0),"❌ Account Not Found"))</f>
        <v/>
      </c>
      <c r="C152" s="496">
        <f>IF(A152="","",IFERROR(VLOOKUP(A152,DB_Customers!$A:$N,14,0),""))</f>
        <v/>
      </c>
      <c r="D152" s="497">
        <f>IF(A152="","",TODAY())</f>
        <v/>
      </c>
      <c r="E152" s="510" t="n"/>
      <c r="F152" s="382" t="n"/>
      <c r="G152" s="512">
        <f>IF(OR(A152="",E152=""),"",IF(C152="","",C152-E152))</f>
        <v/>
      </c>
      <c r="H152" s="384" t="inlineStr">
        <is>
          <t>Agent 05</t>
        </is>
      </c>
      <c r="I152" s="491" t="n"/>
      <c r="J152" s="499">
        <f>IF(AND(A152&lt;&gt;"",E152&lt;&gt;""),IF(I152="","⚠️ Enter Code",IF(IFERROR(VLOOKUP(H152,DB_Agents!$B:$I,8,0),"")=I152,IF(C152&gt;=E152,"Successful","Unsuccessful"),"🔒 BLOCKED — Wrong Code")),"—")</f>
        <v/>
      </c>
      <c r="K152" s="500">
        <f>IF(J152="Successful",TEXT(TODAY(),"YYYY-MM-DD")&amp;" Auto","—")</f>
        <v/>
      </c>
      <c r="L152" s="501" t="n"/>
    </row>
    <row r="153" ht="15" customHeight="1" s="341">
      <c r="A153" s="486" t="n"/>
      <c r="B153" s="378">
        <f>IF(A153="","",IFERROR(VLOOKUP(A153,DB_Customers!$A:$D,4,0),"❌ Account Not Found"))</f>
        <v/>
      </c>
      <c r="C153" s="487">
        <f>IF(A153="","",IFERROR(VLOOKUP(A153,DB_Customers!$A:$N,14,0),""))</f>
        <v/>
      </c>
      <c r="D153" s="488">
        <f>IF(A153="","",TODAY())</f>
        <v/>
      </c>
      <c r="E153" s="510" t="n"/>
      <c r="F153" s="378" t="n"/>
      <c r="G153" s="511">
        <f>IF(OR(A153="",E153=""),"",IF(C153="","",C153-E153))</f>
        <v/>
      </c>
      <c r="H153" s="380" t="inlineStr">
        <is>
          <t>Agent 05</t>
        </is>
      </c>
      <c r="I153" s="491" t="n"/>
      <c r="J153" s="492">
        <f>IF(AND(A153&lt;&gt;"",E153&lt;&gt;""),IF(I153="","⚠️ Enter Code",IF(IFERROR(VLOOKUP(H153,DB_Agents!$B:$I,8,0),"")=I153,IF(C153&gt;=E153,"Successful","Unsuccessful"),"🔒 BLOCKED — Wrong Code")),"—")</f>
        <v/>
      </c>
      <c r="K153" s="493">
        <f>IF(J153="Successful",TEXT(TODAY(),"YYYY-MM-DD")&amp;" Auto","—")</f>
        <v/>
      </c>
      <c r="L153" s="494" t="n"/>
    </row>
    <row r="154" ht="15" customHeight="1" s="341">
      <c r="A154" s="495" t="n"/>
      <c r="B154" s="382">
        <f>IF(A154="","",IFERROR(VLOOKUP(A154,DB_Customers!$A:$D,4,0),"❌ Account Not Found"))</f>
        <v/>
      </c>
      <c r="C154" s="496">
        <f>IF(A154="","",IFERROR(VLOOKUP(A154,DB_Customers!$A:$N,14,0),""))</f>
        <v/>
      </c>
      <c r="D154" s="497">
        <f>IF(A154="","",TODAY())</f>
        <v/>
      </c>
      <c r="E154" s="510" t="n"/>
      <c r="F154" s="382" t="n"/>
      <c r="G154" s="512">
        <f>IF(OR(A154="",E154=""),"",IF(C154="","",C154-E154))</f>
        <v/>
      </c>
      <c r="H154" s="384" t="inlineStr">
        <is>
          <t>Agent 05</t>
        </is>
      </c>
      <c r="I154" s="491" t="n"/>
      <c r="J154" s="499">
        <f>IF(AND(A154&lt;&gt;"",E154&lt;&gt;""),IF(I154="","⚠️ Enter Code",IF(IFERROR(VLOOKUP(H154,DB_Agents!$B:$I,8,0),"")=I154,IF(C154&gt;=E154,"Successful","Unsuccessful"),"🔒 BLOCKED — Wrong Code")),"—")</f>
        <v/>
      </c>
      <c r="K154" s="500">
        <f>IF(J154="Successful",TEXT(TODAY(),"YYYY-MM-DD")&amp;" Auto","—")</f>
        <v/>
      </c>
      <c r="L154" s="501" t="n"/>
    </row>
    <row r="155" ht="15" customHeight="1" s="341">
      <c r="A155" s="486" t="n"/>
      <c r="B155" s="378">
        <f>IF(A155="","",IFERROR(VLOOKUP(A155,DB_Customers!$A:$D,4,0),"❌ Account Not Found"))</f>
        <v/>
      </c>
      <c r="C155" s="487">
        <f>IF(A155="","",IFERROR(VLOOKUP(A155,DB_Customers!$A:$N,14,0),""))</f>
        <v/>
      </c>
      <c r="D155" s="488">
        <f>IF(A155="","",TODAY())</f>
        <v/>
      </c>
      <c r="E155" s="510" t="n"/>
      <c r="F155" s="378" t="n"/>
      <c r="G155" s="511">
        <f>IF(OR(A155="",E155=""),"",IF(C155="","",C155-E155))</f>
        <v/>
      </c>
      <c r="H155" s="380" t="inlineStr">
        <is>
          <t>Agent 05</t>
        </is>
      </c>
      <c r="I155" s="491" t="n"/>
      <c r="J155" s="492">
        <f>IF(AND(A155&lt;&gt;"",E155&lt;&gt;""),IF(I155="","⚠️ Enter Code",IF(IFERROR(VLOOKUP(H155,DB_Agents!$B:$I,8,0),"")=I155,IF(C155&gt;=E155,"Successful","Unsuccessful"),"🔒 BLOCKED — Wrong Code")),"—")</f>
        <v/>
      </c>
      <c r="K155" s="493">
        <f>IF(J155="Successful",TEXT(TODAY(),"YYYY-MM-DD")&amp;" Auto","—")</f>
        <v/>
      </c>
      <c r="L155" s="494" t="n"/>
    </row>
    <row r="156" ht="15" customHeight="1" s="341">
      <c r="A156" s="495" t="n"/>
      <c r="B156" s="382">
        <f>IF(A156="","",IFERROR(VLOOKUP(A156,DB_Customers!$A:$D,4,0),"❌ Account Not Found"))</f>
        <v/>
      </c>
      <c r="C156" s="496">
        <f>IF(A156="","",IFERROR(VLOOKUP(A156,DB_Customers!$A:$N,14,0),""))</f>
        <v/>
      </c>
      <c r="D156" s="497">
        <f>IF(A156="","",TODAY())</f>
        <v/>
      </c>
      <c r="E156" s="510" t="n"/>
      <c r="F156" s="382" t="n"/>
      <c r="G156" s="512">
        <f>IF(OR(A156="",E156=""),"",IF(C156="","",C156-E156))</f>
        <v/>
      </c>
      <c r="H156" s="384" t="inlineStr">
        <is>
          <t>Agent 05</t>
        </is>
      </c>
      <c r="I156" s="491" t="n"/>
      <c r="J156" s="499">
        <f>IF(AND(A156&lt;&gt;"",E156&lt;&gt;""),IF(I156="","⚠️ Enter Code",IF(IFERROR(VLOOKUP(H156,DB_Agents!$B:$I,8,0),"")=I156,IF(C156&gt;=E156,"Successful","Unsuccessful"),"🔒 BLOCKED — Wrong Code")),"—")</f>
        <v/>
      </c>
      <c r="K156" s="500">
        <f>IF(J156="Successful",TEXT(TODAY(),"YYYY-MM-DD")&amp;" Auto","—")</f>
        <v/>
      </c>
      <c r="L156" s="501" t="n"/>
    </row>
    <row r="157" ht="15" customHeight="1" s="341">
      <c r="A157" s="486" t="n"/>
      <c r="B157" s="378">
        <f>IF(A157="","",IFERROR(VLOOKUP(A157,DB_Customers!$A:$D,4,0),"❌ Account Not Found"))</f>
        <v/>
      </c>
      <c r="C157" s="487">
        <f>IF(A157="","",IFERROR(VLOOKUP(A157,DB_Customers!$A:$N,14,0),""))</f>
        <v/>
      </c>
      <c r="D157" s="488">
        <f>IF(A157="","",TODAY())</f>
        <v/>
      </c>
      <c r="E157" s="510" t="n"/>
      <c r="F157" s="378" t="n"/>
      <c r="G157" s="511">
        <f>IF(OR(A157="",E157=""),"",IF(C157="","",C157-E157))</f>
        <v/>
      </c>
      <c r="H157" s="380" t="inlineStr">
        <is>
          <t>Agent 05</t>
        </is>
      </c>
      <c r="I157" s="491" t="n"/>
      <c r="J157" s="492">
        <f>IF(AND(A157&lt;&gt;"",E157&lt;&gt;""),IF(I157="","⚠️ Enter Code",IF(IFERROR(VLOOKUP(H157,DB_Agents!$B:$I,8,0),"")=I157,IF(C157&gt;=E157,"Successful","Unsuccessful"),"🔒 BLOCKED — Wrong Code")),"—")</f>
        <v/>
      </c>
      <c r="K157" s="493">
        <f>IF(J157="Successful",TEXT(TODAY(),"YYYY-MM-DD")&amp;" Auto","—")</f>
        <v/>
      </c>
      <c r="L157" s="494" t="n"/>
    </row>
    <row r="158" ht="15" customHeight="1" s="341">
      <c r="A158" s="495" t="n"/>
      <c r="B158" s="382">
        <f>IF(A158="","",IFERROR(VLOOKUP(A158,DB_Customers!$A:$D,4,0),"❌ Account Not Found"))</f>
        <v/>
      </c>
      <c r="C158" s="496">
        <f>IF(A158="","",IFERROR(VLOOKUP(A158,DB_Customers!$A:$N,14,0),""))</f>
        <v/>
      </c>
      <c r="D158" s="497">
        <f>IF(A158="","",TODAY())</f>
        <v/>
      </c>
      <c r="E158" s="510" t="n"/>
      <c r="F158" s="382" t="n"/>
      <c r="G158" s="512">
        <f>IF(OR(A158="",E158=""),"",IF(C158="","",C158-E158))</f>
        <v/>
      </c>
      <c r="H158" s="384" t="inlineStr">
        <is>
          <t>Agent 05</t>
        </is>
      </c>
      <c r="I158" s="491" t="n"/>
      <c r="J158" s="499">
        <f>IF(AND(A158&lt;&gt;"",E158&lt;&gt;""),IF(I158="","⚠️ Enter Code",IF(IFERROR(VLOOKUP(H158,DB_Agents!$B:$I,8,0),"")=I158,IF(C158&gt;=E158,"Successful","Unsuccessful"),"🔒 BLOCKED — Wrong Code")),"—")</f>
        <v/>
      </c>
      <c r="K158" s="500">
        <f>IF(J158="Successful",TEXT(TODAY(),"YYYY-MM-DD")&amp;" Auto","—")</f>
        <v/>
      </c>
      <c r="L158" s="501" t="n"/>
    </row>
    <row r="159" ht="15" customHeight="1" s="341">
      <c r="A159" s="486" t="n"/>
      <c r="B159" s="378">
        <f>IF(A159="","",IFERROR(VLOOKUP(A159,DB_Customers!$A:$D,4,0),"❌ Account Not Found"))</f>
        <v/>
      </c>
      <c r="C159" s="487">
        <f>IF(A159="","",IFERROR(VLOOKUP(A159,DB_Customers!$A:$N,14,0),""))</f>
        <v/>
      </c>
      <c r="D159" s="488">
        <f>IF(A159="","",TODAY())</f>
        <v/>
      </c>
      <c r="E159" s="510" t="n"/>
      <c r="F159" s="378" t="n"/>
      <c r="G159" s="511">
        <f>IF(OR(A159="",E159=""),"",IF(C159="","",C159-E159))</f>
        <v/>
      </c>
      <c r="H159" s="380" t="inlineStr">
        <is>
          <t>Agent 05</t>
        </is>
      </c>
      <c r="I159" s="491" t="n"/>
      <c r="J159" s="492">
        <f>IF(AND(A159&lt;&gt;"",E159&lt;&gt;""),IF(I159="","⚠️ Enter Code",IF(IFERROR(VLOOKUP(H159,DB_Agents!$B:$I,8,0),"")=I159,IF(C159&gt;=E159,"Successful","Unsuccessful"),"🔒 BLOCKED — Wrong Code")),"—")</f>
        <v/>
      </c>
      <c r="K159" s="493">
        <f>IF(J159="Successful",TEXT(TODAY(),"YYYY-MM-DD")&amp;" Auto","—")</f>
        <v/>
      </c>
      <c r="L159" s="494" t="n"/>
    </row>
    <row r="160" ht="15" customHeight="1" s="341">
      <c r="A160" s="495" t="n"/>
      <c r="B160" s="382">
        <f>IF(A160="","",IFERROR(VLOOKUP(A160,DB_Customers!$A:$D,4,0),"❌ Account Not Found"))</f>
        <v/>
      </c>
      <c r="C160" s="496">
        <f>IF(A160="","",IFERROR(VLOOKUP(A160,DB_Customers!$A:$N,14,0),""))</f>
        <v/>
      </c>
      <c r="D160" s="497">
        <f>IF(A160="","",TODAY())</f>
        <v/>
      </c>
      <c r="E160" s="510" t="n"/>
      <c r="F160" s="382" t="n"/>
      <c r="G160" s="512">
        <f>IF(OR(A160="",E160=""),"",IF(C160="","",C160-E160))</f>
        <v/>
      </c>
      <c r="H160" s="384" t="inlineStr">
        <is>
          <t>Agent 05</t>
        </is>
      </c>
      <c r="I160" s="491" t="n"/>
      <c r="J160" s="499">
        <f>IF(AND(A160&lt;&gt;"",E160&lt;&gt;""),IF(I160="","⚠️ Enter Code",IF(IFERROR(VLOOKUP(H160,DB_Agents!$B:$I,8,0),"")=I160,IF(C160&gt;=E160,"Successful","Unsuccessful"),"🔒 BLOCKED — Wrong Code")),"—")</f>
        <v/>
      </c>
      <c r="K160" s="500">
        <f>IF(J160="Successful",TEXT(TODAY(),"YYYY-MM-DD")&amp;" Auto","—")</f>
        <v/>
      </c>
      <c r="L160" s="501" t="n"/>
    </row>
    <row r="161" ht="15" customHeight="1" s="341">
      <c r="A161" s="486" t="n"/>
      <c r="B161" s="378">
        <f>IF(A161="","",IFERROR(VLOOKUP(A161,DB_Customers!$A:$D,4,0),"❌ Account Not Found"))</f>
        <v/>
      </c>
      <c r="C161" s="487">
        <f>IF(A161="","",IFERROR(VLOOKUP(A161,DB_Customers!$A:$N,14,0),""))</f>
        <v/>
      </c>
      <c r="D161" s="488">
        <f>IF(A161="","",TODAY())</f>
        <v/>
      </c>
      <c r="E161" s="510" t="n"/>
      <c r="F161" s="378" t="n"/>
      <c r="G161" s="511">
        <f>IF(OR(A161="",E161=""),"",IF(C161="","",C161-E161))</f>
        <v/>
      </c>
      <c r="H161" s="380" t="inlineStr">
        <is>
          <t>Agent 05</t>
        </is>
      </c>
      <c r="I161" s="491" t="n"/>
      <c r="J161" s="492">
        <f>IF(AND(A161&lt;&gt;"",E161&lt;&gt;""),IF(I161="","⚠️ Enter Code",IF(IFERROR(VLOOKUP(H161,DB_Agents!$B:$I,8,0),"")=I161,IF(C161&gt;=E161,"Successful","Unsuccessful"),"🔒 BLOCKED — Wrong Code")),"—")</f>
        <v/>
      </c>
      <c r="K161" s="493">
        <f>IF(J161="Successful",TEXT(TODAY(),"YYYY-MM-DD")&amp;" Auto","—")</f>
        <v/>
      </c>
      <c r="L161" s="494" t="n"/>
    </row>
    <row r="162" ht="15" customHeight="1" s="341">
      <c r="A162" s="495" t="n"/>
      <c r="B162" s="382">
        <f>IF(A162="","",IFERROR(VLOOKUP(A162,DB_Customers!$A:$D,4,0),"❌ Account Not Found"))</f>
        <v/>
      </c>
      <c r="C162" s="496">
        <f>IF(A162="","",IFERROR(VLOOKUP(A162,DB_Customers!$A:$N,14,0),""))</f>
        <v/>
      </c>
      <c r="D162" s="497">
        <f>IF(A162="","",TODAY())</f>
        <v/>
      </c>
      <c r="E162" s="510" t="n"/>
      <c r="F162" s="382" t="n"/>
      <c r="G162" s="512">
        <f>IF(OR(A162="",E162=""),"",IF(C162="","",C162-E162))</f>
        <v/>
      </c>
      <c r="H162" s="384" t="inlineStr">
        <is>
          <t>Agent 05</t>
        </is>
      </c>
      <c r="I162" s="491" t="n"/>
      <c r="J162" s="499">
        <f>IF(AND(A162&lt;&gt;"",E162&lt;&gt;""),IF(I162="","⚠️ Enter Code",IF(IFERROR(VLOOKUP(H162,DB_Agents!$B:$I,8,0),"")=I162,IF(C162&gt;=E162,"Successful","Unsuccessful"),"🔒 BLOCKED — Wrong Code")),"—")</f>
        <v/>
      </c>
      <c r="K162" s="500">
        <f>IF(J162="Successful",TEXT(TODAY(),"YYYY-MM-DD")&amp;" Auto","—")</f>
        <v/>
      </c>
      <c r="L162" s="501" t="n"/>
    </row>
    <row r="163" ht="15" customHeight="1" s="341">
      <c r="A163" s="486" t="n"/>
      <c r="B163" s="378">
        <f>IF(A163="","",IFERROR(VLOOKUP(A163,DB_Customers!$A:$D,4,0),"❌ Account Not Found"))</f>
        <v/>
      </c>
      <c r="C163" s="487">
        <f>IF(A163="","",IFERROR(VLOOKUP(A163,DB_Customers!$A:$N,14,0),""))</f>
        <v/>
      </c>
      <c r="D163" s="488">
        <f>IF(A163="","",TODAY())</f>
        <v/>
      </c>
      <c r="E163" s="510" t="n"/>
      <c r="F163" s="378" t="n"/>
      <c r="G163" s="511">
        <f>IF(OR(A163="",E163=""),"",IF(C163="","",C163-E163))</f>
        <v/>
      </c>
      <c r="H163" s="380" t="inlineStr">
        <is>
          <t>Agent 05</t>
        </is>
      </c>
      <c r="I163" s="491" t="n"/>
      <c r="J163" s="492">
        <f>IF(AND(A163&lt;&gt;"",E163&lt;&gt;""),IF(I163="","⚠️ Enter Code",IF(IFERROR(VLOOKUP(H163,DB_Agents!$B:$I,8,0),"")=I163,IF(C163&gt;=E163,"Successful","Unsuccessful"),"🔒 BLOCKED — Wrong Code")),"—")</f>
        <v/>
      </c>
      <c r="K163" s="493">
        <f>IF(J163="Successful",TEXT(TODAY(),"YYYY-MM-DD")&amp;" Auto","—")</f>
        <v/>
      </c>
      <c r="L163" s="494" t="n"/>
    </row>
    <row r="164" ht="15" customHeight="1" s="341">
      <c r="A164" s="495" t="n"/>
      <c r="B164" s="382">
        <f>IF(A164="","",IFERROR(VLOOKUP(A164,DB_Customers!$A:$D,4,0),"❌ Account Not Found"))</f>
        <v/>
      </c>
      <c r="C164" s="496">
        <f>IF(A164="","",IFERROR(VLOOKUP(A164,DB_Customers!$A:$N,14,0),""))</f>
        <v/>
      </c>
      <c r="D164" s="497">
        <f>IF(A164="","",TODAY())</f>
        <v/>
      </c>
      <c r="E164" s="510" t="n"/>
      <c r="F164" s="382" t="n"/>
      <c r="G164" s="512">
        <f>IF(OR(A164="",E164=""),"",IF(C164="","",C164-E164))</f>
        <v/>
      </c>
      <c r="H164" s="384" t="inlineStr">
        <is>
          <t>Agent 05</t>
        </is>
      </c>
      <c r="I164" s="491" t="n"/>
      <c r="J164" s="499">
        <f>IF(AND(A164&lt;&gt;"",E164&lt;&gt;""),IF(I164="","⚠️ Enter Code",IF(IFERROR(VLOOKUP(H164,DB_Agents!$B:$I,8,0),"")=I164,IF(C164&gt;=E164,"Successful","Unsuccessful"),"🔒 BLOCKED — Wrong Code")),"—")</f>
        <v/>
      </c>
      <c r="K164" s="500">
        <f>IF(J164="Successful",TEXT(TODAY(),"YYYY-MM-DD")&amp;" Auto","—")</f>
        <v/>
      </c>
      <c r="L164" s="501" t="n"/>
    </row>
    <row r="165" ht="15" customHeight="1" s="341">
      <c r="A165" s="486" t="n"/>
      <c r="B165" s="378">
        <f>IF(A165="","",IFERROR(VLOOKUP(A165,DB_Customers!$A:$D,4,0),"❌ Account Not Found"))</f>
        <v/>
      </c>
      <c r="C165" s="487">
        <f>IF(A165="","",IFERROR(VLOOKUP(A165,DB_Customers!$A:$N,14,0),""))</f>
        <v/>
      </c>
      <c r="D165" s="488">
        <f>IF(A165="","",TODAY())</f>
        <v/>
      </c>
      <c r="E165" s="510" t="n"/>
      <c r="F165" s="378" t="n"/>
      <c r="G165" s="511">
        <f>IF(OR(A165="",E165=""),"",IF(C165="","",C165-E165))</f>
        <v/>
      </c>
      <c r="H165" s="380" t="inlineStr">
        <is>
          <t>Agent 05</t>
        </is>
      </c>
      <c r="I165" s="491" t="n"/>
      <c r="J165" s="492">
        <f>IF(AND(A165&lt;&gt;"",E165&lt;&gt;""),IF(I165="","⚠️ Enter Code",IF(IFERROR(VLOOKUP(H165,DB_Agents!$B:$I,8,0),"")=I165,IF(C165&gt;=E165,"Successful","Unsuccessful"),"🔒 BLOCKED — Wrong Code")),"—")</f>
        <v/>
      </c>
      <c r="K165" s="493">
        <f>IF(J165="Successful",TEXT(TODAY(),"YYYY-MM-DD")&amp;" Auto","—")</f>
        <v/>
      </c>
      <c r="L165" s="494" t="n"/>
    </row>
    <row r="166" ht="15" customHeight="1" s="341">
      <c r="A166" s="495" t="n"/>
      <c r="B166" s="382">
        <f>IF(A166="","",IFERROR(VLOOKUP(A166,DB_Customers!$A:$D,4,0),"❌ Account Not Found"))</f>
        <v/>
      </c>
      <c r="C166" s="496">
        <f>IF(A166="","",IFERROR(VLOOKUP(A166,DB_Customers!$A:$N,14,0),""))</f>
        <v/>
      </c>
      <c r="D166" s="497">
        <f>IF(A166="","",TODAY())</f>
        <v/>
      </c>
      <c r="E166" s="510" t="n"/>
      <c r="F166" s="382" t="n"/>
      <c r="G166" s="512">
        <f>IF(OR(A166="",E166=""),"",IF(C166="","",C166-E166))</f>
        <v/>
      </c>
      <c r="H166" s="384" t="inlineStr">
        <is>
          <t>Agent 05</t>
        </is>
      </c>
      <c r="I166" s="491" t="n"/>
      <c r="J166" s="499">
        <f>IF(AND(A166&lt;&gt;"",E166&lt;&gt;""),IF(I166="","⚠️ Enter Code",IF(IFERROR(VLOOKUP(H166,DB_Agents!$B:$I,8,0),"")=I166,IF(C166&gt;=E166,"Successful","Unsuccessful"),"🔒 BLOCKED — Wrong Code")),"—")</f>
        <v/>
      </c>
      <c r="K166" s="500">
        <f>IF(J166="Successful",TEXT(TODAY(),"YYYY-MM-DD")&amp;" Auto","—")</f>
        <v/>
      </c>
      <c r="L166" s="501" t="n"/>
    </row>
    <row r="167" ht="15" customHeight="1" s="341">
      <c r="A167" s="486" t="n"/>
      <c r="B167" s="378">
        <f>IF(A167="","",IFERROR(VLOOKUP(A167,DB_Customers!$A:$D,4,0),"❌ Account Not Found"))</f>
        <v/>
      </c>
      <c r="C167" s="487">
        <f>IF(A167="","",IFERROR(VLOOKUP(A167,DB_Customers!$A:$N,14,0),""))</f>
        <v/>
      </c>
      <c r="D167" s="488">
        <f>IF(A167="","",TODAY())</f>
        <v/>
      </c>
      <c r="E167" s="510" t="n"/>
      <c r="F167" s="378" t="n"/>
      <c r="G167" s="511">
        <f>IF(OR(A167="",E167=""),"",IF(C167="","",C167-E167))</f>
        <v/>
      </c>
      <c r="H167" s="380" t="inlineStr">
        <is>
          <t>Agent 05</t>
        </is>
      </c>
      <c r="I167" s="491" t="n"/>
      <c r="J167" s="492">
        <f>IF(AND(A167&lt;&gt;"",E167&lt;&gt;""),IF(I167="","⚠️ Enter Code",IF(IFERROR(VLOOKUP(H167,DB_Agents!$B:$I,8,0),"")=I167,IF(C167&gt;=E167,"Successful","Unsuccessful"),"🔒 BLOCKED — Wrong Code")),"—")</f>
        <v/>
      </c>
      <c r="K167" s="493">
        <f>IF(J167="Successful",TEXT(TODAY(),"YYYY-MM-DD")&amp;" Auto","—")</f>
        <v/>
      </c>
      <c r="L167" s="494" t="n"/>
    </row>
    <row r="168" ht="15" customHeight="1" s="341">
      <c r="A168" s="495" t="n"/>
      <c r="B168" s="382">
        <f>IF(A168="","",IFERROR(VLOOKUP(A168,DB_Customers!$A:$D,4,0),"❌ Account Not Found"))</f>
        <v/>
      </c>
      <c r="C168" s="496">
        <f>IF(A168="","",IFERROR(VLOOKUP(A168,DB_Customers!$A:$N,14,0),""))</f>
        <v/>
      </c>
      <c r="D168" s="497">
        <f>IF(A168="","",TODAY())</f>
        <v/>
      </c>
      <c r="E168" s="510" t="n"/>
      <c r="F168" s="382" t="n"/>
      <c r="G168" s="512">
        <f>IF(OR(A168="",E168=""),"",IF(C168="","",C168-E168))</f>
        <v/>
      </c>
      <c r="H168" s="384" t="inlineStr">
        <is>
          <t>Agent 05</t>
        </is>
      </c>
      <c r="I168" s="491" t="n"/>
      <c r="J168" s="499">
        <f>IF(AND(A168&lt;&gt;"",E168&lt;&gt;""),IF(I168="","⚠️ Enter Code",IF(IFERROR(VLOOKUP(H168,DB_Agents!$B:$I,8,0),"")=I168,IF(C168&gt;=E168,"Successful","Unsuccessful"),"🔒 BLOCKED — Wrong Code")),"—")</f>
        <v/>
      </c>
      <c r="K168" s="500">
        <f>IF(J168="Successful",TEXT(TODAY(),"YYYY-MM-DD")&amp;" Auto","—")</f>
        <v/>
      </c>
      <c r="L168" s="501" t="n"/>
    </row>
    <row r="169" ht="15" customHeight="1" s="341">
      <c r="A169" s="486" t="n"/>
      <c r="B169" s="378">
        <f>IF(A169="","",IFERROR(VLOOKUP(A169,DB_Customers!$A:$D,4,0),"❌ Account Not Found"))</f>
        <v/>
      </c>
      <c r="C169" s="487">
        <f>IF(A169="","",IFERROR(VLOOKUP(A169,DB_Customers!$A:$N,14,0),""))</f>
        <v/>
      </c>
      <c r="D169" s="488">
        <f>IF(A169="","",TODAY())</f>
        <v/>
      </c>
      <c r="E169" s="510" t="n"/>
      <c r="F169" s="378" t="n"/>
      <c r="G169" s="511">
        <f>IF(OR(A169="",E169=""),"",IF(C169="","",C169-E169))</f>
        <v/>
      </c>
      <c r="H169" s="380" t="inlineStr">
        <is>
          <t>Agent 05</t>
        </is>
      </c>
      <c r="I169" s="491" t="n"/>
      <c r="J169" s="492">
        <f>IF(AND(A169&lt;&gt;"",E169&lt;&gt;""),IF(I169="","⚠️ Enter Code",IF(IFERROR(VLOOKUP(H169,DB_Agents!$B:$I,8,0),"")=I169,IF(C169&gt;=E169,"Successful","Unsuccessful"),"🔒 BLOCKED — Wrong Code")),"—")</f>
        <v/>
      </c>
      <c r="K169" s="493">
        <f>IF(J169="Successful",TEXT(TODAY(),"YYYY-MM-DD")&amp;" Auto","—")</f>
        <v/>
      </c>
      <c r="L169" s="494" t="n"/>
    </row>
    <row r="170" ht="15" customHeight="1" s="341">
      <c r="A170" s="495" t="n"/>
      <c r="B170" s="382">
        <f>IF(A170="","",IFERROR(VLOOKUP(A170,DB_Customers!$A:$D,4,0),"❌ Account Not Found"))</f>
        <v/>
      </c>
      <c r="C170" s="496">
        <f>IF(A170="","",IFERROR(VLOOKUP(A170,DB_Customers!$A:$N,14,0),""))</f>
        <v/>
      </c>
      <c r="D170" s="497">
        <f>IF(A170="","",TODAY())</f>
        <v/>
      </c>
      <c r="E170" s="510" t="n"/>
      <c r="F170" s="382" t="n"/>
      <c r="G170" s="512">
        <f>IF(OR(A170="",E170=""),"",IF(C170="","",C170-E170))</f>
        <v/>
      </c>
      <c r="H170" s="384" t="inlineStr">
        <is>
          <t>Agent 05</t>
        </is>
      </c>
      <c r="I170" s="491" t="n"/>
      <c r="J170" s="499">
        <f>IF(AND(A170&lt;&gt;"",E170&lt;&gt;""),IF(I170="","⚠️ Enter Code",IF(IFERROR(VLOOKUP(H170,DB_Agents!$B:$I,8,0),"")=I170,IF(C170&gt;=E170,"Successful","Unsuccessful"),"🔒 BLOCKED — Wrong Code")),"—")</f>
        <v/>
      </c>
      <c r="K170" s="500">
        <f>IF(J170="Successful",TEXT(TODAY(),"YYYY-MM-DD")&amp;" Auto","—")</f>
        <v/>
      </c>
      <c r="L170" s="501" t="n"/>
    </row>
    <row r="171" ht="15" customHeight="1" s="341">
      <c r="A171" s="486" t="n"/>
      <c r="B171" s="378">
        <f>IF(A171="","",IFERROR(VLOOKUP(A171,DB_Customers!$A:$D,4,0),"❌ Account Not Found"))</f>
        <v/>
      </c>
      <c r="C171" s="487">
        <f>IF(A171="","",IFERROR(VLOOKUP(A171,DB_Customers!$A:$N,14,0),""))</f>
        <v/>
      </c>
      <c r="D171" s="488">
        <f>IF(A171="","",TODAY())</f>
        <v/>
      </c>
      <c r="E171" s="510" t="n"/>
      <c r="F171" s="378" t="n"/>
      <c r="G171" s="511">
        <f>IF(OR(A171="",E171=""),"",IF(C171="","",C171-E171))</f>
        <v/>
      </c>
      <c r="H171" s="380" t="inlineStr">
        <is>
          <t>Agent 05</t>
        </is>
      </c>
      <c r="I171" s="491" t="n"/>
      <c r="J171" s="492">
        <f>IF(AND(A171&lt;&gt;"",E171&lt;&gt;""),IF(I171="","⚠️ Enter Code",IF(IFERROR(VLOOKUP(H171,DB_Agents!$B:$I,8,0),"")=I171,IF(C171&gt;=E171,"Successful","Unsuccessful"),"🔒 BLOCKED — Wrong Code")),"—")</f>
        <v/>
      </c>
      <c r="K171" s="493">
        <f>IF(J171="Successful",TEXT(TODAY(),"YYYY-MM-DD")&amp;" Auto","—")</f>
        <v/>
      </c>
      <c r="L171" s="494" t="n"/>
    </row>
    <row r="172" ht="15" customHeight="1" s="341">
      <c r="A172" s="495" t="n"/>
      <c r="B172" s="382">
        <f>IF(A172="","",IFERROR(VLOOKUP(A172,DB_Customers!$A:$D,4,0),"❌ Account Not Found"))</f>
        <v/>
      </c>
      <c r="C172" s="496">
        <f>IF(A172="","",IFERROR(VLOOKUP(A172,DB_Customers!$A:$N,14,0),""))</f>
        <v/>
      </c>
      <c r="D172" s="497">
        <f>IF(A172="","",TODAY())</f>
        <v/>
      </c>
      <c r="E172" s="510" t="n"/>
      <c r="F172" s="382" t="n"/>
      <c r="G172" s="512">
        <f>IF(OR(A172="",E172=""),"",IF(C172="","",C172-E172))</f>
        <v/>
      </c>
      <c r="H172" s="384" t="inlineStr">
        <is>
          <t>Agent 05</t>
        </is>
      </c>
      <c r="I172" s="491" t="n"/>
      <c r="J172" s="499">
        <f>IF(AND(A172&lt;&gt;"",E172&lt;&gt;""),IF(I172="","⚠️ Enter Code",IF(IFERROR(VLOOKUP(H172,DB_Agents!$B:$I,8,0),"")=I172,IF(C172&gt;=E172,"Successful","Unsuccessful"),"🔒 BLOCKED — Wrong Code")),"—")</f>
        <v/>
      </c>
      <c r="K172" s="500">
        <f>IF(J172="Successful",TEXT(TODAY(),"YYYY-MM-DD")&amp;" Auto","—")</f>
        <v/>
      </c>
      <c r="L172" s="501" t="n"/>
    </row>
    <row r="173" ht="15" customHeight="1" s="341">
      <c r="A173" s="486" t="n"/>
      <c r="B173" s="378">
        <f>IF(A173="","",IFERROR(VLOOKUP(A173,DB_Customers!$A:$D,4,0),"❌ Account Not Found"))</f>
        <v/>
      </c>
      <c r="C173" s="487">
        <f>IF(A173="","",IFERROR(VLOOKUP(A173,DB_Customers!$A:$N,14,0),""))</f>
        <v/>
      </c>
      <c r="D173" s="488">
        <f>IF(A173="","",TODAY())</f>
        <v/>
      </c>
      <c r="E173" s="510" t="n"/>
      <c r="F173" s="378" t="n"/>
      <c r="G173" s="511">
        <f>IF(OR(A173="",E173=""),"",IF(C173="","",C173-E173))</f>
        <v/>
      </c>
      <c r="H173" s="380" t="inlineStr">
        <is>
          <t>Agent 05</t>
        </is>
      </c>
      <c r="I173" s="491" t="n"/>
      <c r="J173" s="492">
        <f>IF(AND(A173&lt;&gt;"",E173&lt;&gt;""),IF(I173="","⚠️ Enter Code",IF(IFERROR(VLOOKUP(H173,DB_Agents!$B:$I,8,0),"")=I173,IF(C173&gt;=E173,"Successful","Unsuccessful"),"🔒 BLOCKED — Wrong Code")),"—")</f>
        <v/>
      </c>
      <c r="K173" s="493">
        <f>IF(J173="Successful",TEXT(TODAY(),"YYYY-MM-DD")&amp;" Auto","—")</f>
        <v/>
      </c>
      <c r="L173" s="494" t="n"/>
    </row>
    <row r="174" ht="15" customHeight="1" s="341">
      <c r="A174" s="495" t="n"/>
      <c r="B174" s="382">
        <f>IF(A174="","",IFERROR(VLOOKUP(A174,DB_Customers!$A:$D,4,0),"❌ Account Not Found"))</f>
        <v/>
      </c>
      <c r="C174" s="496">
        <f>IF(A174="","",IFERROR(VLOOKUP(A174,DB_Customers!$A:$N,14,0),""))</f>
        <v/>
      </c>
      <c r="D174" s="497">
        <f>IF(A174="","",TODAY())</f>
        <v/>
      </c>
      <c r="E174" s="510" t="n"/>
      <c r="F174" s="382" t="n"/>
      <c r="G174" s="512">
        <f>IF(OR(A174="",E174=""),"",IF(C174="","",C174-E174))</f>
        <v/>
      </c>
      <c r="H174" s="384" t="inlineStr">
        <is>
          <t>Agent 05</t>
        </is>
      </c>
      <c r="I174" s="491" t="n"/>
      <c r="J174" s="499">
        <f>IF(AND(A174&lt;&gt;"",E174&lt;&gt;""),IF(I174="","⚠️ Enter Code",IF(IFERROR(VLOOKUP(H174,DB_Agents!$B:$I,8,0),"")=I174,IF(C174&gt;=E174,"Successful","Unsuccessful"),"🔒 BLOCKED — Wrong Code")),"—")</f>
        <v/>
      </c>
      <c r="K174" s="500">
        <f>IF(J174="Successful",TEXT(TODAY(),"YYYY-MM-DD")&amp;" Auto","—")</f>
        <v/>
      </c>
      <c r="L174" s="501" t="n"/>
    </row>
    <row r="175" ht="15" customHeight="1" s="341">
      <c r="A175" s="486" t="n"/>
      <c r="B175" s="378">
        <f>IF(A175="","",IFERROR(VLOOKUP(A175,DB_Customers!$A:$D,4,0),"❌ Account Not Found"))</f>
        <v/>
      </c>
      <c r="C175" s="487">
        <f>IF(A175="","",IFERROR(VLOOKUP(A175,DB_Customers!$A:$N,14,0),""))</f>
        <v/>
      </c>
      <c r="D175" s="488">
        <f>IF(A175="","",TODAY())</f>
        <v/>
      </c>
      <c r="E175" s="510" t="n"/>
      <c r="F175" s="378" t="n"/>
      <c r="G175" s="511">
        <f>IF(OR(A175="",E175=""),"",IF(C175="","",C175-E175))</f>
        <v/>
      </c>
      <c r="H175" s="380" t="inlineStr">
        <is>
          <t>Agent 05</t>
        </is>
      </c>
      <c r="I175" s="491" t="n"/>
      <c r="J175" s="492">
        <f>IF(AND(A175&lt;&gt;"",E175&lt;&gt;""),IF(I175="","⚠️ Enter Code",IF(IFERROR(VLOOKUP(H175,DB_Agents!$B:$I,8,0),"")=I175,IF(C175&gt;=E175,"Successful","Unsuccessful"),"🔒 BLOCKED — Wrong Code")),"—")</f>
        <v/>
      </c>
      <c r="K175" s="493">
        <f>IF(J175="Successful",TEXT(TODAY(),"YYYY-MM-DD")&amp;" Auto","—")</f>
        <v/>
      </c>
      <c r="L175" s="494" t="n"/>
    </row>
    <row r="176" ht="15" customHeight="1" s="341">
      <c r="A176" s="495" t="n"/>
      <c r="B176" s="382">
        <f>IF(A176="","",IFERROR(VLOOKUP(A176,DB_Customers!$A:$D,4,0),"❌ Account Not Found"))</f>
        <v/>
      </c>
      <c r="C176" s="496">
        <f>IF(A176="","",IFERROR(VLOOKUP(A176,DB_Customers!$A:$N,14,0),""))</f>
        <v/>
      </c>
      <c r="D176" s="497">
        <f>IF(A176="","",TODAY())</f>
        <v/>
      </c>
      <c r="E176" s="510" t="n"/>
      <c r="F176" s="382" t="n"/>
      <c r="G176" s="512">
        <f>IF(OR(A176="",E176=""),"",IF(C176="","",C176-E176))</f>
        <v/>
      </c>
      <c r="H176" s="384" t="inlineStr">
        <is>
          <t>Agent 05</t>
        </is>
      </c>
      <c r="I176" s="491" t="n"/>
      <c r="J176" s="499">
        <f>IF(AND(A176&lt;&gt;"",E176&lt;&gt;""),IF(I176="","⚠️ Enter Code",IF(IFERROR(VLOOKUP(H176,DB_Agents!$B:$I,8,0),"")=I176,IF(C176&gt;=E176,"Successful","Unsuccessful"),"🔒 BLOCKED — Wrong Code")),"—")</f>
        <v/>
      </c>
      <c r="K176" s="500">
        <f>IF(J176="Successful",TEXT(TODAY(),"YYYY-MM-DD")&amp;" Auto","—")</f>
        <v/>
      </c>
      <c r="L176" s="501" t="n"/>
    </row>
    <row r="177" ht="15" customHeight="1" s="341">
      <c r="A177" s="486" t="n"/>
      <c r="B177" s="378">
        <f>IF(A177="","",IFERROR(VLOOKUP(A177,DB_Customers!$A:$D,4,0),"❌ Account Not Found"))</f>
        <v/>
      </c>
      <c r="C177" s="487">
        <f>IF(A177="","",IFERROR(VLOOKUP(A177,DB_Customers!$A:$N,14,0),""))</f>
        <v/>
      </c>
      <c r="D177" s="488">
        <f>IF(A177="","",TODAY())</f>
        <v/>
      </c>
      <c r="E177" s="510" t="n"/>
      <c r="F177" s="378" t="n"/>
      <c r="G177" s="511">
        <f>IF(OR(A177="",E177=""),"",IF(C177="","",C177-E177))</f>
        <v/>
      </c>
      <c r="H177" s="380" t="inlineStr">
        <is>
          <t>Agent 05</t>
        </is>
      </c>
      <c r="I177" s="491" t="n"/>
      <c r="J177" s="492">
        <f>IF(AND(A177&lt;&gt;"",E177&lt;&gt;""),IF(I177="","⚠️ Enter Code",IF(IFERROR(VLOOKUP(H177,DB_Agents!$B:$I,8,0),"")=I177,IF(C177&gt;=E177,"Successful","Unsuccessful"),"🔒 BLOCKED — Wrong Code")),"—")</f>
        <v/>
      </c>
      <c r="K177" s="493">
        <f>IF(J177="Successful",TEXT(TODAY(),"YYYY-MM-DD")&amp;" Auto","—")</f>
        <v/>
      </c>
      <c r="L177" s="494" t="n"/>
    </row>
    <row r="178" ht="15" customHeight="1" s="341">
      <c r="A178" s="495" t="n"/>
      <c r="B178" s="382">
        <f>IF(A178="","",IFERROR(VLOOKUP(A178,DB_Customers!$A:$D,4,0),"❌ Account Not Found"))</f>
        <v/>
      </c>
      <c r="C178" s="496">
        <f>IF(A178="","",IFERROR(VLOOKUP(A178,DB_Customers!$A:$N,14,0),""))</f>
        <v/>
      </c>
      <c r="D178" s="497">
        <f>IF(A178="","",TODAY())</f>
        <v/>
      </c>
      <c r="E178" s="510" t="n"/>
      <c r="F178" s="382" t="n"/>
      <c r="G178" s="512">
        <f>IF(OR(A178="",E178=""),"",IF(C178="","",C178-E178))</f>
        <v/>
      </c>
      <c r="H178" s="384" t="inlineStr">
        <is>
          <t>Agent 05</t>
        </is>
      </c>
      <c r="I178" s="491" t="n"/>
      <c r="J178" s="499">
        <f>IF(AND(A178&lt;&gt;"",E178&lt;&gt;""),IF(I178="","⚠️ Enter Code",IF(IFERROR(VLOOKUP(H178,DB_Agents!$B:$I,8,0),"")=I178,IF(C178&gt;=E178,"Successful","Unsuccessful"),"🔒 BLOCKED — Wrong Code")),"—")</f>
        <v/>
      </c>
      <c r="K178" s="500">
        <f>IF(J178="Successful",TEXT(TODAY(),"YYYY-MM-DD")&amp;" Auto","—")</f>
        <v/>
      </c>
      <c r="L178" s="501" t="n"/>
    </row>
    <row r="179" ht="15" customHeight="1" s="341">
      <c r="A179" s="486" t="n"/>
      <c r="B179" s="378">
        <f>IF(A179="","",IFERROR(VLOOKUP(A179,DB_Customers!$A:$D,4,0),"❌ Account Not Found"))</f>
        <v/>
      </c>
      <c r="C179" s="487">
        <f>IF(A179="","",IFERROR(VLOOKUP(A179,DB_Customers!$A:$N,14,0),""))</f>
        <v/>
      </c>
      <c r="D179" s="488">
        <f>IF(A179="","",TODAY())</f>
        <v/>
      </c>
      <c r="E179" s="510" t="n"/>
      <c r="F179" s="378" t="n"/>
      <c r="G179" s="511">
        <f>IF(OR(A179="",E179=""),"",IF(C179="","",C179-E179))</f>
        <v/>
      </c>
      <c r="H179" s="380" t="inlineStr">
        <is>
          <t>Agent 05</t>
        </is>
      </c>
      <c r="I179" s="491" t="n"/>
      <c r="J179" s="492">
        <f>IF(AND(A179&lt;&gt;"",E179&lt;&gt;""),IF(I179="","⚠️ Enter Code",IF(IFERROR(VLOOKUP(H179,DB_Agents!$B:$I,8,0),"")=I179,IF(C179&gt;=E179,"Successful","Unsuccessful"),"🔒 BLOCKED — Wrong Code")),"—")</f>
        <v/>
      </c>
      <c r="K179" s="493">
        <f>IF(J179="Successful",TEXT(TODAY(),"YYYY-MM-DD")&amp;" Auto","—")</f>
        <v/>
      </c>
      <c r="L179" s="494" t="n"/>
    </row>
    <row r="180" ht="15" customHeight="1" s="341">
      <c r="A180" s="495" t="n"/>
      <c r="B180" s="382">
        <f>IF(A180="","",IFERROR(VLOOKUP(A180,DB_Customers!$A:$D,4,0),"❌ Account Not Found"))</f>
        <v/>
      </c>
      <c r="C180" s="496">
        <f>IF(A180="","",IFERROR(VLOOKUP(A180,DB_Customers!$A:$N,14,0),""))</f>
        <v/>
      </c>
      <c r="D180" s="497">
        <f>IF(A180="","",TODAY())</f>
        <v/>
      </c>
      <c r="E180" s="510" t="n"/>
      <c r="F180" s="382" t="n"/>
      <c r="G180" s="512">
        <f>IF(OR(A180="",E180=""),"",IF(C180="","",C180-E180))</f>
        <v/>
      </c>
      <c r="H180" s="384" t="inlineStr">
        <is>
          <t>Agent 05</t>
        </is>
      </c>
      <c r="I180" s="491" t="n"/>
      <c r="J180" s="499">
        <f>IF(AND(A180&lt;&gt;"",E180&lt;&gt;""),IF(I180="","⚠️ Enter Code",IF(IFERROR(VLOOKUP(H180,DB_Agents!$B:$I,8,0),"")=I180,IF(C180&gt;=E180,"Successful","Unsuccessful"),"🔒 BLOCKED — Wrong Code")),"—")</f>
        <v/>
      </c>
      <c r="K180" s="500">
        <f>IF(J180="Successful",TEXT(TODAY(),"YYYY-MM-DD")&amp;" Auto","—")</f>
        <v/>
      </c>
      <c r="L180" s="501" t="n"/>
    </row>
    <row r="181" ht="15" customHeight="1" s="341">
      <c r="A181" s="486" t="n"/>
      <c r="B181" s="378">
        <f>IF(A181="","",IFERROR(VLOOKUP(A181,DB_Customers!$A:$D,4,0),"❌ Account Not Found"))</f>
        <v/>
      </c>
      <c r="C181" s="487">
        <f>IF(A181="","",IFERROR(VLOOKUP(A181,DB_Customers!$A:$N,14,0),""))</f>
        <v/>
      </c>
      <c r="D181" s="488">
        <f>IF(A181="","",TODAY())</f>
        <v/>
      </c>
      <c r="E181" s="510" t="n"/>
      <c r="F181" s="378" t="n"/>
      <c r="G181" s="511">
        <f>IF(OR(A181="",E181=""),"",IF(C181="","",C181-E181))</f>
        <v/>
      </c>
      <c r="H181" s="380" t="inlineStr">
        <is>
          <t>Agent 05</t>
        </is>
      </c>
      <c r="I181" s="491" t="n"/>
      <c r="J181" s="492">
        <f>IF(AND(A181&lt;&gt;"",E181&lt;&gt;""),IF(I181="","⚠️ Enter Code",IF(IFERROR(VLOOKUP(H181,DB_Agents!$B:$I,8,0),"")=I181,IF(C181&gt;=E181,"Successful","Unsuccessful"),"🔒 BLOCKED — Wrong Code")),"—")</f>
        <v/>
      </c>
      <c r="K181" s="493">
        <f>IF(J181="Successful",TEXT(TODAY(),"YYYY-MM-DD")&amp;" Auto","—")</f>
        <v/>
      </c>
      <c r="L181" s="494" t="n"/>
    </row>
    <row r="182" ht="15" customHeight="1" s="341">
      <c r="A182" s="495" t="n"/>
      <c r="B182" s="382">
        <f>IF(A182="","",IFERROR(VLOOKUP(A182,DB_Customers!$A:$D,4,0),"❌ Account Not Found"))</f>
        <v/>
      </c>
      <c r="C182" s="496">
        <f>IF(A182="","",IFERROR(VLOOKUP(A182,DB_Customers!$A:$N,14,0),""))</f>
        <v/>
      </c>
      <c r="D182" s="497">
        <f>IF(A182="","",TODAY())</f>
        <v/>
      </c>
      <c r="E182" s="510" t="n"/>
      <c r="F182" s="382" t="n"/>
      <c r="G182" s="512">
        <f>IF(OR(A182="",E182=""),"",IF(C182="","",C182-E182))</f>
        <v/>
      </c>
      <c r="H182" s="384" t="inlineStr">
        <is>
          <t>Agent 05</t>
        </is>
      </c>
      <c r="I182" s="491" t="n"/>
      <c r="J182" s="499">
        <f>IF(AND(A182&lt;&gt;"",E182&lt;&gt;""),IF(I182="","⚠️ Enter Code",IF(IFERROR(VLOOKUP(H182,DB_Agents!$B:$I,8,0),"")=I182,IF(C182&gt;=E182,"Successful","Unsuccessful"),"🔒 BLOCKED — Wrong Code")),"—")</f>
        <v/>
      </c>
      <c r="K182" s="500">
        <f>IF(J182="Successful",TEXT(TODAY(),"YYYY-MM-DD")&amp;" Auto","—")</f>
        <v/>
      </c>
      <c r="L182" s="501" t="n"/>
    </row>
    <row r="183" ht="15" customHeight="1" s="341">
      <c r="A183" s="486" t="n"/>
      <c r="B183" s="378">
        <f>IF(A183="","",IFERROR(VLOOKUP(A183,DB_Customers!$A:$D,4,0),"❌ Account Not Found"))</f>
        <v/>
      </c>
      <c r="C183" s="487">
        <f>IF(A183="","",IFERROR(VLOOKUP(A183,DB_Customers!$A:$N,14,0),""))</f>
        <v/>
      </c>
      <c r="D183" s="488">
        <f>IF(A183="","",TODAY())</f>
        <v/>
      </c>
      <c r="E183" s="510" t="n"/>
      <c r="F183" s="378" t="n"/>
      <c r="G183" s="511">
        <f>IF(OR(A183="",E183=""),"",IF(C183="","",C183-E183))</f>
        <v/>
      </c>
      <c r="H183" s="380" t="inlineStr">
        <is>
          <t>Agent 05</t>
        </is>
      </c>
      <c r="I183" s="491" t="n"/>
      <c r="J183" s="492">
        <f>IF(AND(A183&lt;&gt;"",E183&lt;&gt;""),IF(I183="","⚠️ Enter Code",IF(IFERROR(VLOOKUP(H183,DB_Agents!$B:$I,8,0),"")=I183,IF(C183&gt;=E183,"Successful","Unsuccessful"),"🔒 BLOCKED — Wrong Code")),"—")</f>
        <v/>
      </c>
      <c r="K183" s="493">
        <f>IF(J183="Successful",TEXT(TODAY(),"YYYY-MM-DD")&amp;" Auto","—")</f>
        <v/>
      </c>
      <c r="L183" s="494" t="n"/>
    </row>
    <row r="184" ht="15" customHeight="1" s="341">
      <c r="A184" s="495" t="n"/>
      <c r="B184" s="382">
        <f>IF(A184="","",IFERROR(VLOOKUP(A184,DB_Customers!$A:$D,4,0),"❌ Account Not Found"))</f>
        <v/>
      </c>
      <c r="C184" s="496">
        <f>IF(A184="","",IFERROR(VLOOKUP(A184,DB_Customers!$A:$N,14,0),""))</f>
        <v/>
      </c>
      <c r="D184" s="497">
        <f>IF(A184="","",TODAY())</f>
        <v/>
      </c>
      <c r="E184" s="510" t="n"/>
      <c r="F184" s="382" t="n"/>
      <c r="G184" s="512">
        <f>IF(OR(A184="",E184=""),"",IF(C184="","",C184-E184))</f>
        <v/>
      </c>
      <c r="H184" s="384" t="inlineStr">
        <is>
          <t>Agent 05</t>
        </is>
      </c>
      <c r="I184" s="491" t="n"/>
      <c r="J184" s="499">
        <f>IF(AND(A184&lt;&gt;"",E184&lt;&gt;""),IF(I184="","⚠️ Enter Code",IF(IFERROR(VLOOKUP(H184,DB_Agents!$B:$I,8,0),"")=I184,IF(C184&gt;=E184,"Successful","Unsuccessful"),"🔒 BLOCKED — Wrong Code")),"—")</f>
        <v/>
      </c>
      <c r="K184" s="500">
        <f>IF(J184="Successful",TEXT(TODAY(),"YYYY-MM-DD")&amp;" Auto","—")</f>
        <v/>
      </c>
      <c r="L184" s="501" t="n"/>
    </row>
    <row r="185" ht="15" customHeight="1" s="341">
      <c r="A185" s="486" t="n"/>
      <c r="B185" s="378">
        <f>IF(A185="","",IFERROR(VLOOKUP(A185,DB_Customers!$A:$D,4,0),"❌ Account Not Found"))</f>
        <v/>
      </c>
      <c r="C185" s="487">
        <f>IF(A185="","",IFERROR(VLOOKUP(A185,DB_Customers!$A:$N,14,0),""))</f>
        <v/>
      </c>
      <c r="D185" s="488">
        <f>IF(A185="","",TODAY())</f>
        <v/>
      </c>
      <c r="E185" s="510" t="n"/>
      <c r="F185" s="378" t="n"/>
      <c r="G185" s="511">
        <f>IF(OR(A185="",E185=""),"",IF(C185="","",C185-E185))</f>
        <v/>
      </c>
      <c r="H185" s="380" t="inlineStr">
        <is>
          <t>Agent 05</t>
        </is>
      </c>
      <c r="I185" s="491" t="n"/>
      <c r="J185" s="492">
        <f>IF(AND(A185&lt;&gt;"",E185&lt;&gt;""),IF(I185="","⚠️ Enter Code",IF(IFERROR(VLOOKUP(H185,DB_Agents!$B:$I,8,0),"")=I185,IF(C185&gt;=E185,"Successful","Unsuccessful"),"🔒 BLOCKED — Wrong Code")),"—")</f>
        <v/>
      </c>
      <c r="K185" s="493">
        <f>IF(J185="Successful",TEXT(TODAY(),"YYYY-MM-DD")&amp;" Auto","—")</f>
        <v/>
      </c>
      <c r="L185" s="494" t="n"/>
    </row>
    <row r="186" ht="15" customHeight="1" s="341">
      <c r="A186" s="495" t="n"/>
      <c r="B186" s="382">
        <f>IF(A186="","",IFERROR(VLOOKUP(A186,DB_Customers!$A:$D,4,0),"❌ Account Not Found"))</f>
        <v/>
      </c>
      <c r="C186" s="496">
        <f>IF(A186="","",IFERROR(VLOOKUP(A186,DB_Customers!$A:$N,14,0),""))</f>
        <v/>
      </c>
      <c r="D186" s="497">
        <f>IF(A186="","",TODAY())</f>
        <v/>
      </c>
      <c r="E186" s="510" t="n"/>
      <c r="F186" s="382" t="n"/>
      <c r="G186" s="512">
        <f>IF(OR(A186="",E186=""),"",IF(C186="","",C186-E186))</f>
        <v/>
      </c>
      <c r="H186" s="384" t="inlineStr">
        <is>
          <t>Agent 05</t>
        </is>
      </c>
      <c r="I186" s="491" t="n"/>
      <c r="J186" s="499">
        <f>IF(AND(A186&lt;&gt;"",E186&lt;&gt;""),IF(I186="","⚠️ Enter Code",IF(IFERROR(VLOOKUP(H186,DB_Agents!$B:$I,8,0),"")=I186,IF(C186&gt;=E186,"Successful","Unsuccessful"),"🔒 BLOCKED — Wrong Code")),"—")</f>
        <v/>
      </c>
      <c r="K186" s="500">
        <f>IF(J186="Successful",TEXT(TODAY(),"YYYY-MM-DD")&amp;" Auto","—")</f>
        <v/>
      </c>
      <c r="L186" s="501" t="n"/>
    </row>
    <row r="187" ht="15" customHeight="1" s="341">
      <c r="A187" s="486" t="n"/>
      <c r="B187" s="378">
        <f>IF(A187="","",IFERROR(VLOOKUP(A187,DB_Customers!$A:$D,4,0),"❌ Account Not Found"))</f>
        <v/>
      </c>
      <c r="C187" s="487">
        <f>IF(A187="","",IFERROR(VLOOKUP(A187,DB_Customers!$A:$N,14,0),""))</f>
        <v/>
      </c>
      <c r="D187" s="488">
        <f>IF(A187="","",TODAY())</f>
        <v/>
      </c>
      <c r="E187" s="510" t="n"/>
      <c r="F187" s="378" t="n"/>
      <c r="G187" s="511">
        <f>IF(OR(A187="",E187=""),"",IF(C187="","",C187-E187))</f>
        <v/>
      </c>
      <c r="H187" s="380" t="inlineStr">
        <is>
          <t>Agent 05</t>
        </is>
      </c>
      <c r="I187" s="491" t="n"/>
      <c r="J187" s="492">
        <f>IF(AND(A187&lt;&gt;"",E187&lt;&gt;""),IF(I187="","⚠️ Enter Code",IF(IFERROR(VLOOKUP(H187,DB_Agents!$B:$I,8,0),"")=I187,IF(C187&gt;=E187,"Successful","Unsuccessful"),"🔒 BLOCKED — Wrong Code")),"—")</f>
        <v/>
      </c>
      <c r="K187" s="493">
        <f>IF(J187="Successful",TEXT(TODAY(),"YYYY-MM-DD")&amp;" Auto","—")</f>
        <v/>
      </c>
      <c r="L187" s="494" t="n"/>
    </row>
    <row r="188" ht="15" customHeight="1" s="341">
      <c r="A188" s="495" t="n"/>
      <c r="B188" s="382">
        <f>IF(A188="","",IFERROR(VLOOKUP(A188,DB_Customers!$A:$D,4,0),"❌ Account Not Found"))</f>
        <v/>
      </c>
      <c r="C188" s="496">
        <f>IF(A188="","",IFERROR(VLOOKUP(A188,DB_Customers!$A:$N,14,0),""))</f>
        <v/>
      </c>
      <c r="D188" s="497">
        <f>IF(A188="","",TODAY())</f>
        <v/>
      </c>
      <c r="E188" s="510" t="n"/>
      <c r="F188" s="382" t="n"/>
      <c r="G188" s="512">
        <f>IF(OR(A188="",E188=""),"",IF(C188="","",C188-E188))</f>
        <v/>
      </c>
      <c r="H188" s="384" t="inlineStr">
        <is>
          <t>Agent 05</t>
        </is>
      </c>
      <c r="I188" s="491" t="n"/>
      <c r="J188" s="499">
        <f>IF(AND(A188&lt;&gt;"",E188&lt;&gt;""),IF(I188="","⚠️ Enter Code",IF(IFERROR(VLOOKUP(H188,DB_Agents!$B:$I,8,0),"")=I188,IF(C188&gt;=E188,"Successful","Unsuccessful"),"🔒 BLOCKED — Wrong Code")),"—")</f>
        <v/>
      </c>
      <c r="K188" s="500">
        <f>IF(J188="Successful",TEXT(TODAY(),"YYYY-MM-DD")&amp;" Auto","—")</f>
        <v/>
      </c>
      <c r="L188" s="501" t="n"/>
    </row>
    <row r="189" ht="15" customHeight="1" s="341">
      <c r="A189" s="486" t="n"/>
      <c r="B189" s="378">
        <f>IF(A189="","",IFERROR(VLOOKUP(A189,DB_Customers!$A:$D,4,0),"❌ Account Not Found"))</f>
        <v/>
      </c>
      <c r="C189" s="487">
        <f>IF(A189="","",IFERROR(VLOOKUP(A189,DB_Customers!$A:$N,14,0),""))</f>
        <v/>
      </c>
      <c r="D189" s="488">
        <f>IF(A189="","",TODAY())</f>
        <v/>
      </c>
      <c r="E189" s="510" t="n"/>
      <c r="F189" s="378" t="n"/>
      <c r="G189" s="511">
        <f>IF(OR(A189="",E189=""),"",IF(C189="","",C189-E189))</f>
        <v/>
      </c>
      <c r="H189" s="380" t="inlineStr">
        <is>
          <t>Agent 05</t>
        </is>
      </c>
      <c r="I189" s="491" t="n"/>
      <c r="J189" s="492">
        <f>IF(AND(A189&lt;&gt;"",E189&lt;&gt;""),IF(I189="","⚠️ Enter Code",IF(IFERROR(VLOOKUP(H189,DB_Agents!$B:$I,8,0),"")=I189,IF(C189&gt;=E189,"Successful","Unsuccessful"),"🔒 BLOCKED — Wrong Code")),"—")</f>
        <v/>
      </c>
      <c r="K189" s="493">
        <f>IF(J189="Successful",TEXT(TODAY(),"YYYY-MM-DD")&amp;" Auto","—")</f>
        <v/>
      </c>
      <c r="L189" s="494" t="n"/>
    </row>
    <row r="190" ht="15" customHeight="1" s="341">
      <c r="A190" s="495" t="n"/>
      <c r="B190" s="382">
        <f>IF(A190="","",IFERROR(VLOOKUP(A190,DB_Customers!$A:$D,4,0),"❌ Account Not Found"))</f>
        <v/>
      </c>
      <c r="C190" s="496">
        <f>IF(A190="","",IFERROR(VLOOKUP(A190,DB_Customers!$A:$N,14,0),""))</f>
        <v/>
      </c>
      <c r="D190" s="497">
        <f>IF(A190="","",TODAY())</f>
        <v/>
      </c>
      <c r="E190" s="510" t="n"/>
      <c r="F190" s="382" t="n"/>
      <c r="G190" s="512">
        <f>IF(OR(A190="",E190=""),"",IF(C190="","",C190-E190))</f>
        <v/>
      </c>
      <c r="H190" s="384" t="inlineStr">
        <is>
          <t>Agent 05</t>
        </is>
      </c>
      <c r="I190" s="491" t="n"/>
      <c r="J190" s="499">
        <f>IF(AND(A190&lt;&gt;"",E190&lt;&gt;""),IF(I190="","⚠️ Enter Code",IF(IFERROR(VLOOKUP(H190,DB_Agents!$B:$I,8,0),"")=I190,IF(C190&gt;=E190,"Successful","Unsuccessful"),"🔒 BLOCKED — Wrong Code")),"—")</f>
        <v/>
      </c>
      <c r="K190" s="500">
        <f>IF(J190="Successful",TEXT(TODAY(),"YYYY-MM-DD")&amp;" Auto","—")</f>
        <v/>
      </c>
      <c r="L190" s="501" t="n"/>
    </row>
    <row r="191" ht="15" customHeight="1" s="341">
      <c r="A191" s="486" t="n"/>
      <c r="B191" s="378">
        <f>IF(A191="","",IFERROR(VLOOKUP(A191,DB_Customers!$A:$D,4,0),"❌ Account Not Found"))</f>
        <v/>
      </c>
      <c r="C191" s="487">
        <f>IF(A191="","",IFERROR(VLOOKUP(A191,DB_Customers!$A:$N,14,0),""))</f>
        <v/>
      </c>
      <c r="D191" s="488">
        <f>IF(A191="","",TODAY())</f>
        <v/>
      </c>
      <c r="E191" s="510" t="n"/>
      <c r="F191" s="378" t="n"/>
      <c r="G191" s="511">
        <f>IF(OR(A191="",E191=""),"",IF(C191="","",C191-E191))</f>
        <v/>
      </c>
      <c r="H191" s="380" t="inlineStr">
        <is>
          <t>Agent 05</t>
        </is>
      </c>
      <c r="I191" s="491" t="n"/>
      <c r="J191" s="492">
        <f>IF(AND(A191&lt;&gt;"",E191&lt;&gt;""),IF(I191="","⚠️ Enter Code",IF(IFERROR(VLOOKUP(H191,DB_Agents!$B:$I,8,0),"")=I191,IF(C191&gt;=E191,"Successful","Unsuccessful"),"🔒 BLOCKED — Wrong Code")),"—")</f>
        <v/>
      </c>
      <c r="K191" s="493">
        <f>IF(J191="Successful",TEXT(TODAY(),"YYYY-MM-DD")&amp;" Auto","—")</f>
        <v/>
      </c>
      <c r="L191" s="494" t="n"/>
    </row>
    <row r="192" ht="15" customHeight="1" s="341">
      <c r="A192" s="495" t="n"/>
      <c r="B192" s="382">
        <f>IF(A192="","",IFERROR(VLOOKUP(A192,DB_Customers!$A:$D,4,0),"❌ Account Not Found"))</f>
        <v/>
      </c>
      <c r="C192" s="496">
        <f>IF(A192="","",IFERROR(VLOOKUP(A192,DB_Customers!$A:$N,14,0),""))</f>
        <v/>
      </c>
      <c r="D192" s="497">
        <f>IF(A192="","",TODAY())</f>
        <v/>
      </c>
      <c r="E192" s="510" t="n"/>
      <c r="F192" s="382" t="n"/>
      <c r="G192" s="512">
        <f>IF(OR(A192="",E192=""),"",IF(C192="","",C192-E192))</f>
        <v/>
      </c>
      <c r="H192" s="384" t="inlineStr">
        <is>
          <t>Agent 05</t>
        </is>
      </c>
      <c r="I192" s="491" t="n"/>
      <c r="J192" s="499">
        <f>IF(AND(A192&lt;&gt;"",E192&lt;&gt;""),IF(I192="","⚠️ Enter Code",IF(IFERROR(VLOOKUP(H192,DB_Agents!$B:$I,8,0),"")=I192,IF(C192&gt;=E192,"Successful","Unsuccessful"),"🔒 BLOCKED — Wrong Code")),"—")</f>
        <v/>
      </c>
      <c r="K192" s="500">
        <f>IF(J192="Successful",TEXT(TODAY(),"YYYY-MM-DD")&amp;" Auto","—")</f>
        <v/>
      </c>
      <c r="L192" s="501" t="n"/>
    </row>
    <row r="193" ht="15" customHeight="1" s="341">
      <c r="A193" s="486" t="n"/>
      <c r="B193" s="378">
        <f>IF(A193="","",IFERROR(VLOOKUP(A193,DB_Customers!$A:$D,4,0),"❌ Account Not Found"))</f>
        <v/>
      </c>
      <c r="C193" s="487">
        <f>IF(A193="","",IFERROR(VLOOKUP(A193,DB_Customers!$A:$N,14,0),""))</f>
        <v/>
      </c>
      <c r="D193" s="488">
        <f>IF(A193="","",TODAY())</f>
        <v/>
      </c>
      <c r="E193" s="510" t="n"/>
      <c r="F193" s="378" t="n"/>
      <c r="G193" s="511">
        <f>IF(OR(A193="",E193=""),"",IF(C193="","",C193-E193))</f>
        <v/>
      </c>
      <c r="H193" s="380" t="inlineStr">
        <is>
          <t>Agent 05</t>
        </is>
      </c>
      <c r="I193" s="491" t="n"/>
      <c r="J193" s="492">
        <f>IF(AND(A193&lt;&gt;"",E193&lt;&gt;""),IF(I193="","⚠️ Enter Code",IF(IFERROR(VLOOKUP(H193,DB_Agents!$B:$I,8,0),"")=I193,IF(C193&gt;=E193,"Successful","Unsuccessful"),"🔒 BLOCKED — Wrong Code")),"—")</f>
        <v/>
      </c>
      <c r="K193" s="493">
        <f>IF(J193="Successful",TEXT(TODAY(),"YYYY-MM-DD")&amp;" Auto","—")</f>
        <v/>
      </c>
      <c r="L193" s="494" t="n"/>
    </row>
    <row r="194" ht="15" customHeight="1" s="341">
      <c r="A194" s="495" t="n"/>
      <c r="B194" s="382">
        <f>IF(A194="","",IFERROR(VLOOKUP(A194,DB_Customers!$A:$D,4,0),"❌ Account Not Found"))</f>
        <v/>
      </c>
      <c r="C194" s="496">
        <f>IF(A194="","",IFERROR(VLOOKUP(A194,DB_Customers!$A:$N,14,0),""))</f>
        <v/>
      </c>
      <c r="D194" s="497">
        <f>IF(A194="","",TODAY())</f>
        <v/>
      </c>
      <c r="E194" s="510" t="n"/>
      <c r="F194" s="382" t="n"/>
      <c r="G194" s="512">
        <f>IF(OR(A194="",E194=""),"",IF(C194="","",C194-E194))</f>
        <v/>
      </c>
      <c r="H194" s="384" t="inlineStr">
        <is>
          <t>Agent 05</t>
        </is>
      </c>
      <c r="I194" s="491" t="n"/>
      <c r="J194" s="499">
        <f>IF(AND(A194&lt;&gt;"",E194&lt;&gt;""),IF(I194="","⚠️ Enter Code",IF(IFERROR(VLOOKUP(H194,DB_Agents!$B:$I,8,0),"")=I194,IF(C194&gt;=E194,"Successful","Unsuccessful"),"🔒 BLOCKED — Wrong Code")),"—")</f>
        <v/>
      </c>
      <c r="K194" s="500">
        <f>IF(J194="Successful",TEXT(TODAY(),"YYYY-MM-DD")&amp;" Auto","—")</f>
        <v/>
      </c>
      <c r="L194" s="501" t="n"/>
    </row>
    <row r="195" ht="15" customHeight="1" s="341">
      <c r="A195" s="486" t="n"/>
      <c r="B195" s="378">
        <f>IF(A195="","",IFERROR(VLOOKUP(A195,DB_Customers!$A:$D,4,0),"❌ Account Not Found"))</f>
        <v/>
      </c>
      <c r="C195" s="487">
        <f>IF(A195="","",IFERROR(VLOOKUP(A195,DB_Customers!$A:$N,14,0),""))</f>
        <v/>
      </c>
      <c r="D195" s="488">
        <f>IF(A195="","",TODAY())</f>
        <v/>
      </c>
      <c r="E195" s="510" t="n"/>
      <c r="F195" s="378" t="n"/>
      <c r="G195" s="511">
        <f>IF(OR(A195="",E195=""),"",IF(C195="","",C195-E195))</f>
        <v/>
      </c>
      <c r="H195" s="380" t="inlineStr">
        <is>
          <t>Agent 05</t>
        </is>
      </c>
      <c r="I195" s="491" t="n"/>
      <c r="J195" s="492">
        <f>IF(AND(A195&lt;&gt;"",E195&lt;&gt;""),IF(I195="","⚠️ Enter Code",IF(IFERROR(VLOOKUP(H195,DB_Agents!$B:$I,8,0),"")=I195,IF(C195&gt;=E195,"Successful","Unsuccessful"),"🔒 BLOCKED — Wrong Code")),"—")</f>
        <v/>
      </c>
      <c r="K195" s="493">
        <f>IF(J195="Successful",TEXT(TODAY(),"YYYY-MM-DD")&amp;" Auto","—")</f>
        <v/>
      </c>
      <c r="L195" s="494" t="n"/>
    </row>
    <row r="196" ht="15" customHeight="1" s="341">
      <c r="A196" s="495" t="n"/>
      <c r="B196" s="382">
        <f>IF(A196="","",IFERROR(VLOOKUP(A196,DB_Customers!$A:$D,4,0),"❌ Account Not Found"))</f>
        <v/>
      </c>
      <c r="C196" s="496">
        <f>IF(A196="","",IFERROR(VLOOKUP(A196,DB_Customers!$A:$N,14,0),""))</f>
        <v/>
      </c>
      <c r="D196" s="497">
        <f>IF(A196="","",TODAY())</f>
        <v/>
      </c>
      <c r="E196" s="510" t="n"/>
      <c r="F196" s="382" t="n"/>
      <c r="G196" s="512">
        <f>IF(OR(A196="",E196=""),"",IF(C196="","",C196-E196))</f>
        <v/>
      </c>
      <c r="H196" s="384" t="inlineStr">
        <is>
          <t>Agent 05</t>
        </is>
      </c>
      <c r="I196" s="491" t="n"/>
      <c r="J196" s="499">
        <f>IF(AND(A196&lt;&gt;"",E196&lt;&gt;""),IF(I196="","⚠️ Enter Code",IF(IFERROR(VLOOKUP(H196,DB_Agents!$B:$I,8,0),"")=I196,IF(C196&gt;=E196,"Successful","Unsuccessful"),"🔒 BLOCKED — Wrong Code")),"—")</f>
        <v/>
      </c>
      <c r="K196" s="500">
        <f>IF(J196="Successful",TEXT(TODAY(),"YYYY-MM-DD")&amp;" Auto","—")</f>
        <v/>
      </c>
      <c r="L196" s="501" t="n"/>
    </row>
    <row r="197" ht="15" customHeight="1" s="341">
      <c r="A197" s="486" t="n"/>
      <c r="B197" s="378">
        <f>IF(A197="","",IFERROR(VLOOKUP(A197,DB_Customers!$A:$D,4,0),"❌ Account Not Found"))</f>
        <v/>
      </c>
      <c r="C197" s="487">
        <f>IF(A197="","",IFERROR(VLOOKUP(A197,DB_Customers!$A:$N,14,0),""))</f>
        <v/>
      </c>
      <c r="D197" s="488">
        <f>IF(A197="","",TODAY())</f>
        <v/>
      </c>
      <c r="E197" s="510" t="n"/>
      <c r="F197" s="378" t="n"/>
      <c r="G197" s="511">
        <f>IF(OR(A197="",E197=""),"",IF(C197="","",C197-E197))</f>
        <v/>
      </c>
      <c r="H197" s="380" t="inlineStr">
        <is>
          <t>Agent 05</t>
        </is>
      </c>
      <c r="I197" s="491" t="n"/>
      <c r="J197" s="492">
        <f>IF(AND(A197&lt;&gt;"",E197&lt;&gt;""),IF(I197="","⚠️ Enter Code",IF(IFERROR(VLOOKUP(H197,DB_Agents!$B:$I,8,0),"")=I197,IF(C197&gt;=E197,"Successful","Unsuccessful"),"🔒 BLOCKED — Wrong Code")),"—")</f>
        <v/>
      </c>
      <c r="K197" s="493">
        <f>IF(J197="Successful",TEXT(TODAY(),"YYYY-MM-DD")&amp;" Auto","—")</f>
        <v/>
      </c>
      <c r="L197" s="494" t="n"/>
    </row>
    <row r="198" ht="15" customHeight="1" s="341">
      <c r="A198" s="495" t="n"/>
      <c r="B198" s="382">
        <f>IF(A198="","",IFERROR(VLOOKUP(A198,DB_Customers!$A:$D,4,0),"❌ Account Not Found"))</f>
        <v/>
      </c>
      <c r="C198" s="496">
        <f>IF(A198="","",IFERROR(VLOOKUP(A198,DB_Customers!$A:$N,14,0),""))</f>
        <v/>
      </c>
      <c r="D198" s="497">
        <f>IF(A198="","",TODAY())</f>
        <v/>
      </c>
      <c r="E198" s="510" t="n"/>
      <c r="F198" s="382" t="n"/>
      <c r="G198" s="512">
        <f>IF(OR(A198="",E198=""),"",IF(C198="","",C198-E198))</f>
        <v/>
      </c>
      <c r="H198" s="384" t="inlineStr">
        <is>
          <t>Agent 05</t>
        </is>
      </c>
      <c r="I198" s="491" t="n"/>
      <c r="J198" s="499">
        <f>IF(AND(A198&lt;&gt;"",E198&lt;&gt;""),IF(I198="","⚠️ Enter Code",IF(IFERROR(VLOOKUP(H198,DB_Agents!$B:$I,8,0),"")=I198,IF(C198&gt;=E198,"Successful","Unsuccessful"),"🔒 BLOCKED — Wrong Code")),"—")</f>
        <v/>
      </c>
      <c r="K198" s="500">
        <f>IF(J198="Successful",TEXT(TODAY(),"YYYY-MM-DD")&amp;" Auto","—")</f>
        <v/>
      </c>
      <c r="L198" s="501" t="n"/>
    </row>
    <row r="199" ht="15" customHeight="1" s="341">
      <c r="A199" s="486" t="n"/>
      <c r="B199" s="378">
        <f>IF(A199="","",IFERROR(VLOOKUP(A199,DB_Customers!$A:$D,4,0),"❌ Account Not Found"))</f>
        <v/>
      </c>
      <c r="C199" s="487">
        <f>IF(A199="","",IFERROR(VLOOKUP(A199,DB_Customers!$A:$N,14,0),""))</f>
        <v/>
      </c>
      <c r="D199" s="488">
        <f>IF(A199="","",TODAY())</f>
        <v/>
      </c>
      <c r="E199" s="510" t="n"/>
      <c r="F199" s="378" t="n"/>
      <c r="G199" s="511">
        <f>IF(OR(A199="",E199=""),"",IF(C199="","",C199-E199))</f>
        <v/>
      </c>
      <c r="H199" s="380" t="inlineStr">
        <is>
          <t>Agent 05</t>
        </is>
      </c>
      <c r="I199" s="491" t="n"/>
      <c r="J199" s="492">
        <f>IF(AND(A199&lt;&gt;"",E199&lt;&gt;""),IF(I199="","⚠️ Enter Code",IF(IFERROR(VLOOKUP(H199,DB_Agents!$B:$I,8,0),"")=I199,IF(C199&gt;=E199,"Successful","Unsuccessful"),"🔒 BLOCKED — Wrong Code")),"—")</f>
        <v/>
      </c>
      <c r="K199" s="493">
        <f>IF(J199="Successful",TEXT(TODAY(),"YYYY-MM-DD")&amp;" Auto","—")</f>
        <v/>
      </c>
      <c r="L199" s="494" t="n"/>
    </row>
    <row r="200" ht="15" customHeight="1" s="341">
      <c r="A200" s="495" t="n"/>
      <c r="B200" s="382">
        <f>IF(A200="","",IFERROR(VLOOKUP(A200,DB_Customers!$A:$D,4,0),"❌ Account Not Found"))</f>
        <v/>
      </c>
      <c r="C200" s="496">
        <f>IF(A200="","",IFERROR(VLOOKUP(A200,DB_Customers!$A:$N,14,0),""))</f>
        <v/>
      </c>
      <c r="D200" s="497">
        <f>IF(A200="","",TODAY())</f>
        <v/>
      </c>
      <c r="E200" s="510" t="n"/>
      <c r="F200" s="382" t="n"/>
      <c r="G200" s="512">
        <f>IF(OR(A200="",E200=""),"",IF(C200="","",C200-E200))</f>
        <v/>
      </c>
      <c r="H200" s="384" t="inlineStr">
        <is>
          <t>Agent 05</t>
        </is>
      </c>
      <c r="I200" s="491" t="n"/>
      <c r="J200" s="499">
        <f>IF(AND(A200&lt;&gt;"",E200&lt;&gt;""),IF(I200="","⚠️ Enter Code",IF(IFERROR(VLOOKUP(H200,DB_Agents!$B:$I,8,0),"")=I200,IF(C200&gt;=E200,"Successful","Unsuccessful"),"🔒 BLOCKED — Wrong Code")),"—")</f>
        <v/>
      </c>
      <c r="K200" s="500">
        <f>IF(J200="Successful",TEXT(TODAY(),"YYYY-MM-DD")&amp;" Auto","—")</f>
        <v/>
      </c>
      <c r="L200" s="501" t="n"/>
    </row>
    <row r="201" ht="15" customHeight="1" s="341">
      <c r="A201" s="486" t="n"/>
      <c r="B201" s="378">
        <f>IF(A201="","",IFERROR(VLOOKUP(A201,DB_Customers!$A:$D,4,0),"❌ Account Not Found"))</f>
        <v/>
      </c>
      <c r="C201" s="487">
        <f>IF(A201="","",IFERROR(VLOOKUP(A201,DB_Customers!$A:$N,14,0),""))</f>
        <v/>
      </c>
      <c r="D201" s="488">
        <f>IF(A201="","",TODAY())</f>
        <v/>
      </c>
      <c r="E201" s="510" t="n"/>
      <c r="F201" s="378" t="n"/>
      <c r="G201" s="511">
        <f>IF(OR(A201="",E201=""),"",IF(C201="","",C201-E201))</f>
        <v/>
      </c>
      <c r="H201" s="380" t="inlineStr">
        <is>
          <t>Agent 05</t>
        </is>
      </c>
      <c r="I201" s="491" t="n"/>
      <c r="J201" s="492">
        <f>IF(AND(A201&lt;&gt;"",E201&lt;&gt;""),IF(I201="","⚠️ Enter Code",IF(IFERROR(VLOOKUP(H201,DB_Agents!$B:$I,8,0),"")=I201,IF(C201&gt;=E201,"Successful","Unsuccessful"),"🔒 BLOCKED — Wrong Code")),"—")</f>
        <v/>
      </c>
      <c r="K201" s="493">
        <f>IF(J201="Successful",TEXT(TODAY(),"YYYY-MM-DD")&amp;" Auto","—")</f>
        <v/>
      </c>
      <c r="L201" s="494" t="n"/>
    </row>
    <row r="202" ht="15" customHeight="1" s="341">
      <c r="A202" s="495" t="n"/>
      <c r="B202" s="382">
        <f>IF(A202="","",IFERROR(VLOOKUP(A202,DB_Customers!$A:$D,4,0),"❌ Account Not Found"))</f>
        <v/>
      </c>
      <c r="C202" s="496">
        <f>IF(A202="","",IFERROR(VLOOKUP(A202,DB_Customers!$A:$N,14,0),""))</f>
        <v/>
      </c>
      <c r="D202" s="497">
        <f>IF(A202="","",TODAY())</f>
        <v/>
      </c>
      <c r="E202" s="510" t="n"/>
      <c r="F202" s="382" t="n"/>
      <c r="G202" s="512">
        <f>IF(OR(A202="",E202=""),"",IF(C202="","",C202-E202))</f>
        <v/>
      </c>
      <c r="H202" s="384" t="inlineStr">
        <is>
          <t>Agent 05</t>
        </is>
      </c>
      <c r="I202" s="491" t="n"/>
      <c r="J202" s="499">
        <f>IF(AND(A202&lt;&gt;"",E202&lt;&gt;""),IF(I202="","⚠️ Enter Code",IF(IFERROR(VLOOKUP(H202,DB_Agents!$B:$I,8,0),"")=I202,IF(C202&gt;=E202,"Successful","Unsuccessful"),"🔒 BLOCKED — Wrong Code")),"—")</f>
        <v/>
      </c>
      <c r="K202" s="500">
        <f>IF(J202="Successful",TEXT(TODAY(),"YYYY-MM-DD")&amp;" Auto","—")</f>
        <v/>
      </c>
      <c r="L202" s="501" t="n"/>
    </row>
    <row r="203" ht="15" customHeight="1" s="341">
      <c r="A203" s="486" t="n"/>
      <c r="B203" s="378">
        <f>IF(A203="","",IFERROR(VLOOKUP(A203,DB_Customers!$A:$D,4,0),"❌ Account Not Found"))</f>
        <v/>
      </c>
      <c r="C203" s="487">
        <f>IF(A203="","",IFERROR(VLOOKUP(A203,DB_Customers!$A:$N,14,0),""))</f>
        <v/>
      </c>
      <c r="D203" s="488">
        <f>IF(A203="","",TODAY())</f>
        <v/>
      </c>
      <c r="E203" s="510" t="n"/>
      <c r="F203" s="378" t="n"/>
      <c r="G203" s="511">
        <f>IF(OR(A203="",E203=""),"",IF(C203="","",C203-E203))</f>
        <v/>
      </c>
      <c r="H203" s="380" t="inlineStr">
        <is>
          <t>Agent 05</t>
        </is>
      </c>
      <c r="I203" s="491" t="n"/>
      <c r="J203" s="492">
        <f>IF(AND(A203&lt;&gt;"",E203&lt;&gt;""),IF(I203="","⚠️ Enter Code",IF(IFERROR(VLOOKUP(H203,DB_Agents!$B:$I,8,0),"")=I203,IF(C203&gt;=E203,"Successful","Unsuccessful"),"🔒 BLOCKED — Wrong Code")),"—")</f>
        <v/>
      </c>
      <c r="K203" s="493">
        <f>IF(J203="Successful",TEXT(TODAY(),"YYYY-MM-DD")&amp;" Auto","—")</f>
        <v/>
      </c>
      <c r="L203" s="494" t="n"/>
    </row>
    <row r="204" ht="15" customHeight="1" s="341">
      <c r="A204" s="495" t="n"/>
      <c r="B204" s="382">
        <f>IF(A204="","",IFERROR(VLOOKUP(A204,DB_Customers!$A:$D,4,0),"❌ Account Not Found"))</f>
        <v/>
      </c>
      <c r="C204" s="496">
        <f>IF(A204="","",IFERROR(VLOOKUP(A204,DB_Customers!$A:$N,14,0),""))</f>
        <v/>
      </c>
      <c r="D204" s="497">
        <f>IF(A204="","",TODAY())</f>
        <v/>
      </c>
      <c r="E204" s="510" t="n"/>
      <c r="F204" s="382" t="n"/>
      <c r="G204" s="512">
        <f>IF(OR(A204="",E204=""),"",IF(C204="","",C204-E204))</f>
        <v/>
      </c>
      <c r="H204" s="384" t="inlineStr">
        <is>
          <t>Agent 05</t>
        </is>
      </c>
      <c r="I204" s="491" t="n"/>
      <c r="J204" s="499">
        <f>IF(AND(A204&lt;&gt;"",E204&lt;&gt;""),IF(I204="","⚠️ Enter Code",IF(IFERROR(VLOOKUP(H204,DB_Agents!$B:$I,8,0),"")=I204,IF(C204&gt;=E204,"Successful","Unsuccessful"),"🔒 BLOCKED — Wrong Code")),"—")</f>
        <v/>
      </c>
      <c r="K204" s="500">
        <f>IF(J204="Successful",TEXT(TODAY(),"YYYY-MM-DD")&amp;" Auto","—")</f>
        <v/>
      </c>
      <c r="L204" s="501" t="n"/>
    </row>
    <row r="205" ht="15" customHeight="1" s="341">
      <c r="A205" s="486" t="n"/>
      <c r="B205" s="378">
        <f>IF(A205="","",IFERROR(VLOOKUP(A205,DB_Customers!$A:$D,4,0),"❌ Account Not Found"))</f>
        <v/>
      </c>
      <c r="C205" s="487">
        <f>IF(A205="","",IFERROR(VLOOKUP(A205,DB_Customers!$A:$N,14,0),""))</f>
        <v/>
      </c>
      <c r="D205" s="488">
        <f>IF(A205="","",TODAY())</f>
        <v/>
      </c>
      <c r="E205" s="510" t="n"/>
      <c r="F205" s="378" t="n"/>
      <c r="G205" s="511">
        <f>IF(OR(A205="",E205=""),"",IF(C205="","",C205-E205))</f>
        <v/>
      </c>
      <c r="H205" s="380" t="inlineStr">
        <is>
          <t>Agent 05</t>
        </is>
      </c>
      <c r="I205" s="491" t="n"/>
      <c r="J205" s="492">
        <f>IF(AND(A205&lt;&gt;"",E205&lt;&gt;""),IF(I205="","⚠️ Enter Code",IF(IFERROR(VLOOKUP(H205,DB_Agents!$B:$I,8,0),"")=I205,IF(C205&gt;=E205,"Successful","Unsuccessful"),"🔒 BLOCKED — Wrong Code")),"—")</f>
        <v/>
      </c>
      <c r="K205" s="493">
        <f>IF(J205="Successful",TEXT(TODAY(),"YYYY-MM-DD")&amp;" Auto","—")</f>
        <v/>
      </c>
      <c r="L205" s="494" t="n"/>
    </row>
    <row r="206" ht="15" customHeight="1" s="341">
      <c r="A206" s="495" t="n"/>
      <c r="B206" s="382">
        <f>IF(A206="","",IFERROR(VLOOKUP(A206,DB_Customers!$A:$D,4,0),"❌ Account Not Found"))</f>
        <v/>
      </c>
      <c r="C206" s="496">
        <f>IF(A206="","",IFERROR(VLOOKUP(A206,DB_Customers!$A:$N,14,0),""))</f>
        <v/>
      </c>
      <c r="D206" s="497">
        <f>IF(A206="","",TODAY())</f>
        <v/>
      </c>
      <c r="E206" s="510" t="n"/>
      <c r="F206" s="382" t="n"/>
      <c r="G206" s="512">
        <f>IF(OR(A206="",E206=""),"",IF(C206="","",C206-E206))</f>
        <v/>
      </c>
      <c r="H206" s="384" t="inlineStr">
        <is>
          <t>Agent 05</t>
        </is>
      </c>
      <c r="I206" s="491" t="n"/>
      <c r="J206" s="499">
        <f>IF(AND(A206&lt;&gt;"",E206&lt;&gt;""),IF(I206="","⚠️ Enter Code",IF(IFERROR(VLOOKUP(H206,DB_Agents!$B:$I,8,0),"")=I206,IF(C206&gt;=E206,"Successful","Unsuccessful"),"🔒 BLOCKED — Wrong Code")),"—")</f>
        <v/>
      </c>
      <c r="K206" s="500">
        <f>IF(J206="Successful",TEXT(TODAY(),"YYYY-MM-DD")&amp;" Auto","—")</f>
        <v/>
      </c>
      <c r="L206" s="501" t="n"/>
    </row>
    <row r="207" ht="15" customHeight="1" s="341">
      <c r="A207" s="486" t="n"/>
      <c r="B207" s="378">
        <f>IF(A207="","",IFERROR(VLOOKUP(A207,DB_Customers!$A:$D,4,0),"❌ Account Not Found"))</f>
        <v/>
      </c>
      <c r="C207" s="487">
        <f>IF(A207="","",IFERROR(VLOOKUP(A207,DB_Customers!$A:$N,14,0),""))</f>
        <v/>
      </c>
      <c r="D207" s="488">
        <f>IF(A207="","",TODAY())</f>
        <v/>
      </c>
      <c r="E207" s="510" t="n"/>
      <c r="F207" s="378" t="n"/>
      <c r="G207" s="511">
        <f>IF(OR(A207="",E207=""),"",IF(C207="","",C207-E207))</f>
        <v/>
      </c>
      <c r="H207" s="380" t="inlineStr">
        <is>
          <t>Agent 05</t>
        </is>
      </c>
      <c r="I207" s="491" t="n"/>
      <c r="J207" s="492">
        <f>IF(AND(A207&lt;&gt;"",E207&lt;&gt;""),IF(I207="","⚠️ Enter Code",IF(IFERROR(VLOOKUP(H207,DB_Agents!$B:$I,8,0),"")=I207,IF(C207&gt;=E207,"Successful","Unsuccessful"),"🔒 BLOCKED — Wrong Code")),"—")</f>
        <v/>
      </c>
      <c r="K207" s="493">
        <f>IF(J207="Successful",TEXT(TODAY(),"YYYY-MM-DD")&amp;" Auto","—")</f>
        <v/>
      </c>
      <c r="L207" s="494" t="n"/>
    </row>
    <row r="208" ht="15" customHeight="1" s="341">
      <c r="A208" s="495" t="n"/>
      <c r="B208" s="382">
        <f>IF(A208="","",IFERROR(VLOOKUP(A208,DB_Customers!$A:$D,4,0),"❌ Account Not Found"))</f>
        <v/>
      </c>
      <c r="C208" s="496">
        <f>IF(A208="","",IFERROR(VLOOKUP(A208,DB_Customers!$A:$N,14,0),""))</f>
        <v/>
      </c>
      <c r="D208" s="497">
        <f>IF(A208="","",TODAY())</f>
        <v/>
      </c>
      <c r="E208" s="510" t="n"/>
      <c r="F208" s="382" t="n"/>
      <c r="G208" s="512">
        <f>IF(OR(A208="",E208=""),"",IF(C208="","",C208-E208))</f>
        <v/>
      </c>
      <c r="H208" s="384" t="inlineStr">
        <is>
          <t>Agent 05</t>
        </is>
      </c>
      <c r="I208" s="491" t="n"/>
      <c r="J208" s="499">
        <f>IF(AND(A208&lt;&gt;"",E208&lt;&gt;""),IF(I208="","⚠️ Enter Code",IF(IFERROR(VLOOKUP(H208,DB_Agents!$B:$I,8,0),"")=I208,IF(C208&gt;=E208,"Successful","Unsuccessful"),"🔒 BLOCKED — Wrong Code")),"—")</f>
        <v/>
      </c>
      <c r="K208" s="500">
        <f>IF(J208="Successful",TEXT(TODAY(),"YYYY-MM-DD")&amp;" Auto","—")</f>
        <v/>
      </c>
      <c r="L208" s="501" t="n"/>
    </row>
  </sheetData>
  <mergeCells count="8">
    <mergeCell ref="A1:M1"/>
    <mergeCell ref="A5:M5"/>
    <mergeCell ref="D4:F4"/>
    <mergeCell ref="D3:F3"/>
    <mergeCell ref="A3:C3"/>
    <mergeCell ref="A7:M7"/>
    <mergeCell ref="A4:C4"/>
    <mergeCell ref="A2:M2"/>
  </mergeCells>
  <conditionalFormatting sqref="I9:I208">
    <cfRule type="cellIs" rank="0" priority="2" equalAverage="0" operator="equal" aboveAverage="0" dxfId="0" text="" percent="0" bottom="0">
      <formula>"Successful"</formula>
    </cfRule>
    <cfRule type="cellIs" rank="0" priority="3" equalAverage="0" operator="equal" aboveAverage="0" dxfId="1" text="" percent="0" bottom="0">
      <formula>"Unsuccessful"</formula>
    </cfRule>
  </conditionalFormatting>
  <conditionalFormatting sqref="A9:K208">
    <cfRule type="expression" rank="0" priority="4" equalAverage="0" aboveAverage="0" dxfId="13" text="" percent="0" bottom="0">
      <formula>$I9="Unsuccessful"</formula>
    </cfRule>
  </conditionalFormatting>
  <conditionalFormatting sqref="G9:G208">
    <cfRule type="cellIs" rank="0" priority="5" equalAverage="0" operator="lessThan" aboveAverage="0" dxfId="1" text="" percent="0" bottom="0">
      <formula>0</formula>
    </cfRule>
  </conditionalFormatting>
  <dataValidations count="1">
    <dataValidation sqref="H9:H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0.xml><?xml version="1.0" encoding="utf-8"?>
<worksheet xmlns="http://schemas.openxmlformats.org/spreadsheetml/2006/main">
  <sheetPr filterMode="0">
    <tabColor rgb="FFE67E22"/>
    <outlinePr summaryBelow="1" summaryRight="1"/>
    <pageSetUpPr fitToPage="0"/>
  </sheetPr>
  <dimension ref="A1:N213"/>
  <sheetViews>
    <sheetView showFormulas="0" showGridLines="1" showRowColHeaders="1" showZeros="1" rightToLeft="0" tabSelected="0" showOutlineSymbols="1" defaultGridColor="1" view="normal" topLeftCell="A1" colorId="64" zoomScale="100" zoomScaleNormal="100" zoomScalePageLayoutView="100" workbookViewId="0">
      <pane xSplit="0" ySplit="13" topLeftCell="A1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22" customWidth="1" style="340" min="1" max="1"/>
    <col width="16" customWidth="1" style="340" min="2" max="2"/>
    <col width="22" customWidth="1" style="340" min="3" max="3"/>
    <col width="13" customWidth="1" style="340" min="4" max="4"/>
    <col width="14" customWidth="1" style="340" min="5" max="5"/>
    <col width="22" customWidth="1" style="340" min="6" max="6"/>
    <col width="9" customWidth="1" style="340" min="7" max="7"/>
    <col width="8" customWidth="1" style="340" min="8" max="8"/>
    <col width="16" customWidth="1" style="340" min="9" max="9"/>
    <col width="15" customWidth="1" style="340" min="10" max="10"/>
    <col width="14" customWidth="1" style="340" min="11" max="11"/>
    <col width="12" customWidth="1" style="340" min="12" max="12"/>
    <col width="14" customWidth="1" style="340" min="13" max="13"/>
  </cols>
  <sheetData>
    <row r="1" ht="31.5" customHeight="1" s="341">
      <c r="A1" s="513" t="inlineStr">
        <is>
          <t>🏦  SAMICIOUS MICROFINANCE — AGENT05 LOAN REQUESTS</t>
        </is>
      </c>
    </row>
    <row r="2" ht="19.5" customHeight="1" s="341">
      <c r="A2" s="514" t="inlineStr">
        <is>
          <t>Total Repayable = Loan Amount + (Loan Amount × Rate% × Months) | Status: Pending → Approved when credited</t>
        </is>
      </c>
    </row>
    <row r="4" ht="21.75" customHeight="1" s="341">
      <c r="A4" s="515" t="inlineStr">
        <is>
          <t>🔢  INSTANT LOAN CALCULATOR</t>
        </is>
      </c>
    </row>
    <row r="5" ht="19.5" customHeight="1" s="341">
      <c r="A5" s="516" t="inlineStr">
        <is>
          <t>Loan Amount (GHC):</t>
        </is>
      </c>
      <c r="B5" s="517" t="n"/>
      <c r="C5" s="453" t="n"/>
      <c r="D5" s="518" t="n"/>
    </row>
    <row r="6" ht="19.5" customHeight="1" s="341">
      <c r="A6" s="516" t="inlineStr">
        <is>
          <t>Duration (Months):</t>
        </is>
      </c>
      <c r="B6" s="517" t="n"/>
      <c r="C6" s="453" t="n"/>
      <c r="D6" s="518" t="n"/>
    </row>
    <row r="7" ht="19.5" customHeight="1" s="341">
      <c r="A7" s="519" t="inlineStr">
        <is>
          <t>Interest Rate (%/month):</t>
        </is>
      </c>
      <c r="B7" s="520" t="n">
        <v>2.5</v>
      </c>
      <c r="C7" s="393" t="n"/>
      <c r="D7" s="521" t="n"/>
    </row>
    <row r="8" ht="19.5" customHeight="1" s="341">
      <c r="A8" s="519" t="inlineStr">
        <is>
          <t>━ Total Interest:</t>
        </is>
      </c>
      <c r="B8" s="522">
        <f>IF(B5="","",B5*B7/100*B6)</f>
        <v/>
      </c>
      <c r="C8" s="393" t="n"/>
      <c r="D8" s="521" t="n"/>
    </row>
    <row r="9" ht="19.5" customHeight="1" s="341">
      <c r="A9" s="519" t="n"/>
      <c r="B9" s="523">
        <f>IF(B5="","",B5+(B5*B7/100*B6))</f>
        <v/>
      </c>
      <c r="C9" s="393" t="n"/>
      <c r="D9" s="521" t="n"/>
    </row>
    <row r="10" ht="19.5" customHeight="1" s="341">
      <c r="A10" s="519" t="n"/>
      <c r="B10" s="523">
        <f>IFERROR(B9/B6,"")</f>
        <v/>
      </c>
      <c r="C10" s="393" t="n"/>
      <c r="D10" s="521" t="n"/>
    </row>
    <row r="11" ht="7.5" customHeight="1" s="341"/>
    <row r="12" ht="21.75" customHeight="1" s="341">
      <c r="A12" s="524" t="n"/>
    </row>
    <row r="13" ht="19.5" customHeight="1" s="341">
      <c r="A13" s="525" t="n"/>
      <c r="B13" s="525" t="n"/>
      <c r="C13" s="525" t="n"/>
      <c r="D13" s="525" t="n"/>
      <c r="E13" s="525" t="n"/>
      <c r="F13" s="525" t="n"/>
      <c r="G13" s="525" t="n"/>
      <c r="H13" s="525" t="n"/>
      <c r="I13" s="525" t="n"/>
      <c r="J13" s="525" t="n"/>
      <c r="K13" s="525" t="n"/>
      <c r="L13" s="525" t="inlineStr">
        <is>
          <t>Agent</t>
        </is>
      </c>
      <c r="M13" s="485" t="n"/>
      <c r="N13" s="525" t="n"/>
    </row>
    <row r="14" ht="15" customHeight="1" s="341">
      <c r="A14" s="499">
        <f>IF(B14="","",IF(C14="❌ Account Not Found","INVALID","LN"&amp;TEXT(D14,"YYYYMMDD")&amp;TEXT(ROW()-13,"0000")))</f>
        <v/>
      </c>
      <c r="B14" s="495" t="n"/>
      <c r="C14" s="382">
        <f>IF(B14="","",IFERROR(VLOOKUP(B14,DB_Customers!$A:$D,4,0),"❌ Account Not Found"))</f>
        <v/>
      </c>
      <c r="D14" s="497">
        <f>IF(B14="","",TODAY())</f>
        <v/>
      </c>
      <c r="E14" s="526" t="n"/>
      <c r="F14" s="382" t="n"/>
      <c r="G14" s="527" t="n"/>
      <c r="H14" s="528" t="n"/>
      <c r="I14" s="529">
        <f>IF(E14="","",E14+(E14*H14/100*G14))</f>
        <v/>
      </c>
      <c r="J14" s="530">
        <f>IFERROR(I14/G14,"")</f>
        <v/>
      </c>
      <c r="K14" s="531">
        <f>IF(B14="","Pending",IF(M14="","⚠️ Enter Code",IF(IFERROR(VLOOKUP(L14,DB_Agents!$B:$I,8,0),"")=M14,"Pending","🔒 BLOCKED — Wrong Code")))</f>
        <v/>
      </c>
      <c r="L14" s="384" t="inlineStr">
        <is>
          <t>Agent 05</t>
        </is>
      </c>
      <c r="M14" s="491" t="n"/>
      <c r="N14" s="501" t="n"/>
    </row>
    <row r="15" ht="15" customHeight="1" s="341">
      <c r="A15" s="492">
        <f>IF(B15="","",IF(C15="❌ Account Not Found","INVALID","LN"&amp;TEXT(D15,"YYYYMMDD")&amp;TEXT(ROW()-13,"0000")))</f>
        <v/>
      </c>
      <c r="B15" s="486" t="n"/>
      <c r="C15" s="378">
        <f>IF(B15="","",IFERROR(VLOOKUP(B15,DB_Customers!$A:$D,4,0),"❌ Account Not Found"))</f>
        <v/>
      </c>
      <c r="D15" s="488">
        <f>IF(B15="","",TODAY())</f>
        <v/>
      </c>
      <c r="E15" s="526" t="n"/>
      <c r="F15" s="378" t="n"/>
      <c r="G15" s="532" t="n"/>
      <c r="H15" s="533" t="n"/>
      <c r="I15" s="529">
        <f>IF(E15="","",E15+(E15*H15/100*G15))</f>
        <v/>
      </c>
      <c r="J15" s="534">
        <f>IFERROR(I15/G15,"")</f>
        <v/>
      </c>
      <c r="K15" s="535">
        <f>IF(B15="","Pending",IF(M15="","⚠️ Enter Code",IF(IFERROR(VLOOKUP(L15,DB_Agents!$B:$I,8,0),"")=M15,"Pending","🔒 BLOCKED — Wrong Code")))</f>
        <v/>
      </c>
      <c r="L15" s="380" t="inlineStr">
        <is>
          <t>Agent 05</t>
        </is>
      </c>
      <c r="M15" s="491" t="n"/>
      <c r="N15" s="494" t="n"/>
    </row>
    <row r="16" ht="15" customHeight="1" s="341">
      <c r="A16" s="499">
        <f>IF(B16="","",IF(C16="❌ Account Not Found","INVALID","LN"&amp;TEXT(D16,"YYYYMMDD")&amp;TEXT(ROW()-13,"0000")))</f>
        <v/>
      </c>
      <c r="B16" s="495" t="n"/>
      <c r="C16" s="382">
        <f>IF(B16="","",IFERROR(VLOOKUP(B16,DB_Customers!$A:$D,4,0),"❌ Account Not Found"))</f>
        <v/>
      </c>
      <c r="D16" s="497">
        <f>IF(B16="","",TODAY())</f>
        <v/>
      </c>
      <c r="E16" s="526" t="n"/>
      <c r="F16" s="382" t="n"/>
      <c r="G16" s="527" t="n"/>
      <c r="H16" s="528" t="n"/>
      <c r="I16" s="529">
        <f>IF(E16="","",E16+(E16*H16/100*G16))</f>
        <v/>
      </c>
      <c r="J16" s="530">
        <f>IFERROR(I16/G16,"")</f>
        <v/>
      </c>
      <c r="K16" s="531">
        <f>IF(B16="","Pending",IF(M16="","⚠️ Enter Code",IF(IFERROR(VLOOKUP(L16,DB_Agents!$B:$I,8,0),"")=M16,"Pending","🔒 BLOCKED — Wrong Code")))</f>
        <v/>
      </c>
      <c r="L16" s="384" t="inlineStr">
        <is>
          <t>Agent 05</t>
        </is>
      </c>
      <c r="M16" s="491" t="n"/>
      <c r="N16" s="501" t="n"/>
    </row>
    <row r="17" ht="15" customHeight="1" s="341">
      <c r="A17" s="492">
        <f>IF(B17="","",IF(C17="❌ Account Not Found","INVALID","LN"&amp;TEXT(D17,"YYYYMMDD")&amp;TEXT(ROW()-13,"0000")))</f>
        <v/>
      </c>
      <c r="B17" s="486" t="n"/>
      <c r="C17" s="378">
        <f>IF(B17="","",IFERROR(VLOOKUP(B17,DB_Customers!$A:$D,4,0),"❌ Account Not Found"))</f>
        <v/>
      </c>
      <c r="D17" s="488">
        <f>IF(B17="","",TODAY())</f>
        <v/>
      </c>
      <c r="E17" s="526" t="n"/>
      <c r="F17" s="378" t="n"/>
      <c r="G17" s="532" t="n"/>
      <c r="H17" s="533" t="n"/>
      <c r="I17" s="529">
        <f>IF(E17="","",E17+(E17*H17/100*G17))</f>
        <v/>
      </c>
      <c r="J17" s="534">
        <f>IFERROR(I17/G17,"")</f>
        <v/>
      </c>
      <c r="K17" s="535">
        <f>IF(B17="","Pending",IF(M17="","⚠️ Enter Code",IF(IFERROR(VLOOKUP(L17,DB_Agents!$B:$I,8,0),"")=M17,"Pending","🔒 BLOCKED — Wrong Code")))</f>
        <v/>
      </c>
      <c r="L17" s="380" t="inlineStr">
        <is>
          <t>Agent 05</t>
        </is>
      </c>
      <c r="M17" s="491" t="n"/>
      <c r="N17" s="494" t="n"/>
    </row>
    <row r="18" ht="15" customHeight="1" s="341">
      <c r="A18" s="499">
        <f>IF(B18="","",IF(C18="❌ Account Not Found","INVALID","LN"&amp;TEXT(D18,"YYYYMMDD")&amp;TEXT(ROW()-13,"0000")))</f>
        <v/>
      </c>
      <c r="B18" s="495" t="n"/>
      <c r="C18" s="382">
        <f>IF(B18="","",IFERROR(VLOOKUP(B18,DB_Customers!$A:$D,4,0),"❌ Account Not Found"))</f>
        <v/>
      </c>
      <c r="D18" s="497">
        <f>IF(B18="","",TODAY())</f>
        <v/>
      </c>
      <c r="E18" s="526" t="n"/>
      <c r="F18" s="382" t="n"/>
      <c r="G18" s="527" t="n"/>
      <c r="H18" s="528" t="n"/>
      <c r="I18" s="529">
        <f>IF(E18="","",E18+(E18*H18/100*G18))</f>
        <v/>
      </c>
      <c r="J18" s="530">
        <f>IFERROR(I18/G18,"")</f>
        <v/>
      </c>
      <c r="K18" s="531">
        <f>IF(B18="","Pending",IF(M18="","⚠️ Enter Code",IF(IFERROR(VLOOKUP(L18,DB_Agents!$B:$I,8,0),"")=M18,"Pending","🔒 BLOCKED — Wrong Code")))</f>
        <v/>
      </c>
      <c r="L18" s="384" t="inlineStr">
        <is>
          <t>Agent 05</t>
        </is>
      </c>
      <c r="M18" s="491" t="n"/>
      <c r="N18" s="501" t="n"/>
    </row>
    <row r="19" ht="15" customHeight="1" s="341">
      <c r="A19" s="492">
        <f>IF(B19="","",IF(C19="❌ Account Not Found","INVALID","LN"&amp;TEXT(D19,"YYYYMMDD")&amp;TEXT(ROW()-13,"0000")))</f>
        <v/>
      </c>
      <c r="B19" s="486" t="n"/>
      <c r="C19" s="378">
        <f>IF(B19="","",IFERROR(VLOOKUP(B19,DB_Customers!$A:$D,4,0),"❌ Account Not Found"))</f>
        <v/>
      </c>
      <c r="D19" s="488">
        <f>IF(B19="","",TODAY())</f>
        <v/>
      </c>
      <c r="E19" s="526" t="n"/>
      <c r="F19" s="378" t="n"/>
      <c r="G19" s="532" t="n"/>
      <c r="H19" s="533" t="n"/>
      <c r="I19" s="529">
        <f>IF(E19="","",E19+(E19*H19/100*G19))</f>
        <v/>
      </c>
      <c r="J19" s="534">
        <f>IFERROR(I19/G19,"")</f>
        <v/>
      </c>
      <c r="K19" s="535">
        <f>IF(B19="","Pending",IF(M19="","⚠️ Enter Code",IF(IFERROR(VLOOKUP(L19,DB_Agents!$B:$I,8,0),"")=M19,"Pending","🔒 BLOCKED — Wrong Code")))</f>
        <v/>
      </c>
      <c r="L19" s="380" t="inlineStr">
        <is>
          <t>Agent 05</t>
        </is>
      </c>
      <c r="M19" s="491" t="n"/>
      <c r="N19" s="494" t="n"/>
    </row>
    <row r="20" ht="15" customHeight="1" s="341">
      <c r="A20" s="499">
        <f>IF(B20="","",IF(C20="❌ Account Not Found","INVALID","LN"&amp;TEXT(D20,"YYYYMMDD")&amp;TEXT(ROW()-13,"0000")))</f>
        <v/>
      </c>
      <c r="B20" s="495" t="n"/>
      <c r="C20" s="382">
        <f>IF(B20="","",IFERROR(VLOOKUP(B20,DB_Customers!$A:$D,4,0),"❌ Account Not Found"))</f>
        <v/>
      </c>
      <c r="D20" s="497">
        <f>IF(B20="","",TODAY())</f>
        <v/>
      </c>
      <c r="E20" s="526" t="n"/>
      <c r="F20" s="382" t="n"/>
      <c r="G20" s="527" t="n"/>
      <c r="H20" s="528" t="n"/>
      <c r="I20" s="529">
        <f>IF(E20="","",E20+(E20*H20/100*G20))</f>
        <v/>
      </c>
      <c r="J20" s="530">
        <f>IFERROR(I20/G20,"")</f>
        <v/>
      </c>
      <c r="K20" s="531">
        <f>IF(B20="","Pending",IF(M20="","⚠️ Enter Code",IF(IFERROR(VLOOKUP(L20,DB_Agents!$B:$I,8,0),"")=M20,"Pending","🔒 BLOCKED — Wrong Code")))</f>
        <v/>
      </c>
      <c r="L20" s="384" t="inlineStr">
        <is>
          <t>Agent 05</t>
        </is>
      </c>
      <c r="M20" s="491" t="n"/>
      <c r="N20" s="501" t="n"/>
    </row>
    <row r="21" ht="15" customHeight="1" s="341">
      <c r="A21" s="492">
        <f>IF(B21="","",IF(C21="❌ Account Not Found","INVALID","LN"&amp;TEXT(D21,"YYYYMMDD")&amp;TEXT(ROW()-13,"0000")))</f>
        <v/>
      </c>
      <c r="B21" s="486" t="n"/>
      <c r="C21" s="378">
        <f>IF(B21="","",IFERROR(VLOOKUP(B21,DB_Customers!$A:$D,4,0),"❌ Account Not Found"))</f>
        <v/>
      </c>
      <c r="D21" s="488">
        <f>IF(B21="","",TODAY())</f>
        <v/>
      </c>
      <c r="E21" s="526" t="n"/>
      <c r="F21" s="378" t="n"/>
      <c r="G21" s="532" t="n"/>
      <c r="H21" s="533" t="n"/>
      <c r="I21" s="529">
        <f>IF(E21="","",E21+(E21*H21/100*G21))</f>
        <v/>
      </c>
      <c r="J21" s="534">
        <f>IFERROR(I21/G21,"")</f>
        <v/>
      </c>
      <c r="K21" s="535">
        <f>IF(B21="","Pending",IF(M21="","⚠️ Enter Code",IF(IFERROR(VLOOKUP(L21,DB_Agents!$B:$I,8,0),"")=M21,"Pending","🔒 BLOCKED — Wrong Code")))</f>
        <v/>
      </c>
      <c r="L21" s="380" t="inlineStr">
        <is>
          <t>Agent 05</t>
        </is>
      </c>
      <c r="M21" s="491" t="n"/>
      <c r="N21" s="494" t="n"/>
    </row>
    <row r="22" ht="15" customHeight="1" s="341">
      <c r="A22" s="499">
        <f>IF(B22="","",IF(C22="❌ Account Not Found","INVALID","LN"&amp;TEXT(D22,"YYYYMMDD")&amp;TEXT(ROW()-13,"0000")))</f>
        <v/>
      </c>
      <c r="B22" s="495" t="n"/>
      <c r="C22" s="382">
        <f>IF(B22="","",IFERROR(VLOOKUP(B22,DB_Customers!$A:$D,4,0),"❌ Account Not Found"))</f>
        <v/>
      </c>
      <c r="D22" s="497">
        <f>IF(B22="","",TODAY())</f>
        <v/>
      </c>
      <c r="E22" s="526" t="n"/>
      <c r="F22" s="382" t="n"/>
      <c r="G22" s="527" t="n"/>
      <c r="H22" s="528" t="n"/>
      <c r="I22" s="529">
        <f>IF(E22="","",E22+(E22*H22/100*G22))</f>
        <v/>
      </c>
      <c r="J22" s="530">
        <f>IFERROR(I22/G22,"")</f>
        <v/>
      </c>
      <c r="K22" s="531">
        <f>IF(B22="","Pending",IF(M22="","⚠️ Enter Code",IF(IFERROR(VLOOKUP(L22,DB_Agents!$B:$I,8,0),"")=M22,"Pending","🔒 BLOCKED — Wrong Code")))</f>
        <v/>
      </c>
      <c r="L22" s="384" t="inlineStr">
        <is>
          <t>Agent 05</t>
        </is>
      </c>
      <c r="M22" s="491" t="n"/>
      <c r="N22" s="501" t="n"/>
    </row>
    <row r="23" ht="15" customHeight="1" s="341">
      <c r="A23" s="492">
        <f>IF(B23="","",IF(C23="❌ Account Not Found","INVALID","LN"&amp;TEXT(D23,"YYYYMMDD")&amp;TEXT(ROW()-13,"0000")))</f>
        <v/>
      </c>
      <c r="B23" s="486" t="n"/>
      <c r="C23" s="378">
        <f>IF(B23="","",IFERROR(VLOOKUP(B23,DB_Customers!$A:$D,4,0),"❌ Account Not Found"))</f>
        <v/>
      </c>
      <c r="D23" s="488">
        <f>IF(B23="","",TODAY())</f>
        <v/>
      </c>
      <c r="E23" s="526" t="n"/>
      <c r="F23" s="378" t="n"/>
      <c r="G23" s="532" t="n"/>
      <c r="H23" s="533" t="n"/>
      <c r="I23" s="529">
        <f>IF(E23="","",E23+(E23*H23/100*G23))</f>
        <v/>
      </c>
      <c r="J23" s="534">
        <f>IFERROR(I23/G23,"")</f>
        <v/>
      </c>
      <c r="K23" s="535">
        <f>IF(B23="","Pending",IF(M23="","⚠️ Enter Code",IF(IFERROR(VLOOKUP(L23,DB_Agents!$B:$I,8,0),"")=M23,"Pending","🔒 BLOCKED — Wrong Code")))</f>
        <v/>
      </c>
      <c r="L23" s="380" t="inlineStr">
        <is>
          <t>Agent 05</t>
        </is>
      </c>
      <c r="M23" s="491" t="n"/>
      <c r="N23" s="494" t="n"/>
    </row>
    <row r="24" ht="15" customHeight="1" s="341">
      <c r="A24" s="499">
        <f>IF(B24="","",IF(C24="❌ Account Not Found","INVALID","LN"&amp;TEXT(D24,"YYYYMMDD")&amp;TEXT(ROW()-13,"0000")))</f>
        <v/>
      </c>
      <c r="B24" s="495" t="n"/>
      <c r="C24" s="382">
        <f>IF(B24="","",IFERROR(VLOOKUP(B24,DB_Customers!$A:$D,4,0),"❌ Account Not Found"))</f>
        <v/>
      </c>
      <c r="D24" s="497">
        <f>IF(B24="","",TODAY())</f>
        <v/>
      </c>
      <c r="E24" s="526" t="n"/>
      <c r="F24" s="382" t="n"/>
      <c r="G24" s="527" t="n"/>
      <c r="H24" s="528" t="n"/>
      <c r="I24" s="529">
        <f>IF(E24="","",E24+(E24*H24/100*G24))</f>
        <v/>
      </c>
      <c r="J24" s="530">
        <f>IFERROR(I24/G24,"")</f>
        <v/>
      </c>
      <c r="K24" s="531">
        <f>IF(B24="","Pending",IF(M24="","⚠️ Enter Code",IF(IFERROR(VLOOKUP(L24,DB_Agents!$B:$I,8,0),"")=M24,"Pending","🔒 BLOCKED — Wrong Code")))</f>
        <v/>
      </c>
      <c r="L24" s="384" t="inlineStr">
        <is>
          <t>Agent 05</t>
        </is>
      </c>
      <c r="M24" s="491" t="n"/>
      <c r="N24" s="501" t="n"/>
    </row>
    <row r="25" ht="15" customHeight="1" s="341">
      <c r="A25" s="492">
        <f>IF(B25="","",IF(C25="❌ Account Not Found","INVALID","LN"&amp;TEXT(D25,"YYYYMMDD")&amp;TEXT(ROW()-13,"0000")))</f>
        <v/>
      </c>
      <c r="B25" s="486" t="n"/>
      <c r="C25" s="378">
        <f>IF(B25="","",IFERROR(VLOOKUP(B25,DB_Customers!$A:$D,4,0),"❌ Account Not Found"))</f>
        <v/>
      </c>
      <c r="D25" s="488">
        <f>IF(B25="","",TODAY())</f>
        <v/>
      </c>
      <c r="E25" s="526" t="n"/>
      <c r="F25" s="378" t="n"/>
      <c r="G25" s="532" t="n"/>
      <c r="H25" s="533" t="n"/>
      <c r="I25" s="529">
        <f>IF(E25="","",E25+(E25*H25/100*G25))</f>
        <v/>
      </c>
      <c r="J25" s="534">
        <f>IFERROR(I25/G25,"")</f>
        <v/>
      </c>
      <c r="K25" s="535">
        <f>IF(B25="","Pending",IF(M25="","⚠️ Enter Code",IF(IFERROR(VLOOKUP(L25,DB_Agents!$B:$I,8,0),"")=M25,"Pending","🔒 BLOCKED — Wrong Code")))</f>
        <v/>
      </c>
      <c r="L25" s="380" t="inlineStr">
        <is>
          <t>Agent 05</t>
        </is>
      </c>
      <c r="M25" s="491" t="n"/>
      <c r="N25" s="494" t="n"/>
    </row>
    <row r="26" ht="15" customHeight="1" s="341">
      <c r="A26" s="499">
        <f>IF(B26="","",IF(C26="❌ Account Not Found","INVALID","LN"&amp;TEXT(D26,"YYYYMMDD")&amp;TEXT(ROW()-13,"0000")))</f>
        <v/>
      </c>
      <c r="B26" s="495" t="n"/>
      <c r="C26" s="382">
        <f>IF(B26="","",IFERROR(VLOOKUP(B26,DB_Customers!$A:$D,4,0),"❌ Account Not Found"))</f>
        <v/>
      </c>
      <c r="D26" s="497">
        <f>IF(B26="","",TODAY())</f>
        <v/>
      </c>
      <c r="E26" s="526" t="n"/>
      <c r="F26" s="382" t="n"/>
      <c r="G26" s="527" t="n"/>
      <c r="H26" s="528" t="n"/>
      <c r="I26" s="529">
        <f>IF(E26="","",E26+(E26*H26/100*G26))</f>
        <v/>
      </c>
      <c r="J26" s="530">
        <f>IFERROR(I26/G26,"")</f>
        <v/>
      </c>
      <c r="K26" s="531">
        <f>IF(B26="","Pending",IF(M26="","⚠️ Enter Code",IF(IFERROR(VLOOKUP(L26,DB_Agents!$B:$I,8,0),"")=M26,"Pending","🔒 BLOCKED — Wrong Code")))</f>
        <v/>
      </c>
      <c r="L26" s="384" t="inlineStr">
        <is>
          <t>Agent 05</t>
        </is>
      </c>
      <c r="M26" s="491" t="n"/>
      <c r="N26" s="501" t="n"/>
    </row>
    <row r="27" ht="15" customHeight="1" s="341">
      <c r="A27" s="492">
        <f>IF(B27="","",IF(C27="❌ Account Not Found","INVALID","LN"&amp;TEXT(D27,"YYYYMMDD")&amp;TEXT(ROW()-13,"0000")))</f>
        <v/>
      </c>
      <c r="B27" s="486" t="n"/>
      <c r="C27" s="378">
        <f>IF(B27="","",IFERROR(VLOOKUP(B27,DB_Customers!$A:$D,4,0),"❌ Account Not Found"))</f>
        <v/>
      </c>
      <c r="D27" s="488">
        <f>IF(B27="","",TODAY())</f>
        <v/>
      </c>
      <c r="E27" s="526" t="n"/>
      <c r="F27" s="378" t="n"/>
      <c r="G27" s="532" t="n"/>
      <c r="H27" s="533" t="n"/>
      <c r="I27" s="529">
        <f>IF(E27="","",E27+(E27*H27/100*G27))</f>
        <v/>
      </c>
      <c r="J27" s="534">
        <f>IFERROR(I27/G27,"")</f>
        <v/>
      </c>
      <c r="K27" s="535">
        <f>IF(B27="","Pending",IF(M27="","⚠️ Enter Code",IF(IFERROR(VLOOKUP(L27,DB_Agents!$B:$I,8,0),"")=M27,"Pending","🔒 BLOCKED — Wrong Code")))</f>
        <v/>
      </c>
      <c r="L27" s="380" t="inlineStr">
        <is>
          <t>Agent 05</t>
        </is>
      </c>
      <c r="M27" s="491" t="n"/>
      <c r="N27" s="494" t="n"/>
    </row>
    <row r="28" ht="15" customHeight="1" s="341">
      <c r="A28" s="499">
        <f>IF(B28="","",IF(C28="❌ Account Not Found","INVALID","LN"&amp;TEXT(D28,"YYYYMMDD")&amp;TEXT(ROW()-13,"0000")))</f>
        <v/>
      </c>
      <c r="B28" s="495" t="n"/>
      <c r="C28" s="382">
        <f>IF(B28="","",IFERROR(VLOOKUP(B28,DB_Customers!$A:$D,4,0),"❌ Account Not Found"))</f>
        <v/>
      </c>
      <c r="D28" s="497">
        <f>IF(B28="","",TODAY())</f>
        <v/>
      </c>
      <c r="E28" s="526" t="n"/>
      <c r="F28" s="382" t="n"/>
      <c r="G28" s="527" t="n"/>
      <c r="H28" s="528" t="n"/>
      <c r="I28" s="529">
        <f>IF(E28="","",E28+(E28*H28/100*G28))</f>
        <v/>
      </c>
      <c r="J28" s="530">
        <f>IFERROR(I28/G28,"")</f>
        <v/>
      </c>
      <c r="K28" s="531">
        <f>IF(B28="","Pending",IF(M28="","⚠️ Enter Code",IF(IFERROR(VLOOKUP(L28,DB_Agents!$B:$I,8,0),"")=M28,"Pending","🔒 BLOCKED — Wrong Code")))</f>
        <v/>
      </c>
      <c r="L28" s="384" t="inlineStr">
        <is>
          <t>Agent 05</t>
        </is>
      </c>
      <c r="M28" s="491" t="n"/>
      <c r="N28" s="501" t="n"/>
    </row>
    <row r="29" ht="15" customHeight="1" s="341">
      <c r="A29" s="492">
        <f>IF(B29="","",IF(C29="❌ Account Not Found","INVALID","LN"&amp;TEXT(D29,"YYYYMMDD")&amp;TEXT(ROW()-13,"0000")))</f>
        <v/>
      </c>
      <c r="B29" s="486" t="n"/>
      <c r="C29" s="378">
        <f>IF(B29="","",IFERROR(VLOOKUP(B29,DB_Customers!$A:$D,4,0),"❌ Account Not Found"))</f>
        <v/>
      </c>
      <c r="D29" s="488">
        <f>IF(B29="","",TODAY())</f>
        <v/>
      </c>
      <c r="E29" s="526" t="n"/>
      <c r="F29" s="378" t="n"/>
      <c r="G29" s="532" t="n"/>
      <c r="H29" s="533" t="n"/>
      <c r="I29" s="529">
        <f>IF(E29="","",E29+(E29*H29/100*G29))</f>
        <v/>
      </c>
      <c r="J29" s="534">
        <f>IFERROR(I29/G29,"")</f>
        <v/>
      </c>
      <c r="K29" s="535">
        <f>IF(B29="","Pending",IF(M29="","⚠️ Enter Code",IF(IFERROR(VLOOKUP(L29,DB_Agents!$B:$I,8,0),"")=M29,"Pending","🔒 BLOCKED — Wrong Code")))</f>
        <v/>
      </c>
      <c r="L29" s="380" t="inlineStr">
        <is>
          <t>Agent 05</t>
        </is>
      </c>
      <c r="M29" s="491" t="n"/>
      <c r="N29" s="494" t="n"/>
    </row>
    <row r="30" ht="15" customHeight="1" s="341">
      <c r="A30" s="499">
        <f>IF(B30="","",IF(C30="❌ Account Not Found","INVALID","LN"&amp;TEXT(D30,"YYYYMMDD")&amp;TEXT(ROW()-13,"0000")))</f>
        <v/>
      </c>
      <c r="B30" s="495" t="n"/>
      <c r="C30" s="382">
        <f>IF(B30="","",IFERROR(VLOOKUP(B30,DB_Customers!$A:$D,4,0),"❌ Account Not Found"))</f>
        <v/>
      </c>
      <c r="D30" s="497">
        <f>IF(B30="","",TODAY())</f>
        <v/>
      </c>
      <c r="E30" s="526" t="n"/>
      <c r="F30" s="382" t="n"/>
      <c r="G30" s="527" t="n"/>
      <c r="H30" s="528" t="n"/>
      <c r="I30" s="529">
        <f>IF(E30="","",E30+(E30*H30/100*G30))</f>
        <v/>
      </c>
      <c r="J30" s="530">
        <f>IFERROR(I30/G30,"")</f>
        <v/>
      </c>
      <c r="K30" s="531">
        <f>IF(B30="","Pending",IF(M30="","⚠️ Enter Code",IF(IFERROR(VLOOKUP(L30,DB_Agents!$B:$I,8,0),"")=M30,"Pending","🔒 BLOCKED — Wrong Code")))</f>
        <v/>
      </c>
      <c r="L30" s="384" t="inlineStr">
        <is>
          <t>Agent 05</t>
        </is>
      </c>
      <c r="M30" s="491" t="n"/>
      <c r="N30" s="501" t="n"/>
    </row>
    <row r="31" ht="15" customHeight="1" s="341">
      <c r="A31" s="492">
        <f>IF(B31="","",IF(C31="❌ Account Not Found","INVALID","LN"&amp;TEXT(D31,"YYYYMMDD")&amp;TEXT(ROW()-13,"0000")))</f>
        <v/>
      </c>
      <c r="B31" s="486" t="n"/>
      <c r="C31" s="378">
        <f>IF(B31="","",IFERROR(VLOOKUP(B31,DB_Customers!$A:$D,4,0),"❌ Account Not Found"))</f>
        <v/>
      </c>
      <c r="D31" s="488">
        <f>IF(B31="","",TODAY())</f>
        <v/>
      </c>
      <c r="E31" s="526" t="n"/>
      <c r="F31" s="378" t="n"/>
      <c r="G31" s="532" t="n"/>
      <c r="H31" s="533" t="n"/>
      <c r="I31" s="529">
        <f>IF(E31="","",E31+(E31*H31/100*G31))</f>
        <v/>
      </c>
      <c r="J31" s="534">
        <f>IFERROR(I31/G31,"")</f>
        <v/>
      </c>
      <c r="K31" s="535">
        <f>IF(B31="","Pending",IF(M31="","⚠️ Enter Code",IF(IFERROR(VLOOKUP(L31,DB_Agents!$B:$I,8,0),"")=M31,"Pending","🔒 BLOCKED — Wrong Code")))</f>
        <v/>
      </c>
      <c r="L31" s="380" t="inlineStr">
        <is>
          <t>Agent 05</t>
        </is>
      </c>
      <c r="M31" s="491" t="n"/>
      <c r="N31" s="494" t="n"/>
    </row>
    <row r="32" ht="15" customHeight="1" s="341">
      <c r="A32" s="499">
        <f>IF(B32="","",IF(C32="❌ Account Not Found","INVALID","LN"&amp;TEXT(D32,"YYYYMMDD")&amp;TEXT(ROW()-13,"0000")))</f>
        <v/>
      </c>
      <c r="B32" s="495" t="n"/>
      <c r="C32" s="382">
        <f>IF(B32="","",IFERROR(VLOOKUP(B32,DB_Customers!$A:$D,4,0),"❌ Account Not Found"))</f>
        <v/>
      </c>
      <c r="D32" s="497">
        <f>IF(B32="","",TODAY())</f>
        <v/>
      </c>
      <c r="E32" s="526" t="n"/>
      <c r="F32" s="382" t="n"/>
      <c r="G32" s="527" t="n"/>
      <c r="H32" s="528" t="n"/>
      <c r="I32" s="529">
        <f>IF(E32="","",E32+(E32*H32/100*G32))</f>
        <v/>
      </c>
      <c r="J32" s="530">
        <f>IFERROR(I32/G32,"")</f>
        <v/>
      </c>
      <c r="K32" s="531">
        <f>IF(B32="","Pending",IF(M32="","⚠️ Enter Code",IF(IFERROR(VLOOKUP(L32,DB_Agents!$B:$I,8,0),"")=M32,"Pending","🔒 BLOCKED — Wrong Code")))</f>
        <v/>
      </c>
      <c r="L32" s="384" t="inlineStr">
        <is>
          <t>Agent 05</t>
        </is>
      </c>
      <c r="M32" s="491" t="n"/>
      <c r="N32" s="501" t="n"/>
    </row>
    <row r="33" ht="15" customHeight="1" s="341">
      <c r="A33" s="492">
        <f>IF(B33="","",IF(C33="❌ Account Not Found","INVALID","LN"&amp;TEXT(D33,"YYYYMMDD")&amp;TEXT(ROW()-13,"0000")))</f>
        <v/>
      </c>
      <c r="B33" s="486" t="n"/>
      <c r="C33" s="378">
        <f>IF(B33="","",IFERROR(VLOOKUP(B33,DB_Customers!$A:$D,4,0),"❌ Account Not Found"))</f>
        <v/>
      </c>
      <c r="D33" s="488">
        <f>IF(B33="","",TODAY())</f>
        <v/>
      </c>
      <c r="E33" s="526" t="n"/>
      <c r="F33" s="378" t="n"/>
      <c r="G33" s="532" t="n"/>
      <c r="H33" s="533" t="n"/>
      <c r="I33" s="529">
        <f>IF(E33="","",E33+(E33*H33/100*G33))</f>
        <v/>
      </c>
      <c r="J33" s="534">
        <f>IFERROR(I33/G33,"")</f>
        <v/>
      </c>
      <c r="K33" s="535">
        <f>IF(B33="","Pending",IF(M33="","⚠️ Enter Code",IF(IFERROR(VLOOKUP(L33,DB_Agents!$B:$I,8,0),"")=M33,"Pending","🔒 BLOCKED — Wrong Code")))</f>
        <v/>
      </c>
      <c r="L33" s="380" t="inlineStr">
        <is>
          <t>Agent 05</t>
        </is>
      </c>
      <c r="M33" s="491" t="n"/>
      <c r="N33" s="494" t="n"/>
    </row>
    <row r="34" ht="15" customHeight="1" s="341">
      <c r="A34" s="499">
        <f>IF(B34="","",IF(C34="❌ Account Not Found","INVALID","LN"&amp;TEXT(D34,"YYYYMMDD")&amp;TEXT(ROW()-13,"0000")))</f>
        <v/>
      </c>
      <c r="B34" s="495" t="n"/>
      <c r="C34" s="382">
        <f>IF(B34="","",IFERROR(VLOOKUP(B34,DB_Customers!$A:$D,4,0),"❌ Account Not Found"))</f>
        <v/>
      </c>
      <c r="D34" s="497">
        <f>IF(B34="","",TODAY())</f>
        <v/>
      </c>
      <c r="E34" s="526" t="n"/>
      <c r="F34" s="382" t="n"/>
      <c r="G34" s="527" t="n"/>
      <c r="H34" s="528" t="n"/>
      <c r="I34" s="529">
        <f>IF(E34="","",E34+(E34*H34/100*G34))</f>
        <v/>
      </c>
      <c r="J34" s="530">
        <f>IFERROR(I34/G34,"")</f>
        <v/>
      </c>
      <c r="K34" s="531">
        <f>IF(B34="","Pending",IF(M34="","⚠️ Enter Code",IF(IFERROR(VLOOKUP(L34,DB_Agents!$B:$I,8,0),"")=M34,"Pending","🔒 BLOCKED — Wrong Code")))</f>
        <v/>
      </c>
      <c r="L34" s="384" t="inlineStr">
        <is>
          <t>Agent 05</t>
        </is>
      </c>
      <c r="M34" s="491" t="n"/>
      <c r="N34" s="501" t="n"/>
    </row>
    <row r="35" ht="15" customHeight="1" s="341">
      <c r="A35" s="492">
        <f>IF(B35="","",IF(C35="❌ Account Not Found","INVALID","LN"&amp;TEXT(D35,"YYYYMMDD")&amp;TEXT(ROW()-13,"0000")))</f>
        <v/>
      </c>
      <c r="B35" s="486" t="n"/>
      <c r="C35" s="378">
        <f>IF(B35="","",IFERROR(VLOOKUP(B35,DB_Customers!$A:$D,4,0),"❌ Account Not Found"))</f>
        <v/>
      </c>
      <c r="D35" s="488">
        <f>IF(B35="","",TODAY())</f>
        <v/>
      </c>
      <c r="E35" s="526" t="n"/>
      <c r="F35" s="378" t="n"/>
      <c r="G35" s="532" t="n"/>
      <c r="H35" s="533" t="n"/>
      <c r="I35" s="529">
        <f>IF(E35="","",E35+(E35*H35/100*G35))</f>
        <v/>
      </c>
      <c r="J35" s="534">
        <f>IFERROR(I35/G35,"")</f>
        <v/>
      </c>
      <c r="K35" s="535">
        <f>IF(B35="","Pending",IF(M35="","⚠️ Enter Code",IF(IFERROR(VLOOKUP(L35,DB_Agents!$B:$I,8,0),"")=M35,"Pending","🔒 BLOCKED — Wrong Code")))</f>
        <v/>
      </c>
      <c r="L35" s="380" t="inlineStr">
        <is>
          <t>Agent 05</t>
        </is>
      </c>
      <c r="M35" s="491" t="n"/>
      <c r="N35" s="494" t="n"/>
    </row>
    <row r="36" ht="15" customHeight="1" s="341">
      <c r="A36" s="499">
        <f>IF(B36="","",IF(C36="❌ Account Not Found","INVALID","LN"&amp;TEXT(D36,"YYYYMMDD")&amp;TEXT(ROW()-13,"0000")))</f>
        <v/>
      </c>
      <c r="B36" s="495" t="n"/>
      <c r="C36" s="382">
        <f>IF(B36="","",IFERROR(VLOOKUP(B36,DB_Customers!$A:$D,4,0),"❌ Account Not Found"))</f>
        <v/>
      </c>
      <c r="D36" s="497">
        <f>IF(B36="","",TODAY())</f>
        <v/>
      </c>
      <c r="E36" s="526" t="n"/>
      <c r="F36" s="382" t="n"/>
      <c r="G36" s="527" t="n"/>
      <c r="H36" s="528" t="n"/>
      <c r="I36" s="529">
        <f>IF(E36="","",E36+(E36*H36/100*G36))</f>
        <v/>
      </c>
      <c r="J36" s="530">
        <f>IFERROR(I36/G36,"")</f>
        <v/>
      </c>
      <c r="K36" s="531">
        <f>IF(B36="","Pending",IF(M36="","⚠️ Enter Code",IF(IFERROR(VLOOKUP(L36,DB_Agents!$B:$I,8,0),"")=M36,"Pending","🔒 BLOCKED — Wrong Code")))</f>
        <v/>
      </c>
      <c r="L36" s="384" t="inlineStr">
        <is>
          <t>Agent 05</t>
        </is>
      </c>
      <c r="M36" s="491" t="n"/>
      <c r="N36" s="501" t="n"/>
    </row>
    <row r="37" ht="15" customHeight="1" s="341">
      <c r="A37" s="492">
        <f>IF(B37="","",IF(C37="❌ Account Not Found","INVALID","LN"&amp;TEXT(D37,"YYYYMMDD")&amp;TEXT(ROW()-13,"0000")))</f>
        <v/>
      </c>
      <c r="B37" s="486" t="n"/>
      <c r="C37" s="378">
        <f>IF(B37="","",IFERROR(VLOOKUP(B37,DB_Customers!$A:$D,4,0),"❌ Account Not Found"))</f>
        <v/>
      </c>
      <c r="D37" s="488">
        <f>IF(B37="","",TODAY())</f>
        <v/>
      </c>
      <c r="E37" s="526" t="n"/>
      <c r="F37" s="378" t="n"/>
      <c r="G37" s="532" t="n"/>
      <c r="H37" s="533" t="n"/>
      <c r="I37" s="529">
        <f>IF(E37="","",E37+(E37*H37/100*G37))</f>
        <v/>
      </c>
      <c r="J37" s="534">
        <f>IFERROR(I37/G37,"")</f>
        <v/>
      </c>
      <c r="K37" s="535">
        <f>IF(B37="","Pending",IF(M37="","⚠️ Enter Code",IF(IFERROR(VLOOKUP(L37,DB_Agents!$B:$I,8,0),"")=M37,"Pending","🔒 BLOCKED — Wrong Code")))</f>
        <v/>
      </c>
      <c r="L37" s="380" t="inlineStr">
        <is>
          <t>Agent 05</t>
        </is>
      </c>
      <c r="M37" s="491" t="n"/>
      <c r="N37" s="494" t="n"/>
    </row>
    <row r="38" ht="15" customHeight="1" s="341">
      <c r="A38" s="499">
        <f>IF(B38="","",IF(C38="❌ Account Not Found","INVALID","LN"&amp;TEXT(D38,"YYYYMMDD")&amp;TEXT(ROW()-13,"0000")))</f>
        <v/>
      </c>
      <c r="B38" s="495" t="n"/>
      <c r="C38" s="382">
        <f>IF(B38="","",IFERROR(VLOOKUP(B38,DB_Customers!$A:$D,4,0),"❌ Account Not Found"))</f>
        <v/>
      </c>
      <c r="D38" s="497">
        <f>IF(B38="","",TODAY())</f>
        <v/>
      </c>
      <c r="E38" s="526" t="n"/>
      <c r="F38" s="382" t="n"/>
      <c r="G38" s="527" t="n"/>
      <c r="H38" s="528" t="n"/>
      <c r="I38" s="529">
        <f>IF(E38="","",E38+(E38*H38/100*G38))</f>
        <v/>
      </c>
      <c r="J38" s="530">
        <f>IFERROR(I38/G38,"")</f>
        <v/>
      </c>
      <c r="K38" s="531">
        <f>IF(B38="","Pending",IF(M38="","⚠️ Enter Code",IF(IFERROR(VLOOKUP(L38,DB_Agents!$B:$I,8,0),"")=M38,"Pending","🔒 BLOCKED — Wrong Code")))</f>
        <v/>
      </c>
      <c r="L38" s="384" t="inlineStr">
        <is>
          <t>Agent 05</t>
        </is>
      </c>
      <c r="M38" s="491" t="n"/>
      <c r="N38" s="501" t="n"/>
    </row>
    <row r="39" ht="15" customHeight="1" s="341">
      <c r="A39" s="492">
        <f>IF(B39="","",IF(C39="❌ Account Not Found","INVALID","LN"&amp;TEXT(D39,"YYYYMMDD")&amp;TEXT(ROW()-13,"0000")))</f>
        <v/>
      </c>
      <c r="B39" s="486" t="n"/>
      <c r="C39" s="378">
        <f>IF(B39="","",IFERROR(VLOOKUP(B39,DB_Customers!$A:$D,4,0),"❌ Account Not Found"))</f>
        <v/>
      </c>
      <c r="D39" s="488">
        <f>IF(B39="","",TODAY())</f>
        <v/>
      </c>
      <c r="E39" s="526" t="n"/>
      <c r="F39" s="378" t="n"/>
      <c r="G39" s="532" t="n"/>
      <c r="H39" s="533" t="n"/>
      <c r="I39" s="529">
        <f>IF(E39="","",E39+(E39*H39/100*G39))</f>
        <v/>
      </c>
      <c r="J39" s="534">
        <f>IFERROR(I39/G39,"")</f>
        <v/>
      </c>
      <c r="K39" s="535">
        <f>IF(B39="","Pending",IF(M39="","⚠️ Enter Code",IF(IFERROR(VLOOKUP(L39,DB_Agents!$B:$I,8,0),"")=M39,"Pending","🔒 BLOCKED — Wrong Code")))</f>
        <v/>
      </c>
      <c r="L39" s="380" t="inlineStr">
        <is>
          <t>Agent 05</t>
        </is>
      </c>
      <c r="M39" s="491" t="n"/>
      <c r="N39" s="494" t="n"/>
    </row>
    <row r="40" ht="15" customHeight="1" s="341">
      <c r="A40" s="499">
        <f>IF(B40="","",IF(C40="❌ Account Not Found","INVALID","LN"&amp;TEXT(D40,"YYYYMMDD")&amp;TEXT(ROW()-13,"0000")))</f>
        <v/>
      </c>
      <c r="B40" s="495" t="n"/>
      <c r="C40" s="382">
        <f>IF(B40="","",IFERROR(VLOOKUP(B40,DB_Customers!$A:$D,4,0),"❌ Account Not Found"))</f>
        <v/>
      </c>
      <c r="D40" s="497">
        <f>IF(B40="","",TODAY())</f>
        <v/>
      </c>
      <c r="E40" s="526" t="n"/>
      <c r="F40" s="382" t="n"/>
      <c r="G40" s="527" t="n"/>
      <c r="H40" s="528" t="n"/>
      <c r="I40" s="529">
        <f>IF(E40="","",E40+(E40*H40/100*G40))</f>
        <v/>
      </c>
      <c r="J40" s="530">
        <f>IFERROR(I40/G40,"")</f>
        <v/>
      </c>
      <c r="K40" s="531">
        <f>IF(B40="","Pending",IF(M40="","⚠️ Enter Code",IF(IFERROR(VLOOKUP(L40,DB_Agents!$B:$I,8,0),"")=M40,"Pending","🔒 BLOCKED — Wrong Code")))</f>
        <v/>
      </c>
      <c r="L40" s="384" t="inlineStr">
        <is>
          <t>Agent 05</t>
        </is>
      </c>
      <c r="M40" s="491" t="n"/>
      <c r="N40" s="501" t="n"/>
    </row>
    <row r="41" ht="15" customHeight="1" s="341">
      <c r="A41" s="492">
        <f>IF(B41="","",IF(C41="❌ Account Not Found","INVALID","LN"&amp;TEXT(D41,"YYYYMMDD")&amp;TEXT(ROW()-13,"0000")))</f>
        <v/>
      </c>
      <c r="B41" s="486" t="n"/>
      <c r="C41" s="378">
        <f>IF(B41="","",IFERROR(VLOOKUP(B41,DB_Customers!$A:$D,4,0),"❌ Account Not Found"))</f>
        <v/>
      </c>
      <c r="D41" s="488">
        <f>IF(B41="","",TODAY())</f>
        <v/>
      </c>
      <c r="E41" s="526" t="n"/>
      <c r="F41" s="378" t="n"/>
      <c r="G41" s="532" t="n"/>
      <c r="H41" s="533" t="n"/>
      <c r="I41" s="529">
        <f>IF(E41="","",E41+(E41*H41/100*G41))</f>
        <v/>
      </c>
      <c r="J41" s="534">
        <f>IFERROR(I41/G41,"")</f>
        <v/>
      </c>
      <c r="K41" s="535">
        <f>IF(B41="","Pending",IF(M41="","⚠️ Enter Code",IF(IFERROR(VLOOKUP(L41,DB_Agents!$B:$I,8,0),"")=M41,"Pending","🔒 BLOCKED — Wrong Code")))</f>
        <v/>
      </c>
      <c r="L41" s="380" t="inlineStr">
        <is>
          <t>Agent 05</t>
        </is>
      </c>
      <c r="M41" s="491" t="n"/>
      <c r="N41" s="494" t="n"/>
    </row>
    <row r="42" ht="15" customHeight="1" s="341">
      <c r="A42" s="499">
        <f>IF(B42="","",IF(C42="❌ Account Not Found","INVALID","LN"&amp;TEXT(D42,"YYYYMMDD")&amp;TEXT(ROW()-13,"0000")))</f>
        <v/>
      </c>
      <c r="B42" s="495" t="n"/>
      <c r="C42" s="382">
        <f>IF(B42="","",IFERROR(VLOOKUP(B42,DB_Customers!$A:$D,4,0),"❌ Account Not Found"))</f>
        <v/>
      </c>
      <c r="D42" s="497">
        <f>IF(B42="","",TODAY())</f>
        <v/>
      </c>
      <c r="E42" s="526" t="n"/>
      <c r="F42" s="382" t="n"/>
      <c r="G42" s="527" t="n"/>
      <c r="H42" s="528" t="n"/>
      <c r="I42" s="529">
        <f>IF(E42="","",E42+(E42*H42/100*G42))</f>
        <v/>
      </c>
      <c r="J42" s="530">
        <f>IFERROR(I42/G42,"")</f>
        <v/>
      </c>
      <c r="K42" s="531">
        <f>IF(B42="","Pending",IF(M42="","⚠️ Enter Code",IF(IFERROR(VLOOKUP(L42,DB_Agents!$B:$I,8,0),"")=M42,"Pending","🔒 BLOCKED — Wrong Code")))</f>
        <v/>
      </c>
      <c r="L42" s="384" t="inlineStr">
        <is>
          <t>Agent 05</t>
        </is>
      </c>
      <c r="M42" s="491" t="n"/>
      <c r="N42" s="501" t="n"/>
    </row>
    <row r="43" ht="15" customHeight="1" s="341">
      <c r="A43" s="492">
        <f>IF(B43="","",IF(C43="❌ Account Not Found","INVALID","LN"&amp;TEXT(D43,"YYYYMMDD")&amp;TEXT(ROW()-13,"0000")))</f>
        <v/>
      </c>
      <c r="B43" s="486" t="n"/>
      <c r="C43" s="378">
        <f>IF(B43="","",IFERROR(VLOOKUP(B43,DB_Customers!$A:$D,4,0),"❌ Account Not Found"))</f>
        <v/>
      </c>
      <c r="D43" s="488">
        <f>IF(B43="","",TODAY())</f>
        <v/>
      </c>
      <c r="E43" s="526" t="n"/>
      <c r="F43" s="378" t="n"/>
      <c r="G43" s="532" t="n"/>
      <c r="H43" s="533" t="n"/>
      <c r="I43" s="529">
        <f>IF(E43="","",E43+(E43*H43/100*G43))</f>
        <v/>
      </c>
      <c r="J43" s="534">
        <f>IFERROR(I43/G43,"")</f>
        <v/>
      </c>
      <c r="K43" s="535">
        <f>IF(B43="","Pending",IF(M43="","⚠️ Enter Code",IF(IFERROR(VLOOKUP(L43,DB_Agents!$B:$I,8,0),"")=M43,"Pending","🔒 BLOCKED — Wrong Code")))</f>
        <v/>
      </c>
      <c r="L43" s="380" t="inlineStr">
        <is>
          <t>Agent 05</t>
        </is>
      </c>
      <c r="M43" s="491" t="n"/>
      <c r="N43" s="494" t="n"/>
    </row>
    <row r="44" ht="15" customHeight="1" s="341">
      <c r="A44" s="499">
        <f>IF(B44="","",IF(C44="❌ Account Not Found","INVALID","LN"&amp;TEXT(D44,"YYYYMMDD")&amp;TEXT(ROW()-13,"0000")))</f>
        <v/>
      </c>
      <c r="B44" s="495" t="n"/>
      <c r="C44" s="382">
        <f>IF(B44="","",IFERROR(VLOOKUP(B44,DB_Customers!$A:$D,4,0),"❌ Account Not Found"))</f>
        <v/>
      </c>
      <c r="D44" s="497">
        <f>IF(B44="","",TODAY())</f>
        <v/>
      </c>
      <c r="E44" s="526" t="n"/>
      <c r="F44" s="382" t="n"/>
      <c r="G44" s="527" t="n"/>
      <c r="H44" s="528" t="n"/>
      <c r="I44" s="529">
        <f>IF(E44="","",E44+(E44*H44/100*G44))</f>
        <v/>
      </c>
      <c r="J44" s="530">
        <f>IFERROR(I44/G44,"")</f>
        <v/>
      </c>
      <c r="K44" s="531">
        <f>IF(B44="","Pending",IF(M44="","⚠️ Enter Code",IF(IFERROR(VLOOKUP(L44,DB_Agents!$B:$I,8,0),"")=M44,"Pending","🔒 BLOCKED — Wrong Code")))</f>
        <v/>
      </c>
      <c r="L44" s="384" t="inlineStr">
        <is>
          <t>Agent 05</t>
        </is>
      </c>
      <c r="M44" s="491" t="n"/>
      <c r="N44" s="501" t="n"/>
    </row>
    <row r="45" ht="15" customHeight="1" s="341">
      <c r="A45" s="492">
        <f>IF(B45="","",IF(C45="❌ Account Not Found","INVALID","LN"&amp;TEXT(D45,"YYYYMMDD")&amp;TEXT(ROW()-13,"0000")))</f>
        <v/>
      </c>
      <c r="B45" s="486" t="n"/>
      <c r="C45" s="378">
        <f>IF(B45="","",IFERROR(VLOOKUP(B45,DB_Customers!$A:$D,4,0),"❌ Account Not Found"))</f>
        <v/>
      </c>
      <c r="D45" s="488">
        <f>IF(B45="","",TODAY())</f>
        <v/>
      </c>
      <c r="E45" s="526" t="n"/>
      <c r="F45" s="378" t="n"/>
      <c r="G45" s="532" t="n"/>
      <c r="H45" s="533" t="n"/>
      <c r="I45" s="529">
        <f>IF(E45="","",E45+(E45*H45/100*G45))</f>
        <v/>
      </c>
      <c r="J45" s="534">
        <f>IFERROR(I45/G45,"")</f>
        <v/>
      </c>
      <c r="K45" s="535">
        <f>IF(B45="","Pending",IF(M45="","⚠️ Enter Code",IF(IFERROR(VLOOKUP(L45,DB_Agents!$B:$I,8,0),"")=M45,"Pending","🔒 BLOCKED — Wrong Code")))</f>
        <v/>
      </c>
      <c r="L45" s="380" t="inlineStr">
        <is>
          <t>Agent 05</t>
        </is>
      </c>
      <c r="M45" s="491" t="n"/>
      <c r="N45" s="494" t="n"/>
    </row>
    <row r="46" ht="15" customHeight="1" s="341">
      <c r="A46" s="499">
        <f>IF(B46="","",IF(C46="❌ Account Not Found","INVALID","LN"&amp;TEXT(D46,"YYYYMMDD")&amp;TEXT(ROW()-13,"0000")))</f>
        <v/>
      </c>
      <c r="B46" s="495" t="n"/>
      <c r="C46" s="382">
        <f>IF(B46="","",IFERROR(VLOOKUP(B46,DB_Customers!$A:$D,4,0),"❌ Account Not Found"))</f>
        <v/>
      </c>
      <c r="D46" s="497">
        <f>IF(B46="","",TODAY())</f>
        <v/>
      </c>
      <c r="E46" s="526" t="n"/>
      <c r="F46" s="382" t="n"/>
      <c r="G46" s="527" t="n"/>
      <c r="H46" s="528" t="n"/>
      <c r="I46" s="529">
        <f>IF(E46="","",E46+(E46*H46/100*G46))</f>
        <v/>
      </c>
      <c r="J46" s="530">
        <f>IFERROR(I46/G46,"")</f>
        <v/>
      </c>
      <c r="K46" s="531">
        <f>IF(B46="","Pending",IF(M46="","⚠️ Enter Code",IF(IFERROR(VLOOKUP(L46,DB_Agents!$B:$I,8,0),"")=M46,"Pending","🔒 BLOCKED — Wrong Code")))</f>
        <v/>
      </c>
      <c r="L46" s="384" t="inlineStr">
        <is>
          <t>Agent 05</t>
        </is>
      </c>
      <c r="M46" s="491" t="n"/>
      <c r="N46" s="501" t="n"/>
    </row>
    <row r="47" ht="15" customHeight="1" s="341">
      <c r="A47" s="492">
        <f>IF(B47="","",IF(C47="❌ Account Not Found","INVALID","LN"&amp;TEXT(D47,"YYYYMMDD")&amp;TEXT(ROW()-13,"0000")))</f>
        <v/>
      </c>
      <c r="B47" s="486" t="n"/>
      <c r="C47" s="378">
        <f>IF(B47="","",IFERROR(VLOOKUP(B47,DB_Customers!$A:$D,4,0),"❌ Account Not Found"))</f>
        <v/>
      </c>
      <c r="D47" s="488">
        <f>IF(B47="","",TODAY())</f>
        <v/>
      </c>
      <c r="E47" s="526" t="n"/>
      <c r="F47" s="378" t="n"/>
      <c r="G47" s="532" t="n"/>
      <c r="H47" s="533" t="n"/>
      <c r="I47" s="529">
        <f>IF(E47="","",E47+(E47*H47/100*G47))</f>
        <v/>
      </c>
      <c r="J47" s="534">
        <f>IFERROR(I47/G47,"")</f>
        <v/>
      </c>
      <c r="K47" s="535">
        <f>IF(B47="","Pending",IF(M47="","⚠️ Enter Code",IF(IFERROR(VLOOKUP(L47,DB_Agents!$B:$I,8,0),"")=M47,"Pending","🔒 BLOCKED — Wrong Code")))</f>
        <v/>
      </c>
      <c r="L47" s="380" t="inlineStr">
        <is>
          <t>Agent 05</t>
        </is>
      </c>
      <c r="M47" s="491" t="n"/>
      <c r="N47" s="494" t="n"/>
    </row>
    <row r="48" ht="15" customHeight="1" s="341">
      <c r="A48" s="499">
        <f>IF(B48="","",IF(C48="❌ Account Not Found","INVALID","LN"&amp;TEXT(D48,"YYYYMMDD")&amp;TEXT(ROW()-13,"0000")))</f>
        <v/>
      </c>
      <c r="B48" s="495" t="n"/>
      <c r="C48" s="382">
        <f>IF(B48="","",IFERROR(VLOOKUP(B48,DB_Customers!$A:$D,4,0),"❌ Account Not Found"))</f>
        <v/>
      </c>
      <c r="D48" s="497">
        <f>IF(B48="","",TODAY())</f>
        <v/>
      </c>
      <c r="E48" s="526" t="n"/>
      <c r="F48" s="382" t="n"/>
      <c r="G48" s="527" t="n"/>
      <c r="H48" s="528" t="n"/>
      <c r="I48" s="529">
        <f>IF(E48="","",E48+(E48*H48/100*G48))</f>
        <v/>
      </c>
      <c r="J48" s="530">
        <f>IFERROR(I48/G48,"")</f>
        <v/>
      </c>
      <c r="K48" s="531">
        <f>IF(B48="","Pending",IF(M48="","⚠️ Enter Code",IF(IFERROR(VLOOKUP(L48,DB_Agents!$B:$I,8,0),"")=M48,"Pending","🔒 BLOCKED — Wrong Code")))</f>
        <v/>
      </c>
      <c r="L48" s="384" t="inlineStr">
        <is>
          <t>Agent 05</t>
        </is>
      </c>
      <c r="M48" s="491" t="n"/>
      <c r="N48" s="501" t="n"/>
    </row>
    <row r="49" ht="15" customHeight="1" s="341">
      <c r="A49" s="492">
        <f>IF(B49="","",IF(C49="❌ Account Not Found","INVALID","LN"&amp;TEXT(D49,"YYYYMMDD")&amp;TEXT(ROW()-13,"0000")))</f>
        <v/>
      </c>
      <c r="B49" s="486" t="n"/>
      <c r="C49" s="378">
        <f>IF(B49="","",IFERROR(VLOOKUP(B49,DB_Customers!$A:$D,4,0),"❌ Account Not Found"))</f>
        <v/>
      </c>
      <c r="D49" s="488">
        <f>IF(B49="","",TODAY())</f>
        <v/>
      </c>
      <c r="E49" s="526" t="n"/>
      <c r="F49" s="378" t="n"/>
      <c r="G49" s="532" t="n"/>
      <c r="H49" s="533" t="n"/>
      <c r="I49" s="529">
        <f>IF(E49="","",E49+(E49*H49/100*G49))</f>
        <v/>
      </c>
      <c r="J49" s="534">
        <f>IFERROR(I49/G49,"")</f>
        <v/>
      </c>
      <c r="K49" s="535">
        <f>IF(B49="","Pending",IF(M49="","⚠️ Enter Code",IF(IFERROR(VLOOKUP(L49,DB_Agents!$B:$I,8,0),"")=M49,"Pending","🔒 BLOCKED — Wrong Code")))</f>
        <v/>
      </c>
      <c r="L49" s="380" t="inlineStr">
        <is>
          <t>Agent 05</t>
        </is>
      </c>
      <c r="M49" s="491" t="n"/>
      <c r="N49" s="494" t="n"/>
    </row>
    <row r="50" ht="15" customHeight="1" s="341">
      <c r="A50" s="499">
        <f>IF(B50="","",IF(C50="❌ Account Not Found","INVALID","LN"&amp;TEXT(D50,"YYYYMMDD")&amp;TEXT(ROW()-13,"0000")))</f>
        <v/>
      </c>
      <c r="B50" s="495" t="n"/>
      <c r="C50" s="382">
        <f>IF(B50="","",IFERROR(VLOOKUP(B50,DB_Customers!$A:$D,4,0),"❌ Account Not Found"))</f>
        <v/>
      </c>
      <c r="D50" s="497">
        <f>IF(B50="","",TODAY())</f>
        <v/>
      </c>
      <c r="E50" s="526" t="n"/>
      <c r="F50" s="382" t="n"/>
      <c r="G50" s="527" t="n"/>
      <c r="H50" s="528" t="n"/>
      <c r="I50" s="529">
        <f>IF(E50="","",E50+(E50*H50/100*G50))</f>
        <v/>
      </c>
      <c r="J50" s="530">
        <f>IFERROR(I50/G50,"")</f>
        <v/>
      </c>
      <c r="K50" s="531">
        <f>IF(B50="","Pending",IF(M50="","⚠️ Enter Code",IF(IFERROR(VLOOKUP(L50,DB_Agents!$B:$I,8,0),"")=M50,"Pending","🔒 BLOCKED — Wrong Code")))</f>
        <v/>
      </c>
      <c r="L50" s="384" t="inlineStr">
        <is>
          <t>Agent 05</t>
        </is>
      </c>
      <c r="M50" s="491" t="n"/>
      <c r="N50" s="501" t="n"/>
    </row>
    <row r="51" ht="15" customHeight="1" s="341">
      <c r="A51" s="492">
        <f>IF(B51="","",IF(C51="❌ Account Not Found","INVALID","LN"&amp;TEXT(D51,"YYYYMMDD")&amp;TEXT(ROW()-13,"0000")))</f>
        <v/>
      </c>
      <c r="B51" s="486" t="n"/>
      <c r="C51" s="378">
        <f>IF(B51="","",IFERROR(VLOOKUP(B51,DB_Customers!$A:$D,4,0),"❌ Account Not Found"))</f>
        <v/>
      </c>
      <c r="D51" s="488">
        <f>IF(B51="","",TODAY())</f>
        <v/>
      </c>
      <c r="E51" s="526" t="n"/>
      <c r="F51" s="378" t="n"/>
      <c r="G51" s="532" t="n"/>
      <c r="H51" s="533" t="n"/>
      <c r="I51" s="529">
        <f>IF(E51="","",E51+(E51*H51/100*G51))</f>
        <v/>
      </c>
      <c r="J51" s="534">
        <f>IFERROR(I51/G51,"")</f>
        <v/>
      </c>
      <c r="K51" s="535">
        <f>IF(B51="","Pending",IF(M51="","⚠️ Enter Code",IF(IFERROR(VLOOKUP(L51,DB_Agents!$B:$I,8,0),"")=M51,"Pending","🔒 BLOCKED — Wrong Code")))</f>
        <v/>
      </c>
      <c r="L51" s="380" t="inlineStr">
        <is>
          <t>Agent 05</t>
        </is>
      </c>
      <c r="M51" s="491" t="n"/>
      <c r="N51" s="494" t="n"/>
    </row>
    <row r="52" ht="15" customHeight="1" s="341">
      <c r="A52" s="499">
        <f>IF(B52="","",IF(C52="❌ Account Not Found","INVALID","LN"&amp;TEXT(D52,"YYYYMMDD")&amp;TEXT(ROW()-13,"0000")))</f>
        <v/>
      </c>
      <c r="B52" s="495" t="n"/>
      <c r="C52" s="382">
        <f>IF(B52="","",IFERROR(VLOOKUP(B52,DB_Customers!$A:$D,4,0),"❌ Account Not Found"))</f>
        <v/>
      </c>
      <c r="D52" s="497">
        <f>IF(B52="","",TODAY())</f>
        <v/>
      </c>
      <c r="E52" s="526" t="n"/>
      <c r="F52" s="382" t="n"/>
      <c r="G52" s="527" t="n"/>
      <c r="H52" s="528" t="n"/>
      <c r="I52" s="529">
        <f>IF(E52="","",E52+(E52*H52/100*G52))</f>
        <v/>
      </c>
      <c r="J52" s="530">
        <f>IFERROR(I52/G52,"")</f>
        <v/>
      </c>
      <c r="K52" s="531">
        <f>IF(B52="","Pending",IF(M52="","⚠️ Enter Code",IF(IFERROR(VLOOKUP(L52,DB_Agents!$B:$I,8,0),"")=M52,"Pending","🔒 BLOCKED — Wrong Code")))</f>
        <v/>
      </c>
      <c r="L52" s="384" t="inlineStr">
        <is>
          <t>Agent 05</t>
        </is>
      </c>
      <c r="M52" s="491" t="n"/>
      <c r="N52" s="501" t="n"/>
    </row>
    <row r="53" ht="15" customHeight="1" s="341">
      <c r="A53" s="492">
        <f>IF(B53="","",IF(C53="❌ Account Not Found","INVALID","LN"&amp;TEXT(D53,"YYYYMMDD")&amp;TEXT(ROW()-13,"0000")))</f>
        <v/>
      </c>
      <c r="B53" s="486" t="n"/>
      <c r="C53" s="378">
        <f>IF(B53="","",IFERROR(VLOOKUP(B53,DB_Customers!$A:$D,4,0),"❌ Account Not Found"))</f>
        <v/>
      </c>
      <c r="D53" s="488">
        <f>IF(B53="","",TODAY())</f>
        <v/>
      </c>
      <c r="E53" s="526" t="n"/>
      <c r="F53" s="378" t="n"/>
      <c r="G53" s="532" t="n"/>
      <c r="H53" s="533" t="n"/>
      <c r="I53" s="529">
        <f>IF(E53="","",E53+(E53*H53/100*G53))</f>
        <v/>
      </c>
      <c r="J53" s="534">
        <f>IFERROR(I53/G53,"")</f>
        <v/>
      </c>
      <c r="K53" s="535">
        <f>IF(B53="","Pending",IF(M53="","⚠️ Enter Code",IF(IFERROR(VLOOKUP(L53,DB_Agents!$B:$I,8,0),"")=M53,"Pending","🔒 BLOCKED — Wrong Code")))</f>
        <v/>
      </c>
      <c r="L53" s="380" t="inlineStr">
        <is>
          <t>Agent 05</t>
        </is>
      </c>
      <c r="M53" s="491" t="n"/>
      <c r="N53" s="494" t="n"/>
    </row>
    <row r="54" ht="15" customHeight="1" s="341">
      <c r="A54" s="499">
        <f>IF(B54="","",IF(C54="❌ Account Not Found","INVALID","LN"&amp;TEXT(D54,"YYYYMMDD")&amp;TEXT(ROW()-13,"0000")))</f>
        <v/>
      </c>
      <c r="B54" s="495" t="n"/>
      <c r="C54" s="382">
        <f>IF(B54="","",IFERROR(VLOOKUP(B54,DB_Customers!$A:$D,4,0),"❌ Account Not Found"))</f>
        <v/>
      </c>
      <c r="D54" s="497">
        <f>IF(B54="","",TODAY())</f>
        <v/>
      </c>
      <c r="E54" s="526" t="n"/>
      <c r="F54" s="382" t="n"/>
      <c r="G54" s="527" t="n"/>
      <c r="H54" s="528" t="n"/>
      <c r="I54" s="529">
        <f>IF(E54="","",E54+(E54*H54/100*G54))</f>
        <v/>
      </c>
      <c r="J54" s="530">
        <f>IFERROR(I54/G54,"")</f>
        <v/>
      </c>
      <c r="K54" s="531">
        <f>IF(B54="","Pending",IF(M54="","⚠️ Enter Code",IF(IFERROR(VLOOKUP(L54,DB_Agents!$B:$I,8,0),"")=M54,"Pending","🔒 BLOCKED — Wrong Code")))</f>
        <v/>
      </c>
      <c r="L54" s="384" t="inlineStr">
        <is>
          <t>Agent 05</t>
        </is>
      </c>
      <c r="M54" s="491" t="n"/>
      <c r="N54" s="501" t="n"/>
    </row>
    <row r="55" ht="15" customHeight="1" s="341">
      <c r="A55" s="492">
        <f>IF(B55="","",IF(C55="❌ Account Not Found","INVALID","LN"&amp;TEXT(D55,"YYYYMMDD")&amp;TEXT(ROW()-13,"0000")))</f>
        <v/>
      </c>
      <c r="B55" s="486" t="n"/>
      <c r="C55" s="378">
        <f>IF(B55="","",IFERROR(VLOOKUP(B55,DB_Customers!$A:$D,4,0),"❌ Account Not Found"))</f>
        <v/>
      </c>
      <c r="D55" s="488">
        <f>IF(B55="","",TODAY())</f>
        <v/>
      </c>
      <c r="E55" s="526" t="n"/>
      <c r="F55" s="378" t="n"/>
      <c r="G55" s="532" t="n"/>
      <c r="H55" s="533" t="n"/>
      <c r="I55" s="529">
        <f>IF(E55="","",E55+(E55*H55/100*G55))</f>
        <v/>
      </c>
      <c r="J55" s="534">
        <f>IFERROR(I55/G55,"")</f>
        <v/>
      </c>
      <c r="K55" s="535">
        <f>IF(B55="","Pending",IF(M55="","⚠️ Enter Code",IF(IFERROR(VLOOKUP(L55,DB_Agents!$B:$I,8,0),"")=M55,"Pending","🔒 BLOCKED — Wrong Code")))</f>
        <v/>
      </c>
      <c r="L55" s="380" t="inlineStr">
        <is>
          <t>Agent 05</t>
        </is>
      </c>
      <c r="M55" s="491" t="n"/>
      <c r="N55" s="494" t="n"/>
    </row>
    <row r="56" ht="15" customHeight="1" s="341">
      <c r="A56" s="499">
        <f>IF(B56="","",IF(C56="❌ Account Not Found","INVALID","LN"&amp;TEXT(D56,"YYYYMMDD")&amp;TEXT(ROW()-13,"0000")))</f>
        <v/>
      </c>
      <c r="B56" s="495" t="n"/>
      <c r="C56" s="382">
        <f>IF(B56="","",IFERROR(VLOOKUP(B56,DB_Customers!$A:$D,4,0),"❌ Account Not Found"))</f>
        <v/>
      </c>
      <c r="D56" s="497">
        <f>IF(B56="","",TODAY())</f>
        <v/>
      </c>
      <c r="E56" s="526" t="n"/>
      <c r="F56" s="382" t="n"/>
      <c r="G56" s="527" t="n"/>
      <c r="H56" s="528" t="n"/>
      <c r="I56" s="529">
        <f>IF(E56="","",E56+(E56*H56/100*G56))</f>
        <v/>
      </c>
      <c r="J56" s="530">
        <f>IFERROR(I56/G56,"")</f>
        <v/>
      </c>
      <c r="K56" s="531">
        <f>IF(B56="","Pending",IF(M56="","⚠️ Enter Code",IF(IFERROR(VLOOKUP(L56,DB_Agents!$B:$I,8,0),"")=M56,"Pending","🔒 BLOCKED — Wrong Code")))</f>
        <v/>
      </c>
      <c r="L56" s="384" t="inlineStr">
        <is>
          <t>Agent 05</t>
        </is>
      </c>
      <c r="M56" s="491" t="n"/>
      <c r="N56" s="501" t="n"/>
    </row>
    <row r="57" ht="15" customHeight="1" s="341">
      <c r="A57" s="492">
        <f>IF(B57="","",IF(C57="❌ Account Not Found","INVALID","LN"&amp;TEXT(D57,"YYYYMMDD")&amp;TEXT(ROW()-13,"0000")))</f>
        <v/>
      </c>
      <c r="B57" s="486" t="n"/>
      <c r="C57" s="378">
        <f>IF(B57="","",IFERROR(VLOOKUP(B57,DB_Customers!$A:$D,4,0),"❌ Account Not Found"))</f>
        <v/>
      </c>
      <c r="D57" s="488">
        <f>IF(B57="","",TODAY())</f>
        <v/>
      </c>
      <c r="E57" s="526" t="n"/>
      <c r="F57" s="378" t="n"/>
      <c r="G57" s="532" t="n"/>
      <c r="H57" s="533" t="n"/>
      <c r="I57" s="529">
        <f>IF(E57="","",E57+(E57*H57/100*G57))</f>
        <v/>
      </c>
      <c r="J57" s="534">
        <f>IFERROR(I57/G57,"")</f>
        <v/>
      </c>
      <c r="K57" s="535">
        <f>IF(B57="","Pending",IF(M57="","⚠️ Enter Code",IF(IFERROR(VLOOKUP(L57,DB_Agents!$B:$I,8,0),"")=M57,"Pending","🔒 BLOCKED — Wrong Code")))</f>
        <v/>
      </c>
      <c r="L57" s="380" t="inlineStr">
        <is>
          <t>Agent 05</t>
        </is>
      </c>
      <c r="M57" s="491" t="n"/>
      <c r="N57" s="494" t="n"/>
    </row>
    <row r="58" ht="15" customHeight="1" s="341">
      <c r="A58" s="499">
        <f>IF(B58="","",IF(C58="❌ Account Not Found","INVALID","LN"&amp;TEXT(D58,"YYYYMMDD")&amp;TEXT(ROW()-13,"0000")))</f>
        <v/>
      </c>
      <c r="B58" s="495" t="n"/>
      <c r="C58" s="382">
        <f>IF(B58="","",IFERROR(VLOOKUP(B58,DB_Customers!$A:$D,4,0),"❌ Account Not Found"))</f>
        <v/>
      </c>
      <c r="D58" s="497">
        <f>IF(B58="","",TODAY())</f>
        <v/>
      </c>
      <c r="E58" s="526" t="n"/>
      <c r="F58" s="382" t="n"/>
      <c r="G58" s="527" t="n"/>
      <c r="H58" s="528" t="n"/>
      <c r="I58" s="529">
        <f>IF(E58="","",E58+(E58*H58/100*G58))</f>
        <v/>
      </c>
      <c r="J58" s="530">
        <f>IFERROR(I58/G58,"")</f>
        <v/>
      </c>
      <c r="K58" s="531">
        <f>IF(B58="","Pending",IF(M58="","⚠️ Enter Code",IF(IFERROR(VLOOKUP(L58,DB_Agents!$B:$I,8,0),"")=M58,"Pending","🔒 BLOCKED — Wrong Code")))</f>
        <v/>
      </c>
      <c r="L58" s="384" t="inlineStr">
        <is>
          <t>Agent 05</t>
        </is>
      </c>
      <c r="M58" s="491" t="n"/>
      <c r="N58" s="501" t="n"/>
    </row>
    <row r="59" ht="15" customHeight="1" s="341">
      <c r="A59" s="492">
        <f>IF(B59="","",IF(C59="❌ Account Not Found","INVALID","LN"&amp;TEXT(D59,"YYYYMMDD")&amp;TEXT(ROW()-13,"0000")))</f>
        <v/>
      </c>
      <c r="B59" s="486" t="n"/>
      <c r="C59" s="378">
        <f>IF(B59="","",IFERROR(VLOOKUP(B59,DB_Customers!$A:$D,4,0),"❌ Account Not Found"))</f>
        <v/>
      </c>
      <c r="D59" s="488">
        <f>IF(B59="","",TODAY())</f>
        <v/>
      </c>
      <c r="E59" s="526" t="n"/>
      <c r="F59" s="378" t="n"/>
      <c r="G59" s="532" t="n"/>
      <c r="H59" s="533" t="n"/>
      <c r="I59" s="529">
        <f>IF(E59="","",E59+(E59*H59/100*G59))</f>
        <v/>
      </c>
      <c r="J59" s="534">
        <f>IFERROR(I59/G59,"")</f>
        <v/>
      </c>
      <c r="K59" s="535">
        <f>IF(B59="","Pending",IF(M59="","⚠️ Enter Code",IF(IFERROR(VLOOKUP(L59,DB_Agents!$B:$I,8,0),"")=M59,"Pending","🔒 BLOCKED — Wrong Code")))</f>
        <v/>
      </c>
      <c r="L59" s="380" t="inlineStr">
        <is>
          <t>Agent 05</t>
        </is>
      </c>
      <c r="M59" s="491" t="n"/>
      <c r="N59" s="494" t="n"/>
    </row>
    <row r="60" ht="15" customHeight="1" s="341">
      <c r="A60" s="499">
        <f>IF(B60="","",IF(C60="❌ Account Not Found","INVALID","LN"&amp;TEXT(D60,"YYYYMMDD")&amp;TEXT(ROW()-13,"0000")))</f>
        <v/>
      </c>
      <c r="B60" s="495" t="n"/>
      <c r="C60" s="382">
        <f>IF(B60="","",IFERROR(VLOOKUP(B60,DB_Customers!$A:$D,4,0),"❌ Account Not Found"))</f>
        <v/>
      </c>
      <c r="D60" s="497">
        <f>IF(B60="","",TODAY())</f>
        <v/>
      </c>
      <c r="E60" s="526" t="n"/>
      <c r="F60" s="382" t="n"/>
      <c r="G60" s="527" t="n"/>
      <c r="H60" s="528" t="n"/>
      <c r="I60" s="529">
        <f>IF(E60="","",E60+(E60*H60/100*G60))</f>
        <v/>
      </c>
      <c r="J60" s="530">
        <f>IFERROR(I60/G60,"")</f>
        <v/>
      </c>
      <c r="K60" s="531">
        <f>IF(B60="","Pending",IF(M60="","⚠️ Enter Code",IF(IFERROR(VLOOKUP(L60,DB_Agents!$B:$I,8,0),"")=M60,"Pending","🔒 BLOCKED — Wrong Code")))</f>
        <v/>
      </c>
      <c r="L60" s="384" t="inlineStr">
        <is>
          <t>Agent 05</t>
        </is>
      </c>
      <c r="M60" s="491" t="n"/>
      <c r="N60" s="501" t="n"/>
    </row>
    <row r="61" ht="15" customHeight="1" s="341">
      <c r="A61" s="492">
        <f>IF(B61="","",IF(C61="❌ Account Not Found","INVALID","LN"&amp;TEXT(D61,"YYYYMMDD")&amp;TEXT(ROW()-13,"0000")))</f>
        <v/>
      </c>
      <c r="B61" s="486" t="n"/>
      <c r="C61" s="378">
        <f>IF(B61="","",IFERROR(VLOOKUP(B61,DB_Customers!$A:$D,4,0),"❌ Account Not Found"))</f>
        <v/>
      </c>
      <c r="D61" s="488">
        <f>IF(B61="","",TODAY())</f>
        <v/>
      </c>
      <c r="E61" s="526" t="n"/>
      <c r="F61" s="378" t="n"/>
      <c r="G61" s="532" t="n"/>
      <c r="H61" s="533" t="n"/>
      <c r="I61" s="529">
        <f>IF(E61="","",E61+(E61*H61/100*G61))</f>
        <v/>
      </c>
      <c r="J61" s="534">
        <f>IFERROR(I61/G61,"")</f>
        <v/>
      </c>
      <c r="K61" s="535">
        <f>IF(B61="","Pending",IF(M61="","⚠️ Enter Code",IF(IFERROR(VLOOKUP(L61,DB_Agents!$B:$I,8,0),"")=M61,"Pending","🔒 BLOCKED — Wrong Code")))</f>
        <v/>
      </c>
      <c r="L61" s="380" t="inlineStr">
        <is>
          <t>Agent 05</t>
        </is>
      </c>
      <c r="M61" s="491" t="n"/>
      <c r="N61" s="494" t="n"/>
    </row>
    <row r="62" ht="15" customHeight="1" s="341">
      <c r="A62" s="499">
        <f>IF(B62="","",IF(C62="❌ Account Not Found","INVALID","LN"&amp;TEXT(D62,"YYYYMMDD")&amp;TEXT(ROW()-13,"0000")))</f>
        <v/>
      </c>
      <c r="B62" s="495" t="n"/>
      <c r="C62" s="382">
        <f>IF(B62="","",IFERROR(VLOOKUP(B62,DB_Customers!$A:$D,4,0),"❌ Account Not Found"))</f>
        <v/>
      </c>
      <c r="D62" s="497">
        <f>IF(B62="","",TODAY())</f>
        <v/>
      </c>
      <c r="E62" s="526" t="n"/>
      <c r="F62" s="382" t="n"/>
      <c r="G62" s="527" t="n"/>
      <c r="H62" s="528" t="n"/>
      <c r="I62" s="529">
        <f>IF(E62="","",E62+(E62*H62/100*G62))</f>
        <v/>
      </c>
      <c r="J62" s="530">
        <f>IFERROR(I62/G62,"")</f>
        <v/>
      </c>
      <c r="K62" s="531">
        <f>IF(B62="","Pending",IF(M62="","⚠️ Enter Code",IF(IFERROR(VLOOKUP(L62,DB_Agents!$B:$I,8,0),"")=M62,"Pending","🔒 BLOCKED — Wrong Code")))</f>
        <v/>
      </c>
      <c r="L62" s="384" t="inlineStr">
        <is>
          <t>Agent 05</t>
        </is>
      </c>
      <c r="M62" s="491" t="n"/>
      <c r="N62" s="501" t="n"/>
    </row>
    <row r="63" ht="15" customHeight="1" s="341">
      <c r="A63" s="492">
        <f>IF(B63="","",IF(C63="❌ Account Not Found","INVALID","LN"&amp;TEXT(D63,"YYYYMMDD")&amp;TEXT(ROW()-13,"0000")))</f>
        <v/>
      </c>
      <c r="B63" s="486" t="n"/>
      <c r="C63" s="378">
        <f>IF(B63="","",IFERROR(VLOOKUP(B63,DB_Customers!$A:$D,4,0),"❌ Account Not Found"))</f>
        <v/>
      </c>
      <c r="D63" s="488">
        <f>IF(B63="","",TODAY())</f>
        <v/>
      </c>
      <c r="E63" s="526" t="n"/>
      <c r="F63" s="378" t="n"/>
      <c r="G63" s="532" t="n"/>
      <c r="H63" s="533" t="n"/>
      <c r="I63" s="529">
        <f>IF(E63="","",E63+(E63*H63/100*G63))</f>
        <v/>
      </c>
      <c r="J63" s="534">
        <f>IFERROR(I63/G63,"")</f>
        <v/>
      </c>
      <c r="K63" s="535">
        <f>IF(B63="","Pending",IF(M63="","⚠️ Enter Code",IF(IFERROR(VLOOKUP(L63,DB_Agents!$B:$I,8,0),"")=M63,"Pending","🔒 BLOCKED — Wrong Code")))</f>
        <v/>
      </c>
      <c r="L63" s="380" t="inlineStr">
        <is>
          <t>Agent 05</t>
        </is>
      </c>
      <c r="M63" s="491" t="n"/>
      <c r="N63" s="494" t="n"/>
    </row>
    <row r="64" ht="15" customHeight="1" s="341">
      <c r="A64" s="499">
        <f>IF(B64="","",IF(C64="❌ Account Not Found","INVALID","LN"&amp;TEXT(D64,"YYYYMMDD")&amp;TEXT(ROW()-13,"0000")))</f>
        <v/>
      </c>
      <c r="B64" s="495" t="n"/>
      <c r="C64" s="382">
        <f>IF(B64="","",IFERROR(VLOOKUP(B64,DB_Customers!$A:$D,4,0),"❌ Account Not Found"))</f>
        <v/>
      </c>
      <c r="D64" s="497">
        <f>IF(B64="","",TODAY())</f>
        <v/>
      </c>
      <c r="E64" s="526" t="n"/>
      <c r="F64" s="382" t="n"/>
      <c r="G64" s="527" t="n"/>
      <c r="H64" s="528" t="n"/>
      <c r="I64" s="529">
        <f>IF(E64="","",E64+(E64*H64/100*G64))</f>
        <v/>
      </c>
      <c r="J64" s="530">
        <f>IFERROR(I64/G64,"")</f>
        <v/>
      </c>
      <c r="K64" s="531">
        <f>IF(B64="","Pending",IF(M64="","⚠️ Enter Code",IF(IFERROR(VLOOKUP(L64,DB_Agents!$B:$I,8,0),"")=M64,"Pending","🔒 BLOCKED — Wrong Code")))</f>
        <v/>
      </c>
      <c r="L64" s="384" t="inlineStr">
        <is>
          <t>Agent 05</t>
        </is>
      </c>
      <c r="M64" s="491" t="n"/>
      <c r="N64" s="501" t="n"/>
    </row>
    <row r="65" ht="15" customHeight="1" s="341">
      <c r="A65" s="492">
        <f>IF(B65="","",IF(C65="❌ Account Not Found","INVALID","LN"&amp;TEXT(D65,"YYYYMMDD")&amp;TEXT(ROW()-13,"0000")))</f>
        <v/>
      </c>
      <c r="B65" s="486" t="n"/>
      <c r="C65" s="378">
        <f>IF(B65="","",IFERROR(VLOOKUP(B65,DB_Customers!$A:$D,4,0),"❌ Account Not Found"))</f>
        <v/>
      </c>
      <c r="D65" s="488">
        <f>IF(B65="","",TODAY())</f>
        <v/>
      </c>
      <c r="E65" s="526" t="n"/>
      <c r="F65" s="378" t="n"/>
      <c r="G65" s="532" t="n"/>
      <c r="H65" s="533" t="n"/>
      <c r="I65" s="529">
        <f>IF(E65="","",E65+(E65*H65/100*G65))</f>
        <v/>
      </c>
      <c r="J65" s="534">
        <f>IFERROR(I65/G65,"")</f>
        <v/>
      </c>
      <c r="K65" s="535">
        <f>IF(B65="","Pending",IF(M65="","⚠️ Enter Code",IF(IFERROR(VLOOKUP(L65,DB_Agents!$B:$I,8,0),"")=M65,"Pending","🔒 BLOCKED — Wrong Code")))</f>
        <v/>
      </c>
      <c r="L65" s="380" t="inlineStr">
        <is>
          <t>Agent 05</t>
        </is>
      </c>
      <c r="M65" s="491" t="n"/>
      <c r="N65" s="494" t="n"/>
    </row>
    <row r="66" ht="15" customHeight="1" s="341">
      <c r="A66" s="499">
        <f>IF(B66="","",IF(C66="❌ Account Not Found","INVALID","LN"&amp;TEXT(D66,"YYYYMMDD")&amp;TEXT(ROW()-13,"0000")))</f>
        <v/>
      </c>
      <c r="B66" s="495" t="n"/>
      <c r="C66" s="382">
        <f>IF(B66="","",IFERROR(VLOOKUP(B66,DB_Customers!$A:$D,4,0),"❌ Account Not Found"))</f>
        <v/>
      </c>
      <c r="D66" s="497">
        <f>IF(B66="","",TODAY())</f>
        <v/>
      </c>
      <c r="E66" s="526" t="n"/>
      <c r="F66" s="382" t="n"/>
      <c r="G66" s="527" t="n"/>
      <c r="H66" s="528" t="n"/>
      <c r="I66" s="529">
        <f>IF(E66="","",E66+(E66*H66/100*G66))</f>
        <v/>
      </c>
      <c r="J66" s="530">
        <f>IFERROR(I66/G66,"")</f>
        <v/>
      </c>
      <c r="K66" s="531">
        <f>IF(B66="","Pending",IF(M66="","⚠️ Enter Code",IF(IFERROR(VLOOKUP(L66,DB_Agents!$B:$I,8,0),"")=M66,"Pending","🔒 BLOCKED — Wrong Code")))</f>
        <v/>
      </c>
      <c r="L66" s="384" t="inlineStr">
        <is>
          <t>Agent 05</t>
        </is>
      </c>
      <c r="M66" s="491" t="n"/>
      <c r="N66" s="501" t="n"/>
    </row>
    <row r="67" ht="15" customHeight="1" s="341">
      <c r="A67" s="492">
        <f>IF(B67="","",IF(C67="❌ Account Not Found","INVALID","LN"&amp;TEXT(D67,"YYYYMMDD")&amp;TEXT(ROW()-13,"0000")))</f>
        <v/>
      </c>
      <c r="B67" s="486" t="n"/>
      <c r="C67" s="378">
        <f>IF(B67="","",IFERROR(VLOOKUP(B67,DB_Customers!$A:$D,4,0),"❌ Account Not Found"))</f>
        <v/>
      </c>
      <c r="D67" s="488">
        <f>IF(B67="","",TODAY())</f>
        <v/>
      </c>
      <c r="E67" s="526" t="n"/>
      <c r="F67" s="378" t="n"/>
      <c r="G67" s="532" t="n"/>
      <c r="H67" s="533" t="n"/>
      <c r="I67" s="529">
        <f>IF(E67="","",E67+(E67*H67/100*G67))</f>
        <v/>
      </c>
      <c r="J67" s="534">
        <f>IFERROR(I67/G67,"")</f>
        <v/>
      </c>
      <c r="K67" s="535">
        <f>IF(B67="","Pending",IF(M67="","⚠️ Enter Code",IF(IFERROR(VLOOKUP(L67,DB_Agents!$B:$I,8,0),"")=M67,"Pending","🔒 BLOCKED — Wrong Code")))</f>
        <v/>
      </c>
      <c r="L67" s="380" t="inlineStr">
        <is>
          <t>Agent 05</t>
        </is>
      </c>
      <c r="M67" s="491" t="n"/>
      <c r="N67" s="494" t="n"/>
    </row>
    <row r="68" ht="15" customHeight="1" s="341">
      <c r="A68" s="499">
        <f>IF(B68="","",IF(C68="❌ Account Not Found","INVALID","LN"&amp;TEXT(D68,"YYYYMMDD")&amp;TEXT(ROW()-13,"0000")))</f>
        <v/>
      </c>
      <c r="B68" s="495" t="n"/>
      <c r="C68" s="382">
        <f>IF(B68="","",IFERROR(VLOOKUP(B68,DB_Customers!$A:$D,4,0),"❌ Account Not Found"))</f>
        <v/>
      </c>
      <c r="D68" s="497">
        <f>IF(B68="","",TODAY())</f>
        <v/>
      </c>
      <c r="E68" s="526" t="n"/>
      <c r="F68" s="382" t="n"/>
      <c r="G68" s="527" t="n"/>
      <c r="H68" s="528" t="n"/>
      <c r="I68" s="529">
        <f>IF(E68="","",E68+(E68*H68/100*G68))</f>
        <v/>
      </c>
      <c r="J68" s="530">
        <f>IFERROR(I68/G68,"")</f>
        <v/>
      </c>
      <c r="K68" s="531">
        <f>IF(B68="","Pending",IF(M68="","⚠️ Enter Code",IF(IFERROR(VLOOKUP(L68,DB_Agents!$B:$I,8,0),"")=M68,"Pending","🔒 BLOCKED — Wrong Code")))</f>
        <v/>
      </c>
      <c r="L68" s="384" t="inlineStr">
        <is>
          <t>Agent 05</t>
        </is>
      </c>
      <c r="M68" s="491" t="n"/>
      <c r="N68" s="501" t="n"/>
    </row>
    <row r="69" ht="15" customHeight="1" s="341">
      <c r="A69" s="492">
        <f>IF(B69="","",IF(C69="❌ Account Not Found","INVALID","LN"&amp;TEXT(D69,"YYYYMMDD")&amp;TEXT(ROW()-13,"0000")))</f>
        <v/>
      </c>
      <c r="B69" s="486" t="n"/>
      <c r="C69" s="378">
        <f>IF(B69="","",IFERROR(VLOOKUP(B69,DB_Customers!$A:$D,4,0),"❌ Account Not Found"))</f>
        <v/>
      </c>
      <c r="D69" s="488">
        <f>IF(B69="","",TODAY())</f>
        <v/>
      </c>
      <c r="E69" s="526" t="n"/>
      <c r="F69" s="378" t="n"/>
      <c r="G69" s="532" t="n"/>
      <c r="H69" s="533" t="n"/>
      <c r="I69" s="529">
        <f>IF(E69="","",E69+(E69*H69/100*G69))</f>
        <v/>
      </c>
      <c r="J69" s="534">
        <f>IFERROR(I69/G69,"")</f>
        <v/>
      </c>
      <c r="K69" s="535">
        <f>IF(B69="","Pending",IF(M69="","⚠️ Enter Code",IF(IFERROR(VLOOKUP(L69,DB_Agents!$B:$I,8,0),"")=M69,"Pending","🔒 BLOCKED — Wrong Code")))</f>
        <v/>
      </c>
      <c r="L69" s="380" t="inlineStr">
        <is>
          <t>Agent 05</t>
        </is>
      </c>
      <c r="M69" s="491" t="n"/>
      <c r="N69" s="494" t="n"/>
    </row>
    <row r="70" ht="15" customHeight="1" s="341">
      <c r="A70" s="499">
        <f>IF(B70="","",IF(C70="❌ Account Not Found","INVALID","LN"&amp;TEXT(D70,"YYYYMMDD")&amp;TEXT(ROW()-13,"0000")))</f>
        <v/>
      </c>
      <c r="B70" s="495" t="n"/>
      <c r="C70" s="382">
        <f>IF(B70="","",IFERROR(VLOOKUP(B70,DB_Customers!$A:$D,4,0),"❌ Account Not Found"))</f>
        <v/>
      </c>
      <c r="D70" s="497">
        <f>IF(B70="","",TODAY())</f>
        <v/>
      </c>
      <c r="E70" s="526" t="n"/>
      <c r="F70" s="382" t="n"/>
      <c r="G70" s="527" t="n"/>
      <c r="H70" s="528" t="n"/>
      <c r="I70" s="529">
        <f>IF(E70="","",E70+(E70*H70/100*G70))</f>
        <v/>
      </c>
      <c r="J70" s="530">
        <f>IFERROR(I70/G70,"")</f>
        <v/>
      </c>
      <c r="K70" s="531">
        <f>IF(B70="","Pending",IF(M70="","⚠️ Enter Code",IF(IFERROR(VLOOKUP(L70,DB_Agents!$B:$I,8,0),"")=M70,"Pending","🔒 BLOCKED — Wrong Code")))</f>
        <v/>
      </c>
      <c r="L70" s="384" t="inlineStr">
        <is>
          <t>Agent 05</t>
        </is>
      </c>
      <c r="M70" s="491" t="n"/>
      <c r="N70" s="501" t="n"/>
    </row>
    <row r="71" ht="15" customHeight="1" s="341">
      <c r="A71" s="492">
        <f>IF(B71="","",IF(C71="❌ Account Not Found","INVALID","LN"&amp;TEXT(D71,"YYYYMMDD")&amp;TEXT(ROW()-13,"0000")))</f>
        <v/>
      </c>
      <c r="B71" s="486" t="n"/>
      <c r="C71" s="378">
        <f>IF(B71="","",IFERROR(VLOOKUP(B71,DB_Customers!$A:$D,4,0),"❌ Account Not Found"))</f>
        <v/>
      </c>
      <c r="D71" s="488">
        <f>IF(B71="","",TODAY())</f>
        <v/>
      </c>
      <c r="E71" s="526" t="n"/>
      <c r="F71" s="378" t="n"/>
      <c r="G71" s="532" t="n"/>
      <c r="H71" s="533" t="n"/>
      <c r="I71" s="529">
        <f>IF(E71="","",E71+(E71*H71/100*G71))</f>
        <v/>
      </c>
      <c r="J71" s="534">
        <f>IFERROR(I71/G71,"")</f>
        <v/>
      </c>
      <c r="K71" s="535">
        <f>IF(B71="","Pending",IF(M71="","⚠️ Enter Code",IF(IFERROR(VLOOKUP(L71,DB_Agents!$B:$I,8,0),"")=M71,"Pending","🔒 BLOCKED — Wrong Code")))</f>
        <v/>
      </c>
      <c r="L71" s="380" t="inlineStr">
        <is>
          <t>Agent 05</t>
        </is>
      </c>
      <c r="M71" s="491" t="n"/>
      <c r="N71" s="494" t="n"/>
    </row>
    <row r="72" ht="15" customHeight="1" s="341">
      <c r="A72" s="499">
        <f>IF(B72="","",IF(C72="❌ Account Not Found","INVALID","LN"&amp;TEXT(D72,"YYYYMMDD")&amp;TEXT(ROW()-13,"0000")))</f>
        <v/>
      </c>
      <c r="B72" s="495" t="n"/>
      <c r="C72" s="382">
        <f>IF(B72="","",IFERROR(VLOOKUP(B72,DB_Customers!$A:$D,4,0),"❌ Account Not Found"))</f>
        <v/>
      </c>
      <c r="D72" s="497">
        <f>IF(B72="","",TODAY())</f>
        <v/>
      </c>
      <c r="E72" s="526" t="n"/>
      <c r="F72" s="382" t="n"/>
      <c r="G72" s="527" t="n"/>
      <c r="H72" s="528" t="n"/>
      <c r="I72" s="529">
        <f>IF(E72="","",E72+(E72*H72/100*G72))</f>
        <v/>
      </c>
      <c r="J72" s="530">
        <f>IFERROR(I72/G72,"")</f>
        <v/>
      </c>
      <c r="K72" s="531">
        <f>IF(B72="","Pending",IF(M72="","⚠️ Enter Code",IF(IFERROR(VLOOKUP(L72,DB_Agents!$B:$I,8,0),"")=M72,"Pending","🔒 BLOCKED — Wrong Code")))</f>
        <v/>
      </c>
      <c r="L72" s="384" t="inlineStr">
        <is>
          <t>Agent 05</t>
        </is>
      </c>
      <c r="M72" s="491" t="n"/>
      <c r="N72" s="501" t="n"/>
    </row>
    <row r="73" ht="15" customHeight="1" s="341">
      <c r="A73" s="492">
        <f>IF(B73="","",IF(C73="❌ Account Not Found","INVALID","LN"&amp;TEXT(D73,"YYYYMMDD")&amp;TEXT(ROW()-13,"0000")))</f>
        <v/>
      </c>
      <c r="B73" s="486" t="n"/>
      <c r="C73" s="378">
        <f>IF(B73="","",IFERROR(VLOOKUP(B73,DB_Customers!$A:$D,4,0),"❌ Account Not Found"))</f>
        <v/>
      </c>
      <c r="D73" s="488">
        <f>IF(B73="","",TODAY())</f>
        <v/>
      </c>
      <c r="E73" s="526" t="n"/>
      <c r="F73" s="378" t="n"/>
      <c r="G73" s="532" t="n"/>
      <c r="H73" s="533" t="n"/>
      <c r="I73" s="529">
        <f>IF(E73="","",E73+(E73*H73/100*G73))</f>
        <v/>
      </c>
      <c r="J73" s="534">
        <f>IFERROR(I73/G73,"")</f>
        <v/>
      </c>
      <c r="K73" s="535">
        <f>IF(B73="","Pending",IF(M73="","⚠️ Enter Code",IF(IFERROR(VLOOKUP(L73,DB_Agents!$B:$I,8,0),"")=M73,"Pending","🔒 BLOCKED — Wrong Code")))</f>
        <v/>
      </c>
      <c r="L73" s="380" t="inlineStr">
        <is>
          <t>Agent 05</t>
        </is>
      </c>
      <c r="M73" s="491" t="n"/>
      <c r="N73" s="494" t="n"/>
    </row>
    <row r="74" ht="15" customHeight="1" s="341">
      <c r="A74" s="499">
        <f>IF(B74="","",IF(C74="❌ Account Not Found","INVALID","LN"&amp;TEXT(D74,"YYYYMMDD")&amp;TEXT(ROW()-13,"0000")))</f>
        <v/>
      </c>
      <c r="B74" s="495" t="n"/>
      <c r="C74" s="382">
        <f>IF(B74="","",IFERROR(VLOOKUP(B74,DB_Customers!$A:$D,4,0),"❌ Account Not Found"))</f>
        <v/>
      </c>
      <c r="D74" s="497">
        <f>IF(B74="","",TODAY())</f>
        <v/>
      </c>
      <c r="E74" s="526" t="n"/>
      <c r="F74" s="382" t="n"/>
      <c r="G74" s="527" t="n"/>
      <c r="H74" s="528" t="n"/>
      <c r="I74" s="529">
        <f>IF(E74="","",E74+(E74*H74/100*G74))</f>
        <v/>
      </c>
      <c r="J74" s="530">
        <f>IFERROR(I74/G74,"")</f>
        <v/>
      </c>
      <c r="K74" s="531">
        <f>IF(B74="","Pending",IF(M74="","⚠️ Enter Code",IF(IFERROR(VLOOKUP(L74,DB_Agents!$B:$I,8,0),"")=M74,"Pending","🔒 BLOCKED — Wrong Code")))</f>
        <v/>
      </c>
      <c r="L74" s="384" t="inlineStr">
        <is>
          <t>Agent 05</t>
        </is>
      </c>
      <c r="M74" s="491" t="n"/>
      <c r="N74" s="501" t="n"/>
    </row>
    <row r="75" ht="15" customHeight="1" s="341">
      <c r="A75" s="492">
        <f>IF(B75="","",IF(C75="❌ Account Not Found","INVALID","LN"&amp;TEXT(D75,"YYYYMMDD")&amp;TEXT(ROW()-13,"0000")))</f>
        <v/>
      </c>
      <c r="B75" s="486" t="n"/>
      <c r="C75" s="378">
        <f>IF(B75="","",IFERROR(VLOOKUP(B75,DB_Customers!$A:$D,4,0),"❌ Account Not Found"))</f>
        <v/>
      </c>
      <c r="D75" s="488">
        <f>IF(B75="","",TODAY())</f>
        <v/>
      </c>
      <c r="E75" s="526" t="n"/>
      <c r="F75" s="378" t="n"/>
      <c r="G75" s="532" t="n"/>
      <c r="H75" s="533" t="n"/>
      <c r="I75" s="529">
        <f>IF(E75="","",E75+(E75*H75/100*G75))</f>
        <v/>
      </c>
      <c r="J75" s="534">
        <f>IFERROR(I75/G75,"")</f>
        <v/>
      </c>
      <c r="K75" s="535">
        <f>IF(B75="","Pending",IF(M75="","⚠️ Enter Code",IF(IFERROR(VLOOKUP(L75,DB_Agents!$B:$I,8,0),"")=M75,"Pending","🔒 BLOCKED — Wrong Code")))</f>
        <v/>
      </c>
      <c r="L75" s="380" t="inlineStr">
        <is>
          <t>Agent 05</t>
        </is>
      </c>
      <c r="M75" s="491" t="n"/>
      <c r="N75" s="494" t="n"/>
    </row>
    <row r="76" ht="15" customHeight="1" s="341">
      <c r="A76" s="499">
        <f>IF(B76="","",IF(C76="❌ Account Not Found","INVALID","LN"&amp;TEXT(D76,"YYYYMMDD")&amp;TEXT(ROW()-13,"0000")))</f>
        <v/>
      </c>
      <c r="B76" s="495" t="n"/>
      <c r="C76" s="382">
        <f>IF(B76="","",IFERROR(VLOOKUP(B76,DB_Customers!$A:$D,4,0),"❌ Account Not Found"))</f>
        <v/>
      </c>
      <c r="D76" s="497">
        <f>IF(B76="","",TODAY())</f>
        <v/>
      </c>
      <c r="E76" s="526" t="n"/>
      <c r="F76" s="382" t="n"/>
      <c r="G76" s="527" t="n"/>
      <c r="H76" s="528" t="n"/>
      <c r="I76" s="529">
        <f>IF(E76="","",E76+(E76*H76/100*G76))</f>
        <v/>
      </c>
      <c r="J76" s="530">
        <f>IFERROR(I76/G76,"")</f>
        <v/>
      </c>
      <c r="K76" s="531">
        <f>IF(B76="","Pending",IF(M76="","⚠️ Enter Code",IF(IFERROR(VLOOKUP(L76,DB_Agents!$B:$I,8,0),"")=M76,"Pending","🔒 BLOCKED — Wrong Code")))</f>
        <v/>
      </c>
      <c r="L76" s="384" t="inlineStr">
        <is>
          <t>Agent 05</t>
        </is>
      </c>
      <c r="M76" s="491" t="n"/>
      <c r="N76" s="501" t="n"/>
    </row>
    <row r="77" ht="15" customHeight="1" s="341">
      <c r="A77" s="492">
        <f>IF(B77="","",IF(C77="❌ Account Not Found","INVALID","LN"&amp;TEXT(D77,"YYYYMMDD")&amp;TEXT(ROW()-13,"0000")))</f>
        <v/>
      </c>
      <c r="B77" s="486" t="n"/>
      <c r="C77" s="378">
        <f>IF(B77="","",IFERROR(VLOOKUP(B77,DB_Customers!$A:$D,4,0),"❌ Account Not Found"))</f>
        <v/>
      </c>
      <c r="D77" s="488">
        <f>IF(B77="","",TODAY())</f>
        <v/>
      </c>
      <c r="E77" s="526" t="n"/>
      <c r="F77" s="378" t="n"/>
      <c r="G77" s="532" t="n"/>
      <c r="H77" s="533" t="n"/>
      <c r="I77" s="529">
        <f>IF(E77="","",E77+(E77*H77/100*G77))</f>
        <v/>
      </c>
      <c r="J77" s="534">
        <f>IFERROR(I77/G77,"")</f>
        <v/>
      </c>
      <c r="K77" s="535">
        <f>IF(B77="","Pending",IF(M77="","⚠️ Enter Code",IF(IFERROR(VLOOKUP(L77,DB_Agents!$B:$I,8,0),"")=M77,"Pending","🔒 BLOCKED — Wrong Code")))</f>
        <v/>
      </c>
      <c r="L77" s="380" t="inlineStr">
        <is>
          <t>Agent 05</t>
        </is>
      </c>
      <c r="M77" s="491" t="n"/>
      <c r="N77" s="494" t="n"/>
    </row>
    <row r="78" ht="15" customHeight="1" s="341">
      <c r="A78" s="499">
        <f>IF(B78="","",IF(C78="❌ Account Not Found","INVALID","LN"&amp;TEXT(D78,"YYYYMMDD")&amp;TEXT(ROW()-13,"0000")))</f>
        <v/>
      </c>
      <c r="B78" s="495" t="n"/>
      <c r="C78" s="382">
        <f>IF(B78="","",IFERROR(VLOOKUP(B78,DB_Customers!$A:$D,4,0),"❌ Account Not Found"))</f>
        <v/>
      </c>
      <c r="D78" s="497">
        <f>IF(B78="","",TODAY())</f>
        <v/>
      </c>
      <c r="E78" s="526" t="n"/>
      <c r="F78" s="382" t="n"/>
      <c r="G78" s="527" t="n"/>
      <c r="H78" s="528" t="n"/>
      <c r="I78" s="529">
        <f>IF(E78="","",E78+(E78*H78/100*G78))</f>
        <v/>
      </c>
      <c r="J78" s="530">
        <f>IFERROR(I78/G78,"")</f>
        <v/>
      </c>
      <c r="K78" s="531">
        <f>IF(B78="","Pending",IF(M78="","⚠️ Enter Code",IF(IFERROR(VLOOKUP(L78,DB_Agents!$B:$I,8,0),"")=M78,"Pending","🔒 BLOCKED — Wrong Code")))</f>
        <v/>
      </c>
      <c r="L78" s="384" t="inlineStr">
        <is>
          <t>Agent 05</t>
        </is>
      </c>
      <c r="M78" s="491" t="n"/>
      <c r="N78" s="501" t="n"/>
    </row>
    <row r="79" ht="15" customHeight="1" s="341">
      <c r="A79" s="492">
        <f>IF(B79="","",IF(C79="❌ Account Not Found","INVALID","LN"&amp;TEXT(D79,"YYYYMMDD")&amp;TEXT(ROW()-13,"0000")))</f>
        <v/>
      </c>
      <c r="B79" s="486" t="n"/>
      <c r="C79" s="378">
        <f>IF(B79="","",IFERROR(VLOOKUP(B79,DB_Customers!$A:$D,4,0),"❌ Account Not Found"))</f>
        <v/>
      </c>
      <c r="D79" s="488">
        <f>IF(B79="","",TODAY())</f>
        <v/>
      </c>
      <c r="E79" s="526" t="n"/>
      <c r="F79" s="378" t="n"/>
      <c r="G79" s="532" t="n"/>
      <c r="H79" s="533" t="n"/>
      <c r="I79" s="529">
        <f>IF(E79="","",E79+(E79*H79/100*G79))</f>
        <v/>
      </c>
      <c r="J79" s="534">
        <f>IFERROR(I79/G79,"")</f>
        <v/>
      </c>
      <c r="K79" s="535">
        <f>IF(B79="","Pending",IF(M79="","⚠️ Enter Code",IF(IFERROR(VLOOKUP(L79,DB_Agents!$B:$I,8,0),"")=M79,"Pending","🔒 BLOCKED — Wrong Code")))</f>
        <v/>
      </c>
      <c r="L79" s="380" t="inlineStr">
        <is>
          <t>Agent 05</t>
        </is>
      </c>
      <c r="M79" s="491" t="n"/>
      <c r="N79" s="494" t="n"/>
    </row>
    <row r="80" ht="15" customHeight="1" s="341">
      <c r="A80" s="499">
        <f>IF(B80="","",IF(C80="❌ Account Not Found","INVALID","LN"&amp;TEXT(D80,"YYYYMMDD")&amp;TEXT(ROW()-13,"0000")))</f>
        <v/>
      </c>
      <c r="B80" s="495" t="n"/>
      <c r="C80" s="382">
        <f>IF(B80="","",IFERROR(VLOOKUP(B80,DB_Customers!$A:$D,4,0),"❌ Account Not Found"))</f>
        <v/>
      </c>
      <c r="D80" s="497">
        <f>IF(B80="","",TODAY())</f>
        <v/>
      </c>
      <c r="E80" s="526" t="n"/>
      <c r="F80" s="382" t="n"/>
      <c r="G80" s="527" t="n"/>
      <c r="H80" s="528" t="n"/>
      <c r="I80" s="529">
        <f>IF(E80="","",E80+(E80*H80/100*G80))</f>
        <v/>
      </c>
      <c r="J80" s="530">
        <f>IFERROR(I80/G80,"")</f>
        <v/>
      </c>
      <c r="K80" s="531">
        <f>IF(B80="","Pending",IF(M80="","⚠️ Enter Code",IF(IFERROR(VLOOKUP(L80,DB_Agents!$B:$I,8,0),"")=M80,"Pending","🔒 BLOCKED — Wrong Code")))</f>
        <v/>
      </c>
      <c r="L80" s="384" t="inlineStr">
        <is>
          <t>Agent 05</t>
        </is>
      </c>
      <c r="M80" s="491" t="n"/>
      <c r="N80" s="501" t="n"/>
    </row>
    <row r="81" ht="15" customHeight="1" s="341">
      <c r="A81" s="492">
        <f>IF(B81="","",IF(C81="❌ Account Not Found","INVALID","LN"&amp;TEXT(D81,"YYYYMMDD")&amp;TEXT(ROW()-13,"0000")))</f>
        <v/>
      </c>
      <c r="B81" s="486" t="n"/>
      <c r="C81" s="378">
        <f>IF(B81="","",IFERROR(VLOOKUP(B81,DB_Customers!$A:$D,4,0),"❌ Account Not Found"))</f>
        <v/>
      </c>
      <c r="D81" s="488">
        <f>IF(B81="","",TODAY())</f>
        <v/>
      </c>
      <c r="E81" s="526" t="n"/>
      <c r="F81" s="378" t="n"/>
      <c r="G81" s="532" t="n"/>
      <c r="H81" s="533" t="n"/>
      <c r="I81" s="529">
        <f>IF(E81="","",E81+(E81*H81/100*G81))</f>
        <v/>
      </c>
      <c r="J81" s="534">
        <f>IFERROR(I81/G81,"")</f>
        <v/>
      </c>
      <c r="K81" s="535">
        <f>IF(B81="","Pending",IF(M81="","⚠️ Enter Code",IF(IFERROR(VLOOKUP(L81,DB_Agents!$B:$I,8,0),"")=M81,"Pending","🔒 BLOCKED — Wrong Code")))</f>
        <v/>
      </c>
      <c r="L81" s="380" t="inlineStr">
        <is>
          <t>Agent 05</t>
        </is>
      </c>
      <c r="M81" s="491" t="n"/>
      <c r="N81" s="494" t="n"/>
    </row>
    <row r="82" ht="15" customHeight="1" s="341">
      <c r="A82" s="499">
        <f>IF(B82="","",IF(C82="❌ Account Not Found","INVALID","LN"&amp;TEXT(D82,"YYYYMMDD")&amp;TEXT(ROW()-13,"0000")))</f>
        <v/>
      </c>
      <c r="B82" s="495" t="n"/>
      <c r="C82" s="382">
        <f>IF(B82="","",IFERROR(VLOOKUP(B82,DB_Customers!$A:$D,4,0),"❌ Account Not Found"))</f>
        <v/>
      </c>
      <c r="D82" s="497">
        <f>IF(B82="","",TODAY())</f>
        <v/>
      </c>
      <c r="E82" s="526" t="n"/>
      <c r="F82" s="382" t="n"/>
      <c r="G82" s="527" t="n"/>
      <c r="H82" s="528" t="n"/>
      <c r="I82" s="529">
        <f>IF(E82="","",E82+(E82*H82/100*G82))</f>
        <v/>
      </c>
      <c r="J82" s="530">
        <f>IFERROR(I82/G82,"")</f>
        <v/>
      </c>
      <c r="K82" s="531">
        <f>IF(B82="","Pending",IF(M82="","⚠️ Enter Code",IF(IFERROR(VLOOKUP(L82,DB_Agents!$B:$I,8,0),"")=M82,"Pending","🔒 BLOCKED — Wrong Code")))</f>
        <v/>
      </c>
      <c r="L82" s="384" t="inlineStr">
        <is>
          <t>Agent 05</t>
        </is>
      </c>
      <c r="M82" s="491" t="n"/>
      <c r="N82" s="501" t="n"/>
    </row>
    <row r="83" ht="15" customHeight="1" s="341">
      <c r="A83" s="492">
        <f>IF(B83="","",IF(C83="❌ Account Not Found","INVALID","LN"&amp;TEXT(D83,"YYYYMMDD")&amp;TEXT(ROW()-13,"0000")))</f>
        <v/>
      </c>
      <c r="B83" s="486" t="n"/>
      <c r="C83" s="378">
        <f>IF(B83="","",IFERROR(VLOOKUP(B83,DB_Customers!$A:$D,4,0),"❌ Account Not Found"))</f>
        <v/>
      </c>
      <c r="D83" s="488">
        <f>IF(B83="","",TODAY())</f>
        <v/>
      </c>
      <c r="E83" s="526" t="n"/>
      <c r="F83" s="378" t="n"/>
      <c r="G83" s="532" t="n"/>
      <c r="H83" s="533" t="n"/>
      <c r="I83" s="529">
        <f>IF(E83="","",E83+(E83*H83/100*G83))</f>
        <v/>
      </c>
      <c r="J83" s="534">
        <f>IFERROR(I83/G83,"")</f>
        <v/>
      </c>
      <c r="K83" s="535">
        <f>IF(B83="","Pending",IF(M83="","⚠️ Enter Code",IF(IFERROR(VLOOKUP(L83,DB_Agents!$B:$I,8,0),"")=M83,"Pending","🔒 BLOCKED — Wrong Code")))</f>
        <v/>
      </c>
      <c r="L83" s="380" t="inlineStr">
        <is>
          <t>Agent 05</t>
        </is>
      </c>
      <c r="M83" s="491" t="n"/>
      <c r="N83" s="494" t="n"/>
    </row>
    <row r="84" ht="15" customHeight="1" s="341">
      <c r="A84" s="499">
        <f>IF(B84="","",IF(C84="❌ Account Not Found","INVALID","LN"&amp;TEXT(D84,"YYYYMMDD")&amp;TEXT(ROW()-13,"0000")))</f>
        <v/>
      </c>
      <c r="B84" s="495" t="n"/>
      <c r="C84" s="382">
        <f>IF(B84="","",IFERROR(VLOOKUP(B84,DB_Customers!$A:$D,4,0),"❌ Account Not Found"))</f>
        <v/>
      </c>
      <c r="D84" s="497">
        <f>IF(B84="","",TODAY())</f>
        <v/>
      </c>
      <c r="E84" s="526" t="n"/>
      <c r="F84" s="382" t="n"/>
      <c r="G84" s="527" t="n"/>
      <c r="H84" s="528" t="n"/>
      <c r="I84" s="529">
        <f>IF(E84="","",E84+(E84*H84/100*G84))</f>
        <v/>
      </c>
      <c r="J84" s="530">
        <f>IFERROR(I84/G84,"")</f>
        <v/>
      </c>
      <c r="K84" s="531">
        <f>IF(B84="","Pending",IF(M84="","⚠️ Enter Code",IF(IFERROR(VLOOKUP(L84,DB_Agents!$B:$I,8,0),"")=M84,"Pending","🔒 BLOCKED — Wrong Code")))</f>
        <v/>
      </c>
      <c r="L84" s="384" t="inlineStr">
        <is>
          <t>Agent 05</t>
        </is>
      </c>
      <c r="M84" s="491" t="n"/>
      <c r="N84" s="501" t="n"/>
    </row>
    <row r="85" ht="15" customHeight="1" s="341">
      <c r="A85" s="492">
        <f>IF(B85="","",IF(C85="❌ Account Not Found","INVALID","LN"&amp;TEXT(D85,"YYYYMMDD")&amp;TEXT(ROW()-13,"0000")))</f>
        <v/>
      </c>
      <c r="B85" s="486" t="n"/>
      <c r="C85" s="378">
        <f>IF(B85="","",IFERROR(VLOOKUP(B85,DB_Customers!$A:$D,4,0),"❌ Account Not Found"))</f>
        <v/>
      </c>
      <c r="D85" s="488">
        <f>IF(B85="","",TODAY())</f>
        <v/>
      </c>
      <c r="E85" s="526" t="n"/>
      <c r="F85" s="378" t="n"/>
      <c r="G85" s="532" t="n"/>
      <c r="H85" s="533" t="n"/>
      <c r="I85" s="529">
        <f>IF(E85="","",E85+(E85*H85/100*G85))</f>
        <v/>
      </c>
      <c r="J85" s="534">
        <f>IFERROR(I85/G85,"")</f>
        <v/>
      </c>
      <c r="K85" s="535">
        <f>IF(B85="","Pending",IF(M85="","⚠️ Enter Code",IF(IFERROR(VLOOKUP(L85,DB_Agents!$B:$I,8,0),"")=M85,"Pending","🔒 BLOCKED — Wrong Code")))</f>
        <v/>
      </c>
      <c r="L85" s="380" t="inlineStr">
        <is>
          <t>Agent 05</t>
        </is>
      </c>
      <c r="M85" s="491" t="n"/>
      <c r="N85" s="494" t="n"/>
    </row>
    <row r="86" ht="15" customHeight="1" s="341">
      <c r="A86" s="499">
        <f>IF(B86="","",IF(C86="❌ Account Not Found","INVALID","LN"&amp;TEXT(D86,"YYYYMMDD")&amp;TEXT(ROW()-13,"0000")))</f>
        <v/>
      </c>
      <c r="B86" s="495" t="n"/>
      <c r="C86" s="382">
        <f>IF(B86="","",IFERROR(VLOOKUP(B86,DB_Customers!$A:$D,4,0),"❌ Account Not Found"))</f>
        <v/>
      </c>
      <c r="D86" s="497">
        <f>IF(B86="","",TODAY())</f>
        <v/>
      </c>
      <c r="E86" s="526" t="n"/>
      <c r="F86" s="382" t="n"/>
      <c r="G86" s="527" t="n"/>
      <c r="H86" s="528" t="n"/>
      <c r="I86" s="529">
        <f>IF(E86="","",E86+(E86*H86/100*G86))</f>
        <v/>
      </c>
      <c r="J86" s="530">
        <f>IFERROR(I86/G86,"")</f>
        <v/>
      </c>
      <c r="K86" s="531">
        <f>IF(B86="","Pending",IF(M86="","⚠️ Enter Code",IF(IFERROR(VLOOKUP(L86,DB_Agents!$B:$I,8,0),"")=M86,"Pending","🔒 BLOCKED — Wrong Code")))</f>
        <v/>
      </c>
      <c r="L86" s="384" t="inlineStr">
        <is>
          <t>Agent 05</t>
        </is>
      </c>
      <c r="M86" s="491" t="n"/>
      <c r="N86" s="501" t="n"/>
    </row>
    <row r="87" ht="15" customHeight="1" s="341">
      <c r="A87" s="492">
        <f>IF(B87="","",IF(C87="❌ Account Not Found","INVALID","LN"&amp;TEXT(D87,"YYYYMMDD")&amp;TEXT(ROW()-13,"0000")))</f>
        <v/>
      </c>
      <c r="B87" s="486" t="n"/>
      <c r="C87" s="378">
        <f>IF(B87="","",IFERROR(VLOOKUP(B87,DB_Customers!$A:$D,4,0),"❌ Account Not Found"))</f>
        <v/>
      </c>
      <c r="D87" s="488">
        <f>IF(B87="","",TODAY())</f>
        <v/>
      </c>
      <c r="E87" s="526" t="n"/>
      <c r="F87" s="378" t="n"/>
      <c r="G87" s="532" t="n"/>
      <c r="H87" s="533" t="n"/>
      <c r="I87" s="529">
        <f>IF(E87="","",E87+(E87*H87/100*G87))</f>
        <v/>
      </c>
      <c r="J87" s="534">
        <f>IFERROR(I87/G87,"")</f>
        <v/>
      </c>
      <c r="K87" s="535">
        <f>IF(B87="","Pending",IF(M87="","⚠️ Enter Code",IF(IFERROR(VLOOKUP(L87,DB_Agents!$B:$I,8,0),"")=M87,"Pending","🔒 BLOCKED — Wrong Code")))</f>
        <v/>
      </c>
      <c r="L87" s="380" t="inlineStr">
        <is>
          <t>Agent 05</t>
        </is>
      </c>
      <c r="M87" s="491" t="n"/>
      <c r="N87" s="494" t="n"/>
    </row>
    <row r="88" ht="15" customHeight="1" s="341">
      <c r="A88" s="499">
        <f>IF(B88="","",IF(C88="❌ Account Not Found","INVALID","LN"&amp;TEXT(D88,"YYYYMMDD")&amp;TEXT(ROW()-13,"0000")))</f>
        <v/>
      </c>
      <c r="B88" s="495" t="n"/>
      <c r="C88" s="382">
        <f>IF(B88="","",IFERROR(VLOOKUP(B88,DB_Customers!$A:$D,4,0),"❌ Account Not Found"))</f>
        <v/>
      </c>
      <c r="D88" s="497">
        <f>IF(B88="","",TODAY())</f>
        <v/>
      </c>
      <c r="E88" s="526" t="n"/>
      <c r="F88" s="382" t="n"/>
      <c r="G88" s="527" t="n"/>
      <c r="H88" s="528" t="n"/>
      <c r="I88" s="529">
        <f>IF(E88="","",E88+(E88*H88/100*G88))</f>
        <v/>
      </c>
      <c r="J88" s="530">
        <f>IFERROR(I88/G88,"")</f>
        <v/>
      </c>
      <c r="K88" s="531">
        <f>IF(B88="","Pending",IF(M88="","⚠️ Enter Code",IF(IFERROR(VLOOKUP(L88,DB_Agents!$B:$I,8,0),"")=M88,"Pending","🔒 BLOCKED — Wrong Code")))</f>
        <v/>
      </c>
      <c r="L88" s="384" t="inlineStr">
        <is>
          <t>Agent 05</t>
        </is>
      </c>
      <c r="M88" s="491" t="n"/>
      <c r="N88" s="501" t="n"/>
    </row>
    <row r="89" ht="15" customHeight="1" s="341">
      <c r="A89" s="492">
        <f>IF(B89="","",IF(C89="❌ Account Not Found","INVALID","LN"&amp;TEXT(D89,"YYYYMMDD")&amp;TEXT(ROW()-13,"0000")))</f>
        <v/>
      </c>
      <c r="B89" s="486" t="n"/>
      <c r="C89" s="378">
        <f>IF(B89="","",IFERROR(VLOOKUP(B89,DB_Customers!$A:$D,4,0),"❌ Account Not Found"))</f>
        <v/>
      </c>
      <c r="D89" s="488">
        <f>IF(B89="","",TODAY())</f>
        <v/>
      </c>
      <c r="E89" s="526" t="n"/>
      <c r="F89" s="378" t="n"/>
      <c r="G89" s="532" t="n"/>
      <c r="H89" s="533" t="n"/>
      <c r="I89" s="529">
        <f>IF(E89="","",E89+(E89*H89/100*G89))</f>
        <v/>
      </c>
      <c r="J89" s="534">
        <f>IFERROR(I89/G89,"")</f>
        <v/>
      </c>
      <c r="K89" s="535">
        <f>IF(B89="","Pending",IF(M89="","⚠️ Enter Code",IF(IFERROR(VLOOKUP(L89,DB_Agents!$B:$I,8,0),"")=M89,"Pending","🔒 BLOCKED — Wrong Code")))</f>
        <v/>
      </c>
      <c r="L89" s="380" t="inlineStr">
        <is>
          <t>Agent 05</t>
        </is>
      </c>
      <c r="M89" s="491" t="n"/>
      <c r="N89" s="494" t="n"/>
    </row>
    <row r="90" ht="15" customHeight="1" s="341">
      <c r="A90" s="499">
        <f>IF(B90="","",IF(C90="❌ Account Not Found","INVALID","LN"&amp;TEXT(D90,"YYYYMMDD")&amp;TEXT(ROW()-13,"0000")))</f>
        <v/>
      </c>
      <c r="B90" s="495" t="n"/>
      <c r="C90" s="382">
        <f>IF(B90="","",IFERROR(VLOOKUP(B90,DB_Customers!$A:$D,4,0),"❌ Account Not Found"))</f>
        <v/>
      </c>
      <c r="D90" s="497">
        <f>IF(B90="","",TODAY())</f>
        <v/>
      </c>
      <c r="E90" s="526" t="n"/>
      <c r="F90" s="382" t="n"/>
      <c r="G90" s="527" t="n"/>
      <c r="H90" s="528" t="n"/>
      <c r="I90" s="529">
        <f>IF(E90="","",E90+(E90*H90/100*G90))</f>
        <v/>
      </c>
      <c r="J90" s="530">
        <f>IFERROR(I90/G90,"")</f>
        <v/>
      </c>
      <c r="K90" s="531">
        <f>IF(B90="","Pending",IF(M90="","⚠️ Enter Code",IF(IFERROR(VLOOKUP(L90,DB_Agents!$B:$I,8,0),"")=M90,"Pending","🔒 BLOCKED — Wrong Code")))</f>
        <v/>
      </c>
      <c r="L90" s="384" t="inlineStr">
        <is>
          <t>Agent 05</t>
        </is>
      </c>
      <c r="M90" s="491" t="n"/>
      <c r="N90" s="501" t="n"/>
    </row>
    <row r="91" ht="15" customHeight="1" s="341">
      <c r="A91" s="492">
        <f>IF(B91="","",IF(C91="❌ Account Not Found","INVALID","LN"&amp;TEXT(D91,"YYYYMMDD")&amp;TEXT(ROW()-13,"0000")))</f>
        <v/>
      </c>
      <c r="B91" s="486" t="n"/>
      <c r="C91" s="378">
        <f>IF(B91="","",IFERROR(VLOOKUP(B91,DB_Customers!$A:$D,4,0),"❌ Account Not Found"))</f>
        <v/>
      </c>
      <c r="D91" s="488">
        <f>IF(B91="","",TODAY())</f>
        <v/>
      </c>
      <c r="E91" s="526" t="n"/>
      <c r="F91" s="378" t="n"/>
      <c r="G91" s="532" t="n"/>
      <c r="H91" s="533" t="n"/>
      <c r="I91" s="529">
        <f>IF(E91="","",E91+(E91*H91/100*G91))</f>
        <v/>
      </c>
      <c r="J91" s="534">
        <f>IFERROR(I91/G91,"")</f>
        <v/>
      </c>
      <c r="K91" s="535">
        <f>IF(B91="","Pending",IF(M91="","⚠️ Enter Code",IF(IFERROR(VLOOKUP(L91,DB_Agents!$B:$I,8,0),"")=M91,"Pending","🔒 BLOCKED — Wrong Code")))</f>
        <v/>
      </c>
      <c r="L91" s="380" t="inlineStr">
        <is>
          <t>Agent 05</t>
        </is>
      </c>
      <c r="M91" s="491" t="n"/>
      <c r="N91" s="494" t="n"/>
    </row>
    <row r="92" ht="15" customHeight="1" s="341">
      <c r="A92" s="499">
        <f>IF(B92="","",IF(C92="❌ Account Not Found","INVALID","LN"&amp;TEXT(D92,"YYYYMMDD")&amp;TEXT(ROW()-13,"0000")))</f>
        <v/>
      </c>
      <c r="B92" s="495" t="n"/>
      <c r="C92" s="382">
        <f>IF(B92="","",IFERROR(VLOOKUP(B92,DB_Customers!$A:$D,4,0),"❌ Account Not Found"))</f>
        <v/>
      </c>
      <c r="D92" s="497">
        <f>IF(B92="","",TODAY())</f>
        <v/>
      </c>
      <c r="E92" s="526" t="n"/>
      <c r="F92" s="382" t="n"/>
      <c r="G92" s="527" t="n"/>
      <c r="H92" s="528" t="n"/>
      <c r="I92" s="529">
        <f>IF(E92="","",E92+(E92*H92/100*G92))</f>
        <v/>
      </c>
      <c r="J92" s="530">
        <f>IFERROR(I92/G92,"")</f>
        <v/>
      </c>
      <c r="K92" s="531">
        <f>IF(B92="","Pending",IF(M92="","⚠️ Enter Code",IF(IFERROR(VLOOKUP(L92,DB_Agents!$B:$I,8,0),"")=M92,"Pending","🔒 BLOCKED — Wrong Code")))</f>
        <v/>
      </c>
      <c r="L92" s="384" t="inlineStr">
        <is>
          <t>Agent 05</t>
        </is>
      </c>
      <c r="M92" s="491" t="n"/>
      <c r="N92" s="501" t="n"/>
    </row>
    <row r="93" ht="15" customHeight="1" s="341">
      <c r="A93" s="492">
        <f>IF(B93="","",IF(C93="❌ Account Not Found","INVALID","LN"&amp;TEXT(D93,"YYYYMMDD")&amp;TEXT(ROW()-13,"0000")))</f>
        <v/>
      </c>
      <c r="B93" s="486" t="n"/>
      <c r="C93" s="378">
        <f>IF(B93="","",IFERROR(VLOOKUP(B93,DB_Customers!$A:$D,4,0),"❌ Account Not Found"))</f>
        <v/>
      </c>
      <c r="D93" s="488">
        <f>IF(B93="","",TODAY())</f>
        <v/>
      </c>
      <c r="E93" s="526" t="n"/>
      <c r="F93" s="378" t="n"/>
      <c r="G93" s="532" t="n"/>
      <c r="H93" s="533" t="n"/>
      <c r="I93" s="529">
        <f>IF(E93="","",E93+(E93*H93/100*G93))</f>
        <v/>
      </c>
      <c r="J93" s="534">
        <f>IFERROR(I93/G93,"")</f>
        <v/>
      </c>
      <c r="K93" s="535">
        <f>IF(B93="","Pending",IF(M93="","⚠️ Enter Code",IF(IFERROR(VLOOKUP(L93,DB_Agents!$B:$I,8,0),"")=M93,"Pending","🔒 BLOCKED — Wrong Code")))</f>
        <v/>
      </c>
      <c r="L93" s="380" t="inlineStr">
        <is>
          <t>Agent 05</t>
        </is>
      </c>
      <c r="M93" s="491" t="n"/>
      <c r="N93" s="494" t="n"/>
    </row>
    <row r="94" ht="15" customHeight="1" s="341">
      <c r="A94" s="499">
        <f>IF(B94="","",IF(C94="❌ Account Not Found","INVALID","LN"&amp;TEXT(D94,"YYYYMMDD")&amp;TEXT(ROW()-13,"0000")))</f>
        <v/>
      </c>
      <c r="B94" s="495" t="n"/>
      <c r="C94" s="382">
        <f>IF(B94="","",IFERROR(VLOOKUP(B94,DB_Customers!$A:$D,4,0),"❌ Account Not Found"))</f>
        <v/>
      </c>
      <c r="D94" s="497">
        <f>IF(B94="","",TODAY())</f>
        <v/>
      </c>
      <c r="E94" s="526" t="n"/>
      <c r="F94" s="382" t="n"/>
      <c r="G94" s="527" t="n"/>
      <c r="H94" s="528" t="n"/>
      <c r="I94" s="529">
        <f>IF(E94="","",E94+(E94*H94/100*G94))</f>
        <v/>
      </c>
      <c r="J94" s="530">
        <f>IFERROR(I94/G94,"")</f>
        <v/>
      </c>
      <c r="K94" s="531">
        <f>IF(B94="","Pending",IF(M94="","⚠️ Enter Code",IF(IFERROR(VLOOKUP(L94,DB_Agents!$B:$I,8,0),"")=M94,"Pending","🔒 BLOCKED — Wrong Code")))</f>
        <v/>
      </c>
      <c r="L94" s="384" t="inlineStr">
        <is>
          <t>Agent 05</t>
        </is>
      </c>
      <c r="M94" s="491" t="n"/>
      <c r="N94" s="501" t="n"/>
    </row>
    <row r="95" ht="15" customHeight="1" s="341">
      <c r="A95" s="492">
        <f>IF(B95="","",IF(C95="❌ Account Not Found","INVALID","LN"&amp;TEXT(D95,"YYYYMMDD")&amp;TEXT(ROW()-13,"0000")))</f>
        <v/>
      </c>
      <c r="B95" s="486" t="n"/>
      <c r="C95" s="378">
        <f>IF(B95="","",IFERROR(VLOOKUP(B95,DB_Customers!$A:$D,4,0),"❌ Account Not Found"))</f>
        <v/>
      </c>
      <c r="D95" s="488">
        <f>IF(B95="","",TODAY())</f>
        <v/>
      </c>
      <c r="E95" s="526" t="n"/>
      <c r="F95" s="378" t="n"/>
      <c r="G95" s="532" t="n"/>
      <c r="H95" s="533" t="n"/>
      <c r="I95" s="529">
        <f>IF(E95="","",E95+(E95*H95/100*G95))</f>
        <v/>
      </c>
      <c r="J95" s="534">
        <f>IFERROR(I95/G95,"")</f>
        <v/>
      </c>
      <c r="K95" s="535">
        <f>IF(B95="","Pending",IF(M95="","⚠️ Enter Code",IF(IFERROR(VLOOKUP(L95,DB_Agents!$B:$I,8,0),"")=M95,"Pending","🔒 BLOCKED — Wrong Code")))</f>
        <v/>
      </c>
      <c r="L95" s="380" t="inlineStr">
        <is>
          <t>Agent 05</t>
        </is>
      </c>
      <c r="M95" s="491" t="n"/>
      <c r="N95" s="494" t="n"/>
    </row>
    <row r="96" ht="15" customHeight="1" s="341">
      <c r="A96" s="499">
        <f>IF(B96="","",IF(C96="❌ Account Not Found","INVALID","LN"&amp;TEXT(D96,"YYYYMMDD")&amp;TEXT(ROW()-13,"0000")))</f>
        <v/>
      </c>
      <c r="B96" s="495" t="n"/>
      <c r="C96" s="382">
        <f>IF(B96="","",IFERROR(VLOOKUP(B96,DB_Customers!$A:$D,4,0),"❌ Account Not Found"))</f>
        <v/>
      </c>
      <c r="D96" s="497">
        <f>IF(B96="","",TODAY())</f>
        <v/>
      </c>
      <c r="E96" s="526" t="n"/>
      <c r="F96" s="382" t="n"/>
      <c r="G96" s="527" t="n"/>
      <c r="H96" s="528" t="n"/>
      <c r="I96" s="529">
        <f>IF(E96="","",E96+(E96*H96/100*G96))</f>
        <v/>
      </c>
      <c r="J96" s="530">
        <f>IFERROR(I96/G96,"")</f>
        <v/>
      </c>
      <c r="K96" s="531">
        <f>IF(B96="","Pending",IF(M96="","⚠️ Enter Code",IF(IFERROR(VLOOKUP(L96,DB_Agents!$B:$I,8,0),"")=M96,"Pending","🔒 BLOCKED — Wrong Code")))</f>
        <v/>
      </c>
      <c r="L96" s="384" t="inlineStr">
        <is>
          <t>Agent 05</t>
        </is>
      </c>
      <c r="M96" s="491" t="n"/>
      <c r="N96" s="501" t="n"/>
    </row>
    <row r="97" ht="15" customHeight="1" s="341">
      <c r="A97" s="492">
        <f>IF(B97="","",IF(C97="❌ Account Not Found","INVALID","LN"&amp;TEXT(D97,"YYYYMMDD")&amp;TEXT(ROW()-13,"0000")))</f>
        <v/>
      </c>
      <c r="B97" s="486" t="n"/>
      <c r="C97" s="378">
        <f>IF(B97="","",IFERROR(VLOOKUP(B97,DB_Customers!$A:$D,4,0),"❌ Account Not Found"))</f>
        <v/>
      </c>
      <c r="D97" s="488">
        <f>IF(B97="","",TODAY())</f>
        <v/>
      </c>
      <c r="E97" s="526" t="n"/>
      <c r="F97" s="378" t="n"/>
      <c r="G97" s="532" t="n"/>
      <c r="H97" s="533" t="n"/>
      <c r="I97" s="529">
        <f>IF(E97="","",E97+(E97*H97/100*G97))</f>
        <v/>
      </c>
      <c r="J97" s="534">
        <f>IFERROR(I97/G97,"")</f>
        <v/>
      </c>
      <c r="K97" s="535">
        <f>IF(B97="","Pending",IF(M97="","⚠️ Enter Code",IF(IFERROR(VLOOKUP(L97,DB_Agents!$B:$I,8,0),"")=M97,"Pending","🔒 BLOCKED — Wrong Code")))</f>
        <v/>
      </c>
      <c r="L97" s="380" t="inlineStr">
        <is>
          <t>Agent 05</t>
        </is>
      </c>
      <c r="M97" s="491" t="n"/>
      <c r="N97" s="494" t="n"/>
    </row>
    <row r="98" ht="15" customHeight="1" s="341">
      <c r="A98" s="499">
        <f>IF(B98="","",IF(C98="❌ Account Not Found","INVALID","LN"&amp;TEXT(D98,"YYYYMMDD")&amp;TEXT(ROW()-13,"0000")))</f>
        <v/>
      </c>
      <c r="B98" s="495" t="n"/>
      <c r="C98" s="382">
        <f>IF(B98="","",IFERROR(VLOOKUP(B98,DB_Customers!$A:$D,4,0),"❌ Account Not Found"))</f>
        <v/>
      </c>
      <c r="D98" s="497">
        <f>IF(B98="","",TODAY())</f>
        <v/>
      </c>
      <c r="E98" s="526" t="n"/>
      <c r="F98" s="382" t="n"/>
      <c r="G98" s="527" t="n"/>
      <c r="H98" s="528" t="n"/>
      <c r="I98" s="529">
        <f>IF(E98="","",E98+(E98*H98/100*G98))</f>
        <v/>
      </c>
      <c r="J98" s="530">
        <f>IFERROR(I98/G98,"")</f>
        <v/>
      </c>
      <c r="K98" s="531">
        <f>IF(B98="","Pending",IF(M98="","⚠️ Enter Code",IF(IFERROR(VLOOKUP(L98,DB_Agents!$B:$I,8,0),"")=M98,"Pending","🔒 BLOCKED — Wrong Code")))</f>
        <v/>
      </c>
      <c r="L98" s="384" t="inlineStr">
        <is>
          <t>Agent 05</t>
        </is>
      </c>
      <c r="M98" s="491" t="n"/>
      <c r="N98" s="501" t="n"/>
    </row>
    <row r="99" ht="15" customHeight="1" s="341">
      <c r="A99" s="492">
        <f>IF(B99="","",IF(C99="❌ Account Not Found","INVALID","LN"&amp;TEXT(D99,"YYYYMMDD")&amp;TEXT(ROW()-13,"0000")))</f>
        <v/>
      </c>
      <c r="B99" s="486" t="n"/>
      <c r="C99" s="378">
        <f>IF(B99="","",IFERROR(VLOOKUP(B99,DB_Customers!$A:$D,4,0),"❌ Account Not Found"))</f>
        <v/>
      </c>
      <c r="D99" s="488">
        <f>IF(B99="","",TODAY())</f>
        <v/>
      </c>
      <c r="E99" s="526" t="n"/>
      <c r="F99" s="378" t="n"/>
      <c r="G99" s="532" t="n"/>
      <c r="H99" s="533" t="n"/>
      <c r="I99" s="529">
        <f>IF(E99="","",E99+(E99*H99/100*G99))</f>
        <v/>
      </c>
      <c r="J99" s="534">
        <f>IFERROR(I99/G99,"")</f>
        <v/>
      </c>
      <c r="K99" s="535">
        <f>IF(B99="","Pending",IF(M99="","⚠️ Enter Code",IF(IFERROR(VLOOKUP(L99,DB_Agents!$B:$I,8,0),"")=M99,"Pending","🔒 BLOCKED — Wrong Code")))</f>
        <v/>
      </c>
      <c r="L99" s="380" t="inlineStr">
        <is>
          <t>Agent 05</t>
        </is>
      </c>
      <c r="M99" s="491" t="n"/>
      <c r="N99" s="494" t="n"/>
    </row>
    <row r="100" ht="15" customHeight="1" s="341">
      <c r="A100" s="499">
        <f>IF(B100="","",IF(C100="❌ Account Not Found","INVALID","LN"&amp;TEXT(D100,"YYYYMMDD")&amp;TEXT(ROW()-13,"0000")))</f>
        <v/>
      </c>
      <c r="B100" s="495" t="n"/>
      <c r="C100" s="382">
        <f>IF(B100="","",IFERROR(VLOOKUP(B100,DB_Customers!$A:$D,4,0),"❌ Account Not Found"))</f>
        <v/>
      </c>
      <c r="D100" s="497">
        <f>IF(B100="","",TODAY())</f>
        <v/>
      </c>
      <c r="E100" s="526" t="n"/>
      <c r="F100" s="382" t="n"/>
      <c r="G100" s="527" t="n"/>
      <c r="H100" s="528" t="n"/>
      <c r="I100" s="529">
        <f>IF(E100="","",E100+(E100*H100/100*G100))</f>
        <v/>
      </c>
      <c r="J100" s="530">
        <f>IFERROR(I100/G100,"")</f>
        <v/>
      </c>
      <c r="K100" s="531">
        <f>IF(B100="","Pending",IF(M100="","⚠️ Enter Code",IF(IFERROR(VLOOKUP(L100,DB_Agents!$B:$I,8,0),"")=M100,"Pending","🔒 BLOCKED — Wrong Code")))</f>
        <v/>
      </c>
      <c r="L100" s="384" t="inlineStr">
        <is>
          <t>Agent 05</t>
        </is>
      </c>
      <c r="M100" s="491" t="n"/>
      <c r="N100" s="501" t="n"/>
    </row>
    <row r="101" ht="15" customHeight="1" s="341">
      <c r="A101" s="492">
        <f>IF(B101="","",IF(C101="❌ Account Not Found","INVALID","LN"&amp;TEXT(D101,"YYYYMMDD")&amp;TEXT(ROW()-13,"0000")))</f>
        <v/>
      </c>
      <c r="B101" s="486" t="n"/>
      <c r="C101" s="378">
        <f>IF(B101="","",IFERROR(VLOOKUP(B101,DB_Customers!$A:$D,4,0),"❌ Account Not Found"))</f>
        <v/>
      </c>
      <c r="D101" s="488">
        <f>IF(B101="","",TODAY())</f>
        <v/>
      </c>
      <c r="E101" s="526" t="n"/>
      <c r="F101" s="378" t="n"/>
      <c r="G101" s="532" t="n"/>
      <c r="H101" s="533" t="n"/>
      <c r="I101" s="529">
        <f>IF(E101="","",E101+(E101*H101/100*G101))</f>
        <v/>
      </c>
      <c r="J101" s="534">
        <f>IFERROR(I101/G101,"")</f>
        <v/>
      </c>
      <c r="K101" s="535">
        <f>IF(B101="","Pending",IF(M101="","⚠️ Enter Code",IF(IFERROR(VLOOKUP(L101,DB_Agents!$B:$I,8,0),"")=M101,"Pending","🔒 BLOCKED — Wrong Code")))</f>
        <v/>
      </c>
      <c r="L101" s="380" t="inlineStr">
        <is>
          <t>Agent 05</t>
        </is>
      </c>
      <c r="M101" s="491" t="n"/>
      <c r="N101" s="494" t="n"/>
    </row>
    <row r="102" ht="15" customHeight="1" s="341">
      <c r="A102" s="499">
        <f>IF(B102="","",IF(C102="❌ Account Not Found","INVALID","LN"&amp;TEXT(D102,"YYYYMMDD")&amp;TEXT(ROW()-13,"0000")))</f>
        <v/>
      </c>
      <c r="B102" s="495" t="n"/>
      <c r="C102" s="382">
        <f>IF(B102="","",IFERROR(VLOOKUP(B102,DB_Customers!$A:$D,4,0),"❌ Account Not Found"))</f>
        <v/>
      </c>
      <c r="D102" s="497">
        <f>IF(B102="","",TODAY())</f>
        <v/>
      </c>
      <c r="E102" s="526" t="n"/>
      <c r="F102" s="382" t="n"/>
      <c r="G102" s="527" t="n"/>
      <c r="H102" s="528" t="n"/>
      <c r="I102" s="529">
        <f>IF(E102="","",E102+(E102*H102/100*G102))</f>
        <v/>
      </c>
      <c r="J102" s="530">
        <f>IFERROR(I102/G102,"")</f>
        <v/>
      </c>
      <c r="K102" s="531">
        <f>IF(B102="","Pending",IF(M102="","⚠️ Enter Code",IF(IFERROR(VLOOKUP(L102,DB_Agents!$B:$I,8,0),"")=M102,"Pending","🔒 BLOCKED — Wrong Code")))</f>
        <v/>
      </c>
      <c r="L102" s="384" t="inlineStr">
        <is>
          <t>Agent 05</t>
        </is>
      </c>
      <c r="M102" s="491" t="n"/>
      <c r="N102" s="501" t="n"/>
    </row>
    <row r="103" ht="15" customHeight="1" s="341">
      <c r="A103" s="492">
        <f>IF(B103="","",IF(C103="❌ Account Not Found","INVALID","LN"&amp;TEXT(D103,"YYYYMMDD")&amp;TEXT(ROW()-13,"0000")))</f>
        <v/>
      </c>
      <c r="B103" s="486" t="n"/>
      <c r="C103" s="378">
        <f>IF(B103="","",IFERROR(VLOOKUP(B103,DB_Customers!$A:$D,4,0),"❌ Account Not Found"))</f>
        <v/>
      </c>
      <c r="D103" s="488">
        <f>IF(B103="","",TODAY())</f>
        <v/>
      </c>
      <c r="E103" s="526" t="n"/>
      <c r="F103" s="378" t="n"/>
      <c r="G103" s="532" t="n"/>
      <c r="H103" s="533" t="n"/>
      <c r="I103" s="529">
        <f>IF(E103="","",E103+(E103*H103/100*G103))</f>
        <v/>
      </c>
      <c r="J103" s="534">
        <f>IFERROR(I103/G103,"")</f>
        <v/>
      </c>
      <c r="K103" s="535">
        <f>IF(B103="","Pending",IF(M103="","⚠️ Enter Code",IF(IFERROR(VLOOKUP(L103,DB_Agents!$B:$I,8,0),"")=M103,"Pending","🔒 BLOCKED — Wrong Code")))</f>
        <v/>
      </c>
      <c r="L103" s="380" t="inlineStr">
        <is>
          <t>Agent 05</t>
        </is>
      </c>
      <c r="M103" s="491" t="n"/>
      <c r="N103" s="494" t="n"/>
    </row>
    <row r="104" ht="15" customHeight="1" s="341">
      <c r="A104" s="499">
        <f>IF(B104="","",IF(C104="❌ Account Not Found","INVALID","LN"&amp;TEXT(D104,"YYYYMMDD")&amp;TEXT(ROW()-13,"0000")))</f>
        <v/>
      </c>
      <c r="B104" s="495" t="n"/>
      <c r="C104" s="382">
        <f>IF(B104="","",IFERROR(VLOOKUP(B104,DB_Customers!$A:$D,4,0),"❌ Account Not Found"))</f>
        <v/>
      </c>
      <c r="D104" s="497">
        <f>IF(B104="","",TODAY())</f>
        <v/>
      </c>
      <c r="E104" s="526" t="n"/>
      <c r="F104" s="382" t="n"/>
      <c r="G104" s="527" t="n"/>
      <c r="H104" s="528" t="n"/>
      <c r="I104" s="529">
        <f>IF(E104="","",E104+(E104*H104/100*G104))</f>
        <v/>
      </c>
      <c r="J104" s="530">
        <f>IFERROR(I104/G104,"")</f>
        <v/>
      </c>
      <c r="K104" s="531">
        <f>IF(B104="","Pending",IF(M104="","⚠️ Enter Code",IF(IFERROR(VLOOKUP(L104,DB_Agents!$B:$I,8,0),"")=M104,"Pending","🔒 BLOCKED — Wrong Code")))</f>
        <v/>
      </c>
      <c r="L104" s="384" t="inlineStr">
        <is>
          <t>Agent 05</t>
        </is>
      </c>
      <c r="M104" s="491" t="n"/>
      <c r="N104" s="501" t="n"/>
    </row>
    <row r="105" ht="15" customHeight="1" s="341">
      <c r="A105" s="492">
        <f>IF(B105="","",IF(C105="❌ Account Not Found","INVALID","LN"&amp;TEXT(D105,"YYYYMMDD")&amp;TEXT(ROW()-13,"0000")))</f>
        <v/>
      </c>
      <c r="B105" s="486" t="n"/>
      <c r="C105" s="378">
        <f>IF(B105="","",IFERROR(VLOOKUP(B105,DB_Customers!$A:$D,4,0),"❌ Account Not Found"))</f>
        <v/>
      </c>
      <c r="D105" s="488">
        <f>IF(B105="","",TODAY())</f>
        <v/>
      </c>
      <c r="E105" s="526" t="n"/>
      <c r="F105" s="378" t="n"/>
      <c r="G105" s="532" t="n"/>
      <c r="H105" s="533" t="n"/>
      <c r="I105" s="529">
        <f>IF(E105="","",E105+(E105*H105/100*G105))</f>
        <v/>
      </c>
      <c r="J105" s="534">
        <f>IFERROR(I105/G105,"")</f>
        <v/>
      </c>
      <c r="K105" s="535">
        <f>IF(B105="","Pending",IF(M105="","⚠️ Enter Code",IF(IFERROR(VLOOKUP(L105,DB_Agents!$B:$I,8,0),"")=M105,"Pending","🔒 BLOCKED — Wrong Code")))</f>
        <v/>
      </c>
      <c r="L105" s="380" t="inlineStr">
        <is>
          <t>Agent 05</t>
        </is>
      </c>
      <c r="M105" s="491" t="n"/>
      <c r="N105" s="494" t="n"/>
    </row>
    <row r="106" ht="15" customHeight="1" s="341">
      <c r="A106" s="499">
        <f>IF(B106="","",IF(C106="❌ Account Not Found","INVALID","LN"&amp;TEXT(D106,"YYYYMMDD")&amp;TEXT(ROW()-13,"0000")))</f>
        <v/>
      </c>
      <c r="B106" s="495" t="n"/>
      <c r="C106" s="382">
        <f>IF(B106="","",IFERROR(VLOOKUP(B106,DB_Customers!$A:$D,4,0),"❌ Account Not Found"))</f>
        <v/>
      </c>
      <c r="D106" s="497">
        <f>IF(B106="","",TODAY())</f>
        <v/>
      </c>
      <c r="E106" s="526" t="n"/>
      <c r="F106" s="382" t="n"/>
      <c r="G106" s="527" t="n"/>
      <c r="H106" s="528" t="n"/>
      <c r="I106" s="529">
        <f>IF(E106="","",E106+(E106*H106/100*G106))</f>
        <v/>
      </c>
      <c r="J106" s="530">
        <f>IFERROR(I106/G106,"")</f>
        <v/>
      </c>
      <c r="K106" s="531">
        <f>IF(B106="","Pending",IF(M106="","⚠️ Enter Code",IF(IFERROR(VLOOKUP(L106,DB_Agents!$B:$I,8,0),"")=M106,"Pending","🔒 BLOCKED — Wrong Code")))</f>
        <v/>
      </c>
      <c r="L106" s="384" t="inlineStr">
        <is>
          <t>Agent 05</t>
        </is>
      </c>
      <c r="M106" s="491" t="n"/>
      <c r="N106" s="501" t="n"/>
    </row>
    <row r="107" ht="15" customHeight="1" s="341">
      <c r="A107" s="492">
        <f>IF(B107="","",IF(C107="❌ Account Not Found","INVALID","LN"&amp;TEXT(D107,"YYYYMMDD")&amp;TEXT(ROW()-13,"0000")))</f>
        <v/>
      </c>
      <c r="B107" s="486" t="n"/>
      <c r="C107" s="378">
        <f>IF(B107="","",IFERROR(VLOOKUP(B107,DB_Customers!$A:$D,4,0),"❌ Account Not Found"))</f>
        <v/>
      </c>
      <c r="D107" s="488">
        <f>IF(B107="","",TODAY())</f>
        <v/>
      </c>
      <c r="E107" s="526" t="n"/>
      <c r="F107" s="378" t="n"/>
      <c r="G107" s="532" t="n"/>
      <c r="H107" s="533" t="n"/>
      <c r="I107" s="529">
        <f>IF(E107="","",E107+(E107*H107/100*G107))</f>
        <v/>
      </c>
      <c r="J107" s="534">
        <f>IFERROR(I107/G107,"")</f>
        <v/>
      </c>
      <c r="K107" s="535">
        <f>IF(B107="","Pending",IF(M107="","⚠️ Enter Code",IF(IFERROR(VLOOKUP(L107,DB_Agents!$B:$I,8,0),"")=M107,"Pending","🔒 BLOCKED — Wrong Code")))</f>
        <v/>
      </c>
      <c r="L107" s="380" t="inlineStr">
        <is>
          <t>Agent 05</t>
        </is>
      </c>
      <c r="M107" s="491" t="n"/>
      <c r="N107" s="494" t="n"/>
    </row>
    <row r="108" ht="15" customHeight="1" s="341">
      <c r="A108" s="499">
        <f>IF(B108="","",IF(C108="❌ Account Not Found","INVALID","LN"&amp;TEXT(D108,"YYYYMMDD")&amp;TEXT(ROW()-13,"0000")))</f>
        <v/>
      </c>
      <c r="B108" s="495" t="n"/>
      <c r="C108" s="382">
        <f>IF(B108="","",IFERROR(VLOOKUP(B108,DB_Customers!$A:$D,4,0),"❌ Account Not Found"))</f>
        <v/>
      </c>
      <c r="D108" s="497">
        <f>IF(B108="","",TODAY())</f>
        <v/>
      </c>
      <c r="E108" s="526" t="n"/>
      <c r="F108" s="382" t="n"/>
      <c r="G108" s="527" t="n"/>
      <c r="H108" s="528" t="n"/>
      <c r="I108" s="529">
        <f>IF(E108="","",E108+(E108*H108/100*G108))</f>
        <v/>
      </c>
      <c r="J108" s="530">
        <f>IFERROR(I108/G108,"")</f>
        <v/>
      </c>
      <c r="K108" s="531">
        <f>IF(B108="","Pending",IF(M108="","⚠️ Enter Code",IF(IFERROR(VLOOKUP(L108,DB_Agents!$B:$I,8,0),"")=M108,"Pending","🔒 BLOCKED — Wrong Code")))</f>
        <v/>
      </c>
      <c r="L108" s="384" t="inlineStr">
        <is>
          <t>Agent 05</t>
        </is>
      </c>
      <c r="M108" s="491" t="n"/>
      <c r="N108" s="501" t="n"/>
    </row>
    <row r="109" ht="15" customHeight="1" s="341">
      <c r="A109" s="492">
        <f>IF(B109="","",IF(C109="❌ Account Not Found","INVALID","LN"&amp;TEXT(D109,"YYYYMMDD")&amp;TEXT(ROW()-13,"0000")))</f>
        <v/>
      </c>
      <c r="B109" s="486" t="n"/>
      <c r="C109" s="378">
        <f>IF(B109="","",IFERROR(VLOOKUP(B109,DB_Customers!$A:$D,4,0),"❌ Account Not Found"))</f>
        <v/>
      </c>
      <c r="D109" s="488">
        <f>IF(B109="","",TODAY())</f>
        <v/>
      </c>
      <c r="E109" s="526" t="n"/>
      <c r="F109" s="378" t="n"/>
      <c r="G109" s="532" t="n"/>
      <c r="H109" s="533" t="n"/>
      <c r="I109" s="529">
        <f>IF(E109="","",E109+(E109*H109/100*G109))</f>
        <v/>
      </c>
      <c r="J109" s="534">
        <f>IFERROR(I109/G109,"")</f>
        <v/>
      </c>
      <c r="K109" s="535">
        <f>IF(B109="","Pending",IF(M109="","⚠️ Enter Code",IF(IFERROR(VLOOKUP(L109,DB_Agents!$B:$I,8,0),"")=M109,"Pending","🔒 BLOCKED — Wrong Code")))</f>
        <v/>
      </c>
      <c r="L109" s="380" t="inlineStr">
        <is>
          <t>Agent 05</t>
        </is>
      </c>
      <c r="M109" s="491" t="n"/>
      <c r="N109" s="494" t="n"/>
    </row>
    <row r="110" ht="15" customHeight="1" s="341">
      <c r="A110" s="499">
        <f>IF(B110="","",IF(C110="❌ Account Not Found","INVALID","LN"&amp;TEXT(D110,"YYYYMMDD")&amp;TEXT(ROW()-13,"0000")))</f>
        <v/>
      </c>
      <c r="B110" s="495" t="n"/>
      <c r="C110" s="382">
        <f>IF(B110="","",IFERROR(VLOOKUP(B110,DB_Customers!$A:$D,4,0),"❌ Account Not Found"))</f>
        <v/>
      </c>
      <c r="D110" s="497">
        <f>IF(B110="","",TODAY())</f>
        <v/>
      </c>
      <c r="E110" s="526" t="n"/>
      <c r="F110" s="382" t="n"/>
      <c r="G110" s="527" t="n"/>
      <c r="H110" s="528" t="n"/>
      <c r="I110" s="529">
        <f>IF(E110="","",E110+(E110*H110/100*G110))</f>
        <v/>
      </c>
      <c r="J110" s="530">
        <f>IFERROR(I110/G110,"")</f>
        <v/>
      </c>
      <c r="K110" s="531">
        <f>IF(B110="","Pending",IF(M110="","⚠️ Enter Code",IF(IFERROR(VLOOKUP(L110,DB_Agents!$B:$I,8,0),"")=M110,"Pending","🔒 BLOCKED — Wrong Code")))</f>
        <v/>
      </c>
      <c r="L110" s="384" t="inlineStr">
        <is>
          <t>Agent 05</t>
        </is>
      </c>
      <c r="M110" s="491" t="n"/>
      <c r="N110" s="501" t="n"/>
    </row>
    <row r="111" ht="15" customHeight="1" s="341">
      <c r="A111" s="492">
        <f>IF(B111="","",IF(C111="❌ Account Not Found","INVALID","LN"&amp;TEXT(D111,"YYYYMMDD")&amp;TEXT(ROW()-13,"0000")))</f>
        <v/>
      </c>
      <c r="B111" s="486" t="n"/>
      <c r="C111" s="378">
        <f>IF(B111="","",IFERROR(VLOOKUP(B111,DB_Customers!$A:$D,4,0),"❌ Account Not Found"))</f>
        <v/>
      </c>
      <c r="D111" s="488">
        <f>IF(B111="","",TODAY())</f>
        <v/>
      </c>
      <c r="E111" s="526" t="n"/>
      <c r="F111" s="378" t="n"/>
      <c r="G111" s="532" t="n"/>
      <c r="H111" s="533" t="n"/>
      <c r="I111" s="529">
        <f>IF(E111="","",E111+(E111*H111/100*G111))</f>
        <v/>
      </c>
      <c r="J111" s="534">
        <f>IFERROR(I111/G111,"")</f>
        <v/>
      </c>
      <c r="K111" s="535">
        <f>IF(B111="","Pending",IF(M111="","⚠️ Enter Code",IF(IFERROR(VLOOKUP(L111,DB_Agents!$B:$I,8,0),"")=M111,"Pending","🔒 BLOCKED — Wrong Code")))</f>
        <v/>
      </c>
      <c r="L111" s="380" t="inlineStr">
        <is>
          <t>Agent 05</t>
        </is>
      </c>
      <c r="M111" s="491" t="n"/>
      <c r="N111" s="494" t="n"/>
    </row>
    <row r="112" ht="15" customHeight="1" s="341">
      <c r="A112" s="499">
        <f>IF(B112="","",IF(C112="❌ Account Not Found","INVALID","LN"&amp;TEXT(D112,"YYYYMMDD")&amp;TEXT(ROW()-13,"0000")))</f>
        <v/>
      </c>
      <c r="B112" s="495" t="n"/>
      <c r="C112" s="382">
        <f>IF(B112="","",IFERROR(VLOOKUP(B112,DB_Customers!$A:$D,4,0),"❌ Account Not Found"))</f>
        <v/>
      </c>
      <c r="D112" s="497">
        <f>IF(B112="","",TODAY())</f>
        <v/>
      </c>
      <c r="E112" s="526" t="n"/>
      <c r="F112" s="382" t="n"/>
      <c r="G112" s="527" t="n"/>
      <c r="H112" s="528" t="n"/>
      <c r="I112" s="529">
        <f>IF(E112="","",E112+(E112*H112/100*G112))</f>
        <v/>
      </c>
      <c r="J112" s="530">
        <f>IFERROR(I112/G112,"")</f>
        <v/>
      </c>
      <c r="K112" s="531">
        <f>IF(B112="","Pending",IF(M112="","⚠️ Enter Code",IF(IFERROR(VLOOKUP(L112,DB_Agents!$B:$I,8,0),"")=M112,"Pending","🔒 BLOCKED — Wrong Code")))</f>
        <v/>
      </c>
      <c r="L112" s="384" t="inlineStr">
        <is>
          <t>Agent 05</t>
        </is>
      </c>
      <c r="M112" s="491" t="n"/>
      <c r="N112" s="501" t="n"/>
    </row>
    <row r="113" ht="15" customHeight="1" s="341">
      <c r="A113" s="492">
        <f>IF(B113="","",IF(C113="❌ Account Not Found","INVALID","LN"&amp;TEXT(D113,"YYYYMMDD")&amp;TEXT(ROW()-13,"0000")))</f>
        <v/>
      </c>
      <c r="B113" s="486" t="n"/>
      <c r="C113" s="378">
        <f>IF(B113="","",IFERROR(VLOOKUP(B113,DB_Customers!$A:$D,4,0),"❌ Account Not Found"))</f>
        <v/>
      </c>
      <c r="D113" s="488">
        <f>IF(B113="","",TODAY())</f>
        <v/>
      </c>
      <c r="E113" s="526" t="n"/>
      <c r="F113" s="378" t="n"/>
      <c r="G113" s="532" t="n"/>
      <c r="H113" s="533" t="n"/>
      <c r="I113" s="529">
        <f>IF(E113="","",E113+(E113*H113/100*G113))</f>
        <v/>
      </c>
      <c r="J113" s="534">
        <f>IFERROR(I113/G113,"")</f>
        <v/>
      </c>
      <c r="K113" s="535">
        <f>IF(B113="","Pending",IF(M113="","⚠️ Enter Code",IF(IFERROR(VLOOKUP(L113,DB_Agents!$B:$I,8,0),"")=M113,"Pending","🔒 BLOCKED — Wrong Code")))</f>
        <v/>
      </c>
      <c r="L113" s="380" t="inlineStr">
        <is>
          <t>Agent 05</t>
        </is>
      </c>
      <c r="M113" s="491" t="n"/>
      <c r="N113" s="494" t="n"/>
    </row>
    <row r="114" ht="15" customHeight="1" s="341">
      <c r="H114" s="536" t="n"/>
      <c r="K114" s="537">
        <f>IF(B114="","Pending",IF(M114="","⚠️ Enter Code",IF(IFERROR(VLOOKUP(L114,DB_Agents!$B:$I,8,0),"")=M114,"Pending","🔒 BLOCKED — Wrong Code")))</f>
        <v/>
      </c>
      <c r="M114" s="491" t="n"/>
    </row>
    <row r="115" ht="15" customHeight="1" s="341">
      <c r="H115" s="536" t="n"/>
      <c r="K115" s="342">
        <f>IF(B115="","Pending",IF(M115="","⚠️ Enter Code",IF(IFERROR(VLOOKUP(L115,DB_Agents!$B:$I,8,0),"")=M115,"Pending","🔒 BLOCKED — Wrong Code")))</f>
        <v/>
      </c>
      <c r="M115" s="491" t="n"/>
    </row>
    <row r="116" ht="15" customHeight="1" s="341">
      <c r="H116" s="536" t="n"/>
      <c r="K116" s="537">
        <f>IF(B116="","Pending",IF(M116="","⚠️ Enter Code",IF(IFERROR(VLOOKUP(L116,DB_Agents!$B:$I,8,0),"")=M116,"Pending","🔒 BLOCKED — Wrong Code")))</f>
        <v/>
      </c>
      <c r="M116" s="491" t="n"/>
    </row>
    <row r="117" ht="15" customHeight="1" s="341">
      <c r="H117" s="536" t="n"/>
      <c r="K117" s="342">
        <f>IF(B117="","Pending",IF(M117="","⚠️ Enter Code",IF(IFERROR(VLOOKUP(L117,DB_Agents!$B:$I,8,0),"")=M117,"Pending","🔒 BLOCKED — Wrong Code")))</f>
        <v/>
      </c>
      <c r="M117" s="491" t="n"/>
    </row>
    <row r="118" ht="15" customHeight="1" s="341">
      <c r="H118" s="536" t="n"/>
      <c r="K118" s="537">
        <f>IF(B118="","Pending",IF(M118="","⚠️ Enter Code",IF(IFERROR(VLOOKUP(L118,DB_Agents!$B:$I,8,0),"")=M118,"Pending","🔒 BLOCKED — Wrong Code")))</f>
        <v/>
      </c>
      <c r="M118" s="491" t="n"/>
    </row>
    <row r="119" ht="15" customHeight="1" s="341">
      <c r="H119" s="536" t="n"/>
      <c r="K119" s="342">
        <f>IF(B119="","Pending",IF(M119="","⚠️ Enter Code",IF(IFERROR(VLOOKUP(L119,DB_Agents!$B:$I,8,0),"")=M119,"Pending","🔒 BLOCKED — Wrong Code")))</f>
        <v/>
      </c>
      <c r="M119" s="491" t="n"/>
    </row>
    <row r="120" ht="15" customHeight="1" s="341">
      <c r="H120" s="536" t="n"/>
      <c r="K120" s="537">
        <f>IF(B120="","Pending",IF(M120="","⚠️ Enter Code",IF(IFERROR(VLOOKUP(L120,DB_Agents!$B:$I,8,0),"")=M120,"Pending","🔒 BLOCKED — Wrong Code")))</f>
        <v/>
      </c>
      <c r="M120" s="491" t="n"/>
    </row>
    <row r="121" ht="15" customHeight="1" s="341">
      <c r="H121" s="536" t="n"/>
      <c r="K121" s="342">
        <f>IF(B121="","Pending",IF(M121="","⚠️ Enter Code",IF(IFERROR(VLOOKUP(L121,DB_Agents!$B:$I,8,0),"")=M121,"Pending","🔒 BLOCKED — Wrong Code")))</f>
        <v/>
      </c>
      <c r="M121" s="491" t="n"/>
    </row>
    <row r="122" ht="15" customHeight="1" s="341">
      <c r="H122" s="536" t="n"/>
      <c r="K122" s="537">
        <f>IF(B122="","Pending",IF(M122="","⚠️ Enter Code",IF(IFERROR(VLOOKUP(L122,DB_Agents!$B:$I,8,0),"")=M122,"Pending","🔒 BLOCKED — Wrong Code")))</f>
        <v/>
      </c>
      <c r="M122" s="491" t="n"/>
    </row>
    <row r="123" ht="15" customHeight="1" s="341">
      <c r="H123" s="536" t="n"/>
      <c r="K123" s="342">
        <f>IF(B123="","Pending",IF(M123="","⚠️ Enter Code",IF(IFERROR(VLOOKUP(L123,DB_Agents!$B:$I,8,0),"")=M123,"Pending","🔒 BLOCKED — Wrong Code")))</f>
        <v/>
      </c>
      <c r="M123" s="491" t="n"/>
    </row>
    <row r="124" ht="15" customHeight="1" s="341">
      <c r="H124" s="536" t="n"/>
      <c r="K124" s="537">
        <f>IF(B124="","Pending",IF(M124="","⚠️ Enter Code",IF(IFERROR(VLOOKUP(L124,DB_Agents!$B:$I,8,0),"")=M124,"Pending","🔒 BLOCKED — Wrong Code")))</f>
        <v/>
      </c>
      <c r="M124" s="491" t="n"/>
    </row>
    <row r="125" ht="15" customHeight="1" s="341">
      <c r="H125" s="536" t="n"/>
      <c r="K125" s="342">
        <f>IF(B125="","Pending",IF(M125="","⚠️ Enter Code",IF(IFERROR(VLOOKUP(L125,DB_Agents!$B:$I,8,0),"")=M125,"Pending","🔒 BLOCKED — Wrong Code")))</f>
        <v/>
      </c>
      <c r="M125" s="491" t="n"/>
    </row>
    <row r="126" ht="15" customHeight="1" s="341">
      <c r="H126" s="536" t="n"/>
      <c r="K126" s="537">
        <f>IF(B126="","Pending",IF(M126="","⚠️ Enter Code",IF(IFERROR(VLOOKUP(L126,DB_Agents!$B:$I,8,0),"")=M126,"Pending","🔒 BLOCKED — Wrong Code")))</f>
        <v/>
      </c>
      <c r="M126" s="491" t="n"/>
    </row>
    <row r="127" ht="15" customHeight="1" s="341">
      <c r="H127" s="536" t="n"/>
      <c r="K127" s="342">
        <f>IF(B127="","Pending",IF(M127="","⚠️ Enter Code",IF(IFERROR(VLOOKUP(L127,DB_Agents!$B:$I,8,0),"")=M127,"Pending","🔒 BLOCKED — Wrong Code")))</f>
        <v/>
      </c>
      <c r="M127" s="491" t="n"/>
    </row>
    <row r="128" ht="15" customHeight="1" s="341">
      <c r="H128" s="536" t="n"/>
      <c r="K128" s="537">
        <f>IF(B128="","Pending",IF(M128="","⚠️ Enter Code",IF(IFERROR(VLOOKUP(L128,DB_Agents!$B:$I,8,0),"")=M128,"Pending","🔒 BLOCKED — Wrong Code")))</f>
        <v/>
      </c>
      <c r="M128" s="491" t="n"/>
    </row>
    <row r="129" ht="15" customHeight="1" s="341">
      <c r="H129" s="536" t="n"/>
      <c r="K129" s="342">
        <f>IF(B129="","Pending",IF(M129="","⚠️ Enter Code",IF(IFERROR(VLOOKUP(L129,DB_Agents!$B:$I,8,0),"")=M129,"Pending","🔒 BLOCKED — Wrong Code")))</f>
        <v/>
      </c>
      <c r="M129" s="491" t="n"/>
    </row>
    <row r="130" ht="15" customHeight="1" s="341">
      <c r="H130" s="536" t="n"/>
      <c r="K130" s="537">
        <f>IF(B130="","Pending",IF(M130="","⚠️ Enter Code",IF(IFERROR(VLOOKUP(L130,DB_Agents!$B:$I,8,0),"")=M130,"Pending","🔒 BLOCKED — Wrong Code")))</f>
        <v/>
      </c>
      <c r="M130" s="491" t="n"/>
    </row>
    <row r="131" ht="15" customHeight="1" s="341">
      <c r="H131" s="536" t="n"/>
      <c r="K131" s="342">
        <f>IF(B131="","Pending",IF(M131="","⚠️ Enter Code",IF(IFERROR(VLOOKUP(L131,DB_Agents!$B:$I,8,0),"")=M131,"Pending","🔒 BLOCKED — Wrong Code")))</f>
        <v/>
      </c>
      <c r="M131" s="491" t="n"/>
    </row>
    <row r="132" ht="15" customHeight="1" s="341">
      <c r="H132" s="536" t="n"/>
      <c r="K132" s="537">
        <f>IF(B132="","Pending",IF(M132="","⚠️ Enter Code",IF(IFERROR(VLOOKUP(L132,DB_Agents!$B:$I,8,0),"")=M132,"Pending","🔒 BLOCKED — Wrong Code")))</f>
        <v/>
      </c>
      <c r="M132" s="491" t="n"/>
    </row>
    <row r="133" ht="15" customHeight="1" s="341">
      <c r="H133" s="536" t="n"/>
      <c r="K133" s="342">
        <f>IF(B133="","Pending",IF(M133="","⚠️ Enter Code",IF(IFERROR(VLOOKUP(L133,DB_Agents!$B:$I,8,0),"")=M133,"Pending","🔒 BLOCKED — Wrong Code")))</f>
        <v/>
      </c>
      <c r="M133" s="491" t="n"/>
    </row>
    <row r="134" ht="15" customHeight="1" s="341">
      <c r="H134" s="536" t="n"/>
      <c r="K134" s="537">
        <f>IF(B134="","Pending",IF(M134="","⚠️ Enter Code",IF(IFERROR(VLOOKUP(L134,DB_Agents!$B:$I,8,0),"")=M134,"Pending","🔒 BLOCKED — Wrong Code")))</f>
        <v/>
      </c>
      <c r="M134" s="491" t="n"/>
    </row>
    <row r="135" ht="15" customHeight="1" s="341">
      <c r="H135" s="536" t="n"/>
      <c r="K135" s="342">
        <f>IF(B135="","Pending",IF(M135="","⚠️ Enter Code",IF(IFERROR(VLOOKUP(L135,DB_Agents!$B:$I,8,0),"")=M135,"Pending","🔒 BLOCKED — Wrong Code")))</f>
        <v/>
      </c>
      <c r="M135" s="491" t="n"/>
    </row>
    <row r="136" ht="15" customHeight="1" s="341">
      <c r="H136" s="536" t="n"/>
      <c r="K136" s="537">
        <f>IF(B136="","Pending",IF(M136="","⚠️ Enter Code",IF(IFERROR(VLOOKUP(L136,DB_Agents!$B:$I,8,0),"")=M136,"Pending","🔒 BLOCKED — Wrong Code")))</f>
        <v/>
      </c>
      <c r="M136" s="491" t="n"/>
    </row>
    <row r="137" ht="15" customHeight="1" s="341">
      <c r="H137" s="536" t="n"/>
      <c r="K137" s="342">
        <f>IF(B137="","Pending",IF(M137="","⚠️ Enter Code",IF(IFERROR(VLOOKUP(L137,DB_Agents!$B:$I,8,0),"")=M137,"Pending","🔒 BLOCKED — Wrong Code")))</f>
        <v/>
      </c>
      <c r="M137" s="491" t="n"/>
    </row>
    <row r="138" ht="15" customHeight="1" s="341">
      <c r="H138" s="536" t="n"/>
      <c r="K138" s="537">
        <f>IF(B138="","Pending",IF(M138="","⚠️ Enter Code",IF(IFERROR(VLOOKUP(L138,DB_Agents!$B:$I,8,0),"")=M138,"Pending","🔒 BLOCKED — Wrong Code")))</f>
        <v/>
      </c>
      <c r="M138" s="491" t="n"/>
    </row>
    <row r="139" ht="15" customHeight="1" s="341">
      <c r="H139" s="536" t="n"/>
      <c r="K139" s="342">
        <f>IF(B139="","Pending",IF(M139="","⚠️ Enter Code",IF(IFERROR(VLOOKUP(L139,DB_Agents!$B:$I,8,0),"")=M139,"Pending","🔒 BLOCKED — Wrong Code")))</f>
        <v/>
      </c>
      <c r="M139" s="491" t="n"/>
    </row>
    <row r="140" ht="15" customHeight="1" s="341">
      <c r="H140" s="536" t="n"/>
      <c r="K140" s="537">
        <f>IF(B140="","Pending",IF(M140="","⚠️ Enter Code",IF(IFERROR(VLOOKUP(L140,DB_Agents!$B:$I,8,0),"")=M140,"Pending","🔒 BLOCKED — Wrong Code")))</f>
        <v/>
      </c>
      <c r="M140" s="491" t="n"/>
    </row>
    <row r="141" ht="15" customHeight="1" s="341">
      <c r="H141" s="536" t="n"/>
      <c r="K141" s="342">
        <f>IF(B141="","Pending",IF(M141="","⚠️ Enter Code",IF(IFERROR(VLOOKUP(L141,DB_Agents!$B:$I,8,0),"")=M141,"Pending","🔒 BLOCKED — Wrong Code")))</f>
        <v/>
      </c>
      <c r="M141" s="491" t="n"/>
    </row>
    <row r="142" ht="15" customHeight="1" s="341">
      <c r="H142" s="536" t="n"/>
      <c r="K142" s="537">
        <f>IF(B142="","Pending",IF(M142="","⚠️ Enter Code",IF(IFERROR(VLOOKUP(L142,DB_Agents!$B:$I,8,0),"")=M142,"Pending","🔒 BLOCKED — Wrong Code")))</f>
        <v/>
      </c>
      <c r="M142" s="491" t="n"/>
    </row>
    <row r="143" ht="15" customHeight="1" s="341">
      <c r="H143" s="536" t="n"/>
      <c r="K143" s="342">
        <f>IF(B143="","Pending",IF(M143="","⚠️ Enter Code",IF(IFERROR(VLOOKUP(L143,DB_Agents!$B:$I,8,0),"")=M143,"Pending","🔒 BLOCKED — Wrong Code")))</f>
        <v/>
      </c>
      <c r="M143" s="491" t="n"/>
    </row>
    <row r="144" ht="15" customHeight="1" s="341">
      <c r="H144" s="536" t="n"/>
      <c r="K144" s="537">
        <f>IF(B144="","Pending",IF(M144="","⚠️ Enter Code",IF(IFERROR(VLOOKUP(L144,DB_Agents!$B:$I,8,0),"")=M144,"Pending","🔒 BLOCKED — Wrong Code")))</f>
        <v/>
      </c>
      <c r="M144" s="491" t="n"/>
    </row>
    <row r="145" ht="15" customHeight="1" s="341">
      <c r="H145" s="536" t="n"/>
      <c r="K145" s="342">
        <f>IF(B145="","Pending",IF(M145="","⚠️ Enter Code",IF(IFERROR(VLOOKUP(L145,DB_Agents!$B:$I,8,0),"")=M145,"Pending","🔒 BLOCKED — Wrong Code")))</f>
        <v/>
      </c>
      <c r="M145" s="491" t="n"/>
    </row>
    <row r="146" ht="15" customHeight="1" s="341">
      <c r="H146" s="536" t="n"/>
      <c r="K146" s="537">
        <f>IF(B146="","Pending",IF(M146="","⚠️ Enter Code",IF(IFERROR(VLOOKUP(L146,DB_Agents!$B:$I,8,0),"")=M146,"Pending","🔒 BLOCKED — Wrong Code")))</f>
        <v/>
      </c>
      <c r="M146" s="491" t="n"/>
    </row>
    <row r="147" ht="15" customHeight="1" s="341">
      <c r="H147" s="536" t="n"/>
      <c r="K147" s="342">
        <f>IF(B147="","Pending",IF(M147="","⚠️ Enter Code",IF(IFERROR(VLOOKUP(L147,DB_Agents!$B:$I,8,0),"")=M147,"Pending","🔒 BLOCKED — Wrong Code")))</f>
        <v/>
      </c>
      <c r="M147" s="491" t="n"/>
    </row>
    <row r="148" ht="15" customHeight="1" s="341">
      <c r="H148" s="536" t="n"/>
      <c r="K148" s="537">
        <f>IF(B148="","Pending",IF(M148="","⚠️ Enter Code",IF(IFERROR(VLOOKUP(L148,DB_Agents!$B:$I,8,0),"")=M148,"Pending","🔒 BLOCKED — Wrong Code")))</f>
        <v/>
      </c>
      <c r="M148" s="491" t="n"/>
    </row>
    <row r="149" ht="15" customHeight="1" s="341">
      <c r="H149" s="536" t="n"/>
      <c r="K149" s="342">
        <f>IF(B149="","Pending",IF(M149="","⚠️ Enter Code",IF(IFERROR(VLOOKUP(L149,DB_Agents!$B:$I,8,0),"")=M149,"Pending","🔒 BLOCKED — Wrong Code")))</f>
        <v/>
      </c>
      <c r="M149" s="491" t="n"/>
    </row>
    <row r="150" ht="15" customHeight="1" s="341">
      <c r="H150" s="536" t="n"/>
      <c r="K150" s="537">
        <f>IF(B150="","Pending",IF(M150="","⚠️ Enter Code",IF(IFERROR(VLOOKUP(L150,DB_Agents!$B:$I,8,0),"")=M150,"Pending","🔒 BLOCKED — Wrong Code")))</f>
        <v/>
      </c>
      <c r="M150" s="491" t="n"/>
    </row>
    <row r="151" ht="15" customHeight="1" s="341">
      <c r="H151" s="536" t="n"/>
      <c r="K151" s="342">
        <f>IF(B151="","Pending",IF(M151="","⚠️ Enter Code",IF(IFERROR(VLOOKUP(L151,DB_Agents!$B:$I,8,0),"")=M151,"Pending","🔒 BLOCKED — Wrong Code")))</f>
        <v/>
      </c>
      <c r="M151" s="491" t="n"/>
    </row>
    <row r="152" ht="15" customHeight="1" s="341">
      <c r="H152" s="536" t="n"/>
      <c r="K152" s="537">
        <f>IF(B152="","Pending",IF(M152="","⚠️ Enter Code",IF(IFERROR(VLOOKUP(L152,DB_Agents!$B:$I,8,0),"")=M152,"Pending","🔒 BLOCKED — Wrong Code")))</f>
        <v/>
      </c>
      <c r="M152" s="491" t="n"/>
    </row>
    <row r="153" ht="15" customHeight="1" s="341">
      <c r="H153" s="536" t="n"/>
      <c r="K153" s="342">
        <f>IF(B153="","Pending",IF(M153="","⚠️ Enter Code",IF(IFERROR(VLOOKUP(L153,DB_Agents!$B:$I,8,0),"")=M153,"Pending","🔒 BLOCKED — Wrong Code")))</f>
        <v/>
      </c>
      <c r="M153" s="491" t="n"/>
    </row>
    <row r="154" ht="15" customHeight="1" s="341">
      <c r="H154" s="536" t="n"/>
      <c r="K154" s="537">
        <f>IF(B154="","Pending",IF(M154="","⚠️ Enter Code",IF(IFERROR(VLOOKUP(L154,DB_Agents!$B:$I,8,0),"")=M154,"Pending","🔒 BLOCKED — Wrong Code")))</f>
        <v/>
      </c>
      <c r="M154" s="491" t="n"/>
    </row>
    <row r="155" ht="15" customHeight="1" s="341">
      <c r="H155" s="536" t="n"/>
      <c r="K155" s="342">
        <f>IF(B155="","Pending",IF(M155="","⚠️ Enter Code",IF(IFERROR(VLOOKUP(L155,DB_Agents!$B:$I,8,0),"")=M155,"Pending","🔒 BLOCKED — Wrong Code")))</f>
        <v/>
      </c>
      <c r="M155" s="491" t="n"/>
    </row>
    <row r="156" ht="15" customHeight="1" s="341">
      <c r="H156" s="536" t="n"/>
      <c r="K156" s="537">
        <f>IF(B156="","Pending",IF(M156="","⚠️ Enter Code",IF(IFERROR(VLOOKUP(L156,DB_Agents!$B:$I,8,0),"")=M156,"Pending","🔒 BLOCKED — Wrong Code")))</f>
        <v/>
      </c>
      <c r="M156" s="491" t="n"/>
    </row>
    <row r="157" ht="15" customHeight="1" s="341">
      <c r="H157" s="536" t="n"/>
      <c r="K157" s="342">
        <f>IF(B157="","Pending",IF(M157="","⚠️ Enter Code",IF(IFERROR(VLOOKUP(L157,DB_Agents!$B:$I,8,0),"")=M157,"Pending","🔒 BLOCKED — Wrong Code")))</f>
        <v/>
      </c>
      <c r="M157" s="491" t="n"/>
    </row>
    <row r="158" ht="15" customHeight="1" s="341">
      <c r="H158" s="536" t="n"/>
      <c r="K158" s="537">
        <f>IF(B158="","Pending",IF(M158="","⚠️ Enter Code",IF(IFERROR(VLOOKUP(L158,DB_Agents!$B:$I,8,0),"")=M158,"Pending","🔒 BLOCKED — Wrong Code")))</f>
        <v/>
      </c>
      <c r="M158" s="491" t="n"/>
    </row>
    <row r="159" ht="15" customHeight="1" s="341">
      <c r="H159" s="536" t="n"/>
      <c r="K159" s="342">
        <f>IF(B159="","Pending",IF(M159="","⚠️ Enter Code",IF(IFERROR(VLOOKUP(L159,DB_Agents!$B:$I,8,0),"")=M159,"Pending","🔒 BLOCKED — Wrong Code")))</f>
        <v/>
      </c>
      <c r="M159" s="491" t="n"/>
    </row>
    <row r="160" ht="15" customHeight="1" s="341">
      <c r="H160" s="536" t="n"/>
      <c r="K160" s="537">
        <f>IF(B160="","Pending",IF(M160="","⚠️ Enter Code",IF(IFERROR(VLOOKUP(L160,DB_Agents!$B:$I,8,0),"")=M160,"Pending","🔒 BLOCKED — Wrong Code")))</f>
        <v/>
      </c>
      <c r="M160" s="491" t="n"/>
    </row>
    <row r="161" ht="15" customHeight="1" s="341">
      <c r="H161" s="536" t="n"/>
      <c r="K161" s="342">
        <f>IF(B161="","Pending",IF(M161="","⚠️ Enter Code",IF(IFERROR(VLOOKUP(L161,DB_Agents!$B:$I,8,0),"")=M161,"Pending","🔒 BLOCKED — Wrong Code")))</f>
        <v/>
      </c>
      <c r="M161" s="491" t="n"/>
    </row>
    <row r="162" ht="15" customHeight="1" s="341">
      <c r="H162" s="536" t="n"/>
      <c r="K162" s="537">
        <f>IF(B162="","Pending",IF(M162="","⚠️ Enter Code",IF(IFERROR(VLOOKUP(L162,DB_Agents!$B:$I,8,0),"")=M162,"Pending","🔒 BLOCKED — Wrong Code")))</f>
        <v/>
      </c>
      <c r="M162" s="491" t="n"/>
    </row>
    <row r="163" ht="15" customHeight="1" s="341">
      <c r="H163" s="536" t="n"/>
      <c r="K163" s="342">
        <f>IF(B163="","Pending",IF(M163="","⚠️ Enter Code",IF(IFERROR(VLOOKUP(L163,DB_Agents!$B:$I,8,0),"")=M163,"Pending","🔒 BLOCKED — Wrong Code")))</f>
        <v/>
      </c>
      <c r="M163" s="491" t="n"/>
    </row>
    <row r="164" ht="15" customHeight="1" s="341">
      <c r="H164" s="536" t="n"/>
      <c r="K164" s="537">
        <f>IF(B164="","Pending",IF(M164="","⚠️ Enter Code",IF(IFERROR(VLOOKUP(L164,DB_Agents!$B:$I,8,0),"")=M164,"Pending","🔒 BLOCKED — Wrong Code")))</f>
        <v/>
      </c>
      <c r="M164" s="491" t="n"/>
    </row>
    <row r="165" ht="15" customHeight="1" s="341">
      <c r="H165" s="536" t="n"/>
      <c r="K165" s="342">
        <f>IF(B165="","Pending",IF(M165="","⚠️ Enter Code",IF(IFERROR(VLOOKUP(L165,DB_Agents!$B:$I,8,0),"")=M165,"Pending","🔒 BLOCKED — Wrong Code")))</f>
        <v/>
      </c>
      <c r="M165" s="491" t="n"/>
    </row>
    <row r="166" ht="15" customHeight="1" s="341">
      <c r="H166" s="536" t="n"/>
      <c r="K166" s="537">
        <f>IF(B166="","Pending",IF(M166="","⚠️ Enter Code",IF(IFERROR(VLOOKUP(L166,DB_Agents!$B:$I,8,0),"")=M166,"Pending","🔒 BLOCKED — Wrong Code")))</f>
        <v/>
      </c>
      <c r="M166" s="491" t="n"/>
    </row>
    <row r="167" ht="15" customHeight="1" s="341">
      <c r="H167" s="536" t="n"/>
      <c r="K167" s="342">
        <f>IF(B167="","Pending",IF(M167="","⚠️ Enter Code",IF(IFERROR(VLOOKUP(L167,DB_Agents!$B:$I,8,0),"")=M167,"Pending","🔒 BLOCKED — Wrong Code")))</f>
        <v/>
      </c>
      <c r="M167" s="491" t="n"/>
    </row>
    <row r="168" ht="15" customHeight="1" s="341">
      <c r="H168" s="536" t="n"/>
      <c r="K168" s="537">
        <f>IF(B168="","Pending",IF(M168="","⚠️ Enter Code",IF(IFERROR(VLOOKUP(L168,DB_Agents!$B:$I,8,0),"")=M168,"Pending","🔒 BLOCKED — Wrong Code")))</f>
        <v/>
      </c>
      <c r="M168" s="491" t="n"/>
    </row>
    <row r="169" ht="15" customHeight="1" s="341">
      <c r="H169" s="536" t="n"/>
      <c r="K169" s="342">
        <f>IF(B169="","Pending",IF(M169="","⚠️ Enter Code",IF(IFERROR(VLOOKUP(L169,DB_Agents!$B:$I,8,0),"")=M169,"Pending","🔒 BLOCKED — Wrong Code")))</f>
        <v/>
      </c>
      <c r="M169" s="491" t="n"/>
    </row>
    <row r="170" ht="15" customHeight="1" s="341">
      <c r="H170" s="536" t="n"/>
      <c r="K170" s="537">
        <f>IF(B170="","Pending",IF(M170="","⚠️ Enter Code",IF(IFERROR(VLOOKUP(L170,DB_Agents!$B:$I,8,0),"")=M170,"Pending","🔒 BLOCKED — Wrong Code")))</f>
        <v/>
      </c>
      <c r="M170" s="491" t="n"/>
    </row>
    <row r="171" ht="15" customHeight="1" s="341">
      <c r="H171" s="536" t="n"/>
      <c r="K171" s="342">
        <f>IF(B171="","Pending",IF(M171="","⚠️ Enter Code",IF(IFERROR(VLOOKUP(L171,DB_Agents!$B:$I,8,0),"")=M171,"Pending","🔒 BLOCKED — Wrong Code")))</f>
        <v/>
      </c>
      <c r="M171" s="491" t="n"/>
    </row>
    <row r="172" ht="15" customHeight="1" s="341">
      <c r="H172" s="536" t="n"/>
      <c r="K172" s="537">
        <f>IF(B172="","Pending",IF(M172="","⚠️ Enter Code",IF(IFERROR(VLOOKUP(L172,DB_Agents!$B:$I,8,0),"")=M172,"Pending","🔒 BLOCKED — Wrong Code")))</f>
        <v/>
      </c>
      <c r="M172" s="491" t="n"/>
    </row>
    <row r="173" ht="15" customHeight="1" s="341">
      <c r="H173" s="536" t="n"/>
      <c r="K173" s="342">
        <f>IF(B173="","Pending",IF(M173="","⚠️ Enter Code",IF(IFERROR(VLOOKUP(L173,DB_Agents!$B:$I,8,0),"")=M173,"Pending","🔒 BLOCKED — Wrong Code")))</f>
        <v/>
      </c>
      <c r="M173" s="491" t="n"/>
    </row>
    <row r="174" ht="15" customHeight="1" s="341">
      <c r="H174" s="536" t="n"/>
      <c r="K174" s="537">
        <f>IF(B174="","Pending",IF(M174="","⚠️ Enter Code",IF(IFERROR(VLOOKUP(L174,DB_Agents!$B:$I,8,0),"")=M174,"Pending","🔒 BLOCKED — Wrong Code")))</f>
        <v/>
      </c>
      <c r="M174" s="491" t="n"/>
    </row>
    <row r="175" ht="15" customHeight="1" s="341">
      <c r="H175" s="536" t="n"/>
      <c r="K175" s="342">
        <f>IF(B175="","Pending",IF(M175="","⚠️ Enter Code",IF(IFERROR(VLOOKUP(L175,DB_Agents!$B:$I,8,0),"")=M175,"Pending","🔒 BLOCKED — Wrong Code")))</f>
        <v/>
      </c>
      <c r="M175" s="491" t="n"/>
    </row>
    <row r="176" ht="15" customHeight="1" s="341">
      <c r="H176" s="536" t="n"/>
      <c r="K176" s="537">
        <f>IF(B176="","Pending",IF(M176="","⚠️ Enter Code",IF(IFERROR(VLOOKUP(L176,DB_Agents!$B:$I,8,0),"")=M176,"Pending","🔒 BLOCKED — Wrong Code")))</f>
        <v/>
      </c>
      <c r="M176" s="491" t="n"/>
    </row>
    <row r="177" ht="15" customHeight="1" s="341">
      <c r="H177" s="536" t="n"/>
      <c r="K177" s="342">
        <f>IF(B177="","Pending",IF(M177="","⚠️ Enter Code",IF(IFERROR(VLOOKUP(L177,DB_Agents!$B:$I,8,0),"")=M177,"Pending","🔒 BLOCKED — Wrong Code")))</f>
        <v/>
      </c>
      <c r="M177" s="491" t="n"/>
    </row>
    <row r="178" ht="15" customHeight="1" s="341">
      <c r="H178" s="536" t="n"/>
      <c r="K178" s="537">
        <f>IF(B178="","Pending",IF(M178="","⚠️ Enter Code",IF(IFERROR(VLOOKUP(L178,DB_Agents!$B:$I,8,0),"")=M178,"Pending","🔒 BLOCKED — Wrong Code")))</f>
        <v/>
      </c>
      <c r="M178" s="491" t="n"/>
    </row>
    <row r="179" ht="15" customHeight="1" s="341">
      <c r="H179" s="536" t="n"/>
      <c r="K179" s="342">
        <f>IF(B179="","Pending",IF(M179="","⚠️ Enter Code",IF(IFERROR(VLOOKUP(L179,DB_Agents!$B:$I,8,0),"")=M179,"Pending","🔒 BLOCKED — Wrong Code")))</f>
        <v/>
      </c>
      <c r="M179" s="491" t="n"/>
    </row>
    <row r="180" ht="15" customHeight="1" s="341">
      <c r="H180" s="536" t="n"/>
      <c r="K180" s="537">
        <f>IF(B180="","Pending",IF(M180="","⚠️ Enter Code",IF(IFERROR(VLOOKUP(L180,DB_Agents!$B:$I,8,0),"")=M180,"Pending","🔒 BLOCKED — Wrong Code")))</f>
        <v/>
      </c>
      <c r="M180" s="491" t="n"/>
    </row>
    <row r="181" ht="15" customHeight="1" s="341">
      <c r="H181" s="536" t="n"/>
      <c r="K181" s="342">
        <f>IF(B181="","Pending",IF(M181="","⚠️ Enter Code",IF(IFERROR(VLOOKUP(L181,DB_Agents!$B:$I,8,0),"")=M181,"Pending","🔒 BLOCKED — Wrong Code")))</f>
        <v/>
      </c>
      <c r="M181" s="491" t="n"/>
    </row>
    <row r="182" ht="15" customHeight="1" s="341">
      <c r="H182" s="536" t="n"/>
      <c r="K182" s="537">
        <f>IF(B182="","Pending",IF(M182="","⚠️ Enter Code",IF(IFERROR(VLOOKUP(L182,DB_Agents!$B:$I,8,0),"")=M182,"Pending","🔒 BLOCKED — Wrong Code")))</f>
        <v/>
      </c>
      <c r="M182" s="491" t="n"/>
    </row>
    <row r="183" ht="15" customHeight="1" s="341">
      <c r="H183" s="536" t="n"/>
      <c r="K183" s="342">
        <f>IF(B183="","Pending",IF(M183="","⚠️ Enter Code",IF(IFERROR(VLOOKUP(L183,DB_Agents!$B:$I,8,0),"")=M183,"Pending","🔒 BLOCKED — Wrong Code")))</f>
        <v/>
      </c>
      <c r="M183" s="491" t="n"/>
    </row>
    <row r="184" ht="15" customHeight="1" s="341">
      <c r="H184" s="536" t="n"/>
      <c r="K184" s="537">
        <f>IF(B184="","Pending",IF(M184="","⚠️ Enter Code",IF(IFERROR(VLOOKUP(L184,DB_Agents!$B:$I,8,0),"")=M184,"Pending","🔒 BLOCKED — Wrong Code")))</f>
        <v/>
      </c>
      <c r="M184" s="491" t="n"/>
    </row>
    <row r="185" ht="15" customHeight="1" s="341">
      <c r="H185" s="536" t="n"/>
      <c r="K185" s="342">
        <f>IF(B185="","Pending",IF(M185="","⚠️ Enter Code",IF(IFERROR(VLOOKUP(L185,DB_Agents!$B:$I,8,0),"")=M185,"Pending","🔒 BLOCKED — Wrong Code")))</f>
        <v/>
      </c>
      <c r="M185" s="491" t="n"/>
    </row>
    <row r="186" ht="15" customHeight="1" s="341">
      <c r="H186" s="536" t="n"/>
      <c r="K186" s="537">
        <f>IF(B186="","Pending",IF(M186="","⚠️ Enter Code",IF(IFERROR(VLOOKUP(L186,DB_Agents!$B:$I,8,0),"")=M186,"Pending","🔒 BLOCKED — Wrong Code")))</f>
        <v/>
      </c>
      <c r="M186" s="491" t="n"/>
    </row>
    <row r="187" ht="15" customHeight="1" s="341">
      <c r="H187" s="536" t="n"/>
      <c r="K187" s="342">
        <f>IF(B187="","Pending",IF(M187="","⚠️ Enter Code",IF(IFERROR(VLOOKUP(L187,DB_Agents!$B:$I,8,0),"")=M187,"Pending","🔒 BLOCKED — Wrong Code")))</f>
        <v/>
      </c>
      <c r="M187" s="491" t="n"/>
    </row>
    <row r="188" ht="15" customHeight="1" s="341">
      <c r="H188" s="536" t="n"/>
      <c r="K188" s="537">
        <f>IF(B188="","Pending",IF(M188="","⚠️ Enter Code",IF(IFERROR(VLOOKUP(L188,DB_Agents!$B:$I,8,0),"")=M188,"Pending","🔒 BLOCKED — Wrong Code")))</f>
        <v/>
      </c>
      <c r="M188" s="491" t="n"/>
    </row>
    <row r="189" ht="15" customHeight="1" s="341">
      <c r="H189" s="536" t="n"/>
      <c r="K189" s="342">
        <f>IF(B189="","Pending",IF(M189="","⚠️ Enter Code",IF(IFERROR(VLOOKUP(L189,DB_Agents!$B:$I,8,0),"")=M189,"Pending","🔒 BLOCKED — Wrong Code")))</f>
        <v/>
      </c>
      <c r="M189" s="491" t="n"/>
    </row>
    <row r="190" ht="15" customHeight="1" s="341">
      <c r="H190" s="536" t="n"/>
      <c r="K190" s="537">
        <f>IF(B190="","Pending",IF(M190="","⚠️ Enter Code",IF(IFERROR(VLOOKUP(L190,DB_Agents!$B:$I,8,0),"")=M190,"Pending","🔒 BLOCKED — Wrong Code")))</f>
        <v/>
      </c>
      <c r="M190" s="491" t="n"/>
    </row>
    <row r="191" ht="15" customHeight="1" s="341">
      <c r="H191" s="536" t="n"/>
      <c r="K191" s="342">
        <f>IF(B191="","Pending",IF(M191="","⚠️ Enter Code",IF(IFERROR(VLOOKUP(L191,DB_Agents!$B:$I,8,0),"")=M191,"Pending","🔒 BLOCKED — Wrong Code")))</f>
        <v/>
      </c>
      <c r="M191" s="491" t="n"/>
    </row>
    <row r="192" ht="15" customHeight="1" s="341">
      <c r="H192" s="536" t="n"/>
      <c r="K192" s="537">
        <f>IF(B192="","Pending",IF(M192="","⚠️ Enter Code",IF(IFERROR(VLOOKUP(L192,DB_Agents!$B:$I,8,0),"")=M192,"Pending","🔒 BLOCKED — Wrong Code")))</f>
        <v/>
      </c>
      <c r="M192" s="491" t="n"/>
    </row>
    <row r="193" ht="15" customHeight="1" s="341">
      <c r="H193" s="536" t="n"/>
      <c r="K193" s="342">
        <f>IF(B193="","Pending",IF(M193="","⚠️ Enter Code",IF(IFERROR(VLOOKUP(L193,DB_Agents!$B:$I,8,0),"")=M193,"Pending","🔒 BLOCKED — Wrong Code")))</f>
        <v/>
      </c>
      <c r="M193" s="491" t="n"/>
    </row>
    <row r="194" ht="15" customHeight="1" s="341">
      <c r="H194" s="536" t="n"/>
      <c r="K194" s="537">
        <f>IF(B194="","Pending",IF(M194="","⚠️ Enter Code",IF(IFERROR(VLOOKUP(L194,DB_Agents!$B:$I,8,0),"")=M194,"Pending","🔒 BLOCKED — Wrong Code")))</f>
        <v/>
      </c>
      <c r="M194" s="491" t="n"/>
    </row>
    <row r="195" ht="15" customHeight="1" s="341">
      <c r="H195" s="536" t="n"/>
      <c r="K195" s="342">
        <f>IF(B195="","Pending",IF(M195="","⚠️ Enter Code",IF(IFERROR(VLOOKUP(L195,DB_Agents!$B:$I,8,0),"")=M195,"Pending","🔒 BLOCKED — Wrong Code")))</f>
        <v/>
      </c>
      <c r="M195" s="491" t="n"/>
    </row>
    <row r="196" ht="15" customHeight="1" s="341">
      <c r="H196" s="536" t="n"/>
      <c r="K196" s="537">
        <f>IF(B196="","Pending",IF(M196="","⚠️ Enter Code",IF(IFERROR(VLOOKUP(L196,DB_Agents!$B:$I,8,0),"")=M196,"Pending","🔒 BLOCKED — Wrong Code")))</f>
        <v/>
      </c>
      <c r="M196" s="491" t="n"/>
    </row>
    <row r="197" ht="15" customHeight="1" s="341">
      <c r="H197" s="536" t="n"/>
      <c r="K197" s="342">
        <f>IF(B197="","Pending",IF(M197="","⚠️ Enter Code",IF(IFERROR(VLOOKUP(L197,DB_Agents!$B:$I,8,0),"")=M197,"Pending","🔒 BLOCKED — Wrong Code")))</f>
        <v/>
      </c>
      <c r="M197" s="491" t="n"/>
    </row>
    <row r="198" ht="15" customHeight="1" s="341">
      <c r="H198" s="536" t="n"/>
      <c r="K198" s="537">
        <f>IF(B198="","Pending",IF(M198="","⚠️ Enter Code",IF(IFERROR(VLOOKUP(L198,DB_Agents!$B:$I,8,0),"")=M198,"Pending","🔒 BLOCKED — Wrong Code")))</f>
        <v/>
      </c>
      <c r="M198" s="491" t="n"/>
    </row>
    <row r="199" ht="15" customHeight="1" s="341">
      <c r="H199" s="536" t="n"/>
      <c r="K199" s="342">
        <f>IF(B199="","Pending",IF(M199="","⚠️ Enter Code",IF(IFERROR(VLOOKUP(L199,DB_Agents!$B:$I,8,0),"")=M199,"Pending","🔒 BLOCKED — Wrong Code")))</f>
        <v/>
      </c>
      <c r="M199" s="491" t="n"/>
    </row>
    <row r="200" ht="15" customHeight="1" s="341">
      <c r="H200" s="536" t="n"/>
      <c r="K200" s="537">
        <f>IF(B200="","Pending",IF(M200="","⚠️ Enter Code",IF(IFERROR(VLOOKUP(L200,DB_Agents!$B:$I,8,0),"")=M200,"Pending","🔒 BLOCKED — Wrong Code")))</f>
        <v/>
      </c>
      <c r="M200" s="491" t="n"/>
    </row>
    <row r="201" ht="15" customHeight="1" s="341">
      <c r="K201" s="342">
        <f>IF(B201="","Pending",IF(M201="","⚠️ Enter Code",IF(IFERROR(VLOOKUP(L201,DB_Agents!$B:$I,8,0),"")=M201,"Pending","🔒 BLOCKED — Wrong Code")))</f>
        <v/>
      </c>
      <c r="M201" s="491" t="n"/>
    </row>
    <row r="202" ht="15" customHeight="1" s="341">
      <c r="K202" s="537">
        <f>IF(B202="","Pending",IF(M202="","⚠️ Enter Code",IF(IFERROR(VLOOKUP(L202,DB_Agents!$B:$I,8,0),"")=M202,"Pending","🔒 BLOCKED — Wrong Code")))</f>
        <v/>
      </c>
      <c r="M202" s="491" t="n"/>
    </row>
    <row r="203" ht="15" customHeight="1" s="341">
      <c r="K203" s="342">
        <f>IF(B203="","Pending",IF(M203="","⚠️ Enter Code",IF(IFERROR(VLOOKUP(L203,DB_Agents!$B:$I,8,0),"")=M203,"Pending","🔒 BLOCKED — Wrong Code")))</f>
        <v/>
      </c>
      <c r="M203" s="491" t="n"/>
    </row>
    <row r="204" ht="15" customHeight="1" s="341">
      <c r="K204" s="537">
        <f>IF(B204="","Pending",IF(M204="","⚠️ Enter Code",IF(IFERROR(VLOOKUP(L204,DB_Agents!$B:$I,8,0),"")=M204,"Pending","🔒 BLOCKED — Wrong Code")))</f>
        <v/>
      </c>
      <c r="M204" s="491" t="n"/>
    </row>
    <row r="205" ht="15" customHeight="1" s="341">
      <c r="K205" s="342">
        <f>IF(B205="","Pending",IF(M205="","⚠️ Enter Code",IF(IFERROR(VLOOKUP(L205,DB_Agents!$B:$I,8,0),"")=M205,"Pending","🔒 BLOCKED — Wrong Code")))</f>
        <v/>
      </c>
      <c r="M205" s="491" t="n"/>
    </row>
    <row r="206" ht="15" customHeight="1" s="341">
      <c r="K206" s="537">
        <f>IF(B206="","Pending",IF(M206="","⚠️ Enter Code",IF(IFERROR(VLOOKUP(L206,DB_Agents!$B:$I,8,0),"")=M206,"Pending","🔒 BLOCKED — Wrong Code")))</f>
        <v/>
      </c>
      <c r="M206" s="491" t="n"/>
    </row>
    <row r="207" ht="15" customHeight="1" s="341">
      <c r="K207" s="342">
        <f>IF(B207="","Pending",IF(M207="","⚠️ Enter Code",IF(IFERROR(VLOOKUP(L207,DB_Agents!$B:$I,8,0),"")=M207,"Pending","🔒 BLOCKED — Wrong Code")))</f>
        <v/>
      </c>
      <c r="M207" s="491" t="n"/>
    </row>
    <row r="208" ht="15" customHeight="1" s="341">
      <c r="K208" s="537">
        <f>IF(B208="","Pending",IF(M208="","⚠️ Enter Code",IF(IFERROR(VLOOKUP(L208,DB_Agents!$B:$I,8,0),"")=M208,"Pending","🔒 BLOCKED — Wrong Code")))</f>
        <v/>
      </c>
      <c r="M208" s="491" t="n"/>
    </row>
    <row r="209" ht="15" customHeight="1" s="341">
      <c r="K209" s="342">
        <f>IF(B209="","Pending",IF(M209="","⚠️ Enter Code",IF(IFERROR(VLOOKUP(L209,DB_Agents!$B:$I,8,0),"")=M209,"Pending","🔒 BLOCKED — Wrong Code")))</f>
        <v/>
      </c>
      <c r="M209" s="491" t="n"/>
    </row>
    <row r="210" ht="15" customHeight="1" s="341">
      <c r="K210" s="537">
        <f>IF(B210="","Pending",IF(M210="","⚠️ Enter Code",IF(IFERROR(VLOOKUP(L210,DB_Agents!$B:$I,8,0),"")=M210,"Pending","🔒 BLOCKED — Wrong Code")))</f>
        <v/>
      </c>
      <c r="M210" s="491" t="n"/>
    </row>
    <row r="211" ht="15" customHeight="1" s="341">
      <c r="K211" s="342">
        <f>IF(B211="","Pending",IF(M211="","⚠️ Enter Code",IF(IFERROR(VLOOKUP(L211,DB_Agents!$B:$I,8,0),"")=M211,"Pending","🔒 BLOCKED — Wrong Code")))</f>
        <v/>
      </c>
      <c r="M211" s="491" t="n"/>
    </row>
    <row r="212" ht="15" customHeight="1" s="341">
      <c r="K212" s="537">
        <f>IF(B212="","Pending",IF(M212="","⚠️ Enter Code",IF(IFERROR(VLOOKUP(L212,DB_Agents!$B:$I,8,0),"")=M212,"Pending","🔒 BLOCKED — Wrong Code")))</f>
        <v/>
      </c>
      <c r="M212" s="491" t="n"/>
    </row>
    <row r="213" ht="15" customHeight="1" s="341">
      <c r="K213" s="342">
        <f>IF(B213="","Pending",IF(M213="","⚠️ Enter Code",IF(IFERROR(VLOOKUP(L213,DB_Agents!$B:$I,8,0),"")=M213,"Pending","🔒 BLOCKED — Wrong Code")))</f>
        <v/>
      </c>
      <c r="M213" s="491" t="n"/>
    </row>
  </sheetData>
  <mergeCells count="10">
    <mergeCell ref="B10:D10"/>
    <mergeCell ref="B5:D5"/>
    <mergeCell ref="A12:N12"/>
    <mergeCell ref="A4:D4"/>
    <mergeCell ref="B8:D8"/>
    <mergeCell ref="A2:N2"/>
    <mergeCell ref="B9:D9"/>
    <mergeCell ref="B7:D7"/>
    <mergeCell ref="B6:D6"/>
    <mergeCell ref="A1:N1"/>
  </mergeCells>
  <conditionalFormatting sqref="K14:K113">
    <cfRule type="cellIs" rank="0" priority="2" equalAverage="0" operator="equal" aboveAverage="0" dxfId="0" text="" percent="0" bottom="0">
      <formula>"Approved"</formula>
    </cfRule>
    <cfRule type="cellIs" rank="0" priority="3" equalAverage="0" operator="equal" aboveAverage="0" dxfId="11" text="" percent="0" bottom="0">
      <formula>"Pending"</formula>
    </cfRule>
    <cfRule type="cellIs" rank="0" priority="4" equalAverage="0" operator="equal" aboveAverage="0" dxfId="1" text="" percent="0" bottom="0">
      <formula>"Rejected"</formula>
    </cfRule>
  </conditionalFormatting>
  <dataValidations count="2">
    <dataValidation sqref="G14:G113" showDropDown="0" showInputMessage="0" showErrorMessage="1" allowBlank="0" error="Enter 1-36 months" type="whole" errorStyle="stop" operator="between">
      <formula1>1</formula1>
      <formula2>36</formula2>
    </dataValidation>
    <dataValidation sqref="L14:L113"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1.xml><?xml version="1.0" encoding="utf-8"?>
<worksheet xmlns="http://schemas.openxmlformats.org/spreadsheetml/2006/main">
  <sheetPr filterMode="0">
    <tabColor rgb="FF27AE60"/>
    <outlinePr summaryBelow="1" summaryRight="1"/>
    <pageSetUpPr fitToPage="0"/>
  </sheetPr>
  <dimension ref="A1:L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2" customWidth="1" style="340" min="7" max="7"/>
    <col width="14" customWidth="1" style="340" min="8" max="8"/>
    <col width="22" customWidth="1" style="340" min="9" max="10"/>
  </cols>
  <sheetData>
    <row r="1" ht="31.5" customHeight="1" s="341">
      <c r="A1" s="409" t="inlineStr">
        <is>
          <t>💰  SAMICIOUS MICROFINANCE — AGENT06 SAVINGS</t>
        </is>
      </c>
    </row>
    <row r="2" ht="19.5" customHeight="1" s="341">
      <c r="A2" s="479" t="inlineStr">
        <is>
          <t>Agent: Agent 06  |  Enter Account # → All fields auto-populate  |  Status auto-sets to "Saved"  |  🔑 Security: Enter your 4-digit Agent Code in each row</t>
        </is>
      </c>
    </row>
    <row r="3" ht="18" customHeight="1" s="341">
      <c r="A3" s="364" t="inlineStr">
        <is>
          <t>💰 Total Collected Today</t>
        </is>
      </c>
      <c r="D3" s="367" t="inlineStr">
        <is>
          <t>📊 Transactions Today</t>
        </is>
      </c>
      <c r="G3" s="439" t="inlineStr">
        <is>
          <t>📅 Date</t>
        </is>
      </c>
      <c r="J3" s="340" t="n"/>
    </row>
    <row r="4" ht="27.75" customHeight="1" s="341">
      <c r="A4" s="480">
        <f>SUMIFS(DB_Savings!$F:$F,DB_Savings!$G:$G,"Agent 06",DB_Savings!$E:$E,TODAY())</f>
        <v/>
      </c>
      <c r="D4" s="481">
        <f>COUNTIFS(DB_Savings!$G:$G,"Agent 06",DB_Savings!$E:$E,TODAY())</f>
        <v/>
      </c>
      <c r="G4" s="482">
        <f>TEXT(TODAY(),"DDDD, DD MMMM YYYY")</f>
        <v/>
      </c>
      <c r="J4" s="340" t="n"/>
    </row>
    <row r="5" ht="21.75" customHeight="1" s="341">
      <c r="A5" s="483">
        <f>IF(SUMIFS(DB_Savings!$F:$F,DB_Savings!$G:$G,"Agent 06",DB_Savings!$E:$E,TODAY())&gt;=J4,"✅ DAILY TARGET ACHIEVED! Well done Agent 06!","⏳ Collection in progress — Keep going! Remaining: GHC "&amp;TEXT(J4-SUMIFS(DB_Savings!$F:$F,DB_Savings!$G:$G,"Agent 06",DB_Savings!$E:$E,TODAY()),"#,##0.00"))</f>
        <v/>
      </c>
    </row>
    <row r="6" ht="7.5" customHeight="1" s="341"/>
    <row r="7" ht="19.5" customHeight="1" s="341">
      <c r="A7" s="484" t="inlineStr">
        <is>
          <t>📝  ENTRY FORM — Enter Account Number in column A. All other fields auto-populate. Enter Savings Amount in column E then Tab to complete. | Enter Agent Code in 🔑 column to authorize each transaction.</t>
        </is>
      </c>
    </row>
    <row r="8" ht="19.5" customHeight="1" s="341">
      <c r="A8" s="377" t="inlineStr">
        <is>
          <t>Account #</t>
        </is>
      </c>
      <c r="B8" s="377" t="inlineStr">
        <is>
          <t>Customer Name</t>
        </is>
      </c>
      <c r="C8" s="377" t="inlineStr">
        <is>
          <t>Current Balance</t>
        </is>
      </c>
      <c r="D8" s="377" t="inlineStr">
        <is>
          <t>Date</t>
        </is>
      </c>
      <c r="E8" s="377" t="inlineStr">
        <is>
          <t>Savings Amount</t>
        </is>
      </c>
      <c r="F8" s="377" t="inlineStr">
        <is>
          <t>New Balance</t>
        </is>
      </c>
      <c r="G8" s="377" t="inlineStr">
        <is>
          <t>Agent</t>
        </is>
      </c>
      <c r="H8" s="485" t="inlineStr">
        <is>
          <t>🔑 Agent Code</t>
        </is>
      </c>
      <c r="I8" s="377" t="inlineStr">
        <is>
          <t>Status</t>
        </is>
      </c>
      <c r="J8" s="377" t="inlineStr">
        <is>
          <t>Saved At</t>
        </is>
      </c>
      <c r="K8" s="377" t="inlineStr">
        <is>
          <t>Notes</t>
        </is>
      </c>
    </row>
    <row r="9" ht="15" customHeight="1" s="341">
      <c r="A9" s="486" t="n"/>
      <c r="B9" s="378">
        <f>IF(A9="","",IFERROR(VLOOKUP(A9,DB_Customers!$A:$D,4,0),"❌ Account Not Found"))</f>
        <v/>
      </c>
      <c r="C9" s="487">
        <f>IF(A9="","",IFERROR(VLOOKUP(A9,DB_Customers!$A:$N,14,0),""))</f>
        <v/>
      </c>
      <c r="D9" s="488">
        <f>IF(A9="","",TODAY())</f>
        <v/>
      </c>
      <c r="E9" s="489" t="n"/>
      <c r="F9" s="490">
        <f>IF(OR(A9="",E9=""),"",IF(C9="","",C9+E9))</f>
        <v/>
      </c>
      <c r="G9" s="380" t="inlineStr">
        <is>
          <t>Agent 06</t>
        </is>
      </c>
      <c r="H9" s="491" t="n"/>
      <c r="I9" s="492">
        <f>IF(A9="","Pending",IF(H9="","⚠️ Enter Code",IF(IFERROR(VLOOKUP(G9,DB_Agents!$B:$I,8,0),"")=H9,IF(AND(A9&lt;&gt;"",E9&lt;&gt;""),"Saved","Pending"),"🔒 BLOCKED — Wrong Code")))</f>
        <v/>
      </c>
      <c r="J9" s="493">
        <f>IF(I9="Saved",TEXT(TODAY(),"YYYY-MM-DD")&amp;" Auto","—")</f>
        <v/>
      </c>
      <c r="K9" s="494" t="n"/>
    </row>
    <row r="10" ht="15" customHeight="1" s="341">
      <c r="A10" s="495" t="n"/>
      <c r="B10" s="382">
        <f>IF(A10="","",IFERROR(VLOOKUP(A10,DB_Customers!$A:$D,4,0),"❌ Account Not Found"))</f>
        <v/>
      </c>
      <c r="C10" s="496">
        <f>IF(A10="","",IFERROR(VLOOKUP(A10,DB_Customers!$A:$N,14,0),""))</f>
        <v/>
      </c>
      <c r="D10" s="497">
        <f>IF(A10="","",TODAY())</f>
        <v/>
      </c>
      <c r="E10" s="489" t="n"/>
      <c r="F10" s="498">
        <f>IF(OR(A10="",E10=""),"",IF(C10="","",C10+E10))</f>
        <v/>
      </c>
      <c r="G10" s="384" t="inlineStr">
        <is>
          <t>Agent 06</t>
        </is>
      </c>
      <c r="H10" s="491" t="n"/>
      <c r="I10" s="499">
        <f>IF(A10="","Pending",IF(H10="","⚠️ Enter Code",IF(IFERROR(VLOOKUP(G10,DB_Agents!$B:$I,8,0),"")=H10,IF(AND(A10&lt;&gt;"",E10&lt;&gt;""),"Saved","Pending"),"🔒 BLOCKED — Wrong Code")))</f>
        <v/>
      </c>
      <c r="J10" s="500">
        <f>IF(I10="Saved",TEXT(TODAY(),"YYYY-MM-DD")&amp;" Auto","—")</f>
        <v/>
      </c>
      <c r="K10" s="501" t="n"/>
    </row>
    <row r="11" ht="15" customHeight="1" s="341">
      <c r="A11" s="486" t="n"/>
      <c r="B11" s="378">
        <f>IF(A11="","",IFERROR(VLOOKUP(A11,DB_Customers!$A:$D,4,0),"❌ Account Not Found"))</f>
        <v/>
      </c>
      <c r="C11" s="487">
        <f>IF(A11="","",IFERROR(VLOOKUP(A11,DB_Customers!$A:$N,14,0),""))</f>
        <v/>
      </c>
      <c r="D11" s="488">
        <f>IF(A11="","",TODAY())</f>
        <v/>
      </c>
      <c r="E11" s="489" t="n"/>
      <c r="F11" s="490">
        <f>IF(OR(A11="",E11=""),"",IF(C11="","",C11+E11))</f>
        <v/>
      </c>
      <c r="G11" s="380" t="inlineStr">
        <is>
          <t>Agent 06</t>
        </is>
      </c>
      <c r="H11" s="491" t="n"/>
      <c r="I11" s="492">
        <f>IF(A11="","Pending",IF(H11="","⚠️ Enter Code",IF(IFERROR(VLOOKUP(G11,DB_Agents!$B:$I,8,0),"")=H11,IF(AND(A11&lt;&gt;"",E11&lt;&gt;""),"Saved","Pending"),"🔒 BLOCKED — Wrong Code")))</f>
        <v/>
      </c>
      <c r="J11" s="493">
        <f>IF(I11="Saved",TEXT(TODAY(),"YYYY-MM-DD")&amp;" Auto","—")</f>
        <v/>
      </c>
      <c r="K11" s="494" t="n"/>
    </row>
    <row r="12" ht="15" customHeight="1" s="341">
      <c r="A12" s="495" t="n"/>
      <c r="B12" s="382">
        <f>IF(A12="","",IFERROR(VLOOKUP(A12,DB_Customers!$A:$D,4,0),"❌ Account Not Found"))</f>
        <v/>
      </c>
      <c r="C12" s="496">
        <f>IF(A12="","",IFERROR(VLOOKUP(A12,DB_Customers!$A:$N,14,0),""))</f>
        <v/>
      </c>
      <c r="D12" s="497">
        <f>IF(A12="","",TODAY())</f>
        <v/>
      </c>
      <c r="E12" s="489" t="n"/>
      <c r="F12" s="498">
        <f>IF(OR(A12="",E12=""),"",IF(C12="","",C12+E12))</f>
        <v/>
      </c>
      <c r="G12" s="384" t="inlineStr">
        <is>
          <t>Agent 06</t>
        </is>
      </c>
      <c r="H12" s="491" t="n"/>
      <c r="I12" s="499">
        <f>IF(A12="","Pending",IF(H12="","⚠️ Enter Code",IF(IFERROR(VLOOKUP(G12,DB_Agents!$B:$I,8,0),"")=H12,IF(AND(A12&lt;&gt;"",E12&lt;&gt;""),"Saved","Pending"),"🔒 BLOCKED — Wrong Code")))</f>
        <v/>
      </c>
      <c r="J12" s="500">
        <f>IF(I12="Saved",TEXT(TODAY(),"YYYY-MM-DD")&amp;" Auto","—")</f>
        <v/>
      </c>
      <c r="K12" s="501" t="n"/>
    </row>
    <row r="13" ht="15" customHeight="1" s="341">
      <c r="A13" s="486" t="n"/>
      <c r="B13" s="378">
        <f>IF(A13="","",IFERROR(VLOOKUP(A13,DB_Customers!$A:$D,4,0),"❌ Account Not Found"))</f>
        <v/>
      </c>
      <c r="C13" s="487">
        <f>IF(A13="","",IFERROR(VLOOKUP(A13,DB_Customers!$A:$N,14,0),""))</f>
        <v/>
      </c>
      <c r="D13" s="488">
        <f>IF(A13="","",TODAY())</f>
        <v/>
      </c>
      <c r="E13" s="489" t="n"/>
      <c r="F13" s="490">
        <f>IF(OR(A13="",E13=""),"",IF(C13="","",C13+E13))</f>
        <v/>
      </c>
      <c r="G13" s="380" t="inlineStr">
        <is>
          <t>Agent 06</t>
        </is>
      </c>
      <c r="H13" s="491" t="n"/>
      <c r="I13" s="492">
        <f>IF(A13="","Pending",IF(H13="","⚠️ Enter Code",IF(IFERROR(VLOOKUP(G13,DB_Agents!$B:$I,8,0),"")=H13,IF(AND(A13&lt;&gt;"",E13&lt;&gt;""),"Saved","Pending"),"🔒 BLOCKED — Wrong Code")))</f>
        <v/>
      </c>
      <c r="J13" s="493">
        <f>IF(I13="Saved",TEXT(TODAY(),"YYYY-MM-DD")&amp;" Auto","—")</f>
        <v/>
      </c>
      <c r="K13" s="494" t="n"/>
    </row>
    <row r="14" ht="15" customHeight="1" s="341">
      <c r="A14" s="495" t="n"/>
      <c r="B14" s="382">
        <f>IF(A14="","",IFERROR(VLOOKUP(A14,DB_Customers!$A:$D,4,0),"❌ Account Not Found"))</f>
        <v/>
      </c>
      <c r="C14" s="496">
        <f>IF(A14="","",IFERROR(VLOOKUP(A14,DB_Customers!$A:$N,14,0),""))</f>
        <v/>
      </c>
      <c r="D14" s="497">
        <f>IF(A14="","",TODAY())</f>
        <v/>
      </c>
      <c r="E14" s="489" t="n"/>
      <c r="F14" s="498">
        <f>IF(OR(A14="",E14=""),"",IF(C14="","",C14+E14))</f>
        <v/>
      </c>
      <c r="G14" s="384" t="inlineStr">
        <is>
          <t>Agent 06</t>
        </is>
      </c>
      <c r="H14" s="491" t="n"/>
      <c r="I14" s="499">
        <f>IF(A14="","Pending",IF(H14="","⚠️ Enter Code",IF(IFERROR(VLOOKUP(G14,DB_Agents!$B:$I,8,0),"")=H14,IF(AND(A14&lt;&gt;"",E14&lt;&gt;""),"Saved","Pending"),"🔒 BLOCKED — Wrong Code")))</f>
        <v/>
      </c>
      <c r="J14" s="500">
        <f>IF(I14="Saved",TEXT(TODAY(),"YYYY-MM-DD")&amp;" Auto","—")</f>
        <v/>
      </c>
      <c r="K14" s="501" t="n"/>
    </row>
    <row r="15" ht="15" customHeight="1" s="341">
      <c r="A15" s="486" t="n"/>
      <c r="B15" s="378">
        <f>IF(A15="","",IFERROR(VLOOKUP(A15,DB_Customers!$A:$D,4,0),"❌ Account Not Found"))</f>
        <v/>
      </c>
      <c r="C15" s="487">
        <f>IF(A15="","",IFERROR(VLOOKUP(A15,DB_Customers!$A:$N,14,0),""))</f>
        <v/>
      </c>
      <c r="D15" s="488">
        <f>IF(A15="","",TODAY())</f>
        <v/>
      </c>
      <c r="E15" s="489" t="n"/>
      <c r="F15" s="490">
        <f>IF(OR(A15="",E15=""),"",IF(C15="","",C15+E15))</f>
        <v/>
      </c>
      <c r="G15" s="380" t="inlineStr">
        <is>
          <t>Agent 06</t>
        </is>
      </c>
      <c r="H15" s="491" t="n"/>
      <c r="I15" s="492">
        <f>IF(A15="","Pending",IF(H15="","⚠️ Enter Code",IF(IFERROR(VLOOKUP(G15,DB_Agents!$B:$I,8,0),"")=H15,IF(AND(A15&lt;&gt;"",E15&lt;&gt;""),"Saved","Pending"),"🔒 BLOCKED — Wrong Code")))</f>
        <v/>
      </c>
      <c r="J15" s="493">
        <f>IF(I15="Saved",TEXT(TODAY(),"YYYY-MM-DD")&amp;" Auto","—")</f>
        <v/>
      </c>
      <c r="K15" s="494" t="n"/>
    </row>
    <row r="16" ht="15" customHeight="1" s="341">
      <c r="A16" s="495" t="n"/>
      <c r="B16" s="382">
        <f>IF(A16="","",IFERROR(VLOOKUP(A16,DB_Customers!$A:$D,4,0),"❌ Account Not Found"))</f>
        <v/>
      </c>
      <c r="C16" s="496">
        <f>IF(A16="","",IFERROR(VLOOKUP(A16,DB_Customers!$A:$N,14,0),""))</f>
        <v/>
      </c>
      <c r="D16" s="497">
        <f>IF(A16="","",TODAY())</f>
        <v/>
      </c>
      <c r="E16" s="489" t="n"/>
      <c r="F16" s="498">
        <f>IF(OR(A16="",E16=""),"",IF(C16="","",C16+E16))</f>
        <v/>
      </c>
      <c r="G16" s="384" t="inlineStr">
        <is>
          <t>Agent 06</t>
        </is>
      </c>
      <c r="H16" s="491" t="n"/>
      <c r="I16" s="499">
        <f>IF(A16="","Pending",IF(H16="","⚠️ Enter Code",IF(IFERROR(VLOOKUP(G16,DB_Agents!$B:$I,8,0),"")=H16,IF(AND(A16&lt;&gt;"",E16&lt;&gt;""),"Saved","Pending"),"🔒 BLOCKED — Wrong Code")))</f>
        <v/>
      </c>
      <c r="J16" s="500">
        <f>IF(I16="Saved",TEXT(TODAY(),"YYYY-MM-DD")&amp;" Auto","—")</f>
        <v/>
      </c>
      <c r="K16" s="501" t="n"/>
    </row>
    <row r="17" ht="15" customHeight="1" s="341">
      <c r="A17" s="486" t="n"/>
      <c r="B17" s="378">
        <f>IF(A17="","",IFERROR(VLOOKUP(A17,DB_Customers!$A:$D,4,0),"❌ Account Not Found"))</f>
        <v/>
      </c>
      <c r="C17" s="487">
        <f>IF(A17="","",IFERROR(VLOOKUP(A17,DB_Customers!$A:$N,14,0),""))</f>
        <v/>
      </c>
      <c r="D17" s="488">
        <f>IF(A17="","",TODAY())</f>
        <v/>
      </c>
      <c r="E17" s="489" t="n"/>
      <c r="F17" s="490">
        <f>IF(OR(A17="",E17=""),"",IF(C17="","",C17+E17))</f>
        <v/>
      </c>
      <c r="G17" s="380" t="inlineStr">
        <is>
          <t>Agent 06</t>
        </is>
      </c>
      <c r="H17" s="491" t="n"/>
      <c r="I17" s="492">
        <f>IF(A17="","Pending",IF(H17="","⚠️ Enter Code",IF(IFERROR(VLOOKUP(G17,DB_Agents!$B:$I,8,0),"")=H17,IF(AND(A17&lt;&gt;"",E17&lt;&gt;""),"Saved","Pending"),"🔒 BLOCKED — Wrong Code")))</f>
        <v/>
      </c>
      <c r="J17" s="493">
        <f>IF(I17="Saved",TEXT(TODAY(),"YYYY-MM-DD")&amp;" Auto","—")</f>
        <v/>
      </c>
      <c r="K17" s="494" t="n"/>
    </row>
    <row r="18" ht="15" customHeight="1" s="341">
      <c r="A18" s="495" t="n"/>
      <c r="B18" s="382">
        <f>IF(A18="","",IFERROR(VLOOKUP(A18,DB_Customers!$A:$D,4,0),"❌ Account Not Found"))</f>
        <v/>
      </c>
      <c r="C18" s="496">
        <f>IF(A18="","",IFERROR(VLOOKUP(A18,DB_Customers!$A:$N,14,0),""))</f>
        <v/>
      </c>
      <c r="D18" s="497">
        <f>IF(A18="","",TODAY())</f>
        <v/>
      </c>
      <c r="E18" s="489" t="n"/>
      <c r="F18" s="498">
        <f>IF(OR(A18="",E18=""),"",IF(C18="","",C18+E18))</f>
        <v/>
      </c>
      <c r="G18" s="384" t="inlineStr">
        <is>
          <t>Agent 06</t>
        </is>
      </c>
      <c r="H18" s="491" t="n"/>
      <c r="I18" s="499">
        <f>IF(A18="","Pending",IF(H18="","⚠️ Enter Code",IF(IFERROR(VLOOKUP(G18,DB_Agents!$B:$I,8,0),"")=H18,IF(AND(A18&lt;&gt;"",E18&lt;&gt;""),"Saved","Pending"),"🔒 BLOCKED — Wrong Code")))</f>
        <v/>
      </c>
      <c r="J18" s="500">
        <f>IF(I18="Saved",TEXT(TODAY(),"YYYY-MM-DD")&amp;" Auto","—")</f>
        <v/>
      </c>
      <c r="K18" s="501" t="n"/>
    </row>
    <row r="19" ht="15" customHeight="1" s="341">
      <c r="A19" s="486" t="n"/>
      <c r="B19" s="378">
        <f>IF(A19="","",IFERROR(VLOOKUP(A19,DB_Customers!$A:$D,4,0),"❌ Account Not Found"))</f>
        <v/>
      </c>
      <c r="C19" s="487">
        <f>IF(A19="","",IFERROR(VLOOKUP(A19,DB_Customers!$A:$N,14,0),""))</f>
        <v/>
      </c>
      <c r="D19" s="488">
        <f>IF(A19="","",TODAY())</f>
        <v/>
      </c>
      <c r="E19" s="489" t="n"/>
      <c r="F19" s="490">
        <f>IF(OR(A19="",E19=""),"",IF(C19="","",C19+E19))</f>
        <v/>
      </c>
      <c r="G19" s="380" t="inlineStr">
        <is>
          <t>Agent 06</t>
        </is>
      </c>
      <c r="H19" s="491" t="n"/>
      <c r="I19" s="492">
        <f>IF(A19="","Pending",IF(H19="","⚠️ Enter Code",IF(IFERROR(VLOOKUP(G19,DB_Agents!$B:$I,8,0),"")=H19,IF(AND(A19&lt;&gt;"",E19&lt;&gt;""),"Saved","Pending"),"🔒 BLOCKED — Wrong Code")))</f>
        <v/>
      </c>
      <c r="J19" s="493">
        <f>IF(I19="Saved",TEXT(TODAY(),"YYYY-MM-DD")&amp;" Auto","—")</f>
        <v/>
      </c>
      <c r="K19" s="494" t="n"/>
    </row>
    <row r="20" ht="15" customHeight="1" s="341">
      <c r="A20" s="495" t="n"/>
      <c r="B20" s="382">
        <f>IF(A20="","",IFERROR(VLOOKUP(A20,DB_Customers!$A:$D,4,0),"❌ Account Not Found"))</f>
        <v/>
      </c>
      <c r="C20" s="496">
        <f>IF(A20="","",IFERROR(VLOOKUP(A20,DB_Customers!$A:$N,14,0),""))</f>
        <v/>
      </c>
      <c r="D20" s="497">
        <f>IF(A20="","",TODAY())</f>
        <v/>
      </c>
      <c r="E20" s="489" t="n"/>
      <c r="F20" s="498">
        <f>IF(OR(A20="",E20=""),"",IF(C20="","",C20+E20))</f>
        <v/>
      </c>
      <c r="G20" s="384" t="inlineStr">
        <is>
          <t>Agent 06</t>
        </is>
      </c>
      <c r="H20" s="491" t="n"/>
      <c r="I20" s="499">
        <f>IF(A20="","Pending",IF(H20="","⚠️ Enter Code",IF(IFERROR(VLOOKUP(G20,DB_Agents!$B:$I,8,0),"")=H20,IF(AND(A20&lt;&gt;"",E20&lt;&gt;""),"Saved","Pending"),"🔒 BLOCKED — Wrong Code")))</f>
        <v/>
      </c>
      <c r="J20" s="500">
        <f>IF(I20="Saved",TEXT(TODAY(),"YYYY-MM-DD")&amp;" Auto","—")</f>
        <v/>
      </c>
      <c r="K20" s="501" t="n"/>
    </row>
    <row r="21" ht="15" customHeight="1" s="341">
      <c r="A21" s="486" t="n"/>
      <c r="B21" s="378">
        <f>IF(A21="","",IFERROR(VLOOKUP(A21,DB_Customers!$A:$D,4,0),"❌ Account Not Found"))</f>
        <v/>
      </c>
      <c r="C21" s="487">
        <f>IF(A21="","",IFERROR(VLOOKUP(A21,DB_Customers!$A:$N,14,0),""))</f>
        <v/>
      </c>
      <c r="D21" s="488">
        <f>IF(A21="","",TODAY())</f>
        <v/>
      </c>
      <c r="E21" s="489" t="n"/>
      <c r="F21" s="490">
        <f>IF(OR(A21="",E21=""),"",IF(C21="","",C21+E21))</f>
        <v/>
      </c>
      <c r="G21" s="380" t="inlineStr">
        <is>
          <t>Agent 06</t>
        </is>
      </c>
      <c r="H21" s="491" t="n"/>
      <c r="I21" s="492">
        <f>IF(A21="","Pending",IF(H21="","⚠️ Enter Code",IF(IFERROR(VLOOKUP(G21,DB_Agents!$B:$I,8,0),"")=H21,IF(AND(A21&lt;&gt;"",E21&lt;&gt;""),"Saved","Pending"),"🔒 BLOCKED — Wrong Code")))</f>
        <v/>
      </c>
      <c r="J21" s="493">
        <f>IF(I21="Saved",TEXT(TODAY(),"YYYY-MM-DD")&amp;" Auto","—")</f>
        <v/>
      </c>
      <c r="K21" s="494" t="n"/>
    </row>
    <row r="22" ht="15" customHeight="1" s="341">
      <c r="A22" s="495" t="n"/>
      <c r="B22" s="382">
        <f>IF(A22="","",IFERROR(VLOOKUP(A22,DB_Customers!$A:$D,4,0),"❌ Account Not Found"))</f>
        <v/>
      </c>
      <c r="C22" s="496">
        <f>IF(A22="","",IFERROR(VLOOKUP(A22,DB_Customers!$A:$N,14,0),""))</f>
        <v/>
      </c>
      <c r="D22" s="497">
        <f>IF(A22="","",TODAY())</f>
        <v/>
      </c>
      <c r="E22" s="489" t="n"/>
      <c r="F22" s="498">
        <f>IF(OR(A22="",E22=""),"",IF(C22="","",C22+E22))</f>
        <v/>
      </c>
      <c r="G22" s="384" t="inlineStr">
        <is>
          <t>Agent 06</t>
        </is>
      </c>
      <c r="H22" s="491" t="n"/>
      <c r="I22" s="499">
        <f>IF(A22="","Pending",IF(H22="","⚠️ Enter Code",IF(IFERROR(VLOOKUP(G22,DB_Agents!$B:$I,8,0),"")=H22,IF(AND(A22&lt;&gt;"",E22&lt;&gt;""),"Saved","Pending"),"🔒 BLOCKED — Wrong Code")))</f>
        <v/>
      </c>
      <c r="J22" s="500">
        <f>IF(I22="Saved",TEXT(TODAY(),"YYYY-MM-DD")&amp;" Auto","—")</f>
        <v/>
      </c>
      <c r="K22" s="501" t="n"/>
    </row>
    <row r="23" ht="15" customHeight="1" s="341">
      <c r="A23" s="486" t="n"/>
      <c r="B23" s="378">
        <f>IF(A23="","",IFERROR(VLOOKUP(A23,DB_Customers!$A:$D,4,0),"❌ Account Not Found"))</f>
        <v/>
      </c>
      <c r="C23" s="487">
        <f>IF(A23="","",IFERROR(VLOOKUP(A23,DB_Customers!$A:$N,14,0),""))</f>
        <v/>
      </c>
      <c r="D23" s="488">
        <f>IF(A23="","",TODAY())</f>
        <v/>
      </c>
      <c r="E23" s="489" t="n"/>
      <c r="F23" s="490">
        <f>IF(OR(A23="",E23=""),"",IF(C23="","",C23+E23))</f>
        <v/>
      </c>
      <c r="G23" s="380" t="inlineStr">
        <is>
          <t>Agent 06</t>
        </is>
      </c>
      <c r="H23" s="491" t="n"/>
      <c r="I23" s="492">
        <f>IF(A23="","Pending",IF(H23="","⚠️ Enter Code",IF(IFERROR(VLOOKUP(G23,DB_Agents!$B:$I,8,0),"")=H23,IF(AND(A23&lt;&gt;"",E23&lt;&gt;""),"Saved","Pending"),"🔒 BLOCKED — Wrong Code")))</f>
        <v/>
      </c>
      <c r="J23" s="493">
        <f>IF(I23="Saved",TEXT(TODAY(),"YYYY-MM-DD")&amp;" Auto","—")</f>
        <v/>
      </c>
      <c r="K23" s="494" t="n"/>
    </row>
    <row r="24" ht="15" customHeight="1" s="341">
      <c r="A24" s="495" t="n"/>
      <c r="B24" s="382">
        <f>IF(A24="","",IFERROR(VLOOKUP(A24,DB_Customers!$A:$D,4,0),"❌ Account Not Found"))</f>
        <v/>
      </c>
      <c r="C24" s="496">
        <f>IF(A24="","",IFERROR(VLOOKUP(A24,DB_Customers!$A:$N,14,0),""))</f>
        <v/>
      </c>
      <c r="D24" s="497">
        <f>IF(A24="","",TODAY())</f>
        <v/>
      </c>
      <c r="E24" s="489" t="n"/>
      <c r="F24" s="498">
        <f>IF(OR(A24="",E24=""),"",IF(C24="","",C24+E24))</f>
        <v/>
      </c>
      <c r="G24" s="384" t="inlineStr">
        <is>
          <t>Agent 06</t>
        </is>
      </c>
      <c r="H24" s="491" t="n"/>
      <c r="I24" s="499">
        <f>IF(A24="","Pending",IF(H24="","⚠️ Enter Code",IF(IFERROR(VLOOKUP(G24,DB_Agents!$B:$I,8,0),"")=H24,IF(AND(A24&lt;&gt;"",E24&lt;&gt;""),"Saved","Pending"),"🔒 BLOCKED — Wrong Code")))</f>
        <v/>
      </c>
      <c r="J24" s="500">
        <f>IF(I24="Saved",TEXT(TODAY(),"YYYY-MM-DD")&amp;" Auto","—")</f>
        <v/>
      </c>
      <c r="K24" s="501" t="n"/>
    </row>
    <row r="25" ht="15" customHeight="1" s="341">
      <c r="A25" s="486" t="n"/>
      <c r="B25" s="378">
        <f>IF(A25="","",IFERROR(VLOOKUP(A25,DB_Customers!$A:$D,4,0),"❌ Account Not Found"))</f>
        <v/>
      </c>
      <c r="C25" s="487">
        <f>IF(A25="","",IFERROR(VLOOKUP(A25,DB_Customers!$A:$N,14,0),""))</f>
        <v/>
      </c>
      <c r="D25" s="488">
        <f>IF(A25="","",TODAY())</f>
        <v/>
      </c>
      <c r="E25" s="489" t="n"/>
      <c r="F25" s="490">
        <f>IF(OR(A25="",E25=""),"",IF(C25="","",C25+E25))</f>
        <v/>
      </c>
      <c r="G25" s="380" t="inlineStr">
        <is>
          <t>Agent 06</t>
        </is>
      </c>
      <c r="H25" s="491" t="n"/>
      <c r="I25" s="492">
        <f>IF(A25="","Pending",IF(H25="","⚠️ Enter Code",IF(IFERROR(VLOOKUP(G25,DB_Agents!$B:$I,8,0),"")=H25,IF(AND(A25&lt;&gt;"",E25&lt;&gt;""),"Saved","Pending"),"🔒 BLOCKED — Wrong Code")))</f>
        <v/>
      </c>
      <c r="J25" s="493">
        <f>IF(I25="Saved",TEXT(TODAY(),"YYYY-MM-DD")&amp;" Auto","—")</f>
        <v/>
      </c>
      <c r="K25" s="494" t="n"/>
    </row>
    <row r="26" ht="15" customHeight="1" s="341">
      <c r="A26" s="495" t="n"/>
      <c r="B26" s="382">
        <f>IF(A26="","",IFERROR(VLOOKUP(A26,DB_Customers!$A:$D,4,0),"❌ Account Not Found"))</f>
        <v/>
      </c>
      <c r="C26" s="496">
        <f>IF(A26="","",IFERROR(VLOOKUP(A26,DB_Customers!$A:$N,14,0),""))</f>
        <v/>
      </c>
      <c r="D26" s="497">
        <f>IF(A26="","",TODAY())</f>
        <v/>
      </c>
      <c r="E26" s="489" t="n"/>
      <c r="F26" s="498">
        <f>IF(OR(A26="",E26=""),"",IF(C26="","",C26+E26))</f>
        <v/>
      </c>
      <c r="G26" s="384" t="inlineStr">
        <is>
          <t>Agent 06</t>
        </is>
      </c>
      <c r="H26" s="491" t="n"/>
      <c r="I26" s="499">
        <f>IF(A26="","Pending",IF(H26="","⚠️ Enter Code",IF(IFERROR(VLOOKUP(G26,DB_Agents!$B:$I,8,0),"")=H26,IF(AND(A26&lt;&gt;"",E26&lt;&gt;""),"Saved","Pending"),"🔒 BLOCKED — Wrong Code")))</f>
        <v/>
      </c>
      <c r="J26" s="500">
        <f>IF(I26="Saved",TEXT(TODAY(),"YYYY-MM-DD")&amp;" Auto","—")</f>
        <v/>
      </c>
      <c r="K26" s="501" t="n"/>
    </row>
    <row r="27" ht="15" customHeight="1" s="341">
      <c r="A27" s="486" t="n"/>
      <c r="B27" s="378">
        <f>IF(A27="","",IFERROR(VLOOKUP(A27,DB_Customers!$A:$D,4,0),"❌ Account Not Found"))</f>
        <v/>
      </c>
      <c r="C27" s="487">
        <f>IF(A27="","",IFERROR(VLOOKUP(A27,DB_Customers!$A:$N,14,0),""))</f>
        <v/>
      </c>
      <c r="D27" s="488">
        <f>IF(A27="","",TODAY())</f>
        <v/>
      </c>
      <c r="E27" s="489" t="n"/>
      <c r="F27" s="490">
        <f>IF(OR(A27="",E27=""),"",IF(C27="","",C27+E27))</f>
        <v/>
      </c>
      <c r="G27" s="380" t="inlineStr">
        <is>
          <t>Agent 06</t>
        </is>
      </c>
      <c r="H27" s="491" t="n"/>
      <c r="I27" s="492">
        <f>IF(A27="","Pending",IF(H27="","⚠️ Enter Code",IF(IFERROR(VLOOKUP(G27,DB_Agents!$B:$I,8,0),"")=H27,IF(AND(A27&lt;&gt;"",E27&lt;&gt;""),"Saved","Pending"),"🔒 BLOCKED — Wrong Code")))</f>
        <v/>
      </c>
      <c r="J27" s="493">
        <f>IF(I27="Saved",TEXT(TODAY(),"YYYY-MM-DD")&amp;" Auto","—")</f>
        <v/>
      </c>
      <c r="K27" s="494" t="n"/>
    </row>
    <row r="28" ht="15" customHeight="1" s="341">
      <c r="A28" s="495" t="n"/>
      <c r="B28" s="382">
        <f>IF(A28="","",IFERROR(VLOOKUP(A28,DB_Customers!$A:$D,4,0),"❌ Account Not Found"))</f>
        <v/>
      </c>
      <c r="C28" s="496">
        <f>IF(A28="","",IFERROR(VLOOKUP(A28,DB_Customers!$A:$N,14,0),""))</f>
        <v/>
      </c>
      <c r="D28" s="497">
        <f>IF(A28="","",TODAY())</f>
        <v/>
      </c>
      <c r="E28" s="489" t="n"/>
      <c r="F28" s="498">
        <f>IF(OR(A28="",E28=""),"",IF(C28="","",C28+E28))</f>
        <v/>
      </c>
      <c r="G28" s="384" t="inlineStr">
        <is>
          <t>Agent 06</t>
        </is>
      </c>
      <c r="H28" s="491" t="n"/>
      <c r="I28" s="499">
        <f>IF(A28="","Pending",IF(H28="","⚠️ Enter Code",IF(IFERROR(VLOOKUP(G28,DB_Agents!$B:$I,8,0),"")=H28,IF(AND(A28&lt;&gt;"",E28&lt;&gt;""),"Saved","Pending"),"🔒 BLOCKED — Wrong Code")))</f>
        <v/>
      </c>
      <c r="J28" s="500">
        <f>IF(I28="Saved",TEXT(TODAY(),"YYYY-MM-DD")&amp;" Auto","—")</f>
        <v/>
      </c>
      <c r="K28" s="501" t="n"/>
    </row>
    <row r="29" ht="15" customHeight="1" s="341">
      <c r="A29" s="486" t="n"/>
      <c r="B29" s="378">
        <f>IF(A29="","",IFERROR(VLOOKUP(A29,DB_Customers!$A:$D,4,0),"❌ Account Not Found"))</f>
        <v/>
      </c>
      <c r="C29" s="487">
        <f>IF(A29="","",IFERROR(VLOOKUP(A29,DB_Customers!$A:$N,14,0),""))</f>
        <v/>
      </c>
      <c r="D29" s="488">
        <f>IF(A29="","",TODAY())</f>
        <v/>
      </c>
      <c r="E29" s="489" t="n"/>
      <c r="F29" s="490">
        <f>IF(OR(A29="",E29=""),"",IF(C29="","",C29+E29))</f>
        <v/>
      </c>
      <c r="G29" s="380" t="inlineStr">
        <is>
          <t>Agent 06</t>
        </is>
      </c>
      <c r="H29" s="491" t="n"/>
      <c r="I29" s="492">
        <f>IF(A29="","Pending",IF(H29="","⚠️ Enter Code",IF(IFERROR(VLOOKUP(G29,DB_Agents!$B:$I,8,0),"")=H29,IF(AND(A29&lt;&gt;"",E29&lt;&gt;""),"Saved","Pending"),"🔒 BLOCKED — Wrong Code")))</f>
        <v/>
      </c>
      <c r="J29" s="493">
        <f>IF(I29="Saved",TEXT(TODAY(),"YYYY-MM-DD")&amp;" Auto","—")</f>
        <v/>
      </c>
      <c r="K29" s="494" t="n"/>
    </row>
    <row r="30" ht="15" customHeight="1" s="341">
      <c r="A30" s="495" t="n"/>
      <c r="B30" s="382">
        <f>IF(A30="","",IFERROR(VLOOKUP(A30,DB_Customers!$A:$D,4,0),"❌ Account Not Found"))</f>
        <v/>
      </c>
      <c r="C30" s="496">
        <f>IF(A30="","",IFERROR(VLOOKUP(A30,DB_Customers!$A:$N,14,0),""))</f>
        <v/>
      </c>
      <c r="D30" s="497">
        <f>IF(A30="","",TODAY())</f>
        <v/>
      </c>
      <c r="E30" s="489" t="n"/>
      <c r="F30" s="498">
        <f>IF(OR(A30="",E30=""),"",IF(C30="","",C30+E30))</f>
        <v/>
      </c>
      <c r="G30" s="384" t="inlineStr">
        <is>
          <t>Agent 06</t>
        </is>
      </c>
      <c r="H30" s="491" t="n"/>
      <c r="I30" s="499">
        <f>IF(A30="","Pending",IF(H30="","⚠️ Enter Code",IF(IFERROR(VLOOKUP(G30,DB_Agents!$B:$I,8,0),"")=H30,IF(AND(A30&lt;&gt;"",E30&lt;&gt;""),"Saved","Pending"),"🔒 BLOCKED — Wrong Code")))</f>
        <v/>
      </c>
      <c r="J30" s="500">
        <f>IF(I30="Saved",TEXT(TODAY(),"YYYY-MM-DD")&amp;" Auto","—")</f>
        <v/>
      </c>
      <c r="K30" s="501" t="n"/>
    </row>
    <row r="31" ht="15" customHeight="1" s="341">
      <c r="A31" s="486" t="n"/>
      <c r="B31" s="378">
        <f>IF(A31="","",IFERROR(VLOOKUP(A31,DB_Customers!$A:$D,4,0),"❌ Account Not Found"))</f>
        <v/>
      </c>
      <c r="C31" s="487">
        <f>IF(A31="","",IFERROR(VLOOKUP(A31,DB_Customers!$A:$N,14,0),""))</f>
        <v/>
      </c>
      <c r="D31" s="488">
        <f>IF(A31="","",TODAY())</f>
        <v/>
      </c>
      <c r="E31" s="489" t="n"/>
      <c r="F31" s="490">
        <f>IF(OR(A31="",E31=""),"",IF(C31="","",C31+E31))</f>
        <v/>
      </c>
      <c r="G31" s="380" t="inlineStr">
        <is>
          <t>Agent 06</t>
        </is>
      </c>
      <c r="H31" s="491" t="n"/>
      <c r="I31" s="492">
        <f>IF(A31="","Pending",IF(H31="","⚠️ Enter Code",IF(IFERROR(VLOOKUP(G31,DB_Agents!$B:$I,8,0),"")=H31,IF(AND(A31&lt;&gt;"",E31&lt;&gt;""),"Saved","Pending"),"🔒 BLOCKED — Wrong Code")))</f>
        <v/>
      </c>
      <c r="J31" s="493">
        <f>IF(I31="Saved",TEXT(TODAY(),"YYYY-MM-DD")&amp;" Auto","—")</f>
        <v/>
      </c>
      <c r="K31" s="494" t="n"/>
    </row>
    <row r="32" ht="15" customHeight="1" s="341">
      <c r="A32" s="495" t="n"/>
      <c r="B32" s="382">
        <f>IF(A32="","",IFERROR(VLOOKUP(A32,DB_Customers!$A:$D,4,0),"❌ Account Not Found"))</f>
        <v/>
      </c>
      <c r="C32" s="496">
        <f>IF(A32="","",IFERROR(VLOOKUP(A32,DB_Customers!$A:$N,14,0),""))</f>
        <v/>
      </c>
      <c r="D32" s="497">
        <f>IF(A32="","",TODAY())</f>
        <v/>
      </c>
      <c r="E32" s="489" t="n"/>
      <c r="F32" s="498">
        <f>IF(OR(A32="",E32=""),"",IF(C32="","",C32+E32))</f>
        <v/>
      </c>
      <c r="G32" s="384" t="inlineStr">
        <is>
          <t>Agent 06</t>
        </is>
      </c>
      <c r="H32" s="491" t="n"/>
      <c r="I32" s="499">
        <f>IF(A32="","Pending",IF(H32="","⚠️ Enter Code",IF(IFERROR(VLOOKUP(G32,DB_Agents!$B:$I,8,0),"")=H32,IF(AND(A32&lt;&gt;"",E32&lt;&gt;""),"Saved","Pending"),"🔒 BLOCKED — Wrong Code")))</f>
        <v/>
      </c>
      <c r="J32" s="500">
        <f>IF(I32="Saved",TEXT(TODAY(),"YYYY-MM-DD")&amp;" Auto","—")</f>
        <v/>
      </c>
      <c r="K32" s="501" t="n"/>
    </row>
    <row r="33" ht="15" customHeight="1" s="341">
      <c r="A33" s="486" t="n"/>
      <c r="B33" s="378">
        <f>IF(A33="","",IFERROR(VLOOKUP(A33,DB_Customers!$A:$D,4,0),"❌ Account Not Found"))</f>
        <v/>
      </c>
      <c r="C33" s="487">
        <f>IF(A33="","",IFERROR(VLOOKUP(A33,DB_Customers!$A:$N,14,0),""))</f>
        <v/>
      </c>
      <c r="D33" s="488">
        <f>IF(A33="","",TODAY())</f>
        <v/>
      </c>
      <c r="E33" s="489" t="n"/>
      <c r="F33" s="490">
        <f>IF(OR(A33="",E33=""),"",IF(C33="","",C33+E33))</f>
        <v/>
      </c>
      <c r="G33" s="380" t="inlineStr">
        <is>
          <t>Agent 06</t>
        </is>
      </c>
      <c r="H33" s="491" t="n"/>
      <c r="I33" s="492">
        <f>IF(A33="","Pending",IF(H33="","⚠️ Enter Code",IF(IFERROR(VLOOKUP(G33,DB_Agents!$B:$I,8,0),"")=H33,IF(AND(A33&lt;&gt;"",E33&lt;&gt;""),"Saved","Pending"),"🔒 BLOCKED — Wrong Code")))</f>
        <v/>
      </c>
      <c r="J33" s="493">
        <f>IF(I33="Saved",TEXT(TODAY(),"YYYY-MM-DD")&amp;" Auto","—")</f>
        <v/>
      </c>
      <c r="K33" s="494" t="n"/>
    </row>
    <row r="34" ht="15" customHeight="1" s="341">
      <c r="A34" s="495" t="n"/>
      <c r="B34" s="382">
        <f>IF(A34="","",IFERROR(VLOOKUP(A34,DB_Customers!$A:$D,4,0),"❌ Account Not Found"))</f>
        <v/>
      </c>
      <c r="C34" s="496">
        <f>IF(A34="","",IFERROR(VLOOKUP(A34,DB_Customers!$A:$N,14,0),""))</f>
        <v/>
      </c>
      <c r="D34" s="497">
        <f>IF(A34="","",TODAY())</f>
        <v/>
      </c>
      <c r="E34" s="489" t="n"/>
      <c r="F34" s="498">
        <f>IF(OR(A34="",E34=""),"",IF(C34="","",C34+E34))</f>
        <v/>
      </c>
      <c r="G34" s="384" t="inlineStr">
        <is>
          <t>Agent 06</t>
        </is>
      </c>
      <c r="H34" s="491" t="n"/>
      <c r="I34" s="499">
        <f>IF(A34="","Pending",IF(H34="","⚠️ Enter Code",IF(IFERROR(VLOOKUP(G34,DB_Agents!$B:$I,8,0),"")=H34,IF(AND(A34&lt;&gt;"",E34&lt;&gt;""),"Saved","Pending"),"🔒 BLOCKED — Wrong Code")))</f>
        <v/>
      </c>
      <c r="J34" s="500">
        <f>IF(I34="Saved",TEXT(TODAY(),"YYYY-MM-DD")&amp;" Auto","—")</f>
        <v/>
      </c>
      <c r="K34" s="501" t="n"/>
    </row>
    <row r="35" ht="15" customHeight="1" s="341">
      <c r="A35" s="486" t="n"/>
      <c r="B35" s="378">
        <f>IF(A35="","",IFERROR(VLOOKUP(A35,DB_Customers!$A:$D,4,0),"❌ Account Not Found"))</f>
        <v/>
      </c>
      <c r="C35" s="487">
        <f>IF(A35="","",IFERROR(VLOOKUP(A35,DB_Customers!$A:$N,14,0),""))</f>
        <v/>
      </c>
      <c r="D35" s="488">
        <f>IF(A35="","",TODAY())</f>
        <v/>
      </c>
      <c r="E35" s="489" t="n"/>
      <c r="F35" s="490">
        <f>IF(OR(A35="",E35=""),"",IF(C35="","",C35+E35))</f>
        <v/>
      </c>
      <c r="G35" s="380" t="inlineStr">
        <is>
          <t>Agent 06</t>
        </is>
      </c>
      <c r="H35" s="491" t="n"/>
      <c r="I35" s="492">
        <f>IF(A35="","Pending",IF(H35="","⚠️ Enter Code",IF(IFERROR(VLOOKUP(G35,DB_Agents!$B:$I,8,0),"")=H35,IF(AND(A35&lt;&gt;"",E35&lt;&gt;""),"Saved","Pending"),"🔒 BLOCKED — Wrong Code")))</f>
        <v/>
      </c>
      <c r="J35" s="493">
        <f>IF(I35="Saved",TEXT(TODAY(),"YYYY-MM-DD")&amp;" Auto","—")</f>
        <v/>
      </c>
      <c r="K35" s="494" t="n"/>
    </row>
    <row r="36" ht="15" customHeight="1" s="341">
      <c r="A36" s="495" t="n"/>
      <c r="B36" s="382">
        <f>IF(A36="","",IFERROR(VLOOKUP(A36,DB_Customers!$A:$D,4,0),"❌ Account Not Found"))</f>
        <v/>
      </c>
      <c r="C36" s="496">
        <f>IF(A36="","",IFERROR(VLOOKUP(A36,DB_Customers!$A:$N,14,0),""))</f>
        <v/>
      </c>
      <c r="D36" s="497">
        <f>IF(A36="","",TODAY())</f>
        <v/>
      </c>
      <c r="E36" s="489" t="n"/>
      <c r="F36" s="498">
        <f>IF(OR(A36="",E36=""),"",IF(C36="","",C36+E36))</f>
        <v/>
      </c>
      <c r="G36" s="384" t="inlineStr">
        <is>
          <t>Agent 06</t>
        </is>
      </c>
      <c r="H36" s="491" t="n"/>
      <c r="I36" s="499">
        <f>IF(A36="","Pending",IF(H36="","⚠️ Enter Code",IF(IFERROR(VLOOKUP(G36,DB_Agents!$B:$I,8,0),"")=H36,IF(AND(A36&lt;&gt;"",E36&lt;&gt;""),"Saved","Pending"),"🔒 BLOCKED — Wrong Code")))</f>
        <v/>
      </c>
      <c r="J36" s="500">
        <f>IF(I36="Saved",TEXT(TODAY(),"YYYY-MM-DD")&amp;" Auto","—")</f>
        <v/>
      </c>
      <c r="K36" s="501" t="n"/>
    </row>
    <row r="37" ht="15" customHeight="1" s="341">
      <c r="A37" s="486" t="n"/>
      <c r="B37" s="378">
        <f>IF(A37="","",IFERROR(VLOOKUP(A37,DB_Customers!$A:$D,4,0),"❌ Account Not Found"))</f>
        <v/>
      </c>
      <c r="C37" s="487">
        <f>IF(A37="","",IFERROR(VLOOKUP(A37,DB_Customers!$A:$N,14,0),""))</f>
        <v/>
      </c>
      <c r="D37" s="488">
        <f>IF(A37="","",TODAY())</f>
        <v/>
      </c>
      <c r="E37" s="489" t="n"/>
      <c r="F37" s="490">
        <f>IF(OR(A37="",E37=""),"",IF(C37="","",C37+E37))</f>
        <v/>
      </c>
      <c r="G37" s="380" t="inlineStr">
        <is>
          <t>Agent 06</t>
        </is>
      </c>
      <c r="H37" s="491" t="n"/>
      <c r="I37" s="492">
        <f>IF(A37="","Pending",IF(H37="","⚠️ Enter Code",IF(IFERROR(VLOOKUP(G37,DB_Agents!$B:$I,8,0),"")=H37,IF(AND(A37&lt;&gt;"",E37&lt;&gt;""),"Saved","Pending"),"🔒 BLOCKED — Wrong Code")))</f>
        <v/>
      </c>
      <c r="J37" s="493">
        <f>IF(I37="Saved",TEXT(TODAY(),"YYYY-MM-DD")&amp;" Auto","—")</f>
        <v/>
      </c>
      <c r="K37" s="494" t="n"/>
    </row>
    <row r="38" ht="15" customHeight="1" s="341">
      <c r="A38" s="495" t="n"/>
      <c r="B38" s="382">
        <f>IF(A38="","",IFERROR(VLOOKUP(A38,DB_Customers!$A:$D,4,0),"❌ Account Not Found"))</f>
        <v/>
      </c>
      <c r="C38" s="496">
        <f>IF(A38="","",IFERROR(VLOOKUP(A38,DB_Customers!$A:$N,14,0),""))</f>
        <v/>
      </c>
      <c r="D38" s="497">
        <f>IF(A38="","",TODAY())</f>
        <v/>
      </c>
      <c r="E38" s="489" t="n"/>
      <c r="F38" s="498">
        <f>IF(OR(A38="",E38=""),"",IF(C38="","",C38+E38))</f>
        <v/>
      </c>
      <c r="G38" s="384" t="inlineStr">
        <is>
          <t>Agent 06</t>
        </is>
      </c>
      <c r="H38" s="491" t="n"/>
      <c r="I38" s="499">
        <f>IF(A38="","Pending",IF(H38="","⚠️ Enter Code",IF(IFERROR(VLOOKUP(G38,DB_Agents!$B:$I,8,0),"")=H38,IF(AND(A38&lt;&gt;"",E38&lt;&gt;""),"Saved","Pending"),"🔒 BLOCKED — Wrong Code")))</f>
        <v/>
      </c>
      <c r="J38" s="500">
        <f>IF(I38="Saved",TEXT(TODAY(),"YYYY-MM-DD")&amp;" Auto","—")</f>
        <v/>
      </c>
      <c r="K38" s="501" t="n"/>
    </row>
    <row r="39" ht="15" customHeight="1" s="341">
      <c r="A39" s="486" t="n"/>
      <c r="B39" s="378">
        <f>IF(A39="","",IFERROR(VLOOKUP(A39,DB_Customers!$A:$D,4,0),"❌ Account Not Found"))</f>
        <v/>
      </c>
      <c r="C39" s="487">
        <f>IF(A39="","",IFERROR(VLOOKUP(A39,DB_Customers!$A:$N,14,0),""))</f>
        <v/>
      </c>
      <c r="D39" s="488">
        <f>IF(A39="","",TODAY())</f>
        <v/>
      </c>
      <c r="E39" s="489" t="n"/>
      <c r="F39" s="490">
        <f>IF(OR(A39="",E39=""),"",IF(C39="","",C39+E39))</f>
        <v/>
      </c>
      <c r="G39" s="380" t="inlineStr">
        <is>
          <t>Agent 06</t>
        </is>
      </c>
      <c r="H39" s="491" t="n"/>
      <c r="I39" s="492">
        <f>IF(A39="","Pending",IF(H39="","⚠️ Enter Code",IF(IFERROR(VLOOKUP(G39,DB_Agents!$B:$I,8,0),"")=H39,IF(AND(A39&lt;&gt;"",E39&lt;&gt;""),"Saved","Pending"),"🔒 BLOCKED — Wrong Code")))</f>
        <v/>
      </c>
      <c r="J39" s="493">
        <f>IF(I39="Saved",TEXT(TODAY(),"YYYY-MM-DD")&amp;" Auto","—")</f>
        <v/>
      </c>
      <c r="K39" s="494" t="n"/>
    </row>
    <row r="40" ht="15" customHeight="1" s="341">
      <c r="A40" s="495" t="n"/>
      <c r="B40" s="382">
        <f>IF(A40="","",IFERROR(VLOOKUP(A40,DB_Customers!$A:$D,4,0),"❌ Account Not Found"))</f>
        <v/>
      </c>
      <c r="C40" s="496">
        <f>IF(A40="","",IFERROR(VLOOKUP(A40,DB_Customers!$A:$N,14,0),""))</f>
        <v/>
      </c>
      <c r="D40" s="497">
        <f>IF(A40="","",TODAY())</f>
        <v/>
      </c>
      <c r="E40" s="489" t="n"/>
      <c r="F40" s="498">
        <f>IF(OR(A40="",E40=""),"",IF(C40="","",C40+E40))</f>
        <v/>
      </c>
      <c r="G40" s="384" t="inlineStr">
        <is>
          <t>Agent 06</t>
        </is>
      </c>
      <c r="H40" s="491" t="n"/>
      <c r="I40" s="499">
        <f>IF(A40="","Pending",IF(H40="","⚠️ Enter Code",IF(IFERROR(VLOOKUP(G40,DB_Agents!$B:$I,8,0),"")=H40,IF(AND(A40&lt;&gt;"",E40&lt;&gt;""),"Saved","Pending"),"🔒 BLOCKED — Wrong Code")))</f>
        <v/>
      </c>
      <c r="J40" s="500">
        <f>IF(I40="Saved",TEXT(TODAY(),"YYYY-MM-DD")&amp;" Auto","—")</f>
        <v/>
      </c>
      <c r="K40" s="501" t="n"/>
    </row>
    <row r="41" ht="15" customHeight="1" s="341">
      <c r="A41" s="486" t="n"/>
      <c r="B41" s="378">
        <f>IF(A41="","",IFERROR(VLOOKUP(A41,DB_Customers!$A:$D,4,0),"❌ Account Not Found"))</f>
        <v/>
      </c>
      <c r="C41" s="487">
        <f>IF(A41="","",IFERROR(VLOOKUP(A41,DB_Customers!$A:$N,14,0),""))</f>
        <v/>
      </c>
      <c r="D41" s="488">
        <f>IF(A41="","",TODAY())</f>
        <v/>
      </c>
      <c r="E41" s="489" t="n"/>
      <c r="F41" s="490">
        <f>IF(OR(A41="",E41=""),"",IF(C41="","",C41+E41))</f>
        <v/>
      </c>
      <c r="G41" s="380" t="inlineStr">
        <is>
          <t>Agent 06</t>
        </is>
      </c>
      <c r="H41" s="491" t="n"/>
      <c r="I41" s="492">
        <f>IF(A41="","Pending",IF(H41="","⚠️ Enter Code",IF(IFERROR(VLOOKUP(G41,DB_Agents!$B:$I,8,0),"")=H41,IF(AND(A41&lt;&gt;"",E41&lt;&gt;""),"Saved","Pending"),"🔒 BLOCKED — Wrong Code")))</f>
        <v/>
      </c>
      <c r="J41" s="493">
        <f>IF(I41="Saved",TEXT(TODAY(),"YYYY-MM-DD")&amp;" Auto","—")</f>
        <v/>
      </c>
      <c r="K41" s="494" t="n"/>
    </row>
    <row r="42" ht="15" customHeight="1" s="341">
      <c r="A42" s="495" t="n"/>
      <c r="B42" s="382">
        <f>IF(A42="","",IFERROR(VLOOKUP(A42,DB_Customers!$A:$D,4,0),"❌ Account Not Found"))</f>
        <v/>
      </c>
      <c r="C42" s="496">
        <f>IF(A42="","",IFERROR(VLOOKUP(A42,DB_Customers!$A:$N,14,0),""))</f>
        <v/>
      </c>
      <c r="D42" s="497">
        <f>IF(A42="","",TODAY())</f>
        <v/>
      </c>
      <c r="E42" s="489" t="n"/>
      <c r="F42" s="498">
        <f>IF(OR(A42="",E42=""),"",IF(C42="","",C42+E42))</f>
        <v/>
      </c>
      <c r="G42" s="384" t="inlineStr">
        <is>
          <t>Agent 06</t>
        </is>
      </c>
      <c r="H42" s="491" t="n"/>
      <c r="I42" s="499">
        <f>IF(A42="","Pending",IF(H42="","⚠️ Enter Code",IF(IFERROR(VLOOKUP(G42,DB_Agents!$B:$I,8,0),"")=H42,IF(AND(A42&lt;&gt;"",E42&lt;&gt;""),"Saved","Pending"),"🔒 BLOCKED — Wrong Code")))</f>
        <v/>
      </c>
      <c r="J42" s="500">
        <f>IF(I42="Saved",TEXT(TODAY(),"YYYY-MM-DD")&amp;" Auto","—")</f>
        <v/>
      </c>
      <c r="K42" s="501" t="n"/>
    </row>
    <row r="43" ht="15" customHeight="1" s="341">
      <c r="A43" s="486" t="n"/>
      <c r="B43" s="378">
        <f>IF(A43="","",IFERROR(VLOOKUP(A43,DB_Customers!$A:$D,4,0),"❌ Account Not Found"))</f>
        <v/>
      </c>
      <c r="C43" s="487">
        <f>IF(A43="","",IFERROR(VLOOKUP(A43,DB_Customers!$A:$N,14,0),""))</f>
        <v/>
      </c>
      <c r="D43" s="488">
        <f>IF(A43="","",TODAY())</f>
        <v/>
      </c>
      <c r="E43" s="489" t="n"/>
      <c r="F43" s="490">
        <f>IF(OR(A43="",E43=""),"",IF(C43="","",C43+E43))</f>
        <v/>
      </c>
      <c r="G43" s="380" t="inlineStr">
        <is>
          <t>Agent 06</t>
        </is>
      </c>
      <c r="H43" s="491" t="n"/>
      <c r="I43" s="492">
        <f>IF(A43="","Pending",IF(H43="","⚠️ Enter Code",IF(IFERROR(VLOOKUP(G43,DB_Agents!$B:$I,8,0),"")=H43,IF(AND(A43&lt;&gt;"",E43&lt;&gt;""),"Saved","Pending"),"🔒 BLOCKED — Wrong Code")))</f>
        <v/>
      </c>
      <c r="J43" s="493">
        <f>IF(I43="Saved",TEXT(TODAY(),"YYYY-MM-DD")&amp;" Auto","—")</f>
        <v/>
      </c>
      <c r="K43" s="494" t="n"/>
    </row>
    <row r="44" ht="15" customHeight="1" s="341">
      <c r="A44" s="495" t="n"/>
      <c r="B44" s="382">
        <f>IF(A44="","",IFERROR(VLOOKUP(A44,DB_Customers!$A:$D,4,0),"❌ Account Not Found"))</f>
        <v/>
      </c>
      <c r="C44" s="496">
        <f>IF(A44="","",IFERROR(VLOOKUP(A44,DB_Customers!$A:$N,14,0),""))</f>
        <v/>
      </c>
      <c r="D44" s="497">
        <f>IF(A44="","",TODAY())</f>
        <v/>
      </c>
      <c r="E44" s="489" t="n"/>
      <c r="F44" s="498">
        <f>IF(OR(A44="",E44=""),"",IF(C44="","",C44+E44))</f>
        <v/>
      </c>
      <c r="G44" s="384" t="inlineStr">
        <is>
          <t>Agent 06</t>
        </is>
      </c>
      <c r="H44" s="491" t="n"/>
      <c r="I44" s="499">
        <f>IF(A44="","Pending",IF(H44="","⚠️ Enter Code",IF(IFERROR(VLOOKUP(G44,DB_Agents!$B:$I,8,0),"")=H44,IF(AND(A44&lt;&gt;"",E44&lt;&gt;""),"Saved","Pending"),"🔒 BLOCKED — Wrong Code")))</f>
        <v/>
      </c>
      <c r="J44" s="500">
        <f>IF(I44="Saved",TEXT(TODAY(),"YYYY-MM-DD")&amp;" Auto","—")</f>
        <v/>
      </c>
      <c r="K44" s="501" t="n"/>
    </row>
    <row r="45" ht="15" customHeight="1" s="341">
      <c r="A45" s="486" t="n"/>
      <c r="B45" s="378">
        <f>IF(A45="","",IFERROR(VLOOKUP(A45,DB_Customers!$A:$D,4,0),"❌ Account Not Found"))</f>
        <v/>
      </c>
      <c r="C45" s="487">
        <f>IF(A45="","",IFERROR(VLOOKUP(A45,DB_Customers!$A:$N,14,0),""))</f>
        <v/>
      </c>
      <c r="D45" s="488">
        <f>IF(A45="","",TODAY())</f>
        <v/>
      </c>
      <c r="E45" s="489" t="n"/>
      <c r="F45" s="490">
        <f>IF(OR(A45="",E45=""),"",IF(C45="","",C45+E45))</f>
        <v/>
      </c>
      <c r="G45" s="380" t="inlineStr">
        <is>
          <t>Agent 06</t>
        </is>
      </c>
      <c r="H45" s="491" t="n"/>
      <c r="I45" s="492">
        <f>IF(A45="","Pending",IF(H45="","⚠️ Enter Code",IF(IFERROR(VLOOKUP(G45,DB_Agents!$B:$I,8,0),"")=H45,IF(AND(A45&lt;&gt;"",E45&lt;&gt;""),"Saved","Pending"),"🔒 BLOCKED — Wrong Code")))</f>
        <v/>
      </c>
      <c r="J45" s="493">
        <f>IF(I45="Saved",TEXT(TODAY(),"YYYY-MM-DD")&amp;" Auto","—")</f>
        <v/>
      </c>
      <c r="K45" s="494" t="n"/>
    </row>
    <row r="46" ht="15" customHeight="1" s="341">
      <c r="A46" s="495" t="n"/>
      <c r="B46" s="382">
        <f>IF(A46="","",IFERROR(VLOOKUP(A46,DB_Customers!$A:$D,4,0),"❌ Account Not Found"))</f>
        <v/>
      </c>
      <c r="C46" s="496">
        <f>IF(A46="","",IFERROR(VLOOKUP(A46,DB_Customers!$A:$N,14,0),""))</f>
        <v/>
      </c>
      <c r="D46" s="497">
        <f>IF(A46="","",TODAY())</f>
        <v/>
      </c>
      <c r="E46" s="489" t="n"/>
      <c r="F46" s="498">
        <f>IF(OR(A46="",E46=""),"",IF(C46="","",C46+E46))</f>
        <v/>
      </c>
      <c r="G46" s="384" t="inlineStr">
        <is>
          <t>Agent 06</t>
        </is>
      </c>
      <c r="H46" s="491" t="n"/>
      <c r="I46" s="499">
        <f>IF(A46="","Pending",IF(H46="","⚠️ Enter Code",IF(IFERROR(VLOOKUP(G46,DB_Agents!$B:$I,8,0),"")=H46,IF(AND(A46&lt;&gt;"",E46&lt;&gt;""),"Saved","Pending"),"🔒 BLOCKED — Wrong Code")))</f>
        <v/>
      </c>
      <c r="J46" s="500">
        <f>IF(I46="Saved",TEXT(TODAY(),"YYYY-MM-DD")&amp;" Auto","—")</f>
        <v/>
      </c>
      <c r="K46" s="501" t="n"/>
    </row>
    <row r="47" ht="15" customHeight="1" s="341">
      <c r="A47" s="486" t="n"/>
      <c r="B47" s="378">
        <f>IF(A47="","",IFERROR(VLOOKUP(A47,DB_Customers!$A:$D,4,0),"❌ Account Not Found"))</f>
        <v/>
      </c>
      <c r="C47" s="487">
        <f>IF(A47="","",IFERROR(VLOOKUP(A47,DB_Customers!$A:$N,14,0),""))</f>
        <v/>
      </c>
      <c r="D47" s="488">
        <f>IF(A47="","",TODAY())</f>
        <v/>
      </c>
      <c r="E47" s="489" t="n"/>
      <c r="F47" s="490">
        <f>IF(OR(A47="",E47=""),"",IF(C47="","",C47+E47))</f>
        <v/>
      </c>
      <c r="G47" s="380" t="inlineStr">
        <is>
          <t>Agent 06</t>
        </is>
      </c>
      <c r="H47" s="491" t="n"/>
      <c r="I47" s="492">
        <f>IF(A47="","Pending",IF(H47="","⚠️ Enter Code",IF(IFERROR(VLOOKUP(G47,DB_Agents!$B:$I,8,0),"")=H47,IF(AND(A47&lt;&gt;"",E47&lt;&gt;""),"Saved","Pending"),"🔒 BLOCKED — Wrong Code")))</f>
        <v/>
      </c>
      <c r="J47" s="493">
        <f>IF(I47="Saved",TEXT(TODAY(),"YYYY-MM-DD")&amp;" Auto","—")</f>
        <v/>
      </c>
      <c r="K47" s="494" t="n"/>
    </row>
    <row r="48" ht="15" customHeight="1" s="341">
      <c r="A48" s="495" t="n"/>
      <c r="B48" s="382">
        <f>IF(A48="","",IFERROR(VLOOKUP(A48,DB_Customers!$A:$D,4,0),"❌ Account Not Found"))</f>
        <v/>
      </c>
      <c r="C48" s="496">
        <f>IF(A48="","",IFERROR(VLOOKUP(A48,DB_Customers!$A:$N,14,0),""))</f>
        <v/>
      </c>
      <c r="D48" s="497">
        <f>IF(A48="","",TODAY())</f>
        <v/>
      </c>
      <c r="E48" s="489" t="n"/>
      <c r="F48" s="498">
        <f>IF(OR(A48="",E48=""),"",IF(C48="","",C48+E48))</f>
        <v/>
      </c>
      <c r="G48" s="384" t="inlineStr">
        <is>
          <t>Agent 06</t>
        </is>
      </c>
      <c r="H48" s="491" t="n"/>
      <c r="I48" s="499">
        <f>IF(A48="","Pending",IF(H48="","⚠️ Enter Code",IF(IFERROR(VLOOKUP(G48,DB_Agents!$B:$I,8,0),"")=H48,IF(AND(A48&lt;&gt;"",E48&lt;&gt;""),"Saved","Pending"),"🔒 BLOCKED — Wrong Code")))</f>
        <v/>
      </c>
      <c r="J48" s="500">
        <f>IF(I48="Saved",TEXT(TODAY(),"YYYY-MM-DD")&amp;" Auto","—")</f>
        <v/>
      </c>
      <c r="K48" s="501" t="n"/>
    </row>
    <row r="49" ht="15" customHeight="1" s="341">
      <c r="A49" s="486" t="n"/>
      <c r="B49" s="378">
        <f>IF(A49="","",IFERROR(VLOOKUP(A49,DB_Customers!$A:$D,4,0),"❌ Account Not Found"))</f>
        <v/>
      </c>
      <c r="C49" s="487">
        <f>IF(A49="","",IFERROR(VLOOKUP(A49,DB_Customers!$A:$N,14,0),""))</f>
        <v/>
      </c>
      <c r="D49" s="488">
        <f>IF(A49="","",TODAY())</f>
        <v/>
      </c>
      <c r="E49" s="489" t="n"/>
      <c r="F49" s="490">
        <f>IF(OR(A49="",E49=""),"",IF(C49="","",C49+E49))</f>
        <v/>
      </c>
      <c r="G49" s="380" t="inlineStr">
        <is>
          <t>Agent 06</t>
        </is>
      </c>
      <c r="H49" s="491" t="n"/>
      <c r="I49" s="492">
        <f>IF(A49="","Pending",IF(H49="","⚠️ Enter Code",IF(IFERROR(VLOOKUP(G49,DB_Agents!$B:$I,8,0),"")=H49,IF(AND(A49&lt;&gt;"",E49&lt;&gt;""),"Saved","Pending"),"🔒 BLOCKED — Wrong Code")))</f>
        <v/>
      </c>
      <c r="J49" s="493">
        <f>IF(I49="Saved",TEXT(TODAY(),"YYYY-MM-DD")&amp;" Auto","—")</f>
        <v/>
      </c>
      <c r="K49" s="494" t="n"/>
    </row>
    <row r="50" ht="15" customHeight="1" s="341">
      <c r="A50" s="495" t="n"/>
      <c r="B50" s="382">
        <f>IF(A50="","",IFERROR(VLOOKUP(A50,DB_Customers!$A:$D,4,0),"❌ Account Not Found"))</f>
        <v/>
      </c>
      <c r="C50" s="496">
        <f>IF(A50="","",IFERROR(VLOOKUP(A50,DB_Customers!$A:$N,14,0),""))</f>
        <v/>
      </c>
      <c r="D50" s="497">
        <f>IF(A50="","",TODAY())</f>
        <v/>
      </c>
      <c r="E50" s="489" t="n"/>
      <c r="F50" s="498">
        <f>IF(OR(A50="",E50=""),"",IF(C50="","",C50+E50))</f>
        <v/>
      </c>
      <c r="G50" s="384" t="inlineStr">
        <is>
          <t>Agent 06</t>
        </is>
      </c>
      <c r="H50" s="491" t="n"/>
      <c r="I50" s="499">
        <f>IF(A50="","Pending",IF(H50="","⚠️ Enter Code",IF(IFERROR(VLOOKUP(G50,DB_Agents!$B:$I,8,0),"")=H50,IF(AND(A50&lt;&gt;"",E50&lt;&gt;""),"Saved","Pending"),"🔒 BLOCKED — Wrong Code")))</f>
        <v/>
      </c>
      <c r="J50" s="500">
        <f>IF(I50="Saved",TEXT(TODAY(),"YYYY-MM-DD")&amp;" Auto","—")</f>
        <v/>
      </c>
      <c r="K50" s="501" t="n"/>
    </row>
    <row r="51" ht="15" customHeight="1" s="341">
      <c r="A51" s="486" t="n"/>
      <c r="B51" s="378">
        <f>IF(A51="","",IFERROR(VLOOKUP(A51,DB_Customers!$A:$D,4,0),"❌ Account Not Found"))</f>
        <v/>
      </c>
      <c r="C51" s="487">
        <f>IF(A51="","",IFERROR(VLOOKUP(A51,DB_Customers!$A:$N,14,0),""))</f>
        <v/>
      </c>
      <c r="D51" s="488">
        <f>IF(A51="","",TODAY())</f>
        <v/>
      </c>
      <c r="E51" s="489" t="n"/>
      <c r="F51" s="490">
        <f>IF(OR(A51="",E51=""),"",IF(C51="","",C51+E51))</f>
        <v/>
      </c>
      <c r="G51" s="380" t="inlineStr">
        <is>
          <t>Agent 06</t>
        </is>
      </c>
      <c r="H51" s="491" t="n"/>
      <c r="I51" s="492">
        <f>IF(A51="","Pending",IF(H51="","⚠️ Enter Code",IF(IFERROR(VLOOKUP(G51,DB_Agents!$B:$I,8,0),"")=H51,IF(AND(A51&lt;&gt;"",E51&lt;&gt;""),"Saved","Pending"),"🔒 BLOCKED — Wrong Code")))</f>
        <v/>
      </c>
      <c r="J51" s="493">
        <f>IF(I51="Saved",TEXT(TODAY(),"YYYY-MM-DD")&amp;" Auto","—")</f>
        <v/>
      </c>
      <c r="K51" s="494" t="n"/>
    </row>
    <row r="52" ht="15" customHeight="1" s="341">
      <c r="A52" s="495" t="n"/>
      <c r="B52" s="382">
        <f>IF(A52="","",IFERROR(VLOOKUP(A52,DB_Customers!$A:$D,4,0),"❌ Account Not Found"))</f>
        <v/>
      </c>
      <c r="C52" s="496">
        <f>IF(A52="","",IFERROR(VLOOKUP(A52,DB_Customers!$A:$N,14,0),""))</f>
        <v/>
      </c>
      <c r="D52" s="497">
        <f>IF(A52="","",TODAY())</f>
        <v/>
      </c>
      <c r="E52" s="489" t="n"/>
      <c r="F52" s="498">
        <f>IF(OR(A52="",E52=""),"",IF(C52="","",C52+E52))</f>
        <v/>
      </c>
      <c r="G52" s="384" t="inlineStr">
        <is>
          <t>Agent 06</t>
        </is>
      </c>
      <c r="H52" s="491" t="n"/>
      <c r="I52" s="499">
        <f>IF(A52="","Pending",IF(H52="","⚠️ Enter Code",IF(IFERROR(VLOOKUP(G52,DB_Agents!$B:$I,8,0),"")=H52,IF(AND(A52&lt;&gt;"",E52&lt;&gt;""),"Saved","Pending"),"🔒 BLOCKED — Wrong Code")))</f>
        <v/>
      </c>
      <c r="J52" s="500">
        <f>IF(I52="Saved",TEXT(TODAY(),"YYYY-MM-DD")&amp;" Auto","—")</f>
        <v/>
      </c>
      <c r="K52" s="501" t="n"/>
    </row>
    <row r="53" ht="15" customHeight="1" s="341">
      <c r="A53" s="486" t="n"/>
      <c r="B53" s="378">
        <f>IF(A53="","",IFERROR(VLOOKUP(A53,DB_Customers!$A:$D,4,0),"❌ Account Not Found"))</f>
        <v/>
      </c>
      <c r="C53" s="487">
        <f>IF(A53="","",IFERROR(VLOOKUP(A53,DB_Customers!$A:$N,14,0),""))</f>
        <v/>
      </c>
      <c r="D53" s="488">
        <f>IF(A53="","",TODAY())</f>
        <v/>
      </c>
      <c r="E53" s="489" t="n"/>
      <c r="F53" s="490">
        <f>IF(OR(A53="",E53=""),"",IF(C53="","",C53+E53))</f>
        <v/>
      </c>
      <c r="G53" s="380" t="inlineStr">
        <is>
          <t>Agent 06</t>
        </is>
      </c>
      <c r="H53" s="491" t="n"/>
      <c r="I53" s="492">
        <f>IF(A53="","Pending",IF(H53="","⚠️ Enter Code",IF(IFERROR(VLOOKUP(G53,DB_Agents!$B:$I,8,0),"")=H53,IF(AND(A53&lt;&gt;"",E53&lt;&gt;""),"Saved","Pending"),"🔒 BLOCKED — Wrong Code")))</f>
        <v/>
      </c>
      <c r="J53" s="493">
        <f>IF(I53="Saved",TEXT(TODAY(),"YYYY-MM-DD")&amp;" Auto","—")</f>
        <v/>
      </c>
      <c r="K53" s="494" t="n"/>
    </row>
    <row r="54" ht="15" customHeight="1" s="341">
      <c r="A54" s="495" t="n"/>
      <c r="B54" s="382">
        <f>IF(A54="","",IFERROR(VLOOKUP(A54,DB_Customers!$A:$D,4,0),"❌ Account Not Found"))</f>
        <v/>
      </c>
      <c r="C54" s="496">
        <f>IF(A54="","",IFERROR(VLOOKUP(A54,DB_Customers!$A:$N,14,0),""))</f>
        <v/>
      </c>
      <c r="D54" s="497">
        <f>IF(A54="","",TODAY())</f>
        <v/>
      </c>
      <c r="E54" s="489" t="n"/>
      <c r="F54" s="498">
        <f>IF(OR(A54="",E54=""),"",IF(C54="","",C54+E54))</f>
        <v/>
      </c>
      <c r="G54" s="384" t="inlineStr">
        <is>
          <t>Agent 06</t>
        </is>
      </c>
      <c r="H54" s="491" t="n"/>
      <c r="I54" s="499">
        <f>IF(A54="","Pending",IF(H54="","⚠️ Enter Code",IF(IFERROR(VLOOKUP(G54,DB_Agents!$B:$I,8,0),"")=H54,IF(AND(A54&lt;&gt;"",E54&lt;&gt;""),"Saved","Pending"),"🔒 BLOCKED — Wrong Code")))</f>
        <v/>
      </c>
      <c r="J54" s="500">
        <f>IF(I54="Saved",TEXT(TODAY(),"YYYY-MM-DD")&amp;" Auto","—")</f>
        <v/>
      </c>
      <c r="K54" s="501" t="n"/>
    </row>
    <row r="55" ht="15" customHeight="1" s="341">
      <c r="A55" s="486" t="n"/>
      <c r="B55" s="378">
        <f>IF(A55="","",IFERROR(VLOOKUP(A55,DB_Customers!$A:$D,4,0),"❌ Account Not Found"))</f>
        <v/>
      </c>
      <c r="C55" s="487">
        <f>IF(A55="","",IFERROR(VLOOKUP(A55,DB_Customers!$A:$N,14,0),""))</f>
        <v/>
      </c>
      <c r="D55" s="488">
        <f>IF(A55="","",TODAY())</f>
        <v/>
      </c>
      <c r="E55" s="489" t="n"/>
      <c r="F55" s="490">
        <f>IF(OR(A55="",E55=""),"",IF(C55="","",C55+E55))</f>
        <v/>
      </c>
      <c r="G55" s="380" t="inlineStr">
        <is>
          <t>Agent 06</t>
        </is>
      </c>
      <c r="H55" s="491" t="n"/>
      <c r="I55" s="492">
        <f>IF(A55="","Pending",IF(H55="","⚠️ Enter Code",IF(IFERROR(VLOOKUP(G55,DB_Agents!$B:$I,8,0),"")=H55,IF(AND(A55&lt;&gt;"",E55&lt;&gt;""),"Saved","Pending"),"🔒 BLOCKED — Wrong Code")))</f>
        <v/>
      </c>
      <c r="J55" s="493">
        <f>IF(I55="Saved",TEXT(TODAY(),"YYYY-MM-DD")&amp;" Auto","—")</f>
        <v/>
      </c>
      <c r="K55" s="494" t="n"/>
    </row>
    <row r="56" ht="15" customHeight="1" s="341">
      <c r="A56" s="495" t="n"/>
      <c r="B56" s="382">
        <f>IF(A56="","",IFERROR(VLOOKUP(A56,DB_Customers!$A:$D,4,0),"❌ Account Not Found"))</f>
        <v/>
      </c>
      <c r="C56" s="496">
        <f>IF(A56="","",IFERROR(VLOOKUP(A56,DB_Customers!$A:$N,14,0),""))</f>
        <v/>
      </c>
      <c r="D56" s="497">
        <f>IF(A56="","",TODAY())</f>
        <v/>
      </c>
      <c r="E56" s="489" t="n"/>
      <c r="F56" s="498">
        <f>IF(OR(A56="",E56=""),"",IF(C56="","",C56+E56))</f>
        <v/>
      </c>
      <c r="G56" s="384" t="inlineStr">
        <is>
          <t>Agent 06</t>
        </is>
      </c>
      <c r="H56" s="491" t="n"/>
      <c r="I56" s="499">
        <f>IF(A56="","Pending",IF(H56="","⚠️ Enter Code",IF(IFERROR(VLOOKUP(G56,DB_Agents!$B:$I,8,0),"")=H56,IF(AND(A56&lt;&gt;"",E56&lt;&gt;""),"Saved","Pending"),"🔒 BLOCKED — Wrong Code")))</f>
        <v/>
      </c>
      <c r="J56" s="500">
        <f>IF(I56="Saved",TEXT(TODAY(),"YYYY-MM-DD")&amp;" Auto","—")</f>
        <v/>
      </c>
      <c r="K56" s="501" t="n"/>
    </row>
    <row r="57" ht="15" customHeight="1" s="341">
      <c r="A57" s="486" t="n"/>
      <c r="B57" s="378">
        <f>IF(A57="","",IFERROR(VLOOKUP(A57,DB_Customers!$A:$D,4,0),"❌ Account Not Found"))</f>
        <v/>
      </c>
      <c r="C57" s="487">
        <f>IF(A57="","",IFERROR(VLOOKUP(A57,DB_Customers!$A:$N,14,0),""))</f>
        <v/>
      </c>
      <c r="D57" s="488">
        <f>IF(A57="","",TODAY())</f>
        <v/>
      </c>
      <c r="E57" s="489" t="n"/>
      <c r="F57" s="490">
        <f>IF(OR(A57="",E57=""),"",IF(C57="","",C57+E57))</f>
        <v/>
      </c>
      <c r="G57" s="380" t="inlineStr">
        <is>
          <t>Agent 06</t>
        </is>
      </c>
      <c r="H57" s="491" t="n"/>
      <c r="I57" s="492">
        <f>IF(A57="","Pending",IF(H57="","⚠️ Enter Code",IF(IFERROR(VLOOKUP(G57,DB_Agents!$B:$I,8,0),"")=H57,IF(AND(A57&lt;&gt;"",E57&lt;&gt;""),"Saved","Pending"),"🔒 BLOCKED — Wrong Code")))</f>
        <v/>
      </c>
      <c r="J57" s="493">
        <f>IF(I57="Saved",TEXT(TODAY(),"YYYY-MM-DD")&amp;" Auto","—")</f>
        <v/>
      </c>
      <c r="K57" s="494" t="n"/>
    </row>
    <row r="58" ht="15" customHeight="1" s="341">
      <c r="A58" s="495" t="n"/>
      <c r="B58" s="382">
        <f>IF(A58="","",IFERROR(VLOOKUP(A58,DB_Customers!$A:$D,4,0),"❌ Account Not Found"))</f>
        <v/>
      </c>
      <c r="C58" s="496">
        <f>IF(A58="","",IFERROR(VLOOKUP(A58,DB_Customers!$A:$N,14,0),""))</f>
        <v/>
      </c>
      <c r="D58" s="497">
        <f>IF(A58="","",TODAY())</f>
        <v/>
      </c>
      <c r="E58" s="489" t="n"/>
      <c r="F58" s="498">
        <f>IF(OR(A58="",E58=""),"",IF(C58="","",C58+E58))</f>
        <v/>
      </c>
      <c r="G58" s="384" t="inlineStr">
        <is>
          <t>Agent 06</t>
        </is>
      </c>
      <c r="H58" s="491" t="n"/>
      <c r="I58" s="499">
        <f>IF(A58="","Pending",IF(H58="","⚠️ Enter Code",IF(IFERROR(VLOOKUP(G58,DB_Agents!$B:$I,8,0),"")=H58,IF(AND(A58&lt;&gt;"",E58&lt;&gt;""),"Saved","Pending"),"🔒 BLOCKED — Wrong Code")))</f>
        <v/>
      </c>
      <c r="J58" s="500">
        <f>IF(I58="Saved",TEXT(TODAY(),"YYYY-MM-DD")&amp;" Auto","—")</f>
        <v/>
      </c>
      <c r="K58" s="501" t="n"/>
    </row>
    <row r="59" ht="15" customHeight="1" s="341">
      <c r="A59" s="486" t="n"/>
      <c r="B59" s="378">
        <f>IF(A59="","",IFERROR(VLOOKUP(A59,DB_Customers!$A:$D,4,0),"❌ Account Not Found"))</f>
        <v/>
      </c>
      <c r="C59" s="487">
        <f>IF(A59="","",IFERROR(VLOOKUP(A59,DB_Customers!$A:$N,14,0),""))</f>
        <v/>
      </c>
      <c r="D59" s="488">
        <f>IF(A59="","",TODAY())</f>
        <v/>
      </c>
      <c r="E59" s="489" t="n"/>
      <c r="F59" s="490">
        <f>IF(OR(A59="",E59=""),"",IF(C59="","",C59+E59))</f>
        <v/>
      </c>
      <c r="G59" s="380" t="inlineStr">
        <is>
          <t>Agent 06</t>
        </is>
      </c>
      <c r="H59" s="491" t="n"/>
      <c r="I59" s="492">
        <f>IF(A59="","Pending",IF(H59="","⚠️ Enter Code",IF(IFERROR(VLOOKUP(G59,DB_Agents!$B:$I,8,0),"")=H59,IF(AND(A59&lt;&gt;"",E59&lt;&gt;""),"Saved","Pending"),"🔒 BLOCKED — Wrong Code")))</f>
        <v/>
      </c>
      <c r="J59" s="493">
        <f>IF(I59="Saved",TEXT(TODAY(),"YYYY-MM-DD")&amp;" Auto","—")</f>
        <v/>
      </c>
      <c r="K59" s="494" t="n"/>
    </row>
    <row r="60" ht="15" customHeight="1" s="341">
      <c r="A60" s="495" t="n"/>
      <c r="B60" s="382">
        <f>IF(A60="","",IFERROR(VLOOKUP(A60,DB_Customers!$A:$D,4,0),"❌ Account Not Found"))</f>
        <v/>
      </c>
      <c r="C60" s="496">
        <f>IF(A60="","",IFERROR(VLOOKUP(A60,DB_Customers!$A:$N,14,0),""))</f>
        <v/>
      </c>
      <c r="D60" s="497">
        <f>IF(A60="","",TODAY())</f>
        <v/>
      </c>
      <c r="E60" s="489" t="n"/>
      <c r="F60" s="498">
        <f>IF(OR(A60="",E60=""),"",IF(C60="","",C60+E60))</f>
        <v/>
      </c>
      <c r="G60" s="384" t="inlineStr">
        <is>
          <t>Agent 06</t>
        </is>
      </c>
      <c r="H60" s="491" t="n"/>
      <c r="I60" s="499">
        <f>IF(A60="","Pending",IF(H60="","⚠️ Enter Code",IF(IFERROR(VLOOKUP(G60,DB_Agents!$B:$I,8,0),"")=H60,IF(AND(A60&lt;&gt;"",E60&lt;&gt;""),"Saved","Pending"),"🔒 BLOCKED — Wrong Code")))</f>
        <v/>
      </c>
      <c r="J60" s="500">
        <f>IF(I60="Saved",TEXT(TODAY(),"YYYY-MM-DD")&amp;" Auto","—")</f>
        <v/>
      </c>
      <c r="K60" s="501" t="n"/>
    </row>
    <row r="61" ht="15" customHeight="1" s="341">
      <c r="A61" s="486" t="n"/>
      <c r="B61" s="378">
        <f>IF(A61="","",IFERROR(VLOOKUP(A61,DB_Customers!$A:$D,4,0),"❌ Account Not Found"))</f>
        <v/>
      </c>
      <c r="C61" s="487">
        <f>IF(A61="","",IFERROR(VLOOKUP(A61,DB_Customers!$A:$N,14,0),""))</f>
        <v/>
      </c>
      <c r="D61" s="488">
        <f>IF(A61="","",TODAY())</f>
        <v/>
      </c>
      <c r="E61" s="489" t="n"/>
      <c r="F61" s="490">
        <f>IF(OR(A61="",E61=""),"",IF(C61="","",C61+E61))</f>
        <v/>
      </c>
      <c r="G61" s="380" t="inlineStr">
        <is>
          <t>Agent 06</t>
        </is>
      </c>
      <c r="H61" s="491" t="n"/>
      <c r="I61" s="492">
        <f>IF(A61="","Pending",IF(H61="","⚠️ Enter Code",IF(IFERROR(VLOOKUP(G61,DB_Agents!$B:$I,8,0),"")=H61,IF(AND(A61&lt;&gt;"",E61&lt;&gt;""),"Saved","Pending"),"🔒 BLOCKED — Wrong Code")))</f>
        <v/>
      </c>
      <c r="J61" s="493">
        <f>IF(I61="Saved",TEXT(TODAY(),"YYYY-MM-DD")&amp;" Auto","—")</f>
        <v/>
      </c>
      <c r="K61" s="494" t="n"/>
    </row>
    <row r="62" ht="15" customHeight="1" s="341">
      <c r="A62" s="495" t="n"/>
      <c r="B62" s="382">
        <f>IF(A62="","",IFERROR(VLOOKUP(A62,DB_Customers!$A:$D,4,0),"❌ Account Not Found"))</f>
        <v/>
      </c>
      <c r="C62" s="496">
        <f>IF(A62="","",IFERROR(VLOOKUP(A62,DB_Customers!$A:$N,14,0),""))</f>
        <v/>
      </c>
      <c r="D62" s="497">
        <f>IF(A62="","",TODAY())</f>
        <v/>
      </c>
      <c r="E62" s="489" t="n"/>
      <c r="F62" s="498">
        <f>IF(OR(A62="",E62=""),"",IF(C62="","",C62+E62))</f>
        <v/>
      </c>
      <c r="G62" s="384" t="inlineStr">
        <is>
          <t>Agent 06</t>
        </is>
      </c>
      <c r="H62" s="491" t="n"/>
      <c r="I62" s="499">
        <f>IF(A62="","Pending",IF(H62="","⚠️ Enter Code",IF(IFERROR(VLOOKUP(G62,DB_Agents!$B:$I,8,0),"")=H62,IF(AND(A62&lt;&gt;"",E62&lt;&gt;""),"Saved","Pending"),"🔒 BLOCKED — Wrong Code")))</f>
        <v/>
      </c>
      <c r="J62" s="500">
        <f>IF(I62="Saved",TEXT(TODAY(),"YYYY-MM-DD")&amp;" Auto","—")</f>
        <v/>
      </c>
      <c r="K62" s="501" t="n"/>
    </row>
    <row r="63" ht="15" customHeight="1" s="341">
      <c r="A63" s="486" t="n"/>
      <c r="B63" s="378">
        <f>IF(A63="","",IFERROR(VLOOKUP(A63,DB_Customers!$A:$D,4,0),"❌ Account Not Found"))</f>
        <v/>
      </c>
      <c r="C63" s="487">
        <f>IF(A63="","",IFERROR(VLOOKUP(A63,DB_Customers!$A:$N,14,0),""))</f>
        <v/>
      </c>
      <c r="D63" s="488">
        <f>IF(A63="","",TODAY())</f>
        <v/>
      </c>
      <c r="E63" s="489" t="n"/>
      <c r="F63" s="490">
        <f>IF(OR(A63="",E63=""),"",IF(C63="","",C63+E63))</f>
        <v/>
      </c>
      <c r="G63" s="380" t="inlineStr">
        <is>
          <t>Agent 06</t>
        </is>
      </c>
      <c r="H63" s="491" t="n"/>
      <c r="I63" s="492">
        <f>IF(A63="","Pending",IF(H63="","⚠️ Enter Code",IF(IFERROR(VLOOKUP(G63,DB_Agents!$B:$I,8,0),"")=H63,IF(AND(A63&lt;&gt;"",E63&lt;&gt;""),"Saved","Pending"),"🔒 BLOCKED — Wrong Code")))</f>
        <v/>
      </c>
      <c r="J63" s="493">
        <f>IF(I63="Saved",TEXT(TODAY(),"YYYY-MM-DD")&amp;" Auto","—")</f>
        <v/>
      </c>
      <c r="K63" s="494" t="n"/>
    </row>
    <row r="64" ht="15" customHeight="1" s="341">
      <c r="A64" s="495" t="n"/>
      <c r="B64" s="382">
        <f>IF(A64="","",IFERROR(VLOOKUP(A64,DB_Customers!$A:$D,4,0),"❌ Account Not Found"))</f>
        <v/>
      </c>
      <c r="C64" s="496">
        <f>IF(A64="","",IFERROR(VLOOKUP(A64,DB_Customers!$A:$N,14,0),""))</f>
        <v/>
      </c>
      <c r="D64" s="497">
        <f>IF(A64="","",TODAY())</f>
        <v/>
      </c>
      <c r="E64" s="489" t="n"/>
      <c r="F64" s="498">
        <f>IF(OR(A64="",E64=""),"",IF(C64="","",C64+E64))</f>
        <v/>
      </c>
      <c r="G64" s="384" t="inlineStr">
        <is>
          <t>Agent 06</t>
        </is>
      </c>
      <c r="H64" s="491" t="n"/>
      <c r="I64" s="499">
        <f>IF(A64="","Pending",IF(H64="","⚠️ Enter Code",IF(IFERROR(VLOOKUP(G64,DB_Agents!$B:$I,8,0),"")=H64,IF(AND(A64&lt;&gt;"",E64&lt;&gt;""),"Saved","Pending"),"🔒 BLOCKED — Wrong Code")))</f>
        <v/>
      </c>
      <c r="J64" s="500">
        <f>IF(I64="Saved",TEXT(TODAY(),"YYYY-MM-DD")&amp;" Auto","—")</f>
        <v/>
      </c>
      <c r="K64" s="501" t="n"/>
    </row>
    <row r="65" ht="15" customHeight="1" s="341">
      <c r="A65" s="486" t="n"/>
      <c r="B65" s="378">
        <f>IF(A65="","",IFERROR(VLOOKUP(A65,DB_Customers!$A:$D,4,0),"❌ Account Not Found"))</f>
        <v/>
      </c>
      <c r="C65" s="487">
        <f>IF(A65="","",IFERROR(VLOOKUP(A65,DB_Customers!$A:$N,14,0),""))</f>
        <v/>
      </c>
      <c r="D65" s="488">
        <f>IF(A65="","",TODAY())</f>
        <v/>
      </c>
      <c r="E65" s="489" t="n"/>
      <c r="F65" s="490">
        <f>IF(OR(A65="",E65=""),"",IF(C65="","",C65+E65))</f>
        <v/>
      </c>
      <c r="G65" s="380" t="inlineStr">
        <is>
          <t>Agent 06</t>
        </is>
      </c>
      <c r="H65" s="491" t="n"/>
      <c r="I65" s="492">
        <f>IF(A65="","Pending",IF(H65="","⚠️ Enter Code",IF(IFERROR(VLOOKUP(G65,DB_Agents!$B:$I,8,0),"")=H65,IF(AND(A65&lt;&gt;"",E65&lt;&gt;""),"Saved","Pending"),"🔒 BLOCKED — Wrong Code")))</f>
        <v/>
      </c>
      <c r="J65" s="493">
        <f>IF(I65="Saved",TEXT(TODAY(),"YYYY-MM-DD")&amp;" Auto","—")</f>
        <v/>
      </c>
      <c r="K65" s="494" t="n"/>
    </row>
    <row r="66" ht="15" customHeight="1" s="341">
      <c r="A66" s="495" t="n"/>
      <c r="B66" s="382">
        <f>IF(A66="","",IFERROR(VLOOKUP(A66,DB_Customers!$A:$D,4,0),"❌ Account Not Found"))</f>
        <v/>
      </c>
      <c r="C66" s="496">
        <f>IF(A66="","",IFERROR(VLOOKUP(A66,DB_Customers!$A:$N,14,0),""))</f>
        <v/>
      </c>
      <c r="D66" s="497">
        <f>IF(A66="","",TODAY())</f>
        <v/>
      </c>
      <c r="E66" s="489" t="n"/>
      <c r="F66" s="498">
        <f>IF(OR(A66="",E66=""),"",IF(C66="","",C66+E66))</f>
        <v/>
      </c>
      <c r="G66" s="384" t="inlineStr">
        <is>
          <t>Agent 06</t>
        </is>
      </c>
      <c r="H66" s="491" t="n"/>
      <c r="I66" s="499">
        <f>IF(A66="","Pending",IF(H66="","⚠️ Enter Code",IF(IFERROR(VLOOKUP(G66,DB_Agents!$B:$I,8,0),"")=H66,IF(AND(A66&lt;&gt;"",E66&lt;&gt;""),"Saved","Pending"),"🔒 BLOCKED — Wrong Code")))</f>
        <v/>
      </c>
      <c r="J66" s="500">
        <f>IF(I66="Saved",TEXT(TODAY(),"YYYY-MM-DD")&amp;" Auto","—")</f>
        <v/>
      </c>
      <c r="K66" s="501" t="n"/>
    </row>
    <row r="67" ht="15" customHeight="1" s="341">
      <c r="A67" s="486" t="n"/>
      <c r="B67" s="378">
        <f>IF(A67="","",IFERROR(VLOOKUP(A67,DB_Customers!$A:$D,4,0),"❌ Account Not Found"))</f>
        <v/>
      </c>
      <c r="C67" s="487">
        <f>IF(A67="","",IFERROR(VLOOKUP(A67,DB_Customers!$A:$N,14,0),""))</f>
        <v/>
      </c>
      <c r="D67" s="488">
        <f>IF(A67="","",TODAY())</f>
        <v/>
      </c>
      <c r="E67" s="489" t="n"/>
      <c r="F67" s="490">
        <f>IF(OR(A67="",E67=""),"",IF(C67="","",C67+E67))</f>
        <v/>
      </c>
      <c r="G67" s="380" t="inlineStr">
        <is>
          <t>Agent 06</t>
        </is>
      </c>
      <c r="H67" s="491" t="n"/>
      <c r="I67" s="492">
        <f>IF(A67="","Pending",IF(H67="","⚠️ Enter Code",IF(IFERROR(VLOOKUP(G67,DB_Agents!$B:$I,8,0),"")=H67,IF(AND(A67&lt;&gt;"",E67&lt;&gt;""),"Saved","Pending"),"🔒 BLOCKED — Wrong Code")))</f>
        <v/>
      </c>
      <c r="J67" s="493">
        <f>IF(I67="Saved",TEXT(TODAY(),"YYYY-MM-DD")&amp;" Auto","—")</f>
        <v/>
      </c>
      <c r="K67" s="494" t="n"/>
    </row>
    <row r="68" ht="15" customHeight="1" s="341">
      <c r="A68" s="495" t="n"/>
      <c r="B68" s="382">
        <f>IF(A68="","",IFERROR(VLOOKUP(A68,DB_Customers!$A:$D,4,0),"❌ Account Not Found"))</f>
        <v/>
      </c>
      <c r="C68" s="496">
        <f>IF(A68="","",IFERROR(VLOOKUP(A68,DB_Customers!$A:$N,14,0),""))</f>
        <v/>
      </c>
      <c r="D68" s="497">
        <f>IF(A68="","",TODAY())</f>
        <v/>
      </c>
      <c r="E68" s="489" t="n"/>
      <c r="F68" s="498">
        <f>IF(OR(A68="",E68=""),"",IF(C68="","",C68+E68))</f>
        <v/>
      </c>
      <c r="G68" s="384" t="inlineStr">
        <is>
          <t>Agent 06</t>
        </is>
      </c>
      <c r="H68" s="491" t="n"/>
      <c r="I68" s="499">
        <f>IF(A68="","Pending",IF(H68="","⚠️ Enter Code",IF(IFERROR(VLOOKUP(G68,DB_Agents!$B:$I,8,0),"")=H68,IF(AND(A68&lt;&gt;"",E68&lt;&gt;""),"Saved","Pending"),"🔒 BLOCKED — Wrong Code")))</f>
        <v/>
      </c>
      <c r="J68" s="500">
        <f>IF(I68="Saved",TEXT(TODAY(),"YYYY-MM-DD")&amp;" Auto","—")</f>
        <v/>
      </c>
      <c r="K68" s="501" t="n"/>
    </row>
    <row r="69" ht="15" customHeight="1" s="341">
      <c r="A69" s="486" t="n"/>
      <c r="B69" s="378">
        <f>IF(A69="","",IFERROR(VLOOKUP(A69,DB_Customers!$A:$D,4,0),"❌ Account Not Found"))</f>
        <v/>
      </c>
      <c r="C69" s="487">
        <f>IF(A69="","",IFERROR(VLOOKUP(A69,DB_Customers!$A:$N,14,0),""))</f>
        <v/>
      </c>
      <c r="D69" s="488">
        <f>IF(A69="","",TODAY())</f>
        <v/>
      </c>
      <c r="E69" s="489" t="n"/>
      <c r="F69" s="490">
        <f>IF(OR(A69="",E69=""),"",IF(C69="","",C69+E69))</f>
        <v/>
      </c>
      <c r="G69" s="380" t="inlineStr">
        <is>
          <t>Agent 06</t>
        </is>
      </c>
      <c r="H69" s="491" t="n"/>
      <c r="I69" s="492">
        <f>IF(A69="","Pending",IF(H69="","⚠️ Enter Code",IF(IFERROR(VLOOKUP(G69,DB_Agents!$B:$I,8,0),"")=H69,IF(AND(A69&lt;&gt;"",E69&lt;&gt;""),"Saved","Pending"),"🔒 BLOCKED — Wrong Code")))</f>
        <v/>
      </c>
      <c r="J69" s="493">
        <f>IF(I69="Saved",TEXT(TODAY(),"YYYY-MM-DD")&amp;" Auto","—")</f>
        <v/>
      </c>
      <c r="K69" s="494" t="n"/>
    </row>
    <row r="70" ht="15" customHeight="1" s="341">
      <c r="A70" s="495" t="n"/>
      <c r="B70" s="382">
        <f>IF(A70="","",IFERROR(VLOOKUP(A70,DB_Customers!$A:$D,4,0),"❌ Account Not Found"))</f>
        <v/>
      </c>
      <c r="C70" s="496">
        <f>IF(A70="","",IFERROR(VLOOKUP(A70,DB_Customers!$A:$N,14,0),""))</f>
        <v/>
      </c>
      <c r="D70" s="497">
        <f>IF(A70="","",TODAY())</f>
        <v/>
      </c>
      <c r="E70" s="489" t="n"/>
      <c r="F70" s="498">
        <f>IF(OR(A70="",E70=""),"",IF(C70="","",C70+E70))</f>
        <v/>
      </c>
      <c r="G70" s="384" t="inlineStr">
        <is>
          <t>Agent 06</t>
        </is>
      </c>
      <c r="H70" s="491" t="n"/>
      <c r="I70" s="499">
        <f>IF(A70="","Pending",IF(H70="","⚠️ Enter Code",IF(IFERROR(VLOOKUP(G70,DB_Agents!$B:$I,8,0),"")=H70,IF(AND(A70&lt;&gt;"",E70&lt;&gt;""),"Saved","Pending"),"🔒 BLOCKED — Wrong Code")))</f>
        <v/>
      </c>
      <c r="J70" s="500">
        <f>IF(I70="Saved",TEXT(TODAY(),"YYYY-MM-DD")&amp;" Auto","—")</f>
        <v/>
      </c>
      <c r="K70" s="501" t="n"/>
    </row>
    <row r="71" ht="15" customHeight="1" s="341">
      <c r="A71" s="486" t="n"/>
      <c r="B71" s="378">
        <f>IF(A71="","",IFERROR(VLOOKUP(A71,DB_Customers!$A:$D,4,0),"❌ Account Not Found"))</f>
        <v/>
      </c>
      <c r="C71" s="487">
        <f>IF(A71="","",IFERROR(VLOOKUP(A71,DB_Customers!$A:$N,14,0),""))</f>
        <v/>
      </c>
      <c r="D71" s="488">
        <f>IF(A71="","",TODAY())</f>
        <v/>
      </c>
      <c r="E71" s="489" t="n"/>
      <c r="F71" s="490">
        <f>IF(OR(A71="",E71=""),"",IF(C71="","",C71+E71))</f>
        <v/>
      </c>
      <c r="G71" s="380" t="inlineStr">
        <is>
          <t>Agent 06</t>
        </is>
      </c>
      <c r="H71" s="491" t="n"/>
      <c r="I71" s="492">
        <f>IF(A71="","Pending",IF(H71="","⚠️ Enter Code",IF(IFERROR(VLOOKUP(G71,DB_Agents!$B:$I,8,0),"")=H71,IF(AND(A71&lt;&gt;"",E71&lt;&gt;""),"Saved","Pending"),"🔒 BLOCKED — Wrong Code")))</f>
        <v/>
      </c>
      <c r="J71" s="493">
        <f>IF(I71="Saved",TEXT(TODAY(),"YYYY-MM-DD")&amp;" Auto","—")</f>
        <v/>
      </c>
      <c r="K71" s="494" t="n"/>
    </row>
    <row r="72" ht="15" customHeight="1" s="341">
      <c r="A72" s="495" t="n"/>
      <c r="B72" s="382">
        <f>IF(A72="","",IFERROR(VLOOKUP(A72,DB_Customers!$A:$D,4,0),"❌ Account Not Found"))</f>
        <v/>
      </c>
      <c r="C72" s="496">
        <f>IF(A72="","",IFERROR(VLOOKUP(A72,DB_Customers!$A:$N,14,0),""))</f>
        <v/>
      </c>
      <c r="D72" s="497">
        <f>IF(A72="","",TODAY())</f>
        <v/>
      </c>
      <c r="E72" s="489" t="n"/>
      <c r="F72" s="498">
        <f>IF(OR(A72="",E72=""),"",IF(C72="","",C72+E72))</f>
        <v/>
      </c>
      <c r="G72" s="384" t="inlineStr">
        <is>
          <t>Agent 06</t>
        </is>
      </c>
      <c r="H72" s="491" t="n"/>
      <c r="I72" s="499">
        <f>IF(A72="","Pending",IF(H72="","⚠️ Enter Code",IF(IFERROR(VLOOKUP(G72,DB_Agents!$B:$I,8,0),"")=H72,IF(AND(A72&lt;&gt;"",E72&lt;&gt;""),"Saved","Pending"),"🔒 BLOCKED — Wrong Code")))</f>
        <v/>
      </c>
      <c r="J72" s="500">
        <f>IF(I72="Saved",TEXT(TODAY(),"YYYY-MM-DD")&amp;" Auto","—")</f>
        <v/>
      </c>
      <c r="K72" s="501" t="n"/>
    </row>
    <row r="73" ht="15" customHeight="1" s="341">
      <c r="A73" s="486" t="n"/>
      <c r="B73" s="378">
        <f>IF(A73="","",IFERROR(VLOOKUP(A73,DB_Customers!$A:$D,4,0),"❌ Account Not Found"))</f>
        <v/>
      </c>
      <c r="C73" s="487">
        <f>IF(A73="","",IFERROR(VLOOKUP(A73,DB_Customers!$A:$N,14,0),""))</f>
        <v/>
      </c>
      <c r="D73" s="488">
        <f>IF(A73="","",TODAY())</f>
        <v/>
      </c>
      <c r="E73" s="489" t="n"/>
      <c r="F73" s="490">
        <f>IF(OR(A73="",E73=""),"",IF(C73="","",C73+E73))</f>
        <v/>
      </c>
      <c r="G73" s="380" t="inlineStr">
        <is>
          <t>Agent 06</t>
        </is>
      </c>
      <c r="H73" s="491" t="n"/>
      <c r="I73" s="492">
        <f>IF(A73="","Pending",IF(H73="","⚠️ Enter Code",IF(IFERROR(VLOOKUP(G73,DB_Agents!$B:$I,8,0),"")=H73,IF(AND(A73&lt;&gt;"",E73&lt;&gt;""),"Saved","Pending"),"🔒 BLOCKED — Wrong Code")))</f>
        <v/>
      </c>
      <c r="J73" s="493">
        <f>IF(I73="Saved",TEXT(TODAY(),"YYYY-MM-DD")&amp;" Auto","—")</f>
        <v/>
      </c>
      <c r="K73" s="494" t="n"/>
    </row>
    <row r="74" ht="15" customHeight="1" s="341">
      <c r="A74" s="495" t="n"/>
      <c r="B74" s="382">
        <f>IF(A74="","",IFERROR(VLOOKUP(A74,DB_Customers!$A:$D,4,0),"❌ Account Not Found"))</f>
        <v/>
      </c>
      <c r="C74" s="496">
        <f>IF(A74="","",IFERROR(VLOOKUP(A74,DB_Customers!$A:$N,14,0),""))</f>
        <v/>
      </c>
      <c r="D74" s="497">
        <f>IF(A74="","",TODAY())</f>
        <v/>
      </c>
      <c r="E74" s="489" t="n"/>
      <c r="F74" s="498">
        <f>IF(OR(A74="",E74=""),"",IF(C74="","",C74+E74))</f>
        <v/>
      </c>
      <c r="G74" s="384" t="inlineStr">
        <is>
          <t>Agent 06</t>
        </is>
      </c>
      <c r="H74" s="491" t="n"/>
      <c r="I74" s="499">
        <f>IF(A74="","Pending",IF(H74="","⚠️ Enter Code",IF(IFERROR(VLOOKUP(G74,DB_Agents!$B:$I,8,0),"")=H74,IF(AND(A74&lt;&gt;"",E74&lt;&gt;""),"Saved","Pending"),"🔒 BLOCKED — Wrong Code")))</f>
        <v/>
      </c>
      <c r="J74" s="500">
        <f>IF(I74="Saved",TEXT(TODAY(),"YYYY-MM-DD")&amp;" Auto","—")</f>
        <v/>
      </c>
      <c r="K74" s="501" t="n"/>
    </row>
    <row r="75" ht="15" customHeight="1" s="341">
      <c r="A75" s="486" t="n"/>
      <c r="B75" s="378">
        <f>IF(A75="","",IFERROR(VLOOKUP(A75,DB_Customers!$A:$D,4,0),"❌ Account Not Found"))</f>
        <v/>
      </c>
      <c r="C75" s="487">
        <f>IF(A75="","",IFERROR(VLOOKUP(A75,DB_Customers!$A:$N,14,0),""))</f>
        <v/>
      </c>
      <c r="D75" s="488">
        <f>IF(A75="","",TODAY())</f>
        <v/>
      </c>
      <c r="E75" s="489" t="n"/>
      <c r="F75" s="490">
        <f>IF(OR(A75="",E75=""),"",IF(C75="","",C75+E75))</f>
        <v/>
      </c>
      <c r="G75" s="380" t="inlineStr">
        <is>
          <t>Agent 06</t>
        </is>
      </c>
      <c r="H75" s="491" t="n"/>
      <c r="I75" s="492">
        <f>IF(A75="","Pending",IF(H75="","⚠️ Enter Code",IF(IFERROR(VLOOKUP(G75,DB_Agents!$B:$I,8,0),"")=H75,IF(AND(A75&lt;&gt;"",E75&lt;&gt;""),"Saved","Pending"),"🔒 BLOCKED — Wrong Code")))</f>
        <v/>
      </c>
      <c r="J75" s="493">
        <f>IF(I75="Saved",TEXT(TODAY(),"YYYY-MM-DD")&amp;" Auto","—")</f>
        <v/>
      </c>
      <c r="K75" s="494" t="n"/>
    </row>
    <row r="76" ht="15" customHeight="1" s="341">
      <c r="A76" s="495" t="n"/>
      <c r="B76" s="382">
        <f>IF(A76="","",IFERROR(VLOOKUP(A76,DB_Customers!$A:$D,4,0),"❌ Account Not Found"))</f>
        <v/>
      </c>
      <c r="C76" s="496">
        <f>IF(A76="","",IFERROR(VLOOKUP(A76,DB_Customers!$A:$N,14,0),""))</f>
        <v/>
      </c>
      <c r="D76" s="497">
        <f>IF(A76="","",TODAY())</f>
        <v/>
      </c>
      <c r="E76" s="489" t="n"/>
      <c r="F76" s="498">
        <f>IF(OR(A76="",E76=""),"",IF(C76="","",C76+E76))</f>
        <v/>
      </c>
      <c r="G76" s="384" t="inlineStr">
        <is>
          <t>Agent 06</t>
        </is>
      </c>
      <c r="H76" s="491" t="n"/>
      <c r="I76" s="499">
        <f>IF(A76="","Pending",IF(H76="","⚠️ Enter Code",IF(IFERROR(VLOOKUP(G76,DB_Agents!$B:$I,8,0),"")=H76,IF(AND(A76&lt;&gt;"",E76&lt;&gt;""),"Saved","Pending"),"🔒 BLOCKED — Wrong Code")))</f>
        <v/>
      </c>
      <c r="J76" s="500">
        <f>IF(I76="Saved",TEXT(TODAY(),"YYYY-MM-DD")&amp;" Auto","—")</f>
        <v/>
      </c>
      <c r="K76" s="501" t="n"/>
    </row>
    <row r="77" ht="15" customHeight="1" s="341">
      <c r="A77" s="486" t="n"/>
      <c r="B77" s="378">
        <f>IF(A77="","",IFERROR(VLOOKUP(A77,DB_Customers!$A:$D,4,0),"❌ Account Not Found"))</f>
        <v/>
      </c>
      <c r="C77" s="487">
        <f>IF(A77="","",IFERROR(VLOOKUP(A77,DB_Customers!$A:$N,14,0),""))</f>
        <v/>
      </c>
      <c r="D77" s="488">
        <f>IF(A77="","",TODAY())</f>
        <v/>
      </c>
      <c r="E77" s="489" t="n"/>
      <c r="F77" s="490">
        <f>IF(OR(A77="",E77=""),"",IF(C77="","",C77+E77))</f>
        <v/>
      </c>
      <c r="G77" s="380" t="inlineStr">
        <is>
          <t>Agent 06</t>
        </is>
      </c>
      <c r="H77" s="491" t="n"/>
      <c r="I77" s="492">
        <f>IF(A77="","Pending",IF(H77="","⚠️ Enter Code",IF(IFERROR(VLOOKUP(G77,DB_Agents!$B:$I,8,0),"")=H77,IF(AND(A77&lt;&gt;"",E77&lt;&gt;""),"Saved","Pending"),"🔒 BLOCKED — Wrong Code")))</f>
        <v/>
      </c>
      <c r="J77" s="493">
        <f>IF(I77="Saved",TEXT(TODAY(),"YYYY-MM-DD")&amp;" Auto","—")</f>
        <v/>
      </c>
      <c r="K77" s="494" t="n"/>
    </row>
    <row r="78" ht="15" customHeight="1" s="341">
      <c r="A78" s="495" t="n"/>
      <c r="B78" s="382">
        <f>IF(A78="","",IFERROR(VLOOKUP(A78,DB_Customers!$A:$D,4,0),"❌ Account Not Found"))</f>
        <v/>
      </c>
      <c r="C78" s="496">
        <f>IF(A78="","",IFERROR(VLOOKUP(A78,DB_Customers!$A:$N,14,0),""))</f>
        <v/>
      </c>
      <c r="D78" s="497">
        <f>IF(A78="","",TODAY())</f>
        <v/>
      </c>
      <c r="E78" s="489" t="n"/>
      <c r="F78" s="498">
        <f>IF(OR(A78="",E78=""),"",IF(C78="","",C78+E78))</f>
        <v/>
      </c>
      <c r="G78" s="384" t="inlineStr">
        <is>
          <t>Agent 06</t>
        </is>
      </c>
      <c r="H78" s="491" t="n"/>
      <c r="I78" s="499">
        <f>IF(A78="","Pending",IF(H78="","⚠️ Enter Code",IF(IFERROR(VLOOKUP(G78,DB_Agents!$B:$I,8,0),"")=H78,IF(AND(A78&lt;&gt;"",E78&lt;&gt;""),"Saved","Pending"),"🔒 BLOCKED — Wrong Code")))</f>
        <v/>
      </c>
      <c r="J78" s="500">
        <f>IF(I78="Saved",TEXT(TODAY(),"YYYY-MM-DD")&amp;" Auto","—")</f>
        <v/>
      </c>
      <c r="K78" s="501" t="n"/>
    </row>
    <row r="79" ht="15" customHeight="1" s="341">
      <c r="A79" s="486" t="n"/>
      <c r="B79" s="378">
        <f>IF(A79="","",IFERROR(VLOOKUP(A79,DB_Customers!$A:$D,4,0),"❌ Account Not Found"))</f>
        <v/>
      </c>
      <c r="C79" s="487">
        <f>IF(A79="","",IFERROR(VLOOKUP(A79,DB_Customers!$A:$N,14,0),""))</f>
        <v/>
      </c>
      <c r="D79" s="488">
        <f>IF(A79="","",TODAY())</f>
        <v/>
      </c>
      <c r="E79" s="489" t="n"/>
      <c r="F79" s="490">
        <f>IF(OR(A79="",E79=""),"",IF(C79="","",C79+E79))</f>
        <v/>
      </c>
      <c r="G79" s="380" t="inlineStr">
        <is>
          <t>Agent 06</t>
        </is>
      </c>
      <c r="H79" s="491" t="n"/>
      <c r="I79" s="492">
        <f>IF(A79="","Pending",IF(H79="","⚠️ Enter Code",IF(IFERROR(VLOOKUP(G79,DB_Agents!$B:$I,8,0),"")=H79,IF(AND(A79&lt;&gt;"",E79&lt;&gt;""),"Saved","Pending"),"🔒 BLOCKED — Wrong Code")))</f>
        <v/>
      </c>
      <c r="J79" s="493">
        <f>IF(I79="Saved",TEXT(TODAY(),"YYYY-MM-DD")&amp;" Auto","—")</f>
        <v/>
      </c>
      <c r="K79" s="494" t="n"/>
    </row>
    <row r="80" ht="15" customHeight="1" s="341">
      <c r="A80" s="495" t="n"/>
      <c r="B80" s="382">
        <f>IF(A80="","",IFERROR(VLOOKUP(A80,DB_Customers!$A:$D,4,0),"❌ Account Not Found"))</f>
        <v/>
      </c>
      <c r="C80" s="496">
        <f>IF(A80="","",IFERROR(VLOOKUP(A80,DB_Customers!$A:$N,14,0),""))</f>
        <v/>
      </c>
      <c r="D80" s="497">
        <f>IF(A80="","",TODAY())</f>
        <v/>
      </c>
      <c r="E80" s="489" t="n"/>
      <c r="F80" s="498">
        <f>IF(OR(A80="",E80=""),"",IF(C80="","",C80+E80))</f>
        <v/>
      </c>
      <c r="G80" s="384" t="inlineStr">
        <is>
          <t>Agent 06</t>
        </is>
      </c>
      <c r="H80" s="491" t="n"/>
      <c r="I80" s="499">
        <f>IF(A80="","Pending",IF(H80="","⚠️ Enter Code",IF(IFERROR(VLOOKUP(G80,DB_Agents!$B:$I,8,0),"")=H80,IF(AND(A80&lt;&gt;"",E80&lt;&gt;""),"Saved","Pending"),"🔒 BLOCKED — Wrong Code")))</f>
        <v/>
      </c>
      <c r="J80" s="500">
        <f>IF(I80="Saved",TEXT(TODAY(),"YYYY-MM-DD")&amp;" Auto","—")</f>
        <v/>
      </c>
      <c r="K80" s="501" t="n"/>
    </row>
    <row r="81" ht="15" customHeight="1" s="341">
      <c r="A81" s="486" t="n"/>
      <c r="B81" s="378">
        <f>IF(A81="","",IFERROR(VLOOKUP(A81,DB_Customers!$A:$D,4,0),"❌ Account Not Found"))</f>
        <v/>
      </c>
      <c r="C81" s="487">
        <f>IF(A81="","",IFERROR(VLOOKUP(A81,DB_Customers!$A:$N,14,0),""))</f>
        <v/>
      </c>
      <c r="D81" s="488">
        <f>IF(A81="","",TODAY())</f>
        <v/>
      </c>
      <c r="E81" s="489" t="n"/>
      <c r="F81" s="490">
        <f>IF(OR(A81="",E81=""),"",IF(C81="","",C81+E81))</f>
        <v/>
      </c>
      <c r="G81" s="380" t="inlineStr">
        <is>
          <t>Agent 06</t>
        </is>
      </c>
      <c r="H81" s="491" t="n"/>
      <c r="I81" s="492">
        <f>IF(A81="","Pending",IF(H81="","⚠️ Enter Code",IF(IFERROR(VLOOKUP(G81,DB_Agents!$B:$I,8,0),"")=H81,IF(AND(A81&lt;&gt;"",E81&lt;&gt;""),"Saved","Pending"),"🔒 BLOCKED — Wrong Code")))</f>
        <v/>
      </c>
      <c r="J81" s="493">
        <f>IF(I81="Saved",TEXT(TODAY(),"YYYY-MM-DD")&amp;" Auto","—")</f>
        <v/>
      </c>
      <c r="K81" s="494" t="n"/>
    </row>
    <row r="82" ht="15" customHeight="1" s="341">
      <c r="A82" s="495" t="n"/>
      <c r="B82" s="382">
        <f>IF(A82="","",IFERROR(VLOOKUP(A82,DB_Customers!$A:$D,4,0),"❌ Account Not Found"))</f>
        <v/>
      </c>
      <c r="C82" s="496">
        <f>IF(A82="","",IFERROR(VLOOKUP(A82,DB_Customers!$A:$N,14,0),""))</f>
        <v/>
      </c>
      <c r="D82" s="497">
        <f>IF(A82="","",TODAY())</f>
        <v/>
      </c>
      <c r="E82" s="489" t="n"/>
      <c r="F82" s="498">
        <f>IF(OR(A82="",E82=""),"",IF(C82="","",C82+E82))</f>
        <v/>
      </c>
      <c r="G82" s="384" t="inlineStr">
        <is>
          <t>Agent 06</t>
        </is>
      </c>
      <c r="H82" s="491" t="n"/>
      <c r="I82" s="499">
        <f>IF(A82="","Pending",IF(H82="","⚠️ Enter Code",IF(IFERROR(VLOOKUP(G82,DB_Agents!$B:$I,8,0),"")=H82,IF(AND(A82&lt;&gt;"",E82&lt;&gt;""),"Saved","Pending"),"🔒 BLOCKED — Wrong Code")))</f>
        <v/>
      </c>
      <c r="J82" s="500">
        <f>IF(I82="Saved",TEXT(TODAY(),"YYYY-MM-DD")&amp;" Auto","—")</f>
        <v/>
      </c>
      <c r="K82" s="501" t="n"/>
    </row>
    <row r="83" ht="15" customHeight="1" s="341">
      <c r="A83" s="486" t="n"/>
      <c r="B83" s="378">
        <f>IF(A83="","",IFERROR(VLOOKUP(A83,DB_Customers!$A:$D,4,0),"❌ Account Not Found"))</f>
        <v/>
      </c>
      <c r="C83" s="487">
        <f>IF(A83="","",IFERROR(VLOOKUP(A83,DB_Customers!$A:$N,14,0),""))</f>
        <v/>
      </c>
      <c r="D83" s="488">
        <f>IF(A83="","",TODAY())</f>
        <v/>
      </c>
      <c r="E83" s="489" t="n"/>
      <c r="F83" s="490">
        <f>IF(OR(A83="",E83=""),"",IF(C83="","",C83+E83))</f>
        <v/>
      </c>
      <c r="G83" s="380" t="inlineStr">
        <is>
          <t>Agent 06</t>
        </is>
      </c>
      <c r="H83" s="491" t="n"/>
      <c r="I83" s="492">
        <f>IF(A83="","Pending",IF(H83="","⚠️ Enter Code",IF(IFERROR(VLOOKUP(G83,DB_Agents!$B:$I,8,0),"")=H83,IF(AND(A83&lt;&gt;"",E83&lt;&gt;""),"Saved","Pending"),"🔒 BLOCKED — Wrong Code")))</f>
        <v/>
      </c>
      <c r="J83" s="493">
        <f>IF(I83="Saved",TEXT(TODAY(),"YYYY-MM-DD")&amp;" Auto","—")</f>
        <v/>
      </c>
      <c r="K83" s="494" t="n"/>
    </row>
    <row r="84" ht="15" customHeight="1" s="341">
      <c r="A84" s="495" t="n"/>
      <c r="B84" s="382">
        <f>IF(A84="","",IFERROR(VLOOKUP(A84,DB_Customers!$A:$D,4,0),"❌ Account Not Found"))</f>
        <v/>
      </c>
      <c r="C84" s="496">
        <f>IF(A84="","",IFERROR(VLOOKUP(A84,DB_Customers!$A:$N,14,0),""))</f>
        <v/>
      </c>
      <c r="D84" s="497">
        <f>IF(A84="","",TODAY())</f>
        <v/>
      </c>
      <c r="E84" s="489" t="n"/>
      <c r="F84" s="498">
        <f>IF(OR(A84="",E84=""),"",IF(C84="","",C84+E84))</f>
        <v/>
      </c>
      <c r="G84" s="384" t="inlineStr">
        <is>
          <t>Agent 06</t>
        </is>
      </c>
      <c r="H84" s="491" t="n"/>
      <c r="I84" s="499">
        <f>IF(A84="","Pending",IF(H84="","⚠️ Enter Code",IF(IFERROR(VLOOKUP(G84,DB_Agents!$B:$I,8,0),"")=H84,IF(AND(A84&lt;&gt;"",E84&lt;&gt;""),"Saved","Pending"),"🔒 BLOCKED — Wrong Code")))</f>
        <v/>
      </c>
      <c r="J84" s="500">
        <f>IF(I84="Saved",TEXT(TODAY(),"YYYY-MM-DD")&amp;" Auto","—")</f>
        <v/>
      </c>
      <c r="K84" s="501" t="n"/>
    </row>
    <row r="85" ht="15" customHeight="1" s="341">
      <c r="A85" s="486" t="n"/>
      <c r="B85" s="378">
        <f>IF(A85="","",IFERROR(VLOOKUP(A85,DB_Customers!$A:$D,4,0),"❌ Account Not Found"))</f>
        <v/>
      </c>
      <c r="C85" s="487">
        <f>IF(A85="","",IFERROR(VLOOKUP(A85,DB_Customers!$A:$N,14,0),""))</f>
        <v/>
      </c>
      <c r="D85" s="488">
        <f>IF(A85="","",TODAY())</f>
        <v/>
      </c>
      <c r="E85" s="489" t="n"/>
      <c r="F85" s="490">
        <f>IF(OR(A85="",E85=""),"",IF(C85="","",C85+E85))</f>
        <v/>
      </c>
      <c r="G85" s="380" t="inlineStr">
        <is>
          <t>Agent 06</t>
        </is>
      </c>
      <c r="H85" s="491" t="n"/>
      <c r="I85" s="492">
        <f>IF(A85="","Pending",IF(H85="","⚠️ Enter Code",IF(IFERROR(VLOOKUP(G85,DB_Agents!$B:$I,8,0),"")=H85,IF(AND(A85&lt;&gt;"",E85&lt;&gt;""),"Saved","Pending"),"🔒 BLOCKED — Wrong Code")))</f>
        <v/>
      </c>
      <c r="J85" s="493">
        <f>IF(I85="Saved",TEXT(TODAY(),"YYYY-MM-DD")&amp;" Auto","—")</f>
        <v/>
      </c>
      <c r="K85" s="494" t="n"/>
    </row>
    <row r="86" ht="15" customHeight="1" s="341">
      <c r="A86" s="495" t="n"/>
      <c r="B86" s="382">
        <f>IF(A86="","",IFERROR(VLOOKUP(A86,DB_Customers!$A:$D,4,0),"❌ Account Not Found"))</f>
        <v/>
      </c>
      <c r="C86" s="496">
        <f>IF(A86="","",IFERROR(VLOOKUP(A86,DB_Customers!$A:$N,14,0),""))</f>
        <v/>
      </c>
      <c r="D86" s="497">
        <f>IF(A86="","",TODAY())</f>
        <v/>
      </c>
      <c r="E86" s="489" t="n"/>
      <c r="F86" s="498">
        <f>IF(OR(A86="",E86=""),"",IF(C86="","",C86+E86))</f>
        <v/>
      </c>
      <c r="G86" s="384" t="inlineStr">
        <is>
          <t>Agent 06</t>
        </is>
      </c>
      <c r="H86" s="491" t="n"/>
      <c r="I86" s="499">
        <f>IF(A86="","Pending",IF(H86="","⚠️ Enter Code",IF(IFERROR(VLOOKUP(G86,DB_Agents!$B:$I,8,0),"")=H86,IF(AND(A86&lt;&gt;"",E86&lt;&gt;""),"Saved","Pending"),"🔒 BLOCKED — Wrong Code")))</f>
        <v/>
      </c>
      <c r="J86" s="500">
        <f>IF(I86="Saved",TEXT(TODAY(),"YYYY-MM-DD")&amp;" Auto","—")</f>
        <v/>
      </c>
      <c r="K86" s="501" t="n"/>
    </row>
    <row r="87" ht="15" customHeight="1" s="341">
      <c r="A87" s="486" t="n"/>
      <c r="B87" s="378">
        <f>IF(A87="","",IFERROR(VLOOKUP(A87,DB_Customers!$A:$D,4,0),"❌ Account Not Found"))</f>
        <v/>
      </c>
      <c r="C87" s="487">
        <f>IF(A87="","",IFERROR(VLOOKUP(A87,DB_Customers!$A:$N,14,0),""))</f>
        <v/>
      </c>
      <c r="D87" s="488">
        <f>IF(A87="","",TODAY())</f>
        <v/>
      </c>
      <c r="E87" s="489" t="n"/>
      <c r="F87" s="490">
        <f>IF(OR(A87="",E87=""),"",IF(C87="","",C87+E87))</f>
        <v/>
      </c>
      <c r="G87" s="380" t="inlineStr">
        <is>
          <t>Agent 06</t>
        </is>
      </c>
      <c r="H87" s="491" t="n"/>
      <c r="I87" s="492">
        <f>IF(A87="","Pending",IF(H87="","⚠️ Enter Code",IF(IFERROR(VLOOKUP(G87,DB_Agents!$B:$I,8,0),"")=H87,IF(AND(A87&lt;&gt;"",E87&lt;&gt;""),"Saved","Pending"),"🔒 BLOCKED — Wrong Code")))</f>
        <v/>
      </c>
      <c r="J87" s="493">
        <f>IF(I87="Saved",TEXT(TODAY(),"YYYY-MM-DD")&amp;" Auto","—")</f>
        <v/>
      </c>
      <c r="K87" s="494" t="n"/>
    </row>
    <row r="88" ht="15" customHeight="1" s="341">
      <c r="A88" s="495" t="n"/>
      <c r="B88" s="382">
        <f>IF(A88="","",IFERROR(VLOOKUP(A88,DB_Customers!$A:$D,4,0),"❌ Account Not Found"))</f>
        <v/>
      </c>
      <c r="C88" s="496">
        <f>IF(A88="","",IFERROR(VLOOKUP(A88,DB_Customers!$A:$N,14,0),""))</f>
        <v/>
      </c>
      <c r="D88" s="497">
        <f>IF(A88="","",TODAY())</f>
        <v/>
      </c>
      <c r="E88" s="489" t="n"/>
      <c r="F88" s="498">
        <f>IF(OR(A88="",E88=""),"",IF(C88="","",C88+E88))</f>
        <v/>
      </c>
      <c r="G88" s="384" t="inlineStr">
        <is>
          <t>Agent 06</t>
        </is>
      </c>
      <c r="H88" s="491" t="n"/>
      <c r="I88" s="499">
        <f>IF(A88="","Pending",IF(H88="","⚠️ Enter Code",IF(IFERROR(VLOOKUP(G88,DB_Agents!$B:$I,8,0),"")=H88,IF(AND(A88&lt;&gt;"",E88&lt;&gt;""),"Saved","Pending"),"🔒 BLOCKED — Wrong Code")))</f>
        <v/>
      </c>
      <c r="J88" s="500">
        <f>IF(I88="Saved",TEXT(TODAY(),"YYYY-MM-DD")&amp;" Auto","—")</f>
        <v/>
      </c>
      <c r="K88" s="501" t="n"/>
    </row>
    <row r="89" ht="15" customHeight="1" s="341">
      <c r="A89" s="486" t="n"/>
      <c r="B89" s="378">
        <f>IF(A89="","",IFERROR(VLOOKUP(A89,DB_Customers!$A:$D,4,0),"❌ Account Not Found"))</f>
        <v/>
      </c>
      <c r="C89" s="487">
        <f>IF(A89="","",IFERROR(VLOOKUP(A89,DB_Customers!$A:$N,14,0),""))</f>
        <v/>
      </c>
      <c r="D89" s="488">
        <f>IF(A89="","",TODAY())</f>
        <v/>
      </c>
      <c r="E89" s="489" t="n"/>
      <c r="F89" s="490">
        <f>IF(OR(A89="",E89=""),"",IF(C89="","",C89+E89))</f>
        <v/>
      </c>
      <c r="G89" s="380" t="inlineStr">
        <is>
          <t>Agent 06</t>
        </is>
      </c>
      <c r="H89" s="491" t="n"/>
      <c r="I89" s="492">
        <f>IF(A89="","Pending",IF(H89="","⚠️ Enter Code",IF(IFERROR(VLOOKUP(G89,DB_Agents!$B:$I,8,0),"")=H89,IF(AND(A89&lt;&gt;"",E89&lt;&gt;""),"Saved","Pending"),"🔒 BLOCKED — Wrong Code")))</f>
        <v/>
      </c>
      <c r="J89" s="493">
        <f>IF(I89="Saved",TEXT(TODAY(),"YYYY-MM-DD")&amp;" Auto","—")</f>
        <v/>
      </c>
      <c r="K89" s="494" t="n"/>
    </row>
    <row r="90" ht="15" customHeight="1" s="341">
      <c r="A90" s="495" t="n"/>
      <c r="B90" s="382">
        <f>IF(A90="","",IFERROR(VLOOKUP(A90,DB_Customers!$A:$D,4,0),"❌ Account Not Found"))</f>
        <v/>
      </c>
      <c r="C90" s="496">
        <f>IF(A90="","",IFERROR(VLOOKUP(A90,DB_Customers!$A:$N,14,0),""))</f>
        <v/>
      </c>
      <c r="D90" s="497">
        <f>IF(A90="","",TODAY())</f>
        <v/>
      </c>
      <c r="E90" s="489" t="n"/>
      <c r="F90" s="498">
        <f>IF(OR(A90="",E90=""),"",IF(C90="","",C90+E90))</f>
        <v/>
      </c>
      <c r="G90" s="384" t="inlineStr">
        <is>
          <t>Agent 06</t>
        </is>
      </c>
      <c r="H90" s="491" t="n"/>
      <c r="I90" s="499">
        <f>IF(A90="","Pending",IF(H90="","⚠️ Enter Code",IF(IFERROR(VLOOKUP(G90,DB_Agents!$B:$I,8,0),"")=H90,IF(AND(A90&lt;&gt;"",E90&lt;&gt;""),"Saved","Pending"),"🔒 BLOCKED — Wrong Code")))</f>
        <v/>
      </c>
      <c r="J90" s="500">
        <f>IF(I90="Saved",TEXT(TODAY(),"YYYY-MM-DD")&amp;" Auto","—")</f>
        <v/>
      </c>
      <c r="K90" s="501" t="n"/>
    </row>
    <row r="91" ht="15" customHeight="1" s="341">
      <c r="A91" s="486" t="n"/>
      <c r="B91" s="378">
        <f>IF(A91="","",IFERROR(VLOOKUP(A91,DB_Customers!$A:$D,4,0),"❌ Account Not Found"))</f>
        <v/>
      </c>
      <c r="C91" s="487">
        <f>IF(A91="","",IFERROR(VLOOKUP(A91,DB_Customers!$A:$N,14,0),""))</f>
        <v/>
      </c>
      <c r="D91" s="488">
        <f>IF(A91="","",TODAY())</f>
        <v/>
      </c>
      <c r="E91" s="489" t="n"/>
      <c r="F91" s="490">
        <f>IF(OR(A91="",E91=""),"",IF(C91="","",C91+E91))</f>
        <v/>
      </c>
      <c r="G91" s="380" t="inlineStr">
        <is>
          <t>Agent 06</t>
        </is>
      </c>
      <c r="H91" s="491" t="n"/>
      <c r="I91" s="492">
        <f>IF(A91="","Pending",IF(H91="","⚠️ Enter Code",IF(IFERROR(VLOOKUP(G91,DB_Agents!$B:$I,8,0),"")=H91,IF(AND(A91&lt;&gt;"",E91&lt;&gt;""),"Saved","Pending"),"🔒 BLOCKED — Wrong Code")))</f>
        <v/>
      </c>
      <c r="J91" s="493">
        <f>IF(I91="Saved",TEXT(TODAY(),"YYYY-MM-DD")&amp;" Auto","—")</f>
        <v/>
      </c>
      <c r="K91" s="494" t="n"/>
    </row>
    <row r="92" ht="15" customHeight="1" s="341">
      <c r="A92" s="495" t="n"/>
      <c r="B92" s="382">
        <f>IF(A92="","",IFERROR(VLOOKUP(A92,DB_Customers!$A:$D,4,0),"❌ Account Not Found"))</f>
        <v/>
      </c>
      <c r="C92" s="496">
        <f>IF(A92="","",IFERROR(VLOOKUP(A92,DB_Customers!$A:$N,14,0),""))</f>
        <v/>
      </c>
      <c r="D92" s="497">
        <f>IF(A92="","",TODAY())</f>
        <v/>
      </c>
      <c r="E92" s="489" t="n"/>
      <c r="F92" s="498">
        <f>IF(OR(A92="",E92=""),"",IF(C92="","",C92+E92))</f>
        <v/>
      </c>
      <c r="G92" s="384" t="inlineStr">
        <is>
          <t>Agent 06</t>
        </is>
      </c>
      <c r="H92" s="491" t="n"/>
      <c r="I92" s="499">
        <f>IF(A92="","Pending",IF(H92="","⚠️ Enter Code",IF(IFERROR(VLOOKUP(G92,DB_Agents!$B:$I,8,0),"")=H92,IF(AND(A92&lt;&gt;"",E92&lt;&gt;""),"Saved","Pending"),"🔒 BLOCKED — Wrong Code")))</f>
        <v/>
      </c>
      <c r="J92" s="500">
        <f>IF(I92="Saved",TEXT(TODAY(),"YYYY-MM-DD")&amp;" Auto","—")</f>
        <v/>
      </c>
      <c r="K92" s="501" t="n"/>
    </row>
    <row r="93" ht="15" customHeight="1" s="341">
      <c r="A93" s="486" t="n"/>
      <c r="B93" s="378">
        <f>IF(A93="","",IFERROR(VLOOKUP(A93,DB_Customers!$A:$D,4,0),"❌ Account Not Found"))</f>
        <v/>
      </c>
      <c r="C93" s="487">
        <f>IF(A93="","",IFERROR(VLOOKUP(A93,DB_Customers!$A:$N,14,0),""))</f>
        <v/>
      </c>
      <c r="D93" s="488">
        <f>IF(A93="","",TODAY())</f>
        <v/>
      </c>
      <c r="E93" s="489" t="n"/>
      <c r="F93" s="490">
        <f>IF(OR(A93="",E93=""),"",IF(C93="","",C93+E93))</f>
        <v/>
      </c>
      <c r="G93" s="380" t="inlineStr">
        <is>
          <t>Agent 06</t>
        </is>
      </c>
      <c r="H93" s="491" t="n"/>
      <c r="I93" s="492">
        <f>IF(A93="","Pending",IF(H93="","⚠️ Enter Code",IF(IFERROR(VLOOKUP(G93,DB_Agents!$B:$I,8,0),"")=H93,IF(AND(A93&lt;&gt;"",E93&lt;&gt;""),"Saved","Pending"),"🔒 BLOCKED — Wrong Code")))</f>
        <v/>
      </c>
      <c r="J93" s="493">
        <f>IF(I93="Saved",TEXT(TODAY(),"YYYY-MM-DD")&amp;" Auto","—")</f>
        <v/>
      </c>
      <c r="K93" s="494" t="n"/>
    </row>
    <row r="94" ht="15" customHeight="1" s="341">
      <c r="A94" s="495" t="n"/>
      <c r="B94" s="382">
        <f>IF(A94="","",IFERROR(VLOOKUP(A94,DB_Customers!$A:$D,4,0),"❌ Account Not Found"))</f>
        <v/>
      </c>
      <c r="C94" s="496">
        <f>IF(A94="","",IFERROR(VLOOKUP(A94,DB_Customers!$A:$N,14,0),""))</f>
        <v/>
      </c>
      <c r="D94" s="497">
        <f>IF(A94="","",TODAY())</f>
        <v/>
      </c>
      <c r="E94" s="489" t="n"/>
      <c r="F94" s="498">
        <f>IF(OR(A94="",E94=""),"",IF(C94="","",C94+E94))</f>
        <v/>
      </c>
      <c r="G94" s="384" t="inlineStr">
        <is>
          <t>Agent 06</t>
        </is>
      </c>
      <c r="H94" s="491" t="n"/>
      <c r="I94" s="499">
        <f>IF(A94="","Pending",IF(H94="","⚠️ Enter Code",IF(IFERROR(VLOOKUP(G94,DB_Agents!$B:$I,8,0),"")=H94,IF(AND(A94&lt;&gt;"",E94&lt;&gt;""),"Saved","Pending"),"🔒 BLOCKED — Wrong Code")))</f>
        <v/>
      </c>
      <c r="J94" s="500">
        <f>IF(I94="Saved",TEXT(TODAY(),"YYYY-MM-DD")&amp;" Auto","—")</f>
        <v/>
      </c>
      <c r="K94" s="501" t="n"/>
    </row>
    <row r="95" ht="15" customHeight="1" s="341">
      <c r="A95" s="486" t="n"/>
      <c r="B95" s="378">
        <f>IF(A95="","",IFERROR(VLOOKUP(A95,DB_Customers!$A:$D,4,0),"❌ Account Not Found"))</f>
        <v/>
      </c>
      <c r="C95" s="487">
        <f>IF(A95="","",IFERROR(VLOOKUP(A95,DB_Customers!$A:$N,14,0),""))</f>
        <v/>
      </c>
      <c r="D95" s="488">
        <f>IF(A95="","",TODAY())</f>
        <v/>
      </c>
      <c r="E95" s="489" t="n"/>
      <c r="F95" s="490">
        <f>IF(OR(A95="",E95=""),"",IF(C95="","",C95+E95))</f>
        <v/>
      </c>
      <c r="G95" s="380" t="inlineStr">
        <is>
          <t>Agent 06</t>
        </is>
      </c>
      <c r="H95" s="491" t="n"/>
      <c r="I95" s="492">
        <f>IF(A95="","Pending",IF(H95="","⚠️ Enter Code",IF(IFERROR(VLOOKUP(G95,DB_Agents!$B:$I,8,0),"")=H95,IF(AND(A95&lt;&gt;"",E95&lt;&gt;""),"Saved","Pending"),"🔒 BLOCKED — Wrong Code")))</f>
        <v/>
      </c>
      <c r="J95" s="493">
        <f>IF(I95="Saved",TEXT(TODAY(),"YYYY-MM-DD")&amp;" Auto","—")</f>
        <v/>
      </c>
      <c r="K95" s="494" t="n"/>
    </row>
    <row r="96" ht="15" customHeight="1" s="341">
      <c r="A96" s="495" t="n"/>
      <c r="B96" s="382">
        <f>IF(A96="","",IFERROR(VLOOKUP(A96,DB_Customers!$A:$D,4,0),"❌ Account Not Found"))</f>
        <v/>
      </c>
      <c r="C96" s="496">
        <f>IF(A96="","",IFERROR(VLOOKUP(A96,DB_Customers!$A:$N,14,0),""))</f>
        <v/>
      </c>
      <c r="D96" s="497">
        <f>IF(A96="","",TODAY())</f>
        <v/>
      </c>
      <c r="E96" s="489" t="n"/>
      <c r="F96" s="498">
        <f>IF(OR(A96="",E96=""),"",IF(C96="","",C96+E96))</f>
        <v/>
      </c>
      <c r="G96" s="384" t="inlineStr">
        <is>
          <t>Agent 06</t>
        </is>
      </c>
      <c r="H96" s="491" t="n"/>
      <c r="I96" s="499">
        <f>IF(A96="","Pending",IF(H96="","⚠️ Enter Code",IF(IFERROR(VLOOKUP(G96,DB_Agents!$B:$I,8,0),"")=H96,IF(AND(A96&lt;&gt;"",E96&lt;&gt;""),"Saved","Pending"),"🔒 BLOCKED — Wrong Code")))</f>
        <v/>
      </c>
      <c r="J96" s="500">
        <f>IF(I96="Saved",TEXT(TODAY(),"YYYY-MM-DD")&amp;" Auto","—")</f>
        <v/>
      </c>
      <c r="K96" s="501" t="n"/>
    </row>
    <row r="97" ht="15" customHeight="1" s="341">
      <c r="A97" s="486" t="n"/>
      <c r="B97" s="378">
        <f>IF(A97="","",IFERROR(VLOOKUP(A97,DB_Customers!$A:$D,4,0),"❌ Account Not Found"))</f>
        <v/>
      </c>
      <c r="C97" s="487">
        <f>IF(A97="","",IFERROR(VLOOKUP(A97,DB_Customers!$A:$N,14,0),""))</f>
        <v/>
      </c>
      <c r="D97" s="488">
        <f>IF(A97="","",TODAY())</f>
        <v/>
      </c>
      <c r="E97" s="489" t="n"/>
      <c r="F97" s="490">
        <f>IF(OR(A97="",E97=""),"",IF(C97="","",C97+E97))</f>
        <v/>
      </c>
      <c r="G97" s="380" t="inlineStr">
        <is>
          <t>Agent 06</t>
        </is>
      </c>
      <c r="H97" s="491" t="n"/>
      <c r="I97" s="492">
        <f>IF(A97="","Pending",IF(H97="","⚠️ Enter Code",IF(IFERROR(VLOOKUP(G97,DB_Agents!$B:$I,8,0),"")=H97,IF(AND(A97&lt;&gt;"",E97&lt;&gt;""),"Saved","Pending"),"🔒 BLOCKED — Wrong Code")))</f>
        <v/>
      </c>
      <c r="J97" s="493">
        <f>IF(I97="Saved",TEXT(TODAY(),"YYYY-MM-DD")&amp;" Auto","—")</f>
        <v/>
      </c>
      <c r="K97" s="494" t="n"/>
    </row>
    <row r="98" ht="15" customHeight="1" s="341">
      <c r="A98" s="495" t="n"/>
      <c r="B98" s="382">
        <f>IF(A98="","",IFERROR(VLOOKUP(A98,DB_Customers!$A:$D,4,0),"❌ Account Not Found"))</f>
        <v/>
      </c>
      <c r="C98" s="496">
        <f>IF(A98="","",IFERROR(VLOOKUP(A98,DB_Customers!$A:$N,14,0),""))</f>
        <v/>
      </c>
      <c r="D98" s="497">
        <f>IF(A98="","",TODAY())</f>
        <v/>
      </c>
      <c r="E98" s="489" t="n"/>
      <c r="F98" s="498">
        <f>IF(OR(A98="",E98=""),"",IF(C98="","",C98+E98))</f>
        <v/>
      </c>
      <c r="G98" s="384" t="inlineStr">
        <is>
          <t>Agent 06</t>
        </is>
      </c>
      <c r="H98" s="491" t="n"/>
      <c r="I98" s="499">
        <f>IF(A98="","Pending",IF(H98="","⚠️ Enter Code",IF(IFERROR(VLOOKUP(G98,DB_Agents!$B:$I,8,0),"")=H98,IF(AND(A98&lt;&gt;"",E98&lt;&gt;""),"Saved","Pending"),"🔒 BLOCKED — Wrong Code")))</f>
        <v/>
      </c>
      <c r="J98" s="500">
        <f>IF(I98="Saved",TEXT(TODAY(),"YYYY-MM-DD")&amp;" Auto","—")</f>
        <v/>
      </c>
      <c r="K98" s="501" t="n"/>
    </row>
    <row r="99" ht="15" customHeight="1" s="341">
      <c r="A99" s="486" t="n"/>
      <c r="B99" s="378">
        <f>IF(A99="","",IFERROR(VLOOKUP(A99,DB_Customers!$A:$D,4,0),"❌ Account Not Found"))</f>
        <v/>
      </c>
      <c r="C99" s="487">
        <f>IF(A99="","",IFERROR(VLOOKUP(A99,DB_Customers!$A:$N,14,0),""))</f>
        <v/>
      </c>
      <c r="D99" s="488">
        <f>IF(A99="","",TODAY())</f>
        <v/>
      </c>
      <c r="E99" s="489" t="n"/>
      <c r="F99" s="490">
        <f>IF(OR(A99="",E99=""),"",IF(C99="","",C99+E99))</f>
        <v/>
      </c>
      <c r="G99" s="380" t="inlineStr">
        <is>
          <t>Agent 06</t>
        </is>
      </c>
      <c r="H99" s="491" t="n"/>
      <c r="I99" s="492">
        <f>IF(A99="","Pending",IF(H99="","⚠️ Enter Code",IF(IFERROR(VLOOKUP(G99,DB_Agents!$B:$I,8,0),"")=H99,IF(AND(A99&lt;&gt;"",E99&lt;&gt;""),"Saved","Pending"),"🔒 BLOCKED — Wrong Code")))</f>
        <v/>
      </c>
      <c r="J99" s="493">
        <f>IF(I99="Saved",TEXT(TODAY(),"YYYY-MM-DD")&amp;" Auto","—")</f>
        <v/>
      </c>
      <c r="K99" s="494" t="n"/>
    </row>
    <row r="100" ht="15" customHeight="1" s="341">
      <c r="A100" s="495" t="n"/>
      <c r="B100" s="382">
        <f>IF(A100="","",IFERROR(VLOOKUP(A100,DB_Customers!$A:$D,4,0),"❌ Account Not Found"))</f>
        <v/>
      </c>
      <c r="C100" s="496">
        <f>IF(A100="","",IFERROR(VLOOKUP(A100,DB_Customers!$A:$N,14,0),""))</f>
        <v/>
      </c>
      <c r="D100" s="497">
        <f>IF(A100="","",TODAY())</f>
        <v/>
      </c>
      <c r="E100" s="489" t="n"/>
      <c r="F100" s="498">
        <f>IF(OR(A100="",E100=""),"",IF(C100="","",C100+E100))</f>
        <v/>
      </c>
      <c r="G100" s="384" t="inlineStr">
        <is>
          <t>Agent 06</t>
        </is>
      </c>
      <c r="H100" s="491" t="n"/>
      <c r="I100" s="499">
        <f>IF(A100="","Pending",IF(H100="","⚠️ Enter Code",IF(IFERROR(VLOOKUP(G100,DB_Agents!$B:$I,8,0),"")=H100,IF(AND(A100&lt;&gt;"",E100&lt;&gt;""),"Saved","Pending"),"🔒 BLOCKED — Wrong Code")))</f>
        <v/>
      </c>
      <c r="J100" s="500">
        <f>IF(I100="Saved",TEXT(TODAY(),"YYYY-MM-DD")&amp;" Auto","—")</f>
        <v/>
      </c>
      <c r="K100" s="501" t="n"/>
    </row>
    <row r="101" ht="15" customHeight="1" s="341">
      <c r="A101" s="486" t="n"/>
      <c r="B101" s="378">
        <f>IF(A101="","",IFERROR(VLOOKUP(A101,DB_Customers!$A:$D,4,0),"❌ Account Not Found"))</f>
        <v/>
      </c>
      <c r="C101" s="487">
        <f>IF(A101="","",IFERROR(VLOOKUP(A101,DB_Customers!$A:$N,14,0),""))</f>
        <v/>
      </c>
      <c r="D101" s="488">
        <f>IF(A101="","",TODAY())</f>
        <v/>
      </c>
      <c r="E101" s="489" t="n"/>
      <c r="F101" s="490">
        <f>IF(OR(A101="",E101=""),"",IF(C101="","",C101+E101))</f>
        <v/>
      </c>
      <c r="G101" s="380" t="inlineStr">
        <is>
          <t>Agent 06</t>
        </is>
      </c>
      <c r="H101" s="491" t="n"/>
      <c r="I101" s="492">
        <f>IF(A101="","Pending",IF(H101="","⚠️ Enter Code",IF(IFERROR(VLOOKUP(G101,DB_Agents!$B:$I,8,0),"")=H101,IF(AND(A101&lt;&gt;"",E101&lt;&gt;""),"Saved","Pending"),"🔒 BLOCKED — Wrong Code")))</f>
        <v/>
      </c>
      <c r="J101" s="493">
        <f>IF(I101="Saved",TEXT(TODAY(),"YYYY-MM-DD")&amp;" Auto","—")</f>
        <v/>
      </c>
      <c r="K101" s="494" t="n"/>
    </row>
    <row r="102" ht="15" customHeight="1" s="341">
      <c r="A102" s="495" t="n"/>
      <c r="B102" s="382">
        <f>IF(A102="","",IFERROR(VLOOKUP(A102,DB_Customers!$A:$D,4,0),"❌ Account Not Found"))</f>
        <v/>
      </c>
      <c r="C102" s="496">
        <f>IF(A102="","",IFERROR(VLOOKUP(A102,DB_Customers!$A:$N,14,0),""))</f>
        <v/>
      </c>
      <c r="D102" s="497">
        <f>IF(A102="","",TODAY())</f>
        <v/>
      </c>
      <c r="E102" s="489" t="n"/>
      <c r="F102" s="498">
        <f>IF(OR(A102="",E102=""),"",IF(C102="","",C102+E102))</f>
        <v/>
      </c>
      <c r="G102" s="384" t="inlineStr">
        <is>
          <t>Agent 06</t>
        </is>
      </c>
      <c r="H102" s="491" t="n"/>
      <c r="I102" s="499">
        <f>IF(A102="","Pending",IF(H102="","⚠️ Enter Code",IF(IFERROR(VLOOKUP(G102,DB_Agents!$B:$I,8,0),"")=H102,IF(AND(A102&lt;&gt;"",E102&lt;&gt;""),"Saved","Pending"),"🔒 BLOCKED — Wrong Code")))</f>
        <v/>
      </c>
      <c r="J102" s="500">
        <f>IF(I102="Saved",TEXT(TODAY(),"YYYY-MM-DD")&amp;" Auto","—")</f>
        <v/>
      </c>
      <c r="K102" s="501" t="n"/>
    </row>
    <row r="103" ht="15" customHeight="1" s="341">
      <c r="A103" s="486" t="n"/>
      <c r="B103" s="378">
        <f>IF(A103="","",IFERROR(VLOOKUP(A103,DB_Customers!$A:$D,4,0),"❌ Account Not Found"))</f>
        <v/>
      </c>
      <c r="C103" s="487">
        <f>IF(A103="","",IFERROR(VLOOKUP(A103,DB_Customers!$A:$N,14,0),""))</f>
        <v/>
      </c>
      <c r="D103" s="488">
        <f>IF(A103="","",TODAY())</f>
        <v/>
      </c>
      <c r="E103" s="489" t="n"/>
      <c r="F103" s="490">
        <f>IF(OR(A103="",E103=""),"",IF(C103="","",C103+E103))</f>
        <v/>
      </c>
      <c r="G103" s="380" t="inlineStr">
        <is>
          <t>Agent 06</t>
        </is>
      </c>
      <c r="H103" s="491" t="n"/>
      <c r="I103" s="492">
        <f>IF(A103="","Pending",IF(H103="","⚠️ Enter Code",IF(IFERROR(VLOOKUP(G103,DB_Agents!$B:$I,8,0),"")=H103,IF(AND(A103&lt;&gt;"",E103&lt;&gt;""),"Saved","Pending"),"🔒 BLOCKED — Wrong Code")))</f>
        <v/>
      </c>
      <c r="J103" s="493">
        <f>IF(I103="Saved",TEXT(TODAY(),"YYYY-MM-DD")&amp;" Auto","—")</f>
        <v/>
      </c>
      <c r="K103" s="494" t="n"/>
    </row>
    <row r="104" ht="15" customHeight="1" s="341">
      <c r="A104" s="495" t="n"/>
      <c r="B104" s="382">
        <f>IF(A104="","",IFERROR(VLOOKUP(A104,DB_Customers!$A:$D,4,0),"❌ Account Not Found"))</f>
        <v/>
      </c>
      <c r="C104" s="496">
        <f>IF(A104="","",IFERROR(VLOOKUP(A104,DB_Customers!$A:$N,14,0),""))</f>
        <v/>
      </c>
      <c r="D104" s="497">
        <f>IF(A104="","",TODAY())</f>
        <v/>
      </c>
      <c r="E104" s="489" t="n"/>
      <c r="F104" s="498">
        <f>IF(OR(A104="",E104=""),"",IF(C104="","",C104+E104))</f>
        <v/>
      </c>
      <c r="G104" s="384" t="inlineStr">
        <is>
          <t>Agent 06</t>
        </is>
      </c>
      <c r="H104" s="491" t="n"/>
      <c r="I104" s="499">
        <f>IF(A104="","Pending",IF(H104="","⚠️ Enter Code",IF(IFERROR(VLOOKUP(G104,DB_Agents!$B:$I,8,0),"")=H104,IF(AND(A104&lt;&gt;"",E104&lt;&gt;""),"Saved","Pending"),"🔒 BLOCKED — Wrong Code")))</f>
        <v/>
      </c>
      <c r="J104" s="500">
        <f>IF(I104="Saved",TEXT(TODAY(),"YYYY-MM-DD")&amp;" Auto","—")</f>
        <v/>
      </c>
      <c r="K104" s="501" t="n"/>
    </row>
    <row r="105" ht="15" customHeight="1" s="341">
      <c r="A105" s="486" t="n"/>
      <c r="B105" s="378">
        <f>IF(A105="","",IFERROR(VLOOKUP(A105,DB_Customers!$A:$D,4,0),"❌ Account Not Found"))</f>
        <v/>
      </c>
      <c r="C105" s="487">
        <f>IF(A105="","",IFERROR(VLOOKUP(A105,DB_Customers!$A:$N,14,0),""))</f>
        <v/>
      </c>
      <c r="D105" s="488">
        <f>IF(A105="","",TODAY())</f>
        <v/>
      </c>
      <c r="E105" s="489" t="n"/>
      <c r="F105" s="490">
        <f>IF(OR(A105="",E105=""),"",IF(C105="","",C105+E105))</f>
        <v/>
      </c>
      <c r="G105" s="380" t="inlineStr">
        <is>
          <t>Agent 06</t>
        </is>
      </c>
      <c r="H105" s="491" t="n"/>
      <c r="I105" s="492">
        <f>IF(A105="","Pending",IF(H105="","⚠️ Enter Code",IF(IFERROR(VLOOKUP(G105,DB_Agents!$B:$I,8,0),"")=H105,IF(AND(A105&lt;&gt;"",E105&lt;&gt;""),"Saved","Pending"),"🔒 BLOCKED — Wrong Code")))</f>
        <v/>
      </c>
      <c r="J105" s="493">
        <f>IF(I105="Saved",TEXT(TODAY(),"YYYY-MM-DD")&amp;" Auto","—")</f>
        <v/>
      </c>
      <c r="K105" s="494" t="n"/>
    </row>
    <row r="106" ht="15" customHeight="1" s="341">
      <c r="A106" s="495" t="n"/>
      <c r="B106" s="382">
        <f>IF(A106="","",IFERROR(VLOOKUP(A106,DB_Customers!$A:$D,4,0),"❌ Account Not Found"))</f>
        <v/>
      </c>
      <c r="C106" s="496">
        <f>IF(A106="","",IFERROR(VLOOKUP(A106,DB_Customers!$A:$N,14,0),""))</f>
        <v/>
      </c>
      <c r="D106" s="497">
        <f>IF(A106="","",TODAY())</f>
        <v/>
      </c>
      <c r="E106" s="489" t="n"/>
      <c r="F106" s="498">
        <f>IF(OR(A106="",E106=""),"",IF(C106="","",C106+E106))</f>
        <v/>
      </c>
      <c r="G106" s="384" t="inlineStr">
        <is>
          <t>Agent 06</t>
        </is>
      </c>
      <c r="H106" s="491" t="n"/>
      <c r="I106" s="499">
        <f>IF(A106="","Pending",IF(H106="","⚠️ Enter Code",IF(IFERROR(VLOOKUP(G106,DB_Agents!$B:$I,8,0),"")=H106,IF(AND(A106&lt;&gt;"",E106&lt;&gt;""),"Saved","Pending"),"🔒 BLOCKED — Wrong Code")))</f>
        <v/>
      </c>
      <c r="J106" s="500">
        <f>IF(I106="Saved",TEXT(TODAY(),"YYYY-MM-DD")&amp;" Auto","—")</f>
        <v/>
      </c>
      <c r="K106" s="501" t="n"/>
    </row>
    <row r="107" ht="15" customHeight="1" s="341">
      <c r="A107" s="486" t="n"/>
      <c r="B107" s="378">
        <f>IF(A107="","",IFERROR(VLOOKUP(A107,DB_Customers!$A:$D,4,0),"❌ Account Not Found"))</f>
        <v/>
      </c>
      <c r="C107" s="487">
        <f>IF(A107="","",IFERROR(VLOOKUP(A107,DB_Customers!$A:$N,14,0),""))</f>
        <v/>
      </c>
      <c r="D107" s="488">
        <f>IF(A107="","",TODAY())</f>
        <v/>
      </c>
      <c r="E107" s="489" t="n"/>
      <c r="F107" s="490">
        <f>IF(OR(A107="",E107=""),"",IF(C107="","",C107+E107))</f>
        <v/>
      </c>
      <c r="G107" s="380" t="inlineStr">
        <is>
          <t>Agent 06</t>
        </is>
      </c>
      <c r="H107" s="491" t="n"/>
      <c r="I107" s="492">
        <f>IF(A107="","Pending",IF(H107="","⚠️ Enter Code",IF(IFERROR(VLOOKUP(G107,DB_Agents!$B:$I,8,0),"")=H107,IF(AND(A107&lt;&gt;"",E107&lt;&gt;""),"Saved","Pending"),"🔒 BLOCKED — Wrong Code")))</f>
        <v/>
      </c>
      <c r="J107" s="493">
        <f>IF(I107="Saved",TEXT(TODAY(),"YYYY-MM-DD")&amp;" Auto","—")</f>
        <v/>
      </c>
      <c r="K107" s="494" t="n"/>
    </row>
    <row r="108" ht="15" customHeight="1" s="341">
      <c r="A108" s="495" t="n"/>
      <c r="B108" s="382">
        <f>IF(A108="","",IFERROR(VLOOKUP(A108,DB_Customers!$A:$D,4,0),"❌ Account Not Found"))</f>
        <v/>
      </c>
      <c r="C108" s="496">
        <f>IF(A108="","",IFERROR(VLOOKUP(A108,DB_Customers!$A:$N,14,0),""))</f>
        <v/>
      </c>
      <c r="D108" s="497">
        <f>IF(A108="","",TODAY())</f>
        <v/>
      </c>
      <c r="E108" s="489" t="n"/>
      <c r="F108" s="498">
        <f>IF(OR(A108="",E108=""),"",IF(C108="","",C108+E108))</f>
        <v/>
      </c>
      <c r="G108" s="384" t="inlineStr">
        <is>
          <t>Agent 06</t>
        </is>
      </c>
      <c r="H108" s="491" t="n"/>
      <c r="I108" s="499">
        <f>IF(A108="","Pending",IF(H108="","⚠️ Enter Code",IF(IFERROR(VLOOKUP(G108,DB_Agents!$B:$I,8,0),"")=H108,IF(AND(A108&lt;&gt;"",E108&lt;&gt;""),"Saved","Pending"),"🔒 BLOCKED — Wrong Code")))</f>
        <v/>
      </c>
      <c r="J108" s="500">
        <f>IF(I108="Saved",TEXT(TODAY(),"YYYY-MM-DD")&amp;" Auto","—")</f>
        <v/>
      </c>
      <c r="K108" s="501" t="n"/>
    </row>
    <row r="109" ht="15" customHeight="1" s="341">
      <c r="A109" s="486" t="n"/>
      <c r="B109" s="378">
        <f>IF(A109="","",IFERROR(VLOOKUP(A109,DB_Customers!$A:$D,4,0),"❌ Account Not Found"))</f>
        <v/>
      </c>
      <c r="C109" s="487">
        <f>IF(A109="","",IFERROR(VLOOKUP(A109,DB_Customers!$A:$N,14,0),""))</f>
        <v/>
      </c>
      <c r="D109" s="488">
        <f>IF(A109="","",TODAY())</f>
        <v/>
      </c>
      <c r="E109" s="489" t="n"/>
      <c r="F109" s="490">
        <f>IF(OR(A109="",E109=""),"",IF(C109="","",C109+E109))</f>
        <v/>
      </c>
      <c r="G109" s="380" t="inlineStr">
        <is>
          <t>Agent 06</t>
        </is>
      </c>
      <c r="H109" s="491" t="n"/>
      <c r="I109" s="492">
        <f>IF(A109="","Pending",IF(H109="","⚠️ Enter Code",IF(IFERROR(VLOOKUP(G109,DB_Agents!$B:$I,8,0),"")=H109,IF(AND(A109&lt;&gt;"",E109&lt;&gt;""),"Saved","Pending"),"🔒 BLOCKED — Wrong Code")))</f>
        <v/>
      </c>
      <c r="J109" s="493">
        <f>IF(I109="Saved",TEXT(TODAY(),"YYYY-MM-DD")&amp;" Auto","—")</f>
        <v/>
      </c>
      <c r="K109" s="494" t="n"/>
    </row>
    <row r="110" ht="15" customHeight="1" s="341">
      <c r="A110" s="495" t="n"/>
      <c r="B110" s="382">
        <f>IF(A110="","",IFERROR(VLOOKUP(A110,DB_Customers!$A:$D,4,0),"❌ Account Not Found"))</f>
        <v/>
      </c>
      <c r="C110" s="496">
        <f>IF(A110="","",IFERROR(VLOOKUP(A110,DB_Customers!$A:$N,14,0),""))</f>
        <v/>
      </c>
      <c r="D110" s="497">
        <f>IF(A110="","",TODAY())</f>
        <v/>
      </c>
      <c r="E110" s="489" t="n"/>
      <c r="F110" s="498">
        <f>IF(OR(A110="",E110=""),"",IF(C110="","",C110+E110))</f>
        <v/>
      </c>
      <c r="G110" s="384" t="inlineStr">
        <is>
          <t>Agent 06</t>
        </is>
      </c>
      <c r="H110" s="491" t="n"/>
      <c r="I110" s="499">
        <f>IF(A110="","Pending",IF(H110="","⚠️ Enter Code",IF(IFERROR(VLOOKUP(G110,DB_Agents!$B:$I,8,0),"")=H110,IF(AND(A110&lt;&gt;"",E110&lt;&gt;""),"Saved","Pending"),"🔒 BLOCKED — Wrong Code")))</f>
        <v/>
      </c>
      <c r="J110" s="500">
        <f>IF(I110="Saved",TEXT(TODAY(),"YYYY-MM-DD")&amp;" Auto","—")</f>
        <v/>
      </c>
      <c r="K110" s="501" t="n"/>
    </row>
    <row r="111" ht="15" customHeight="1" s="341">
      <c r="A111" s="486" t="n"/>
      <c r="B111" s="378">
        <f>IF(A111="","",IFERROR(VLOOKUP(A111,DB_Customers!$A:$D,4,0),"❌ Account Not Found"))</f>
        <v/>
      </c>
      <c r="C111" s="487">
        <f>IF(A111="","",IFERROR(VLOOKUP(A111,DB_Customers!$A:$N,14,0),""))</f>
        <v/>
      </c>
      <c r="D111" s="488">
        <f>IF(A111="","",TODAY())</f>
        <v/>
      </c>
      <c r="E111" s="489" t="n"/>
      <c r="F111" s="490">
        <f>IF(OR(A111="",E111=""),"",IF(C111="","",C111+E111))</f>
        <v/>
      </c>
      <c r="G111" s="380" t="inlineStr">
        <is>
          <t>Agent 06</t>
        </is>
      </c>
      <c r="H111" s="491" t="n"/>
      <c r="I111" s="492">
        <f>IF(A111="","Pending",IF(H111="","⚠️ Enter Code",IF(IFERROR(VLOOKUP(G111,DB_Agents!$B:$I,8,0),"")=H111,IF(AND(A111&lt;&gt;"",E111&lt;&gt;""),"Saved","Pending"),"🔒 BLOCKED — Wrong Code")))</f>
        <v/>
      </c>
      <c r="J111" s="493">
        <f>IF(I111="Saved",TEXT(TODAY(),"YYYY-MM-DD")&amp;" Auto","—")</f>
        <v/>
      </c>
      <c r="K111" s="494" t="n"/>
    </row>
    <row r="112" ht="15" customHeight="1" s="341">
      <c r="A112" s="495" t="n"/>
      <c r="B112" s="382">
        <f>IF(A112="","",IFERROR(VLOOKUP(A112,DB_Customers!$A:$D,4,0),"❌ Account Not Found"))</f>
        <v/>
      </c>
      <c r="C112" s="496">
        <f>IF(A112="","",IFERROR(VLOOKUP(A112,DB_Customers!$A:$N,14,0),""))</f>
        <v/>
      </c>
      <c r="D112" s="497">
        <f>IF(A112="","",TODAY())</f>
        <v/>
      </c>
      <c r="E112" s="489" t="n"/>
      <c r="F112" s="498">
        <f>IF(OR(A112="",E112=""),"",IF(C112="","",C112+E112))</f>
        <v/>
      </c>
      <c r="G112" s="384" t="inlineStr">
        <is>
          <t>Agent 06</t>
        </is>
      </c>
      <c r="H112" s="491" t="n"/>
      <c r="I112" s="499">
        <f>IF(A112="","Pending",IF(H112="","⚠️ Enter Code",IF(IFERROR(VLOOKUP(G112,DB_Agents!$B:$I,8,0),"")=H112,IF(AND(A112&lt;&gt;"",E112&lt;&gt;""),"Saved","Pending"),"🔒 BLOCKED — Wrong Code")))</f>
        <v/>
      </c>
      <c r="J112" s="500">
        <f>IF(I112="Saved",TEXT(TODAY(),"YYYY-MM-DD")&amp;" Auto","—")</f>
        <v/>
      </c>
      <c r="K112" s="501" t="n"/>
    </row>
    <row r="113" ht="15" customHeight="1" s="341">
      <c r="A113" s="486" t="n"/>
      <c r="B113" s="378">
        <f>IF(A113="","",IFERROR(VLOOKUP(A113,DB_Customers!$A:$D,4,0),"❌ Account Not Found"))</f>
        <v/>
      </c>
      <c r="C113" s="487">
        <f>IF(A113="","",IFERROR(VLOOKUP(A113,DB_Customers!$A:$N,14,0),""))</f>
        <v/>
      </c>
      <c r="D113" s="488">
        <f>IF(A113="","",TODAY())</f>
        <v/>
      </c>
      <c r="E113" s="489" t="n"/>
      <c r="F113" s="490">
        <f>IF(OR(A113="",E113=""),"",IF(C113="","",C113+E113))</f>
        <v/>
      </c>
      <c r="G113" s="380" t="inlineStr">
        <is>
          <t>Agent 06</t>
        </is>
      </c>
      <c r="H113" s="491" t="n"/>
      <c r="I113" s="492">
        <f>IF(A113="","Pending",IF(H113="","⚠️ Enter Code",IF(IFERROR(VLOOKUP(G113,DB_Agents!$B:$I,8,0),"")=H113,IF(AND(A113&lt;&gt;"",E113&lt;&gt;""),"Saved","Pending"),"🔒 BLOCKED — Wrong Code")))</f>
        <v/>
      </c>
      <c r="J113" s="493">
        <f>IF(I113="Saved",TEXT(TODAY(),"YYYY-MM-DD")&amp;" Auto","—")</f>
        <v/>
      </c>
      <c r="K113" s="494" t="n"/>
    </row>
    <row r="114" ht="15" customHeight="1" s="341">
      <c r="A114" s="495" t="n"/>
      <c r="B114" s="382">
        <f>IF(A114="","",IFERROR(VLOOKUP(A114,DB_Customers!$A:$D,4,0),"❌ Account Not Found"))</f>
        <v/>
      </c>
      <c r="C114" s="496">
        <f>IF(A114="","",IFERROR(VLOOKUP(A114,DB_Customers!$A:$N,14,0),""))</f>
        <v/>
      </c>
      <c r="D114" s="497">
        <f>IF(A114="","",TODAY())</f>
        <v/>
      </c>
      <c r="E114" s="489" t="n"/>
      <c r="F114" s="498">
        <f>IF(OR(A114="",E114=""),"",IF(C114="","",C114+E114))</f>
        <v/>
      </c>
      <c r="G114" s="384" t="inlineStr">
        <is>
          <t>Agent 06</t>
        </is>
      </c>
      <c r="H114" s="491" t="n"/>
      <c r="I114" s="499">
        <f>IF(A114="","Pending",IF(H114="","⚠️ Enter Code",IF(IFERROR(VLOOKUP(G114,DB_Agents!$B:$I,8,0),"")=H114,IF(AND(A114&lt;&gt;"",E114&lt;&gt;""),"Saved","Pending"),"🔒 BLOCKED — Wrong Code")))</f>
        <v/>
      </c>
      <c r="J114" s="500">
        <f>IF(I114="Saved",TEXT(TODAY(),"YYYY-MM-DD")&amp;" Auto","—")</f>
        <v/>
      </c>
      <c r="K114" s="501" t="n"/>
    </row>
    <row r="115" ht="15" customHeight="1" s="341">
      <c r="A115" s="486" t="n"/>
      <c r="B115" s="378">
        <f>IF(A115="","",IFERROR(VLOOKUP(A115,DB_Customers!$A:$D,4,0),"❌ Account Not Found"))</f>
        <v/>
      </c>
      <c r="C115" s="487">
        <f>IF(A115="","",IFERROR(VLOOKUP(A115,DB_Customers!$A:$N,14,0),""))</f>
        <v/>
      </c>
      <c r="D115" s="488">
        <f>IF(A115="","",TODAY())</f>
        <v/>
      </c>
      <c r="E115" s="489" t="n"/>
      <c r="F115" s="490">
        <f>IF(OR(A115="",E115=""),"",IF(C115="","",C115+E115))</f>
        <v/>
      </c>
      <c r="G115" s="380" t="inlineStr">
        <is>
          <t>Agent 06</t>
        </is>
      </c>
      <c r="H115" s="491" t="n"/>
      <c r="I115" s="492">
        <f>IF(A115="","Pending",IF(H115="","⚠️ Enter Code",IF(IFERROR(VLOOKUP(G115,DB_Agents!$B:$I,8,0),"")=H115,IF(AND(A115&lt;&gt;"",E115&lt;&gt;""),"Saved","Pending"),"🔒 BLOCKED — Wrong Code")))</f>
        <v/>
      </c>
      <c r="J115" s="493">
        <f>IF(I115="Saved",TEXT(TODAY(),"YYYY-MM-DD")&amp;" Auto","—")</f>
        <v/>
      </c>
      <c r="K115" s="494" t="n"/>
    </row>
    <row r="116" ht="15" customHeight="1" s="341">
      <c r="A116" s="495" t="n"/>
      <c r="B116" s="382">
        <f>IF(A116="","",IFERROR(VLOOKUP(A116,DB_Customers!$A:$D,4,0),"❌ Account Not Found"))</f>
        <v/>
      </c>
      <c r="C116" s="496">
        <f>IF(A116="","",IFERROR(VLOOKUP(A116,DB_Customers!$A:$N,14,0),""))</f>
        <v/>
      </c>
      <c r="D116" s="497">
        <f>IF(A116="","",TODAY())</f>
        <v/>
      </c>
      <c r="E116" s="489" t="n"/>
      <c r="F116" s="498">
        <f>IF(OR(A116="",E116=""),"",IF(C116="","",C116+E116))</f>
        <v/>
      </c>
      <c r="G116" s="384" t="inlineStr">
        <is>
          <t>Agent 06</t>
        </is>
      </c>
      <c r="H116" s="491" t="n"/>
      <c r="I116" s="499">
        <f>IF(A116="","Pending",IF(H116="","⚠️ Enter Code",IF(IFERROR(VLOOKUP(G116,DB_Agents!$B:$I,8,0),"")=H116,IF(AND(A116&lt;&gt;"",E116&lt;&gt;""),"Saved","Pending"),"🔒 BLOCKED — Wrong Code")))</f>
        <v/>
      </c>
      <c r="J116" s="500">
        <f>IF(I116="Saved",TEXT(TODAY(),"YYYY-MM-DD")&amp;" Auto","—")</f>
        <v/>
      </c>
      <c r="K116" s="501" t="n"/>
    </row>
    <row r="117" ht="15" customHeight="1" s="341">
      <c r="A117" s="486" t="n"/>
      <c r="B117" s="378">
        <f>IF(A117="","",IFERROR(VLOOKUP(A117,DB_Customers!$A:$D,4,0),"❌ Account Not Found"))</f>
        <v/>
      </c>
      <c r="C117" s="487">
        <f>IF(A117="","",IFERROR(VLOOKUP(A117,DB_Customers!$A:$N,14,0),""))</f>
        <v/>
      </c>
      <c r="D117" s="488">
        <f>IF(A117="","",TODAY())</f>
        <v/>
      </c>
      <c r="E117" s="489" t="n"/>
      <c r="F117" s="490">
        <f>IF(OR(A117="",E117=""),"",IF(C117="","",C117+E117))</f>
        <v/>
      </c>
      <c r="G117" s="380" t="inlineStr">
        <is>
          <t>Agent 06</t>
        </is>
      </c>
      <c r="H117" s="491" t="n"/>
      <c r="I117" s="492">
        <f>IF(A117="","Pending",IF(H117="","⚠️ Enter Code",IF(IFERROR(VLOOKUP(G117,DB_Agents!$B:$I,8,0),"")=H117,IF(AND(A117&lt;&gt;"",E117&lt;&gt;""),"Saved","Pending"),"🔒 BLOCKED — Wrong Code")))</f>
        <v/>
      </c>
      <c r="J117" s="493">
        <f>IF(I117="Saved",TEXT(TODAY(),"YYYY-MM-DD")&amp;" Auto","—")</f>
        <v/>
      </c>
      <c r="K117" s="494" t="n"/>
    </row>
    <row r="118" ht="15" customHeight="1" s="341">
      <c r="A118" s="495" t="n"/>
      <c r="B118" s="382">
        <f>IF(A118="","",IFERROR(VLOOKUP(A118,DB_Customers!$A:$D,4,0),"❌ Account Not Found"))</f>
        <v/>
      </c>
      <c r="C118" s="496">
        <f>IF(A118="","",IFERROR(VLOOKUP(A118,DB_Customers!$A:$N,14,0),""))</f>
        <v/>
      </c>
      <c r="D118" s="497">
        <f>IF(A118="","",TODAY())</f>
        <v/>
      </c>
      <c r="E118" s="489" t="n"/>
      <c r="F118" s="498">
        <f>IF(OR(A118="",E118=""),"",IF(C118="","",C118+E118))</f>
        <v/>
      </c>
      <c r="G118" s="384" t="inlineStr">
        <is>
          <t>Agent 06</t>
        </is>
      </c>
      <c r="H118" s="491" t="n"/>
      <c r="I118" s="499">
        <f>IF(A118="","Pending",IF(H118="","⚠️ Enter Code",IF(IFERROR(VLOOKUP(G118,DB_Agents!$B:$I,8,0),"")=H118,IF(AND(A118&lt;&gt;"",E118&lt;&gt;""),"Saved","Pending"),"🔒 BLOCKED — Wrong Code")))</f>
        <v/>
      </c>
      <c r="J118" s="500">
        <f>IF(I118="Saved",TEXT(TODAY(),"YYYY-MM-DD")&amp;" Auto","—")</f>
        <v/>
      </c>
      <c r="K118" s="501" t="n"/>
    </row>
    <row r="119" ht="15" customHeight="1" s="341">
      <c r="A119" s="486" t="n"/>
      <c r="B119" s="378">
        <f>IF(A119="","",IFERROR(VLOOKUP(A119,DB_Customers!$A:$D,4,0),"❌ Account Not Found"))</f>
        <v/>
      </c>
      <c r="C119" s="487">
        <f>IF(A119="","",IFERROR(VLOOKUP(A119,DB_Customers!$A:$N,14,0),""))</f>
        <v/>
      </c>
      <c r="D119" s="488">
        <f>IF(A119="","",TODAY())</f>
        <v/>
      </c>
      <c r="E119" s="489" t="n"/>
      <c r="F119" s="490">
        <f>IF(OR(A119="",E119=""),"",IF(C119="","",C119+E119))</f>
        <v/>
      </c>
      <c r="G119" s="380" t="inlineStr">
        <is>
          <t>Agent 06</t>
        </is>
      </c>
      <c r="H119" s="491" t="n"/>
      <c r="I119" s="492">
        <f>IF(A119="","Pending",IF(H119="","⚠️ Enter Code",IF(IFERROR(VLOOKUP(G119,DB_Agents!$B:$I,8,0),"")=H119,IF(AND(A119&lt;&gt;"",E119&lt;&gt;""),"Saved","Pending"),"🔒 BLOCKED — Wrong Code")))</f>
        <v/>
      </c>
      <c r="J119" s="493">
        <f>IF(I119="Saved",TEXT(TODAY(),"YYYY-MM-DD")&amp;" Auto","—")</f>
        <v/>
      </c>
      <c r="K119" s="494" t="n"/>
    </row>
    <row r="120" ht="15" customHeight="1" s="341">
      <c r="A120" s="495" t="n"/>
      <c r="B120" s="382">
        <f>IF(A120="","",IFERROR(VLOOKUP(A120,DB_Customers!$A:$D,4,0),"❌ Account Not Found"))</f>
        <v/>
      </c>
      <c r="C120" s="496">
        <f>IF(A120="","",IFERROR(VLOOKUP(A120,DB_Customers!$A:$N,14,0),""))</f>
        <v/>
      </c>
      <c r="D120" s="497">
        <f>IF(A120="","",TODAY())</f>
        <v/>
      </c>
      <c r="E120" s="489" t="n"/>
      <c r="F120" s="498">
        <f>IF(OR(A120="",E120=""),"",IF(C120="","",C120+E120))</f>
        <v/>
      </c>
      <c r="G120" s="384" t="inlineStr">
        <is>
          <t>Agent 06</t>
        </is>
      </c>
      <c r="H120" s="491" t="n"/>
      <c r="I120" s="499">
        <f>IF(A120="","Pending",IF(H120="","⚠️ Enter Code",IF(IFERROR(VLOOKUP(G120,DB_Agents!$B:$I,8,0),"")=H120,IF(AND(A120&lt;&gt;"",E120&lt;&gt;""),"Saved","Pending"),"🔒 BLOCKED — Wrong Code")))</f>
        <v/>
      </c>
      <c r="J120" s="500">
        <f>IF(I120="Saved",TEXT(TODAY(),"YYYY-MM-DD")&amp;" Auto","—")</f>
        <v/>
      </c>
      <c r="K120" s="501" t="n"/>
    </row>
    <row r="121" ht="15" customHeight="1" s="341">
      <c r="A121" s="486" t="n"/>
      <c r="B121" s="378">
        <f>IF(A121="","",IFERROR(VLOOKUP(A121,DB_Customers!$A:$D,4,0),"❌ Account Not Found"))</f>
        <v/>
      </c>
      <c r="C121" s="487">
        <f>IF(A121="","",IFERROR(VLOOKUP(A121,DB_Customers!$A:$N,14,0),""))</f>
        <v/>
      </c>
      <c r="D121" s="488">
        <f>IF(A121="","",TODAY())</f>
        <v/>
      </c>
      <c r="E121" s="489" t="n"/>
      <c r="F121" s="490">
        <f>IF(OR(A121="",E121=""),"",IF(C121="","",C121+E121))</f>
        <v/>
      </c>
      <c r="G121" s="380" t="inlineStr">
        <is>
          <t>Agent 06</t>
        </is>
      </c>
      <c r="H121" s="491" t="n"/>
      <c r="I121" s="492">
        <f>IF(A121="","Pending",IF(H121="","⚠️ Enter Code",IF(IFERROR(VLOOKUP(G121,DB_Agents!$B:$I,8,0),"")=H121,IF(AND(A121&lt;&gt;"",E121&lt;&gt;""),"Saved","Pending"),"🔒 BLOCKED — Wrong Code")))</f>
        <v/>
      </c>
      <c r="J121" s="493">
        <f>IF(I121="Saved",TEXT(TODAY(),"YYYY-MM-DD")&amp;" Auto","—")</f>
        <v/>
      </c>
      <c r="K121" s="494" t="n"/>
    </row>
    <row r="122" ht="15" customHeight="1" s="341">
      <c r="A122" s="495" t="n"/>
      <c r="B122" s="382">
        <f>IF(A122="","",IFERROR(VLOOKUP(A122,DB_Customers!$A:$D,4,0),"❌ Account Not Found"))</f>
        <v/>
      </c>
      <c r="C122" s="496">
        <f>IF(A122="","",IFERROR(VLOOKUP(A122,DB_Customers!$A:$N,14,0),""))</f>
        <v/>
      </c>
      <c r="D122" s="497">
        <f>IF(A122="","",TODAY())</f>
        <v/>
      </c>
      <c r="E122" s="489" t="n"/>
      <c r="F122" s="498">
        <f>IF(OR(A122="",E122=""),"",IF(C122="","",C122+E122))</f>
        <v/>
      </c>
      <c r="G122" s="384" t="inlineStr">
        <is>
          <t>Agent 06</t>
        </is>
      </c>
      <c r="H122" s="491" t="n"/>
      <c r="I122" s="499">
        <f>IF(A122="","Pending",IF(H122="","⚠️ Enter Code",IF(IFERROR(VLOOKUP(G122,DB_Agents!$B:$I,8,0),"")=H122,IF(AND(A122&lt;&gt;"",E122&lt;&gt;""),"Saved","Pending"),"🔒 BLOCKED — Wrong Code")))</f>
        <v/>
      </c>
      <c r="J122" s="500">
        <f>IF(I122="Saved",TEXT(TODAY(),"YYYY-MM-DD")&amp;" Auto","—")</f>
        <v/>
      </c>
      <c r="K122" s="501" t="n"/>
    </row>
    <row r="123" ht="15" customHeight="1" s="341">
      <c r="A123" s="486" t="n"/>
      <c r="B123" s="378">
        <f>IF(A123="","",IFERROR(VLOOKUP(A123,DB_Customers!$A:$D,4,0),"❌ Account Not Found"))</f>
        <v/>
      </c>
      <c r="C123" s="487">
        <f>IF(A123="","",IFERROR(VLOOKUP(A123,DB_Customers!$A:$N,14,0),""))</f>
        <v/>
      </c>
      <c r="D123" s="488">
        <f>IF(A123="","",TODAY())</f>
        <v/>
      </c>
      <c r="E123" s="489" t="n"/>
      <c r="F123" s="490">
        <f>IF(OR(A123="",E123=""),"",IF(C123="","",C123+E123))</f>
        <v/>
      </c>
      <c r="G123" s="380" t="inlineStr">
        <is>
          <t>Agent 06</t>
        </is>
      </c>
      <c r="H123" s="491" t="n"/>
      <c r="I123" s="492">
        <f>IF(A123="","Pending",IF(H123="","⚠️ Enter Code",IF(IFERROR(VLOOKUP(G123,DB_Agents!$B:$I,8,0),"")=H123,IF(AND(A123&lt;&gt;"",E123&lt;&gt;""),"Saved","Pending"),"🔒 BLOCKED — Wrong Code")))</f>
        <v/>
      </c>
      <c r="J123" s="493">
        <f>IF(I123="Saved",TEXT(TODAY(),"YYYY-MM-DD")&amp;" Auto","—")</f>
        <v/>
      </c>
      <c r="K123" s="494" t="n"/>
    </row>
    <row r="124" ht="15" customHeight="1" s="341">
      <c r="A124" s="495" t="n"/>
      <c r="B124" s="382">
        <f>IF(A124="","",IFERROR(VLOOKUP(A124,DB_Customers!$A:$D,4,0),"❌ Account Not Found"))</f>
        <v/>
      </c>
      <c r="C124" s="496">
        <f>IF(A124="","",IFERROR(VLOOKUP(A124,DB_Customers!$A:$N,14,0),""))</f>
        <v/>
      </c>
      <c r="D124" s="497">
        <f>IF(A124="","",TODAY())</f>
        <v/>
      </c>
      <c r="E124" s="489" t="n"/>
      <c r="F124" s="498">
        <f>IF(OR(A124="",E124=""),"",IF(C124="","",C124+E124))</f>
        <v/>
      </c>
      <c r="G124" s="384" t="inlineStr">
        <is>
          <t>Agent 06</t>
        </is>
      </c>
      <c r="H124" s="491" t="n"/>
      <c r="I124" s="499">
        <f>IF(A124="","Pending",IF(H124="","⚠️ Enter Code",IF(IFERROR(VLOOKUP(G124,DB_Agents!$B:$I,8,0),"")=H124,IF(AND(A124&lt;&gt;"",E124&lt;&gt;""),"Saved","Pending"),"🔒 BLOCKED — Wrong Code")))</f>
        <v/>
      </c>
      <c r="J124" s="500">
        <f>IF(I124="Saved",TEXT(TODAY(),"YYYY-MM-DD")&amp;" Auto","—")</f>
        <v/>
      </c>
      <c r="K124" s="501" t="n"/>
    </row>
    <row r="125" ht="15" customHeight="1" s="341">
      <c r="A125" s="486" t="n"/>
      <c r="B125" s="378">
        <f>IF(A125="","",IFERROR(VLOOKUP(A125,DB_Customers!$A:$D,4,0),"❌ Account Not Found"))</f>
        <v/>
      </c>
      <c r="C125" s="487">
        <f>IF(A125="","",IFERROR(VLOOKUP(A125,DB_Customers!$A:$N,14,0),""))</f>
        <v/>
      </c>
      <c r="D125" s="488">
        <f>IF(A125="","",TODAY())</f>
        <v/>
      </c>
      <c r="E125" s="489" t="n"/>
      <c r="F125" s="490">
        <f>IF(OR(A125="",E125=""),"",IF(C125="","",C125+E125))</f>
        <v/>
      </c>
      <c r="G125" s="380" t="inlineStr">
        <is>
          <t>Agent 06</t>
        </is>
      </c>
      <c r="H125" s="491" t="n"/>
      <c r="I125" s="492">
        <f>IF(A125="","Pending",IF(H125="","⚠️ Enter Code",IF(IFERROR(VLOOKUP(G125,DB_Agents!$B:$I,8,0),"")=H125,IF(AND(A125&lt;&gt;"",E125&lt;&gt;""),"Saved","Pending"),"🔒 BLOCKED — Wrong Code")))</f>
        <v/>
      </c>
      <c r="J125" s="493">
        <f>IF(I125="Saved",TEXT(TODAY(),"YYYY-MM-DD")&amp;" Auto","—")</f>
        <v/>
      </c>
      <c r="K125" s="494" t="n"/>
    </row>
    <row r="126" ht="15" customHeight="1" s="341">
      <c r="A126" s="495" t="n"/>
      <c r="B126" s="382">
        <f>IF(A126="","",IFERROR(VLOOKUP(A126,DB_Customers!$A:$D,4,0),"❌ Account Not Found"))</f>
        <v/>
      </c>
      <c r="C126" s="496">
        <f>IF(A126="","",IFERROR(VLOOKUP(A126,DB_Customers!$A:$N,14,0),""))</f>
        <v/>
      </c>
      <c r="D126" s="497">
        <f>IF(A126="","",TODAY())</f>
        <v/>
      </c>
      <c r="E126" s="489" t="n"/>
      <c r="F126" s="498">
        <f>IF(OR(A126="",E126=""),"",IF(C126="","",C126+E126))</f>
        <v/>
      </c>
      <c r="G126" s="384" t="inlineStr">
        <is>
          <t>Agent 06</t>
        </is>
      </c>
      <c r="H126" s="491" t="n"/>
      <c r="I126" s="499">
        <f>IF(A126="","Pending",IF(H126="","⚠️ Enter Code",IF(IFERROR(VLOOKUP(G126,DB_Agents!$B:$I,8,0),"")=H126,IF(AND(A126&lt;&gt;"",E126&lt;&gt;""),"Saved","Pending"),"🔒 BLOCKED — Wrong Code")))</f>
        <v/>
      </c>
      <c r="J126" s="500">
        <f>IF(I126="Saved",TEXT(TODAY(),"YYYY-MM-DD")&amp;" Auto","—")</f>
        <v/>
      </c>
      <c r="K126" s="501" t="n"/>
    </row>
    <row r="127" ht="15" customHeight="1" s="341">
      <c r="A127" s="486" t="n"/>
      <c r="B127" s="378">
        <f>IF(A127="","",IFERROR(VLOOKUP(A127,DB_Customers!$A:$D,4,0),"❌ Account Not Found"))</f>
        <v/>
      </c>
      <c r="C127" s="487">
        <f>IF(A127="","",IFERROR(VLOOKUP(A127,DB_Customers!$A:$N,14,0),""))</f>
        <v/>
      </c>
      <c r="D127" s="488">
        <f>IF(A127="","",TODAY())</f>
        <v/>
      </c>
      <c r="E127" s="489" t="n"/>
      <c r="F127" s="490">
        <f>IF(OR(A127="",E127=""),"",IF(C127="","",C127+E127))</f>
        <v/>
      </c>
      <c r="G127" s="380" t="inlineStr">
        <is>
          <t>Agent 06</t>
        </is>
      </c>
      <c r="H127" s="491" t="n"/>
      <c r="I127" s="492">
        <f>IF(A127="","Pending",IF(H127="","⚠️ Enter Code",IF(IFERROR(VLOOKUP(G127,DB_Agents!$B:$I,8,0),"")=H127,IF(AND(A127&lt;&gt;"",E127&lt;&gt;""),"Saved","Pending"),"🔒 BLOCKED — Wrong Code")))</f>
        <v/>
      </c>
      <c r="J127" s="493">
        <f>IF(I127="Saved",TEXT(TODAY(),"YYYY-MM-DD")&amp;" Auto","—")</f>
        <v/>
      </c>
      <c r="K127" s="494" t="n"/>
    </row>
    <row r="128" ht="15" customHeight="1" s="341">
      <c r="A128" s="495" t="n"/>
      <c r="B128" s="382">
        <f>IF(A128="","",IFERROR(VLOOKUP(A128,DB_Customers!$A:$D,4,0),"❌ Account Not Found"))</f>
        <v/>
      </c>
      <c r="C128" s="496">
        <f>IF(A128="","",IFERROR(VLOOKUP(A128,DB_Customers!$A:$N,14,0),""))</f>
        <v/>
      </c>
      <c r="D128" s="497">
        <f>IF(A128="","",TODAY())</f>
        <v/>
      </c>
      <c r="E128" s="489" t="n"/>
      <c r="F128" s="498">
        <f>IF(OR(A128="",E128=""),"",IF(C128="","",C128+E128))</f>
        <v/>
      </c>
      <c r="G128" s="384" t="inlineStr">
        <is>
          <t>Agent 06</t>
        </is>
      </c>
      <c r="H128" s="491" t="n"/>
      <c r="I128" s="499">
        <f>IF(A128="","Pending",IF(H128="","⚠️ Enter Code",IF(IFERROR(VLOOKUP(G128,DB_Agents!$B:$I,8,0),"")=H128,IF(AND(A128&lt;&gt;"",E128&lt;&gt;""),"Saved","Pending"),"🔒 BLOCKED — Wrong Code")))</f>
        <v/>
      </c>
      <c r="J128" s="500">
        <f>IF(I128="Saved",TEXT(TODAY(),"YYYY-MM-DD")&amp;" Auto","—")</f>
        <v/>
      </c>
      <c r="K128" s="501" t="n"/>
    </row>
    <row r="129" ht="15" customHeight="1" s="341">
      <c r="A129" s="486" t="n"/>
      <c r="B129" s="378">
        <f>IF(A129="","",IFERROR(VLOOKUP(A129,DB_Customers!$A:$D,4,0),"❌ Account Not Found"))</f>
        <v/>
      </c>
      <c r="C129" s="487">
        <f>IF(A129="","",IFERROR(VLOOKUP(A129,DB_Customers!$A:$N,14,0),""))</f>
        <v/>
      </c>
      <c r="D129" s="488">
        <f>IF(A129="","",TODAY())</f>
        <v/>
      </c>
      <c r="E129" s="489" t="n"/>
      <c r="F129" s="490">
        <f>IF(OR(A129="",E129=""),"",IF(C129="","",C129+E129))</f>
        <v/>
      </c>
      <c r="G129" s="380" t="inlineStr">
        <is>
          <t>Agent 06</t>
        </is>
      </c>
      <c r="H129" s="491" t="n"/>
      <c r="I129" s="492">
        <f>IF(A129="","Pending",IF(H129="","⚠️ Enter Code",IF(IFERROR(VLOOKUP(G129,DB_Agents!$B:$I,8,0),"")=H129,IF(AND(A129&lt;&gt;"",E129&lt;&gt;""),"Saved","Pending"),"🔒 BLOCKED — Wrong Code")))</f>
        <v/>
      </c>
      <c r="J129" s="493">
        <f>IF(I129="Saved",TEXT(TODAY(),"YYYY-MM-DD")&amp;" Auto","—")</f>
        <v/>
      </c>
      <c r="K129" s="494" t="n"/>
    </row>
    <row r="130" ht="15" customHeight="1" s="341">
      <c r="A130" s="495" t="n"/>
      <c r="B130" s="382">
        <f>IF(A130="","",IFERROR(VLOOKUP(A130,DB_Customers!$A:$D,4,0),"❌ Account Not Found"))</f>
        <v/>
      </c>
      <c r="C130" s="496">
        <f>IF(A130="","",IFERROR(VLOOKUP(A130,DB_Customers!$A:$N,14,0),""))</f>
        <v/>
      </c>
      <c r="D130" s="497">
        <f>IF(A130="","",TODAY())</f>
        <v/>
      </c>
      <c r="E130" s="489" t="n"/>
      <c r="F130" s="498">
        <f>IF(OR(A130="",E130=""),"",IF(C130="","",C130+E130))</f>
        <v/>
      </c>
      <c r="G130" s="384" t="inlineStr">
        <is>
          <t>Agent 06</t>
        </is>
      </c>
      <c r="H130" s="491" t="n"/>
      <c r="I130" s="499">
        <f>IF(A130="","Pending",IF(H130="","⚠️ Enter Code",IF(IFERROR(VLOOKUP(G130,DB_Agents!$B:$I,8,0),"")=H130,IF(AND(A130&lt;&gt;"",E130&lt;&gt;""),"Saved","Pending"),"🔒 BLOCKED — Wrong Code")))</f>
        <v/>
      </c>
      <c r="J130" s="500">
        <f>IF(I130="Saved",TEXT(TODAY(),"YYYY-MM-DD")&amp;" Auto","—")</f>
        <v/>
      </c>
      <c r="K130" s="501" t="n"/>
    </row>
    <row r="131" ht="15" customHeight="1" s="341">
      <c r="A131" s="486" t="n"/>
      <c r="B131" s="378">
        <f>IF(A131="","",IFERROR(VLOOKUP(A131,DB_Customers!$A:$D,4,0),"❌ Account Not Found"))</f>
        <v/>
      </c>
      <c r="C131" s="487">
        <f>IF(A131="","",IFERROR(VLOOKUP(A131,DB_Customers!$A:$N,14,0),""))</f>
        <v/>
      </c>
      <c r="D131" s="488">
        <f>IF(A131="","",TODAY())</f>
        <v/>
      </c>
      <c r="E131" s="489" t="n"/>
      <c r="F131" s="490">
        <f>IF(OR(A131="",E131=""),"",IF(C131="","",C131+E131))</f>
        <v/>
      </c>
      <c r="G131" s="380" t="inlineStr">
        <is>
          <t>Agent 06</t>
        </is>
      </c>
      <c r="H131" s="491" t="n"/>
      <c r="I131" s="492">
        <f>IF(A131="","Pending",IF(H131="","⚠️ Enter Code",IF(IFERROR(VLOOKUP(G131,DB_Agents!$B:$I,8,0),"")=H131,IF(AND(A131&lt;&gt;"",E131&lt;&gt;""),"Saved","Pending"),"🔒 BLOCKED — Wrong Code")))</f>
        <v/>
      </c>
      <c r="J131" s="493">
        <f>IF(I131="Saved",TEXT(TODAY(),"YYYY-MM-DD")&amp;" Auto","—")</f>
        <v/>
      </c>
      <c r="K131" s="494" t="n"/>
    </row>
    <row r="132" ht="15" customHeight="1" s="341">
      <c r="A132" s="495" t="n"/>
      <c r="B132" s="382">
        <f>IF(A132="","",IFERROR(VLOOKUP(A132,DB_Customers!$A:$D,4,0),"❌ Account Not Found"))</f>
        <v/>
      </c>
      <c r="C132" s="496">
        <f>IF(A132="","",IFERROR(VLOOKUP(A132,DB_Customers!$A:$N,14,0),""))</f>
        <v/>
      </c>
      <c r="D132" s="497">
        <f>IF(A132="","",TODAY())</f>
        <v/>
      </c>
      <c r="E132" s="489" t="n"/>
      <c r="F132" s="498">
        <f>IF(OR(A132="",E132=""),"",IF(C132="","",C132+E132))</f>
        <v/>
      </c>
      <c r="G132" s="384" t="inlineStr">
        <is>
          <t>Agent 06</t>
        </is>
      </c>
      <c r="H132" s="491" t="n"/>
      <c r="I132" s="499">
        <f>IF(A132="","Pending",IF(H132="","⚠️ Enter Code",IF(IFERROR(VLOOKUP(G132,DB_Agents!$B:$I,8,0),"")=H132,IF(AND(A132&lt;&gt;"",E132&lt;&gt;""),"Saved","Pending"),"🔒 BLOCKED — Wrong Code")))</f>
        <v/>
      </c>
      <c r="J132" s="500">
        <f>IF(I132="Saved",TEXT(TODAY(),"YYYY-MM-DD")&amp;" Auto","—")</f>
        <v/>
      </c>
      <c r="K132" s="501" t="n"/>
    </row>
    <row r="133" ht="15" customHeight="1" s="341">
      <c r="A133" s="486" t="n"/>
      <c r="B133" s="378">
        <f>IF(A133="","",IFERROR(VLOOKUP(A133,DB_Customers!$A:$D,4,0),"❌ Account Not Found"))</f>
        <v/>
      </c>
      <c r="C133" s="487">
        <f>IF(A133="","",IFERROR(VLOOKUP(A133,DB_Customers!$A:$N,14,0),""))</f>
        <v/>
      </c>
      <c r="D133" s="488">
        <f>IF(A133="","",TODAY())</f>
        <v/>
      </c>
      <c r="E133" s="489" t="n"/>
      <c r="F133" s="490">
        <f>IF(OR(A133="",E133=""),"",IF(C133="","",C133+E133))</f>
        <v/>
      </c>
      <c r="G133" s="380" t="inlineStr">
        <is>
          <t>Agent 06</t>
        </is>
      </c>
      <c r="H133" s="491" t="n"/>
      <c r="I133" s="492">
        <f>IF(A133="","Pending",IF(H133="","⚠️ Enter Code",IF(IFERROR(VLOOKUP(G133,DB_Agents!$B:$I,8,0),"")=H133,IF(AND(A133&lt;&gt;"",E133&lt;&gt;""),"Saved","Pending"),"🔒 BLOCKED — Wrong Code")))</f>
        <v/>
      </c>
      <c r="J133" s="493">
        <f>IF(I133="Saved",TEXT(TODAY(),"YYYY-MM-DD")&amp;" Auto","—")</f>
        <v/>
      </c>
      <c r="K133" s="494" t="n"/>
    </row>
    <row r="134" ht="15" customHeight="1" s="341">
      <c r="A134" s="495" t="n"/>
      <c r="B134" s="382">
        <f>IF(A134="","",IFERROR(VLOOKUP(A134,DB_Customers!$A:$D,4,0),"❌ Account Not Found"))</f>
        <v/>
      </c>
      <c r="C134" s="496">
        <f>IF(A134="","",IFERROR(VLOOKUP(A134,DB_Customers!$A:$N,14,0),""))</f>
        <v/>
      </c>
      <c r="D134" s="497">
        <f>IF(A134="","",TODAY())</f>
        <v/>
      </c>
      <c r="E134" s="489" t="n"/>
      <c r="F134" s="498">
        <f>IF(OR(A134="",E134=""),"",IF(C134="","",C134+E134))</f>
        <v/>
      </c>
      <c r="G134" s="384" t="inlineStr">
        <is>
          <t>Agent 06</t>
        </is>
      </c>
      <c r="H134" s="491" t="n"/>
      <c r="I134" s="499">
        <f>IF(A134="","Pending",IF(H134="","⚠️ Enter Code",IF(IFERROR(VLOOKUP(G134,DB_Agents!$B:$I,8,0),"")=H134,IF(AND(A134&lt;&gt;"",E134&lt;&gt;""),"Saved","Pending"),"🔒 BLOCKED — Wrong Code")))</f>
        <v/>
      </c>
      <c r="J134" s="500">
        <f>IF(I134="Saved",TEXT(TODAY(),"YYYY-MM-DD")&amp;" Auto","—")</f>
        <v/>
      </c>
      <c r="K134" s="501" t="n"/>
    </row>
    <row r="135" ht="15" customHeight="1" s="341">
      <c r="A135" s="486" t="n"/>
      <c r="B135" s="378">
        <f>IF(A135="","",IFERROR(VLOOKUP(A135,DB_Customers!$A:$D,4,0),"❌ Account Not Found"))</f>
        <v/>
      </c>
      <c r="C135" s="487">
        <f>IF(A135="","",IFERROR(VLOOKUP(A135,DB_Customers!$A:$N,14,0),""))</f>
        <v/>
      </c>
      <c r="D135" s="488">
        <f>IF(A135="","",TODAY())</f>
        <v/>
      </c>
      <c r="E135" s="489" t="n"/>
      <c r="F135" s="490">
        <f>IF(OR(A135="",E135=""),"",IF(C135="","",C135+E135))</f>
        <v/>
      </c>
      <c r="G135" s="380" t="inlineStr">
        <is>
          <t>Agent 06</t>
        </is>
      </c>
      <c r="H135" s="491" t="n"/>
      <c r="I135" s="492">
        <f>IF(A135="","Pending",IF(H135="","⚠️ Enter Code",IF(IFERROR(VLOOKUP(G135,DB_Agents!$B:$I,8,0),"")=H135,IF(AND(A135&lt;&gt;"",E135&lt;&gt;""),"Saved","Pending"),"🔒 BLOCKED — Wrong Code")))</f>
        <v/>
      </c>
      <c r="J135" s="493">
        <f>IF(I135="Saved",TEXT(TODAY(),"YYYY-MM-DD")&amp;" Auto","—")</f>
        <v/>
      </c>
      <c r="K135" s="494" t="n"/>
    </row>
    <row r="136" ht="15" customHeight="1" s="341">
      <c r="A136" s="495" t="n"/>
      <c r="B136" s="382">
        <f>IF(A136="","",IFERROR(VLOOKUP(A136,DB_Customers!$A:$D,4,0),"❌ Account Not Found"))</f>
        <v/>
      </c>
      <c r="C136" s="496">
        <f>IF(A136="","",IFERROR(VLOOKUP(A136,DB_Customers!$A:$N,14,0),""))</f>
        <v/>
      </c>
      <c r="D136" s="497">
        <f>IF(A136="","",TODAY())</f>
        <v/>
      </c>
      <c r="E136" s="489" t="n"/>
      <c r="F136" s="498">
        <f>IF(OR(A136="",E136=""),"",IF(C136="","",C136+E136))</f>
        <v/>
      </c>
      <c r="G136" s="384" t="inlineStr">
        <is>
          <t>Agent 06</t>
        </is>
      </c>
      <c r="H136" s="491" t="n"/>
      <c r="I136" s="499">
        <f>IF(A136="","Pending",IF(H136="","⚠️ Enter Code",IF(IFERROR(VLOOKUP(G136,DB_Agents!$B:$I,8,0),"")=H136,IF(AND(A136&lt;&gt;"",E136&lt;&gt;""),"Saved","Pending"),"🔒 BLOCKED — Wrong Code")))</f>
        <v/>
      </c>
      <c r="J136" s="500">
        <f>IF(I136="Saved",TEXT(TODAY(),"YYYY-MM-DD")&amp;" Auto","—")</f>
        <v/>
      </c>
      <c r="K136" s="501" t="n"/>
    </row>
    <row r="137" ht="15" customHeight="1" s="341">
      <c r="A137" s="486" t="n"/>
      <c r="B137" s="378">
        <f>IF(A137="","",IFERROR(VLOOKUP(A137,DB_Customers!$A:$D,4,0),"❌ Account Not Found"))</f>
        <v/>
      </c>
      <c r="C137" s="487">
        <f>IF(A137="","",IFERROR(VLOOKUP(A137,DB_Customers!$A:$N,14,0),""))</f>
        <v/>
      </c>
      <c r="D137" s="488">
        <f>IF(A137="","",TODAY())</f>
        <v/>
      </c>
      <c r="E137" s="489" t="n"/>
      <c r="F137" s="490">
        <f>IF(OR(A137="",E137=""),"",IF(C137="","",C137+E137))</f>
        <v/>
      </c>
      <c r="G137" s="380" t="inlineStr">
        <is>
          <t>Agent 06</t>
        </is>
      </c>
      <c r="H137" s="491" t="n"/>
      <c r="I137" s="492">
        <f>IF(A137="","Pending",IF(H137="","⚠️ Enter Code",IF(IFERROR(VLOOKUP(G137,DB_Agents!$B:$I,8,0),"")=H137,IF(AND(A137&lt;&gt;"",E137&lt;&gt;""),"Saved","Pending"),"🔒 BLOCKED — Wrong Code")))</f>
        <v/>
      </c>
      <c r="J137" s="493">
        <f>IF(I137="Saved",TEXT(TODAY(),"YYYY-MM-DD")&amp;" Auto","—")</f>
        <v/>
      </c>
      <c r="K137" s="494" t="n"/>
    </row>
    <row r="138" ht="15" customHeight="1" s="341">
      <c r="A138" s="495" t="n"/>
      <c r="B138" s="382">
        <f>IF(A138="","",IFERROR(VLOOKUP(A138,DB_Customers!$A:$D,4,0),"❌ Account Not Found"))</f>
        <v/>
      </c>
      <c r="C138" s="496">
        <f>IF(A138="","",IFERROR(VLOOKUP(A138,DB_Customers!$A:$N,14,0),""))</f>
        <v/>
      </c>
      <c r="D138" s="497">
        <f>IF(A138="","",TODAY())</f>
        <v/>
      </c>
      <c r="E138" s="489" t="n"/>
      <c r="F138" s="498">
        <f>IF(OR(A138="",E138=""),"",IF(C138="","",C138+E138))</f>
        <v/>
      </c>
      <c r="G138" s="384" t="inlineStr">
        <is>
          <t>Agent 06</t>
        </is>
      </c>
      <c r="H138" s="491" t="n"/>
      <c r="I138" s="499">
        <f>IF(A138="","Pending",IF(H138="","⚠️ Enter Code",IF(IFERROR(VLOOKUP(G138,DB_Agents!$B:$I,8,0),"")=H138,IF(AND(A138&lt;&gt;"",E138&lt;&gt;""),"Saved","Pending"),"🔒 BLOCKED — Wrong Code")))</f>
        <v/>
      </c>
      <c r="J138" s="500">
        <f>IF(I138="Saved",TEXT(TODAY(),"YYYY-MM-DD")&amp;" Auto","—")</f>
        <v/>
      </c>
      <c r="K138" s="501" t="n"/>
    </row>
    <row r="139" ht="15" customHeight="1" s="341">
      <c r="A139" s="486" t="n"/>
      <c r="B139" s="378">
        <f>IF(A139="","",IFERROR(VLOOKUP(A139,DB_Customers!$A:$D,4,0),"❌ Account Not Found"))</f>
        <v/>
      </c>
      <c r="C139" s="487">
        <f>IF(A139="","",IFERROR(VLOOKUP(A139,DB_Customers!$A:$N,14,0),""))</f>
        <v/>
      </c>
      <c r="D139" s="488">
        <f>IF(A139="","",TODAY())</f>
        <v/>
      </c>
      <c r="E139" s="489" t="n"/>
      <c r="F139" s="490">
        <f>IF(OR(A139="",E139=""),"",IF(C139="","",C139+E139))</f>
        <v/>
      </c>
      <c r="G139" s="380" t="inlineStr">
        <is>
          <t>Agent 06</t>
        </is>
      </c>
      <c r="H139" s="491" t="n"/>
      <c r="I139" s="492">
        <f>IF(A139="","Pending",IF(H139="","⚠️ Enter Code",IF(IFERROR(VLOOKUP(G139,DB_Agents!$B:$I,8,0),"")=H139,IF(AND(A139&lt;&gt;"",E139&lt;&gt;""),"Saved","Pending"),"🔒 BLOCKED — Wrong Code")))</f>
        <v/>
      </c>
      <c r="J139" s="493">
        <f>IF(I139="Saved",TEXT(TODAY(),"YYYY-MM-DD")&amp;" Auto","—")</f>
        <v/>
      </c>
      <c r="K139" s="494" t="n"/>
    </row>
    <row r="140" ht="15" customHeight="1" s="341">
      <c r="A140" s="495" t="n"/>
      <c r="B140" s="382">
        <f>IF(A140="","",IFERROR(VLOOKUP(A140,DB_Customers!$A:$D,4,0),"❌ Account Not Found"))</f>
        <v/>
      </c>
      <c r="C140" s="496">
        <f>IF(A140="","",IFERROR(VLOOKUP(A140,DB_Customers!$A:$N,14,0),""))</f>
        <v/>
      </c>
      <c r="D140" s="497">
        <f>IF(A140="","",TODAY())</f>
        <v/>
      </c>
      <c r="E140" s="489" t="n"/>
      <c r="F140" s="498">
        <f>IF(OR(A140="",E140=""),"",IF(C140="","",C140+E140))</f>
        <v/>
      </c>
      <c r="G140" s="384" t="inlineStr">
        <is>
          <t>Agent 06</t>
        </is>
      </c>
      <c r="H140" s="491" t="n"/>
      <c r="I140" s="499">
        <f>IF(A140="","Pending",IF(H140="","⚠️ Enter Code",IF(IFERROR(VLOOKUP(G140,DB_Agents!$B:$I,8,0),"")=H140,IF(AND(A140&lt;&gt;"",E140&lt;&gt;""),"Saved","Pending"),"🔒 BLOCKED — Wrong Code")))</f>
        <v/>
      </c>
      <c r="J140" s="500">
        <f>IF(I140="Saved",TEXT(TODAY(),"YYYY-MM-DD")&amp;" Auto","—")</f>
        <v/>
      </c>
      <c r="K140" s="501" t="n"/>
    </row>
    <row r="141" ht="15" customHeight="1" s="341">
      <c r="A141" s="486" t="n"/>
      <c r="B141" s="378">
        <f>IF(A141="","",IFERROR(VLOOKUP(A141,DB_Customers!$A:$D,4,0),"❌ Account Not Found"))</f>
        <v/>
      </c>
      <c r="C141" s="487">
        <f>IF(A141="","",IFERROR(VLOOKUP(A141,DB_Customers!$A:$N,14,0),""))</f>
        <v/>
      </c>
      <c r="D141" s="488">
        <f>IF(A141="","",TODAY())</f>
        <v/>
      </c>
      <c r="E141" s="489" t="n"/>
      <c r="F141" s="490">
        <f>IF(OR(A141="",E141=""),"",IF(C141="","",C141+E141))</f>
        <v/>
      </c>
      <c r="G141" s="380" t="inlineStr">
        <is>
          <t>Agent 06</t>
        </is>
      </c>
      <c r="H141" s="491" t="n"/>
      <c r="I141" s="492">
        <f>IF(A141="","Pending",IF(H141="","⚠️ Enter Code",IF(IFERROR(VLOOKUP(G141,DB_Agents!$B:$I,8,0),"")=H141,IF(AND(A141&lt;&gt;"",E141&lt;&gt;""),"Saved","Pending"),"🔒 BLOCKED — Wrong Code")))</f>
        <v/>
      </c>
      <c r="J141" s="493">
        <f>IF(I141="Saved",TEXT(TODAY(),"YYYY-MM-DD")&amp;" Auto","—")</f>
        <v/>
      </c>
      <c r="K141" s="494" t="n"/>
    </row>
    <row r="142" ht="15" customHeight="1" s="341">
      <c r="A142" s="495" t="n"/>
      <c r="B142" s="382">
        <f>IF(A142="","",IFERROR(VLOOKUP(A142,DB_Customers!$A:$D,4,0),"❌ Account Not Found"))</f>
        <v/>
      </c>
      <c r="C142" s="496">
        <f>IF(A142="","",IFERROR(VLOOKUP(A142,DB_Customers!$A:$N,14,0),""))</f>
        <v/>
      </c>
      <c r="D142" s="497">
        <f>IF(A142="","",TODAY())</f>
        <v/>
      </c>
      <c r="E142" s="489" t="n"/>
      <c r="F142" s="498">
        <f>IF(OR(A142="",E142=""),"",IF(C142="","",C142+E142))</f>
        <v/>
      </c>
      <c r="G142" s="384" t="inlineStr">
        <is>
          <t>Agent 06</t>
        </is>
      </c>
      <c r="H142" s="491" t="n"/>
      <c r="I142" s="499">
        <f>IF(A142="","Pending",IF(H142="","⚠️ Enter Code",IF(IFERROR(VLOOKUP(G142,DB_Agents!$B:$I,8,0),"")=H142,IF(AND(A142&lt;&gt;"",E142&lt;&gt;""),"Saved","Pending"),"🔒 BLOCKED — Wrong Code")))</f>
        <v/>
      </c>
      <c r="J142" s="500">
        <f>IF(I142="Saved",TEXT(TODAY(),"YYYY-MM-DD")&amp;" Auto","—")</f>
        <v/>
      </c>
      <c r="K142" s="501" t="n"/>
    </row>
    <row r="143" ht="15" customHeight="1" s="341">
      <c r="A143" s="486" t="n"/>
      <c r="B143" s="378">
        <f>IF(A143="","",IFERROR(VLOOKUP(A143,DB_Customers!$A:$D,4,0),"❌ Account Not Found"))</f>
        <v/>
      </c>
      <c r="C143" s="487">
        <f>IF(A143="","",IFERROR(VLOOKUP(A143,DB_Customers!$A:$N,14,0),""))</f>
        <v/>
      </c>
      <c r="D143" s="488">
        <f>IF(A143="","",TODAY())</f>
        <v/>
      </c>
      <c r="E143" s="489" t="n"/>
      <c r="F143" s="490">
        <f>IF(OR(A143="",E143=""),"",IF(C143="","",C143+E143))</f>
        <v/>
      </c>
      <c r="G143" s="380" t="inlineStr">
        <is>
          <t>Agent 06</t>
        </is>
      </c>
      <c r="H143" s="491" t="n"/>
      <c r="I143" s="492">
        <f>IF(A143="","Pending",IF(H143="","⚠️ Enter Code",IF(IFERROR(VLOOKUP(G143,DB_Agents!$B:$I,8,0),"")=H143,IF(AND(A143&lt;&gt;"",E143&lt;&gt;""),"Saved","Pending"),"🔒 BLOCKED — Wrong Code")))</f>
        <v/>
      </c>
      <c r="J143" s="493">
        <f>IF(I143="Saved",TEXT(TODAY(),"YYYY-MM-DD")&amp;" Auto","—")</f>
        <v/>
      </c>
      <c r="K143" s="494" t="n"/>
    </row>
    <row r="144" ht="15" customHeight="1" s="341">
      <c r="A144" s="495" t="n"/>
      <c r="B144" s="382">
        <f>IF(A144="","",IFERROR(VLOOKUP(A144,DB_Customers!$A:$D,4,0),"❌ Account Not Found"))</f>
        <v/>
      </c>
      <c r="C144" s="496">
        <f>IF(A144="","",IFERROR(VLOOKUP(A144,DB_Customers!$A:$N,14,0),""))</f>
        <v/>
      </c>
      <c r="D144" s="497">
        <f>IF(A144="","",TODAY())</f>
        <v/>
      </c>
      <c r="E144" s="489" t="n"/>
      <c r="F144" s="498">
        <f>IF(OR(A144="",E144=""),"",IF(C144="","",C144+E144))</f>
        <v/>
      </c>
      <c r="G144" s="384" t="inlineStr">
        <is>
          <t>Agent 06</t>
        </is>
      </c>
      <c r="H144" s="491" t="n"/>
      <c r="I144" s="499">
        <f>IF(A144="","Pending",IF(H144="","⚠️ Enter Code",IF(IFERROR(VLOOKUP(G144,DB_Agents!$B:$I,8,0),"")=H144,IF(AND(A144&lt;&gt;"",E144&lt;&gt;""),"Saved","Pending"),"🔒 BLOCKED — Wrong Code")))</f>
        <v/>
      </c>
      <c r="J144" s="500">
        <f>IF(I144="Saved",TEXT(TODAY(),"YYYY-MM-DD")&amp;" Auto","—")</f>
        <v/>
      </c>
      <c r="K144" s="501" t="n"/>
    </row>
    <row r="145" ht="15" customHeight="1" s="341">
      <c r="A145" s="486" t="n"/>
      <c r="B145" s="378">
        <f>IF(A145="","",IFERROR(VLOOKUP(A145,DB_Customers!$A:$D,4,0),"❌ Account Not Found"))</f>
        <v/>
      </c>
      <c r="C145" s="487">
        <f>IF(A145="","",IFERROR(VLOOKUP(A145,DB_Customers!$A:$N,14,0),""))</f>
        <v/>
      </c>
      <c r="D145" s="488">
        <f>IF(A145="","",TODAY())</f>
        <v/>
      </c>
      <c r="E145" s="489" t="n"/>
      <c r="F145" s="490">
        <f>IF(OR(A145="",E145=""),"",IF(C145="","",C145+E145))</f>
        <v/>
      </c>
      <c r="G145" s="380" t="inlineStr">
        <is>
          <t>Agent 06</t>
        </is>
      </c>
      <c r="H145" s="491" t="n"/>
      <c r="I145" s="492">
        <f>IF(A145="","Pending",IF(H145="","⚠️ Enter Code",IF(IFERROR(VLOOKUP(G145,DB_Agents!$B:$I,8,0),"")=H145,IF(AND(A145&lt;&gt;"",E145&lt;&gt;""),"Saved","Pending"),"🔒 BLOCKED — Wrong Code")))</f>
        <v/>
      </c>
      <c r="J145" s="493">
        <f>IF(I145="Saved",TEXT(TODAY(),"YYYY-MM-DD")&amp;" Auto","—")</f>
        <v/>
      </c>
      <c r="K145" s="494" t="n"/>
    </row>
    <row r="146" ht="15" customHeight="1" s="341">
      <c r="A146" s="495" t="n"/>
      <c r="B146" s="382">
        <f>IF(A146="","",IFERROR(VLOOKUP(A146,DB_Customers!$A:$D,4,0),"❌ Account Not Found"))</f>
        <v/>
      </c>
      <c r="C146" s="496">
        <f>IF(A146="","",IFERROR(VLOOKUP(A146,DB_Customers!$A:$N,14,0),""))</f>
        <v/>
      </c>
      <c r="D146" s="497">
        <f>IF(A146="","",TODAY())</f>
        <v/>
      </c>
      <c r="E146" s="489" t="n"/>
      <c r="F146" s="498">
        <f>IF(OR(A146="",E146=""),"",IF(C146="","",C146+E146))</f>
        <v/>
      </c>
      <c r="G146" s="384" t="inlineStr">
        <is>
          <t>Agent 06</t>
        </is>
      </c>
      <c r="H146" s="491" t="n"/>
      <c r="I146" s="499">
        <f>IF(A146="","Pending",IF(H146="","⚠️ Enter Code",IF(IFERROR(VLOOKUP(G146,DB_Agents!$B:$I,8,0),"")=H146,IF(AND(A146&lt;&gt;"",E146&lt;&gt;""),"Saved","Pending"),"🔒 BLOCKED — Wrong Code")))</f>
        <v/>
      </c>
      <c r="J146" s="500">
        <f>IF(I146="Saved",TEXT(TODAY(),"YYYY-MM-DD")&amp;" Auto","—")</f>
        <v/>
      </c>
      <c r="K146" s="501" t="n"/>
    </row>
    <row r="147" ht="15" customHeight="1" s="341">
      <c r="A147" s="486" t="n"/>
      <c r="B147" s="378">
        <f>IF(A147="","",IFERROR(VLOOKUP(A147,DB_Customers!$A:$D,4,0),"❌ Account Not Found"))</f>
        <v/>
      </c>
      <c r="C147" s="487">
        <f>IF(A147="","",IFERROR(VLOOKUP(A147,DB_Customers!$A:$N,14,0),""))</f>
        <v/>
      </c>
      <c r="D147" s="488">
        <f>IF(A147="","",TODAY())</f>
        <v/>
      </c>
      <c r="E147" s="489" t="n"/>
      <c r="F147" s="490">
        <f>IF(OR(A147="",E147=""),"",IF(C147="","",C147+E147))</f>
        <v/>
      </c>
      <c r="G147" s="380" t="inlineStr">
        <is>
          <t>Agent 06</t>
        </is>
      </c>
      <c r="H147" s="491" t="n"/>
      <c r="I147" s="492">
        <f>IF(A147="","Pending",IF(H147="","⚠️ Enter Code",IF(IFERROR(VLOOKUP(G147,DB_Agents!$B:$I,8,0),"")=H147,IF(AND(A147&lt;&gt;"",E147&lt;&gt;""),"Saved","Pending"),"🔒 BLOCKED — Wrong Code")))</f>
        <v/>
      </c>
      <c r="J147" s="493">
        <f>IF(I147="Saved",TEXT(TODAY(),"YYYY-MM-DD")&amp;" Auto","—")</f>
        <v/>
      </c>
      <c r="K147" s="494" t="n"/>
    </row>
    <row r="148" ht="15" customHeight="1" s="341">
      <c r="A148" s="495" t="n"/>
      <c r="B148" s="382">
        <f>IF(A148="","",IFERROR(VLOOKUP(A148,DB_Customers!$A:$D,4,0),"❌ Account Not Found"))</f>
        <v/>
      </c>
      <c r="C148" s="496">
        <f>IF(A148="","",IFERROR(VLOOKUP(A148,DB_Customers!$A:$N,14,0),""))</f>
        <v/>
      </c>
      <c r="D148" s="497">
        <f>IF(A148="","",TODAY())</f>
        <v/>
      </c>
      <c r="E148" s="489" t="n"/>
      <c r="F148" s="498">
        <f>IF(OR(A148="",E148=""),"",IF(C148="","",C148+E148))</f>
        <v/>
      </c>
      <c r="G148" s="384" t="inlineStr">
        <is>
          <t>Agent 06</t>
        </is>
      </c>
      <c r="H148" s="491" t="n"/>
      <c r="I148" s="499">
        <f>IF(A148="","Pending",IF(H148="","⚠️ Enter Code",IF(IFERROR(VLOOKUP(G148,DB_Agents!$B:$I,8,0),"")=H148,IF(AND(A148&lt;&gt;"",E148&lt;&gt;""),"Saved","Pending"),"🔒 BLOCKED — Wrong Code")))</f>
        <v/>
      </c>
      <c r="J148" s="500">
        <f>IF(I148="Saved",TEXT(TODAY(),"YYYY-MM-DD")&amp;" Auto","—")</f>
        <v/>
      </c>
      <c r="K148" s="501" t="n"/>
    </row>
    <row r="149" ht="15" customHeight="1" s="341">
      <c r="A149" s="486" t="n"/>
      <c r="B149" s="378">
        <f>IF(A149="","",IFERROR(VLOOKUP(A149,DB_Customers!$A:$D,4,0),"❌ Account Not Found"))</f>
        <v/>
      </c>
      <c r="C149" s="487">
        <f>IF(A149="","",IFERROR(VLOOKUP(A149,DB_Customers!$A:$N,14,0),""))</f>
        <v/>
      </c>
      <c r="D149" s="488">
        <f>IF(A149="","",TODAY())</f>
        <v/>
      </c>
      <c r="E149" s="489" t="n"/>
      <c r="F149" s="490">
        <f>IF(OR(A149="",E149=""),"",IF(C149="","",C149+E149))</f>
        <v/>
      </c>
      <c r="G149" s="380" t="inlineStr">
        <is>
          <t>Agent 06</t>
        </is>
      </c>
      <c r="H149" s="491" t="n"/>
      <c r="I149" s="492">
        <f>IF(A149="","Pending",IF(H149="","⚠️ Enter Code",IF(IFERROR(VLOOKUP(G149,DB_Agents!$B:$I,8,0),"")=H149,IF(AND(A149&lt;&gt;"",E149&lt;&gt;""),"Saved","Pending"),"🔒 BLOCKED — Wrong Code")))</f>
        <v/>
      </c>
      <c r="J149" s="493">
        <f>IF(I149="Saved",TEXT(TODAY(),"YYYY-MM-DD")&amp;" Auto","—")</f>
        <v/>
      </c>
      <c r="K149" s="494" t="n"/>
    </row>
    <row r="150" ht="15" customHeight="1" s="341">
      <c r="A150" s="495" t="n"/>
      <c r="B150" s="382">
        <f>IF(A150="","",IFERROR(VLOOKUP(A150,DB_Customers!$A:$D,4,0),"❌ Account Not Found"))</f>
        <v/>
      </c>
      <c r="C150" s="496">
        <f>IF(A150="","",IFERROR(VLOOKUP(A150,DB_Customers!$A:$N,14,0),""))</f>
        <v/>
      </c>
      <c r="D150" s="497">
        <f>IF(A150="","",TODAY())</f>
        <v/>
      </c>
      <c r="E150" s="489" t="n"/>
      <c r="F150" s="498">
        <f>IF(OR(A150="",E150=""),"",IF(C150="","",C150+E150))</f>
        <v/>
      </c>
      <c r="G150" s="384" t="inlineStr">
        <is>
          <t>Agent 06</t>
        </is>
      </c>
      <c r="H150" s="491" t="n"/>
      <c r="I150" s="499">
        <f>IF(A150="","Pending",IF(H150="","⚠️ Enter Code",IF(IFERROR(VLOOKUP(G150,DB_Agents!$B:$I,8,0),"")=H150,IF(AND(A150&lt;&gt;"",E150&lt;&gt;""),"Saved","Pending"),"🔒 BLOCKED — Wrong Code")))</f>
        <v/>
      </c>
      <c r="J150" s="500">
        <f>IF(I150="Saved",TEXT(TODAY(),"YYYY-MM-DD")&amp;" Auto","—")</f>
        <v/>
      </c>
      <c r="K150" s="501" t="n"/>
    </row>
    <row r="151" ht="15" customHeight="1" s="341">
      <c r="A151" s="486" t="n"/>
      <c r="B151" s="378">
        <f>IF(A151="","",IFERROR(VLOOKUP(A151,DB_Customers!$A:$D,4,0),"❌ Account Not Found"))</f>
        <v/>
      </c>
      <c r="C151" s="487">
        <f>IF(A151="","",IFERROR(VLOOKUP(A151,DB_Customers!$A:$N,14,0),""))</f>
        <v/>
      </c>
      <c r="D151" s="488">
        <f>IF(A151="","",TODAY())</f>
        <v/>
      </c>
      <c r="E151" s="489" t="n"/>
      <c r="F151" s="490">
        <f>IF(OR(A151="",E151=""),"",IF(C151="","",C151+E151))</f>
        <v/>
      </c>
      <c r="G151" s="380" t="inlineStr">
        <is>
          <t>Agent 06</t>
        </is>
      </c>
      <c r="H151" s="491" t="n"/>
      <c r="I151" s="492">
        <f>IF(A151="","Pending",IF(H151="","⚠️ Enter Code",IF(IFERROR(VLOOKUP(G151,DB_Agents!$B:$I,8,0),"")=H151,IF(AND(A151&lt;&gt;"",E151&lt;&gt;""),"Saved","Pending"),"🔒 BLOCKED — Wrong Code")))</f>
        <v/>
      </c>
      <c r="J151" s="493">
        <f>IF(I151="Saved",TEXT(TODAY(),"YYYY-MM-DD")&amp;" Auto","—")</f>
        <v/>
      </c>
      <c r="K151" s="494" t="n"/>
    </row>
    <row r="152" ht="15" customHeight="1" s="341">
      <c r="A152" s="495" t="n"/>
      <c r="B152" s="382">
        <f>IF(A152="","",IFERROR(VLOOKUP(A152,DB_Customers!$A:$D,4,0),"❌ Account Not Found"))</f>
        <v/>
      </c>
      <c r="C152" s="496">
        <f>IF(A152="","",IFERROR(VLOOKUP(A152,DB_Customers!$A:$N,14,0),""))</f>
        <v/>
      </c>
      <c r="D152" s="497">
        <f>IF(A152="","",TODAY())</f>
        <v/>
      </c>
      <c r="E152" s="489" t="n"/>
      <c r="F152" s="498">
        <f>IF(OR(A152="",E152=""),"",IF(C152="","",C152+E152))</f>
        <v/>
      </c>
      <c r="G152" s="384" t="inlineStr">
        <is>
          <t>Agent 06</t>
        </is>
      </c>
      <c r="H152" s="491" t="n"/>
      <c r="I152" s="499">
        <f>IF(A152="","Pending",IF(H152="","⚠️ Enter Code",IF(IFERROR(VLOOKUP(G152,DB_Agents!$B:$I,8,0),"")=H152,IF(AND(A152&lt;&gt;"",E152&lt;&gt;""),"Saved","Pending"),"🔒 BLOCKED — Wrong Code")))</f>
        <v/>
      </c>
      <c r="J152" s="500">
        <f>IF(I152="Saved",TEXT(TODAY(),"YYYY-MM-DD")&amp;" Auto","—")</f>
        <v/>
      </c>
      <c r="K152" s="501" t="n"/>
    </row>
    <row r="153" ht="15" customHeight="1" s="341">
      <c r="A153" s="486" t="n"/>
      <c r="B153" s="378">
        <f>IF(A153="","",IFERROR(VLOOKUP(A153,DB_Customers!$A:$D,4,0),"❌ Account Not Found"))</f>
        <v/>
      </c>
      <c r="C153" s="487">
        <f>IF(A153="","",IFERROR(VLOOKUP(A153,DB_Customers!$A:$N,14,0),""))</f>
        <v/>
      </c>
      <c r="D153" s="488">
        <f>IF(A153="","",TODAY())</f>
        <v/>
      </c>
      <c r="E153" s="489" t="n"/>
      <c r="F153" s="490">
        <f>IF(OR(A153="",E153=""),"",IF(C153="","",C153+E153))</f>
        <v/>
      </c>
      <c r="G153" s="380" t="inlineStr">
        <is>
          <t>Agent 06</t>
        </is>
      </c>
      <c r="H153" s="491" t="n"/>
      <c r="I153" s="492">
        <f>IF(A153="","Pending",IF(H153="","⚠️ Enter Code",IF(IFERROR(VLOOKUP(G153,DB_Agents!$B:$I,8,0),"")=H153,IF(AND(A153&lt;&gt;"",E153&lt;&gt;""),"Saved","Pending"),"🔒 BLOCKED — Wrong Code")))</f>
        <v/>
      </c>
      <c r="J153" s="493">
        <f>IF(I153="Saved",TEXT(TODAY(),"YYYY-MM-DD")&amp;" Auto","—")</f>
        <v/>
      </c>
      <c r="K153" s="494" t="n"/>
    </row>
    <row r="154" ht="15" customHeight="1" s="341">
      <c r="A154" s="495" t="n"/>
      <c r="B154" s="382">
        <f>IF(A154="","",IFERROR(VLOOKUP(A154,DB_Customers!$A:$D,4,0),"❌ Account Not Found"))</f>
        <v/>
      </c>
      <c r="C154" s="496">
        <f>IF(A154="","",IFERROR(VLOOKUP(A154,DB_Customers!$A:$N,14,0),""))</f>
        <v/>
      </c>
      <c r="D154" s="497">
        <f>IF(A154="","",TODAY())</f>
        <v/>
      </c>
      <c r="E154" s="489" t="n"/>
      <c r="F154" s="498">
        <f>IF(OR(A154="",E154=""),"",IF(C154="","",C154+E154))</f>
        <v/>
      </c>
      <c r="G154" s="384" t="inlineStr">
        <is>
          <t>Agent 06</t>
        </is>
      </c>
      <c r="H154" s="491" t="n"/>
      <c r="I154" s="499">
        <f>IF(A154="","Pending",IF(H154="","⚠️ Enter Code",IF(IFERROR(VLOOKUP(G154,DB_Agents!$B:$I,8,0),"")=H154,IF(AND(A154&lt;&gt;"",E154&lt;&gt;""),"Saved","Pending"),"🔒 BLOCKED — Wrong Code")))</f>
        <v/>
      </c>
      <c r="J154" s="500">
        <f>IF(I154="Saved",TEXT(TODAY(),"YYYY-MM-DD")&amp;" Auto","—")</f>
        <v/>
      </c>
      <c r="K154" s="501" t="n"/>
    </row>
    <row r="155" ht="15" customHeight="1" s="341">
      <c r="A155" s="486" t="n"/>
      <c r="B155" s="378">
        <f>IF(A155="","",IFERROR(VLOOKUP(A155,DB_Customers!$A:$D,4,0),"❌ Account Not Found"))</f>
        <v/>
      </c>
      <c r="C155" s="487">
        <f>IF(A155="","",IFERROR(VLOOKUP(A155,DB_Customers!$A:$N,14,0),""))</f>
        <v/>
      </c>
      <c r="D155" s="488">
        <f>IF(A155="","",TODAY())</f>
        <v/>
      </c>
      <c r="E155" s="489" t="n"/>
      <c r="F155" s="490">
        <f>IF(OR(A155="",E155=""),"",IF(C155="","",C155+E155))</f>
        <v/>
      </c>
      <c r="G155" s="380" t="inlineStr">
        <is>
          <t>Agent 06</t>
        </is>
      </c>
      <c r="H155" s="491" t="n"/>
      <c r="I155" s="492">
        <f>IF(A155="","Pending",IF(H155="","⚠️ Enter Code",IF(IFERROR(VLOOKUP(G155,DB_Agents!$B:$I,8,0),"")=H155,IF(AND(A155&lt;&gt;"",E155&lt;&gt;""),"Saved","Pending"),"🔒 BLOCKED — Wrong Code")))</f>
        <v/>
      </c>
      <c r="J155" s="493">
        <f>IF(I155="Saved",TEXT(TODAY(),"YYYY-MM-DD")&amp;" Auto","—")</f>
        <v/>
      </c>
      <c r="K155" s="494" t="n"/>
    </row>
    <row r="156" ht="15" customHeight="1" s="341">
      <c r="A156" s="495" t="n"/>
      <c r="B156" s="382">
        <f>IF(A156="","",IFERROR(VLOOKUP(A156,DB_Customers!$A:$D,4,0),"❌ Account Not Found"))</f>
        <v/>
      </c>
      <c r="C156" s="496">
        <f>IF(A156="","",IFERROR(VLOOKUP(A156,DB_Customers!$A:$N,14,0),""))</f>
        <v/>
      </c>
      <c r="D156" s="497">
        <f>IF(A156="","",TODAY())</f>
        <v/>
      </c>
      <c r="E156" s="489" t="n"/>
      <c r="F156" s="498">
        <f>IF(OR(A156="",E156=""),"",IF(C156="","",C156+E156))</f>
        <v/>
      </c>
      <c r="G156" s="384" t="inlineStr">
        <is>
          <t>Agent 06</t>
        </is>
      </c>
      <c r="H156" s="491" t="n"/>
      <c r="I156" s="499">
        <f>IF(A156="","Pending",IF(H156="","⚠️ Enter Code",IF(IFERROR(VLOOKUP(G156,DB_Agents!$B:$I,8,0),"")=H156,IF(AND(A156&lt;&gt;"",E156&lt;&gt;""),"Saved","Pending"),"🔒 BLOCKED — Wrong Code")))</f>
        <v/>
      </c>
      <c r="J156" s="500">
        <f>IF(I156="Saved",TEXT(TODAY(),"YYYY-MM-DD")&amp;" Auto","—")</f>
        <v/>
      </c>
      <c r="K156" s="501" t="n"/>
    </row>
    <row r="157" ht="15" customHeight="1" s="341">
      <c r="A157" s="486" t="n"/>
      <c r="B157" s="378">
        <f>IF(A157="","",IFERROR(VLOOKUP(A157,DB_Customers!$A:$D,4,0),"❌ Account Not Found"))</f>
        <v/>
      </c>
      <c r="C157" s="487">
        <f>IF(A157="","",IFERROR(VLOOKUP(A157,DB_Customers!$A:$N,14,0),""))</f>
        <v/>
      </c>
      <c r="D157" s="488">
        <f>IF(A157="","",TODAY())</f>
        <v/>
      </c>
      <c r="E157" s="489" t="n"/>
      <c r="F157" s="490">
        <f>IF(OR(A157="",E157=""),"",IF(C157="","",C157+E157))</f>
        <v/>
      </c>
      <c r="G157" s="380" t="inlineStr">
        <is>
          <t>Agent 06</t>
        </is>
      </c>
      <c r="H157" s="491" t="n"/>
      <c r="I157" s="492">
        <f>IF(A157="","Pending",IF(H157="","⚠️ Enter Code",IF(IFERROR(VLOOKUP(G157,DB_Agents!$B:$I,8,0),"")=H157,IF(AND(A157&lt;&gt;"",E157&lt;&gt;""),"Saved","Pending"),"🔒 BLOCKED — Wrong Code")))</f>
        <v/>
      </c>
      <c r="J157" s="493">
        <f>IF(I157="Saved",TEXT(TODAY(),"YYYY-MM-DD")&amp;" Auto","—")</f>
        <v/>
      </c>
      <c r="K157" s="494" t="n"/>
    </row>
    <row r="158" ht="15" customHeight="1" s="341">
      <c r="A158" s="495" t="n"/>
      <c r="B158" s="382">
        <f>IF(A158="","",IFERROR(VLOOKUP(A158,DB_Customers!$A:$D,4,0),"❌ Account Not Found"))</f>
        <v/>
      </c>
      <c r="C158" s="496">
        <f>IF(A158="","",IFERROR(VLOOKUP(A158,DB_Customers!$A:$N,14,0),""))</f>
        <v/>
      </c>
      <c r="D158" s="497">
        <f>IF(A158="","",TODAY())</f>
        <v/>
      </c>
      <c r="E158" s="489" t="n"/>
      <c r="F158" s="498">
        <f>IF(OR(A158="",E158=""),"",IF(C158="","",C158+E158))</f>
        <v/>
      </c>
      <c r="G158" s="384" t="inlineStr">
        <is>
          <t>Agent 06</t>
        </is>
      </c>
      <c r="H158" s="491" t="n"/>
      <c r="I158" s="499">
        <f>IF(A158="","Pending",IF(H158="","⚠️ Enter Code",IF(IFERROR(VLOOKUP(G158,DB_Agents!$B:$I,8,0),"")=H158,IF(AND(A158&lt;&gt;"",E158&lt;&gt;""),"Saved","Pending"),"🔒 BLOCKED — Wrong Code")))</f>
        <v/>
      </c>
      <c r="J158" s="500">
        <f>IF(I158="Saved",TEXT(TODAY(),"YYYY-MM-DD")&amp;" Auto","—")</f>
        <v/>
      </c>
      <c r="K158" s="501" t="n"/>
    </row>
    <row r="159" ht="15" customHeight="1" s="341">
      <c r="A159" s="486" t="n"/>
      <c r="B159" s="378">
        <f>IF(A159="","",IFERROR(VLOOKUP(A159,DB_Customers!$A:$D,4,0),"❌ Account Not Found"))</f>
        <v/>
      </c>
      <c r="C159" s="487">
        <f>IF(A159="","",IFERROR(VLOOKUP(A159,DB_Customers!$A:$N,14,0),""))</f>
        <v/>
      </c>
      <c r="D159" s="488">
        <f>IF(A159="","",TODAY())</f>
        <v/>
      </c>
      <c r="E159" s="489" t="n"/>
      <c r="F159" s="490">
        <f>IF(OR(A159="",E159=""),"",IF(C159="","",C159+E159))</f>
        <v/>
      </c>
      <c r="G159" s="380" t="inlineStr">
        <is>
          <t>Agent 06</t>
        </is>
      </c>
      <c r="H159" s="491" t="n"/>
      <c r="I159" s="492">
        <f>IF(A159="","Pending",IF(H159="","⚠️ Enter Code",IF(IFERROR(VLOOKUP(G159,DB_Agents!$B:$I,8,0),"")=H159,IF(AND(A159&lt;&gt;"",E159&lt;&gt;""),"Saved","Pending"),"🔒 BLOCKED — Wrong Code")))</f>
        <v/>
      </c>
      <c r="J159" s="493">
        <f>IF(I159="Saved",TEXT(TODAY(),"YYYY-MM-DD")&amp;" Auto","—")</f>
        <v/>
      </c>
      <c r="K159" s="494" t="n"/>
    </row>
    <row r="160" ht="15" customHeight="1" s="341">
      <c r="A160" s="495" t="n"/>
      <c r="B160" s="382">
        <f>IF(A160="","",IFERROR(VLOOKUP(A160,DB_Customers!$A:$D,4,0),"❌ Account Not Found"))</f>
        <v/>
      </c>
      <c r="C160" s="496">
        <f>IF(A160="","",IFERROR(VLOOKUP(A160,DB_Customers!$A:$N,14,0),""))</f>
        <v/>
      </c>
      <c r="D160" s="497">
        <f>IF(A160="","",TODAY())</f>
        <v/>
      </c>
      <c r="E160" s="489" t="n"/>
      <c r="F160" s="498">
        <f>IF(OR(A160="",E160=""),"",IF(C160="","",C160+E160))</f>
        <v/>
      </c>
      <c r="G160" s="384" t="inlineStr">
        <is>
          <t>Agent 06</t>
        </is>
      </c>
      <c r="H160" s="491" t="n"/>
      <c r="I160" s="499">
        <f>IF(A160="","Pending",IF(H160="","⚠️ Enter Code",IF(IFERROR(VLOOKUP(G160,DB_Agents!$B:$I,8,0),"")=H160,IF(AND(A160&lt;&gt;"",E160&lt;&gt;""),"Saved","Pending"),"🔒 BLOCKED — Wrong Code")))</f>
        <v/>
      </c>
      <c r="J160" s="500">
        <f>IF(I160="Saved",TEXT(TODAY(),"YYYY-MM-DD")&amp;" Auto","—")</f>
        <v/>
      </c>
      <c r="K160" s="501" t="n"/>
    </row>
    <row r="161" ht="15" customHeight="1" s="341">
      <c r="A161" s="486" t="n"/>
      <c r="B161" s="378">
        <f>IF(A161="","",IFERROR(VLOOKUP(A161,DB_Customers!$A:$D,4,0),"❌ Account Not Found"))</f>
        <v/>
      </c>
      <c r="C161" s="487">
        <f>IF(A161="","",IFERROR(VLOOKUP(A161,DB_Customers!$A:$N,14,0),""))</f>
        <v/>
      </c>
      <c r="D161" s="488">
        <f>IF(A161="","",TODAY())</f>
        <v/>
      </c>
      <c r="E161" s="489" t="n"/>
      <c r="F161" s="490">
        <f>IF(OR(A161="",E161=""),"",IF(C161="","",C161+E161))</f>
        <v/>
      </c>
      <c r="G161" s="380" t="inlineStr">
        <is>
          <t>Agent 06</t>
        </is>
      </c>
      <c r="H161" s="491" t="n"/>
      <c r="I161" s="492">
        <f>IF(A161="","Pending",IF(H161="","⚠️ Enter Code",IF(IFERROR(VLOOKUP(G161,DB_Agents!$B:$I,8,0),"")=H161,IF(AND(A161&lt;&gt;"",E161&lt;&gt;""),"Saved","Pending"),"🔒 BLOCKED — Wrong Code")))</f>
        <v/>
      </c>
      <c r="J161" s="493">
        <f>IF(I161="Saved",TEXT(TODAY(),"YYYY-MM-DD")&amp;" Auto","—")</f>
        <v/>
      </c>
      <c r="K161" s="494" t="n"/>
    </row>
    <row r="162" ht="15" customHeight="1" s="341">
      <c r="A162" s="495" t="n"/>
      <c r="B162" s="382">
        <f>IF(A162="","",IFERROR(VLOOKUP(A162,DB_Customers!$A:$D,4,0),"❌ Account Not Found"))</f>
        <v/>
      </c>
      <c r="C162" s="496">
        <f>IF(A162="","",IFERROR(VLOOKUP(A162,DB_Customers!$A:$N,14,0),""))</f>
        <v/>
      </c>
      <c r="D162" s="497">
        <f>IF(A162="","",TODAY())</f>
        <v/>
      </c>
      <c r="E162" s="489" t="n"/>
      <c r="F162" s="498">
        <f>IF(OR(A162="",E162=""),"",IF(C162="","",C162+E162))</f>
        <v/>
      </c>
      <c r="G162" s="384" t="inlineStr">
        <is>
          <t>Agent 06</t>
        </is>
      </c>
      <c r="H162" s="491" t="n"/>
      <c r="I162" s="499">
        <f>IF(A162="","Pending",IF(H162="","⚠️ Enter Code",IF(IFERROR(VLOOKUP(G162,DB_Agents!$B:$I,8,0),"")=H162,IF(AND(A162&lt;&gt;"",E162&lt;&gt;""),"Saved","Pending"),"🔒 BLOCKED — Wrong Code")))</f>
        <v/>
      </c>
      <c r="J162" s="500">
        <f>IF(I162="Saved",TEXT(TODAY(),"YYYY-MM-DD")&amp;" Auto","—")</f>
        <v/>
      </c>
      <c r="K162" s="501" t="n"/>
    </row>
    <row r="163" ht="15" customHeight="1" s="341">
      <c r="A163" s="486" t="n"/>
      <c r="B163" s="378">
        <f>IF(A163="","",IFERROR(VLOOKUP(A163,DB_Customers!$A:$D,4,0),"❌ Account Not Found"))</f>
        <v/>
      </c>
      <c r="C163" s="487">
        <f>IF(A163="","",IFERROR(VLOOKUP(A163,DB_Customers!$A:$N,14,0),""))</f>
        <v/>
      </c>
      <c r="D163" s="488">
        <f>IF(A163="","",TODAY())</f>
        <v/>
      </c>
      <c r="E163" s="489" t="n"/>
      <c r="F163" s="490">
        <f>IF(OR(A163="",E163=""),"",IF(C163="","",C163+E163))</f>
        <v/>
      </c>
      <c r="G163" s="380" t="inlineStr">
        <is>
          <t>Agent 06</t>
        </is>
      </c>
      <c r="H163" s="491" t="n"/>
      <c r="I163" s="492">
        <f>IF(A163="","Pending",IF(H163="","⚠️ Enter Code",IF(IFERROR(VLOOKUP(G163,DB_Agents!$B:$I,8,0),"")=H163,IF(AND(A163&lt;&gt;"",E163&lt;&gt;""),"Saved","Pending"),"🔒 BLOCKED — Wrong Code")))</f>
        <v/>
      </c>
      <c r="J163" s="493">
        <f>IF(I163="Saved",TEXT(TODAY(),"YYYY-MM-DD")&amp;" Auto","—")</f>
        <v/>
      </c>
      <c r="K163" s="494" t="n"/>
    </row>
    <row r="164" ht="15" customHeight="1" s="341">
      <c r="A164" s="495" t="n"/>
      <c r="B164" s="382">
        <f>IF(A164="","",IFERROR(VLOOKUP(A164,DB_Customers!$A:$D,4,0),"❌ Account Not Found"))</f>
        <v/>
      </c>
      <c r="C164" s="496">
        <f>IF(A164="","",IFERROR(VLOOKUP(A164,DB_Customers!$A:$N,14,0),""))</f>
        <v/>
      </c>
      <c r="D164" s="497">
        <f>IF(A164="","",TODAY())</f>
        <v/>
      </c>
      <c r="E164" s="489" t="n"/>
      <c r="F164" s="498">
        <f>IF(OR(A164="",E164=""),"",IF(C164="","",C164+E164))</f>
        <v/>
      </c>
      <c r="G164" s="384" t="inlineStr">
        <is>
          <t>Agent 06</t>
        </is>
      </c>
      <c r="H164" s="491" t="n"/>
      <c r="I164" s="499">
        <f>IF(A164="","Pending",IF(H164="","⚠️ Enter Code",IF(IFERROR(VLOOKUP(G164,DB_Agents!$B:$I,8,0),"")=H164,IF(AND(A164&lt;&gt;"",E164&lt;&gt;""),"Saved","Pending"),"🔒 BLOCKED — Wrong Code")))</f>
        <v/>
      </c>
      <c r="J164" s="500">
        <f>IF(I164="Saved",TEXT(TODAY(),"YYYY-MM-DD")&amp;" Auto","—")</f>
        <v/>
      </c>
      <c r="K164" s="501" t="n"/>
    </row>
    <row r="165" ht="15" customHeight="1" s="341">
      <c r="A165" s="486" t="n"/>
      <c r="B165" s="378">
        <f>IF(A165="","",IFERROR(VLOOKUP(A165,DB_Customers!$A:$D,4,0),"❌ Account Not Found"))</f>
        <v/>
      </c>
      <c r="C165" s="487">
        <f>IF(A165="","",IFERROR(VLOOKUP(A165,DB_Customers!$A:$N,14,0),""))</f>
        <v/>
      </c>
      <c r="D165" s="488">
        <f>IF(A165="","",TODAY())</f>
        <v/>
      </c>
      <c r="E165" s="489" t="n"/>
      <c r="F165" s="490">
        <f>IF(OR(A165="",E165=""),"",IF(C165="","",C165+E165))</f>
        <v/>
      </c>
      <c r="G165" s="380" t="inlineStr">
        <is>
          <t>Agent 06</t>
        </is>
      </c>
      <c r="H165" s="491" t="n"/>
      <c r="I165" s="492">
        <f>IF(A165="","Pending",IF(H165="","⚠️ Enter Code",IF(IFERROR(VLOOKUP(G165,DB_Agents!$B:$I,8,0),"")=H165,IF(AND(A165&lt;&gt;"",E165&lt;&gt;""),"Saved","Pending"),"🔒 BLOCKED — Wrong Code")))</f>
        <v/>
      </c>
      <c r="J165" s="493">
        <f>IF(I165="Saved",TEXT(TODAY(),"YYYY-MM-DD")&amp;" Auto","—")</f>
        <v/>
      </c>
      <c r="K165" s="494" t="n"/>
    </row>
    <row r="166" ht="15" customHeight="1" s="341">
      <c r="A166" s="495" t="n"/>
      <c r="B166" s="382">
        <f>IF(A166="","",IFERROR(VLOOKUP(A166,DB_Customers!$A:$D,4,0),"❌ Account Not Found"))</f>
        <v/>
      </c>
      <c r="C166" s="496">
        <f>IF(A166="","",IFERROR(VLOOKUP(A166,DB_Customers!$A:$N,14,0),""))</f>
        <v/>
      </c>
      <c r="D166" s="497">
        <f>IF(A166="","",TODAY())</f>
        <v/>
      </c>
      <c r="E166" s="489" t="n"/>
      <c r="F166" s="498">
        <f>IF(OR(A166="",E166=""),"",IF(C166="","",C166+E166))</f>
        <v/>
      </c>
      <c r="G166" s="384" t="inlineStr">
        <is>
          <t>Agent 06</t>
        </is>
      </c>
      <c r="H166" s="491" t="n"/>
      <c r="I166" s="499">
        <f>IF(A166="","Pending",IF(H166="","⚠️ Enter Code",IF(IFERROR(VLOOKUP(G166,DB_Agents!$B:$I,8,0),"")=H166,IF(AND(A166&lt;&gt;"",E166&lt;&gt;""),"Saved","Pending"),"🔒 BLOCKED — Wrong Code")))</f>
        <v/>
      </c>
      <c r="J166" s="500">
        <f>IF(I166="Saved",TEXT(TODAY(),"YYYY-MM-DD")&amp;" Auto","—")</f>
        <v/>
      </c>
      <c r="K166" s="501" t="n"/>
    </row>
    <row r="167" ht="15" customHeight="1" s="341">
      <c r="A167" s="486" t="n"/>
      <c r="B167" s="378">
        <f>IF(A167="","",IFERROR(VLOOKUP(A167,DB_Customers!$A:$D,4,0),"❌ Account Not Found"))</f>
        <v/>
      </c>
      <c r="C167" s="487">
        <f>IF(A167="","",IFERROR(VLOOKUP(A167,DB_Customers!$A:$N,14,0),""))</f>
        <v/>
      </c>
      <c r="D167" s="488">
        <f>IF(A167="","",TODAY())</f>
        <v/>
      </c>
      <c r="E167" s="489" t="n"/>
      <c r="F167" s="490">
        <f>IF(OR(A167="",E167=""),"",IF(C167="","",C167+E167))</f>
        <v/>
      </c>
      <c r="G167" s="380" t="inlineStr">
        <is>
          <t>Agent 06</t>
        </is>
      </c>
      <c r="H167" s="491" t="n"/>
      <c r="I167" s="492">
        <f>IF(A167="","Pending",IF(H167="","⚠️ Enter Code",IF(IFERROR(VLOOKUP(G167,DB_Agents!$B:$I,8,0),"")=H167,IF(AND(A167&lt;&gt;"",E167&lt;&gt;""),"Saved","Pending"),"🔒 BLOCKED — Wrong Code")))</f>
        <v/>
      </c>
      <c r="J167" s="493">
        <f>IF(I167="Saved",TEXT(TODAY(),"YYYY-MM-DD")&amp;" Auto","—")</f>
        <v/>
      </c>
      <c r="K167" s="494" t="n"/>
    </row>
    <row r="168" ht="15" customHeight="1" s="341">
      <c r="A168" s="495" t="n"/>
      <c r="B168" s="382">
        <f>IF(A168="","",IFERROR(VLOOKUP(A168,DB_Customers!$A:$D,4,0),"❌ Account Not Found"))</f>
        <v/>
      </c>
      <c r="C168" s="496">
        <f>IF(A168="","",IFERROR(VLOOKUP(A168,DB_Customers!$A:$N,14,0),""))</f>
        <v/>
      </c>
      <c r="D168" s="497">
        <f>IF(A168="","",TODAY())</f>
        <v/>
      </c>
      <c r="E168" s="489" t="n"/>
      <c r="F168" s="498">
        <f>IF(OR(A168="",E168=""),"",IF(C168="","",C168+E168))</f>
        <v/>
      </c>
      <c r="G168" s="384" t="inlineStr">
        <is>
          <t>Agent 06</t>
        </is>
      </c>
      <c r="H168" s="491" t="n"/>
      <c r="I168" s="499">
        <f>IF(A168="","Pending",IF(H168="","⚠️ Enter Code",IF(IFERROR(VLOOKUP(G168,DB_Agents!$B:$I,8,0),"")=H168,IF(AND(A168&lt;&gt;"",E168&lt;&gt;""),"Saved","Pending"),"🔒 BLOCKED — Wrong Code")))</f>
        <v/>
      </c>
      <c r="J168" s="500">
        <f>IF(I168="Saved",TEXT(TODAY(),"YYYY-MM-DD")&amp;" Auto","—")</f>
        <v/>
      </c>
      <c r="K168" s="501" t="n"/>
    </row>
    <row r="169" ht="15" customHeight="1" s="341">
      <c r="A169" s="486" t="n"/>
      <c r="B169" s="378">
        <f>IF(A169="","",IFERROR(VLOOKUP(A169,DB_Customers!$A:$D,4,0),"❌ Account Not Found"))</f>
        <v/>
      </c>
      <c r="C169" s="487">
        <f>IF(A169="","",IFERROR(VLOOKUP(A169,DB_Customers!$A:$N,14,0),""))</f>
        <v/>
      </c>
      <c r="D169" s="488">
        <f>IF(A169="","",TODAY())</f>
        <v/>
      </c>
      <c r="E169" s="489" t="n"/>
      <c r="F169" s="490">
        <f>IF(OR(A169="",E169=""),"",IF(C169="","",C169+E169))</f>
        <v/>
      </c>
      <c r="G169" s="380" t="inlineStr">
        <is>
          <t>Agent 06</t>
        </is>
      </c>
      <c r="H169" s="491" t="n"/>
      <c r="I169" s="492">
        <f>IF(A169="","Pending",IF(H169="","⚠️ Enter Code",IF(IFERROR(VLOOKUP(G169,DB_Agents!$B:$I,8,0),"")=H169,IF(AND(A169&lt;&gt;"",E169&lt;&gt;""),"Saved","Pending"),"🔒 BLOCKED — Wrong Code")))</f>
        <v/>
      </c>
      <c r="J169" s="493">
        <f>IF(I169="Saved",TEXT(TODAY(),"YYYY-MM-DD")&amp;" Auto","—")</f>
        <v/>
      </c>
      <c r="K169" s="494" t="n"/>
    </row>
    <row r="170" ht="15" customHeight="1" s="341">
      <c r="A170" s="495" t="n"/>
      <c r="B170" s="382">
        <f>IF(A170="","",IFERROR(VLOOKUP(A170,DB_Customers!$A:$D,4,0),"❌ Account Not Found"))</f>
        <v/>
      </c>
      <c r="C170" s="496">
        <f>IF(A170="","",IFERROR(VLOOKUP(A170,DB_Customers!$A:$N,14,0),""))</f>
        <v/>
      </c>
      <c r="D170" s="497">
        <f>IF(A170="","",TODAY())</f>
        <v/>
      </c>
      <c r="E170" s="489" t="n"/>
      <c r="F170" s="498">
        <f>IF(OR(A170="",E170=""),"",IF(C170="","",C170+E170))</f>
        <v/>
      </c>
      <c r="G170" s="384" t="inlineStr">
        <is>
          <t>Agent 06</t>
        </is>
      </c>
      <c r="H170" s="491" t="n"/>
      <c r="I170" s="499">
        <f>IF(A170="","Pending",IF(H170="","⚠️ Enter Code",IF(IFERROR(VLOOKUP(G170,DB_Agents!$B:$I,8,0),"")=H170,IF(AND(A170&lt;&gt;"",E170&lt;&gt;""),"Saved","Pending"),"🔒 BLOCKED — Wrong Code")))</f>
        <v/>
      </c>
      <c r="J170" s="500">
        <f>IF(I170="Saved",TEXT(TODAY(),"YYYY-MM-DD")&amp;" Auto","—")</f>
        <v/>
      </c>
      <c r="K170" s="501" t="n"/>
    </row>
    <row r="171" ht="15" customHeight="1" s="341">
      <c r="A171" s="486" t="n"/>
      <c r="B171" s="378">
        <f>IF(A171="","",IFERROR(VLOOKUP(A171,DB_Customers!$A:$D,4,0),"❌ Account Not Found"))</f>
        <v/>
      </c>
      <c r="C171" s="487">
        <f>IF(A171="","",IFERROR(VLOOKUP(A171,DB_Customers!$A:$N,14,0),""))</f>
        <v/>
      </c>
      <c r="D171" s="488">
        <f>IF(A171="","",TODAY())</f>
        <v/>
      </c>
      <c r="E171" s="489" t="n"/>
      <c r="F171" s="490">
        <f>IF(OR(A171="",E171=""),"",IF(C171="","",C171+E171))</f>
        <v/>
      </c>
      <c r="G171" s="380" t="inlineStr">
        <is>
          <t>Agent 06</t>
        </is>
      </c>
      <c r="H171" s="491" t="n"/>
      <c r="I171" s="492">
        <f>IF(A171="","Pending",IF(H171="","⚠️ Enter Code",IF(IFERROR(VLOOKUP(G171,DB_Agents!$B:$I,8,0),"")=H171,IF(AND(A171&lt;&gt;"",E171&lt;&gt;""),"Saved","Pending"),"🔒 BLOCKED — Wrong Code")))</f>
        <v/>
      </c>
      <c r="J171" s="493">
        <f>IF(I171="Saved",TEXT(TODAY(),"YYYY-MM-DD")&amp;" Auto","—")</f>
        <v/>
      </c>
      <c r="K171" s="494" t="n"/>
    </row>
    <row r="172" ht="15" customHeight="1" s="341">
      <c r="A172" s="495" t="n"/>
      <c r="B172" s="382">
        <f>IF(A172="","",IFERROR(VLOOKUP(A172,DB_Customers!$A:$D,4,0),"❌ Account Not Found"))</f>
        <v/>
      </c>
      <c r="C172" s="496">
        <f>IF(A172="","",IFERROR(VLOOKUP(A172,DB_Customers!$A:$N,14,0),""))</f>
        <v/>
      </c>
      <c r="D172" s="497">
        <f>IF(A172="","",TODAY())</f>
        <v/>
      </c>
      <c r="E172" s="489" t="n"/>
      <c r="F172" s="498">
        <f>IF(OR(A172="",E172=""),"",IF(C172="","",C172+E172))</f>
        <v/>
      </c>
      <c r="G172" s="384" t="inlineStr">
        <is>
          <t>Agent 06</t>
        </is>
      </c>
      <c r="H172" s="491" t="n"/>
      <c r="I172" s="499">
        <f>IF(A172="","Pending",IF(H172="","⚠️ Enter Code",IF(IFERROR(VLOOKUP(G172,DB_Agents!$B:$I,8,0),"")=H172,IF(AND(A172&lt;&gt;"",E172&lt;&gt;""),"Saved","Pending"),"🔒 BLOCKED — Wrong Code")))</f>
        <v/>
      </c>
      <c r="J172" s="500">
        <f>IF(I172="Saved",TEXT(TODAY(),"YYYY-MM-DD")&amp;" Auto","—")</f>
        <v/>
      </c>
      <c r="K172" s="501" t="n"/>
    </row>
    <row r="173" ht="15" customHeight="1" s="341">
      <c r="A173" s="486" t="n"/>
      <c r="B173" s="378">
        <f>IF(A173="","",IFERROR(VLOOKUP(A173,DB_Customers!$A:$D,4,0),"❌ Account Not Found"))</f>
        <v/>
      </c>
      <c r="C173" s="487">
        <f>IF(A173="","",IFERROR(VLOOKUP(A173,DB_Customers!$A:$N,14,0),""))</f>
        <v/>
      </c>
      <c r="D173" s="488">
        <f>IF(A173="","",TODAY())</f>
        <v/>
      </c>
      <c r="E173" s="489" t="n"/>
      <c r="F173" s="490">
        <f>IF(OR(A173="",E173=""),"",IF(C173="","",C173+E173))</f>
        <v/>
      </c>
      <c r="G173" s="380" t="inlineStr">
        <is>
          <t>Agent 06</t>
        </is>
      </c>
      <c r="H173" s="491" t="n"/>
      <c r="I173" s="492">
        <f>IF(A173="","Pending",IF(H173="","⚠️ Enter Code",IF(IFERROR(VLOOKUP(G173,DB_Agents!$B:$I,8,0),"")=H173,IF(AND(A173&lt;&gt;"",E173&lt;&gt;""),"Saved","Pending"),"🔒 BLOCKED — Wrong Code")))</f>
        <v/>
      </c>
      <c r="J173" s="493">
        <f>IF(I173="Saved",TEXT(TODAY(),"YYYY-MM-DD")&amp;" Auto","—")</f>
        <v/>
      </c>
      <c r="K173" s="494" t="n"/>
    </row>
    <row r="174" ht="15" customHeight="1" s="341">
      <c r="A174" s="495" t="n"/>
      <c r="B174" s="382">
        <f>IF(A174="","",IFERROR(VLOOKUP(A174,DB_Customers!$A:$D,4,0),"❌ Account Not Found"))</f>
        <v/>
      </c>
      <c r="C174" s="496">
        <f>IF(A174="","",IFERROR(VLOOKUP(A174,DB_Customers!$A:$N,14,0),""))</f>
        <v/>
      </c>
      <c r="D174" s="497">
        <f>IF(A174="","",TODAY())</f>
        <v/>
      </c>
      <c r="E174" s="489" t="n"/>
      <c r="F174" s="498">
        <f>IF(OR(A174="",E174=""),"",IF(C174="","",C174+E174))</f>
        <v/>
      </c>
      <c r="G174" s="384" t="inlineStr">
        <is>
          <t>Agent 06</t>
        </is>
      </c>
      <c r="H174" s="491" t="n"/>
      <c r="I174" s="499">
        <f>IF(A174="","Pending",IF(H174="","⚠️ Enter Code",IF(IFERROR(VLOOKUP(G174,DB_Agents!$B:$I,8,0),"")=H174,IF(AND(A174&lt;&gt;"",E174&lt;&gt;""),"Saved","Pending"),"🔒 BLOCKED — Wrong Code")))</f>
        <v/>
      </c>
      <c r="J174" s="500">
        <f>IF(I174="Saved",TEXT(TODAY(),"YYYY-MM-DD")&amp;" Auto","—")</f>
        <v/>
      </c>
      <c r="K174" s="501" t="n"/>
    </row>
    <row r="175" ht="15" customHeight="1" s="341">
      <c r="A175" s="486" t="n"/>
      <c r="B175" s="378">
        <f>IF(A175="","",IFERROR(VLOOKUP(A175,DB_Customers!$A:$D,4,0),"❌ Account Not Found"))</f>
        <v/>
      </c>
      <c r="C175" s="487">
        <f>IF(A175="","",IFERROR(VLOOKUP(A175,DB_Customers!$A:$N,14,0),""))</f>
        <v/>
      </c>
      <c r="D175" s="488">
        <f>IF(A175="","",TODAY())</f>
        <v/>
      </c>
      <c r="E175" s="489" t="n"/>
      <c r="F175" s="490">
        <f>IF(OR(A175="",E175=""),"",IF(C175="","",C175+E175))</f>
        <v/>
      </c>
      <c r="G175" s="380" t="inlineStr">
        <is>
          <t>Agent 06</t>
        </is>
      </c>
      <c r="H175" s="491" t="n"/>
      <c r="I175" s="492">
        <f>IF(A175="","Pending",IF(H175="","⚠️ Enter Code",IF(IFERROR(VLOOKUP(G175,DB_Agents!$B:$I,8,0),"")=H175,IF(AND(A175&lt;&gt;"",E175&lt;&gt;""),"Saved","Pending"),"🔒 BLOCKED — Wrong Code")))</f>
        <v/>
      </c>
      <c r="J175" s="493">
        <f>IF(I175="Saved",TEXT(TODAY(),"YYYY-MM-DD")&amp;" Auto","—")</f>
        <v/>
      </c>
      <c r="K175" s="494" t="n"/>
    </row>
    <row r="176" ht="15" customHeight="1" s="341">
      <c r="A176" s="495" t="n"/>
      <c r="B176" s="382">
        <f>IF(A176="","",IFERROR(VLOOKUP(A176,DB_Customers!$A:$D,4,0),"❌ Account Not Found"))</f>
        <v/>
      </c>
      <c r="C176" s="496">
        <f>IF(A176="","",IFERROR(VLOOKUP(A176,DB_Customers!$A:$N,14,0),""))</f>
        <v/>
      </c>
      <c r="D176" s="497">
        <f>IF(A176="","",TODAY())</f>
        <v/>
      </c>
      <c r="E176" s="489" t="n"/>
      <c r="F176" s="498">
        <f>IF(OR(A176="",E176=""),"",IF(C176="","",C176+E176))</f>
        <v/>
      </c>
      <c r="G176" s="384" t="inlineStr">
        <is>
          <t>Agent 06</t>
        </is>
      </c>
      <c r="H176" s="491" t="n"/>
      <c r="I176" s="499">
        <f>IF(A176="","Pending",IF(H176="","⚠️ Enter Code",IF(IFERROR(VLOOKUP(G176,DB_Agents!$B:$I,8,0),"")=H176,IF(AND(A176&lt;&gt;"",E176&lt;&gt;""),"Saved","Pending"),"🔒 BLOCKED — Wrong Code")))</f>
        <v/>
      </c>
      <c r="J176" s="500">
        <f>IF(I176="Saved",TEXT(TODAY(),"YYYY-MM-DD")&amp;" Auto","—")</f>
        <v/>
      </c>
      <c r="K176" s="501" t="n"/>
    </row>
    <row r="177" ht="15" customHeight="1" s="341">
      <c r="A177" s="486" t="n"/>
      <c r="B177" s="378">
        <f>IF(A177="","",IFERROR(VLOOKUP(A177,DB_Customers!$A:$D,4,0),"❌ Account Not Found"))</f>
        <v/>
      </c>
      <c r="C177" s="487">
        <f>IF(A177="","",IFERROR(VLOOKUP(A177,DB_Customers!$A:$N,14,0),""))</f>
        <v/>
      </c>
      <c r="D177" s="488">
        <f>IF(A177="","",TODAY())</f>
        <v/>
      </c>
      <c r="E177" s="489" t="n"/>
      <c r="F177" s="490">
        <f>IF(OR(A177="",E177=""),"",IF(C177="","",C177+E177))</f>
        <v/>
      </c>
      <c r="G177" s="380" t="inlineStr">
        <is>
          <t>Agent 06</t>
        </is>
      </c>
      <c r="H177" s="491" t="n"/>
      <c r="I177" s="492">
        <f>IF(A177="","Pending",IF(H177="","⚠️ Enter Code",IF(IFERROR(VLOOKUP(G177,DB_Agents!$B:$I,8,0),"")=H177,IF(AND(A177&lt;&gt;"",E177&lt;&gt;""),"Saved","Pending"),"🔒 BLOCKED — Wrong Code")))</f>
        <v/>
      </c>
      <c r="J177" s="493">
        <f>IF(I177="Saved",TEXT(TODAY(),"YYYY-MM-DD")&amp;" Auto","—")</f>
        <v/>
      </c>
      <c r="K177" s="494" t="n"/>
    </row>
    <row r="178" ht="15" customHeight="1" s="341">
      <c r="A178" s="495" t="n"/>
      <c r="B178" s="382">
        <f>IF(A178="","",IFERROR(VLOOKUP(A178,DB_Customers!$A:$D,4,0),"❌ Account Not Found"))</f>
        <v/>
      </c>
      <c r="C178" s="496">
        <f>IF(A178="","",IFERROR(VLOOKUP(A178,DB_Customers!$A:$N,14,0),""))</f>
        <v/>
      </c>
      <c r="D178" s="497">
        <f>IF(A178="","",TODAY())</f>
        <v/>
      </c>
      <c r="E178" s="489" t="n"/>
      <c r="F178" s="498">
        <f>IF(OR(A178="",E178=""),"",IF(C178="","",C178+E178))</f>
        <v/>
      </c>
      <c r="G178" s="384" t="inlineStr">
        <is>
          <t>Agent 06</t>
        </is>
      </c>
      <c r="H178" s="491" t="n"/>
      <c r="I178" s="499">
        <f>IF(A178="","Pending",IF(H178="","⚠️ Enter Code",IF(IFERROR(VLOOKUP(G178,DB_Agents!$B:$I,8,0),"")=H178,IF(AND(A178&lt;&gt;"",E178&lt;&gt;""),"Saved","Pending"),"🔒 BLOCKED — Wrong Code")))</f>
        <v/>
      </c>
      <c r="J178" s="500">
        <f>IF(I178="Saved",TEXT(TODAY(),"YYYY-MM-DD")&amp;" Auto","—")</f>
        <v/>
      </c>
      <c r="K178" s="501" t="n"/>
    </row>
    <row r="179" ht="15" customHeight="1" s="341">
      <c r="A179" s="486" t="n"/>
      <c r="B179" s="378">
        <f>IF(A179="","",IFERROR(VLOOKUP(A179,DB_Customers!$A:$D,4,0),"❌ Account Not Found"))</f>
        <v/>
      </c>
      <c r="C179" s="487">
        <f>IF(A179="","",IFERROR(VLOOKUP(A179,DB_Customers!$A:$N,14,0),""))</f>
        <v/>
      </c>
      <c r="D179" s="488">
        <f>IF(A179="","",TODAY())</f>
        <v/>
      </c>
      <c r="E179" s="489" t="n"/>
      <c r="F179" s="490">
        <f>IF(OR(A179="",E179=""),"",IF(C179="","",C179+E179))</f>
        <v/>
      </c>
      <c r="G179" s="380" t="inlineStr">
        <is>
          <t>Agent 06</t>
        </is>
      </c>
      <c r="H179" s="491" t="n"/>
      <c r="I179" s="492">
        <f>IF(A179="","Pending",IF(H179="","⚠️ Enter Code",IF(IFERROR(VLOOKUP(G179,DB_Agents!$B:$I,8,0),"")=H179,IF(AND(A179&lt;&gt;"",E179&lt;&gt;""),"Saved","Pending"),"🔒 BLOCKED — Wrong Code")))</f>
        <v/>
      </c>
      <c r="J179" s="493">
        <f>IF(I179="Saved",TEXT(TODAY(),"YYYY-MM-DD")&amp;" Auto","—")</f>
        <v/>
      </c>
      <c r="K179" s="494" t="n"/>
    </row>
    <row r="180" ht="15" customHeight="1" s="341">
      <c r="A180" s="495" t="n"/>
      <c r="B180" s="382">
        <f>IF(A180="","",IFERROR(VLOOKUP(A180,DB_Customers!$A:$D,4,0),"❌ Account Not Found"))</f>
        <v/>
      </c>
      <c r="C180" s="496">
        <f>IF(A180="","",IFERROR(VLOOKUP(A180,DB_Customers!$A:$N,14,0),""))</f>
        <v/>
      </c>
      <c r="D180" s="497">
        <f>IF(A180="","",TODAY())</f>
        <v/>
      </c>
      <c r="E180" s="489" t="n"/>
      <c r="F180" s="498">
        <f>IF(OR(A180="",E180=""),"",IF(C180="","",C180+E180))</f>
        <v/>
      </c>
      <c r="G180" s="384" t="inlineStr">
        <is>
          <t>Agent 06</t>
        </is>
      </c>
      <c r="H180" s="491" t="n"/>
      <c r="I180" s="499">
        <f>IF(A180="","Pending",IF(H180="","⚠️ Enter Code",IF(IFERROR(VLOOKUP(G180,DB_Agents!$B:$I,8,0),"")=H180,IF(AND(A180&lt;&gt;"",E180&lt;&gt;""),"Saved","Pending"),"🔒 BLOCKED — Wrong Code")))</f>
        <v/>
      </c>
      <c r="J180" s="500">
        <f>IF(I180="Saved",TEXT(TODAY(),"YYYY-MM-DD")&amp;" Auto","—")</f>
        <v/>
      </c>
      <c r="K180" s="501" t="n"/>
    </row>
    <row r="181" ht="15" customHeight="1" s="341">
      <c r="A181" s="486" t="n"/>
      <c r="B181" s="378">
        <f>IF(A181="","",IFERROR(VLOOKUP(A181,DB_Customers!$A:$D,4,0),"❌ Account Not Found"))</f>
        <v/>
      </c>
      <c r="C181" s="487">
        <f>IF(A181="","",IFERROR(VLOOKUP(A181,DB_Customers!$A:$N,14,0),""))</f>
        <v/>
      </c>
      <c r="D181" s="488">
        <f>IF(A181="","",TODAY())</f>
        <v/>
      </c>
      <c r="E181" s="489" t="n"/>
      <c r="F181" s="490">
        <f>IF(OR(A181="",E181=""),"",IF(C181="","",C181+E181))</f>
        <v/>
      </c>
      <c r="G181" s="380" t="inlineStr">
        <is>
          <t>Agent 06</t>
        </is>
      </c>
      <c r="H181" s="491" t="n"/>
      <c r="I181" s="492">
        <f>IF(A181="","Pending",IF(H181="","⚠️ Enter Code",IF(IFERROR(VLOOKUP(G181,DB_Agents!$B:$I,8,0),"")=H181,IF(AND(A181&lt;&gt;"",E181&lt;&gt;""),"Saved","Pending"),"🔒 BLOCKED — Wrong Code")))</f>
        <v/>
      </c>
      <c r="J181" s="493">
        <f>IF(I181="Saved",TEXT(TODAY(),"YYYY-MM-DD")&amp;" Auto","—")</f>
        <v/>
      </c>
      <c r="K181" s="494" t="n"/>
    </row>
    <row r="182" ht="15" customHeight="1" s="341">
      <c r="A182" s="495" t="n"/>
      <c r="B182" s="382">
        <f>IF(A182="","",IFERROR(VLOOKUP(A182,DB_Customers!$A:$D,4,0),"❌ Account Not Found"))</f>
        <v/>
      </c>
      <c r="C182" s="496">
        <f>IF(A182="","",IFERROR(VLOOKUP(A182,DB_Customers!$A:$N,14,0),""))</f>
        <v/>
      </c>
      <c r="D182" s="497">
        <f>IF(A182="","",TODAY())</f>
        <v/>
      </c>
      <c r="E182" s="489" t="n"/>
      <c r="F182" s="498">
        <f>IF(OR(A182="",E182=""),"",IF(C182="","",C182+E182))</f>
        <v/>
      </c>
      <c r="G182" s="384" t="inlineStr">
        <is>
          <t>Agent 06</t>
        </is>
      </c>
      <c r="H182" s="491" t="n"/>
      <c r="I182" s="499">
        <f>IF(A182="","Pending",IF(H182="","⚠️ Enter Code",IF(IFERROR(VLOOKUP(G182,DB_Agents!$B:$I,8,0),"")=H182,IF(AND(A182&lt;&gt;"",E182&lt;&gt;""),"Saved","Pending"),"🔒 BLOCKED — Wrong Code")))</f>
        <v/>
      </c>
      <c r="J182" s="500">
        <f>IF(I182="Saved",TEXT(TODAY(),"YYYY-MM-DD")&amp;" Auto","—")</f>
        <v/>
      </c>
      <c r="K182" s="501" t="n"/>
    </row>
    <row r="183" ht="15" customHeight="1" s="341">
      <c r="A183" s="486" t="n"/>
      <c r="B183" s="378">
        <f>IF(A183="","",IFERROR(VLOOKUP(A183,DB_Customers!$A:$D,4,0),"❌ Account Not Found"))</f>
        <v/>
      </c>
      <c r="C183" s="487">
        <f>IF(A183="","",IFERROR(VLOOKUP(A183,DB_Customers!$A:$N,14,0),""))</f>
        <v/>
      </c>
      <c r="D183" s="488">
        <f>IF(A183="","",TODAY())</f>
        <v/>
      </c>
      <c r="E183" s="489" t="n"/>
      <c r="F183" s="490">
        <f>IF(OR(A183="",E183=""),"",IF(C183="","",C183+E183))</f>
        <v/>
      </c>
      <c r="G183" s="380" t="inlineStr">
        <is>
          <t>Agent 06</t>
        </is>
      </c>
      <c r="H183" s="491" t="n"/>
      <c r="I183" s="492">
        <f>IF(A183="","Pending",IF(H183="","⚠️ Enter Code",IF(IFERROR(VLOOKUP(G183,DB_Agents!$B:$I,8,0),"")=H183,IF(AND(A183&lt;&gt;"",E183&lt;&gt;""),"Saved","Pending"),"🔒 BLOCKED — Wrong Code")))</f>
        <v/>
      </c>
      <c r="J183" s="493">
        <f>IF(I183="Saved",TEXT(TODAY(),"YYYY-MM-DD")&amp;" Auto","—")</f>
        <v/>
      </c>
      <c r="K183" s="494" t="n"/>
    </row>
    <row r="184" ht="15" customHeight="1" s="341">
      <c r="A184" s="495" t="n"/>
      <c r="B184" s="382">
        <f>IF(A184="","",IFERROR(VLOOKUP(A184,DB_Customers!$A:$D,4,0),"❌ Account Not Found"))</f>
        <v/>
      </c>
      <c r="C184" s="496">
        <f>IF(A184="","",IFERROR(VLOOKUP(A184,DB_Customers!$A:$N,14,0),""))</f>
        <v/>
      </c>
      <c r="D184" s="497">
        <f>IF(A184="","",TODAY())</f>
        <v/>
      </c>
      <c r="E184" s="489" t="n"/>
      <c r="F184" s="498">
        <f>IF(OR(A184="",E184=""),"",IF(C184="","",C184+E184))</f>
        <v/>
      </c>
      <c r="G184" s="384" t="inlineStr">
        <is>
          <t>Agent 06</t>
        </is>
      </c>
      <c r="H184" s="491" t="n"/>
      <c r="I184" s="499">
        <f>IF(A184="","Pending",IF(H184="","⚠️ Enter Code",IF(IFERROR(VLOOKUP(G184,DB_Agents!$B:$I,8,0),"")=H184,IF(AND(A184&lt;&gt;"",E184&lt;&gt;""),"Saved","Pending"),"🔒 BLOCKED — Wrong Code")))</f>
        <v/>
      </c>
      <c r="J184" s="500">
        <f>IF(I184="Saved",TEXT(TODAY(),"YYYY-MM-DD")&amp;" Auto","—")</f>
        <v/>
      </c>
      <c r="K184" s="501" t="n"/>
    </row>
    <row r="185" ht="15" customHeight="1" s="341">
      <c r="A185" s="486" t="n"/>
      <c r="B185" s="378">
        <f>IF(A185="","",IFERROR(VLOOKUP(A185,DB_Customers!$A:$D,4,0),"❌ Account Not Found"))</f>
        <v/>
      </c>
      <c r="C185" s="487">
        <f>IF(A185="","",IFERROR(VLOOKUP(A185,DB_Customers!$A:$N,14,0),""))</f>
        <v/>
      </c>
      <c r="D185" s="488">
        <f>IF(A185="","",TODAY())</f>
        <v/>
      </c>
      <c r="E185" s="489" t="n"/>
      <c r="F185" s="490">
        <f>IF(OR(A185="",E185=""),"",IF(C185="","",C185+E185))</f>
        <v/>
      </c>
      <c r="G185" s="380" t="inlineStr">
        <is>
          <t>Agent 06</t>
        </is>
      </c>
      <c r="H185" s="491" t="n"/>
      <c r="I185" s="492">
        <f>IF(A185="","Pending",IF(H185="","⚠️ Enter Code",IF(IFERROR(VLOOKUP(G185,DB_Agents!$B:$I,8,0),"")=H185,IF(AND(A185&lt;&gt;"",E185&lt;&gt;""),"Saved","Pending"),"🔒 BLOCKED — Wrong Code")))</f>
        <v/>
      </c>
      <c r="J185" s="493">
        <f>IF(I185="Saved",TEXT(TODAY(),"YYYY-MM-DD")&amp;" Auto","—")</f>
        <v/>
      </c>
      <c r="K185" s="494" t="n"/>
    </row>
    <row r="186" ht="15" customHeight="1" s="341">
      <c r="A186" s="495" t="n"/>
      <c r="B186" s="382">
        <f>IF(A186="","",IFERROR(VLOOKUP(A186,DB_Customers!$A:$D,4,0),"❌ Account Not Found"))</f>
        <v/>
      </c>
      <c r="C186" s="496">
        <f>IF(A186="","",IFERROR(VLOOKUP(A186,DB_Customers!$A:$N,14,0),""))</f>
        <v/>
      </c>
      <c r="D186" s="497">
        <f>IF(A186="","",TODAY())</f>
        <v/>
      </c>
      <c r="E186" s="489" t="n"/>
      <c r="F186" s="498">
        <f>IF(OR(A186="",E186=""),"",IF(C186="","",C186+E186))</f>
        <v/>
      </c>
      <c r="G186" s="384" t="inlineStr">
        <is>
          <t>Agent 06</t>
        </is>
      </c>
      <c r="H186" s="491" t="n"/>
      <c r="I186" s="499">
        <f>IF(A186="","Pending",IF(H186="","⚠️ Enter Code",IF(IFERROR(VLOOKUP(G186,DB_Agents!$B:$I,8,0),"")=H186,IF(AND(A186&lt;&gt;"",E186&lt;&gt;""),"Saved","Pending"),"🔒 BLOCKED — Wrong Code")))</f>
        <v/>
      </c>
      <c r="J186" s="500">
        <f>IF(I186="Saved",TEXT(TODAY(),"YYYY-MM-DD")&amp;" Auto","—")</f>
        <v/>
      </c>
      <c r="K186" s="501" t="n"/>
    </row>
    <row r="187" ht="15" customHeight="1" s="341">
      <c r="A187" s="486" t="n"/>
      <c r="B187" s="378">
        <f>IF(A187="","",IFERROR(VLOOKUP(A187,DB_Customers!$A:$D,4,0),"❌ Account Not Found"))</f>
        <v/>
      </c>
      <c r="C187" s="487">
        <f>IF(A187="","",IFERROR(VLOOKUP(A187,DB_Customers!$A:$N,14,0),""))</f>
        <v/>
      </c>
      <c r="D187" s="488">
        <f>IF(A187="","",TODAY())</f>
        <v/>
      </c>
      <c r="E187" s="489" t="n"/>
      <c r="F187" s="490">
        <f>IF(OR(A187="",E187=""),"",IF(C187="","",C187+E187))</f>
        <v/>
      </c>
      <c r="G187" s="380" t="inlineStr">
        <is>
          <t>Agent 06</t>
        </is>
      </c>
      <c r="H187" s="491" t="n"/>
      <c r="I187" s="492">
        <f>IF(A187="","Pending",IF(H187="","⚠️ Enter Code",IF(IFERROR(VLOOKUP(G187,DB_Agents!$B:$I,8,0),"")=H187,IF(AND(A187&lt;&gt;"",E187&lt;&gt;""),"Saved","Pending"),"🔒 BLOCKED — Wrong Code")))</f>
        <v/>
      </c>
      <c r="J187" s="493">
        <f>IF(I187="Saved",TEXT(TODAY(),"YYYY-MM-DD")&amp;" Auto","—")</f>
        <v/>
      </c>
      <c r="K187" s="494" t="n"/>
    </row>
    <row r="188" ht="15" customHeight="1" s="341">
      <c r="A188" s="495" t="n"/>
      <c r="B188" s="382">
        <f>IF(A188="","",IFERROR(VLOOKUP(A188,DB_Customers!$A:$D,4,0),"❌ Account Not Found"))</f>
        <v/>
      </c>
      <c r="C188" s="496">
        <f>IF(A188="","",IFERROR(VLOOKUP(A188,DB_Customers!$A:$N,14,0),""))</f>
        <v/>
      </c>
      <c r="D188" s="497">
        <f>IF(A188="","",TODAY())</f>
        <v/>
      </c>
      <c r="E188" s="489" t="n"/>
      <c r="F188" s="498">
        <f>IF(OR(A188="",E188=""),"",IF(C188="","",C188+E188))</f>
        <v/>
      </c>
      <c r="G188" s="384" t="inlineStr">
        <is>
          <t>Agent 06</t>
        </is>
      </c>
      <c r="H188" s="491" t="n"/>
      <c r="I188" s="499">
        <f>IF(A188="","Pending",IF(H188="","⚠️ Enter Code",IF(IFERROR(VLOOKUP(G188,DB_Agents!$B:$I,8,0),"")=H188,IF(AND(A188&lt;&gt;"",E188&lt;&gt;""),"Saved","Pending"),"🔒 BLOCKED — Wrong Code")))</f>
        <v/>
      </c>
      <c r="J188" s="500">
        <f>IF(I188="Saved",TEXT(TODAY(),"YYYY-MM-DD")&amp;" Auto","—")</f>
        <v/>
      </c>
      <c r="K188" s="501" t="n"/>
    </row>
    <row r="189" ht="15" customHeight="1" s="341">
      <c r="A189" s="486" t="n"/>
      <c r="B189" s="378">
        <f>IF(A189="","",IFERROR(VLOOKUP(A189,DB_Customers!$A:$D,4,0),"❌ Account Not Found"))</f>
        <v/>
      </c>
      <c r="C189" s="487">
        <f>IF(A189="","",IFERROR(VLOOKUP(A189,DB_Customers!$A:$N,14,0),""))</f>
        <v/>
      </c>
      <c r="D189" s="488">
        <f>IF(A189="","",TODAY())</f>
        <v/>
      </c>
      <c r="E189" s="489" t="n"/>
      <c r="F189" s="490">
        <f>IF(OR(A189="",E189=""),"",IF(C189="","",C189+E189))</f>
        <v/>
      </c>
      <c r="G189" s="380" t="inlineStr">
        <is>
          <t>Agent 06</t>
        </is>
      </c>
      <c r="H189" s="491" t="n"/>
      <c r="I189" s="492">
        <f>IF(A189="","Pending",IF(H189="","⚠️ Enter Code",IF(IFERROR(VLOOKUP(G189,DB_Agents!$B:$I,8,0),"")=H189,IF(AND(A189&lt;&gt;"",E189&lt;&gt;""),"Saved","Pending"),"🔒 BLOCKED — Wrong Code")))</f>
        <v/>
      </c>
      <c r="J189" s="493">
        <f>IF(I189="Saved",TEXT(TODAY(),"YYYY-MM-DD")&amp;" Auto","—")</f>
        <v/>
      </c>
      <c r="K189" s="494" t="n"/>
    </row>
    <row r="190" ht="15" customHeight="1" s="341">
      <c r="A190" s="495" t="n"/>
      <c r="B190" s="382">
        <f>IF(A190="","",IFERROR(VLOOKUP(A190,DB_Customers!$A:$D,4,0),"❌ Account Not Found"))</f>
        <v/>
      </c>
      <c r="C190" s="496">
        <f>IF(A190="","",IFERROR(VLOOKUP(A190,DB_Customers!$A:$N,14,0),""))</f>
        <v/>
      </c>
      <c r="D190" s="497">
        <f>IF(A190="","",TODAY())</f>
        <v/>
      </c>
      <c r="E190" s="489" t="n"/>
      <c r="F190" s="498">
        <f>IF(OR(A190="",E190=""),"",IF(C190="","",C190+E190))</f>
        <v/>
      </c>
      <c r="G190" s="384" t="inlineStr">
        <is>
          <t>Agent 06</t>
        </is>
      </c>
      <c r="H190" s="491" t="n"/>
      <c r="I190" s="499">
        <f>IF(A190="","Pending",IF(H190="","⚠️ Enter Code",IF(IFERROR(VLOOKUP(G190,DB_Agents!$B:$I,8,0),"")=H190,IF(AND(A190&lt;&gt;"",E190&lt;&gt;""),"Saved","Pending"),"🔒 BLOCKED — Wrong Code")))</f>
        <v/>
      </c>
      <c r="J190" s="500">
        <f>IF(I190="Saved",TEXT(TODAY(),"YYYY-MM-DD")&amp;" Auto","—")</f>
        <v/>
      </c>
      <c r="K190" s="501" t="n"/>
    </row>
    <row r="191" ht="15" customHeight="1" s="341">
      <c r="A191" s="486" t="n"/>
      <c r="B191" s="378">
        <f>IF(A191="","",IFERROR(VLOOKUP(A191,DB_Customers!$A:$D,4,0),"❌ Account Not Found"))</f>
        <v/>
      </c>
      <c r="C191" s="487">
        <f>IF(A191="","",IFERROR(VLOOKUP(A191,DB_Customers!$A:$N,14,0),""))</f>
        <v/>
      </c>
      <c r="D191" s="488">
        <f>IF(A191="","",TODAY())</f>
        <v/>
      </c>
      <c r="E191" s="489" t="n"/>
      <c r="F191" s="490">
        <f>IF(OR(A191="",E191=""),"",IF(C191="","",C191+E191))</f>
        <v/>
      </c>
      <c r="G191" s="380" t="inlineStr">
        <is>
          <t>Agent 06</t>
        </is>
      </c>
      <c r="H191" s="491" t="n"/>
      <c r="I191" s="492">
        <f>IF(A191="","Pending",IF(H191="","⚠️ Enter Code",IF(IFERROR(VLOOKUP(G191,DB_Agents!$B:$I,8,0),"")=H191,IF(AND(A191&lt;&gt;"",E191&lt;&gt;""),"Saved","Pending"),"🔒 BLOCKED — Wrong Code")))</f>
        <v/>
      </c>
      <c r="J191" s="493">
        <f>IF(I191="Saved",TEXT(TODAY(),"YYYY-MM-DD")&amp;" Auto","—")</f>
        <v/>
      </c>
      <c r="K191" s="494" t="n"/>
    </row>
    <row r="192" ht="15" customHeight="1" s="341">
      <c r="A192" s="495" t="n"/>
      <c r="B192" s="382">
        <f>IF(A192="","",IFERROR(VLOOKUP(A192,DB_Customers!$A:$D,4,0),"❌ Account Not Found"))</f>
        <v/>
      </c>
      <c r="C192" s="496">
        <f>IF(A192="","",IFERROR(VLOOKUP(A192,DB_Customers!$A:$N,14,0),""))</f>
        <v/>
      </c>
      <c r="D192" s="497">
        <f>IF(A192="","",TODAY())</f>
        <v/>
      </c>
      <c r="E192" s="489" t="n"/>
      <c r="F192" s="498">
        <f>IF(OR(A192="",E192=""),"",IF(C192="","",C192+E192))</f>
        <v/>
      </c>
      <c r="G192" s="384" t="inlineStr">
        <is>
          <t>Agent 06</t>
        </is>
      </c>
      <c r="H192" s="491" t="n"/>
      <c r="I192" s="499">
        <f>IF(A192="","Pending",IF(H192="","⚠️ Enter Code",IF(IFERROR(VLOOKUP(G192,DB_Agents!$B:$I,8,0),"")=H192,IF(AND(A192&lt;&gt;"",E192&lt;&gt;""),"Saved","Pending"),"🔒 BLOCKED — Wrong Code")))</f>
        <v/>
      </c>
      <c r="J192" s="500">
        <f>IF(I192="Saved",TEXT(TODAY(),"YYYY-MM-DD")&amp;" Auto","—")</f>
        <v/>
      </c>
      <c r="K192" s="501" t="n"/>
    </row>
    <row r="193" ht="15" customHeight="1" s="341">
      <c r="A193" s="486" t="n"/>
      <c r="B193" s="378">
        <f>IF(A193="","",IFERROR(VLOOKUP(A193,DB_Customers!$A:$D,4,0),"❌ Account Not Found"))</f>
        <v/>
      </c>
      <c r="C193" s="487">
        <f>IF(A193="","",IFERROR(VLOOKUP(A193,DB_Customers!$A:$N,14,0),""))</f>
        <v/>
      </c>
      <c r="D193" s="488">
        <f>IF(A193="","",TODAY())</f>
        <v/>
      </c>
      <c r="E193" s="489" t="n"/>
      <c r="F193" s="490">
        <f>IF(OR(A193="",E193=""),"",IF(C193="","",C193+E193))</f>
        <v/>
      </c>
      <c r="G193" s="380" t="inlineStr">
        <is>
          <t>Agent 06</t>
        </is>
      </c>
      <c r="H193" s="491" t="n"/>
      <c r="I193" s="492">
        <f>IF(A193="","Pending",IF(H193="","⚠️ Enter Code",IF(IFERROR(VLOOKUP(G193,DB_Agents!$B:$I,8,0),"")=H193,IF(AND(A193&lt;&gt;"",E193&lt;&gt;""),"Saved","Pending"),"🔒 BLOCKED — Wrong Code")))</f>
        <v/>
      </c>
      <c r="J193" s="493">
        <f>IF(I193="Saved",TEXT(TODAY(),"YYYY-MM-DD")&amp;" Auto","—")</f>
        <v/>
      </c>
      <c r="K193" s="494" t="n"/>
    </row>
    <row r="194" ht="15" customHeight="1" s="341">
      <c r="A194" s="495" t="n"/>
      <c r="B194" s="382">
        <f>IF(A194="","",IFERROR(VLOOKUP(A194,DB_Customers!$A:$D,4,0),"❌ Account Not Found"))</f>
        <v/>
      </c>
      <c r="C194" s="496">
        <f>IF(A194="","",IFERROR(VLOOKUP(A194,DB_Customers!$A:$N,14,0),""))</f>
        <v/>
      </c>
      <c r="D194" s="497">
        <f>IF(A194="","",TODAY())</f>
        <v/>
      </c>
      <c r="E194" s="489" t="n"/>
      <c r="F194" s="498">
        <f>IF(OR(A194="",E194=""),"",IF(C194="","",C194+E194))</f>
        <v/>
      </c>
      <c r="G194" s="384" t="inlineStr">
        <is>
          <t>Agent 06</t>
        </is>
      </c>
      <c r="H194" s="491" t="n"/>
      <c r="I194" s="499">
        <f>IF(A194="","Pending",IF(H194="","⚠️ Enter Code",IF(IFERROR(VLOOKUP(G194,DB_Agents!$B:$I,8,0),"")=H194,IF(AND(A194&lt;&gt;"",E194&lt;&gt;""),"Saved","Pending"),"🔒 BLOCKED — Wrong Code")))</f>
        <v/>
      </c>
      <c r="J194" s="500">
        <f>IF(I194="Saved",TEXT(TODAY(),"YYYY-MM-DD")&amp;" Auto","—")</f>
        <v/>
      </c>
      <c r="K194" s="501" t="n"/>
    </row>
    <row r="195" ht="15" customHeight="1" s="341">
      <c r="A195" s="486" t="n"/>
      <c r="B195" s="378">
        <f>IF(A195="","",IFERROR(VLOOKUP(A195,DB_Customers!$A:$D,4,0),"❌ Account Not Found"))</f>
        <v/>
      </c>
      <c r="C195" s="487">
        <f>IF(A195="","",IFERROR(VLOOKUP(A195,DB_Customers!$A:$N,14,0),""))</f>
        <v/>
      </c>
      <c r="D195" s="488">
        <f>IF(A195="","",TODAY())</f>
        <v/>
      </c>
      <c r="E195" s="489" t="n"/>
      <c r="F195" s="490">
        <f>IF(OR(A195="",E195=""),"",IF(C195="","",C195+E195))</f>
        <v/>
      </c>
      <c r="G195" s="380" t="inlineStr">
        <is>
          <t>Agent 06</t>
        </is>
      </c>
      <c r="H195" s="491" t="n"/>
      <c r="I195" s="492">
        <f>IF(A195="","Pending",IF(H195="","⚠️ Enter Code",IF(IFERROR(VLOOKUP(G195,DB_Agents!$B:$I,8,0),"")=H195,IF(AND(A195&lt;&gt;"",E195&lt;&gt;""),"Saved","Pending"),"🔒 BLOCKED — Wrong Code")))</f>
        <v/>
      </c>
      <c r="J195" s="493">
        <f>IF(I195="Saved",TEXT(TODAY(),"YYYY-MM-DD")&amp;" Auto","—")</f>
        <v/>
      </c>
      <c r="K195" s="494" t="n"/>
    </row>
    <row r="196" ht="15" customHeight="1" s="341">
      <c r="A196" s="495" t="n"/>
      <c r="B196" s="382">
        <f>IF(A196="","",IFERROR(VLOOKUP(A196,DB_Customers!$A:$D,4,0),"❌ Account Not Found"))</f>
        <v/>
      </c>
      <c r="C196" s="496">
        <f>IF(A196="","",IFERROR(VLOOKUP(A196,DB_Customers!$A:$N,14,0),""))</f>
        <v/>
      </c>
      <c r="D196" s="497">
        <f>IF(A196="","",TODAY())</f>
        <v/>
      </c>
      <c r="E196" s="489" t="n"/>
      <c r="F196" s="498">
        <f>IF(OR(A196="",E196=""),"",IF(C196="","",C196+E196))</f>
        <v/>
      </c>
      <c r="G196" s="384" t="inlineStr">
        <is>
          <t>Agent 06</t>
        </is>
      </c>
      <c r="H196" s="491" t="n"/>
      <c r="I196" s="499">
        <f>IF(A196="","Pending",IF(H196="","⚠️ Enter Code",IF(IFERROR(VLOOKUP(G196,DB_Agents!$B:$I,8,0),"")=H196,IF(AND(A196&lt;&gt;"",E196&lt;&gt;""),"Saved","Pending"),"🔒 BLOCKED — Wrong Code")))</f>
        <v/>
      </c>
      <c r="J196" s="500">
        <f>IF(I196="Saved",TEXT(TODAY(),"YYYY-MM-DD")&amp;" Auto","—")</f>
        <v/>
      </c>
      <c r="K196" s="501" t="n"/>
    </row>
    <row r="197" ht="15" customHeight="1" s="341">
      <c r="A197" s="486" t="n"/>
      <c r="B197" s="378">
        <f>IF(A197="","",IFERROR(VLOOKUP(A197,DB_Customers!$A:$D,4,0),"❌ Account Not Found"))</f>
        <v/>
      </c>
      <c r="C197" s="487">
        <f>IF(A197="","",IFERROR(VLOOKUP(A197,DB_Customers!$A:$N,14,0),""))</f>
        <v/>
      </c>
      <c r="D197" s="488">
        <f>IF(A197="","",TODAY())</f>
        <v/>
      </c>
      <c r="E197" s="489" t="n"/>
      <c r="F197" s="490">
        <f>IF(OR(A197="",E197=""),"",IF(C197="","",C197+E197))</f>
        <v/>
      </c>
      <c r="G197" s="380" t="inlineStr">
        <is>
          <t>Agent 06</t>
        </is>
      </c>
      <c r="H197" s="491" t="n"/>
      <c r="I197" s="492">
        <f>IF(A197="","Pending",IF(H197="","⚠️ Enter Code",IF(IFERROR(VLOOKUP(G197,DB_Agents!$B:$I,8,0),"")=H197,IF(AND(A197&lt;&gt;"",E197&lt;&gt;""),"Saved","Pending"),"🔒 BLOCKED — Wrong Code")))</f>
        <v/>
      </c>
      <c r="J197" s="493">
        <f>IF(I197="Saved",TEXT(TODAY(),"YYYY-MM-DD")&amp;" Auto","—")</f>
        <v/>
      </c>
      <c r="K197" s="494" t="n"/>
    </row>
    <row r="198" ht="15" customHeight="1" s="341">
      <c r="A198" s="495" t="n"/>
      <c r="B198" s="382">
        <f>IF(A198="","",IFERROR(VLOOKUP(A198,DB_Customers!$A:$D,4,0),"❌ Account Not Found"))</f>
        <v/>
      </c>
      <c r="C198" s="496">
        <f>IF(A198="","",IFERROR(VLOOKUP(A198,DB_Customers!$A:$N,14,0),""))</f>
        <v/>
      </c>
      <c r="D198" s="497">
        <f>IF(A198="","",TODAY())</f>
        <v/>
      </c>
      <c r="E198" s="489" t="n"/>
      <c r="F198" s="498">
        <f>IF(OR(A198="",E198=""),"",IF(C198="","",C198+E198))</f>
        <v/>
      </c>
      <c r="G198" s="384" t="inlineStr">
        <is>
          <t>Agent 06</t>
        </is>
      </c>
      <c r="H198" s="491" t="n"/>
      <c r="I198" s="499">
        <f>IF(A198="","Pending",IF(H198="","⚠️ Enter Code",IF(IFERROR(VLOOKUP(G198,DB_Agents!$B:$I,8,0),"")=H198,IF(AND(A198&lt;&gt;"",E198&lt;&gt;""),"Saved","Pending"),"🔒 BLOCKED — Wrong Code")))</f>
        <v/>
      </c>
      <c r="J198" s="500">
        <f>IF(I198="Saved",TEXT(TODAY(),"YYYY-MM-DD")&amp;" Auto","—")</f>
        <v/>
      </c>
      <c r="K198" s="501" t="n"/>
    </row>
    <row r="199" ht="15" customHeight="1" s="341">
      <c r="A199" s="486" t="n"/>
      <c r="B199" s="378">
        <f>IF(A199="","",IFERROR(VLOOKUP(A199,DB_Customers!$A:$D,4,0),"❌ Account Not Found"))</f>
        <v/>
      </c>
      <c r="C199" s="487">
        <f>IF(A199="","",IFERROR(VLOOKUP(A199,DB_Customers!$A:$N,14,0),""))</f>
        <v/>
      </c>
      <c r="D199" s="488">
        <f>IF(A199="","",TODAY())</f>
        <v/>
      </c>
      <c r="E199" s="489" t="n"/>
      <c r="F199" s="490">
        <f>IF(OR(A199="",E199=""),"",IF(C199="","",C199+E199))</f>
        <v/>
      </c>
      <c r="G199" s="380" t="inlineStr">
        <is>
          <t>Agent 06</t>
        </is>
      </c>
      <c r="H199" s="491" t="n"/>
      <c r="I199" s="492">
        <f>IF(A199="","Pending",IF(H199="","⚠️ Enter Code",IF(IFERROR(VLOOKUP(G199,DB_Agents!$B:$I,8,0),"")=H199,IF(AND(A199&lt;&gt;"",E199&lt;&gt;""),"Saved","Pending"),"🔒 BLOCKED — Wrong Code")))</f>
        <v/>
      </c>
      <c r="J199" s="493">
        <f>IF(I199="Saved",TEXT(TODAY(),"YYYY-MM-DD")&amp;" Auto","—")</f>
        <v/>
      </c>
      <c r="K199" s="494" t="n"/>
    </row>
    <row r="200" ht="15" customHeight="1" s="341">
      <c r="A200" s="495" t="n"/>
      <c r="B200" s="382">
        <f>IF(A200="","",IFERROR(VLOOKUP(A200,DB_Customers!$A:$D,4,0),"❌ Account Not Found"))</f>
        <v/>
      </c>
      <c r="C200" s="496">
        <f>IF(A200="","",IFERROR(VLOOKUP(A200,DB_Customers!$A:$N,14,0),""))</f>
        <v/>
      </c>
      <c r="D200" s="497">
        <f>IF(A200="","",TODAY())</f>
        <v/>
      </c>
      <c r="E200" s="489" t="n"/>
      <c r="F200" s="498">
        <f>IF(OR(A200="",E200=""),"",IF(C200="","",C200+E200))</f>
        <v/>
      </c>
      <c r="G200" s="384" t="inlineStr">
        <is>
          <t>Agent 06</t>
        </is>
      </c>
      <c r="H200" s="491" t="n"/>
      <c r="I200" s="499">
        <f>IF(A200="","Pending",IF(H200="","⚠️ Enter Code",IF(IFERROR(VLOOKUP(G200,DB_Agents!$B:$I,8,0),"")=H200,IF(AND(A200&lt;&gt;"",E200&lt;&gt;""),"Saved","Pending"),"🔒 BLOCKED — Wrong Code")))</f>
        <v/>
      </c>
      <c r="J200" s="500">
        <f>IF(I200="Saved",TEXT(TODAY(),"YYYY-MM-DD")&amp;" Auto","—")</f>
        <v/>
      </c>
      <c r="K200" s="501" t="n"/>
    </row>
    <row r="201" ht="15" customHeight="1" s="341">
      <c r="A201" s="486" t="n"/>
      <c r="B201" s="378">
        <f>IF(A201="","",IFERROR(VLOOKUP(A201,DB_Customers!$A:$D,4,0),"❌ Account Not Found"))</f>
        <v/>
      </c>
      <c r="C201" s="487">
        <f>IF(A201="","",IFERROR(VLOOKUP(A201,DB_Customers!$A:$N,14,0),""))</f>
        <v/>
      </c>
      <c r="D201" s="488">
        <f>IF(A201="","",TODAY())</f>
        <v/>
      </c>
      <c r="E201" s="489" t="n"/>
      <c r="F201" s="490">
        <f>IF(OR(A201="",E201=""),"",IF(C201="","",C201+E201))</f>
        <v/>
      </c>
      <c r="G201" s="380" t="inlineStr">
        <is>
          <t>Agent 06</t>
        </is>
      </c>
      <c r="H201" s="491" t="n"/>
      <c r="I201" s="492">
        <f>IF(A201="","Pending",IF(H201="","⚠️ Enter Code",IF(IFERROR(VLOOKUP(G201,DB_Agents!$B:$I,8,0),"")=H201,IF(AND(A201&lt;&gt;"",E201&lt;&gt;""),"Saved","Pending"),"🔒 BLOCKED — Wrong Code")))</f>
        <v/>
      </c>
      <c r="J201" s="493">
        <f>IF(I201="Saved",TEXT(TODAY(),"YYYY-MM-DD")&amp;" Auto","—")</f>
        <v/>
      </c>
      <c r="K201" s="494" t="n"/>
    </row>
    <row r="202" ht="15" customHeight="1" s="341">
      <c r="A202" s="495" t="n"/>
      <c r="B202" s="382">
        <f>IF(A202="","",IFERROR(VLOOKUP(A202,DB_Customers!$A:$D,4,0),"❌ Account Not Found"))</f>
        <v/>
      </c>
      <c r="C202" s="496">
        <f>IF(A202="","",IFERROR(VLOOKUP(A202,DB_Customers!$A:$N,14,0),""))</f>
        <v/>
      </c>
      <c r="D202" s="497">
        <f>IF(A202="","",TODAY())</f>
        <v/>
      </c>
      <c r="E202" s="489" t="n"/>
      <c r="F202" s="498">
        <f>IF(OR(A202="",E202=""),"",IF(C202="","",C202+E202))</f>
        <v/>
      </c>
      <c r="G202" s="384" t="inlineStr">
        <is>
          <t>Agent 06</t>
        </is>
      </c>
      <c r="H202" s="491" t="n"/>
      <c r="I202" s="499">
        <f>IF(A202="","Pending",IF(H202="","⚠️ Enter Code",IF(IFERROR(VLOOKUP(G202,DB_Agents!$B:$I,8,0),"")=H202,IF(AND(A202&lt;&gt;"",E202&lt;&gt;""),"Saved","Pending"),"🔒 BLOCKED — Wrong Code")))</f>
        <v/>
      </c>
      <c r="J202" s="500">
        <f>IF(I202="Saved",TEXT(TODAY(),"YYYY-MM-DD")&amp;" Auto","—")</f>
        <v/>
      </c>
      <c r="K202" s="501" t="n"/>
    </row>
    <row r="203" ht="15" customHeight="1" s="341">
      <c r="A203" s="486" t="n"/>
      <c r="B203" s="378">
        <f>IF(A203="","",IFERROR(VLOOKUP(A203,DB_Customers!$A:$D,4,0),"❌ Account Not Found"))</f>
        <v/>
      </c>
      <c r="C203" s="487">
        <f>IF(A203="","",IFERROR(VLOOKUP(A203,DB_Customers!$A:$N,14,0),""))</f>
        <v/>
      </c>
      <c r="D203" s="488">
        <f>IF(A203="","",TODAY())</f>
        <v/>
      </c>
      <c r="E203" s="489" t="n"/>
      <c r="F203" s="490">
        <f>IF(OR(A203="",E203=""),"",IF(C203="","",C203+E203))</f>
        <v/>
      </c>
      <c r="G203" s="380" t="inlineStr">
        <is>
          <t>Agent 06</t>
        </is>
      </c>
      <c r="H203" s="491" t="n"/>
      <c r="I203" s="492">
        <f>IF(A203="","Pending",IF(H203="","⚠️ Enter Code",IF(IFERROR(VLOOKUP(G203,DB_Agents!$B:$I,8,0),"")=H203,IF(AND(A203&lt;&gt;"",E203&lt;&gt;""),"Saved","Pending"),"🔒 BLOCKED — Wrong Code")))</f>
        <v/>
      </c>
      <c r="J203" s="493">
        <f>IF(I203="Saved",TEXT(TODAY(),"YYYY-MM-DD")&amp;" Auto","—")</f>
        <v/>
      </c>
      <c r="K203" s="494" t="n"/>
    </row>
    <row r="204" ht="15" customHeight="1" s="341">
      <c r="A204" s="495" t="n"/>
      <c r="B204" s="382">
        <f>IF(A204="","",IFERROR(VLOOKUP(A204,DB_Customers!$A:$D,4,0),"❌ Account Not Found"))</f>
        <v/>
      </c>
      <c r="C204" s="496">
        <f>IF(A204="","",IFERROR(VLOOKUP(A204,DB_Customers!$A:$N,14,0),""))</f>
        <v/>
      </c>
      <c r="D204" s="497">
        <f>IF(A204="","",TODAY())</f>
        <v/>
      </c>
      <c r="E204" s="489" t="n"/>
      <c r="F204" s="498">
        <f>IF(OR(A204="",E204=""),"",IF(C204="","",C204+E204))</f>
        <v/>
      </c>
      <c r="G204" s="384" t="inlineStr">
        <is>
          <t>Agent 06</t>
        </is>
      </c>
      <c r="H204" s="491" t="n"/>
      <c r="I204" s="499">
        <f>IF(A204="","Pending",IF(H204="","⚠️ Enter Code",IF(IFERROR(VLOOKUP(G204,DB_Agents!$B:$I,8,0),"")=H204,IF(AND(A204&lt;&gt;"",E204&lt;&gt;""),"Saved","Pending"),"🔒 BLOCKED — Wrong Code")))</f>
        <v/>
      </c>
      <c r="J204" s="500">
        <f>IF(I204="Saved",TEXT(TODAY(),"YYYY-MM-DD")&amp;" Auto","—")</f>
        <v/>
      </c>
      <c r="K204" s="501" t="n"/>
    </row>
    <row r="205" ht="15" customHeight="1" s="341">
      <c r="A205" s="486" t="n"/>
      <c r="B205" s="378">
        <f>IF(A205="","",IFERROR(VLOOKUP(A205,DB_Customers!$A:$D,4,0),"❌ Account Not Found"))</f>
        <v/>
      </c>
      <c r="C205" s="487">
        <f>IF(A205="","",IFERROR(VLOOKUP(A205,DB_Customers!$A:$N,14,0),""))</f>
        <v/>
      </c>
      <c r="D205" s="488">
        <f>IF(A205="","",TODAY())</f>
        <v/>
      </c>
      <c r="E205" s="489" t="n"/>
      <c r="F205" s="490">
        <f>IF(OR(A205="",E205=""),"",IF(C205="","",C205+E205))</f>
        <v/>
      </c>
      <c r="G205" s="380" t="inlineStr">
        <is>
          <t>Agent 06</t>
        </is>
      </c>
      <c r="H205" s="491" t="n"/>
      <c r="I205" s="492">
        <f>IF(A205="","Pending",IF(H205="","⚠️ Enter Code",IF(IFERROR(VLOOKUP(G205,DB_Agents!$B:$I,8,0),"")=H205,IF(AND(A205&lt;&gt;"",E205&lt;&gt;""),"Saved","Pending"),"🔒 BLOCKED — Wrong Code")))</f>
        <v/>
      </c>
      <c r="J205" s="493">
        <f>IF(I205="Saved",TEXT(TODAY(),"YYYY-MM-DD")&amp;" Auto","—")</f>
        <v/>
      </c>
      <c r="K205" s="494" t="n"/>
    </row>
    <row r="206" ht="15" customHeight="1" s="341">
      <c r="A206" s="495" t="n"/>
      <c r="B206" s="382">
        <f>IF(A206="","",IFERROR(VLOOKUP(A206,DB_Customers!$A:$D,4,0),"❌ Account Not Found"))</f>
        <v/>
      </c>
      <c r="C206" s="496">
        <f>IF(A206="","",IFERROR(VLOOKUP(A206,DB_Customers!$A:$N,14,0),""))</f>
        <v/>
      </c>
      <c r="D206" s="497">
        <f>IF(A206="","",TODAY())</f>
        <v/>
      </c>
      <c r="E206" s="489" t="n"/>
      <c r="F206" s="498">
        <f>IF(OR(A206="",E206=""),"",IF(C206="","",C206+E206))</f>
        <v/>
      </c>
      <c r="G206" s="384" t="inlineStr">
        <is>
          <t>Agent 06</t>
        </is>
      </c>
      <c r="H206" s="491" t="n"/>
      <c r="I206" s="499">
        <f>IF(A206="","Pending",IF(H206="","⚠️ Enter Code",IF(IFERROR(VLOOKUP(G206,DB_Agents!$B:$I,8,0),"")=H206,IF(AND(A206&lt;&gt;"",E206&lt;&gt;""),"Saved","Pending"),"🔒 BLOCKED — Wrong Code")))</f>
        <v/>
      </c>
      <c r="J206" s="500">
        <f>IF(I206="Saved",TEXT(TODAY(),"YYYY-MM-DD")&amp;" Auto","—")</f>
        <v/>
      </c>
      <c r="K206" s="501" t="n"/>
    </row>
    <row r="207" ht="15" customHeight="1" s="341">
      <c r="A207" s="486" t="n"/>
      <c r="B207" s="378">
        <f>IF(A207="","",IFERROR(VLOOKUP(A207,DB_Customers!$A:$D,4,0),"❌ Account Not Found"))</f>
        <v/>
      </c>
      <c r="C207" s="487">
        <f>IF(A207="","",IFERROR(VLOOKUP(A207,DB_Customers!$A:$N,14,0),""))</f>
        <v/>
      </c>
      <c r="D207" s="488">
        <f>IF(A207="","",TODAY())</f>
        <v/>
      </c>
      <c r="E207" s="489" t="n"/>
      <c r="F207" s="490">
        <f>IF(OR(A207="",E207=""),"",IF(C207="","",C207+E207))</f>
        <v/>
      </c>
      <c r="G207" s="380" t="inlineStr">
        <is>
          <t>Agent 06</t>
        </is>
      </c>
      <c r="H207" s="491" t="n"/>
      <c r="I207" s="492">
        <f>IF(A207="","Pending",IF(H207="","⚠️ Enter Code",IF(IFERROR(VLOOKUP(G207,DB_Agents!$B:$I,8,0),"")=H207,IF(AND(A207&lt;&gt;"",E207&lt;&gt;""),"Saved","Pending"),"🔒 BLOCKED — Wrong Code")))</f>
        <v/>
      </c>
      <c r="J207" s="493">
        <f>IF(I207="Saved",TEXT(TODAY(),"YYYY-MM-DD")&amp;" Auto","—")</f>
        <v/>
      </c>
      <c r="K207" s="494" t="n"/>
    </row>
    <row r="208" ht="15" customHeight="1" s="341">
      <c r="A208" s="495" t="n"/>
      <c r="B208" s="382">
        <f>IF(A208="","",IFERROR(VLOOKUP(A208,DB_Customers!$A:$D,4,0),"❌ Account Not Found"))</f>
        <v/>
      </c>
      <c r="C208" s="496">
        <f>IF(A208="","",IFERROR(VLOOKUP(A208,DB_Customers!$A:$N,14,0),""))</f>
        <v/>
      </c>
      <c r="D208" s="497">
        <f>IF(A208="","",TODAY())</f>
        <v/>
      </c>
      <c r="E208" s="489" t="n"/>
      <c r="F208" s="498">
        <f>IF(OR(A208="",E208=""),"",IF(C208="","",C208+E208))</f>
        <v/>
      </c>
      <c r="G208" s="384" t="inlineStr">
        <is>
          <t>Agent 06</t>
        </is>
      </c>
      <c r="H208" s="491" t="n"/>
      <c r="I208" s="499">
        <f>IF(A208="","Pending",IF(H208="","⚠️ Enter Code",IF(IFERROR(VLOOKUP(G208,DB_Agents!$B:$I,8,0),"")=H208,IF(AND(A208&lt;&gt;"",E208&lt;&gt;""),"Saved","Pending"),"🔒 BLOCKED — Wrong Code")))</f>
        <v/>
      </c>
      <c r="J208" s="500">
        <f>IF(I208="Saved",TEXT(TODAY(),"YYYY-MM-DD")&amp;" Auto","—")</f>
        <v/>
      </c>
      <c r="K208" s="501" t="n"/>
    </row>
  </sheetData>
  <mergeCells count="12">
    <mergeCell ref="A2:L2"/>
    <mergeCell ref="A7:L7"/>
    <mergeCell ref="A1:L1"/>
    <mergeCell ref="A5:L5"/>
    <mergeCell ref="D4:F4"/>
    <mergeCell ref="D3:F3"/>
    <mergeCell ref="A3:C3"/>
    <mergeCell ref="G3:I3"/>
    <mergeCell ref="G4:I4"/>
    <mergeCell ref="J4:L4"/>
    <mergeCell ref="A4:C4"/>
    <mergeCell ref="J3:L3"/>
  </mergeCells>
  <conditionalFormatting sqref="H9:H208">
    <cfRule type="cellIs" rank="0" priority="2" equalAverage="0" operator="equal" aboveAverage="0" dxfId="0" text="" percent="0" bottom="0">
      <formula>"Saved"</formula>
    </cfRule>
    <cfRule type="cellIs" rank="0" priority="3" equalAverage="0" operator="equal" aboveAverage="0" dxfId="11" text="" percent="0" bottom="0">
      <formula>"Pending"</formula>
    </cfRule>
  </conditionalFormatting>
  <conditionalFormatting sqref="A9:J208">
    <cfRule type="expression" rank="0" priority="4" equalAverage="0" aboveAverage="0" dxfId="12" text="" percent="0" bottom="0">
      <formula>$H9="Saved"</formula>
    </cfRule>
  </conditionalFormatting>
  <dataValidations count="2">
    <dataValidation sqref="E9:E208" showDropDown="0" showInputMessage="0" showErrorMessage="1" allowBlank="0" error="Must be &gt; 0" type="decimal" errorStyle="stop" operator="greaterThan">
      <formula1>0</formula1>
      <formula2>0</formula2>
    </dataValidation>
    <dataValidation sqref="G9:G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2.xml><?xml version="1.0" encoding="utf-8"?>
<worksheet xmlns="http://schemas.openxmlformats.org/spreadsheetml/2006/main">
  <sheetPr filterMode="0">
    <tabColor rgb="FFC0392B"/>
    <outlinePr summaryBelow="1" summaryRight="1"/>
    <pageSetUpPr fitToPage="0"/>
  </sheetPr>
  <dimension ref="A1:M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5" customWidth="1" style="340" min="7" max="7"/>
    <col width="12" customWidth="1" style="340" min="8" max="8"/>
    <col width="14" customWidth="1" style="340" min="9" max="9"/>
    <col width="22" customWidth="1" style="340" min="10" max="10"/>
    <col width="20" customWidth="1" style="340" min="11" max="11"/>
  </cols>
  <sheetData>
    <row r="1" ht="31.5" customHeight="1" s="341">
      <c r="A1" s="502" t="inlineStr">
        <is>
          <t>🏧  SAMICIOUS MICROFINANCE — AGENT06 WITHDRAWALS</t>
        </is>
      </c>
    </row>
    <row r="2" ht="19.5" customHeight="1" s="341">
      <c r="A2" s="503" t="inlineStr">
        <is>
          <t>Agent: Agent 06  |  Status auto: "Successful" or "Unsuccessful" based on balance check  |  🔑 Security: Enter your 4-digit Agent Code in each row</t>
        </is>
      </c>
    </row>
    <row r="3" ht="18" customHeight="1" s="341">
      <c r="A3" s="365" t="inlineStr">
        <is>
          <t>🏧 Total Withdrawn Today</t>
        </is>
      </c>
      <c r="D3" s="364" t="inlineStr">
        <is>
          <t>✅ Successful</t>
        </is>
      </c>
      <c r="G3" s="368" t="inlineStr">
        <is>
          <t>❌ Unsuccessful</t>
        </is>
      </c>
      <c r="K3" s="439" t="inlineStr">
        <is>
          <t>📅 Date</t>
        </is>
      </c>
    </row>
    <row r="4" ht="27.75" customHeight="1" s="341">
      <c r="A4" s="504">
        <f>SUMIFS(DB_Withdrawals!$G:$G,DB_Withdrawals!$J:$J,"Agent 06",DB_Withdrawals!$F:$F,TODAY())</f>
        <v/>
      </c>
      <c r="D4" s="505">
        <f>COUNTIFS(DB_Withdrawals!$J:$J,"Agent 06",DB_Withdrawals!$K:$K,"Successful",DB_Withdrawals!$F:$F,TODAY())</f>
        <v/>
      </c>
      <c r="G4" s="506">
        <f>COUNTIFS(DB_Withdrawals!$J:$J,"Agent 06",DB_Withdrawals!$K:$K,"Unsuccessful",DB_Withdrawals!$F:$F,TODAY())</f>
        <v/>
      </c>
      <c r="K4" s="482">
        <f>TEXT(TODAY(),"DD MMM YYYY")</f>
        <v/>
      </c>
    </row>
    <row r="5" ht="19.5" customHeight="1" s="341">
      <c r="A5" s="507" t="inlineStr">
        <is>
          <t>⚠️  WITHDRAWALS — System auto-validates balance. Insufficient funds will show "Unsuccessful" status.</t>
        </is>
      </c>
    </row>
    <row r="6" ht="7.5" customHeight="1" s="341"/>
    <row r="7" ht="19.5" customHeight="1" s="341">
      <c r="A7" s="508" t="inlineStr">
        <is>
          <t>📝  ENTRY FORM — Enter Account # → Name, Balance, Date auto-populate. Enter Withdrawal Amount &amp; Authorized By. | Enter Agent Code in 🔑 column to authorize each transaction.</t>
        </is>
      </c>
    </row>
    <row r="8" ht="19.5" customHeight="1" s="341">
      <c r="A8" s="509" t="inlineStr">
        <is>
          <t>Account #</t>
        </is>
      </c>
      <c r="B8" s="509" t="inlineStr">
        <is>
          <t>Customer Name</t>
        </is>
      </c>
      <c r="C8" s="509" t="inlineStr">
        <is>
          <t>Available Balance</t>
        </is>
      </c>
      <c r="D8" s="509" t="inlineStr">
        <is>
          <t>Date</t>
        </is>
      </c>
      <c r="E8" s="509" t="inlineStr">
        <is>
          <t>Withdrawal Amt</t>
        </is>
      </c>
      <c r="F8" s="509" t="inlineStr">
        <is>
          <t>Authorized By</t>
        </is>
      </c>
      <c r="G8" s="509" t="inlineStr">
        <is>
          <t>New Balance</t>
        </is>
      </c>
      <c r="H8" s="509" t="inlineStr">
        <is>
          <t>Agent</t>
        </is>
      </c>
      <c r="I8" s="485" t="inlineStr">
        <is>
          <t>🔑 Agent Code</t>
        </is>
      </c>
      <c r="J8" s="509" t="inlineStr">
        <is>
          <t>Status</t>
        </is>
      </c>
      <c r="K8" s="509" t="inlineStr">
        <is>
          <t>Saved At</t>
        </is>
      </c>
      <c r="L8" s="509" t="inlineStr">
        <is>
          <t>Notes</t>
        </is>
      </c>
    </row>
    <row r="9" ht="15" customHeight="1" s="341">
      <c r="A9" s="486" t="n"/>
      <c r="B9" s="378">
        <f>IF(A9="","",IFERROR(VLOOKUP(A9,DB_Customers!$A:$D,4,0),"❌ Account Not Found"))</f>
        <v/>
      </c>
      <c r="C9" s="487">
        <f>IF(A9="","",IFERROR(VLOOKUP(A9,DB_Customers!$A:$N,14,0),""))</f>
        <v/>
      </c>
      <c r="D9" s="488">
        <f>IF(A9="","",TODAY())</f>
        <v/>
      </c>
      <c r="E9" s="510" t="n"/>
      <c r="F9" s="378" t="n"/>
      <c r="G9" s="511">
        <f>IF(OR(A9="",E9=""),"",IF(C9="","",C9-E9))</f>
        <v/>
      </c>
      <c r="H9" s="380" t="inlineStr">
        <is>
          <t>Agent 06</t>
        </is>
      </c>
      <c r="I9" s="491" t="n"/>
      <c r="J9" s="492">
        <f>IF(AND(A9&lt;&gt;"",E9&lt;&gt;""),IF(I9="","⚠️ Enter Code",IF(IFERROR(VLOOKUP(H9,DB_Agents!$B:$I,8,0),"")=I9,IF(C9&gt;=E9,"Successful","Unsuccessful"),"🔒 BLOCKED — Wrong Code")),"—")</f>
        <v/>
      </c>
      <c r="K9" s="493">
        <f>IF(J9="Successful",TEXT(TODAY(),"YYYY-MM-DD")&amp;" Auto","—")</f>
        <v/>
      </c>
      <c r="L9" s="494" t="n"/>
    </row>
    <row r="10" ht="15" customHeight="1" s="341">
      <c r="A10" s="495" t="n"/>
      <c r="B10" s="382">
        <f>IF(A10="","",IFERROR(VLOOKUP(A10,DB_Customers!$A:$D,4,0),"❌ Account Not Found"))</f>
        <v/>
      </c>
      <c r="C10" s="496">
        <f>IF(A10="","",IFERROR(VLOOKUP(A10,DB_Customers!$A:$N,14,0),""))</f>
        <v/>
      </c>
      <c r="D10" s="497">
        <f>IF(A10="","",TODAY())</f>
        <v/>
      </c>
      <c r="E10" s="510" t="n"/>
      <c r="F10" s="382" t="n"/>
      <c r="G10" s="512">
        <f>IF(OR(A10="",E10=""),"",IF(C10="","",C10-E10))</f>
        <v/>
      </c>
      <c r="H10" s="384" t="inlineStr">
        <is>
          <t>Agent 06</t>
        </is>
      </c>
      <c r="I10" s="491" t="n"/>
      <c r="J10" s="499">
        <f>IF(AND(A10&lt;&gt;"",E10&lt;&gt;""),IF(I10="","⚠️ Enter Code",IF(IFERROR(VLOOKUP(H10,DB_Agents!$B:$I,8,0),"")=I10,IF(C10&gt;=E10,"Successful","Unsuccessful"),"🔒 BLOCKED — Wrong Code")),"—")</f>
        <v/>
      </c>
      <c r="K10" s="500">
        <f>IF(J10="Successful",TEXT(TODAY(),"YYYY-MM-DD")&amp;" Auto","—")</f>
        <v/>
      </c>
      <c r="L10" s="501" t="n"/>
    </row>
    <row r="11" ht="15" customHeight="1" s="341">
      <c r="A11" s="486" t="n"/>
      <c r="B11" s="378">
        <f>IF(A11="","",IFERROR(VLOOKUP(A11,DB_Customers!$A:$D,4,0),"❌ Account Not Found"))</f>
        <v/>
      </c>
      <c r="C11" s="487">
        <f>IF(A11="","",IFERROR(VLOOKUP(A11,DB_Customers!$A:$N,14,0),""))</f>
        <v/>
      </c>
      <c r="D11" s="488">
        <f>IF(A11="","",TODAY())</f>
        <v/>
      </c>
      <c r="E11" s="510" t="n"/>
      <c r="F11" s="378" t="n"/>
      <c r="G11" s="511">
        <f>IF(OR(A11="",E11=""),"",IF(C11="","",C11-E11))</f>
        <v/>
      </c>
      <c r="H11" s="380" t="inlineStr">
        <is>
          <t>Agent 06</t>
        </is>
      </c>
      <c r="I11" s="491" t="n"/>
      <c r="J11" s="492">
        <f>IF(AND(A11&lt;&gt;"",E11&lt;&gt;""),IF(I11="","⚠️ Enter Code",IF(IFERROR(VLOOKUP(H11,DB_Agents!$B:$I,8,0),"")=I11,IF(C11&gt;=E11,"Successful","Unsuccessful"),"🔒 BLOCKED — Wrong Code")),"—")</f>
        <v/>
      </c>
      <c r="K11" s="493">
        <f>IF(J11="Successful",TEXT(TODAY(),"YYYY-MM-DD")&amp;" Auto","—")</f>
        <v/>
      </c>
      <c r="L11" s="494" t="n"/>
    </row>
    <row r="12" ht="15" customHeight="1" s="341">
      <c r="A12" s="495" t="n"/>
      <c r="B12" s="382">
        <f>IF(A12="","",IFERROR(VLOOKUP(A12,DB_Customers!$A:$D,4,0),"❌ Account Not Found"))</f>
        <v/>
      </c>
      <c r="C12" s="496">
        <f>IF(A12="","",IFERROR(VLOOKUP(A12,DB_Customers!$A:$N,14,0),""))</f>
        <v/>
      </c>
      <c r="D12" s="497">
        <f>IF(A12="","",TODAY())</f>
        <v/>
      </c>
      <c r="E12" s="510" t="n"/>
      <c r="F12" s="382" t="n"/>
      <c r="G12" s="512">
        <f>IF(OR(A12="",E12=""),"",IF(C12="","",C12-E12))</f>
        <v/>
      </c>
      <c r="H12" s="384" t="inlineStr">
        <is>
          <t>Agent 06</t>
        </is>
      </c>
      <c r="I12" s="491" t="n"/>
      <c r="J12" s="499">
        <f>IF(AND(A12&lt;&gt;"",E12&lt;&gt;""),IF(I12="","⚠️ Enter Code",IF(IFERROR(VLOOKUP(H12,DB_Agents!$B:$I,8,0),"")=I12,IF(C12&gt;=E12,"Successful","Unsuccessful"),"🔒 BLOCKED — Wrong Code")),"—")</f>
        <v/>
      </c>
      <c r="K12" s="500">
        <f>IF(J12="Successful",TEXT(TODAY(),"YYYY-MM-DD")&amp;" Auto","—")</f>
        <v/>
      </c>
      <c r="L12" s="501" t="n"/>
    </row>
    <row r="13" ht="15" customHeight="1" s="341">
      <c r="A13" s="486" t="n"/>
      <c r="B13" s="378">
        <f>IF(A13="","",IFERROR(VLOOKUP(A13,DB_Customers!$A:$D,4,0),"❌ Account Not Found"))</f>
        <v/>
      </c>
      <c r="C13" s="487">
        <f>IF(A13="","",IFERROR(VLOOKUP(A13,DB_Customers!$A:$N,14,0),""))</f>
        <v/>
      </c>
      <c r="D13" s="488">
        <f>IF(A13="","",TODAY())</f>
        <v/>
      </c>
      <c r="E13" s="510" t="n"/>
      <c r="F13" s="378" t="n"/>
      <c r="G13" s="511">
        <f>IF(OR(A13="",E13=""),"",IF(C13="","",C13-E13))</f>
        <v/>
      </c>
      <c r="H13" s="380" t="inlineStr">
        <is>
          <t>Agent 06</t>
        </is>
      </c>
      <c r="I13" s="491" t="n"/>
      <c r="J13" s="492">
        <f>IF(AND(A13&lt;&gt;"",E13&lt;&gt;""),IF(I13="","⚠️ Enter Code",IF(IFERROR(VLOOKUP(H13,DB_Agents!$B:$I,8,0),"")=I13,IF(C13&gt;=E13,"Successful","Unsuccessful"),"🔒 BLOCKED — Wrong Code")),"—")</f>
        <v/>
      </c>
      <c r="K13" s="493">
        <f>IF(J13="Successful",TEXT(TODAY(),"YYYY-MM-DD")&amp;" Auto","—")</f>
        <v/>
      </c>
      <c r="L13" s="494" t="n"/>
    </row>
    <row r="14" ht="15" customHeight="1" s="341">
      <c r="A14" s="495" t="n"/>
      <c r="B14" s="382">
        <f>IF(A14="","",IFERROR(VLOOKUP(A14,DB_Customers!$A:$D,4,0),"❌ Account Not Found"))</f>
        <v/>
      </c>
      <c r="C14" s="496">
        <f>IF(A14="","",IFERROR(VLOOKUP(A14,DB_Customers!$A:$N,14,0),""))</f>
        <v/>
      </c>
      <c r="D14" s="497">
        <f>IF(A14="","",TODAY())</f>
        <v/>
      </c>
      <c r="E14" s="510" t="n"/>
      <c r="F14" s="382" t="n"/>
      <c r="G14" s="512">
        <f>IF(OR(A14="",E14=""),"",IF(C14="","",C14-E14))</f>
        <v/>
      </c>
      <c r="H14" s="384" t="inlineStr">
        <is>
          <t>Agent 06</t>
        </is>
      </c>
      <c r="I14" s="491" t="n"/>
      <c r="J14" s="499">
        <f>IF(AND(A14&lt;&gt;"",E14&lt;&gt;""),IF(I14="","⚠️ Enter Code",IF(IFERROR(VLOOKUP(H14,DB_Agents!$B:$I,8,0),"")=I14,IF(C14&gt;=E14,"Successful","Unsuccessful"),"🔒 BLOCKED — Wrong Code")),"—")</f>
        <v/>
      </c>
      <c r="K14" s="500">
        <f>IF(J14="Successful",TEXT(TODAY(),"YYYY-MM-DD")&amp;" Auto","—")</f>
        <v/>
      </c>
      <c r="L14" s="501" t="n"/>
    </row>
    <row r="15" ht="15" customHeight="1" s="341">
      <c r="A15" s="486" t="n"/>
      <c r="B15" s="378">
        <f>IF(A15="","",IFERROR(VLOOKUP(A15,DB_Customers!$A:$D,4,0),"❌ Account Not Found"))</f>
        <v/>
      </c>
      <c r="C15" s="487">
        <f>IF(A15="","",IFERROR(VLOOKUP(A15,DB_Customers!$A:$N,14,0),""))</f>
        <v/>
      </c>
      <c r="D15" s="488">
        <f>IF(A15="","",TODAY())</f>
        <v/>
      </c>
      <c r="E15" s="510" t="n"/>
      <c r="F15" s="378" t="n"/>
      <c r="G15" s="511">
        <f>IF(OR(A15="",E15=""),"",IF(C15="","",C15-E15))</f>
        <v/>
      </c>
      <c r="H15" s="380" t="inlineStr">
        <is>
          <t>Agent 06</t>
        </is>
      </c>
      <c r="I15" s="491" t="n"/>
      <c r="J15" s="492">
        <f>IF(AND(A15&lt;&gt;"",E15&lt;&gt;""),IF(I15="","⚠️ Enter Code",IF(IFERROR(VLOOKUP(H15,DB_Agents!$B:$I,8,0),"")=I15,IF(C15&gt;=E15,"Successful","Unsuccessful"),"🔒 BLOCKED — Wrong Code")),"—")</f>
        <v/>
      </c>
      <c r="K15" s="493">
        <f>IF(J15="Successful",TEXT(TODAY(),"YYYY-MM-DD")&amp;" Auto","—")</f>
        <v/>
      </c>
      <c r="L15" s="494" t="n"/>
    </row>
    <row r="16" ht="15" customHeight="1" s="341">
      <c r="A16" s="495" t="n"/>
      <c r="B16" s="382">
        <f>IF(A16="","",IFERROR(VLOOKUP(A16,DB_Customers!$A:$D,4,0),"❌ Account Not Found"))</f>
        <v/>
      </c>
      <c r="C16" s="496">
        <f>IF(A16="","",IFERROR(VLOOKUP(A16,DB_Customers!$A:$N,14,0),""))</f>
        <v/>
      </c>
      <c r="D16" s="497">
        <f>IF(A16="","",TODAY())</f>
        <v/>
      </c>
      <c r="E16" s="510" t="n"/>
      <c r="F16" s="382" t="n"/>
      <c r="G16" s="512">
        <f>IF(OR(A16="",E16=""),"",IF(C16="","",C16-E16))</f>
        <v/>
      </c>
      <c r="H16" s="384" t="inlineStr">
        <is>
          <t>Agent 06</t>
        </is>
      </c>
      <c r="I16" s="491" t="n"/>
      <c r="J16" s="499">
        <f>IF(AND(A16&lt;&gt;"",E16&lt;&gt;""),IF(I16="","⚠️ Enter Code",IF(IFERROR(VLOOKUP(H16,DB_Agents!$B:$I,8,0),"")=I16,IF(C16&gt;=E16,"Successful","Unsuccessful"),"🔒 BLOCKED — Wrong Code")),"—")</f>
        <v/>
      </c>
      <c r="K16" s="500">
        <f>IF(J16="Successful",TEXT(TODAY(),"YYYY-MM-DD")&amp;" Auto","—")</f>
        <v/>
      </c>
      <c r="L16" s="501" t="n"/>
    </row>
    <row r="17" ht="15" customHeight="1" s="341">
      <c r="A17" s="486" t="n"/>
      <c r="B17" s="378">
        <f>IF(A17="","",IFERROR(VLOOKUP(A17,DB_Customers!$A:$D,4,0),"❌ Account Not Found"))</f>
        <v/>
      </c>
      <c r="C17" s="487">
        <f>IF(A17="","",IFERROR(VLOOKUP(A17,DB_Customers!$A:$N,14,0),""))</f>
        <v/>
      </c>
      <c r="D17" s="488">
        <f>IF(A17="","",TODAY())</f>
        <v/>
      </c>
      <c r="E17" s="510" t="n"/>
      <c r="F17" s="378" t="n"/>
      <c r="G17" s="511">
        <f>IF(OR(A17="",E17=""),"",IF(C17="","",C17-E17))</f>
        <v/>
      </c>
      <c r="H17" s="380" t="inlineStr">
        <is>
          <t>Agent 06</t>
        </is>
      </c>
      <c r="I17" s="491" t="n"/>
      <c r="J17" s="492">
        <f>IF(AND(A17&lt;&gt;"",E17&lt;&gt;""),IF(I17="","⚠️ Enter Code",IF(IFERROR(VLOOKUP(H17,DB_Agents!$B:$I,8,0),"")=I17,IF(C17&gt;=E17,"Successful","Unsuccessful"),"🔒 BLOCKED — Wrong Code")),"—")</f>
        <v/>
      </c>
      <c r="K17" s="493">
        <f>IF(J17="Successful",TEXT(TODAY(),"YYYY-MM-DD")&amp;" Auto","—")</f>
        <v/>
      </c>
      <c r="L17" s="494" t="n"/>
    </row>
    <row r="18" ht="15" customHeight="1" s="341">
      <c r="A18" s="495" t="n"/>
      <c r="B18" s="382">
        <f>IF(A18="","",IFERROR(VLOOKUP(A18,DB_Customers!$A:$D,4,0),"❌ Account Not Found"))</f>
        <v/>
      </c>
      <c r="C18" s="496">
        <f>IF(A18="","",IFERROR(VLOOKUP(A18,DB_Customers!$A:$N,14,0),""))</f>
        <v/>
      </c>
      <c r="D18" s="497">
        <f>IF(A18="","",TODAY())</f>
        <v/>
      </c>
      <c r="E18" s="510" t="n"/>
      <c r="F18" s="382" t="n"/>
      <c r="G18" s="512">
        <f>IF(OR(A18="",E18=""),"",IF(C18="","",C18-E18))</f>
        <v/>
      </c>
      <c r="H18" s="384" t="inlineStr">
        <is>
          <t>Agent 06</t>
        </is>
      </c>
      <c r="I18" s="491" t="n"/>
      <c r="J18" s="499">
        <f>IF(AND(A18&lt;&gt;"",E18&lt;&gt;""),IF(I18="","⚠️ Enter Code",IF(IFERROR(VLOOKUP(H18,DB_Agents!$B:$I,8,0),"")=I18,IF(C18&gt;=E18,"Successful","Unsuccessful"),"🔒 BLOCKED — Wrong Code")),"—")</f>
        <v/>
      </c>
      <c r="K18" s="500">
        <f>IF(J18="Successful",TEXT(TODAY(),"YYYY-MM-DD")&amp;" Auto","—")</f>
        <v/>
      </c>
      <c r="L18" s="501" t="n"/>
    </row>
    <row r="19" ht="15" customHeight="1" s="341">
      <c r="A19" s="486" t="n"/>
      <c r="B19" s="378">
        <f>IF(A19="","",IFERROR(VLOOKUP(A19,DB_Customers!$A:$D,4,0),"❌ Account Not Found"))</f>
        <v/>
      </c>
      <c r="C19" s="487">
        <f>IF(A19="","",IFERROR(VLOOKUP(A19,DB_Customers!$A:$N,14,0),""))</f>
        <v/>
      </c>
      <c r="D19" s="488">
        <f>IF(A19="","",TODAY())</f>
        <v/>
      </c>
      <c r="E19" s="510" t="n"/>
      <c r="F19" s="378" t="n"/>
      <c r="G19" s="511">
        <f>IF(OR(A19="",E19=""),"",IF(C19="","",C19-E19))</f>
        <v/>
      </c>
      <c r="H19" s="380" t="inlineStr">
        <is>
          <t>Agent 06</t>
        </is>
      </c>
      <c r="I19" s="491" t="n"/>
      <c r="J19" s="492">
        <f>IF(AND(A19&lt;&gt;"",E19&lt;&gt;""),IF(I19="","⚠️ Enter Code",IF(IFERROR(VLOOKUP(H19,DB_Agents!$B:$I,8,0),"")=I19,IF(C19&gt;=E19,"Successful","Unsuccessful"),"🔒 BLOCKED — Wrong Code")),"—")</f>
        <v/>
      </c>
      <c r="K19" s="493">
        <f>IF(J19="Successful",TEXT(TODAY(),"YYYY-MM-DD")&amp;" Auto","—")</f>
        <v/>
      </c>
      <c r="L19" s="494" t="n"/>
    </row>
    <row r="20" ht="15" customHeight="1" s="341">
      <c r="A20" s="495" t="n"/>
      <c r="B20" s="382">
        <f>IF(A20="","",IFERROR(VLOOKUP(A20,DB_Customers!$A:$D,4,0),"❌ Account Not Found"))</f>
        <v/>
      </c>
      <c r="C20" s="496">
        <f>IF(A20="","",IFERROR(VLOOKUP(A20,DB_Customers!$A:$N,14,0),""))</f>
        <v/>
      </c>
      <c r="D20" s="497">
        <f>IF(A20="","",TODAY())</f>
        <v/>
      </c>
      <c r="E20" s="510" t="n"/>
      <c r="F20" s="382" t="n"/>
      <c r="G20" s="512">
        <f>IF(OR(A20="",E20=""),"",IF(C20="","",C20-E20))</f>
        <v/>
      </c>
      <c r="H20" s="384" t="inlineStr">
        <is>
          <t>Agent 06</t>
        </is>
      </c>
      <c r="I20" s="491" t="n"/>
      <c r="J20" s="499">
        <f>IF(AND(A20&lt;&gt;"",E20&lt;&gt;""),IF(I20="","⚠️ Enter Code",IF(IFERROR(VLOOKUP(H20,DB_Agents!$B:$I,8,0),"")=I20,IF(C20&gt;=E20,"Successful","Unsuccessful"),"🔒 BLOCKED — Wrong Code")),"—")</f>
        <v/>
      </c>
      <c r="K20" s="500">
        <f>IF(J20="Successful",TEXT(TODAY(),"YYYY-MM-DD")&amp;" Auto","—")</f>
        <v/>
      </c>
      <c r="L20" s="501" t="n"/>
    </row>
    <row r="21" ht="15" customHeight="1" s="341">
      <c r="A21" s="486" t="n"/>
      <c r="B21" s="378">
        <f>IF(A21="","",IFERROR(VLOOKUP(A21,DB_Customers!$A:$D,4,0),"❌ Account Not Found"))</f>
        <v/>
      </c>
      <c r="C21" s="487">
        <f>IF(A21="","",IFERROR(VLOOKUP(A21,DB_Customers!$A:$N,14,0),""))</f>
        <v/>
      </c>
      <c r="D21" s="488">
        <f>IF(A21="","",TODAY())</f>
        <v/>
      </c>
      <c r="E21" s="510" t="n"/>
      <c r="F21" s="378" t="n"/>
      <c r="G21" s="511">
        <f>IF(OR(A21="",E21=""),"",IF(C21="","",C21-E21))</f>
        <v/>
      </c>
      <c r="H21" s="380" t="inlineStr">
        <is>
          <t>Agent 06</t>
        </is>
      </c>
      <c r="I21" s="491" t="n"/>
      <c r="J21" s="492">
        <f>IF(AND(A21&lt;&gt;"",E21&lt;&gt;""),IF(I21="","⚠️ Enter Code",IF(IFERROR(VLOOKUP(H21,DB_Agents!$B:$I,8,0),"")=I21,IF(C21&gt;=E21,"Successful","Unsuccessful"),"🔒 BLOCKED — Wrong Code")),"—")</f>
        <v/>
      </c>
      <c r="K21" s="493">
        <f>IF(J21="Successful",TEXT(TODAY(),"YYYY-MM-DD")&amp;" Auto","—")</f>
        <v/>
      </c>
      <c r="L21" s="494" t="n"/>
    </row>
    <row r="22" ht="15" customHeight="1" s="341">
      <c r="A22" s="495" t="n"/>
      <c r="B22" s="382">
        <f>IF(A22="","",IFERROR(VLOOKUP(A22,DB_Customers!$A:$D,4,0),"❌ Account Not Found"))</f>
        <v/>
      </c>
      <c r="C22" s="496">
        <f>IF(A22="","",IFERROR(VLOOKUP(A22,DB_Customers!$A:$N,14,0),""))</f>
        <v/>
      </c>
      <c r="D22" s="497">
        <f>IF(A22="","",TODAY())</f>
        <v/>
      </c>
      <c r="E22" s="510" t="n"/>
      <c r="F22" s="382" t="n"/>
      <c r="G22" s="512">
        <f>IF(OR(A22="",E22=""),"",IF(C22="","",C22-E22))</f>
        <v/>
      </c>
      <c r="H22" s="384" t="inlineStr">
        <is>
          <t>Agent 06</t>
        </is>
      </c>
      <c r="I22" s="491" t="n"/>
      <c r="J22" s="499">
        <f>IF(AND(A22&lt;&gt;"",E22&lt;&gt;""),IF(I22="","⚠️ Enter Code",IF(IFERROR(VLOOKUP(H22,DB_Agents!$B:$I,8,0),"")=I22,IF(C22&gt;=E22,"Successful","Unsuccessful"),"🔒 BLOCKED — Wrong Code")),"—")</f>
        <v/>
      </c>
      <c r="K22" s="500">
        <f>IF(J22="Successful",TEXT(TODAY(),"YYYY-MM-DD")&amp;" Auto","—")</f>
        <v/>
      </c>
      <c r="L22" s="501" t="n"/>
    </row>
    <row r="23" ht="15" customHeight="1" s="341">
      <c r="A23" s="486" t="n"/>
      <c r="B23" s="378">
        <f>IF(A23="","",IFERROR(VLOOKUP(A23,DB_Customers!$A:$D,4,0),"❌ Account Not Found"))</f>
        <v/>
      </c>
      <c r="C23" s="487">
        <f>IF(A23="","",IFERROR(VLOOKUP(A23,DB_Customers!$A:$N,14,0),""))</f>
        <v/>
      </c>
      <c r="D23" s="488">
        <f>IF(A23="","",TODAY())</f>
        <v/>
      </c>
      <c r="E23" s="510" t="n"/>
      <c r="F23" s="378" t="n"/>
      <c r="G23" s="511">
        <f>IF(OR(A23="",E23=""),"",IF(C23="","",C23-E23))</f>
        <v/>
      </c>
      <c r="H23" s="380" t="inlineStr">
        <is>
          <t>Agent 06</t>
        </is>
      </c>
      <c r="I23" s="491" t="n"/>
      <c r="J23" s="492">
        <f>IF(AND(A23&lt;&gt;"",E23&lt;&gt;""),IF(I23="","⚠️ Enter Code",IF(IFERROR(VLOOKUP(H23,DB_Agents!$B:$I,8,0),"")=I23,IF(C23&gt;=E23,"Successful","Unsuccessful"),"🔒 BLOCKED — Wrong Code")),"—")</f>
        <v/>
      </c>
      <c r="K23" s="493">
        <f>IF(J23="Successful",TEXT(TODAY(),"YYYY-MM-DD")&amp;" Auto","—")</f>
        <v/>
      </c>
      <c r="L23" s="494" t="n"/>
    </row>
    <row r="24" ht="15" customHeight="1" s="341">
      <c r="A24" s="495" t="n"/>
      <c r="B24" s="382">
        <f>IF(A24="","",IFERROR(VLOOKUP(A24,DB_Customers!$A:$D,4,0),"❌ Account Not Found"))</f>
        <v/>
      </c>
      <c r="C24" s="496">
        <f>IF(A24="","",IFERROR(VLOOKUP(A24,DB_Customers!$A:$N,14,0),""))</f>
        <v/>
      </c>
      <c r="D24" s="497">
        <f>IF(A24="","",TODAY())</f>
        <v/>
      </c>
      <c r="E24" s="510" t="n"/>
      <c r="F24" s="382" t="n"/>
      <c r="G24" s="512">
        <f>IF(OR(A24="",E24=""),"",IF(C24="","",C24-E24))</f>
        <v/>
      </c>
      <c r="H24" s="384" t="inlineStr">
        <is>
          <t>Agent 06</t>
        </is>
      </c>
      <c r="I24" s="491" t="n"/>
      <c r="J24" s="499">
        <f>IF(AND(A24&lt;&gt;"",E24&lt;&gt;""),IF(I24="","⚠️ Enter Code",IF(IFERROR(VLOOKUP(H24,DB_Agents!$B:$I,8,0),"")=I24,IF(C24&gt;=E24,"Successful","Unsuccessful"),"🔒 BLOCKED — Wrong Code")),"—")</f>
        <v/>
      </c>
      <c r="K24" s="500">
        <f>IF(J24="Successful",TEXT(TODAY(),"YYYY-MM-DD")&amp;" Auto","—")</f>
        <v/>
      </c>
      <c r="L24" s="501" t="n"/>
    </row>
    <row r="25" ht="15" customHeight="1" s="341">
      <c r="A25" s="486" t="n"/>
      <c r="B25" s="378">
        <f>IF(A25="","",IFERROR(VLOOKUP(A25,DB_Customers!$A:$D,4,0),"❌ Account Not Found"))</f>
        <v/>
      </c>
      <c r="C25" s="487">
        <f>IF(A25="","",IFERROR(VLOOKUP(A25,DB_Customers!$A:$N,14,0),""))</f>
        <v/>
      </c>
      <c r="D25" s="488">
        <f>IF(A25="","",TODAY())</f>
        <v/>
      </c>
      <c r="E25" s="510" t="n"/>
      <c r="F25" s="378" t="n"/>
      <c r="G25" s="511">
        <f>IF(OR(A25="",E25=""),"",IF(C25="","",C25-E25))</f>
        <v/>
      </c>
      <c r="H25" s="380" t="inlineStr">
        <is>
          <t>Agent 06</t>
        </is>
      </c>
      <c r="I25" s="491" t="n"/>
      <c r="J25" s="492">
        <f>IF(AND(A25&lt;&gt;"",E25&lt;&gt;""),IF(I25="","⚠️ Enter Code",IF(IFERROR(VLOOKUP(H25,DB_Agents!$B:$I,8,0),"")=I25,IF(C25&gt;=E25,"Successful","Unsuccessful"),"🔒 BLOCKED — Wrong Code")),"—")</f>
        <v/>
      </c>
      <c r="K25" s="493">
        <f>IF(J25="Successful",TEXT(TODAY(),"YYYY-MM-DD")&amp;" Auto","—")</f>
        <v/>
      </c>
      <c r="L25" s="494" t="n"/>
    </row>
    <row r="26" ht="15" customHeight="1" s="341">
      <c r="A26" s="495" t="n"/>
      <c r="B26" s="382">
        <f>IF(A26="","",IFERROR(VLOOKUP(A26,DB_Customers!$A:$D,4,0),"❌ Account Not Found"))</f>
        <v/>
      </c>
      <c r="C26" s="496">
        <f>IF(A26="","",IFERROR(VLOOKUP(A26,DB_Customers!$A:$N,14,0),""))</f>
        <v/>
      </c>
      <c r="D26" s="497">
        <f>IF(A26="","",TODAY())</f>
        <v/>
      </c>
      <c r="E26" s="510" t="n"/>
      <c r="F26" s="382" t="n"/>
      <c r="G26" s="512">
        <f>IF(OR(A26="",E26=""),"",IF(C26="","",C26-E26))</f>
        <v/>
      </c>
      <c r="H26" s="384" t="inlineStr">
        <is>
          <t>Agent 06</t>
        </is>
      </c>
      <c r="I26" s="491" t="n"/>
      <c r="J26" s="499">
        <f>IF(AND(A26&lt;&gt;"",E26&lt;&gt;""),IF(I26="","⚠️ Enter Code",IF(IFERROR(VLOOKUP(H26,DB_Agents!$B:$I,8,0),"")=I26,IF(C26&gt;=E26,"Successful","Unsuccessful"),"🔒 BLOCKED — Wrong Code")),"—")</f>
        <v/>
      </c>
      <c r="K26" s="500">
        <f>IF(J26="Successful",TEXT(TODAY(),"YYYY-MM-DD")&amp;" Auto","—")</f>
        <v/>
      </c>
      <c r="L26" s="501" t="n"/>
    </row>
    <row r="27" ht="15" customHeight="1" s="341">
      <c r="A27" s="486" t="n"/>
      <c r="B27" s="378">
        <f>IF(A27="","",IFERROR(VLOOKUP(A27,DB_Customers!$A:$D,4,0),"❌ Account Not Found"))</f>
        <v/>
      </c>
      <c r="C27" s="487">
        <f>IF(A27="","",IFERROR(VLOOKUP(A27,DB_Customers!$A:$N,14,0),""))</f>
        <v/>
      </c>
      <c r="D27" s="488">
        <f>IF(A27="","",TODAY())</f>
        <v/>
      </c>
      <c r="E27" s="510" t="n"/>
      <c r="F27" s="378" t="n"/>
      <c r="G27" s="511">
        <f>IF(OR(A27="",E27=""),"",IF(C27="","",C27-E27))</f>
        <v/>
      </c>
      <c r="H27" s="380" t="inlineStr">
        <is>
          <t>Agent 06</t>
        </is>
      </c>
      <c r="I27" s="491" t="n"/>
      <c r="J27" s="492">
        <f>IF(AND(A27&lt;&gt;"",E27&lt;&gt;""),IF(I27="","⚠️ Enter Code",IF(IFERROR(VLOOKUP(H27,DB_Agents!$B:$I,8,0),"")=I27,IF(C27&gt;=E27,"Successful","Unsuccessful"),"🔒 BLOCKED — Wrong Code")),"—")</f>
        <v/>
      </c>
      <c r="K27" s="493">
        <f>IF(J27="Successful",TEXT(TODAY(),"YYYY-MM-DD")&amp;" Auto","—")</f>
        <v/>
      </c>
      <c r="L27" s="494" t="n"/>
    </row>
    <row r="28" ht="15" customHeight="1" s="341">
      <c r="A28" s="495" t="n"/>
      <c r="B28" s="382">
        <f>IF(A28="","",IFERROR(VLOOKUP(A28,DB_Customers!$A:$D,4,0),"❌ Account Not Found"))</f>
        <v/>
      </c>
      <c r="C28" s="496">
        <f>IF(A28="","",IFERROR(VLOOKUP(A28,DB_Customers!$A:$N,14,0),""))</f>
        <v/>
      </c>
      <c r="D28" s="497">
        <f>IF(A28="","",TODAY())</f>
        <v/>
      </c>
      <c r="E28" s="510" t="n"/>
      <c r="F28" s="382" t="n"/>
      <c r="G28" s="512">
        <f>IF(OR(A28="",E28=""),"",IF(C28="","",C28-E28))</f>
        <v/>
      </c>
      <c r="H28" s="384" t="inlineStr">
        <is>
          <t>Agent 06</t>
        </is>
      </c>
      <c r="I28" s="491" t="n"/>
      <c r="J28" s="499">
        <f>IF(AND(A28&lt;&gt;"",E28&lt;&gt;""),IF(I28="","⚠️ Enter Code",IF(IFERROR(VLOOKUP(H28,DB_Agents!$B:$I,8,0),"")=I28,IF(C28&gt;=E28,"Successful","Unsuccessful"),"🔒 BLOCKED — Wrong Code")),"—")</f>
        <v/>
      </c>
      <c r="K28" s="500">
        <f>IF(J28="Successful",TEXT(TODAY(),"YYYY-MM-DD")&amp;" Auto","—")</f>
        <v/>
      </c>
      <c r="L28" s="501" t="n"/>
    </row>
    <row r="29" ht="15" customHeight="1" s="341">
      <c r="A29" s="486" t="n"/>
      <c r="B29" s="378">
        <f>IF(A29="","",IFERROR(VLOOKUP(A29,DB_Customers!$A:$D,4,0),"❌ Account Not Found"))</f>
        <v/>
      </c>
      <c r="C29" s="487">
        <f>IF(A29="","",IFERROR(VLOOKUP(A29,DB_Customers!$A:$N,14,0),""))</f>
        <v/>
      </c>
      <c r="D29" s="488">
        <f>IF(A29="","",TODAY())</f>
        <v/>
      </c>
      <c r="E29" s="510" t="n"/>
      <c r="F29" s="378" t="n"/>
      <c r="G29" s="511">
        <f>IF(OR(A29="",E29=""),"",IF(C29="","",C29-E29))</f>
        <v/>
      </c>
      <c r="H29" s="380" t="inlineStr">
        <is>
          <t>Agent 06</t>
        </is>
      </c>
      <c r="I29" s="491" t="n"/>
      <c r="J29" s="492">
        <f>IF(AND(A29&lt;&gt;"",E29&lt;&gt;""),IF(I29="","⚠️ Enter Code",IF(IFERROR(VLOOKUP(H29,DB_Agents!$B:$I,8,0),"")=I29,IF(C29&gt;=E29,"Successful","Unsuccessful"),"🔒 BLOCKED — Wrong Code")),"—")</f>
        <v/>
      </c>
      <c r="K29" s="493">
        <f>IF(J29="Successful",TEXT(TODAY(),"YYYY-MM-DD")&amp;" Auto","—")</f>
        <v/>
      </c>
      <c r="L29" s="494" t="n"/>
    </row>
    <row r="30" ht="15" customHeight="1" s="341">
      <c r="A30" s="495" t="n"/>
      <c r="B30" s="382">
        <f>IF(A30="","",IFERROR(VLOOKUP(A30,DB_Customers!$A:$D,4,0),"❌ Account Not Found"))</f>
        <v/>
      </c>
      <c r="C30" s="496">
        <f>IF(A30="","",IFERROR(VLOOKUP(A30,DB_Customers!$A:$N,14,0),""))</f>
        <v/>
      </c>
      <c r="D30" s="497">
        <f>IF(A30="","",TODAY())</f>
        <v/>
      </c>
      <c r="E30" s="510" t="n"/>
      <c r="F30" s="382" t="n"/>
      <c r="G30" s="512">
        <f>IF(OR(A30="",E30=""),"",IF(C30="","",C30-E30))</f>
        <v/>
      </c>
      <c r="H30" s="384" t="inlineStr">
        <is>
          <t>Agent 06</t>
        </is>
      </c>
      <c r="I30" s="491" t="n"/>
      <c r="J30" s="499">
        <f>IF(AND(A30&lt;&gt;"",E30&lt;&gt;""),IF(I30="","⚠️ Enter Code",IF(IFERROR(VLOOKUP(H30,DB_Agents!$B:$I,8,0),"")=I30,IF(C30&gt;=E30,"Successful","Unsuccessful"),"🔒 BLOCKED — Wrong Code")),"—")</f>
        <v/>
      </c>
      <c r="K30" s="500">
        <f>IF(J30="Successful",TEXT(TODAY(),"YYYY-MM-DD")&amp;" Auto","—")</f>
        <v/>
      </c>
      <c r="L30" s="501" t="n"/>
    </row>
    <row r="31" ht="15" customHeight="1" s="341">
      <c r="A31" s="486" t="n"/>
      <c r="B31" s="378">
        <f>IF(A31="","",IFERROR(VLOOKUP(A31,DB_Customers!$A:$D,4,0),"❌ Account Not Found"))</f>
        <v/>
      </c>
      <c r="C31" s="487">
        <f>IF(A31="","",IFERROR(VLOOKUP(A31,DB_Customers!$A:$N,14,0),""))</f>
        <v/>
      </c>
      <c r="D31" s="488">
        <f>IF(A31="","",TODAY())</f>
        <v/>
      </c>
      <c r="E31" s="510" t="n"/>
      <c r="F31" s="378" t="n"/>
      <c r="G31" s="511">
        <f>IF(OR(A31="",E31=""),"",IF(C31="","",C31-E31))</f>
        <v/>
      </c>
      <c r="H31" s="380" t="inlineStr">
        <is>
          <t>Agent 06</t>
        </is>
      </c>
      <c r="I31" s="491" t="n"/>
      <c r="J31" s="492">
        <f>IF(AND(A31&lt;&gt;"",E31&lt;&gt;""),IF(I31="","⚠️ Enter Code",IF(IFERROR(VLOOKUP(H31,DB_Agents!$B:$I,8,0),"")=I31,IF(C31&gt;=E31,"Successful","Unsuccessful"),"🔒 BLOCKED — Wrong Code")),"—")</f>
        <v/>
      </c>
      <c r="K31" s="493">
        <f>IF(J31="Successful",TEXT(TODAY(),"YYYY-MM-DD")&amp;" Auto","—")</f>
        <v/>
      </c>
      <c r="L31" s="494" t="n"/>
    </row>
    <row r="32" ht="15" customHeight="1" s="341">
      <c r="A32" s="495" t="n"/>
      <c r="B32" s="382">
        <f>IF(A32="","",IFERROR(VLOOKUP(A32,DB_Customers!$A:$D,4,0),"❌ Account Not Found"))</f>
        <v/>
      </c>
      <c r="C32" s="496">
        <f>IF(A32="","",IFERROR(VLOOKUP(A32,DB_Customers!$A:$N,14,0),""))</f>
        <v/>
      </c>
      <c r="D32" s="497">
        <f>IF(A32="","",TODAY())</f>
        <v/>
      </c>
      <c r="E32" s="510" t="n"/>
      <c r="F32" s="382" t="n"/>
      <c r="G32" s="512">
        <f>IF(OR(A32="",E32=""),"",IF(C32="","",C32-E32))</f>
        <v/>
      </c>
      <c r="H32" s="384" t="inlineStr">
        <is>
          <t>Agent 06</t>
        </is>
      </c>
      <c r="I32" s="491" t="n"/>
      <c r="J32" s="499">
        <f>IF(AND(A32&lt;&gt;"",E32&lt;&gt;""),IF(I32="","⚠️ Enter Code",IF(IFERROR(VLOOKUP(H32,DB_Agents!$B:$I,8,0),"")=I32,IF(C32&gt;=E32,"Successful","Unsuccessful"),"🔒 BLOCKED — Wrong Code")),"—")</f>
        <v/>
      </c>
      <c r="K32" s="500">
        <f>IF(J32="Successful",TEXT(TODAY(),"YYYY-MM-DD")&amp;" Auto","—")</f>
        <v/>
      </c>
      <c r="L32" s="501" t="n"/>
    </row>
    <row r="33" ht="15" customHeight="1" s="341">
      <c r="A33" s="486" t="n"/>
      <c r="B33" s="378">
        <f>IF(A33="","",IFERROR(VLOOKUP(A33,DB_Customers!$A:$D,4,0),"❌ Account Not Found"))</f>
        <v/>
      </c>
      <c r="C33" s="487">
        <f>IF(A33="","",IFERROR(VLOOKUP(A33,DB_Customers!$A:$N,14,0),""))</f>
        <v/>
      </c>
      <c r="D33" s="488">
        <f>IF(A33="","",TODAY())</f>
        <v/>
      </c>
      <c r="E33" s="510" t="n"/>
      <c r="F33" s="378" t="n"/>
      <c r="G33" s="511">
        <f>IF(OR(A33="",E33=""),"",IF(C33="","",C33-E33))</f>
        <v/>
      </c>
      <c r="H33" s="380" t="inlineStr">
        <is>
          <t>Agent 06</t>
        </is>
      </c>
      <c r="I33" s="491" t="n"/>
      <c r="J33" s="492">
        <f>IF(AND(A33&lt;&gt;"",E33&lt;&gt;""),IF(I33="","⚠️ Enter Code",IF(IFERROR(VLOOKUP(H33,DB_Agents!$B:$I,8,0),"")=I33,IF(C33&gt;=E33,"Successful","Unsuccessful"),"🔒 BLOCKED — Wrong Code")),"—")</f>
        <v/>
      </c>
      <c r="K33" s="493">
        <f>IF(J33="Successful",TEXT(TODAY(),"YYYY-MM-DD")&amp;" Auto","—")</f>
        <v/>
      </c>
      <c r="L33" s="494" t="n"/>
    </row>
    <row r="34" ht="15" customHeight="1" s="341">
      <c r="A34" s="495" t="n"/>
      <c r="B34" s="382">
        <f>IF(A34="","",IFERROR(VLOOKUP(A34,DB_Customers!$A:$D,4,0),"❌ Account Not Found"))</f>
        <v/>
      </c>
      <c r="C34" s="496">
        <f>IF(A34="","",IFERROR(VLOOKUP(A34,DB_Customers!$A:$N,14,0),""))</f>
        <v/>
      </c>
      <c r="D34" s="497">
        <f>IF(A34="","",TODAY())</f>
        <v/>
      </c>
      <c r="E34" s="510" t="n"/>
      <c r="F34" s="382" t="n"/>
      <c r="G34" s="512">
        <f>IF(OR(A34="",E34=""),"",IF(C34="","",C34-E34))</f>
        <v/>
      </c>
      <c r="H34" s="384" t="inlineStr">
        <is>
          <t>Agent 06</t>
        </is>
      </c>
      <c r="I34" s="491" t="n"/>
      <c r="J34" s="499">
        <f>IF(AND(A34&lt;&gt;"",E34&lt;&gt;""),IF(I34="","⚠️ Enter Code",IF(IFERROR(VLOOKUP(H34,DB_Agents!$B:$I,8,0),"")=I34,IF(C34&gt;=E34,"Successful","Unsuccessful"),"🔒 BLOCKED — Wrong Code")),"—")</f>
        <v/>
      </c>
      <c r="K34" s="500">
        <f>IF(J34="Successful",TEXT(TODAY(),"YYYY-MM-DD")&amp;" Auto","—")</f>
        <v/>
      </c>
      <c r="L34" s="501" t="n"/>
    </row>
    <row r="35" ht="15" customHeight="1" s="341">
      <c r="A35" s="486" t="n"/>
      <c r="B35" s="378">
        <f>IF(A35="","",IFERROR(VLOOKUP(A35,DB_Customers!$A:$D,4,0),"❌ Account Not Found"))</f>
        <v/>
      </c>
      <c r="C35" s="487">
        <f>IF(A35="","",IFERROR(VLOOKUP(A35,DB_Customers!$A:$N,14,0),""))</f>
        <v/>
      </c>
      <c r="D35" s="488">
        <f>IF(A35="","",TODAY())</f>
        <v/>
      </c>
      <c r="E35" s="510" t="n"/>
      <c r="F35" s="378" t="n"/>
      <c r="G35" s="511">
        <f>IF(OR(A35="",E35=""),"",IF(C35="","",C35-E35))</f>
        <v/>
      </c>
      <c r="H35" s="380" t="inlineStr">
        <is>
          <t>Agent 06</t>
        </is>
      </c>
      <c r="I35" s="491" t="n"/>
      <c r="J35" s="492">
        <f>IF(AND(A35&lt;&gt;"",E35&lt;&gt;""),IF(I35="","⚠️ Enter Code",IF(IFERROR(VLOOKUP(H35,DB_Agents!$B:$I,8,0),"")=I35,IF(C35&gt;=E35,"Successful","Unsuccessful"),"🔒 BLOCKED — Wrong Code")),"—")</f>
        <v/>
      </c>
      <c r="K35" s="493">
        <f>IF(J35="Successful",TEXT(TODAY(),"YYYY-MM-DD")&amp;" Auto","—")</f>
        <v/>
      </c>
      <c r="L35" s="494" t="n"/>
    </row>
    <row r="36" ht="15" customHeight="1" s="341">
      <c r="A36" s="495" t="n"/>
      <c r="B36" s="382">
        <f>IF(A36="","",IFERROR(VLOOKUP(A36,DB_Customers!$A:$D,4,0),"❌ Account Not Found"))</f>
        <v/>
      </c>
      <c r="C36" s="496">
        <f>IF(A36="","",IFERROR(VLOOKUP(A36,DB_Customers!$A:$N,14,0),""))</f>
        <v/>
      </c>
      <c r="D36" s="497">
        <f>IF(A36="","",TODAY())</f>
        <v/>
      </c>
      <c r="E36" s="510" t="n"/>
      <c r="F36" s="382" t="n"/>
      <c r="G36" s="512">
        <f>IF(OR(A36="",E36=""),"",IF(C36="","",C36-E36))</f>
        <v/>
      </c>
      <c r="H36" s="384" t="inlineStr">
        <is>
          <t>Agent 06</t>
        </is>
      </c>
      <c r="I36" s="491" t="n"/>
      <c r="J36" s="499">
        <f>IF(AND(A36&lt;&gt;"",E36&lt;&gt;""),IF(I36="","⚠️ Enter Code",IF(IFERROR(VLOOKUP(H36,DB_Agents!$B:$I,8,0),"")=I36,IF(C36&gt;=E36,"Successful","Unsuccessful"),"🔒 BLOCKED — Wrong Code")),"—")</f>
        <v/>
      </c>
      <c r="K36" s="500">
        <f>IF(J36="Successful",TEXT(TODAY(),"YYYY-MM-DD")&amp;" Auto","—")</f>
        <v/>
      </c>
      <c r="L36" s="501" t="n"/>
    </row>
    <row r="37" ht="15" customHeight="1" s="341">
      <c r="A37" s="486" t="n"/>
      <c r="B37" s="378">
        <f>IF(A37="","",IFERROR(VLOOKUP(A37,DB_Customers!$A:$D,4,0),"❌ Account Not Found"))</f>
        <v/>
      </c>
      <c r="C37" s="487">
        <f>IF(A37="","",IFERROR(VLOOKUP(A37,DB_Customers!$A:$N,14,0),""))</f>
        <v/>
      </c>
      <c r="D37" s="488">
        <f>IF(A37="","",TODAY())</f>
        <v/>
      </c>
      <c r="E37" s="510" t="n"/>
      <c r="F37" s="378" t="n"/>
      <c r="G37" s="511">
        <f>IF(OR(A37="",E37=""),"",IF(C37="","",C37-E37))</f>
        <v/>
      </c>
      <c r="H37" s="380" t="inlineStr">
        <is>
          <t>Agent 06</t>
        </is>
      </c>
      <c r="I37" s="491" t="n"/>
      <c r="J37" s="492">
        <f>IF(AND(A37&lt;&gt;"",E37&lt;&gt;""),IF(I37="","⚠️ Enter Code",IF(IFERROR(VLOOKUP(H37,DB_Agents!$B:$I,8,0),"")=I37,IF(C37&gt;=E37,"Successful","Unsuccessful"),"🔒 BLOCKED — Wrong Code")),"—")</f>
        <v/>
      </c>
      <c r="K37" s="493">
        <f>IF(J37="Successful",TEXT(TODAY(),"YYYY-MM-DD")&amp;" Auto","—")</f>
        <v/>
      </c>
      <c r="L37" s="494" t="n"/>
    </row>
    <row r="38" ht="15" customHeight="1" s="341">
      <c r="A38" s="495" t="n"/>
      <c r="B38" s="382">
        <f>IF(A38="","",IFERROR(VLOOKUP(A38,DB_Customers!$A:$D,4,0),"❌ Account Not Found"))</f>
        <v/>
      </c>
      <c r="C38" s="496">
        <f>IF(A38="","",IFERROR(VLOOKUP(A38,DB_Customers!$A:$N,14,0),""))</f>
        <v/>
      </c>
      <c r="D38" s="497">
        <f>IF(A38="","",TODAY())</f>
        <v/>
      </c>
      <c r="E38" s="510" t="n"/>
      <c r="F38" s="382" t="n"/>
      <c r="G38" s="512">
        <f>IF(OR(A38="",E38=""),"",IF(C38="","",C38-E38))</f>
        <v/>
      </c>
      <c r="H38" s="384" t="inlineStr">
        <is>
          <t>Agent 06</t>
        </is>
      </c>
      <c r="I38" s="491" t="n"/>
      <c r="J38" s="499">
        <f>IF(AND(A38&lt;&gt;"",E38&lt;&gt;""),IF(I38="","⚠️ Enter Code",IF(IFERROR(VLOOKUP(H38,DB_Agents!$B:$I,8,0),"")=I38,IF(C38&gt;=E38,"Successful","Unsuccessful"),"🔒 BLOCKED — Wrong Code")),"—")</f>
        <v/>
      </c>
      <c r="K38" s="500">
        <f>IF(J38="Successful",TEXT(TODAY(),"YYYY-MM-DD")&amp;" Auto","—")</f>
        <v/>
      </c>
      <c r="L38" s="501" t="n"/>
    </row>
    <row r="39" ht="15" customHeight="1" s="341">
      <c r="A39" s="486" t="n"/>
      <c r="B39" s="378">
        <f>IF(A39="","",IFERROR(VLOOKUP(A39,DB_Customers!$A:$D,4,0),"❌ Account Not Found"))</f>
        <v/>
      </c>
      <c r="C39" s="487">
        <f>IF(A39="","",IFERROR(VLOOKUP(A39,DB_Customers!$A:$N,14,0),""))</f>
        <v/>
      </c>
      <c r="D39" s="488">
        <f>IF(A39="","",TODAY())</f>
        <v/>
      </c>
      <c r="E39" s="510" t="n"/>
      <c r="F39" s="378" t="n"/>
      <c r="G39" s="511">
        <f>IF(OR(A39="",E39=""),"",IF(C39="","",C39-E39))</f>
        <v/>
      </c>
      <c r="H39" s="380" t="inlineStr">
        <is>
          <t>Agent 06</t>
        </is>
      </c>
      <c r="I39" s="491" t="n"/>
      <c r="J39" s="492">
        <f>IF(AND(A39&lt;&gt;"",E39&lt;&gt;""),IF(I39="","⚠️ Enter Code",IF(IFERROR(VLOOKUP(H39,DB_Agents!$B:$I,8,0),"")=I39,IF(C39&gt;=E39,"Successful","Unsuccessful"),"🔒 BLOCKED — Wrong Code")),"—")</f>
        <v/>
      </c>
      <c r="K39" s="493">
        <f>IF(J39="Successful",TEXT(TODAY(),"YYYY-MM-DD")&amp;" Auto","—")</f>
        <v/>
      </c>
      <c r="L39" s="494" t="n"/>
    </row>
    <row r="40" ht="15" customHeight="1" s="341">
      <c r="A40" s="495" t="n"/>
      <c r="B40" s="382">
        <f>IF(A40="","",IFERROR(VLOOKUP(A40,DB_Customers!$A:$D,4,0),"❌ Account Not Found"))</f>
        <v/>
      </c>
      <c r="C40" s="496">
        <f>IF(A40="","",IFERROR(VLOOKUP(A40,DB_Customers!$A:$N,14,0),""))</f>
        <v/>
      </c>
      <c r="D40" s="497">
        <f>IF(A40="","",TODAY())</f>
        <v/>
      </c>
      <c r="E40" s="510" t="n"/>
      <c r="F40" s="382" t="n"/>
      <c r="G40" s="512">
        <f>IF(OR(A40="",E40=""),"",IF(C40="","",C40-E40))</f>
        <v/>
      </c>
      <c r="H40" s="384" t="inlineStr">
        <is>
          <t>Agent 06</t>
        </is>
      </c>
      <c r="I40" s="491" t="n"/>
      <c r="J40" s="499">
        <f>IF(AND(A40&lt;&gt;"",E40&lt;&gt;""),IF(I40="","⚠️ Enter Code",IF(IFERROR(VLOOKUP(H40,DB_Agents!$B:$I,8,0),"")=I40,IF(C40&gt;=E40,"Successful","Unsuccessful"),"🔒 BLOCKED — Wrong Code")),"—")</f>
        <v/>
      </c>
      <c r="K40" s="500">
        <f>IF(J40="Successful",TEXT(TODAY(),"YYYY-MM-DD")&amp;" Auto","—")</f>
        <v/>
      </c>
      <c r="L40" s="501" t="n"/>
    </row>
    <row r="41" ht="15" customHeight="1" s="341">
      <c r="A41" s="486" t="n"/>
      <c r="B41" s="378">
        <f>IF(A41="","",IFERROR(VLOOKUP(A41,DB_Customers!$A:$D,4,0),"❌ Account Not Found"))</f>
        <v/>
      </c>
      <c r="C41" s="487">
        <f>IF(A41="","",IFERROR(VLOOKUP(A41,DB_Customers!$A:$N,14,0),""))</f>
        <v/>
      </c>
      <c r="D41" s="488">
        <f>IF(A41="","",TODAY())</f>
        <v/>
      </c>
      <c r="E41" s="510" t="n"/>
      <c r="F41" s="378" t="n"/>
      <c r="G41" s="511">
        <f>IF(OR(A41="",E41=""),"",IF(C41="","",C41-E41))</f>
        <v/>
      </c>
      <c r="H41" s="380" t="inlineStr">
        <is>
          <t>Agent 06</t>
        </is>
      </c>
      <c r="I41" s="491" t="n"/>
      <c r="J41" s="492">
        <f>IF(AND(A41&lt;&gt;"",E41&lt;&gt;""),IF(I41="","⚠️ Enter Code",IF(IFERROR(VLOOKUP(H41,DB_Agents!$B:$I,8,0),"")=I41,IF(C41&gt;=E41,"Successful","Unsuccessful"),"🔒 BLOCKED — Wrong Code")),"—")</f>
        <v/>
      </c>
      <c r="K41" s="493">
        <f>IF(J41="Successful",TEXT(TODAY(),"YYYY-MM-DD")&amp;" Auto","—")</f>
        <v/>
      </c>
      <c r="L41" s="494" t="n"/>
    </row>
    <row r="42" ht="15" customHeight="1" s="341">
      <c r="A42" s="495" t="n"/>
      <c r="B42" s="382">
        <f>IF(A42="","",IFERROR(VLOOKUP(A42,DB_Customers!$A:$D,4,0),"❌ Account Not Found"))</f>
        <v/>
      </c>
      <c r="C42" s="496">
        <f>IF(A42="","",IFERROR(VLOOKUP(A42,DB_Customers!$A:$N,14,0),""))</f>
        <v/>
      </c>
      <c r="D42" s="497">
        <f>IF(A42="","",TODAY())</f>
        <v/>
      </c>
      <c r="E42" s="510" t="n"/>
      <c r="F42" s="382" t="n"/>
      <c r="G42" s="512">
        <f>IF(OR(A42="",E42=""),"",IF(C42="","",C42-E42))</f>
        <v/>
      </c>
      <c r="H42" s="384" t="inlineStr">
        <is>
          <t>Agent 06</t>
        </is>
      </c>
      <c r="I42" s="491" t="n"/>
      <c r="J42" s="499">
        <f>IF(AND(A42&lt;&gt;"",E42&lt;&gt;""),IF(I42="","⚠️ Enter Code",IF(IFERROR(VLOOKUP(H42,DB_Agents!$B:$I,8,0),"")=I42,IF(C42&gt;=E42,"Successful","Unsuccessful"),"🔒 BLOCKED — Wrong Code")),"—")</f>
        <v/>
      </c>
      <c r="K42" s="500">
        <f>IF(J42="Successful",TEXT(TODAY(),"YYYY-MM-DD")&amp;" Auto","—")</f>
        <v/>
      </c>
      <c r="L42" s="501" t="n"/>
    </row>
    <row r="43" ht="15" customHeight="1" s="341">
      <c r="A43" s="486" t="n"/>
      <c r="B43" s="378">
        <f>IF(A43="","",IFERROR(VLOOKUP(A43,DB_Customers!$A:$D,4,0),"❌ Account Not Found"))</f>
        <v/>
      </c>
      <c r="C43" s="487">
        <f>IF(A43="","",IFERROR(VLOOKUP(A43,DB_Customers!$A:$N,14,0),""))</f>
        <v/>
      </c>
      <c r="D43" s="488">
        <f>IF(A43="","",TODAY())</f>
        <v/>
      </c>
      <c r="E43" s="510" t="n"/>
      <c r="F43" s="378" t="n"/>
      <c r="G43" s="511">
        <f>IF(OR(A43="",E43=""),"",IF(C43="","",C43-E43))</f>
        <v/>
      </c>
      <c r="H43" s="380" t="inlineStr">
        <is>
          <t>Agent 06</t>
        </is>
      </c>
      <c r="I43" s="491" t="n"/>
      <c r="J43" s="492">
        <f>IF(AND(A43&lt;&gt;"",E43&lt;&gt;""),IF(I43="","⚠️ Enter Code",IF(IFERROR(VLOOKUP(H43,DB_Agents!$B:$I,8,0),"")=I43,IF(C43&gt;=E43,"Successful","Unsuccessful"),"🔒 BLOCKED — Wrong Code")),"—")</f>
        <v/>
      </c>
      <c r="K43" s="493">
        <f>IF(J43="Successful",TEXT(TODAY(),"YYYY-MM-DD")&amp;" Auto","—")</f>
        <v/>
      </c>
      <c r="L43" s="494" t="n"/>
    </row>
    <row r="44" ht="15" customHeight="1" s="341">
      <c r="A44" s="495" t="n"/>
      <c r="B44" s="382">
        <f>IF(A44="","",IFERROR(VLOOKUP(A44,DB_Customers!$A:$D,4,0),"❌ Account Not Found"))</f>
        <v/>
      </c>
      <c r="C44" s="496">
        <f>IF(A44="","",IFERROR(VLOOKUP(A44,DB_Customers!$A:$N,14,0),""))</f>
        <v/>
      </c>
      <c r="D44" s="497">
        <f>IF(A44="","",TODAY())</f>
        <v/>
      </c>
      <c r="E44" s="510" t="n"/>
      <c r="F44" s="382" t="n"/>
      <c r="G44" s="512">
        <f>IF(OR(A44="",E44=""),"",IF(C44="","",C44-E44))</f>
        <v/>
      </c>
      <c r="H44" s="384" t="inlineStr">
        <is>
          <t>Agent 06</t>
        </is>
      </c>
      <c r="I44" s="491" t="n"/>
      <c r="J44" s="499">
        <f>IF(AND(A44&lt;&gt;"",E44&lt;&gt;""),IF(I44="","⚠️ Enter Code",IF(IFERROR(VLOOKUP(H44,DB_Agents!$B:$I,8,0),"")=I44,IF(C44&gt;=E44,"Successful","Unsuccessful"),"🔒 BLOCKED — Wrong Code")),"—")</f>
        <v/>
      </c>
      <c r="K44" s="500">
        <f>IF(J44="Successful",TEXT(TODAY(),"YYYY-MM-DD")&amp;" Auto","—")</f>
        <v/>
      </c>
      <c r="L44" s="501" t="n"/>
    </row>
    <row r="45" ht="15" customHeight="1" s="341">
      <c r="A45" s="486" t="n"/>
      <c r="B45" s="378">
        <f>IF(A45="","",IFERROR(VLOOKUP(A45,DB_Customers!$A:$D,4,0),"❌ Account Not Found"))</f>
        <v/>
      </c>
      <c r="C45" s="487">
        <f>IF(A45="","",IFERROR(VLOOKUP(A45,DB_Customers!$A:$N,14,0),""))</f>
        <v/>
      </c>
      <c r="D45" s="488">
        <f>IF(A45="","",TODAY())</f>
        <v/>
      </c>
      <c r="E45" s="510" t="n"/>
      <c r="F45" s="378" t="n"/>
      <c r="G45" s="511">
        <f>IF(OR(A45="",E45=""),"",IF(C45="","",C45-E45))</f>
        <v/>
      </c>
      <c r="H45" s="380" t="inlineStr">
        <is>
          <t>Agent 06</t>
        </is>
      </c>
      <c r="I45" s="491" t="n"/>
      <c r="J45" s="492">
        <f>IF(AND(A45&lt;&gt;"",E45&lt;&gt;""),IF(I45="","⚠️ Enter Code",IF(IFERROR(VLOOKUP(H45,DB_Agents!$B:$I,8,0),"")=I45,IF(C45&gt;=E45,"Successful","Unsuccessful"),"🔒 BLOCKED — Wrong Code")),"—")</f>
        <v/>
      </c>
      <c r="K45" s="493">
        <f>IF(J45="Successful",TEXT(TODAY(),"YYYY-MM-DD")&amp;" Auto","—")</f>
        <v/>
      </c>
      <c r="L45" s="494" t="n"/>
    </row>
    <row r="46" ht="15" customHeight="1" s="341">
      <c r="A46" s="495" t="n"/>
      <c r="B46" s="382">
        <f>IF(A46="","",IFERROR(VLOOKUP(A46,DB_Customers!$A:$D,4,0),"❌ Account Not Found"))</f>
        <v/>
      </c>
      <c r="C46" s="496">
        <f>IF(A46="","",IFERROR(VLOOKUP(A46,DB_Customers!$A:$N,14,0),""))</f>
        <v/>
      </c>
      <c r="D46" s="497">
        <f>IF(A46="","",TODAY())</f>
        <v/>
      </c>
      <c r="E46" s="510" t="n"/>
      <c r="F46" s="382" t="n"/>
      <c r="G46" s="512">
        <f>IF(OR(A46="",E46=""),"",IF(C46="","",C46-E46))</f>
        <v/>
      </c>
      <c r="H46" s="384" t="inlineStr">
        <is>
          <t>Agent 06</t>
        </is>
      </c>
      <c r="I46" s="491" t="n"/>
      <c r="J46" s="499">
        <f>IF(AND(A46&lt;&gt;"",E46&lt;&gt;""),IF(I46="","⚠️ Enter Code",IF(IFERROR(VLOOKUP(H46,DB_Agents!$B:$I,8,0),"")=I46,IF(C46&gt;=E46,"Successful","Unsuccessful"),"🔒 BLOCKED — Wrong Code")),"—")</f>
        <v/>
      </c>
      <c r="K46" s="500">
        <f>IF(J46="Successful",TEXT(TODAY(),"YYYY-MM-DD")&amp;" Auto","—")</f>
        <v/>
      </c>
      <c r="L46" s="501" t="n"/>
    </row>
    <row r="47" ht="15" customHeight="1" s="341">
      <c r="A47" s="486" t="n"/>
      <c r="B47" s="378">
        <f>IF(A47="","",IFERROR(VLOOKUP(A47,DB_Customers!$A:$D,4,0),"❌ Account Not Found"))</f>
        <v/>
      </c>
      <c r="C47" s="487">
        <f>IF(A47="","",IFERROR(VLOOKUP(A47,DB_Customers!$A:$N,14,0),""))</f>
        <v/>
      </c>
      <c r="D47" s="488">
        <f>IF(A47="","",TODAY())</f>
        <v/>
      </c>
      <c r="E47" s="510" t="n"/>
      <c r="F47" s="378" t="n"/>
      <c r="G47" s="511">
        <f>IF(OR(A47="",E47=""),"",IF(C47="","",C47-E47))</f>
        <v/>
      </c>
      <c r="H47" s="380" t="inlineStr">
        <is>
          <t>Agent 06</t>
        </is>
      </c>
      <c r="I47" s="491" t="n"/>
      <c r="J47" s="492">
        <f>IF(AND(A47&lt;&gt;"",E47&lt;&gt;""),IF(I47="","⚠️ Enter Code",IF(IFERROR(VLOOKUP(H47,DB_Agents!$B:$I,8,0),"")=I47,IF(C47&gt;=E47,"Successful","Unsuccessful"),"🔒 BLOCKED — Wrong Code")),"—")</f>
        <v/>
      </c>
      <c r="K47" s="493">
        <f>IF(J47="Successful",TEXT(TODAY(),"YYYY-MM-DD")&amp;" Auto","—")</f>
        <v/>
      </c>
      <c r="L47" s="494" t="n"/>
    </row>
    <row r="48" ht="15" customHeight="1" s="341">
      <c r="A48" s="495" t="n"/>
      <c r="B48" s="382">
        <f>IF(A48="","",IFERROR(VLOOKUP(A48,DB_Customers!$A:$D,4,0),"❌ Account Not Found"))</f>
        <v/>
      </c>
      <c r="C48" s="496">
        <f>IF(A48="","",IFERROR(VLOOKUP(A48,DB_Customers!$A:$N,14,0),""))</f>
        <v/>
      </c>
      <c r="D48" s="497">
        <f>IF(A48="","",TODAY())</f>
        <v/>
      </c>
      <c r="E48" s="510" t="n"/>
      <c r="F48" s="382" t="n"/>
      <c r="G48" s="512">
        <f>IF(OR(A48="",E48=""),"",IF(C48="","",C48-E48))</f>
        <v/>
      </c>
      <c r="H48" s="384" t="inlineStr">
        <is>
          <t>Agent 06</t>
        </is>
      </c>
      <c r="I48" s="491" t="n"/>
      <c r="J48" s="499">
        <f>IF(AND(A48&lt;&gt;"",E48&lt;&gt;""),IF(I48="","⚠️ Enter Code",IF(IFERROR(VLOOKUP(H48,DB_Agents!$B:$I,8,0),"")=I48,IF(C48&gt;=E48,"Successful","Unsuccessful"),"🔒 BLOCKED — Wrong Code")),"—")</f>
        <v/>
      </c>
      <c r="K48" s="500">
        <f>IF(J48="Successful",TEXT(TODAY(),"YYYY-MM-DD")&amp;" Auto","—")</f>
        <v/>
      </c>
      <c r="L48" s="501" t="n"/>
    </row>
    <row r="49" ht="15" customHeight="1" s="341">
      <c r="A49" s="486" t="n"/>
      <c r="B49" s="378">
        <f>IF(A49="","",IFERROR(VLOOKUP(A49,DB_Customers!$A:$D,4,0),"❌ Account Not Found"))</f>
        <v/>
      </c>
      <c r="C49" s="487">
        <f>IF(A49="","",IFERROR(VLOOKUP(A49,DB_Customers!$A:$N,14,0),""))</f>
        <v/>
      </c>
      <c r="D49" s="488">
        <f>IF(A49="","",TODAY())</f>
        <v/>
      </c>
      <c r="E49" s="510" t="n"/>
      <c r="F49" s="378" t="n"/>
      <c r="G49" s="511">
        <f>IF(OR(A49="",E49=""),"",IF(C49="","",C49-E49))</f>
        <v/>
      </c>
      <c r="H49" s="380" t="inlineStr">
        <is>
          <t>Agent 06</t>
        </is>
      </c>
      <c r="I49" s="491" t="n"/>
      <c r="J49" s="492">
        <f>IF(AND(A49&lt;&gt;"",E49&lt;&gt;""),IF(I49="","⚠️ Enter Code",IF(IFERROR(VLOOKUP(H49,DB_Agents!$B:$I,8,0),"")=I49,IF(C49&gt;=E49,"Successful","Unsuccessful"),"🔒 BLOCKED — Wrong Code")),"—")</f>
        <v/>
      </c>
      <c r="K49" s="493">
        <f>IF(J49="Successful",TEXT(TODAY(),"YYYY-MM-DD")&amp;" Auto","—")</f>
        <v/>
      </c>
      <c r="L49" s="494" t="n"/>
    </row>
    <row r="50" ht="15" customHeight="1" s="341">
      <c r="A50" s="495" t="n"/>
      <c r="B50" s="382">
        <f>IF(A50="","",IFERROR(VLOOKUP(A50,DB_Customers!$A:$D,4,0),"❌ Account Not Found"))</f>
        <v/>
      </c>
      <c r="C50" s="496">
        <f>IF(A50="","",IFERROR(VLOOKUP(A50,DB_Customers!$A:$N,14,0),""))</f>
        <v/>
      </c>
      <c r="D50" s="497">
        <f>IF(A50="","",TODAY())</f>
        <v/>
      </c>
      <c r="E50" s="510" t="n"/>
      <c r="F50" s="382" t="n"/>
      <c r="G50" s="512">
        <f>IF(OR(A50="",E50=""),"",IF(C50="","",C50-E50))</f>
        <v/>
      </c>
      <c r="H50" s="384" t="inlineStr">
        <is>
          <t>Agent 06</t>
        </is>
      </c>
      <c r="I50" s="491" t="n"/>
      <c r="J50" s="499">
        <f>IF(AND(A50&lt;&gt;"",E50&lt;&gt;""),IF(I50="","⚠️ Enter Code",IF(IFERROR(VLOOKUP(H50,DB_Agents!$B:$I,8,0),"")=I50,IF(C50&gt;=E50,"Successful","Unsuccessful"),"🔒 BLOCKED — Wrong Code")),"—")</f>
        <v/>
      </c>
      <c r="K50" s="500">
        <f>IF(J50="Successful",TEXT(TODAY(),"YYYY-MM-DD")&amp;" Auto","—")</f>
        <v/>
      </c>
      <c r="L50" s="501" t="n"/>
    </row>
    <row r="51" ht="15" customHeight="1" s="341">
      <c r="A51" s="486" t="n"/>
      <c r="B51" s="378">
        <f>IF(A51="","",IFERROR(VLOOKUP(A51,DB_Customers!$A:$D,4,0),"❌ Account Not Found"))</f>
        <v/>
      </c>
      <c r="C51" s="487">
        <f>IF(A51="","",IFERROR(VLOOKUP(A51,DB_Customers!$A:$N,14,0),""))</f>
        <v/>
      </c>
      <c r="D51" s="488">
        <f>IF(A51="","",TODAY())</f>
        <v/>
      </c>
      <c r="E51" s="510" t="n"/>
      <c r="F51" s="378" t="n"/>
      <c r="G51" s="511">
        <f>IF(OR(A51="",E51=""),"",IF(C51="","",C51-E51))</f>
        <v/>
      </c>
      <c r="H51" s="380" t="inlineStr">
        <is>
          <t>Agent 06</t>
        </is>
      </c>
      <c r="I51" s="491" t="n"/>
      <c r="J51" s="492">
        <f>IF(AND(A51&lt;&gt;"",E51&lt;&gt;""),IF(I51="","⚠️ Enter Code",IF(IFERROR(VLOOKUP(H51,DB_Agents!$B:$I,8,0),"")=I51,IF(C51&gt;=E51,"Successful","Unsuccessful"),"🔒 BLOCKED — Wrong Code")),"—")</f>
        <v/>
      </c>
      <c r="K51" s="493">
        <f>IF(J51="Successful",TEXT(TODAY(),"YYYY-MM-DD")&amp;" Auto","—")</f>
        <v/>
      </c>
      <c r="L51" s="494" t="n"/>
    </row>
    <row r="52" ht="15" customHeight="1" s="341">
      <c r="A52" s="495" t="n"/>
      <c r="B52" s="382">
        <f>IF(A52="","",IFERROR(VLOOKUP(A52,DB_Customers!$A:$D,4,0),"❌ Account Not Found"))</f>
        <v/>
      </c>
      <c r="C52" s="496">
        <f>IF(A52="","",IFERROR(VLOOKUP(A52,DB_Customers!$A:$N,14,0),""))</f>
        <v/>
      </c>
      <c r="D52" s="497">
        <f>IF(A52="","",TODAY())</f>
        <v/>
      </c>
      <c r="E52" s="510" t="n"/>
      <c r="F52" s="382" t="n"/>
      <c r="G52" s="512">
        <f>IF(OR(A52="",E52=""),"",IF(C52="","",C52-E52))</f>
        <v/>
      </c>
      <c r="H52" s="384" t="inlineStr">
        <is>
          <t>Agent 06</t>
        </is>
      </c>
      <c r="I52" s="491" t="n"/>
      <c r="J52" s="499">
        <f>IF(AND(A52&lt;&gt;"",E52&lt;&gt;""),IF(I52="","⚠️ Enter Code",IF(IFERROR(VLOOKUP(H52,DB_Agents!$B:$I,8,0),"")=I52,IF(C52&gt;=E52,"Successful","Unsuccessful"),"🔒 BLOCKED — Wrong Code")),"—")</f>
        <v/>
      </c>
      <c r="K52" s="500">
        <f>IF(J52="Successful",TEXT(TODAY(),"YYYY-MM-DD")&amp;" Auto","—")</f>
        <v/>
      </c>
      <c r="L52" s="501" t="n"/>
    </row>
    <row r="53" ht="15" customHeight="1" s="341">
      <c r="A53" s="486" t="n"/>
      <c r="B53" s="378">
        <f>IF(A53="","",IFERROR(VLOOKUP(A53,DB_Customers!$A:$D,4,0),"❌ Account Not Found"))</f>
        <v/>
      </c>
      <c r="C53" s="487">
        <f>IF(A53="","",IFERROR(VLOOKUP(A53,DB_Customers!$A:$N,14,0),""))</f>
        <v/>
      </c>
      <c r="D53" s="488">
        <f>IF(A53="","",TODAY())</f>
        <v/>
      </c>
      <c r="E53" s="510" t="n"/>
      <c r="F53" s="378" t="n"/>
      <c r="G53" s="511">
        <f>IF(OR(A53="",E53=""),"",IF(C53="","",C53-E53))</f>
        <v/>
      </c>
      <c r="H53" s="380" t="inlineStr">
        <is>
          <t>Agent 06</t>
        </is>
      </c>
      <c r="I53" s="491" t="n"/>
      <c r="J53" s="492">
        <f>IF(AND(A53&lt;&gt;"",E53&lt;&gt;""),IF(I53="","⚠️ Enter Code",IF(IFERROR(VLOOKUP(H53,DB_Agents!$B:$I,8,0),"")=I53,IF(C53&gt;=E53,"Successful","Unsuccessful"),"🔒 BLOCKED — Wrong Code")),"—")</f>
        <v/>
      </c>
      <c r="K53" s="493">
        <f>IF(J53="Successful",TEXT(TODAY(),"YYYY-MM-DD")&amp;" Auto","—")</f>
        <v/>
      </c>
      <c r="L53" s="494" t="n"/>
    </row>
    <row r="54" ht="15" customHeight="1" s="341">
      <c r="A54" s="495" t="n"/>
      <c r="B54" s="382">
        <f>IF(A54="","",IFERROR(VLOOKUP(A54,DB_Customers!$A:$D,4,0),"❌ Account Not Found"))</f>
        <v/>
      </c>
      <c r="C54" s="496">
        <f>IF(A54="","",IFERROR(VLOOKUP(A54,DB_Customers!$A:$N,14,0),""))</f>
        <v/>
      </c>
      <c r="D54" s="497">
        <f>IF(A54="","",TODAY())</f>
        <v/>
      </c>
      <c r="E54" s="510" t="n"/>
      <c r="F54" s="382" t="n"/>
      <c r="G54" s="512">
        <f>IF(OR(A54="",E54=""),"",IF(C54="","",C54-E54))</f>
        <v/>
      </c>
      <c r="H54" s="384" t="inlineStr">
        <is>
          <t>Agent 06</t>
        </is>
      </c>
      <c r="I54" s="491" t="n"/>
      <c r="J54" s="499">
        <f>IF(AND(A54&lt;&gt;"",E54&lt;&gt;""),IF(I54="","⚠️ Enter Code",IF(IFERROR(VLOOKUP(H54,DB_Agents!$B:$I,8,0),"")=I54,IF(C54&gt;=E54,"Successful","Unsuccessful"),"🔒 BLOCKED — Wrong Code")),"—")</f>
        <v/>
      </c>
      <c r="K54" s="500">
        <f>IF(J54="Successful",TEXT(TODAY(),"YYYY-MM-DD")&amp;" Auto","—")</f>
        <v/>
      </c>
      <c r="L54" s="501" t="n"/>
    </row>
    <row r="55" ht="15" customHeight="1" s="341">
      <c r="A55" s="486" t="n"/>
      <c r="B55" s="378">
        <f>IF(A55="","",IFERROR(VLOOKUP(A55,DB_Customers!$A:$D,4,0),"❌ Account Not Found"))</f>
        <v/>
      </c>
      <c r="C55" s="487">
        <f>IF(A55="","",IFERROR(VLOOKUP(A55,DB_Customers!$A:$N,14,0),""))</f>
        <v/>
      </c>
      <c r="D55" s="488">
        <f>IF(A55="","",TODAY())</f>
        <v/>
      </c>
      <c r="E55" s="510" t="n"/>
      <c r="F55" s="378" t="n"/>
      <c r="G55" s="511">
        <f>IF(OR(A55="",E55=""),"",IF(C55="","",C55-E55))</f>
        <v/>
      </c>
      <c r="H55" s="380" t="inlineStr">
        <is>
          <t>Agent 06</t>
        </is>
      </c>
      <c r="I55" s="491" t="n"/>
      <c r="J55" s="492">
        <f>IF(AND(A55&lt;&gt;"",E55&lt;&gt;""),IF(I55="","⚠️ Enter Code",IF(IFERROR(VLOOKUP(H55,DB_Agents!$B:$I,8,0),"")=I55,IF(C55&gt;=E55,"Successful","Unsuccessful"),"🔒 BLOCKED — Wrong Code")),"—")</f>
        <v/>
      </c>
      <c r="K55" s="493">
        <f>IF(J55="Successful",TEXT(TODAY(),"YYYY-MM-DD")&amp;" Auto","—")</f>
        <v/>
      </c>
      <c r="L55" s="494" t="n"/>
    </row>
    <row r="56" ht="15" customHeight="1" s="341">
      <c r="A56" s="495" t="n"/>
      <c r="B56" s="382">
        <f>IF(A56="","",IFERROR(VLOOKUP(A56,DB_Customers!$A:$D,4,0),"❌ Account Not Found"))</f>
        <v/>
      </c>
      <c r="C56" s="496">
        <f>IF(A56="","",IFERROR(VLOOKUP(A56,DB_Customers!$A:$N,14,0),""))</f>
        <v/>
      </c>
      <c r="D56" s="497">
        <f>IF(A56="","",TODAY())</f>
        <v/>
      </c>
      <c r="E56" s="510" t="n"/>
      <c r="F56" s="382" t="n"/>
      <c r="G56" s="512">
        <f>IF(OR(A56="",E56=""),"",IF(C56="","",C56-E56))</f>
        <v/>
      </c>
      <c r="H56" s="384" t="inlineStr">
        <is>
          <t>Agent 06</t>
        </is>
      </c>
      <c r="I56" s="491" t="n"/>
      <c r="J56" s="499">
        <f>IF(AND(A56&lt;&gt;"",E56&lt;&gt;""),IF(I56="","⚠️ Enter Code",IF(IFERROR(VLOOKUP(H56,DB_Agents!$B:$I,8,0),"")=I56,IF(C56&gt;=E56,"Successful","Unsuccessful"),"🔒 BLOCKED — Wrong Code")),"—")</f>
        <v/>
      </c>
      <c r="K56" s="500">
        <f>IF(J56="Successful",TEXT(TODAY(),"YYYY-MM-DD")&amp;" Auto","—")</f>
        <v/>
      </c>
      <c r="L56" s="501" t="n"/>
    </row>
    <row r="57" ht="15" customHeight="1" s="341">
      <c r="A57" s="486" t="n"/>
      <c r="B57" s="378">
        <f>IF(A57="","",IFERROR(VLOOKUP(A57,DB_Customers!$A:$D,4,0),"❌ Account Not Found"))</f>
        <v/>
      </c>
      <c r="C57" s="487">
        <f>IF(A57="","",IFERROR(VLOOKUP(A57,DB_Customers!$A:$N,14,0),""))</f>
        <v/>
      </c>
      <c r="D57" s="488">
        <f>IF(A57="","",TODAY())</f>
        <v/>
      </c>
      <c r="E57" s="510" t="n"/>
      <c r="F57" s="378" t="n"/>
      <c r="G57" s="511">
        <f>IF(OR(A57="",E57=""),"",IF(C57="","",C57-E57))</f>
        <v/>
      </c>
      <c r="H57" s="380" t="inlineStr">
        <is>
          <t>Agent 06</t>
        </is>
      </c>
      <c r="I57" s="491" t="n"/>
      <c r="J57" s="492">
        <f>IF(AND(A57&lt;&gt;"",E57&lt;&gt;""),IF(I57="","⚠️ Enter Code",IF(IFERROR(VLOOKUP(H57,DB_Agents!$B:$I,8,0),"")=I57,IF(C57&gt;=E57,"Successful","Unsuccessful"),"🔒 BLOCKED — Wrong Code")),"—")</f>
        <v/>
      </c>
      <c r="K57" s="493">
        <f>IF(J57="Successful",TEXT(TODAY(),"YYYY-MM-DD")&amp;" Auto","—")</f>
        <v/>
      </c>
      <c r="L57" s="494" t="n"/>
    </row>
    <row r="58" ht="15" customHeight="1" s="341">
      <c r="A58" s="495" t="n"/>
      <c r="B58" s="382">
        <f>IF(A58="","",IFERROR(VLOOKUP(A58,DB_Customers!$A:$D,4,0),"❌ Account Not Found"))</f>
        <v/>
      </c>
      <c r="C58" s="496">
        <f>IF(A58="","",IFERROR(VLOOKUP(A58,DB_Customers!$A:$N,14,0),""))</f>
        <v/>
      </c>
      <c r="D58" s="497">
        <f>IF(A58="","",TODAY())</f>
        <v/>
      </c>
      <c r="E58" s="510" t="n"/>
      <c r="F58" s="382" t="n"/>
      <c r="G58" s="512">
        <f>IF(OR(A58="",E58=""),"",IF(C58="","",C58-E58))</f>
        <v/>
      </c>
      <c r="H58" s="384" t="inlineStr">
        <is>
          <t>Agent 06</t>
        </is>
      </c>
      <c r="I58" s="491" t="n"/>
      <c r="J58" s="499">
        <f>IF(AND(A58&lt;&gt;"",E58&lt;&gt;""),IF(I58="","⚠️ Enter Code",IF(IFERROR(VLOOKUP(H58,DB_Agents!$B:$I,8,0),"")=I58,IF(C58&gt;=E58,"Successful","Unsuccessful"),"🔒 BLOCKED — Wrong Code")),"—")</f>
        <v/>
      </c>
      <c r="K58" s="500">
        <f>IF(J58="Successful",TEXT(TODAY(),"YYYY-MM-DD")&amp;" Auto","—")</f>
        <v/>
      </c>
      <c r="L58" s="501" t="n"/>
    </row>
    <row r="59" ht="15" customHeight="1" s="341">
      <c r="A59" s="486" t="n"/>
      <c r="B59" s="378">
        <f>IF(A59="","",IFERROR(VLOOKUP(A59,DB_Customers!$A:$D,4,0),"❌ Account Not Found"))</f>
        <v/>
      </c>
      <c r="C59" s="487">
        <f>IF(A59="","",IFERROR(VLOOKUP(A59,DB_Customers!$A:$N,14,0),""))</f>
        <v/>
      </c>
      <c r="D59" s="488">
        <f>IF(A59="","",TODAY())</f>
        <v/>
      </c>
      <c r="E59" s="510" t="n"/>
      <c r="F59" s="378" t="n"/>
      <c r="G59" s="511">
        <f>IF(OR(A59="",E59=""),"",IF(C59="","",C59-E59))</f>
        <v/>
      </c>
      <c r="H59" s="380" t="inlineStr">
        <is>
          <t>Agent 06</t>
        </is>
      </c>
      <c r="I59" s="491" t="n"/>
      <c r="J59" s="492">
        <f>IF(AND(A59&lt;&gt;"",E59&lt;&gt;""),IF(I59="","⚠️ Enter Code",IF(IFERROR(VLOOKUP(H59,DB_Agents!$B:$I,8,0),"")=I59,IF(C59&gt;=E59,"Successful","Unsuccessful"),"🔒 BLOCKED — Wrong Code")),"—")</f>
        <v/>
      </c>
      <c r="K59" s="493">
        <f>IF(J59="Successful",TEXT(TODAY(),"YYYY-MM-DD")&amp;" Auto","—")</f>
        <v/>
      </c>
      <c r="L59" s="494" t="n"/>
    </row>
    <row r="60" ht="15" customHeight="1" s="341">
      <c r="A60" s="495" t="n"/>
      <c r="B60" s="382">
        <f>IF(A60="","",IFERROR(VLOOKUP(A60,DB_Customers!$A:$D,4,0),"❌ Account Not Found"))</f>
        <v/>
      </c>
      <c r="C60" s="496">
        <f>IF(A60="","",IFERROR(VLOOKUP(A60,DB_Customers!$A:$N,14,0),""))</f>
        <v/>
      </c>
      <c r="D60" s="497">
        <f>IF(A60="","",TODAY())</f>
        <v/>
      </c>
      <c r="E60" s="510" t="n"/>
      <c r="F60" s="382" t="n"/>
      <c r="G60" s="512">
        <f>IF(OR(A60="",E60=""),"",IF(C60="","",C60-E60))</f>
        <v/>
      </c>
      <c r="H60" s="384" t="inlineStr">
        <is>
          <t>Agent 06</t>
        </is>
      </c>
      <c r="I60" s="491" t="n"/>
      <c r="J60" s="499">
        <f>IF(AND(A60&lt;&gt;"",E60&lt;&gt;""),IF(I60="","⚠️ Enter Code",IF(IFERROR(VLOOKUP(H60,DB_Agents!$B:$I,8,0),"")=I60,IF(C60&gt;=E60,"Successful","Unsuccessful"),"🔒 BLOCKED — Wrong Code")),"—")</f>
        <v/>
      </c>
      <c r="K60" s="500">
        <f>IF(J60="Successful",TEXT(TODAY(),"YYYY-MM-DD")&amp;" Auto","—")</f>
        <v/>
      </c>
      <c r="L60" s="501" t="n"/>
    </row>
    <row r="61" ht="15" customHeight="1" s="341">
      <c r="A61" s="486" t="n"/>
      <c r="B61" s="378">
        <f>IF(A61="","",IFERROR(VLOOKUP(A61,DB_Customers!$A:$D,4,0),"❌ Account Not Found"))</f>
        <v/>
      </c>
      <c r="C61" s="487">
        <f>IF(A61="","",IFERROR(VLOOKUP(A61,DB_Customers!$A:$N,14,0),""))</f>
        <v/>
      </c>
      <c r="D61" s="488">
        <f>IF(A61="","",TODAY())</f>
        <v/>
      </c>
      <c r="E61" s="510" t="n"/>
      <c r="F61" s="378" t="n"/>
      <c r="G61" s="511">
        <f>IF(OR(A61="",E61=""),"",IF(C61="","",C61-E61))</f>
        <v/>
      </c>
      <c r="H61" s="380" t="inlineStr">
        <is>
          <t>Agent 06</t>
        </is>
      </c>
      <c r="I61" s="491" t="n"/>
      <c r="J61" s="492">
        <f>IF(AND(A61&lt;&gt;"",E61&lt;&gt;""),IF(I61="","⚠️ Enter Code",IF(IFERROR(VLOOKUP(H61,DB_Agents!$B:$I,8,0),"")=I61,IF(C61&gt;=E61,"Successful","Unsuccessful"),"🔒 BLOCKED — Wrong Code")),"—")</f>
        <v/>
      </c>
      <c r="K61" s="493">
        <f>IF(J61="Successful",TEXT(TODAY(),"YYYY-MM-DD")&amp;" Auto","—")</f>
        <v/>
      </c>
      <c r="L61" s="494" t="n"/>
    </row>
    <row r="62" ht="15" customHeight="1" s="341">
      <c r="A62" s="495" t="n"/>
      <c r="B62" s="382">
        <f>IF(A62="","",IFERROR(VLOOKUP(A62,DB_Customers!$A:$D,4,0),"❌ Account Not Found"))</f>
        <v/>
      </c>
      <c r="C62" s="496">
        <f>IF(A62="","",IFERROR(VLOOKUP(A62,DB_Customers!$A:$N,14,0),""))</f>
        <v/>
      </c>
      <c r="D62" s="497">
        <f>IF(A62="","",TODAY())</f>
        <v/>
      </c>
      <c r="E62" s="510" t="n"/>
      <c r="F62" s="382" t="n"/>
      <c r="G62" s="512">
        <f>IF(OR(A62="",E62=""),"",IF(C62="","",C62-E62))</f>
        <v/>
      </c>
      <c r="H62" s="384" t="inlineStr">
        <is>
          <t>Agent 06</t>
        </is>
      </c>
      <c r="I62" s="491" t="n"/>
      <c r="J62" s="499">
        <f>IF(AND(A62&lt;&gt;"",E62&lt;&gt;""),IF(I62="","⚠️ Enter Code",IF(IFERROR(VLOOKUP(H62,DB_Agents!$B:$I,8,0),"")=I62,IF(C62&gt;=E62,"Successful","Unsuccessful"),"🔒 BLOCKED — Wrong Code")),"—")</f>
        <v/>
      </c>
      <c r="K62" s="500">
        <f>IF(J62="Successful",TEXT(TODAY(),"YYYY-MM-DD")&amp;" Auto","—")</f>
        <v/>
      </c>
      <c r="L62" s="501" t="n"/>
    </row>
    <row r="63" ht="15" customHeight="1" s="341">
      <c r="A63" s="486" t="n"/>
      <c r="B63" s="378">
        <f>IF(A63="","",IFERROR(VLOOKUP(A63,DB_Customers!$A:$D,4,0),"❌ Account Not Found"))</f>
        <v/>
      </c>
      <c r="C63" s="487">
        <f>IF(A63="","",IFERROR(VLOOKUP(A63,DB_Customers!$A:$N,14,0),""))</f>
        <v/>
      </c>
      <c r="D63" s="488">
        <f>IF(A63="","",TODAY())</f>
        <v/>
      </c>
      <c r="E63" s="510" t="n"/>
      <c r="F63" s="378" t="n"/>
      <c r="G63" s="511">
        <f>IF(OR(A63="",E63=""),"",IF(C63="","",C63-E63))</f>
        <v/>
      </c>
      <c r="H63" s="380" t="inlineStr">
        <is>
          <t>Agent 06</t>
        </is>
      </c>
      <c r="I63" s="491" t="n"/>
      <c r="J63" s="492">
        <f>IF(AND(A63&lt;&gt;"",E63&lt;&gt;""),IF(I63="","⚠️ Enter Code",IF(IFERROR(VLOOKUP(H63,DB_Agents!$B:$I,8,0),"")=I63,IF(C63&gt;=E63,"Successful","Unsuccessful"),"🔒 BLOCKED — Wrong Code")),"—")</f>
        <v/>
      </c>
      <c r="K63" s="493">
        <f>IF(J63="Successful",TEXT(TODAY(),"YYYY-MM-DD")&amp;" Auto","—")</f>
        <v/>
      </c>
      <c r="L63" s="494" t="n"/>
    </row>
    <row r="64" ht="15" customHeight="1" s="341">
      <c r="A64" s="495" t="n"/>
      <c r="B64" s="382">
        <f>IF(A64="","",IFERROR(VLOOKUP(A64,DB_Customers!$A:$D,4,0),"❌ Account Not Found"))</f>
        <v/>
      </c>
      <c r="C64" s="496">
        <f>IF(A64="","",IFERROR(VLOOKUP(A64,DB_Customers!$A:$N,14,0),""))</f>
        <v/>
      </c>
      <c r="D64" s="497">
        <f>IF(A64="","",TODAY())</f>
        <v/>
      </c>
      <c r="E64" s="510" t="n"/>
      <c r="F64" s="382" t="n"/>
      <c r="G64" s="512">
        <f>IF(OR(A64="",E64=""),"",IF(C64="","",C64-E64))</f>
        <v/>
      </c>
      <c r="H64" s="384" t="inlineStr">
        <is>
          <t>Agent 06</t>
        </is>
      </c>
      <c r="I64" s="491" t="n"/>
      <c r="J64" s="499">
        <f>IF(AND(A64&lt;&gt;"",E64&lt;&gt;""),IF(I64="","⚠️ Enter Code",IF(IFERROR(VLOOKUP(H64,DB_Agents!$B:$I,8,0),"")=I64,IF(C64&gt;=E64,"Successful","Unsuccessful"),"🔒 BLOCKED — Wrong Code")),"—")</f>
        <v/>
      </c>
      <c r="K64" s="500">
        <f>IF(J64="Successful",TEXT(TODAY(),"YYYY-MM-DD")&amp;" Auto","—")</f>
        <v/>
      </c>
      <c r="L64" s="501" t="n"/>
    </row>
    <row r="65" ht="15" customHeight="1" s="341">
      <c r="A65" s="486" t="n"/>
      <c r="B65" s="378">
        <f>IF(A65="","",IFERROR(VLOOKUP(A65,DB_Customers!$A:$D,4,0),"❌ Account Not Found"))</f>
        <v/>
      </c>
      <c r="C65" s="487">
        <f>IF(A65="","",IFERROR(VLOOKUP(A65,DB_Customers!$A:$N,14,0),""))</f>
        <v/>
      </c>
      <c r="D65" s="488">
        <f>IF(A65="","",TODAY())</f>
        <v/>
      </c>
      <c r="E65" s="510" t="n"/>
      <c r="F65" s="378" t="n"/>
      <c r="G65" s="511">
        <f>IF(OR(A65="",E65=""),"",IF(C65="","",C65-E65))</f>
        <v/>
      </c>
      <c r="H65" s="380" t="inlineStr">
        <is>
          <t>Agent 06</t>
        </is>
      </c>
      <c r="I65" s="491" t="n"/>
      <c r="J65" s="492">
        <f>IF(AND(A65&lt;&gt;"",E65&lt;&gt;""),IF(I65="","⚠️ Enter Code",IF(IFERROR(VLOOKUP(H65,DB_Agents!$B:$I,8,0),"")=I65,IF(C65&gt;=E65,"Successful","Unsuccessful"),"🔒 BLOCKED — Wrong Code")),"—")</f>
        <v/>
      </c>
      <c r="K65" s="493">
        <f>IF(J65="Successful",TEXT(TODAY(),"YYYY-MM-DD")&amp;" Auto","—")</f>
        <v/>
      </c>
      <c r="L65" s="494" t="n"/>
    </row>
    <row r="66" ht="15" customHeight="1" s="341">
      <c r="A66" s="495" t="n"/>
      <c r="B66" s="382">
        <f>IF(A66="","",IFERROR(VLOOKUP(A66,DB_Customers!$A:$D,4,0),"❌ Account Not Found"))</f>
        <v/>
      </c>
      <c r="C66" s="496">
        <f>IF(A66="","",IFERROR(VLOOKUP(A66,DB_Customers!$A:$N,14,0),""))</f>
        <v/>
      </c>
      <c r="D66" s="497">
        <f>IF(A66="","",TODAY())</f>
        <v/>
      </c>
      <c r="E66" s="510" t="n"/>
      <c r="F66" s="382" t="n"/>
      <c r="G66" s="512">
        <f>IF(OR(A66="",E66=""),"",IF(C66="","",C66-E66))</f>
        <v/>
      </c>
      <c r="H66" s="384" t="inlineStr">
        <is>
          <t>Agent 06</t>
        </is>
      </c>
      <c r="I66" s="491" t="n"/>
      <c r="J66" s="499">
        <f>IF(AND(A66&lt;&gt;"",E66&lt;&gt;""),IF(I66="","⚠️ Enter Code",IF(IFERROR(VLOOKUP(H66,DB_Agents!$B:$I,8,0),"")=I66,IF(C66&gt;=E66,"Successful","Unsuccessful"),"🔒 BLOCKED — Wrong Code")),"—")</f>
        <v/>
      </c>
      <c r="K66" s="500">
        <f>IF(J66="Successful",TEXT(TODAY(),"YYYY-MM-DD")&amp;" Auto","—")</f>
        <v/>
      </c>
      <c r="L66" s="501" t="n"/>
    </row>
    <row r="67" ht="15" customHeight="1" s="341">
      <c r="A67" s="486" t="n"/>
      <c r="B67" s="378">
        <f>IF(A67="","",IFERROR(VLOOKUP(A67,DB_Customers!$A:$D,4,0),"❌ Account Not Found"))</f>
        <v/>
      </c>
      <c r="C67" s="487">
        <f>IF(A67="","",IFERROR(VLOOKUP(A67,DB_Customers!$A:$N,14,0),""))</f>
        <v/>
      </c>
      <c r="D67" s="488">
        <f>IF(A67="","",TODAY())</f>
        <v/>
      </c>
      <c r="E67" s="510" t="n"/>
      <c r="F67" s="378" t="n"/>
      <c r="G67" s="511">
        <f>IF(OR(A67="",E67=""),"",IF(C67="","",C67-E67))</f>
        <v/>
      </c>
      <c r="H67" s="380" t="inlineStr">
        <is>
          <t>Agent 06</t>
        </is>
      </c>
      <c r="I67" s="491" t="n"/>
      <c r="J67" s="492">
        <f>IF(AND(A67&lt;&gt;"",E67&lt;&gt;""),IF(I67="","⚠️ Enter Code",IF(IFERROR(VLOOKUP(H67,DB_Agents!$B:$I,8,0),"")=I67,IF(C67&gt;=E67,"Successful","Unsuccessful"),"🔒 BLOCKED — Wrong Code")),"—")</f>
        <v/>
      </c>
      <c r="K67" s="493">
        <f>IF(J67="Successful",TEXT(TODAY(),"YYYY-MM-DD")&amp;" Auto","—")</f>
        <v/>
      </c>
      <c r="L67" s="494" t="n"/>
    </row>
    <row r="68" ht="15" customHeight="1" s="341">
      <c r="A68" s="495" t="n"/>
      <c r="B68" s="382">
        <f>IF(A68="","",IFERROR(VLOOKUP(A68,DB_Customers!$A:$D,4,0),"❌ Account Not Found"))</f>
        <v/>
      </c>
      <c r="C68" s="496">
        <f>IF(A68="","",IFERROR(VLOOKUP(A68,DB_Customers!$A:$N,14,0),""))</f>
        <v/>
      </c>
      <c r="D68" s="497">
        <f>IF(A68="","",TODAY())</f>
        <v/>
      </c>
      <c r="E68" s="510" t="n"/>
      <c r="F68" s="382" t="n"/>
      <c r="G68" s="512">
        <f>IF(OR(A68="",E68=""),"",IF(C68="","",C68-E68))</f>
        <v/>
      </c>
      <c r="H68" s="384" t="inlineStr">
        <is>
          <t>Agent 06</t>
        </is>
      </c>
      <c r="I68" s="491" t="n"/>
      <c r="J68" s="499">
        <f>IF(AND(A68&lt;&gt;"",E68&lt;&gt;""),IF(I68="","⚠️ Enter Code",IF(IFERROR(VLOOKUP(H68,DB_Agents!$B:$I,8,0),"")=I68,IF(C68&gt;=E68,"Successful","Unsuccessful"),"🔒 BLOCKED — Wrong Code")),"—")</f>
        <v/>
      </c>
      <c r="K68" s="500">
        <f>IF(J68="Successful",TEXT(TODAY(),"YYYY-MM-DD")&amp;" Auto","—")</f>
        <v/>
      </c>
      <c r="L68" s="501" t="n"/>
    </row>
    <row r="69" ht="15" customHeight="1" s="341">
      <c r="A69" s="486" t="n"/>
      <c r="B69" s="378">
        <f>IF(A69="","",IFERROR(VLOOKUP(A69,DB_Customers!$A:$D,4,0),"❌ Account Not Found"))</f>
        <v/>
      </c>
      <c r="C69" s="487">
        <f>IF(A69="","",IFERROR(VLOOKUP(A69,DB_Customers!$A:$N,14,0),""))</f>
        <v/>
      </c>
      <c r="D69" s="488">
        <f>IF(A69="","",TODAY())</f>
        <v/>
      </c>
      <c r="E69" s="510" t="n"/>
      <c r="F69" s="378" t="n"/>
      <c r="G69" s="511">
        <f>IF(OR(A69="",E69=""),"",IF(C69="","",C69-E69))</f>
        <v/>
      </c>
      <c r="H69" s="380" t="inlineStr">
        <is>
          <t>Agent 06</t>
        </is>
      </c>
      <c r="I69" s="491" t="n"/>
      <c r="J69" s="492">
        <f>IF(AND(A69&lt;&gt;"",E69&lt;&gt;""),IF(I69="","⚠️ Enter Code",IF(IFERROR(VLOOKUP(H69,DB_Agents!$B:$I,8,0),"")=I69,IF(C69&gt;=E69,"Successful","Unsuccessful"),"🔒 BLOCKED — Wrong Code")),"—")</f>
        <v/>
      </c>
      <c r="K69" s="493">
        <f>IF(J69="Successful",TEXT(TODAY(),"YYYY-MM-DD")&amp;" Auto","—")</f>
        <v/>
      </c>
      <c r="L69" s="494" t="n"/>
    </row>
    <row r="70" ht="15" customHeight="1" s="341">
      <c r="A70" s="495" t="n"/>
      <c r="B70" s="382">
        <f>IF(A70="","",IFERROR(VLOOKUP(A70,DB_Customers!$A:$D,4,0),"❌ Account Not Found"))</f>
        <v/>
      </c>
      <c r="C70" s="496">
        <f>IF(A70="","",IFERROR(VLOOKUP(A70,DB_Customers!$A:$N,14,0),""))</f>
        <v/>
      </c>
      <c r="D70" s="497">
        <f>IF(A70="","",TODAY())</f>
        <v/>
      </c>
      <c r="E70" s="510" t="n"/>
      <c r="F70" s="382" t="n"/>
      <c r="G70" s="512">
        <f>IF(OR(A70="",E70=""),"",IF(C70="","",C70-E70))</f>
        <v/>
      </c>
      <c r="H70" s="384" t="inlineStr">
        <is>
          <t>Agent 06</t>
        </is>
      </c>
      <c r="I70" s="491" t="n"/>
      <c r="J70" s="499">
        <f>IF(AND(A70&lt;&gt;"",E70&lt;&gt;""),IF(I70="","⚠️ Enter Code",IF(IFERROR(VLOOKUP(H70,DB_Agents!$B:$I,8,0),"")=I70,IF(C70&gt;=E70,"Successful","Unsuccessful"),"🔒 BLOCKED — Wrong Code")),"—")</f>
        <v/>
      </c>
      <c r="K70" s="500">
        <f>IF(J70="Successful",TEXT(TODAY(),"YYYY-MM-DD")&amp;" Auto","—")</f>
        <v/>
      </c>
      <c r="L70" s="501" t="n"/>
    </row>
    <row r="71" ht="15" customHeight="1" s="341">
      <c r="A71" s="486" t="n"/>
      <c r="B71" s="378">
        <f>IF(A71="","",IFERROR(VLOOKUP(A71,DB_Customers!$A:$D,4,0),"❌ Account Not Found"))</f>
        <v/>
      </c>
      <c r="C71" s="487">
        <f>IF(A71="","",IFERROR(VLOOKUP(A71,DB_Customers!$A:$N,14,0),""))</f>
        <v/>
      </c>
      <c r="D71" s="488">
        <f>IF(A71="","",TODAY())</f>
        <v/>
      </c>
      <c r="E71" s="510" t="n"/>
      <c r="F71" s="378" t="n"/>
      <c r="G71" s="511">
        <f>IF(OR(A71="",E71=""),"",IF(C71="","",C71-E71))</f>
        <v/>
      </c>
      <c r="H71" s="380" t="inlineStr">
        <is>
          <t>Agent 06</t>
        </is>
      </c>
      <c r="I71" s="491" t="n"/>
      <c r="J71" s="492">
        <f>IF(AND(A71&lt;&gt;"",E71&lt;&gt;""),IF(I71="","⚠️ Enter Code",IF(IFERROR(VLOOKUP(H71,DB_Agents!$B:$I,8,0),"")=I71,IF(C71&gt;=E71,"Successful","Unsuccessful"),"🔒 BLOCKED — Wrong Code")),"—")</f>
        <v/>
      </c>
      <c r="K71" s="493">
        <f>IF(J71="Successful",TEXT(TODAY(),"YYYY-MM-DD")&amp;" Auto","—")</f>
        <v/>
      </c>
      <c r="L71" s="494" t="n"/>
    </row>
    <row r="72" ht="15" customHeight="1" s="341">
      <c r="A72" s="495" t="n"/>
      <c r="B72" s="382">
        <f>IF(A72="","",IFERROR(VLOOKUP(A72,DB_Customers!$A:$D,4,0),"❌ Account Not Found"))</f>
        <v/>
      </c>
      <c r="C72" s="496">
        <f>IF(A72="","",IFERROR(VLOOKUP(A72,DB_Customers!$A:$N,14,0),""))</f>
        <v/>
      </c>
      <c r="D72" s="497">
        <f>IF(A72="","",TODAY())</f>
        <v/>
      </c>
      <c r="E72" s="510" t="n"/>
      <c r="F72" s="382" t="n"/>
      <c r="G72" s="512">
        <f>IF(OR(A72="",E72=""),"",IF(C72="","",C72-E72))</f>
        <v/>
      </c>
      <c r="H72" s="384" t="inlineStr">
        <is>
          <t>Agent 06</t>
        </is>
      </c>
      <c r="I72" s="491" t="n"/>
      <c r="J72" s="499">
        <f>IF(AND(A72&lt;&gt;"",E72&lt;&gt;""),IF(I72="","⚠️ Enter Code",IF(IFERROR(VLOOKUP(H72,DB_Agents!$B:$I,8,0),"")=I72,IF(C72&gt;=E72,"Successful","Unsuccessful"),"🔒 BLOCKED — Wrong Code")),"—")</f>
        <v/>
      </c>
      <c r="K72" s="500">
        <f>IF(J72="Successful",TEXT(TODAY(),"YYYY-MM-DD")&amp;" Auto","—")</f>
        <v/>
      </c>
      <c r="L72" s="501" t="n"/>
    </row>
    <row r="73" ht="15" customHeight="1" s="341">
      <c r="A73" s="486" t="n"/>
      <c r="B73" s="378">
        <f>IF(A73="","",IFERROR(VLOOKUP(A73,DB_Customers!$A:$D,4,0),"❌ Account Not Found"))</f>
        <v/>
      </c>
      <c r="C73" s="487">
        <f>IF(A73="","",IFERROR(VLOOKUP(A73,DB_Customers!$A:$N,14,0),""))</f>
        <v/>
      </c>
      <c r="D73" s="488">
        <f>IF(A73="","",TODAY())</f>
        <v/>
      </c>
      <c r="E73" s="510" t="n"/>
      <c r="F73" s="378" t="n"/>
      <c r="G73" s="511">
        <f>IF(OR(A73="",E73=""),"",IF(C73="","",C73-E73))</f>
        <v/>
      </c>
      <c r="H73" s="380" t="inlineStr">
        <is>
          <t>Agent 06</t>
        </is>
      </c>
      <c r="I73" s="491" t="n"/>
      <c r="J73" s="492">
        <f>IF(AND(A73&lt;&gt;"",E73&lt;&gt;""),IF(I73="","⚠️ Enter Code",IF(IFERROR(VLOOKUP(H73,DB_Agents!$B:$I,8,0),"")=I73,IF(C73&gt;=E73,"Successful","Unsuccessful"),"🔒 BLOCKED — Wrong Code")),"—")</f>
        <v/>
      </c>
      <c r="K73" s="493">
        <f>IF(J73="Successful",TEXT(TODAY(),"YYYY-MM-DD")&amp;" Auto","—")</f>
        <v/>
      </c>
      <c r="L73" s="494" t="n"/>
    </row>
    <row r="74" ht="15" customHeight="1" s="341">
      <c r="A74" s="495" t="n"/>
      <c r="B74" s="382">
        <f>IF(A74="","",IFERROR(VLOOKUP(A74,DB_Customers!$A:$D,4,0),"❌ Account Not Found"))</f>
        <v/>
      </c>
      <c r="C74" s="496">
        <f>IF(A74="","",IFERROR(VLOOKUP(A74,DB_Customers!$A:$N,14,0),""))</f>
        <v/>
      </c>
      <c r="D74" s="497">
        <f>IF(A74="","",TODAY())</f>
        <v/>
      </c>
      <c r="E74" s="510" t="n"/>
      <c r="F74" s="382" t="n"/>
      <c r="G74" s="512">
        <f>IF(OR(A74="",E74=""),"",IF(C74="","",C74-E74))</f>
        <v/>
      </c>
      <c r="H74" s="384" t="inlineStr">
        <is>
          <t>Agent 06</t>
        </is>
      </c>
      <c r="I74" s="491" t="n"/>
      <c r="J74" s="499">
        <f>IF(AND(A74&lt;&gt;"",E74&lt;&gt;""),IF(I74="","⚠️ Enter Code",IF(IFERROR(VLOOKUP(H74,DB_Agents!$B:$I,8,0),"")=I74,IF(C74&gt;=E74,"Successful","Unsuccessful"),"🔒 BLOCKED — Wrong Code")),"—")</f>
        <v/>
      </c>
      <c r="K74" s="500">
        <f>IF(J74="Successful",TEXT(TODAY(),"YYYY-MM-DD")&amp;" Auto","—")</f>
        <v/>
      </c>
      <c r="L74" s="501" t="n"/>
    </row>
    <row r="75" ht="15" customHeight="1" s="341">
      <c r="A75" s="486" t="n"/>
      <c r="B75" s="378">
        <f>IF(A75="","",IFERROR(VLOOKUP(A75,DB_Customers!$A:$D,4,0),"❌ Account Not Found"))</f>
        <v/>
      </c>
      <c r="C75" s="487">
        <f>IF(A75="","",IFERROR(VLOOKUP(A75,DB_Customers!$A:$N,14,0),""))</f>
        <v/>
      </c>
      <c r="D75" s="488">
        <f>IF(A75="","",TODAY())</f>
        <v/>
      </c>
      <c r="E75" s="510" t="n"/>
      <c r="F75" s="378" t="n"/>
      <c r="G75" s="511">
        <f>IF(OR(A75="",E75=""),"",IF(C75="","",C75-E75))</f>
        <v/>
      </c>
      <c r="H75" s="380" t="inlineStr">
        <is>
          <t>Agent 06</t>
        </is>
      </c>
      <c r="I75" s="491" t="n"/>
      <c r="J75" s="492">
        <f>IF(AND(A75&lt;&gt;"",E75&lt;&gt;""),IF(I75="","⚠️ Enter Code",IF(IFERROR(VLOOKUP(H75,DB_Agents!$B:$I,8,0),"")=I75,IF(C75&gt;=E75,"Successful","Unsuccessful"),"🔒 BLOCKED — Wrong Code")),"—")</f>
        <v/>
      </c>
      <c r="K75" s="493">
        <f>IF(J75="Successful",TEXT(TODAY(),"YYYY-MM-DD")&amp;" Auto","—")</f>
        <v/>
      </c>
      <c r="L75" s="494" t="n"/>
    </row>
    <row r="76" ht="15" customHeight="1" s="341">
      <c r="A76" s="495" t="n"/>
      <c r="B76" s="382">
        <f>IF(A76="","",IFERROR(VLOOKUP(A76,DB_Customers!$A:$D,4,0),"❌ Account Not Found"))</f>
        <v/>
      </c>
      <c r="C76" s="496">
        <f>IF(A76="","",IFERROR(VLOOKUP(A76,DB_Customers!$A:$N,14,0),""))</f>
        <v/>
      </c>
      <c r="D76" s="497">
        <f>IF(A76="","",TODAY())</f>
        <v/>
      </c>
      <c r="E76" s="510" t="n"/>
      <c r="F76" s="382" t="n"/>
      <c r="G76" s="512">
        <f>IF(OR(A76="",E76=""),"",IF(C76="","",C76-E76))</f>
        <v/>
      </c>
      <c r="H76" s="384" t="inlineStr">
        <is>
          <t>Agent 06</t>
        </is>
      </c>
      <c r="I76" s="491" t="n"/>
      <c r="J76" s="499">
        <f>IF(AND(A76&lt;&gt;"",E76&lt;&gt;""),IF(I76="","⚠️ Enter Code",IF(IFERROR(VLOOKUP(H76,DB_Agents!$B:$I,8,0),"")=I76,IF(C76&gt;=E76,"Successful","Unsuccessful"),"🔒 BLOCKED — Wrong Code")),"—")</f>
        <v/>
      </c>
      <c r="K76" s="500">
        <f>IF(J76="Successful",TEXT(TODAY(),"YYYY-MM-DD")&amp;" Auto","—")</f>
        <v/>
      </c>
      <c r="L76" s="501" t="n"/>
    </row>
    <row r="77" ht="15" customHeight="1" s="341">
      <c r="A77" s="486" t="n"/>
      <c r="B77" s="378">
        <f>IF(A77="","",IFERROR(VLOOKUP(A77,DB_Customers!$A:$D,4,0),"❌ Account Not Found"))</f>
        <v/>
      </c>
      <c r="C77" s="487">
        <f>IF(A77="","",IFERROR(VLOOKUP(A77,DB_Customers!$A:$N,14,0),""))</f>
        <v/>
      </c>
      <c r="D77" s="488">
        <f>IF(A77="","",TODAY())</f>
        <v/>
      </c>
      <c r="E77" s="510" t="n"/>
      <c r="F77" s="378" t="n"/>
      <c r="G77" s="511">
        <f>IF(OR(A77="",E77=""),"",IF(C77="","",C77-E77))</f>
        <v/>
      </c>
      <c r="H77" s="380" t="inlineStr">
        <is>
          <t>Agent 06</t>
        </is>
      </c>
      <c r="I77" s="491" t="n"/>
      <c r="J77" s="492">
        <f>IF(AND(A77&lt;&gt;"",E77&lt;&gt;""),IF(I77="","⚠️ Enter Code",IF(IFERROR(VLOOKUP(H77,DB_Agents!$B:$I,8,0),"")=I77,IF(C77&gt;=E77,"Successful","Unsuccessful"),"🔒 BLOCKED — Wrong Code")),"—")</f>
        <v/>
      </c>
      <c r="K77" s="493">
        <f>IF(J77="Successful",TEXT(TODAY(),"YYYY-MM-DD")&amp;" Auto","—")</f>
        <v/>
      </c>
      <c r="L77" s="494" t="n"/>
    </row>
    <row r="78" ht="15" customHeight="1" s="341">
      <c r="A78" s="495" t="n"/>
      <c r="B78" s="382">
        <f>IF(A78="","",IFERROR(VLOOKUP(A78,DB_Customers!$A:$D,4,0),"❌ Account Not Found"))</f>
        <v/>
      </c>
      <c r="C78" s="496">
        <f>IF(A78="","",IFERROR(VLOOKUP(A78,DB_Customers!$A:$N,14,0),""))</f>
        <v/>
      </c>
      <c r="D78" s="497">
        <f>IF(A78="","",TODAY())</f>
        <v/>
      </c>
      <c r="E78" s="510" t="n"/>
      <c r="F78" s="382" t="n"/>
      <c r="G78" s="512">
        <f>IF(OR(A78="",E78=""),"",IF(C78="","",C78-E78))</f>
        <v/>
      </c>
      <c r="H78" s="384" t="inlineStr">
        <is>
          <t>Agent 06</t>
        </is>
      </c>
      <c r="I78" s="491" t="n"/>
      <c r="J78" s="499">
        <f>IF(AND(A78&lt;&gt;"",E78&lt;&gt;""),IF(I78="","⚠️ Enter Code",IF(IFERROR(VLOOKUP(H78,DB_Agents!$B:$I,8,0),"")=I78,IF(C78&gt;=E78,"Successful","Unsuccessful"),"🔒 BLOCKED — Wrong Code")),"—")</f>
        <v/>
      </c>
      <c r="K78" s="500">
        <f>IF(J78="Successful",TEXT(TODAY(),"YYYY-MM-DD")&amp;" Auto","—")</f>
        <v/>
      </c>
      <c r="L78" s="501" t="n"/>
    </row>
    <row r="79" ht="15" customHeight="1" s="341">
      <c r="A79" s="486" t="n"/>
      <c r="B79" s="378">
        <f>IF(A79="","",IFERROR(VLOOKUP(A79,DB_Customers!$A:$D,4,0),"❌ Account Not Found"))</f>
        <v/>
      </c>
      <c r="C79" s="487">
        <f>IF(A79="","",IFERROR(VLOOKUP(A79,DB_Customers!$A:$N,14,0),""))</f>
        <v/>
      </c>
      <c r="D79" s="488">
        <f>IF(A79="","",TODAY())</f>
        <v/>
      </c>
      <c r="E79" s="510" t="n"/>
      <c r="F79" s="378" t="n"/>
      <c r="G79" s="511">
        <f>IF(OR(A79="",E79=""),"",IF(C79="","",C79-E79))</f>
        <v/>
      </c>
      <c r="H79" s="380" t="inlineStr">
        <is>
          <t>Agent 06</t>
        </is>
      </c>
      <c r="I79" s="491" t="n"/>
      <c r="J79" s="492">
        <f>IF(AND(A79&lt;&gt;"",E79&lt;&gt;""),IF(I79="","⚠️ Enter Code",IF(IFERROR(VLOOKUP(H79,DB_Agents!$B:$I,8,0),"")=I79,IF(C79&gt;=E79,"Successful","Unsuccessful"),"🔒 BLOCKED — Wrong Code")),"—")</f>
        <v/>
      </c>
      <c r="K79" s="493">
        <f>IF(J79="Successful",TEXT(TODAY(),"YYYY-MM-DD")&amp;" Auto","—")</f>
        <v/>
      </c>
      <c r="L79" s="494" t="n"/>
    </row>
    <row r="80" ht="15" customHeight="1" s="341">
      <c r="A80" s="495" t="n"/>
      <c r="B80" s="382">
        <f>IF(A80="","",IFERROR(VLOOKUP(A80,DB_Customers!$A:$D,4,0),"❌ Account Not Found"))</f>
        <v/>
      </c>
      <c r="C80" s="496">
        <f>IF(A80="","",IFERROR(VLOOKUP(A80,DB_Customers!$A:$N,14,0),""))</f>
        <v/>
      </c>
      <c r="D80" s="497">
        <f>IF(A80="","",TODAY())</f>
        <v/>
      </c>
      <c r="E80" s="510" t="n"/>
      <c r="F80" s="382" t="n"/>
      <c r="G80" s="512">
        <f>IF(OR(A80="",E80=""),"",IF(C80="","",C80-E80))</f>
        <v/>
      </c>
      <c r="H80" s="384" t="inlineStr">
        <is>
          <t>Agent 06</t>
        </is>
      </c>
      <c r="I80" s="491" t="n"/>
      <c r="J80" s="499">
        <f>IF(AND(A80&lt;&gt;"",E80&lt;&gt;""),IF(I80="","⚠️ Enter Code",IF(IFERROR(VLOOKUP(H80,DB_Agents!$B:$I,8,0),"")=I80,IF(C80&gt;=E80,"Successful","Unsuccessful"),"🔒 BLOCKED — Wrong Code")),"—")</f>
        <v/>
      </c>
      <c r="K80" s="500">
        <f>IF(J80="Successful",TEXT(TODAY(),"YYYY-MM-DD")&amp;" Auto","—")</f>
        <v/>
      </c>
      <c r="L80" s="501" t="n"/>
    </row>
    <row r="81" ht="15" customHeight="1" s="341">
      <c r="A81" s="486" t="n"/>
      <c r="B81" s="378">
        <f>IF(A81="","",IFERROR(VLOOKUP(A81,DB_Customers!$A:$D,4,0),"❌ Account Not Found"))</f>
        <v/>
      </c>
      <c r="C81" s="487">
        <f>IF(A81="","",IFERROR(VLOOKUP(A81,DB_Customers!$A:$N,14,0),""))</f>
        <v/>
      </c>
      <c r="D81" s="488">
        <f>IF(A81="","",TODAY())</f>
        <v/>
      </c>
      <c r="E81" s="510" t="n"/>
      <c r="F81" s="378" t="n"/>
      <c r="G81" s="511">
        <f>IF(OR(A81="",E81=""),"",IF(C81="","",C81-E81))</f>
        <v/>
      </c>
      <c r="H81" s="380" t="inlineStr">
        <is>
          <t>Agent 06</t>
        </is>
      </c>
      <c r="I81" s="491" t="n"/>
      <c r="J81" s="492">
        <f>IF(AND(A81&lt;&gt;"",E81&lt;&gt;""),IF(I81="","⚠️ Enter Code",IF(IFERROR(VLOOKUP(H81,DB_Agents!$B:$I,8,0),"")=I81,IF(C81&gt;=E81,"Successful","Unsuccessful"),"🔒 BLOCKED — Wrong Code")),"—")</f>
        <v/>
      </c>
      <c r="K81" s="493">
        <f>IF(J81="Successful",TEXT(TODAY(),"YYYY-MM-DD")&amp;" Auto","—")</f>
        <v/>
      </c>
      <c r="L81" s="494" t="n"/>
    </row>
    <row r="82" ht="15" customHeight="1" s="341">
      <c r="A82" s="495" t="n"/>
      <c r="B82" s="382">
        <f>IF(A82="","",IFERROR(VLOOKUP(A82,DB_Customers!$A:$D,4,0),"❌ Account Not Found"))</f>
        <v/>
      </c>
      <c r="C82" s="496">
        <f>IF(A82="","",IFERROR(VLOOKUP(A82,DB_Customers!$A:$N,14,0),""))</f>
        <v/>
      </c>
      <c r="D82" s="497">
        <f>IF(A82="","",TODAY())</f>
        <v/>
      </c>
      <c r="E82" s="510" t="n"/>
      <c r="F82" s="382" t="n"/>
      <c r="G82" s="512">
        <f>IF(OR(A82="",E82=""),"",IF(C82="","",C82-E82))</f>
        <v/>
      </c>
      <c r="H82" s="384" t="inlineStr">
        <is>
          <t>Agent 06</t>
        </is>
      </c>
      <c r="I82" s="491" t="n"/>
      <c r="J82" s="499">
        <f>IF(AND(A82&lt;&gt;"",E82&lt;&gt;""),IF(I82="","⚠️ Enter Code",IF(IFERROR(VLOOKUP(H82,DB_Agents!$B:$I,8,0),"")=I82,IF(C82&gt;=E82,"Successful","Unsuccessful"),"🔒 BLOCKED — Wrong Code")),"—")</f>
        <v/>
      </c>
      <c r="K82" s="500">
        <f>IF(J82="Successful",TEXT(TODAY(),"YYYY-MM-DD")&amp;" Auto","—")</f>
        <v/>
      </c>
      <c r="L82" s="501" t="n"/>
    </row>
    <row r="83" ht="15" customHeight="1" s="341">
      <c r="A83" s="486" t="n"/>
      <c r="B83" s="378">
        <f>IF(A83="","",IFERROR(VLOOKUP(A83,DB_Customers!$A:$D,4,0),"❌ Account Not Found"))</f>
        <v/>
      </c>
      <c r="C83" s="487">
        <f>IF(A83="","",IFERROR(VLOOKUP(A83,DB_Customers!$A:$N,14,0),""))</f>
        <v/>
      </c>
      <c r="D83" s="488">
        <f>IF(A83="","",TODAY())</f>
        <v/>
      </c>
      <c r="E83" s="510" t="n"/>
      <c r="F83" s="378" t="n"/>
      <c r="G83" s="511">
        <f>IF(OR(A83="",E83=""),"",IF(C83="","",C83-E83))</f>
        <v/>
      </c>
      <c r="H83" s="380" t="inlineStr">
        <is>
          <t>Agent 06</t>
        </is>
      </c>
      <c r="I83" s="491" t="n"/>
      <c r="J83" s="492">
        <f>IF(AND(A83&lt;&gt;"",E83&lt;&gt;""),IF(I83="","⚠️ Enter Code",IF(IFERROR(VLOOKUP(H83,DB_Agents!$B:$I,8,0),"")=I83,IF(C83&gt;=E83,"Successful","Unsuccessful"),"🔒 BLOCKED — Wrong Code")),"—")</f>
        <v/>
      </c>
      <c r="K83" s="493">
        <f>IF(J83="Successful",TEXT(TODAY(),"YYYY-MM-DD")&amp;" Auto","—")</f>
        <v/>
      </c>
      <c r="L83" s="494" t="n"/>
    </row>
    <row r="84" ht="15" customHeight="1" s="341">
      <c r="A84" s="495" t="n"/>
      <c r="B84" s="382">
        <f>IF(A84="","",IFERROR(VLOOKUP(A84,DB_Customers!$A:$D,4,0),"❌ Account Not Found"))</f>
        <v/>
      </c>
      <c r="C84" s="496">
        <f>IF(A84="","",IFERROR(VLOOKUP(A84,DB_Customers!$A:$N,14,0),""))</f>
        <v/>
      </c>
      <c r="D84" s="497">
        <f>IF(A84="","",TODAY())</f>
        <v/>
      </c>
      <c r="E84" s="510" t="n"/>
      <c r="F84" s="382" t="n"/>
      <c r="G84" s="512">
        <f>IF(OR(A84="",E84=""),"",IF(C84="","",C84-E84))</f>
        <v/>
      </c>
      <c r="H84" s="384" t="inlineStr">
        <is>
          <t>Agent 06</t>
        </is>
      </c>
      <c r="I84" s="491" t="n"/>
      <c r="J84" s="499">
        <f>IF(AND(A84&lt;&gt;"",E84&lt;&gt;""),IF(I84="","⚠️ Enter Code",IF(IFERROR(VLOOKUP(H84,DB_Agents!$B:$I,8,0),"")=I84,IF(C84&gt;=E84,"Successful","Unsuccessful"),"🔒 BLOCKED — Wrong Code")),"—")</f>
        <v/>
      </c>
      <c r="K84" s="500">
        <f>IF(J84="Successful",TEXT(TODAY(),"YYYY-MM-DD")&amp;" Auto","—")</f>
        <v/>
      </c>
      <c r="L84" s="501" t="n"/>
    </row>
    <row r="85" ht="15" customHeight="1" s="341">
      <c r="A85" s="486" t="n"/>
      <c r="B85" s="378">
        <f>IF(A85="","",IFERROR(VLOOKUP(A85,DB_Customers!$A:$D,4,0),"❌ Account Not Found"))</f>
        <v/>
      </c>
      <c r="C85" s="487">
        <f>IF(A85="","",IFERROR(VLOOKUP(A85,DB_Customers!$A:$N,14,0),""))</f>
        <v/>
      </c>
      <c r="D85" s="488">
        <f>IF(A85="","",TODAY())</f>
        <v/>
      </c>
      <c r="E85" s="510" t="n"/>
      <c r="F85" s="378" t="n"/>
      <c r="G85" s="511">
        <f>IF(OR(A85="",E85=""),"",IF(C85="","",C85-E85))</f>
        <v/>
      </c>
      <c r="H85" s="380" t="inlineStr">
        <is>
          <t>Agent 06</t>
        </is>
      </c>
      <c r="I85" s="491" t="n"/>
      <c r="J85" s="492">
        <f>IF(AND(A85&lt;&gt;"",E85&lt;&gt;""),IF(I85="","⚠️ Enter Code",IF(IFERROR(VLOOKUP(H85,DB_Agents!$B:$I,8,0),"")=I85,IF(C85&gt;=E85,"Successful","Unsuccessful"),"🔒 BLOCKED — Wrong Code")),"—")</f>
        <v/>
      </c>
      <c r="K85" s="493">
        <f>IF(J85="Successful",TEXT(TODAY(),"YYYY-MM-DD")&amp;" Auto","—")</f>
        <v/>
      </c>
      <c r="L85" s="494" t="n"/>
    </row>
    <row r="86" ht="15" customHeight="1" s="341">
      <c r="A86" s="495" t="n"/>
      <c r="B86" s="382">
        <f>IF(A86="","",IFERROR(VLOOKUP(A86,DB_Customers!$A:$D,4,0),"❌ Account Not Found"))</f>
        <v/>
      </c>
      <c r="C86" s="496">
        <f>IF(A86="","",IFERROR(VLOOKUP(A86,DB_Customers!$A:$N,14,0),""))</f>
        <v/>
      </c>
      <c r="D86" s="497">
        <f>IF(A86="","",TODAY())</f>
        <v/>
      </c>
      <c r="E86" s="510" t="n"/>
      <c r="F86" s="382" t="n"/>
      <c r="G86" s="512">
        <f>IF(OR(A86="",E86=""),"",IF(C86="","",C86-E86))</f>
        <v/>
      </c>
      <c r="H86" s="384" t="inlineStr">
        <is>
          <t>Agent 06</t>
        </is>
      </c>
      <c r="I86" s="491" t="n"/>
      <c r="J86" s="499">
        <f>IF(AND(A86&lt;&gt;"",E86&lt;&gt;""),IF(I86="","⚠️ Enter Code",IF(IFERROR(VLOOKUP(H86,DB_Agents!$B:$I,8,0),"")=I86,IF(C86&gt;=E86,"Successful","Unsuccessful"),"🔒 BLOCKED — Wrong Code")),"—")</f>
        <v/>
      </c>
      <c r="K86" s="500">
        <f>IF(J86="Successful",TEXT(TODAY(),"YYYY-MM-DD")&amp;" Auto","—")</f>
        <v/>
      </c>
      <c r="L86" s="501" t="n"/>
    </row>
    <row r="87" ht="15" customHeight="1" s="341">
      <c r="A87" s="486" t="n"/>
      <c r="B87" s="378">
        <f>IF(A87="","",IFERROR(VLOOKUP(A87,DB_Customers!$A:$D,4,0),"❌ Account Not Found"))</f>
        <v/>
      </c>
      <c r="C87" s="487">
        <f>IF(A87="","",IFERROR(VLOOKUP(A87,DB_Customers!$A:$N,14,0),""))</f>
        <v/>
      </c>
      <c r="D87" s="488">
        <f>IF(A87="","",TODAY())</f>
        <v/>
      </c>
      <c r="E87" s="510" t="n"/>
      <c r="F87" s="378" t="n"/>
      <c r="G87" s="511">
        <f>IF(OR(A87="",E87=""),"",IF(C87="","",C87-E87))</f>
        <v/>
      </c>
      <c r="H87" s="380" t="inlineStr">
        <is>
          <t>Agent 06</t>
        </is>
      </c>
      <c r="I87" s="491" t="n"/>
      <c r="J87" s="492">
        <f>IF(AND(A87&lt;&gt;"",E87&lt;&gt;""),IF(I87="","⚠️ Enter Code",IF(IFERROR(VLOOKUP(H87,DB_Agents!$B:$I,8,0),"")=I87,IF(C87&gt;=E87,"Successful","Unsuccessful"),"🔒 BLOCKED — Wrong Code")),"—")</f>
        <v/>
      </c>
      <c r="K87" s="493">
        <f>IF(J87="Successful",TEXT(TODAY(),"YYYY-MM-DD")&amp;" Auto","—")</f>
        <v/>
      </c>
      <c r="L87" s="494" t="n"/>
    </row>
    <row r="88" ht="15" customHeight="1" s="341">
      <c r="A88" s="495" t="n"/>
      <c r="B88" s="382">
        <f>IF(A88="","",IFERROR(VLOOKUP(A88,DB_Customers!$A:$D,4,0),"❌ Account Not Found"))</f>
        <v/>
      </c>
      <c r="C88" s="496">
        <f>IF(A88="","",IFERROR(VLOOKUP(A88,DB_Customers!$A:$N,14,0),""))</f>
        <v/>
      </c>
      <c r="D88" s="497">
        <f>IF(A88="","",TODAY())</f>
        <v/>
      </c>
      <c r="E88" s="510" t="n"/>
      <c r="F88" s="382" t="n"/>
      <c r="G88" s="512">
        <f>IF(OR(A88="",E88=""),"",IF(C88="","",C88-E88))</f>
        <v/>
      </c>
      <c r="H88" s="384" t="inlineStr">
        <is>
          <t>Agent 06</t>
        </is>
      </c>
      <c r="I88" s="491" t="n"/>
      <c r="J88" s="499">
        <f>IF(AND(A88&lt;&gt;"",E88&lt;&gt;""),IF(I88="","⚠️ Enter Code",IF(IFERROR(VLOOKUP(H88,DB_Agents!$B:$I,8,0),"")=I88,IF(C88&gt;=E88,"Successful","Unsuccessful"),"🔒 BLOCKED — Wrong Code")),"—")</f>
        <v/>
      </c>
      <c r="K88" s="500">
        <f>IF(J88="Successful",TEXT(TODAY(),"YYYY-MM-DD")&amp;" Auto","—")</f>
        <v/>
      </c>
      <c r="L88" s="501" t="n"/>
    </row>
    <row r="89" ht="15" customHeight="1" s="341">
      <c r="A89" s="486" t="n"/>
      <c r="B89" s="378">
        <f>IF(A89="","",IFERROR(VLOOKUP(A89,DB_Customers!$A:$D,4,0),"❌ Account Not Found"))</f>
        <v/>
      </c>
      <c r="C89" s="487">
        <f>IF(A89="","",IFERROR(VLOOKUP(A89,DB_Customers!$A:$N,14,0),""))</f>
        <v/>
      </c>
      <c r="D89" s="488">
        <f>IF(A89="","",TODAY())</f>
        <v/>
      </c>
      <c r="E89" s="510" t="n"/>
      <c r="F89" s="378" t="n"/>
      <c r="G89" s="511">
        <f>IF(OR(A89="",E89=""),"",IF(C89="","",C89-E89))</f>
        <v/>
      </c>
      <c r="H89" s="380" t="inlineStr">
        <is>
          <t>Agent 06</t>
        </is>
      </c>
      <c r="I89" s="491" t="n"/>
      <c r="J89" s="492">
        <f>IF(AND(A89&lt;&gt;"",E89&lt;&gt;""),IF(I89="","⚠️ Enter Code",IF(IFERROR(VLOOKUP(H89,DB_Agents!$B:$I,8,0),"")=I89,IF(C89&gt;=E89,"Successful","Unsuccessful"),"🔒 BLOCKED — Wrong Code")),"—")</f>
        <v/>
      </c>
      <c r="K89" s="493">
        <f>IF(J89="Successful",TEXT(TODAY(),"YYYY-MM-DD")&amp;" Auto","—")</f>
        <v/>
      </c>
      <c r="L89" s="494" t="n"/>
    </row>
    <row r="90" ht="15" customHeight="1" s="341">
      <c r="A90" s="495" t="n"/>
      <c r="B90" s="382">
        <f>IF(A90="","",IFERROR(VLOOKUP(A90,DB_Customers!$A:$D,4,0),"❌ Account Not Found"))</f>
        <v/>
      </c>
      <c r="C90" s="496">
        <f>IF(A90="","",IFERROR(VLOOKUP(A90,DB_Customers!$A:$N,14,0),""))</f>
        <v/>
      </c>
      <c r="D90" s="497">
        <f>IF(A90="","",TODAY())</f>
        <v/>
      </c>
      <c r="E90" s="510" t="n"/>
      <c r="F90" s="382" t="n"/>
      <c r="G90" s="512">
        <f>IF(OR(A90="",E90=""),"",IF(C90="","",C90-E90))</f>
        <v/>
      </c>
      <c r="H90" s="384" t="inlineStr">
        <is>
          <t>Agent 06</t>
        </is>
      </c>
      <c r="I90" s="491" t="n"/>
      <c r="J90" s="499">
        <f>IF(AND(A90&lt;&gt;"",E90&lt;&gt;""),IF(I90="","⚠️ Enter Code",IF(IFERROR(VLOOKUP(H90,DB_Agents!$B:$I,8,0),"")=I90,IF(C90&gt;=E90,"Successful","Unsuccessful"),"🔒 BLOCKED — Wrong Code")),"—")</f>
        <v/>
      </c>
      <c r="K90" s="500">
        <f>IF(J90="Successful",TEXT(TODAY(),"YYYY-MM-DD")&amp;" Auto","—")</f>
        <v/>
      </c>
      <c r="L90" s="501" t="n"/>
    </row>
    <row r="91" ht="15" customHeight="1" s="341">
      <c r="A91" s="486" t="n"/>
      <c r="B91" s="378">
        <f>IF(A91="","",IFERROR(VLOOKUP(A91,DB_Customers!$A:$D,4,0),"❌ Account Not Found"))</f>
        <v/>
      </c>
      <c r="C91" s="487">
        <f>IF(A91="","",IFERROR(VLOOKUP(A91,DB_Customers!$A:$N,14,0),""))</f>
        <v/>
      </c>
      <c r="D91" s="488">
        <f>IF(A91="","",TODAY())</f>
        <v/>
      </c>
      <c r="E91" s="510" t="n"/>
      <c r="F91" s="378" t="n"/>
      <c r="G91" s="511">
        <f>IF(OR(A91="",E91=""),"",IF(C91="","",C91-E91))</f>
        <v/>
      </c>
      <c r="H91" s="380" t="inlineStr">
        <is>
          <t>Agent 06</t>
        </is>
      </c>
      <c r="I91" s="491" t="n"/>
      <c r="J91" s="492">
        <f>IF(AND(A91&lt;&gt;"",E91&lt;&gt;""),IF(I91="","⚠️ Enter Code",IF(IFERROR(VLOOKUP(H91,DB_Agents!$B:$I,8,0),"")=I91,IF(C91&gt;=E91,"Successful","Unsuccessful"),"🔒 BLOCKED — Wrong Code")),"—")</f>
        <v/>
      </c>
      <c r="K91" s="493">
        <f>IF(J91="Successful",TEXT(TODAY(),"YYYY-MM-DD")&amp;" Auto","—")</f>
        <v/>
      </c>
      <c r="L91" s="494" t="n"/>
    </row>
    <row r="92" ht="15" customHeight="1" s="341">
      <c r="A92" s="495" t="n"/>
      <c r="B92" s="382">
        <f>IF(A92="","",IFERROR(VLOOKUP(A92,DB_Customers!$A:$D,4,0),"❌ Account Not Found"))</f>
        <v/>
      </c>
      <c r="C92" s="496">
        <f>IF(A92="","",IFERROR(VLOOKUP(A92,DB_Customers!$A:$N,14,0),""))</f>
        <v/>
      </c>
      <c r="D92" s="497">
        <f>IF(A92="","",TODAY())</f>
        <v/>
      </c>
      <c r="E92" s="510" t="n"/>
      <c r="F92" s="382" t="n"/>
      <c r="G92" s="512">
        <f>IF(OR(A92="",E92=""),"",IF(C92="","",C92-E92))</f>
        <v/>
      </c>
      <c r="H92" s="384" t="inlineStr">
        <is>
          <t>Agent 06</t>
        </is>
      </c>
      <c r="I92" s="491" t="n"/>
      <c r="J92" s="499">
        <f>IF(AND(A92&lt;&gt;"",E92&lt;&gt;""),IF(I92="","⚠️ Enter Code",IF(IFERROR(VLOOKUP(H92,DB_Agents!$B:$I,8,0),"")=I92,IF(C92&gt;=E92,"Successful","Unsuccessful"),"🔒 BLOCKED — Wrong Code")),"—")</f>
        <v/>
      </c>
      <c r="K92" s="500">
        <f>IF(J92="Successful",TEXT(TODAY(),"YYYY-MM-DD")&amp;" Auto","—")</f>
        <v/>
      </c>
      <c r="L92" s="501" t="n"/>
    </row>
    <row r="93" ht="15" customHeight="1" s="341">
      <c r="A93" s="486" t="n"/>
      <c r="B93" s="378">
        <f>IF(A93="","",IFERROR(VLOOKUP(A93,DB_Customers!$A:$D,4,0),"❌ Account Not Found"))</f>
        <v/>
      </c>
      <c r="C93" s="487">
        <f>IF(A93="","",IFERROR(VLOOKUP(A93,DB_Customers!$A:$N,14,0),""))</f>
        <v/>
      </c>
      <c r="D93" s="488">
        <f>IF(A93="","",TODAY())</f>
        <v/>
      </c>
      <c r="E93" s="510" t="n"/>
      <c r="F93" s="378" t="n"/>
      <c r="G93" s="511">
        <f>IF(OR(A93="",E93=""),"",IF(C93="","",C93-E93))</f>
        <v/>
      </c>
      <c r="H93" s="380" t="inlineStr">
        <is>
          <t>Agent 06</t>
        </is>
      </c>
      <c r="I93" s="491" t="n"/>
      <c r="J93" s="492">
        <f>IF(AND(A93&lt;&gt;"",E93&lt;&gt;""),IF(I93="","⚠️ Enter Code",IF(IFERROR(VLOOKUP(H93,DB_Agents!$B:$I,8,0),"")=I93,IF(C93&gt;=E93,"Successful","Unsuccessful"),"🔒 BLOCKED — Wrong Code")),"—")</f>
        <v/>
      </c>
      <c r="K93" s="493">
        <f>IF(J93="Successful",TEXT(TODAY(),"YYYY-MM-DD")&amp;" Auto","—")</f>
        <v/>
      </c>
      <c r="L93" s="494" t="n"/>
    </row>
    <row r="94" ht="15" customHeight="1" s="341">
      <c r="A94" s="495" t="n"/>
      <c r="B94" s="382">
        <f>IF(A94="","",IFERROR(VLOOKUP(A94,DB_Customers!$A:$D,4,0),"❌ Account Not Found"))</f>
        <v/>
      </c>
      <c r="C94" s="496">
        <f>IF(A94="","",IFERROR(VLOOKUP(A94,DB_Customers!$A:$N,14,0),""))</f>
        <v/>
      </c>
      <c r="D94" s="497">
        <f>IF(A94="","",TODAY())</f>
        <v/>
      </c>
      <c r="E94" s="510" t="n"/>
      <c r="F94" s="382" t="n"/>
      <c r="G94" s="512">
        <f>IF(OR(A94="",E94=""),"",IF(C94="","",C94-E94))</f>
        <v/>
      </c>
      <c r="H94" s="384" t="inlineStr">
        <is>
          <t>Agent 06</t>
        </is>
      </c>
      <c r="I94" s="491" t="n"/>
      <c r="J94" s="499">
        <f>IF(AND(A94&lt;&gt;"",E94&lt;&gt;""),IF(I94="","⚠️ Enter Code",IF(IFERROR(VLOOKUP(H94,DB_Agents!$B:$I,8,0),"")=I94,IF(C94&gt;=E94,"Successful","Unsuccessful"),"🔒 BLOCKED — Wrong Code")),"—")</f>
        <v/>
      </c>
      <c r="K94" s="500">
        <f>IF(J94="Successful",TEXT(TODAY(),"YYYY-MM-DD")&amp;" Auto","—")</f>
        <v/>
      </c>
      <c r="L94" s="501" t="n"/>
    </row>
    <row r="95" ht="15" customHeight="1" s="341">
      <c r="A95" s="486" t="n"/>
      <c r="B95" s="378">
        <f>IF(A95="","",IFERROR(VLOOKUP(A95,DB_Customers!$A:$D,4,0),"❌ Account Not Found"))</f>
        <v/>
      </c>
      <c r="C95" s="487">
        <f>IF(A95="","",IFERROR(VLOOKUP(A95,DB_Customers!$A:$N,14,0),""))</f>
        <v/>
      </c>
      <c r="D95" s="488">
        <f>IF(A95="","",TODAY())</f>
        <v/>
      </c>
      <c r="E95" s="510" t="n"/>
      <c r="F95" s="378" t="n"/>
      <c r="G95" s="511">
        <f>IF(OR(A95="",E95=""),"",IF(C95="","",C95-E95))</f>
        <v/>
      </c>
      <c r="H95" s="380" t="inlineStr">
        <is>
          <t>Agent 06</t>
        </is>
      </c>
      <c r="I95" s="491" t="n"/>
      <c r="J95" s="492">
        <f>IF(AND(A95&lt;&gt;"",E95&lt;&gt;""),IF(I95="","⚠️ Enter Code",IF(IFERROR(VLOOKUP(H95,DB_Agents!$B:$I,8,0),"")=I95,IF(C95&gt;=E95,"Successful","Unsuccessful"),"🔒 BLOCKED — Wrong Code")),"—")</f>
        <v/>
      </c>
      <c r="K95" s="493">
        <f>IF(J95="Successful",TEXT(TODAY(),"YYYY-MM-DD")&amp;" Auto","—")</f>
        <v/>
      </c>
      <c r="L95" s="494" t="n"/>
    </row>
    <row r="96" ht="15" customHeight="1" s="341">
      <c r="A96" s="495" t="n"/>
      <c r="B96" s="382">
        <f>IF(A96="","",IFERROR(VLOOKUP(A96,DB_Customers!$A:$D,4,0),"❌ Account Not Found"))</f>
        <v/>
      </c>
      <c r="C96" s="496">
        <f>IF(A96="","",IFERROR(VLOOKUP(A96,DB_Customers!$A:$N,14,0),""))</f>
        <v/>
      </c>
      <c r="D96" s="497">
        <f>IF(A96="","",TODAY())</f>
        <v/>
      </c>
      <c r="E96" s="510" t="n"/>
      <c r="F96" s="382" t="n"/>
      <c r="G96" s="512">
        <f>IF(OR(A96="",E96=""),"",IF(C96="","",C96-E96))</f>
        <v/>
      </c>
      <c r="H96" s="384" t="inlineStr">
        <is>
          <t>Agent 06</t>
        </is>
      </c>
      <c r="I96" s="491" t="n"/>
      <c r="J96" s="499">
        <f>IF(AND(A96&lt;&gt;"",E96&lt;&gt;""),IF(I96="","⚠️ Enter Code",IF(IFERROR(VLOOKUP(H96,DB_Agents!$B:$I,8,0),"")=I96,IF(C96&gt;=E96,"Successful","Unsuccessful"),"🔒 BLOCKED — Wrong Code")),"—")</f>
        <v/>
      </c>
      <c r="K96" s="500">
        <f>IF(J96="Successful",TEXT(TODAY(),"YYYY-MM-DD")&amp;" Auto","—")</f>
        <v/>
      </c>
      <c r="L96" s="501" t="n"/>
    </row>
    <row r="97" ht="15" customHeight="1" s="341">
      <c r="A97" s="486" t="n"/>
      <c r="B97" s="378">
        <f>IF(A97="","",IFERROR(VLOOKUP(A97,DB_Customers!$A:$D,4,0),"❌ Account Not Found"))</f>
        <v/>
      </c>
      <c r="C97" s="487">
        <f>IF(A97="","",IFERROR(VLOOKUP(A97,DB_Customers!$A:$N,14,0),""))</f>
        <v/>
      </c>
      <c r="D97" s="488">
        <f>IF(A97="","",TODAY())</f>
        <v/>
      </c>
      <c r="E97" s="510" t="n"/>
      <c r="F97" s="378" t="n"/>
      <c r="G97" s="511">
        <f>IF(OR(A97="",E97=""),"",IF(C97="","",C97-E97))</f>
        <v/>
      </c>
      <c r="H97" s="380" t="inlineStr">
        <is>
          <t>Agent 06</t>
        </is>
      </c>
      <c r="I97" s="491" t="n"/>
      <c r="J97" s="492">
        <f>IF(AND(A97&lt;&gt;"",E97&lt;&gt;""),IF(I97="","⚠️ Enter Code",IF(IFERROR(VLOOKUP(H97,DB_Agents!$B:$I,8,0),"")=I97,IF(C97&gt;=E97,"Successful","Unsuccessful"),"🔒 BLOCKED — Wrong Code")),"—")</f>
        <v/>
      </c>
      <c r="K97" s="493">
        <f>IF(J97="Successful",TEXT(TODAY(),"YYYY-MM-DD")&amp;" Auto","—")</f>
        <v/>
      </c>
      <c r="L97" s="494" t="n"/>
    </row>
    <row r="98" ht="15" customHeight="1" s="341">
      <c r="A98" s="495" t="n"/>
      <c r="B98" s="382">
        <f>IF(A98="","",IFERROR(VLOOKUP(A98,DB_Customers!$A:$D,4,0),"❌ Account Not Found"))</f>
        <v/>
      </c>
      <c r="C98" s="496">
        <f>IF(A98="","",IFERROR(VLOOKUP(A98,DB_Customers!$A:$N,14,0),""))</f>
        <v/>
      </c>
      <c r="D98" s="497">
        <f>IF(A98="","",TODAY())</f>
        <v/>
      </c>
      <c r="E98" s="510" t="n"/>
      <c r="F98" s="382" t="n"/>
      <c r="G98" s="512">
        <f>IF(OR(A98="",E98=""),"",IF(C98="","",C98-E98))</f>
        <v/>
      </c>
      <c r="H98" s="384" t="inlineStr">
        <is>
          <t>Agent 06</t>
        </is>
      </c>
      <c r="I98" s="491" t="n"/>
      <c r="J98" s="499">
        <f>IF(AND(A98&lt;&gt;"",E98&lt;&gt;""),IF(I98="","⚠️ Enter Code",IF(IFERROR(VLOOKUP(H98,DB_Agents!$B:$I,8,0),"")=I98,IF(C98&gt;=E98,"Successful","Unsuccessful"),"🔒 BLOCKED — Wrong Code")),"—")</f>
        <v/>
      </c>
      <c r="K98" s="500">
        <f>IF(J98="Successful",TEXT(TODAY(),"YYYY-MM-DD")&amp;" Auto","—")</f>
        <v/>
      </c>
      <c r="L98" s="501" t="n"/>
    </row>
    <row r="99" ht="15" customHeight="1" s="341">
      <c r="A99" s="486" t="n"/>
      <c r="B99" s="378">
        <f>IF(A99="","",IFERROR(VLOOKUP(A99,DB_Customers!$A:$D,4,0),"❌ Account Not Found"))</f>
        <v/>
      </c>
      <c r="C99" s="487">
        <f>IF(A99="","",IFERROR(VLOOKUP(A99,DB_Customers!$A:$N,14,0),""))</f>
        <v/>
      </c>
      <c r="D99" s="488">
        <f>IF(A99="","",TODAY())</f>
        <v/>
      </c>
      <c r="E99" s="510" t="n"/>
      <c r="F99" s="378" t="n"/>
      <c r="G99" s="511">
        <f>IF(OR(A99="",E99=""),"",IF(C99="","",C99-E99))</f>
        <v/>
      </c>
      <c r="H99" s="380" t="inlineStr">
        <is>
          <t>Agent 06</t>
        </is>
      </c>
      <c r="I99" s="491" t="n"/>
      <c r="J99" s="492">
        <f>IF(AND(A99&lt;&gt;"",E99&lt;&gt;""),IF(I99="","⚠️ Enter Code",IF(IFERROR(VLOOKUP(H99,DB_Agents!$B:$I,8,0),"")=I99,IF(C99&gt;=E99,"Successful","Unsuccessful"),"🔒 BLOCKED — Wrong Code")),"—")</f>
        <v/>
      </c>
      <c r="K99" s="493">
        <f>IF(J99="Successful",TEXT(TODAY(),"YYYY-MM-DD")&amp;" Auto","—")</f>
        <v/>
      </c>
      <c r="L99" s="494" t="n"/>
    </row>
    <row r="100" ht="15" customHeight="1" s="341">
      <c r="A100" s="495" t="n"/>
      <c r="B100" s="382">
        <f>IF(A100="","",IFERROR(VLOOKUP(A100,DB_Customers!$A:$D,4,0),"❌ Account Not Found"))</f>
        <v/>
      </c>
      <c r="C100" s="496">
        <f>IF(A100="","",IFERROR(VLOOKUP(A100,DB_Customers!$A:$N,14,0),""))</f>
        <v/>
      </c>
      <c r="D100" s="497">
        <f>IF(A100="","",TODAY())</f>
        <v/>
      </c>
      <c r="E100" s="510" t="n"/>
      <c r="F100" s="382" t="n"/>
      <c r="G100" s="512">
        <f>IF(OR(A100="",E100=""),"",IF(C100="","",C100-E100))</f>
        <v/>
      </c>
      <c r="H100" s="384" t="inlineStr">
        <is>
          <t>Agent 06</t>
        </is>
      </c>
      <c r="I100" s="491" t="n"/>
      <c r="J100" s="499">
        <f>IF(AND(A100&lt;&gt;"",E100&lt;&gt;""),IF(I100="","⚠️ Enter Code",IF(IFERROR(VLOOKUP(H100,DB_Agents!$B:$I,8,0),"")=I100,IF(C100&gt;=E100,"Successful","Unsuccessful"),"🔒 BLOCKED — Wrong Code")),"—")</f>
        <v/>
      </c>
      <c r="K100" s="500">
        <f>IF(J100="Successful",TEXT(TODAY(),"YYYY-MM-DD")&amp;" Auto","—")</f>
        <v/>
      </c>
      <c r="L100" s="501" t="n"/>
    </row>
    <row r="101" ht="15" customHeight="1" s="341">
      <c r="A101" s="486" t="n"/>
      <c r="B101" s="378">
        <f>IF(A101="","",IFERROR(VLOOKUP(A101,DB_Customers!$A:$D,4,0),"❌ Account Not Found"))</f>
        <v/>
      </c>
      <c r="C101" s="487">
        <f>IF(A101="","",IFERROR(VLOOKUP(A101,DB_Customers!$A:$N,14,0),""))</f>
        <v/>
      </c>
      <c r="D101" s="488">
        <f>IF(A101="","",TODAY())</f>
        <v/>
      </c>
      <c r="E101" s="510" t="n"/>
      <c r="F101" s="378" t="n"/>
      <c r="G101" s="511">
        <f>IF(OR(A101="",E101=""),"",IF(C101="","",C101-E101))</f>
        <v/>
      </c>
      <c r="H101" s="380" t="inlineStr">
        <is>
          <t>Agent 06</t>
        </is>
      </c>
      <c r="I101" s="491" t="n"/>
      <c r="J101" s="492">
        <f>IF(AND(A101&lt;&gt;"",E101&lt;&gt;""),IF(I101="","⚠️ Enter Code",IF(IFERROR(VLOOKUP(H101,DB_Agents!$B:$I,8,0),"")=I101,IF(C101&gt;=E101,"Successful","Unsuccessful"),"🔒 BLOCKED — Wrong Code")),"—")</f>
        <v/>
      </c>
      <c r="K101" s="493">
        <f>IF(J101="Successful",TEXT(TODAY(),"YYYY-MM-DD")&amp;" Auto","—")</f>
        <v/>
      </c>
      <c r="L101" s="494" t="n"/>
    </row>
    <row r="102" ht="15" customHeight="1" s="341">
      <c r="A102" s="495" t="n"/>
      <c r="B102" s="382">
        <f>IF(A102="","",IFERROR(VLOOKUP(A102,DB_Customers!$A:$D,4,0),"❌ Account Not Found"))</f>
        <v/>
      </c>
      <c r="C102" s="496">
        <f>IF(A102="","",IFERROR(VLOOKUP(A102,DB_Customers!$A:$N,14,0),""))</f>
        <v/>
      </c>
      <c r="D102" s="497">
        <f>IF(A102="","",TODAY())</f>
        <v/>
      </c>
      <c r="E102" s="510" t="n"/>
      <c r="F102" s="382" t="n"/>
      <c r="G102" s="512">
        <f>IF(OR(A102="",E102=""),"",IF(C102="","",C102-E102))</f>
        <v/>
      </c>
      <c r="H102" s="384" t="inlineStr">
        <is>
          <t>Agent 06</t>
        </is>
      </c>
      <c r="I102" s="491" t="n"/>
      <c r="J102" s="499">
        <f>IF(AND(A102&lt;&gt;"",E102&lt;&gt;""),IF(I102="","⚠️ Enter Code",IF(IFERROR(VLOOKUP(H102,DB_Agents!$B:$I,8,0),"")=I102,IF(C102&gt;=E102,"Successful","Unsuccessful"),"🔒 BLOCKED — Wrong Code")),"—")</f>
        <v/>
      </c>
      <c r="K102" s="500">
        <f>IF(J102="Successful",TEXT(TODAY(),"YYYY-MM-DD")&amp;" Auto","—")</f>
        <v/>
      </c>
      <c r="L102" s="501" t="n"/>
    </row>
    <row r="103" ht="15" customHeight="1" s="341">
      <c r="A103" s="486" t="n"/>
      <c r="B103" s="378">
        <f>IF(A103="","",IFERROR(VLOOKUP(A103,DB_Customers!$A:$D,4,0),"❌ Account Not Found"))</f>
        <v/>
      </c>
      <c r="C103" s="487">
        <f>IF(A103="","",IFERROR(VLOOKUP(A103,DB_Customers!$A:$N,14,0),""))</f>
        <v/>
      </c>
      <c r="D103" s="488">
        <f>IF(A103="","",TODAY())</f>
        <v/>
      </c>
      <c r="E103" s="510" t="n"/>
      <c r="F103" s="378" t="n"/>
      <c r="G103" s="511">
        <f>IF(OR(A103="",E103=""),"",IF(C103="","",C103-E103))</f>
        <v/>
      </c>
      <c r="H103" s="380" t="inlineStr">
        <is>
          <t>Agent 06</t>
        </is>
      </c>
      <c r="I103" s="491" t="n"/>
      <c r="J103" s="492">
        <f>IF(AND(A103&lt;&gt;"",E103&lt;&gt;""),IF(I103="","⚠️ Enter Code",IF(IFERROR(VLOOKUP(H103,DB_Agents!$B:$I,8,0),"")=I103,IF(C103&gt;=E103,"Successful","Unsuccessful"),"🔒 BLOCKED — Wrong Code")),"—")</f>
        <v/>
      </c>
      <c r="K103" s="493">
        <f>IF(J103="Successful",TEXT(TODAY(),"YYYY-MM-DD")&amp;" Auto","—")</f>
        <v/>
      </c>
      <c r="L103" s="494" t="n"/>
    </row>
    <row r="104" ht="15" customHeight="1" s="341">
      <c r="A104" s="495" t="n"/>
      <c r="B104" s="382">
        <f>IF(A104="","",IFERROR(VLOOKUP(A104,DB_Customers!$A:$D,4,0),"❌ Account Not Found"))</f>
        <v/>
      </c>
      <c r="C104" s="496">
        <f>IF(A104="","",IFERROR(VLOOKUP(A104,DB_Customers!$A:$N,14,0),""))</f>
        <v/>
      </c>
      <c r="D104" s="497">
        <f>IF(A104="","",TODAY())</f>
        <v/>
      </c>
      <c r="E104" s="510" t="n"/>
      <c r="F104" s="382" t="n"/>
      <c r="G104" s="512">
        <f>IF(OR(A104="",E104=""),"",IF(C104="","",C104-E104))</f>
        <v/>
      </c>
      <c r="H104" s="384" t="inlineStr">
        <is>
          <t>Agent 06</t>
        </is>
      </c>
      <c r="I104" s="491" t="n"/>
      <c r="J104" s="499">
        <f>IF(AND(A104&lt;&gt;"",E104&lt;&gt;""),IF(I104="","⚠️ Enter Code",IF(IFERROR(VLOOKUP(H104,DB_Agents!$B:$I,8,0),"")=I104,IF(C104&gt;=E104,"Successful","Unsuccessful"),"🔒 BLOCKED — Wrong Code")),"—")</f>
        <v/>
      </c>
      <c r="K104" s="500">
        <f>IF(J104="Successful",TEXT(TODAY(),"YYYY-MM-DD")&amp;" Auto","—")</f>
        <v/>
      </c>
      <c r="L104" s="501" t="n"/>
    </row>
    <row r="105" ht="15" customHeight="1" s="341">
      <c r="A105" s="486" t="n"/>
      <c r="B105" s="378">
        <f>IF(A105="","",IFERROR(VLOOKUP(A105,DB_Customers!$A:$D,4,0),"❌ Account Not Found"))</f>
        <v/>
      </c>
      <c r="C105" s="487">
        <f>IF(A105="","",IFERROR(VLOOKUP(A105,DB_Customers!$A:$N,14,0),""))</f>
        <v/>
      </c>
      <c r="D105" s="488">
        <f>IF(A105="","",TODAY())</f>
        <v/>
      </c>
      <c r="E105" s="510" t="n"/>
      <c r="F105" s="378" t="n"/>
      <c r="G105" s="511">
        <f>IF(OR(A105="",E105=""),"",IF(C105="","",C105-E105))</f>
        <v/>
      </c>
      <c r="H105" s="380" t="inlineStr">
        <is>
          <t>Agent 06</t>
        </is>
      </c>
      <c r="I105" s="491" t="n"/>
      <c r="J105" s="492">
        <f>IF(AND(A105&lt;&gt;"",E105&lt;&gt;""),IF(I105="","⚠️ Enter Code",IF(IFERROR(VLOOKUP(H105,DB_Agents!$B:$I,8,0),"")=I105,IF(C105&gt;=E105,"Successful","Unsuccessful"),"🔒 BLOCKED — Wrong Code")),"—")</f>
        <v/>
      </c>
      <c r="K105" s="493">
        <f>IF(J105="Successful",TEXT(TODAY(),"YYYY-MM-DD")&amp;" Auto","—")</f>
        <v/>
      </c>
      <c r="L105" s="494" t="n"/>
    </row>
    <row r="106" ht="15" customHeight="1" s="341">
      <c r="A106" s="495" t="n"/>
      <c r="B106" s="382">
        <f>IF(A106="","",IFERROR(VLOOKUP(A106,DB_Customers!$A:$D,4,0),"❌ Account Not Found"))</f>
        <v/>
      </c>
      <c r="C106" s="496">
        <f>IF(A106="","",IFERROR(VLOOKUP(A106,DB_Customers!$A:$N,14,0),""))</f>
        <v/>
      </c>
      <c r="D106" s="497">
        <f>IF(A106="","",TODAY())</f>
        <v/>
      </c>
      <c r="E106" s="510" t="n"/>
      <c r="F106" s="382" t="n"/>
      <c r="G106" s="512">
        <f>IF(OR(A106="",E106=""),"",IF(C106="","",C106-E106))</f>
        <v/>
      </c>
      <c r="H106" s="384" t="inlineStr">
        <is>
          <t>Agent 06</t>
        </is>
      </c>
      <c r="I106" s="491" t="n"/>
      <c r="J106" s="499">
        <f>IF(AND(A106&lt;&gt;"",E106&lt;&gt;""),IF(I106="","⚠️ Enter Code",IF(IFERROR(VLOOKUP(H106,DB_Agents!$B:$I,8,0),"")=I106,IF(C106&gt;=E106,"Successful","Unsuccessful"),"🔒 BLOCKED — Wrong Code")),"—")</f>
        <v/>
      </c>
      <c r="K106" s="500">
        <f>IF(J106="Successful",TEXT(TODAY(),"YYYY-MM-DD")&amp;" Auto","—")</f>
        <v/>
      </c>
      <c r="L106" s="501" t="n"/>
    </row>
    <row r="107" ht="15" customHeight="1" s="341">
      <c r="A107" s="486" t="n"/>
      <c r="B107" s="378">
        <f>IF(A107="","",IFERROR(VLOOKUP(A107,DB_Customers!$A:$D,4,0),"❌ Account Not Found"))</f>
        <v/>
      </c>
      <c r="C107" s="487">
        <f>IF(A107="","",IFERROR(VLOOKUP(A107,DB_Customers!$A:$N,14,0),""))</f>
        <v/>
      </c>
      <c r="D107" s="488">
        <f>IF(A107="","",TODAY())</f>
        <v/>
      </c>
      <c r="E107" s="510" t="n"/>
      <c r="F107" s="378" t="n"/>
      <c r="G107" s="511">
        <f>IF(OR(A107="",E107=""),"",IF(C107="","",C107-E107))</f>
        <v/>
      </c>
      <c r="H107" s="380" t="inlineStr">
        <is>
          <t>Agent 06</t>
        </is>
      </c>
      <c r="I107" s="491" t="n"/>
      <c r="J107" s="492">
        <f>IF(AND(A107&lt;&gt;"",E107&lt;&gt;""),IF(I107="","⚠️ Enter Code",IF(IFERROR(VLOOKUP(H107,DB_Agents!$B:$I,8,0),"")=I107,IF(C107&gt;=E107,"Successful","Unsuccessful"),"🔒 BLOCKED — Wrong Code")),"—")</f>
        <v/>
      </c>
      <c r="K107" s="493">
        <f>IF(J107="Successful",TEXT(TODAY(),"YYYY-MM-DD")&amp;" Auto","—")</f>
        <v/>
      </c>
      <c r="L107" s="494" t="n"/>
    </row>
    <row r="108" ht="15" customHeight="1" s="341">
      <c r="A108" s="495" t="n"/>
      <c r="B108" s="382">
        <f>IF(A108="","",IFERROR(VLOOKUP(A108,DB_Customers!$A:$D,4,0),"❌ Account Not Found"))</f>
        <v/>
      </c>
      <c r="C108" s="496">
        <f>IF(A108="","",IFERROR(VLOOKUP(A108,DB_Customers!$A:$N,14,0),""))</f>
        <v/>
      </c>
      <c r="D108" s="497">
        <f>IF(A108="","",TODAY())</f>
        <v/>
      </c>
      <c r="E108" s="510" t="n"/>
      <c r="F108" s="382" t="n"/>
      <c r="G108" s="512">
        <f>IF(OR(A108="",E108=""),"",IF(C108="","",C108-E108))</f>
        <v/>
      </c>
      <c r="H108" s="384" t="inlineStr">
        <is>
          <t>Agent 06</t>
        </is>
      </c>
      <c r="I108" s="491" t="n"/>
      <c r="J108" s="499">
        <f>IF(AND(A108&lt;&gt;"",E108&lt;&gt;""),IF(I108="","⚠️ Enter Code",IF(IFERROR(VLOOKUP(H108,DB_Agents!$B:$I,8,0),"")=I108,IF(C108&gt;=E108,"Successful","Unsuccessful"),"🔒 BLOCKED — Wrong Code")),"—")</f>
        <v/>
      </c>
      <c r="K108" s="500">
        <f>IF(J108="Successful",TEXT(TODAY(),"YYYY-MM-DD")&amp;" Auto","—")</f>
        <v/>
      </c>
      <c r="L108" s="501" t="n"/>
    </row>
    <row r="109" ht="15" customHeight="1" s="341">
      <c r="A109" s="486" t="n"/>
      <c r="B109" s="378">
        <f>IF(A109="","",IFERROR(VLOOKUP(A109,DB_Customers!$A:$D,4,0),"❌ Account Not Found"))</f>
        <v/>
      </c>
      <c r="C109" s="487">
        <f>IF(A109="","",IFERROR(VLOOKUP(A109,DB_Customers!$A:$N,14,0),""))</f>
        <v/>
      </c>
      <c r="D109" s="488">
        <f>IF(A109="","",TODAY())</f>
        <v/>
      </c>
      <c r="E109" s="510" t="n"/>
      <c r="F109" s="378" t="n"/>
      <c r="G109" s="511">
        <f>IF(OR(A109="",E109=""),"",IF(C109="","",C109-E109))</f>
        <v/>
      </c>
      <c r="H109" s="380" t="inlineStr">
        <is>
          <t>Agent 06</t>
        </is>
      </c>
      <c r="I109" s="491" t="n"/>
      <c r="J109" s="492">
        <f>IF(AND(A109&lt;&gt;"",E109&lt;&gt;""),IF(I109="","⚠️ Enter Code",IF(IFERROR(VLOOKUP(H109,DB_Agents!$B:$I,8,0),"")=I109,IF(C109&gt;=E109,"Successful","Unsuccessful"),"🔒 BLOCKED — Wrong Code")),"—")</f>
        <v/>
      </c>
      <c r="K109" s="493">
        <f>IF(J109="Successful",TEXT(TODAY(),"YYYY-MM-DD")&amp;" Auto","—")</f>
        <v/>
      </c>
      <c r="L109" s="494" t="n"/>
    </row>
    <row r="110" ht="15" customHeight="1" s="341">
      <c r="A110" s="495" t="n"/>
      <c r="B110" s="382">
        <f>IF(A110="","",IFERROR(VLOOKUP(A110,DB_Customers!$A:$D,4,0),"❌ Account Not Found"))</f>
        <v/>
      </c>
      <c r="C110" s="496">
        <f>IF(A110="","",IFERROR(VLOOKUP(A110,DB_Customers!$A:$N,14,0),""))</f>
        <v/>
      </c>
      <c r="D110" s="497">
        <f>IF(A110="","",TODAY())</f>
        <v/>
      </c>
      <c r="E110" s="510" t="n"/>
      <c r="F110" s="382" t="n"/>
      <c r="G110" s="512">
        <f>IF(OR(A110="",E110=""),"",IF(C110="","",C110-E110))</f>
        <v/>
      </c>
      <c r="H110" s="384" t="inlineStr">
        <is>
          <t>Agent 06</t>
        </is>
      </c>
      <c r="I110" s="491" t="n"/>
      <c r="J110" s="499">
        <f>IF(AND(A110&lt;&gt;"",E110&lt;&gt;""),IF(I110="","⚠️ Enter Code",IF(IFERROR(VLOOKUP(H110,DB_Agents!$B:$I,8,0),"")=I110,IF(C110&gt;=E110,"Successful","Unsuccessful"),"🔒 BLOCKED — Wrong Code")),"—")</f>
        <v/>
      </c>
      <c r="K110" s="500">
        <f>IF(J110="Successful",TEXT(TODAY(),"YYYY-MM-DD")&amp;" Auto","—")</f>
        <v/>
      </c>
      <c r="L110" s="501" t="n"/>
    </row>
    <row r="111" ht="15" customHeight="1" s="341">
      <c r="A111" s="486" t="n"/>
      <c r="B111" s="378">
        <f>IF(A111="","",IFERROR(VLOOKUP(A111,DB_Customers!$A:$D,4,0),"❌ Account Not Found"))</f>
        <v/>
      </c>
      <c r="C111" s="487">
        <f>IF(A111="","",IFERROR(VLOOKUP(A111,DB_Customers!$A:$N,14,0),""))</f>
        <v/>
      </c>
      <c r="D111" s="488">
        <f>IF(A111="","",TODAY())</f>
        <v/>
      </c>
      <c r="E111" s="510" t="n"/>
      <c r="F111" s="378" t="n"/>
      <c r="G111" s="511">
        <f>IF(OR(A111="",E111=""),"",IF(C111="","",C111-E111))</f>
        <v/>
      </c>
      <c r="H111" s="380" t="inlineStr">
        <is>
          <t>Agent 06</t>
        </is>
      </c>
      <c r="I111" s="491" t="n"/>
      <c r="J111" s="492">
        <f>IF(AND(A111&lt;&gt;"",E111&lt;&gt;""),IF(I111="","⚠️ Enter Code",IF(IFERROR(VLOOKUP(H111,DB_Agents!$B:$I,8,0),"")=I111,IF(C111&gt;=E111,"Successful","Unsuccessful"),"🔒 BLOCKED — Wrong Code")),"—")</f>
        <v/>
      </c>
      <c r="K111" s="493">
        <f>IF(J111="Successful",TEXT(TODAY(),"YYYY-MM-DD")&amp;" Auto","—")</f>
        <v/>
      </c>
      <c r="L111" s="494" t="n"/>
    </row>
    <row r="112" ht="15" customHeight="1" s="341">
      <c r="A112" s="495" t="n"/>
      <c r="B112" s="382">
        <f>IF(A112="","",IFERROR(VLOOKUP(A112,DB_Customers!$A:$D,4,0),"❌ Account Not Found"))</f>
        <v/>
      </c>
      <c r="C112" s="496">
        <f>IF(A112="","",IFERROR(VLOOKUP(A112,DB_Customers!$A:$N,14,0),""))</f>
        <v/>
      </c>
      <c r="D112" s="497">
        <f>IF(A112="","",TODAY())</f>
        <v/>
      </c>
      <c r="E112" s="510" t="n"/>
      <c r="F112" s="382" t="n"/>
      <c r="G112" s="512">
        <f>IF(OR(A112="",E112=""),"",IF(C112="","",C112-E112))</f>
        <v/>
      </c>
      <c r="H112" s="384" t="inlineStr">
        <is>
          <t>Agent 06</t>
        </is>
      </c>
      <c r="I112" s="491" t="n"/>
      <c r="J112" s="499">
        <f>IF(AND(A112&lt;&gt;"",E112&lt;&gt;""),IF(I112="","⚠️ Enter Code",IF(IFERROR(VLOOKUP(H112,DB_Agents!$B:$I,8,0),"")=I112,IF(C112&gt;=E112,"Successful","Unsuccessful"),"🔒 BLOCKED — Wrong Code")),"—")</f>
        <v/>
      </c>
      <c r="K112" s="500">
        <f>IF(J112="Successful",TEXT(TODAY(),"YYYY-MM-DD")&amp;" Auto","—")</f>
        <v/>
      </c>
      <c r="L112" s="501" t="n"/>
    </row>
    <row r="113" ht="15" customHeight="1" s="341">
      <c r="A113" s="486" t="n"/>
      <c r="B113" s="378">
        <f>IF(A113="","",IFERROR(VLOOKUP(A113,DB_Customers!$A:$D,4,0),"❌ Account Not Found"))</f>
        <v/>
      </c>
      <c r="C113" s="487">
        <f>IF(A113="","",IFERROR(VLOOKUP(A113,DB_Customers!$A:$N,14,0),""))</f>
        <v/>
      </c>
      <c r="D113" s="488">
        <f>IF(A113="","",TODAY())</f>
        <v/>
      </c>
      <c r="E113" s="510" t="n"/>
      <c r="F113" s="378" t="n"/>
      <c r="G113" s="511">
        <f>IF(OR(A113="",E113=""),"",IF(C113="","",C113-E113))</f>
        <v/>
      </c>
      <c r="H113" s="380" t="inlineStr">
        <is>
          <t>Agent 06</t>
        </is>
      </c>
      <c r="I113" s="491" t="n"/>
      <c r="J113" s="492">
        <f>IF(AND(A113&lt;&gt;"",E113&lt;&gt;""),IF(I113="","⚠️ Enter Code",IF(IFERROR(VLOOKUP(H113,DB_Agents!$B:$I,8,0),"")=I113,IF(C113&gt;=E113,"Successful","Unsuccessful"),"🔒 BLOCKED — Wrong Code")),"—")</f>
        <v/>
      </c>
      <c r="K113" s="493">
        <f>IF(J113="Successful",TEXT(TODAY(),"YYYY-MM-DD")&amp;" Auto","—")</f>
        <v/>
      </c>
      <c r="L113" s="494" t="n"/>
    </row>
    <row r="114" ht="15" customHeight="1" s="341">
      <c r="A114" s="495" t="n"/>
      <c r="B114" s="382">
        <f>IF(A114="","",IFERROR(VLOOKUP(A114,DB_Customers!$A:$D,4,0),"❌ Account Not Found"))</f>
        <v/>
      </c>
      <c r="C114" s="496">
        <f>IF(A114="","",IFERROR(VLOOKUP(A114,DB_Customers!$A:$N,14,0),""))</f>
        <v/>
      </c>
      <c r="D114" s="497">
        <f>IF(A114="","",TODAY())</f>
        <v/>
      </c>
      <c r="E114" s="510" t="n"/>
      <c r="F114" s="382" t="n"/>
      <c r="G114" s="512">
        <f>IF(OR(A114="",E114=""),"",IF(C114="","",C114-E114))</f>
        <v/>
      </c>
      <c r="H114" s="384" t="inlineStr">
        <is>
          <t>Agent 06</t>
        </is>
      </c>
      <c r="I114" s="491" t="n"/>
      <c r="J114" s="499">
        <f>IF(AND(A114&lt;&gt;"",E114&lt;&gt;""),IF(I114="","⚠️ Enter Code",IF(IFERROR(VLOOKUP(H114,DB_Agents!$B:$I,8,0),"")=I114,IF(C114&gt;=E114,"Successful","Unsuccessful"),"🔒 BLOCKED — Wrong Code")),"—")</f>
        <v/>
      </c>
      <c r="K114" s="500">
        <f>IF(J114="Successful",TEXT(TODAY(),"YYYY-MM-DD")&amp;" Auto","—")</f>
        <v/>
      </c>
      <c r="L114" s="501" t="n"/>
    </row>
    <row r="115" ht="15" customHeight="1" s="341">
      <c r="A115" s="486" t="n"/>
      <c r="B115" s="378">
        <f>IF(A115="","",IFERROR(VLOOKUP(A115,DB_Customers!$A:$D,4,0),"❌ Account Not Found"))</f>
        <v/>
      </c>
      <c r="C115" s="487">
        <f>IF(A115="","",IFERROR(VLOOKUP(A115,DB_Customers!$A:$N,14,0),""))</f>
        <v/>
      </c>
      <c r="D115" s="488">
        <f>IF(A115="","",TODAY())</f>
        <v/>
      </c>
      <c r="E115" s="510" t="n"/>
      <c r="F115" s="378" t="n"/>
      <c r="G115" s="511">
        <f>IF(OR(A115="",E115=""),"",IF(C115="","",C115-E115))</f>
        <v/>
      </c>
      <c r="H115" s="380" t="inlineStr">
        <is>
          <t>Agent 06</t>
        </is>
      </c>
      <c r="I115" s="491" t="n"/>
      <c r="J115" s="492">
        <f>IF(AND(A115&lt;&gt;"",E115&lt;&gt;""),IF(I115="","⚠️ Enter Code",IF(IFERROR(VLOOKUP(H115,DB_Agents!$B:$I,8,0),"")=I115,IF(C115&gt;=E115,"Successful","Unsuccessful"),"🔒 BLOCKED — Wrong Code")),"—")</f>
        <v/>
      </c>
      <c r="K115" s="493">
        <f>IF(J115="Successful",TEXT(TODAY(),"YYYY-MM-DD")&amp;" Auto","—")</f>
        <v/>
      </c>
      <c r="L115" s="494" t="n"/>
    </row>
    <row r="116" ht="15" customHeight="1" s="341">
      <c r="A116" s="495" t="n"/>
      <c r="B116" s="382">
        <f>IF(A116="","",IFERROR(VLOOKUP(A116,DB_Customers!$A:$D,4,0),"❌ Account Not Found"))</f>
        <v/>
      </c>
      <c r="C116" s="496">
        <f>IF(A116="","",IFERROR(VLOOKUP(A116,DB_Customers!$A:$N,14,0),""))</f>
        <v/>
      </c>
      <c r="D116" s="497">
        <f>IF(A116="","",TODAY())</f>
        <v/>
      </c>
      <c r="E116" s="510" t="n"/>
      <c r="F116" s="382" t="n"/>
      <c r="G116" s="512">
        <f>IF(OR(A116="",E116=""),"",IF(C116="","",C116-E116))</f>
        <v/>
      </c>
      <c r="H116" s="384" t="inlineStr">
        <is>
          <t>Agent 06</t>
        </is>
      </c>
      <c r="I116" s="491" t="n"/>
      <c r="J116" s="499">
        <f>IF(AND(A116&lt;&gt;"",E116&lt;&gt;""),IF(I116="","⚠️ Enter Code",IF(IFERROR(VLOOKUP(H116,DB_Agents!$B:$I,8,0),"")=I116,IF(C116&gt;=E116,"Successful","Unsuccessful"),"🔒 BLOCKED — Wrong Code")),"—")</f>
        <v/>
      </c>
      <c r="K116" s="500">
        <f>IF(J116="Successful",TEXT(TODAY(),"YYYY-MM-DD")&amp;" Auto","—")</f>
        <v/>
      </c>
      <c r="L116" s="501" t="n"/>
    </row>
    <row r="117" ht="15" customHeight="1" s="341">
      <c r="A117" s="486" t="n"/>
      <c r="B117" s="378">
        <f>IF(A117="","",IFERROR(VLOOKUP(A117,DB_Customers!$A:$D,4,0),"❌ Account Not Found"))</f>
        <v/>
      </c>
      <c r="C117" s="487">
        <f>IF(A117="","",IFERROR(VLOOKUP(A117,DB_Customers!$A:$N,14,0),""))</f>
        <v/>
      </c>
      <c r="D117" s="488">
        <f>IF(A117="","",TODAY())</f>
        <v/>
      </c>
      <c r="E117" s="510" t="n"/>
      <c r="F117" s="378" t="n"/>
      <c r="G117" s="511">
        <f>IF(OR(A117="",E117=""),"",IF(C117="","",C117-E117))</f>
        <v/>
      </c>
      <c r="H117" s="380" t="inlineStr">
        <is>
          <t>Agent 06</t>
        </is>
      </c>
      <c r="I117" s="491" t="n"/>
      <c r="J117" s="492">
        <f>IF(AND(A117&lt;&gt;"",E117&lt;&gt;""),IF(I117="","⚠️ Enter Code",IF(IFERROR(VLOOKUP(H117,DB_Agents!$B:$I,8,0),"")=I117,IF(C117&gt;=E117,"Successful","Unsuccessful"),"🔒 BLOCKED — Wrong Code")),"—")</f>
        <v/>
      </c>
      <c r="K117" s="493">
        <f>IF(J117="Successful",TEXT(TODAY(),"YYYY-MM-DD")&amp;" Auto","—")</f>
        <v/>
      </c>
      <c r="L117" s="494" t="n"/>
    </row>
    <row r="118" ht="15" customHeight="1" s="341">
      <c r="A118" s="495" t="n"/>
      <c r="B118" s="382">
        <f>IF(A118="","",IFERROR(VLOOKUP(A118,DB_Customers!$A:$D,4,0),"❌ Account Not Found"))</f>
        <v/>
      </c>
      <c r="C118" s="496">
        <f>IF(A118="","",IFERROR(VLOOKUP(A118,DB_Customers!$A:$N,14,0),""))</f>
        <v/>
      </c>
      <c r="D118" s="497">
        <f>IF(A118="","",TODAY())</f>
        <v/>
      </c>
      <c r="E118" s="510" t="n"/>
      <c r="F118" s="382" t="n"/>
      <c r="G118" s="512">
        <f>IF(OR(A118="",E118=""),"",IF(C118="","",C118-E118))</f>
        <v/>
      </c>
      <c r="H118" s="384" t="inlineStr">
        <is>
          <t>Agent 06</t>
        </is>
      </c>
      <c r="I118" s="491" t="n"/>
      <c r="J118" s="499">
        <f>IF(AND(A118&lt;&gt;"",E118&lt;&gt;""),IF(I118="","⚠️ Enter Code",IF(IFERROR(VLOOKUP(H118,DB_Agents!$B:$I,8,0),"")=I118,IF(C118&gt;=E118,"Successful","Unsuccessful"),"🔒 BLOCKED — Wrong Code")),"—")</f>
        <v/>
      </c>
      <c r="K118" s="500">
        <f>IF(J118="Successful",TEXT(TODAY(),"YYYY-MM-DD")&amp;" Auto","—")</f>
        <v/>
      </c>
      <c r="L118" s="501" t="n"/>
    </row>
    <row r="119" ht="15" customHeight="1" s="341">
      <c r="A119" s="486" t="n"/>
      <c r="B119" s="378">
        <f>IF(A119="","",IFERROR(VLOOKUP(A119,DB_Customers!$A:$D,4,0),"❌ Account Not Found"))</f>
        <v/>
      </c>
      <c r="C119" s="487">
        <f>IF(A119="","",IFERROR(VLOOKUP(A119,DB_Customers!$A:$N,14,0),""))</f>
        <v/>
      </c>
      <c r="D119" s="488">
        <f>IF(A119="","",TODAY())</f>
        <v/>
      </c>
      <c r="E119" s="510" t="n"/>
      <c r="F119" s="378" t="n"/>
      <c r="G119" s="511">
        <f>IF(OR(A119="",E119=""),"",IF(C119="","",C119-E119))</f>
        <v/>
      </c>
      <c r="H119" s="380" t="inlineStr">
        <is>
          <t>Agent 06</t>
        </is>
      </c>
      <c r="I119" s="491" t="n"/>
      <c r="J119" s="492">
        <f>IF(AND(A119&lt;&gt;"",E119&lt;&gt;""),IF(I119="","⚠️ Enter Code",IF(IFERROR(VLOOKUP(H119,DB_Agents!$B:$I,8,0),"")=I119,IF(C119&gt;=E119,"Successful","Unsuccessful"),"🔒 BLOCKED — Wrong Code")),"—")</f>
        <v/>
      </c>
      <c r="K119" s="493">
        <f>IF(J119="Successful",TEXT(TODAY(),"YYYY-MM-DD")&amp;" Auto","—")</f>
        <v/>
      </c>
      <c r="L119" s="494" t="n"/>
    </row>
    <row r="120" ht="15" customHeight="1" s="341">
      <c r="A120" s="495" t="n"/>
      <c r="B120" s="382">
        <f>IF(A120="","",IFERROR(VLOOKUP(A120,DB_Customers!$A:$D,4,0),"❌ Account Not Found"))</f>
        <v/>
      </c>
      <c r="C120" s="496">
        <f>IF(A120="","",IFERROR(VLOOKUP(A120,DB_Customers!$A:$N,14,0),""))</f>
        <v/>
      </c>
      <c r="D120" s="497">
        <f>IF(A120="","",TODAY())</f>
        <v/>
      </c>
      <c r="E120" s="510" t="n"/>
      <c r="F120" s="382" t="n"/>
      <c r="G120" s="512">
        <f>IF(OR(A120="",E120=""),"",IF(C120="","",C120-E120))</f>
        <v/>
      </c>
      <c r="H120" s="384" t="inlineStr">
        <is>
          <t>Agent 06</t>
        </is>
      </c>
      <c r="I120" s="491" t="n"/>
      <c r="J120" s="499">
        <f>IF(AND(A120&lt;&gt;"",E120&lt;&gt;""),IF(I120="","⚠️ Enter Code",IF(IFERROR(VLOOKUP(H120,DB_Agents!$B:$I,8,0),"")=I120,IF(C120&gt;=E120,"Successful","Unsuccessful"),"🔒 BLOCKED — Wrong Code")),"—")</f>
        <v/>
      </c>
      <c r="K120" s="500">
        <f>IF(J120="Successful",TEXT(TODAY(),"YYYY-MM-DD")&amp;" Auto","—")</f>
        <v/>
      </c>
      <c r="L120" s="501" t="n"/>
    </row>
    <row r="121" ht="15" customHeight="1" s="341">
      <c r="A121" s="486" t="n"/>
      <c r="B121" s="378">
        <f>IF(A121="","",IFERROR(VLOOKUP(A121,DB_Customers!$A:$D,4,0),"❌ Account Not Found"))</f>
        <v/>
      </c>
      <c r="C121" s="487">
        <f>IF(A121="","",IFERROR(VLOOKUP(A121,DB_Customers!$A:$N,14,0),""))</f>
        <v/>
      </c>
      <c r="D121" s="488">
        <f>IF(A121="","",TODAY())</f>
        <v/>
      </c>
      <c r="E121" s="510" t="n"/>
      <c r="F121" s="378" t="n"/>
      <c r="G121" s="511">
        <f>IF(OR(A121="",E121=""),"",IF(C121="","",C121-E121))</f>
        <v/>
      </c>
      <c r="H121" s="380" t="inlineStr">
        <is>
          <t>Agent 06</t>
        </is>
      </c>
      <c r="I121" s="491" t="n"/>
      <c r="J121" s="492">
        <f>IF(AND(A121&lt;&gt;"",E121&lt;&gt;""),IF(I121="","⚠️ Enter Code",IF(IFERROR(VLOOKUP(H121,DB_Agents!$B:$I,8,0),"")=I121,IF(C121&gt;=E121,"Successful","Unsuccessful"),"🔒 BLOCKED — Wrong Code")),"—")</f>
        <v/>
      </c>
      <c r="K121" s="493">
        <f>IF(J121="Successful",TEXT(TODAY(),"YYYY-MM-DD")&amp;" Auto","—")</f>
        <v/>
      </c>
      <c r="L121" s="494" t="n"/>
    </row>
    <row r="122" ht="15" customHeight="1" s="341">
      <c r="A122" s="495" t="n"/>
      <c r="B122" s="382">
        <f>IF(A122="","",IFERROR(VLOOKUP(A122,DB_Customers!$A:$D,4,0),"❌ Account Not Found"))</f>
        <v/>
      </c>
      <c r="C122" s="496">
        <f>IF(A122="","",IFERROR(VLOOKUP(A122,DB_Customers!$A:$N,14,0),""))</f>
        <v/>
      </c>
      <c r="D122" s="497">
        <f>IF(A122="","",TODAY())</f>
        <v/>
      </c>
      <c r="E122" s="510" t="n"/>
      <c r="F122" s="382" t="n"/>
      <c r="G122" s="512">
        <f>IF(OR(A122="",E122=""),"",IF(C122="","",C122-E122))</f>
        <v/>
      </c>
      <c r="H122" s="384" t="inlineStr">
        <is>
          <t>Agent 06</t>
        </is>
      </c>
      <c r="I122" s="491" t="n"/>
      <c r="J122" s="499">
        <f>IF(AND(A122&lt;&gt;"",E122&lt;&gt;""),IF(I122="","⚠️ Enter Code",IF(IFERROR(VLOOKUP(H122,DB_Agents!$B:$I,8,0),"")=I122,IF(C122&gt;=E122,"Successful","Unsuccessful"),"🔒 BLOCKED — Wrong Code")),"—")</f>
        <v/>
      </c>
      <c r="K122" s="500">
        <f>IF(J122="Successful",TEXT(TODAY(),"YYYY-MM-DD")&amp;" Auto","—")</f>
        <v/>
      </c>
      <c r="L122" s="501" t="n"/>
    </row>
    <row r="123" ht="15" customHeight="1" s="341">
      <c r="A123" s="486" t="n"/>
      <c r="B123" s="378">
        <f>IF(A123="","",IFERROR(VLOOKUP(A123,DB_Customers!$A:$D,4,0),"❌ Account Not Found"))</f>
        <v/>
      </c>
      <c r="C123" s="487">
        <f>IF(A123="","",IFERROR(VLOOKUP(A123,DB_Customers!$A:$N,14,0),""))</f>
        <v/>
      </c>
      <c r="D123" s="488">
        <f>IF(A123="","",TODAY())</f>
        <v/>
      </c>
      <c r="E123" s="510" t="n"/>
      <c r="F123" s="378" t="n"/>
      <c r="G123" s="511">
        <f>IF(OR(A123="",E123=""),"",IF(C123="","",C123-E123))</f>
        <v/>
      </c>
      <c r="H123" s="380" t="inlineStr">
        <is>
          <t>Agent 06</t>
        </is>
      </c>
      <c r="I123" s="491" t="n"/>
      <c r="J123" s="492">
        <f>IF(AND(A123&lt;&gt;"",E123&lt;&gt;""),IF(I123="","⚠️ Enter Code",IF(IFERROR(VLOOKUP(H123,DB_Agents!$B:$I,8,0),"")=I123,IF(C123&gt;=E123,"Successful","Unsuccessful"),"🔒 BLOCKED — Wrong Code")),"—")</f>
        <v/>
      </c>
      <c r="K123" s="493">
        <f>IF(J123="Successful",TEXT(TODAY(),"YYYY-MM-DD")&amp;" Auto","—")</f>
        <v/>
      </c>
      <c r="L123" s="494" t="n"/>
    </row>
    <row r="124" ht="15" customHeight="1" s="341">
      <c r="A124" s="495" t="n"/>
      <c r="B124" s="382">
        <f>IF(A124="","",IFERROR(VLOOKUP(A124,DB_Customers!$A:$D,4,0),"❌ Account Not Found"))</f>
        <v/>
      </c>
      <c r="C124" s="496">
        <f>IF(A124="","",IFERROR(VLOOKUP(A124,DB_Customers!$A:$N,14,0),""))</f>
        <v/>
      </c>
      <c r="D124" s="497">
        <f>IF(A124="","",TODAY())</f>
        <v/>
      </c>
      <c r="E124" s="510" t="n"/>
      <c r="F124" s="382" t="n"/>
      <c r="G124" s="512">
        <f>IF(OR(A124="",E124=""),"",IF(C124="","",C124-E124))</f>
        <v/>
      </c>
      <c r="H124" s="384" t="inlineStr">
        <is>
          <t>Agent 06</t>
        </is>
      </c>
      <c r="I124" s="491" t="n"/>
      <c r="J124" s="499">
        <f>IF(AND(A124&lt;&gt;"",E124&lt;&gt;""),IF(I124="","⚠️ Enter Code",IF(IFERROR(VLOOKUP(H124,DB_Agents!$B:$I,8,0),"")=I124,IF(C124&gt;=E124,"Successful","Unsuccessful"),"🔒 BLOCKED — Wrong Code")),"—")</f>
        <v/>
      </c>
      <c r="K124" s="500">
        <f>IF(J124="Successful",TEXT(TODAY(),"YYYY-MM-DD")&amp;" Auto","—")</f>
        <v/>
      </c>
      <c r="L124" s="501" t="n"/>
    </row>
    <row r="125" ht="15" customHeight="1" s="341">
      <c r="A125" s="486" t="n"/>
      <c r="B125" s="378">
        <f>IF(A125="","",IFERROR(VLOOKUP(A125,DB_Customers!$A:$D,4,0),"❌ Account Not Found"))</f>
        <v/>
      </c>
      <c r="C125" s="487">
        <f>IF(A125="","",IFERROR(VLOOKUP(A125,DB_Customers!$A:$N,14,0),""))</f>
        <v/>
      </c>
      <c r="D125" s="488">
        <f>IF(A125="","",TODAY())</f>
        <v/>
      </c>
      <c r="E125" s="510" t="n"/>
      <c r="F125" s="378" t="n"/>
      <c r="G125" s="511">
        <f>IF(OR(A125="",E125=""),"",IF(C125="","",C125-E125))</f>
        <v/>
      </c>
      <c r="H125" s="380" t="inlineStr">
        <is>
          <t>Agent 06</t>
        </is>
      </c>
      <c r="I125" s="491" t="n"/>
      <c r="J125" s="492">
        <f>IF(AND(A125&lt;&gt;"",E125&lt;&gt;""),IF(I125="","⚠️ Enter Code",IF(IFERROR(VLOOKUP(H125,DB_Agents!$B:$I,8,0),"")=I125,IF(C125&gt;=E125,"Successful","Unsuccessful"),"🔒 BLOCKED — Wrong Code")),"—")</f>
        <v/>
      </c>
      <c r="K125" s="493">
        <f>IF(J125="Successful",TEXT(TODAY(),"YYYY-MM-DD")&amp;" Auto","—")</f>
        <v/>
      </c>
      <c r="L125" s="494" t="n"/>
    </row>
    <row r="126" ht="15" customHeight="1" s="341">
      <c r="A126" s="495" t="n"/>
      <c r="B126" s="382">
        <f>IF(A126="","",IFERROR(VLOOKUP(A126,DB_Customers!$A:$D,4,0),"❌ Account Not Found"))</f>
        <v/>
      </c>
      <c r="C126" s="496">
        <f>IF(A126="","",IFERROR(VLOOKUP(A126,DB_Customers!$A:$N,14,0),""))</f>
        <v/>
      </c>
      <c r="D126" s="497">
        <f>IF(A126="","",TODAY())</f>
        <v/>
      </c>
      <c r="E126" s="510" t="n"/>
      <c r="F126" s="382" t="n"/>
      <c r="G126" s="512">
        <f>IF(OR(A126="",E126=""),"",IF(C126="","",C126-E126))</f>
        <v/>
      </c>
      <c r="H126" s="384" t="inlineStr">
        <is>
          <t>Agent 06</t>
        </is>
      </c>
      <c r="I126" s="491" t="n"/>
      <c r="J126" s="499">
        <f>IF(AND(A126&lt;&gt;"",E126&lt;&gt;""),IF(I126="","⚠️ Enter Code",IF(IFERROR(VLOOKUP(H126,DB_Agents!$B:$I,8,0),"")=I126,IF(C126&gt;=E126,"Successful","Unsuccessful"),"🔒 BLOCKED — Wrong Code")),"—")</f>
        <v/>
      </c>
      <c r="K126" s="500">
        <f>IF(J126="Successful",TEXT(TODAY(),"YYYY-MM-DD")&amp;" Auto","—")</f>
        <v/>
      </c>
      <c r="L126" s="501" t="n"/>
    </row>
    <row r="127" ht="15" customHeight="1" s="341">
      <c r="A127" s="486" t="n"/>
      <c r="B127" s="378">
        <f>IF(A127="","",IFERROR(VLOOKUP(A127,DB_Customers!$A:$D,4,0),"❌ Account Not Found"))</f>
        <v/>
      </c>
      <c r="C127" s="487">
        <f>IF(A127="","",IFERROR(VLOOKUP(A127,DB_Customers!$A:$N,14,0),""))</f>
        <v/>
      </c>
      <c r="D127" s="488">
        <f>IF(A127="","",TODAY())</f>
        <v/>
      </c>
      <c r="E127" s="510" t="n"/>
      <c r="F127" s="378" t="n"/>
      <c r="G127" s="511">
        <f>IF(OR(A127="",E127=""),"",IF(C127="","",C127-E127))</f>
        <v/>
      </c>
      <c r="H127" s="380" t="inlineStr">
        <is>
          <t>Agent 06</t>
        </is>
      </c>
      <c r="I127" s="491" t="n"/>
      <c r="J127" s="492">
        <f>IF(AND(A127&lt;&gt;"",E127&lt;&gt;""),IF(I127="","⚠️ Enter Code",IF(IFERROR(VLOOKUP(H127,DB_Agents!$B:$I,8,0),"")=I127,IF(C127&gt;=E127,"Successful","Unsuccessful"),"🔒 BLOCKED — Wrong Code")),"—")</f>
        <v/>
      </c>
      <c r="K127" s="493">
        <f>IF(J127="Successful",TEXT(TODAY(),"YYYY-MM-DD")&amp;" Auto","—")</f>
        <v/>
      </c>
      <c r="L127" s="494" t="n"/>
    </row>
    <row r="128" ht="15" customHeight="1" s="341">
      <c r="A128" s="495" t="n"/>
      <c r="B128" s="382">
        <f>IF(A128="","",IFERROR(VLOOKUP(A128,DB_Customers!$A:$D,4,0),"❌ Account Not Found"))</f>
        <v/>
      </c>
      <c r="C128" s="496">
        <f>IF(A128="","",IFERROR(VLOOKUP(A128,DB_Customers!$A:$N,14,0),""))</f>
        <v/>
      </c>
      <c r="D128" s="497">
        <f>IF(A128="","",TODAY())</f>
        <v/>
      </c>
      <c r="E128" s="510" t="n"/>
      <c r="F128" s="382" t="n"/>
      <c r="G128" s="512">
        <f>IF(OR(A128="",E128=""),"",IF(C128="","",C128-E128))</f>
        <v/>
      </c>
      <c r="H128" s="384" t="inlineStr">
        <is>
          <t>Agent 06</t>
        </is>
      </c>
      <c r="I128" s="491" t="n"/>
      <c r="J128" s="499">
        <f>IF(AND(A128&lt;&gt;"",E128&lt;&gt;""),IF(I128="","⚠️ Enter Code",IF(IFERROR(VLOOKUP(H128,DB_Agents!$B:$I,8,0),"")=I128,IF(C128&gt;=E128,"Successful","Unsuccessful"),"🔒 BLOCKED — Wrong Code")),"—")</f>
        <v/>
      </c>
      <c r="K128" s="500">
        <f>IF(J128="Successful",TEXT(TODAY(),"YYYY-MM-DD")&amp;" Auto","—")</f>
        <v/>
      </c>
      <c r="L128" s="501" t="n"/>
    </row>
    <row r="129" ht="15" customHeight="1" s="341">
      <c r="A129" s="486" t="n"/>
      <c r="B129" s="378">
        <f>IF(A129="","",IFERROR(VLOOKUP(A129,DB_Customers!$A:$D,4,0),"❌ Account Not Found"))</f>
        <v/>
      </c>
      <c r="C129" s="487">
        <f>IF(A129="","",IFERROR(VLOOKUP(A129,DB_Customers!$A:$N,14,0),""))</f>
        <v/>
      </c>
      <c r="D129" s="488">
        <f>IF(A129="","",TODAY())</f>
        <v/>
      </c>
      <c r="E129" s="510" t="n"/>
      <c r="F129" s="378" t="n"/>
      <c r="G129" s="511">
        <f>IF(OR(A129="",E129=""),"",IF(C129="","",C129-E129))</f>
        <v/>
      </c>
      <c r="H129" s="380" t="inlineStr">
        <is>
          <t>Agent 06</t>
        </is>
      </c>
      <c r="I129" s="491" t="n"/>
      <c r="J129" s="492">
        <f>IF(AND(A129&lt;&gt;"",E129&lt;&gt;""),IF(I129="","⚠️ Enter Code",IF(IFERROR(VLOOKUP(H129,DB_Agents!$B:$I,8,0),"")=I129,IF(C129&gt;=E129,"Successful","Unsuccessful"),"🔒 BLOCKED — Wrong Code")),"—")</f>
        <v/>
      </c>
      <c r="K129" s="493">
        <f>IF(J129="Successful",TEXT(TODAY(),"YYYY-MM-DD")&amp;" Auto","—")</f>
        <v/>
      </c>
      <c r="L129" s="494" t="n"/>
    </row>
    <row r="130" ht="15" customHeight="1" s="341">
      <c r="A130" s="495" t="n"/>
      <c r="B130" s="382">
        <f>IF(A130="","",IFERROR(VLOOKUP(A130,DB_Customers!$A:$D,4,0),"❌ Account Not Found"))</f>
        <v/>
      </c>
      <c r="C130" s="496">
        <f>IF(A130="","",IFERROR(VLOOKUP(A130,DB_Customers!$A:$N,14,0),""))</f>
        <v/>
      </c>
      <c r="D130" s="497">
        <f>IF(A130="","",TODAY())</f>
        <v/>
      </c>
      <c r="E130" s="510" t="n"/>
      <c r="F130" s="382" t="n"/>
      <c r="G130" s="512">
        <f>IF(OR(A130="",E130=""),"",IF(C130="","",C130-E130))</f>
        <v/>
      </c>
      <c r="H130" s="384" t="inlineStr">
        <is>
          <t>Agent 06</t>
        </is>
      </c>
      <c r="I130" s="491" t="n"/>
      <c r="J130" s="499">
        <f>IF(AND(A130&lt;&gt;"",E130&lt;&gt;""),IF(I130="","⚠️ Enter Code",IF(IFERROR(VLOOKUP(H130,DB_Agents!$B:$I,8,0),"")=I130,IF(C130&gt;=E130,"Successful","Unsuccessful"),"🔒 BLOCKED — Wrong Code")),"—")</f>
        <v/>
      </c>
      <c r="K130" s="500">
        <f>IF(J130="Successful",TEXT(TODAY(),"YYYY-MM-DD")&amp;" Auto","—")</f>
        <v/>
      </c>
      <c r="L130" s="501" t="n"/>
    </row>
    <row r="131" ht="15" customHeight="1" s="341">
      <c r="A131" s="486" t="n"/>
      <c r="B131" s="378">
        <f>IF(A131="","",IFERROR(VLOOKUP(A131,DB_Customers!$A:$D,4,0),"❌ Account Not Found"))</f>
        <v/>
      </c>
      <c r="C131" s="487">
        <f>IF(A131="","",IFERROR(VLOOKUP(A131,DB_Customers!$A:$N,14,0),""))</f>
        <v/>
      </c>
      <c r="D131" s="488">
        <f>IF(A131="","",TODAY())</f>
        <v/>
      </c>
      <c r="E131" s="510" t="n"/>
      <c r="F131" s="378" t="n"/>
      <c r="G131" s="511">
        <f>IF(OR(A131="",E131=""),"",IF(C131="","",C131-E131))</f>
        <v/>
      </c>
      <c r="H131" s="380" t="inlineStr">
        <is>
          <t>Agent 06</t>
        </is>
      </c>
      <c r="I131" s="491" t="n"/>
      <c r="J131" s="492">
        <f>IF(AND(A131&lt;&gt;"",E131&lt;&gt;""),IF(I131="","⚠️ Enter Code",IF(IFERROR(VLOOKUP(H131,DB_Agents!$B:$I,8,0),"")=I131,IF(C131&gt;=E131,"Successful","Unsuccessful"),"🔒 BLOCKED — Wrong Code")),"—")</f>
        <v/>
      </c>
      <c r="K131" s="493">
        <f>IF(J131="Successful",TEXT(TODAY(),"YYYY-MM-DD")&amp;" Auto","—")</f>
        <v/>
      </c>
      <c r="L131" s="494" t="n"/>
    </row>
    <row r="132" ht="15" customHeight="1" s="341">
      <c r="A132" s="495" t="n"/>
      <c r="B132" s="382">
        <f>IF(A132="","",IFERROR(VLOOKUP(A132,DB_Customers!$A:$D,4,0),"❌ Account Not Found"))</f>
        <v/>
      </c>
      <c r="C132" s="496">
        <f>IF(A132="","",IFERROR(VLOOKUP(A132,DB_Customers!$A:$N,14,0),""))</f>
        <v/>
      </c>
      <c r="D132" s="497">
        <f>IF(A132="","",TODAY())</f>
        <v/>
      </c>
      <c r="E132" s="510" t="n"/>
      <c r="F132" s="382" t="n"/>
      <c r="G132" s="512">
        <f>IF(OR(A132="",E132=""),"",IF(C132="","",C132-E132))</f>
        <v/>
      </c>
      <c r="H132" s="384" t="inlineStr">
        <is>
          <t>Agent 06</t>
        </is>
      </c>
      <c r="I132" s="491" t="n"/>
      <c r="J132" s="499">
        <f>IF(AND(A132&lt;&gt;"",E132&lt;&gt;""),IF(I132="","⚠️ Enter Code",IF(IFERROR(VLOOKUP(H132,DB_Agents!$B:$I,8,0),"")=I132,IF(C132&gt;=E132,"Successful","Unsuccessful"),"🔒 BLOCKED — Wrong Code")),"—")</f>
        <v/>
      </c>
      <c r="K132" s="500">
        <f>IF(J132="Successful",TEXT(TODAY(),"YYYY-MM-DD")&amp;" Auto","—")</f>
        <v/>
      </c>
      <c r="L132" s="501" t="n"/>
    </row>
    <row r="133" ht="15" customHeight="1" s="341">
      <c r="A133" s="486" t="n"/>
      <c r="B133" s="378">
        <f>IF(A133="","",IFERROR(VLOOKUP(A133,DB_Customers!$A:$D,4,0),"❌ Account Not Found"))</f>
        <v/>
      </c>
      <c r="C133" s="487">
        <f>IF(A133="","",IFERROR(VLOOKUP(A133,DB_Customers!$A:$N,14,0),""))</f>
        <v/>
      </c>
      <c r="D133" s="488">
        <f>IF(A133="","",TODAY())</f>
        <v/>
      </c>
      <c r="E133" s="510" t="n"/>
      <c r="F133" s="378" t="n"/>
      <c r="G133" s="511">
        <f>IF(OR(A133="",E133=""),"",IF(C133="","",C133-E133))</f>
        <v/>
      </c>
      <c r="H133" s="380" t="inlineStr">
        <is>
          <t>Agent 06</t>
        </is>
      </c>
      <c r="I133" s="491" t="n"/>
      <c r="J133" s="492">
        <f>IF(AND(A133&lt;&gt;"",E133&lt;&gt;""),IF(I133="","⚠️ Enter Code",IF(IFERROR(VLOOKUP(H133,DB_Agents!$B:$I,8,0),"")=I133,IF(C133&gt;=E133,"Successful","Unsuccessful"),"🔒 BLOCKED — Wrong Code")),"—")</f>
        <v/>
      </c>
      <c r="K133" s="493">
        <f>IF(J133="Successful",TEXT(TODAY(),"YYYY-MM-DD")&amp;" Auto","—")</f>
        <v/>
      </c>
      <c r="L133" s="494" t="n"/>
    </row>
    <row r="134" ht="15" customHeight="1" s="341">
      <c r="A134" s="495" t="n"/>
      <c r="B134" s="382">
        <f>IF(A134="","",IFERROR(VLOOKUP(A134,DB_Customers!$A:$D,4,0),"❌ Account Not Found"))</f>
        <v/>
      </c>
      <c r="C134" s="496">
        <f>IF(A134="","",IFERROR(VLOOKUP(A134,DB_Customers!$A:$N,14,0),""))</f>
        <v/>
      </c>
      <c r="D134" s="497">
        <f>IF(A134="","",TODAY())</f>
        <v/>
      </c>
      <c r="E134" s="510" t="n"/>
      <c r="F134" s="382" t="n"/>
      <c r="G134" s="512">
        <f>IF(OR(A134="",E134=""),"",IF(C134="","",C134-E134))</f>
        <v/>
      </c>
      <c r="H134" s="384" t="inlineStr">
        <is>
          <t>Agent 06</t>
        </is>
      </c>
      <c r="I134" s="491" t="n"/>
      <c r="J134" s="499">
        <f>IF(AND(A134&lt;&gt;"",E134&lt;&gt;""),IF(I134="","⚠️ Enter Code",IF(IFERROR(VLOOKUP(H134,DB_Agents!$B:$I,8,0),"")=I134,IF(C134&gt;=E134,"Successful","Unsuccessful"),"🔒 BLOCKED — Wrong Code")),"—")</f>
        <v/>
      </c>
      <c r="K134" s="500">
        <f>IF(J134="Successful",TEXT(TODAY(),"YYYY-MM-DD")&amp;" Auto","—")</f>
        <v/>
      </c>
      <c r="L134" s="501" t="n"/>
    </row>
    <row r="135" ht="15" customHeight="1" s="341">
      <c r="A135" s="486" t="n"/>
      <c r="B135" s="378">
        <f>IF(A135="","",IFERROR(VLOOKUP(A135,DB_Customers!$A:$D,4,0),"❌ Account Not Found"))</f>
        <v/>
      </c>
      <c r="C135" s="487">
        <f>IF(A135="","",IFERROR(VLOOKUP(A135,DB_Customers!$A:$N,14,0),""))</f>
        <v/>
      </c>
      <c r="D135" s="488">
        <f>IF(A135="","",TODAY())</f>
        <v/>
      </c>
      <c r="E135" s="510" t="n"/>
      <c r="F135" s="378" t="n"/>
      <c r="G135" s="511">
        <f>IF(OR(A135="",E135=""),"",IF(C135="","",C135-E135))</f>
        <v/>
      </c>
      <c r="H135" s="380" t="inlineStr">
        <is>
          <t>Agent 06</t>
        </is>
      </c>
      <c r="I135" s="491" t="n"/>
      <c r="J135" s="492">
        <f>IF(AND(A135&lt;&gt;"",E135&lt;&gt;""),IF(I135="","⚠️ Enter Code",IF(IFERROR(VLOOKUP(H135,DB_Agents!$B:$I,8,0),"")=I135,IF(C135&gt;=E135,"Successful","Unsuccessful"),"🔒 BLOCKED — Wrong Code")),"—")</f>
        <v/>
      </c>
      <c r="K135" s="493">
        <f>IF(J135="Successful",TEXT(TODAY(),"YYYY-MM-DD")&amp;" Auto","—")</f>
        <v/>
      </c>
      <c r="L135" s="494" t="n"/>
    </row>
    <row r="136" ht="15" customHeight="1" s="341">
      <c r="A136" s="495" t="n"/>
      <c r="B136" s="382">
        <f>IF(A136="","",IFERROR(VLOOKUP(A136,DB_Customers!$A:$D,4,0),"❌ Account Not Found"))</f>
        <v/>
      </c>
      <c r="C136" s="496">
        <f>IF(A136="","",IFERROR(VLOOKUP(A136,DB_Customers!$A:$N,14,0),""))</f>
        <v/>
      </c>
      <c r="D136" s="497">
        <f>IF(A136="","",TODAY())</f>
        <v/>
      </c>
      <c r="E136" s="510" t="n"/>
      <c r="F136" s="382" t="n"/>
      <c r="G136" s="512">
        <f>IF(OR(A136="",E136=""),"",IF(C136="","",C136-E136))</f>
        <v/>
      </c>
      <c r="H136" s="384" t="inlineStr">
        <is>
          <t>Agent 06</t>
        </is>
      </c>
      <c r="I136" s="491" t="n"/>
      <c r="J136" s="499">
        <f>IF(AND(A136&lt;&gt;"",E136&lt;&gt;""),IF(I136="","⚠️ Enter Code",IF(IFERROR(VLOOKUP(H136,DB_Agents!$B:$I,8,0),"")=I136,IF(C136&gt;=E136,"Successful","Unsuccessful"),"🔒 BLOCKED — Wrong Code")),"—")</f>
        <v/>
      </c>
      <c r="K136" s="500">
        <f>IF(J136="Successful",TEXT(TODAY(),"YYYY-MM-DD")&amp;" Auto","—")</f>
        <v/>
      </c>
      <c r="L136" s="501" t="n"/>
    </row>
    <row r="137" ht="15" customHeight="1" s="341">
      <c r="A137" s="486" t="n"/>
      <c r="B137" s="378">
        <f>IF(A137="","",IFERROR(VLOOKUP(A137,DB_Customers!$A:$D,4,0),"❌ Account Not Found"))</f>
        <v/>
      </c>
      <c r="C137" s="487">
        <f>IF(A137="","",IFERROR(VLOOKUP(A137,DB_Customers!$A:$N,14,0),""))</f>
        <v/>
      </c>
      <c r="D137" s="488">
        <f>IF(A137="","",TODAY())</f>
        <v/>
      </c>
      <c r="E137" s="510" t="n"/>
      <c r="F137" s="378" t="n"/>
      <c r="G137" s="511">
        <f>IF(OR(A137="",E137=""),"",IF(C137="","",C137-E137))</f>
        <v/>
      </c>
      <c r="H137" s="380" t="inlineStr">
        <is>
          <t>Agent 06</t>
        </is>
      </c>
      <c r="I137" s="491" t="n"/>
      <c r="J137" s="492">
        <f>IF(AND(A137&lt;&gt;"",E137&lt;&gt;""),IF(I137="","⚠️ Enter Code",IF(IFERROR(VLOOKUP(H137,DB_Agents!$B:$I,8,0),"")=I137,IF(C137&gt;=E137,"Successful","Unsuccessful"),"🔒 BLOCKED — Wrong Code")),"—")</f>
        <v/>
      </c>
      <c r="K137" s="493">
        <f>IF(J137="Successful",TEXT(TODAY(),"YYYY-MM-DD")&amp;" Auto","—")</f>
        <v/>
      </c>
      <c r="L137" s="494" t="n"/>
    </row>
    <row r="138" ht="15" customHeight="1" s="341">
      <c r="A138" s="495" t="n"/>
      <c r="B138" s="382">
        <f>IF(A138="","",IFERROR(VLOOKUP(A138,DB_Customers!$A:$D,4,0),"❌ Account Not Found"))</f>
        <v/>
      </c>
      <c r="C138" s="496">
        <f>IF(A138="","",IFERROR(VLOOKUP(A138,DB_Customers!$A:$N,14,0),""))</f>
        <v/>
      </c>
      <c r="D138" s="497">
        <f>IF(A138="","",TODAY())</f>
        <v/>
      </c>
      <c r="E138" s="510" t="n"/>
      <c r="F138" s="382" t="n"/>
      <c r="G138" s="512">
        <f>IF(OR(A138="",E138=""),"",IF(C138="","",C138-E138))</f>
        <v/>
      </c>
      <c r="H138" s="384" t="inlineStr">
        <is>
          <t>Agent 06</t>
        </is>
      </c>
      <c r="I138" s="491" t="n"/>
      <c r="J138" s="499">
        <f>IF(AND(A138&lt;&gt;"",E138&lt;&gt;""),IF(I138="","⚠️ Enter Code",IF(IFERROR(VLOOKUP(H138,DB_Agents!$B:$I,8,0),"")=I138,IF(C138&gt;=E138,"Successful","Unsuccessful"),"🔒 BLOCKED — Wrong Code")),"—")</f>
        <v/>
      </c>
      <c r="K138" s="500">
        <f>IF(J138="Successful",TEXT(TODAY(),"YYYY-MM-DD")&amp;" Auto","—")</f>
        <v/>
      </c>
      <c r="L138" s="501" t="n"/>
    </row>
    <row r="139" ht="15" customHeight="1" s="341">
      <c r="A139" s="486" t="n"/>
      <c r="B139" s="378">
        <f>IF(A139="","",IFERROR(VLOOKUP(A139,DB_Customers!$A:$D,4,0),"❌ Account Not Found"))</f>
        <v/>
      </c>
      <c r="C139" s="487">
        <f>IF(A139="","",IFERROR(VLOOKUP(A139,DB_Customers!$A:$N,14,0),""))</f>
        <v/>
      </c>
      <c r="D139" s="488">
        <f>IF(A139="","",TODAY())</f>
        <v/>
      </c>
      <c r="E139" s="510" t="n"/>
      <c r="F139" s="378" t="n"/>
      <c r="G139" s="511">
        <f>IF(OR(A139="",E139=""),"",IF(C139="","",C139-E139))</f>
        <v/>
      </c>
      <c r="H139" s="380" t="inlineStr">
        <is>
          <t>Agent 06</t>
        </is>
      </c>
      <c r="I139" s="491" t="n"/>
      <c r="J139" s="492">
        <f>IF(AND(A139&lt;&gt;"",E139&lt;&gt;""),IF(I139="","⚠️ Enter Code",IF(IFERROR(VLOOKUP(H139,DB_Agents!$B:$I,8,0),"")=I139,IF(C139&gt;=E139,"Successful","Unsuccessful"),"🔒 BLOCKED — Wrong Code")),"—")</f>
        <v/>
      </c>
      <c r="K139" s="493">
        <f>IF(J139="Successful",TEXT(TODAY(),"YYYY-MM-DD")&amp;" Auto","—")</f>
        <v/>
      </c>
      <c r="L139" s="494" t="n"/>
    </row>
    <row r="140" ht="15" customHeight="1" s="341">
      <c r="A140" s="495" t="n"/>
      <c r="B140" s="382">
        <f>IF(A140="","",IFERROR(VLOOKUP(A140,DB_Customers!$A:$D,4,0),"❌ Account Not Found"))</f>
        <v/>
      </c>
      <c r="C140" s="496">
        <f>IF(A140="","",IFERROR(VLOOKUP(A140,DB_Customers!$A:$N,14,0),""))</f>
        <v/>
      </c>
      <c r="D140" s="497">
        <f>IF(A140="","",TODAY())</f>
        <v/>
      </c>
      <c r="E140" s="510" t="n"/>
      <c r="F140" s="382" t="n"/>
      <c r="G140" s="512">
        <f>IF(OR(A140="",E140=""),"",IF(C140="","",C140-E140))</f>
        <v/>
      </c>
      <c r="H140" s="384" t="inlineStr">
        <is>
          <t>Agent 06</t>
        </is>
      </c>
      <c r="I140" s="491" t="n"/>
      <c r="J140" s="499">
        <f>IF(AND(A140&lt;&gt;"",E140&lt;&gt;""),IF(I140="","⚠️ Enter Code",IF(IFERROR(VLOOKUP(H140,DB_Agents!$B:$I,8,0),"")=I140,IF(C140&gt;=E140,"Successful","Unsuccessful"),"🔒 BLOCKED — Wrong Code")),"—")</f>
        <v/>
      </c>
      <c r="K140" s="500">
        <f>IF(J140="Successful",TEXT(TODAY(),"YYYY-MM-DD")&amp;" Auto","—")</f>
        <v/>
      </c>
      <c r="L140" s="501" t="n"/>
    </row>
    <row r="141" ht="15" customHeight="1" s="341">
      <c r="A141" s="486" t="n"/>
      <c r="B141" s="378">
        <f>IF(A141="","",IFERROR(VLOOKUP(A141,DB_Customers!$A:$D,4,0),"❌ Account Not Found"))</f>
        <v/>
      </c>
      <c r="C141" s="487">
        <f>IF(A141="","",IFERROR(VLOOKUP(A141,DB_Customers!$A:$N,14,0),""))</f>
        <v/>
      </c>
      <c r="D141" s="488">
        <f>IF(A141="","",TODAY())</f>
        <v/>
      </c>
      <c r="E141" s="510" t="n"/>
      <c r="F141" s="378" t="n"/>
      <c r="G141" s="511">
        <f>IF(OR(A141="",E141=""),"",IF(C141="","",C141-E141))</f>
        <v/>
      </c>
      <c r="H141" s="380" t="inlineStr">
        <is>
          <t>Agent 06</t>
        </is>
      </c>
      <c r="I141" s="491" t="n"/>
      <c r="J141" s="492">
        <f>IF(AND(A141&lt;&gt;"",E141&lt;&gt;""),IF(I141="","⚠️ Enter Code",IF(IFERROR(VLOOKUP(H141,DB_Agents!$B:$I,8,0),"")=I141,IF(C141&gt;=E141,"Successful","Unsuccessful"),"🔒 BLOCKED — Wrong Code")),"—")</f>
        <v/>
      </c>
      <c r="K141" s="493">
        <f>IF(J141="Successful",TEXT(TODAY(),"YYYY-MM-DD")&amp;" Auto","—")</f>
        <v/>
      </c>
      <c r="L141" s="494" t="n"/>
    </row>
    <row r="142" ht="15" customHeight="1" s="341">
      <c r="A142" s="495" t="n"/>
      <c r="B142" s="382">
        <f>IF(A142="","",IFERROR(VLOOKUP(A142,DB_Customers!$A:$D,4,0),"❌ Account Not Found"))</f>
        <v/>
      </c>
      <c r="C142" s="496">
        <f>IF(A142="","",IFERROR(VLOOKUP(A142,DB_Customers!$A:$N,14,0),""))</f>
        <v/>
      </c>
      <c r="D142" s="497">
        <f>IF(A142="","",TODAY())</f>
        <v/>
      </c>
      <c r="E142" s="510" t="n"/>
      <c r="F142" s="382" t="n"/>
      <c r="G142" s="512">
        <f>IF(OR(A142="",E142=""),"",IF(C142="","",C142-E142))</f>
        <v/>
      </c>
      <c r="H142" s="384" t="inlineStr">
        <is>
          <t>Agent 06</t>
        </is>
      </c>
      <c r="I142" s="491" t="n"/>
      <c r="J142" s="499">
        <f>IF(AND(A142&lt;&gt;"",E142&lt;&gt;""),IF(I142="","⚠️ Enter Code",IF(IFERROR(VLOOKUP(H142,DB_Agents!$B:$I,8,0),"")=I142,IF(C142&gt;=E142,"Successful","Unsuccessful"),"🔒 BLOCKED — Wrong Code")),"—")</f>
        <v/>
      </c>
      <c r="K142" s="500">
        <f>IF(J142="Successful",TEXT(TODAY(),"YYYY-MM-DD")&amp;" Auto","—")</f>
        <v/>
      </c>
      <c r="L142" s="501" t="n"/>
    </row>
    <row r="143" ht="15" customHeight="1" s="341">
      <c r="A143" s="486" t="n"/>
      <c r="B143" s="378">
        <f>IF(A143="","",IFERROR(VLOOKUP(A143,DB_Customers!$A:$D,4,0),"❌ Account Not Found"))</f>
        <v/>
      </c>
      <c r="C143" s="487">
        <f>IF(A143="","",IFERROR(VLOOKUP(A143,DB_Customers!$A:$N,14,0),""))</f>
        <v/>
      </c>
      <c r="D143" s="488">
        <f>IF(A143="","",TODAY())</f>
        <v/>
      </c>
      <c r="E143" s="510" t="n"/>
      <c r="F143" s="378" t="n"/>
      <c r="G143" s="511">
        <f>IF(OR(A143="",E143=""),"",IF(C143="","",C143-E143))</f>
        <v/>
      </c>
      <c r="H143" s="380" t="inlineStr">
        <is>
          <t>Agent 06</t>
        </is>
      </c>
      <c r="I143" s="491" t="n"/>
      <c r="J143" s="492">
        <f>IF(AND(A143&lt;&gt;"",E143&lt;&gt;""),IF(I143="","⚠️ Enter Code",IF(IFERROR(VLOOKUP(H143,DB_Agents!$B:$I,8,0),"")=I143,IF(C143&gt;=E143,"Successful","Unsuccessful"),"🔒 BLOCKED — Wrong Code")),"—")</f>
        <v/>
      </c>
      <c r="K143" s="493">
        <f>IF(J143="Successful",TEXT(TODAY(),"YYYY-MM-DD")&amp;" Auto","—")</f>
        <v/>
      </c>
      <c r="L143" s="494" t="n"/>
    </row>
    <row r="144" ht="15" customHeight="1" s="341">
      <c r="A144" s="495" t="n"/>
      <c r="B144" s="382">
        <f>IF(A144="","",IFERROR(VLOOKUP(A144,DB_Customers!$A:$D,4,0),"❌ Account Not Found"))</f>
        <v/>
      </c>
      <c r="C144" s="496">
        <f>IF(A144="","",IFERROR(VLOOKUP(A144,DB_Customers!$A:$N,14,0),""))</f>
        <v/>
      </c>
      <c r="D144" s="497">
        <f>IF(A144="","",TODAY())</f>
        <v/>
      </c>
      <c r="E144" s="510" t="n"/>
      <c r="F144" s="382" t="n"/>
      <c r="G144" s="512">
        <f>IF(OR(A144="",E144=""),"",IF(C144="","",C144-E144))</f>
        <v/>
      </c>
      <c r="H144" s="384" t="inlineStr">
        <is>
          <t>Agent 06</t>
        </is>
      </c>
      <c r="I144" s="491" t="n"/>
      <c r="J144" s="499">
        <f>IF(AND(A144&lt;&gt;"",E144&lt;&gt;""),IF(I144="","⚠️ Enter Code",IF(IFERROR(VLOOKUP(H144,DB_Agents!$B:$I,8,0),"")=I144,IF(C144&gt;=E144,"Successful","Unsuccessful"),"🔒 BLOCKED — Wrong Code")),"—")</f>
        <v/>
      </c>
      <c r="K144" s="500">
        <f>IF(J144="Successful",TEXT(TODAY(),"YYYY-MM-DD")&amp;" Auto","—")</f>
        <v/>
      </c>
      <c r="L144" s="501" t="n"/>
    </row>
    <row r="145" ht="15" customHeight="1" s="341">
      <c r="A145" s="486" t="n"/>
      <c r="B145" s="378">
        <f>IF(A145="","",IFERROR(VLOOKUP(A145,DB_Customers!$A:$D,4,0),"❌ Account Not Found"))</f>
        <v/>
      </c>
      <c r="C145" s="487">
        <f>IF(A145="","",IFERROR(VLOOKUP(A145,DB_Customers!$A:$N,14,0),""))</f>
        <v/>
      </c>
      <c r="D145" s="488">
        <f>IF(A145="","",TODAY())</f>
        <v/>
      </c>
      <c r="E145" s="510" t="n"/>
      <c r="F145" s="378" t="n"/>
      <c r="G145" s="511">
        <f>IF(OR(A145="",E145=""),"",IF(C145="","",C145-E145))</f>
        <v/>
      </c>
      <c r="H145" s="380" t="inlineStr">
        <is>
          <t>Agent 06</t>
        </is>
      </c>
      <c r="I145" s="491" t="n"/>
      <c r="J145" s="492">
        <f>IF(AND(A145&lt;&gt;"",E145&lt;&gt;""),IF(I145="","⚠️ Enter Code",IF(IFERROR(VLOOKUP(H145,DB_Agents!$B:$I,8,0),"")=I145,IF(C145&gt;=E145,"Successful","Unsuccessful"),"🔒 BLOCKED — Wrong Code")),"—")</f>
        <v/>
      </c>
      <c r="K145" s="493">
        <f>IF(J145="Successful",TEXT(TODAY(),"YYYY-MM-DD")&amp;" Auto","—")</f>
        <v/>
      </c>
      <c r="L145" s="494" t="n"/>
    </row>
    <row r="146" ht="15" customHeight="1" s="341">
      <c r="A146" s="495" t="n"/>
      <c r="B146" s="382">
        <f>IF(A146="","",IFERROR(VLOOKUP(A146,DB_Customers!$A:$D,4,0),"❌ Account Not Found"))</f>
        <v/>
      </c>
      <c r="C146" s="496">
        <f>IF(A146="","",IFERROR(VLOOKUP(A146,DB_Customers!$A:$N,14,0),""))</f>
        <v/>
      </c>
      <c r="D146" s="497">
        <f>IF(A146="","",TODAY())</f>
        <v/>
      </c>
      <c r="E146" s="510" t="n"/>
      <c r="F146" s="382" t="n"/>
      <c r="G146" s="512">
        <f>IF(OR(A146="",E146=""),"",IF(C146="","",C146-E146))</f>
        <v/>
      </c>
      <c r="H146" s="384" t="inlineStr">
        <is>
          <t>Agent 06</t>
        </is>
      </c>
      <c r="I146" s="491" t="n"/>
      <c r="J146" s="499">
        <f>IF(AND(A146&lt;&gt;"",E146&lt;&gt;""),IF(I146="","⚠️ Enter Code",IF(IFERROR(VLOOKUP(H146,DB_Agents!$B:$I,8,0),"")=I146,IF(C146&gt;=E146,"Successful","Unsuccessful"),"🔒 BLOCKED — Wrong Code")),"—")</f>
        <v/>
      </c>
      <c r="K146" s="500">
        <f>IF(J146="Successful",TEXT(TODAY(),"YYYY-MM-DD")&amp;" Auto","—")</f>
        <v/>
      </c>
      <c r="L146" s="501" t="n"/>
    </row>
    <row r="147" ht="15" customHeight="1" s="341">
      <c r="A147" s="486" t="n"/>
      <c r="B147" s="378">
        <f>IF(A147="","",IFERROR(VLOOKUP(A147,DB_Customers!$A:$D,4,0),"❌ Account Not Found"))</f>
        <v/>
      </c>
      <c r="C147" s="487">
        <f>IF(A147="","",IFERROR(VLOOKUP(A147,DB_Customers!$A:$N,14,0),""))</f>
        <v/>
      </c>
      <c r="D147" s="488">
        <f>IF(A147="","",TODAY())</f>
        <v/>
      </c>
      <c r="E147" s="510" t="n"/>
      <c r="F147" s="378" t="n"/>
      <c r="G147" s="511">
        <f>IF(OR(A147="",E147=""),"",IF(C147="","",C147-E147))</f>
        <v/>
      </c>
      <c r="H147" s="380" t="inlineStr">
        <is>
          <t>Agent 06</t>
        </is>
      </c>
      <c r="I147" s="491" t="n"/>
      <c r="J147" s="492">
        <f>IF(AND(A147&lt;&gt;"",E147&lt;&gt;""),IF(I147="","⚠️ Enter Code",IF(IFERROR(VLOOKUP(H147,DB_Agents!$B:$I,8,0),"")=I147,IF(C147&gt;=E147,"Successful","Unsuccessful"),"🔒 BLOCKED — Wrong Code")),"—")</f>
        <v/>
      </c>
      <c r="K147" s="493">
        <f>IF(J147="Successful",TEXT(TODAY(),"YYYY-MM-DD")&amp;" Auto","—")</f>
        <v/>
      </c>
      <c r="L147" s="494" t="n"/>
    </row>
    <row r="148" ht="15" customHeight="1" s="341">
      <c r="A148" s="495" t="n"/>
      <c r="B148" s="382">
        <f>IF(A148="","",IFERROR(VLOOKUP(A148,DB_Customers!$A:$D,4,0),"❌ Account Not Found"))</f>
        <v/>
      </c>
      <c r="C148" s="496">
        <f>IF(A148="","",IFERROR(VLOOKUP(A148,DB_Customers!$A:$N,14,0),""))</f>
        <v/>
      </c>
      <c r="D148" s="497">
        <f>IF(A148="","",TODAY())</f>
        <v/>
      </c>
      <c r="E148" s="510" t="n"/>
      <c r="F148" s="382" t="n"/>
      <c r="G148" s="512">
        <f>IF(OR(A148="",E148=""),"",IF(C148="","",C148-E148))</f>
        <v/>
      </c>
      <c r="H148" s="384" t="inlineStr">
        <is>
          <t>Agent 06</t>
        </is>
      </c>
      <c r="I148" s="491" t="n"/>
      <c r="J148" s="499">
        <f>IF(AND(A148&lt;&gt;"",E148&lt;&gt;""),IF(I148="","⚠️ Enter Code",IF(IFERROR(VLOOKUP(H148,DB_Agents!$B:$I,8,0),"")=I148,IF(C148&gt;=E148,"Successful","Unsuccessful"),"🔒 BLOCKED — Wrong Code")),"—")</f>
        <v/>
      </c>
      <c r="K148" s="500">
        <f>IF(J148="Successful",TEXT(TODAY(),"YYYY-MM-DD")&amp;" Auto","—")</f>
        <v/>
      </c>
      <c r="L148" s="501" t="n"/>
    </row>
    <row r="149" ht="15" customHeight="1" s="341">
      <c r="A149" s="486" t="n"/>
      <c r="B149" s="378">
        <f>IF(A149="","",IFERROR(VLOOKUP(A149,DB_Customers!$A:$D,4,0),"❌ Account Not Found"))</f>
        <v/>
      </c>
      <c r="C149" s="487">
        <f>IF(A149="","",IFERROR(VLOOKUP(A149,DB_Customers!$A:$N,14,0),""))</f>
        <v/>
      </c>
      <c r="D149" s="488">
        <f>IF(A149="","",TODAY())</f>
        <v/>
      </c>
      <c r="E149" s="510" t="n"/>
      <c r="F149" s="378" t="n"/>
      <c r="G149" s="511">
        <f>IF(OR(A149="",E149=""),"",IF(C149="","",C149-E149))</f>
        <v/>
      </c>
      <c r="H149" s="380" t="inlineStr">
        <is>
          <t>Agent 06</t>
        </is>
      </c>
      <c r="I149" s="491" t="n"/>
      <c r="J149" s="492">
        <f>IF(AND(A149&lt;&gt;"",E149&lt;&gt;""),IF(I149="","⚠️ Enter Code",IF(IFERROR(VLOOKUP(H149,DB_Agents!$B:$I,8,0),"")=I149,IF(C149&gt;=E149,"Successful","Unsuccessful"),"🔒 BLOCKED — Wrong Code")),"—")</f>
        <v/>
      </c>
      <c r="K149" s="493">
        <f>IF(J149="Successful",TEXT(TODAY(),"YYYY-MM-DD")&amp;" Auto","—")</f>
        <v/>
      </c>
      <c r="L149" s="494" t="n"/>
    </row>
    <row r="150" ht="15" customHeight="1" s="341">
      <c r="A150" s="495" t="n"/>
      <c r="B150" s="382">
        <f>IF(A150="","",IFERROR(VLOOKUP(A150,DB_Customers!$A:$D,4,0),"❌ Account Not Found"))</f>
        <v/>
      </c>
      <c r="C150" s="496">
        <f>IF(A150="","",IFERROR(VLOOKUP(A150,DB_Customers!$A:$N,14,0),""))</f>
        <v/>
      </c>
      <c r="D150" s="497">
        <f>IF(A150="","",TODAY())</f>
        <v/>
      </c>
      <c r="E150" s="510" t="n"/>
      <c r="F150" s="382" t="n"/>
      <c r="G150" s="512">
        <f>IF(OR(A150="",E150=""),"",IF(C150="","",C150-E150))</f>
        <v/>
      </c>
      <c r="H150" s="384" t="inlineStr">
        <is>
          <t>Agent 06</t>
        </is>
      </c>
      <c r="I150" s="491" t="n"/>
      <c r="J150" s="499">
        <f>IF(AND(A150&lt;&gt;"",E150&lt;&gt;""),IF(I150="","⚠️ Enter Code",IF(IFERROR(VLOOKUP(H150,DB_Agents!$B:$I,8,0),"")=I150,IF(C150&gt;=E150,"Successful","Unsuccessful"),"🔒 BLOCKED — Wrong Code")),"—")</f>
        <v/>
      </c>
      <c r="K150" s="500">
        <f>IF(J150="Successful",TEXT(TODAY(),"YYYY-MM-DD")&amp;" Auto","—")</f>
        <v/>
      </c>
      <c r="L150" s="501" t="n"/>
    </row>
    <row r="151" ht="15" customHeight="1" s="341">
      <c r="A151" s="486" t="n"/>
      <c r="B151" s="378">
        <f>IF(A151="","",IFERROR(VLOOKUP(A151,DB_Customers!$A:$D,4,0),"❌ Account Not Found"))</f>
        <v/>
      </c>
      <c r="C151" s="487">
        <f>IF(A151="","",IFERROR(VLOOKUP(A151,DB_Customers!$A:$N,14,0),""))</f>
        <v/>
      </c>
      <c r="D151" s="488">
        <f>IF(A151="","",TODAY())</f>
        <v/>
      </c>
      <c r="E151" s="510" t="n"/>
      <c r="F151" s="378" t="n"/>
      <c r="G151" s="511">
        <f>IF(OR(A151="",E151=""),"",IF(C151="","",C151-E151))</f>
        <v/>
      </c>
      <c r="H151" s="380" t="inlineStr">
        <is>
          <t>Agent 06</t>
        </is>
      </c>
      <c r="I151" s="491" t="n"/>
      <c r="J151" s="492">
        <f>IF(AND(A151&lt;&gt;"",E151&lt;&gt;""),IF(I151="","⚠️ Enter Code",IF(IFERROR(VLOOKUP(H151,DB_Agents!$B:$I,8,0),"")=I151,IF(C151&gt;=E151,"Successful","Unsuccessful"),"🔒 BLOCKED — Wrong Code")),"—")</f>
        <v/>
      </c>
      <c r="K151" s="493">
        <f>IF(J151="Successful",TEXT(TODAY(),"YYYY-MM-DD")&amp;" Auto","—")</f>
        <v/>
      </c>
      <c r="L151" s="494" t="n"/>
    </row>
    <row r="152" ht="15" customHeight="1" s="341">
      <c r="A152" s="495" t="n"/>
      <c r="B152" s="382">
        <f>IF(A152="","",IFERROR(VLOOKUP(A152,DB_Customers!$A:$D,4,0),"❌ Account Not Found"))</f>
        <v/>
      </c>
      <c r="C152" s="496">
        <f>IF(A152="","",IFERROR(VLOOKUP(A152,DB_Customers!$A:$N,14,0),""))</f>
        <v/>
      </c>
      <c r="D152" s="497">
        <f>IF(A152="","",TODAY())</f>
        <v/>
      </c>
      <c r="E152" s="510" t="n"/>
      <c r="F152" s="382" t="n"/>
      <c r="G152" s="512">
        <f>IF(OR(A152="",E152=""),"",IF(C152="","",C152-E152))</f>
        <v/>
      </c>
      <c r="H152" s="384" t="inlineStr">
        <is>
          <t>Agent 06</t>
        </is>
      </c>
      <c r="I152" s="491" t="n"/>
      <c r="J152" s="499">
        <f>IF(AND(A152&lt;&gt;"",E152&lt;&gt;""),IF(I152="","⚠️ Enter Code",IF(IFERROR(VLOOKUP(H152,DB_Agents!$B:$I,8,0),"")=I152,IF(C152&gt;=E152,"Successful","Unsuccessful"),"🔒 BLOCKED — Wrong Code")),"—")</f>
        <v/>
      </c>
      <c r="K152" s="500">
        <f>IF(J152="Successful",TEXT(TODAY(),"YYYY-MM-DD")&amp;" Auto","—")</f>
        <v/>
      </c>
      <c r="L152" s="501" t="n"/>
    </row>
    <row r="153" ht="15" customHeight="1" s="341">
      <c r="A153" s="486" t="n"/>
      <c r="B153" s="378">
        <f>IF(A153="","",IFERROR(VLOOKUP(A153,DB_Customers!$A:$D,4,0),"❌ Account Not Found"))</f>
        <v/>
      </c>
      <c r="C153" s="487">
        <f>IF(A153="","",IFERROR(VLOOKUP(A153,DB_Customers!$A:$N,14,0),""))</f>
        <v/>
      </c>
      <c r="D153" s="488">
        <f>IF(A153="","",TODAY())</f>
        <v/>
      </c>
      <c r="E153" s="510" t="n"/>
      <c r="F153" s="378" t="n"/>
      <c r="G153" s="511">
        <f>IF(OR(A153="",E153=""),"",IF(C153="","",C153-E153))</f>
        <v/>
      </c>
      <c r="H153" s="380" t="inlineStr">
        <is>
          <t>Agent 06</t>
        </is>
      </c>
      <c r="I153" s="491" t="n"/>
      <c r="J153" s="492">
        <f>IF(AND(A153&lt;&gt;"",E153&lt;&gt;""),IF(I153="","⚠️ Enter Code",IF(IFERROR(VLOOKUP(H153,DB_Agents!$B:$I,8,0),"")=I153,IF(C153&gt;=E153,"Successful","Unsuccessful"),"🔒 BLOCKED — Wrong Code")),"—")</f>
        <v/>
      </c>
      <c r="K153" s="493">
        <f>IF(J153="Successful",TEXT(TODAY(),"YYYY-MM-DD")&amp;" Auto","—")</f>
        <v/>
      </c>
      <c r="L153" s="494" t="n"/>
    </row>
    <row r="154" ht="15" customHeight="1" s="341">
      <c r="A154" s="495" t="n"/>
      <c r="B154" s="382">
        <f>IF(A154="","",IFERROR(VLOOKUP(A154,DB_Customers!$A:$D,4,0),"❌ Account Not Found"))</f>
        <v/>
      </c>
      <c r="C154" s="496">
        <f>IF(A154="","",IFERROR(VLOOKUP(A154,DB_Customers!$A:$N,14,0),""))</f>
        <v/>
      </c>
      <c r="D154" s="497">
        <f>IF(A154="","",TODAY())</f>
        <v/>
      </c>
      <c r="E154" s="510" t="n"/>
      <c r="F154" s="382" t="n"/>
      <c r="G154" s="512">
        <f>IF(OR(A154="",E154=""),"",IF(C154="","",C154-E154))</f>
        <v/>
      </c>
      <c r="H154" s="384" t="inlineStr">
        <is>
          <t>Agent 06</t>
        </is>
      </c>
      <c r="I154" s="491" t="n"/>
      <c r="J154" s="499">
        <f>IF(AND(A154&lt;&gt;"",E154&lt;&gt;""),IF(I154="","⚠️ Enter Code",IF(IFERROR(VLOOKUP(H154,DB_Agents!$B:$I,8,0),"")=I154,IF(C154&gt;=E154,"Successful","Unsuccessful"),"🔒 BLOCKED — Wrong Code")),"—")</f>
        <v/>
      </c>
      <c r="K154" s="500">
        <f>IF(J154="Successful",TEXT(TODAY(),"YYYY-MM-DD")&amp;" Auto","—")</f>
        <v/>
      </c>
      <c r="L154" s="501" t="n"/>
    </row>
    <row r="155" ht="15" customHeight="1" s="341">
      <c r="A155" s="486" t="n"/>
      <c r="B155" s="378">
        <f>IF(A155="","",IFERROR(VLOOKUP(A155,DB_Customers!$A:$D,4,0),"❌ Account Not Found"))</f>
        <v/>
      </c>
      <c r="C155" s="487">
        <f>IF(A155="","",IFERROR(VLOOKUP(A155,DB_Customers!$A:$N,14,0),""))</f>
        <v/>
      </c>
      <c r="D155" s="488">
        <f>IF(A155="","",TODAY())</f>
        <v/>
      </c>
      <c r="E155" s="510" t="n"/>
      <c r="F155" s="378" t="n"/>
      <c r="G155" s="511">
        <f>IF(OR(A155="",E155=""),"",IF(C155="","",C155-E155))</f>
        <v/>
      </c>
      <c r="H155" s="380" t="inlineStr">
        <is>
          <t>Agent 06</t>
        </is>
      </c>
      <c r="I155" s="491" t="n"/>
      <c r="J155" s="492">
        <f>IF(AND(A155&lt;&gt;"",E155&lt;&gt;""),IF(I155="","⚠️ Enter Code",IF(IFERROR(VLOOKUP(H155,DB_Agents!$B:$I,8,0),"")=I155,IF(C155&gt;=E155,"Successful","Unsuccessful"),"🔒 BLOCKED — Wrong Code")),"—")</f>
        <v/>
      </c>
      <c r="K155" s="493">
        <f>IF(J155="Successful",TEXT(TODAY(),"YYYY-MM-DD")&amp;" Auto","—")</f>
        <v/>
      </c>
      <c r="L155" s="494" t="n"/>
    </row>
    <row r="156" ht="15" customHeight="1" s="341">
      <c r="A156" s="495" t="n"/>
      <c r="B156" s="382">
        <f>IF(A156="","",IFERROR(VLOOKUP(A156,DB_Customers!$A:$D,4,0),"❌ Account Not Found"))</f>
        <v/>
      </c>
      <c r="C156" s="496">
        <f>IF(A156="","",IFERROR(VLOOKUP(A156,DB_Customers!$A:$N,14,0),""))</f>
        <v/>
      </c>
      <c r="D156" s="497">
        <f>IF(A156="","",TODAY())</f>
        <v/>
      </c>
      <c r="E156" s="510" t="n"/>
      <c r="F156" s="382" t="n"/>
      <c r="G156" s="512">
        <f>IF(OR(A156="",E156=""),"",IF(C156="","",C156-E156))</f>
        <v/>
      </c>
      <c r="H156" s="384" t="inlineStr">
        <is>
          <t>Agent 06</t>
        </is>
      </c>
      <c r="I156" s="491" t="n"/>
      <c r="J156" s="499">
        <f>IF(AND(A156&lt;&gt;"",E156&lt;&gt;""),IF(I156="","⚠️ Enter Code",IF(IFERROR(VLOOKUP(H156,DB_Agents!$B:$I,8,0),"")=I156,IF(C156&gt;=E156,"Successful","Unsuccessful"),"🔒 BLOCKED — Wrong Code")),"—")</f>
        <v/>
      </c>
      <c r="K156" s="500">
        <f>IF(J156="Successful",TEXT(TODAY(),"YYYY-MM-DD")&amp;" Auto","—")</f>
        <v/>
      </c>
      <c r="L156" s="501" t="n"/>
    </row>
    <row r="157" ht="15" customHeight="1" s="341">
      <c r="A157" s="486" t="n"/>
      <c r="B157" s="378">
        <f>IF(A157="","",IFERROR(VLOOKUP(A157,DB_Customers!$A:$D,4,0),"❌ Account Not Found"))</f>
        <v/>
      </c>
      <c r="C157" s="487">
        <f>IF(A157="","",IFERROR(VLOOKUP(A157,DB_Customers!$A:$N,14,0),""))</f>
        <v/>
      </c>
      <c r="D157" s="488">
        <f>IF(A157="","",TODAY())</f>
        <v/>
      </c>
      <c r="E157" s="510" t="n"/>
      <c r="F157" s="378" t="n"/>
      <c r="G157" s="511">
        <f>IF(OR(A157="",E157=""),"",IF(C157="","",C157-E157))</f>
        <v/>
      </c>
      <c r="H157" s="380" t="inlineStr">
        <is>
          <t>Agent 06</t>
        </is>
      </c>
      <c r="I157" s="491" t="n"/>
      <c r="J157" s="492">
        <f>IF(AND(A157&lt;&gt;"",E157&lt;&gt;""),IF(I157="","⚠️ Enter Code",IF(IFERROR(VLOOKUP(H157,DB_Agents!$B:$I,8,0),"")=I157,IF(C157&gt;=E157,"Successful","Unsuccessful"),"🔒 BLOCKED — Wrong Code")),"—")</f>
        <v/>
      </c>
      <c r="K157" s="493">
        <f>IF(J157="Successful",TEXT(TODAY(),"YYYY-MM-DD")&amp;" Auto","—")</f>
        <v/>
      </c>
      <c r="L157" s="494" t="n"/>
    </row>
    <row r="158" ht="15" customHeight="1" s="341">
      <c r="A158" s="495" t="n"/>
      <c r="B158" s="382">
        <f>IF(A158="","",IFERROR(VLOOKUP(A158,DB_Customers!$A:$D,4,0),"❌ Account Not Found"))</f>
        <v/>
      </c>
      <c r="C158" s="496">
        <f>IF(A158="","",IFERROR(VLOOKUP(A158,DB_Customers!$A:$N,14,0),""))</f>
        <v/>
      </c>
      <c r="D158" s="497">
        <f>IF(A158="","",TODAY())</f>
        <v/>
      </c>
      <c r="E158" s="510" t="n"/>
      <c r="F158" s="382" t="n"/>
      <c r="G158" s="512">
        <f>IF(OR(A158="",E158=""),"",IF(C158="","",C158-E158))</f>
        <v/>
      </c>
      <c r="H158" s="384" t="inlineStr">
        <is>
          <t>Agent 06</t>
        </is>
      </c>
      <c r="I158" s="491" t="n"/>
      <c r="J158" s="499">
        <f>IF(AND(A158&lt;&gt;"",E158&lt;&gt;""),IF(I158="","⚠️ Enter Code",IF(IFERROR(VLOOKUP(H158,DB_Agents!$B:$I,8,0),"")=I158,IF(C158&gt;=E158,"Successful","Unsuccessful"),"🔒 BLOCKED — Wrong Code")),"—")</f>
        <v/>
      </c>
      <c r="K158" s="500">
        <f>IF(J158="Successful",TEXT(TODAY(),"YYYY-MM-DD")&amp;" Auto","—")</f>
        <v/>
      </c>
      <c r="L158" s="501" t="n"/>
    </row>
    <row r="159" ht="15" customHeight="1" s="341">
      <c r="A159" s="486" t="n"/>
      <c r="B159" s="378">
        <f>IF(A159="","",IFERROR(VLOOKUP(A159,DB_Customers!$A:$D,4,0),"❌ Account Not Found"))</f>
        <v/>
      </c>
      <c r="C159" s="487">
        <f>IF(A159="","",IFERROR(VLOOKUP(A159,DB_Customers!$A:$N,14,0),""))</f>
        <v/>
      </c>
      <c r="D159" s="488">
        <f>IF(A159="","",TODAY())</f>
        <v/>
      </c>
      <c r="E159" s="510" t="n"/>
      <c r="F159" s="378" t="n"/>
      <c r="G159" s="511">
        <f>IF(OR(A159="",E159=""),"",IF(C159="","",C159-E159))</f>
        <v/>
      </c>
      <c r="H159" s="380" t="inlineStr">
        <is>
          <t>Agent 06</t>
        </is>
      </c>
      <c r="I159" s="491" t="n"/>
      <c r="J159" s="492">
        <f>IF(AND(A159&lt;&gt;"",E159&lt;&gt;""),IF(I159="","⚠️ Enter Code",IF(IFERROR(VLOOKUP(H159,DB_Agents!$B:$I,8,0),"")=I159,IF(C159&gt;=E159,"Successful","Unsuccessful"),"🔒 BLOCKED — Wrong Code")),"—")</f>
        <v/>
      </c>
      <c r="K159" s="493">
        <f>IF(J159="Successful",TEXT(TODAY(),"YYYY-MM-DD")&amp;" Auto","—")</f>
        <v/>
      </c>
      <c r="L159" s="494" t="n"/>
    </row>
    <row r="160" ht="15" customHeight="1" s="341">
      <c r="A160" s="495" t="n"/>
      <c r="B160" s="382">
        <f>IF(A160="","",IFERROR(VLOOKUP(A160,DB_Customers!$A:$D,4,0),"❌ Account Not Found"))</f>
        <v/>
      </c>
      <c r="C160" s="496">
        <f>IF(A160="","",IFERROR(VLOOKUP(A160,DB_Customers!$A:$N,14,0),""))</f>
        <v/>
      </c>
      <c r="D160" s="497">
        <f>IF(A160="","",TODAY())</f>
        <v/>
      </c>
      <c r="E160" s="510" t="n"/>
      <c r="F160" s="382" t="n"/>
      <c r="G160" s="512">
        <f>IF(OR(A160="",E160=""),"",IF(C160="","",C160-E160))</f>
        <v/>
      </c>
      <c r="H160" s="384" t="inlineStr">
        <is>
          <t>Agent 06</t>
        </is>
      </c>
      <c r="I160" s="491" t="n"/>
      <c r="J160" s="499">
        <f>IF(AND(A160&lt;&gt;"",E160&lt;&gt;""),IF(I160="","⚠️ Enter Code",IF(IFERROR(VLOOKUP(H160,DB_Agents!$B:$I,8,0),"")=I160,IF(C160&gt;=E160,"Successful","Unsuccessful"),"🔒 BLOCKED — Wrong Code")),"—")</f>
        <v/>
      </c>
      <c r="K160" s="500">
        <f>IF(J160="Successful",TEXT(TODAY(),"YYYY-MM-DD")&amp;" Auto","—")</f>
        <v/>
      </c>
      <c r="L160" s="501" t="n"/>
    </row>
    <row r="161" ht="15" customHeight="1" s="341">
      <c r="A161" s="486" t="n"/>
      <c r="B161" s="378">
        <f>IF(A161="","",IFERROR(VLOOKUP(A161,DB_Customers!$A:$D,4,0),"❌ Account Not Found"))</f>
        <v/>
      </c>
      <c r="C161" s="487">
        <f>IF(A161="","",IFERROR(VLOOKUP(A161,DB_Customers!$A:$N,14,0),""))</f>
        <v/>
      </c>
      <c r="D161" s="488">
        <f>IF(A161="","",TODAY())</f>
        <v/>
      </c>
      <c r="E161" s="510" t="n"/>
      <c r="F161" s="378" t="n"/>
      <c r="G161" s="511">
        <f>IF(OR(A161="",E161=""),"",IF(C161="","",C161-E161))</f>
        <v/>
      </c>
      <c r="H161" s="380" t="inlineStr">
        <is>
          <t>Agent 06</t>
        </is>
      </c>
      <c r="I161" s="491" t="n"/>
      <c r="J161" s="492">
        <f>IF(AND(A161&lt;&gt;"",E161&lt;&gt;""),IF(I161="","⚠️ Enter Code",IF(IFERROR(VLOOKUP(H161,DB_Agents!$B:$I,8,0),"")=I161,IF(C161&gt;=E161,"Successful","Unsuccessful"),"🔒 BLOCKED — Wrong Code")),"—")</f>
        <v/>
      </c>
      <c r="K161" s="493">
        <f>IF(J161="Successful",TEXT(TODAY(),"YYYY-MM-DD")&amp;" Auto","—")</f>
        <v/>
      </c>
      <c r="L161" s="494" t="n"/>
    </row>
    <row r="162" ht="15" customHeight="1" s="341">
      <c r="A162" s="495" t="n"/>
      <c r="B162" s="382">
        <f>IF(A162="","",IFERROR(VLOOKUP(A162,DB_Customers!$A:$D,4,0),"❌ Account Not Found"))</f>
        <v/>
      </c>
      <c r="C162" s="496">
        <f>IF(A162="","",IFERROR(VLOOKUP(A162,DB_Customers!$A:$N,14,0),""))</f>
        <v/>
      </c>
      <c r="D162" s="497">
        <f>IF(A162="","",TODAY())</f>
        <v/>
      </c>
      <c r="E162" s="510" t="n"/>
      <c r="F162" s="382" t="n"/>
      <c r="G162" s="512">
        <f>IF(OR(A162="",E162=""),"",IF(C162="","",C162-E162))</f>
        <v/>
      </c>
      <c r="H162" s="384" t="inlineStr">
        <is>
          <t>Agent 06</t>
        </is>
      </c>
      <c r="I162" s="491" t="n"/>
      <c r="J162" s="499">
        <f>IF(AND(A162&lt;&gt;"",E162&lt;&gt;""),IF(I162="","⚠️ Enter Code",IF(IFERROR(VLOOKUP(H162,DB_Agents!$B:$I,8,0),"")=I162,IF(C162&gt;=E162,"Successful","Unsuccessful"),"🔒 BLOCKED — Wrong Code")),"—")</f>
        <v/>
      </c>
      <c r="K162" s="500">
        <f>IF(J162="Successful",TEXT(TODAY(),"YYYY-MM-DD")&amp;" Auto","—")</f>
        <v/>
      </c>
      <c r="L162" s="501" t="n"/>
    </row>
    <row r="163" ht="15" customHeight="1" s="341">
      <c r="A163" s="486" t="n"/>
      <c r="B163" s="378">
        <f>IF(A163="","",IFERROR(VLOOKUP(A163,DB_Customers!$A:$D,4,0),"❌ Account Not Found"))</f>
        <v/>
      </c>
      <c r="C163" s="487">
        <f>IF(A163="","",IFERROR(VLOOKUP(A163,DB_Customers!$A:$N,14,0),""))</f>
        <v/>
      </c>
      <c r="D163" s="488">
        <f>IF(A163="","",TODAY())</f>
        <v/>
      </c>
      <c r="E163" s="510" t="n"/>
      <c r="F163" s="378" t="n"/>
      <c r="G163" s="511">
        <f>IF(OR(A163="",E163=""),"",IF(C163="","",C163-E163))</f>
        <v/>
      </c>
      <c r="H163" s="380" t="inlineStr">
        <is>
          <t>Agent 06</t>
        </is>
      </c>
      <c r="I163" s="491" t="n"/>
      <c r="J163" s="492">
        <f>IF(AND(A163&lt;&gt;"",E163&lt;&gt;""),IF(I163="","⚠️ Enter Code",IF(IFERROR(VLOOKUP(H163,DB_Agents!$B:$I,8,0),"")=I163,IF(C163&gt;=E163,"Successful","Unsuccessful"),"🔒 BLOCKED — Wrong Code")),"—")</f>
        <v/>
      </c>
      <c r="K163" s="493">
        <f>IF(J163="Successful",TEXT(TODAY(),"YYYY-MM-DD")&amp;" Auto","—")</f>
        <v/>
      </c>
      <c r="L163" s="494" t="n"/>
    </row>
    <row r="164" ht="15" customHeight="1" s="341">
      <c r="A164" s="495" t="n"/>
      <c r="B164" s="382">
        <f>IF(A164="","",IFERROR(VLOOKUP(A164,DB_Customers!$A:$D,4,0),"❌ Account Not Found"))</f>
        <v/>
      </c>
      <c r="C164" s="496">
        <f>IF(A164="","",IFERROR(VLOOKUP(A164,DB_Customers!$A:$N,14,0),""))</f>
        <v/>
      </c>
      <c r="D164" s="497">
        <f>IF(A164="","",TODAY())</f>
        <v/>
      </c>
      <c r="E164" s="510" t="n"/>
      <c r="F164" s="382" t="n"/>
      <c r="G164" s="512">
        <f>IF(OR(A164="",E164=""),"",IF(C164="","",C164-E164))</f>
        <v/>
      </c>
      <c r="H164" s="384" t="inlineStr">
        <is>
          <t>Agent 06</t>
        </is>
      </c>
      <c r="I164" s="491" t="n"/>
      <c r="J164" s="499">
        <f>IF(AND(A164&lt;&gt;"",E164&lt;&gt;""),IF(I164="","⚠️ Enter Code",IF(IFERROR(VLOOKUP(H164,DB_Agents!$B:$I,8,0),"")=I164,IF(C164&gt;=E164,"Successful","Unsuccessful"),"🔒 BLOCKED — Wrong Code")),"—")</f>
        <v/>
      </c>
      <c r="K164" s="500">
        <f>IF(J164="Successful",TEXT(TODAY(),"YYYY-MM-DD")&amp;" Auto","—")</f>
        <v/>
      </c>
      <c r="L164" s="501" t="n"/>
    </row>
    <row r="165" ht="15" customHeight="1" s="341">
      <c r="A165" s="486" t="n"/>
      <c r="B165" s="378">
        <f>IF(A165="","",IFERROR(VLOOKUP(A165,DB_Customers!$A:$D,4,0),"❌ Account Not Found"))</f>
        <v/>
      </c>
      <c r="C165" s="487">
        <f>IF(A165="","",IFERROR(VLOOKUP(A165,DB_Customers!$A:$N,14,0),""))</f>
        <v/>
      </c>
      <c r="D165" s="488">
        <f>IF(A165="","",TODAY())</f>
        <v/>
      </c>
      <c r="E165" s="510" t="n"/>
      <c r="F165" s="378" t="n"/>
      <c r="G165" s="511">
        <f>IF(OR(A165="",E165=""),"",IF(C165="","",C165-E165))</f>
        <v/>
      </c>
      <c r="H165" s="380" t="inlineStr">
        <is>
          <t>Agent 06</t>
        </is>
      </c>
      <c r="I165" s="491" t="n"/>
      <c r="J165" s="492">
        <f>IF(AND(A165&lt;&gt;"",E165&lt;&gt;""),IF(I165="","⚠️ Enter Code",IF(IFERROR(VLOOKUP(H165,DB_Agents!$B:$I,8,0),"")=I165,IF(C165&gt;=E165,"Successful","Unsuccessful"),"🔒 BLOCKED — Wrong Code")),"—")</f>
        <v/>
      </c>
      <c r="K165" s="493">
        <f>IF(J165="Successful",TEXT(TODAY(),"YYYY-MM-DD")&amp;" Auto","—")</f>
        <v/>
      </c>
      <c r="L165" s="494" t="n"/>
    </row>
    <row r="166" ht="15" customHeight="1" s="341">
      <c r="A166" s="495" t="n"/>
      <c r="B166" s="382">
        <f>IF(A166="","",IFERROR(VLOOKUP(A166,DB_Customers!$A:$D,4,0),"❌ Account Not Found"))</f>
        <v/>
      </c>
      <c r="C166" s="496">
        <f>IF(A166="","",IFERROR(VLOOKUP(A166,DB_Customers!$A:$N,14,0),""))</f>
        <v/>
      </c>
      <c r="D166" s="497">
        <f>IF(A166="","",TODAY())</f>
        <v/>
      </c>
      <c r="E166" s="510" t="n"/>
      <c r="F166" s="382" t="n"/>
      <c r="G166" s="512">
        <f>IF(OR(A166="",E166=""),"",IF(C166="","",C166-E166))</f>
        <v/>
      </c>
      <c r="H166" s="384" t="inlineStr">
        <is>
          <t>Agent 06</t>
        </is>
      </c>
      <c r="I166" s="491" t="n"/>
      <c r="J166" s="499">
        <f>IF(AND(A166&lt;&gt;"",E166&lt;&gt;""),IF(I166="","⚠️ Enter Code",IF(IFERROR(VLOOKUP(H166,DB_Agents!$B:$I,8,0),"")=I166,IF(C166&gt;=E166,"Successful","Unsuccessful"),"🔒 BLOCKED — Wrong Code")),"—")</f>
        <v/>
      </c>
      <c r="K166" s="500">
        <f>IF(J166="Successful",TEXT(TODAY(),"YYYY-MM-DD")&amp;" Auto","—")</f>
        <v/>
      </c>
      <c r="L166" s="501" t="n"/>
    </row>
    <row r="167" ht="15" customHeight="1" s="341">
      <c r="A167" s="486" t="n"/>
      <c r="B167" s="378">
        <f>IF(A167="","",IFERROR(VLOOKUP(A167,DB_Customers!$A:$D,4,0),"❌ Account Not Found"))</f>
        <v/>
      </c>
      <c r="C167" s="487">
        <f>IF(A167="","",IFERROR(VLOOKUP(A167,DB_Customers!$A:$N,14,0),""))</f>
        <v/>
      </c>
      <c r="D167" s="488">
        <f>IF(A167="","",TODAY())</f>
        <v/>
      </c>
      <c r="E167" s="510" t="n"/>
      <c r="F167" s="378" t="n"/>
      <c r="G167" s="511">
        <f>IF(OR(A167="",E167=""),"",IF(C167="","",C167-E167))</f>
        <v/>
      </c>
      <c r="H167" s="380" t="inlineStr">
        <is>
          <t>Agent 06</t>
        </is>
      </c>
      <c r="I167" s="491" t="n"/>
      <c r="J167" s="492">
        <f>IF(AND(A167&lt;&gt;"",E167&lt;&gt;""),IF(I167="","⚠️ Enter Code",IF(IFERROR(VLOOKUP(H167,DB_Agents!$B:$I,8,0),"")=I167,IF(C167&gt;=E167,"Successful","Unsuccessful"),"🔒 BLOCKED — Wrong Code")),"—")</f>
        <v/>
      </c>
      <c r="K167" s="493">
        <f>IF(J167="Successful",TEXT(TODAY(),"YYYY-MM-DD")&amp;" Auto","—")</f>
        <v/>
      </c>
      <c r="L167" s="494" t="n"/>
    </row>
    <row r="168" ht="15" customHeight="1" s="341">
      <c r="A168" s="495" t="n"/>
      <c r="B168" s="382">
        <f>IF(A168="","",IFERROR(VLOOKUP(A168,DB_Customers!$A:$D,4,0),"❌ Account Not Found"))</f>
        <v/>
      </c>
      <c r="C168" s="496">
        <f>IF(A168="","",IFERROR(VLOOKUP(A168,DB_Customers!$A:$N,14,0),""))</f>
        <v/>
      </c>
      <c r="D168" s="497">
        <f>IF(A168="","",TODAY())</f>
        <v/>
      </c>
      <c r="E168" s="510" t="n"/>
      <c r="F168" s="382" t="n"/>
      <c r="G168" s="512">
        <f>IF(OR(A168="",E168=""),"",IF(C168="","",C168-E168))</f>
        <v/>
      </c>
      <c r="H168" s="384" t="inlineStr">
        <is>
          <t>Agent 06</t>
        </is>
      </c>
      <c r="I168" s="491" t="n"/>
      <c r="J168" s="499">
        <f>IF(AND(A168&lt;&gt;"",E168&lt;&gt;""),IF(I168="","⚠️ Enter Code",IF(IFERROR(VLOOKUP(H168,DB_Agents!$B:$I,8,0),"")=I168,IF(C168&gt;=E168,"Successful","Unsuccessful"),"🔒 BLOCKED — Wrong Code")),"—")</f>
        <v/>
      </c>
      <c r="K168" s="500">
        <f>IF(J168="Successful",TEXT(TODAY(),"YYYY-MM-DD")&amp;" Auto","—")</f>
        <v/>
      </c>
      <c r="L168" s="501" t="n"/>
    </row>
    <row r="169" ht="15" customHeight="1" s="341">
      <c r="A169" s="486" t="n"/>
      <c r="B169" s="378">
        <f>IF(A169="","",IFERROR(VLOOKUP(A169,DB_Customers!$A:$D,4,0),"❌ Account Not Found"))</f>
        <v/>
      </c>
      <c r="C169" s="487">
        <f>IF(A169="","",IFERROR(VLOOKUP(A169,DB_Customers!$A:$N,14,0),""))</f>
        <v/>
      </c>
      <c r="D169" s="488">
        <f>IF(A169="","",TODAY())</f>
        <v/>
      </c>
      <c r="E169" s="510" t="n"/>
      <c r="F169" s="378" t="n"/>
      <c r="G169" s="511">
        <f>IF(OR(A169="",E169=""),"",IF(C169="","",C169-E169))</f>
        <v/>
      </c>
      <c r="H169" s="380" t="inlineStr">
        <is>
          <t>Agent 06</t>
        </is>
      </c>
      <c r="I169" s="491" t="n"/>
      <c r="J169" s="492">
        <f>IF(AND(A169&lt;&gt;"",E169&lt;&gt;""),IF(I169="","⚠️ Enter Code",IF(IFERROR(VLOOKUP(H169,DB_Agents!$B:$I,8,0),"")=I169,IF(C169&gt;=E169,"Successful","Unsuccessful"),"🔒 BLOCKED — Wrong Code")),"—")</f>
        <v/>
      </c>
      <c r="K169" s="493">
        <f>IF(J169="Successful",TEXT(TODAY(),"YYYY-MM-DD")&amp;" Auto","—")</f>
        <v/>
      </c>
      <c r="L169" s="494" t="n"/>
    </row>
    <row r="170" ht="15" customHeight="1" s="341">
      <c r="A170" s="495" t="n"/>
      <c r="B170" s="382">
        <f>IF(A170="","",IFERROR(VLOOKUP(A170,DB_Customers!$A:$D,4,0),"❌ Account Not Found"))</f>
        <v/>
      </c>
      <c r="C170" s="496">
        <f>IF(A170="","",IFERROR(VLOOKUP(A170,DB_Customers!$A:$N,14,0),""))</f>
        <v/>
      </c>
      <c r="D170" s="497">
        <f>IF(A170="","",TODAY())</f>
        <v/>
      </c>
      <c r="E170" s="510" t="n"/>
      <c r="F170" s="382" t="n"/>
      <c r="G170" s="512">
        <f>IF(OR(A170="",E170=""),"",IF(C170="","",C170-E170))</f>
        <v/>
      </c>
      <c r="H170" s="384" t="inlineStr">
        <is>
          <t>Agent 06</t>
        </is>
      </c>
      <c r="I170" s="491" t="n"/>
      <c r="J170" s="499">
        <f>IF(AND(A170&lt;&gt;"",E170&lt;&gt;""),IF(I170="","⚠️ Enter Code",IF(IFERROR(VLOOKUP(H170,DB_Agents!$B:$I,8,0),"")=I170,IF(C170&gt;=E170,"Successful","Unsuccessful"),"🔒 BLOCKED — Wrong Code")),"—")</f>
        <v/>
      </c>
      <c r="K170" s="500">
        <f>IF(J170="Successful",TEXT(TODAY(),"YYYY-MM-DD")&amp;" Auto","—")</f>
        <v/>
      </c>
      <c r="L170" s="501" t="n"/>
    </row>
    <row r="171" ht="15" customHeight="1" s="341">
      <c r="A171" s="486" t="n"/>
      <c r="B171" s="378">
        <f>IF(A171="","",IFERROR(VLOOKUP(A171,DB_Customers!$A:$D,4,0),"❌ Account Not Found"))</f>
        <v/>
      </c>
      <c r="C171" s="487">
        <f>IF(A171="","",IFERROR(VLOOKUP(A171,DB_Customers!$A:$N,14,0),""))</f>
        <v/>
      </c>
      <c r="D171" s="488">
        <f>IF(A171="","",TODAY())</f>
        <v/>
      </c>
      <c r="E171" s="510" t="n"/>
      <c r="F171" s="378" t="n"/>
      <c r="G171" s="511">
        <f>IF(OR(A171="",E171=""),"",IF(C171="","",C171-E171))</f>
        <v/>
      </c>
      <c r="H171" s="380" t="inlineStr">
        <is>
          <t>Agent 06</t>
        </is>
      </c>
      <c r="I171" s="491" t="n"/>
      <c r="J171" s="492">
        <f>IF(AND(A171&lt;&gt;"",E171&lt;&gt;""),IF(I171="","⚠️ Enter Code",IF(IFERROR(VLOOKUP(H171,DB_Agents!$B:$I,8,0),"")=I171,IF(C171&gt;=E171,"Successful","Unsuccessful"),"🔒 BLOCKED — Wrong Code")),"—")</f>
        <v/>
      </c>
      <c r="K171" s="493">
        <f>IF(J171="Successful",TEXT(TODAY(),"YYYY-MM-DD")&amp;" Auto","—")</f>
        <v/>
      </c>
      <c r="L171" s="494" t="n"/>
    </row>
    <row r="172" ht="15" customHeight="1" s="341">
      <c r="A172" s="495" t="n"/>
      <c r="B172" s="382">
        <f>IF(A172="","",IFERROR(VLOOKUP(A172,DB_Customers!$A:$D,4,0),"❌ Account Not Found"))</f>
        <v/>
      </c>
      <c r="C172" s="496">
        <f>IF(A172="","",IFERROR(VLOOKUP(A172,DB_Customers!$A:$N,14,0),""))</f>
        <v/>
      </c>
      <c r="D172" s="497">
        <f>IF(A172="","",TODAY())</f>
        <v/>
      </c>
      <c r="E172" s="510" t="n"/>
      <c r="F172" s="382" t="n"/>
      <c r="G172" s="512">
        <f>IF(OR(A172="",E172=""),"",IF(C172="","",C172-E172))</f>
        <v/>
      </c>
      <c r="H172" s="384" t="inlineStr">
        <is>
          <t>Agent 06</t>
        </is>
      </c>
      <c r="I172" s="491" t="n"/>
      <c r="J172" s="499">
        <f>IF(AND(A172&lt;&gt;"",E172&lt;&gt;""),IF(I172="","⚠️ Enter Code",IF(IFERROR(VLOOKUP(H172,DB_Agents!$B:$I,8,0),"")=I172,IF(C172&gt;=E172,"Successful","Unsuccessful"),"🔒 BLOCKED — Wrong Code")),"—")</f>
        <v/>
      </c>
      <c r="K172" s="500">
        <f>IF(J172="Successful",TEXT(TODAY(),"YYYY-MM-DD")&amp;" Auto","—")</f>
        <v/>
      </c>
      <c r="L172" s="501" t="n"/>
    </row>
    <row r="173" ht="15" customHeight="1" s="341">
      <c r="A173" s="486" t="n"/>
      <c r="B173" s="378">
        <f>IF(A173="","",IFERROR(VLOOKUP(A173,DB_Customers!$A:$D,4,0),"❌ Account Not Found"))</f>
        <v/>
      </c>
      <c r="C173" s="487">
        <f>IF(A173="","",IFERROR(VLOOKUP(A173,DB_Customers!$A:$N,14,0),""))</f>
        <v/>
      </c>
      <c r="D173" s="488">
        <f>IF(A173="","",TODAY())</f>
        <v/>
      </c>
      <c r="E173" s="510" t="n"/>
      <c r="F173" s="378" t="n"/>
      <c r="G173" s="511">
        <f>IF(OR(A173="",E173=""),"",IF(C173="","",C173-E173))</f>
        <v/>
      </c>
      <c r="H173" s="380" t="inlineStr">
        <is>
          <t>Agent 06</t>
        </is>
      </c>
      <c r="I173" s="491" t="n"/>
      <c r="J173" s="492">
        <f>IF(AND(A173&lt;&gt;"",E173&lt;&gt;""),IF(I173="","⚠️ Enter Code",IF(IFERROR(VLOOKUP(H173,DB_Agents!$B:$I,8,0),"")=I173,IF(C173&gt;=E173,"Successful","Unsuccessful"),"🔒 BLOCKED — Wrong Code")),"—")</f>
        <v/>
      </c>
      <c r="K173" s="493">
        <f>IF(J173="Successful",TEXT(TODAY(),"YYYY-MM-DD")&amp;" Auto","—")</f>
        <v/>
      </c>
      <c r="L173" s="494" t="n"/>
    </row>
    <row r="174" ht="15" customHeight="1" s="341">
      <c r="A174" s="495" t="n"/>
      <c r="B174" s="382">
        <f>IF(A174="","",IFERROR(VLOOKUP(A174,DB_Customers!$A:$D,4,0),"❌ Account Not Found"))</f>
        <v/>
      </c>
      <c r="C174" s="496">
        <f>IF(A174="","",IFERROR(VLOOKUP(A174,DB_Customers!$A:$N,14,0),""))</f>
        <v/>
      </c>
      <c r="D174" s="497">
        <f>IF(A174="","",TODAY())</f>
        <v/>
      </c>
      <c r="E174" s="510" t="n"/>
      <c r="F174" s="382" t="n"/>
      <c r="G174" s="512">
        <f>IF(OR(A174="",E174=""),"",IF(C174="","",C174-E174))</f>
        <v/>
      </c>
      <c r="H174" s="384" t="inlineStr">
        <is>
          <t>Agent 06</t>
        </is>
      </c>
      <c r="I174" s="491" t="n"/>
      <c r="J174" s="499">
        <f>IF(AND(A174&lt;&gt;"",E174&lt;&gt;""),IF(I174="","⚠️ Enter Code",IF(IFERROR(VLOOKUP(H174,DB_Agents!$B:$I,8,0),"")=I174,IF(C174&gt;=E174,"Successful","Unsuccessful"),"🔒 BLOCKED — Wrong Code")),"—")</f>
        <v/>
      </c>
      <c r="K174" s="500">
        <f>IF(J174="Successful",TEXT(TODAY(),"YYYY-MM-DD")&amp;" Auto","—")</f>
        <v/>
      </c>
      <c r="L174" s="501" t="n"/>
    </row>
    <row r="175" ht="15" customHeight="1" s="341">
      <c r="A175" s="486" t="n"/>
      <c r="B175" s="378">
        <f>IF(A175="","",IFERROR(VLOOKUP(A175,DB_Customers!$A:$D,4,0),"❌ Account Not Found"))</f>
        <v/>
      </c>
      <c r="C175" s="487">
        <f>IF(A175="","",IFERROR(VLOOKUP(A175,DB_Customers!$A:$N,14,0),""))</f>
        <v/>
      </c>
      <c r="D175" s="488">
        <f>IF(A175="","",TODAY())</f>
        <v/>
      </c>
      <c r="E175" s="510" t="n"/>
      <c r="F175" s="378" t="n"/>
      <c r="G175" s="511">
        <f>IF(OR(A175="",E175=""),"",IF(C175="","",C175-E175))</f>
        <v/>
      </c>
      <c r="H175" s="380" t="inlineStr">
        <is>
          <t>Agent 06</t>
        </is>
      </c>
      <c r="I175" s="491" t="n"/>
      <c r="J175" s="492">
        <f>IF(AND(A175&lt;&gt;"",E175&lt;&gt;""),IF(I175="","⚠️ Enter Code",IF(IFERROR(VLOOKUP(H175,DB_Agents!$B:$I,8,0),"")=I175,IF(C175&gt;=E175,"Successful","Unsuccessful"),"🔒 BLOCKED — Wrong Code")),"—")</f>
        <v/>
      </c>
      <c r="K175" s="493">
        <f>IF(J175="Successful",TEXT(TODAY(),"YYYY-MM-DD")&amp;" Auto","—")</f>
        <v/>
      </c>
      <c r="L175" s="494" t="n"/>
    </row>
    <row r="176" ht="15" customHeight="1" s="341">
      <c r="A176" s="495" t="n"/>
      <c r="B176" s="382">
        <f>IF(A176="","",IFERROR(VLOOKUP(A176,DB_Customers!$A:$D,4,0),"❌ Account Not Found"))</f>
        <v/>
      </c>
      <c r="C176" s="496">
        <f>IF(A176="","",IFERROR(VLOOKUP(A176,DB_Customers!$A:$N,14,0),""))</f>
        <v/>
      </c>
      <c r="D176" s="497">
        <f>IF(A176="","",TODAY())</f>
        <v/>
      </c>
      <c r="E176" s="510" t="n"/>
      <c r="F176" s="382" t="n"/>
      <c r="G176" s="512">
        <f>IF(OR(A176="",E176=""),"",IF(C176="","",C176-E176))</f>
        <v/>
      </c>
      <c r="H176" s="384" t="inlineStr">
        <is>
          <t>Agent 06</t>
        </is>
      </c>
      <c r="I176" s="491" t="n"/>
      <c r="J176" s="499">
        <f>IF(AND(A176&lt;&gt;"",E176&lt;&gt;""),IF(I176="","⚠️ Enter Code",IF(IFERROR(VLOOKUP(H176,DB_Agents!$B:$I,8,0),"")=I176,IF(C176&gt;=E176,"Successful","Unsuccessful"),"🔒 BLOCKED — Wrong Code")),"—")</f>
        <v/>
      </c>
      <c r="K176" s="500">
        <f>IF(J176="Successful",TEXT(TODAY(),"YYYY-MM-DD")&amp;" Auto","—")</f>
        <v/>
      </c>
      <c r="L176" s="501" t="n"/>
    </row>
    <row r="177" ht="15" customHeight="1" s="341">
      <c r="A177" s="486" t="n"/>
      <c r="B177" s="378">
        <f>IF(A177="","",IFERROR(VLOOKUP(A177,DB_Customers!$A:$D,4,0),"❌ Account Not Found"))</f>
        <v/>
      </c>
      <c r="C177" s="487">
        <f>IF(A177="","",IFERROR(VLOOKUP(A177,DB_Customers!$A:$N,14,0),""))</f>
        <v/>
      </c>
      <c r="D177" s="488">
        <f>IF(A177="","",TODAY())</f>
        <v/>
      </c>
      <c r="E177" s="510" t="n"/>
      <c r="F177" s="378" t="n"/>
      <c r="G177" s="511">
        <f>IF(OR(A177="",E177=""),"",IF(C177="","",C177-E177))</f>
        <v/>
      </c>
      <c r="H177" s="380" t="inlineStr">
        <is>
          <t>Agent 06</t>
        </is>
      </c>
      <c r="I177" s="491" t="n"/>
      <c r="J177" s="492">
        <f>IF(AND(A177&lt;&gt;"",E177&lt;&gt;""),IF(I177="","⚠️ Enter Code",IF(IFERROR(VLOOKUP(H177,DB_Agents!$B:$I,8,0),"")=I177,IF(C177&gt;=E177,"Successful","Unsuccessful"),"🔒 BLOCKED — Wrong Code")),"—")</f>
        <v/>
      </c>
      <c r="K177" s="493">
        <f>IF(J177="Successful",TEXT(TODAY(),"YYYY-MM-DD")&amp;" Auto","—")</f>
        <v/>
      </c>
      <c r="L177" s="494" t="n"/>
    </row>
    <row r="178" ht="15" customHeight="1" s="341">
      <c r="A178" s="495" t="n"/>
      <c r="B178" s="382">
        <f>IF(A178="","",IFERROR(VLOOKUP(A178,DB_Customers!$A:$D,4,0),"❌ Account Not Found"))</f>
        <v/>
      </c>
      <c r="C178" s="496">
        <f>IF(A178="","",IFERROR(VLOOKUP(A178,DB_Customers!$A:$N,14,0),""))</f>
        <v/>
      </c>
      <c r="D178" s="497">
        <f>IF(A178="","",TODAY())</f>
        <v/>
      </c>
      <c r="E178" s="510" t="n"/>
      <c r="F178" s="382" t="n"/>
      <c r="G178" s="512">
        <f>IF(OR(A178="",E178=""),"",IF(C178="","",C178-E178))</f>
        <v/>
      </c>
      <c r="H178" s="384" t="inlineStr">
        <is>
          <t>Agent 06</t>
        </is>
      </c>
      <c r="I178" s="491" t="n"/>
      <c r="J178" s="499">
        <f>IF(AND(A178&lt;&gt;"",E178&lt;&gt;""),IF(I178="","⚠️ Enter Code",IF(IFERROR(VLOOKUP(H178,DB_Agents!$B:$I,8,0),"")=I178,IF(C178&gt;=E178,"Successful","Unsuccessful"),"🔒 BLOCKED — Wrong Code")),"—")</f>
        <v/>
      </c>
      <c r="K178" s="500">
        <f>IF(J178="Successful",TEXT(TODAY(),"YYYY-MM-DD")&amp;" Auto","—")</f>
        <v/>
      </c>
      <c r="L178" s="501" t="n"/>
    </row>
    <row r="179" ht="15" customHeight="1" s="341">
      <c r="A179" s="486" t="n"/>
      <c r="B179" s="378">
        <f>IF(A179="","",IFERROR(VLOOKUP(A179,DB_Customers!$A:$D,4,0),"❌ Account Not Found"))</f>
        <v/>
      </c>
      <c r="C179" s="487">
        <f>IF(A179="","",IFERROR(VLOOKUP(A179,DB_Customers!$A:$N,14,0),""))</f>
        <v/>
      </c>
      <c r="D179" s="488">
        <f>IF(A179="","",TODAY())</f>
        <v/>
      </c>
      <c r="E179" s="510" t="n"/>
      <c r="F179" s="378" t="n"/>
      <c r="G179" s="511">
        <f>IF(OR(A179="",E179=""),"",IF(C179="","",C179-E179))</f>
        <v/>
      </c>
      <c r="H179" s="380" t="inlineStr">
        <is>
          <t>Agent 06</t>
        </is>
      </c>
      <c r="I179" s="491" t="n"/>
      <c r="J179" s="492">
        <f>IF(AND(A179&lt;&gt;"",E179&lt;&gt;""),IF(I179="","⚠️ Enter Code",IF(IFERROR(VLOOKUP(H179,DB_Agents!$B:$I,8,0),"")=I179,IF(C179&gt;=E179,"Successful","Unsuccessful"),"🔒 BLOCKED — Wrong Code")),"—")</f>
        <v/>
      </c>
      <c r="K179" s="493">
        <f>IF(J179="Successful",TEXT(TODAY(),"YYYY-MM-DD")&amp;" Auto","—")</f>
        <v/>
      </c>
      <c r="L179" s="494" t="n"/>
    </row>
    <row r="180" ht="15" customHeight="1" s="341">
      <c r="A180" s="495" t="n"/>
      <c r="B180" s="382">
        <f>IF(A180="","",IFERROR(VLOOKUP(A180,DB_Customers!$A:$D,4,0),"❌ Account Not Found"))</f>
        <v/>
      </c>
      <c r="C180" s="496">
        <f>IF(A180="","",IFERROR(VLOOKUP(A180,DB_Customers!$A:$N,14,0),""))</f>
        <v/>
      </c>
      <c r="D180" s="497">
        <f>IF(A180="","",TODAY())</f>
        <v/>
      </c>
      <c r="E180" s="510" t="n"/>
      <c r="F180" s="382" t="n"/>
      <c r="G180" s="512">
        <f>IF(OR(A180="",E180=""),"",IF(C180="","",C180-E180))</f>
        <v/>
      </c>
      <c r="H180" s="384" t="inlineStr">
        <is>
          <t>Agent 06</t>
        </is>
      </c>
      <c r="I180" s="491" t="n"/>
      <c r="J180" s="499">
        <f>IF(AND(A180&lt;&gt;"",E180&lt;&gt;""),IF(I180="","⚠️ Enter Code",IF(IFERROR(VLOOKUP(H180,DB_Agents!$B:$I,8,0),"")=I180,IF(C180&gt;=E180,"Successful","Unsuccessful"),"🔒 BLOCKED — Wrong Code")),"—")</f>
        <v/>
      </c>
      <c r="K180" s="500">
        <f>IF(J180="Successful",TEXT(TODAY(),"YYYY-MM-DD")&amp;" Auto","—")</f>
        <v/>
      </c>
      <c r="L180" s="501" t="n"/>
    </row>
    <row r="181" ht="15" customHeight="1" s="341">
      <c r="A181" s="486" t="n"/>
      <c r="B181" s="378">
        <f>IF(A181="","",IFERROR(VLOOKUP(A181,DB_Customers!$A:$D,4,0),"❌ Account Not Found"))</f>
        <v/>
      </c>
      <c r="C181" s="487">
        <f>IF(A181="","",IFERROR(VLOOKUP(A181,DB_Customers!$A:$N,14,0),""))</f>
        <v/>
      </c>
      <c r="D181" s="488">
        <f>IF(A181="","",TODAY())</f>
        <v/>
      </c>
      <c r="E181" s="510" t="n"/>
      <c r="F181" s="378" t="n"/>
      <c r="G181" s="511">
        <f>IF(OR(A181="",E181=""),"",IF(C181="","",C181-E181))</f>
        <v/>
      </c>
      <c r="H181" s="380" t="inlineStr">
        <is>
          <t>Agent 06</t>
        </is>
      </c>
      <c r="I181" s="491" t="n"/>
      <c r="J181" s="492">
        <f>IF(AND(A181&lt;&gt;"",E181&lt;&gt;""),IF(I181="","⚠️ Enter Code",IF(IFERROR(VLOOKUP(H181,DB_Agents!$B:$I,8,0),"")=I181,IF(C181&gt;=E181,"Successful","Unsuccessful"),"🔒 BLOCKED — Wrong Code")),"—")</f>
        <v/>
      </c>
      <c r="K181" s="493">
        <f>IF(J181="Successful",TEXT(TODAY(),"YYYY-MM-DD")&amp;" Auto","—")</f>
        <v/>
      </c>
      <c r="L181" s="494" t="n"/>
    </row>
    <row r="182" ht="15" customHeight="1" s="341">
      <c r="A182" s="495" t="n"/>
      <c r="B182" s="382">
        <f>IF(A182="","",IFERROR(VLOOKUP(A182,DB_Customers!$A:$D,4,0),"❌ Account Not Found"))</f>
        <v/>
      </c>
      <c r="C182" s="496">
        <f>IF(A182="","",IFERROR(VLOOKUP(A182,DB_Customers!$A:$N,14,0),""))</f>
        <v/>
      </c>
      <c r="D182" s="497">
        <f>IF(A182="","",TODAY())</f>
        <v/>
      </c>
      <c r="E182" s="510" t="n"/>
      <c r="F182" s="382" t="n"/>
      <c r="G182" s="512">
        <f>IF(OR(A182="",E182=""),"",IF(C182="","",C182-E182))</f>
        <v/>
      </c>
      <c r="H182" s="384" t="inlineStr">
        <is>
          <t>Agent 06</t>
        </is>
      </c>
      <c r="I182" s="491" t="n"/>
      <c r="J182" s="499">
        <f>IF(AND(A182&lt;&gt;"",E182&lt;&gt;""),IF(I182="","⚠️ Enter Code",IF(IFERROR(VLOOKUP(H182,DB_Agents!$B:$I,8,0),"")=I182,IF(C182&gt;=E182,"Successful","Unsuccessful"),"🔒 BLOCKED — Wrong Code")),"—")</f>
        <v/>
      </c>
      <c r="K182" s="500">
        <f>IF(J182="Successful",TEXT(TODAY(),"YYYY-MM-DD")&amp;" Auto","—")</f>
        <v/>
      </c>
      <c r="L182" s="501" t="n"/>
    </row>
    <row r="183" ht="15" customHeight="1" s="341">
      <c r="A183" s="486" t="n"/>
      <c r="B183" s="378">
        <f>IF(A183="","",IFERROR(VLOOKUP(A183,DB_Customers!$A:$D,4,0),"❌ Account Not Found"))</f>
        <v/>
      </c>
      <c r="C183" s="487">
        <f>IF(A183="","",IFERROR(VLOOKUP(A183,DB_Customers!$A:$N,14,0),""))</f>
        <v/>
      </c>
      <c r="D183" s="488">
        <f>IF(A183="","",TODAY())</f>
        <v/>
      </c>
      <c r="E183" s="510" t="n"/>
      <c r="F183" s="378" t="n"/>
      <c r="G183" s="511">
        <f>IF(OR(A183="",E183=""),"",IF(C183="","",C183-E183))</f>
        <v/>
      </c>
      <c r="H183" s="380" t="inlineStr">
        <is>
          <t>Agent 06</t>
        </is>
      </c>
      <c r="I183" s="491" t="n"/>
      <c r="J183" s="492">
        <f>IF(AND(A183&lt;&gt;"",E183&lt;&gt;""),IF(I183="","⚠️ Enter Code",IF(IFERROR(VLOOKUP(H183,DB_Agents!$B:$I,8,0),"")=I183,IF(C183&gt;=E183,"Successful","Unsuccessful"),"🔒 BLOCKED — Wrong Code")),"—")</f>
        <v/>
      </c>
      <c r="K183" s="493">
        <f>IF(J183="Successful",TEXT(TODAY(),"YYYY-MM-DD")&amp;" Auto","—")</f>
        <v/>
      </c>
      <c r="L183" s="494" t="n"/>
    </row>
    <row r="184" ht="15" customHeight="1" s="341">
      <c r="A184" s="495" t="n"/>
      <c r="B184" s="382">
        <f>IF(A184="","",IFERROR(VLOOKUP(A184,DB_Customers!$A:$D,4,0),"❌ Account Not Found"))</f>
        <v/>
      </c>
      <c r="C184" s="496">
        <f>IF(A184="","",IFERROR(VLOOKUP(A184,DB_Customers!$A:$N,14,0),""))</f>
        <v/>
      </c>
      <c r="D184" s="497">
        <f>IF(A184="","",TODAY())</f>
        <v/>
      </c>
      <c r="E184" s="510" t="n"/>
      <c r="F184" s="382" t="n"/>
      <c r="G184" s="512">
        <f>IF(OR(A184="",E184=""),"",IF(C184="","",C184-E184))</f>
        <v/>
      </c>
      <c r="H184" s="384" t="inlineStr">
        <is>
          <t>Agent 06</t>
        </is>
      </c>
      <c r="I184" s="491" t="n"/>
      <c r="J184" s="499">
        <f>IF(AND(A184&lt;&gt;"",E184&lt;&gt;""),IF(I184="","⚠️ Enter Code",IF(IFERROR(VLOOKUP(H184,DB_Agents!$B:$I,8,0),"")=I184,IF(C184&gt;=E184,"Successful","Unsuccessful"),"🔒 BLOCKED — Wrong Code")),"—")</f>
        <v/>
      </c>
      <c r="K184" s="500">
        <f>IF(J184="Successful",TEXT(TODAY(),"YYYY-MM-DD")&amp;" Auto","—")</f>
        <v/>
      </c>
      <c r="L184" s="501" t="n"/>
    </row>
    <row r="185" ht="15" customHeight="1" s="341">
      <c r="A185" s="486" t="n"/>
      <c r="B185" s="378">
        <f>IF(A185="","",IFERROR(VLOOKUP(A185,DB_Customers!$A:$D,4,0),"❌ Account Not Found"))</f>
        <v/>
      </c>
      <c r="C185" s="487">
        <f>IF(A185="","",IFERROR(VLOOKUP(A185,DB_Customers!$A:$N,14,0),""))</f>
        <v/>
      </c>
      <c r="D185" s="488">
        <f>IF(A185="","",TODAY())</f>
        <v/>
      </c>
      <c r="E185" s="510" t="n"/>
      <c r="F185" s="378" t="n"/>
      <c r="G185" s="511">
        <f>IF(OR(A185="",E185=""),"",IF(C185="","",C185-E185))</f>
        <v/>
      </c>
      <c r="H185" s="380" t="inlineStr">
        <is>
          <t>Agent 06</t>
        </is>
      </c>
      <c r="I185" s="491" t="n"/>
      <c r="J185" s="492">
        <f>IF(AND(A185&lt;&gt;"",E185&lt;&gt;""),IF(I185="","⚠️ Enter Code",IF(IFERROR(VLOOKUP(H185,DB_Agents!$B:$I,8,0),"")=I185,IF(C185&gt;=E185,"Successful","Unsuccessful"),"🔒 BLOCKED — Wrong Code")),"—")</f>
        <v/>
      </c>
      <c r="K185" s="493">
        <f>IF(J185="Successful",TEXT(TODAY(),"YYYY-MM-DD")&amp;" Auto","—")</f>
        <v/>
      </c>
      <c r="L185" s="494" t="n"/>
    </row>
    <row r="186" ht="15" customHeight="1" s="341">
      <c r="A186" s="495" t="n"/>
      <c r="B186" s="382">
        <f>IF(A186="","",IFERROR(VLOOKUP(A186,DB_Customers!$A:$D,4,0),"❌ Account Not Found"))</f>
        <v/>
      </c>
      <c r="C186" s="496">
        <f>IF(A186="","",IFERROR(VLOOKUP(A186,DB_Customers!$A:$N,14,0),""))</f>
        <v/>
      </c>
      <c r="D186" s="497">
        <f>IF(A186="","",TODAY())</f>
        <v/>
      </c>
      <c r="E186" s="510" t="n"/>
      <c r="F186" s="382" t="n"/>
      <c r="G186" s="512">
        <f>IF(OR(A186="",E186=""),"",IF(C186="","",C186-E186))</f>
        <v/>
      </c>
      <c r="H186" s="384" t="inlineStr">
        <is>
          <t>Agent 06</t>
        </is>
      </c>
      <c r="I186" s="491" t="n"/>
      <c r="J186" s="499">
        <f>IF(AND(A186&lt;&gt;"",E186&lt;&gt;""),IF(I186="","⚠️ Enter Code",IF(IFERROR(VLOOKUP(H186,DB_Agents!$B:$I,8,0),"")=I186,IF(C186&gt;=E186,"Successful","Unsuccessful"),"🔒 BLOCKED — Wrong Code")),"—")</f>
        <v/>
      </c>
      <c r="K186" s="500">
        <f>IF(J186="Successful",TEXT(TODAY(),"YYYY-MM-DD")&amp;" Auto","—")</f>
        <v/>
      </c>
      <c r="L186" s="501" t="n"/>
    </row>
    <row r="187" ht="15" customHeight="1" s="341">
      <c r="A187" s="486" t="n"/>
      <c r="B187" s="378">
        <f>IF(A187="","",IFERROR(VLOOKUP(A187,DB_Customers!$A:$D,4,0),"❌ Account Not Found"))</f>
        <v/>
      </c>
      <c r="C187" s="487">
        <f>IF(A187="","",IFERROR(VLOOKUP(A187,DB_Customers!$A:$N,14,0),""))</f>
        <v/>
      </c>
      <c r="D187" s="488">
        <f>IF(A187="","",TODAY())</f>
        <v/>
      </c>
      <c r="E187" s="510" t="n"/>
      <c r="F187" s="378" t="n"/>
      <c r="G187" s="511">
        <f>IF(OR(A187="",E187=""),"",IF(C187="","",C187-E187))</f>
        <v/>
      </c>
      <c r="H187" s="380" t="inlineStr">
        <is>
          <t>Agent 06</t>
        </is>
      </c>
      <c r="I187" s="491" t="n"/>
      <c r="J187" s="492">
        <f>IF(AND(A187&lt;&gt;"",E187&lt;&gt;""),IF(I187="","⚠️ Enter Code",IF(IFERROR(VLOOKUP(H187,DB_Agents!$B:$I,8,0),"")=I187,IF(C187&gt;=E187,"Successful","Unsuccessful"),"🔒 BLOCKED — Wrong Code")),"—")</f>
        <v/>
      </c>
      <c r="K187" s="493">
        <f>IF(J187="Successful",TEXT(TODAY(),"YYYY-MM-DD")&amp;" Auto","—")</f>
        <v/>
      </c>
      <c r="L187" s="494" t="n"/>
    </row>
    <row r="188" ht="15" customHeight="1" s="341">
      <c r="A188" s="495" t="n"/>
      <c r="B188" s="382">
        <f>IF(A188="","",IFERROR(VLOOKUP(A188,DB_Customers!$A:$D,4,0),"❌ Account Not Found"))</f>
        <v/>
      </c>
      <c r="C188" s="496">
        <f>IF(A188="","",IFERROR(VLOOKUP(A188,DB_Customers!$A:$N,14,0),""))</f>
        <v/>
      </c>
      <c r="D188" s="497">
        <f>IF(A188="","",TODAY())</f>
        <v/>
      </c>
      <c r="E188" s="510" t="n"/>
      <c r="F188" s="382" t="n"/>
      <c r="G188" s="512">
        <f>IF(OR(A188="",E188=""),"",IF(C188="","",C188-E188))</f>
        <v/>
      </c>
      <c r="H188" s="384" t="inlineStr">
        <is>
          <t>Agent 06</t>
        </is>
      </c>
      <c r="I188" s="491" t="n"/>
      <c r="J188" s="499">
        <f>IF(AND(A188&lt;&gt;"",E188&lt;&gt;""),IF(I188="","⚠️ Enter Code",IF(IFERROR(VLOOKUP(H188,DB_Agents!$B:$I,8,0),"")=I188,IF(C188&gt;=E188,"Successful","Unsuccessful"),"🔒 BLOCKED — Wrong Code")),"—")</f>
        <v/>
      </c>
      <c r="K188" s="500">
        <f>IF(J188="Successful",TEXT(TODAY(),"YYYY-MM-DD")&amp;" Auto","—")</f>
        <v/>
      </c>
      <c r="L188" s="501" t="n"/>
    </row>
    <row r="189" ht="15" customHeight="1" s="341">
      <c r="A189" s="486" t="n"/>
      <c r="B189" s="378">
        <f>IF(A189="","",IFERROR(VLOOKUP(A189,DB_Customers!$A:$D,4,0),"❌ Account Not Found"))</f>
        <v/>
      </c>
      <c r="C189" s="487">
        <f>IF(A189="","",IFERROR(VLOOKUP(A189,DB_Customers!$A:$N,14,0),""))</f>
        <v/>
      </c>
      <c r="D189" s="488">
        <f>IF(A189="","",TODAY())</f>
        <v/>
      </c>
      <c r="E189" s="510" t="n"/>
      <c r="F189" s="378" t="n"/>
      <c r="G189" s="511">
        <f>IF(OR(A189="",E189=""),"",IF(C189="","",C189-E189))</f>
        <v/>
      </c>
      <c r="H189" s="380" t="inlineStr">
        <is>
          <t>Agent 06</t>
        </is>
      </c>
      <c r="I189" s="491" t="n"/>
      <c r="J189" s="492">
        <f>IF(AND(A189&lt;&gt;"",E189&lt;&gt;""),IF(I189="","⚠️ Enter Code",IF(IFERROR(VLOOKUP(H189,DB_Agents!$B:$I,8,0),"")=I189,IF(C189&gt;=E189,"Successful","Unsuccessful"),"🔒 BLOCKED — Wrong Code")),"—")</f>
        <v/>
      </c>
      <c r="K189" s="493">
        <f>IF(J189="Successful",TEXT(TODAY(),"YYYY-MM-DD")&amp;" Auto","—")</f>
        <v/>
      </c>
      <c r="L189" s="494" t="n"/>
    </row>
    <row r="190" ht="15" customHeight="1" s="341">
      <c r="A190" s="495" t="n"/>
      <c r="B190" s="382">
        <f>IF(A190="","",IFERROR(VLOOKUP(A190,DB_Customers!$A:$D,4,0),"❌ Account Not Found"))</f>
        <v/>
      </c>
      <c r="C190" s="496">
        <f>IF(A190="","",IFERROR(VLOOKUP(A190,DB_Customers!$A:$N,14,0),""))</f>
        <v/>
      </c>
      <c r="D190" s="497">
        <f>IF(A190="","",TODAY())</f>
        <v/>
      </c>
      <c r="E190" s="510" t="n"/>
      <c r="F190" s="382" t="n"/>
      <c r="G190" s="512">
        <f>IF(OR(A190="",E190=""),"",IF(C190="","",C190-E190))</f>
        <v/>
      </c>
      <c r="H190" s="384" t="inlineStr">
        <is>
          <t>Agent 06</t>
        </is>
      </c>
      <c r="I190" s="491" t="n"/>
      <c r="J190" s="499">
        <f>IF(AND(A190&lt;&gt;"",E190&lt;&gt;""),IF(I190="","⚠️ Enter Code",IF(IFERROR(VLOOKUP(H190,DB_Agents!$B:$I,8,0),"")=I190,IF(C190&gt;=E190,"Successful","Unsuccessful"),"🔒 BLOCKED — Wrong Code")),"—")</f>
        <v/>
      </c>
      <c r="K190" s="500">
        <f>IF(J190="Successful",TEXT(TODAY(),"YYYY-MM-DD")&amp;" Auto","—")</f>
        <v/>
      </c>
      <c r="L190" s="501" t="n"/>
    </row>
    <row r="191" ht="15" customHeight="1" s="341">
      <c r="A191" s="486" t="n"/>
      <c r="B191" s="378">
        <f>IF(A191="","",IFERROR(VLOOKUP(A191,DB_Customers!$A:$D,4,0),"❌ Account Not Found"))</f>
        <v/>
      </c>
      <c r="C191" s="487">
        <f>IF(A191="","",IFERROR(VLOOKUP(A191,DB_Customers!$A:$N,14,0),""))</f>
        <v/>
      </c>
      <c r="D191" s="488">
        <f>IF(A191="","",TODAY())</f>
        <v/>
      </c>
      <c r="E191" s="510" t="n"/>
      <c r="F191" s="378" t="n"/>
      <c r="G191" s="511">
        <f>IF(OR(A191="",E191=""),"",IF(C191="","",C191-E191))</f>
        <v/>
      </c>
      <c r="H191" s="380" t="inlineStr">
        <is>
          <t>Agent 06</t>
        </is>
      </c>
      <c r="I191" s="491" t="n"/>
      <c r="J191" s="492">
        <f>IF(AND(A191&lt;&gt;"",E191&lt;&gt;""),IF(I191="","⚠️ Enter Code",IF(IFERROR(VLOOKUP(H191,DB_Agents!$B:$I,8,0),"")=I191,IF(C191&gt;=E191,"Successful","Unsuccessful"),"🔒 BLOCKED — Wrong Code")),"—")</f>
        <v/>
      </c>
      <c r="K191" s="493">
        <f>IF(J191="Successful",TEXT(TODAY(),"YYYY-MM-DD")&amp;" Auto","—")</f>
        <v/>
      </c>
      <c r="L191" s="494" t="n"/>
    </row>
    <row r="192" ht="15" customHeight="1" s="341">
      <c r="A192" s="495" t="n"/>
      <c r="B192" s="382">
        <f>IF(A192="","",IFERROR(VLOOKUP(A192,DB_Customers!$A:$D,4,0),"❌ Account Not Found"))</f>
        <v/>
      </c>
      <c r="C192" s="496">
        <f>IF(A192="","",IFERROR(VLOOKUP(A192,DB_Customers!$A:$N,14,0),""))</f>
        <v/>
      </c>
      <c r="D192" s="497">
        <f>IF(A192="","",TODAY())</f>
        <v/>
      </c>
      <c r="E192" s="510" t="n"/>
      <c r="F192" s="382" t="n"/>
      <c r="G192" s="512">
        <f>IF(OR(A192="",E192=""),"",IF(C192="","",C192-E192))</f>
        <v/>
      </c>
      <c r="H192" s="384" t="inlineStr">
        <is>
          <t>Agent 06</t>
        </is>
      </c>
      <c r="I192" s="491" t="n"/>
      <c r="J192" s="499">
        <f>IF(AND(A192&lt;&gt;"",E192&lt;&gt;""),IF(I192="","⚠️ Enter Code",IF(IFERROR(VLOOKUP(H192,DB_Agents!$B:$I,8,0),"")=I192,IF(C192&gt;=E192,"Successful","Unsuccessful"),"🔒 BLOCKED — Wrong Code")),"—")</f>
        <v/>
      </c>
      <c r="K192" s="500">
        <f>IF(J192="Successful",TEXT(TODAY(),"YYYY-MM-DD")&amp;" Auto","—")</f>
        <v/>
      </c>
      <c r="L192" s="501" t="n"/>
    </row>
    <row r="193" ht="15" customHeight="1" s="341">
      <c r="A193" s="486" t="n"/>
      <c r="B193" s="378">
        <f>IF(A193="","",IFERROR(VLOOKUP(A193,DB_Customers!$A:$D,4,0),"❌ Account Not Found"))</f>
        <v/>
      </c>
      <c r="C193" s="487">
        <f>IF(A193="","",IFERROR(VLOOKUP(A193,DB_Customers!$A:$N,14,0),""))</f>
        <v/>
      </c>
      <c r="D193" s="488">
        <f>IF(A193="","",TODAY())</f>
        <v/>
      </c>
      <c r="E193" s="510" t="n"/>
      <c r="F193" s="378" t="n"/>
      <c r="G193" s="511">
        <f>IF(OR(A193="",E193=""),"",IF(C193="","",C193-E193))</f>
        <v/>
      </c>
      <c r="H193" s="380" t="inlineStr">
        <is>
          <t>Agent 06</t>
        </is>
      </c>
      <c r="I193" s="491" t="n"/>
      <c r="J193" s="492">
        <f>IF(AND(A193&lt;&gt;"",E193&lt;&gt;""),IF(I193="","⚠️ Enter Code",IF(IFERROR(VLOOKUP(H193,DB_Agents!$B:$I,8,0),"")=I193,IF(C193&gt;=E193,"Successful","Unsuccessful"),"🔒 BLOCKED — Wrong Code")),"—")</f>
        <v/>
      </c>
      <c r="K193" s="493">
        <f>IF(J193="Successful",TEXT(TODAY(),"YYYY-MM-DD")&amp;" Auto","—")</f>
        <v/>
      </c>
      <c r="L193" s="494" t="n"/>
    </row>
    <row r="194" ht="15" customHeight="1" s="341">
      <c r="A194" s="495" t="n"/>
      <c r="B194" s="382">
        <f>IF(A194="","",IFERROR(VLOOKUP(A194,DB_Customers!$A:$D,4,0),"❌ Account Not Found"))</f>
        <v/>
      </c>
      <c r="C194" s="496">
        <f>IF(A194="","",IFERROR(VLOOKUP(A194,DB_Customers!$A:$N,14,0),""))</f>
        <v/>
      </c>
      <c r="D194" s="497">
        <f>IF(A194="","",TODAY())</f>
        <v/>
      </c>
      <c r="E194" s="510" t="n"/>
      <c r="F194" s="382" t="n"/>
      <c r="G194" s="512">
        <f>IF(OR(A194="",E194=""),"",IF(C194="","",C194-E194))</f>
        <v/>
      </c>
      <c r="H194" s="384" t="inlineStr">
        <is>
          <t>Agent 06</t>
        </is>
      </c>
      <c r="I194" s="491" t="n"/>
      <c r="J194" s="499">
        <f>IF(AND(A194&lt;&gt;"",E194&lt;&gt;""),IF(I194="","⚠️ Enter Code",IF(IFERROR(VLOOKUP(H194,DB_Agents!$B:$I,8,0),"")=I194,IF(C194&gt;=E194,"Successful","Unsuccessful"),"🔒 BLOCKED — Wrong Code")),"—")</f>
        <v/>
      </c>
      <c r="K194" s="500">
        <f>IF(J194="Successful",TEXT(TODAY(),"YYYY-MM-DD")&amp;" Auto","—")</f>
        <v/>
      </c>
      <c r="L194" s="501" t="n"/>
    </row>
    <row r="195" ht="15" customHeight="1" s="341">
      <c r="A195" s="486" t="n"/>
      <c r="B195" s="378">
        <f>IF(A195="","",IFERROR(VLOOKUP(A195,DB_Customers!$A:$D,4,0),"❌ Account Not Found"))</f>
        <v/>
      </c>
      <c r="C195" s="487">
        <f>IF(A195="","",IFERROR(VLOOKUP(A195,DB_Customers!$A:$N,14,0),""))</f>
        <v/>
      </c>
      <c r="D195" s="488">
        <f>IF(A195="","",TODAY())</f>
        <v/>
      </c>
      <c r="E195" s="510" t="n"/>
      <c r="F195" s="378" t="n"/>
      <c r="G195" s="511">
        <f>IF(OR(A195="",E195=""),"",IF(C195="","",C195-E195))</f>
        <v/>
      </c>
      <c r="H195" s="380" t="inlineStr">
        <is>
          <t>Agent 06</t>
        </is>
      </c>
      <c r="I195" s="491" t="n"/>
      <c r="J195" s="492">
        <f>IF(AND(A195&lt;&gt;"",E195&lt;&gt;""),IF(I195="","⚠️ Enter Code",IF(IFERROR(VLOOKUP(H195,DB_Agents!$B:$I,8,0),"")=I195,IF(C195&gt;=E195,"Successful","Unsuccessful"),"🔒 BLOCKED — Wrong Code")),"—")</f>
        <v/>
      </c>
      <c r="K195" s="493">
        <f>IF(J195="Successful",TEXT(TODAY(),"YYYY-MM-DD")&amp;" Auto","—")</f>
        <v/>
      </c>
      <c r="L195" s="494" t="n"/>
    </row>
    <row r="196" ht="15" customHeight="1" s="341">
      <c r="A196" s="495" t="n"/>
      <c r="B196" s="382">
        <f>IF(A196="","",IFERROR(VLOOKUP(A196,DB_Customers!$A:$D,4,0),"❌ Account Not Found"))</f>
        <v/>
      </c>
      <c r="C196" s="496">
        <f>IF(A196="","",IFERROR(VLOOKUP(A196,DB_Customers!$A:$N,14,0),""))</f>
        <v/>
      </c>
      <c r="D196" s="497">
        <f>IF(A196="","",TODAY())</f>
        <v/>
      </c>
      <c r="E196" s="510" t="n"/>
      <c r="F196" s="382" t="n"/>
      <c r="G196" s="512">
        <f>IF(OR(A196="",E196=""),"",IF(C196="","",C196-E196))</f>
        <v/>
      </c>
      <c r="H196" s="384" t="inlineStr">
        <is>
          <t>Agent 06</t>
        </is>
      </c>
      <c r="I196" s="491" t="n"/>
      <c r="J196" s="499">
        <f>IF(AND(A196&lt;&gt;"",E196&lt;&gt;""),IF(I196="","⚠️ Enter Code",IF(IFERROR(VLOOKUP(H196,DB_Agents!$B:$I,8,0),"")=I196,IF(C196&gt;=E196,"Successful","Unsuccessful"),"🔒 BLOCKED — Wrong Code")),"—")</f>
        <v/>
      </c>
      <c r="K196" s="500">
        <f>IF(J196="Successful",TEXT(TODAY(),"YYYY-MM-DD")&amp;" Auto","—")</f>
        <v/>
      </c>
      <c r="L196" s="501" t="n"/>
    </row>
    <row r="197" ht="15" customHeight="1" s="341">
      <c r="A197" s="486" t="n"/>
      <c r="B197" s="378">
        <f>IF(A197="","",IFERROR(VLOOKUP(A197,DB_Customers!$A:$D,4,0),"❌ Account Not Found"))</f>
        <v/>
      </c>
      <c r="C197" s="487">
        <f>IF(A197="","",IFERROR(VLOOKUP(A197,DB_Customers!$A:$N,14,0),""))</f>
        <v/>
      </c>
      <c r="D197" s="488">
        <f>IF(A197="","",TODAY())</f>
        <v/>
      </c>
      <c r="E197" s="510" t="n"/>
      <c r="F197" s="378" t="n"/>
      <c r="G197" s="511">
        <f>IF(OR(A197="",E197=""),"",IF(C197="","",C197-E197))</f>
        <v/>
      </c>
      <c r="H197" s="380" t="inlineStr">
        <is>
          <t>Agent 06</t>
        </is>
      </c>
      <c r="I197" s="491" t="n"/>
      <c r="J197" s="492">
        <f>IF(AND(A197&lt;&gt;"",E197&lt;&gt;""),IF(I197="","⚠️ Enter Code",IF(IFERROR(VLOOKUP(H197,DB_Agents!$B:$I,8,0),"")=I197,IF(C197&gt;=E197,"Successful","Unsuccessful"),"🔒 BLOCKED — Wrong Code")),"—")</f>
        <v/>
      </c>
      <c r="K197" s="493">
        <f>IF(J197="Successful",TEXT(TODAY(),"YYYY-MM-DD")&amp;" Auto","—")</f>
        <v/>
      </c>
      <c r="L197" s="494" t="n"/>
    </row>
    <row r="198" ht="15" customHeight="1" s="341">
      <c r="A198" s="495" t="n"/>
      <c r="B198" s="382">
        <f>IF(A198="","",IFERROR(VLOOKUP(A198,DB_Customers!$A:$D,4,0),"❌ Account Not Found"))</f>
        <v/>
      </c>
      <c r="C198" s="496">
        <f>IF(A198="","",IFERROR(VLOOKUP(A198,DB_Customers!$A:$N,14,0),""))</f>
        <v/>
      </c>
      <c r="D198" s="497">
        <f>IF(A198="","",TODAY())</f>
        <v/>
      </c>
      <c r="E198" s="510" t="n"/>
      <c r="F198" s="382" t="n"/>
      <c r="G198" s="512">
        <f>IF(OR(A198="",E198=""),"",IF(C198="","",C198-E198))</f>
        <v/>
      </c>
      <c r="H198" s="384" t="inlineStr">
        <is>
          <t>Agent 06</t>
        </is>
      </c>
      <c r="I198" s="491" t="n"/>
      <c r="J198" s="499">
        <f>IF(AND(A198&lt;&gt;"",E198&lt;&gt;""),IF(I198="","⚠️ Enter Code",IF(IFERROR(VLOOKUP(H198,DB_Agents!$B:$I,8,0),"")=I198,IF(C198&gt;=E198,"Successful","Unsuccessful"),"🔒 BLOCKED — Wrong Code")),"—")</f>
        <v/>
      </c>
      <c r="K198" s="500">
        <f>IF(J198="Successful",TEXT(TODAY(),"YYYY-MM-DD")&amp;" Auto","—")</f>
        <v/>
      </c>
      <c r="L198" s="501" t="n"/>
    </row>
    <row r="199" ht="15" customHeight="1" s="341">
      <c r="A199" s="486" t="n"/>
      <c r="B199" s="378">
        <f>IF(A199="","",IFERROR(VLOOKUP(A199,DB_Customers!$A:$D,4,0),"❌ Account Not Found"))</f>
        <v/>
      </c>
      <c r="C199" s="487">
        <f>IF(A199="","",IFERROR(VLOOKUP(A199,DB_Customers!$A:$N,14,0),""))</f>
        <v/>
      </c>
      <c r="D199" s="488">
        <f>IF(A199="","",TODAY())</f>
        <v/>
      </c>
      <c r="E199" s="510" t="n"/>
      <c r="F199" s="378" t="n"/>
      <c r="G199" s="511">
        <f>IF(OR(A199="",E199=""),"",IF(C199="","",C199-E199))</f>
        <v/>
      </c>
      <c r="H199" s="380" t="inlineStr">
        <is>
          <t>Agent 06</t>
        </is>
      </c>
      <c r="I199" s="491" t="n"/>
      <c r="J199" s="492">
        <f>IF(AND(A199&lt;&gt;"",E199&lt;&gt;""),IF(I199="","⚠️ Enter Code",IF(IFERROR(VLOOKUP(H199,DB_Agents!$B:$I,8,0),"")=I199,IF(C199&gt;=E199,"Successful","Unsuccessful"),"🔒 BLOCKED — Wrong Code")),"—")</f>
        <v/>
      </c>
      <c r="K199" s="493">
        <f>IF(J199="Successful",TEXT(TODAY(),"YYYY-MM-DD")&amp;" Auto","—")</f>
        <v/>
      </c>
      <c r="L199" s="494" t="n"/>
    </row>
    <row r="200" ht="15" customHeight="1" s="341">
      <c r="A200" s="495" t="n"/>
      <c r="B200" s="382">
        <f>IF(A200="","",IFERROR(VLOOKUP(A200,DB_Customers!$A:$D,4,0),"❌ Account Not Found"))</f>
        <v/>
      </c>
      <c r="C200" s="496">
        <f>IF(A200="","",IFERROR(VLOOKUP(A200,DB_Customers!$A:$N,14,0),""))</f>
        <v/>
      </c>
      <c r="D200" s="497">
        <f>IF(A200="","",TODAY())</f>
        <v/>
      </c>
      <c r="E200" s="510" t="n"/>
      <c r="F200" s="382" t="n"/>
      <c r="G200" s="512">
        <f>IF(OR(A200="",E200=""),"",IF(C200="","",C200-E200))</f>
        <v/>
      </c>
      <c r="H200" s="384" t="inlineStr">
        <is>
          <t>Agent 06</t>
        </is>
      </c>
      <c r="I200" s="491" t="n"/>
      <c r="J200" s="499">
        <f>IF(AND(A200&lt;&gt;"",E200&lt;&gt;""),IF(I200="","⚠️ Enter Code",IF(IFERROR(VLOOKUP(H200,DB_Agents!$B:$I,8,0),"")=I200,IF(C200&gt;=E200,"Successful","Unsuccessful"),"🔒 BLOCKED — Wrong Code")),"—")</f>
        <v/>
      </c>
      <c r="K200" s="500">
        <f>IF(J200="Successful",TEXT(TODAY(),"YYYY-MM-DD")&amp;" Auto","—")</f>
        <v/>
      </c>
      <c r="L200" s="501" t="n"/>
    </row>
    <row r="201" ht="15" customHeight="1" s="341">
      <c r="A201" s="486" t="n"/>
      <c r="B201" s="378">
        <f>IF(A201="","",IFERROR(VLOOKUP(A201,DB_Customers!$A:$D,4,0),"❌ Account Not Found"))</f>
        <v/>
      </c>
      <c r="C201" s="487">
        <f>IF(A201="","",IFERROR(VLOOKUP(A201,DB_Customers!$A:$N,14,0),""))</f>
        <v/>
      </c>
      <c r="D201" s="488">
        <f>IF(A201="","",TODAY())</f>
        <v/>
      </c>
      <c r="E201" s="510" t="n"/>
      <c r="F201" s="378" t="n"/>
      <c r="G201" s="511">
        <f>IF(OR(A201="",E201=""),"",IF(C201="","",C201-E201))</f>
        <v/>
      </c>
      <c r="H201" s="380" t="inlineStr">
        <is>
          <t>Agent 06</t>
        </is>
      </c>
      <c r="I201" s="491" t="n"/>
      <c r="J201" s="492">
        <f>IF(AND(A201&lt;&gt;"",E201&lt;&gt;""),IF(I201="","⚠️ Enter Code",IF(IFERROR(VLOOKUP(H201,DB_Agents!$B:$I,8,0),"")=I201,IF(C201&gt;=E201,"Successful","Unsuccessful"),"🔒 BLOCKED — Wrong Code")),"—")</f>
        <v/>
      </c>
      <c r="K201" s="493">
        <f>IF(J201="Successful",TEXT(TODAY(),"YYYY-MM-DD")&amp;" Auto","—")</f>
        <v/>
      </c>
      <c r="L201" s="494" t="n"/>
    </row>
    <row r="202" ht="15" customHeight="1" s="341">
      <c r="A202" s="495" t="n"/>
      <c r="B202" s="382">
        <f>IF(A202="","",IFERROR(VLOOKUP(A202,DB_Customers!$A:$D,4,0),"❌ Account Not Found"))</f>
        <v/>
      </c>
      <c r="C202" s="496">
        <f>IF(A202="","",IFERROR(VLOOKUP(A202,DB_Customers!$A:$N,14,0),""))</f>
        <v/>
      </c>
      <c r="D202" s="497">
        <f>IF(A202="","",TODAY())</f>
        <v/>
      </c>
      <c r="E202" s="510" t="n"/>
      <c r="F202" s="382" t="n"/>
      <c r="G202" s="512">
        <f>IF(OR(A202="",E202=""),"",IF(C202="","",C202-E202))</f>
        <v/>
      </c>
      <c r="H202" s="384" t="inlineStr">
        <is>
          <t>Agent 06</t>
        </is>
      </c>
      <c r="I202" s="491" t="n"/>
      <c r="J202" s="499">
        <f>IF(AND(A202&lt;&gt;"",E202&lt;&gt;""),IF(I202="","⚠️ Enter Code",IF(IFERROR(VLOOKUP(H202,DB_Agents!$B:$I,8,0),"")=I202,IF(C202&gt;=E202,"Successful","Unsuccessful"),"🔒 BLOCKED — Wrong Code")),"—")</f>
        <v/>
      </c>
      <c r="K202" s="500">
        <f>IF(J202="Successful",TEXT(TODAY(),"YYYY-MM-DD")&amp;" Auto","—")</f>
        <v/>
      </c>
      <c r="L202" s="501" t="n"/>
    </row>
    <row r="203" ht="15" customHeight="1" s="341">
      <c r="A203" s="486" t="n"/>
      <c r="B203" s="378">
        <f>IF(A203="","",IFERROR(VLOOKUP(A203,DB_Customers!$A:$D,4,0),"❌ Account Not Found"))</f>
        <v/>
      </c>
      <c r="C203" s="487">
        <f>IF(A203="","",IFERROR(VLOOKUP(A203,DB_Customers!$A:$N,14,0),""))</f>
        <v/>
      </c>
      <c r="D203" s="488">
        <f>IF(A203="","",TODAY())</f>
        <v/>
      </c>
      <c r="E203" s="510" t="n"/>
      <c r="F203" s="378" t="n"/>
      <c r="G203" s="511">
        <f>IF(OR(A203="",E203=""),"",IF(C203="","",C203-E203))</f>
        <v/>
      </c>
      <c r="H203" s="380" t="inlineStr">
        <is>
          <t>Agent 06</t>
        </is>
      </c>
      <c r="I203" s="491" t="n"/>
      <c r="J203" s="492">
        <f>IF(AND(A203&lt;&gt;"",E203&lt;&gt;""),IF(I203="","⚠️ Enter Code",IF(IFERROR(VLOOKUP(H203,DB_Agents!$B:$I,8,0),"")=I203,IF(C203&gt;=E203,"Successful","Unsuccessful"),"🔒 BLOCKED — Wrong Code")),"—")</f>
        <v/>
      </c>
      <c r="K203" s="493">
        <f>IF(J203="Successful",TEXT(TODAY(),"YYYY-MM-DD")&amp;" Auto","—")</f>
        <v/>
      </c>
      <c r="L203" s="494" t="n"/>
    </row>
    <row r="204" ht="15" customHeight="1" s="341">
      <c r="A204" s="495" t="n"/>
      <c r="B204" s="382">
        <f>IF(A204="","",IFERROR(VLOOKUP(A204,DB_Customers!$A:$D,4,0),"❌ Account Not Found"))</f>
        <v/>
      </c>
      <c r="C204" s="496">
        <f>IF(A204="","",IFERROR(VLOOKUP(A204,DB_Customers!$A:$N,14,0),""))</f>
        <v/>
      </c>
      <c r="D204" s="497">
        <f>IF(A204="","",TODAY())</f>
        <v/>
      </c>
      <c r="E204" s="510" t="n"/>
      <c r="F204" s="382" t="n"/>
      <c r="G204" s="512">
        <f>IF(OR(A204="",E204=""),"",IF(C204="","",C204-E204))</f>
        <v/>
      </c>
      <c r="H204" s="384" t="inlineStr">
        <is>
          <t>Agent 06</t>
        </is>
      </c>
      <c r="I204" s="491" t="n"/>
      <c r="J204" s="499">
        <f>IF(AND(A204&lt;&gt;"",E204&lt;&gt;""),IF(I204="","⚠️ Enter Code",IF(IFERROR(VLOOKUP(H204,DB_Agents!$B:$I,8,0),"")=I204,IF(C204&gt;=E204,"Successful","Unsuccessful"),"🔒 BLOCKED — Wrong Code")),"—")</f>
        <v/>
      </c>
      <c r="K204" s="500">
        <f>IF(J204="Successful",TEXT(TODAY(),"YYYY-MM-DD")&amp;" Auto","—")</f>
        <v/>
      </c>
      <c r="L204" s="501" t="n"/>
    </row>
    <row r="205" ht="15" customHeight="1" s="341">
      <c r="A205" s="486" t="n"/>
      <c r="B205" s="378">
        <f>IF(A205="","",IFERROR(VLOOKUP(A205,DB_Customers!$A:$D,4,0),"❌ Account Not Found"))</f>
        <v/>
      </c>
      <c r="C205" s="487">
        <f>IF(A205="","",IFERROR(VLOOKUP(A205,DB_Customers!$A:$N,14,0),""))</f>
        <v/>
      </c>
      <c r="D205" s="488">
        <f>IF(A205="","",TODAY())</f>
        <v/>
      </c>
      <c r="E205" s="510" t="n"/>
      <c r="F205" s="378" t="n"/>
      <c r="G205" s="511">
        <f>IF(OR(A205="",E205=""),"",IF(C205="","",C205-E205))</f>
        <v/>
      </c>
      <c r="H205" s="380" t="inlineStr">
        <is>
          <t>Agent 06</t>
        </is>
      </c>
      <c r="I205" s="491" t="n"/>
      <c r="J205" s="492">
        <f>IF(AND(A205&lt;&gt;"",E205&lt;&gt;""),IF(I205="","⚠️ Enter Code",IF(IFERROR(VLOOKUP(H205,DB_Agents!$B:$I,8,0),"")=I205,IF(C205&gt;=E205,"Successful","Unsuccessful"),"🔒 BLOCKED — Wrong Code")),"—")</f>
        <v/>
      </c>
      <c r="K205" s="493">
        <f>IF(J205="Successful",TEXT(TODAY(),"YYYY-MM-DD")&amp;" Auto","—")</f>
        <v/>
      </c>
      <c r="L205" s="494" t="n"/>
    </row>
    <row r="206" ht="15" customHeight="1" s="341">
      <c r="A206" s="495" t="n"/>
      <c r="B206" s="382">
        <f>IF(A206="","",IFERROR(VLOOKUP(A206,DB_Customers!$A:$D,4,0),"❌ Account Not Found"))</f>
        <v/>
      </c>
      <c r="C206" s="496">
        <f>IF(A206="","",IFERROR(VLOOKUP(A206,DB_Customers!$A:$N,14,0),""))</f>
        <v/>
      </c>
      <c r="D206" s="497">
        <f>IF(A206="","",TODAY())</f>
        <v/>
      </c>
      <c r="E206" s="510" t="n"/>
      <c r="F206" s="382" t="n"/>
      <c r="G206" s="512">
        <f>IF(OR(A206="",E206=""),"",IF(C206="","",C206-E206))</f>
        <v/>
      </c>
      <c r="H206" s="384" t="inlineStr">
        <is>
          <t>Agent 06</t>
        </is>
      </c>
      <c r="I206" s="491" t="n"/>
      <c r="J206" s="499">
        <f>IF(AND(A206&lt;&gt;"",E206&lt;&gt;""),IF(I206="","⚠️ Enter Code",IF(IFERROR(VLOOKUP(H206,DB_Agents!$B:$I,8,0),"")=I206,IF(C206&gt;=E206,"Successful","Unsuccessful"),"🔒 BLOCKED — Wrong Code")),"—")</f>
        <v/>
      </c>
      <c r="K206" s="500">
        <f>IF(J206="Successful",TEXT(TODAY(),"YYYY-MM-DD")&amp;" Auto","—")</f>
        <v/>
      </c>
      <c r="L206" s="501" t="n"/>
    </row>
    <row r="207" ht="15" customHeight="1" s="341">
      <c r="A207" s="486" t="n"/>
      <c r="B207" s="378">
        <f>IF(A207="","",IFERROR(VLOOKUP(A207,DB_Customers!$A:$D,4,0),"❌ Account Not Found"))</f>
        <v/>
      </c>
      <c r="C207" s="487">
        <f>IF(A207="","",IFERROR(VLOOKUP(A207,DB_Customers!$A:$N,14,0),""))</f>
        <v/>
      </c>
      <c r="D207" s="488">
        <f>IF(A207="","",TODAY())</f>
        <v/>
      </c>
      <c r="E207" s="510" t="n"/>
      <c r="F207" s="378" t="n"/>
      <c r="G207" s="511">
        <f>IF(OR(A207="",E207=""),"",IF(C207="","",C207-E207))</f>
        <v/>
      </c>
      <c r="H207" s="380" t="inlineStr">
        <is>
          <t>Agent 06</t>
        </is>
      </c>
      <c r="I207" s="491" t="n"/>
      <c r="J207" s="492">
        <f>IF(AND(A207&lt;&gt;"",E207&lt;&gt;""),IF(I207="","⚠️ Enter Code",IF(IFERROR(VLOOKUP(H207,DB_Agents!$B:$I,8,0),"")=I207,IF(C207&gt;=E207,"Successful","Unsuccessful"),"🔒 BLOCKED — Wrong Code")),"—")</f>
        <v/>
      </c>
      <c r="K207" s="493">
        <f>IF(J207="Successful",TEXT(TODAY(),"YYYY-MM-DD")&amp;" Auto","—")</f>
        <v/>
      </c>
      <c r="L207" s="494" t="n"/>
    </row>
    <row r="208" ht="15" customHeight="1" s="341">
      <c r="A208" s="495" t="n"/>
      <c r="B208" s="382">
        <f>IF(A208="","",IFERROR(VLOOKUP(A208,DB_Customers!$A:$D,4,0),"❌ Account Not Found"))</f>
        <v/>
      </c>
      <c r="C208" s="496">
        <f>IF(A208="","",IFERROR(VLOOKUP(A208,DB_Customers!$A:$N,14,0),""))</f>
        <v/>
      </c>
      <c r="D208" s="497">
        <f>IF(A208="","",TODAY())</f>
        <v/>
      </c>
      <c r="E208" s="510" t="n"/>
      <c r="F208" s="382" t="n"/>
      <c r="G208" s="512">
        <f>IF(OR(A208="",E208=""),"",IF(C208="","",C208-E208))</f>
        <v/>
      </c>
      <c r="H208" s="384" t="inlineStr">
        <is>
          <t>Agent 06</t>
        </is>
      </c>
      <c r="I208" s="491" t="n"/>
      <c r="J208" s="499">
        <f>IF(AND(A208&lt;&gt;"",E208&lt;&gt;""),IF(I208="","⚠️ Enter Code",IF(IFERROR(VLOOKUP(H208,DB_Agents!$B:$I,8,0),"")=I208,IF(C208&gt;=E208,"Successful","Unsuccessful"),"🔒 BLOCKED — Wrong Code")),"—")</f>
        <v/>
      </c>
      <c r="K208" s="500">
        <f>IF(J208="Successful",TEXT(TODAY(),"YYYY-MM-DD")&amp;" Auto","—")</f>
        <v/>
      </c>
      <c r="L208" s="501" t="n"/>
    </row>
  </sheetData>
  <mergeCells count="8">
    <mergeCell ref="A1:M1"/>
    <mergeCell ref="A5:M5"/>
    <mergeCell ref="D4:F4"/>
    <mergeCell ref="D3:F3"/>
    <mergeCell ref="A3:C3"/>
    <mergeCell ref="A7:M7"/>
    <mergeCell ref="A4:C4"/>
    <mergeCell ref="A2:M2"/>
  </mergeCells>
  <conditionalFormatting sqref="I9:I208">
    <cfRule type="cellIs" rank="0" priority="2" equalAverage="0" operator="equal" aboveAverage="0" dxfId="0" text="" percent="0" bottom="0">
      <formula>"Successful"</formula>
    </cfRule>
    <cfRule type="cellIs" rank="0" priority="3" equalAverage="0" operator="equal" aboveAverage="0" dxfId="1" text="" percent="0" bottom="0">
      <formula>"Unsuccessful"</formula>
    </cfRule>
  </conditionalFormatting>
  <conditionalFormatting sqref="A9:K208">
    <cfRule type="expression" rank="0" priority="4" equalAverage="0" aboveAverage="0" dxfId="13" text="" percent="0" bottom="0">
      <formula>$I9="Unsuccessful"</formula>
    </cfRule>
  </conditionalFormatting>
  <conditionalFormatting sqref="G9:G208">
    <cfRule type="cellIs" rank="0" priority="5" equalAverage="0" operator="lessThan" aboveAverage="0" dxfId="1" text="" percent="0" bottom="0">
      <formula>0</formula>
    </cfRule>
  </conditionalFormatting>
  <dataValidations count="1">
    <dataValidation sqref="H9:H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3.xml><?xml version="1.0" encoding="utf-8"?>
<worksheet xmlns="http://schemas.openxmlformats.org/spreadsheetml/2006/main">
  <sheetPr filterMode="0">
    <tabColor rgb="FFE67E22"/>
    <outlinePr summaryBelow="1" summaryRight="1"/>
    <pageSetUpPr fitToPage="0"/>
  </sheetPr>
  <dimension ref="A1:N213"/>
  <sheetViews>
    <sheetView showFormulas="0" showGridLines="1" showRowColHeaders="1" showZeros="1" rightToLeft="0" tabSelected="0" showOutlineSymbols="1" defaultGridColor="1" view="normal" topLeftCell="A1" colorId="64" zoomScale="100" zoomScaleNormal="100" zoomScalePageLayoutView="100" workbookViewId="0">
      <pane xSplit="0" ySplit="13" topLeftCell="A1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22" customWidth="1" style="340" min="1" max="1"/>
    <col width="16" customWidth="1" style="340" min="2" max="2"/>
    <col width="22" customWidth="1" style="340" min="3" max="3"/>
    <col width="13" customWidth="1" style="340" min="4" max="4"/>
    <col width="14" customWidth="1" style="340" min="5" max="5"/>
    <col width="22" customWidth="1" style="340" min="6" max="6"/>
    <col width="9" customWidth="1" style="340" min="7" max="7"/>
    <col width="8" customWidth="1" style="340" min="8" max="8"/>
    <col width="16" customWidth="1" style="340" min="9" max="9"/>
    <col width="15" customWidth="1" style="340" min="10" max="10"/>
    <col width="14" customWidth="1" style="340" min="11" max="11"/>
    <col width="12" customWidth="1" style="340" min="12" max="12"/>
    <col width="14" customWidth="1" style="340" min="13" max="13"/>
  </cols>
  <sheetData>
    <row r="1" ht="31.5" customHeight="1" s="341">
      <c r="A1" s="513" t="inlineStr">
        <is>
          <t>🏦  SAMICIOUS MICROFINANCE — AGENT06 LOAN REQUESTS</t>
        </is>
      </c>
    </row>
    <row r="2" ht="19.5" customHeight="1" s="341">
      <c r="A2" s="514" t="inlineStr">
        <is>
          <t>Total Repayable = Loan Amount + (Loan Amount × Rate% × Months) | Status: Pending → Approved when credited</t>
        </is>
      </c>
    </row>
    <row r="4" ht="21.75" customHeight="1" s="341">
      <c r="A4" s="515" t="inlineStr">
        <is>
          <t>🔢  INSTANT LOAN CALCULATOR</t>
        </is>
      </c>
    </row>
    <row r="5" ht="19.5" customHeight="1" s="341">
      <c r="A5" s="516" t="inlineStr">
        <is>
          <t>Loan Amount (GHC):</t>
        </is>
      </c>
      <c r="B5" s="517" t="n"/>
      <c r="C5" s="453" t="n"/>
      <c r="D5" s="518" t="n"/>
    </row>
    <row r="6" ht="19.5" customHeight="1" s="341">
      <c r="A6" s="516" t="inlineStr">
        <is>
          <t>Duration (Months):</t>
        </is>
      </c>
      <c r="B6" s="517" t="n"/>
      <c r="C6" s="453" t="n"/>
      <c r="D6" s="518" t="n"/>
    </row>
    <row r="7" ht="19.5" customHeight="1" s="341">
      <c r="A7" s="519" t="inlineStr">
        <is>
          <t>Interest Rate (%/month):</t>
        </is>
      </c>
      <c r="B7" s="520" t="n">
        <v>2.5</v>
      </c>
      <c r="C7" s="393" t="n"/>
      <c r="D7" s="521" t="n"/>
    </row>
    <row r="8" ht="19.5" customHeight="1" s="341">
      <c r="A8" s="519" t="inlineStr">
        <is>
          <t>━ Total Interest:</t>
        </is>
      </c>
      <c r="B8" s="522">
        <f>IF(B5="","",B5*B7/100*B6)</f>
        <v/>
      </c>
      <c r="C8" s="393" t="n"/>
      <c r="D8" s="521" t="n"/>
    </row>
    <row r="9" ht="19.5" customHeight="1" s="341">
      <c r="A9" s="519" t="n"/>
      <c r="B9" s="523">
        <f>IF(B5="","",B5+(B5*B7/100*B6))</f>
        <v/>
      </c>
      <c r="C9" s="393" t="n"/>
      <c r="D9" s="521" t="n"/>
    </row>
    <row r="10" ht="19.5" customHeight="1" s="341">
      <c r="A10" s="519" t="n"/>
      <c r="B10" s="523">
        <f>IFERROR(B9/B6,"")</f>
        <v/>
      </c>
      <c r="C10" s="393" t="n"/>
      <c r="D10" s="521" t="n"/>
    </row>
    <row r="11" ht="7.5" customHeight="1" s="341"/>
    <row r="12" ht="21.75" customHeight="1" s="341">
      <c r="A12" s="524" t="n"/>
    </row>
    <row r="13" ht="19.5" customHeight="1" s="341">
      <c r="A13" s="525" t="n"/>
      <c r="B13" s="525" t="n"/>
      <c r="C13" s="525" t="n"/>
      <c r="D13" s="525" t="n"/>
      <c r="E13" s="525" t="n"/>
      <c r="F13" s="525" t="n"/>
      <c r="G13" s="525" t="n"/>
      <c r="H13" s="525" t="n"/>
      <c r="I13" s="525" t="n"/>
      <c r="J13" s="525" t="n"/>
      <c r="K13" s="525" t="n"/>
      <c r="L13" s="525" t="inlineStr">
        <is>
          <t>Agent</t>
        </is>
      </c>
      <c r="M13" s="485" t="n"/>
      <c r="N13" s="525" t="n"/>
    </row>
    <row r="14" ht="15" customHeight="1" s="341">
      <c r="A14" s="499">
        <f>IF(B14="","",IF(C14="❌ Account Not Found","INVALID","LN"&amp;TEXT(D14,"YYYYMMDD")&amp;TEXT(ROW()-13,"0000")))</f>
        <v/>
      </c>
      <c r="B14" s="495" t="n"/>
      <c r="C14" s="382">
        <f>IF(B14="","",IFERROR(VLOOKUP(B14,DB_Customers!$A:$D,4,0),"❌ Account Not Found"))</f>
        <v/>
      </c>
      <c r="D14" s="497">
        <f>IF(B14="","",TODAY())</f>
        <v/>
      </c>
      <c r="E14" s="526" t="n"/>
      <c r="F14" s="382" t="n"/>
      <c r="G14" s="527" t="n"/>
      <c r="H14" s="528" t="n"/>
      <c r="I14" s="529">
        <f>IF(E14="","",E14+(E14*H14/100*G14))</f>
        <v/>
      </c>
      <c r="J14" s="530">
        <f>IFERROR(I14/G14,"")</f>
        <v/>
      </c>
      <c r="K14" s="531">
        <f>IF(B14="","Pending",IF(M14="","⚠️ Enter Code",IF(IFERROR(VLOOKUP(L14,DB_Agents!$B:$I,8,0),"")=M14,"Pending","🔒 BLOCKED — Wrong Code")))</f>
        <v/>
      </c>
      <c r="L14" s="384" t="inlineStr">
        <is>
          <t>Agent 06</t>
        </is>
      </c>
      <c r="M14" s="491" t="n"/>
      <c r="N14" s="501" t="n"/>
    </row>
    <row r="15" ht="15" customHeight="1" s="341">
      <c r="A15" s="492">
        <f>IF(B15="","",IF(C15="❌ Account Not Found","INVALID","LN"&amp;TEXT(D15,"YYYYMMDD")&amp;TEXT(ROW()-13,"0000")))</f>
        <v/>
      </c>
      <c r="B15" s="486" t="n"/>
      <c r="C15" s="378">
        <f>IF(B15="","",IFERROR(VLOOKUP(B15,DB_Customers!$A:$D,4,0),"❌ Account Not Found"))</f>
        <v/>
      </c>
      <c r="D15" s="488">
        <f>IF(B15="","",TODAY())</f>
        <v/>
      </c>
      <c r="E15" s="526" t="n"/>
      <c r="F15" s="378" t="n"/>
      <c r="G15" s="532" t="n"/>
      <c r="H15" s="533" t="n"/>
      <c r="I15" s="529">
        <f>IF(E15="","",E15+(E15*H15/100*G15))</f>
        <v/>
      </c>
      <c r="J15" s="534">
        <f>IFERROR(I15/G15,"")</f>
        <v/>
      </c>
      <c r="K15" s="535">
        <f>IF(B15="","Pending",IF(M15="","⚠️ Enter Code",IF(IFERROR(VLOOKUP(L15,DB_Agents!$B:$I,8,0),"")=M15,"Pending","🔒 BLOCKED — Wrong Code")))</f>
        <v/>
      </c>
      <c r="L15" s="380" t="inlineStr">
        <is>
          <t>Agent 06</t>
        </is>
      </c>
      <c r="M15" s="491" t="n"/>
      <c r="N15" s="494" t="n"/>
    </row>
    <row r="16" ht="15" customHeight="1" s="341">
      <c r="A16" s="499">
        <f>IF(B16="","",IF(C16="❌ Account Not Found","INVALID","LN"&amp;TEXT(D16,"YYYYMMDD")&amp;TEXT(ROW()-13,"0000")))</f>
        <v/>
      </c>
      <c r="B16" s="495" t="n"/>
      <c r="C16" s="382">
        <f>IF(B16="","",IFERROR(VLOOKUP(B16,DB_Customers!$A:$D,4,0),"❌ Account Not Found"))</f>
        <v/>
      </c>
      <c r="D16" s="497">
        <f>IF(B16="","",TODAY())</f>
        <v/>
      </c>
      <c r="E16" s="526" t="n"/>
      <c r="F16" s="382" t="n"/>
      <c r="G16" s="527" t="n"/>
      <c r="H16" s="528" t="n"/>
      <c r="I16" s="529">
        <f>IF(E16="","",E16+(E16*H16/100*G16))</f>
        <v/>
      </c>
      <c r="J16" s="530">
        <f>IFERROR(I16/G16,"")</f>
        <v/>
      </c>
      <c r="K16" s="531">
        <f>IF(B16="","Pending",IF(M16="","⚠️ Enter Code",IF(IFERROR(VLOOKUP(L16,DB_Agents!$B:$I,8,0),"")=M16,"Pending","🔒 BLOCKED — Wrong Code")))</f>
        <v/>
      </c>
      <c r="L16" s="384" t="inlineStr">
        <is>
          <t>Agent 06</t>
        </is>
      </c>
      <c r="M16" s="491" t="n"/>
      <c r="N16" s="501" t="n"/>
    </row>
    <row r="17" ht="15" customHeight="1" s="341">
      <c r="A17" s="492">
        <f>IF(B17="","",IF(C17="❌ Account Not Found","INVALID","LN"&amp;TEXT(D17,"YYYYMMDD")&amp;TEXT(ROW()-13,"0000")))</f>
        <v/>
      </c>
      <c r="B17" s="486" t="n"/>
      <c r="C17" s="378">
        <f>IF(B17="","",IFERROR(VLOOKUP(B17,DB_Customers!$A:$D,4,0),"❌ Account Not Found"))</f>
        <v/>
      </c>
      <c r="D17" s="488">
        <f>IF(B17="","",TODAY())</f>
        <v/>
      </c>
      <c r="E17" s="526" t="n"/>
      <c r="F17" s="378" t="n"/>
      <c r="G17" s="532" t="n"/>
      <c r="H17" s="533" t="n"/>
      <c r="I17" s="529">
        <f>IF(E17="","",E17+(E17*H17/100*G17))</f>
        <v/>
      </c>
      <c r="J17" s="534">
        <f>IFERROR(I17/G17,"")</f>
        <v/>
      </c>
      <c r="K17" s="535">
        <f>IF(B17="","Pending",IF(M17="","⚠️ Enter Code",IF(IFERROR(VLOOKUP(L17,DB_Agents!$B:$I,8,0),"")=M17,"Pending","🔒 BLOCKED — Wrong Code")))</f>
        <v/>
      </c>
      <c r="L17" s="380" t="inlineStr">
        <is>
          <t>Agent 06</t>
        </is>
      </c>
      <c r="M17" s="491" t="n"/>
      <c r="N17" s="494" t="n"/>
    </row>
    <row r="18" ht="15" customHeight="1" s="341">
      <c r="A18" s="499">
        <f>IF(B18="","",IF(C18="❌ Account Not Found","INVALID","LN"&amp;TEXT(D18,"YYYYMMDD")&amp;TEXT(ROW()-13,"0000")))</f>
        <v/>
      </c>
      <c r="B18" s="495" t="n"/>
      <c r="C18" s="382">
        <f>IF(B18="","",IFERROR(VLOOKUP(B18,DB_Customers!$A:$D,4,0),"❌ Account Not Found"))</f>
        <v/>
      </c>
      <c r="D18" s="497">
        <f>IF(B18="","",TODAY())</f>
        <v/>
      </c>
      <c r="E18" s="526" t="n"/>
      <c r="F18" s="382" t="n"/>
      <c r="G18" s="527" t="n"/>
      <c r="H18" s="528" t="n"/>
      <c r="I18" s="529">
        <f>IF(E18="","",E18+(E18*H18/100*G18))</f>
        <v/>
      </c>
      <c r="J18" s="530">
        <f>IFERROR(I18/G18,"")</f>
        <v/>
      </c>
      <c r="K18" s="531">
        <f>IF(B18="","Pending",IF(M18="","⚠️ Enter Code",IF(IFERROR(VLOOKUP(L18,DB_Agents!$B:$I,8,0),"")=M18,"Pending","🔒 BLOCKED — Wrong Code")))</f>
        <v/>
      </c>
      <c r="L18" s="384" t="inlineStr">
        <is>
          <t>Agent 06</t>
        </is>
      </c>
      <c r="M18" s="491" t="n"/>
      <c r="N18" s="501" t="n"/>
    </row>
    <row r="19" ht="15" customHeight="1" s="341">
      <c r="A19" s="492">
        <f>IF(B19="","",IF(C19="❌ Account Not Found","INVALID","LN"&amp;TEXT(D19,"YYYYMMDD")&amp;TEXT(ROW()-13,"0000")))</f>
        <v/>
      </c>
      <c r="B19" s="486" t="n"/>
      <c r="C19" s="378">
        <f>IF(B19="","",IFERROR(VLOOKUP(B19,DB_Customers!$A:$D,4,0),"❌ Account Not Found"))</f>
        <v/>
      </c>
      <c r="D19" s="488">
        <f>IF(B19="","",TODAY())</f>
        <v/>
      </c>
      <c r="E19" s="526" t="n"/>
      <c r="F19" s="378" t="n"/>
      <c r="G19" s="532" t="n"/>
      <c r="H19" s="533" t="n"/>
      <c r="I19" s="529">
        <f>IF(E19="","",E19+(E19*H19/100*G19))</f>
        <v/>
      </c>
      <c r="J19" s="534">
        <f>IFERROR(I19/G19,"")</f>
        <v/>
      </c>
      <c r="K19" s="535">
        <f>IF(B19="","Pending",IF(M19="","⚠️ Enter Code",IF(IFERROR(VLOOKUP(L19,DB_Agents!$B:$I,8,0),"")=M19,"Pending","🔒 BLOCKED — Wrong Code")))</f>
        <v/>
      </c>
      <c r="L19" s="380" t="inlineStr">
        <is>
          <t>Agent 06</t>
        </is>
      </c>
      <c r="M19" s="491" t="n"/>
      <c r="N19" s="494" t="n"/>
    </row>
    <row r="20" ht="15" customHeight="1" s="341">
      <c r="A20" s="499">
        <f>IF(B20="","",IF(C20="❌ Account Not Found","INVALID","LN"&amp;TEXT(D20,"YYYYMMDD")&amp;TEXT(ROW()-13,"0000")))</f>
        <v/>
      </c>
      <c r="B20" s="495" t="n"/>
      <c r="C20" s="382">
        <f>IF(B20="","",IFERROR(VLOOKUP(B20,DB_Customers!$A:$D,4,0),"❌ Account Not Found"))</f>
        <v/>
      </c>
      <c r="D20" s="497">
        <f>IF(B20="","",TODAY())</f>
        <v/>
      </c>
      <c r="E20" s="526" t="n"/>
      <c r="F20" s="382" t="n"/>
      <c r="G20" s="527" t="n"/>
      <c r="H20" s="528" t="n"/>
      <c r="I20" s="529">
        <f>IF(E20="","",E20+(E20*H20/100*G20))</f>
        <v/>
      </c>
      <c r="J20" s="530">
        <f>IFERROR(I20/G20,"")</f>
        <v/>
      </c>
      <c r="K20" s="531">
        <f>IF(B20="","Pending",IF(M20="","⚠️ Enter Code",IF(IFERROR(VLOOKUP(L20,DB_Agents!$B:$I,8,0),"")=M20,"Pending","🔒 BLOCKED — Wrong Code")))</f>
        <v/>
      </c>
      <c r="L20" s="384" t="inlineStr">
        <is>
          <t>Agent 06</t>
        </is>
      </c>
      <c r="M20" s="491" t="n"/>
      <c r="N20" s="501" t="n"/>
    </row>
    <row r="21" ht="15" customHeight="1" s="341">
      <c r="A21" s="492">
        <f>IF(B21="","",IF(C21="❌ Account Not Found","INVALID","LN"&amp;TEXT(D21,"YYYYMMDD")&amp;TEXT(ROW()-13,"0000")))</f>
        <v/>
      </c>
      <c r="B21" s="486" t="n"/>
      <c r="C21" s="378">
        <f>IF(B21="","",IFERROR(VLOOKUP(B21,DB_Customers!$A:$D,4,0),"❌ Account Not Found"))</f>
        <v/>
      </c>
      <c r="D21" s="488">
        <f>IF(B21="","",TODAY())</f>
        <v/>
      </c>
      <c r="E21" s="526" t="n"/>
      <c r="F21" s="378" t="n"/>
      <c r="G21" s="532" t="n"/>
      <c r="H21" s="533" t="n"/>
      <c r="I21" s="529">
        <f>IF(E21="","",E21+(E21*H21/100*G21))</f>
        <v/>
      </c>
      <c r="J21" s="534">
        <f>IFERROR(I21/G21,"")</f>
        <v/>
      </c>
      <c r="K21" s="535">
        <f>IF(B21="","Pending",IF(M21="","⚠️ Enter Code",IF(IFERROR(VLOOKUP(L21,DB_Agents!$B:$I,8,0),"")=M21,"Pending","🔒 BLOCKED — Wrong Code")))</f>
        <v/>
      </c>
      <c r="L21" s="380" t="inlineStr">
        <is>
          <t>Agent 06</t>
        </is>
      </c>
      <c r="M21" s="491" t="n"/>
      <c r="N21" s="494" t="n"/>
    </row>
    <row r="22" ht="15" customHeight="1" s="341">
      <c r="A22" s="499">
        <f>IF(B22="","",IF(C22="❌ Account Not Found","INVALID","LN"&amp;TEXT(D22,"YYYYMMDD")&amp;TEXT(ROW()-13,"0000")))</f>
        <v/>
      </c>
      <c r="B22" s="495" t="n"/>
      <c r="C22" s="382">
        <f>IF(B22="","",IFERROR(VLOOKUP(B22,DB_Customers!$A:$D,4,0),"❌ Account Not Found"))</f>
        <v/>
      </c>
      <c r="D22" s="497">
        <f>IF(B22="","",TODAY())</f>
        <v/>
      </c>
      <c r="E22" s="526" t="n"/>
      <c r="F22" s="382" t="n"/>
      <c r="G22" s="527" t="n"/>
      <c r="H22" s="528" t="n"/>
      <c r="I22" s="529">
        <f>IF(E22="","",E22+(E22*H22/100*G22))</f>
        <v/>
      </c>
      <c r="J22" s="530">
        <f>IFERROR(I22/G22,"")</f>
        <v/>
      </c>
      <c r="K22" s="531">
        <f>IF(B22="","Pending",IF(M22="","⚠️ Enter Code",IF(IFERROR(VLOOKUP(L22,DB_Agents!$B:$I,8,0),"")=M22,"Pending","🔒 BLOCKED — Wrong Code")))</f>
        <v/>
      </c>
      <c r="L22" s="384" t="inlineStr">
        <is>
          <t>Agent 06</t>
        </is>
      </c>
      <c r="M22" s="491" t="n"/>
      <c r="N22" s="501" t="n"/>
    </row>
    <row r="23" ht="15" customHeight="1" s="341">
      <c r="A23" s="492">
        <f>IF(B23="","",IF(C23="❌ Account Not Found","INVALID","LN"&amp;TEXT(D23,"YYYYMMDD")&amp;TEXT(ROW()-13,"0000")))</f>
        <v/>
      </c>
      <c r="B23" s="486" t="n"/>
      <c r="C23" s="378">
        <f>IF(B23="","",IFERROR(VLOOKUP(B23,DB_Customers!$A:$D,4,0),"❌ Account Not Found"))</f>
        <v/>
      </c>
      <c r="D23" s="488">
        <f>IF(B23="","",TODAY())</f>
        <v/>
      </c>
      <c r="E23" s="526" t="n"/>
      <c r="F23" s="378" t="n"/>
      <c r="G23" s="532" t="n"/>
      <c r="H23" s="533" t="n"/>
      <c r="I23" s="529">
        <f>IF(E23="","",E23+(E23*H23/100*G23))</f>
        <v/>
      </c>
      <c r="J23" s="534">
        <f>IFERROR(I23/G23,"")</f>
        <v/>
      </c>
      <c r="K23" s="535">
        <f>IF(B23="","Pending",IF(M23="","⚠️ Enter Code",IF(IFERROR(VLOOKUP(L23,DB_Agents!$B:$I,8,0),"")=M23,"Pending","🔒 BLOCKED — Wrong Code")))</f>
        <v/>
      </c>
      <c r="L23" s="380" t="inlineStr">
        <is>
          <t>Agent 06</t>
        </is>
      </c>
      <c r="M23" s="491" t="n"/>
      <c r="N23" s="494" t="n"/>
    </row>
    <row r="24" ht="15" customHeight="1" s="341">
      <c r="A24" s="499">
        <f>IF(B24="","",IF(C24="❌ Account Not Found","INVALID","LN"&amp;TEXT(D24,"YYYYMMDD")&amp;TEXT(ROW()-13,"0000")))</f>
        <v/>
      </c>
      <c r="B24" s="495" t="n"/>
      <c r="C24" s="382">
        <f>IF(B24="","",IFERROR(VLOOKUP(B24,DB_Customers!$A:$D,4,0),"❌ Account Not Found"))</f>
        <v/>
      </c>
      <c r="D24" s="497">
        <f>IF(B24="","",TODAY())</f>
        <v/>
      </c>
      <c r="E24" s="526" t="n"/>
      <c r="F24" s="382" t="n"/>
      <c r="G24" s="527" t="n"/>
      <c r="H24" s="528" t="n"/>
      <c r="I24" s="529">
        <f>IF(E24="","",E24+(E24*H24/100*G24))</f>
        <v/>
      </c>
      <c r="J24" s="530">
        <f>IFERROR(I24/G24,"")</f>
        <v/>
      </c>
      <c r="K24" s="531">
        <f>IF(B24="","Pending",IF(M24="","⚠️ Enter Code",IF(IFERROR(VLOOKUP(L24,DB_Agents!$B:$I,8,0),"")=M24,"Pending","🔒 BLOCKED — Wrong Code")))</f>
        <v/>
      </c>
      <c r="L24" s="384" t="inlineStr">
        <is>
          <t>Agent 06</t>
        </is>
      </c>
      <c r="M24" s="491" t="n"/>
      <c r="N24" s="501" t="n"/>
    </row>
    <row r="25" ht="15" customHeight="1" s="341">
      <c r="A25" s="492">
        <f>IF(B25="","",IF(C25="❌ Account Not Found","INVALID","LN"&amp;TEXT(D25,"YYYYMMDD")&amp;TEXT(ROW()-13,"0000")))</f>
        <v/>
      </c>
      <c r="B25" s="486" t="n"/>
      <c r="C25" s="378">
        <f>IF(B25="","",IFERROR(VLOOKUP(B25,DB_Customers!$A:$D,4,0),"❌ Account Not Found"))</f>
        <v/>
      </c>
      <c r="D25" s="488">
        <f>IF(B25="","",TODAY())</f>
        <v/>
      </c>
      <c r="E25" s="526" t="n"/>
      <c r="F25" s="378" t="n"/>
      <c r="G25" s="532" t="n"/>
      <c r="H25" s="533" t="n"/>
      <c r="I25" s="529">
        <f>IF(E25="","",E25+(E25*H25/100*G25))</f>
        <v/>
      </c>
      <c r="J25" s="534">
        <f>IFERROR(I25/G25,"")</f>
        <v/>
      </c>
      <c r="K25" s="535">
        <f>IF(B25="","Pending",IF(M25="","⚠️ Enter Code",IF(IFERROR(VLOOKUP(L25,DB_Agents!$B:$I,8,0),"")=M25,"Pending","🔒 BLOCKED — Wrong Code")))</f>
        <v/>
      </c>
      <c r="L25" s="380" t="inlineStr">
        <is>
          <t>Agent 06</t>
        </is>
      </c>
      <c r="M25" s="491" t="n"/>
      <c r="N25" s="494" t="n"/>
    </row>
    <row r="26" ht="15" customHeight="1" s="341">
      <c r="A26" s="499">
        <f>IF(B26="","",IF(C26="❌ Account Not Found","INVALID","LN"&amp;TEXT(D26,"YYYYMMDD")&amp;TEXT(ROW()-13,"0000")))</f>
        <v/>
      </c>
      <c r="B26" s="495" t="n"/>
      <c r="C26" s="382">
        <f>IF(B26="","",IFERROR(VLOOKUP(B26,DB_Customers!$A:$D,4,0),"❌ Account Not Found"))</f>
        <v/>
      </c>
      <c r="D26" s="497">
        <f>IF(B26="","",TODAY())</f>
        <v/>
      </c>
      <c r="E26" s="526" t="n"/>
      <c r="F26" s="382" t="n"/>
      <c r="G26" s="527" t="n"/>
      <c r="H26" s="528" t="n"/>
      <c r="I26" s="529">
        <f>IF(E26="","",E26+(E26*H26/100*G26))</f>
        <v/>
      </c>
      <c r="J26" s="530">
        <f>IFERROR(I26/G26,"")</f>
        <v/>
      </c>
      <c r="K26" s="531">
        <f>IF(B26="","Pending",IF(M26="","⚠️ Enter Code",IF(IFERROR(VLOOKUP(L26,DB_Agents!$B:$I,8,0),"")=M26,"Pending","🔒 BLOCKED — Wrong Code")))</f>
        <v/>
      </c>
      <c r="L26" s="384" t="inlineStr">
        <is>
          <t>Agent 06</t>
        </is>
      </c>
      <c r="M26" s="491" t="n"/>
      <c r="N26" s="501" t="n"/>
    </row>
    <row r="27" ht="15" customHeight="1" s="341">
      <c r="A27" s="492">
        <f>IF(B27="","",IF(C27="❌ Account Not Found","INVALID","LN"&amp;TEXT(D27,"YYYYMMDD")&amp;TEXT(ROW()-13,"0000")))</f>
        <v/>
      </c>
      <c r="B27" s="486" t="n"/>
      <c r="C27" s="378">
        <f>IF(B27="","",IFERROR(VLOOKUP(B27,DB_Customers!$A:$D,4,0),"❌ Account Not Found"))</f>
        <v/>
      </c>
      <c r="D27" s="488">
        <f>IF(B27="","",TODAY())</f>
        <v/>
      </c>
      <c r="E27" s="526" t="n"/>
      <c r="F27" s="378" t="n"/>
      <c r="G27" s="532" t="n"/>
      <c r="H27" s="533" t="n"/>
      <c r="I27" s="529">
        <f>IF(E27="","",E27+(E27*H27/100*G27))</f>
        <v/>
      </c>
      <c r="J27" s="534">
        <f>IFERROR(I27/G27,"")</f>
        <v/>
      </c>
      <c r="K27" s="535">
        <f>IF(B27="","Pending",IF(M27="","⚠️ Enter Code",IF(IFERROR(VLOOKUP(L27,DB_Agents!$B:$I,8,0),"")=M27,"Pending","🔒 BLOCKED — Wrong Code")))</f>
        <v/>
      </c>
      <c r="L27" s="380" t="inlineStr">
        <is>
          <t>Agent 06</t>
        </is>
      </c>
      <c r="M27" s="491" t="n"/>
      <c r="N27" s="494" t="n"/>
    </row>
    <row r="28" ht="15" customHeight="1" s="341">
      <c r="A28" s="499">
        <f>IF(B28="","",IF(C28="❌ Account Not Found","INVALID","LN"&amp;TEXT(D28,"YYYYMMDD")&amp;TEXT(ROW()-13,"0000")))</f>
        <v/>
      </c>
      <c r="B28" s="495" t="n"/>
      <c r="C28" s="382">
        <f>IF(B28="","",IFERROR(VLOOKUP(B28,DB_Customers!$A:$D,4,0),"❌ Account Not Found"))</f>
        <v/>
      </c>
      <c r="D28" s="497">
        <f>IF(B28="","",TODAY())</f>
        <v/>
      </c>
      <c r="E28" s="526" t="n"/>
      <c r="F28" s="382" t="n"/>
      <c r="G28" s="527" t="n"/>
      <c r="H28" s="528" t="n"/>
      <c r="I28" s="529">
        <f>IF(E28="","",E28+(E28*H28/100*G28))</f>
        <v/>
      </c>
      <c r="J28" s="530">
        <f>IFERROR(I28/G28,"")</f>
        <v/>
      </c>
      <c r="K28" s="531">
        <f>IF(B28="","Pending",IF(M28="","⚠️ Enter Code",IF(IFERROR(VLOOKUP(L28,DB_Agents!$B:$I,8,0),"")=M28,"Pending","🔒 BLOCKED — Wrong Code")))</f>
        <v/>
      </c>
      <c r="L28" s="384" t="inlineStr">
        <is>
          <t>Agent 06</t>
        </is>
      </c>
      <c r="M28" s="491" t="n"/>
      <c r="N28" s="501" t="n"/>
    </row>
    <row r="29" ht="15" customHeight="1" s="341">
      <c r="A29" s="492">
        <f>IF(B29="","",IF(C29="❌ Account Not Found","INVALID","LN"&amp;TEXT(D29,"YYYYMMDD")&amp;TEXT(ROW()-13,"0000")))</f>
        <v/>
      </c>
      <c r="B29" s="486" t="n"/>
      <c r="C29" s="378">
        <f>IF(B29="","",IFERROR(VLOOKUP(B29,DB_Customers!$A:$D,4,0),"❌ Account Not Found"))</f>
        <v/>
      </c>
      <c r="D29" s="488">
        <f>IF(B29="","",TODAY())</f>
        <v/>
      </c>
      <c r="E29" s="526" t="n"/>
      <c r="F29" s="378" t="n"/>
      <c r="G29" s="532" t="n"/>
      <c r="H29" s="533" t="n"/>
      <c r="I29" s="529">
        <f>IF(E29="","",E29+(E29*H29/100*G29))</f>
        <v/>
      </c>
      <c r="J29" s="534">
        <f>IFERROR(I29/G29,"")</f>
        <v/>
      </c>
      <c r="K29" s="535">
        <f>IF(B29="","Pending",IF(M29="","⚠️ Enter Code",IF(IFERROR(VLOOKUP(L29,DB_Agents!$B:$I,8,0),"")=M29,"Pending","🔒 BLOCKED — Wrong Code")))</f>
        <v/>
      </c>
      <c r="L29" s="380" t="inlineStr">
        <is>
          <t>Agent 06</t>
        </is>
      </c>
      <c r="M29" s="491" t="n"/>
      <c r="N29" s="494" t="n"/>
    </row>
    <row r="30" ht="15" customHeight="1" s="341">
      <c r="A30" s="499">
        <f>IF(B30="","",IF(C30="❌ Account Not Found","INVALID","LN"&amp;TEXT(D30,"YYYYMMDD")&amp;TEXT(ROW()-13,"0000")))</f>
        <v/>
      </c>
      <c r="B30" s="495" t="n"/>
      <c r="C30" s="382">
        <f>IF(B30="","",IFERROR(VLOOKUP(B30,DB_Customers!$A:$D,4,0),"❌ Account Not Found"))</f>
        <v/>
      </c>
      <c r="D30" s="497">
        <f>IF(B30="","",TODAY())</f>
        <v/>
      </c>
      <c r="E30" s="526" t="n"/>
      <c r="F30" s="382" t="n"/>
      <c r="G30" s="527" t="n"/>
      <c r="H30" s="528" t="n"/>
      <c r="I30" s="529">
        <f>IF(E30="","",E30+(E30*H30/100*G30))</f>
        <v/>
      </c>
      <c r="J30" s="530">
        <f>IFERROR(I30/G30,"")</f>
        <v/>
      </c>
      <c r="K30" s="531">
        <f>IF(B30="","Pending",IF(M30="","⚠️ Enter Code",IF(IFERROR(VLOOKUP(L30,DB_Agents!$B:$I,8,0),"")=M30,"Pending","🔒 BLOCKED — Wrong Code")))</f>
        <v/>
      </c>
      <c r="L30" s="384" t="inlineStr">
        <is>
          <t>Agent 06</t>
        </is>
      </c>
      <c r="M30" s="491" t="n"/>
      <c r="N30" s="501" t="n"/>
    </row>
    <row r="31" ht="15" customHeight="1" s="341">
      <c r="A31" s="492">
        <f>IF(B31="","",IF(C31="❌ Account Not Found","INVALID","LN"&amp;TEXT(D31,"YYYYMMDD")&amp;TEXT(ROW()-13,"0000")))</f>
        <v/>
      </c>
      <c r="B31" s="486" t="n"/>
      <c r="C31" s="378">
        <f>IF(B31="","",IFERROR(VLOOKUP(B31,DB_Customers!$A:$D,4,0),"❌ Account Not Found"))</f>
        <v/>
      </c>
      <c r="D31" s="488">
        <f>IF(B31="","",TODAY())</f>
        <v/>
      </c>
      <c r="E31" s="526" t="n"/>
      <c r="F31" s="378" t="n"/>
      <c r="G31" s="532" t="n"/>
      <c r="H31" s="533" t="n"/>
      <c r="I31" s="529">
        <f>IF(E31="","",E31+(E31*H31/100*G31))</f>
        <v/>
      </c>
      <c r="J31" s="534">
        <f>IFERROR(I31/G31,"")</f>
        <v/>
      </c>
      <c r="K31" s="535">
        <f>IF(B31="","Pending",IF(M31="","⚠️ Enter Code",IF(IFERROR(VLOOKUP(L31,DB_Agents!$B:$I,8,0),"")=M31,"Pending","🔒 BLOCKED — Wrong Code")))</f>
        <v/>
      </c>
      <c r="L31" s="380" t="inlineStr">
        <is>
          <t>Agent 06</t>
        </is>
      </c>
      <c r="M31" s="491" t="n"/>
      <c r="N31" s="494" t="n"/>
    </row>
    <row r="32" ht="15" customHeight="1" s="341">
      <c r="A32" s="499">
        <f>IF(B32="","",IF(C32="❌ Account Not Found","INVALID","LN"&amp;TEXT(D32,"YYYYMMDD")&amp;TEXT(ROW()-13,"0000")))</f>
        <v/>
      </c>
      <c r="B32" s="495" t="n"/>
      <c r="C32" s="382">
        <f>IF(B32="","",IFERROR(VLOOKUP(B32,DB_Customers!$A:$D,4,0),"❌ Account Not Found"))</f>
        <v/>
      </c>
      <c r="D32" s="497">
        <f>IF(B32="","",TODAY())</f>
        <v/>
      </c>
      <c r="E32" s="526" t="n"/>
      <c r="F32" s="382" t="n"/>
      <c r="G32" s="527" t="n"/>
      <c r="H32" s="528" t="n"/>
      <c r="I32" s="529">
        <f>IF(E32="","",E32+(E32*H32/100*G32))</f>
        <v/>
      </c>
      <c r="J32" s="530">
        <f>IFERROR(I32/G32,"")</f>
        <v/>
      </c>
      <c r="K32" s="531">
        <f>IF(B32="","Pending",IF(M32="","⚠️ Enter Code",IF(IFERROR(VLOOKUP(L32,DB_Agents!$B:$I,8,0),"")=M32,"Pending","🔒 BLOCKED — Wrong Code")))</f>
        <v/>
      </c>
      <c r="L32" s="384" t="inlineStr">
        <is>
          <t>Agent 06</t>
        </is>
      </c>
      <c r="M32" s="491" t="n"/>
      <c r="N32" s="501" t="n"/>
    </row>
    <row r="33" ht="15" customHeight="1" s="341">
      <c r="A33" s="492">
        <f>IF(B33="","",IF(C33="❌ Account Not Found","INVALID","LN"&amp;TEXT(D33,"YYYYMMDD")&amp;TEXT(ROW()-13,"0000")))</f>
        <v/>
      </c>
      <c r="B33" s="486" t="n"/>
      <c r="C33" s="378">
        <f>IF(B33="","",IFERROR(VLOOKUP(B33,DB_Customers!$A:$D,4,0),"❌ Account Not Found"))</f>
        <v/>
      </c>
      <c r="D33" s="488">
        <f>IF(B33="","",TODAY())</f>
        <v/>
      </c>
      <c r="E33" s="526" t="n"/>
      <c r="F33" s="378" t="n"/>
      <c r="G33" s="532" t="n"/>
      <c r="H33" s="533" t="n"/>
      <c r="I33" s="529">
        <f>IF(E33="","",E33+(E33*H33/100*G33))</f>
        <v/>
      </c>
      <c r="J33" s="534">
        <f>IFERROR(I33/G33,"")</f>
        <v/>
      </c>
      <c r="K33" s="535">
        <f>IF(B33="","Pending",IF(M33="","⚠️ Enter Code",IF(IFERROR(VLOOKUP(L33,DB_Agents!$B:$I,8,0),"")=M33,"Pending","🔒 BLOCKED — Wrong Code")))</f>
        <v/>
      </c>
      <c r="L33" s="380" t="inlineStr">
        <is>
          <t>Agent 06</t>
        </is>
      </c>
      <c r="M33" s="491" t="n"/>
      <c r="N33" s="494" t="n"/>
    </row>
    <row r="34" ht="15" customHeight="1" s="341">
      <c r="A34" s="499">
        <f>IF(B34="","",IF(C34="❌ Account Not Found","INVALID","LN"&amp;TEXT(D34,"YYYYMMDD")&amp;TEXT(ROW()-13,"0000")))</f>
        <v/>
      </c>
      <c r="B34" s="495" t="n"/>
      <c r="C34" s="382">
        <f>IF(B34="","",IFERROR(VLOOKUP(B34,DB_Customers!$A:$D,4,0),"❌ Account Not Found"))</f>
        <v/>
      </c>
      <c r="D34" s="497">
        <f>IF(B34="","",TODAY())</f>
        <v/>
      </c>
      <c r="E34" s="526" t="n"/>
      <c r="F34" s="382" t="n"/>
      <c r="G34" s="527" t="n"/>
      <c r="H34" s="528" t="n"/>
      <c r="I34" s="529">
        <f>IF(E34="","",E34+(E34*H34/100*G34))</f>
        <v/>
      </c>
      <c r="J34" s="530">
        <f>IFERROR(I34/G34,"")</f>
        <v/>
      </c>
      <c r="K34" s="531">
        <f>IF(B34="","Pending",IF(M34="","⚠️ Enter Code",IF(IFERROR(VLOOKUP(L34,DB_Agents!$B:$I,8,0),"")=M34,"Pending","🔒 BLOCKED — Wrong Code")))</f>
        <v/>
      </c>
      <c r="L34" s="384" t="inlineStr">
        <is>
          <t>Agent 06</t>
        </is>
      </c>
      <c r="M34" s="491" t="n"/>
      <c r="N34" s="501" t="n"/>
    </row>
    <row r="35" ht="15" customHeight="1" s="341">
      <c r="A35" s="492">
        <f>IF(B35="","",IF(C35="❌ Account Not Found","INVALID","LN"&amp;TEXT(D35,"YYYYMMDD")&amp;TEXT(ROW()-13,"0000")))</f>
        <v/>
      </c>
      <c r="B35" s="486" t="n"/>
      <c r="C35" s="378">
        <f>IF(B35="","",IFERROR(VLOOKUP(B35,DB_Customers!$A:$D,4,0),"❌ Account Not Found"))</f>
        <v/>
      </c>
      <c r="D35" s="488">
        <f>IF(B35="","",TODAY())</f>
        <v/>
      </c>
      <c r="E35" s="526" t="n"/>
      <c r="F35" s="378" t="n"/>
      <c r="G35" s="532" t="n"/>
      <c r="H35" s="533" t="n"/>
      <c r="I35" s="529">
        <f>IF(E35="","",E35+(E35*H35/100*G35))</f>
        <v/>
      </c>
      <c r="J35" s="534">
        <f>IFERROR(I35/G35,"")</f>
        <v/>
      </c>
      <c r="K35" s="535">
        <f>IF(B35="","Pending",IF(M35="","⚠️ Enter Code",IF(IFERROR(VLOOKUP(L35,DB_Agents!$B:$I,8,0),"")=M35,"Pending","🔒 BLOCKED — Wrong Code")))</f>
        <v/>
      </c>
      <c r="L35" s="380" t="inlineStr">
        <is>
          <t>Agent 06</t>
        </is>
      </c>
      <c r="M35" s="491" t="n"/>
      <c r="N35" s="494" t="n"/>
    </row>
    <row r="36" ht="15" customHeight="1" s="341">
      <c r="A36" s="499">
        <f>IF(B36="","",IF(C36="❌ Account Not Found","INVALID","LN"&amp;TEXT(D36,"YYYYMMDD")&amp;TEXT(ROW()-13,"0000")))</f>
        <v/>
      </c>
      <c r="B36" s="495" t="n"/>
      <c r="C36" s="382">
        <f>IF(B36="","",IFERROR(VLOOKUP(B36,DB_Customers!$A:$D,4,0),"❌ Account Not Found"))</f>
        <v/>
      </c>
      <c r="D36" s="497">
        <f>IF(B36="","",TODAY())</f>
        <v/>
      </c>
      <c r="E36" s="526" t="n"/>
      <c r="F36" s="382" t="n"/>
      <c r="G36" s="527" t="n"/>
      <c r="H36" s="528" t="n"/>
      <c r="I36" s="529">
        <f>IF(E36="","",E36+(E36*H36/100*G36))</f>
        <v/>
      </c>
      <c r="J36" s="530">
        <f>IFERROR(I36/G36,"")</f>
        <v/>
      </c>
      <c r="K36" s="531">
        <f>IF(B36="","Pending",IF(M36="","⚠️ Enter Code",IF(IFERROR(VLOOKUP(L36,DB_Agents!$B:$I,8,0),"")=M36,"Pending","🔒 BLOCKED — Wrong Code")))</f>
        <v/>
      </c>
      <c r="L36" s="384" t="inlineStr">
        <is>
          <t>Agent 06</t>
        </is>
      </c>
      <c r="M36" s="491" t="n"/>
      <c r="N36" s="501" t="n"/>
    </row>
    <row r="37" ht="15" customHeight="1" s="341">
      <c r="A37" s="492">
        <f>IF(B37="","",IF(C37="❌ Account Not Found","INVALID","LN"&amp;TEXT(D37,"YYYYMMDD")&amp;TEXT(ROW()-13,"0000")))</f>
        <v/>
      </c>
      <c r="B37" s="486" t="n"/>
      <c r="C37" s="378">
        <f>IF(B37="","",IFERROR(VLOOKUP(B37,DB_Customers!$A:$D,4,0),"❌ Account Not Found"))</f>
        <v/>
      </c>
      <c r="D37" s="488">
        <f>IF(B37="","",TODAY())</f>
        <v/>
      </c>
      <c r="E37" s="526" t="n"/>
      <c r="F37" s="378" t="n"/>
      <c r="G37" s="532" t="n"/>
      <c r="H37" s="533" t="n"/>
      <c r="I37" s="529">
        <f>IF(E37="","",E37+(E37*H37/100*G37))</f>
        <v/>
      </c>
      <c r="J37" s="534">
        <f>IFERROR(I37/G37,"")</f>
        <v/>
      </c>
      <c r="K37" s="535">
        <f>IF(B37="","Pending",IF(M37="","⚠️ Enter Code",IF(IFERROR(VLOOKUP(L37,DB_Agents!$B:$I,8,0),"")=M37,"Pending","🔒 BLOCKED — Wrong Code")))</f>
        <v/>
      </c>
      <c r="L37" s="380" t="inlineStr">
        <is>
          <t>Agent 06</t>
        </is>
      </c>
      <c r="M37" s="491" t="n"/>
      <c r="N37" s="494" t="n"/>
    </row>
    <row r="38" ht="15" customHeight="1" s="341">
      <c r="A38" s="499">
        <f>IF(B38="","",IF(C38="❌ Account Not Found","INVALID","LN"&amp;TEXT(D38,"YYYYMMDD")&amp;TEXT(ROW()-13,"0000")))</f>
        <v/>
      </c>
      <c r="B38" s="495" t="n"/>
      <c r="C38" s="382">
        <f>IF(B38="","",IFERROR(VLOOKUP(B38,DB_Customers!$A:$D,4,0),"❌ Account Not Found"))</f>
        <v/>
      </c>
      <c r="D38" s="497">
        <f>IF(B38="","",TODAY())</f>
        <v/>
      </c>
      <c r="E38" s="526" t="n"/>
      <c r="F38" s="382" t="n"/>
      <c r="G38" s="527" t="n"/>
      <c r="H38" s="528" t="n"/>
      <c r="I38" s="529">
        <f>IF(E38="","",E38+(E38*H38/100*G38))</f>
        <v/>
      </c>
      <c r="J38" s="530">
        <f>IFERROR(I38/G38,"")</f>
        <v/>
      </c>
      <c r="K38" s="531">
        <f>IF(B38="","Pending",IF(M38="","⚠️ Enter Code",IF(IFERROR(VLOOKUP(L38,DB_Agents!$B:$I,8,0),"")=M38,"Pending","🔒 BLOCKED — Wrong Code")))</f>
        <v/>
      </c>
      <c r="L38" s="384" t="inlineStr">
        <is>
          <t>Agent 06</t>
        </is>
      </c>
      <c r="M38" s="491" t="n"/>
      <c r="N38" s="501" t="n"/>
    </row>
    <row r="39" ht="15" customHeight="1" s="341">
      <c r="A39" s="492">
        <f>IF(B39="","",IF(C39="❌ Account Not Found","INVALID","LN"&amp;TEXT(D39,"YYYYMMDD")&amp;TEXT(ROW()-13,"0000")))</f>
        <v/>
      </c>
      <c r="B39" s="486" t="n"/>
      <c r="C39" s="378">
        <f>IF(B39="","",IFERROR(VLOOKUP(B39,DB_Customers!$A:$D,4,0),"❌ Account Not Found"))</f>
        <v/>
      </c>
      <c r="D39" s="488">
        <f>IF(B39="","",TODAY())</f>
        <v/>
      </c>
      <c r="E39" s="526" t="n"/>
      <c r="F39" s="378" t="n"/>
      <c r="G39" s="532" t="n"/>
      <c r="H39" s="533" t="n"/>
      <c r="I39" s="529">
        <f>IF(E39="","",E39+(E39*H39/100*G39))</f>
        <v/>
      </c>
      <c r="J39" s="534">
        <f>IFERROR(I39/G39,"")</f>
        <v/>
      </c>
      <c r="K39" s="535">
        <f>IF(B39="","Pending",IF(M39="","⚠️ Enter Code",IF(IFERROR(VLOOKUP(L39,DB_Agents!$B:$I,8,0),"")=M39,"Pending","🔒 BLOCKED — Wrong Code")))</f>
        <v/>
      </c>
      <c r="L39" s="380" t="inlineStr">
        <is>
          <t>Agent 06</t>
        </is>
      </c>
      <c r="M39" s="491" t="n"/>
      <c r="N39" s="494" t="n"/>
    </row>
    <row r="40" ht="15" customHeight="1" s="341">
      <c r="A40" s="499">
        <f>IF(B40="","",IF(C40="❌ Account Not Found","INVALID","LN"&amp;TEXT(D40,"YYYYMMDD")&amp;TEXT(ROW()-13,"0000")))</f>
        <v/>
      </c>
      <c r="B40" s="495" t="n"/>
      <c r="C40" s="382">
        <f>IF(B40="","",IFERROR(VLOOKUP(B40,DB_Customers!$A:$D,4,0),"❌ Account Not Found"))</f>
        <v/>
      </c>
      <c r="D40" s="497">
        <f>IF(B40="","",TODAY())</f>
        <v/>
      </c>
      <c r="E40" s="526" t="n"/>
      <c r="F40" s="382" t="n"/>
      <c r="G40" s="527" t="n"/>
      <c r="H40" s="528" t="n"/>
      <c r="I40" s="529">
        <f>IF(E40="","",E40+(E40*H40/100*G40))</f>
        <v/>
      </c>
      <c r="J40" s="530">
        <f>IFERROR(I40/G40,"")</f>
        <v/>
      </c>
      <c r="K40" s="531">
        <f>IF(B40="","Pending",IF(M40="","⚠️ Enter Code",IF(IFERROR(VLOOKUP(L40,DB_Agents!$B:$I,8,0),"")=M40,"Pending","🔒 BLOCKED — Wrong Code")))</f>
        <v/>
      </c>
      <c r="L40" s="384" t="inlineStr">
        <is>
          <t>Agent 06</t>
        </is>
      </c>
      <c r="M40" s="491" t="n"/>
      <c r="N40" s="501" t="n"/>
    </row>
    <row r="41" ht="15" customHeight="1" s="341">
      <c r="A41" s="492">
        <f>IF(B41="","",IF(C41="❌ Account Not Found","INVALID","LN"&amp;TEXT(D41,"YYYYMMDD")&amp;TEXT(ROW()-13,"0000")))</f>
        <v/>
      </c>
      <c r="B41" s="486" t="n"/>
      <c r="C41" s="378">
        <f>IF(B41="","",IFERROR(VLOOKUP(B41,DB_Customers!$A:$D,4,0),"❌ Account Not Found"))</f>
        <v/>
      </c>
      <c r="D41" s="488">
        <f>IF(B41="","",TODAY())</f>
        <v/>
      </c>
      <c r="E41" s="526" t="n"/>
      <c r="F41" s="378" t="n"/>
      <c r="G41" s="532" t="n"/>
      <c r="H41" s="533" t="n"/>
      <c r="I41" s="529">
        <f>IF(E41="","",E41+(E41*H41/100*G41))</f>
        <v/>
      </c>
      <c r="J41" s="534">
        <f>IFERROR(I41/G41,"")</f>
        <v/>
      </c>
      <c r="K41" s="535">
        <f>IF(B41="","Pending",IF(M41="","⚠️ Enter Code",IF(IFERROR(VLOOKUP(L41,DB_Agents!$B:$I,8,0),"")=M41,"Pending","🔒 BLOCKED — Wrong Code")))</f>
        <v/>
      </c>
      <c r="L41" s="380" t="inlineStr">
        <is>
          <t>Agent 06</t>
        </is>
      </c>
      <c r="M41" s="491" t="n"/>
      <c r="N41" s="494" t="n"/>
    </row>
    <row r="42" ht="15" customHeight="1" s="341">
      <c r="A42" s="499">
        <f>IF(B42="","",IF(C42="❌ Account Not Found","INVALID","LN"&amp;TEXT(D42,"YYYYMMDD")&amp;TEXT(ROW()-13,"0000")))</f>
        <v/>
      </c>
      <c r="B42" s="495" t="n"/>
      <c r="C42" s="382">
        <f>IF(B42="","",IFERROR(VLOOKUP(B42,DB_Customers!$A:$D,4,0),"❌ Account Not Found"))</f>
        <v/>
      </c>
      <c r="D42" s="497">
        <f>IF(B42="","",TODAY())</f>
        <v/>
      </c>
      <c r="E42" s="526" t="n"/>
      <c r="F42" s="382" t="n"/>
      <c r="G42" s="527" t="n"/>
      <c r="H42" s="528" t="n"/>
      <c r="I42" s="529">
        <f>IF(E42="","",E42+(E42*H42/100*G42))</f>
        <v/>
      </c>
      <c r="J42" s="530">
        <f>IFERROR(I42/G42,"")</f>
        <v/>
      </c>
      <c r="K42" s="531">
        <f>IF(B42="","Pending",IF(M42="","⚠️ Enter Code",IF(IFERROR(VLOOKUP(L42,DB_Agents!$B:$I,8,0),"")=M42,"Pending","🔒 BLOCKED — Wrong Code")))</f>
        <v/>
      </c>
      <c r="L42" s="384" t="inlineStr">
        <is>
          <t>Agent 06</t>
        </is>
      </c>
      <c r="M42" s="491" t="n"/>
      <c r="N42" s="501" t="n"/>
    </row>
    <row r="43" ht="15" customHeight="1" s="341">
      <c r="A43" s="492">
        <f>IF(B43="","",IF(C43="❌ Account Not Found","INVALID","LN"&amp;TEXT(D43,"YYYYMMDD")&amp;TEXT(ROW()-13,"0000")))</f>
        <v/>
      </c>
      <c r="B43" s="486" t="n"/>
      <c r="C43" s="378">
        <f>IF(B43="","",IFERROR(VLOOKUP(B43,DB_Customers!$A:$D,4,0),"❌ Account Not Found"))</f>
        <v/>
      </c>
      <c r="D43" s="488">
        <f>IF(B43="","",TODAY())</f>
        <v/>
      </c>
      <c r="E43" s="526" t="n"/>
      <c r="F43" s="378" t="n"/>
      <c r="G43" s="532" t="n"/>
      <c r="H43" s="533" t="n"/>
      <c r="I43" s="529">
        <f>IF(E43="","",E43+(E43*H43/100*G43))</f>
        <v/>
      </c>
      <c r="J43" s="534">
        <f>IFERROR(I43/G43,"")</f>
        <v/>
      </c>
      <c r="K43" s="535">
        <f>IF(B43="","Pending",IF(M43="","⚠️ Enter Code",IF(IFERROR(VLOOKUP(L43,DB_Agents!$B:$I,8,0),"")=M43,"Pending","🔒 BLOCKED — Wrong Code")))</f>
        <v/>
      </c>
      <c r="L43" s="380" t="inlineStr">
        <is>
          <t>Agent 06</t>
        </is>
      </c>
      <c r="M43" s="491" t="n"/>
      <c r="N43" s="494" t="n"/>
    </row>
    <row r="44" ht="15" customHeight="1" s="341">
      <c r="A44" s="499">
        <f>IF(B44="","",IF(C44="❌ Account Not Found","INVALID","LN"&amp;TEXT(D44,"YYYYMMDD")&amp;TEXT(ROW()-13,"0000")))</f>
        <v/>
      </c>
      <c r="B44" s="495" t="n"/>
      <c r="C44" s="382">
        <f>IF(B44="","",IFERROR(VLOOKUP(B44,DB_Customers!$A:$D,4,0),"❌ Account Not Found"))</f>
        <v/>
      </c>
      <c r="D44" s="497">
        <f>IF(B44="","",TODAY())</f>
        <v/>
      </c>
      <c r="E44" s="526" t="n"/>
      <c r="F44" s="382" t="n"/>
      <c r="G44" s="527" t="n"/>
      <c r="H44" s="528" t="n"/>
      <c r="I44" s="529">
        <f>IF(E44="","",E44+(E44*H44/100*G44))</f>
        <v/>
      </c>
      <c r="J44" s="530">
        <f>IFERROR(I44/G44,"")</f>
        <v/>
      </c>
      <c r="K44" s="531">
        <f>IF(B44="","Pending",IF(M44="","⚠️ Enter Code",IF(IFERROR(VLOOKUP(L44,DB_Agents!$B:$I,8,0),"")=M44,"Pending","🔒 BLOCKED — Wrong Code")))</f>
        <v/>
      </c>
      <c r="L44" s="384" t="inlineStr">
        <is>
          <t>Agent 06</t>
        </is>
      </c>
      <c r="M44" s="491" t="n"/>
      <c r="N44" s="501" t="n"/>
    </row>
    <row r="45" ht="15" customHeight="1" s="341">
      <c r="A45" s="492">
        <f>IF(B45="","",IF(C45="❌ Account Not Found","INVALID","LN"&amp;TEXT(D45,"YYYYMMDD")&amp;TEXT(ROW()-13,"0000")))</f>
        <v/>
      </c>
      <c r="B45" s="486" t="n"/>
      <c r="C45" s="378">
        <f>IF(B45="","",IFERROR(VLOOKUP(B45,DB_Customers!$A:$D,4,0),"❌ Account Not Found"))</f>
        <v/>
      </c>
      <c r="D45" s="488">
        <f>IF(B45="","",TODAY())</f>
        <v/>
      </c>
      <c r="E45" s="526" t="n"/>
      <c r="F45" s="378" t="n"/>
      <c r="G45" s="532" t="n"/>
      <c r="H45" s="533" t="n"/>
      <c r="I45" s="529">
        <f>IF(E45="","",E45+(E45*H45/100*G45))</f>
        <v/>
      </c>
      <c r="J45" s="534">
        <f>IFERROR(I45/G45,"")</f>
        <v/>
      </c>
      <c r="K45" s="535">
        <f>IF(B45="","Pending",IF(M45="","⚠️ Enter Code",IF(IFERROR(VLOOKUP(L45,DB_Agents!$B:$I,8,0),"")=M45,"Pending","🔒 BLOCKED — Wrong Code")))</f>
        <v/>
      </c>
      <c r="L45" s="380" t="inlineStr">
        <is>
          <t>Agent 06</t>
        </is>
      </c>
      <c r="M45" s="491" t="n"/>
      <c r="N45" s="494" t="n"/>
    </row>
    <row r="46" ht="15" customHeight="1" s="341">
      <c r="A46" s="499">
        <f>IF(B46="","",IF(C46="❌ Account Not Found","INVALID","LN"&amp;TEXT(D46,"YYYYMMDD")&amp;TEXT(ROW()-13,"0000")))</f>
        <v/>
      </c>
      <c r="B46" s="495" t="n"/>
      <c r="C46" s="382">
        <f>IF(B46="","",IFERROR(VLOOKUP(B46,DB_Customers!$A:$D,4,0),"❌ Account Not Found"))</f>
        <v/>
      </c>
      <c r="D46" s="497">
        <f>IF(B46="","",TODAY())</f>
        <v/>
      </c>
      <c r="E46" s="526" t="n"/>
      <c r="F46" s="382" t="n"/>
      <c r="G46" s="527" t="n"/>
      <c r="H46" s="528" t="n"/>
      <c r="I46" s="529">
        <f>IF(E46="","",E46+(E46*H46/100*G46))</f>
        <v/>
      </c>
      <c r="J46" s="530">
        <f>IFERROR(I46/G46,"")</f>
        <v/>
      </c>
      <c r="K46" s="531">
        <f>IF(B46="","Pending",IF(M46="","⚠️ Enter Code",IF(IFERROR(VLOOKUP(L46,DB_Agents!$B:$I,8,0),"")=M46,"Pending","🔒 BLOCKED — Wrong Code")))</f>
        <v/>
      </c>
      <c r="L46" s="384" t="inlineStr">
        <is>
          <t>Agent 06</t>
        </is>
      </c>
      <c r="M46" s="491" t="n"/>
      <c r="N46" s="501" t="n"/>
    </row>
    <row r="47" ht="15" customHeight="1" s="341">
      <c r="A47" s="492">
        <f>IF(B47="","",IF(C47="❌ Account Not Found","INVALID","LN"&amp;TEXT(D47,"YYYYMMDD")&amp;TEXT(ROW()-13,"0000")))</f>
        <v/>
      </c>
      <c r="B47" s="486" t="n"/>
      <c r="C47" s="378">
        <f>IF(B47="","",IFERROR(VLOOKUP(B47,DB_Customers!$A:$D,4,0),"❌ Account Not Found"))</f>
        <v/>
      </c>
      <c r="D47" s="488">
        <f>IF(B47="","",TODAY())</f>
        <v/>
      </c>
      <c r="E47" s="526" t="n"/>
      <c r="F47" s="378" t="n"/>
      <c r="G47" s="532" t="n"/>
      <c r="H47" s="533" t="n"/>
      <c r="I47" s="529">
        <f>IF(E47="","",E47+(E47*H47/100*G47))</f>
        <v/>
      </c>
      <c r="J47" s="534">
        <f>IFERROR(I47/G47,"")</f>
        <v/>
      </c>
      <c r="K47" s="535">
        <f>IF(B47="","Pending",IF(M47="","⚠️ Enter Code",IF(IFERROR(VLOOKUP(L47,DB_Agents!$B:$I,8,0),"")=M47,"Pending","🔒 BLOCKED — Wrong Code")))</f>
        <v/>
      </c>
      <c r="L47" s="380" t="inlineStr">
        <is>
          <t>Agent 06</t>
        </is>
      </c>
      <c r="M47" s="491" t="n"/>
      <c r="N47" s="494" t="n"/>
    </row>
    <row r="48" ht="15" customHeight="1" s="341">
      <c r="A48" s="499">
        <f>IF(B48="","",IF(C48="❌ Account Not Found","INVALID","LN"&amp;TEXT(D48,"YYYYMMDD")&amp;TEXT(ROW()-13,"0000")))</f>
        <v/>
      </c>
      <c r="B48" s="495" t="n"/>
      <c r="C48" s="382">
        <f>IF(B48="","",IFERROR(VLOOKUP(B48,DB_Customers!$A:$D,4,0),"❌ Account Not Found"))</f>
        <v/>
      </c>
      <c r="D48" s="497">
        <f>IF(B48="","",TODAY())</f>
        <v/>
      </c>
      <c r="E48" s="526" t="n"/>
      <c r="F48" s="382" t="n"/>
      <c r="G48" s="527" t="n"/>
      <c r="H48" s="528" t="n"/>
      <c r="I48" s="529">
        <f>IF(E48="","",E48+(E48*H48/100*G48))</f>
        <v/>
      </c>
      <c r="J48" s="530">
        <f>IFERROR(I48/G48,"")</f>
        <v/>
      </c>
      <c r="K48" s="531">
        <f>IF(B48="","Pending",IF(M48="","⚠️ Enter Code",IF(IFERROR(VLOOKUP(L48,DB_Agents!$B:$I,8,0),"")=M48,"Pending","🔒 BLOCKED — Wrong Code")))</f>
        <v/>
      </c>
      <c r="L48" s="384" t="inlineStr">
        <is>
          <t>Agent 06</t>
        </is>
      </c>
      <c r="M48" s="491" t="n"/>
      <c r="N48" s="501" t="n"/>
    </row>
    <row r="49" ht="15" customHeight="1" s="341">
      <c r="A49" s="492">
        <f>IF(B49="","",IF(C49="❌ Account Not Found","INVALID","LN"&amp;TEXT(D49,"YYYYMMDD")&amp;TEXT(ROW()-13,"0000")))</f>
        <v/>
      </c>
      <c r="B49" s="486" t="n"/>
      <c r="C49" s="378">
        <f>IF(B49="","",IFERROR(VLOOKUP(B49,DB_Customers!$A:$D,4,0),"❌ Account Not Found"))</f>
        <v/>
      </c>
      <c r="D49" s="488">
        <f>IF(B49="","",TODAY())</f>
        <v/>
      </c>
      <c r="E49" s="526" t="n"/>
      <c r="F49" s="378" t="n"/>
      <c r="G49" s="532" t="n"/>
      <c r="H49" s="533" t="n"/>
      <c r="I49" s="529">
        <f>IF(E49="","",E49+(E49*H49/100*G49))</f>
        <v/>
      </c>
      <c r="J49" s="534">
        <f>IFERROR(I49/G49,"")</f>
        <v/>
      </c>
      <c r="K49" s="535">
        <f>IF(B49="","Pending",IF(M49="","⚠️ Enter Code",IF(IFERROR(VLOOKUP(L49,DB_Agents!$B:$I,8,0),"")=M49,"Pending","🔒 BLOCKED — Wrong Code")))</f>
        <v/>
      </c>
      <c r="L49" s="380" t="inlineStr">
        <is>
          <t>Agent 06</t>
        </is>
      </c>
      <c r="M49" s="491" t="n"/>
      <c r="N49" s="494" t="n"/>
    </row>
    <row r="50" ht="15" customHeight="1" s="341">
      <c r="A50" s="499">
        <f>IF(B50="","",IF(C50="❌ Account Not Found","INVALID","LN"&amp;TEXT(D50,"YYYYMMDD")&amp;TEXT(ROW()-13,"0000")))</f>
        <v/>
      </c>
      <c r="B50" s="495" t="n"/>
      <c r="C50" s="382">
        <f>IF(B50="","",IFERROR(VLOOKUP(B50,DB_Customers!$A:$D,4,0),"❌ Account Not Found"))</f>
        <v/>
      </c>
      <c r="D50" s="497">
        <f>IF(B50="","",TODAY())</f>
        <v/>
      </c>
      <c r="E50" s="526" t="n"/>
      <c r="F50" s="382" t="n"/>
      <c r="G50" s="527" t="n"/>
      <c r="H50" s="528" t="n"/>
      <c r="I50" s="529">
        <f>IF(E50="","",E50+(E50*H50/100*G50))</f>
        <v/>
      </c>
      <c r="J50" s="530">
        <f>IFERROR(I50/G50,"")</f>
        <v/>
      </c>
      <c r="K50" s="531">
        <f>IF(B50="","Pending",IF(M50="","⚠️ Enter Code",IF(IFERROR(VLOOKUP(L50,DB_Agents!$B:$I,8,0),"")=M50,"Pending","🔒 BLOCKED — Wrong Code")))</f>
        <v/>
      </c>
      <c r="L50" s="384" t="inlineStr">
        <is>
          <t>Agent 06</t>
        </is>
      </c>
      <c r="M50" s="491" t="n"/>
      <c r="N50" s="501" t="n"/>
    </row>
    <row r="51" ht="15" customHeight="1" s="341">
      <c r="A51" s="492">
        <f>IF(B51="","",IF(C51="❌ Account Not Found","INVALID","LN"&amp;TEXT(D51,"YYYYMMDD")&amp;TEXT(ROW()-13,"0000")))</f>
        <v/>
      </c>
      <c r="B51" s="486" t="n"/>
      <c r="C51" s="378">
        <f>IF(B51="","",IFERROR(VLOOKUP(B51,DB_Customers!$A:$D,4,0),"❌ Account Not Found"))</f>
        <v/>
      </c>
      <c r="D51" s="488">
        <f>IF(B51="","",TODAY())</f>
        <v/>
      </c>
      <c r="E51" s="526" t="n"/>
      <c r="F51" s="378" t="n"/>
      <c r="G51" s="532" t="n"/>
      <c r="H51" s="533" t="n"/>
      <c r="I51" s="529">
        <f>IF(E51="","",E51+(E51*H51/100*G51))</f>
        <v/>
      </c>
      <c r="J51" s="534">
        <f>IFERROR(I51/G51,"")</f>
        <v/>
      </c>
      <c r="K51" s="535">
        <f>IF(B51="","Pending",IF(M51="","⚠️ Enter Code",IF(IFERROR(VLOOKUP(L51,DB_Agents!$B:$I,8,0),"")=M51,"Pending","🔒 BLOCKED — Wrong Code")))</f>
        <v/>
      </c>
      <c r="L51" s="380" t="inlineStr">
        <is>
          <t>Agent 06</t>
        </is>
      </c>
      <c r="M51" s="491" t="n"/>
      <c r="N51" s="494" t="n"/>
    </row>
    <row r="52" ht="15" customHeight="1" s="341">
      <c r="A52" s="499">
        <f>IF(B52="","",IF(C52="❌ Account Not Found","INVALID","LN"&amp;TEXT(D52,"YYYYMMDD")&amp;TEXT(ROW()-13,"0000")))</f>
        <v/>
      </c>
      <c r="B52" s="495" t="n"/>
      <c r="C52" s="382">
        <f>IF(B52="","",IFERROR(VLOOKUP(B52,DB_Customers!$A:$D,4,0),"❌ Account Not Found"))</f>
        <v/>
      </c>
      <c r="D52" s="497">
        <f>IF(B52="","",TODAY())</f>
        <v/>
      </c>
      <c r="E52" s="526" t="n"/>
      <c r="F52" s="382" t="n"/>
      <c r="G52" s="527" t="n"/>
      <c r="H52" s="528" t="n"/>
      <c r="I52" s="529">
        <f>IF(E52="","",E52+(E52*H52/100*G52))</f>
        <v/>
      </c>
      <c r="J52" s="530">
        <f>IFERROR(I52/G52,"")</f>
        <v/>
      </c>
      <c r="K52" s="531">
        <f>IF(B52="","Pending",IF(M52="","⚠️ Enter Code",IF(IFERROR(VLOOKUP(L52,DB_Agents!$B:$I,8,0),"")=M52,"Pending","🔒 BLOCKED — Wrong Code")))</f>
        <v/>
      </c>
      <c r="L52" s="384" t="inlineStr">
        <is>
          <t>Agent 06</t>
        </is>
      </c>
      <c r="M52" s="491" t="n"/>
      <c r="N52" s="501" t="n"/>
    </row>
    <row r="53" ht="15" customHeight="1" s="341">
      <c r="A53" s="492">
        <f>IF(B53="","",IF(C53="❌ Account Not Found","INVALID","LN"&amp;TEXT(D53,"YYYYMMDD")&amp;TEXT(ROW()-13,"0000")))</f>
        <v/>
      </c>
      <c r="B53" s="486" t="n"/>
      <c r="C53" s="378">
        <f>IF(B53="","",IFERROR(VLOOKUP(B53,DB_Customers!$A:$D,4,0),"❌ Account Not Found"))</f>
        <v/>
      </c>
      <c r="D53" s="488">
        <f>IF(B53="","",TODAY())</f>
        <v/>
      </c>
      <c r="E53" s="526" t="n"/>
      <c r="F53" s="378" t="n"/>
      <c r="G53" s="532" t="n"/>
      <c r="H53" s="533" t="n"/>
      <c r="I53" s="529">
        <f>IF(E53="","",E53+(E53*H53/100*G53))</f>
        <v/>
      </c>
      <c r="J53" s="534">
        <f>IFERROR(I53/G53,"")</f>
        <v/>
      </c>
      <c r="K53" s="535">
        <f>IF(B53="","Pending",IF(M53="","⚠️ Enter Code",IF(IFERROR(VLOOKUP(L53,DB_Agents!$B:$I,8,0),"")=M53,"Pending","🔒 BLOCKED — Wrong Code")))</f>
        <v/>
      </c>
      <c r="L53" s="380" t="inlineStr">
        <is>
          <t>Agent 06</t>
        </is>
      </c>
      <c r="M53" s="491" t="n"/>
      <c r="N53" s="494" t="n"/>
    </row>
    <row r="54" ht="15" customHeight="1" s="341">
      <c r="A54" s="499">
        <f>IF(B54="","",IF(C54="❌ Account Not Found","INVALID","LN"&amp;TEXT(D54,"YYYYMMDD")&amp;TEXT(ROW()-13,"0000")))</f>
        <v/>
      </c>
      <c r="B54" s="495" t="n"/>
      <c r="C54" s="382">
        <f>IF(B54="","",IFERROR(VLOOKUP(B54,DB_Customers!$A:$D,4,0),"❌ Account Not Found"))</f>
        <v/>
      </c>
      <c r="D54" s="497">
        <f>IF(B54="","",TODAY())</f>
        <v/>
      </c>
      <c r="E54" s="526" t="n"/>
      <c r="F54" s="382" t="n"/>
      <c r="G54" s="527" t="n"/>
      <c r="H54" s="528" t="n"/>
      <c r="I54" s="529">
        <f>IF(E54="","",E54+(E54*H54/100*G54))</f>
        <v/>
      </c>
      <c r="J54" s="530">
        <f>IFERROR(I54/G54,"")</f>
        <v/>
      </c>
      <c r="K54" s="531">
        <f>IF(B54="","Pending",IF(M54="","⚠️ Enter Code",IF(IFERROR(VLOOKUP(L54,DB_Agents!$B:$I,8,0),"")=M54,"Pending","🔒 BLOCKED — Wrong Code")))</f>
        <v/>
      </c>
      <c r="L54" s="384" t="inlineStr">
        <is>
          <t>Agent 06</t>
        </is>
      </c>
      <c r="M54" s="491" t="n"/>
      <c r="N54" s="501" t="n"/>
    </row>
    <row r="55" ht="15" customHeight="1" s="341">
      <c r="A55" s="492">
        <f>IF(B55="","",IF(C55="❌ Account Not Found","INVALID","LN"&amp;TEXT(D55,"YYYYMMDD")&amp;TEXT(ROW()-13,"0000")))</f>
        <v/>
      </c>
      <c r="B55" s="486" t="n"/>
      <c r="C55" s="378">
        <f>IF(B55="","",IFERROR(VLOOKUP(B55,DB_Customers!$A:$D,4,0),"❌ Account Not Found"))</f>
        <v/>
      </c>
      <c r="D55" s="488">
        <f>IF(B55="","",TODAY())</f>
        <v/>
      </c>
      <c r="E55" s="526" t="n"/>
      <c r="F55" s="378" t="n"/>
      <c r="G55" s="532" t="n"/>
      <c r="H55" s="533" t="n"/>
      <c r="I55" s="529">
        <f>IF(E55="","",E55+(E55*H55/100*G55))</f>
        <v/>
      </c>
      <c r="J55" s="534">
        <f>IFERROR(I55/G55,"")</f>
        <v/>
      </c>
      <c r="K55" s="535">
        <f>IF(B55="","Pending",IF(M55="","⚠️ Enter Code",IF(IFERROR(VLOOKUP(L55,DB_Agents!$B:$I,8,0),"")=M55,"Pending","🔒 BLOCKED — Wrong Code")))</f>
        <v/>
      </c>
      <c r="L55" s="380" t="inlineStr">
        <is>
          <t>Agent 06</t>
        </is>
      </c>
      <c r="M55" s="491" t="n"/>
      <c r="N55" s="494" t="n"/>
    </row>
    <row r="56" ht="15" customHeight="1" s="341">
      <c r="A56" s="499">
        <f>IF(B56="","",IF(C56="❌ Account Not Found","INVALID","LN"&amp;TEXT(D56,"YYYYMMDD")&amp;TEXT(ROW()-13,"0000")))</f>
        <v/>
      </c>
      <c r="B56" s="495" t="n"/>
      <c r="C56" s="382">
        <f>IF(B56="","",IFERROR(VLOOKUP(B56,DB_Customers!$A:$D,4,0),"❌ Account Not Found"))</f>
        <v/>
      </c>
      <c r="D56" s="497">
        <f>IF(B56="","",TODAY())</f>
        <v/>
      </c>
      <c r="E56" s="526" t="n"/>
      <c r="F56" s="382" t="n"/>
      <c r="G56" s="527" t="n"/>
      <c r="H56" s="528" t="n"/>
      <c r="I56" s="529">
        <f>IF(E56="","",E56+(E56*H56/100*G56))</f>
        <v/>
      </c>
      <c r="J56" s="530">
        <f>IFERROR(I56/G56,"")</f>
        <v/>
      </c>
      <c r="K56" s="531">
        <f>IF(B56="","Pending",IF(M56="","⚠️ Enter Code",IF(IFERROR(VLOOKUP(L56,DB_Agents!$B:$I,8,0),"")=M56,"Pending","🔒 BLOCKED — Wrong Code")))</f>
        <v/>
      </c>
      <c r="L56" s="384" t="inlineStr">
        <is>
          <t>Agent 06</t>
        </is>
      </c>
      <c r="M56" s="491" t="n"/>
      <c r="N56" s="501" t="n"/>
    </row>
    <row r="57" ht="15" customHeight="1" s="341">
      <c r="A57" s="492">
        <f>IF(B57="","",IF(C57="❌ Account Not Found","INVALID","LN"&amp;TEXT(D57,"YYYYMMDD")&amp;TEXT(ROW()-13,"0000")))</f>
        <v/>
      </c>
      <c r="B57" s="486" t="n"/>
      <c r="C57" s="378">
        <f>IF(B57="","",IFERROR(VLOOKUP(B57,DB_Customers!$A:$D,4,0),"❌ Account Not Found"))</f>
        <v/>
      </c>
      <c r="D57" s="488">
        <f>IF(B57="","",TODAY())</f>
        <v/>
      </c>
      <c r="E57" s="526" t="n"/>
      <c r="F57" s="378" t="n"/>
      <c r="G57" s="532" t="n"/>
      <c r="H57" s="533" t="n"/>
      <c r="I57" s="529">
        <f>IF(E57="","",E57+(E57*H57/100*G57))</f>
        <v/>
      </c>
      <c r="J57" s="534">
        <f>IFERROR(I57/G57,"")</f>
        <v/>
      </c>
      <c r="K57" s="535">
        <f>IF(B57="","Pending",IF(M57="","⚠️ Enter Code",IF(IFERROR(VLOOKUP(L57,DB_Agents!$B:$I,8,0),"")=M57,"Pending","🔒 BLOCKED — Wrong Code")))</f>
        <v/>
      </c>
      <c r="L57" s="380" t="inlineStr">
        <is>
          <t>Agent 06</t>
        </is>
      </c>
      <c r="M57" s="491" t="n"/>
      <c r="N57" s="494" t="n"/>
    </row>
    <row r="58" ht="15" customHeight="1" s="341">
      <c r="A58" s="499">
        <f>IF(B58="","",IF(C58="❌ Account Not Found","INVALID","LN"&amp;TEXT(D58,"YYYYMMDD")&amp;TEXT(ROW()-13,"0000")))</f>
        <v/>
      </c>
      <c r="B58" s="495" t="n"/>
      <c r="C58" s="382">
        <f>IF(B58="","",IFERROR(VLOOKUP(B58,DB_Customers!$A:$D,4,0),"❌ Account Not Found"))</f>
        <v/>
      </c>
      <c r="D58" s="497">
        <f>IF(B58="","",TODAY())</f>
        <v/>
      </c>
      <c r="E58" s="526" t="n"/>
      <c r="F58" s="382" t="n"/>
      <c r="G58" s="527" t="n"/>
      <c r="H58" s="528" t="n"/>
      <c r="I58" s="529">
        <f>IF(E58="","",E58+(E58*H58/100*G58))</f>
        <v/>
      </c>
      <c r="J58" s="530">
        <f>IFERROR(I58/G58,"")</f>
        <v/>
      </c>
      <c r="K58" s="531">
        <f>IF(B58="","Pending",IF(M58="","⚠️ Enter Code",IF(IFERROR(VLOOKUP(L58,DB_Agents!$B:$I,8,0),"")=M58,"Pending","🔒 BLOCKED — Wrong Code")))</f>
        <v/>
      </c>
      <c r="L58" s="384" t="inlineStr">
        <is>
          <t>Agent 06</t>
        </is>
      </c>
      <c r="M58" s="491" t="n"/>
      <c r="N58" s="501" t="n"/>
    </row>
    <row r="59" ht="15" customHeight="1" s="341">
      <c r="A59" s="492">
        <f>IF(B59="","",IF(C59="❌ Account Not Found","INVALID","LN"&amp;TEXT(D59,"YYYYMMDD")&amp;TEXT(ROW()-13,"0000")))</f>
        <v/>
      </c>
      <c r="B59" s="486" t="n"/>
      <c r="C59" s="378">
        <f>IF(B59="","",IFERROR(VLOOKUP(B59,DB_Customers!$A:$D,4,0),"❌ Account Not Found"))</f>
        <v/>
      </c>
      <c r="D59" s="488">
        <f>IF(B59="","",TODAY())</f>
        <v/>
      </c>
      <c r="E59" s="526" t="n"/>
      <c r="F59" s="378" t="n"/>
      <c r="G59" s="532" t="n"/>
      <c r="H59" s="533" t="n"/>
      <c r="I59" s="529">
        <f>IF(E59="","",E59+(E59*H59/100*G59))</f>
        <v/>
      </c>
      <c r="J59" s="534">
        <f>IFERROR(I59/G59,"")</f>
        <v/>
      </c>
      <c r="K59" s="535">
        <f>IF(B59="","Pending",IF(M59="","⚠️ Enter Code",IF(IFERROR(VLOOKUP(L59,DB_Agents!$B:$I,8,0),"")=M59,"Pending","🔒 BLOCKED — Wrong Code")))</f>
        <v/>
      </c>
      <c r="L59" s="380" t="inlineStr">
        <is>
          <t>Agent 06</t>
        </is>
      </c>
      <c r="M59" s="491" t="n"/>
      <c r="N59" s="494" t="n"/>
    </row>
    <row r="60" ht="15" customHeight="1" s="341">
      <c r="A60" s="499">
        <f>IF(B60="","",IF(C60="❌ Account Not Found","INVALID","LN"&amp;TEXT(D60,"YYYYMMDD")&amp;TEXT(ROW()-13,"0000")))</f>
        <v/>
      </c>
      <c r="B60" s="495" t="n"/>
      <c r="C60" s="382">
        <f>IF(B60="","",IFERROR(VLOOKUP(B60,DB_Customers!$A:$D,4,0),"❌ Account Not Found"))</f>
        <v/>
      </c>
      <c r="D60" s="497">
        <f>IF(B60="","",TODAY())</f>
        <v/>
      </c>
      <c r="E60" s="526" t="n"/>
      <c r="F60" s="382" t="n"/>
      <c r="G60" s="527" t="n"/>
      <c r="H60" s="528" t="n"/>
      <c r="I60" s="529">
        <f>IF(E60="","",E60+(E60*H60/100*G60))</f>
        <v/>
      </c>
      <c r="J60" s="530">
        <f>IFERROR(I60/G60,"")</f>
        <v/>
      </c>
      <c r="K60" s="531">
        <f>IF(B60="","Pending",IF(M60="","⚠️ Enter Code",IF(IFERROR(VLOOKUP(L60,DB_Agents!$B:$I,8,0),"")=M60,"Pending","🔒 BLOCKED — Wrong Code")))</f>
        <v/>
      </c>
      <c r="L60" s="384" t="inlineStr">
        <is>
          <t>Agent 06</t>
        </is>
      </c>
      <c r="M60" s="491" t="n"/>
      <c r="N60" s="501" t="n"/>
    </row>
    <row r="61" ht="15" customHeight="1" s="341">
      <c r="A61" s="492">
        <f>IF(B61="","",IF(C61="❌ Account Not Found","INVALID","LN"&amp;TEXT(D61,"YYYYMMDD")&amp;TEXT(ROW()-13,"0000")))</f>
        <v/>
      </c>
      <c r="B61" s="486" t="n"/>
      <c r="C61" s="378">
        <f>IF(B61="","",IFERROR(VLOOKUP(B61,DB_Customers!$A:$D,4,0),"❌ Account Not Found"))</f>
        <v/>
      </c>
      <c r="D61" s="488">
        <f>IF(B61="","",TODAY())</f>
        <v/>
      </c>
      <c r="E61" s="526" t="n"/>
      <c r="F61" s="378" t="n"/>
      <c r="G61" s="532" t="n"/>
      <c r="H61" s="533" t="n"/>
      <c r="I61" s="529">
        <f>IF(E61="","",E61+(E61*H61/100*G61))</f>
        <v/>
      </c>
      <c r="J61" s="534">
        <f>IFERROR(I61/G61,"")</f>
        <v/>
      </c>
      <c r="K61" s="535">
        <f>IF(B61="","Pending",IF(M61="","⚠️ Enter Code",IF(IFERROR(VLOOKUP(L61,DB_Agents!$B:$I,8,0),"")=M61,"Pending","🔒 BLOCKED — Wrong Code")))</f>
        <v/>
      </c>
      <c r="L61" s="380" t="inlineStr">
        <is>
          <t>Agent 06</t>
        </is>
      </c>
      <c r="M61" s="491" t="n"/>
      <c r="N61" s="494" t="n"/>
    </row>
    <row r="62" ht="15" customHeight="1" s="341">
      <c r="A62" s="499">
        <f>IF(B62="","",IF(C62="❌ Account Not Found","INVALID","LN"&amp;TEXT(D62,"YYYYMMDD")&amp;TEXT(ROW()-13,"0000")))</f>
        <v/>
      </c>
      <c r="B62" s="495" t="n"/>
      <c r="C62" s="382">
        <f>IF(B62="","",IFERROR(VLOOKUP(B62,DB_Customers!$A:$D,4,0),"❌ Account Not Found"))</f>
        <v/>
      </c>
      <c r="D62" s="497">
        <f>IF(B62="","",TODAY())</f>
        <v/>
      </c>
      <c r="E62" s="526" t="n"/>
      <c r="F62" s="382" t="n"/>
      <c r="G62" s="527" t="n"/>
      <c r="H62" s="528" t="n"/>
      <c r="I62" s="529">
        <f>IF(E62="","",E62+(E62*H62/100*G62))</f>
        <v/>
      </c>
      <c r="J62" s="530">
        <f>IFERROR(I62/G62,"")</f>
        <v/>
      </c>
      <c r="K62" s="531">
        <f>IF(B62="","Pending",IF(M62="","⚠️ Enter Code",IF(IFERROR(VLOOKUP(L62,DB_Agents!$B:$I,8,0),"")=M62,"Pending","🔒 BLOCKED — Wrong Code")))</f>
        <v/>
      </c>
      <c r="L62" s="384" t="inlineStr">
        <is>
          <t>Agent 06</t>
        </is>
      </c>
      <c r="M62" s="491" t="n"/>
      <c r="N62" s="501" t="n"/>
    </row>
    <row r="63" ht="15" customHeight="1" s="341">
      <c r="A63" s="492">
        <f>IF(B63="","",IF(C63="❌ Account Not Found","INVALID","LN"&amp;TEXT(D63,"YYYYMMDD")&amp;TEXT(ROW()-13,"0000")))</f>
        <v/>
      </c>
      <c r="B63" s="486" t="n"/>
      <c r="C63" s="378">
        <f>IF(B63="","",IFERROR(VLOOKUP(B63,DB_Customers!$A:$D,4,0),"❌ Account Not Found"))</f>
        <v/>
      </c>
      <c r="D63" s="488">
        <f>IF(B63="","",TODAY())</f>
        <v/>
      </c>
      <c r="E63" s="526" t="n"/>
      <c r="F63" s="378" t="n"/>
      <c r="G63" s="532" t="n"/>
      <c r="H63" s="533" t="n"/>
      <c r="I63" s="529">
        <f>IF(E63="","",E63+(E63*H63/100*G63))</f>
        <v/>
      </c>
      <c r="J63" s="534">
        <f>IFERROR(I63/G63,"")</f>
        <v/>
      </c>
      <c r="K63" s="535">
        <f>IF(B63="","Pending",IF(M63="","⚠️ Enter Code",IF(IFERROR(VLOOKUP(L63,DB_Agents!$B:$I,8,0),"")=M63,"Pending","🔒 BLOCKED — Wrong Code")))</f>
        <v/>
      </c>
      <c r="L63" s="380" t="inlineStr">
        <is>
          <t>Agent 06</t>
        </is>
      </c>
      <c r="M63" s="491" t="n"/>
      <c r="N63" s="494" t="n"/>
    </row>
    <row r="64" ht="15" customHeight="1" s="341">
      <c r="A64" s="499">
        <f>IF(B64="","",IF(C64="❌ Account Not Found","INVALID","LN"&amp;TEXT(D64,"YYYYMMDD")&amp;TEXT(ROW()-13,"0000")))</f>
        <v/>
      </c>
      <c r="B64" s="495" t="n"/>
      <c r="C64" s="382">
        <f>IF(B64="","",IFERROR(VLOOKUP(B64,DB_Customers!$A:$D,4,0),"❌ Account Not Found"))</f>
        <v/>
      </c>
      <c r="D64" s="497">
        <f>IF(B64="","",TODAY())</f>
        <v/>
      </c>
      <c r="E64" s="526" t="n"/>
      <c r="F64" s="382" t="n"/>
      <c r="G64" s="527" t="n"/>
      <c r="H64" s="528" t="n"/>
      <c r="I64" s="529">
        <f>IF(E64="","",E64+(E64*H64/100*G64))</f>
        <v/>
      </c>
      <c r="J64" s="530">
        <f>IFERROR(I64/G64,"")</f>
        <v/>
      </c>
      <c r="K64" s="531">
        <f>IF(B64="","Pending",IF(M64="","⚠️ Enter Code",IF(IFERROR(VLOOKUP(L64,DB_Agents!$B:$I,8,0),"")=M64,"Pending","🔒 BLOCKED — Wrong Code")))</f>
        <v/>
      </c>
      <c r="L64" s="384" t="inlineStr">
        <is>
          <t>Agent 06</t>
        </is>
      </c>
      <c r="M64" s="491" t="n"/>
      <c r="N64" s="501" t="n"/>
    </row>
    <row r="65" ht="15" customHeight="1" s="341">
      <c r="A65" s="492">
        <f>IF(B65="","",IF(C65="❌ Account Not Found","INVALID","LN"&amp;TEXT(D65,"YYYYMMDD")&amp;TEXT(ROW()-13,"0000")))</f>
        <v/>
      </c>
      <c r="B65" s="486" t="n"/>
      <c r="C65" s="378">
        <f>IF(B65="","",IFERROR(VLOOKUP(B65,DB_Customers!$A:$D,4,0),"❌ Account Not Found"))</f>
        <v/>
      </c>
      <c r="D65" s="488">
        <f>IF(B65="","",TODAY())</f>
        <v/>
      </c>
      <c r="E65" s="526" t="n"/>
      <c r="F65" s="378" t="n"/>
      <c r="G65" s="532" t="n"/>
      <c r="H65" s="533" t="n"/>
      <c r="I65" s="529">
        <f>IF(E65="","",E65+(E65*H65/100*G65))</f>
        <v/>
      </c>
      <c r="J65" s="534">
        <f>IFERROR(I65/G65,"")</f>
        <v/>
      </c>
      <c r="K65" s="535">
        <f>IF(B65="","Pending",IF(M65="","⚠️ Enter Code",IF(IFERROR(VLOOKUP(L65,DB_Agents!$B:$I,8,0),"")=M65,"Pending","🔒 BLOCKED — Wrong Code")))</f>
        <v/>
      </c>
      <c r="L65" s="380" t="inlineStr">
        <is>
          <t>Agent 06</t>
        </is>
      </c>
      <c r="M65" s="491" t="n"/>
      <c r="N65" s="494" t="n"/>
    </row>
    <row r="66" ht="15" customHeight="1" s="341">
      <c r="A66" s="499">
        <f>IF(B66="","",IF(C66="❌ Account Not Found","INVALID","LN"&amp;TEXT(D66,"YYYYMMDD")&amp;TEXT(ROW()-13,"0000")))</f>
        <v/>
      </c>
      <c r="B66" s="495" t="n"/>
      <c r="C66" s="382">
        <f>IF(B66="","",IFERROR(VLOOKUP(B66,DB_Customers!$A:$D,4,0),"❌ Account Not Found"))</f>
        <v/>
      </c>
      <c r="D66" s="497">
        <f>IF(B66="","",TODAY())</f>
        <v/>
      </c>
      <c r="E66" s="526" t="n"/>
      <c r="F66" s="382" t="n"/>
      <c r="G66" s="527" t="n"/>
      <c r="H66" s="528" t="n"/>
      <c r="I66" s="529">
        <f>IF(E66="","",E66+(E66*H66/100*G66))</f>
        <v/>
      </c>
      <c r="J66" s="530">
        <f>IFERROR(I66/G66,"")</f>
        <v/>
      </c>
      <c r="K66" s="531">
        <f>IF(B66="","Pending",IF(M66="","⚠️ Enter Code",IF(IFERROR(VLOOKUP(L66,DB_Agents!$B:$I,8,0),"")=M66,"Pending","🔒 BLOCKED — Wrong Code")))</f>
        <v/>
      </c>
      <c r="L66" s="384" t="inlineStr">
        <is>
          <t>Agent 06</t>
        </is>
      </c>
      <c r="M66" s="491" t="n"/>
      <c r="N66" s="501" t="n"/>
    </row>
    <row r="67" ht="15" customHeight="1" s="341">
      <c r="A67" s="492">
        <f>IF(B67="","",IF(C67="❌ Account Not Found","INVALID","LN"&amp;TEXT(D67,"YYYYMMDD")&amp;TEXT(ROW()-13,"0000")))</f>
        <v/>
      </c>
      <c r="B67" s="486" t="n"/>
      <c r="C67" s="378">
        <f>IF(B67="","",IFERROR(VLOOKUP(B67,DB_Customers!$A:$D,4,0),"❌ Account Not Found"))</f>
        <v/>
      </c>
      <c r="D67" s="488">
        <f>IF(B67="","",TODAY())</f>
        <v/>
      </c>
      <c r="E67" s="526" t="n"/>
      <c r="F67" s="378" t="n"/>
      <c r="G67" s="532" t="n"/>
      <c r="H67" s="533" t="n"/>
      <c r="I67" s="529">
        <f>IF(E67="","",E67+(E67*H67/100*G67))</f>
        <v/>
      </c>
      <c r="J67" s="534">
        <f>IFERROR(I67/G67,"")</f>
        <v/>
      </c>
      <c r="K67" s="535">
        <f>IF(B67="","Pending",IF(M67="","⚠️ Enter Code",IF(IFERROR(VLOOKUP(L67,DB_Agents!$B:$I,8,0),"")=M67,"Pending","🔒 BLOCKED — Wrong Code")))</f>
        <v/>
      </c>
      <c r="L67" s="380" t="inlineStr">
        <is>
          <t>Agent 06</t>
        </is>
      </c>
      <c r="M67" s="491" t="n"/>
      <c r="N67" s="494" t="n"/>
    </row>
    <row r="68" ht="15" customHeight="1" s="341">
      <c r="A68" s="499">
        <f>IF(B68="","",IF(C68="❌ Account Not Found","INVALID","LN"&amp;TEXT(D68,"YYYYMMDD")&amp;TEXT(ROW()-13,"0000")))</f>
        <v/>
      </c>
      <c r="B68" s="495" t="n"/>
      <c r="C68" s="382">
        <f>IF(B68="","",IFERROR(VLOOKUP(B68,DB_Customers!$A:$D,4,0),"❌ Account Not Found"))</f>
        <v/>
      </c>
      <c r="D68" s="497">
        <f>IF(B68="","",TODAY())</f>
        <v/>
      </c>
      <c r="E68" s="526" t="n"/>
      <c r="F68" s="382" t="n"/>
      <c r="G68" s="527" t="n"/>
      <c r="H68" s="528" t="n"/>
      <c r="I68" s="529">
        <f>IF(E68="","",E68+(E68*H68/100*G68))</f>
        <v/>
      </c>
      <c r="J68" s="530">
        <f>IFERROR(I68/G68,"")</f>
        <v/>
      </c>
      <c r="K68" s="531">
        <f>IF(B68="","Pending",IF(M68="","⚠️ Enter Code",IF(IFERROR(VLOOKUP(L68,DB_Agents!$B:$I,8,0),"")=M68,"Pending","🔒 BLOCKED — Wrong Code")))</f>
        <v/>
      </c>
      <c r="L68" s="384" t="inlineStr">
        <is>
          <t>Agent 06</t>
        </is>
      </c>
      <c r="M68" s="491" t="n"/>
      <c r="N68" s="501" t="n"/>
    </row>
    <row r="69" ht="15" customHeight="1" s="341">
      <c r="A69" s="492">
        <f>IF(B69="","",IF(C69="❌ Account Not Found","INVALID","LN"&amp;TEXT(D69,"YYYYMMDD")&amp;TEXT(ROW()-13,"0000")))</f>
        <v/>
      </c>
      <c r="B69" s="486" t="n"/>
      <c r="C69" s="378">
        <f>IF(B69="","",IFERROR(VLOOKUP(B69,DB_Customers!$A:$D,4,0),"❌ Account Not Found"))</f>
        <v/>
      </c>
      <c r="D69" s="488">
        <f>IF(B69="","",TODAY())</f>
        <v/>
      </c>
      <c r="E69" s="526" t="n"/>
      <c r="F69" s="378" t="n"/>
      <c r="G69" s="532" t="n"/>
      <c r="H69" s="533" t="n"/>
      <c r="I69" s="529">
        <f>IF(E69="","",E69+(E69*H69/100*G69))</f>
        <v/>
      </c>
      <c r="J69" s="534">
        <f>IFERROR(I69/G69,"")</f>
        <v/>
      </c>
      <c r="K69" s="535">
        <f>IF(B69="","Pending",IF(M69="","⚠️ Enter Code",IF(IFERROR(VLOOKUP(L69,DB_Agents!$B:$I,8,0),"")=M69,"Pending","🔒 BLOCKED — Wrong Code")))</f>
        <v/>
      </c>
      <c r="L69" s="380" t="inlineStr">
        <is>
          <t>Agent 06</t>
        </is>
      </c>
      <c r="M69" s="491" t="n"/>
      <c r="N69" s="494" t="n"/>
    </row>
    <row r="70" ht="15" customHeight="1" s="341">
      <c r="A70" s="499">
        <f>IF(B70="","",IF(C70="❌ Account Not Found","INVALID","LN"&amp;TEXT(D70,"YYYYMMDD")&amp;TEXT(ROW()-13,"0000")))</f>
        <v/>
      </c>
      <c r="B70" s="495" t="n"/>
      <c r="C70" s="382">
        <f>IF(B70="","",IFERROR(VLOOKUP(B70,DB_Customers!$A:$D,4,0),"❌ Account Not Found"))</f>
        <v/>
      </c>
      <c r="D70" s="497">
        <f>IF(B70="","",TODAY())</f>
        <v/>
      </c>
      <c r="E70" s="526" t="n"/>
      <c r="F70" s="382" t="n"/>
      <c r="G70" s="527" t="n"/>
      <c r="H70" s="528" t="n"/>
      <c r="I70" s="529">
        <f>IF(E70="","",E70+(E70*H70/100*G70))</f>
        <v/>
      </c>
      <c r="J70" s="530">
        <f>IFERROR(I70/G70,"")</f>
        <v/>
      </c>
      <c r="K70" s="531">
        <f>IF(B70="","Pending",IF(M70="","⚠️ Enter Code",IF(IFERROR(VLOOKUP(L70,DB_Agents!$B:$I,8,0),"")=M70,"Pending","🔒 BLOCKED — Wrong Code")))</f>
        <v/>
      </c>
      <c r="L70" s="384" t="inlineStr">
        <is>
          <t>Agent 06</t>
        </is>
      </c>
      <c r="M70" s="491" t="n"/>
      <c r="N70" s="501" t="n"/>
    </row>
    <row r="71" ht="15" customHeight="1" s="341">
      <c r="A71" s="492">
        <f>IF(B71="","",IF(C71="❌ Account Not Found","INVALID","LN"&amp;TEXT(D71,"YYYYMMDD")&amp;TEXT(ROW()-13,"0000")))</f>
        <v/>
      </c>
      <c r="B71" s="486" t="n"/>
      <c r="C71" s="378">
        <f>IF(B71="","",IFERROR(VLOOKUP(B71,DB_Customers!$A:$D,4,0),"❌ Account Not Found"))</f>
        <v/>
      </c>
      <c r="D71" s="488">
        <f>IF(B71="","",TODAY())</f>
        <v/>
      </c>
      <c r="E71" s="526" t="n"/>
      <c r="F71" s="378" t="n"/>
      <c r="G71" s="532" t="n"/>
      <c r="H71" s="533" t="n"/>
      <c r="I71" s="529">
        <f>IF(E71="","",E71+(E71*H71/100*G71))</f>
        <v/>
      </c>
      <c r="J71" s="534">
        <f>IFERROR(I71/G71,"")</f>
        <v/>
      </c>
      <c r="K71" s="535">
        <f>IF(B71="","Pending",IF(M71="","⚠️ Enter Code",IF(IFERROR(VLOOKUP(L71,DB_Agents!$B:$I,8,0),"")=M71,"Pending","🔒 BLOCKED — Wrong Code")))</f>
        <v/>
      </c>
      <c r="L71" s="380" t="inlineStr">
        <is>
          <t>Agent 06</t>
        </is>
      </c>
      <c r="M71" s="491" t="n"/>
      <c r="N71" s="494" t="n"/>
    </row>
    <row r="72" ht="15" customHeight="1" s="341">
      <c r="A72" s="499">
        <f>IF(B72="","",IF(C72="❌ Account Not Found","INVALID","LN"&amp;TEXT(D72,"YYYYMMDD")&amp;TEXT(ROW()-13,"0000")))</f>
        <v/>
      </c>
      <c r="B72" s="495" t="n"/>
      <c r="C72" s="382">
        <f>IF(B72="","",IFERROR(VLOOKUP(B72,DB_Customers!$A:$D,4,0),"❌ Account Not Found"))</f>
        <v/>
      </c>
      <c r="D72" s="497">
        <f>IF(B72="","",TODAY())</f>
        <v/>
      </c>
      <c r="E72" s="526" t="n"/>
      <c r="F72" s="382" t="n"/>
      <c r="G72" s="527" t="n"/>
      <c r="H72" s="528" t="n"/>
      <c r="I72" s="529">
        <f>IF(E72="","",E72+(E72*H72/100*G72))</f>
        <v/>
      </c>
      <c r="J72" s="530">
        <f>IFERROR(I72/G72,"")</f>
        <v/>
      </c>
      <c r="K72" s="531">
        <f>IF(B72="","Pending",IF(M72="","⚠️ Enter Code",IF(IFERROR(VLOOKUP(L72,DB_Agents!$B:$I,8,0),"")=M72,"Pending","🔒 BLOCKED — Wrong Code")))</f>
        <v/>
      </c>
      <c r="L72" s="384" t="inlineStr">
        <is>
          <t>Agent 06</t>
        </is>
      </c>
      <c r="M72" s="491" t="n"/>
      <c r="N72" s="501" t="n"/>
    </row>
    <row r="73" ht="15" customHeight="1" s="341">
      <c r="A73" s="492">
        <f>IF(B73="","",IF(C73="❌ Account Not Found","INVALID","LN"&amp;TEXT(D73,"YYYYMMDD")&amp;TEXT(ROW()-13,"0000")))</f>
        <v/>
      </c>
      <c r="B73" s="486" t="n"/>
      <c r="C73" s="378">
        <f>IF(B73="","",IFERROR(VLOOKUP(B73,DB_Customers!$A:$D,4,0),"❌ Account Not Found"))</f>
        <v/>
      </c>
      <c r="D73" s="488">
        <f>IF(B73="","",TODAY())</f>
        <v/>
      </c>
      <c r="E73" s="526" t="n"/>
      <c r="F73" s="378" t="n"/>
      <c r="G73" s="532" t="n"/>
      <c r="H73" s="533" t="n"/>
      <c r="I73" s="529">
        <f>IF(E73="","",E73+(E73*H73/100*G73))</f>
        <v/>
      </c>
      <c r="J73" s="534">
        <f>IFERROR(I73/G73,"")</f>
        <v/>
      </c>
      <c r="K73" s="535">
        <f>IF(B73="","Pending",IF(M73="","⚠️ Enter Code",IF(IFERROR(VLOOKUP(L73,DB_Agents!$B:$I,8,0),"")=M73,"Pending","🔒 BLOCKED — Wrong Code")))</f>
        <v/>
      </c>
      <c r="L73" s="380" t="inlineStr">
        <is>
          <t>Agent 06</t>
        </is>
      </c>
      <c r="M73" s="491" t="n"/>
      <c r="N73" s="494" t="n"/>
    </row>
    <row r="74" ht="15" customHeight="1" s="341">
      <c r="A74" s="499">
        <f>IF(B74="","",IF(C74="❌ Account Not Found","INVALID","LN"&amp;TEXT(D74,"YYYYMMDD")&amp;TEXT(ROW()-13,"0000")))</f>
        <v/>
      </c>
      <c r="B74" s="495" t="n"/>
      <c r="C74" s="382">
        <f>IF(B74="","",IFERROR(VLOOKUP(B74,DB_Customers!$A:$D,4,0),"❌ Account Not Found"))</f>
        <v/>
      </c>
      <c r="D74" s="497">
        <f>IF(B74="","",TODAY())</f>
        <v/>
      </c>
      <c r="E74" s="526" t="n"/>
      <c r="F74" s="382" t="n"/>
      <c r="G74" s="527" t="n"/>
      <c r="H74" s="528" t="n"/>
      <c r="I74" s="529">
        <f>IF(E74="","",E74+(E74*H74/100*G74))</f>
        <v/>
      </c>
      <c r="J74" s="530">
        <f>IFERROR(I74/G74,"")</f>
        <v/>
      </c>
      <c r="K74" s="531">
        <f>IF(B74="","Pending",IF(M74="","⚠️ Enter Code",IF(IFERROR(VLOOKUP(L74,DB_Agents!$B:$I,8,0),"")=M74,"Pending","🔒 BLOCKED — Wrong Code")))</f>
        <v/>
      </c>
      <c r="L74" s="384" t="inlineStr">
        <is>
          <t>Agent 06</t>
        </is>
      </c>
      <c r="M74" s="491" t="n"/>
      <c r="N74" s="501" t="n"/>
    </row>
    <row r="75" ht="15" customHeight="1" s="341">
      <c r="A75" s="492">
        <f>IF(B75="","",IF(C75="❌ Account Not Found","INVALID","LN"&amp;TEXT(D75,"YYYYMMDD")&amp;TEXT(ROW()-13,"0000")))</f>
        <v/>
      </c>
      <c r="B75" s="486" t="n"/>
      <c r="C75" s="378">
        <f>IF(B75="","",IFERROR(VLOOKUP(B75,DB_Customers!$A:$D,4,0),"❌ Account Not Found"))</f>
        <v/>
      </c>
      <c r="D75" s="488">
        <f>IF(B75="","",TODAY())</f>
        <v/>
      </c>
      <c r="E75" s="526" t="n"/>
      <c r="F75" s="378" t="n"/>
      <c r="G75" s="532" t="n"/>
      <c r="H75" s="533" t="n"/>
      <c r="I75" s="529">
        <f>IF(E75="","",E75+(E75*H75/100*G75))</f>
        <v/>
      </c>
      <c r="J75" s="534">
        <f>IFERROR(I75/G75,"")</f>
        <v/>
      </c>
      <c r="K75" s="535">
        <f>IF(B75="","Pending",IF(M75="","⚠️ Enter Code",IF(IFERROR(VLOOKUP(L75,DB_Agents!$B:$I,8,0),"")=M75,"Pending","🔒 BLOCKED — Wrong Code")))</f>
        <v/>
      </c>
      <c r="L75" s="380" t="inlineStr">
        <is>
          <t>Agent 06</t>
        </is>
      </c>
      <c r="M75" s="491" t="n"/>
      <c r="N75" s="494" t="n"/>
    </row>
    <row r="76" ht="15" customHeight="1" s="341">
      <c r="A76" s="499">
        <f>IF(B76="","",IF(C76="❌ Account Not Found","INVALID","LN"&amp;TEXT(D76,"YYYYMMDD")&amp;TEXT(ROW()-13,"0000")))</f>
        <v/>
      </c>
      <c r="B76" s="495" t="n"/>
      <c r="C76" s="382">
        <f>IF(B76="","",IFERROR(VLOOKUP(B76,DB_Customers!$A:$D,4,0),"❌ Account Not Found"))</f>
        <v/>
      </c>
      <c r="D76" s="497">
        <f>IF(B76="","",TODAY())</f>
        <v/>
      </c>
      <c r="E76" s="526" t="n"/>
      <c r="F76" s="382" t="n"/>
      <c r="G76" s="527" t="n"/>
      <c r="H76" s="528" t="n"/>
      <c r="I76" s="529">
        <f>IF(E76="","",E76+(E76*H76/100*G76))</f>
        <v/>
      </c>
      <c r="J76" s="530">
        <f>IFERROR(I76/G76,"")</f>
        <v/>
      </c>
      <c r="K76" s="531">
        <f>IF(B76="","Pending",IF(M76="","⚠️ Enter Code",IF(IFERROR(VLOOKUP(L76,DB_Agents!$B:$I,8,0),"")=M76,"Pending","🔒 BLOCKED — Wrong Code")))</f>
        <v/>
      </c>
      <c r="L76" s="384" t="inlineStr">
        <is>
          <t>Agent 06</t>
        </is>
      </c>
      <c r="M76" s="491" t="n"/>
      <c r="N76" s="501" t="n"/>
    </row>
    <row r="77" ht="15" customHeight="1" s="341">
      <c r="A77" s="492">
        <f>IF(B77="","",IF(C77="❌ Account Not Found","INVALID","LN"&amp;TEXT(D77,"YYYYMMDD")&amp;TEXT(ROW()-13,"0000")))</f>
        <v/>
      </c>
      <c r="B77" s="486" t="n"/>
      <c r="C77" s="378">
        <f>IF(B77="","",IFERROR(VLOOKUP(B77,DB_Customers!$A:$D,4,0),"❌ Account Not Found"))</f>
        <v/>
      </c>
      <c r="D77" s="488">
        <f>IF(B77="","",TODAY())</f>
        <v/>
      </c>
      <c r="E77" s="526" t="n"/>
      <c r="F77" s="378" t="n"/>
      <c r="G77" s="532" t="n"/>
      <c r="H77" s="533" t="n"/>
      <c r="I77" s="529">
        <f>IF(E77="","",E77+(E77*H77/100*G77))</f>
        <v/>
      </c>
      <c r="J77" s="534">
        <f>IFERROR(I77/G77,"")</f>
        <v/>
      </c>
      <c r="K77" s="535">
        <f>IF(B77="","Pending",IF(M77="","⚠️ Enter Code",IF(IFERROR(VLOOKUP(L77,DB_Agents!$B:$I,8,0),"")=M77,"Pending","🔒 BLOCKED — Wrong Code")))</f>
        <v/>
      </c>
      <c r="L77" s="380" t="inlineStr">
        <is>
          <t>Agent 06</t>
        </is>
      </c>
      <c r="M77" s="491" t="n"/>
      <c r="N77" s="494" t="n"/>
    </row>
    <row r="78" ht="15" customHeight="1" s="341">
      <c r="A78" s="499">
        <f>IF(B78="","",IF(C78="❌ Account Not Found","INVALID","LN"&amp;TEXT(D78,"YYYYMMDD")&amp;TEXT(ROW()-13,"0000")))</f>
        <v/>
      </c>
      <c r="B78" s="495" t="n"/>
      <c r="C78" s="382">
        <f>IF(B78="","",IFERROR(VLOOKUP(B78,DB_Customers!$A:$D,4,0),"❌ Account Not Found"))</f>
        <v/>
      </c>
      <c r="D78" s="497">
        <f>IF(B78="","",TODAY())</f>
        <v/>
      </c>
      <c r="E78" s="526" t="n"/>
      <c r="F78" s="382" t="n"/>
      <c r="G78" s="527" t="n"/>
      <c r="H78" s="528" t="n"/>
      <c r="I78" s="529">
        <f>IF(E78="","",E78+(E78*H78/100*G78))</f>
        <v/>
      </c>
      <c r="J78" s="530">
        <f>IFERROR(I78/G78,"")</f>
        <v/>
      </c>
      <c r="K78" s="531">
        <f>IF(B78="","Pending",IF(M78="","⚠️ Enter Code",IF(IFERROR(VLOOKUP(L78,DB_Agents!$B:$I,8,0),"")=M78,"Pending","🔒 BLOCKED — Wrong Code")))</f>
        <v/>
      </c>
      <c r="L78" s="384" t="inlineStr">
        <is>
          <t>Agent 06</t>
        </is>
      </c>
      <c r="M78" s="491" t="n"/>
      <c r="N78" s="501" t="n"/>
    </row>
    <row r="79" ht="15" customHeight="1" s="341">
      <c r="A79" s="492">
        <f>IF(B79="","",IF(C79="❌ Account Not Found","INVALID","LN"&amp;TEXT(D79,"YYYYMMDD")&amp;TEXT(ROW()-13,"0000")))</f>
        <v/>
      </c>
      <c r="B79" s="486" t="n"/>
      <c r="C79" s="378">
        <f>IF(B79="","",IFERROR(VLOOKUP(B79,DB_Customers!$A:$D,4,0),"❌ Account Not Found"))</f>
        <v/>
      </c>
      <c r="D79" s="488">
        <f>IF(B79="","",TODAY())</f>
        <v/>
      </c>
      <c r="E79" s="526" t="n"/>
      <c r="F79" s="378" t="n"/>
      <c r="G79" s="532" t="n"/>
      <c r="H79" s="533" t="n"/>
      <c r="I79" s="529">
        <f>IF(E79="","",E79+(E79*H79/100*G79))</f>
        <v/>
      </c>
      <c r="J79" s="534">
        <f>IFERROR(I79/G79,"")</f>
        <v/>
      </c>
      <c r="K79" s="535">
        <f>IF(B79="","Pending",IF(M79="","⚠️ Enter Code",IF(IFERROR(VLOOKUP(L79,DB_Agents!$B:$I,8,0),"")=M79,"Pending","🔒 BLOCKED — Wrong Code")))</f>
        <v/>
      </c>
      <c r="L79" s="380" t="inlineStr">
        <is>
          <t>Agent 06</t>
        </is>
      </c>
      <c r="M79" s="491" t="n"/>
      <c r="N79" s="494" t="n"/>
    </row>
    <row r="80" ht="15" customHeight="1" s="341">
      <c r="A80" s="499">
        <f>IF(B80="","",IF(C80="❌ Account Not Found","INVALID","LN"&amp;TEXT(D80,"YYYYMMDD")&amp;TEXT(ROW()-13,"0000")))</f>
        <v/>
      </c>
      <c r="B80" s="495" t="n"/>
      <c r="C80" s="382">
        <f>IF(B80="","",IFERROR(VLOOKUP(B80,DB_Customers!$A:$D,4,0),"❌ Account Not Found"))</f>
        <v/>
      </c>
      <c r="D80" s="497">
        <f>IF(B80="","",TODAY())</f>
        <v/>
      </c>
      <c r="E80" s="526" t="n"/>
      <c r="F80" s="382" t="n"/>
      <c r="G80" s="527" t="n"/>
      <c r="H80" s="528" t="n"/>
      <c r="I80" s="529">
        <f>IF(E80="","",E80+(E80*H80/100*G80))</f>
        <v/>
      </c>
      <c r="J80" s="530">
        <f>IFERROR(I80/G80,"")</f>
        <v/>
      </c>
      <c r="K80" s="531">
        <f>IF(B80="","Pending",IF(M80="","⚠️ Enter Code",IF(IFERROR(VLOOKUP(L80,DB_Agents!$B:$I,8,0),"")=M80,"Pending","🔒 BLOCKED — Wrong Code")))</f>
        <v/>
      </c>
      <c r="L80" s="384" t="inlineStr">
        <is>
          <t>Agent 06</t>
        </is>
      </c>
      <c r="M80" s="491" t="n"/>
      <c r="N80" s="501" t="n"/>
    </row>
    <row r="81" ht="15" customHeight="1" s="341">
      <c r="A81" s="492">
        <f>IF(B81="","",IF(C81="❌ Account Not Found","INVALID","LN"&amp;TEXT(D81,"YYYYMMDD")&amp;TEXT(ROW()-13,"0000")))</f>
        <v/>
      </c>
      <c r="B81" s="486" t="n"/>
      <c r="C81" s="378">
        <f>IF(B81="","",IFERROR(VLOOKUP(B81,DB_Customers!$A:$D,4,0),"❌ Account Not Found"))</f>
        <v/>
      </c>
      <c r="D81" s="488">
        <f>IF(B81="","",TODAY())</f>
        <v/>
      </c>
      <c r="E81" s="526" t="n"/>
      <c r="F81" s="378" t="n"/>
      <c r="G81" s="532" t="n"/>
      <c r="H81" s="533" t="n"/>
      <c r="I81" s="529">
        <f>IF(E81="","",E81+(E81*H81/100*G81))</f>
        <v/>
      </c>
      <c r="J81" s="534">
        <f>IFERROR(I81/G81,"")</f>
        <v/>
      </c>
      <c r="K81" s="535">
        <f>IF(B81="","Pending",IF(M81="","⚠️ Enter Code",IF(IFERROR(VLOOKUP(L81,DB_Agents!$B:$I,8,0),"")=M81,"Pending","🔒 BLOCKED — Wrong Code")))</f>
        <v/>
      </c>
      <c r="L81" s="380" t="inlineStr">
        <is>
          <t>Agent 06</t>
        </is>
      </c>
      <c r="M81" s="491" t="n"/>
      <c r="N81" s="494" t="n"/>
    </row>
    <row r="82" ht="15" customHeight="1" s="341">
      <c r="A82" s="499">
        <f>IF(B82="","",IF(C82="❌ Account Not Found","INVALID","LN"&amp;TEXT(D82,"YYYYMMDD")&amp;TEXT(ROW()-13,"0000")))</f>
        <v/>
      </c>
      <c r="B82" s="495" t="n"/>
      <c r="C82" s="382">
        <f>IF(B82="","",IFERROR(VLOOKUP(B82,DB_Customers!$A:$D,4,0),"❌ Account Not Found"))</f>
        <v/>
      </c>
      <c r="D82" s="497">
        <f>IF(B82="","",TODAY())</f>
        <v/>
      </c>
      <c r="E82" s="526" t="n"/>
      <c r="F82" s="382" t="n"/>
      <c r="G82" s="527" t="n"/>
      <c r="H82" s="528" t="n"/>
      <c r="I82" s="529">
        <f>IF(E82="","",E82+(E82*H82/100*G82))</f>
        <v/>
      </c>
      <c r="J82" s="530">
        <f>IFERROR(I82/G82,"")</f>
        <v/>
      </c>
      <c r="K82" s="531">
        <f>IF(B82="","Pending",IF(M82="","⚠️ Enter Code",IF(IFERROR(VLOOKUP(L82,DB_Agents!$B:$I,8,0),"")=M82,"Pending","🔒 BLOCKED — Wrong Code")))</f>
        <v/>
      </c>
      <c r="L82" s="384" t="inlineStr">
        <is>
          <t>Agent 06</t>
        </is>
      </c>
      <c r="M82" s="491" t="n"/>
      <c r="N82" s="501" t="n"/>
    </row>
    <row r="83" ht="15" customHeight="1" s="341">
      <c r="A83" s="492">
        <f>IF(B83="","",IF(C83="❌ Account Not Found","INVALID","LN"&amp;TEXT(D83,"YYYYMMDD")&amp;TEXT(ROW()-13,"0000")))</f>
        <v/>
      </c>
      <c r="B83" s="486" t="n"/>
      <c r="C83" s="378">
        <f>IF(B83="","",IFERROR(VLOOKUP(B83,DB_Customers!$A:$D,4,0),"❌ Account Not Found"))</f>
        <v/>
      </c>
      <c r="D83" s="488">
        <f>IF(B83="","",TODAY())</f>
        <v/>
      </c>
      <c r="E83" s="526" t="n"/>
      <c r="F83" s="378" t="n"/>
      <c r="G83" s="532" t="n"/>
      <c r="H83" s="533" t="n"/>
      <c r="I83" s="529">
        <f>IF(E83="","",E83+(E83*H83/100*G83))</f>
        <v/>
      </c>
      <c r="J83" s="534">
        <f>IFERROR(I83/G83,"")</f>
        <v/>
      </c>
      <c r="K83" s="535">
        <f>IF(B83="","Pending",IF(M83="","⚠️ Enter Code",IF(IFERROR(VLOOKUP(L83,DB_Agents!$B:$I,8,0),"")=M83,"Pending","🔒 BLOCKED — Wrong Code")))</f>
        <v/>
      </c>
      <c r="L83" s="380" t="inlineStr">
        <is>
          <t>Agent 06</t>
        </is>
      </c>
      <c r="M83" s="491" t="n"/>
      <c r="N83" s="494" t="n"/>
    </row>
    <row r="84" ht="15" customHeight="1" s="341">
      <c r="A84" s="499">
        <f>IF(B84="","",IF(C84="❌ Account Not Found","INVALID","LN"&amp;TEXT(D84,"YYYYMMDD")&amp;TEXT(ROW()-13,"0000")))</f>
        <v/>
      </c>
      <c r="B84" s="495" t="n"/>
      <c r="C84" s="382">
        <f>IF(B84="","",IFERROR(VLOOKUP(B84,DB_Customers!$A:$D,4,0),"❌ Account Not Found"))</f>
        <v/>
      </c>
      <c r="D84" s="497">
        <f>IF(B84="","",TODAY())</f>
        <v/>
      </c>
      <c r="E84" s="526" t="n"/>
      <c r="F84" s="382" t="n"/>
      <c r="G84" s="527" t="n"/>
      <c r="H84" s="528" t="n"/>
      <c r="I84" s="529">
        <f>IF(E84="","",E84+(E84*H84/100*G84))</f>
        <v/>
      </c>
      <c r="J84" s="530">
        <f>IFERROR(I84/G84,"")</f>
        <v/>
      </c>
      <c r="K84" s="531">
        <f>IF(B84="","Pending",IF(M84="","⚠️ Enter Code",IF(IFERROR(VLOOKUP(L84,DB_Agents!$B:$I,8,0),"")=M84,"Pending","🔒 BLOCKED — Wrong Code")))</f>
        <v/>
      </c>
      <c r="L84" s="384" t="inlineStr">
        <is>
          <t>Agent 06</t>
        </is>
      </c>
      <c r="M84" s="491" t="n"/>
      <c r="N84" s="501" t="n"/>
    </row>
    <row r="85" ht="15" customHeight="1" s="341">
      <c r="A85" s="492">
        <f>IF(B85="","",IF(C85="❌ Account Not Found","INVALID","LN"&amp;TEXT(D85,"YYYYMMDD")&amp;TEXT(ROW()-13,"0000")))</f>
        <v/>
      </c>
      <c r="B85" s="486" t="n"/>
      <c r="C85" s="378">
        <f>IF(B85="","",IFERROR(VLOOKUP(B85,DB_Customers!$A:$D,4,0),"❌ Account Not Found"))</f>
        <v/>
      </c>
      <c r="D85" s="488">
        <f>IF(B85="","",TODAY())</f>
        <v/>
      </c>
      <c r="E85" s="526" t="n"/>
      <c r="F85" s="378" t="n"/>
      <c r="G85" s="532" t="n"/>
      <c r="H85" s="533" t="n"/>
      <c r="I85" s="529">
        <f>IF(E85="","",E85+(E85*H85/100*G85))</f>
        <v/>
      </c>
      <c r="J85" s="534">
        <f>IFERROR(I85/G85,"")</f>
        <v/>
      </c>
      <c r="K85" s="535">
        <f>IF(B85="","Pending",IF(M85="","⚠️ Enter Code",IF(IFERROR(VLOOKUP(L85,DB_Agents!$B:$I,8,0),"")=M85,"Pending","🔒 BLOCKED — Wrong Code")))</f>
        <v/>
      </c>
      <c r="L85" s="380" t="inlineStr">
        <is>
          <t>Agent 06</t>
        </is>
      </c>
      <c r="M85" s="491" t="n"/>
      <c r="N85" s="494" t="n"/>
    </row>
    <row r="86" ht="15" customHeight="1" s="341">
      <c r="A86" s="499">
        <f>IF(B86="","",IF(C86="❌ Account Not Found","INVALID","LN"&amp;TEXT(D86,"YYYYMMDD")&amp;TEXT(ROW()-13,"0000")))</f>
        <v/>
      </c>
      <c r="B86" s="495" t="n"/>
      <c r="C86" s="382">
        <f>IF(B86="","",IFERROR(VLOOKUP(B86,DB_Customers!$A:$D,4,0),"❌ Account Not Found"))</f>
        <v/>
      </c>
      <c r="D86" s="497">
        <f>IF(B86="","",TODAY())</f>
        <v/>
      </c>
      <c r="E86" s="526" t="n"/>
      <c r="F86" s="382" t="n"/>
      <c r="G86" s="527" t="n"/>
      <c r="H86" s="528" t="n"/>
      <c r="I86" s="529">
        <f>IF(E86="","",E86+(E86*H86/100*G86))</f>
        <v/>
      </c>
      <c r="J86" s="530">
        <f>IFERROR(I86/G86,"")</f>
        <v/>
      </c>
      <c r="K86" s="531">
        <f>IF(B86="","Pending",IF(M86="","⚠️ Enter Code",IF(IFERROR(VLOOKUP(L86,DB_Agents!$B:$I,8,0),"")=M86,"Pending","🔒 BLOCKED — Wrong Code")))</f>
        <v/>
      </c>
      <c r="L86" s="384" t="inlineStr">
        <is>
          <t>Agent 06</t>
        </is>
      </c>
      <c r="M86" s="491" t="n"/>
      <c r="N86" s="501" t="n"/>
    </row>
    <row r="87" ht="15" customHeight="1" s="341">
      <c r="A87" s="492">
        <f>IF(B87="","",IF(C87="❌ Account Not Found","INVALID","LN"&amp;TEXT(D87,"YYYYMMDD")&amp;TEXT(ROW()-13,"0000")))</f>
        <v/>
      </c>
      <c r="B87" s="486" t="n"/>
      <c r="C87" s="378">
        <f>IF(B87="","",IFERROR(VLOOKUP(B87,DB_Customers!$A:$D,4,0),"❌ Account Not Found"))</f>
        <v/>
      </c>
      <c r="D87" s="488">
        <f>IF(B87="","",TODAY())</f>
        <v/>
      </c>
      <c r="E87" s="526" t="n"/>
      <c r="F87" s="378" t="n"/>
      <c r="G87" s="532" t="n"/>
      <c r="H87" s="533" t="n"/>
      <c r="I87" s="529">
        <f>IF(E87="","",E87+(E87*H87/100*G87))</f>
        <v/>
      </c>
      <c r="J87" s="534">
        <f>IFERROR(I87/G87,"")</f>
        <v/>
      </c>
      <c r="K87" s="535">
        <f>IF(B87="","Pending",IF(M87="","⚠️ Enter Code",IF(IFERROR(VLOOKUP(L87,DB_Agents!$B:$I,8,0),"")=M87,"Pending","🔒 BLOCKED — Wrong Code")))</f>
        <v/>
      </c>
      <c r="L87" s="380" t="inlineStr">
        <is>
          <t>Agent 06</t>
        </is>
      </c>
      <c r="M87" s="491" t="n"/>
      <c r="N87" s="494" t="n"/>
    </row>
    <row r="88" ht="15" customHeight="1" s="341">
      <c r="A88" s="499">
        <f>IF(B88="","",IF(C88="❌ Account Not Found","INVALID","LN"&amp;TEXT(D88,"YYYYMMDD")&amp;TEXT(ROW()-13,"0000")))</f>
        <v/>
      </c>
      <c r="B88" s="495" t="n"/>
      <c r="C88" s="382">
        <f>IF(B88="","",IFERROR(VLOOKUP(B88,DB_Customers!$A:$D,4,0),"❌ Account Not Found"))</f>
        <v/>
      </c>
      <c r="D88" s="497">
        <f>IF(B88="","",TODAY())</f>
        <v/>
      </c>
      <c r="E88" s="526" t="n"/>
      <c r="F88" s="382" t="n"/>
      <c r="G88" s="527" t="n"/>
      <c r="H88" s="528" t="n"/>
      <c r="I88" s="529">
        <f>IF(E88="","",E88+(E88*H88/100*G88))</f>
        <v/>
      </c>
      <c r="J88" s="530">
        <f>IFERROR(I88/G88,"")</f>
        <v/>
      </c>
      <c r="K88" s="531">
        <f>IF(B88="","Pending",IF(M88="","⚠️ Enter Code",IF(IFERROR(VLOOKUP(L88,DB_Agents!$B:$I,8,0),"")=M88,"Pending","🔒 BLOCKED — Wrong Code")))</f>
        <v/>
      </c>
      <c r="L88" s="384" t="inlineStr">
        <is>
          <t>Agent 06</t>
        </is>
      </c>
      <c r="M88" s="491" t="n"/>
      <c r="N88" s="501" t="n"/>
    </row>
    <row r="89" ht="15" customHeight="1" s="341">
      <c r="A89" s="492">
        <f>IF(B89="","",IF(C89="❌ Account Not Found","INVALID","LN"&amp;TEXT(D89,"YYYYMMDD")&amp;TEXT(ROW()-13,"0000")))</f>
        <v/>
      </c>
      <c r="B89" s="486" t="n"/>
      <c r="C89" s="378">
        <f>IF(B89="","",IFERROR(VLOOKUP(B89,DB_Customers!$A:$D,4,0),"❌ Account Not Found"))</f>
        <v/>
      </c>
      <c r="D89" s="488">
        <f>IF(B89="","",TODAY())</f>
        <v/>
      </c>
      <c r="E89" s="526" t="n"/>
      <c r="F89" s="378" t="n"/>
      <c r="G89" s="532" t="n"/>
      <c r="H89" s="533" t="n"/>
      <c r="I89" s="529">
        <f>IF(E89="","",E89+(E89*H89/100*G89))</f>
        <v/>
      </c>
      <c r="J89" s="534">
        <f>IFERROR(I89/G89,"")</f>
        <v/>
      </c>
      <c r="K89" s="535">
        <f>IF(B89="","Pending",IF(M89="","⚠️ Enter Code",IF(IFERROR(VLOOKUP(L89,DB_Agents!$B:$I,8,0),"")=M89,"Pending","🔒 BLOCKED — Wrong Code")))</f>
        <v/>
      </c>
      <c r="L89" s="380" t="inlineStr">
        <is>
          <t>Agent 06</t>
        </is>
      </c>
      <c r="M89" s="491" t="n"/>
      <c r="N89" s="494" t="n"/>
    </row>
    <row r="90" ht="15" customHeight="1" s="341">
      <c r="A90" s="499">
        <f>IF(B90="","",IF(C90="❌ Account Not Found","INVALID","LN"&amp;TEXT(D90,"YYYYMMDD")&amp;TEXT(ROW()-13,"0000")))</f>
        <v/>
      </c>
      <c r="B90" s="495" t="n"/>
      <c r="C90" s="382">
        <f>IF(B90="","",IFERROR(VLOOKUP(B90,DB_Customers!$A:$D,4,0),"❌ Account Not Found"))</f>
        <v/>
      </c>
      <c r="D90" s="497">
        <f>IF(B90="","",TODAY())</f>
        <v/>
      </c>
      <c r="E90" s="526" t="n"/>
      <c r="F90" s="382" t="n"/>
      <c r="G90" s="527" t="n"/>
      <c r="H90" s="528" t="n"/>
      <c r="I90" s="529">
        <f>IF(E90="","",E90+(E90*H90/100*G90))</f>
        <v/>
      </c>
      <c r="J90" s="530">
        <f>IFERROR(I90/G90,"")</f>
        <v/>
      </c>
      <c r="K90" s="531">
        <f>IF(B90="","Pending",IF(M90="","⚠️ Enter Code",IF(IFERROR(VLOOKUP(L90,DB_Agents!$B:$I,8,0),"")=M90,"Pending","🔒 BLOCKED — Wrong Code")))</f>
        <v/>
      </c>
      <c r="L90" s="384" t="inlineStr">
        <is>
          <t>Agent 06</t>
        </is>
      </c>
      <c r="M90" s="491" t="n"/>
      <c r="N90" s="501" t="n"/>
    </row>
    <row r="91" ht="15" customHeight="1" s="341">
      <c r="A91" s="492">
        <f>IF(B91="","",IF(C91="❌ Account Not Found","INVALID","LN"&amp;TEXT(D91,"YYYYMMDD")&amp;TEXT(ROW()-13,"0000")))</f>
        <v/>
      </c>
      <c r="B91" s="486" t="n"/>
      <c r="C91" s="378">
        <f>IF(B91="","",IFERROR(VLOOKUP(B91,DB_Customers!$A:$D,4,0),"❌ Account Not Found"))</f>
        <v/>
      </c>
      <c r="D91" s="488">
        <f>IF(B91="","",TODAY())</f>
        <v/>
      </c>
      <c r="E91" s="526" t="n"/>
      <c r="F91" s="378" t="n"/>
      <c r="G91" s="532" t="n"/>
      <c r="H91" s="533" t="n"/>
      <c r="I91" s="529">
        <f>IF(E91="","",E91+(E91*H91/100*G91))</f>
        <v/>
      </c>
      <c r="J91" s="534">
        <f>IFERROR(I91/G91,"")</f>
        <v/>
      </c>
      <c r="K91" s="535">
        <f>IF(B91="","Pending",IF(M91="","⚠️ Enter Code",IF(IFERROR(VLOOKUP(L91,DB_Agents!$B:$I,8,0),"")=M91,"Pending","🔒 BLOCKED — Wrong Code")))</f>
        <v/>
      </c>
      <c r="L91" s="380" t="inlineStr">
        <is>
          <t>Agent 06</t>
        </is>
      </c>
      <c r="M91" s="491" t="n"/>
      <c r="N91" s="494" t="n"/>
    </row>
    <row r="92" ht="15" customHeight="1" s="341">
      <c r="A92" s="499">
        <f>IF(B92="","",IF(C92="❌ Account Not Found","INVALID","LN"&amp;TEXT(D92,"YYYYMMDD")&amp;TEXT(ROW()-13,"0000")))</f>
        <v/>
      </c>
      <c r="B92" s="495" t="n"/>
      <c r="C92" s="382">
        <f>IF(B92="","",IFERROR(VLOOKUP(B92,DB_Customers!$A:$D,4,0),"❌ Account Not Found"))</f>
        <v/>
      </c>
      <c r="D92" s="497">
        <f>IF(B92="","",TODAY())</f>
        <v/>
      </c>
      <c r="E92" s="526" t="n"/>
      <c r="F92" s="382" t="n"/>
      <c r="G92" s="527" t="n"/>
      <c r="H92" s="528" t="n"/>
      <c r="I92" s="529">
        <f>IF(E92="","",E92+(E92*H92/100*G92))</f>
        <v/>
      </c>
      <c r="J92" s="530">
        <f>IFERROR(I92/G92,"")</f>
        <v/>
      </c>
      <c r="K92" s="531">
        <f>IF(B92="","Pending",IF(M92="","⚠️ Enter Code",IF(IFERROR(VLOOKUP(L92,DB_Agents!$B:$I,8,0),"")=M92,"Pending","🔒 BLOCKED — Wrong Code")))</f>
        <v/>
      </c>
      <c r="L92" s="384" t="inlineStr">
        <is>
          <t>Agent 06</t>
        </is>
      </c>
      <c r="M92" s="491" t="n"/>
      <c r="N92" s="501" t="n"/>
    </row>
    <row r="93" ht="15" customHeight="1" s="341">
      <c r="A93" s="492">
        <f>IF(B93="","",IF(C93="❌ Account Not Found","INVALID","LN"&amp;TEXT(D93,"YYYYMMDD")&amp;TEXT(ROW()-13,"0000")))</f>
        <v/>
      </c>
      <c r="B93" s="486" t="n"/>
      <c r="C93" s="378">
        <f>IF(B93="","",IFERROR(VLOOKUP(B93,DB_Customers!$A:$D,4,0),"❌ Account Not Found"))</f>
        <v/>
      </c>
      <c r="D93" s="488">
        <f>IF(B93="","",TODAY())</f>
        <v/>
      </c>
      <c r="E93" s="526" t="n"/>
      <c r="F93" s="378" t="n"/>
      <c r="G93" s="532" t="n"/>
      <c r="H93" s="533" t="n"/>
      <c r="I93" s="529">
        <f>IF(E93="","",E93+(E93*H93/100*G93))</f>
        <v/>
      </c>
      <c r="J93" s="534">
        <f>IFERROR(I93/G93,"")</f>
        <v/>
      </c>
      <c r="K93" s="535">
        <f>IF(B93="","Pending",IF(M93="","⚠️ Enter Code",IF(IFERROR(VLOOKUP(L93,DB_Agents!$B:$I,8,0),"")=M93,"Pending","🔒 BLOCKED — Wrong Code")))</f>
        <v/>
      </c>
      <c r="L93" s="380" t="inlineStr">
        <is>
          <t>Agent 06</t>
        </is>
      </c>
      <c r="M93" s="491" t="n"/>
      <c r="N93" s="494" t="n"/>
    </row>
    <row r="94" ht="15" customHeight="1" s="341">
      <c r="A94" s="499">
        <f>IF(B94="","",IF(C94="❌ Account Not Found","INVALID","LN"&amp;TEXT(D94,"YYYYMMDD")&amp;TEXT(ROW()-13,"0000")))</f>
        <v/>
      </c>
      <c r="B94" s="495" t="n"/>
      <c r="C94" s="382">
        <f>IF(B94="","",IFERROR(VLOOKUP(B94,DB_Customers!$A:$D,4,0),"❌ Account Not Found"))</f>
        <v/>
      </c>
      <c r="D94" s="497">
        <f>IF(B94="","",TODAY())</f>
        <v/>
      </c>
      <c r="E94" s="526" t="n"/>
      <c r="F94" s="382" t="n"/>
      <c r="G94" s="527" t="n"/>
      <c r="H94" s="528" t="n"/>
      <c r="I94" s="529">
        <f>IF(E94="","",E94+(E94*H94/100*G94))</f>
        <v/>
      </c>
      <c r="J94" s="530">
        <f>IFERROR(I94/G94,"")</f>
        <v/>
      </c>
      <c r="K94" s="531">
        <f>IF(B94="","Pending",IF(M94="","⚠️ Enter Code",IF(IFERROR(VLOOKUP(L94,DB_Agents!$B:$I,8,0),"")=M94,"Pending","🔒 BLOCKED — Wrong Code")))</f>
        <v/>
      </c>
      <c r="L94" s="384" t="inlineStr">
        <is>
          <t>Agent 06</t>
        </is>
      </c>
      <c r="M94" s="491" t="n"/>
      <c r="N94" s="501" t="n"/>
    </row>
    <row r="95" ht="15" customHeight="1" s="341">
      <c r="A95" s="492">
        <f>IF(B95="","",IF(C95="❌ Account Not Found","INVALID","LN"&amp;TEXT(D95,"YYYYMMDD")&amp;TEXT(ROW()-13,"0000")))</f>
        <v/>
      </c>
      <c r="B95" s="486" t="n"/>
      <c r="C95" s="378">
        <f>IF(B95="","",IFERROR(VLOOKUP(B95,DB_Customers!$A:$D,4,0),"❌ Account Not Found"))</f>
        <v/>
      </c>
      <c r="D95" s="488">
        <f>IF(B95="","",TODAY())</f>
        <v/>
      </c>
      <c r="E95" s="526" t="n"/>
      <c r="F95" s="378" t="n"/>
      <c r="G95" s="532" t="n"/>
      <c r="H95" s="533" t="n"/>
      <c r="I95" s="529">
        <f>IF(E95="","",E95+(E95*H95/100*G95))</f>
        <v/>
      </c>
      <c r="J95" s="534">
        <f>IFERROR(I95/G95,"")</f>
        <v/>
      </c>
      <c r="K95" s="535">
        <f>IF(B95="","Pending",IF(M95="","⚠️ Enter Code",IF(IFERROR(VLOOKUP(L95,DB_Agents!$B:$I,8,0),"")=M95,"Pending","🔒 BLOCKED — Wrong Code")))</f>
        <v/>
      </c>
      <c r="L95" s="380" t="inlineStr">
        <is>
          <t>Agent 06</t>
        </is>
      </c>
      <c r="M95" s="491" t="n"/>
      <c r="N95" s="494" t="n"/>
    </row>
    <row r="96" ht="15" customHeight="1" s="341">
      <c r="A96" s="499">
        <f>IF(B96="","",IF(C96="❌ Account Not Found","INVALID","LN"&amp;TEXT(D96,"YYYYMMDD")&amp;TEXT(ROW()-13,"0000")))</f>
        <v/>
      </c>
      <c r="B96" s="495" t="n"/>
      <c r="C96" s="382">
        <f>IF(B96="","",IFERROR(VLOOKUP(B96,DB_Customers!$A:$D,4,0),"❌ Account Not Found"))</f>
        <v/>
      </c>
      <c r="D96" s="497">
        <f>IF(B96="","",TODAY())</f>
        <v/>
      </c>
      <c r="E96" s="526" t="n"/>
      <c r="F96" s="382" t="n"/>
      <c r="G96" s="527" t="n"/>
      <c r="H96" s="528" t="n"/>
      <c r="I96" s="529">
        <f>IF(E96="","",E96+(E96*H96/100*G96))</f>
        <v/>
      </c>
      <c r="J96" s="530">
        <f>IFERROR(I96/G96,"")</f>
        <v/>
      </c>
      <c r="K96" s="531">
        <f>IF(B96="","Pending",IF(M96="","⚠️ Enter Code",IF(IFERROR(VLOOKUP(L96,DB_Agents!$B:$I,8,0),"")=M96,"Pending","🔒 BLOCKED — Wrong Code")))</f>
        <v/>
      </c>
      <c r="L96" s="384" t="inlineStr">
        <is>
          <t>Agent 06</t>
        </is>
      </c>
      <c r="M96" s="491" t="n"/>
      <c r="N96" s="501" t="n"/>
    </row>
    <row r="97" ht="15" customHeight="1" s="341">
      <c r="A97" s="492">
        <f>IF(B97="","",IF(C97="❌ Account Not Found","INVALID","LN"&amp;TEXT(D97,"YYYYMMDD")&amp;TEXT(ROW()-13,"0000")))</f>
        <v/>
      </c>
      <c r="B97" s="486" t="n"/>
      <c r="C97" s="378">
        <f>IF(B97="","",IFERROR(VLOOKUP(B97,DB_Customers!$A:$D,4,0),"❌ Account Not Found"))</f>
        <v/>
      </c>
      <c r="D97" s="488">
        <f>IF(B97="","",TODAY())</f>
        <v/>
      </c>
      <c r="E97" s="526" t="n"/>
      <c r="F97" s="378" t="n"/>
      <c r="G97" s="532" t="n"/>
      <c r="H97" s="533" t="n"/>
      <c r="I97" s="529">
        <f>IF(E97="","",E97+(E97*H97/100*G97))</f>
        <v/>
      </c>
      <c r="J97" s="534">
        <f>IFERROR(I97/G97,"")</f>
        <v/>
      </c>
      <c r="K97" s="535">
        <f>IF(B97="","Pending",IF(M97="","⚠️ Enter Code",IF(IFERROR(VLOOKUP(L97,DB_Agents!$B:$I,8,0),"")=M97,"Pending","🔒 BLOCKED — Wrong Code")))</f>
        <v/>
      </c>
      <c r="L97" s="380" t="inlineStr">
        <is>
          <t>Agent 06</t>
        </is>
      </c>
      <c r="M97" s="491" t="n"/>
      <c r="N97" s="494" t="n"/>
    </row>
    <row r="98" ht="15" customHeight="1" s="341">
      <c r="A98" s="499">
        <f>IF(B98="","",IF(C98="❌ Account Not Found","INVALID","LN"&amp;TEXT(D98,"YYYYMMDD")&amp;TEXT(ROW()-13,"0000")))</f>
        <v/>
      </c>
      <c r="B98" s="495" t="n"/>
      <c r="C98" s="382">
        <f>IF(B98="","",IFERROR(VLOOKUP(B98,DB_Customers!$A:$D,4,0),"❌ Account Not Found"))</f>
        <v/>
      </c>
      <c r="D98" s="497">
        <f>IF(B98="","",TODAY())</f>
        <v/>
      </c>
      <c r="E98" s="526" t="n"/>
      <c r="F98" s="382" t="n"/>
      <c r="G98" s="527" t="n"/>
      <c r="H98" s="528" t="n"/>
      <c r="I98" s="529">
        <f>IF(E98="","",E98+(E98*H98/100*G98))</f>
        <v/>
      </c>
      <c r="J98" s="530">
        <f>IFERROR(I98/G98,"")</f>
        <v/>
      </c>
      <c r="K98" s="531">
        <f>IF(B98="","Pending",IF(M98="","⚠️ Enter Code",IF(IFERROR(VLOOKUP(L98,DB_Agents!$B:$I,8,0),"")=M98,"Pending","🔒 BLOCKED — Wrong Code")))</f>
        <v/>
      </c>
      <c r="L98" s="384" t="inlineStr">
        <is>
          <t>Agent 06</t>
        </is>
      </c>
      <c r="M98" s="491" t="n"/>
      <c r="N98" s="501" t="n"/>
    </row>
    <row r="99" ht="15" customHeight="1" s="341">
      <c r="A99" s="492">
        <f>IF(B99="","",IF(C99="❌ Account Not Found","INVALID","LN"&amp;TEXT(D99,"YYYYMMDD")&amp;TEXT(ROW()-13,"0000")))</f>
        <v/>
      </c>
      <c r="B99" s="486" t="n"/>
      <c r="C99" s="378">
        <f>IF(B99="","",IFERROR(VLOOKUP(B99,DB_Customers!$A:$D,4,0),"❌ Account Not Found"))</f>
        <v/>
      </c>
      <c r="D99" s="488">
        <f>IF(B99="","",TODAY())</f>
        <v/>
      </c>
      <c r="E99" s="526" t="n"/>
      <c r="F99" s="378" t="n"/>
      <c r="G99" s="532" t="n"/>
      <c r="H99" s="533" t="n"/>
      <c r="I99" s="529">
        <f>IF(E99="","",E99+(E99*H99/100*G99))</f>
        <v/>
      </c>
      <c r="J99" s="534">
        <f>IFERROR(I99/G99,"")</f>
        <v/>
      </c>
      <c r="K99" s="535">
        <f>IF(B99="","Pending",IF(M99="","⚠️ Enter Code",IF(IFERROR(VLOOKUP(L99,DB_Agents!$B:$I,8,0),"")=M99,"Pending","🔒 BLOCKED — Wrong Code")))</f>
        <v/>
      </c>
      <c r="L99" s="380" t="inlineStr">
        <is>
          <t>Agent 06</t>
        </is>
      </c>
      <c r="M99" s="491" t="n"/>
      <c r="N99" s="494" t="n"/>
    </row>
    <row r="100" ht="15" customHeight="1" s="341">
      <c r="A100" s="499">
        <f>IF(B100="","",IF(C100="❌ Account Not Found","INVALID","LN"&amp;TEXT(D100,"YYYYMMDD")&amp;TEXT(ROW()-13,"0000")))</f>
        <v/>
      </c>
      <c r="B100" s="495" t="n"/>
      <c r="C100" s="382">
        <f>IF(B100="","",IFERROR(VLOOKUP(B100,DB_Customers!$A:$D,4,0),"❌ Account Not Found"))</f>
        <v/>
      </c>
      <c r="D100" s="497">
        <f>IF(B100="","",TODAY())</f>
        <v/>
      </c>
      <c r="E100" s="526" t="n"/>
      <c r="F100" s="382" t="n"/>
      <c r="G100" s="527" t="n"/>
      <c r="H100" s="528" t="n"/>
      <c r="I100" s="529">
        <f>IF(E100="","",E100+(E100*H100/100*G100))</f>
        <v/>
      </c>
      <c r="J100" s="530">
        <f>IFERROR(I100/G100,"")</f>
        <v/>
      </c>
      <c r="K100" s="531">
        <f>IF(B100="","Pending",IF(M100="","⚠️ Enter Code",IF(IFERROR(VLOOKUP(L100,DB_Agents!$B:$I,8,0),"")=M100,"Pending","🔒 BLOCKED — Wrong Code")))</f>
        <v/>
      </c>
      <c r="L100" s="384" t="inlineStr">
        <is>
          <t>Agent 06</t>
        </is>
      </c>
      <c r="M100" s="491" t="n"/>
      <c r="N100" s="501" t="n"/>
    </row>
    <row r="101" ht="15" customHeight="1" s="341">
      <c r="A101" s="492">
        <f>IF(B101="","",IF(C101="❌ Account Not Found","INVALID","LN"&amp;TEXT(D101,"YYYYMMDD")&amp;TEXT(ROW()-13,"0000")))</f>
        <v/>
      </c>
      <c r="B101" s="486" t="n"/>
      <c r="C101" s="378">
        <f>IF(B101="","",IFERROR(VLOOKUP(B101,DB_Customers!$A:$D,4,0),"❌ Account Not Found"))</f>
        <v/>
      </c>
      <c r="D101" s="488">
        <f>IF(B101="","",TODAY())</f>
        <v/>
      </c>
      <c r="E101" s="526" t="n"/>
      <c r="F101" s="378" t="n"/>
      <c r="G101" s="532" t="n"/>
      <c r="H101" s="533" t="n"/>
      <c r="I101" s="529">
        <f>IF(E101="","",E101+(E101*H101/100*G101))</f>
        <v/>
      </c>
      <c r="J101" s="534">
        <f>IFERROR(I101/G101,"")</f>
        <v/>
      </c>
      <c r="K101" s="535">
        <f>IF(B101="","Pending",IF(M101="","⚠️ Enter Code",IF(IFERROR(VLOOKUP(L101,DB_Agents!$B:$I,8,0),"")=M101,"Pending","🔒 BLOCKED — Wrong Code")))</f>
        <v/>
      </c>
      <c r="L101" s="380" t="inlineStr">
        <is>
          <t>Agent 06</t>
        </is>
      </c>
      <c r="M101" s="491" t="n"/>
      <c r="N101" s="494" t="n"/>
    </row>
    <row r="102" ht="15" customHeight="1" s="341">
      <c r="A102" s="499">
        <f>IF(B102="","",IF(C102="❌ Account Not Found","INVALID","LN"&amp;TEXT(D102,"YYYYMMDD")&amp;TEXT(ROW()-13,"0000")))</f>
        <v/>
      </c>
      <c r="B102" s="495" t="n"/>
      <c r="C102" s="382">
        <f>IF(B102="","",IFERROR(VLOOKUP(B102,DB_Customers!$A:$D,4,0),"❌ Account Not Found"))</f>
        <v/>
      </c>
      <c r="D102" s="497">
        <f>IF(B102="","",TODAY())</f>
        <v/>
      </c>
      <c r="E102" s="526" t="n"/>
      <c r="F102" s="382" t="n"/>
      <c r="G102" s="527" t="n"/>
      <c r="H102" s="528" t="n"/>
      <c r="I102" s="529">
        <f>IF(E102="","",E102+(E102*H102/100*G102))</f>
        <v/>
      </c>
      <c r="J102" s="530">
        <f>IFERROR(I102/G102,"")</f>
        <v/>
      </c>
      <c r="K102" s="531">
        <f>IF(B102="","Pending",IF(M102="","⚠️ Enter Code",IF(IFERROR(VLOOKUP(L102,DB_Agents!$B:$I,8,0),"")=M102,"Pending","🔒 BLOCKED — Wrong Code")))</f>
        <v/>
      </c>
      <c r="L102" s="384" t="inlineStr">
        <is>
          <t>Agent 06</t>
        </is>
      </c>
      <c r="M102" s="491" t="n"/>
      <c r="N102" s="501" t="n"/>
    </row>
    <row r="103" ht="15" customHeight="1" s="341">
      <c r="A103" s="492">
        <f>IF(B103="","",IF(C103="❌ Account Not Found","INVALID","LN"&amp;TEXT(D103,"YYYYMMDD")&amp;TEXT(ROW()-13,"0000")))</f>
        <v/>
      </c>
      <c r="B103" s="486" t="n"/>
      <c r="C103" s="378">
        <f>IF(B103="","",IFERROR(VLOOKUP(B103,DB_Customers!$A:$D,4,0),"❌ Account Not Found"))</f>
        <v/>
      </c>
      <c r="D103" s="488">
        <f>IF(B103="","",TODAY())</f>
        <v/>
      </c>
      <c r="E103" s="526" t="n"/>
      <c r="F103" s="378" t="n"/>
      <c r="G103" s="532" t="n"/>
      <c r="H103" s="533" t="n"/>
      <c r="I103" s="529">
        <f>IF(E103="","",E103+(E103*H103/100*G103))</f>
        <v/>
      </c>
      <c r="J103" s="534">
        <f>IFERROR(I103/G103,"")</f>
        <v/>
      </c>
      <c r="K103" s="535">
        <f>IF(B103="","Pending",IF(M103="","⚠️ Enter Code",IF(IFERROR(VLOOKUP(L103,DB_Agents!$B:$I,8,0),"")=M103,"Pending","🔒 BLOCKED — Wrong Code")))</f>
        <v/>
      </c>
      <c r="L103" s="380" t="inlineStr">
        <is>
          <t>Agent 06</t>
        </is>
      </c>
      <c r="M103" s="491" t="n"/>
      <c r="N103" s="494" t="n"/>
    </row>
    <row r="104" ht="15" customHeight="1" s="341">
      <c r="A104" s="499">
        <f>IF(B104="","",IF(C104="❌ Account Not Found","INVALID","LN"&amp;TEXT(D104,"YYYYMMDD")&amp;TEXT(ROW()-13,"0000")))</f>
        <v/>
      </c>
      <c r="B104" s="495" t="n"/>
      <c r="C104" s="382">
        <f>IF(B104="","",IFERROR(VLOOKUP(B104,DB_Customers!$A:$D,4,0),"❌ Account Not Found"))</f>
        <v/>
      </c>
      <c r="D104" s="497">
        <f>IF(B104="","",TODAY())</f>
        <v/>
      </c>
      <c r="E104" s="526" t="n"/>
      <c r="F104" s="382" t="n"/>
      <c r="G104" s="527" t="n"/>
      <c r="H104" s="528" t="n"/>
      <c r="I104" s="529">
        <f>IF(E104="","",E104+(E104*H104/100*G104))</f>
        <v/>
      </c>
      <c r="J104" s="530">
        <f>IFERROR(I104/G104,"")</f>
        <v/>
      </c>
      <c r="K104" s="531">
        <f>IF(B104="","Pending",IF(M104="","⚠️ Enter Code",IF(IFERROR(VLOOKUP(L104,DB_Agents!$B:$I,8,0),"")=M104,"Pending","🔒 BLOCKED — Wrong Code")))</f>
        <v/>
      </c>
      <c r="L104" s="384" t="inlineStr">
        <is>
          <t>Agent 06</t>
        </is>
      </c>
      <c r="M104" s="491" t="n"/>
      <c r="N104" s="501" t="n"/>
    </row>
    <row r="105" ht="15" customHeight="1" s="341">
      <c r="A105" s="492">
        <f>IF(B105="","",IF(C105="❌ Account Not Found","INVALID","LN"&amp;TEXT(D105,"YYYYMMDD")&amp;TEXT(ROW()-13,"0000")))</f>
        <v/>
      </c>
      <c r="B105" s="486" t="n"/>
      <c r="C105" s="378">
        <f>IF(B105="","",IFERROR(VLOOKUP(B105,DB_Customers!$A:$D,4,0),"❌ Account Not Found"))</f>
        <v/>
      </c>
      <c r="D105" s="488">
        <f>IF(B105="","",TODAY())</f>
        <v/>
      </c>
      <c r="E105" s="526" t="n"/>
      <c r="F105" s="378" t="n"/>
      <c r="G105" s="532" t="n"/>
      <c r="H105" s="533" t="n"/>
      <c r="I105" s="529">
        <f>IF(E105="","",E105+(E105*H105/100*G105))</f>
        <v/>
      </c>
      <c r="J105" s="534">
        <f>IFERROR(I105/G105,"")</f>
        <v/>
      </c>
      <c r="K105" s="535">
        <f>IF(B105="","Pending",IF(M105="","⚠️ Enter Code",IF(IFERROR(VLOOKUP(L105,DB_Agents!$B:$I,8,0),"")=M105,"Pending","🔒 BLOCKED — Wrong Code")))</f>
        <v/>
      </c>
      <c r="L105" s="380" t="inlineStr">
        <is>
          <t>Agent 06</t>
        </is>
      </c>
      <c r="M105" s="491" t="n"/>
      <c r="N105" s="494" t="n"/>
    </row>
    <row r="106" ht="15" customHeight="1" s="341">
      <c r="A106" s="499">
        <f>IF(B106="","",IF(C106="❌ Account Not Found","INVALID","LN"&amp;TEXT(D106,"YYYYMMDD")&amp;TEXT(ROW()-13,"0000")))</f>
        <v/>
      </c>
      <c r="B106" s="495" t="n"/>
      <c r="C106" s="382">
        <f>IF(B106="","",IFERROR(VLOOKUP(B106,DB_Customers!$A:$D,4,0),"❌ Account Not Found"))</f>
        <v/>
      </c>
      <c r="D106" s="497">
        <f>IF(B106="","",TODAY())</f>
        <v/>
      </c>
      <c r="E106" s="526" t="n"/>
      <c r="F106" s="382" t="n"/>
      <c r="G106" s="527" t="n"/>
      <c r="H106" s="528" t="n"/>
      <c r="I106" s="529">
        <f>IF(E106="","",E106+(E106*H106/100*G106))</f>
        <v/>
      </c>
      <c r="J106" s="530">
        <f>IFERROR(I106/G106,"")</f>
        <v/>
      </c>
      <c r="K106" s="531">
        <f>IF(B106="","Pending",IF(M106="","⚠️ Enter Code",IF(IFERROR(VLOOKUP(L106,DB_Agents!$B:$I,8,0),"")=M106,"Pending","🔒 BLOCKED — Wrong Code")))</f>
        <v/>
      </c>
      <c r="L106" s="384" t="inlineStr">
        <is>
          <t>Agent 06</t>
        </is>
      </c>
      <c r="M106" s="491" t="n"/>
      <c r="N106" s="501" t="n"/>
    </row>
    <row r="107" ht="15" customHeight="1" s="341">
      <c r="A107" s="492">
        <f>IF(B107="","",IF(C107="❌ Account Not Found","INVALID","LN"&amp;TEXT(D107,"YYYYMMDD")&amp;TEXT(ROW()-13,"0000")))</f>
        <v/>
      </c>
      <c r="B107" s="486" t="n"/>
      <c r="C107" s="378">
        <f>IF(B107="","",IFERROR(VLOOKUP(B107,DB_Customers!$A:$D,4,0),"❌ Account Not Found"))</f>
        <v/>
      </c>
      <c r="D107" s="488">
        <f>IF(B107="","",TODAY())</f>
        <v/>
      </c>
      <c r="E107" s="526" t="n"/>
      <c r="F107" s="378" t="n"/>
      <c r="G107" s="532" t="n"/>
      <c r="H107" s="533" t="n"/>
      <c r="I107" s="529">
        <f>IF(E107="","",E107+(E107*H107/100*G107))</f>
        <v/>
      </c>
      <c r="J107" s="534">
        <f>IFERROR(I107/G107,"")</f>
        <v/>
      </c>
      <c r="K107" s="535">
        <f>IF(B107="","Pending",IF(M107="","⚠️ Enter Code",IF(IFERROR(VLOOKUP(L107,DB_Agents!$B:$I,8,0),"")=M107,"Pending","🔒 BLOCKED — Wrong Code")))</f>
        <v/>
      </c>
      <c r="L107" s="380" t="inlineStr">
        <is>
          <t>Agent 06</t>
        </is>
      </c>
      <c r="M107" s="491" t="n"/>
      <c r="N107" s="494" t="n"/>
    </row>
    <row r="108" ht="15" customHeight="1" s="341">
      <c r="A108" s="499">
        <f>IF(B108="","",IF(C108="❌ Account Not Found","INVALID","LN"&amp;TEXT(D108,"YYYYMMDD")&amp;TEXT(ROW()-13,"0000")))</f>
        <v/>
      </c>
      <c r="B108" s="495" t="n"/>
      <c r="C108" s="382">
        <f>IF(B108="","",IFERROR(VLOOKUP(B108,DB_Customers!$A:$D,4,0),"❌ Account Not Found"))</f>
        <v/>
      </c>
      <c r="D108" s="497">
        <f>IF(B108="","",TODAY())</f>
        <v/>
      </c>
      <c r="E108" s="526" t="n"/>
      <c r="F108" s="382" t="n"/>
      <c r="G108" s="527" t="n"/>
      <c r="H108" s="528" t="n"/>
      <c r="I108" s="529">
        <f>IF(E108="","",E108+(E108*H108/100*G108))</f>
        <v/>
      </c>
      <c r="J108" s="530">
        <f>IFERROR(I108/G108,"")</f>
        <v/>
      </c>
      <c r="K108" s="531">
        <f>IF(B108="","Pending",IF(M108="","⚠️ Enter Code",IF(IFERROR(VLOOKUP(L108,DB_Agents!$B:$I,8,0),"")=M108,"Pending","🔒 BLOCKED — Wrong Code")))</f>
        <v/>
      </c>
      <c r="L108" s="384" t="inlineStr">
        <is>
          <t>Agent 06</t>
        </is>
      </c>
      <c r="M108" s="491" t="n"/>
      <c r="N108" s="501" t="n"/>
    </row>
    <row r="109" ht="15" customHeight="1" s="341">
      <c r="A109" s="492">
        <f>IF(B109="","",IF(C109="❌ Account Not Found","INVALID","LN"&amp;TEXT(D109,"YYYYMMDD")&amp;TEXT(ROW()-13,"0000")))</f>
        <v/>
      </c>
      <c r="B109" s="486" t="n"/>
      <c r="C109" s="378">
        <f>IF(B109="","",IFERROR(VLOOKUP(B109,DB_Customers!$A:$D,4,0),"❌ Account Not Found"))</f>
        <v/>
      </c>
      <c r="D109" s="488">
        <f>IF(B109="","",TODAY())</f>
        <v/>
      </c>
      <c r="E109" s="526" t="n"/>
      <c r="F109" s="378" t="n"/>
      <c r="G109" s="532" t="n"/>
      <c r="H109" s="533" t="n"/>
      <c r="I109" s="529">
        <f>IF(E109="","",E109+(E109*H109/100*G109))</f>
        <v/>
      </c>
      <c r="J109" s="534">
        <f>IFERROR(I109/G109,"")</f>
        <v/>
      </c>
      <c r="K109" s="535">
        <f>IF(B109="","Pending",IF(M109="","⚠️ Enter Code",IF(IFERROR(VLOOKUP(L109,DB_Agents!$B:$I,8,0),"")=M109,"Pending","🔒 BLOCKED — Wrong Code")))</f>
        <v/>
      </c>
      <c r="L109" s="380" t="inlineStr">
        <is>
          <t>Agent 06</t>
        </is>
      </c>
      <c r="M109" s="491" t="n"/>
      <c r="N109" s="494" t="n"/>
    </row>
    <row r="110" ht="15" customHeight="1" s="341">
      <c r="A110" s="499">
        <f>IF(B110="","",IF(C110="❌ Account Not Found","INVALID","LN"&amp;TEXT(D110,"YYYYMMDD")&amp;TEXT(ROW()-13,"0000")))</f>
        <v/>
      </c>
      <c r="B110" s="495" t="n"/>
      <c r="C110" s="382">
        <f>IF(B110="","",IFERROR(VLOOKUP(B110,DB_Customers!$A:$D,4,0),"❌ Account Not Found"))</f>
        <v/>
      </c>
      <c r="D110" s="497">
        <f>IF(B110="","",TODAY())</f>
        <v/>
      </c>
      <c r="E110" s="526" t="n"/>
      <c r="F110" s="382" t="n"/>
      <c r="G110" s="527" t="n"/>
      <c r="H110" s="528" t="n"/>
      <c r="I110" s="529">
        <f>IF(E110="","",E110+(E110*H110/100*G110))</f>
        <v/>
      </c>
      <c r="J110" s="530">
        <f>IFERROR(I110/G110,"")</f>
        <v/>
      </c>
      <c r="K110" s="531">
        <f>IF(B110="","Pending",IF(M110="","⚠️ Enter Code",IF(IFERROR(VLOOKUP(L110,DB_Agents!$B:$I,8,0),"")=M110,"Pending","🔒 BLOCKED — Wrong Code")))</f>
        <v/>
      </c>
      <c r="L110" s="384" t="inlineStr">
        <is>
          <t>Agent 06</t>
        </is>
      </c>
      <c r="M110" s="491" t="n"/>
      <c r="N110" s="501" t="n"/>
    </row>
    <row r="111" ht="15" customHeight="1" s="341">
      <c r="A111" s="492">
        <f>IF(B111="","",IF(C111="❌ Account Not Found","INVALID","LN"&amp;TEXT(D111,"YYYYMMDD")&amp;TEXT(ROW()-13,"0000")))</f>
        <v/>
      </c>
      <c r="B111" s="486" t="n"/>
      <c r="C111" s="378">
        <f>IF(B111="","",IFERROR(VLOOKUP(B111,DB_Customers!$A:$D,4,0),"❌ Account Not Found"))</f>
        <v/>
      </c>
      <c r="D111" s="488">
        <f>IF(B111="","",TODAY())</f>
        <v/>
      </c>
      <c r="E111" s="526" t="n"/>
      <c r="F111" s="378" t="n"/>
      <c r="G111" s="532" t="n"/>
      <c r="H111" s="533" t="n"/>
      <c r="I111" s="529">
        <f>IF(E111="","",E111+(E111*H111/100*G111))</f>
        <v/>
      </c>
      <c r="J111" s="534">
        <f>IFERROR(I111/G111,"")</f>
        <v/>
      </c>
      <c r="K111" s="535">
        <f>IF(B111="","Pending",IF(M111="","⚠️ Enter Code",IF(IFERROR(VLOOKUP(L111,DB_Agents!$B:$I,8,0),"")=M111,"Pending","🔒 BLOCKED — Wrong Code")))</f>
        <v/>
      </c>
      <c r="L111" s="380" t="inlineStr">
        <is>
          <t>Agent 06</t>
        </is>
      </c>
      <c r="M111" s="491" t="n"/>
      <c r="N111" s="494" t="n"/>
    </row>
    <row r="112" ht="15" customHeight="1" s="341">
      <c r="A112" s="499">
        <f>IF(B112="","",IF(C112="❌ Account Not Found","INVALID","LN"&amp;TEXT(D112,"YYYYMMDD")&amp;TEXT(ROW()-13,"0000")))</f>
        <v/>
      </c>
      <c r="B112" s="495" t="n"/>
      <c r="C112" s="382">
        <f>IF(B112="","",IFERROR(VLOOKUP(B112,DB_Customers!$A:$D,4,0),"❌ Account Not Found"))</f>
        <v/>
      </c>
      <c r="D112" s="497">
        <f>IF(B112="","",TODAY())</f>
        <v/>
      </c>
      <c r="E112" s="526" t="n"/>
      <c r="F112" s="382" t="n"/>
      <c r="G112" s="527" t="n"/>
      <c r="H112" s="528" t="n"/>
      <c r="I112" s="529">
        <f>IF(E112="","",E112+(E112*H112/100*G112))</f>
        <v/>
      </c>
      <c r="J112" s="530">
        <f>IFERROR(I112/G112,"")</f>
        <v/>
      </c>
      <c r="K112" s="531">
        <f>IF(B112="","Pending",IF(M112="","⚠️ Enter Code",IF(IFERROR(VLOOKUP(L112,DB_Agents!$B:$I,8,0),"")=M112,"Pending","🔒 BLOCKED — Wrong Code")))</f>
        <v/>
      </c>
      <c r="L112" s="384" t="inlineStr">
        <is>
          <t>Agent 06</t>
        </is>
      </c>
      <c r="M112" s="491" t="n"/>
      <c r="N112" s="501" t="n"/>
    </row>
    <row r="113" ht="15" customHeight="1" s="341">
      <c r="A113" s="492">
        <f>IF(B113="","",IF(C113="❌ Account Not Found","INVALID","LN"&amp;TEXT(D113,"YYYYMMDD")&amp;TEXT(ROW()-13,"0000")))</f>
        <v/>
      </c>
      <c r="B113" s="486" t="n"/>
      <c r="C113" s="378">
        <f>IF(B113="","",IFERROR(VLOOKUP(B113,DB_Customers!$A:$D,4,0),"❌ Account Not Found"))</f>
        <v/>
      </c>
      <c r="D113" s="488">
        <f>IF(B113="","",TODAY())</f>
        <v/>
      </c>
      <c r="E113" s="526" t="n"/>
      <c r="F113" s="378" t="n"/>
      <c r="G113" s="532" t="n"/>
      <c r="H113" s="533" t="n"/>
      <c r="I113" s="529">
        <f>IF(E113="","",E113+(E113*H113/100*G113))</f>
        <v/>
      </c>
      <c r="J113" s="534">
        <f>IFERROR(I113/G113,"")</f>
        <v/>
      </c>
      <c r="K113" s="535">
        <f>IF(B113="","Pending",IF(M113="","⚠️ Enter Code",IF(IFERROR(VLOOKUP(L113,DB_Agents!$B:$I,8,0),"")=M113,"Pending","🔒 BLOCKED — Wrong Code")))</f>
        <v/>
      </c>
      <c r="L113" s="380" t="inlineStr">
        <is>
          <t>Agent 06</t>
        </is>
      </c>
      <c r="M113" s="491" t="n"/>
      <c r="N113" s="494" t="n"/>
    </row>
    <row r="114" ht="15" customHeight="1" s="341">
      <c r="H114" s="536" t="n"/>
      <c r="K114" s="537">
        <f>IF(B114="","Pending",IF(M114="","⚠️ Enter Code",IF(IFERROR(VLOOKUP(L114,DB_Agents!$B:$I,8,0),"")=M114,"Pending","🔒 BLOCKED — Wrong Code")))</f>
        <v/>
      </c>
      <c r="M114" s="491" t="n"/>
    </row>
    <row r="115" ht="15" customHeight="1" s="341">
      <c r="H115" s="536" t="n"/>
      <c r="K115" s="342">
        <f>IF(B115="","Pending",IF(M115="","⚠️ Enter Code",IF(IFERROR(VLOOKUP(L115,DB_Agents!$B:$I,8,0),"")=M115,"Pending","🔒 BLOCKED — Wrong Code")))</f>
        <v/>
      </c>
      <c r="M115" s="491" t="n"/>
    </row>
    <row r="116" ht="15" customHeight="1" s="341">
      <c r="H116" s="536" t="n"/>
      <c r="K116" s="537">
        <f>IF(B116="","Pending",IF(M116="","⚠️ Enter Code",IF(IFERROR(VLOOKUP(L116,DB_Agents!$B:$I,8,0),"")=M116,"Pending","🔒 BLOCKED — Wrong Code")))</f>
        <v/>
      </c>
      <c r="M116" s="491" t="n"/>
    </row>
    <row r="117" ht="15" customHeight="1" s="341">
      <c r="H117" s="536" t="n"/>
      <c r="K117" s="342">
        <f>IF(B117="","Pending",IF(M117="","⚠️ Enter Code",IF(IFERROR(VLOOKUP(L117,DB_Agents!$B:$I,8,0),"")=M117,"Pending","🔒 BLOCKED — Wrong Code")))</f>
        <v/>
      </c>
      <c r="M117" s="491" t="n"/>
    </row>
    <row r="118" ht="15" customHeight="1" s="341">
      <c r="H118" s="536" t="n"/>
      <c r="K118" s="537">
        <f>IF(B118="","Pending",IF(M118="","⚠️ Enter Code",IF(IFERROR(VLOOKUP(L118,DB_Agents!$B:$I,8,0),"")=M118,"Pending","🔒 BLOCKED — Wrong Code")))</f>
        <v/>
      </c>
      <c r="M118" s="491" t="n"/>
    </row>
    <row r="119" ht="15" customHeight="1" s="341">
      <c r="H119" s="536" t="n"/>
      <c r="K119" s="342">
        <f>IF(B119="","Pending",IF(M119="","⚠️ Enter Code",IF(IFERROR(VLOOKUP(L119,DB_Agents!$B:$I,8,0),"")=M119,"Pending","🔒 BLOCKED — Wrong Code")))</f>
        <v/>
      </c>
      <c r="M119" s="491" t="n"/>
    </row>
    <row r="120" ht="15" customHeight="1" s="341">
      <c r="H120" s="536" t="n"/>
      <c r="K120" s="537">
        <f>IF(B120="","Pending",IF(M120="","⚠️ Enter Code",IF(IFERROR(VLOOKUP(L120,DB_Agents!$B:$I,8,0),"")=M120,"Pending","🔒 BLOCKED — Wrong Code")))</f>
        <v/>
      </c>
      <c r="M120" s="491" t="n"/>
    </row>
    <row r="121" ht="15" customHeight="1" s="341">
      <c r="H121" s="536" t="n"/>
      <c r="K121" s="342">
        <f>IF(B121="","Pending",IF(M121="","⚠️ Enter Code",IF(IFERROR(VLOOKUP(L121,DB_Agents!$B:$I,8,0),"")=M121,"Pending","🔒 BLOCKED — Wrong Code")))</f>
        <v/>
      </c>
      <c r="M121" s="491" t="n"/>
    </row>
    <row r="122" ht="15" customHeight="1" s="341">
      <c r="H122" s="536" t="n"/>
      <c r="K122" s="537">
        <f>IF(B122="","Pending",IF(M122="","⚠️ Enter Code",IF(IFERROR(VLOOKUP(L122,DB_Agents!$B:$I,8,0),"")=M122,"Pending","🔒 BLOCKED — Wrong Code")))</f>
        <v/>
      </c>
      <c r="M122" s="491" t="n"/>
    </row>
    <row r="123" ht="15" customHeight="1" s="341">
      <c r="H123" s="536" t="n"/>
      <c r="K123" s="342">
        <f>IF(B123="","Pending",IF(M123="","⚠️ Enter Code",IF(IFERROR(VLOOKUP(L123,DB_Agents!$B:$I,8,0),"")=M123,"Pending","🔒 BLOCKED — Wrong Code")))</f>
        <v/>
      </c>
      <c r="M123" s="491" t="n"/>
    </row>
    <row r="124" ht="15" customHeight="1" s="341">
      <c r="H124" s="536" t="n"/>
      <c r="K124" s="537">
        <f>IF(B124="","Pending",IF(M124="","⚠️ Enter Code",IF(IFERROR(VLOOKUP(L124,DB_Agents!$B:$I,8,0),"")=M124,"Pending","🔒 BLOCKED — Wrong Code")))</f>
        <v/>
      </c>
      <c r="M124" s="491" t="n"/>
    </row>
    <row r="125" ht="15" customHeight="1" s="341">
      <c r="H125" s="536" t="n"/>
      <c r="K125" s="342">
        <f>IF(B125="","Pending",IF(M125="","⚠️ Enter Code",IF(IFERROR(VLOOKUP(L125,DB_Agents!$B:$I,8,0),"")=M125,"Pending","🔒 BLOCKED — Wrong Code")))</f>
        <v/>
      </c>
      <c r="M125" s="491" t="n"/>
    </row>
    <row r="126" ht="15" customHeight="1" s="341">
      <c r="H126" s="536" t="n"/>
      <c r="K126" s="537">
        <f>IF(B126="","Pending",IF(M126="","⚠️ Enter Code",IF(IFERROR(VLOOKUP(L126,DB_Agents!$B:$I,8,0),"")=M126,"Pending","🔒 BLOCKED — Wrong Code")))</f>
        <v/>
      </c>
      <c r="M126" s="491" t="n"/>
    </row>
    <row r="127" ht="15" customHeight="1" s="341">
      <c r="H127" s="536" t="n"/>
      <c r="K127" s="342">
        <f>IF(B127="","Pending",IF(M127="","⚠️ Enter Code",IF(IFERROR(VLOOKUP(L127,DB_Agents!$B:$I,8,0),"")=M127,"Pending","🔒 BLOCKED — Wrong Code")))</f>
        <v/>
      </c>
      <c r="M127" s="491" t="n"/>
    </row>
    <row r="128" ht="15" customHeight="1" s="341">
      <c r="H128" s="536" t="n"/>
      <c r="K128" s="537">
        <f>IF(B128="","Pending",IF(M128="","⚠️ Enter Code",IF(IFERROR(VLOOKUP(L128,DB_Agents!$B:$I,8,0),"")=M128,"Pending","🔒 BLOCKED — Wrong Code")))</f>
        <v/>
      </c>
      <c r="M128" s="491" t="n"/>
    </row>
    <row r="129" ht="15" customHeight="1" s="341">
      <c r="H129" s="536" t="n"/>
      <c r="K129" s="342">
        <f>IF(B129="","Pending",IF(M129="","⚠️ Enter Code",IF(IFERROR(VLOOKUP(L129,DB_Agents!$B:$I,8,0),"")=M129,"Pending","🔒 BLOCKED — Wrong Code")))</f>
        <v/>
      </c>
      <c r="M129" s="491" t="n"/>
    </row>
    <row r="130" ht="15" customHeight="1" s="341">
      <c r="H130" s="536" t="n"/>
      <c r="K130" s="537">
        <f>IF(B130="","Pending",IF(M130="","⚠️ Enter Code",IF(IFERROR(VLOOKUP(L130,DB_Agents!$B:$I,8,0),"")=M130,"Pending","🔒 BLOCKED — Wrong Code")))</f>
        <v/>
      </c>
      <c r="M130" s="491" t="n"/>
    </row>
    <row r="131" ht="15" customHeight="1" s="341">
      <c r="H131" s="536" t="n"/>
      <c r="K131" s="342">
        <f>IF(B131="","Pending",IF(M131="","⚠️ Enter Code",IF(IFERROR(VLOOKUP(L131,DB_Agents!$B:$I,8,0),"")=M131,"Pending","🔒 BLOCKED — Wrong Code")))</f>
        <v/>
      </c>
      <c r="M131" s="491" t="n"/>
    </row>
    <row r="132" ht="15" customHeight="1" s="341">
      <c r="H132" s="536" t="n"/>
      <c r="K132" s="537">
        <f>IF(B132="","Pending",IF(M132="","⚠️ Enter Code",IF(IFERROR(VLOOKUP(L132,DB_Agents!$B:$I,8,0),"")=M132,"Pending","🔒 BLOCKED — Wrong Code")))</f>
        <v/>
      </c>
      <c r="M132" s="491" t="n"/>
    </row>
    <row r="133" ht="15" customHeight="1" s="341">
      <c r="H133" s="536" t="n"/>
      <c r="K133" s="342">
        <f>IF(B133="","Pending",IF(M133="","⚠️ Enter Code",IF(IFERROR(VLOOKUP(L133,DB_Agents!$B:$I,8,0),"")=M133,"Pending","🔒 BLOCKED — Wrong Code")))</f>
        <v/>
      </c>
      <c r="M133" s="491" t="n"/>
    </row>
    <row r="134" ht="15" customHeight="1" s="341">
      <c r="H134" s="536" t="n"/>
      <c r="K134" s="537">
        <f>IF(B134="","Pending",IF(M134="","⚠️ Enter Code",IF(IFERROR(VLOOKUP(L134,DB_Agents!$B:$I,8,0),"")=M134,"Pending","🔒 BLOCKED — Wrong Code")))</f>
        <v/>
      </c>
      <c r="M134" s="491" t="n"/>
    </row>
    <row r="135" ht="15" customHeight="1" s="341">
      <c r="H135" s="536" t="n"/>
      <c r="K135" s="342">
        <f>IF(B135="","Pending",IF(M135="","⚠️ Enter Code",IF(IFERROR(VLOOKUP(L135,DB_Agents!$B:$I,8,0),"")=M135,"Pending","🔒 BLOCKED — Wrong Code")))</f>
        <v/>
      </c>
      <c r="M135" s="491" t="n"/>
    </row>
    <row r="136" ht="15" customHeight="1" s="341">
      <c r="H136" s="536" t="n"/>
      <c r="K136" s="537">
        <f>IF(B136="","Pending",IF(M136="","⚠️ Enter Code",IF(IFERROR(VLOOKUP(L136,DB_Agents!$B:$I,8,0),"")=M136,"Pending","🔒 BLOCKED — Wrong Code")))</f>
        <v/>
      </c>
      <c r="M136" s="491" t="n"/>
    </row>
    <row r="137" ht="15" customHeight="1" s="341">
      <c r="H137" s="536" t="n"/>
      <c r="K137" s="342">
        <f>IF(B137="","Pending",IF(M137="","⚠️ Enter Code",IF(IFERROR(VLOOKUP(L137,DB_Agents!$B:$I,8,0),"")=M137,"Pending","🔒 BLOCKED — Wrong Code")))</f>
        <v/>
      </c>
      <c r="M137" s="491" t="n"/>
    </row>
    <row r="138" ht="15" customHeight="1" s="341">
      <c r="H138" s="536" t="n"/>
      <c r="K138" s="537">
        <f>IF(B138="","Pending",IF(M138="","⚠️ Enter Code",IF(IFERROR(VLOOKUP(L138,DB_Agents!$B:$I,8,0),"")=M138,"Pending","🔒 BLOCKED — Wrong Code")))</f>
        <v/>
      </c>
      <c r="M138" s="491" t="n"/>
    </row>
    <row r="139" ht="15" customHeight="1" s="341">
      <c r="H139" s="536" t="n"/>
      <c r="K139" s="342">
        <f>IF(B139="","Pending",IF(M139="","⚠️ Enter Code",IF(IFERROR(VLOOKUP(L139,DB_Agents!$B:$I,8,0),"")=M139,"Pending","🔒 BLOCKED — Wrong Code")))</f>
        <v/>
      </c>
      <c r="M139" s="491" t="n"/>
    </row>
    <row r="140" ht="15" customHeight="1" s="341">
      <c r="H140" s="536" t="n"/>
      <c r="K140" s="537">
        <f>IF(B140="","Pending",IF(M140="","⚠️ Enter Code",IF(IFERROR(VLOOKUP(L140,DB_Agents!$B:$I,8,0),"")=M140,"Pending","🔒 BLOCKED — Wrong Code")))</f>
        <v/>
      </c>
      <c r="M140" s="491" t="n"/>
    </row>
    <row r="141" ht="15" customHeight="1" s="341">
      <c r="H141" s="536" t="n"/>
      <c r="K141" s="342">
        <f>IF(B141="","Pending",IF(M141="","⚠️ Enter Code",IF(IFERROR(VLOOKUP(L141,DB_Agents!$B:$I,8,0),"")=M141,"Pending","🔒 BLOCKED — Wrong Code")))</f>
        <v/>
      </c>
      <c r="M141" s="491" t="n"/>
    </row>
    <row r="142" ht="15" customHeight="1" s="341">
      <c r="H142" s="536" t="n"/>
      <c r="K142" s="537">
        <f>IF(B142="","Pending",IF(M142="","⚠️ Enter Code",IF(IFERROR(VLOOKUP(L142,DB_Agents!$B:$I,8,0),"")=M142,"Pending","🔒 BLOCKED — Wrong Code")))</f>
        <v/>
      </c>
      <c r="M142" s="491" t="n"/>
    </row>
    <row r="143" ht="15" customHeight="1" s="341">
      <c r="H143" s="536" t="n"/>
      <c r="K143" s="342">
        <f>IF(B143="","Pending",IF(M143="","⚠️ Enter Code",IF(IFERROR(VLOOKUP(L143,DB_Agents!$B:$I,8,0),"")=M143,"Pending","🔒 BLOCKED — Wrong Code")))</f>
        <v/>
      </c>
      <c r="M143" s="491" t="n"/>
    </row>
    <row r="144" ht="15" customHeight="1" s="341">
      <c r="H144" s="536" t="n"/>
      <c r="K144" s="537">
        <f>IF(B144="","Pending",IF(M144="","⚠️ Enter Code",IF(IFERROR(VLOOKUP(L144,DB_Agents!$B:$I,8,0),"")=M144,"Pending","🔒 BLOCKED — Wrong Code")))</f>
        <v/>
      </c>
      <c r="M144" s="491" t="n"/>
    </row>
    <row r="145" ht="15" customHeight="1" s="341">
      <c r="H145" s="536" t="n"/>
      <c r="K145" s="342">
        <f>IF(B145="","Pending",IF(M145="","⚠️ Enter Code",IF(IFERROR(VLOOKUP(L145,DB_Agents!$B:$I,8,0),"")=M145,"Pending","🔒 BLOCKED — Wrong Code")))</f>
        <v/>
      </c>
      <c r="M145" s="491" t="n"/>
    </row>
    <row r="146" ht="15" customHeight="1" s="341">
      <c r="H146" s="536" t="n"/>
      <c r="K146" s="537">
        <f>IF(B146="","Pending",IF(M146="","⚠️ Enter Code",IF(IFERROR(VLOOKUP(L146,DB_Agents!$B:$I,8,0),"")=M146,"Pending","🔒 BLOCKED — Wrong Code")))</f>
        <v/>
      </c>
      <c r="M146" s="491" t="n"/>
    </row>
    <row r="147" ht="15" customHeight="1" s="341">
      <c r="H147" s="536" t="n"/>
      <c r="K147" s="342">
        <f>IF(B147="","Pending",IF(M147="","⚠️ Enter Code",IF(IFERROR(VLOOKUP(L147,DB_Agents!$B:$I,8,0),"")=M147,"Pending","🔒 BLOCKED — Wrong Code")))</f>
        <v/>
      </c>
      <c r="M147" s="491" t="n"/>
    </row>
    <row r="148" ht="15" customHeight="1" s="341">
      <c r="H148" s="536" t="n"/>
      <c r="K148" s="537">
        <f>IF(B148="","Pending",IF(M148="","⚠️ Enter Code",IF(IFERROR(VLOOKUP(L148,DB_Agents!$B:$I,8,0),"")=M148,"Pending","🔒 BLOCKED — Wrong Code")))</f>
        <v/>
      </c>
      <c r="M148" s="491" t="n"/>
    </row>
    <row r="149" ht="15" customHeight="1" s="341">
      <c r="H149" s="536" t="n"/>
      <c r="K149" s="342">
        <f>IF(B149="","Pending",IF(M149="","⚠️ Enter Code",IF(IFERROR(VLOOKUP(L149,DB_Agents!$B:$I,8,0),"")=M149,"Pending","🔒 BLOCKED — Wrong Code")))</f>
        <v/>
      </c>
      <c r="M149" s="491" t="n"/>
    </row>
    <row r="150" ht="15" customHeight="1" s="341">
      <c r="H150" s="536" t="n"/>
      <c r="K150" s="537">
        <f>IF(B150="","Pending",IF(M150="","⚠️ Enter Code",IF(IFERROR(VLOOKUP(L150,DB_Agents!$B:$I,8,0),"")=M150,"Pending","🔒 BLOCKED — Wrong Code")))</f>
        <v/>
      </c>
      <c r="M150" s="491" t="n"/>
    </row>
    <row r="151" ht="15" customHeight="1" s="341">
      <c r="H151" s="536" t="n"/>
      <c r="K151" s="342">
        <f>IF(B151="","Pending",IF(M151="","⚠️ Enter Code",IF(IFERROR(VLOOKUP(L151,DB_Agents!$B:$I,8,0),"")=M151,"Pending","🔒 BLOCKED — Wrong Code")))</f>
        <v/>
      </c>
      <c r="M151" s="491" t="n"/>
    </row>
    <row r="152" ht="15" customHeight="1" s="341">
      <c r="H152" s="536" t="n"/>
      <c r="K152" s="537">
        <f>IF(B152="","Pending",IF(M152="","⚠️ Enter Code",IF(IFERROR(VLOOKUP(L152,DB_Agents!$B:$I,8,0),"")=M152,"Pending","🔒 BLOCKED — Wrong Code")))</f>
        <v/>
      </c>
      <c r="M152" s="491" t="n"/>
    </row>
    <row r="153" ht="15" customHeight="1" s="341">
      <c r="H153" s="536" t="n"/>
      <c r="K153" s="342">
        <f>IF(B153="","Pending",IF(M153="","⚠️ Enter Code",IF(IFERROR(VLOOKUP(L153,DB_Agents!$B:$I,8,0),"")=M153,"Pending","🔒 BLOCKED — Wrong Code")))</f>
        <v/>
      </c>
      <c r="M153" s="491" t="n"/>
    </row>
    <row r="154" ht="15" customHeight="1" s="341">
      <c r="H154" s="536" t="n"/>
      <c r="K154" s="537">
        <f>IF(B154="","Pending",IF(M154="","⚠️ Enter Code",IF(IFERROR(VLOOKUP(L154,DB_Agents!$B:$I,8,0),"")=M154,"Pending","🔒 BLOCKED — Wrong Code")))</f>
        <v/>
      </c>
      <c r="M154" s="491" t="n"/>
    </row>
    <row r="155" ht="15" customHeight="1" s="341">
      <c r="H155" s="536" t="n"/>
      <c r="K155" s="342">
        <f>IF(B155="","Pending",IF(M155="","⚠️ Enter Code",IF(IFERROR(VLOOKUP(L155,DB_Agents!$B:$I,8,0),"")=M155,"Pending","🔒 BLOCKED — Wrong Code")))</f>
        <v/>
      </c>
      <c r="M155" s="491" t="n"/>
    </row>
    <row r="156" ht="15" customHeight="1" s="341">
      <c r="H156" s="536" t="n"/>
      <c r="K156" s="537">
        <f>IF(B156="","Pending",IF(M156="","⚠️ Enter Code",IF(IFERROR(VLOOKUP(L156,DB_Agents!$B:$I,8,0),"")=M156,"Pending","🔒 BLOCKED — Wrong Code")))</f>
        <v/>
      </c>
      <c r="M156" s="491" t="n"/>
    </row>
    <row r="157" ht="15" customHeight="1" s="341">
      <c r="H157" s="536" t="n"/>
      <c r="K157" s="342">
        <f>IF(B157="","Pending",IF(M157="","⚠️ Enter Code",IF(IFERROR(VLOOKUP(L157,DB_Agents!$B:$I,8,0),"")=M157,"Pending","🔒 BLOCKED — Wrong Code")))</f>
        <v/>
      </c>
      <c r="M157" s="491" t="n"/>
    </row>
    <row r="158" ht="15" customHeight="1" s="341">
      <c r="H158" s="536" t="n"/>
      <c r="K158" s="537">
        <f>IF(B158="","Pending",IF(M158="","⚠️ Enter Code",IF(IFERROR(VLOOKUP(L158,DB_Agents!$B:$I,8,0),"")=M158,"Pending","🔒 BLOCKED — Wrong Code")))</f>
        <v/>
      </c>
      <c r="M158" s="491" t="n"/>
    </row>
    <row r="159" ht="15" customHeight="1" s="341">
      <c r="H159" s="536" t="n"/>
      <c r="K159" s="342">
        <f>IF(B159="","Pending",IF(M159="","⚠️ Enter Code",IF(IFERROR(VLOOKUP(L159,DB_Agents!$B:$I,8,0),"")=M159,"Pending","🔒 BLOCKED — Wrong Code")))</f>
        <v/>
      </c>
      <c r="M159" s="491" t="n"/>
    </row>
    <row r="160" ht="15" customHeight="1" s="341">
      <c r="H160" s="536" t="n"/>
      <c r="K160" s="537">
        <f>IF(B160="","Pending",IF(M160="","⚠️ Enter Code",IF(IFERROR(VLOOKUP(L160,DB_Agents!$B:$I,8,0),"")=M160,"Pending","🔒 BLOCKED — Wrong Code")))</f>
        <v/>
      </c>
      <c r="M160" s="491" t="n"/>
    </row>
    <row r="161" ht="15" customHeight="1" s="341">
      <c r="H161" s="536" t="n"/>
      <c r="K161" s="342">
        <f>IF(B161="","Pending",IF(M161="","⚠️ Enter Code",IF(IFERROR(VLOOKUP(L161,DB_Agents!$B:$I,8,0),"")=M161,"Pending","🔒 BLOCKED — Wrong Code")))</f>
        <v/>
      </c>
      <c r="M161" s="491" t="n"/>
    </row>
    <row r="162" ht="15" customHeight="1" s="341">
      <c r="H162" s="536" t="n"/>
      <c r="K162" s="537">
        <f>IF(B162="","Pending",IF(M162="","⚠️ Enter Code",IF(IFERROR(VLOOKUP(L162,DB_Agents!$B:$I,8,0),"")=M162,"Pending","🔒 BLOCKED — Wrong Code")))</f>
        <v/>
      </c>
      <c r="M162" s="491" t="n"/>
    </row>
    <row r="163" ht="15" customHeight="1" s="341">
      <c r="H163" s="536" t="n"/>
      <c r="K163" s="342">
        <f>IF(B163="","Pending",IF(M163="","⚠️ Enter Code",IF(IFERROR(VLOOKUP(L163,DB_Agents!$B:$I,8,0),"")=M163,"Pending","🔒 BLOCKED — Wrong Code")))</f>
        <v/>
      </c>
      <c r="M163" s="491" t="n"/>
    </row>
    <row r="164" ht="15" customHeight="1" s="341">
      <c r="H164" s="536" t="n"/>
      <c r="K164" s="537">
        <f>IF(B164="","Pending",IF(M164="","⚠️ Enter Code",IF(IFERROR(VLOOKUP(L164,DB_Agents!$B:$I,8,0),"")=M164,"Pending","🔒 BLOCKED — Wrong Code")))</f>
        <v/>
      </c>
      <c r="M164" s="491" t="n"/>
    </row>
    <row r="165" ht="15" customHeight="1" s="341">
      <c r="H165" s="536" t="n"/>
      <c r="K165" s="342">
        <f>IF(B165="","Pending",IF(M165="","⚠️ Enter Code",IF(IFERROR(VLOOKUP(L165,DB_Agents!$B:$I,8,0),"")=M165,"Pending","🔒 BLOCKED — Wrong Code")))</f>
        <v/>
      </c>
      <c r="M165" s="491" t="n"/>
    </row>
    <row r="166" ht="15" customHeight="1" s="341">
      <c r="H166" s="536" t="n"/>
      <c r="K166" s="537">
        <f>IF(B166="","Pending",IF(M166="","⚠️ Enter Code",IF(IFERROR(VLOOKUP(L166,DB_Agents!$B:$I,8,0),"")=M166,"Pending","🔒 BLOCKED — Wrong Code")))</f>
        <v/>
      </c>
      <c r="M166" s="491" t="n"/>
    </row>
    <row r="167" ht="15" customHeight="1" s="341">
      <c r="H167" s="536" t="n"/>
      <c r="K167" s="342">
        <f>IF(B167="","Pending",IF(M167="","⚠️ Enter Code",IF(IFERROR(VLOOKUP(L167,DB_Agents!$B:$I,8,0),"")=M167,"Pending","🔒 BLOCKED — Wrong Code")))</f>
        <v/>
      </c>
      <c r="M167" s="491" t="n"/>
    </row>
    <row r="168" ht="15" customHeight="1" s="341">
      <c r="H168" s="536" t="n"/>
      <c r="K168" s="537">
        <f>IF(B168="","Pending",IF(M168="","⚠️ Enter Code",IF(IFERROR(VLOOKUP(L168,DB_Agents!$B:$I,8,0),"")=M168,"Pending","🔒 BLOCKED — Wrong Code")))</f>
        <v/>
      </c>
      <c r="M168" s="491" t="n"/>
    </row>
    <row r="169" ht="15" customHeight="1" s="341">
      <c r="H169" s="536" t="n"/>
      <c r="K169" s="342">
        <f>IF(B169="","Pending",IF(M169="","⚠️ Enter Code",IF(IFERROR(VLOOKUP(L169,DB_Agents!$B:$I,8,0),"")=M169,"Pending","🔒 BLOCKED — Wrong Code")))</f>
        <v/>
      </c>
      <c r="M169" s="491" t="n"/>
    </row>
    <row r="170" ht="15" customHeight="1" s="341">
      <c r="H170" s="536" t="n"/>
      <c r="K170" s="537">
        <f>IF(B170="","Pending",IF(M170="","⚠️ Enter Code",IF(IFERROR(VLOOKUP(L170,DB_Agents!$B:$I,8,0),"")=M170,"Pending","🔒 BLOCKED — Wrong Code")))</f>
        <v/>
      </c>
      <c r="M170" s="491" t="n"/>
    </row>
    <row r="171" ht="15" customHeight="1" s="341">
      <c r="H171" s="536" t="n"/>
      <c r="K171" s="342">
        <f>IF(B171="","Pending",IF(M171="","⚠️ Enter Code",IF(IFERROR(VLOOKUP(L171,DB_Agents!$B:$I,8,0),"")=M171,"Pending","🔒 BLOCKED — Wrong Code")))</f>
        <v/>
      </c>
      <c r="M171" s="491" t="n"/>
    </row>
    <row r="172" ht="15" customHeight="1" s="341">
      <c r="H172" s="536" t="n"/>
      <c r="K172" s="537">
        <f>IF(B172="","Pending",IF(M172="","⚠️ Enter Code",IF(IFERROR(VLOOKUP(L172,DB_Agents!$B:$I,8,0),"")=M172,"Pending","🔒 BLOCKED — Wrong Code")))</f>
        <v/>
      </c>
      <c r="M172" s="491" t="n"/>
    </row>
    <row r="173" ht="15" customHeight="1" s="341">
      <c r="H173" s="536" t="n"/>
      <c r="K173" s="342">
        <f>IF(B173="","Pending",IF(M173="","⚠️ Enter Code",IF(IFERROR(VLOOKUP(L173,DB_Agents!$B:$I,8,0),"")=M173,"Pending","🔒 BLOCKED — Wrong Code")))</f>
        <v/>
      </c>
      <c r="M173" s="491" t="n"/>
    </row>
    <row r="174" ht="15" customHeight="1" s="341">
      <c r="H174" s="536" t="n"/>
      <c r="K174" s="537">
        <f>IF(B174="","Pending",IF(M174="","⚠️ Enter Code",IF(IFERROR(VLOOKUP(L174,DB_Agents!$B:$I,8,0),"")=M174,"Pending","🔒 BLOCKED — Wrong Code")))</f>
        <v/>
      </c>
      <c r="M174" s="491" t="n"/>
    </row>
    <row r="175" ht="15" customHeight="1" s="341">
      <c r="H175" s="536" t="n"/>
      <c r="K175" s="342">
        <f>IF(B175="","Pending",IF(M175="","⚠️ Enter Code",IF(IFERROR(VLOOKUP(L175,DB_Agents!$B:$I,8,0),"")=M175,"Pending","🔒 BLOCKED — Wrong Code")))</f>
        <v/>
      </c>
      <c r="M175" s="491" t="n"/>
    </row>
    <row r="176" ht="15" customHeight="1" s="341">
      <c r="H176" s="536" t="n"/>
      <c r="K176" s="537">
        <f>IF(B176="","Pending",IF(M176="","⚠️ Enter Code",IF(IFERROR(VLOOKUP(L176,DB_Agents!$B:$I,8,0),"")=M176,"Pending","🔒 BLOCKED — Wrong Code")))</f>
        <v/>
      </c>
      <c r="M176" s="491" t="n"/>
    </row>
    <row r="177" ht="15" customHeight="1" s="341">
      <c r="H177" s="536" t="n"/>
      <c r="K177" s="342">
        <f>IF(B177="","Pending",IF(M177="","⚠️ Enter Code",IF(IFERROR(VLOOKUP(L177,DB_Agents!$B:$I,8,0),"")=M177,"Pending","🔒 BLOCKED — Wrong Code")))</f>
        <v/>
      </c>
      <c r="M177" s="491" t="n"/>
    </row>
    <row r="178" ht="15" customHeight="1" s="341">
      <c r="H178" s="536" t="n"/>
      <c r="K178" s="537">
        <f>IF(B178="","Pending",IF(M178="","⚠️ Enter Code",IF(IFERROR(VLOOKUP(L178,DB_Agents!$B:$I,8,0),"")=M178,"Pending","🔒 BLOCKED — Wrong Code")))</f>
        <v/>
      </c>
      <c r="M178" s="491" t="n"/>
    </row>
    <row r="179" ht="15" customHeight="1" s="341">
      <c r="H179" s="536" t="n"/>
      <c r="K179" s="342">
        <f>IF(B179="","Pending",IF(M179="","⚠️ Enter Code",IF(IFERROR(VLOOKUP(L179,DB_Agents!$B:$I,8,0),"")=M179,"Pending","🔒 BLOCKED — Wrong Code")))</f>
        <v/>
      </c>
      <c r="M179" s="491" t="n"/>
    </row>
    <row r="180" ht="15" customHeight="1" s="341">
      <c r="H180" s="536" t="n"/>
      <c r="K180" s="537">
        <f>IF(B180="","Pending",IF(M180="","⚠️ Enter Code",IF(IFERROR(VLOOKUP(L180,DB_Agents!$B:$I,8,0),"")=M180,"Pending","🔒 BLOCKED — Wrong Code")))</f>
        <v/>
      </c>
      <c r="M180" s="491" t="n"/>
    </row>
    <row r="181" ht="15" customHeight="1" s="341">
      <c r="H181" s="536" t="n"/>
      <c r="K181" s="342">
        <f>IF(B181="","Pending",IF(M181="","⚠️ Enter Code",IF(IFERROR(VLOOKUP(L181,DB_Agents!$B:$I,8,0),"")=M181,"Pending","🔒 BLOCKED — Wrong Code")))</f>
        <v/>
      </c>
      <c r="M181" s="491" t="n"/>
    </row>
    <row r="182" ht="15" customHeight="1" s="341">
      <c r="H182" s="536" t="n"/>
      <c r="K182" s="537">
        <f>IF(B182="","Pending",IF(M182="","⚠️ Enter Code",IF(IFERROR(VLOOKUP(L182,DB_Agents!$B:$I,8,0),"")=M182,"Pending","🔒 BLOCKED — Wrong Code")))</f>
        <v/>
      </c>
      <c r="M182" s="491" t="n"/>
    </row>
    <row r="183" ht="15" customHeight="1" s="341">
      <c r="H183" s="536" t="n"/>
      <c r="K183" s="342">
        <f>IF(B183="","Pending",IF(M183="","⚠️ Enter Code",IF(IFERROR(VLOOKUP(L183,DB_Agents!$B:$I,8,0),"")=M183,"Pending","🔒 BLOCKED — Wrong Code")))</f>
        <v/>
      </c>
      <c r="M183" s="491" t="n"/>
    </row>
    <row r="184" ht="15" customHeight="1" s="341">
      <c r="H184" s="536" t="n"/>
      <c r="K184" s="537">
        <f>IF(B184="","Pending",IF(M184="","⚠️ Enter Code",IF(IFERROR(VLOOKUP(L184,DB_Agents!$B:$I,8,0),"")=M184,"Pending","🔒 BLOCKED — Wrong Code")))</f>
        <v/>
      </c>
      <c r="M184" s="491" t="n"/>
    </row>
    <row r="185" ht="15" customHeight="1" s="341">
      <c r="H185" s="536" t="n"/>
      <c r="K185" s="342">
        <f>IF(B185="","Pending",IF(M185="","⚠️ Enter Code",IF(IFERROR(VLOOKUP(L185,DB_Agents!$B:$I,8,0),"")=M185,"Pending","🔒 BLOCKED — Wrong Code")))</f>
        <v/>
      </c>
      <c r="M185" s="491" t="n"/>
    </row>
    <row r="186" ht="15" customHeight="1" s="341">
      <c r="H186" s="536" t="n"/>
      <c r="K186" s="537">
        <f>IF(B186="","Pending",IF(M186="","⚠️ Enter Code",IF(IFERROR(VLOOKUP(L186,DB_Agents!$B:$I,8,0),"")=M186,"Pending","🔒 BLOCKED — Wrong Code")))</f>
        <v/>
      </c>
      <c r="M186" s="491" t="n"/>
    </row>
    <row r="187" ht="15" customHeight="1" s="341">
      <c r="H187" s="536" t="n"/>
      <c r="K187" s="342">
        <f>IF(B187="","Pending",IF(M187="","⚠️ Enter Code",IF(IFERROR(VLOOKUP(L187,DB_Agents!$B:$I,8,0),"")=M187,"Pending","🔒 BLOCKED — Wrong Code")))</f>
        <v/>
      </c>
      <c r="M187" s="491" t="n"/>
    </row>
    <row r="188" ht="15" customHeight="1" s="341">
      <c r="H188" s="536" t="n"/>
      <c r="K188" s="537">
        <f>IF(B188="","Pending",IF(M188="","⚠️ Enter Code",IF(IFERROR(VLOOKUP(L188,DB_Agents!$B:$I,8,0),"")=M188,"Pending","🔒 BLOCKED — Wrong Code")))</f>
        <v/>
      </c>
      <c r="M188" s="491" t="n"/>
    </row>
    <row r="189" ht="15" customHeight="1" s="341">
      <c r="H189" s="536" t="n"/>
      <c r="K189" s="342">
        <f>IF(B189="","Pending",IF(M189="","⚠️ Enter Code",IF(IFERROR(VLOOKUP(L189,DB_Agents!$B:$I,8,0),"")=M189,"Pending","🔒 BLOCKED — Wrong Code")))</f>
        <v/>
      </c>
      <c r="M189" s="491" t="n"/>
    </row>
    <row r="190" ht="15" customHeight="1" s="341">
      <c r="H190" s="536" t="n"/>
      <c r="K190" s="537">
        <f>IF(B190="","Pending",IF(M190="","⚠️ Enter Code",IF(IFERROR(VLOOKUP(L190,DB_Agents!$B:$I,8,0),"")=M190,"Pending","🔒 BLOCKED — Wrong Code")))</f>
        <v/>
      </c>
      <c r="M190" s="491" t="n"/>
    </row>
    <row r="191" ht="15" customHeight="1" s="341">
      <c r="H191" s="536" t="n"/>
      <c r="K191" s="342">
        <f>IF(B191="","Pending",IF(M191="","⚠️ Enter Code",IF(IFERROR(VLOOKUP(L191,DB_Agents!$B:$I,8,0),"")=M191,"Pending","🔒 BLOCKED — Wrong Code")))</f>
        <v/>
      </c>
      <c r="M191" s="491" t="n"/>
    </row>
    <row r="192" ht="15" customHeight="1" s="341">
      <c r="H192" s="536" t="n"/>
      <c r="K192" s="537">
        <f>IF(B192="","Pending",IF(M192="","⚠️ Enter Code",IF(IFERROR(VLOOKUP(L192,DB_Agents!$B:$I,8,0),"")=M192,"Pending","🔒 BLOCKED — Wrong Code")))</f>
        <v/>
      </c>
      <c r="M192" s="491" t="n"/>
    </row>
    <row r="193" ht="15" customHeight="1" s="341">
      <c r="H193" s="536" t="n"/>
      <c r="K193" s="342">
        <f>IF(B193="","Pending",IF(M193="","⚠️ Enter Code",IF(IFERROR(VLOOKUP(L193,DB_Agents!$B:$I,8,0),"")=M193,"Pending","🔒 BLOCKED — Wrong Code")))</f>
        <v/>
      </c>
      <c r="M193" s="491" t="n"/>
    </row>
    <row r="194" ht="15" customHeight="1" s="341">
      <c r="H194" s="536" t="n"/>
      <c r="K194" s="537">
        <f>IF(B194="","Pending",IF(M194="","⚠️ Enter Code",IF(IFERROR(VLOOKUP(L194,DB_Agents!$B:$I,8,0),"")=M194,"Pending","🔒 BLOCKED — Wrong Code")))</f>
        <v/>
      </c>
      <c r="M194" s="491" t="n"/>
    </row>
    <row r="195" ht="15" customHeight="1" s="341">
      <c r="H195" s="536" t="n"/>
      <c r="K195" s="342">
        <f>IF(B195="","Pending",IF(M195="","⚠️ Enter Code",IF(IFERROR(VLOOKUP(L195,DB_Agents!$B:$I,8,0),"")=M195,"Pending","🔒 BLOCKED — Wrong Code")))</f>
        <v/>
      </c>
      <c r="M195" s="491" t="n"/>
    </row>
    <row r="196" ht="15" customHeight="1" s="341">
      <c r="H196" s="536" t="n"/>
      <c r="K196" s="537">
        <f>IF(B196="","Pending",IF(M196="","⚠️ Enter Code",IF(IFERROR(VLOOKUP(L196,DB_Agents!$B:$I,8,0),"")=M196,"Pending","🔒 BLOCKED — Wrong Code")))</f>
        <v/>
      </c>
      <c r="M196" s="491" t="n"/>
    </row>
    <row r="197" ht="15" customHeight="1" s="341">
      <c r="H197" s="536" t="n"/>
      <c r="K197" s="342">
        <f>IF(B197="","Pending",IF(M197="","⚠️ Enter Code",IF(IFERROR(VLOOKUP(L197,DB_Agents!$B:$I,8,0),"")=M197,"Pending","🔒 BLOCKED — Wrong Code")))</f>
        <v/>
      </c>
      <c r="M197" s="491" t="n"/>
    </row>
    <row r="198" ht="15" customHeight="1" s="341">
      <c r="H198" s="536" t="n"/>
      <c r="K198" s="537">
        <f>IF(B198="","Pending",IF(M198="","⚠️ Enter Code",IF(IFERROR(VLOOKUP(L198,DB_Agents!$B:$I,8,0),"")=M198,"Pending","🔒 BLOCKED — Wrong Code")))</f>
        <v/>
      </c>
      <c r="M198" s="491" t="n"/>
    </row>
    <row r="199" ht="15" customHeight="1" s="341">
      <c r="H199" s="536" t="n"/>
      <c r="K199" s="342">
        <f>IF(B199="","Pending",IF(M199="","⚠️ Enter Code",IF(IFERROR(VLOOKUP(L199,DB_Agents!$B:$I,8,0),"")=M199,"Pending","🔒 BLOCKED — Wrong Code")))</f>
        <v/>
      </c>
      <c r="M199" s="491" t="n"/>
    </row>
    <row r="200" ht="15" customHeight="1" s="341">
      <c r="H200" s="536" t="n"/>
      <c r="K200" s="537">
        <f>IF(B200="","Pending",IF(M200="","⚠️ Enter Code",IF(IFERROR(VLOOKUP(L200,DB_Agents!$B:$I,8,0),"")=M200,"Pending","🔒 BLOCKED — Wrong Code")))</f>
        <v/>
      </c>
      <c r="M200" s="491" t="n"/>
    </row>
    <row r="201" ht="15" customHeight="1" s="341">
      <c r="K201" s="342">
        <f>IF(B201="","Pending",IF(M201="","⚠️ Enter Code",IF(IFERROR(VLOOKUP(L201,DB_Agents!$B:$I,8,0),"")=M201,"Pending","🔒 BLOCKED — Wrong Code")))</f>
        <v/>
      </c>
      <c r="M201" s="491" t="n"/>
    </row>
    <row r="202" ht="15" customHeight="1" s="341">
      <c r="K202" s="537">
        <f>IF(B202="","Pending",IF(M202="","⚠️ Enter Code",IF(IFERROR(VLOOKUP(L202,DB_Agents!$B:$I,8,0),"")=M202,"Pending","🔒 BLOCKED — Wrong Code")))</f>
        <v/>
      </c>
      <c r="M202" s="491" t="n"/>
    </row>
    <row r="203" ht="15" customHeight="1" s="341">
      <c r="K203" s="342">
        <f>IF(B203="","Pending",IF(M203="","⚠️ Enter Code",IF(IFERROR(VLOOKUP(L203,DB_Agents!$B:$I,8,0),"")=M203,"Pending","🔒 BLOCKED — Wrong Code")))</f>
        <v/>
      </c>
      <c r="M203" s="491" t="n"/>
    </row>
    <row r="204" ht="15" customHeight="1" s="341">
      <c r="K204" s="537">
        <f>IF(B204="","Pending",IF(M204="","⚠️ Enter Code",IF(IFERROR(VLOOKUP(L204,DB_Agents!$B:$I,8,0),"")=M204,"Pending","🔒 BLOCKED — Wrong Code")))</f>
        <v/>
      </c>
      <c r="M204" s="491" t="n"/>
    </row>
    <row r="205" ht="15" customHeight="1" s="341">
      <c r="K205" s="342">
        <f>IF(B205="","Pending",IF(M205="","⚠️ Enter Code",IF(IFERROR(VLOOKUP(L205,DB_Agents!$B:$I,8,0),"")=M205,"Pending","🔒 BLOCKED — Wrong Code")))</f>
        <v/>
      </c>
      <c r="M205" s="491" t="n"/>
    </row>
    <row r="206" ht="15" customHeight="1" s="341">
      <c r="K206" s="537">
        <f>IF(B206="","Pending",IF(M206="","⚠️ Enter Code",IF(IFERROR(VLOOKUP(L206,DB_Agents!$B:$I,8,0),"")=M206,"Pending","🔒 BLOCKED — Wrong Code")))</f>
        <v/>
      </c>
      <c r="M206" s="491" t="n"/>
    </row>
    <row r="207" ht="15" customHeight="1" s="341">
      <c r="K207" s="342">
        <f>IF(B207="","Pending",IF(M207="","⚠️ Enter Code",IF(IFERROR(VLOOKUP(L207,DB_Agents!$B:$I,8,0),"")=M207,"Pending","🔒 BLOCKED — Wrong Code")))</f>
        <v/>
      </c>
      <c r="M207" s="491" t="n"/>
    </row>
    <row r="208" ht="15" customHeight="1" s="341">
      <c r="K208" s="537">
        <f>IF(B208="","Pending",IF(M208="","⚠️ Enter Code",IF(IFERROR(VLOOKUP(L208,DB_Agents!$B:$I,8,0),"")=M208,"Pending","🔒 BLOCKED — Wrong Code")))</f>
        <v/>
      </c>
      <c r="M208" s="491" t="n"/>
    </row>
    <row r="209" ht="15" customHeight="1" s="341">
      <c r="K209" s="342">
        <f>IF(B209="","Pending",IF(M209="","⚠️ Enter Code",IF(IFERROR(VLOOKUP(L209,DB_Agents!$B:$I,8,0),"")=M209,"Pending","🔒 BLOCKED — Wrong Code")))</f>
        <v/>
      </c>
      <c r="M209" s="491" t="n"/>
    </row>
    <row r="210" ht="15" customHeight="1" s="341">
      <c r="K210" s="537">
        <f>IF(B210="","Pending",IF(M210="","⚠️ Enter Code",IF(IFERROR(VLOOKUP(L210,DB_Agents!$B:$I,8,0),"")=M210,"Pending","🔒 BLOCKED — Wrong Code")))</f>
        <v/>
      </c>
      <c r="M210" s="491" t="n"/>
    </row>
    <row r="211" ht="15" customHeight="1" s="341">
      <c r="K211" s="342">
        <f>IF(B211="","Pending",IF(M211="","⚠️ Enter Code",IF(IFERROR(VLOOKUP(L211,DB_Agents!$B:$I,8,0),"")=M211,"Pending","🔒 BLOCKED — Wrong Code")))</f>
        <v/>
      </c>
      <c r="M211" s="491" t="n"/>
    </row>
    <row r="212" ht="15" customHeight="1" s="341">
      <c r="K212" s="537">
        <f>IF(B212="","Pending",IF(M212="","⚠️ Enter Code",IF(IFERROR(VLOOKUP(L212,DB_Agents!$B:$I,8,0),"")=M212,"Pending","🔒 BLOCKED — Wrong Code")))</f>
        <v/>
      </c>
      <c r="M212" s="491" t="n"/>
    </row>
    <row r="213" ht="15" customHeight="1" s="341">
      <c r="K213" s="342">
        <f>IF(B213="","Pending",IF(M213="","⚠️ Enter Code",IF(IFERROR(VLOOKUP(L213,DB_Agents!$B:$I,8,0),"")=M213,"Pending","🔒 BLOCKED — Wrong Code")))</f>
        <v/>
      </c>
      <c r="M213" s="491" t="n"/>
    </row>
  </sheetData>
  <mergeCells count="10">
    <mergeCell ref="B10:D10"/>
    <mergeCell ref="B5:D5"/>
    <mergeCell ref="A12:N12"/>
    <mergeCell ref="A4:D4"/>
    <mergeCell ref="B8:D8"/>
    <mergeCell ref="A2:N2"/>
    <mergeCell ref="B9:D9"/>
    <mergeCell ref="B7:D7"/>
    <mergeCell ref="B6:D6"/>
    <mergeCell ref="A1:N1"/>
  </mergeCells>
  <conditionalFormatting sqref="K14:K113">
    <cfRule type="cellIs" rank="0" priority="2" equalAverage="0" operator="equal" aboveAverage="0" dxfId="0" text="" percent="0" bottom="0">
      <formula>"Approved"</formula>
    </cfRule>
    <cfRule type="cellIs" rank="0" priority="3" equalAverage="0" operator="equal" aboveAverage="0" dxfId="11" text="" percent="0" bottom="0">
      <formula>"Pending"</formula>
    </cfRule>
    <cfRule type="cellIs" rank="0" priority="4" equalAverage="0" operator="equal" aboveAverage="0" dxfId="1" text="" percent="0" bottom="0">
      <formula>"Rejected"</formula>
    </cfRule>
  </conditionalFormatting>
  <dataValidations count="2">
    <dataValidation sqref="G14:G113" showDropDown="0" showInputMessage="0" showErrorMessage="1" allowBlank="0" error="Enter 1-36 months" type="whole" errorStyle="stop" operator="between">
      <formula1>1</formula1>
      <formula2>36</formula2>
    </dataValidation>
    <dataValidation sqref="L14:L113"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4.xml><?xml version="1.0" encoding="utf-8"?>
<worksheet xmlns="http://schemas.openxmlformats.org/spreadsheetml/2006/main">
  <sheetPr filterMode="0">
    <tabColor rgb="FF27AE60"/>
    <outlinePr summaryBelow="1" summaryRight="1"/>
    <pageSetUpPr fitToPage="0"/>
  </sheetPr>
  <dimension ref="A1:L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2" customWidth="1" style="340" min="7" max="7"/>
    <col width="14" customWidth="1" style="340" min="8" max="8"/>
    <col width="22" customWidth="1" style="340" min="9" max="10"/>
  </cols>
  <sheetData>
    <row r="1" ht="31.5" customHeight="1" s="341">
      <c r="A1" s="409" t="inlineStr">
        <is>
          <t>💰  SAMICIOUS MICROFINANCE — AGENT07 SAVINGS</t>
        </is>
      </c>
    </row>
    <row r="2" ht="19.5" customHeight="1" s="341">
      <c r="A2" s="479" t="inlineStr">
        <is>
          <t>Agent: Agent 07  |  Enter Account # → All fields auto-populate  |  Status auto-sets to "Saved"  |  🔑 Security: Enter your 4-digit Agent Code in each row</t>
        </is>
      </c>
    </row>
    <row r="3" ht="18" customHeight="1" s="341">
      <c r="A3" s="364" t="inlineStr">
        <is>
          <t>💰 Total Collected Today</t>
        </is>
      </c>
      <c r="D3" s="367" t="inlineStr">
        <is>
          <t>📊 Transactions Today</t>
        </is>
      </c>
      <c r="G3" s="439" t="inlineStr">
        <is>
          <t>📅 Date</t>
        </is>
      </c>
      <c r="J3" s="340" t="n"/>
    </row>
    <row r="4" ht="27.75" customHeight="1" s="341">
      <c r="A4" s="480">
        <f>SUMIFS(DB_Savings!$F:$F,DB_Savings!$G:$G,"Agent 07",DB_Savings!$E:$E,TODAY())</f>
        <v/>
      </c>
      <c r="D4" s="481">
        <f>COUNTIFS(DB_Savings!$G:$G,"Agent 07",DB_Savings!$E:$E,TODAY())</f>
        <v/>
      </c>
      <c r="G4" s="482">
        <f>TEXT(TODAY(),"DDDD, DD MMMM YYYY")</f>
        <v/>
      </c>
      <c r="J4" s="340" t="n"/>
    </row>
    <row r="5" ht="21.75" customHeight="1" s="341">
      <c r="A5" s="483">
        <f>IF(SUMIFS(DB_Savings!$F:$F,DB_Savings!$G:$G,"Agent 07",DB_Savings!$E:$E,TODAY())&gt;=J4,"✅ DAILY TARGET ACHIEVED! Well done Agent 07!","⏳ Collection in progress — Keep going! Remaining: GHC "&amp;TEXT(J4-SUMIFS(DB_Savings!$F:$F,DB_Savings!$G:$G,"Agent 07",DB_Savings!$E:$E,TODAY()),"#,##0.00"))</f>
        <v/>
      </c>
    </row>
    <row r="6" ht="7.5" customHeight="1" s="341"/>
    <row r="7" ht="19.5" customHeight="1" s="341">
      <c r="A7" s="484" t="inlineStr">
        <is>
          <t>📝  ENTRY FORM — Enter Account Number in column A. All other fields auto-populate. Enter Savings Amount in column E then Tab to complete. | Enter Agent Code in 🔑 column to authorize each transaction.</t>
        </is>
      </c>
    </row>
    <row r="8" ht="19.5" customHeight="1" s="341">
      <c r="A8" s="377" t="inlineStr">
        <is>
          <t>Account #</t>
        </is>
      </c>
      <c r="B8" s="377" t="inlineStr">
        <is>
          <t>Customer Name</t>
        </is>
      </c>
      <c r="C8" s="377" t="inlineStr">
        <is>
          <t>Current Balance</t>
        </is>
      </c>
      <c r="D8" s="377" t="inlineStr">
        <is>
          <t>Date</t>
        </is>
      </c>
      <c r="E8" s="377" t="inlineStr">
        <is>
          <t>Savings Amount</t>
        </is>
      </c>
      <c r="F8" s="377" t="inlineStr">
        <is>
          <t>New Balance</t>
        </is>
      </c>
      <c r="G8" s="377" t="inlineStr">
        <is>
          <t>Agent</t>
        </is>
      </c>
      <c r="H8" s="485" t="inlineStr">
        <is>
          <t>🔑 Agent Code</t>
        </is>
      </c>
      <c r="I8" s="377" t="inlineStr">
        <is>
          <t>Status</t>
        </is>
      </c>
      <c r="J8" s="377" t="inlineStr">
        <is>
          <t>Saved At</t>
        </is>
      </c>
      <c r="K8" s="377" t="inlineStr">
        <is>
          <t>Notes</t>
        </is>
      </c>
    </row>
    <row r="9" ht="15" customHeight="1" s="341">
      <c r="A9" s="486" t="n"/>
      <c r="B9" s="378">
        <f>IF(A9="","",IFERROR(VLOOKUP(A9,DB_Customers!$A:$D,4,0),"❌ Account Not Found"))</f>
        <v/>
      </c>
      <c r="C9" s="487">
        <f>IF(A9="","",IFERROR(VLOOKUP(A9,DB_Customers!$A:$N,14,0),""))</f>
        <v/>
      </c>
      <c r="D9" s="488">
        <f>IF(A9="","",TODAY())</f>
        <v/>
      </c>
      <c r="E9" s="489" t="n"/>
      <c r="F9" s="490">
        <f>IF(OR(A9="",E9=""),"",IF(C9="","",C9+E9))</f>
        <v/>
      </c>
      <c r="G9" s="380" t="inlineStr">
        <is>
          <t>Agent 07</t>
        </is>
      </c>
      <c r="H9" s="491" t="n"/>
      <c r="I9" s="492">
        <f>IF(A9="","Pending",IF(H9="","⚠️ Enter Code",IF(IFERROR(VLOOKUP(G9,DB_Agents!$B:$I,8,0),"")=H9,IF(AND(A9&lt;&gt;"",E9&lt;&gt;""),"Saved","Pending"),"🔒 BLOCKED — Wrong Code")))</f>
        <v/>
      </c>
      <c r="J9" s="493">
        <f>IF(I9="Saved",TEXT(TODAY(),"YYYY-MM-DD")&amp;" Auto","—")</f>
        <v/>
      </c>
      <c r="K9" s="494" t="n"/>
    </row>
    <row r="10" ht="15" customHeight="1" s="341">
      <c r="A10" s="495" t="n"/>
      <c r="B10" s="382">
        <f>IF(A10="","",IFERROR(VLOOKUP(A10,DB_Customers!$A:$D,4,0),"❌ Account Not Found"))</f>
        <v/>
      </c>
      <c r="C10" s="496">
        <f>IF(A10="","",IFERROR(VLOOKUP(A10,DB_Customers!$A:$N,14,0),""))</f>
        <v/>
      </c>
      <c r="D10" s="497">
        <f>IF(A10="","",TODAY())</f>
        <v/>
      </c>
      <c r="E10" s="489" t="n"/>
      <c r="F10" s="498">
        <f>IF(OR(A10="",E10=""),"",IF(C10="","",C10+E10))</f>
        <v/>
      </c>
      <c r="G10" s="384" t="inlineStr">
        <is>
          <t>Agent 07</t>
        </is>
      </c>
      <c r="H10" s="491" t="n"/>
      <c r="I10" s="499">
        <f>IF(A10="","Pending",IF(H10="","⚠️ Enter Code",IF(IFERROR(VLOOKUP(G10,DB_Agents!$B:$I,8,0),"")=H10,IF(AND(A10&lt;&gt;"",E10&lt;&gt;""),"Saved","Pending"),"🔒 BLOCKED — Wrong Code")))</f>
        <v/>
      </c>
      <c r="J10" s="500">
        <f>IF(I10="Saved",TEXT(TODAY(),"YYYY-MM-DD")&amp;" Auto","—")</f>
        <v/>
      </c>
      <c r="K10" s="501" t="n"/>
    </row>
    <row r="11" ht="15" customHeight="1" s="341">
      <c r="A11" s="486" t="n"/>
      <c r="B11" s="378">
        <f>IF(A11="","",IFERROR(VLOOKUP(A11,DB_Customers!$A:$D,4,0),"❌ Account Not Found"))</f>
        <v/>
      </c>
      <c r="C11" s="487">
        <f>IF(A11="","",IFERROR(VLOOKUP(A11,DB_Customers!$A:$N,14,0),""))</f>
        <v/>
      </c>
      <c r="D11" s="488">
        <f>IF(A11="","",TODAY())</f>
        <v/>
      </c>
      <c r="E11" s="489" t="n"/>
      <c r="F11" s="490">
        <f>IF(OR(A11="",E11=""),"",IF(C11="","",C11+E11))</f>
        <v/>
      </c>
      <c r="G11" s="380" t="inlineStr">
        <is>
          <t>Agent 07</t>
        </is>
      </c>
      <c r="H11" s="491" t="n"/>
      <c r="I11" s="492">
        <f>IF(A11="","Pending",IF(H11="","⚠️ Enter Code",IF(IFERROR(VLOOKUP(G11,DB_Agents!$B:$I,8,0),"")=H11,IF(AND(A11&lt;&gt;"",E11&lt;&gt;""),"Saved","Pending"),"🔒 BLOCKED — Wrong Code")))</f>
        <v/>
      </c>
      <c r="J11" s="493">
        <f>IF(I11="Saved",TEXT(TODAY(),"YYYY-MM-DD")&amp;" Auto","—")</f>
        <v/>
      </c>
      <c r="K11" s="494" t="n"/>
    </row>
    <row r="12" ht="15" customHeight="1" s="341">
      <c r="A12" s="495" t="n"/>
      <c r="B12" s="382">
        <f>IF(A12="","",IFERROR(VLOOKUP(A12,DB_Customers!$A:$D,4,0),"❌ Account Not Found"))</f>
        <v/>
      </c>
      <c r="C12" s="496">
        <f>IF(A12="","",IFERROR(VLOOKUP(A12,DB_Customers!$A:$N,14,0),""))</f>
        <v/>
      </c>
      <c r="D12" s="497">
        <f>IF(A12="","",TODAY())</f>
        <v/>
      </c>
      <c r="E12" s="489" t="n"/>
      <c r="F12" s="498">
        <f>IF(OR(A12="",E12=""),"",IF(C12="","",C12+E12))</f>
        <v/>
      </c>
      <c r="G12" s="384" t="inlineStr">
        <is>
          <t>Agent 07</t>
        </is>
      </c>
      <c r="H12" s="491" t="n"/>
      <c r="I12" s="499">
        <f>IF(A12="","Pending",IF(H12="","⚠️ Enter Code",IF(IFERROR(VLOOKUP(G12,DB_Agents!$B:$I,8,0),"")=H12,IF(AND(A12&lt;&gt;"",E12&lt;&gt;""),"Saved","Pending"),"🔒 BLOCKED — Wrong Code")))</f>
        <v/>
      </c>
      <c r="J12" s="500">
        <f>IF(I12="Saved",TEXT(TODAY(),"YYYY-MM-DD")&amp;" Auto","—")</f>
        <v/>
      </c>
      <c r="K12" s="501" t="n"/>
    </row>
    <row r="13" ht="15" customHeight="1" s="341">
      <c r="A13" s="486" t="n"/>
      <c r="B13" s="378">
        <f>IF(A13="","",IFERROR(VLOOKUP(A13,DB_Customers!$A:$D,4,0),"❌ Account Not Found"))</f>
        <v/>
      </c>
      <c r="C13" s="487">
        <f>IF(A13="","",IFERROR(VLOOKUP(A13,DB_Customers!$A:$N,14,0),""))</f>
        <v/>
      </c>
      <c r="D13" s="488">
        <f>IF(A13="","",TODAY())</f>
        <v/>
      </c>
      <c r="E13" s="489" t="n"/>
      <c r="F13" s="490">
        <f>IF(OR(A13="",E13=""),"",IF(C13="","",C13+E13))</f>
        <v/>
      </c>
      <c r="G13" s="380" t="inlineStr">
        <is>
          <t>Agent 07</t>
        </is>
      </c>
      <c r="H13" s="491" t="n"/>
      <c r="I13" s="492">
        <f>IF(A13="","Pending",IF(H13="","⚠️ Enter Code",IF(IFERROR(VLOOKUP(G13,DB_Agents!$B:$I,8,0),"")=H13,IF(AND(A13&lt;&gt;"",E13&lt;&gt;""),"Saved","Pending"),"🔒 BLOCKED — Wrong Code")))</f>
        <v/>
      </c>
      <c r="J13" s="493">
        <f>IF(I13="Saved",TEXT(TODAY(),"YYYY-MM-DD")&amp;" Auto","—")</f>
        <v/>
      </c>
      <c r="K13" s="494" t="n"/>
    </row>
    <row r="14" ht="15" customHeight="1" s="341">
      <c r="A14" s="495" t="n"/>
      <c r="B14" s="382">
        <f>IF(A14="","",IFERROR(VLOOKUP(A14,DB_Customers!$A:$D,4,0),"❌ Account Not Found"))</f>
        <v/>
      </c>
      <c r="C14" s="496">
        <f>IF(A14="","",IFERROR(VLOOKUP(A14,DB_Customers!$A:$N,14,0),""))</f>
        <v/>
      </c>
      <c r="D14" s="497">
        <f>IF(A14="","",TODAY())</f>
        <v/>
      </c>
      <c r="E14" s="489" t="n"/>
      <c r="F14" s="498">
        <f>IF(OR(A14="",E14=""),"",IF(C14="","",C14+E14))</f>
        <v/>
      </c>
      <c r="G14" s="384" t="inlineStr">
        <is>
          <t>Agent 07</t>
        </is>
      </c>
      <c r="H14" s="491" t="n"/>
      <c r="I14" s="499">
        <f>IF(A14="","Pending",IF(H14="","⚠️ Enter Code",IF(IFERROR(VLOOKUP(G14,DB_Agents!$B:$I,8,0),"")=H14,IF(AND(A14&lt;&gt;"",E14&lt;&gt;""),"Saved","Pending"),"🔒 BLOCKED — Wrong Code")))</f>
        <v/>
      </c>
      <c r="J14" s="500">
        <f>IF(I14="Saved",TEXT(TODAY(),"YYYY-MM-DD")&amp;" Auto","—")</f>
        <v/>
      </c>
      <c r="K14" s="501" t="n"/>
    </row>
    <row r="15" ht="15" customHeight="1" s="341">
      <c r="A15" s="486" t="n"/>
      <c r="B15" s="378">
        <f>IF(A15="","",IFERROR(VLOOKUP(A15,DB_Customers!$A:$D,4,0),"❌ Account Not Found"))</f>
        <v/>
      </c>
      <c r="C15" s="487">
        <f>IF(A15="","",IFERROR(VLOOKUP(A15,DB_Customers!$A:$N,14,0),""))</f>
        <v/>
      </c>
      <c r="D15" s="488">
        <f>IF(A15="","",TODAY())</f>
        <v/>
      </c>
      <c r="E15" s="489" t="n"/>
      <c r="F15" s="490">
        <f>IF(OR(A15="",E15=""),"",IF(C15="","",C15+E15))</f>
        <v/>
      </c>
      <c r="G15" s="380" t="inlineStr">
        <is>
          <t>Agent 07</t>
        </is>
      </c>
      <c r="H15" s="491" t="n"/>
      <c r="I15" s="492">
        <f>IF(A15="","Pending",IF(H15="","⚠️ Enter Code",IF(IFERROR(VLOOKUP(G15,DB_Agents!$B:$I,8,0),"")=H15,IF(AND(A15&lt;&gt;"",E15&lt;&gt;""),"Saved","Pending"),"🔒 BLOCKED — Wrong Code")))</f>
        <v/>
      </c>
      <c r="J15" s="493">
        <f>IF(I15="Saved",TEXT(TODAY(),"YYYY-MM-DD")&amp;" Auto","—")</f>
        <v/>
      </c>
      <c r="K15" s="494" t="n"/>
    </row>
    <row r="16" ht="15" customHeight="1" s="341">
      <c r="A16" s="495" t="n"/>
      <c r="B16" s="382">
        <f>IF(A16="","",IFERROR(VLOOKUP(A16,DB_Customers!$A:$D,4,0),"❌ Account Not Found"))</f>
        <v/>
      </c>
      <c r="C16" s="496">
        <f>IF(A16="","",IFERROR(VLOOKUP(A16,DB_Customers!$A:$N,14,0),""))</f>
        <v/>
      </c>
      <c r="D16" s="497">
        <f>IF(A16="","",TODAY())</f>
        <v/>
      </c>
      <c r="E16" s="489" t="n"/>
      <c r="F16" s="498">
        <f>IF(OR(A16="",E16=""),"",IF(C16="","",C16+E16))</f>
        <v/>
      </c>
      <c r="G16" s="384" t="inlineStr">
        <is>
          <t>Agent 07</t>
        </is>
      </c>
      <c r="H16" s="491" t="n"/>
      <c r="I16" s="499">
        <f>IF(A16="","Pending",IF(H16="","⚠️ Enter Code",IF(IFERROR(VLOOKUP(G16,DB_Agents!$B:$I,8,0),"")=H16,IF(AND(A16&lt;&gt;"",E16&lt;&gt;""),"Saved","Pending"),"🔒 BLOCKED — Wrong Code")))</f>
        <v/>
      </c>
      <c r="J16" s="500">
        <f>IF(I16="Saved",TEXT(TODAY(),"YYYY-MM-DD")&amp;" Auto","—")</f>
        <v/>
      </c>
      <c r="K16" s="501" t="n"/>
    </row>
    <row r="17" ht="15" customHeight="1" s="341">
      <c r="A17" s="486" t="n"/>
      <c r="B17" s="378">
        <f>IF(A17="","",IFERROR(VLOOKUP(A17,DB_Customers!$A:$D,4,0),"❌ Account Not Found"))</f>
        <v/>
      </c>
      <c r="C17" s="487">
        <f>IF(A17="","",IFERROR(VLOOKUP(A17,DB_Customers!$A:$N,14,0),""))</f>
        <v/>
      </c>
      <c r="D17" s="488">
        <f>IF(A17="","",TODAY())</f>
        <v/>
      </c>
      <c r="E17" s="489" t="n"/>
      <c r="F17" s="490">
        <f>IF(OR(A17="",E17=""),"",IF(C17="","",C17+E17))</f>
        <v/>
      </c>
      <c r="G17" s="380" t="inlineStr">
        <is>
          <t>Agent 07</t>
        </is>
      </c>
      <c r="H17" s="491" t="n"/>
      <c r="I17" s="492">
        <f>IF(A17="","Pending",IF(H17="","⚠️ Enter Code",IF(IFERROR(VLOOKUP(G17,DB_Agents!$B:$I,8,0),"")=H17,IF(AND(A17&lt;&gt;"",E17&lt;&gt;""),"Saved","Pending"),"🔒 BLOCKED — Wrong Code")))</f>
        <v/>
      </c>
      <c r="J17" s="493">
        <f>IF(I17="Saved",TEXT(TODAY(),"YYYY-MM-DD")&amp;" Auto","—")</f>
        <v/>
      </c>
      <c r="K17" s="494" t="n"/>
    </row>
    <row r="18" ht="15" customHeight="1" s="341">
      <c r="A18" s="495" t="n"/>
      <c r="B18" s="382">
        <f>IF(A18="","",IFERROR(VLOOKUP(A18,DB_Customers!$A:$D,4,0),"❌ Account Not Found"))</f>
        <v/>
      </c>
      <c r="C18" s="496">
        <f>IF(A18="","",IFERROR(VLOOKUP(A18,DB_Customers!$A:$N,14,0),""))</f>
        <v/>
      </c>
      <c r="D18" s="497">
        <f>IF(A18="","",TODAY())</f>
        <v/>
      </c>
      <c r="E18" s="489" t="n"/>
      <c r="F18" s="498">
        <f>IF(OR(A18="",E18=""),"",IF(C18="","",C18+E18))</f>
        <v/>
      </c>
      <c r="G18" s="384" t="inlineStr">
        <is>
          <t>Agent 07</t>
        </is>
      </c>
      <c r="H18" s="491" t="n"/>
      <c r="I18" s="499">
        <f>IF(A18="","Pending",IF(H18="","⚠️ Enter Code",IF(IFERROR(VLOOKUP(G18,DB_Agents!$B:$I,8,0),"")=H18,IF(AND(A18&lt;&gt;"",E18&lt;&gt;""),"Saved","Pending"),"🔒 BLOCKED — Wrong Code")))</f>
        <v/>
      </c>
      <c r="J18" s="500">
        <f>IF(I18="Saved",TEXT(TODAY(),"YYYY-MM-DD")&amp;" Auto","—")</f>
        <v/>
      </c>
      <c r="K18" s="501" t="n"/>
    </row>
    <row r="19" ht="15" customHeight="1" s="341">
      <c r="A19" s="486" t="n"/>
      <c r="B19" s="378">
        <f>IF(A19="","",IFERROR(VLOOKUP(A19,DB_Customers!$A:$D,4,0),"❌ Account Not Found"))</f>
        <v/>
      </c>
      <c r="C19" s="487">
        <f>IF(A19="","",IFERROR(VLOOKUP(A19,DB_Customers!$A:$N,14,0),""))</f>
        <v/>
      </c>
      <c r="D19" s="488">
        <f>IF(A19="","",TODAY())</f>
        <v/>
      </c>
      <c r="E19" s="489" t="n"/>
      <c r="F19" s="490">
        <f>IF(OR(A19="",E19=""),"",IF(C19="","",C19+E19))</f>
        <v/>
      </c>
      <c r="G19" s="380" t="inlineStr">
        <is>
          <t>Agent 07</t>
        </is>
      </c>
      <c r="H19" s="491" t="n"/>
      <c r="I19" s="492">
        <f>IF(A19="","Pending",IF(H19="","⚠️ Enter Code",IF(IFERROR(VLOOKUP(G19,DB_Agents!$B:$I,8,0),"")=H19,IF(AND(A19&lt;&gt;"",E19&lt;&gt;""),"Saved","Pending"),"🔒 BLOCKED — Wrong Code")))</f>
        <v/>
      </c>
      <c r="J19" s="493">
        <f>IF(I19="Saved",TEXT(TODAY(),"YYYY-MM-DD")&amp;" Auto","—")</f>
        <v/>
      </c>
      <c r="K19" s="494" t="n"/>
    </row>
    <row r="20" ht="15" customHeight="1" s="341">
      <c r="A20" s="495" t="n"/>
      <c r="B20" s="382">
        <f>IF(A20="","",IFERROR(VLOOKUP(A20,DB_Customers!$A:$D,4,0),"❌ Account Not Found"))</f>
        <v/>
      </c>
      <c r="C20" s="496">
        <f>IF(A20="","",IFERROR(VLOOKUP(A20,DB_Customers!$A:$N,14,0),""))</f>
        <v/>
      </c>
      <c r="D20" s="497">
        <f>IF(A20="","",TODAY())</f>
        <v/>
      </c>
      <c r="E20" s="489" t="n"/>
      <c r="F20" s="498">
        <f>IF(OR(A20="",E20=""),"",IF(C20="","",C20+E20))</f>
        <v/>
      </c>
      <c r="G20" s="384" t="inlineStr">
        <is>
          <t>Agent 07</t>
        </is>
      </c>
      <c r="H20" s="491" t="n"/>
      <c r="I20" s="499">
        <f>IF(A20="","Pending",IF(H20="","⚠️ Enter Code",IF(IFERROR(VLOOKUP(G20,DB_Agents!$B:$I,8,0),"")=H20,IF(AND(A20&lt;&gt;"",E20&lt;&gt;""),"Saved","Pending"),"🔒 BLOCKED — Wrong Code")))</f>
        <v/>
      </c>
      <c r="J20" s="500">
        <f>IF(I20="Saved",TEXT(TODAY(),"YYYY-MM-DD")&amp;" Auto","—")</f>
        <v/>
      </c>
      <c r="K20" s="501" t="n"/>
    </row>
    <row r="21" ht="15" customHeight="1" s="341">
      <c r="A21" s="486" t="n"/>
      <c r="B21" s="378">
        <f>IF(A21="","",IFERROR(VLOOKUP(A21,DB_Customers!$A:$D,4,0),"❌ Account Not Found"))</f>
        <v/>
      </c>
      <c r="C21" s="487">
        <f>IF(A21="","",IFERROR(VLOOKUP(A21,DB_Customers!$A:$N,14,0),""))</f>
        <v/>
      </c>
      <c r="D21" s="488">
        <f>IF(A21="","",TODAY())</f>
        <v/>
      </c>
      <c r="E21" s="489" t="n"/>
      <c r="F21" s="490">
        <f>IF(OR(A21="",E21=""),"",IF(C21="","",C21+E21))</f>
        <v/>
      </c>
      <c r="G21" s="380" t="inlineStr">
        <is>
          <t>Agent 07</t>
        </is>
      </c>
      <c r="H21" s="491" t="n"/>
      <c r="I21" s="492">
        <f>IF(A21="","Pending",IF(H21="","⚠️ Enter Code",IF(IFERROR(VLOOKUP(G21,DB_Agents!$B:$I,8,0),"")=H21,IF(AND(A21&lt;&gt;"",E21&lt;&gt;""),"Saved","Pending"),"🔒 BLOCKED — Wrong Code")))</f>
        <v/>
      </c>
      <c r="J21" s="493">
        <f>IF(I21="Saved",TEXT(TODAY(),"YYYY-MM-DD")&amp;" Auto","—")</f>
        <v/>
      </c>
      <c r="K21" s="494" t="n"/>
    </row>
    <row r="22" ht="15" customHeight="1" s="341">
      <c r="A22" s="495" t="n"/>
      <c r="B22" s="382">
        <f>IF(A22="","",IFERROR(VLOOKUP(A22,DB_Customers!$A:$D,4,0),"❌ Account Not Found"))</f>
        <v/>
      </c>
      <c r="C22" s="496">
        <f>IF(A22="","",IFERROR(VLOOKUP(A22,DB_Customers!$A:$N,14,0),""))</f>
        <v/>
      </c>
      <c r="D22" s="497">
        <f>IF(A22="","",TODAY())</f>
        <v/>
      </c>
      <c r="E22" s="489" t="n"/>
      <c r="F22" s="498">
        <f>IF(OR(A22="",E22=""),"",IF(C22="","",C22+E22))</f>
        <v/>
      </c>
      <c r="G22" s="384" t="inlineStr">
        <is>
          <t>Agent 07</t>
        </is>
      </c>
      <c r="H22" s="491" t="n"/>
      <c r="I22" s="499">
        <f>IF(A22="","Pending",IF(H22="","⚠️ Enter Code",IF(IFERROR(VLOOKUP(G22,DB_Agents!$B:$I,8,0),"")=H22,IF(AND(A22&lt;&gt;"",E22&lt;&gt;""),"Saved","Pending"),"🔒 BLOCKED — Wrong Code")))</f>
        <v/>
      </c>
      <c r="J22" s="500">
        <f>IF(I22="Saved",TEXT(TODAY(),"YYYY-MM-DD")&amp;" Auto","—")</f>
        <v/>
      </c>
      <c r="K22" s="501" t="n"/>
    </row>
    <row r="23" ht="15" customHeight="1" s="341">
      <c r="A23" s="486" t="n"/>
      <c r="B23" s="378">
        <f>IF(A23="","",IFERROR(VLOOKUP(A23,DB_Customers!$A:$D,4,0),"❌ Account Not Found"))</f>
        <v/>
      </c>
      <c r="C23" s="487">
        <f>IF(A23="","",IFERROR(VLOOKUP(A23,DB_Customers!$A:$N,14,0),""))</f>
        <v/>
      </c>
      <c r="D23" s="488">
        <f>IF(A23="","",TODAY())</f>
        <v/>
      </c>
      <c r="E23" s="489" t="n"/>
      <c r="F23" s="490">
        <f>IF(OR(A23="",E23=""),"",IF(C23="","",C23+E23))</f>
        <v/>
      </c>
      <c r="G23" s="380" t="inlineStr">
        <is>
          <t>Agent 07</t>
        </is>
      </c>
      <c r="H23" s="491" t="n"/>
      <c r="I23" s="492">
        <f>IF(A23="","Pending",IF(H23="","⚠️ Enter Code",IF(IFERROR(VLOOKUP(G23,DB_Agents!$B:$I,8,0),"")=H23,IF(AND(A23&lt;&gt;"",E23&lt;&gt;""),"Saved","Pending"),"🔒 BLOCKED — Wrong Code")))</f>
        <v/>
      </c>
      <c r="J23" s="493">
        <f>IF(I23="Saved",TEXT(TODAY(),"YYYY-MM-DD")&amp;" Auto","—")</f>
        <v/>
      </c>
      <c r="K23" s="494" t="n"/>
    </row>
    <row r="24" ht="15" customHeight="1" s="341">
      <c r="A24" s="495" t="n"/>
      <c r="B24" s="382">
        <f>IF(A24="","",IFERROR(VLOOKUP(A24,DB_Customers!$A:$D,4,0),"❌ Account Not Found"))</f>
        <v/>
      </c>
      <c r="C24" s="496">
        <f>IF(A24="","",IFERROR(VLOOKUP(A24,DB_Customers!$A:$N,14,0),""))</f>
        <v/>
      </c>
      <c r="D24" s="497">
        <f>IF(A24="","",TODAY())</f>
        <v/>
      </c>
      <c r="E24" s="489" t="n"/>
      <c r="F24" s="498">
        <f>IF(OR(A24="",E24=""),"",IF(C24="","",C24+E24))</f>
        <v/>
      </c>
      <c r="G24" s="384" t="inlineStr">
        <is>
          <t>Agent 07</t>
        </is>
      </c>
      <c r="H24" s="491" t="n"/>
      <c r="I24" s="499">
        <f>IF(A24="","Pending",IF(H24="","⚠️ Enter Code",IF(IFERROR(VLOOKUP(G24,DB_Agents!$B:$I,8,0),"")=H24,IF(AND(A24&lt;&gt;"",E24&lt;&gt;""),"Saved","Pending"),"🔒 BLOCKED — Wrong Code")))</f>
        <v/>
      </c>
      <c r="J24" s="500">
        <f>IF(I24="Saved",TEXT(TODAY(),"YYYY-MM-DD")&amp;" Auto","—")</f>
        <v/>
      </c>
      <c r="K24" s="501" t="n"/>
    </row>
    <row r="25" ht="15" customHeight="1" s="341">
      <c r="A25" s="486" t="n"/>
      <c r="B25" s="378">
        <f>IF(A25="","",IFERROR(VLOOKUP(A25,DB_Customers!$A:$D,4,0),"❌ Account Not Found"))</f>
        <v/>
      </c>
      <c r="C25" s="487">
        <f>IF(A25="","",IFERROR(VLOOKUP(A25,DB_Customers!$A:$N,14,0),""))</f>
        <v/>
      </c>
      <c r="D25" s="488">
        <f>IF(A25="","",TODAY())</f>
        <v/>
      </c>
      <c r="E25" s="489" t="n"/>
      <c r="F25" s="490">
        <f>IF(OR(A25="",E25=""),"",IF(C25="","",C25+E25))</f>
        <v/>
      </c>
      <c r="G25" s="380" t="inlineStr">
        <is>
          <t>Agent 07</t>
        </is>
      </c>
      <c r="H25" s="491" t="n"/>
      <c r="I25" s="492">
        <f>IF(A25="","Pending",IF(H25="","⚠️ Enter Code",IF(IFERROR(VLOOKUP(G25,DB_Agents!$B:$I,8,0),"")=H25,IF(AND(A25&lt;&gt;"",E25&lt;&gt;""),"Saved","Pending"),"🔒 BLOCKED — Wrong Code")))</f>
        <v/>
      </c>
      <c r="J25" s="493">
        <f>IF(I25="Saved",TEXT(TODAY(),"YYYY-MM-DD")&amp;" Auto","—")</f>
        <v/>
      </c>
      <c r="K25" s="494" t="n"/>
    </row>
    <row r="26" ht="15" customHeight="1" s="341">
      <c r="A26" s="495" t="n"/>
      <c r="B26" s="382">
        <f>IF(A26="","",IFERROR(VLOOKUP(A26,DB_Customers!$A:$D,4,0),"❌ Account Not Found"))</f>
        <v/>
      </c>
      <c r="C26" s="496">
        <f>IF(A26="","",IFERROR(VLOOKUP(A26,DB_Customers!$A:$N,14,0),""))</f>
        <v/>
      </c>
      <c r="D26" s="497">
        <f>IF(A26="","",TODAY())</f>
        <v/>
      </c>
      <c r="E26" s="489" t="n"/>
      <c r="F26" s="498">
        <f>IF(OR(A26="",E26=""),"",IF(C26="","",C26+E26))</f>
        <v/>
      </c>
      <c r="G26" s="384" t="inlineStr">
        <is>
          <t>Agent 07</t>
        </is>
      </c>
      <c r="H26" s="491" t="n"/>
      <c r="I26" s="499">
        <f>IF(A26="","Pending",IF(H26="","⚠️ Enter Code",IF(IFERROR(VLOOKUP(G26,DB_Agents!$B:$I,8,0),"")=H26,IF(AND(A26&lt;&gt;"",E26&lt;&gt;""),"Saved","Pending"),"🔒 BLOCKED — Wrong Code")))</f>
        <v/>
      </c>
      <c r="J26" s="500">
        <f>IF(I26="Saved",TEXT(TODAY(),"YYYY-MM-DD")&amp;" Auto","—")</f>
        <v/>
      </c>
      <c r="K26" s="501" t="n"/>
    </row>
    <row r="27" ht="15" customHeight="1" s="341">
      <c r="A27" s="486" t="n"/>
      <c r="B27" s="378">
        <f>IF(A27="","",IFERROR(VLOOKUP(A27,DB_Customers!$A:$D,4,0),"❌ Account Not Found"))</f>
        <v/>
      </c>
      <c r="C27" s="487">
        <f>IF(A27="","",IFERROR(VLOOKUP(A27,DB_Customers!$A:$N,14,0),""))</f>
        <v/>
      </c>
      <c r="D27" s="488">
        <f>IF(A27="","",TODAY())</f>
        <v/>
      </c>
      <c r="E27" s="489" t="n"/>
      <c r="F27" s="490">
        <f>IF(OR(A27="",E27=""),"",IF(C27="","",C27+E27))</f>
        <v/>
      </c>
      <c r="G27" s="380" t="inlineStr">
        <is>
          <t>Agent 07</t>
        </is>
      </c>
      <c r="H27" s="491" t="n"/>
      <c r="I27" s="492">
        <f>IF(A27="","Pending",IF(H27="","⚠️ Enter Code",IF(IFERROR(VLOOKUP(G27,DB_Agents!$B:$I,8,0),"")=H27,IF(AND(A27&lt;&gt;"",E27&lt;&gt;""),"Saved","Pending"),"🔒 BLOCKED — Wrong Code")))</f>
        <v/>
      </c>
      <c r="J27" s="493">
        <f>IF(I27="Saved",TEXT(TODAY(),"YYYY-MM-DD")&amp;" Auto","—")</f>
        <v/>
      </c>
      <c r="K27" s="494" t="n"/>
    </row>
    <row r="28" ht="15" customHeight="1" s="341">
      <c r="A28" s="495" t="n"/>
      <c r="B28" s="382">
        <f>IF(A28="","",IFERROR(VLOOKUP(A28,DB_Customers!$A:$D,4,0),"❌ Account Not Found"))</f>
        <v/>
      </c>
      <c r="C28" s="496">
        <f>IF(A28="","",IFERROR(VLOOKUP(A28,DB_Customers!$A:$N,14,0),""))</f>
        <v/>
      </c>
      <c r="D28" s="497">
        <f>IF(A28="","",TODAY())</f>
        <v/>
      </c>
      <c r="E28" s="489" t="n"/>
      <c r="F28" s="498">
        <f>IF(OR(A28="",E28=""),"",IF(C28="","",C28+E28))</f>
        <v/>
      </c>
      <c r="G28" s="384" t="inlineStr">
        <is>
          <t>Agent 07</t>
        </is>
      </c>
      <c r="H28" s="491" t="n"/>
      <c r="I28" s="499">
        <f>IF(A28="","Pending",IF(H28="","⚠️ Enter Code",IF(IFERROR(VLOOKUP(G28,DB_Agents!$B:$I,8,0),"")=H28,IF(AND(A28&lt;&gt;"",E28&lt;&gt;""),"Saved","Pending"),"🔒 BLOCKED — Wrong Code")))</f>
        <v/>
      </c>
      <c r="J28" s="500">
        <f>IF(I28="Saved",TEXT(TODAY(),"YYYY-MM-DD")&amp;" Auto","—")</f>
        <v/>
      </c>
      <c r="K28" s="501" t="n"/>
    </row>
    <row r="29" ht="15" customHeight="1" s="341">
      <c r="A29" s="486" t="n"/>
      <c r="B29" s="378">
        <f>IF(A29="","",IFERROR(VLOOKUP(A29,DB_Customers!$A:$D,4,0),"❌ Account Not Found"))</f>
        <v/>
      </c>
      <c r="C29" s="487">
        <f>IF(A29="","",IFERROR(VLOOKUP(A29,DB_Customers!$A:$N,14,0),""))</f>
        <v/>
      </c>
      <c r="D29" s="488">
        <f>IF(A29="","",TODAY())</f>
        <v/>
      </c>
      <c r="E29" s="489" t="n"/>
      <c r="F29" s="490">
        <f>IF(OR(A29="",E29=""),"",IF(C29="","",C29+E29))</f>
        <v/>
      </c>
      <c r="G29" s="380" t="inlineStr">
        <is>
          <t>Agent 07</t>
        </is>
      </c>
      <c r="H29" s="491" t="n"/>
      <c r="I29" s="492">
        <f>IF(A29="","Pending",IF(H29="","⚠️ Enter Code",IF(IFERROR(VLOOKUP(G29,DB_Agents!$B:$I,8,0),"")=H29,IF(AND(A29&lt;&gt;"",E29&lt;&gt;""),"Saved","Pending"),"🔒 BLOCKED — Wrong Code")))</f>
        <v/>
      </c>
      <c r="J29" s="493">
        <f>IF(I29="Saved",TEXT(TODAY(),"YYYY-MM-DD")&amp;" Auto","—")</f>
        <v/>
      </c>
      <c r="K29" s="494" t="n"/>
    </row>
    <row r="30" ht="15" customHeight="1" s="341">
      <c r="A30" s="495" t="n"/>
      <c r="B30" s="382">
        <f>IF(A30="","",IFERROR(VLOOKUP(A30,DB_Customers!$A:$D,4,0),"❌ Account Not Found"))</f>
        <v/>
      </c>
      <c r="C30" s="496">
        <f>IF(A30="","",IFERROR(VLOOKUP(A30,DB_Customers!$A:$N,14,0),""))</f>
        <v/>
      </c>
      <c r="D30" s="497">
        <f>IF(A30="","",TODAY())</f>
        <v/>
      </c>
      <c r="E30" s="489" t="n"/>
      <c r="F30" s="498">
        <f>IF(OR(A30="",E30=""),"",IF(C30="","",C30+E30))</f>
        <v/>
      </c>
      <c r="G30" s="384" t="inlineStr">
        <is>
          <t>Agent 07</t>
        </is>
      </c>
      <c r="H30" s="491" t="n"/>
      <c r="I30" s="499">
        <f>IF(A30="","Pending",IF(H30="","⚠️ Enter Code",IF(IFERROR(VLOOKUP(G30,DB_Agents!$B:$I,8,0),"")=H30,IF(AND(A30&lt;&gt;"",E30&lt;&gt;""),"Saved","Pending"),"🔒 BLOCKED — Wrong Code")))</f>
        <v/>
      </c>
      <c r="J30" s="500">
        <f>IF(I30="Saved",TEXT(TODAY(),"YYYY-MM-DD")&amp;" Auto","—")</f>
        <v/>
      </c>
      <c r="K30" s="501" t="n"/>
    </row>
    <row r="31" ht="15" customHeight="1" s="341">
      <c r="A31" s="486" t="n"/>
      <c r="B31" s="378">
        <f>IF(A31="","",IFERROR(VLOOKUP(A31,DB_Customers!$A:$D,4,0),"❌ Account Not Found"))</f>
        <v/>
      </c>
      <c r="C31" s="487">
        <f>IF(A31="","",IFERROR(VLOOKUP(A31,DB_Customers!$A:$N,14,0),""))</f>
        <v/>
      </c>
      <c r="D31" s="488">
        <f>IF(A31="","",TODAY())</f>
        <v/>
      </c>
      <c r="E31" s="489" t="n"/>
      <c r="F31" s="490">
        <f>IF(OR(A31="",E31=""),"",IF(C31="","",C31+E31))</f>
        <v/>
      </c>
      <c r="G31" s="380" t="inlineStr">
        <is>
          <t>Agent 07</t>
        </is>
      </c>
      <c r="H31" s="491" t="n"/>
      <c r="I31" s="492">
        <f>IF(A31="","Pending",IF(H31="","⚠️ Enter Code",IF(IFERROR(VLOOKUP(G31,DB_Agents!$B:$I,8,0),"")=H31,IF(AND(A31&lt;&gt;"",E31&lt;&gt;""),"Saved","Pending"),"🔒 BLOCKED — Wrong Code")))</f>
        <v/>
      </c>
      <c r="J31" s="493">
        <f>IF(I31="Saved",TEXT(TODAY(),"YYYY-MM-DD")&amp;" Auto","—")</f>
        <v/>
      </c>
      <c r="K31" s="494" t="n"/>
    </row>
    <row r="32" ht="15" customHeight="1" s="341">
      <c r="A32" s="495" t="n"/>
      <c r="B32" s="382">
        <f>IF(A32="","",IFERROR(VLOOKUP(A32,DB_Customers!$A:$D,4,0),"❌ Account Not Found"))</f>
        <v/>
      </c>
      <c r="C32" s="496">
        <f>IF(A32="","",IFERROR(VLOOKUP(A32,DB_Customers!$A:$N,14,0),""))</f>
        <v/>
      </c>
      <c r="D32" s="497">
        <f>IF(A32="","",TODAY())</f>
        <v/>
      </c>
      <c r="E32" s="489" t="n"/>
      <c r="F32" s="498">
        <f>IF(OR(A32="",E32=""),"",IF(C32="","",C32+E32))</f>
        <v/>
      </c>
      <c r="G32" s="384" t="inlineStr">
        <is>
          <t>Agent 07</t>
        </is>
      </c>
      <c r="H32" s="491" t="n"/>
      <c r="I32" s="499">
        <f>IF(A32="","Pending",IF(H32="","⚠️ Enter Code",IF(IFERROR(VLOOKUP(G32,DB_Agents!$B:$I,8,0),"")=H32,IF(AND(A32&lt;&gt;"",E32&lt;&gt;""),"Saved","Pending"),"🔒 BLOCKED — Wrong Code")))</f>
        <v/>
      </c>
      <c r="J32" s="500">
        <f>IF(I32="Saved",TEXT(TODAY(),"YYYY-MM-DD")&amp;" Auto","—")</f>
        <v/>
      </c>
      <c r="K32" s="501" t="n"/>
    </row>
    <row r="33" ht="15" customHeight="1" s="341">
      <c r="A33" s="486" t="n"/>
      <c r="B33" s="378">
        <f>IF(A33="","",IFERROR(VLOOKUP(A33,DB_Customers!$A:$D,4,0),"❌ Account Not Found"))</f>
        <v/>
      </c>
      <c r="C33" s="487">
        <f>IF(A33="","",IFERROR(VLOOKUP(A33,DB_Customers!$A:$N,14,0),""))</f>
        <v/>
      </c>
      <c r="D33" s="488">
        <f>IF(A33="","",TODAY())</f>
        <v/>
      </c>
      <c r="E33" s="489" t="n"/>
      <c r="F33" s="490">
        <f>IF(OR(A33="",E33=""),"",IF(C33="","",C33+E33))</f>
        <v/>
      </c>
      <c r="G33" s="380" t="inlineStr">
        <is>
          <t>Agent 07</t>
        </is>
      </c>
      <c r="H33" s="491" t="n"/>
      <c r="I33" s="492">
        <f>IF(A33="","Pending",IF(H33="","⚠️ Enter Code",IF(IFERROR(VLOOKUP(G33,DB_Agents!$B:$I,8,0),"")=H33,IF(AND(A33&lt;&gt;"",E33&lt;&gt;""),"Saved","Pending"),"🔒 BLOCKED — Wrong Code")))</f>
        <v/>
      </c>
      <c r="J33" s="493">
        <f>IF(I33="Saved",TEXT(TODAY(),"YYYY-MM-DD")&amp;" Auto","—")</f>
        <v/>
      </c>
      <c r="K33" s="494" t="n"/>
    </row>
    <row r="34" ht="15" customHeight="1" s="341">
      <c r="A34" s="495" t="n"/>
      <c r="B34" s="382">
        <f>IF(A34="","",IFERROR(VLOOKUP(A34,DB_Customers!$A:$D,4,0),"❌ Account Not Found"))</f>
        <v/>
      </c>
      <c r="C34" s="496">
        <f>IF(A34="","",IFERROR(VLOOKUP(A34,DB_Customers!$A:$N,14,0),""))</f>
        <v/>
      </c>
      <c r="D34" s="497">
        <f>IF(A34="","",TODAY())</f>
        <v/>
      </c>
      <c r="E34" s="489" t="n"/>
      <c r="F34" s="498">
        <f>IF(OR(A34="",E34=""),"",IF(C34="","",C34+E34))</f>
        <v/>
      </c>
      <c r="G34" s="384" t="inlineStr">
        <is>
          <t>Agent 07</t>
        </is>
      </c>
      <c r="H34" s="491" t="n"/>
      <c r="I34" s="499">
        <f>IF(A34="","Pending",IF(H34="","⚠️ Enter Code",IF(IFERROR(VLOOKUP(G34,DB_Agents!$B:$I,8,0),"")=H34,IF(AND(A34&lt;&gt;"",E34&lt;&gt;""),"Saved","Pending"),"🔒 BLOCKED — Wrong Code")))</f>
        <v/>
      </c>
      <c r="J34" s="500">
        <f>IF(I34="Saved",TEXT(TODAY(),"YYYY-MM-DD")&amp;" Auto","—")</f>
        <v/>
      </c>
      <c r="K34" s="501" t="n"/>
    </row>
    <row r="35" ht="15" customHeight="1" s="341">
      <c r="A35" s="486" t="n"/>
      <c r="B35" s="378">
        <f>IF(A35="","",IFERROR(VLOOKUP(A35,DB_Customers!$A:$D,4,0),"❌ Account Not Found"))</f>
        <v/>
      </c>
      <c r="C35" s="487">
        <f>IF(A35="","",IFERROR(VLOOKUP(A35,DB_Customers!$A:$N,14,0),""))</f>
        <v/>
      </c>
      <c r="D35" s="488">
        <f>IF(A35="","",TODAY())</f>
        <v/>
      </c>
      <c r="E35" s="489" t="n"/>
      <c r="F35" s="490">
        <f>IF(OR(A35="",E35=""),"",IF(C35="","",C35+E35))</f>
        <v/>
      </c>
      <c r="G35" s="380" t="inlineStr">
        <is>
          <t>Agent 07</t>
        </is>
      </c>
      <c r="H35" s="491" t="n"/>
      <c r="I35" s="492">
        <f>IF(A35="","Pending",IF(H35="","⚠️ Enter Code",IF(IFERROR(VLOOKUP(G35,DB_Agents!$B:$I,8,0),"")=H35,IF(AND(A35&lt;&gt;"",E35&lt;&gt;""),"Saved","Pending"),"🔒 BLOCKED — Wrong Code")))</f>
        <v/>
      </c>
      <c r="J35" s="493">
        <f>IF(I35="Saved",TEXT(TODAY(),"YYYY-MM-DD")&amp;" Auto","—")</f>
        <v/>
      </c>
      <c r="K35" s="494" t="n"/>
    </row>
    <row r="36" ht="15" customHeight="1" s="341">
      <c r="A36" s="495" t="n"/>
      <c r="B36" s="382">
        <f>IF(A36="","",IFERROR(VLOOKUP(A36,DB_Customers!$A:$D,4,0),"❌ Account Not Found"))</f>
        <v/>
      </c>
      <c r="C36" s="496">
        <f>IF(A36="","",IFERROR(VLOOKUP(A36,DB_Customers!$A:$N,14,0),""))</f>
        <v/>
      </c>
      <c r="D36" s="497">
        <f>IF(A36="","",TODAY())</f>
        <v/>
      </c>
      <c r="E36" s="489" t="n"/>
      <c r="F36" s="498">
        <f>IF(OR(A36="",E36=""),"",IF(C36="","",C36+E36))</f>
        <v/>
      </c>
      <c r="G36" s="384" t="inlineStr">
        <is>
          <t>Agent 07</t>
        </is>
      </c>
      <c r="H36" s="491" t="n"/>
      <c r="I36" s="499">
        <f>IF(A36="","Pending",IF(H36="","⚠️ Enter Code",IF(IFERROR(VLOOKUP(G36,DB_Agents!$B:$I,8,0),"")=H36,IF(AND(A36&lt;&gt;"",E36&lt;&gt;""),"Saved","Pending"),"🔒 BLOCKED — Wrong Code")))</f>
        <v/>
      </c>
      <c r="J36" s="500">
        <f>IF(I36="Saved",TEXT(TODAY(),"YYYY-MM-DD")&amp;" Auto","—")</f>
        <v/>
      </c>
      <c r="K36" s="501" t="n"/>
    </row>
    <row r="37" ht="15" customHeight="1" s="341">
      <c r="A37" s="486" t="n"/>
      <c r="B37" s="378">
        <f>IF(A37="","",IFERROR(VLOOKUP(A37,DB_Customers!$A:$D,4,0),"❌ Account Not Found"))</f>
        <v/>
      </c>
      <c r="C37" s="487">
        <f>IF(A37="","",IFERROR(VLOOKUP(A37,DB_Customers!$A:$N,14,0),""))</f>
        <v/>
      </c>
      <c r="D37" s="488">
        <f>IF(A37="","",TODAY())</f>
        <v/>
      </c>
      <c r="E37" s="489" t="n"/>
      <c r="F37" s="490">
        <f>IF(OR(A37="",E37=""),"",IF(C37="","",C37+E37))</f>
        <v/>
      </c>
      <c r="G37" s="380" t="inlineStr">
        <is>
          <t>Agent 07</t>
        </is>
      </c>
      <c r="H37" s="491" t="n"/>
      <c r="I37" s="492">
        <f>IF(A37="","Pending",IF(H37="","⚠️ Enter Code",IF(IFERROR(VLOOKUP(G37,DB_Agents!$B:$I,8,0),"")=H37,IF(AND(A37&lt;&gt;"",E37&lt;&gt;""),"Saved","Pending"),"🔒 BLOCKED — Wrong Code")))</f>
        <v/>
      </c>
      <c r="J37" s="493">
        <f>IF(I37="Saved",TEXT(TODAY(),"YYYY-MM-DD")&amp;" Auto","—")</f>
        <v/>
      </c>
      <c r="K37" s="494" t="n"/>
    </row>
    <row r="38" ht="15" customHeight="1" s="341">
      <c r="A38" s="495" t="n"/>
      <c r="B38" s="382">
        <f>IF(A38="","",IFERROR(VLOOKUP(A38,DB_Customers!$A:$D,4,0),"❌ Account Not Found"))</f>
        <v/>
      </c>
      <c r="C38" s="496">
        <f>IF(A38="","",IFERROR(VLOOKUP(A38,DB_Customers!$A:$N,14,0),""))</f>
        <v/>
      </c>
      <c r="D38" s="497">
        <f>IF(A38="","",TODAY())</f>
        <v/>
      </c>
      <c r="E38" s="489" t="n"/>
      <c r="F38" s="498">
        <f>IF(OR(A38="",E38=""),"",IF(C38="","",C38+E38))</f>
        <v/>
      </c>
      <c r="G38" s="384" t="inlineStr">
        <is>
          <t>Agent 07</t>
        </is>
      </c>
      <c r="H38" s="491" t="n"/>
      <c r="I38" s="499">
        <f>IF(A38="","Pending",IF(H38="","⚠️ Enter Code",IF(IFERROR(VLOOKUP(G38,DB_Agents!$B:$I,8,0),"")=H38,IF(AND(A38&lt;&gt;"",E38&lt;&gt;""),"Saved","Pending"),"🔒 BLOCKED — Wrong Code")))</f>
        <v/>
      </c>
      <c r="J38" s="500">
        <f>IF(I38="Saved",TEXT(TODAY(),"YYYY-MM-DD")&amp;" Auto","—")</f>
        <v/>
      </c>
      <c r="K38" s="501" t="n"/>
    </row>
    <row r="39" ht="15" customHeight="1" s="341">
      <c r="A39" s="486" t="n"/>
      <c r="B39" s="378">
        <f>IF(A39="","",IFERROR(VLOOKUP(A39,DB_Customers!$A:$D,4,0),"❌ Account Not Found"))</f>
        <v/>
      </c>
      <c r="C39" s="487">
        <f>IF(A39="","",IFERROR(VLOOKUP(A39,DB_Customers!$A:$N,14,0),""))</f>
        <v/>
      </c>
      <c r="D39" s="488">
        <f>IF(A39="","",TODAY())</f>
        <v/>
      </c>
      <c r="E39" s="489" t="n"/>
      <c r="F39" s="490">
        <f>IF(OR(A39="",E39=""),"",IF(C39="","",C39+E39))</f>
        <v/>
      </c>
      <c r="G39" s="380" t="inlineStr">
        <is>
          <t>Agent 07</t>
        </is>
      </c>
      <c r="H39" s="491" t="n"/>
      <c r="I39" s="492">
        <f>IF(A39="","Pending",IF(H39="","⚠️ Enter Code",IF(IFERROR(VLOOKUP(G39,DB_Agents!$B:$I,8,0),"")=H39,IF(AND(A39&lt;&gt;"",E39&lt;&gt;""),"Saved","Pending"),"🔒 BLOCKED — Wrong Code")))</f>
        <v/>
      </c>
      <c r="J39" s="493">
        <f>IF(I39="Saved",TEXT(TODAY(),"YYYY-MM-DD")&amp;" Auto","—")</f>
        <v/>
      </c>
      <c r="K39" s="494" t="n"/>
    </row>
    <row r="40" ht="15" customHeight="1" s="341">
      <c r="A40" s="495" t="n"/>
      <c r="B40" s="382">
        <f>IF(A40="","",IFERROR(VLOOKUP(A40,DB_Customers!$A:$D,4,0),"❌ Account Not Found"))</f>
        <v/>
      </c>
      <c r="C40" s="496">
        <f>IF(A40="","",IFERROR(VLOOKUP(A40,DB_Customers!$A:$N,14,0),""))</f>
        <v/>
      </c>
      <c r="D40" s="497">
        <f>IF(A40="","",TODAY())</f>
        <v/>
      </c>
      <c r="E40" s="489" t="n"/>
      <c r="F40" s="498">
        <f>IF(OR(A40="",E40=""),"",IF(C40="","",C40+E40))</f>
        <v/>
      </c>
      <c r="G40" s="384" t="inlineStr">
        <is>
          <t>Agent 07</t>
        </is>
      </c>
      <c r="H40" s="491" t="n"/>
      <c r="I40" s="499">
        <f>IF(A40="","Pending",IF(H40="","⚠️ Enter Code",IF(IFERROR(VLOOKUP(G40,DB_Agents!$B:$I,8,0),"")=H40,IF(AND(A40&lt;&gt;"",E40&lt;&gt;""),"Saved","Pending"),"🔒 BLOCKED — Wrong Code")))</f>
        <v/>
      </c>
      <c r="J40" s="500">
        <f>IF(I40="Saved",TEXT(TODAY(),"YYYY-MM-DD")&amp;" Auto","—")</f>
        <v/>
      </c>
      <c r="K40" s="501" t="n"/>
    </row>
    <row r="41" ht="15" customHeight="1" s="341">
      <c r="A41" s="486" t="n"/>
      <c r="B41" s="378">
        <f>IF(A41="","",IFERROR(VLOOKUP(A41,DB_Customers!$A:$D,4,0),"❌ Account Not Found"))</f>
        <v/>
      </c>
      <c r="C41" s="487">
        <f>IF(A41="","",IFERROR(VLOOKUP(A41,DB_Customers!$A:$N,14,0),""))</f>
        <v/>
      </c>
      <c r="D41" s="488">
        <f>IF(A41="","",TODAY())</f>
        <v/>
      </c>
      <c r="E41" s="489" t="n"/>
      <c r="F41" s="490">
        <f>IF(OR(A41="",E41=""),"",IF(C41="","",C41+E41))</f>
        <v/>
      </c>
      <c r="G41" s="380" t="inlineStr">
        <is>
          <t>Agent 07</t>
        </is>
      </c>
      <c r="H41" s="491" t="n"/>
      <c r="I41" s="492">
        <f>IF(A41="","Pending",IF(H41="","⚠️ Enter Code",IF(IFERROR(VLOOKUP(G41,DB_Agents!$B:$I,8,0),"")=H41,IF(AND(A41&lt;&gt;"",E41&lt;&gt;""),"Saved","Pending"),"🔒 BLOCKED — Wrong Code")))</f>
        <v/>
      </c>
      <c r="J41" s="493">
        <f>IF(I41="Saved",TEXT(TODAY(),"YYYY-MM-DD")&amp;" Auto","—")</f>
        <v/>
      </c>
      <c r="K41" s="494" t="n"/>
    </row>
    <row r="42" ht="15" customHeight="1" s="341">
      <c r="A42" s="495" t="n"/>
      <c r="B42" s="382">
        <f>IF(A42="","",IFERROR(VLOOKUP(A42,DB_Customers!$A:$D,4,0),"❌ Account Not Found"))</f>
        <v/>
      </c>
      <c r="C42" s="496">
        <f>IF(A42="","",IFERROR(VLOOKUP(A42,DB_Customers!$A:$N,14,0),""))</f>
        <v/>
      </c>
      <c r="D42" s="497">
        <f>IF(A42="","",TODAY())</f>
        <v/>
      </c>
      <c r="E42" s="489" t="n"/>
      <c r="F42" s="498">
        <f>IF(OR(A42="",E42=""),"",IF(C42="","",C42+E42))</f>
        <v/>
      </c>
      <c r="G42" s="384" t="inlineStr">
        <is>
          <t>Agent 07</t>
        </is>
      </c>
      <c r="H42" s="491" t="n"/>
      <c r="I42" s="499">
        <f>IF(A42="","Pending",IF(H42="","⚠️ Enter Code",IF(IFERROR(VLOOKUP(G42,DB_Agents!$B:$I,8,0),"")=H42,IF(AND(A42&lt;&gt;"",E42&lt;&gt;""),"Saved","Pending"),"🔒 BLOCKED — Wrong Code")))</f>
        <v/>
      </c>
      <c r="J42" s="500">
        <f>IF(I42="Saved",TEXT(TODAY(),"YYYY-MM-DD")&amp;" Auto","—")</f>
        <v/>
      </c>
      <c r="K42" s="501" t="n"/>
    </row>
    <row r="43" ht="15" customHeight="1" s="341">
      <c r="A43" s="486" t="n"/>
      <c r="B43" s="378">
        <f>IF(A43="","",IFERROR(VLOOKUP(A43,DB_Customers!$A:$D,4,0),"❌ Account Not Found"))</f>
        <v/>
      </c>
      <c r="C43" s="487">
        <f>IF(A43="","",IFERROR(VLOOKUP(A43,DB_Customers!$A:$N,14,0),""))</f>
        <v/>
      </c>
      <c r="D43" s="488">
        <f>IF(A43="","",TODAY())</f>
        <v/>
      </c>
      <c r="E43" s="489" t="n"/>
      <c r="F43" s="490">
        <f>IF(OR(A43="",E43=""),"",IF(C43="","",C43+E43))</f>
        <v/>
      </c>
      <c r="G43" s="380" t="inlineStr">
        <is>
          <t>Agent 07</t>
        </is>
      </c>
      <c r="H43" s="491" t="n"/>
      <c r="I43" s="492">
        <f>IF(A43="","Pending",IF(H43="","⚠️ Enter Code",IF(IFERROR(VLOOKUP(G43,DB_Agents!$B:$I,8,0),"")=H43,IF(AND(A43&lt;&gt;"",E43&lt;&gt;""),"Saved","Pending"),"🔒 BLOCKED — Wrong Code")))</f>
        <v/>
      </c>
      <c r="J43" s="493">
        <f>IF(I43="Saved",TEXT(TODAY(),"YYYY-MM-DD")&amp;" Auto","—")</f>
        <v/>
      </c>
      <c r="K43" s="494" t="n"/>
    </row>
    <row r="44" ht="15" customHeight="1" s="341">
      <c r="A44" s="495" t="n"/>
      <c r="B44" s="382">
        <f>IF(A44="","",IFERROR(VLOOKUP(A44,DB_Customers!$A:$D,4,0),"❌ Account Not Found"))</f>
        <v/>
      </c>
      <c r="C44" s="496">
        <f>IF(A44="","",IFERROR(VLOOKUP(A44,DB_Customers!$A:$N,14,0),""))</f>
        <v/>
      </c>
      <c r="D44" s="497">
        <f>IF(A44="","",TODAY())</f>
        <v/>
      </c>
      <c r="E44" s="489" t="n"/>
      <c r="F44" s="498">
        <f>IF(OR(A44="",E44=""),"",IF(C44="","",C44+E44))</f>
        <v/>
      </c>
      <c r="G44" s="384" t="inlineStr">
        <is>
          <t>Agent 07</t>
        </is>
      </c>
      <c r="H44" s="491" t="n"/>
      <c r="I44" s="499">
        <f>IF(A44="","Pending",IF(H44="","⚠️ Enter Code",IF(IFERROR(VLOOKUP(G44,DB_Agents!$B:$I,8,0),"")=H44,IF(AND(A44&lt;&gt;"",E44&lt;&gt;""),"Saved","Pending"),"🔒 BLOCKED — Wrong Code")))</f>
        <v/>
      </c>
      <c r="J44" s="500">
        <f>IF(I44="Saved",TEXT(TODAY(),"YYYY-MM-DD")&amp;" Auto","—")</f>
        <v/>
      </c>
      <c r="K44" s="501" t="n"/>
    </row>
    <row r="45" ht="15" customHeight="1" s="341">
      <c r="A45" s="486" t="n"/>
      <c r="B45" s="378">
        <f>IF(A45="","",IFERROR(VLOOKUP(A45,DB_Customers!$A:$D,4,0),"❌ Account Not Found"))</f>
        <v/>
      </c>
      <c r="C45" s="487">
        <f>IF(A45="","",IFERROR(VLOOKUP(A45,DB_Customers!$A:$N,14,0),""))</f>
        <v/>
      </c>
      <c r="D45" s="488">
        <f>IF(A45="","",TODAY())</f>
        <v/>
      </c>
      <c r="E45" s="489" t="n"/>
      <c r="F45" s="490">
        <f>IF(OR(A45="",E45=""),"",IF(C45="","",C45+E45))</f>
        <v/>
      </c>
      <c r="G45" s="380" t="inlineStr">
        <is>
          <t>Agent 07</t>
        </is>
      </c>
      <c r="H45" s="491" t="n"/>
      <c r="I45" s="492">
        <f>IF(A45="","Pending",IF(H45="","⚠️ Enter Code",IF(IFERROR(VLOOKUP(G45,DB_Agents!$B:$I,8,0),"")=H45,IF(AND(A45&lt;&gt;"",E45&lt;&gt;""),"Saved","Pending"),"🔒 BLOCKED — Wrong Code")))</f>
        <v/>
      </c>
      <c r="J45" s="493">
        <f>IF(I45="Saved",TEXT(TODAY(),"YYYY-MM-DD")&amp;" Auto","—")</f>
        <v/>
      </c>
      <c r="K45" s="494" t="n"/>
    </row>
    <row r="46" ht="15" customHeight="1" s="341">
      <c r="A46" s="495" t="n"/>
      <c r="B46" s="382">
        <f>IF(A46="","",IFERROR(VLOOKUP(A46,DB_Customers!$A:$D,4,0),"❌ Account Not Found"))</f>
        <v/>
      </c>
      <c r="C46" s="496">
        <f>IF(A46="","",IFERROR(VLOOKUP(A46,DB_Customers!$A:$N,14,0),""))</f>
        <v/>
      </c>
      <c r="D46" s="497">
        <f>IF(A46="","",TODAY())</f>
        <v/>
      </c>
      <c r="E46" s="489" t="n"/>
      <c r="F46" s="498">
        <f>IF(OR(A46="",E46=""),"",IF(C46="","",C46+E46))</f>
        <v/>
      </c>
      <c r="G46" s="384" t="inlineStr">
        <is>
          <t>Agent 07</t>
        </is>
      </c>
      <c r="H46" s="491" t="n"/>
      <c r="I46" s="499">
        <f>IF(A46="","Pending",IF(H46="","⚠️ Enter Code",IF(IFERROR(VLOOKUP(G46,DB_Agents!$B:$I,8,0),"")=H46,IF(AND(A46&lt;&gt;"",E46&lt;&gt;""),"Saved","Pending"),"🔒 BLOCKED — Wrong Code")))</f>
        <v/>
      </c>
      <c r="J46" s="500">
        <f>IF(I46="Saved",TEXT(TODAY(),"YYYY-MM-DD")&amp;" Auto","—")</f>
        <v/>
      </c>
      <c r="K46" s="501" t="n"/>
    </row>
    <row r="47" ht="15" customHeight="1" s="341">
      <c r="A47" s="486" t="n"/>
      <c r="B47" s="378">
        <f>IF(A47="","",IFERROR(VLOOKUP(A47,DB_Customers!$A:$D,4,0),"❌ Account Not Found"))</f>
        <v/>
      </c>
      <c r="C47" s="487">
        <f>IF(A47="","",IFERROR(VLOOKUP(A47,DB_Customers!$A:$N,14,0),""))</f>
        <v/>
      </c>
      <c r="D47" s="488">
        <f>IF(A47="","",TODAY())</f>
        <v/>
      </c>
      <c r="E47" s="489" t="n"/>
      <c r="F47" s="490">
        <f>IF(OR(A47="",E47=""),"",IF(C47="","",C47+E47))</f>
        <v/>
      </c>
      <c r="G47" s="380" t="inlineStr">
        <is>
          <t>Agent 07</t>
        </is>
      </c>
      <c r="H47" s="491" t="n"/>
      <c r="I47" s="492">
        <f>IF(A47="","Pending",IF(H47="","⚠️ Enter Code",IF(IFERROR(VLOOKUP(G47,DB_Agents!$B:$I,8,0),"")=H47,IF(AND(A47&lt;&gt;"",E47&lt;&gt;""),"Saved","Pending"),"🔒 BLOCKED — Wrong Code")))</f>
        <v/>
      </c>
      <c r="J47" s="493">
        <f>IF(I47="Saved",TEXT(TODAY(),"YYYY-MM-DD")&amp;" Auto","—")</f>
        <v/>
      </c>
      <c r="K47" s="494" t="n"/>
    </row>
    <row r="48" ht="15" customHeight="1" s="341">
      <c r="A48" s="495" t="n"/>
      <c r="B48" s="382">
        <f>IF(A48="","",IFERROR(VLOOKUP(A48,DB_Customers!$A:$D,4,0),"❌ Account Not Found"))</f>
        <v/>
      </c>
      <c r="C48" s="496">
        <f>IF(A48="","",IFERROR(VLOOKUP(A48,DB_Customers!$A:$N,14,0),""))</f>
        <v/>
      </c>
      <c r="D48" s="497">
        <f>IF(A48="","",TODAY())</f>
        <v/>
      </c>
      <c r="E48" s="489" t="n"/>
      <c r="F48" s="498">
        <f>IF(OR(A48="",E48=""),"",IF(C48="","",C48+E48))</f>
        <v/>
      </c>
      <c r="G48" s="384" t="inlineStr">
        <is>
          <t>Agent 07</t>
        </is>
      </c>
      <c r="H48" s="491" t="n"/>
      <c r="I48" s="499">
        <f>IF(A48="","Pending",IF(H48="","⚠️ Enter Code",IF(IFERROR(VLOOKUP(G48,DB_Agents!$B:$I,8,0),"")=H48,IF(AND(A48&lt;&gt;"",E48&lt;&gt;""),"Saved","Pending"),"🔒 BLOCKED — Wrong Code")))</f>
        <v/>
      </c>
      <c r="J48" s="500">
        <f>IF(I48="Saved",TEXT(TODAY(),"YYYY-MM-DD")&amp;" Auto","—")</f>
        <v/>
      </c>
      <c r="K48" s="501" t="n"/>
    </row>
    <row r="49" ht="15" customHeight="1" s="341">
      <c r="A49" s="486" t="n"/>
      <c r="B49" s="378">
        <f>IF(A49="","",IFERROR(VLOOKUP(A49,DB_Customers!$A:$D,4,0),"❌ Account Not Found"))</f>
        <v/>
      </c>
      <c r="C49" s="487">
        <f>IF(A49="","",IFERROR(VLOOKUP(A49,DB_Customers!$A:$N,14,0),""))</f>
        <v/>
      </c>
      <c r="D49" s="488">
        <f>IF(A49="","",TODAY())</f>
        <v/>
      </c>
      <c r="E49" s="489" t="n"/>
      <c r="F49" s="490">
        <f>IF(OR(A49="",E49=""),"",IF(C49="","",C49+E49))</f>
        <v/>
      </c>
      <c r="G49" s="380" t="inlineStr">
        <is>
          <t>Agent 07</t>
        </is>
      </c>
      <c r="H49" s="491" t="n"/>
      <c r="I49" s="492">
        <f>IF(A49="","Pending",IF(H49="","⚠️ Enter Code",IF(IFERROR(VLOOKUP(G49,DB_Agents!$B:$I,8,0),"")=H49,IF(AND(A49&lt;&gt;"",E49&lt;&gt;""),"Saved","Pending"),"🔒 BLOCKED — Wrong Code")))</f>
        <v/>
      </c>
      <c r="J49" s="493">
        <f>IF(I49="Saved",TEXT(TODAY(),"YYYY-MM-DD")&amp;" Auto","—")</f>
        <v/>
      </c>
      <c r="K49" s="494" t="n"/>
    </row>
    <row r="50" ht="15" customHeight="1" s="341">
      <c r="A50" s="495" t="n"/>
      <c r="B50" s="382">
        <f>IF(A50="","",IFERROR(VLOOKUP(A50,DB_Customers!$A:$D,4,0),"❌ Account Not Found"))</f>
        <v/>
      </c>
      <c r="C50" s="496">
        <f>IF(A50="","",IFERROR(VLOOKUP(A50,DB_Customers!$A:$N,14,0),""))</f>
        <v/>
      </c>
      <c r="D50" s="497">
        <f>IF(A50="","",TODAY())</f>
        <v/>
      </c>
      <c r="E50" s="489" t="n"/>
      <c r="F50" s="498">
        <f>IF(OR(A50="",E50=""),"",IF(C50="","",C50+E50))</f>
        <v/>
      </c>
      <c r="G50" s="384" t="inlineStr">
        <is>
          <t>Agent 07</t>
        </is>
      </c>
      <c r="H50" s="491" t="n"/>
      <c r="I50" s="499">
        <f>IF(A50="","Pending",IF(H50="","⚠️ Enter Code",IF(IFERROR(VLOOKUP(G50,DB_Agents!$B:$I,8,0),"")=H50,IF(AND(A50&lt;&gt;"",E50&lt;&gt;""),"Saved","Pending"),"🔒 BLOCKED — Wrong Code")))</f>
        <v/>
      </c>
      <c r="J50" s="500">
        <f>IF(I50="Saved",TEXT(TODAY(),"YYYY-MM-DD")&amp;" Auto","—")</f>
        <v/>
      </c>
      <c r="K50" s="501" t="n"/>
    </row>
    <row r="51" ht="15" customHeight="1" s="341">
      <c r="A51" s="486" t="n"/>
      <c r="B51" s="378">
        <f>IF(A51="","",IFERROR(VLOOKUP(A51,DB_Customers!$A:$D,4,0),"❌ Account Not Found"))</f>
        <v/>
      </c>
      <c r="C51" s="487">
        <f>IF(A51="","",IFERROR(VLOOKUP(A51,DB_Customers!$A:$N,14,0),""))</f>
        <v/>
      </c>
      <c r="D51" s="488">
        <f>IF(A51="","",TODAY())</f>
        <v/>
      </c>
      <c r="E51" s="489" t="n"/>
      <c r="F51" s="490">
        <f>IF(OR(A51="",E51=""),"",IF(C51="","",C51+E51))</f>
        <v/>
      </c>
      <c r="G51" s="380" t="inlineStr">
        <is>
          <t>Agent 07</t>
        </is>
      </c>
      <c r="H51" s="491" t="n"/>
      <c r="I51" s="492">
        <f>IF(A51="","Pending",IF(H51="","⚠️ Enter Code",IF(IFERROR(VLOOKUP(G51,DB_Agents!$B:$I,8,0),"")=H51,IF(AND(A51&lt;&gt;"",E51&lt;&gt;""),"Saved","Pending"),"🔒 BLOCKED — Wrong Code")))</f>
        <v/>
      </c>
      <c r="J51" s="493">
        <f>IF(I51="Saved",TEXT(TODAY(),"YYYY-MM-DD")&amp;" Auto","—")</f>
        <v/>
      </c>
      <c r="K51" s="494" t="n"/>
    </row>
    <row r="52" ht="15" customHeight="1" s="341">
      <c r="A52" s="495" t="n"/>
      <c r="B52" s="382">
        <f>IF(A52="","",IFERROR(VLOOKUP(A52,DB_Customers!$A:$D,4,0),"❌ Account Not Found"))</f>
        <v/>
      </c>
      <c r="C52" s="496">
        <f>IF(A52="","",IFERROR(VLOOKUP(A52,DB_Customers!$A:$N,14,0),""))</f>
        <v/>
      </c>
      <c r="D52" s="497">
        <f>IF(A52="","",TODAY())</f>
        <v/>
      </c>
      <c r="E52" s="489" t="n"/>
      <c r="F52" s="498">
        <f>IF(OR(A52="",E52=""),"",IF(C52="","",C52+E52))</f>
        <v/>
      </c>
      <c r="G52" s="384" t="inlineStr">
        <is>
          <t>Agent 07</t>
        </is>
      </c>
      <c r="H52" s="491" t="n"/>
      <c r="I52" s="499">
        <f>IF(A52="","Pending",IF(H52="","⚠️ Enter Code",IF(IFERROR(VLOOKUP(G52,DB_Agents!$B:$I,8,0),"")=H52,IF(AND(A52&lt;&gt;"",E52&lt;&gt;""),"Saved","Pending"),"🔒 BLOCKED — Wrong Code")))</f>
        <v/>
      </c>
      <c r="J52" s="500">
        <f>IF(I52="Saved",TEXT(TODAY(),"YYYY-MM-DD")&amp;" Auto","—")</f>
        <v/>
      </c>
      <c r="K52" s="501" t="n"/>
    </row>
    <row r="53" ht="15" customHeight="1" s="341">
      <c r="A53" s="486" t="n"/>
      <c r="B53" s="378">
        <f>IF(A53="","",IFERROR(VLOOKUP(A53,DB_Customers!$A:$D,4,0),"❌ Account Not Found"))</f>
        <v/>
      </c>
      <c r="C53" s="487">
        <f>IF(A53="","",IFERROR(VLOOKUP(A53,DB_Customers!$A:$N,14,0),""))</f>
        <v/>
      </c>
      <c r="D53" s="488">
        <f>IF(A53="","",TODAY())</f>
        <v/>
      </c>
      <c r="E53" s="489" t="n"/>
      <c r="F53" s="490">
        <f>IF(OR(A53="",E53=""),"",IF(C53="","",C53+E53))</f>
        <v/>
      </c>
      <c r="G53" s="380" t="inlineStr">
        <is>
          <t>Agent 07</t>
        </is>
      </c>
      <c r="H53" s="491" t="n"/>
      <c r="I53" s="492">
        <f>IF(A53="","Pending",IF(H53="","⚠️ Enter Code",IF(IFERROR(VLOOKUP(G53,DB_Agents!$B:$I,8,0),"")=H53,IF(AND(A53&lt;&gt;"",E53&lt;&gt;""),"Saved","Pending"),"🔒 BLOCKED — Wrong Code")))</f>
        <v/>
      </c>
      <c r="J53" s="493">
        <f>IF(I53="Saved",TEXT(TODAY(),"YYYY-MM-DD")&amp;" Auto","—")</f>
        <v/>
      </c>
      <c r="K53" s="494" t="n"/>
    </row>
    <row r="54" ht="15" customHeight="1" s="341">
      <c r="A54" s="495" t="n"/>
      <c r="B54" s="382">
        <f>IF(A54="","",IFERROR(VLOOKUP(A54,DB_Customers!$A:$D,4,0),"❌ Account Not Found"))</f>
        <v/>
      </c>
      <c r="C54" s="496">
        <f>IF(A54="","",IFERROR(VLOOKUP(A54,DB_Customers!$A:$N,14,0),""))</f>
        <v/>
      </c>
      <c r="D54" s="497">
        <f>IF(A54="","",TODAY())</f>
        <v/>
      </c>
      <c r="E54" s="489" t="n"/>
      <c r="F54" s="498">
        <f>IF(OR(A54="",E54=""),"",IF(C54="","",C54+E54))</f>
        <v/>
      </c>
      <c r="G54" s="384" t="inlineStr">
        <is>
          <t>Agent 07</t>
        </is>
      </c>
      <c r="H54" s="491" t="n"/>
      <c r="I54" s="499">
        <f>IF(A54="","Pending",IF(H54="","⚠️ Enter Code",IF(IFERROR(VLOOKUP(G54,DB_Agents!$B:$I,8,0),"")=H54,IF(AND(A54&lt;&gt;"",E54&lt;&gt;""),"Saved","Pending"),"🔒 BLOCKED — Wrong Code")))</f>
        <v/>
      </c>
      <c r="J54" s="500">
        <f>IF(I54="Saved",TEXT(TODAY(),"YYYY-MM-DD")&amp;" Auto","—")</f>
        <v/>
      </c>
      <c r="K54" s="501" t="n"/>
    </row>
    <row r="55" ht="15" customHeight="1" s="341">
      <c r="A55" s="486" t="n"/>
      <c r="B55" s="378">
        <f>IF(A55="","",IFERROR(VLOOKUP(A55,DB_Customers!$A:$D,4,0),"❌ Account Not Found"))</f>
        <v/>
      </c>
      <c r="C55" s="487">
        <f>IF(A55="","",IFERROR(VLOOKUP(A55,DB_Customers!$A:$N,14,0),""))</f>
        <v/>
      </c>
      <c r="D55" s="488">
        <f>IF(A55="","",TODAY())</f>
        <v/>
      </c>
      <c r="E55" s="489" t="n"/>
      <c r="F55" s="490">
        <f>IF(OR(A55="",E55=""),"",IF(C55="","",C55+E55))</f>
        <v/>
      </c>
      <c r="G55" s="380" t="inlineStr">
        <is>
          <t>Agent 07</t>
        </is>
      </c>
      <c r="H55" s="491" t="n"/>
      <c r="I55" s="492">
        <f>IF(A55="","Pending",IF(H55="","⚠️ Enter Code",IF(IFERROR(VLOOKUP(G55,DB_Agents!$B:$I,8,0),"")=H55,IF(AND(A55&lt;&gt;"",E55&lt;&gt;""),"Saved","Pending"),"🔒 BLOCKED — Wrong Code")))</f>
        <v/>
      </c>
      <c r="J55" s="493">
        <f>IF(I55="Saved",TEXT(TODAY(),"YYYY-MM-DD")&amp;" Auto","—")</f>
        <v/>
      </c>
      <c r="K55" s="494" t="n"/>
    </row>
    <row r="56" ht="15" customHeight="1" s="341">
      <c r="A56" s="495" t="n"/>
      <c r="B56" s="382">
        <f>IF(A56="","",IFERROR(VLOOKUP(A56,DB_Customers!$A:$D,4,0),"❌ Account Not Found"))</f>
        <v/>
      </c>
      <c r="C56" s="496">
        <f>IF(A56="","",IFERROR(VLOOKUP(A56,DB_Customers!$A:$N,14,0),""))</f>
        <v/>
      </c>
      <c r="D56" s="497">
        <f>IF(A56="","",TODAY())</f>
        <v/>
      </c>
      <c r="E56" s="489" t="n"/>
      <c r="F56" s="498">
        <f>IF(OR(A56="",E56=""),"",IF(C56="","",C56+E56))</f>
        <v/>
      </c>
      <c r="G56" s="384" t="inlineStr">
        <is>
          <t>Agent 07</t>
        </is>
      </c>
      <c r="H56" s="491" t="n"/>
      <c r="I56" s="499">
        <f>IF(A56="","Pending",IF(H56="","⚠️ Enter Code",IF(IFERROR(VLOOKUP(G56,DB_Agents!$B:$I,8,0),"")=H56,IF(AND(A56&lt;&gt;"",E56&lt;&gt;""),"Saved","Pending"),"🔒 BLOCKED — Wrong Code")))</f>
        <v/>
      </c>
      <c r="J56" s="500">
        <f>IF(I56="Saved",TEXT(TODAY(),"YYYY-MM-DD")&amp;" Auto","—")</f>
        <v/>
      </c>
      <c r="K56" s="501" t="n"/>
    </row>
    <row r="57" ht="15" customHeight="1" s="341">
      <c r="A57" s="486" t="n"/>
      <c r="B57" s="378">
        <f>IF(A57="","",IFERROR(VLOOKUP(A57,DB_Customers!$A:$D,4,0),"❌ Account Not Found"))</f>
        <v/>
      </c>
      <c r="C57" s="487">
        <f>IF(A57="","",IFERROR(VLOOKUP(A57,DB_Customers!$A:$N,14,0),""))</f>
        <v/>
      </c>
      <c r="D57" s="488">
        <f>IF(A57="","",TODAY())</f>
        <v/>
      </c>
      <c r="E57" s="489" t="n"/>
      <c r="F57" s="490">
        <f>IF(OR(A57="",E57=""),"",IF(C57="","",C57+E57))</f>
        <v/>
      </c>
      <c r="G57" s="380" t="inlineStr">
        <is>
          <t>Agent 07</t>
        </is>
      </c>
      <c r="H57" s="491" t="n"/>
      <c r="I57" s="492">
        <f>IF(A57="","Pending",IF(H57="","⚠️ Enter Code",IF(IFERROR(VLOOKUP(G57,DB_Agents!$B:$I,8,0),"")=H57,IF(AND(A57&lt;&gt;"",E57&lt;&gt;""),"Saved","Pending"),"🔒 BLOCKED — Wrong Code")))</f>
        <v/>
      </c>
      <c r="J57" s="493">
        <f>IF(I57="Saved",TEXT(TODAY(),"YYYY-MM-DD")&amp;" Auto","—")</f>
        <v/>
      </c>
      <c r="K57" s="494" t="n"/>
    </row>
    <row r="58" ht="15" customHeight="1" s="341">
      <c r="A58" s="495" t="n"/>
      <c r="B58" s="382">
        <f>IF(A58="","",IFERROR(VLOOKUP(A58,DB_Customers!$A:$D,4,0),"❌ Account Not Found"))</f>
        <v/>
      </c>
      <c r="C58" s="496">
        <f>IF(A58="","",IFERROR(VLOOKUP(A58,DB_Customers!$A:$N,14,0),""))</f>
        <v/>
      </c>
      <c r="D58" s="497">
        <f>IF(A58="","",TODAY())</f>
        <v/>
      </c>
      <c r="E58" s="489" t="n"/>
      <c r="F58" s="498">
        <f>IF(OR(A58="",E58=""),"",IF(C58="","",C58+E58))</f>
        <v/>
      </c>
      <c r="G58" s="384" t="inlineStr">
        <is>
          <t>Agent 07</t>
        </is>
      </c>
      <c r="H58" s="491" t="n"/>
      <c r="I58" s="499">
        <f>IF(A58="","Pending",IF(H58="","⚠️ Enter Code",IF(IFERROR(VLOOKUP(G58,DB_Agents!$B:$I,8,0),"")=H58,IF(AND(A58&lt;&gt;"",E58&lt;&gt;""),"Saved","Pending"),"🔒 BLOCKED — Wrong Code")))</f>
        <v/>
      </c>
      <c r="J58" s="500">
        <f>IF(I58="Saved",TEXT(TODAY(),"YYYY-MM-DD")&amp;" Auto","—")</f>
        <v/>
      </c>
      <c r="K58" s="501" t="n"/>
    </row>
    <row r="59" ht="15" customHeight="1" s="341">
      <c r="A59" s="486" t="n"/>
      <c r="B59" s="378">
        <f>IF(A59="","",IFERROR(VLOOKUP(A59,DB_Customers!$A:$D,4,0),"❌ Account Not Found"))</f>
        <v/>
      </c>
      <c r="C59" s="487">
        <f>IF(A59="","",IFERROR(VLOOKUP(A59,DB_Customers!$A:$N,14,0),""))</f>
        <v/>
      </c>
      <c r="D59" s="488">
        <f>IF(A59="","",TODAY())</f>
        <v/>
      </c>
      <c r="E59" s="489" t="n"/>
      <c r="F59" s="490">
        <f>IF(OR(A59="",E59=""),"",IF(C59="","",C59+E59))</f>
        <v/>
      </c>
      <c r="G59" s="380" t="inlineStr">
        <is>
          <t>Agent 07</t>
        </is>
      </c>
      <c r="H59" s="491" t="n"/>
      <c r="I59" s="492">
        <f>IF(A59="","Pending",IF(H59="","⚠️ Enter Code",IF(IFERROR(VLOOKUP(G59,DB_Agents!$B:$I,8,0),"")=H59,IF(AND(A59&lt;&gt;"",E59&lt;&gt;""),"Saved","Pending"),"🔒 BLOCKED — Wrong Code")))</f>
        <v/>
      </c>
      <c r="J59" s="493">
        <f>IF(I59="Saved",TEXT(TODAY(),"YYYY-MM-DD")&amp;" Auto","—")</f>
        <v/>
      </c>
      <c r="K59" s="494" t="n"/>
    </row>
    <row r="60" ht="15" customHeight="1" s="341">
      <c r="A60" s="495" t="n"/>
      <c r="B60" s="382">
        <f>IF(A60="","",IFERROR(VLOOKUP(A60,DB_Customers!$A:$D,4,0),"❌ Account Not Found"))</f>
        <v/>
      </c>
      <c r="C60" s="496">
        <f>IF(A60="","",IFERROR(VLOOKUP(A60,DB_Customers!$A:$N,14,0),""))</f>
        <v/>
      </c>
      <c r="D60" s="497">
        <f>IF(A60="","",TODAY())</f>
        <v/>
      </c>
      <c r="E60" s="489" t="n"/>
      <c r="F60" s="498">
        <f>IF(OR(A60="",E60=""),"",IF(C60="","",C60+E60))</f>
        <v/>
      </c>
      <c r="G60" s="384" t="inlineStr">
        <is>
          <t>Agent 07</t>
        </is>
      </c>
      <c r="H60" s="491" t="n"/>
      <c r="I60" s="499">
        <f>IF(A60="","Pending",IF(H60="","⚠️ Enter Code",IF(IFERROR(VLOOKUP(G60,DB_Agents!$B:$I,8,0),"")=H60,IF(AND(A60&lt;&gt;"",E60&lt;&gt;""),"Saved","Pending"),"🔒 BLOCKED — Wrong Code")))</f>
        <v/>
      </c>
      <c r="J60" s="500">
        <f>IF(I60="Saved",TEXT(TODAY(),"YYYY-MM-DD")&amp;" Auto","—")</f>
        <v/>
      </c>
      <c r="K60" s="501" t="n"/>
    </row>
    <row r="61" ht="15" customHeight="1" s="341">
      <c r="A61" s="486" t="n"/>
      <c r="B61" s="378">
        <f>IF(A61="","",IFERROR(VLOOKUP(A61,DB_Customers!$A:$D,4,0),"❌ Account Not Found"))</f>
        <v/>
      </c>
      <c r="C61" s="487">
        <f>IF(A61="","",IFERROR(VLOOKUP(A61,DB_Customers!$A:$N,14,0),""))</f>
        <v/>
      </c>
      <c r="D61" s="488">
        <f>IF(A61="","",TODAY())</f>
        <v/>
      </c>
      <c r="E61" s="489" t="n"/>
      <c r="F61" s="490">
        <f>IF(OR(A61="",E61=""),"",IF(C61="","",C61+E61))</f>
        <v/>
      </c>
      <c r="G61" s="380" t="inlineStr">
        <is>
          <t>Agent 07</t>
        </is>
      </c>
      <c r="H61" s="491" t="n"/>
      <c r="I61" s="492">
        <f>IF(A61="","Pending",IF(H61="","⚠️ Enter Code",IF(IFERROR(VLOOKUP(G61,DB_Agents!$B:$I,8,0),"")=H61,IF(AND(A61&lt;&gt;"",E61&lt;&gt;""),"Saved","Pending"),"🔒 BLOCKED — Wrong Code")))</f>
        <v/>
      </c>
      <c r="J61" s="493">
        <f>IF(I61="Saved",TEXT(TODAY(),"YYYY-MM-DD")&amp;" Auto","—")</f>
        <v/>
      </c>
      <c r="K61" s="494" t="n"/>
    </row>
    <row r="62" ht="15" customHeight="1" s="341">
      <c r="A62" s="495" t="n"/>
      <c r="B62" s="382">
        <f>IF(A62="","",IFERROR(VLOOKUP(A62,DB_Customers!$A:$D,4,0),"❌ Account Not Found"))</f>
        <v/>
      </c>
      <c r="C62" s="496">
        <f>IF(A62="","",IFERROR(VLOOKUP(A62,DB_Customers!$A:$N,14,0),""))</f>
        <v/>
      </c>
      <c r="D62" s="497">
        <f>IF(A62="","",TODAY())</f>
        <v/>
      </c>
      <c r="E62" s="489" t="n"/>
      <c r="F62" s="498">
        <f>IF(OR(A62="",E62=""),"",IF(C62="","",C62+E62))</f>
        <v/>
      </c>
      <c r="G62" s="384" t="inlineStr">
        <is>
          <t>Agent 07</t>
        </is>
      </c>
      <c r="H62" s="491" t="n"/>
      <c r="I62" s="499">
        <f>IF(A62="","Pending",IF(H62="","⚠️ Enter Code",IF(IFERROR(VLOOKUP(G62,DB_Agents!$B:$I,8,0),"")=H62,IF(AND(A62&lt;&gt;"",E62&lt;&gt;""),"Saved","Pending"),"🔒 BLOCKED — Wrong Code")))</f>
        <v/>
      </c>
      <c r="J62" s="500">
        <f>IF(I62="Saved",TEXT(TODAY(),"YYYY-MM-DD")&amp;" Auto","—")</f>
        <v/>
      </c>
      <c r="K62" s="501" t="n"/>
    </row>
    <row r="63" ht="15" customHeight="1" s="341">
      <c r="A63" s="486" t="n"/>
      <c r="B63" s="378">
        <f>IF(A63="","",IFERROR(VLOOKUP(A63,DB_Customers!$A:$D,4,0),"❌ Account Not Found"))</f>
        <v/>
      </c>
      <c r="C63" s="487">
        <f>IF(A63="","",IFERROR(VLOOKUP(A63,DB_Customers!$A:$N,14,0),""))</f>
        <v/>
      </c>
      <c r="D63" s="488">
        <f>IF(A63="","",TODAY())</f>
        <v/>
      </c>
      <c r="E63" s="489" t="n"/>
      <c r="F63" s="490">
        <f>IF(OR(A63="",E63=""),"",IF(C63="","",C63+E63))</f>
        <v/>
      </c>
      <c r="G63" s="380" t="inlineStr">
        <is>
          <t>Agent 07</t>
        </is>
      </c>
      <c r="H63" s="491" t="n"/>
      <c r="I63" s="492">
        <f>IF(A63="","Pending",IF(H63="","⚠️ Enter Code",IF(IFERROR(VLOOKUP(G63,DB_Agents!$B:$I,8,0),"")=H63,IF(AND(A63&lt;&gt;"",E63&lt;&gt;""),"Saved","Pending"),"🔒 BLOCKED — Wrong Code")))</f>
        <v/>
      </c>
      <c r="J63" s="493">
        <f>IF(I63="Saved",TEXT(TODAY(),"YYYY-MM-DD")&amp;" Auto","—")</f>
        <v/>
      </c>
      <c r="K63" s="494" t="n"/>
    </row>
    <row r="64" ht="15" customHeight="1" s="341">
      <c r="A64" s="495" t="n"/>
      <c r="B64" s="382">
        <f>IF(A64="","",IFERROR(VLOOKUP(A64,DB_Customers!$A:$D,4,0),"❌ Account Not Found"))</f>
        <v/>
      </c>
      <c r="C64" s="496">
        <f>IF(A64="","",IFERROR(VLOOKUP(A64,DB_Customers!$A:$N,14,0),""))</f>
        <v/>
      </c>
      <c r="D64" s="497">
        <f>IF(A64="","",TODAY())</f>
        <v/>
      </c>
      <c r="E64" s="489" t="n"/>
      <c r="F64" s="498">
        <f>IF(OR(A64="",E64=""),"",IF(C64="","",C64+E64))</f>
        <v/>
      </c>
      <c r="G64" s="384" t="inlineStr">
        <is>
          <t>Agent 07</t>
        </is>
      </c>
      <c r="H64" s="491" t="n"/>
      <c r="I64" s="499">
        <f>IF(A64="","Pending",IF(H64="","⚠️ Enter Code",IF(IFERROR(VLOOKUP(G64,DB_Agents!$B:$I,8,0),"")=H64,IF(AND(A64&lt;&gt;"",E64&lt;&gt;""),"Saved","Pending"),"🔒 BLOCKED — Wrong Code")))</f>
        <v/>
      </c>
      <c r="J64" s="500">
        <f>IF(I64="Saved",TEXT(TODAY(),"YYYY-MM-DD")&amp;" Auto","—")</f>
        <v/>
      </c>
      <c r="K64" s="501" t="n"/>
    </row>
    <row r="65" ht="15" customHeight="1" s="341">
      <c r="A65" s="486" t="n"/>
      <c r="B65" s="378">
        <f>IF(A65="","",IFERROR(VLOOKUP(A65,DB_Customers!$A:$D,4,0),"❌ Account Not Found"))</f>
        <v/>
      </c>
      <c r="C65" s="487">
        <f>IF(A65="","",IFERROR(VLOOKUP(A65,DB_Customers!$A:$N,14,0),""))</f>
        <v/>
      </c>
      <c r="D65" s="488">
        <f>IF(A65="","",TODAY())</f>
        <v/>
      </c>
      <c r="E65" s="489" t="n"/>
      <c r="F65" s="490">
        <f>IF(OR(A65="",E65=""),"",IF(C65="","",C65+E65))</f>
        <v/>
      </c>
      <c r="G65" s="380" t="inlineStr">
        <is>
          <t>Agent 07</t>
        </is>
      </c>
      <c r="H65" s="491" t="n"/>
      <c r="I65" s="492">
        <f>IF(A65="","Pending",IF(H65="","⚠️ Enter Code",IF(IFERROR(VLOOKUP(G65,DB_Agents!$B:$I,8,0),"")=H65,IF(AND(A65&lt;&gt;"",E65&lt;&gt;""),"Saved","Pending"),"🔒 BLOCKED — Wrong Code")))</f>
        <v/>
      </c>
      <c r="J65" s="493">
        <f>IF(I65="Saved",TEXT(TODAY(),"YYYY-MM-DD")&amp;" Auto","—")</f>
        <v/>
      </c>
      <c r="K65" s="494" t="n"/>
    </row>
    <row r="66" ht="15" customHeight="1" s="341">
      <c r="A66" s="495" t="n"/>
      <c r="B66" s="382">
        <f>IF(A66="","",IFERROR(VLOOKUP(A66,DB_Customers!$A:$D,4,0),"❌ Account Not Found"))</f>
        <v/>
      </c>
      <c r="C66" s="496">
        <f>IF(A66="","",IFERROR(VLOOKUP(A66,DB_Customers!$A:$N,14,0),""))</f>
        <v/>
      </c>
      <c r="D66" s="497">
        <f>IF(A66="","",TODAY())</f>
        <v/>
      </c>
      <c r="E66" s="489" t="n"/>
      <c r="F66" s="498">
        <f>IF(OR(A66="",E66=""),"",IF(C66="","",C66+E66))</f>
        <v/>
      </c>
      <c r="G66" s="384" t="inlineStr">
        <is>
          <t>Agent 07</t>
        </is>
      </c>
      <c r="H66" s="491" t="n"/>
      <c r="I66" s="499">
        <f>IF(A66="","Pending",IF(H66="","⚠️ Enter Code",IF(IFERROR(VLOOKUP(G66,DB_Agents!$B:$I,8,0),"")=H66,IF(AND(A66&lt;&gt;"",E66&lt;&gt;""),"Saved","Pending"),"🔒 BLOCKED — Wrong Code")))</f>
        <v/>
      </c>
      <c r="J66" s="500">
        <f>IF(I66="Saved",TEXT(TODAY(),"YYYY-MM-DD")&amp;" Auto","—")</f>
        <v/>
      </c>
      <c r="K66" s="501" t="n"/>
    </row>
    <row r="67" ht="15" customHeight="1" s="341">
      <c r="A67" s="486" t="n"/>
      <c r="B67" s="378">
        <f>IF(A67="","",IFERROR(VLOOKUP(A67,DB_Customers!$A:$D,4,0),"❌ Account Not Found"))</f>
        <v/>
      </c>
      <c r="C67" s="487">
        <f>IF(A67="","",IFERROR(VLOOKUP(A67,DB_Customers!$A:$N,14,0),""))</f>
        <v/>
      </c>
      <c r="D67" s="488">
        <f>IF(A67="","",TODAY())</f>
        <v/>
      </c>
      <c r="E67" s="489" t="n"/>
      <c r="F67" s="490">
        <f>IF(OR(A67="",E67=""),"",IF(C67="","",C67+E67))</f>
        <v/>
      </c>
      <c r="G67" s="380" t="inlineStr">
        <is>
          <t>Agent 07</t>
        </is>
      </c>
      <c r="H67" s="491" t="n"/>
      <c r="I67" s="492">
        <f>IF(A67="","Pending",IF(H67="","⚠️ Enter Code",IF(IFERROR(VLOOKUP(G67,DB_Agents!$B:$I,8,0),"")=H67,IF(AND(A67&lt;&gt;"",E67&lt;&gt;""),"Saved","Pending"),"🔒 BLOCKED — Wrong Code")))</f>
        <v/>
      </c>
      <c r="J67" s="493">
        <f>IF(I67="Saved",TEXT(TODAY(),"YYYY-MM-DD")&amp;" Auto","—")</f>
        <v/>
      </c>
      <c r="K67" s="494" t="n"/>
    </row>
    <row r="68" ht="15" customHeight="1" s="341">
      <c r="A68" s="495" t="n"/>
      <c r="B68" s="382">
        <f>IF(A68="","",IFERROR(VLOOKUP(A68,DB_Customers!$A:$D,4,0),"❌ Account Not Found"))</f>
        <v/>
      </c>
      <c r="C68" s="496">
        <f>IF(A68="","",IFERROR(VLOOKUP(A68,DB_Customers!$A:$N,14,0),""))</f>
        <v/>
      </c>
      <c r="D68" s="497">
        <f>IF(A68="","",TODAY())</f>
        <v/>
      </c>
      <c r="E68" s="489" t="n"/>
      <c r="F68" s="498">
        <f>IF(OR(A68="",E68=""),"",IF(C68="","",C68+E68))</f>
        <v/>
      </c>
      <c r="G68" s="384" t="inlineStr">
        <is>
          <t>Agent 07</t>
        </is>
      </c>
      <c r="H68" s="491" t="n"/>
      <c r="I68" s="499">
        <f>IF(A68="","Pending",IF(H68="","⚠️ Enter Code",IF(IFERROR(VLOOKUP(G68,DB_Agents!$B:$I,8,0),"")=H68,IF(AND(A68&lt;&gt;"",E68&lt;&gt;""),"Saved","Pending"),"🔒 BLOCKED — Wrong Code")))</f>
        <v/>
      </c>
      <c r="J68" s="500">
        <f>IF(I68="Saved",TEXT(TODAY(),"YYYY-MM-DD")&amp;" Auto","—")</f>
        <v/>
      </c>
      <c r="K68" s="501" t="n"/>
    </row>
    <row r="69" ht="15" customHeight="1" s="341">
      <c r="A69" s="486" t="n"/>
      <c r="B69" s="378">
        <f>IF(A69="","",IFERROR(VLOOKUP(A69,DB_Customers!$A:$D,4,0),"❌ Account Not Found"))</f>
        <v/>
      </c>
      <c r="C69" s="487">
        <f>IF(A69="","",IFERROR(VLOOKUP(A69,DB_Customers!$A:$N,14,0),""))</f>
        <v/>
      </c>
      <c r="D69" s="488">
        <f>IF(A69="","",TODAY())</f>
        <v/>
      </c>
      <c r="E69" s="489" t="n"/>
      <c r="F69" s="490">
        <f>IF(OR(A69="",E69=""),"",IF(C69="","",C69+E69))</f>
        <v/>
      </c>
      <c r="G69" s="380" t="inlineStr">
        <is>
          <t>Agent 07</t>
        </is>
      </c>
      <c r="H69" s="491" t="n"/>
      <c r="I69" s="492">
        <f>IF(A69="","Pending",IF(H69="","⚠️ Enter Code",IF(IFERROR(VLOOKUP(G69,DB_Agents!$B:$I,8,0),"")=H69,IF(AND(A69&lt;&gt;"",E69&lt;&gt;""),"Saved","Pending"),"🔒 BLOCKED — Wrong Code")))</f>
        <v/>
      </c>
      <c r="J69" s="493">
        <f>IF(I69="Saved",TEXT(TODAY(),"YYYY-MM-DD")&amp;" Auto","—")</f>
        <v/>
      </c>
      <c r="K69" s="494" t="n"/>
    </row>
    <row r="70" ht="15" customHeight="1" s="341">
      <c r="A70" s="495" t="n"/>
      <c r="B70" s="382">
        <f>IF(A70="","",IFERROR(VLOOKUP(A70,DB_Customers!$A:$D,4,0),"❌ Account Not Found"))</f>
        <v/>
      </c>
      <c r="C70" s="496">
        <f>IF(A70="","",IFERROR(VLOOKUP(A70,DB_Customers!$A:$N,14,0),""))</f>
        <v/>
      </c>
      <c r="D70" s="497">
        <f>IF(A70="","",TODAY())</f>
        <v/>
      </c>
      <c r="E70" s="489" t="n"/>
      <c r="F70" s="498">
        <f>IF(OR(A70="",E70=""),"",IF(C70="","",C70+E70))</f>
        <v/>
      </c>
      <c r="G70" s="384" t="inlineStr">
        <is>
          <t>Agent 07</t>
        </is>
      </c>
      <c r="H70" s="491" t="n"/>
      <c r="I70" s="499">
        <f>IF(A70="","Pending",IF(H70="","⚠️ Enter Code",IF(IFERROR(VLOOKUP(G70,DB_Agents!$B:$I,8,0),"")=H70,IF(AND(A70&lt;&gt;"",E70&lt;&gt;""),"Saved","Pending"),"🔒 BLOCKED — Wrong Code")))</f>
        <v/>
      </c>
      <c r="J70" s="500">
        <f>IF(I70="Saved",TEXT(TODAY(),"YYYY-MM-DD")&amp;" Auto","—")</f>
        <v/>
      </c>
      <c r="K70" s="501" t="n"/>
    </row>
    <row r="71" ht="15" customHeight="1" s="341">
      <c r="A71" s="486" t="n"/>
      <c r="B71" s="378">
        <f>IF(A71="","",IFERROR(VLOOKUP(A71,DB_Customers!$A:$D,4,0),"❌ Account Not Found"))</f>
        <v/>
      </c>
      <c r="C71" s="487">
        <f>IF(A71="","",IFERROR(VLOOKUP(A71,DB_Customers!$A:$N,14,0),""))</f>
        <v/>
      </c>
      <c r="D71" s="488">
        <f>IF(A71="","",TODAY())</f>
        <v/>
      </c>
      <c r="E71" s="489" t="n"/>
      <c r="F71" s="490">
        <f>IF(OR(A71="",E71=""),"",IF(C71="","",C71+E71))</f>
        <v/>
      </c>
      <c r="G71" s="380" t="inlineStr">
        <is>
          <t>Agent 07</t>
        </is>
      </c>
      <c r="H71" s="491" t="n"/>
      <c r="I71" s="492">
        <f>IF(A71="","Pending",IF(H71="","⚠️ Enter Code",IF(IFERROR(VLOOKUP(G71,DB_Agents!$B:$I,8,0),"")=H71,IF(AND(A71&lt;&gt;"",E71&lt;&gt;""),"Saved","Pending"),"🔒 BLOCKED — Wrong Code")))</f>
        <v/>
      </c>
      <c r="J71" s="493">
        <f>IF(I71="Saved",TEXT(TODAY(),"YYYY-MM-DD")&amp;" Auto","—")</f>
        <v/>
      </c>
      <c r="K71" s="494" t="n"/>
    </row>
    <row r="72" ht="15" customHeight="1" s="341">
      <c r="A72" s="495" t="n"/>
      <c r="B72" s="382">
        <f>IF(A72="","",IFERROR(VLOOKUP(A72,DB_Customers!$A:$D,4,0),"❌ Account Not Found"))</f>
        <v/>
      </c>
      <c r="C72" s="496">
        <f>IF(A72="","",IFERROR(VLOOKUP(A72,DB_Customers!$A:$N,14,0),""))</f>
        <v/>
      </c>
      <c r="D72" s="497">
        <f>IF(A72="","",TODAY())</f>
        <v/>
      </c>
      <c r="E72" s="489" t="n"/>
      <c r="F72" s="498">
        <f>IF(OR(A72="",E72=""),"",IF(C72="","",C72+E72))</f>
        <v/>
      </c>
      <c r="G72" s="384" t="inlineStr">
        <is>
          <t>Agent 07</t>
        </is>
      </c>
      <c r="H72" s="491" t="n"/>
      <c r="I72" s="499">
        <f>IF(A72="","Pending",IF(H72="","⚠️ Enter Code",IF(IFERROR(VLOOKUP(G72,DB_Agents!$B:$I,8,0),"")=H72,IF(AND(A72&lt;&gt;"",E72&lt;&gt;""),"Saved","Pending"),"🔒 BLOCKED — Wrong Code")))</f>
        <v/>
      </c>
      <c r="J72" s="500">
        <f>IF(I72="Saved",TEXT(TODAY(),"YYYY-MM-DD")&amp;" Auto","—")</f>
        <v/>
      </c>
      <c r="K72" s="501" t="n"/>
    </row>
    <row r="73" ht="15" customHeight="1" s="341">
      <c r="A73" s="486" t="n"/>
      <c r="B73" s="378">
        <f>IF(A73="","",IFERROR(VLOOKUP(A73,DB_Customers!$A:$D,4,0),"❌ Account Not Found"))</f>
        <v/>
      </c>
      <c r="C73" s="487">
        <f>IF(A73="","",IFERROR(VLOOKUP(A73,DB_Customers!$A:$N,14,0),""))</f>
        <v/>
      </c>
      <c r="D73" s="488">
        <f>IF(A73="","",TODAY())</f>
        <v/>
      </c>
      <c r="E73" s="489" t="n"/>
      <c r="F73" s="490">
        <f>IF(OR(A73="",E73=""),"",IF(C73="","",C73+E73))</f>
        <v/>
      </c>
      <c r="G73" s="380" t="inlineStr">
        <is>
          <t>Agent 07</t>
        </is>
      </c>
      <c r="H73" s="491" t="n"/>
      <c r="I73" s="492">
        <f>IF(A73="","Pending",IF(H73="","⚠️ Enter Code",IF(IFERROR(VLOOKUP(G73,DB_Agents!$B:$I,8,0),"")=H73,IF(AND(A73&lt;&gt;"",E73&lt;&gt;""),"Saved","Pending"),"🔒 BLOCKED — Wrong Code")))</f>
        <v/>
      </c>
      <c r="J73" s="493">
        <f>IF(I73="Saved",TEXT(TODAY(),"YYYY-MM-DD")&amp;" Auto","—")</f>
        <v/>
      </c>
      <c r="K73" s="494" t="n"/>
    </row>
    <row r="74" ht="15" customHeight="1" s="341">
      <c r="A74" s="495" t="n"/>
      <c r="B74" s="382">
        <f>IF(A74="","",IFERROR(VLOOKUP(A74,DB_Customers!$A:$D,4,0),"❌ Account Not Found"))</f>
        <v/>
      </c>
      <c r="C74" s="496">
        <f>IF(A74="","",IFERROR(VLOOKUP(A74,DB_Customers!$A:$N,14,0),""))</f>
        <v/>
      </c>
      <c r="D74" s="497">
        <f>IF(A74="","",TODAY())</f>
        <v/>
      </c>
      <c r="E74" s="489" t="n"/>
      <c r="F74" s="498">
        <f>IF(OR(A74="",E74=""),"",IF(C74="","",C74+E74))</f>
        <v/>
      </c>
      <c r="G74" s="384" t="inlineStr">
        <is>
          <t>Agent 07</t>
        </is>
      </c>
      <c r="H74" s="491" t="n"/>
      <c r="I74" s="499">
        <f>IF(A74="","Pending",IF(H74="","⚠️ Enter Code",IF(IFERROR(VLOOKUP(G74,DB_Agents!$B:$I,8,0),"")=H74,IF(AND(A74&lt;&gt;"",E74&lt;&gt;""),"Saved","Pending"),"🔒 BLOCKED — Wrong Code")))</f>
        <v/>
      </c>
      <c r="J74" s="500">
        <f>IF(I74="Saved",TEXT(TODAY(),"YYYY-MM-DD")&amp;" Auto","—")</f>
        <v/>
      </c>
      <c r="K74" s="501" t="n"/>
    </row>
    <row r="75" ht="15" customHeight="1" s="341">
      <c r="A75" s="486" t="n"/>
      <c r="B75" s="378">
        <f>IF(A75="","",IFERROR(VLOOKUP(A75,DB_Customers!$A:$D,4,0),"❌ Account Not Found"))</f>
        <v/>
      </c>
      <c r="C75" s="487">
        <f>IF(A75="","",IFERROR(VLOOKUP(A75,DB_Customers!$A:$N,14,0),""))</f>
        <v/>
      </c>
      <c r="D75" s="488">
        <f>IF(A75="","",TODAY())</f>
        <v/>
      </c>
      <c r="E75" s="489" t="n"/>
      <c r="F75" s="490">
        <f>IF(OR(A75="",E75=""),"",IF(C75="","",C75+E75))</f>
        <v/>
      </c>
      <c r="G75" s="380" t="inlineStr">
        <is>
          <t>Agent 07</t>
        </is>
      </c>
      <c r="H75" s="491" t="n"/>
      <c r="I75" s="492">
        <f>IF(A75="","Pending",IF(H75="","⚠️ Enter Code",IF(IFERROR(VLOOKUP(G75,DB_Agents!$B:$I,8,0),"")=H75,IF(AND(A75&lt;&gt;"",E75&lt;&gt;""),"Saved","Pending"),"🔒 BLOCKED — Wrong Code")))</f>
        <v/>
      </c>
      <c r="J75" s="493">
        <f>IF(I75="Saved",TEXT(TODAY(),"YYYY-MM-DD")&amp;" Auto","—")</f>
        <v/>
      </c>
      <c r="K75" s="494" t="n"/>
    </row>
    <row r="76" ht="15" customHeight="1" s="341">
      <c r="A76" s="495" t="n"/>
      <c r="B76" s="382">
        <f>IF(A76="","",IFERROR(VLOOKUP(A76,DB_Customers!$A:$D,4,0),"❌ Account Not Found"))</f>
        <v/>
      </c>
      <c r="C76" s="496">
        <f>IF(A76="","",IFERROR(VLOOKUP(A76,DB_Customers!$A:$N,14,0),""))</f>
        <v/>
      </c>
      <c r="D76" s="497">
        <f>IF(A76="","",TODAY())</f>
        <v/>
      </c>
      <c r="E76" s="489" t="n"/>
      <c r="F76" s="498">
        <f>IF(OR(A76="",E76=""),"",IF(C76="","",C76+E76))</f>
        <v/>
      </c>
      <c r="G76" s="384" t="inlineStr">
        <is>
          <t>Agent 07</t>
        </is>
      </c>
      <c r="H76" s="491" t="n"/>
      <c r="I76" s="499">
        <f>IF(A76="","Pending",IF(H76="","⚠️ Enter Code",IF(IFERROR(VLOOKUP(G76,DB_Agents!$B:$I,8,0),"")=H76,IF(AND(A76&lt;&gt;"",E76&lt;&gt;""),"Saved","Pending"),"🔒 BLOCKED — Wrong Code")))</f>
        <v/>
      </c>
      <c r="J76" s="500">
        <f>IF(I76="Saved",TEXT(TODAY(),"YYYY-MM-DD")&amp;" Auto","—")</f>
        <v/>
      </c>
      <c r="K76" s="501" t="n"/>
    </row>
    <row r="77" ht="15" customHeight="1" s="341">
      <c r="A77" s="486" t="n"/>
      <c r="B77" s="378">
        <f>IF(A77="","",IFERROR(VLOOKUP(A77,DB_Customers!$A:$D,4,0),"❌ Account Not Found"))</f>
        <v/>
      </c>
      <c r="C77" s="487">
        <f>IF(A77="","",IFERROR(VLOOKUP(A77,DB_Customers!$A:$N,14,0),""))</f>
        <v/>
      </c>
      <c r="D77" s="488">
        <f>IF(A77="","",TODAY())</f>
        <v/>
      </c>
      <c r="E77" s="489" t="n"/>
      <c r="F77" s="490">
        <f>IF(OR(A77="",E77=""),"",IF(C77="","",C77+E77))</f>
        <v/>
      </c>
      <c r="G77" s="380" t="inlineStr">
        <is>
          <t>Agent 07</t>
        </is>
      </c>
      <c r="H77" s="491" t="n"/>
      <c r="I77" s="492">
        <f>IF(A77="","Pending",IF(H77="","⚠️ Enter Code",IF(IFERROR(VLOOKUP(G77,DB_Agents!$B:$I,8,0),"")=H77,IF(AND(A77&lt;&gt;"",E77&lt;&gt;""),"Saved","Pending"),"🔒 BLOCKED — Wrong Code")))</f>
        <v/>
      </c>
      <c r="J77" s="493">
        <f>IF(I77="Saved",TEXT(TODAY(),"YYYY-MM-DD")&amp;" Auto","—")</f>
        <v/>
      </c>
      <c r="K77" s="494" t="n"/>
    </row>
    <row r="78" ht="15" customHeight="1" s="341">
      <c r="A78" s="495" t="n"/>
      <c r="B78" s="382">
        <f>IF(A78="","",IFERROR(VLOOKUP(A78,DB_Customers!$A:$D,4,0),"❌ Account Not Found"))</f>
        <v/>
      </c>
      <c r="C78" s="496">
        <f>IF(A78="","",IFERROR(VLOOKUP(A78,DB_Customers!$A:$N,14,0),""))</f>
        <v/>
      </c>
      <c r="D78" s="497">
        <f>IF(A78="","",TODAY())</f>
        <v/>
      </c>
      <c r="E78" s="489" t="n"/>
      <c r="F78" s="498">
        <f>IF(OR(A78="",E78=""),"",IF(C78="","",C78+E78))</f>
        <v/>
      </c>
      <c r="G78" s="384" t="inlineStr">
        <is>
          <t>Agent 07</t>
        </is>
      </c>
      <c r="H78" s="491" t="n"/>
      <c r="I78" s="499">
        <f>IF(A78="","Pending",IF(H78="","⚠️ Enter Code",IF(IFERROR(VLOOKUP(G78,DB_Agents!$B:$I,8,0),"")=H78,IF(AND(A78&lt;&gt;"",E78&lt;&gt;""),"Saved","Pending"),"🔒 BLOCKED — Wrong Code")))</f>
        <v/>
      </c>
      <c r="J78" s="500">
        <f>IF(I78="Saved",TEXT(TODAY(),"YYYY-MM-DD")&amp;" Auto","—")</f>
        <v/>
      </c>
      <c r="K78" s="501" t="n"/>
    </row>
    <row r="79" ht="15" customHeight="1" s="341">
      <c r="A79" s="486" t="n"/>
      <c r="B79" s="378">
        <f>IF(A79="","",IFERROR(VLOOKUP(A79,DB_Customers!$A:$D,4,0),"❌ Account Not Found"))</f>
        <v/>
      </c>
      <c r="C79" s="487">
        <f>IF(A79="","",IFERROR(VLOOKUP(A79,DB_Customers!$A:$N,14,0),""))</f>
        <v/>
      </c>
      <c r="D79" s="488">
        <f>IF(A79="","",TODAY())</f>
        <v/>
      </c>
      <c r="E79" s="489" t="n"/>
      <c r="F79" s="490">
        <f>IF(OR(A79="",E79=""),"",IF(C79="","",C79+E79))</f>
        <v/>
      </c>
      <c r="G79" s="380" t="inlineStr">
        <is>
          <t>Agent 07</t>
        </is>
      </c>
      <c r="H79" s="491" t="n"/>
      <c r="I79" s="492">
        <f>IF(A79="","Pending",IF(H79="","⚠️ Enter Code",IF(IFERROR(VLOOKUP(G79,DB_Agents!$B:$I,8,0),"")=H79,IF(AND(A79&lt;&gt;"",E79&lt;&gt;""),"Saved","Pending"),"🔒 BLOCKED — Wrong Code")))</f>
        <v/>
      </c>
      <c r="J79" s="493">
        <f>IF(I79="Saved",TEXT(TODAY(),"YYYY-MM-DD")&amp;" Auto","—")</f>
        <v/>
      </c>
      <c r="K79" s="494" t="n"/>
    </row>
    <row r="80" ht="15" customHeight="1" s="341">
      <c r="A80" s="495" t="n"/>
      <c r="B80" s="382">
        <f>IF(A80="","",IFERROR(VLOOKUP(A80,DB_Customers!$A:$D,4,0),"❌ Account Not Found"))</f>
        <v/>
      </c>
      <c r="C80" s="496">
        <f>IF(A80="","",IFERROR(VLOOKUP(A80,DB_Customers!$A:$N,14,0),""))</f>
        <v/>
      </c>
      <c r="D80" s="497">
        <f>IF(A80="","",TODAY())</f>
        <v/>
      </c>
      <c r="E80" s="489" t="n"/>
      <c r="F80" s="498">
        <f>IF(OR(A80="",E80=""),"",IF(C80="","",C80+E80))</f>
        <v/>
      </c>
      <c r="G80" s="384" t="inlineStr">
        <is>
          <t>Agent 07</t>
        </is>
      </c>
      <c r="H80" s="491" t="n"/>
      <c r="I80" s="499">
        <f>IF(A80="","Pending",IF(H80="","⚠️ Enter Code",IF(IFERROR(VLOOKUP(G80,DB_Agents!$B:$I,8,0),"")=H80,IF(AND(A80&lt;&gt;"",E80&lt;&gt;""),"Saved","Pending"),"🔒 BLOCKED — Wrong Code")))</f>
        <v/>
      </c>
      <c r="J80" s="500">
        <f>IF(I80="Saved",TEXT(TODAY(),"YYYY-MM-DD")&amp;" Auto","—")</f>
        <v/>
      </c>
      <c r="K80" s="501" t="n"/>
    </row>
    <row r="81" ht="15" customHeight="1" s="341">
      <c r="A81" s="486" t="n"/>
      <c r="B81" s="378">
        <f>IF(A81="","",IFERROR(VLOOKUP(A81,DB_Customers!$A:$D,4,0),"❌ Account Not Found"))</f>
        <v/>
      </c>
      <c r="C81" s="487">
        <f>IF(A81="","",IFERROR(VLOOKUP(A81,DB_Customers!$A:$N,14,0),""))</f>
        <v/>
      </c>
      <c r="D81" s="488">
        <f>IF(A81="","",TODAY())</f>
        <v/>
      </c>
      <c r="E81" s="489" t="n"/>
      <c r="F81" s="490">
        <f>IF(OR(A81="",E81=""),"",IF(C81="","",C81+E81))</f>
        <v/>
      </c>
      <c r="G81" s="380" t="inlineStr">
        <is>
          <t>Agent 07</t>
        </is>
      </c>
      <c r="H81" s="491" t="n"/>
      <c r="I81" s="492">
        <f>IF(A81="","Pending",IF(H81="","⚠️ Enter Code",IF(IFERROR(VLOOKUP(G81,DB_Agents!$B:$I,8,0),"")=H81,IF(AND(A81&lt;&gt;"",E81&lt;&gt;""),"Saved","Pending"),"🔒 BLOCKED — Wrong Code")))</f>
        <v/>
      </c>
      <c r="J81" s="493">
        <f>IF(I81="Saved",TEXT(TODAY(),"YYYY-MM-DD")&amp;" Auto","—")</f>
        <v/>
      </c>
      <c r="K81" s="494" t="n"/>
    </row>
    <row r="82" ht="15" customHeight="1" s="341">
      <c r="A82" s="495" t="n"/>
      <c r="B82" s="382">
        <f>IF(A82="","",IFERROR(VLOOKUP(A82,DB_Customers!$A:$D,4,0),"❌ Account Not Found"))</f>
        <v/>
      </c>
      <c r="C82" s="496">
        <f>IF(A82="","",IFERROR(VLOOKUP(A82,DB_Customers!$A:$N,14,0),""))</f>
        <v/>
      </c>
      <c r="D82" s="497">
        <f>IF(A82="","",TODAY())</f>
        <v/>
      </c>
      <c r="E82" s="489" t="n"/>
      <c r="F82" s="498">
        <f>IF(OR(A82="",E82=""),"",IF(C82="","",C82+E82))</f>
        <v/>
      </c>
      <c r="G82" s="384" t="inlineStr">
        <is>
          <t>Agent 07</t>
        </is>
      </c>
      <c r="H82" s="491" t="n"/>
      <c r="I82" s="499">
        <f>IF(A82="","Pending",IF(H82="","⚠️ Enter Code",IF(IFERROR(VLOOKUP(G82,DB_Agents!$B:$I,8,0),"")=H82,IF(AND(A82&lt;&gt;"",E82&lt;&gt;""),"Saved","Pending"),"🔒 BLOCKED — Wrong Code")))</f>
        <v/>
      </c>
      <c r="J82" s="500">
        <f>IF(I82="Saved",TEXT(TODAY(),"YYYY-MM-DD")&amp;" Auto","—")</f>
        <v/>
      </c>
      <c r="K82" s="501" t="n"/>
    </row>
    <row r="83" ht="15" customHeight="1" s="341">
      <c r="A83" s="486" t="n"/>
      <c r="B83" s="378">
        <f>IF(A83="","",IFERROR(VLOOKUP(A83,DB_Customers!$A:$D,4,0),"❌ Account Not Found"))</f>
        <v/>
      </c>
      <c r="C83" s="487">
        <f>IF(A83="","",IFERROR(VLOOKUP(A83,DB_Customers!$A:$N,14,0),""))</f>
        <v/>
      </c>
      <c r="D83" s="488">
        <f>IF(A83="","",TODAY())</f>
        <v/>
      </c>
      <c r="E83" s="489" t="n"/>
      <c r="F83" s="490">
        <f>IF(OR(A83="",E83=""),"",IF(C83="","",C83+E83))</f>
        <v/>
      </c>
      <c r="G83" s="380" t="inlineStr">
        <is>
          <t>Agent 07</t>
        </is>
      </c>
      <c r="H83" s="491" t="n"/>
      <c r="I83" s="492">
        <f>IF(A83="","Pending",IF(H83="","⚠️ Enter Code",IF(IFERROR(VLOOKUP(G83,DB_Agents!$B:$I,8,0),"")=H83,IF(AND(A83&lt;&gt;"",E83&lt;&gt;""),"Saved","Pending"),"🔒 BLOCKED — Wrong Code")))</f>
        <v/>
      </c>
      <c r="J83" s="493">
        <f>IF(I83="Saved",TEXT(TODAY(),"YYYY-MM-DD")&amp;" Auto","—")</f>
        <v/>
      </c>
      <c r="K83" s="494" t="n"/>
    </row>
    <row r="84" ht="15" customHeight="1" s="341">
      <c r="A84" s="495" t="n"/>
      <c r="B84" s="382">
        <f>IF(A84="","",IFERROR(VLOOKUP(A84,DB_Customers!$A:$D,4,0),"❌ Account Not Found"))</f>
        <v/>
      </c>
      <c r="C84" s="496">
        <f>IF(A84="","",IFERROR(VLOOKUP(A84,DB_Customers!$A:$N,14,0),""))</f>
        <v/>
      </c>
      <c r="D84" s="497">
        <f>IF(A84="","",TODAY())</f>
        <v/>
      </c>
      <c r="E84" s="489" t="n"/>
      <c r="F84" s="498">
        <f>IF(OR(A84="",E84=""),"",IF(C84="","",C84+E84))</f>
        <v/>
      </c>
      <c r="G84" s="384" t="inlineStr">
        <is>
          <t>Agent 07</t>
        </is>
      </c>
      <c r="H84" s="491" t="n"/>
      <c r="I84" s="499">
        <f>IF(A84="","Pending",IF(H84="","⚠️ Enter Code",IF(IFERROR(VLOOKUP(G84,DB_Agents!$B:$I,8,0),"")=H84,IF(AND(A84&lt;&gt;"",E84&lt;&gt;""),"Saved","Pending"),"🔒 BLOCKED — Wrong Code")))</f>
        <v/>
      </c>
      <c r="J84" s="500">
        <f>IF(I84="Saved",TEXT(TODAY(),"YYYY-MM-DD")&amp;" Auto","—")</f>
        <v/>
      </c>
      <c r="K84" s="501" t="n"/>
    </row>
    <row r="85" ht="15" customHeight="1" s="341">
      <c r="A85" s="486" t="n"/>
      <c r="B85" s="378">
        <f>IF(A85="","",IFERROR(VLOOKUP(A85,DB_Customers!$A:$D,4,0),"❌ Account Not Found"))</f>
        <v/>
      </c>
      <c r="C85" s="487">
        <f>IF(A85="","",IFERROR(VLOOKUP(A85,DB_Customers!$A:$N,14,0),""))</f>
        <v/>
      </c>
      <c r="D85" s="488">
        <f>IF(A85="","",TODAY())</f>
        <v/>
      </c>
      <c r="E85" s="489" t="n"/>
      <c r="F85" s="490">
        <f>IF(OR(A85="",E85=""),"",IF(C85="","",C85+E85))</f>
        <v/>
      </c>
      <c r="G85" s="380" t="inlineStr">
        <is>
          <t>Agent 07</t>
        </is>
      </c>
      <c r="H85" s="491" t="n"/>
      <c r="I85" s="492">
        <f>IF(A85="","Pending",IF(H85="","⚠️ Enter Code",IF(IFERROR(VLOOKUP(G85,DB_Agents!$B:$I,8,0),"")=H85,IF(AND(A85&lt;&gt;"",E85&lt;&gt;""),"Saved","Pending"),"🔒 BLOCKED — Wrong Code")))</f>
        <v/>
      </c>
      <c r="J85" s="493">
        <f>IF(I85="Saved",TEXT(TODAY(),"YYYY-MM-DD")&amp;" Auto","—")</f>
        <v/>
      </c>
      <c r="K85" s="494" t="n"/>
    </row>
    <row r="86" ht="15" customHeight="1" s="341">
      <c r="A86" s="495" t="n"/>
      <c r="B86" s="382">
        <f>IF(A86="","",IFERROR(VLOOKUP(A86,DB_Customers!$A:$D,4,0),"❌ Account Not Found"))</f>
        <v/>
      </c>
      <c r="C86" s="496">
        <f>IF(A86="","",IFERROR(VLOOKUP(A86,DB_Customers!$A:$N,14,0),""))</f>
        <v/>
      </c>
      <c r="D86" s="497">
        <f>IF(A86="","",TODAY())</f>
        <v/>
      </c>
      <c r="E86" s="489" t="n"/>
      <c r="F86" s="498">
        <f>IF(OR(A86="",E86=""),"",IF(C86="","",C86+E86))</f>
        <v/>
      </c>
      <c r="G86" s="384" t="inlineStr">
        <is>
          <t>Agent 07</t>
        </is>
      </c>
      <c r="H86" s="491" t="n"/>
      <c r="I86" s="499">
        <f>IF(A86="","Pending",IF(H86="","⚠️ Enter Code",IF(IFERROR(VLOOKUP(G86,DB_Agents!$B:$I,8,0),"")=H86,IF(AND(A86&lt;&gt;"",E86&lt;&gt;""),"Saved","Pending"),"🔒 BLOCKED — Wrong Code")))</f>
        <v/>
      </c>
      <c r="J86" s="500">
        <f>IF(I86="Saved",TEXT(TODAY(),"YYYY-MM-DD")&amp;" Auto","—")</f>
        <v/>
      </c>
      <c r="K86" s="501" t="n"/>
    </row>
    <row r="87" ht="15" customHeight="1" s="341">
      <c r="A87" s="486" t="n"/>
      <c r="B87" s="378">
        <f>IF(A87="","",IFERROR(VLOOKUP(A87,DB_Customers!$A:$D,4,0),"❌ Account Not Found"))</f>
        <v/>
      </c>
      <c r="C87" s="487">
        <f>IF(A87="","",IFERROR(VLOOKUP(A87,DB_Customers!$A:$N,14,0),""))</f>
        <v/>
      </c>
      <c r="D87" s="488">
        <f>IF(A87="","",TODAY())</f>
        <v/>
      </c>
      <c r="E87" s="489" t="n"/>
      <c r="F87" s="490">
        <f>IF(OR(A87="",E87=""),"",IF(C87="","",C87+E87))</f>
        <v/>
      </c>
      <c r="G87" s="380" t="inlineStr">
        <is>
          <t>Agent 07</t>
        </is>
      </c>
      <c r="H87" s="491" t="n"/>
      <c r="I87" s="492">
        <f>IF(A87="","Pending",IF(H87="","⚠️ Enter Code",IF(IFERROR(VLOOKUP(G87,DB_Agents!$B:$I,8,0),"")=H87,IF(AND(A87&lt;&gt;"",E87&lt;&gt;""),"Saved","Pending"),"🔒 BLOCKED — Wrong Code")))</f>
        <v/>
      </c>
      <c r="J87" s="493">
        <f>IF(I87="Saved",TEXT(TODAY(),"YYYY-MM-DD")&amp;" Auto","—")</f>
        <v/>
      </c>
      <c r="K87" s="494" t="n"/>
    </row>
    <row r="88" ht="15" customHeight="1" s="341">
      <c r="A88" s="495" t="n"/>
      <c r="B88" s="382">
        <f>IF(A88="","",IFERROR(VLOOKUP(A88,DB_Customers!$A:$D,4,0),"❌ Account Not Found"))</f>
        <v/>
      </c>
      <c r="C88" s="496">
        <f>IF(A88="","",IFERROR(VLOOKUP(A88,DB_Customers!$A:$N,14,0),""))</f>
        <v/>
      </c>
      <c r="D88" s="497">
        <f>IF(A88="","",TODAY())</f>
        <v/>
      </c>
      <c r="E88" s="489" t="n"/>
      <c r="F88" s="498">
        <f>IF(OR(A88="",E88=""),"",IF(C88="","",C88+E88))</f>
        <v/>
      </c>
      <c r="G88" s="384" t="inlineStr">
        <is>
          <t>Agent 07</t>
        </is>
      </c>
      <c r="H88" s="491" t="n"/>
      <c r="I88" s="499">
        <f>IF(A88="","Pending",IF(H88="","⚠️ Enter Code",IF(IFERROR(VLOOKUP(G88,DB_Agents!$B:$I,8,0),"")=H88,IF(AND(A88&lt;&gt;"",E88&lt;&gt;""),"Saved","Pending"),"🔒 BLOCKED — Wrong Code")))</f>
        <v/>
      </c>
      <c r="J88" s="500">
        <f>IF(I88="Saved",TEXT(TODAY(),"YYYY-MM-DD")&amp;" Auto","—")</f>
        <v/>
      </c>
      <c r="K88" s="501" t="n"/>
    </row>
    <row r="89" ht="15" customHeight="1" s="341">
      <c r="A89" s="486" t="n"/>
      <c r="B89" s="378">
        <f>IF(A89="","",IFERROR(VLOOKUP(A89,DB_Customers!$A:$D,4,0),"❌ Account Not Found"))</f>
        <v/>
      </c>
      <c r="C89" s="487">
        <f>IF(A89="","",IFERROR(VLOOKUP(A89,DB_Customers!$A:$N,14,0),""))</f>
        <v/>
      </c>
      <c r="D89" s="488">
        <f>IF(A89="","",TODAY())</f>
        <v/>
      </c>
      <c r="E89" s="489" t="n"/>
      <c r="F89" s="490">
        <f>IF(OR(A89="",E89=""),"",IF(C89="","",C89+E89))</f>
        <v/>
      </c>
      <c r="G89" s="380" t="inlineStr">
        <is>
          <t>Agent 07</t>
        </is>
      </c>
      <c r="H89" s="491" t="n"/>
      <c r="I89" s="492">
        <f>IF(A89="","Pending",IF(H89="","⚠️ Enter Code",IF(IFERROR(VLOOKUP(G89,DB_Agents!$B:$I,8,0),"")=H89,IF(AND(A89&lt;&gt;"",E89&lt;&gt;""),"Saved","Pending"),"🔒 BLOCKED — Wrong Code")))</f>
        <v/>
      </c>
      <c r="J89" s="493">
        <f>IF(I89="Saved",TEXT(TODAY(),"YYYY-MM-DD")&amp;" Auto","—")</f>
        <v/>
      </c>
      <c r="K89" s="494" t="n"/>
    </row>
    <row r="90" ht="15" customHeight="1" s="341">
      <c r="A90" s="495" t="n"/>
      <c r="B90" s="382">
        <f>IF(A90="","",IFERROR(VLOOKUP(A90,DB_Customers!$A:$D,4,0),"❌ Account Not Found"))</f>
        <v/>
      </c>
      <c r="C90" s="496">
        <f>IF(A90="","",IFERROR(VLOOKUP(A90,DB_Customers!$A:$N,14,0),""))</f>
        <v/>
      </c>
      <c r="D90" s="497">
        <f>IF(A90="","",TODAY())</f>
        <v/>
      </c>
      <c r="E90" s="489" t="n"/>
      <c r="F90" s="498">
        <f>IF(OR(A90="",E90=""),"",IF(C90="","",C90+E90))</f>
        <v/>
      </c>
      <c r="G90" s="384" t="inlineStr">
        <is>
          <t>Agent 07</t>
        </is>
      </c>
      <c r="H90" s="491" t="n"/>
      <c r="I90" s="499">
        <f>IF(A90="","Pending",IF(H90="","⚠️ Enter Code",IF(IFERROR(VLOOKUP(G90,DB_Agents!$B:$I,8,0),"")=H90,IF(AND(A90&lt;&gt;"",E90&lt;&gt;""),"Saved","Pending"),"🔒 BLOCKED — Wrong Code")))</f>
        <v/>
      </c>
      <c r="J90" s="500">
        <f>IF(I90="Saved",TEXT(TODAY(),"YYYY-MM-DD")&amp;" Auto","—")</f>
        <v/>
      </c>
      <c r="K90" s="501" t="n"/>
    </row>
    <row r="91" ht="15" customHeight="1" s="341">
      <c r="A91" s="486" t="n"/>
      <c r="B91" s="378">
        <f>IF(A91="","",IFERROR(VLOOKUP(A91,DB_Customers!$A:$D,4,0),"❌ Account Not Found"))</f>
        <v/>
      </c>
      <c r="C91" s="487">
        <f>IF(A91="","",IFERROR(VLOOKUP(A91,DB_Customers!$A:$N,14,0),""))</f>
        <v/>
      </c>
      <c r="D91" s="488">
        <f>IF(A91="","",TODAY())</f>
        <v/>
      </c>
      <c r="E91" s="489" t="n"/>
      <c r="F91" s="490">
        <f>IF(OR(A91="",E91=""),"",IF(C91="","",C91+E91))</f>
        <v/>
      </c>
      <c r="G91" s="380" t="inlineStr">
        <is>
          <t>Agent 07</t>
        </is>
      </c>
      <c r="H91" s="491" t="n"/>
      <c r="I91" s="492">
        <f>IF(A91="","Pending",IF(H91="","⚠️ Enter Code",IF(IFERROR(VLOOKUP(G91,DB_Agents!$B:$I,8,0),"")=H91,IF(AND(A91&lt;&gt;"",E91&lt;&gt;""),"Saved","Pending"),"🔒 BLOCKED — Wrong Code")))</f>
        <v/>
      </c>
      <c r="J91" s="493">
        <f>IF(I91="Saved",TEXT(TODAY(),"YYYY-MM-DD")&amp;" Auto","—")</f>
        <v/>
      </c>
      <c r="K91" s="494" t="n"/>
    </row>
    <row r="92" ht="15" customHeight="1" s="341">
      <c r="A92" s="495" t="n"/>
      <c r="B92" s="382">
        <f>IF(A92="","",IFERROR(VLOOKUP(A92,DB_Customers!$A:$D,4,0),"❌ Account Not Found"))</f>
        <v/>
      </c>
      <c r="C92" s="496">
        <f>IF(A92="","",IFERROR(VLOOKUP(A92,DB_Customers!$A:$N,14,0),""))</f>
        <v/>
      </c>
      <c r="D92" s="497">
        <f>IF(A92="","",TODAY())</f>
        <v/>
      </c>
      <c r="E92" s="489" t="n"/>
      <c r="F92" s="498">
        <f>IF(OR(A92="",E92=""),"",IF(C92="","",C92+E92))</f>
        <v/>
      </c>
      <c r="G92" s="384" t="inlineStr">
        <is>
          <t>Agent 07</t>
        </is>
      </c>
      <c r="H92" s="491" t="n"/>
      <c r="I92" s="499">
        <f>IF(A92="","Pending",IF(H92="","⚠️ Enter Code",IF(IFERROR(VLOOKUP(G92,DB_Agents!$B:$I,8,0),"")=H92,IF(AND(A92&lt;&gt;"",E92&lt;&gt;""),"Saved","Pending"),"🔒 BLOCKED — Wrong Code")))</f>
        <v/>
      </c>
      <c r="J92" s="500">
        <f>IF(I92="Saved",TEXT(TODAY(),"YYYY-MM-DD")&amp;" Auto","—")</f>
        <v/>
      </c>
      <c r="K92" s="501" t="n"/>
    </row>
    <row r="93" ht="15" customHeight="1" s="341">
      <c r="A93" s="486" t="n"/>
      <c r="B93" s="378">
        <f>IF(A93="","",IFERROR(VLOOKUP(A93,DB_Customers!$A:$D,4,0),"❌ Account Not Found"))</f>
        <v/>
      </c>
      <c r="C93" s="487">
        <f>IF(A93="","",IFERROR(VLOOKUP(A93,DB_Customers!$A:$N,14,0),""))</f>
        <v/>
      </c>
      <c r="D93" s="488">
        <f>IF(A93="","",TODAY())</f>
        <v/>
      </c>
      <c r="E93" s="489" t="n"/>
      <c r="F93" s="490">
        <f>IF(OR(A93="",E93=""),"",IF(C93="","",C93+E93))</f>
        <v/>
      </c>
      <c r="G93" s="380" t="inlineStr">
        <is>
          <t>Agent 07</t>
        </is>
      </c>
      <c r="H93" s="491" t="n"/>
      <c r="I93" s="492">
        <f>IF(A93="","Pending",IF(H93="","⚠️ Enter Code",IF(IFERROR(VLOOKUP(G93,DB_Agents!$B:$I,8,0),"")=H93,IF(AND(A93&lt;&gt;"",E93&lt;&gt;""),"Saved","Pending"),"🔒 BLOCKED — Wrong Code")))</f>
        <v/>
      </c>
      <c r="J93" s="493">
        <f>IF(I93="Saved",TEXT(TODAY(),"YYYY-MM-DD")&amp;" Auto","—")</f>
        <v/>
      </c>
      <c r="K93" s="494" t="n"/>
    </row>
    <row r="94" ht="15" customHeight="1" s="341">
      <c r="A94" s="495" t="n"/>
      <c r="B94" s="382">
        <f>IF(A94="","",IFERROR(VLOOKUP(A94,DB_Customers!$A:$D,4,0),"❌ Account Not Found"))</f>
        <v/>
      </c>
      <c r="C94" s="496">
        <f>IF(A94="","",IFERROR(VLOOKUP(A94,DB_Customers!$A:$N,14,0),""))</f>
        <v/>
      </c>
      <c r="D94" s="497">
        <f>IF(A94="","",TODAY())</f>
        <v/>
      </c>
      <c r="E94" s="489" t="n"/>
      <c r="F94" s="498">
        <f>IF(OR(A94="",E94=""),"",IF(C94="","",C94+E94))</f>
        <v/>
      </c>
      <c r="G94" s="384" t="inlineStr">
        <is>
          <t>Agent 07</t>
        </is>
      </c>
      <c r="H94" s="491" t="n"/>
      <c r="I94" s="499">
        <f>IF(A94="","Pending",IF(H94="","⚠️ Enter Code",IF(IFERROR(VLOOKUP(G94,DB_Agents!$B:$I,8,0),"")=H94,IF(AND(A94&lt;&gt;"",E94&lt;&gt;""),"Saved","Pending"),"🔒 BLOCKED — Wrong Code")))</f>
        <v/>
      </c>
      <c r="J94" s="500">
        <f>IF(I94="Saved",TEXT(TODAY(),"YYYY-MM-DD")&amp;" Auto","—")</f>
        <v/>
      </c>
      <c r="K94" s="501" t="n"/>
    </row>
    <row r="95" ht="15" customHeight="1" s="341">
      <c r="A95" s="486" t="n"/>
      <c r="B95" s="378">
        <f>IF(A95="","",IFERROR(VLOOKUP(A95,DB_Customers!$A:$D,4,0),"❌ Account Not Found"))</f>
        <v/>
      </c>
      <c r="C95" s="487">
        <f>IF(A95="","",IFERROR(VLOOKUP(A95,DB_Customers!$A:$N,14,0),""))</f>
        <v/>
      </c>
      <c r="D95" s="488">
        <f>IF(A95="","",TODAY())</f>
        <v/>
      </c>
      <c r="E95" s="489" t="n"/>
      <c r="F95" s="490">
        <f>IF(OR(A95="",E95=""),"",IF(C95="","",C95+E95))</f>
        <v/>
      </c>
      <c r="G95" s="380" t="inlineStr">
        <is>
          <t>Agent 07</t>
        </is>
      </c>
      <c r="H95" s="491" t="n"/>
      <c r="I95" s="492">
        <f>IF(A95="","Pending",IF(H95="","⚠️ Enter Code",IF(IFERROR(VLOOKUP(G95,DB_Agents!$B:$I,8,0),"")=H95,IF(AND(A95&lt;&gt;"",E95&lt;&gt;""),"Saved","Pending"),"🔒 BLOCKED — Wrong Code")))</f>
        <v/>
      </c>
      <c r="J95" s="493">
        <f>IF(I95="Saved",TEXT(TODAY(),"YYYY-MM-DD")&amp;" Auto","—")</f>
        <v/>
      </c>
      <c r="K95" s="494" t="n"/>
    </row>
    <row r="96" ht="15" customHeight="1" s="341">
      <c r="A96" s="495" t="n"/>
      <c r="B96" s="382">
        <f>IF(A96="","",IFERROR(VLOOKUP(A96,DB_Customers!$A:$D,4,0),"❌ Account Not Found"))</f>
        <v/>
      </c>
      <c r="C96" s="496">
        <f>IF(A96="","",IFERROR(VLOOKUP(A96,DB_Customers!$A:$N,14,0),""))</f>
        <v/>
      </c>
      <c r="D96" s="497">
        <f>IF(A96="","",TODAY())</f>
        <v/>
      </c>
      <c r="E96" s="489" t="n"/>
      <c r="F96" s="498">
        <f>IF(OR(A96="",E96=""),"",IF(C96="","",C96+E96))</f>
        <v/>
      </c>
      <c r="G96" s="384" t="inlineStr">
        <is>
          <t>Agent 07</t>
        </is>
      </c>
      <c r="H96" s="491" t="n"/>
      <c r="I96" s="499">
        <f>IF(A96="","Pending",IF(H96="","⚠️ Enter Code",IF(IFERROR(VLOOKUP(G96,DB_Agents!$B:$I,8,0),"")=H96,IF(AND(A96&lt;&gt;"",E96&lt;&gt;""),"Saved","Pending"),"🔒 BLOCKED — Wrong Code")))</f>
        <v/>
      </c>
      <c r="J96" s="500">
        <f>IF(I96="Saved",TEXT(TODAY(),"YYYY-MM-DD")&amp;" Auto","—")</f>
        <v/>
      </c>
      <c r="K96" s="501" t="n"/>
    </row>
    <row r="97" ht="15" customHeight="1" s="341">
      <c r="A97" s="486" t="n"/>
      <c r="B97" s="378">
        <f>IF(A97="","",IFERROR(VLOOKUP(A97,DB_Customers!$A:$D,4,0),"❌ Account Not Found"))</f>
        <v/>
      </c>
      <c r="C97" s="487">
        <f>IF(A97="","",IFERROR(VLOOKUP(A97,DB_Customers!$A:$N,14,0),""))</f>
        <v/>
      </c>
      <c r="D97" s="488">
        <f>IF(A97="","",TODAY())</f>
        <v/>
      </c>
      <c r="E97" s="489" t="n"/>
      <c r="F97" s="490">
        <f>IF(OR(A97="",E97=""),"",IF(C97="","",C97+E97))</f>
        <v/>
      </c>
      <c r="G97" s="380" t="inlineStr">
        <is>
          <t>Agent 07</t>
        </is>
      </c>
      <c r="H97" s="491" t="n"/>
      <c r="I97" s="492">
        <f>IF(A97="","Pending",IF(H97="","⚠️ Enter Code",IF(IFERROR(VLOOKUP(G97,DB_Agents!$B:$I,8,0),"")=H97,IF(AND(A97&lt;&gt;"",E97&lt;&gt;""),"Saved","Pending"),"🔒 BLOCKED — Wrong Code")))</f>
        <v/>
      </c>
      <c r="J97" s="493">
        <f>IF(I97="Saved",TEXT(TODAY(),"YYYY-MM-DD")&amp;" Auto","—")</f>
        <v/>
      </c>
      <c r="K97" s="494" t="n"/>
    </row>
    <row r="98" ht="15" customHeight="1" s="341">
      <c r="A98" s="495" t="n"/>
      <c r="B98" s="382">
        <f>IF(A98="","",IFERROR(VLOOKUP(A98,DB_Customers!$A:$D,4,0),"❌ Account Not Found"))</f>
        <v/>
      </c>
      <c r="C98" s="496">
        <f>IF(A98="","",IFERROR(VLOOKUP(A98,DB_Customers!$A:$N,14,0),""))</f>
        <v/>
      </c>
      <c r="D98" s="497">
        <f>IF(A98="","",TODAY())</f>
        <v/>
      </c>
      <c r="E98" s="489" t="n"/>
      <c r="F98" s="498">
        <f>IF(OR(A98="",E98=""),"",IF(C98="","",C98+E98))</f>
        <v/>
      </c>
      <c r="G98" s="384" t="inlineStr">
        <is>
          <t>Agent 07</t>
        </is>
      </c>
      <c r="H98" s="491" t="n"/>
      <c r="I98" s="499">
        <f>IF(A98="","Pending",IF(H98="","⚠️ Enter Code",IF(IFERROR(VLOOKUP(G98,DB_Agents!$B:$I,8,0),"")=H98,IF(AND(A98&lt;&gt;"",E98&lt;&gt;""),"Saved","Pending"),"🔒 BLOCKED — Wrong Code")))</f>
        <v/>
      </c>
      <c r="J98" s="500">
        <f>IF(I98="Saved",TEXT(TODAY(),"YYYY-MM-DD")&amp;" Auto","—")</f>
        <v/>
      </c>
      <c r="K98" s="501" t="n"/>
    </row>
    <row r="99" ht="15" customHeight="1" s="341">
      <c r="A99" s="486" t="n"/>
      <c r="B99" s="378">
        <f>IF(A99="","",IFERROR(VLOOKUP(A99,DB_Customers!$A:$D,4,0),"❌ Account Not Found"))</f>
        <v/>
      </c>
      <c r="C99" s="487">
        <f>IF(A99="","",IFERROR(VLOOKUP(A99,DB_Customers!$A:$N,14,0),""))</f>
        <v/>
      </c>
      <c r="D99" s="488">
        <f>IF(A99="","",TODAY())</f>
        <v/>
      </c>
      <c r="E99" s="489" t="n"/>
      <c r="F99" s="490">
        <f>IF(OR(A99="",E99=""),"",IF(C99="","",C99+E99))</f>
        <v/>
      </c>
      <c r="G99" s="380" t="inlineStr">
        <is>
          <t>Agent 07</t>
        </is>
      </c>
      <c r="H99" s="491" t="n"/>
      <c r="I99" s="492">
        <f>IF(A99="","Pending",IF(H99="","⚠️ Enter Code",IF(IFERROR(VLOOKUP(G99,DB_Agents!$B:$I,8,0),"")=H99,IF(AND(A99&lt;&gt;"",E99&lt;&gt;""),"Saved","Pending"),"🔒 BLOCKED — Wrong Code")))</f>
        <v/>
      </c>
      <c r="J99" s="493">
        <f>IF(I99="Saved",TEXT(TODAY(),"YYYY-MM-DD")&amp;" Auto","—")</f>
        <v/>
      </c>
      <c r="K99" s="494" t="n"/>
    </row>
    <row r="100" ht="15" customHeight="1" s="341">
      <c r="A100" s="495" t="n"/>
      <c r="B100" s="382">
        <f>IF(A100="","",IFERROR(VLOOKUP(A100,DB_Customers!$A:$D,4,0),"❌ Account Not Found"))</f>
        <v/>
      </c>
      <c r="C100" s="496">
        <f>IF(A100="","",IFERROR(VLOOKUP(A100,DB_Customers!$A:$N,14,0),""))</f>
        <v/>
      </c>
      <c r="D100" s="497">
        <f>IF(A100="","",TODAY())</f>
        <v/>
      </c>
      <c r="E100" s="489" t="n"/>
      <c r="F100" s="498">
        <f>IF(OR(A100="",E100=""),"",IF(C100="","",C100+E100))</f>
        <v/>
      </c>
      <c r="G100" s="384" t="inlineStr">
        <is>
          <t>Agent 07</t>
        </is>
      </c>
      <c r="H100" s="491" t="n"/>
      <c r="I100" s="499">
        <f>IF(A100="","Pending",IF(H100="","⚠️ Enter Code",IF(IFERROR(VLOOKUP(G100,DB_Agents!$B:$I,8,0),"")=H100,IF(AND(A100&lt;&gt;"",E100&lt;&gt;""),"Saved","Pending"),"🔒 BLOCKED — Wrong Code")))</f>
        <v/>
      </c>
      <c r="J100" s="500">
        <f>IF(I100="Saved",TEXT(TODAY(),"YYYY-MM-DD")&amp;" Auto","—")</f>
        <v/>
      </c>
      <c r="K100" s="501" t="n"/>
    </row>
    <row r="101" ht="15" customHeight="1" s="341">
      <c r="A101" s="486" t="n"/>
      <c r="B101" s="378">
        <f>IF(A101="","",IFERROR(VLOOKUP(A101,DB_Customers!$A:$D,4,0),"❌ Account Not Found"))</f>
        <v/>
      </c>
      <c r="C101" s="487">
        <f>IF(A101="","",IFERROR(VLOOKUP(A101,DB_Customers!$A:$N,14,0),""))</f>
        <v/>
      </c>
      <c r="D101" s="488">
        <f>IF(A101="","",TODAY())</f>
        <v/>
      </c>
      <c r="E101" s="489" t="n"/>
      <c r="F101" s="490">
        <f>IF(OR(A101="",E101=""),"",IF(C101="","",C101+E101))</f>
        <v/>
      </c>
      <c r="G101" s="380" t="inlineStr">
        <is>
          <t>Agent 07</t>
        </is>
      </c>
      <c r="H101" s="491" t="n"/>
      <c r="I101" s="492">
        <f>IF(A101="","Pending",IF(H101="","⚠️ Enter Code",IF(IFERROR(VLOOKUP(G101,DB_Agents!$B:$I,8,0),"")=H101,IF(AND(A101&lt;&gt;"",E101&lt;&gt;""),"Saved","Pending"),"🔒 BLOCKED — Wrong Code")))</f>
        <v/>
      </c>
      <c r="J101" s="493">
        <f>IF(I101="Saved",TEXT(TODAY(),"YYYY-MM-DD")&amp;" Auto","—")</f>
        <v/>
      </c>
      <c r="K101" s="494" t="n"/>
    </row>
    <row r="102" ht="15" customHeight="1" s="341">
      <c r="A102" s="495" t="n"/>
      <c r="B102" s="382">
        <f>IF(A102="","",IFERROR(VLOOKUP(A102,DB_Customers!$A:$D,4,0),"❌ Account Not Found"))</f>
        <v/>
      </c>
      <c r="C102" s="496">
        <f>IF(A102="","",IFERROR(VLOOKUP(A102,DB_Customers!$A:$N,14,0),""))</f>
        <v/>
      </c>
      <c r="D102" s="497">
        <f>IF(A102="","",TODAY())</f>
        <v/>
      </c>
      <c r="E102" s="489" t="n"/>
      <c r="F102" s="498">
        <f>IF(OR(A102="",E102=""),"",IF(C102="","",C102+E102))</f>
        <v/>
      </c>
      <c r="G102" s="384" t="inlineStr">
        <is>
          <t>Agent 07</t>
        </is>
      </c>
      <c r="H102" s="491" t="n"/>
      <c r="I102" s="499">
        <f>IF(A102="","Pending",IF(H102="","⚠️ Enter Code",IF(IFERROR(VLOOKUP(G102,DB_Agents!$B:$I,8,0),"")=H102,IF(AND(A102&lt;&gt;"",E102&lt;&gt;""),"Saved","Pending"),"🔒 BLOCKED — Wrong Code")))</f>
        <v/>
      </c>
      <c r="J102" s="500">
        <f>IF(I102="Saved",TEXT(TODAY(),"YYYY-MM-DD")&amp;" Auto","—")</f>
        <v/>
      </c>
      <c r="K102" s="501" t="n"/>
    </row>
    <row r="103" ht="15" customHeight="1" s="341">
      <c r="A103" s="486" t="n"/>
      <c r="B103" s="378">
        <f>IF(A103="","",IFERROR(VLOOKUP(A103,DB_Customers!$A:$D,4,0),"❌ Account Not Found"))</f>
        <v/>
      </c>
      <c r="C103" s="487">
        <f>IF(A103="","",IFERROR(VLOOKUP(A103,DB_Customers!$A:$N,14,0),""))</f>
        <v/>
      </c>
      <c r="D103" s="488">
        <f>IF(A103="","",TODAY())</f>
        <v/>
      </c>
      <c r="E103" s="489" t="n"/>
      <c r="F103" s="490">
        <f>IF(OR(A103="",E103=""),"",IF(C103="","",C103+E103))</f>
        <v/>
      </c>
      <c r="G103" s="380" t="inlineStr">
        <is>
          <t>Agent 07</t>
        </is>
      </c>
      <c r="H103" s="491" t="n"/>
      <c r="I103" s="492">
        <f>IF(A103="","Pending",IF(H103="","⚠️ Enter Code",IF(IFERROR(VLOOKUP(G103,DB_Agents!$B:$I,8,0),"")=H103,IF(AND(A103&lt;&gt;"",E103&lt;&gt;""),"Saved","Pending"),"🔒 BLOCKED — Wrong Code")))</f>
        <v/>
      </c>
      <c r="J103" s="493">
        <f>IF(I103="Saved",TEXT(TODAY(),"YYYY-MM-DD")&amp;" Auto","—")</f>
        <v/>
      </c>
      <c r="K103" s="494" t="n"/>
    </row>
    <row r="104" ht="15" customHeight="1" s="341">
      <c r="A104" s="495" t="n"/>
      <c r="B104" s="382">
        <f>IF(A104="","",IFERROR(VLOOKUP(A104,DB_Customers!$A:$D,4,0),"❌ Account Not Found"))</f>
        <v/>
      </c>
      <c r="C104" s="496">
        <f>IF(A104="","",IFERROR(VLOOKUP(A104,DB_Customers!$A:$N,14,0),""))</f>
        <v/>
      </c>
      <c r="D104" s="497">
        <f>IF(A104="","",TODAY())</f>
        <v/>
      </c>
      <c r="E104" s="489" t="n"/>
      <c r="F104" s="498">
        <f>IF(OR(A104="",E104=""),"",IF(C104="","",C104+E104))</f>
        <v/>
      </c>
      <c r="G104" s="384" t="inlineStr">
        <is>
          <t>Agent 07</t>
        </is>
      </c>
      <c r="H104" s="491" t="n"/>
      <c r="I104" s="499">
        <f>IF(A104="","Pending",IF(H104="","⚠️ Enter Code",IF(IFERROR(VLOOKUP(G104,DB_Agents!$B:$I,8,0),"")=H104,IF(AND(A104&lt;&gt;"",E104&lt;&gt;""),"Saved","Pending"),"🔒 BLOCKED — Wrong Code")))</f>
        <v/>
      </c>
      <c r="J104" s="500">
        <f>IF(I104="Saved",TEXT(TODAY(),"YYYY-MM-DD")&amp;" Auto","—")</f>
        <v/>
      </c>
      <c r="K104" s="501" t="n"/>
    </row>
    <row r="105" ht="15" customHeight="1" s="341">
      <c r="A105" s="486" t="n"/>
      <c r="B105" s="378">
        <f>IF(A105="","",IFERROR(VLOOKUP(A105,DB_Customers!$A:$D,4,0),"❌ Account Not Found"))</f>
        <v/>
      </c>
      <c r="C105" s="487">
        <f>IF(A105="","",IFERROR(VLOOKUP(A105,DB_Customers!$A:$N,14,0),""))</f>
        <v/>
      </c>
      <c r="D105" s="488">
        <f>IF(A105="","",TODAY())</f>
        <v/>
      </c>
      <c r="E105" s="489" t="n"/>
      <c r="F105" s="490">
        <f>IF(OR(A105="",E105=""),"",IF(C105="","",C105+E105))</f>
        <v/>
      </c>
      <c r="G105" s="380" t="inlineStr">
        <is>
          <t>Agent 07</t>
        </is>
      </c>
      <c r="H105" s="491" t="n"/>
      <c r="I105" s="492">
        <f>IF(A105="","Pending",IF(H105="","⚠️ Enter Code",IF(IFERROR(VLOOKUP(G105,DB_Agents!$B:$I,8,0),"")=H105,IF(AND(A105&lt;&gt;"",E105&lt;&gt;""),"Saved","Pending"),"🔒 BLOCKED — Wrong Code")))</f>
        <v/>
      </c>
      <c r="J105" s="493">
        <f>IF(I105="Saved",TEXT(TODAY(),"YYYY-MM-DD")&amp;" Auto","—")</f>
        <v/>
      </c>
      <c r="K105" s="494" t="n"/>
    </row>
    <row r="106" ht="15" customHeight="1" s="341">
      <c r="A106" s="495" t="n"/>
      <c r="B106" s="382">
        <f>IF(A106="","",IFERROR(VLOOKUP(A106,DB_Customers!$A:$D,4,0),"❌ Account Not Found"))</f>
        <v/>
      </c>
      <c r="C106" s="496">
        <f>IF(A106="","",IFERROR(VLOOKUP(A106,DB_Customers!$A:$N,14,0),""))</f>
        <v/>
      </c>
      <c r="D106" s="497">
        <f>IF(A106="","",TODAY())</f>
        <v/>
      </c>
      <c r="E106" s="489" t="n"/>
      <c r="F106" s="498">
        <f>IF(OR(A106="",E106=""),"",IF(C106="","",C106+E106))</f>
        <v/>
      </c>
      <c r="G106" s="384" t="inlineStr">
        <is>
          <t>Agent 07</t>
        </is>
      </c>
      <c r="H106" s="491" t="n"/>
      <c r="I106" s="499">
        <f>IF(A106="","Pending",IF(H106="","⚠️ Enter Code",IF(IFERROR(VLOOKUP(G106,DB_Agents!$B:$I,8,0),"")=H106,IF(AND(A106&lt;&gt;"",E106&lt;&gt;""),"Saved","Pending"),"🔒 BLOCKED — Wrong Code")))</f>
        <v/>
      </c>
      <c r="J106" s="500">
        <f>IF(I106="Saved",TEXT(TODAY(),"YYYY-MM-DD")&amp;" Auto","—")</f>
        <v/>
      </c>
      <c r="K106" s="501" t="n"/>
    </row>
    <row r="107" ht="15" customHeight="1" s="341">
      <c r="A107" s="486" t="n"/>
      <c r="B107" s="378">
        <f>IF(A107="","",IFERROR(VLOOKUP(A107,DB_Customers!$A:$D,4,0),"❌ Account Not Found"))</f>
        <v/>
      </c>
      <c r="C107" s="487">
        <f>IF(A107="","",IFERROR(VLOOKUP(A107,DB_Customers!$A:$N,14,0),""))</f>
        <v/>
      </c>
      <c r="D107" s="488">
        <f>IF(A107="","",TODAY())</f>
        <v/>
      </c>
      <c r="E107" s="489" t="n"/>
      <c r="F107" s="490">
        <f>IF(OR(A107="",E107=""),"",IF(C107="","",C107+E107))</f>
        <v/>
      </c>
      <c r="G107" s="380" t="inlineStr">
        <is>
          <t>Agent 07</t>
        </is>
      </c>
      <c r="H107" s="491" t="n"/>
      <c r="I107" s="492">
        <f>IF(A107="","Pending",IF(H107="","⚠️ Enter Code",IF(IFERROR(VLOOKUP(G107,DB_Agents!$B:$I,8,0),"")=H107,IF(AND(A107&lt;&gt;"",E107&lt;&gt;""),"Saved","Pending"),"🔒 BLOCKED — Wrong Code")))</f>
        <v/>
      </c>
      <c r="J107" s="493">
        <f>IF(I107="Saved",TEXT(TODAY(),"YYYY-MM-DD")&amp;" Auto","—")</f>
        <v/>
      </c>
      <c r="K107" s="494" t="n"/>
    </row>
    <row r="108" ht="15" customHeight="1" s="341">
      <c r="A108" s="495" t="n"/>
      <c r="B108" s="382">
        <f>IF(A108="","",IFERROR(VLOOKUP(A108,DB_Customers!$A:$D,4,0),"❌ Account Not Found"))</f>
        <v/>
      </c>
      <c r="C108" s="496">
        <f>IF(A108="","",IFERROR(VLOOKUP(A108,DB_Customers!$A:$N,14,0),""))</f>
        <v/>
      </c>
      <c r="D108" s="497">
        <f>IF(A108="","",TODAY())</f>
        <v/>
      </c>
      <c r="E108" s="489" t="n"/>
      <c r="F108" s="498">
        <f>IF(OR(A108="",E108=""),"",IF(C108="","",C108+E108))</f>
        <v/>
      </c>
      <c r="G108" s="384" t="inlineStr">
        <is>
          <t>Agent 07</t>
        </is>
      </c>
      <c r="H108" s="491" t="n"/>
      <c r="I108" s="499">
        <f>IF(A108="","Pending",IF(H108="","⚠️ Enter Code",IF(IFERROR(VLOOKUP(G108,DB_Agents!$B:$I,8,0),"")=H108,IF(AND(A108&lt;&gt;"",E108&lt;&gt;""),"Saved","Pending"),"🔒 BLOCKED — Wrong Code")))</f>
        <v/>
      </c>
      <c r="J108" s="500">
        <f>IF(I108="Saved",TEXT(TODAY(),"YYYY-MM-DD")&amp;" Auto","—")</f>
        <v/>
      </c>
      <c r="K108" s="501" t="n"/>
    </row>
    <row r="109" ht="15" customHeight="1" s="341">
      <c r="A109" s="486" t="n"/>
      <c r="B109" s="378">
        <f>IF(A109="","",IFERROR(VLOOKUP(A109,DB_Customers!$A:$D,4,0),"❌ Account Not Found"))</f>
        <v/>
      </c>
      <c r="C109" s="487">
        <f>IF(A109="","",IFERROR(VLOOKUP(A109,DB_Customers!$A:$N,14,0),""))</f>
        <v/>
      </c>
      <c r="D109" s="488">
        <f>IF(A109="","",TODAY())</f>
        <v/>
      </c>
      <c r="E109" s="489" t="n"/>
      <c r="F109" s="490">
        <f>IF(OR(A109="",E109=""),"",IF(C109="","",C109+E109))</f>
        <v/>
      </c>
      <c r="G109" s="380" t="inlineStr">
        <is>
          <t>Agent 07</t>
        </is>
      </c>
      <c r="H109" s="491" t="n"/>
      <c r="I109" s="492">
        <f>IF(A109="","Pending",IF(H109="","⚠️ Enter Code",IF(IFERROR(VLOOKUP(G109,DB_Agents!$B:$I,8,0),"")=H109,IF(AND(A109&lt;&gt;"",E109&lt;&gt;""),"Saved","Pending"),"🔒 BLOCKED — Wrong Code")))</f>
        <v/>
      </c>
      <c r="J109" s="493">
        <f>IF(I109="Saved",TEXT(TODAY(),"YYYY-MM-DD")&amp;" Auto","—")</f>
        <v/>
      </c>
      <c r="K109" s="494" t="n"/>
    </row>
    <row r="110" ht="15" customHeight="1" s="341">
      <c r="A110" s="495" t="n"/>
      <c r="B110" s="382">
        <f>IF(A110="","",IFERROR(VLOOKUP(A110,DB_Customers!$A:$D,4,0),"❌ Account Not Found"))</f>
        <v/>
      </c>
      <c r="C110" s="496">
        <f>IF(A110="","",IFERROR(VLOOKUP(A110,DB_Customers!$A:$N,14,0),""))</f>
        <v/>
      </c>
      <c r="D110" s="497">
        <f>IF(A110="","",TODAY())</f>
        <v/>
      </c>
      <c r="E110" s="489" t="n"/>
      <c r="F110" s="498">
        <f>IF(OR(A110="",E110=""),"",IF(C110="","",C110+E110))</f>
        <v/>
      </c>
      <c r="G110" s="384" t="inlineStr">
        <is>
          <t>Agent 07</t>
        </is>
      </c>
      <c r="H110" s="491" t="n"/>
      <c r="I110" s="499">
        <f>IF(A110="","Pending",IF(H110="","⚠️ Enter Code",IF(IFERROR(VLOOKUP(G110,DB_Agents!$B:$I,8,0),"")=H110,IF(AND(A110&lt;&gt;"",E110&lt;&gt;""),"Saved","Pending"),"🔒 BLOCKED — Wrong Code")))</f>
        <v/>
      </c>
      <c r="J110" s="500">
        <f>IF(I110="Saved",TEXT(TODAY(),"YYYY-MM-DD")&amp;" Auto","—")</f>
        <v/>
      </c>
      <c r="K110" s="501" t="n"/>
    </row>
    <row r="111" ht="15" customHeight="1" s="341">
      <c r="A111" s="486" t="n"/>
      <c r="B111" s="378">
        <f>IF(A111="","",IFERROR(VLOOKUP(A111,DB_Customers!$A:$D,4,0),"❌ Account Not Found"))</f>
        <v/>
      </c>
      <c r="C111" s="487">
        <f>IF(A111="","",IFERROR(VLOOKUP(A111,DB_Customers!$A:$N,14,0),""))</f>
        <v/>
      </c>
      <c r="D111" s="488">
        <f>IF(A111="","",TODAY())</f>
        <v/>
      </c>
      <c r="E111" s="489" t="n"/>
      <c r="F111" s="490">
        <f>IF(OR(A111="",E111=""),"",IF(C111="","",C111+E111))</f>
        <v/>
      </c>
      <c r="G111" s="380" t="inlineStr">
        <is>
          <t>Agent 07</t>
        </is>
      </c>
      <c r="H111" s="491" t="n"/>
      <c r="I111" s="492">
        <f>IF(A111="","Pending",IF(H111="","⚠️ Enter Code",IF(IFERROR(VLOOKUP(G111,DB_Agents!$B:$I,8,0),"")=H111,IF(AND(A111&lt;&gt;"",E111&lt;&gt;""),"Saved","Pending"),"🔒 BLOCKED — Wrong Code")))</f>
        <v/>
      </c>
      <c r="J111" s="493">
        <f>IF(I111="Saved",TEXT(TODAY(),"YYYY-MM-DD")&amp;" Auto","—")</f>
        <v/>
      </c>
      <c r="K111" s="494" t="n"/>
    </row>
    <row r="112" ht="15" customHeight="1" s="341">
      <c r="A112" s="495" t="n"/>
      <c r="B112" s="382">
        <f>IF(A112="","",IFERROR(VLOOKUP(A112,DB_Customers!$A:$D,4,0),"❌ Account Not Found"))</f>
        <v/>
      </c>
      <c r="C112" s="496">
        <f>IF(A112="","",IFERROR(VLOOKUP(A112,DB_Customers!$A:$N,14,0),""))</f>
        <v/>
      </c>
      <c r="D112" s="497">
        <f>IF(A112="","",TODAY())</f>
        <v/>
      </c>
      <c r="E112" s="489" t="n"/>
      <c r="F112" s="498">
        <f>IF(OR(A112="",E112=""),"",IF(C112="","",C112+E112))</f>
        <v/>
      </c>
      <c r="G112" s="384" t="inlineStr">
        <is>
          <t>Agent 07</t>
        </is>
      </c>
      <c r="H112" s="491" t="n"/>
      <c r="I112" s="499">
        <f>IF(A112="","Pending",IF(H112="","⚠️ Enter Code",IF(IFERROR(VLOOKUP(G112,DB_Agents!$B:$I,8,0),"")=H112,IF(AND(A112&lt;&gt;"",E112&lt;&gt;""),"Saved","Pending"),"🔒 BLOCKED — Wrong Code")))</f>
        <v/>
      </c>
      <c r="J112" s="500">
        <f>IF(I112="Saved",TEXT(TODAY(),"YYYY-MM-DD")&amp;" Auto","—")</f>
        <v/>
      </c>
      <c r="K112" s="501" t="n"/>
    </row>
    <row r="113" ht="15" customHeight="1" s="341">
      <c r="A113" s="486" t="n"/>
      <c r="B113" s="378">
        <f>IF(A113="","",IFERROR(VLOOKUP(A113,DB_Customers!$A:$D,4,0),"❌ Account Not Found"))</f>
        <v/>
      </c>
      <c r="C113" s="487">
        <f>IF(A113="","",IFERROR(VLOOKUP(A113,DB_Customers!$A:$N,14,0),""))</f>
        <v/>
      </c>
      <c r="D113" s="488">
        <f>IF(A113="","",TODAY())</f>
        <v/>
      </c>
      <c r="E113" s="489" t="n"/>
      <c r="F113" s="490">
        <f>IF(OR(A113="",E113=""),"",IF(C113="","",C113+E113))</f>
        <v/>
      </c>
      <c r="G113" s="380" t="inlineStr">
        <is>
          <t>Agent 07</t>
        </is>
      </c>
      <c r="H113" s="491" t="n"/>
      <c r="I113" s="492">
        <f>IF(A113="","Pending",IF(H113="","⚠️ Enter Code",IF(IFERROR(VLOOKUP(G113,DB_Agents!$B:$I,8,0),"")=H113,IF(AND(A113&lt;&gt;"",E113&lt;&gt;""),"Saved","Pending"),"🔒 BLOCKED — Wrong Code")))</f>
        <v/>
      </c>
      <c r="J113" s="493">
        <f>IF(I113="Saved",TEXT(TODAY(),"YYYY-MM-DD")&amp;" Auto","—")</f>
        <v/>
      </c>
      <c r="K113" s="494" t="n"/>
    </row>
    <row r="114" ht="15" customHeight="1" s="341">
      <c r="A114" s="495" t="n"/>
      <c r="B114" s="382">
        <f>IF(A114="","",IFERROR(VLOOKUP(A114,DB_Customers!$A:$D,4,0),"❌ Account Not Found"))</f>
        <v/>
      </c>
      <c r="C114" s="496">
        <f>IF(A114="","",IFERROR(VLOOKUP(A114,DB_Customers!$A:$N,14,0),""))</f>
        <v/>
      </c>
      <c r="D114" s="497">
        <f>IF(A114="","",TODAY())</f>
        <v/>
      </c>
      <c r="E114" s="489" t="n"/>
      <c r="F114" s="498">
        <f>IF(OR(A114="",E114=""),"",IF(C114="","",C114+E114))</f>
        <v/>
      </c>
      <c r="G114" s="384" t="inlineStr">
        <is>
          <t>Agent 07</t>
        </is>
      </c>
      <c r="H114" s="491" t="n"/>
      <c r="I114" s="499">
        <f>IF(A114="","Pending",IF(H114="","⚠️ Enter Code",IF(IFERROR(VLOOKUP(G114,DB_Agents!$B:$I,8,0),"")=H114,IF(AND(A114&lt;&gt;"",E114&lt;&gt;""),"Saved","Pending"),"🔒 BLOCKED — Wrong Code")))</f>
        <v/>
      </c>
      <c r="J114" s="500">
        <f>IF(I114="Saved",TEXT(TODAY(),"YYYY-MM-DD")&amp;" Auto","—")</f>
        <v/>
      </c>
      <c r="K114" s="501" t="n"/>
    </row>
    <row r="115" ht="15" customHeight="1" s="341">
      <c r="A115" s="486" t="n"/>
      <c r="B115" s="378">
        <f>IF(A115="","",IFERROR(VLOOKUP(A115,DB_Customers!$A:$D,4,0),"❌ Account Not Found"))</f>
        <v/>
      </c>
      <c r="C115" s="487">
        <f>IF(A115="","",IFERROR(VLOOKUP(A115,DB_Customers!$A:$N,14,0),""))</f>
        <v/>
      </c>
      <c r="D115" s="488">
        <f>IF(A115="","",TODAY())</f>
        <v/>
      </c>
      <c r="E115" s="489" t="n"/>
      <c r="F115" s="490">
        <f>IF(OR(A115="",E115=""),"",IF(C115="","",C115+E115))</f>
        <v/>
      </c>
      <c r="G115" s="380" t="inlineStr">
        <is>
          <t>Agent 07</t>
        </is>
      </c>
      <c r="H115" s="491" t="n"/>
      <c r="I115" s="492">
        <f>IF(A115="","Pending",IF(H115="","⚠️ Enter Code",IF(IFERROR(VLOOKUP(G115,DB_Agents!$B:$I,8,0),"")=H115,IF(AND(A115&lt;&gt;"",E115&lt;&gt;""),"Saved","Pending"),"🔒 BLOCKED — Wrong Code")))</f>
        <v/>
      </c>
      <c r="J115" s="493">
        <f>IF(I115="Saved",TEXT(TODAY(),"YYYY-MM-DD")&amp;" Auto","—")</f>
        <v/>
      </c>
      <c r="K115" s="494" t="n"/>
    </row>
    <row r="116" ht="15" customHeight="1" s="341">
      <c r="A116" s="495" t="n"/>
      <c r="B116" s="382">
        <f>IF(A116="","",IFERROR(VLOOKUP(A116,DB_Customers!$A:$D,4,0),"❌ Account Not Found"))</f>
        <v/>
      </c>
      <c r="C116" s="496">
        <f>IF(A116="","",IFERROR(VLOOKUP(A116,DB_Customers!$A:$N,14,0),""))</f>
        <v/>
      </c>
      <c r="D116" s="497">
        <f>IF(A116="","",TODAY())</f>
        <v/>
      </c>
      <c r="E116" s="489" t="n"/>
      <c r="F116" s="498">
        <f>IF(OR(A116="",E116=""),"",IF(C116="","",C116+E116))</f>
        <v/>
      </c>
      <c r="G116" s="384" t="inlineStr">
        <is>
          <t>Agent 07</t>
        </is>
      </c>
      <c r="H116" s="491" t="n"/>
      <c r="I116" s="499">
        <f>IF(A116="","Pending",IF(H116="","⚠️ Enter Code",IF(IFERROR(VLOOKUP(G116,DB_Agents!$B:$I,8,0),"")=H116,IF(AND(A116&lt;&gt;"",E116&lt;&gt;""),"Saved","Pending"),"🔒 BLOCKED — Wrong Code")))</f>
        <v/>
      </c>
      <c r="J116" s="500">
        <f>IF(I116="Saved",TEXT(TODAY(),"YYYY-MM-DD")&amp;" Auto","—")</f>
        <v/>
      </c>
      <c r="K116" s="501" t="n"/>
    </row>
    <row r="117" ht="15" customHeight="1" s="341">
      <c r="A117" s="486" t="n"/>
      <c r="B117" s="378">
        <f>IF(A117="","",IFERROR(VLOOKUP(A117,DB_Customers!$A:$D,4,0),"❌ Account Not Found"))</f>
        <v/>
      </c>
      <c r="C117" s="487">
        <f>IF(A117="","",IFERROR(VLOOKUP(A117,DB_Customers!$A:$N,14,0),""))</f>
        <v/>
      </c>
      <c r="D117" s="488">
        <f>IF(A117="","",TODAY())</f>
        <v/>
      </c>
      <c r="E117" s="489" t="n"/>
      <c r="F117" s="490">
        <f>IF(OR(A117="",E117=""),"",IF(C117="","",C117+E117))</f>
        <v/>
      </c>
      <c r="G117" s="380" t="inlineStr">
        <is>
          <t>Agent 07</t>
        </is>
      </c>
      <c r="H117" s="491" t="n"/>
      <c r="I117" s="492">
        <f>IF(A117="","Pending",IF(H117="","⚠️ Enter Code",IF(IFERROR(VLOOKUP(G117,DB_Agents!$B:$I,8,0),"")=H117,IF(AND(A117&lt;&gt;"",E117&lt;&gt;""),"Saved","Pending"),"🔒 BLOCKED — Wrong Code")))</f>
        <v/>
      </c>
      <c r="J117" s="493">
        <f>IF(I117="Saved",TEXT(TODAY(),"YYYY-MM-DD")&amp;" Auto","—")</f>
        <v/>
      </c>
      <c r="K117" s="494" t="n"/>
    </row>
    <row r="118" ht="15" customHeight="1" s="341">
      <c r="A118" s="495" t="n"/>
      <c r="B118" s="382">
        <f>IF(A118="","",IFERROR(VLOOKUP(A118,DB_Customers!$A:$D,4,0),"❌ Account Not Found"))</f>
        <v/>
      </c>
      <c r="C118" s="496">
        <f>IF(A118="","",IFERROR(VLOOKUP(A118,DB_Customers!$A:$N,14,0),""))</f>
        <v/>
      </c>
      <c r="D118" s="497">
        <f>IF(A118="","",TODAY())</f>
        <v/>
      </c>
      <c r="E118" s="489" t="n"/>
      <c r="F118" s="498">
        <f>IF(OR(A118="",E118=""),"",IF(C118="","",C118+E118))</f>
        <v/>
      </c>
      <c r="G118" s="384" t="inlineStr">
        <is>
          <t>Agent 07</t>
        </is>
      </c>
      <c r="H118" s="491" t="n"/>
      <c r="I118" s="499">
        <f>IF(A118="","Pending",IF(H118="","⚠️ Enter Code",IF(IFERROR(VLOOKUP(G118,DB_Agents!$B:$I,8,0),"")=H118,IF(AND(A118&lt;&gt;"",E118&lt;&gt;""),"Saved","Pending"),"🔒 BLOCKED — Wrong Code")))</f>
        <v/>
      </c>
      <c r="J118" s="500">
        <f>IF(I118="Saved",TEXT(TODAY(),"YYYY-MM-DD")&amp;" Auto","—")</f>
        <v/>
      </c>
      <c r="K118" s="501" t="n"/>
    </row>
    <row r="119" ht="15" customHeight="1" s="341">
      <c r="A119" s="486" t="n"/>
      <c r="B119" s="378">
        <f>IF(A119="","",IFERROR(VLOOKUP(A119,DB_Customers!$A:$D,4,0),"❌ Account Not Found"))</f>
        <v/>
      </c>
      <c r="C119" s="487">
        <f>IF(A119="","",IFERROR(VLOOKUP(A119,DB_Customers!$A:$N,14,0),""))</f>
        <v/>
      </c>
      <c r="D119" s="488">
        <f>IF(A119="","",TODAY())</f>
        <v/>
      </c>
      <c r="E119" s="489" t="n"/>
      <c r="F119" s="490">
        <f>IF(OR(A119="",E119=""),"",IF(C119="","",C119+E119))</f>
        <v/>
      </c>
      <c r="G119" s="380" t="inlineStr">
        <is>
          <t>Agent 07</t>
        </is>
      </c>
      <c r="H119" s="491" t="n"/>
      <c r="I119" s="492">
        <f>IF(A119="","Pending",IF(H119="","⚠️ Enter Code",IF(IFERROR(VLOOKUP(G119,DB_Agents!$B:$I,8,0),"")=H119,IF(AND(A119&lt;&gt;"",E119&lt;&gt;""),"Saved","Pending"),"🔒 BLOCKED — Wrong Code")))</f>
        <v/>
      </c>
      <c r="J119" s="493">
        <f>IF(I119="Saved",TEXT(TODAY(),"YYYY-MM-DD")&amp;" Auto","—")</f>
        <v/>
      </c>
      <c r="K119" s="494" t="n"/>
    </row>
    <row r="120" ht="15" customHeight="1" s="341">
      <c r="A120" s="495" t="n"/>
      <c r="B120" s="382">
        <f>IF(A120="","",IFERROR(VLOOKUP(A120,DB_Customers!$A:$D,4,0),"❌ Account Not Found"))</f>
        <v/>
      </c>
      <c r="C120" s="496">
        <f>IF(A120="","",IFERROR(VLOOKUP(A120,DB_Customers!$A:$N,14,0),""))</f>
        <v/>
      </c>
      <c r="D120" s="497">
        <f>IF(A120="","",TODAY())</f>
        <v/>
      </c>
      <c r="E120" s="489" t="n"/>
      <c r="F120" s="498">
        <f>IF(OR(A120="",E120=""),"",IF(C120="","",C120+E120))</f>
        <v/>
      </c>
      <c r="G120" s="384" t="inlineStr">
        <is>
          <t>Agent 07</t>
        </is>
      </c>
      <c r="H120" s="491" t="n"/>
      <c r="I120" s="499">
        <f>IF(A120="","Pending",IF(H120="","⚠️ Enter Code",IF(IFERROR(VLOOKUP(G120,DB_Agents!$B:$I,8,0),"")=H120,IF(AND(A120&lt;&gt;"",E120&lt;&gt;""),"Saved","Pending"),"🔒 BLOCKED — Wrong Code")))</f>
        <v/>
      </c>
      <c r="J120" s="500">
        <f>IF(I120="Saved",TEXT(TODAY(),"YYYY-MM-DD")&amp;" Auto","—")</f>
        <v/>
      </c>
      <c r="K120" s="501" t="n"/>
    </row>
    <row r="121" ht="15" customHeight="1" s="341">
      <c r="A121" s="486" t="n"/>
      <c r="B121" s="378">
        <f>IF(A121="","",IFERROR(VLOOKUP(A121,DB_Customers!$A:$D,4,0),"❌ Account Not Found"))</f>
        <v/>
      </c>
      <c r="C121" s="487">
        <f>IF(A121="","",IFERROR(VLOOKUP(A121,DB_Customers!$A:$N,14,0),""))</f>
        <v/>
      </c>
      <c r="D121" s="488">
        <f>IF(A121="","",TODAY())</f>
        <v/>
      </c>
      <c r="E121" s="489" t="n"/>
      <c r="F121" s="490">
        <f>IF(OR(A121="",E121=""),"",IF(C121="","",C121+E121))</f>
        <v/>
      </c>
      <c r="G121" s="380" t="inlineStr">
        <is>
          <t>Agent 07</t>
        </is>
      </c>
      <c r="H121" s="491" t="n"/>
      <c r="I121" s="492">
        <f>IF(A121="","Pending",IF(H121="","⚠️ Enter Code",IF(IFERROR(VLOOKUP(G121,DB_Agents!$B:$I,8,0),"")=H121,IF(AND(A121&lt;&gt;"",E121&lt;&gt;""),"Saved","Pending"),"🔒 BLOCKED — Wrong Code")))</f>
        <v/>
      </c>
      <c r="J121" s="493">
        <f>IF(I121="Saved",TEXT(TODAY(),"YYYY-MM-DD")&amp;" Auto","—")</f>
        <v/>
      </c>
      <c r="K121" s="494" t="n"/>
    </row>
    <row r="122" ht="15" customHeight="1" s="341">
      <c r="A122" s="495" t="n"/>
      <c r="B122" s="382">
        <f>IF(A122="","",IFERROR(VLOOKUP(A122,DB_Customers!$A:$D,4,0),"❌ Account Not Found"))</f>
        <v/>
      </c>
      <c r="C122" s="496">
        <f>IF(A122="","",IFERROR(VLOOKUP(A122,DB_Customers!$A:$N,14,0),""))</f>
        <v/>
      </c>
      <c r="D122" s="497">
        <f>IF(A122="","",TODAY())</f>
        <v/>
      </c>
      <c r="E122" s="489" t="n"/>
      <c r="F122" s="498">
        <f>IF(OR(A122="",E122=""),"",IF(C122="","",C122+E122))</f>
        <v/>
      </c>
      <c r="G122" s="384" t="inlineStr">
        <is>
          <t>Agent 07</t>
        </is>
      </c>
      <c r="H122" s="491" t="n"/>
      <c r="I122" s="499">
        <f>IF(A122="","Pending",IF(H122="","⚠️ Enter Code",IF(IFERROR(VLOOKUP(G122,DB_Agents!$B:$I,8,0),"")=H122,IF(AND(A122&lt;&gt;"",E122&lt;&gt;""),"Saved","Pending"),"🔒 BLOCKED — Wrong Code")))</f>
        <v/>
      </c>
      <c r="J122" s="500">
        <f>IF(I122="Saved",TEXT(TODAY(),"YYYY-MM-DD")&amp;" Auto","—")</f>
        <v/>
      </c>
      <c r="K122" s="501" t="n"/>
    </row>
    <row r="123" ht="15" customHeight="1" s="341">
      <c r="A123" s="486" t="n"/>
      <c r="B123" s="378">
        <f>IF(A123="","",IFERROR(VLOOKUP(A123,DB_Customers!$A:$D,4,0),"❌ Account Not Found"))</f>
        <v/>
      </c>
      <c r="C123" s="487">
        <f>IF(A123="","",IFERROR(VLOOKUP(A123,DB_Customers!$A:$N,14,0),""))</f>
        <v/>
      </c>
      <c r="D123" s="488">
        <f>IF(A123="","",TODAY())</f>
        <v/>
      </c>
      <c r="E123" s="489" t="n"/>
      <c r="F123" s="490">
        <f>IF(OR(A123="",E123=""),"",IF(C123="","",C123+E123))</f>
        <v/>
      </c>
      <c r="G123" s="380" t="inlineStr">
        <is>
          <t>Agent 07</t>
        </is>
      </c>
      <c r="H123" s="491" t="n"/>
      <c r="I123" s="492">
        <f>IF(A123="","Pending",IF(H123="","⚠️ Enter Code",IF(IFERROR(VLOOKUP(G123,DB_Agents!$B:$I,8,0),"")=H123,IF(AND(A123&lt;&gt;"",E123&lt;&gt;""),"Saved","Pending"),"🔒 BLOCKED — Wrong Code")))</f>
        <v/>
      </c>
      <c r="J123" s="493">
        <f>IF(I123="Saved",TEXT(TODAY(),"YYYY-MM-DD")&amp;" Auto","—")</f>
        <v/>
      </c>
      <c r="K123" s="494" t="n"/>
    </row>
    <row r="124" ht="15" customHeight="1" s="341">
      <c r="A124" s="495" t="n"/>
      <c r="B124" s="382">
        <f>IF(A124="","",IFERROR(VLOOKUP(A124,DB_Customers!$A:$D,4,0),"❌ Account Not Found"))</f>
        <v/>
      </c>
      <c r="C124" s="496">
        <f>IF(A124="","",IFERROR(VLOOKUP(A124,DB_Customers!$A:$N,14,0),""))</f>
        <v/>
      </c>
      <c r="D124" s="497">
        <f>IF(A124="","",TODAY())</f>
        <v/>
      </c>
      <c r="E124" s="489" t="n"/>
      <c r="F124" s="498">
        <f>IF(OR(A124="",E124=""),"",IF(C124="","",C124+E124))</f>
        <v/>
      </c>
      <c r="G124" s="384" t="inlineStr">
        <is>
          <t>Agent 07</t>
        </is>
      </c>
      <c r="H124" s="491" t="n"/>
      <c r="I124" s="499">
        <f>IF(A124="","Pending",IF(H124="","⚠️ Enter Code",IF(IFERROR(VLOOKUP(G124,DB_Agents!$B:$I,8,0),"")=H124,IF(AND(A124&lt;&gt;"",E124&lt;&gt;""),"Saved","Pending"),"🔒 BLOCKED — Wrong Code")))</f>
        <v/>
      </c>
      <c r="J124" s="500">
        <f>IF(I124="Saved",TEXT(TODAY(),"YYYY-MM-DD")&amp;" Auto","—")</f>
        <v/>
      </c>
      <c r="K124" s="501" t="n"/>
    </row>
    <row r="125" ht="15" customHeight="1" s="341">
      <c r="A125" s="486" t="n"/>
      <c r="B125" s="378">
        <f>IF(A125="","",IFERROR(VLOOKUP(A125,DB_Customers!$A:$D,4,0),"❌ Account Not Found"))</f>
        <v/>
      </c>
      <c r="C125" s="487">
        <f>IF(A125="","",IFERROR(VLOOKUP(A125,DB_Customers!$A:$N,14,0),""))</f>
        <v/>
      </c>
      <c r="D125" s="488">
        <f>IF(A125="","",TODAY())</f>
        <v/>
      </c>
      <c r="E125" s="489" t="n"/>
      <c r="F125" s="490">
        <f>IF(OR(A125="",E125=""),"",IF(C125="","",C125+E125))</f>
        <v/>
      </c>
      <c r="G125" s="380" t="inlineStr">
        <is>
          <t>Agent 07</t>
        </is>
      </c>
      <c r="H125" s="491" t="n"/>
      <c r="I125" s="492">
        <f>IF(A125="","Pending",IF(H125="","⚠️ Enter Code",IF(IFERROR(VLOOKUP(G125,DB_Agents!$B:$I,8,0),"")=H125,IF(AND(A125&lt;&gt;"",E125&lt;&gt;""),"Saved","Pending"),"🔒 BLOCKED — Wrong Code")))</f>
        <v/>
      </c>
      <c r="J125" s="493">
        <f>IF(I125="Saved",TEXT(TODAY(),"YYYY-MM-DD")&amp;" Auto","—")</f>
        <v/>
      </c>
      <c r="K125" s="494" t="n"/>
    </row>
    <row r="126" ht="15" customHeight="1" s="341">
      <c r="A126" s="495" t="n"/>
      <c r="B126" s="382">
        <f>IF(A126="","",IFERROR(VLOOKUP(A126,DB_Customers!$A:$D,4,0),"❌ Account Not Found"))</f>
        <v/>
      </c>
      <c r="C126" s="496">
        <f>IF(A126="","",IFERROR(VLOOKUP(A126,DB_Customers!$A:$N,14,0),""))</f>
        <v/>
      </c>
      <c r="D126" s="497">
        <f>IF(A126="","",TODAY())</f>
        <v/>
      </c>
      <c r="E126" s="489" t="n"/>
      <c r="F126" s="498">
        <f>IF(OR(A126="",E126=""),"",IF(C126="","",C126+E126))</f>
        <v/>
      </c>
      <c r="G126" s="384" t="inlineStr">
        <is>
          <t>Agent 07</t>
        </is>
      </c>
      <c r="H126" s="491" t="n"/>
      <c r="I126" s="499">
        <f>IF(A126="","Pending",IF(H126="","⚠️ Enter Code",IF(IFERROR(VLOOKUP(G126,DB_Agents!$B:$I,8,0),"")=H126,IF(AND(A126&lt;&gt;"",E126&lt;&gt;""),"Saved","Pending"),"🔒 BLOCKED — Wrong Code")))</f>
        <v/>
      </c>
      <c r="J126" s="500">
        <f>IF(I126="Saved",TEXT(TODAY(),"YYYY-MM-DD")&amp;" Auto","—")</f>
        <v/>
      </c>
      <c r="K126" s="501" t="n"/>
    </row>
    <row r="127" ht="15" customHeight="1" s="341">
      <c r="A127" s="486" t="n"/>
      <c r="B127" s="378">
        <f>IF(A127="","",IFERROR(VLOOKUP(A127,DB_Customers!$A:$D,4,0),"❌ Account Not Found"))</f>
        <v/>
      </c>
      <c r="C127" s="487">
        <f>IF(A127="","",IFERROR(VLOOKUP(A127,DB_Customers!$A:$N,14,0),""))</f>
        <v/>
      </c>
      <c r="D127" s="488">
        <f>IF(A127="","",TODAY())</f>
        <v/>
      </c>
      <c r="E127" s="489" t="n"/>
      <c r="F127" s="490">
        <f>IF(OR(A127="",E127=""),"",IF(C127="","",C127+E127))</f>
        <v/>
      </c>
      <c r="G127" s="380" t="inlineStr">
        <is>
          <t>Agent 07</t>
        </is>
      </c>
      <c r="H127" s="491" t="n"/>
      <c r="I127" s="492">
        <f>IF(A127="","Pending",IF(H127="","⚠️ Enter Code",IF(IFERROR(VLOOKUP(G127,DB_Agents!$B:$I,8,0),"")=H127,IF(AND(A127&lt;&gt;"",E127&lt;&gt;""),"Saved","Pending"),"🔒 BLOCKED — Wrong Code")))</f>
        <v/>
      </c>
      <c r="J127" s="493">
        <f>IF(I127="Saved",TEXT(TODAY(),"YYYY-MM-DD")&amp;" Auto","—")</f>
        <v/>
      </c>
      <c r="K127" s="494" t="n"/>
    </row>
    <row r="128" ht="15" customHeight="1" s="341">
      <c r="A128" s="495" t="n"/>
      <c r="B128" s="382">
        <f>IF(A128="","",IFERROR(VLOOKUP(A128,DB_Customers!$A:$D,4,0),"❌ Account Not Found"))</f>
        <v/>
      </c>
      <c r="C128" s="496">
        <f>IF(A128="","",IFERROR(VLOOKUP(A128,DB_Customers!$A:$N,14,0),""))</f>
        <v/>
      </c>
      <c r="D128" s="497">
        <f>IF(A128="","",TODAY())</f>
        <v/>
      </c>
      <c r="E128" s="489" t="n"/>
      <c r="F128" s="498">
        <f>IF(OR(A128="",E128=""),"",IF(C128="","",C128+E128))</f>
        <v/>
      </c>
      <c r="G128" s="384" t="inlineStr">
        <is>
          <t>Agent 07</t>
        </is>
      </c>
      <c r="H128" s="491" t="n"/>
      <c r="I128" s="499">
        <f>IF(A128="","Pending",IF(H128="","⚠️ Enter Code",IF(IFERROR(VLOOKUP(G128,DB_Agents!$B:$I,8,0),"")=H128,IF(AND(A128&lt;&gt;"",E128&lt;&gt;""),"Saved","Pending"),"🔒 BLOCKED — Wrong Code")))</f>
        <v/>
      </c>
      <c r="J128" s="500">
        <f>IF(I128="Saved",TEXT(TODAY(),"YYYY-MM-DD")&amp;" Auto","—")</f>
        <v/>
      </c>
      <c r="K128" s="501" t="n"/>
    </row>
    <row r="129" ht="15" customHeight="1" s="341">
      <c r="A129" s="486" t="n"/>
      <c r="B129" s="378">
        <f>IF(A129="","",IFERROR(VLOOKUP(A129,DB_Customers!$A:$D,4,0),"❌ Account Not Found"))</f>
        <v/>
      </c>
      <c r="C129" s="487">
        <f>IF(A129="","",IFERROR(VLOOKUP(A129,DB_Customers!$A:$N,14,0),""))</f>
        <v/>
      </c>
      <c r="D129" s="488">
        <f>IF(A129="","",TODAY())</f>
        <v/>
      </c>
      <c r="E129" s="489" t="n"/>
      <c r="F129" s="490">
        <f>IF(OR(A129="",E129=""),"",IF(C129="","",C129+E129))</f>
        <v/>
      </c>
      <c r="G129" s="380" t="inlineStr">
        <is>
          <t>Agent 07</t>
        </is>
      </c>
      <c r="H129" s="491" t="n"/>
      <c r="I129" s="492">
        <f>IF(A129="","Pending",IF(H129="","⚠️ Enter Code",IF(IFERROR(VLOOKUP(G129,DB_Agents!$B:$I,8,0),"")=H129,IF(AND(A129&lt;&gt;"",E129&lt;&gt;""),"Saved","Pending"),"🔒 BLOCKED — Wrong Code")))</f>
        <v/>
      </c>
      <c r="J129" s="493">
        <f>IF(I129="Saved",TEXT(TODAY(),"YYYY-MM-DD")&amp;" Auto","—")</f>
        <v/>
      </c>
      <c r="K129" s="494" t="n"/>
    </row>
    <row r="130" ht="15" customHeight="1" s="341">
      <c r="A130" s="495" t="n"/>
      <c r="B130" s="382">
        <f>IF(A130="","",IFERROR(VLOOKUP(A130,DB_Customers!$A:$D,4,0),"❌ Account Not Found"))</f>
        <v/>
      </c>
      <c r="C130" s="496">
        <f>IF(A130="","",IFERROR(VLOOKUP(A130,DB_Customers!$A:$N,14,0),""))</f>
        <v/>
      </c>
      <c r="D130" s="497">
        <f>IF(A130="","",TODAY())</f>
        <v/>
      </c>
      <c r="E130" s="489" t="n"/>
      <c r="F130" s="498">
        <f>IF(OR(A130="",E130=""),"",IF(C130="","",C130+E130))</f>
        <v/>
      </c>
      <c r="G130" s="384" t="inlineStr">
        <is>
          <t>Agent 07</t>
        </is>
      </c>
      <c r="H130" s="491" t="n"/>
      <c r="I130" s="499">
        <f>IF(A130="","Pending",IF(H130="","⚠️ Enter Code",IF(IFERROR(VLOOKUP(G130,DB_Agents!$B:$I,8,0),"")=H130,IF(AND(A130&lt;&gt;"",E130&lt;&gt;""),"Saved","Pending"),"🔒 BLOCKED — Wrong Code")))</f>
        <v/>
      </c>
      <c r="J130" s="500">
        <f>IF(I130="Saved",TEXT(TODAY(),"YYYY-MM-DD")&amp;" Auto","—")</f>
        <v/>
      </c>
      <c r="K130" s="501" t="n"/>
    </row>
    <row r="131" ht="15" customHeight="1" s="341">
      <c r="A131" s="486" t="n"/>
      <c r="B131" s="378">
        <f>IF(A131="","",IFERROR(VLOOKUP(A131,DB_Customers!$A:$D,4,0),"❌ Account Not Found"))</f>
        <v/>
      </c>
      <c r="C131" s="487">
        <f>IF(A131="","",IFERROR(VLOOKUP(A131,DB_Customers!$A:$N,14,0),""))</f>
        <v/>
      </c>
      <c r="D131" s="488">
        <f>IF(A131="","",TODAY())</f>
        <v/>
      </c>
      <c r="E131" s="489" t="n"/>
      <c r="F131" s="490">
        <f>IF(OR(A131="",E131=""),"",IF(C131="","",C131+E131))</f>
        <v/>
      </c>
      <c r="G131" s="380" t="inlineStr">
        <is>
          <t>Agent 07</t>
        </is>
      </c>
      <c r="H131" s="491" t="n"/>
      <c r="I131" s="492">
        <f>IF(A131="","Pending",IF(H131="","⚠️ Enter Code",IF(IFERROR(VLOOKUP(G131,DB_Agents!$B:$I,8,0),"")=H131,IF(AND(A131&lt;&gt;"",E131&lt;&gt;""),"Saved","Pending"),"🔒 BLOCKED — Wrong Code")))</f>
        <v/>
      </c>
      <c r="J131" s="493">
        <f>IF(I131="Saved",TEXT(TODAY(),"YYYY-MM-DD")&amp;" Auto","—")</f>
        <v/>
      </c>
      <c r="K131" s="494" t="n"/>
    </row>
    <row r="132" ht="15" customHeight="1" s="341">
      <c r="A132" s="495" t="n"/>
      <c r="B132" s="382">
        <f>IF(A132="","",IFERROR(VLOOKUP(A132,DB_Customers!$A:$D,4,0),"❌ Account Not Found"))</f>
        <v/>
      </c>
      <c r="C132" s="496">
        <f>IF(A132="","",IFERROR(VLOOKUP(A132,DB_Customers!$A:$N,14,0),""))</f>
        <v/>
      </c>
      <c r="D132" s="497">
        <f>IF(A132="","",TODAY())</f>
        <v/>
      </c>
      <c r="E132" s="489" t="n"/>
      <c r="F132" s="498">
        <f>IF(OR(A132="",E132=""),"",IF(C132="","",C132+E132))</f>
        <v/>
      </c>
      <c r="G132" s="384" t="inlineStr">
        <is>
          <t>Agent 07</t>
        </is>
      </c>
      <c r="H132" s="491" t="n"/>
      <c r="I132" s="499">
        <f>IF(A132="","Pending",IF(H132="","⚠️ Enter Code",IF(IFERROR(VLOOKUP(G132,DB_Agents!$B:$I,8,0),"")=H132,IF(AND(A132&lt;&gt;"",E132&lt;&gt;""),"Saved","Pending"),"🔒 BLOCKED — Wrong Code")))</f>
        <v/>
      </c>
      <c r="J132" s="500">
        <f>IF(I132="Saved",TEXT(TODAY(),"YYYY-MM-DD")&amp;" Auto","—")</f>
        <v/>
      </c>
      <c r="K132" s="501" t="n"/>
    </row>
    <row r="133" ht="15" customHeight="1" s="341">
      <c r="A133" s="486" t="n"/>
      <c r="B133" s="378">
        <f>IF(A133="","",IFERROR(VLOOKUP(A133,DB_Customers!$A:$D,4,0),"❌ Account Not Found"))</f>
        <v/>
      </c>
      <c r="C133" s="487">
        <f>IF(A133="","",IFERROR(VLOOKUP(A133,DB_Customers!$A:$N,14,0),""))</f>
        <v/>
      </c>
      <c r="D133" s="488">
        <f>IF(A133="","",TODAY())</f>
        <v/>
      </c>
      <c r="E133" s="489" t="n"/>
      <c r="F133" s="490">
        <f>IF(OR(A133="",E133=""),"",IF(C133="","",C133+E133))</f>
        <v/>
      </c>
      <c r="G133" s="380" t="inlineStr">
        <is>
          <t>Agent 07</t>
        </is>
      </c>
      <c r="H133" s="491" t="n"/>
      <c r="I133" s="492">
        <f>IF(A133="","Pending",IF(H133="","⚠️ Enter Code",IF(IFERROR(VLOOKUP(G133,DB_Agents!$B:$I,8,0),"")=H133,IF(AND(A133&lt;&gt;"",E133&lt;&gt;""),"Saved","Pending"),"🔒 BLOCKED — Wrong Code")))</f>
        <v/>
      </c>
      <c r="J133" s="493">
        <f>IF(I133="Saved",TEXT(TODAY(),"YYYY-MM-DD")&amp;" Auto","—")</f>
        <v/>
      </c>
      <c r="K133" s="494" t="n"/>
    </row>
    <row r="134" ht="15" customHeight="1" s="341">
      <c r="A134" s="495" t="n"/>
      <c r="B134" s="382">
        <f>IF(A134="","",IFERROR(VLOOKUP(A134,DB_Customers!$A:$D,4,0),"❌ Account Not Found"))</f>
        <v/>
      </c>
      <c r="C134" s="496">
        <f>IF(A134="","",IFERROR(VLOOKUP(A134,DB_Customers!$A:$N,14,0),""))</f>
        <v/>
      </c>
      <c r="D134" s="497">
        <f>IF(A134="","",TODAY())</f>
        <v/>
      </c>
      <c r="E134" s="489" t="n"/>
      <c r="F134" s="498">
        <f>IF(OR(A134="",E134=""),"",IF(C134="","",C134+E134))</f>
        <v/>
      </c>
      <c r="G134" s="384" t="inlineStr">
        <is>
          <t>Agent 07</t>
        </is>
      </c>
      <c r="H134" s="491" t="n"/>
      <c r="I134" s="499">
        <f>IF(A134="","Pending",IF(H134="","⚠️ Enter Code",IF(IFERROR(VLOOKUP(G134,DB_Agents!$B:$I,8,0),"")=H134,IF(AND(A134&lt;&gt;"",E134&lt;&gt;""),"Saved","Pending"),"🔒 BLOCKED — Wrong Code")))</f>
        <v/>
      </c>
      <c r="J134" s="500">
        <f>IF(I134="Saved",TEXT(TODAY(),"YYYY-MM-DD")&amp;" Auto","—")</f>
        <v/>
      </c>
      <c r="K134" s="501" t="n"/>
    </row>
    <row r="135" ht="15" customHeight="1" s="341">
      <c r="A135" s="486" t="n"/>
      <c r="B135" s="378">
        <f>IF(A135="","",IFERROR(VLOOKUP(A135,DB_Customers!$A:$D,4,0),"❌ Account Not Found"))</f>
        <v/>
      </c>
      <c r="C135" s="487">
        <f>IF(A135="","",IFERROR(VLOOKUP(A135,DB_Customers!$A:$N,14,0),""))</f>
        <v/>
      </c>
      <c r="D135" s="488">
        <f>IF(A135="","",TODAY())</f>
        <v/>
      </c>
      <c r="E135" s="489" t="n"/>
      <c r="F135" s="490">
        <f>IF(OR(A135="",E135=""),"",IF(C135="","",C135+E135))</f>
        <v/>
      </c>
      <c r="G135" s="380" t="inlineStr">
        <is>
          <t>Agent 07</t>
        </is>
      </c>
      <c r="H135" s="491" t="n"/>
      <c r="I135" s="492">
        <f>IF(A135="","Pending",IF(H135="","⚠️ Enter Code",IF(IFERROR(VLOOKUP(G135,DB_Agents!$B:$I,8,0),"")=H135,IF(AND(A135&lt;&gt;"",E135&lt;&gt;""),"Saved","Pending"),"🔒 BLOCKED — Wrong Code")))</f>
        <v/>
      </c>
      <c r="J135" s="493">
        <f>IF(I135="Saved",TEXT(TODAY(),"YYYY-MM-DD")&amp;" Auto","—")</f>
        <v/>
      </c>
      <c r="K135" s="494" t="n"/>
    </row>
    <row r="136" ht="15" customHeight="1" s="341">
      <c r="A136" s="495" t="n"/>
      <c r="B136" s="382">
        <f>IF(A136="","",IFERROR(VLOOKUP(A136,DB_Customers!$A:$D,4,0),"❌ Account Not Found"))</f>
        <v/>
      </c>
      <c r="C136" s="496">
        <f>IF(A136="","",IFERROR(VLOOKUP(A136,DB_Customers!$A:$N,14,0),""))</f>
        <v/>
      </c>
      <c r="D136" s="497">
        <f>IF(A136="","",TODAY())</f>
        <v/>
      </c>
      <c r="E136" s="489" t="n"/>
      <c r="F136" s="498">
        <f>IF(OR(A136="",E136=""),"",IF(C136="","",C136+E136))</f>
        <v/>
      </c>
      <c r="G136" s="384" t="inlineStr">
        <is>
          <t>Agent 07</t>
        </is>
      </c>
      <c r="H136" s="491" t="n"/>
      <c r="I136" s="499">
        <f>IF(A136="","Pending",IF(H136="","⚠️ Enter Code",IF(IFERROR(VLOOKUP(G136,DB_Agents!$B:$I,8,0),"")=H136,IF(AND(A136&lt;&gt;"",E136&lt;&gt;""),"Saved","Pending"),"🔒 BLOCKED — Wrong Code")))</f>
        <v/>
      </c>
      <c r="J136" s="500">
        <f>IF(I136="Saved",TEXT(TODAY(),"YYYY-MM-DD")&amp;" Auto","—")</f>
        <v/>
      </c>
      <c r="K136" s="501" t="n"/>
    </row>
    <row r="137" ht="15" customHeight="1" s="341">
      <c r="A137" s="486" t="n"/>
      <c r="B137" s="378">
        <f>IF(A137="","",IFERROR(VLOOKUP(A137,DB_Customers!$A:$D,4,0),"❌ Account Not Found"))</f>
        <v/>
      </c>
      <c r="C137" s="487">
        <f>IF(A137="","",IFERROR(VLOOKUP(A137,DB_Customers!$A:$N,14,0),""))</f>
        <v/>
      </c>
      <c r="D137" s="488">
        <f>IF(A137="","",TODAY())</f>
        <v/>
      </c>
      <c r="E137" s="489" t="n"/>
      <c r="F137" s="490">
        <f>IF(OR(A137="",E137=""),"",IF(C137="","",C137+E137))</f>
        <v/>
      </c>
      <c r="G137" s="380" t="inlineStr">
        <is>
          <t>Agent 07</t>
        </is>
      </c>
      <c r="H137" s="491" t="n"/>
      <c r="I137" s="492">
        <f>IF(A137="","Pending",IF(H137="","⚠️ Enter Code",IF(IFERROR(VLOOKUP(G137,DB_Agents!$B:$I,8,0),"")=H137,IF(AND(A137&lt;&gt;"",E137&lt;&gt;""),"Saved","Pending"),"🔒 BLOCKED — Wrong Code")))</f>
        <v/>
      </c>
      <c r="J137" s="493">
        <f>IF(I137="Saved",TEXT(TODAY(),"YYYY-MM-DD")&amp;" Auto","—")</f>
        <v/>
      </c>
      <c r="K137" s="494" t="n"/>
    </row>
    <row r="138" ht="15" customHeight="1" s="341">
      <c r="A138" s="495" t="n"/>
      <c r="B138" s="382">
        <f>IF(A138="","",IFERROR(VLOOKUP(A138,DB_Customers!$A:$D,4,0),"❌ Account Not Found"))</f>
        <v/>
      </c>
      <c r="C138" s="496">
        <f>IF(A138="","",IFERROR(VLOOKUP(A138,DB_Customers!$A:$N,14,0),""))</f>
        <v/>
      </c>
      <c r="D138" s="497">
        <f>IF(A138="","",TODAY())</f>
        <v/>
      </c>
      <c r="E138" s="489" t="n"/>
      <c r="F138" s="498">
        <f>IF(OR(A138="",E138=""),"",IF(C138="","",C138+E138))</f>
        <v/>
      </c>
      <c r="G138" s="384" t="inlineStr">
        <is>
          <t>Agent 07</t>
        </is>
      </c>
      <c r="H138" s="491" t="n"/>
      <c r="I138" s="499">
        <f>IF(A138="","Pending",IF(H138="","⚠️ Enter Code",IF(IFERROR(VLOOKUP(G138,DB_Agents!$B:$I,8,0),"")=H138,IF(AND(A138&lt;&gt;"",E138&lt;&gt;""),"Saved","Pending"),"🔒 BLOCKED — Wrong Code")))</f>
        <v/>
      </c>
      <c r="J138" s="500">
        <f>IF(I138="Saved",TEXT(TODAY(),"YYYY-MM-DD")&amp;" Auto","—")</f>
        <v/>
      </c>
      <c r="K138" s="501" t="n"/>
    </row>
    <row r="139" ht="15" customHeight="1" s="341">
      <c r="A139" s="486" t="n"/>
      <c r="B139" s="378">
        <f>IF(A139="","",IFERROR(VLOOKUP(A139,DB_Customers!$A:$D,4,0),"❌ Account Not Found"))</f>
        <v/>
      </c>
      <c r="C139" s="487">
        <f>IF(A139="","",IFERROR(VLOOKUP(A139,DB_Customers!$A:$N,14,0),""))</f>
        <v/>
      </c>
      <c r="D139" s="488">
        <f>IF(A139="","",TODAY())</f>
        <v/>
      </c>
      <c r="E139" s="489" t="n"/>
      <c r="F139" s="490">
        <f>IF(OR(A139="",E139=""),"",IF(C139="","",C139+E139))</f>
        <v/>
      </c>
      <c r="G139" s="380" t="inlineStr">
        <is>
          <t>Agent 07</t>
        </is>
      </c>
      <c r="H139" s="491" t="n"/>
      <c r="I139" s="492">
        <f>IF(A139="","Pending",IF(H139="","⚠️ Enter Code",IF(IFERROR(VLOOKUP(G139,DB_Agents!$B:$I,8,0),"")=H139,IF(AND(A139&lt;&gt;"",E139&lt;&gt;""),"Saved","Pending"),"🔒 BLOCKED — Wrong Code")))</f>
        <v/>
      </c>
      <c r="J139" s="493">
        <f>IF(I139="Saved",TEXT(TODAY(),"YYYY-MM-DD")&amp;" Auto","—")</f>
        <v/>
      </c>
      <c r="K139" s="494" t="n"/>
    </row>
    <row r="140" ht="15" customHeight="1" s="341">
      <c r="A140" s="495" t="n"/>
      <c r="B140" s="382">
        <f>IF(A140="","",IFERROR(VLOOKUP(A140,DB_Customers!$A:$D,4,0),"❌ Account Not Found"))</f>
        <v/>
      </c>
      <c r="C140" s="496">
        <f>IF(A140="","",IFERROR(VLOOKUP(A140,DB_Customers!$A:$N,14,0),""))</f>
        <v/>
      </c>
      <c r="D140" s="497">
        <f>IF(A140="","",TODAY())</f>
        <v/>
      </c>
      <c r="E140" s="489" t="n"/>
      <c r="F140" s="498">
        <f>IF(OR(A140="",E140=""),"",IF(C140="","",C140+E140))</f>
        <v/>
      </c>
      <c r="G140" s="384" t="inlineStr">
        <is>
          <t>Agent 07</t>
        </is>
      </c>
      <c r="H140" s="491" t="n"/>
      <c r="I140" s="499">
        <f>IF(A140="","Pending",IF(H140="","⚠️ Enter Code",IF(IFERROR(VLOOKUP(G140,DB_Agents!$B:$I,8,0),"")=H140,IF(AND(A140&lt;&gt;"",E140&lt;&gt;""),"Saved","Pending"),"🔒 BLOCKED — Wrong Code")))</f>
        <v/>
      </c>
      <c r="J140" s="500">
        <f>IF(I140="Saved",TEXT(TODAY(),"YYYY-MM-DD")&amp;" Auto","—")</f>
        <v/>
      </c>
      <c r="K140" s="501" t="n"/>
    </row>
    <row r="141" ht="15" customHeight="1" s="341">
      <c r="A141" s="486" t="n"/>
      <c r="B141" s="378">
        <f>IF(A141="","",IFERROR(VLOOKUP(A141,DB_Customers!$A:$D,4,0),"❌ Account Not Found"))</f>
        <v/>
      </c>
      <c r="C141" s="487">
        <f>IF(A141="","",IFERROR(VLOOKUP(A141,DB_Customers!$A:$N,14,0),""))</f>
        <v/>
      </c>
      <c r="D141" s="488">
        <f>IF(A141="","",TODAY())</f>
        <v/>
      </c>
      <c r="E141" s="489" t="n"/>
      <c r="F141" s="490">
        <f>IF(OR(A141="",E141=""),"",IF(C141="","",C141+E141))</f>
        <v/>
      </c>
      <c r="G141" s="380" t="inlineStr">
        <is>
          <t>Agent 07</t>
        </is>
      </c>
      <c r="H141" s="491" t="n"/>
      <c r="I141" s="492">
        <f>IF(A141="","Pending",IF(H141="","⚠️ Enter Code",IF(IFERROR(VLOOKUP(G141,DB_Agents!$B:$I,8,0),"")=H141,IF(AND(A141&lt;&gt;"",E141&lt;&gt;""),"Saved","Pending"),"🔒 BLOCKED — Wrong Code")))</f>
        <v/>
      </c>
      <c r="J141" s="493">
        <f>IF(I141="Saved",TEXT(TODAY(),"YYYY-MM-DD")&amp;" Auto","—")</f>
        <v/>
      </c>
      <c r="K141" s="494" t="n"/>
    </row>
    <row r="142" ht="15" customHeight="1" s="341">
      <c r="A142" s="495" t="n"/>
      <c r="B142" s="382">
        <f>IF(A142="","",IFERROR(VLOOKUP(A142,DB_Customers!$A:$D,4,0),"❌ Account Not Found"))</f>
        <v/>
      </c>
      <c r="C142" s="496">
        <f>IF(A142="","",IFERROR(VLOOKUP(A142,DB_Customers!$A:$N,14,0),""))</f>
        <v/>
      </c>
      <c r="D142" s="497">
        <f>IF(A142="","",TODAY())</f>
        <v/>
      </c>
      <c r="E142" s="489" t="n"/>
      <c r="F142" s="498">
        <f>IF(OR(A142="",E142=""),"",IF(C142="","",C142+E142))</f>
        <v/>
      </c>
      <c r="G142" s="384" t="inlineStr">
        <is>
          <t>Agent 07</t>
        </is>
      </c>
      <c r="H142" s="491" t="n"/>
      <c r="I142" s="499">
        <f>IF(A142="","Pending",IF(H142="","⚠️ Enter Code",IF(IFERROR(VLOOKUP(G142,DB_Agents!$B:$I,8,0),"")=H142,IF(AND(A142&lt;&gt;"",E142&lt;&gt;""),"Saved","Pending"),"🔒 BLOCKED — Wrong Code")))</f>
        <v/>
      </c>
      <c r="J142" s="500">
        <f>IF(I142="Saved",TEXT(TODAY(),"YYYY-MM-DD")&amp;" Auto","—")</f>
        <v/>
      </c>
      <c r="K142" s="501" t="n"/>
    </row>
    <row r="143" ht="15" customHeight="1" s="341">
      <c r="A143" s="486" t="n"/>
      <c r="B143" s="378">
        <f>IF(A143="","",IFERROR(VLOOKUP(A143,DB_Customers!$A:$D,4,0),"❌ Account Not Found"))</f>
        <v/>
      </c>
      <c r="C143" s="487">
        <f>IF(A143="","",IFERROR(VLOOKUP(A143,DB_Customers!$A:$N,14,0),""))</f>
        <v/>
      </c>
      <c r="D143" s="488">
        <f>IF(A143="","",TODAY())</f>
        <v/>
      </c>
      <c r="E143" s="489" t="n"/>
      <c r="F143" s="490">
        <f>IF(OR(A143="",E143=""),"",IF(C143="","",C143+E143))</f>
        <v/>
      </c>
      <c r="G143" s="380" t="inlineStr">
        <is>
          <t>Agent 07</t>
        </is>
      </c>
      <c r="H143" s="491" t="n"/>
      <c r="I143" s="492">
        <f>IF(A143="","Pending",IF(H143="","⚠️ Enter Code",IF(IFERROR(VLOOKUP(G143,DB_Agents!$B:$I,8,0),"")=H143,IF(AND(A143&lt;&gt;"",E143&lt;&gt;""),"Saved","Pending"),"🔒 BLOCKED — Wrong Code")))</f>
        <v/>
      </c>
      <c r="J143" s="493">
        <f>IF(I143="Saved",TEXT(TODAY(),"YYYY-MM-DD")&amp;" Auto","—")</f>
        <v/>
      </c>
      <c r="K143" s="494" t="n"/>
    </row>
    <row r="144" ht="15" customHeight="1" s="341">
      <c r="A144" s="495" t="n"/>
      <c r="B144" s="382">
        <f>IF(A144="","",IFERROR(VLOOKUP(A144,DB_Customers!$A:$D,4,0),"❌ Account Not Found"))</f>
        <v/>
      </c>
      <c r="C144" s="496">
        <f>IF(A144="","",IFERROR(VLOOKUP(A144,DB_Customers!$A:$N,14,0),""))</f>
        <v/>
      </c>
      <c r="D144" s="497">
        <f>IF(A144="","",TODAY())</f>
        <v/>
      </c>
      <c r="E144" s="489" t="n"/>
      <c r="F144" s="498">
        <f>IF(OR(A144="",E144=""),"",IF(C144="","",C144+E144))</f>
        <v/>
      </c>
      <c r="G144" s="384" t="inlineStr">
        <is>
          <t>Agent 07</t>
        </is>
      </c>
      <c r="H144" s="491" t="n"/>
      <c r="I144" s="499">
        <f>IF(A144="","Pending",IF(H144="","⚠️ Enter Code",IF(IFERROR(VLOOKUP(G144,DB_Agents!$B:$I,8,0),"")=H144,IF(AND(A144&lt;&gt;"",E144&lt;&gt;""),"Saved","Pending"),"🔒 BLOCKED — Wrong Code")))</f>
        <v/>
      </c>
      <c r="J144" s="500">
        <f>IF(I144="Saved",TEXT(TODAY(),"YYYY-MM-DD")&amp;" Auto","—")</f>
        <v/>
      </c>
      <c r="K144" s="501" t="n"/>
    </row>
    <row r="145" ht="15" customHeight="1" s="341">
      <c r="A145" s="486" t="n"/>
      <c r="B145" s="378">
        <f>IF(A145="","",IFERROR(VLOOKUP(A145,DB_Customers!$A:$D,4,0),"❌ Account Not Found"))</f>
        <v/>
      </c>
      <c r="C145" s="487">
        <f>IF(A145="","",IFERROR(VLOOKUP(A145,DB_Customers!$A:$N,14,0),""))</f>
        <v/>
      </c>
      <c r="D145" s="488">
        <f>IF(A145="","",TODAY())</f>
        <v/>
      </c>
      <c r="E145" s="489" t="n"/>
      <c r="F145" s="490">
        <f>IF(OR(A145="",E145=""),"",IF(C145="","",C145+E145))</f>
        <v/>
      </c>
      <c r="G145" s="380" t="inlineStr">
        <is>
          <t>Agent 07</t>
        </is>
      </c>
      <c r="H145" s="491" t="n"/>
      <c r="I145" s="492">
        <f>IF(A145="","Pending",IF(H145="","⚠️ Enter Code",IF(IFERROR(VLOOKUP(G145,DB_Agents!$B:$I,8,0),"")=H145,IF(AND(A145&lt;&gt;"",E145&lt;&gt;""),"Saved","Pending"),"🔒 BLOCKED — Wrong Code")))</f>
        <v/>
      </c>
      <c r="J145" s="493">
        <f>IF(I145="Saved",TEXT(TODAY(),"YYYY-MM-DD")&amp;" Auto","—")</f>
        <v/>
      </c>
      <c r="K145" s="494" t="n"/>
    </row>
    <row r="146" ht="15" customHeight="1" s="341">
      <c r="A146" s="495" t="n"/>
      <c r="B146" s="382">
        <f>IF(A146="","",IFERROR(VLOOKUP(A146,DB_Customers!$A:$D,4,0),"❌ Account Not Found"))</f>
        <v/>
      </c>
      <c r="C146" s="496">
        <f>IF(A146="","",IFERROR(VLOOKUP(A146,DB_Customers!$A:$N,14,0),""))</f>
        <v/>
      </c>
      <c r="D146" s="497">
        <f>IF(A146="","",TODAY())</f>
        <v/>
      </c>
      <c r="E146" s="489" t="n"/>
      <c r="F146" s="498">
        <f>IF(OR(A146="",E146=""),"",IF(C146="","",C146+E146))</f>
        <v/>
      </c>
      <c r="G146" s="384" t="inlineStr">
        <is>
          <t>Agent 07</t>
        </is>
      </c>
      <c r="H146" s="491" t="n"/>
      <c r="I146" s="499">
        <f>IF(A146="","Pending",IF(H146="","⚠️ Enter Code",IF(IFERROR(VLOOKUP(G146,DB_Agents!$B:$I,8,0),"")=H146,IF(AND(A146&lt;&gt;"",E146&lt;&gt;""),"Saved","Pending"),"🔒 BLOCKED — Wrong Code")))</f>
        <v/>
      </c>
      <c r="J146" s="500">
        <f>IF(I146="Saved",TEXT(TODAY(),"YYYY-MM-DD")&amp;" Auto","—")</f>
        <v/>
      </c>
      <c r="K146" s="501" t="n"/>
    </row>
    <row r="147" ht="15" customHeight="1" s="341">
      <c r="A147" s="486" t="n"/>
      <c r="B147" s="378">
        <f>IF(A147="","",IFERROR(VLOOKUP(A147,DB_Customers!$A:$D,4,0),"❌ Account Not Found"))</f>
        <v/>
      </c>
      <c r="C147" s="487">
        <f>IF(A147="","",IFERROR(VLOOKUP(A147,DB_Customers!$A:$N,14,0),""))</f>
        <v/>
      </c>
      <c r="D147" s="488">
        <f>IF(A147="","",TODAY())</f>
        <v/>
      </c>
      <c r="E147" s="489" t="n"/>
      <c r="F147" s="490">
        <f>IF(OR(A147="",E147=""),"",IF(C147="","",C147+E147))</f>
        <v/>
      </c>
      <c r="G147" s="380" t="inlineStr">
        <is>
          <t>Agent 07</t>
        </is>
      </c>
      <c r="H147" s="491" t="n"/>
      <c r="I147" s="492">
        <f>IF(A147="","Pending",IF(H147="","⚠️ Enter Code",IF(IFERROR(VLOOKUP(G147,DB_Agents!$B:$I,8,0),"")=H147,IF(AND(A147&lt;&gt;"",E147&lt;&gt;""),"Saved","Pending"),"🔒 BLOCKED — Wrong Code")))</f>
        <v/>
      </c>
      <c r="J147" s="493">
        <f>IF(I147="Saved",TEXT(TODAY(),"YYYY-MM-DD")&amp;" Auto","—")</f>
        <v/>
      </c>
      <c r="K147" s="494" t="n"/>
    </row>
    <row r="148" ht="15" customHeight="1" s="341">
      <c r="A148" s="495" t="n"/>
      <c r="B148" s="382">
        <f>IF(A148="","",IFERROR(VLOOKUP(A148,DB_Customers!$A:$D,4,0),"❌ Account Not Found"))</f>
        <v/>
      </c>
      <c r="C148" s="496">
        <f>IF(A148="","",IFERROR(VLOOKUP(A148,DB_Customers!$A:$N,14,0),""))</f>
        <v/>
      </c>
      <c r="D148" s="497">
        <f>IF(A148="","",TODAY())</f>
        <v/>
      </c>
      <c r="E148" s="489" t="n"/>
      <c r="F148" s="498">
        <f>IF(OR(A148="",E148=""),"",IF(C148="","",C148+E148))</f>
        <v/>
      </c>
      <c r="G148" s="384" t="inlineStr">
        <is>
          <t>Agent 07</t>
        </is>
      </c>
      <c r="H148" s="491" t="n"/>
      <c r="I148" s="499">
        <f>IF(A148="","Pending",IF(H148="","⚠️ Enter Code",IF(IFERROR(VLOOKUP(G148,DB_Agents!$B:$I,8,0),"")=H148,IF(AND(A148&lt;&gt;"",E148&lt;&gt;""),"Saved","Pending"),"🔒 BLOCKED — Wrong Code")))</f>
        <v/>
      </c>
      <c r="J148" s="500">
        <f>IF(I148="Saved",TEXT(TODAY(),"YYYY-MM-DD")&amp;" Auto","—")</f>
        <v/>
      </c>
      <c r="K148" s="501" t="n"/>
    </row>
    <row r="149" ht="15" customHeight="1" s="341">
      <c r="A149" s="486" t="n"/>
      <c r="B149" s="378">
        <f>IF(A149="","",IFERROR(VLOOKUP(A149,DB_Customers!$A:$D,4,0),"❌ Account Not Found"))</f>
        <v/>
      </c>
      <c r="C149" s="487">
        <f>IF(A149="","",IFERROR(VLOOKUP(A149,DB_Customers!$A:$N,14,0),""))</f>
        <v/>
      </c>
      <c r="D149" s="488">
        <f>IF(A149="","",TODAY())</f>
        <v/>
      </c>
      <c r="E149" s="489" t="n"/>
      <c r="F149" s="490">
        <f>IF(OR(A149="",E149=""),"",IF(C149="","",C149+E149))</f>
        <v/>
      </c>
      <c r="G149" s="380" t="inlineStr">
        <is>
          <t>Agent 07</t>
        </is>
      </c>
      <c r="H149" s="491" t="n"/>
      <c r="I149" s="492">
        <f>IF(A149="","Pending",IF(H149="","⚠️ Enter Code",IF(IFERROR(VLOOKUP(G149,DB_Agents!$B:$I,8,0),"")=H149,IF(AND(A149&lt;&gt;"",E149&lt;&gt;""),"Saved","Pending"),"🔒 BLOCKED — Wrong Code")))</f>
        <v/>
      </c>
      <c r="J149" s="493">
        <f>IF(I149="Saved",TEXT(TODAY(),"YYYY-MM-DD")&amp;" Auto","—")</f>
        <v/>
      </c>
      <c r="K149" s="494" t="n"/>
    </row>
    <row r="150" ht="15" customHeight="1" s="341">
      <c r="A150" s="495" t="n"/>
      <c r="B150" s="382">
        <f>IF(A150="","",IFERROR(VLOOKUP(A150,DB_Customers!$A:$D,4,0),"❌ Account Not Found"))</f>
        <v/>
      </c>
      <c r="C150" s="496">
        <f>IF(A150="","",IFERROR(VLOOKUP(A150,DB_Customers!$A:$N,14,0),""))</f>
        <v/>
      </c>
      <c r="D150" s="497">
        <f>IF(A150="","",TODAY())</f>
        <v/>
      </c>
      <c r="E150" s="489" t="n"/>
      <c r="F150" s="498">
        <f>IF(OR(A150="",E150=""),"",IF(C150="","",C150+E150))</f>
        <v/>
      </c>
      <c r="G150" s="384" t="inlineStr">
        <is>
          <t>Agent 07</t>
        </is>
      </c>
      <c r="H150" s="491" t="n"/>
      <c r="I150" s="499">
        <f>IF(A150="","Pending",IF(H150="","⚠️ Enter Code",IF(IFERROR(VLOOKUP(G150,DB_Agents!$B:$I,8,0),"")=H150,IF(AND(A150&lt;&gt;"",E150&lt;&gt;""),"Saved","Pending"),"🔒 BLOCKED — Wrong Code")))</f>
        <v/>
      </c>
      <c r="J150" s="500">
        <f>IF(I150="Saved",TEXT(TODAY(),"YYYY-MM-DD")&amp;" Auto","—")</f>
        <v/>
      </c>
      <c r="K150" s="501" t="n"/>
    </row>
    <row r="151" ht="15" customHeight="1" s="341">
      <c r="A151" s="486" t="n"/>
      <c r="B151" s="378">
        <f>IF(A151="","",IFERROR(VLOOKUP(A151,DB_Customers!$A:$D,4,0),"❌ Account Not Found"))</f>
        <v/>
      </c>
      <c r="C151" s="487">
        <f>IF(A151="","",IFERROR(VLOOKUP(A151,DB_Customers!$A:$N,14,0),""))</f>
        <v/>
      </c>
      <c r="D151" s="488">
        <f>IF(A151="","",TODAY())</f>
        <v/>
      </c>
      <c r="E151" s="489" t="n"/>
      <c r="F151" s="490">
        <f>IF(OR(A151="",E151=""),"",IF(C151="","",C151+E151))</f>
        <v/>
      </c>
      <c r="G151" s="380" t="inlineStr">
        <is>
          <t>Agent 07</t>
        </is>
      </c>
      <c r="H151" s="491" t="n"/>
      <c r="I151" s="492">
        <f>IF(A151="","Pending",IF(H151="","⚠️ Enter Code",IF(IFERROR(VLOOKUP(G151,DB_Agents!$B:$I,8,0),"")=H151,IF(AND(A151&lt;&gt;"",E151&lt;&gt;""),"Saved","Pending"),"🔒 BLOCKED — Wrong Code")))</f>
        <v/>
      </c>
      <c r="J151" s="493">
        <f>IF(I151="Saved",TEXT(TODAY(),"YYYY-MM-DD")&amp;" Auto","—")</f>
        <v/>
      </c>
      <c r="K151" s="494" t="n"/>
    </row>
    <row r="152" ht="15" customHeight="1" s="341">
      <c r="A152" s="495" t="n"/>
      <c r="B152" s="382">
        <f>IF(A152="","",IFERROR(VLOOKUP(A152,DB_Customers!$A:$D,4,0),"❌ Account Not Found"))</f>
        <v/>
      </c>
      <c r="C152" s="496">
        <f>IF(A152="","",IFERROR(VLOOKUP(A152,DB_Customers!$A:$N,14,0),""))</f>
        <v/>
      </c>
      <c r="D152" s="497">
        <f>IF(A152="","",TODAY())</f>
        <v/>
      </c>
      <c r="E152" s="489" t="n"/>
      <c r="F152" s="498">
        <f>IF(OR(A152="",E152=""),"",IF(C152="","",C152+E152))</f>
        <v/>
      </c>
      <c r="G152" s="384" t="inlineStr">
        <is>
          <t>Agent 07</t>
        </is>
      </c>
      <c r="H152" s="491" t="n"/>
      <c r="I152" s="499">
        <f>IF(A152="","Pending",IF(H152="","⚠️ Enter Code",IF(IFERROR(VLOOKUP(G152,DB_Agents!$B:$I,8,0),"")=H152,IF(AND(A152&lt;&gt;"",E152&lt;&gt;""),"Saved","Pending"),"🔒 BLOCKED — Wrong Code")))</f>
        <v/>
      </c>
      <c r="J152" s="500">
        <f>IF(I152="Saved",TEXT(TODAY(),"YYYY-MM-DD")&amp;" Auto","—")</f>
        <v/>
      </c>
      <c r="K152" s="501" t="n"/>
    </row>
    <row r="153" ht="15" customHeight="1" s="341">
      <c r="A153" s="486" t="n"/>
      <c r="B153" s="378">
        <f>IF(A153="","",IFERROR(VLOOKUP(A153,DB_Customers!$A:$D,4,0),"❌ Account Not Found"))</f>
        <v/>
      </c>
      <c r="C153" s="487">
        <f>IF(A153="","",IFERROR(VLOOKUP(A153,DB_Customers!$A:$N,14,0),""))</f>
        <v/>
      </c>
      <c r="D153" s="488">
        <f>IF(A153="","",TODAY())</f>
        <v/>
      </c>
      <c r="E153" s="489" t="n"/>
      <c r="F153" s="490">
        <f>IF(OR(A153="",E153=""),"",IF(C153="","",C153+E153))</f>
        <v/>
      </c>
      <c r="G153" s="380" t="inlineStr">
        <is>
          <t>Agent 07</t>
        </is>
      </c>
      <c r="H153" s="491" t="n"/>
      <c r="I153" s="492">
        <f>IF(A153="","Pending",IF(H153="","⚠️ Enter Code",IF(IFERROR(VLOOKUP(G153,DB_Agents!$B:$I,8,0),"")=H153,IF(AND(A153&lt;&gt;"",E153&lt;&gt;""),"Saved","Pending"),"🔒 BLOCKED — Wrong Code")))</f>
        <v/>
      </c>
      <c r="J153" s="493">
        <f>IF(I153="Saved",TEXT(TODAY(),"YYYY-MM-DD")&amp;" Auto","—")</f>
        <v/>
      </c>
      <c r="K153" s="494" t="n"/>
    </row>
    <row r="154" ht="15" customHeight="1" s="341">
      <c r="A154" s="495" t="n"/>
      <c r="B154" s="382">
        <f>IF(A154="","",IFERROR(VLOOKUP(A154,DB_Customers!$A:$D,4,0),"❌ Account Not Found"))</f>
        <v/>
      </c>
      <c r="C154" s="496">
        <f>IF(A154="","",IFERROR(VLOOKUP(A154,DB_Customers!$A:$N,14,0),""))</f>
        <v/>
      </c>
      <c r="D154" s="497">
        <f>IF(A154="","",TODAY())</f>
        <v/>
      </c>
      <c r="E154" s="489" t="n"/>
      <c r="F154" s="498">
        <f>IF(OR(A154="",E154=""),"",IF(C154="","",C154+E154))</f>
        <v/>
      </c>
      <c r="G154" s="384" t="inlineStr">
        <is>
          <t>Agent 07</t>
        </is>
      </c>
      <c r="H154" s="491" t="n"/>
      <c r="I154" s="499">
        <f>IF(A154="","Pending",IF(H154="","⚠️ Enter Code",IF(IFERROR(VLOOKUP(G154,DB_Agents!$B:$I,8,0),"")=H154,IF(AND(A154&lt;&gt;"",E154&lt;&gt;""),"Saved","Pending"),"🔒 BLOCKED — Wrong Code")))</f>
        <v/>
      </c>
      <c r="J154" s="500">
        <f>IF(I154="Saved",TEXT(TODAY(),"YYYY-MM-DD")&amp;" Auto","—")</f>
        <v/>
      </c>
      <c r="K154" s="501" t="n"/>
    </row>
    <row r="155" ht="15" customHeight="1" s="341">
      <c r="A155" s="486" t="n"/>
      <c r="B155" s="378">
        <f>IF(A155="","",IFERROR(VLOOKUP(A155,DB_Customers!$A:$D,4,0),"❌ Account Not Found"))</f>
        <v/>
      </c>
      <c r="C155" s="487">
        <f>IF(A155="","",IFERROR(VLOOKUP(A155,DB_Customers!$A:$N,14,0),""))</f>
        <v/>
      </c>
      <c r="D155" s="488">
        <f>IF(A155="","",TODAY())</f>
        <v/>
      </c>
      <c r="E155" s="489" t="n"/>
      <c r="F155" s="490">
        <f>IF(OR(A155="",E155=""),"",IF(C155="","",C155+E155))</f>
        <v/>
      </c>
      <c r="G155" s="380" t="inlineStr">
        <is>
          <t>Agent 07</t>
        </is>
      </c>
      <c r="H155" s="491" t="n"/>
      <c r="I155" s="492">
        <f>IF(A155="","Pending",IF(H155="","⚠️ Enter Code",IF(IFERROR(VLOOKUP(G155,DB_Agents!$B:$I,8,0),"")=H155,IF(AND(A155&lt;&gt;"",E155&lt;&gt;""),"Saved","Pending"),"🔒 BLOCKED — Wrong Code")))</f>
        <v/>
      </c>
      <c r="J155" s="493">
        <f>IF(I155="Saved",TEXT(TODAY(),"YYYY-MM-DD")&amp;" Auto","—")</f>
        <v/>
      </c>
      <c r="K155" s="494" t="n"/>
    </row>
    <row r="156" ht="15" customHeight="1" s="341">
      <c r="A156" s="495" t="n"/>
      <c r="B156" s="382">
        <f>IF(A156="","",IFERROR(VLOOKUP(A156,DB_Customers!$A:$D,4,0),"❌ Account Not Found"))</f>
        <v/>
      </c>
      <c r="C156" s="496">
        <f>IF(A156="","",IFERROR(VLOOKUP(A156,DB_Customers!$A:$N,14,0),""))</f>
        <v/>
      </c>
      <c r="D156" s="497">
        <f>IF(A156="","",TODAY())</f>
        <v/>
      </c>
      <c r="E156" s="489" t="n"/>
      <c r="F156" s="498">
        <f>IF(OR(A156="",E156=""),"",IF(C156="","",C156+E156))</f>
        <v/>
      </c>
      <c r="G156" s="384" t="inlineStr">
        <is>
          <t>Agent 07</t>
        </is>
      </c>
      <c r="H156" s="491" t="n"/>
      <c r="I156" s="499">
        <f>IF(A156="","Pending",IF(H156="","⚠️ Enter Code",IF(IFERROR(VLOOKUP(G156,DB_Agents!$B:$I,8,0),"")=H156,IF(AND(A156&lt;&gt;"",E156&lt;&gt;""),"Saved","Pending"),"🔒 BLOCKED — Wrong Code")))</f>
        <v/>
      </c>
      <c r="J156" s="500">
        <f>IF(I156="Saved",TEXT(TODAY(),"YYYY-MM-DD")&amp;" Auto","—")</f>
        <v/>
      </c>
      <c r="K156" s="501" t="n"/>
    </row>
    <row r="157" ht="15" customHeight="1" s="341">
      <c r="A157" s="486" t="n"/>
      <c r="B157" s="378">
        <f>IF(A157="","",IFERROR(VLOOKUP(A157,DB_Customers!$A:$D,4,0),"❌ Account Not Found"))</f>
        <v/>
      </c>
      <c r="C157" s="487">
        <f>IF(A157="","",IFERROR(VLOOKUP(A157,DB_Customers!$A:$N,14,0),""))</f>
        <v/>
      </c>
      <c r="D157" s="488">
        <f>IF(A157="","",TODAY())</f>
        <v/>
      </c>
      <c r="E157" s="489" t="n"/>
      <c r="F157" s="490">
        <f>IF(OR(A157="",E157=""),"",IF(C157="","",C157+E157))</f>
        <v/>
      </c>
      <c r="G157" s="380" t="inlineStr">
        <is>
          <t>Agent 07</t>
        </is>
      </c>
      <c r="H157" s="491" t="n"/>
      <c r="I157" s="492">
        <f>IF(A157="","Pending",IF(H157="","⚠️ Enter Code",IF(IFERROR(VLOOKUP(G157,DB_Agents!$B:$I,8,0),"")=H157,IF(AND(A157&lt;&gt;"",E157&lt;&gt;""),"Saved","Pending"),"🔒 BLOCKED — Wrong Code")))</f>
        <v/>
      </c>
      <c r="J157" s="493">
        <f>IF(I157="Saved",TEXT(TODAY(),"YYYY-MM-DD")&amp;" Auto","—")</f>
        <v/>
      </c>
      <c r="K157" s="494" t="n"/>
    </row>
    <row r="158" ht="15" customHeight="1" s="341">
      <c r="A158" s="495" t="n"/>
      <c r="B158" s="382">
        <f>IF(A158="","",IFERROR(VLOOKUP(A158,DB_Customers!$A:$D,4,0),"❌ Account Not Found"))</f>
        <v/>
      </c>
      <c r="C158" s="496">
        <f>IF(A158="","",IFERROR(VLOOKUP(A158,DB_Customers!$A:$N,14,0),""))</f>
        <v/>
      </c>
      <c r="D158" s="497">
        <f>IF(A158="","",TODAY())</f>
        <v/>
      </c>
      <c r="E158" s="489" t="n"/>
      <c r="F158" s="498">
        <f>IF(OR(A158="",E158=""),"",IF(C158="","",C158+E158))</f>
        <v/>
      </c>
      <c r="G158" s="384" t="inlineStr">
        <is>
          <t>Agent 07</t>
        </is>
      </c>
      <c r="H158" s="491" t="n"/>
      <c r="I158" s="499">
        <f>IF(A158="","Pending",IF(H158="","⚠️ Enter Code",IF(IFERROR(VLOOKUP(G158,DB_Agents!$B:$I,8,0),"")=H158,IF(AND(A158&lt;&gt;"",E158&lt;&gt;""),"Saved","Pending"),"🔒 BLOCKED — Wrong Code")))</f>
        <v/>
      </c>
      <c r="J158" s="500">
        <f>IF(I158="Saved",TEXT(TODAY(),"YYYY-MM-DD")&amp;" Auto","—")</f>
        <v/>
      </c>
      <c r="K158" s="501" t="n"/>
    </row>
    <row r="159" ht="15" customHeight="1" s="341">
      <c r="A159" s="486" t="n"/>
      <c r="B159" s="378">
        <f>IF(A159="","",IFERROR(VLOOKUP(A159,DB_Customers!$A:$D,4,0),"❌ Account Not Found"))</f>
        <v/>
      </c>
      <c r="C159" s="487">
        <f>IF(A159="","",IFERROR(VLOOKUP(A159,DB_Customers!$A:$N,14,0),""))</f>
        <v/>
      </c>
      <c r="D159" s="488">
        <f>IF(A159="","",TODAY())</f>
        <v/>
      </c>
      <c r="E159" s="489" t="n"/>
      <c r="F159" s="490">
        <f>IF(OR(A159="",E159=""),"",IF(C159="","",C159+E159))</f>
        <v/>
      </c>
      <c r="G159" s="380" t="inlineStr">
        <is>
          <t>Agent 07</t>
        </is>
      </c>
      <c r="H159" s="491" t="n"/>
      <c r="I159" s="492">
        <f>IF(A159="","Pending",IF(H159="","⚠️ Enter Code",IF(IFERROR(VLOOKUP(G159,DB_Agents!$B:$I,8,0),"")=H159,IF(AND(A159&lt;&gt;"",E159&lt;&gt;""),"Saved","Pending"),"🔒 BLOCKED — Wrong Code")))</f>
        <v/>
      </c>
      <c r="J159" s="493">
        <f>IF(I159="Saved",TEXT(TODAY(),"YYYY-MM-DD")&amp;" Auto","—")</f>
        <v/>
      </c>
      <c r="K159" s="494" t="n"/>
    </row>
    <row r="160" ht="15" customHeight="1" s="341">
      <c r="A160" s="495" t="n"/>
      <c r="B160" s="382">
        <f>IF(A160="","",IFERROR(VLOOKUP(A160,DB_Customers!$A:$D,4,0),"❌ Account Not Found"))</f>
        <v/>
      </c>
      <c r="C160" s="496">
        <f>IF(A160="","",IFERROR(VLOOKUP(A160,DB_Customers!$A:$N,14,0),""))</f>
        <v/>
      </c>
      <c r="D160" s="497">
        <f>IF(A160="","",TODAY())</f>
        <v/>
      </c>
      <c r="E160" s="489" t="n"/>
      <c r="F160" s="498">
        <f>IF(OR(A160="",E160=""),"",IF(C160="","",C160+E160))</f>
        <v/>
      </c>
      <c r="G160" s="384" t="inlineStr">
        <is>
          <t>Agent 07</t>
        </is>
      </c>
      <c r="H160" s="491" t="n"/>
      <c r="I160" s="499">
        <f>IF(A160="","Pending",IF(H160="","⚠️ Enter Code",IF(IFERROR(VLOOKUP(G160,DB_Agents!$B:$I,8,0),"")=H160,IF(AND(A160&lt;&gt;"",E160&lt;&gt;""),"Saved","Pending"),"🔒 BLOCKED — Wrong Code")))</f>
        <v/>
      </c>
      <c r="J160" s="500">
        <f>IF(I160="Saved",TEXT(TODAY(),"YYYY-MM-DD")&amp;" Auto","—")</f>
        <v/>
      </c>
      <c r="K160" s="501" t="n"/>
    </row>
    <row r="161" ht="15" customHeight="1" s="341">
      <c r="A161" s="486" t="n"/>
      <c r="B161" s="378">
        <f>IF(A161="","",IFERROR(VLOOKUP(A161,DB_Customers!$A:$D,4,0),"❌ Account Not Found"))</f>
        <v/>
      </c>
      <c r="C161" s="487">
        <f>IF(A161="","",IFERROR(VLOOKUP(A161,DB_Customers!$A:$N,14,0),""))</f>
        <v/>
      </c>
      <c r="D161" s="488">
        <f>IF(A161="","",TODAY())</f>
        <v/>
      </c>
      <c r="E161" s="489" t="n"/>
      <c r="F161" s="490">
        <f>IF(OR(A161="",E161=""),"",IF(C161="","",C161+E161))</f>
        <v/>
      </c>
      <c r="G161" s="380" t="inlineStr">
        <is>
          <t>Agent 07</t>
        </is>
      </c>
      <c r="H161" s="491" t="n"/>
      <c r="I161" s="492">
        <f>IF(A161="","Pending",IF(H161="","⚠️ Enter Code",IF(IFERROR(VLOOKUP(G161,DB_Agents!$B:$I,8,0),"")=H161,IF(AND(A161&lt;&gt;"",E161&lt;&gt;""),"Saved","Pending"),"🔒 BLOCKED — Wrong Code")))</f>
        <v/>
      </c>
      <c r="J161" s="493">
        <f>IF(I161="Saved",TEXT(TODAY(),"YYYY-MM-DD")&amp;" Auto","—")</f>
        <v/>
      </c>
      <c r="K161" s="494" t="n"/>
    </row>
    <row r="162" ht="15" customHeight="1" s="341">
      <c r="A162" s="495" t="n"/>
      <c r="B162" s="382">
        <f>IF(A162="","",IFERROR(VLOOKUP(A162,DB_Customers!$A:$D,4,0),"❌ Account Not Found"))</f>
        <v/>
      </c>
      <c r="C162" s="496">
        <f>IF(A162="","",IFERROR(VLOOKUP(A162,DB_Customers!$A:$N,14,0),""))</f>
        <v/>
      </c>
      <c r="D162" s="497">
        <f>IF(A162="","",TODAY())</f>
        <v/>
      </c>
      <c r="E162" s="489" t="n"/>
      <c r="F162" s="498">
        <f>IF(OR(A162="",E162=""),"",IF(C162="","",C162+E162))</f>
        <v/>
      </c>
      <c r="G162" s="384" t="inlineStr">
        <is>
          <t>Agent 07</t>
        </is>
      </c>
      <c r="H162" s="491" t="n"/>
      <c r="I162" s="499">
        <f>IF(A162="","Pending",IF(H162="","⚠️ Enter Code",IF(IFERROR(VLOOKUP(G162,DB_Agents!$B:$I,8,0),"")=H162,IF(AND(A162&lt;&gt;"",E162&lt;&gt;""),"Saved","Pending"),"🔒 BLOCKED — Wrong Code")))</f>
        <v/>
      </c>
      <c r="J162" s="500">
        <f>IF(I162="Saved",TEXT(TODAY(),"YYYY-MM-DD")&amp;" Auto","—")</f>
        <v/>
      </c>
      <c r="K162" s="501" t="n"/>
    </row>
    <row r="163" ht="15" customHeight="1" s="341">
      <c r="A163" s="486" t="n"/>
      <c r="B163" s="378">
        <f>IF(A163="","",IFERROR(VLOOKUP(A163,DB_Customers!$A:$D,4,0),"❌ Account Not Found"))</f>
        <v/>
      </c>
      <c r="C163" s="487">
        <f>IF(A163="","",IFERROR(VLOOKUP(A163,DB_Customers!$A:$N,14,0),""))</f>
        <v/>
      </c>
      <c r="D163" s="488">
        <f>IF(A163="","",TODAY())</f>
        <v/>
      </c>
      <c r="E163" s="489" t="n"/>
      <c r="F163" s="490">
        <f>IF(OR(A163="",E163=""),"",IF(C163="","",C163+E163))</f>
        <v/>
      </c>
      <c r="G163" s="380" t="inlineStr">
        <is>
          <t>Agent 07</t>
        </is>
      </c>
      <c r="H163" s="491" t="n"/>
      <c r="I163" s="492">
        <f>IF(A163="","Pending",IF(H163="","⚠️ Enter Code",IF(IFERROR(VLOOKUP(G163,DB_Agents!$B:$I,8,0),"")=H163,IF(AND(A163&lt;&gt;"",E163&lt;&gt;""),"Saved","Pending"),"🔒 BLOCKED — Wrong Code")))</f>
        <v/>
      </c>
      <c r="J163" s="493">
        <f>IF(I163="Saved",TEXT(TODAY(),"YYYY-MM-DD")&amp;" Auto","—")</f>
        <v/>
      </c>
      <c r="K163" s="494" t="n"/>
    </row>
    <row r="164" ht="15" customHeight="1" s="341">
      <c r="A164" s="495" t="n"/>
      <c r="B164" s="382">
        <f>IF(A164="","",IFERROR(VLOOKUP(A164,DB_Customers!$A:$D,4,0),"❌ Account Not Found"))</f>
        <v/>
      </c>
      <c r="C164" s="496">
        <f>IF(A164="","",IFERROR(VLOOKUP(A164,DB_Customers!$A:$N,14,0),""))</f>
        <v/>
      </c>
      <c r="D164" s="497">
        <f>IF(A164="","",TODAY())</f>
        <v/>
      </c>
      <c r="E164" s="489" t="n"/>
      <c r="F164" s="498">
        <f>IF(OR(A164="",E164=""),"",IF(C164="","",C164+E164))</f>
        <v/>
      </c>
      <c r="G164" s="384" t="inlineStr">
        <is>
          <t>Agent 07</t>
        </is>
      </c>
      <c r="H164" s="491" t="n"/>
      <c r="I164" s="499">
        <f>IF(A164="","Pending",IF(H164="","⚠️ Enter Code",IF(IFERROR(VLOOKUP(G164,DB_Agents!$B:$I,8,0),"")=H164,IF(AND(A164&lt;&gt;"",E164&lt;&gt;""),"Saved","Pending"),"🔒 BLOCKED — Wrong Code")))</f>
        <v/>
      </c>
      <c r="J164" s="500">
        <f>IF(I164="Saved",TEXT(TODAY(),"YYYY-MM-DD")&amp;" Auto","—")</f>
        <v/>
      </c>
      <c r="K164" s="501" t="n"/>
    </row>
    <row r="165" ht="15" customHeight="1" s="341">
      <c r="A165" s="486" t="n"/>
      <c r="B165" s="378">
        <f>IF(A165="","",IFERROR(VLOOKUP(A165,DB_Customers!$A:$D,4,0),"❌ Account Not Found"))</f>
        <v/>
      </c>
      <c r="C165" s="487">
        <f>IF(A165="","",IFERROR(VLOOKUP(A165,DB_Customers!$A:$N,14,0),""))</f>
        <v/>
      </c>
      <c r="D165" s="488">
        <f>IF(A165="","",TODAY())</f>
        <v/>
      </c>
      <c r="E165" s="489" t="n"/>
      <c r="F165" s="490">
        <f>IF(OR(A165="",E165=""),"",IF(C165="","",C165+E165))</f>
        <v/>
      </c>
      <c r="G165" s="380" t="inlineStr">
        <is>
          <t>Agent 07</t>
        </is>
      </c>
      <c r="H165" s="491" t="n"/>
      <c r="I165" s="492">
        <f>IF(A165="","Pending",IF(H165="","⚠️ Enter Code",IF(IFERROR(VLOOKUP(G165,DB_Agents!$B:$I,8,0),"")=H165,IF(AND(A165&lt;&gt;"",E165&lt;&gt;""),"Saved","Pending"),"🔒 BLOCKED — Wrong Code")))</f>
        <v/>
      </c>
      <c r="J165" s="493">
        <f>IF(I165="Saved",TEXT(TODAY(),"YYYY-MM-DD")&amp;" Auto","—")</f>
        <v/>
      </c>
      <c r="K165" s="494" t="n"/>
    </row>
    <row r="166" ht="15" customHeight="1" s="341">
      <c r="A166" s="495" t="n"/>
      <c r="B166" s="382">
        <f>IF(A166="","",IFERROR(VLOOKUP(A166,DB_Customers!$A:$D,4,0),"❌ Account Not Found"))</f>
        <v/>
      </c>
      <c r="C166" s="496">
        <f>IF(A166="","",IFERROR(VLOOKUP(A166,DB_Customers!$A:$N,14,0),""))</f>
        <v/>
      </c>
      <c r="D166" s="497">
        <f>IF(A166="","",TODAY())</f>
        <v/>
      </c>
      <c r="E166" s="489" t="n"/>
      <c r="F166" s="498">
        <f>IF(OR(A166="",E166=""),"",IF(C166="","",C166+E166))</f>
        <v/>
      </c>
      <c r="G166" s="384" t="inlineStr">
        <is>
          <t>Agent 07</t>
        </is>
      </c>
      <c r="H166" s="491" t="n"/>
      <c r="I166" s="499">
        <f>IF(A166="","Pending",IF(H166="","⚠️ Enter Code",IF(IFERROR(VLOOKUP(G166,DB_Agents!$B:$I,8,0),"")=H166,IF(AND(A166&lt;&gt;"",E166&lt;&gt;""),"Saved","Pending"),"🔒 BLOCKED — Wrong Code")))</f>
        <v/>
      </c>
      <c r="J166" s="500">
        <f>IF(I166="Saved",TEXT(TODAY(),"YYYY-MM-DD")&amp;" Auto","—")</f>
        <v/>
      </c>
      <c r="K166" s="501" t="n"/>
    </row>
    <row r="167" ht="15" customHeight="1" s="341">
      <c r="A167" s="486" t="n"/>
      <c r="B167" s="378">
        <f>IF(A167="","",IFERROR(VLOOKUP(A167,DB_Customers!$A:$D,4,0),"❌ Account Not Found"))</f>
        <v/>
      </c>
      <c r="C167" s="487">
        <f>IF(A167="","",IFERROR(VLOOKUP(A167,DB_Customers!$A:$N,14,0),""))</f>
        <v/>
      </c>
      <c r="D167" s="488">
        <f>IF(A167="","",TODAY())</f>
        <v/>
      </c>
      <c r="E167" s="489" t="n"/>
      <c r="F167" s="490">
        <f>IF(OR(A167="",E167=""),"",IF(C167="","",C167+E167))</f>
        <v/>
      </c>
      <c r="G167" s="380" t="inlineStr">
        <is>
          <t>Agent 07</t>
        </is>
      </c>
      <c r="H167" s="491" t="n"/>
      <c r="I167" s="492">
        <f>IF(A167="","Pending",IF(H167="","⚠️ Enter Code",IF(IFERROR(VLOOKUP(G167,DB_Agents!$B:$I,8,0),"")=H167,IF(AND(A167&lt;&gt;"",E167&lt;&gt;""),"Saved","Pending"),"🔒 BLOCKED — Wrong Code")))</f>
        <v/>
      </c>
      <c r="J167" s="493">
        <f>IF(I167="Saved",TEXT(TODAY(),"YYYY-MM-DD")&amp;" Auto","—")</f>
        <v/>
      </c>
      <c r="K167" s="494" t="n"/>
    </row>
    <row r="168" ht="15" customHeight="1" s="341">
      <c r="A168" s="495" t="n"/>
      <c r="B168" s="382">
        <f>IF(A168="","",IFERROR(VLOOKUP(A168,DB_Customers!$A:$D,4,0),"❌ Account Not Found"))</f>
        <v/>
      </c>
      <c r="C168" s="496">
        <f>IF(A168="","",IFERROR(VLOOKUP(A168,DB_Customers!$A:$N,14,0),""))</f>
        <v/>
      </c>
      <c r="D168" s="497">
        <f>IF(A168="","",TODAY())</f>
        <v/>
      </c>
      <c r="E168" s="489" t="n"/>
      <c r="F168" s="498">
        <f>IF(OR(A168="",E168=""),"",IF(C168="","",C168+E168))</f>
        <v/>
      </c>
      <c r="G168" s="384" t="inlineStr">
        <is>
          <t>Agent 07</t>
        </is>
      </c>
      <c r="H168" s="491" t="n"/>
      <c r="I168" s="499">
        <f>IF(A168="","Pending",IF(H168="","⚠️ Enter Code",IF(IFERROR(VLOOKUP(G168,DB_Agents!$B:$I,8,0),"")=H168,IF(AND(A168&lt;&gt;"",E168&lt;&gt;""),"Saved","Pending"),"🔒 BLOCKED — Wrong Code")))</f>
        <v/>
      </c>
      <c r="J168" s="500">
        <f>IF(I168="Saved",TEXT(TODAY(),"YYYY-MM-DD")&amp;" Auto","—")</f>
        <v/>
      </c>
      <c r="K168" s="501" t="n"/>
    </row>
    <row r="169" ht="15" customHeight="1" s="341">
      <c r="A169" s="486" t="n"/>
      <c r="B169" s="378">
        <f>IF(A169="","",IFERROR(VLOOKUP(A169,DB_Customers!$A:$D,4,0),"❌ Account Not Found"))</f>
        <v/>
      </c>
      <c r="C169" s="487">
        <f>IF(A169="","",IFERROR(VLOOKUP(A169,DB_Customers!$A:$N,14,0),""))</f>
        <v/>
      </c>
      <c r="D169" s="488">
        <f>IF(A169="","",TODAY())</f>
        <v/>
      </c>
      <c r="E169" s="489" t="n"/>
      <c r="F169" s="490">
        <f>IF(OR(A169="",E169=""),"",IF(C169="","",C169+E169))</f>
        <v/>
      </c>
      <c r="G169" s="380" t="inlineStr">
        <is>
          <t>Agent 07</t>
        </is>
      </c>
      <c r="H169" s="491" t="n"/>
      <c r="I169" s="492">
        <f>IF(A169="","Pending",IF(H169="","⚠️ Enter Code",IF(IFERROR(VLOOKUP(G169,DB_Agents!$B:$I,8,0),"")=H169,IF(AND(A169&lt;&gt;"",E169&lt;&gt;""),"Saved","Pending"),"🔒 BLOCKED — Wrong Code")))</f>
        <v/>
      </c>
      <c r="J169" s="493">
        <f>IF(I169="Saved",TEXT(TODAY(),"YYYY-MM-DD")&amp;" Auto","—")</f>
        <v/>
      </c>
      <c r="K169" s="494" t="n"/>
    </row>
    <row r="170" ht="15" customHeight="1" s="341">
      <c r="A170" s="495" t="n"/>
      <c r="B170" s="382">
        <f>IF(A170="","",IFERROR(VLOOKUP(A170,DB_Customers!$A:$D,4,0),"❌ Account Not Found"))</f>
        <v/>
      </c>
      <c r="C170" s="496">
        <f>IF(A170="","",IFERROR(VLOOKUP(A170,DB_Customers!$A:$N,14,0),""))</f>
        <v/>
      </c>
      <c r="D170" s="497">
        <f>IF(A170="","",TODAY())</f>
        <v/>
      </c>
      <c r="E170" s="489" t="n"/>
      <c r="F170" s="498">
        <f>IF(OR(A170="",E170=""),"",IF(C170="","",C170+E170))</f>
        <v/>
      </c>
      <c r="G170" s="384" t="inlineStr">
        <is>
          <t>Agent 07</t>
        </is>
      </c>
      <c r="H170" s="491" t="n"/>
      <c r="I170" s="499">
        <f>IF(A170="","Pending",IF(H170="","⚠️ Enter Code",IF(IFERROR(VLOOKUP(G170,DB_Agents!$B:$I,8,0),"")=H170,IF(AND(A170&lt;&gt;"",E170&lt;&gt;""),"Saved","Pending"),"🔒 BLOCKED — Wrong Code")))</f>
        <v/>
      </c>
      <c r="J170" s="500">
        <f>IF(I170="Saved",TEXT(TODAY(),"YYYY-MM-DD")&amp;" Auto","—")</f>
        <v/>
      </c>
      <c r="K170" s="501" t="n"/>
    </row>
    <row r="171" ht="15" customHeight="1" s="341">
      <c r="A171" s="486" t="n"/>
      <c r="B171" s="378">
        <f>IF(A171="","",IFERROR(VLOOKUP(A171,DB_Customers!$A:$D,4,0),"❌ Account Not Found"))</f>
        <v/>
      </c>
      <c r="C171" s="487">
        <f>IF(A171="","",IFERROR(VLOOKUP(A171,DB_Customers!$A:$N,14,0),""))</f>
        <v/>
      </c>
      <c r="D171" s="488">
        <f>IF(A171="","",TODAY())</f>
        <v/>
      </c>
      <c r="E171" s="489" t="n"/>
      <c r="F171" s="490">
        <f>IF(OR(A171="",E171=""),"",IF(C171="","",C171+E171))</f>
        <v/>
      </c>
      <c r="G171" s="380" t="inlineStr">
        <is>
          <t>Agent 07</t>
        </is>
      </c>
      <c r="H171" s="491" t="n"/>
      <c r="I171" s="492">
        <f>IF(A171="","Pending",IF(H171="","⚠️ Enter Code",IF(IFERROR(VLOOKUP(G171,DB_Agents!$B:$I,8,0),"")=H171,IF(AND(A171&lt;&gt;"",E171&lt;&gt;""),"Saved","Pending"),"🔒 BLOCKED — Wrong Code")))</f>
        <v/>
      </c>
      <c r="J171" s="493">
        <f>IF(I171="Saved",TEXT(TODAY(),"YYYY-MM-DD")&amp;" Auto","—")</f>
        <v/>
      </c>
      <c r="K171" s="494" t="n"/>
    </row>
    <row r="172" ht="15" customHeight="1" s="341">
      <c r="A172" s="495" t="n"/>
      <c r="B172" s="382">
        <f>IF(A172="","",IFERROR(VLOOKUP(A172,DB_Customers!$A:$D,4,0),"❌ Account Not Found"))</f>
        <v/>
      </c>
      <c r="C172" s="496">
        <f>IF(A172="","",IFERROR(VLOOKUP(A172,DB_Customers!$A:$N,14,0),""))</f>
        <v/>
      </c>
      <c r="D172" s="497">
        <f>IF(A172="","",TODAY())</f>
        <v/>
      </c>
      <c r="E172" s="489" t="n"/>
      <c r="F172" s="498">
        <f>IF(OR(A172="",E172=""),"",IF(C172="","",C172+E172))</f>
        <v/>
      </c>
      <c r="G172" s="384" t="inlineStr">
        <is>
          <t>Agent 07</t>
        </is>
      </c>
      <c r="H172" s="491" t="n"/>
      <c r="I172" s="499">
        <f>IF(A172="","Pending",IF(H172="","⚠️ Enter Code",IF(IFERROR(VLOOKUP(G172,DB_Agents!$B:$I,8,0),"")=H172,IF(AND(A172&lt;&gt;"",E172&lt;&gt;""),"Saved","Pending"),"🔒 BLOCKED — Wrong Code")))</f>
        <v/>
      </c>
      <c r="J172" s="500">
        <f>IF(I172="Saved",TEXT(TODAY(),"YYYY-MM-DD")&amp;" Auto","—")</f>
        <v/>
      </c>
      <c r="K172" s="501" t="n"/>
    </row>
    <row r="173" ht="15" customHeight="1" s="341">
      <c r="A173" s="486" t="n"/>
      <c r="B173" s="378">
        <f>IF(A173="","",IFERROR(VLOOKUP(A173,DB_Customers!$A:$D,4,0),"❌ Account Not Found"))</f>
        <v/>
      </c>
      <c r="C173" s="487">
        <f>IF(A173="","",IFERROR(VLOOKUP(A173,DB_Customers!$A:$N,14,0),""))</f>
        <v/>
      </c>
      <c r="D173" s="488">
        <f>IF(A173="","",TODAY())</f>
        <v/>
      </c>
      <c r="E173" s="489" t="n"/>
      <c r="F173" s="490">
        <f>IF(OR(A173="",E173=""),"",IF(C173="","",C173+E173))</f>
        <v/>
      </c>
      <c r="G173" s="380" t="inlineStr">
        <is>
          <t>Agent 07</t>
        </is>
      </c>
      <c r="H173" s="491" t="n"/>
      <c r="I173" s="492">
        <f>IF(A173="","Pending",IF(H173="","⚠️ Enter Code",IF(IFERROR(VLOOKUP(G173,DB_Agents!$B:$I,8,0),"")=H173,IF(AND(A173&lt;&gt;"",E173&lt;&gt;""),"Saved","Pending"),"🔒 BLOCKED — Wrong Code")))</f>
        <v/>
      </c>
      <c r="J173" s="493">
        <f>IF(I173="Saved",TEXT(TODAY(),"YYYY-MM-DD")&amp;" Auto","—")</f>
        <v/>
      </c>
      <c r="K173" s="494" t="n"/>
    </row>
    <row r="174" ht="15" customHeight="1" s="341">
      <c r="A174" s="495" t="n"/>
      <c r="B174" s="382">
        <f>IF(A174="","",IFERROR(VLOOKUP(A174,DB_Customers!$A:$D,4,0),"❌ Account Not Found"))</f>
        <v/>
      </c>
      <c r="C174" s="496">
        <f>IF(A174="","",IFERROR(VLOOKUP(A174,DB_Customers!$A:$N,14,0),""))</f>
        <v/>
      </c>
      <c r="D174" s="497">
        <f>IF(A174="","",TODAY())</f>
        <v/>
      </c>
      <c r="E174" s="489" t="n"/>
      <c r="F174" s="498">
        <f>IF(OR(A174="",E174=""),"",IF(C174="","",C174+E174))</f>
        <v/>
      </c>
      <c r="G174" s="384" t="inlineStr">
        <is>
          <t>Agent 07</t>
        </is>
      </c>
      <c r="H174" s="491" t="n"/>
      <c r="I174" s="499">
        <f>IF(A174="","Pending",IF(H174="","⚠️ Enter Code",IF(IFERROR(VLOOKUP(G174,DB_Agents!$B:$I,8,0),"")=H174,IF(AND(A174&lt;&gt;"",E174&lt;&gt;""),"Saved","Pending"),"🔒 BLOCKED — Wrong Code")))</f>
        <v/>
      </c>
      <c r="J174" s="500">
        <f>IF(I174="Saved",TEXT(TODAY(),"YYYY-MM-DD")&amp;" Auto","—")</f>
        <v/>
      </c>
      <c r="K174" s="501" t="n"/>
    </row>
    <row r="175" ht="15" customHeight="1" s="341">
      <c r="A175" s="486" t="n"/>
      <c r="B175" s="378">
        <f>IF(A175="","",IFERROR(VLOOKUP(A175,DB_Customers!$A:$D,4,0),"❌ Account Not Found"))</f>
        <v/>
      </c>
      <c r="C175" s="487">
        <f>IF(A175="","",IFERROR(VLOOKUP(A175,DB_Customers!$A:$N,14,0),""))</f>
        <v/>
      </c>
      <c r="D175" s="488">
        <f>IF(A175="","",TODAY())</f>
        <v/>
      </c>
      <c r="E175" s="489" t="n"/>
      <c r="F175" s="490">
        <f>IF(OR(A175="",E175=""),"",IF(C175="","",C175+E175))</f>
        <v/>
      </c>
      <c r="G175" s="380" t="inlineStr">
        <is>
          <t>Agent 07</t>
        </is>
      </c>
      <c r="H175" s="491" t="n"/>
      <c r="I175" s="492">
        <f>IF(A175="","Pending",IF(H175="","⚠️ Enter Code",IF(IFERROR(VLOOKUP(G175,DB_Agents!$B:$I,8,0),"")=H175,IF(AND(A175&lt;&gt;"",E175&lt;&gt;""),"Saved","Pending"),"🔒 BLOCKED — Wrong Code")))</f>
        <v/>
      </c>
      <c r="J175" s="493">
        <f>IF(I175="Saved",TEXT(TODAY(),"YYYY-MM-DD")&amp;" Auto","—")</f>
        <v/>
      </c>
      <c r="K175" s="494" t="n"/>
    </row>
    <row r="176" ht="15" customHeight="1" s="341">
      <c r="A176" s="495" t="n"/>
      <c r="B176" s="382">
        <f>IF(A176="","",IFERROR(VLOOKUP(A176,DB_Customers!$A:$D,4,0),"❌ Account Not Found"))</f>
        <v/>
      </c>
      <c r="C176" s="496">
        <f>IF(A176="","",IFERROR(VLOOKUP(A176,DB_Customers!$A:$N,14,0),""))</f>
        <v/>
      </c>
      <c r="D176" s="497">
        <f>IF(A176="","",TODAY())</f>
        <v/>
      </c>
      <c r="E176" s="489" t="n"/>
      <c r="F176" s="498">
        <f>IF(OR(A176="",E176=""),"",IF(C176="","",C176+E176))</f>
        <v/>
      </c>
      <c r="G176" s="384" t="inlineStr">
        <is>
          <t>Agent 07</t>
        </is>
      </c>
      <c r="H176" s="491" t="n"/>
      <c r="I176" s="499">
        <f>IF(A176="","Pending",IF(H176="","⚠️ Enter Code",IF(IFERROR(VLOOKUP(G176,DB_Agents!$B:$I,8,0),"")=H176,IF(AND(A176&lt;&gt;"",E176&lt;&gt;""),"Saved","Pending"),"🔒 BLOCKED — Wrong Code")))</f>
        <v/>
      </c>
      <c r="J176" s="500">
        <f>IF(I176="Saved",TEXT(TODAY(),"YYYY-MM-DD")&amp;" Auto","—")</f>
        <v/>
      </c>
      <c r="K176" s="501" t="n"/>
    </row>
    <row r="177" ht="15" customHeight="1" s="341">
      <c r="A177" s="486" t="n"/>
      <c r="B177" s="378">
        <f>IF(A177="","",IFERROR(VLOOKUP(A177,DB_Customers!$A:$D,4,0),"❌ Account Not Found"))</f>
        <v/>
      </c>
      <c r="C177" s="487">
        <f>IF(A177="","",IFERROR(VLOOKUP(A177,DB_Customers!$A:$N,14,0),""))</f>
        <v/>
      </c>
      <c r="D177" s="488">
        <f>IF(A177="","",TODAY())</f>
        <v/>
      </c>
      <c r="E177" s="489" t="n"/>
      <c r="F177" s="490">
        <f>IF(OR(A177="",E177=""),"",IF(C177="","",C177+E177))</f>
        <v/>
      </c>
      <c r="G177" s="380" t="inlineStr">
        <is>
          <t>Agent 07</t>
        </is>
      </c>
      <c r="H177" s="491" t="n"/>
      <c r="I177" s="492">
        <f>IF(A177="","Pending",IF(H177="","⚠️ Enter Code",IF(IFERROR(VLOOKUP(G177,DB_Agents!$B:$I,8,0),"")=H177,IF(AND(A177&lt;&gt;"",E177&lt;&gt;""),"Saved","Pending"),"🔒 BLOCKED — Wrong Code")))</f>
        <v/>
      </c>
      <c r="J177" s="493">
        <f>IF(I177="Saved",TEXT(TODAY(),"YYYY-MM-DD")&amp;" Auto","—")</f>
        <v/>
      </c>
      <c r="K177" s="494" t="n"/>
    </row>
    <row r="178" ht="15" customHeight="1" s="341">
      <c r="A178" s="495" t="n"/>
      <c r="B178" s="382">
        <f>IF(A178="","",IFERROR(VLOOKUP(A178,DB_Customers!$A:$D,4,0),"❌ Account Not Found"))</f>
        <v/>
      </c>
      <c r="C178" s="496">
        <f>IF(A178="","",IFERROR(VLOOKUP(A178,DB_Customers!$A:$N,14,0),""))</f>
        <v/>
      </c>
      <c r="D178" s="497">
        <f>IF(A178="","",TODAY())</f>
        <v/>
      </c>
      <c r="E178" s="489" t="n"/>
      <c r="F178" s="498">
        <f>IF(OR(A178="",E178=""),"",IF(C178="","",C178+E178))</f>
        <v/>
      </c>
      <c r="G178" s="384" t="inlineStr">
        <is>
          <t>Agent 07</t>
        </is>
      </c>
      <c r="H178" s="491" t="n"/>
      <c r="I178" s="499">
        <f>IF(A178="","Pending",IF(H178="","⚠️ Enter Code",IF(IFERROR(VLOOKUP(G178,DB_Agents!$B:$I,8,0),"")=H178,IF(AND(A178&lt;&gt;"",E178&lt;&gt;""),"Saved","Pending"),"🔒 BLOCKED — Wrong Code")))</f>
        <v/>
      </c>
      <c r="J178" s="500">
        <f>IF(I178="Saved",TEXT(TODAY(),"YYYY-MM-DD")&amp;" Auto","—")</f>
        <v/>
      </c>
      <c r="K178" s="501" t="n"/>
    </row>
    <row r="179" ht="15" customHeight="1" s="341">
      <c r="A179" s="486" t="n"/>
      <c r="B179" s="378">
        <f>IF(A179="","",IFERROR(VLOOKUP(A179,DB_Customers!$A:$D,4,0),"❌ Account Not Found"))</f>
        <v/>
      </c>
      <c r="C179" s="487">
        <f>IF(A179="","",IFERROR(VLOOKUP(A179,DB_Customers!$A:$N,14,0),""))</f>
        <v/>
      </c>
      <c r="D179" s="488">
        <f>IF(A179="","",TODAY())</f>
        <v/>
      </c>
      <c r="E179" s="489" t="n"/>
      <c r="F179" s="490">
        <f>IF(OR(A179="",E179=""),"",IF(C179="","",C179+E179))</f>
        <v/>
      </c>
      <c r="G179" s="380" t="inlineStr">
        <is>
          <t>Agent 07</t>
        </is>
      </c>
      <c r="H179" s="491" t="n"/>
      <c r="I179" s="492">
        <f>IF(A179="","Pending",IF(H179="","⚠️ Enter Code",IF(IFERROR(VLOOKUP(G179,DB_Agents!$B:$I,8,0),"")=H179,IF(AND(A179&lt;&gt;"",E179&lt;&gt;""),"Saved","Pending"),"🔒 BLOCKED — Wrong Code")))</f>
        <v/>
      </c>
      <c r="J179" s="493">
        <f>IF(I179="Saved",TEXT(TODAY(),"YYYY-MM-DD")&amp;" Auto","—")</f>
        <v/>
      </c>
      <c r="K179" s="494" t="n"/>
    </row>
    <row r="180" ht="15" customHeight="1" s="341">
      <c r="A180" s="495" t="n"/>
      <c r="B180" s="382">
        <f>IF(A180="","",IFERROR(VLOOKUP(A180,DB_Customers!$A:$D,4,0),"❌ Account Not Found"))</f>
        <v/>
      </c>
      <c r="C180" s="496">
        <f>IF(A180="","",IFERROR(VLOOKUP(A180,DB_Customers!$A:$N,14,0),""))</f>
        <v/>
      </c>
      <c r="D180" s="497">
        <f>IF(A180="","",TODAY())</f>
        <v/>
      </c>
      <c r="E180" s="489" t="n"/>
      <c r="F180" s="498">
        <f>IF(OR(A180="",E180=""),"",IF(C180="","",C180+E180))</f>
        <v/>
      </c>
      <c r="G180" s="384" t="inlineStr">
        <is>
          <t>Agent 07</t>
        </is>
      </c>
      <c r="H180" s="491" t="n"/>
      <c r="I180" s="499">
        <f>IF(A180="","Pending",IF(H180="","⚠️ Enter Code",IF(IFERROR(VLOOKUP(G180,DB_Agents!$B:$I,8,0),"")=H180,IF(AND(A180&lt;&gt;"",E180&lt;&gt;""),"Saved","Pending"),"🔒 BLOCKED — Wrong Code")))</f>
        <v/>
      </c>
      <c r="J180" s="500">
        <f>IF(I180="Saved",TEXT(TODAY(),"YYYY-MM-DD")&amp;" Auto","—")</f>
        <v/>
      </c>
      <c r="K180" s="501" t="n"/>
    </row>
    <row r="181" ht="15" customHeight="1" s="341">
      <c r="A181" s="486" t="n"/>
      <c r="B181" s="378">
        <f>IF(A181="","",IFERROR(VLOOKUP(A181,DB_Customers!$A:$D,4,0),"❌ Account Not Found"))</f>
        <v/>
      </c>
      <c r="C181" s="487">
        <f>IF(A181="","",IFERROR(VLOOKUP(A181,DB_Customers!$A:$N,14,0),""))</f>
        <v/>
      </c>
      <c r="D181" s="488">
        <f>IF(A181="","",TODAY())</f>
        <v/>
      </c>
      <c r="E181" s="489" t="n"/>
      <c r="F181" s="490">
        <f>IF(OR(A181="",E181=""),"",IF(C181="","",C181+E181))</f>
        <v/>
      </c>
      <c r="G181" s="380" t="inlineStr">
        <is>
          <t>Agent 07</t>
        </is>
      </c>
      <c r="H181" s="491" t="n"/>
      <c r="I181" s="492">
        <f>IF(A181="","Pending",IF(H181="","⚠️ Enter Code",IF(IFERROR(VLOOKUP(G181,DB_Agents!$B:$I,8,0),"")=H181,IF(AND(A181&lt;&gt;"",E181&lt;&gt;""),"Saved","Pending"),"🔒 BLOCKED — Wrong Code")))</f>
        <v/>
      </c>
      <c r="J181" s="493">
        <f>IF(I181="Saved",TEXT(TODAY(),"YYYY-MM-DD")&amp;" Auto","—")</f>
        <v/>
      </c>
      <c r="K181" s="494" t="n"/>
    </row>
    <row r="182" ht="15" customHeight="1" s="341">
      <c r="A182" s="495" t="n"/>
      <c r="B182" s="382">
        <f>IF(A182="","",IFERROR(VLOOKUP(A182,DB_Customers!$A:$D,4,0),"❌ Account Not Found"))</f>
        <v/>
      </c>
      <c r="C182" s="496">
        <f>IF(A182="","",IFERROR(VLOOKUP(A182,DB_Customers!$A:$N,14,0),""))</f>
        <v/>
      </c>
      <c r="D182" s="497">
        <f>IF(A182="","",TODAY())</f>
        <v/>
      </c>
      <c r="E182" s="489" t="n"/>
      <c r="F182" s="498">
        <f>IF(OR(A182="",E182=""),"",IF(C182="","",C182+E182))</f>
        <v/>
      </c>
      <c r="G182" s="384" t="inlineStr">
        <is>
          <t>Agent 07</t>
        </is>
      </c>
      <c r="H182" s="491" t="n"/>
      <c r="I182" s="499">
        <f>IF(A182="","Pending",IF(H182="","⚠️ Enter Code",IF(IFERROR(VLOOKUP(G182,DB_Agents!$B:$I,8,0),"")=H182,IF(AND(A182&lt;&gt;"",E182&lt;&gt;""),"Saved","Pending"),"🔒 BLOCKED — Wrong Code")))</f>
        <v/>
      </c>
      <c r="J182" s="500">
        <f>IF(I182="Saved",TEXT(TODAY(),"YYYY-MM-DD")&amp;" Auto","—")</f>
        <v/>
      </c>
      <c r="K182" s="501" t="n"/>
    </row>
    <row r="183" ht="15" customHeight="1" s="341">
      <c r="A183" s="486" t="n"/>
      <c r="B183" s="378">
        <f>IF(A183="","",IFERROR(VLOOKUP(A183,DB_Customers!$A:$D,4,0),"❌ Account Not Found"))</f>
        <v/>
      </c>
      <c r="C183" s="487">
        <f>IF(A183="","",IFERROR(VLOOKUP(A183,DB_Customers!$A:$N,14,0),""))</f>
        <v/>
      </c>
      <c r="D183" s="488">
        <f>IF(A183="","",TODAY())</f>
        <v/>
      </c>
      <c r="E183" s="489" t="n"/>
      <c r="F183" s="490">
        <f>IF(OR(A183="",E183=""),"",IF(C183="","",C183+E183))</f>
        <v/>
      </c>
      <c r="G183" s="380" t="inlineStr">
        <is>
          <t>Agent 07</t>
        </is>
      </c>
      <c r="H183" s="491" t="n"/>
      <c r="I183" s="492">
        <f>IF(A183="","Pending",IF(H183="","⚠️ Enter Code",IF(IFERROR(VLOOKUP(G183,DB_Agents!$B:$I,8,0),"")=H183,IF(AND(A183&lt;&gt;"",E183&lt;&gt;""),"Saved","Pending"),"🔒 BLOCKED — Wrong Code")))</f>
        <v/>
      </c>
      <c r="J183" s="493">
        <f>IF(I183="Saved",TEXT(TODAY(),"YYYY-MM-DD")&amp;" Auto","—")</f>
        <v/>
      </c>
      <c r="K183" s="494" t="n"/>
    </row>
    <row r="184" ht="15" customHeight="1" s="341">
      <c r="A184" s="495" t="n"/>
      <c r="B184" s="382">
        <f>IF(A184="","",IFERROR(VLOOKUP(A184,DB_Customers!$A:$D,4,0),"❌ Account Not Found"))</f>
        <v/>
      </c>
      <c r="C184" s="496">
        <f>IF(A184="","",IFERROR(VLOOKUP(A184,DB_Customers!$A:$N,14,0),""))</f>
        <v/>
      </c>
      <c r="D184" s="497">
        <f>IF(A184="","",TODAY())</f>
        <v/>
      </c>
      <c r="E184" s="489" t="n"/>
      <c r="F184" s="498">
        <f>IF(OR(A184="",E184=""),"",IF(C184="","",C184+E184))</f>
        <v/>
      </c>
      <c r="G184" s="384" t="inlineStr">
        <is>
          <t>Agent 07</t>
        </is>
      </c>
      <c r="H184" s="491" t="n"/>
      <c r="I184" s="499">
        <f>IF(A184="","Pending",IF(H184="","⚠️ Enter Code",IF(IFERROR(VLOOKUP(G184,DB_Agents!$B:$I,8,0),"")=H184,IF(AND(A184&lt;&gt;"",E184&lt;&gt;""),"Saved","Pending"),"🔒 BLOCKED — Wrong Code")))</f>
        <v/>
      </c>
      <c r="J184" s="500">
        <f>IF(I184="Saved",TEXT(TODAY(),"YYYY-MM-DD")&amp;" Auto","—")</f>
        <v/>
      </c>
      <c r="K184" s="501" t="n"/>
    </row>
    <row r="185" ht="15" customHeight="1" s="341">
      <c r="A185" s="486" t="n"/>
      <c r="B185" s="378">
        <f>IF(A185="","",IFERROR(VLOOKUP(A185,DB_Customers!$A:$D,4,0),"❌ Account Not Found"))</f>
        <v/>
      </c>
      <c r="C185" s="487">
        <f>IF(A185="","",IFERROR(VLOOKUP(A185,DB_Customers!$A:$N,14,0),""))</f>
        <v/>
      </c>
      <c r="D185" s="488">
        <f>IF(A185="","",TODAY())</f>
        <v/>
      </c>
      <c r="E185" s="489" t="n"/>
      <c r="F185" s="490">
        <f>IF(OR(A185="",E185=""),"",IF(C185="","",C185+E185))</f>
        <v/>
      </c>
      <c r="G185" s="380" t="inlineStr">
        <is>
          <t>Agent 07</t>
        </is>
      </c>
      <c r="H185" s="491" t="n"/>
      <c r="I185" s="492">
        <f>IF(A185="","Pending",IF(H185="","⚠️ Enter Code",IF(IFERROR(VLOOKUP(G185,DB_Agents!$B:$I,8,0),"")=H185,IF(AND(A185&lt;&gt;"",E185&lt;&gt;""),"Saved","Pending"),"🔒 BLOCKED — Wrong Code")))</f>
        <v/>
      </c>
      <c r="J185" s="493">
        <f>IF(I185="Saved",TEXT(TODAY(),"YYYY-MM-DD")&amp;" Auto","—")</f>
        <v/>
      </c>
      <c r="K185" s="494" t="n"/>
    </row>
    <row r="186" ht="15" customHeight="1" s="341">
      <c r="A186" s="495" t="n"/>
      <c r="B186" s="382">
        <f>IF(A186="","",IFERROR(VLOOKUP(A186,DB_Customers!$A:$D,4,0),"❌ Account Not Found"))</f>
        <v/>
      </c>
      <c r="C186" s="496">
        <f>IF(A186="","",IFERROR(VLOOKUP(A186,DB_Customers!$A:$N,14,0),""))</f>
        <v/>
      </c>
      <c r="D186" s="497">
        <f>IF(A186="","",TODAY())</f>
        <v/>
      </c>
      <c r="E186" s="489" t="n"/>
      <c r="F186" s="498">
        <f>IF(OR(A186="",E186=""),"",IF(C186="","",C186+E186))</f>
        <v/>
      </c>
      <c r="G186" s="384" t="inlineStr">
        <is>
          <t>Agent 07</t>
        </is>
      </c>
      <c r="H186" s="491" t="n"/>
      <c r="I186" s="499">
        <f>IF(A186="","Pending",IF(H186="","⚠️ Enter Code",IF(IFERROR(VLOOKUP(G186,DB_Agents!$B:$I,8,0),"")=H186,IF(AND(A186&lt;&gt;"",E186&lt;&gt;""),"Saved","Pending"),"🔒 BLOCKED — Wrong Code")))</f>
        <v/>
      </c>
      <c r="J186" s="500">
        <f>IF(I186="Saved",TEXT(TODAY(),"YYYY-MM-DD")&amp;" Auto","—")</f>
        <v/>
      </c>
      <c r="K186" s="501" t="n"/>
    </row>
    <row r="187" ht="15" customHeight="1" s="341">
      <c r="A187" s="486" t="n"/>
      <c r="B187" s="378">
        <f>IF(A187="","",IFERROR(VLOOKUP(A187,DB_Customers!$A:$D,4,0),"❌ Account Not Found"))</f>
        <v/>
      </c>
      <c r="C187" s="487">
        <f>IF(A187="","",IFERROR(VLOOKUP(A187,DB_Customers!$A:$N,14,0),""))</f>
        <v/>
      </c>
      <c r="D187" s="488">
        <f>IF(A187="","",TODAY())</f>
        <v/>
      </c>
      <c r="E187" s="489" t="n"/>
      <c r="F187" s="490">
        <f>IF(OR(A187="",E187=""),"",IF(C187="","",C187+E187))</f>
        <v/>
      </c>
      <c r="G187" s="380" t="inlineStr">
        <is>
          <t>Agent 07</t>
        </is>
      </c>
      <c r="H187" s="491" t="n"/>
      <c r="I187" s="492">
        <f>IF(A187="","Pending",IF(H187="","⚠️ Enter Code",IF(IFERROR(VLOOKUP(G187,DB_Agents!$B:$I,8,0),"")=H187,IF(AND(A187&lt;&gt;"",E187&lt;&gt;""),"Saved","Pending"),"🔒 BLOCKED — Wrong Code")))</f>
        <v/>
      </c>
      <c r="J187" s="493">
        <f>IF(I187="Saved",TEXT(TODAY(),"YYYY-MM-DD")&amp;" Auto","—")</f>
        <v/>
      </c>
      <c r="K187" s="494" t="n"/>
    </row>
    <row r="188" ht="15" customHeight="1" s="341">
      <c r="A188" s="495" t="n"/>
      <c r="B188" s="382">
        <f>IF(A188="","",IFERROR(VLOOKUP(A188,DB_Customers!$A:$D,4,0),"❌ Account Not Found"))</f>
        <v/>
      </c>
      <c r="C188" s="496">
        <f>IF(A188="","",IFERROR(VLOOKUP(A188,DB_Customers!$A:$N,14,0),""))</f>
        <v/>
      </c>
      <c r="D188" s="497">
        <f>IF(A188="","",TODAY())</f>
        <v/>
      </c>
      <c r="E188" s="489" t="n"/>
      <c r="F188" s="498">
        <f>IF(OR(A188="",E188=""),"",IF(C188="","",C188+E188))</f>
        <v/>
      </c>
      <c r="G188" s="384" t="inlineStr">
        <is>
          <t>Agent 07</t>
        </is>
      </c>
      <c r="H188" s="491" t="n"/>
      <c r="I188" s="499">
        <f>IF(A188="","Pending",IF(H188="","⚠️ Enter Code",IF(IFERROR(VLOOKUP(G188,DB_Agents!$B:$I,8,0),"")=H188,IF(AND(A188&lt;&gt;"",E188&lt;&gt;""),"Saved","Pending"),"🔒 BLOCKED — Wrong Code")))</f>
        <v/>
      </c>
      <c r="J188" s="500">
        <f>IF(I188="Saved",TEXT(TODAY(),"YYYY-MM-DD")&amp;" Auto","—")</f>
        <v/>
      </c>
      <c r="K188" s="501" t="n"/>
    </row>
    <row r="189" ht="15" customHeight="1" s="341">
      <c r="A189" s="486" t="n"/>
      <c r="B189" s="378">
        <f>IF(A189="","",IFERROR(VLOOKUP(A189,DB_Customers!$A:$D,4,0),"❌ Account Not Found"))</f>
        <v/>
      </c>
      <c r="C189" s="487">
        <f>IF(A189="","",IFERROR(VLOOKUP(A189,DB_Customers!$A:$N,14,0),""))</f>
        <v/>
      </c>
      <c r="D189" s="488">
        <f>IF(A189="","",TODAY())</f>
        <v/>
      </c>
      <c r="E189" s="489" t="n"/>
      <c r="F189" s="490">
        <f>IF(OR(A189="",E189=""),"",IF(C189="","",C189+E189))</f>
        <v/>
      </c>
      <c r="G189" s="380" t="inlineStr">
        <is>
          <t>Agent 07</t>
        </is>
      </c>
      <c r="H189" s="491" t="n"/>
      <c r="I189" s="492">
        <f>IF(A189="","Pending",IF(H189="","⚠️ Enter Code",IF(IFERROR(VLOOKUP(G189,DB_Agents!$B:$I,8,0),"")=H189,IF(AND(A189&lt;&gt;"",E189&lt;&gt;""),"Saved","Pending"),"🔒 BLOCKED — Wrong Code")))</f>
        <v/>
      </c>
      <c r="J189" s="493">
        <f>IF(I189="Saved",TEXT(TODAY(),"YYYY-MM-DD")&amp;" Auto","—")</f>
        <v/>
      </c>
      <c r="K189" s="494" t="n"/>
    </row>
    <row r="190" ht="15" customHeight="1" s="341">
      <c r="A190" s="495" t="n"/>
      <c r="B190" s="382">
        <f>IF(A190="","",IFERROR(VLOOKUP(A190,DB_Customers!$A:$D,4,0),"❌ Account Not Found"))</f>
        <v/>
      </c>
      <c r="C190" s="496">
        <f>IF(A190="","",IFERROR(VLOOKUP(A190,DB_Customers!$A:$N,14,0),""))</f>
        <v/>
      </c>
      <c r="D190" s="497">
        <f>IF(A190="","",TODAY())</f>
        <v/>
      </c>
      <c r="E190" s="489" t="n"/>
      <c r="F190" s="498">
        <f>IF(OR(A190="",E190=""),"",IF(C190="","",C190+E190))</f>
        <v/>
      </c>
      <c r="G190" s="384" t="inlineStr">
        <is>
          <t>Agent 07</t>
        </is>
      </c>
      <c r="H190" s="491" t="n"/>
      <c r="I190" s="499">
        <f>IF(A190="","Pending",IF(H190="","⚠️ Enter Code",IF(IFERROR(VLOOKUP(G190,DB_Agents!$B:$I,8,0),"")=H190,IF(AND(A190&lt;&gt;"",E190&lt;&gt;""),"Saved","Pending"),"🔒 BLOCKED — Wrong Code")))</f>
        <v/>
      </c>
      <c r="J190" s="500">
        <f>IF(I190="Saved",TEXT(TODAY(),"YYYY-MM-DD")&amp;" Auto","—")</f>
        <v/>
      </c>
      <c r="K190" s="501" t="n"/>
    </row>
    <row r="191" ht="15" customHeight="1" s="341">
      <c r="A191" s="486" t="n"/>
      <c r="B191" s="378">
        <f>IF(A191="","",IFERROR(VLOOKUP(A191,DB_Customers!$A:$D,4,0),"❌ Account Not Found"))</f>
        <v/>
      </c>
      <c r="C191" s="487">
        <f>IF(A191="","",IFERROR(VLOOKUP(A191,DB_Customers!$A:$N,14,0),""))</f>
        <v/>
      </c>
      <c r="D191" s="488">
        <f>IF(A191="","",TODAY())</f>
        <v/>
      </c>
      <c r="E191" s="489" t="n"/>
      <c r="F191" s="490">
        <f>IF(OR(A191="",E191=""),"",IF(C191="","",C191+E191))</f>
        <v/>
      </c>
      <c r="G191" s="380" t="inlineStr">
        <is>
          <t>Agent 07</t>
        </is>
      </c>
      <c r="H191" s="491" t="n"/>
      <c r="I191" s="492">
        <f>IF(A191="","Pending",IF(H191="","⚠️ Enter Code",IF(IFERROR(VLOOKUP(G191,DB_Agents!$B:$I,8,0),"")=H191,IF(AND(A191&lt;&gt;"",E191&lt;&gt;""),"Saved","Pending"),"🔒 BLOCKED — Wrong Code")))</f>
        <v/>
      </c>
      <c r="J191" s="493">
        <f>IF(I191="Saved",TEXT(TODAY(),"YYYY-MM-DD")&amp;" Auto","—")</f>
        <v/>
      </c>
      <c r="K191" s="494" t="n"/>
    </row>
    <row r="192" ht="15" customHeight="1" s="341">
      <c r="A192" s="495" t="n"/>
      <c r="B192" s="382">
        <f>IF(A192="","",IFERROR(VLOOKUP(A192,DB_Customers!$A:$D,4,0),"❌ Account Not Found"))</f>
        <v/>
      </c>
      <c r="C192" s="496">
        <f>IF(A192="","",IFERROR(VLOOKUP(A192,DB_Customers!$A:$N,14,0),""))</f>
        <v/>
      </c>
      <c r="D192" s="497">
        <f>IF(A192="","",TODAY())</f>
        <v/>
      </c>
      <c r="E192" s="489" t="n"/>
      <c r="F192" s="498">
        <f>IF(OR(A192="",E192=""),"",IF(C192="","",C192+E192))</f>
        <v/>
      </c>
      <c r="G192" s="384" t="inlineStr">
        <is>
          <t>Agent 07</t>
        </is>
      </c>
      <c r="H192" s="491" t="n"/>
      <c r="I192" s="499">
        <f>IF(A192="","Pending",IF(H192="","⚠️ Enter Code",IF(IFERROR(VLOOKUP(G192,DB_Agents!$B:$I,8,0),"")=H192,IF(AND(A192&lt;&gt;"",E192&lt;&gt;""),"Saved","Pending"),"🔒 BLOCKED — Wrong Code")))</f>
        <v/>
      </c>
      <c r="J192" s="500">
        <f>IF(I192="Saved",TEXT(TODAY(),"YYYY-MM-DD")&amp;" Auto","—")</f>
        <v/>
      </c>
      <c r="K192" s="501" t="n"/>
    </row>
    <row r="193" ht="15" customHeight="1" s="341">
      <c r="A193" s="486" t="n"/>
      <c r="B193" s="378">
        <f>IF(A193="","",IFERROR(VLOOKUP(A193,DB_Customers!$A:$D,4,0),"❌ Account Not Found"))</f>
        <v/>
      </c>
      <c r="C193" s="487">
        <f>IF(A193="","",IFERROR(VLOOKUP(A193,DB_Customers!$A:$N,14,0),""))</f>
        <v/>
      </c>
      <c r="D193" s="488">
        <f>IF(A193="","",TODAY())</f>
        <v/>
      </c>
      <c r="E193" s="489" t="n"/>
      <c r="F193" s="490">
        <f>IF(OR(A193="",E193=""),"",IF(C193="","",C193+E193))</f>
        <v/>
      </c>
      <c r="G193" s="380" t="inlineStr">
        <is>
          <t>Agent 07</t>
        </is>
      </c>
      <c r="H193" s="491" t="n"/>
      <c r="I193" s="492">
        <f>IF(A193="","Pending",IF(H193="","⚠️ Enter Code",IF(IFERROR(VLOOKUP(G193,DB_Agents!$B:$I,8,0),"")=H193,IF(AND(A193&lt;&gt;"",E193&lt;&gt;""),"Saved","Pending"),"🔒 BLOCKED — Wrong Code")))</f>
        <v/>
      </c>
      <c r="J193" s="493">
        <f>IF(I193="Saved",TEXT(TODAY(),"YYYY-MM-DD")&amp;" Auto","—")</f>
        <v/>
      </c>
      <c r="K193" s="494" t="n"/>
    </row>
    <row r="194" ht="15" customHeight="1" s="341">
      <c r="A194" s="495" t="n"/>
      <c r="B194" s="382">
        <f>IF(A194="","",IFERROR(VLOOKUP(A194,DB_Customers!$A:$D,4,0),"❌ Account Not Found"))</f>
        <v/>
      </c>
      <c r="C194" s="496">
        <f>IF(A194="","",IFERROR(VLOOKUP(A194,DB_Customers!$A:$N,14,0),""))</f>
        <v/>
      </c>
      <c r="D194" s="497">
        <f>IF(A194="","",TODAY())</f>
        <v/>
      </c>
      <c r="E194" s="489" t="n"/>
      <c r="F194" s="498">
        <f>IF(OR(A194="",E194=""),"",IF(C194="","",C194+E194))</f>
        <v/>
      </c>
      <c r="G194" s="384" t="inlineStr">
        <is>
          <t>Agent 07</t>
        </is>
      </c>
      <c r="H194" s="491" t="n"/>
      <c r="I194" s="499">
        <f>IF(A194="","Pending",IF(H194="","⚠️ Enter Code",IF(IFERROR(VLOOKUP(G194,DB_Agents!$B:$I,8,0),"")=H194,IF(AND(A194&lt;&gt;"",E194&lt;&gt;""),"Saved","Pending"),"🔒 BLOCKED — Wrong Code")))</f>
        <v/>
      </c>
      <c r="J194" s="500">
        <f>IF(I194="Saved",TEXT(TODAY(),"YYYY-MM-DD")&amp;" Auto","—")</f>
        <v/>
      </c>
      <c r="K194" s="501" t="n"/>
    </row>
    <row r="195" ht="15" customHeight="1" s="341">
      <c r="A195" s="486" t="n"/>
      <c r="B195" s="378">
        <f>IF(A195="","",IFERROR(VLOOKUP(A195,DB_Customers!$A:$D,4,0),"❌ Account Not Found"))</f>
        <v/>
      </c>
      <c r="C195" s="487">
        <f>IF(A195="","",IFERROR(VLOOKUP(A195,DB_Customers!$A:$N,14,0),""))</f>
        <v/>
      </c>
      <c r="D195" s="488">
        <f>IF(A195="","",TODAY())</f>
        <v/>
      </c>
      <c r="E195" s="489" t="n"/>
      <c r="F195" s="490">
        <f>IF(OR(A195="",E195=""),"",IF(C195="","",C195+E195))</f>
        <v/>
      </c>
      <c r="G195" s="380" t="inlineStr">
        <is>
          <t>Agent 07</t>
        </is>
      </c>
      <c r="H195" s="491" t="n"/>
      <c r="I195" s="492">
        <f>IF(A195="","Pending",IF(H195="","⚠️ Enter Code",IF(IFERROR(VLOOKUP(G195,DB_Agents!$B:$I,8,0),"")=H195,IF(AND(A195&lt;&gt;"",E195&lt;&gt;""),"Saved","Pending"),"🔒 BLOCKED — Wrong Code")))</f>
        <v/>
      </c>
      <c r="J195" s="493">
        <f>IF(I195="Saved",TEXT(TODAY(),"YYYY-MM-DD")&amp;" Auto","—")</f>
        <v/>
      </c>
      <c r="K195" s="494" t="n"/>
    </row>
    <row r="196" ht="15" customHeight="1" s="341">
      <c r="A196" s="495" t="n"/>
      <c r="B196" s="382">
        <f>IF(A196="","",IFERROR(VLOOKUP(A196,DB_Customers!$A:$D,4,0),"❌ Account Not Found"))</f>
        <v/>
      </c>
      <c r="C196" s="496">
        <f>IF(A196="","",IFERROR(VLOOKUP(A196,DB_Customers!$A:$N,14,0),""))</f>
        <v/>
      </c>
      <c r="D196" s="497">
        <f>IF(A196="","",TODAY())</f>
        <v/>
      </c>
      <c r="E196" s="489" t="n"/>
      <c r="F196" s="498">
        <f>IF(OR(A196="",E196=""),"",IF(C196="","",C196+E196))</f>
        <v/>
      </c>
      <c r="G196" s="384" t="inlineStr">
        <is>
          <t>Agent 07</t>
        </is>
      </c>
      <c r="H196" s="491" t="n"/>
      <c r="I196" s="499">
        <f>IF(A196="","Pending",IF(H196="","⚠️ Enter Code",IF(IFERROR(VLOOKUP(G196,DB_Agents!$B:$I,8,0),"")=H196,IF(AND(A196&lt;&gt;"",E196&lt;&gt;""),"Saved","Pending"),"🔒 BLOCKED — Wrong Code")))</f>
        <v/>
      </c>
      <c r="J196" s="500">
        <f>IF(I196="Saved",TEXT(TODAY(),"YYYY-MM-DD")&amp;" Auto","—")</f>
        <v/>
      </c>
      <c r="K196" s="501" t="n"/>
    </row>
    <row r="197" ht="15" customHeight="1" s="341">
      <c r="A197" s="486" t="n"/>
      <c r="B197" s="378">
        <f>IF(A197="","",IFERROR(VLOOKUP(A197,DB_Customers!$A:$D,4,0),"❌ Account Not Found"))</f>
        <v/>
      </c>
      <c r="C197" s="487">
        <f>IF(A197="","",IFERROR(VLOOKUP(A197,DB_Customers!$A:$N,14,0),""))</f>
        <v/>
      </c>
      <c r="D197" s="488">
        <f>IF(A197="","",TODAY())</f>
        <v/>
      </c>
      <c r="E197" s="489" t="n"/>
      <c r="F197" s="490">
        <f>IF(OR(A197="",E197=""),"",IF(C197="","",C197+E197))</f>
        <v/>
      </c>
      <c r="G197" s="380" t="inlineStr">
        <is>
          <t>Agent 07</t>
        </is>
      </c>
      <c r="H197" s="491" t="n"/>
      <c r="I197" s="492">
        <f>IF(A197="","Pending",IF(H197="","⚠️ Enter Code",IF(IFERROR(VLOOKUP(G197,DB_Agents!$B:$I,8,0),"")=H197,IF(AND(A197&lt;&gt;"",E197&lt;&gt;""),"Saved","Pending"),"🔒 BLOCKED — Wrong Code")))</f>
        <v/>
      </c>
      <c r="J197" s="493">
        <f>IF(I197="Saved",TEXT(TODAY(),"YYYY-MM-DD")&amp;" Auto","—")</f>
        <v/>
      </c>
      <c r="K197" s="494" t="n"/>
    </row>
    <row r="198" ht="15" customHeight="1" s="341">
      <c r="A198" s="495" t="n"/>
      <c r="B198" s="382">
        <f>IF(A198="","",IFERROR(VLOOKUP(A198,DB_Customers!$A:$D,4,0),"❌ Account Not Found"))</f>
        <v/>
      </c>
      <c r="C198" s="496">
        <f>IF(A198="","",IFERROR(VLOOKUP(A198,DB_Customers!$A:$N,14,0),""))</f>
        <v/>
      </c>
      <c r="D198" s="497">
        <f>IF(A198="","",TODAY())</f>
        <v/>
      </c>
      <c r="E198" s="489" t="n"/>
      <c r="F198" s="498">
        <f>IF(OR(A198="",E198=""),"",IF(C198="","",C198+E198))</f>
        <v/>
      </c>
      <c r="G198" s="384" t="inlineStr">
        <is>
          <t>Agent 07</t>
        </is>
      </c>
      <c r="H198" s="491" t="n"/>
      <c r="I198" s="499">
        <f>IF(A198="","Pending",IF(H198="","⚠️ Enter Code",IF(IFERROR(VLOOKUP(G198,DB_Agents!$B:$I,8,0),"")=H198,IF(AND(A198&lt;&gt;"",E198&lt;&gt;""),"Saved","Pending"),"🔒 BLOCKED — Wrong Code")))</f>
        <v/>
      </c>
      <c r="J198" s="500">
        <f>IF(I198="Saved",TEXT(TODAY(),"YYYY-MM-DD")&amp;" Auto","—")</f>
        <v/>
      </c>
      <c r="K198" s="501" t="n"/>
    </row>
    <row r="199" ht="15" customHeight="1" s="341">
      <c r="A199" s="486" t="n"/>
      <c r="B199" s="378">
        <f>IF(A199="","",IFERROR(VLOOKUP(A199,DB_Customers!$A:$D,4,0),"❌ Account Not Found"))</f>
        <v/>
      </c>
      <c r="C199" s="487">
        <f>IF(A199="","",IFERROR(VLOOKUP(A199,DB_Customers!$A:$N,14,0),""))</f>
        <v/>
      </c>
      <c r="D199" s="488">
        <f>IF(A199="","",TODAY())</f>
        <v/>
      </c>
      <c r="E199" s="489" t="n"/>
      <c r="F199" s="490">
        <f>IF(OR(A199="",E199=""),"",IF(C199="","",C199+E199))</f>
        <v/>
      </c>
      <c r="G199" s="380" t="inlineStr">
        <is>
          <t>Agent 07</t>
        </is>
      </c>
      <c r="H199" s="491" t="n"/>
      <c r="I199" s="492">
        <f>IF(A199="","Pending",IF(H199="","⚠️ Enter Code",IF(IFERROR(VLOOKUP(G199,DB_Agents!$B:$I,8,0),"")=H199,IF(AND(A199&lt;&gt;"",E199&lt;&gt;""),"Saved","Pending"),"🔒 BLOCKED — Wrong Code")))</f>
        <v/>
      </c>
      <c r="J199" s="493">
        <f>IF(I199="Saved",TEXT(TODAY(),"YYYY-MM-DD")&amp;" Auto","—")</f>
        <v/>
      </c>
      <c r="K199" s="494" t="n"/>
    </row>
    <row r="200" ht="15" customHeight="1" s="341">
      <c r="A200" s="495" t="n"/>
      <c r="B200" s="382">
        <f>IF(A200="","",IFERROR(VLOOKUP(A200,DB_Customers!$A:$D,4,0),"❌ Account Not Found"))</f>
        <v/>
      </c>
      <c r="C200" s="496">
        <f>IF(A200="","",IFERROR(VLOOKUP(A200,DB_Customers!$A:$N,14,0),""))</f>
        <v/>
      </c>
      <c r="D200" s="497">
        <f>IF(A200="","",TODAY())</f>
        <v/>
      </c>
      <c r="E200" s="489" t="n"/>
      <c r="F200" s="498">
        <f>IF(OR(A200="",E200=""),"",IF(C200="","",C200+E200))</f>
        <v/>
      </c>
      <c r="G200" s="384" t="inlineStr">
        <is>
          <t>Agent 07</t>
        </is>
      </c>
      <c r="H200" s="491" t="n"/>
      <c r="I200" s="499">
        <f>IF(A200="","Pending",IF(H200="","⚠️ Enter Code",IF(IFERROR(VLOOKUP(G200,DB_Agents!$B:$I,8,0),"")=H200,IF(AND(A200&lt;&gt;"",E200&lt;&gt;""),"Saved","Pending"),"🔒 BLOCKED — Wrong Code")))</f>
        <v/>
      </c>
      <c r="J200" s="500">
        <f>IF(I200="Saved",TEXT(TODAY(),"YYYY-MM-DD")&amp;" Auto","—")</f>
        <v/>
      </c>
      <c r="K200" s="501" t="n"/>
    </row>
    <row r="201" ht="15" customHeight="1" s="341">
      <c r="A201" s="486" t="n"/>
      <c r="B201" s="378">
        <f>IF(A201="","",IFERROR(VLOOKUP(A201,DB_Customers!$A:$D,4,0),"❌ Account Not Found"))</f>
        <v/>
      </c>
      <c r="C201" s="487">
        <f>IF(A201="","",IFERROR(VLOOKUP(A201,DB_Customers!$A:$N,14,0),""))</f>
        <v/>
      </c>
      <c r="D201" s="488">
        <f>IF(A201="","",TODAY())</f>
        <v/>
      </c>
      <c r="E201" s="489" t="n"/>
      <c r="F201" s="490">
        <f>IF(OR(A201="",E201=""),"",IF(C201="","",C201+E201))</f>
        <v/>
      </c>
      <c r="G201" s="380" t="inlineStr">
        <is>
          <t>Agent 07</t>
        </is>
      </c>
      <c r="H201" s="491" t="n"/>
      <c r="I201" s="492">
        <f>IF(A201="","Pending",IF(H201="","⚠️ Enter Code",IF(IFERROR(VLOOKUP(G201,DB_Agents!$B:$I,8,0),"")=H201,IF(AND(A201&lt;&gt;"",E201&lt;&gt;""),"Saved","Pending"),"🔒 BLOCKED — Wrong Code")))</f>
        <v/>
      </c>
      <c r="J201" s="493">
        <f>IF(I201="Saved",TEXT(TODAY(),"YYYY-MM-DD")&amp;" Auto","—")</f>
        <v/>
      </c>
      <c r="K201" s="494" t="n"/>
    </row>
    <row r="202" ht="15" customHeight="1" s="341">
      <c r="A202" s="495" t="n"/>
      <c r="B202" s="382">
        <f>IF(A202="","",IFERROR(VLOOKUP(A202,DB_Customers!$A:$D,4,0),"❌ Account Not Found"))</f>
        <v/>
      </c>
      <c r="C202" s="496">
        <f>IF(A202="","",IFERROR(VLOOKUP(A202,DB_Customers!$A:$N,14,0),""))</f>
        <v/>
      </c>
      <c r="D202" s="497">
        <f>IF(A202="","",TODAY())</f>
        <v/>
      </c>
      <c r="E202" s="489" t="n"/>
      <c r="F202" s="498">
        <f>IF(OR(A202="",E202=""),"",IF(C202="","",C202+E202))</f>
        <v/>
      </c>
      <c r="G202" s="384" t="inlineStr">
        <is>
          <t>Agent 07</t>
        </is>
      </c>
      <c r="H202" s="491" t="n"/>
      <c r="I202" s="499">
        <f>IF(A202="","Pending",IF(H202="","⚠️ Enter Code",IF(IFERROR(VLOOKUP(G202,DB_Agents!$B:$I,8,0),"")=H202,IF(AND(A202&lt;&gt;"",E202&lt;&gt;""),"Saved","Pending"),"🔒 BLOCKED — Wrong Code")))</f>
        <v/>
      </c>
      <c r="J202" s="500">
        <f>IF(I202="Saved",TEXT(TODAY(),"YYYY-MM-DD")&amp;" Auto","—")</f>
        <v/>
      </c>
      <c r="K202" s="501" t="n"/>
    </row>
    <row r="203" ht="15" customHeight="1" s="341">
      <c r="A203" s="486" t="n"/>
      <c r="B203" s="378">
        <f>IF(A203="","",IFERROR(VLOOKUP(A203,DB_Customers!$A:$D,4,0),"❌ Account Not Found"))</f>
        <v/>
      </c>
      <c r="C203" s="487">
        <f>IF(A203="","",IFERROR(VLOOKUP(A203,DB_Customers!$A:$N,14,0),""))</f>
        <v/>
      </c>
      <c r="D203" s="488">
        <f>IF(A203="","",TODAY())</f>
        <v/>
      </c>
      <c r="E203" s="489" t="n"/>
      <c r="F203" s="490">
        <f>IF(OR(A203="",E203=""),"",IF(C203="","",C203+E203))</f>
        <v/>
      </c>
      <c r="G203" s="380" t="inlineStr">
        <is>
          <t>Agent 07</t>
        </is>
      </c>
      <c r="H203" s="491" t="n"/>
      <c r="I203" s="492">
        <f>IF(A203="","Pending",IF(H203="","⚠️ Enter Code",IF(IFERROR(VLOOKUP(G203,DB_Agents!$B:$I,8,0),"")=H203,IF(AND(A203&lt;&gt;"",E203&lt;&gt;""),"Saved","Pending"),"🔒 BLOCKED — Wrong Code")))</f>
        <v/>
      </c>
      <c r="J203" s="493">
        <f>IF(I203="Saved",TEXT(TODAY(),"YYYY-MM-DD")&amp;" Auto","—")</f>
        <v/>
      </c>
      <c r="K203" s="494" t="n"/>
    </row>
    <row r="204" ht="15" customHeight="1" s="341">
      <c r="A204" s="495" t="n"/>
      <c r="B204" s="382">
        <f>IF(A204="","",IFERROR(VLOOKUP(A204,DB_Customers!$A:$D,4,0),"❌ Account Not Found"))</f>
        <v/>
      </c>
      <c r="C204" s="496">
        <f>IF(A204="","",IFERROR(VLOOKUP(A204,DB_Customers!$A:$N,14,0),""))</f>
        <v/>
      </c>
      <c r="D204" s="497">
        <f>IF(A204="","",TODAY())</f>
        <v/>
      </c>
      <c r="E204" s="489" t="n"/>
      <c r="F204" s="498">
        <f>IF(OR(A204="",E204=""),"",IF(C204="","",C204+E204))</f>
        <v/>
      </c>
      <c r="G204" s="384" t="inlineStr">
        <is>
          <t>Agent 07</t>
        </is>
      </c>
      <c r="H204" s="491" t="n"/>
      <c r="I204" s="499">
        <f>IF(A204="","Pending",IF(H204="","⚠️ Enter Code",IF(IFERROR(VLOOKUP(G204,DB_Agents!$B:$I,8,0),"")=H204,IF(AND(A204&lt;&gt;"",E204&lt;&gt;""),"Saved","Pending"),"🔒 BLOCKED — Wrong Code")))</f>
        <v/>
      </c>
      <c r="J204" s="500">
        <f>IF(I204="Saved",TEXT(TODAY(),"YYYY-MM-DD")&amp;" Auto","—")</f>
        <v/>
      </c>
      <c r="K204" s="501" t="n"/>
    </row>
    <row r="205" ht="15" customHeight="1" s="341">
      <c r="A205" s="486" t="n"/>
      <c r="B205" s="378">
        <f>IF(A205="","",IFERROR(VLOOKUP(A205,DB_Customers!$A:$D,4,0),"❌ Account Not Found"))</f>
        <v/>
      </c>
      <c r="C205" s="487">
        <f>IF(A205="","",IFERROR(VLOOKUP(A205,DB_Customers!$A:$N,14,0),""))</f>
        <v/>
      </c>
      <c r="D205" s="488">
        <f>IF(A205="","",TODAY())</f>
        <v/>
      </c>
      <c r="E205" s="489" t="n"/>
      <c r="F205" s="490">
        <f>IF(OR(A205="",E205=""),"",IF(C205="","",C205+E205))</f>
        <v/>
      </c>
      <c r="G205" s="380" t="inlineStr">
        <is>
          <t>Agent 07</t>
        </is>
      </c>
      <c r="H205" s="491" t="n"/>
      <c r="I205" s="492">
        <f>IF(A205="","Pending",IF(H205="","⚠️ Enter Code",IF(IFERROR(VLOOKUP(G205,DB_Agents!$B:$I,8,0),"")=H205,IF(AND(A205&lt;&gt;"",E205&lt;&gt;""),"Saved","Pending"),"🔒 BLOCKED — Wrong Code")))</f>
        <v/>
      </c>
      <c r="J205" s="493">
        <f>IF(I205="Saved",TEXT(TODAY(),"YYYY-MM-DD")&amp;" Auto","—")</f>
        <v/>
      </c>
      <c r="K205" s="494" t="n"/>
    </row>
    <row r="206" ht="15" customHeight="1" s="341">
      <c r="A206" s="495" t="n"/>
      <c r="B206" s="382">
        <f>IF(A206="","",IFERROR(VLOOKUP(A206,DB_Customers!$A:$D,4,0),"❌ Account Not Found"))</f>
        <v/>
      </c>
      <c r="C206" s="496">
        <f>IF(A206="","",IFERROR(VLOOKUP(A206,DB_Customers!$A:$N,14,0),""))</f>
        <v/>
      </c>
      <c r="D206" s="497">
        <f>IF(A206="","",TODAY())</f>
        <v/>
      </c>
      <c r="E206" s="489" t="n"/>
      <c r="F206" s="498">
        <f>IF(OR(A206="",E206=""),"",IF(C206="","",C206+E206))</f>
        <v/>
      </c>
      <c r="G206" s="384" t="inlineStr">
        <is>
          <t>Agent 07</t>
        </is>
      </c>
      <c r="H206" s="491" t="n"/>
      <c r="I206" s="499">
        <f>IF(A206="","Pending",IF(H206="","⚠️ Enter Code",IF(IFERROR(VLOOKUP(G206,DB_Agents!$B:$I,8,0),"")=H206,IF(AND(A206&lt;&gt;"",E206&lt;&gt;""),"Saved","Pending"),"🔒 BLOCKED — Wrong Code")))</f>
        <v/>
      </c>
      <c r="J206" s="500">
        <f>IF(I206="Saved",TEXT(TODAY(),"YYYY-MM-DD")&amp;" Auto","—")</f>
        <v/>
      </c>
      <c r="K206" s="501" t="n"/>
    </row>
    <row r="207" ht="15" customHeight="1" s="341">
      <c r="A207" s="486" t="n"/>
      <c r="B207" s="378">
        <f>IF(A207="","",IFERROR(VLOOKUP(A207,DB_Customers!$A:$D,4,0),"❌ Account Not Found"))</f>
        <v/>
      </c>
      <c r="C207" s="487">
        <f>IF(A207="","",IFERROR(VLOOKUP(A207,DB_Customers!$A:$N,14,0),""))</f>
        <v/>
      </c>
      <c r="D207" s="488">
        <f>IF(A207="","",TODAY())</f>
        <v/>
      </c>
      <c r="E207" s="489" t="n"/>
      <c r="F207" s="490">
        <f>IF(OR(A207="",E207=""),"",IF(C207="","",C207+E207))</f>
        <v/>
      </c>
      <c r="G207" s="380" t="inlineStr">
        <is>
          <t>Agent 07</t>
        </is>
      </c>
      <c r="H207" s="491" t="n"/>
      <c r="I207" s="492">
        <f>IF(A207="","Pending",IF(H207="","⚠️ Enter Code",IF(IFERROR(VLOOKUP(G207,DB_Agents!$B:$I,8,0),"")=H207,IF(AND(A207&lt;&gt;"",E207&lt;&gt;""),"Saved","Pending"),"🔒 BLOCKED — Wrong Code")))</f>
        <v/>
      </c>
      <c r="J207" s="493">
        <f>IF(I207="Saved",TEXT(TODAY(),"YYYY-MM-DD")&amp;" Auto","—")</f>
        <v/>
      </c>
      <c r="K207" s="494" t="n"/>
    </row>
    <row r="208" ht="15" customHeight="1" s="341">
      <c r="A208" s="495" t="n"/>
      <c r="B208" s="382">
        <f>IF(A208="","",IFERROR(VLOOKUP(A208,DB_Customers!$A:$D,4,0),"❌ Account Not Found"))</f>
        <v/>
      </c>
      <c r="C208" s="496">
        <f>IF(A208="","",IFERROR(VLOOKUP(A208,DB_Customers!$A:$N,14,0),""))</f>
        <v/>
      </c>
      <c r="D208" s="497">
        <f>IF(A208="","",TODAY())</f>
        <v/>
      </c>
      <c r="E208" s="489" t="n"/>
      <c r="F208" s="498">
        <f>IF(OR(A208="",E208=""),"",IF(C208="","",C208+E208))</f>
        <v/>
      </c>
      <c r="G208" s="384" t="inlineStr">
        <is>
          <t>Agent 07</t>
        </is>
      </c>
      <c r="H208" s="491" t="n"/>
      <c r="I208" s="499">
        <f>IF(A208="","Pending",IF(H208="","⚠️ Enter Code",IF(IFERROR(VLOOKUP(G208,DB_Agents!$B:$I,8,0),"")=H208,IF(AND(A208&lt;&gt;"",E208&lt;&gt;""),"Saved","Pending"),"🔒 BLOCKED — Wrong Code")))</f>
        <v/>
      </c>
      <c r="J208" s="500">
        <f>IF(I208="Saved",TEXT(TODAY(),"YYYY-MM-DD")&amp;" Auto","—")</f>
        <v/>
      </c>
      <c r="K208" s="501" t="n"/>
    </row>
  </sheetData>
  <mergeCells count="12">
    <mergeCell ref="A2:L2"/>
    <mergeCell ref="A7:L7"/>
    <mergeCell ref="A1:L1"/>
    <mergeCell ref="A5:L5"/>
    <mergeCell ref="D4:F4"/>
    <mergeCell ref="D3:F3"/>
    <mergeCell ref="A3:C3"/>
    <mergeCell ref="G3:I3"/>
    <mergeCell ref="G4:I4"/>
    <mergeCell ref="J4:L4"/>
    <mergeCell ref="A4:C4"/>
    <mergeCell ref="J3:L3"/>
  </mergeCells>
  <conditionalFormatting sqref="H9:H208">
    <cfRule type="cellIs" rank="0" priority="2" equalAverage="0" operator="equal" aboveAverage="0" dxfId="0" text="" percent="0" bottom="0">
      <formula>"Saved"</formula>
    </cfRule>
    <cfRule type="cellIs" rank="0" priority="3" equalAverage="0" operator="equal" aboveAverage="0" dxfId="11" text="" percent="0" bottom="0">
      <formula>"Pending"</formula>
    </cfRule>
  </conditionalFormatting>
  <conditionalFormatting sqref="A9:J208">
    <cfRule type="expression" rank="0" priority="4" equalAverage="0" aboveAverage="0" dxfId="12" text="" percent="0" bottom="0">
      <formula>$H9="Saved"</formula>
    </cfRule>
  </conditionalFormatting>
  <dataValidations count="2">
    <dataValidation sqref="E9:E208" showDropDown="0" showInputMessage="0" showErrorMessage="1" allowBlank="0" error="Must be &gt; 0" type="decimal" errorStyle="stop" operator="greaterThan">
      <formula1>0</formula1>
      <formula2>0</formula2>
    </dataValidation>
    <dataValidation sqref="G9:G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5.xml><?xml version="1.0" encoding="utf-8"?>
<worksheet xmlns="http://schemas.openxmlformats.org/spreadsheetml/2006/main">
  <sheetPr filterMode="0">
    <tabColor rgb="FFC0392B"/>
    <outlinePr summaryBelow="1" summaryRight="1"/>
    <pageSetUpPr fitToPage="0"/>
  </sheetPr>
  <dimension ref="A1:M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5" customWidth="1" style="340" min="7" max="7"/>
    <col width="12" customWidth="1" style="340" min="8" max="8"/>
    <col width="14" customWidth="1" style="340" min="9" max="9"/>
    <col width="22" customWidth="1" style="340" min="10" max="10"/>
    <col width="20" customWidth="1" style="340" min="11" max="11"/>
  </cols>
  <sheetData>
    <row r="1" ht="31.5" customHeight="1" s="341">
      <c r="A1" s="502" t="inlineStr">
        <is>
          <t>🏧  SAMICIOUS MICROFINANCE — AGENT07 WITHDRAWALS</t>
        </is>
      </c>
    </row>
    <row r="2" ht="19.5" customHeight="1" s="341">
      <c r="A2" s="503" t="inlineStr">
        <is>
          <t>Agent: Agent 07  |  Status auto: "Successful" or "Unsuccessful" based on balance check  |  🔑 Security: Enter your 4-digit Agent Code in each row</t>
        </is>
      </c>
    </row>
    <row r="3" ht="18" customHeight="1" s="341">
      <c r="A3" s="365" t="inlineStr">
        <is>
          <t>🏧 Total Withdrawn Today</t>
        </is>
      </c>
      <c r="D3" s="364" t="inlineStr">
        <is>
          <t>✅ Successful</t>
        </is>
      </c>
      <c r="G3" s="368" t="inlineStr">
        <is>
          <t>❌ Unsuccessful</t>
        </is>
      </c>
      <c r="K3" s="439" t="inlineStr">
        <is>
          <t>📅 Date</t>
        </is>
      </c>
    </row>
    <row r="4" ht="27.75" customHeight="1" s="341">
      <c r="A4" s="504">
        <f>SUMIFS(DB_Withdrawals!$G:$G,DB_Withdrawals!$J:$J,"Agent 07",DB_Withdrawals!$F:$F,TODAY())</f>
        <v/>
      </c>
      <c r="D4" s="505">
        <f>COUNTIFS(DB_Withdrawals!$J:$J,"Agent 07",DB_Withdrawals!$K:$K,"Successful",DB_Withdrawals!$F:$F,TODAY())</f>
        <v/>
      </c>
      <c r="G4" s="506">
        <f>COUNTIFS(DB_Withdrawals!$J:$J,"Agent 07",DB_Withdrawals!$K:$K,"Unsuccessful",DB_Withdrawals!$F:$F,TODAY())</f>
        <v/>
      </c>
      <c r="K4" s="482">
        <f>TEXT(TODAY(),"DD MMM YYYY")</f>
        <v/>
      </c>
    </row>
    <row r="5" ht="19.5" customHeight="1" s="341">
      <c r="A5" s="507" t="inlineStr">
        <is>
          <t>⚠️  WITHDRAWALS — System auto-validates balance. Insufficient funds will show "Unsuccessful" status.</t>
        </is>
      </c>
    </row>
    <row r="6" ht="7.5" customHeight="1" s="341"/>
    <row r="7" ht="19.5" customHeight="1" s="341">
      <c r="A7" s="508" t="inlineStr">
        <is>
          <t>📝  ENTRY FORM — Enter Account # → Name, Balance, Date auto-populate. Enter Withdrawal Amount &amp; Authorized By. | Enter Agent Code in 🔑 column to authorize each transaction.</t>
        </is>
      </c>
    </row>
    <row r="8" ht="19.5" customHeight="1" s="341">
      <c r="A8" s="509" t="inlineStr">
        <is>
          <t>Account #</t>
        </is>
      </c>
      <c r="B8" s="509" t="inlineStr">
        <is>
          <t>Customer Name</t>
        </is>
      </c>
      <c r="C8" s="509" t="inlineStr">
        <is>
          <t>Available Balance</t>
        </is>
      </c>
      <c r="D8" s="509" t="inlineStr">
        <is>
          <t>Date</t>
        </is>
      </c>
      <c r="E8" s="509" t="inlineStr">
        <is>
          <t>Withdrawal Amt</t>
        </is>
      </c>
      <c r="F8" s="509" t="inlineStr">
        <is>
          <t>Authorized By</t>
        </is>
      </c>
      <c r="G8" s="509" t="inlineStr">
        <is>
          <t>New Balance</t>
        </is>
      </c>
      <c r="H8" s="509" t="inlineStr">
        <is>
          <t>Agent</t>
        </is>
      </c>
      <c r="I8" s="485" t="inlineStr">
        <is>
          <t>🔑 Agent Code</t>
        </is>
      </c>
      <c r="J8" s="509" t="inlineStr">
        <is>
          <t>Status</t>
        </is>
      </c>
      <c r="K8" s="509" t="inlineStr">
        <is>
          <t>Saved At</t>
        </is>
      </c>
      <c r="L8" s="509" t="inlineStr">
        <is>
          <t>Notes</t>
        </is>
      </c>
    </row>
    <row r="9" ht="15" customHeight="1" s="341">
      <c r="A9" s="486" t="n"/>
      <c r="B9" s="378">
        <f>IF(A9="","",IFERROR(VLOOKUP(A9,DB_Customers!$A:$D,4,0),"❌ Account Not Found"))</f>
        <v/>
      </c>
      <c r="C9" s="487">
        <f>IF(A9="","",IFERROR(VLOOKUP(A9,DB_Customers!$A:$N,14,0),""))</f>
        <v/>
      </c>
      <c r="D9" s="488">
        <f>IF(A9="","",TODAY())</f>
        <v/>
      </c>
      <c r="E9" s="510" t="n"/>
      <c r="F9" s="378" t="n"/>
      <c r="G9" s="511">
        <f>IF(OR(A9="",E9=""),"",IF(C9="","",C9-E9))</f>
        <v/>
      </c>
      <c r="H9" s="380" t="inlineStr">
        <is>
          <t>Agent 07</t>
        </is>
      </c>
      <c r="I9" s="491" t="n"/>
      <c r="J9" s="492">
        <f>IF(AND(A9&lt;&gt;"",E9&lt;&gt;""),IF(I9="","⚠️ Enter Code",IF(IFERROR(VLOOKUP(H9,DB_Agents!$B:$I,8,0),"")=I9,IF(C9&gt;=E9,"Successful","Unsuccessful"),"🔒 BLOCKED — Wrong Code")),"—")</f>
        <v/>
      </c>
      <c r="K9" s="493">
        <f>IF(J9="Successful",TEXT(TODAY(),"YYYY-MM-DD")&amp;" Auto","—")</f>
        <v/>
      </c>
      <c r="L9" s="494" t="n"/>
    </row>
    <row r="10" ht="15" customHeight="1" s="341">
      <c r="A10" s="495" t="n"/>
      <c r="B10" s="382">
        <f>IF(A10="","",IFERROR(VLOOKUP(A10,DB_Customers!$A:$D,4,0),"❌ Account Not Found"))</f>
        <v/>
      </c>
      <c r="C10" s="496">
        <f>IF(A10="","",IFERROR(VLOOKUP(A10,DB_Customers!$A:$N,14,0),""))</f>
        <v/>
      </c>
      <c r="D10" s="497">
        <f>IF(A10="","",TODAY())</f>
        <v/>
      </c>
      <c r="E10" s="510" t="n"/>
      <c r="F10" s="382" t="n"/>
      <c r="G10" s="512">
        <f>IF(OR(A10="",E10=""),"",IF(C10="","",C10-E10))</f>
        <v/>
      </c>
      <c r="H10" s="384" t="inlineStr">
        <is>
          <t>Agent 07</t>
        </is>
      </c>
      <c r="I10" s="491" t="n"/>
      <c r="J10" s="499">
        <f>IF(AND(A10&lt;&gt;"",E10&lt;&gt;""),IF(I10="","⚠️ Enter Code",IF(IFERROR(VLOOKUP(H10,DB_Agents!$B:$I,8,0),"")=I10,IF(C10&gt;=E10,"Successful","Unsuccessful"),"🔒 BLOCKED — Wrong Code")),"—")</f>
        <v/>
      </c>
      <c r="K10" s="500">
        <f>IF(J10="Successful",TEXT(TODAY(),"YYYY-MM-DD")&amp;" Auto","—")</f>
        <v/>
      </c>
      <c r="L10" s="501" t="n"/>
    </row>
    <row r="11" ht="15" customHeight="1" s="341">
      <c r="A11" s="486" t="n"/>
      <c r="B11" s="378">
        <f>IF(A11="","",IFERROR(VLOOKUP(A11,DB_Customers!$A:$D,4,0),"❌ Account Not Found"))</f>
        <v/>
      </c>
      <c r="C11" s="487">
        <f>IF(A11="","",IFERROR(VLOOKUP(A11,DB_Customers!$A:$N,14,0),""))</f>
        <v/>
      </c>
      <c r="D11" s="488">
        <f>IF(A11="","",TODAY())</f>
        <v/>
      </c>
      <c r="E11" s="510" t="n"/>
      <c r="F11" s="378" t="n"/>
      <c r="G11" s="511">
        <f>IF(OR(A11="",E11=""),"",IF(C11="","",C11-E11))</f>
        <v/>
      </c>
      <c r="H11" s="380" t="inlineStr">
        <is>
          <t>Agent 07</t>
        </is>
      </c>
      <c r="I11" s="491" t="n"/>
      <c r="J11" s="492">
        <f>IF(AND(A11&lt;&gt;"",E11&lt;&gt;""),IF(I11="","⚠️ Enter Code",IF(IFERROR(VLOOKUP(H11,DB_Agents!$B:$I,8,0),"")=I11,IF(C11&gt;=E11,"Successful","Unsuccessful"),"🔒 BLOCKED — Wrong Code")),"—")</f>
        <v/>
      </c>
      <c r="K11" s="493">
        <f>IF(J11="Successful",TEXT(TODAY(),"YYYY-MM-DD")&amp;" Auto","—")</f>
        <v/>
      </c>
      <c r="L11" s="494" t="n"/>
    </row>
    <row r="12" ht="15" customHeight="1" s="341">
      <c r="A12" s="495" t="n"/>
      <c r="B12" s="382">
        <f>IF(A12="","",IFERROR(VLOOKUP(A12,DB_Customers!$A:$D,4,0),"❌ Account Not Found"))</f>
        <v/>
      </c>
      <c r="C12" s="496">
        <f>IF(A12="","",IFERROR(VLOOKUP(A12,DB_Customers!$A:$N,14,0),""))</f>
        <v/>
      </c>
      <c r="D12" s="497">
        <f>IF(A12="","",TODAY())</f>
        <v/>
      </c>
      <c r="E12" s="510" t="n"/>
      <c r="F12" s="382" t="n"/>
      <c r="G12" s="512">
        <f>IF(OR(A12="",E12=""),"",IF(C12="","",C12-E12))</f>
        <v/>
      </c>
      <c r="H12" s="384" t="inlineStr">
        <is>
          <t>Agent 07</t>
        </is>
      </c>
      <c r="I12" s="491" t="n"/>
      <c r="J12" s="499">
        <f>IF(AND(A12&lt;&gt;"",E12&lt;&gt;""),IF(I12="","⚠️ Enter Code",IF(IFERROR(VLOOKUP(H12,DB_Agents!$B:$I,8,0),"")=I12,IF(C12&gt;=E12,"Successful","Unsuccessful"),"🔒 BLOCKED — Wrong Code")),"—")</f>
        <v/>
      </c>
      <c r="K12" s="500">
        <f>IF(J12="Successful",TEXT(TODAY(),"YYYY-MM-DD")&amp;" Auto","—")</f>
        <v/>
      </c>
      <c r="L12" s="501" t="n"/>
    </row>
    <row r="13" ht="15" customHeight="1" s="341">
      <c r="A13" s="486" t="n"/>
      <c r="B13" s="378">
        <f>IF(A13="","",IFERROR(VLOOKUP(A13,DB_Customers!$A:$D,4,0),"❌ Account Not Found"))</f>
        <v/>
      </c>
      <c r="C13" s="487">
        <f>IF(A13="","",IFERROR(VLOOKUP(A13,DB_Customers!$A:$N,14,0),""))</f>
        <v/>
      </c>
      <c r="D13" s="488">
        <f>IF(A13="","",TODAY())</f>
        <v/>
      </c>
      <c r="E13" s="510" t="n"/>
      <c r="F13" s="378" t="n"/>
      <c r="G13" s="511">
        <f>IF(OR(A13="",E13=""),"",IF(C13="","",C13-E13))</f>
        <v/>
      </c>
      <c r="H13" s="380" t="inlineStr">
        <is>
          <t>Agent 07</t>
        </is>
      </c>
      <c r="I13" s="491" t="n"/>
      <c r="J13" s="492">
        <f>IF(AND(A13&lt;&gt;"",E13&lt;&gt;""),IF(I13="","⚠️ Enter Code",IF(IFERROR(VLOOKUP(H13,DB_Agents!$B:$I,8,0),"")=I13,IF(C13&gt;=E13,"Successful","Unsuccessful"),"🔒 BLOCKED — Wrong Code")),"—")</f>
        <v/>
      </c>
      <c r="K13" s="493">
        <f>IF(J13="Successful",TEXT(TODAY(),"YYYY-MM-DD")&amp;" Auto","—")</f>
        <v/>
      </c>
      <c r="L13" s="494" t="n"/>
    </row>
    <row r="14" ht="15" customHeight="1" s="341">
      <c r="A14" s="495" t="n"/>
      <c r="B14" s="382">
        <f>IF(A14="","",IFERROR(VLOOKUP(A14,DB_Customers!$A:$D,4,0),"❌ Account Not Found"))</f>
        <v/>
      </c>
      <c r="C14" s="496">
        <f>IF(A14="","",IFERROR(VLOOKUP(A14,DB_Customers!$A:$N,14,0),""))</f>
        <v/>
      </c>
      <c r="D14" s="497">
        <f>IF(A14="","",TODAY())</f>
        <v/>
      </c>
      <c r="E14" s="510" t="n"/>
      <c r="F14" s="382" t="n"/>
      <c r="G14" s="512">
        <f>IF(OR(A14="",E14=""),"",IF(C14="","",C14-E14))</f>
        <v/>
      </c>
      <c r="H14" s="384" t="inlineStr">
        <is>
          <t>Agent 07</t>
        </is>
      </c>
      <c r="I14" s="491" t="n"/>
      <c r="J14" s="499">
        <f>IF(AND(A14&lt;&gt;"",E14&lt;&gt;""),IF(I14="","⚠️ Enter Code",IF(IFERROR(VLOOKUP(H14,DB_Agents!$B:$I,8,0),"")=I14,IF(C14&gt;=E14,"Successful","Unsuccessful"),"🔒 BLOCKED — Wrong Code")),"—")</f>
        <v/>
      </c>
      <c r="K14" s="500">
        <f>IF(J14="Successful",TEXT(TODAY(),"YYYY-MM-DD")&amp;" Auto","—")</f>
        <v/>
      </c>
      <c r="L14" s="501" t="n"/>
    </row>
    <row r="15" ht="15" customHeight="1" s="341">
      <c r="A15" s="486" t="n"/>
      <c r="B15" s="378">
        <f>IF(A15="","",IFERROR(VLOOKUP(A15,DB_Customers!$A:$D,4,0),"❌ Account Not Found"))</f>
        <v/>
      </c>
      <c r="C15" s="487">
        <f>IF(A15="","",IFERROR(VLOOKUP(A15,DB_Customers!$A:$N,14,0),""))</f>
        <v/>
      </c>
      <c r="D15" s="488">
        <f>IF(A15="","",TODAY())</f>
        <v/>
      </c>
      <c r="E15" s="510" t="n"/>
      <c r="F15" s="378" t="n"/>
      <c r="G15" s="511">
        <f>IF(OR(A15="",E15=""),"",IF(C15="","",C15-E15))</f>
        <v/>
      </c>
      <c r="H15" s="380" t="inlineStr">
        <is>
          <t>Agent 07</t>
        </is>
      </c>
      <c r="I15" s="491" t="n"/>
      <c r="J15" s="492">
        <f>IF(AND(A15&lt;&gt;"",E15&lt;&gt;""),IF(I15="","⚠️ Enter Code",IF(IFERROR(VLOOKUP(H15,DB_Agents!$B:$I,8,0),"")=I15,IF(C15&gt;=E15,"Successful","Unsuccessful"),"🔒 BLOCKED — Wrong Code")),"—")</f>
        <v/>
      </c>
      <c r="K15" s="493">
        <f>IF(J15="Successful",TEXT(TODAY(),"YYYY-MM-DD")&amp;" Auto","—")</f>
        <v/>
      </c>
      <c r="L15" s="494" t="n"/>
    </row>
    <row r="16" ht="15" customHeight="1" s="341">
      <c r="A16" s="495" t="n"/>
      <c r="B16" s="382">
        <f>IF(A16="","",IFERROR(VLOOKUP(A16,DB_Customers!$A:$D,4,0),"❌ Account Not Found"))</f>
        <v/>
      </c>
      <c r="C16" s="496">
        <f>IF(A16="","",IFERROR(VLOOKUP(A16,DB_Customers!$A:$N,14,0),""))</f>
        <v/>
      </c>
      <c r="D16" s="497">
        <f>IF(A16="","",TODAY())</f>
        <v/>
      </c>
      <c r="E16" s="510" t="n"/>
      <c r="F16" s="382" t="n"/>
      <c r="G16" s="512">
        <f>IF(OR(A16="",E16=""),"",IF(C16="","",C16-E16))</f>
        <v/>
      </c>
      <c r="H16" s="384" t="inlineStr">
        <is>
          <t>Agent 07</t>
        </is>
      </c>
      <c r="I16" s="491" t="n"/>
      <c r="J16" s="499">
        <f>IF(AND(A16&lt;&gt;"",E16&lt;&gt;""),IF(I16="","⚠️ Enter Code",IF(IFERROR(VLOOKUP(H16,DB_Agents!$B:$I,8,0),"")=I16,IF(C16&gt;=E16,"Successful","Unsuccessful"),"🔒 BLOCKED — Wrong Code")),"—")</f>
        <v/>
      </c>
      <c r="K16" s="500">
        <f>IF(J16="Successful",TEXT(TODAY(),"YYYY-MM-DD")&amp;" Auto","—")</f>
        <v/>
      </c>
      <c r="L16" s="501" t="n"/>
    </row>
    <row r="17" ht="15" customHeight="1" s="341">
      <c r="A17" s="486" t="n"/>
      <c r="B17" s="378">
        <f>IF(A17="","",IFERROR(VLOOKUP(A17,DB_Customers!$A:$D,4,0),"❌ Account Not Found"))</f>
        <v/>
      </c>
      <c r="C17" s="487">
        <f>IF(A17="","",IFERROR(VLOOKUP(A17,DB_Customers!$A:$N,14,0),""))</f>
        <v/>
      </c>
      <c r="D17" s="488">
        <f>IF(A17="","",TODAY())</f>
        <v/>
      </c>
      <c r="E17" s="510" t="n"/>
      <c r="F17" s="378" t="n"/>
      <c r="G17" s="511">
        <f>IF(OR(A17="",E17=""),"",IF(C17="","",C17-E17))</f>
        <v/>
      </c>
      <c r="H17" s="380" t="inlineStr">
        <is>
          <t>Agent 07</t>
        </is>
      </c>
      <c r="I17" s="491" t="n"/>
      <c r="J17" s="492">
        <f>IF(AND(A17&lt;&gt;"",E17&lt;&gt;""),IF(I17="","⚠️ Enter Code",IF(IFERROR(VLOOKUP(H17,DB_Agents!$B:$I,8,0),"")=I17,IF(C17&gt;=E17,"Successful","Unsuccessful"),"🔒 BLOCKED — Wrong Code")),"—")</f>
        <v/>
      </c>
      <c r="K17" s="493">
        <f>IF(J17="Successful",TEXT(TODAY(),"YYYY-MM-DD")&amp;" Auto","—")</f>
        <v/>
      </c>
      <c r="L17" s="494" t="n"/>
    </row>
    <row r="18" ht="15" customHeight="1" s="341">
      <c r="A18" s="495" t="n"/>
      <c r="B18" s="382">
        <f>IF(A18="","",IFERROR(VLOOKUP(A18,DB_Customers!$A:$D,4,0),"❌ Account Not Found"))</f>
        <v/>
      </c>
      <c r="C18" s="496">
        <f>IF(A18="","",IFERROR(VLOOKUP(A18,DB_Customers!$A:$N,14,0),""))</f>
        <v/>
      </c>
      <c r="D18" s="497">
        <f>IF(A18="","",TODAY())</f>
        <v/>
      </c>
      <c r="E18" s="510" t="n"/>
      <c r="F18" s="382" t="n"/>
      <c r="G18" s="512">
        <f>IF(OR(A18="",E18=""),"",IF(C18="","",C18-E18))</f>
        <v/>
      </c>
      <c r="H18" s="384" t="inlineStr">
        <is>
          <t>Agent 07</t>
        </is>
      </c>
      <c r="I18" s="491" t="n"/>
      <c r="J18" s="499">
        <f>IF(AND(A18&lt;&gt;"",E18&lt;&gt;""),IF(I18="","⚠️ Enter Code",IF(IFERROR(VLOOKUP(H18,DB_Agents!$B:$I,8,0),"")=I18,IF(C18&gt;=E18,"Successful","Unsuccessful"),"🔒 BLOCKED — Wrong Code")),"—")</f>
        <v/>
      </c>
      <c r="K18" s="500">
        <f>IF(J18="Successful",TEXT(TODAY(),"YYYY-MM-DD")&amp;" Auto","—")</f>
        <v/>
      </c>
      <c r="L18" s="501" t="n"/>
    </row>
    <row r="19" ht="15" customHeight="1" s="341">
      <c r="A19" s="486" t="n"/>
      <c r="B19" s="378">
        <f>IF(A19="","",IFERROR(VLOOKUP(A19,DB_Customers!$A:$D,4,0),"❌ Account Not Found"))</f>
        <v/>
      </c>
      <c r="C19" s="487">
        <f>IF(A19="","",IFERROR(VLOOKUP(A19,DB_Customers!$A:$N,14,0),""))</f>
        <v/>
      </c>
      <c r="D19" s="488">
        <f>IF(A19="","",TODAY())</f>
        <v/>
      </c>
      <c r="E19" s="510" t="n"/>
      <c r="F19" s="378" t="n"/>
      <c r="G19" s="511">
        <f>IF(OR(A19="",E19=""),"",IF(C19="","",C19-E19))</f>
        <v/>
      </c>
      <c r="H19" s="380" t="inlineStr">
        <is>
          <t>Agent 07</t>
        </is>
      </c>
      <c r="I19" s="491" t="n"/>
      <c r="J19" s="492">
        <f>IF(AND(A19&lt;&gt;"",E19&lt;&gt;""),IF(I19="","⚠️ Enter Code",IF(IFERROR(VLOOKUP(H19,DB_Agents!$B:$I,8,0),"")=I19,IF(C19&gt;=E19,"Successful","Unsuccessful"),"🔒 BLOCKED — Wrong Code")),"—")</f>
        <v/>
      </c>
      <c r="K19" s="493">
        <f>IF(J19="Successful",TEXT(TODAY(),"YYYY-MM-DD")&amp;" Auto","—")</f>
        <v/>
      </c>
      <c r="L19" s="494" t="n"/>
    </row>
    <row r="20" ht="15" customHeight="1" s="341">
      <c r="A20" s="495" t="n"/>
      <c r="B20" s="382">
        <f>IF(A20="","",IFERROR(VLOOKUP(A20,DB_Customers!$A:$D,4,0),"❌ Account Not Found"))</f>
        <v/>
      </c>
      <c r="C20" s="496">
        <f>IF(A20="","",IFERROR(VLOOKUP(A20,DB_Customers!$A:$N,14,0),""))</f>
        <v/>
      </c>
      <c r="D20" s="497">
        <f>IF(A20="","",TODAY())</f>
        <v/>
      </c>
      <c r="E20" s="510" t="n"/>
      <c r="F20" s="382" t="n"/>
      <c r="G20" s="512">
        <f>IF(OR(A20="",E20=""),"",IF(C20="","",C20-E20))</f>
        <v/>
      </c>
      <c r="H20" s="384" t="inlineStr">
        <is>
          <t>Agent 07</t>
        </is>
      </c>
      <c r="I20" s="491" t="n"/>
      <c r="J20" s="499">
        <f>IF(AND(A20&lt;&gt;"",E20&lt;&gt;""),IF(I20="","⚠️ Enter Code",IF(IFERROR(VLOOKUP(H20,DB_Agents!$B:$I,8,0),"")=I20,IF(C20&gt;=E20,"Successful","Unsuccessful"),"🔒 BLOCKED — Wrong Code")),"—")</f>
        <v/>
      </c>
      <c r="K20" s="500">
        <f>IF(J20="Successful",TEXT(TODAY(),"YYYY-MM-DD")&amp;" Auto","—")</f>
        <v/>
      </c>
      <c r="L20" s="501" t="n"/>
    </row>
    <row r="21" ht="15" customHeight="1" s="341">
      <c r="A21" s="486" t="n"/>
      <c r="B21" s="378">
        <f>IF(A21="","",IFERROR(VLOOKUP(A21,DB_Customers!$A:$D,4,0),"❌ Account Not Found"))</f>
        <v/>
      </c>
      <c r="C21" s="487">
        <f>IF(A21="","",IFERROR(VLOOKUP(A21,DB_Customers!$A:$N,14,0),""))</f>
        <v/>
      </c>
      <c r="D21" s="488">
        <f>IF(A21="","",TODAY())</f>
        <v/>
      </c>
      <c r="E21" s="510" t="n"/>
      <c r="F21" s="378" t="n"/>
      <c r="G21" s="511">
        <f>IF(OR(A21="",E21=""),"",IF(C21="","",C21-E21))</f>
        <v/>
      </c>
      <c r="H21" s="380" t="inlineStr">
        <is>
          <t>Agent 07</t>
        </is>
      </c>
      <c r="I21" s="491" t="n"/>
      <c r="J21" s="492">
        <f>IF(AND(A21&lt;&gt;"",E21&lt;&gt;""),IF(I21="","⚠️ Enter Code",IF(IFERROR(VLOOKUP(H21,DB_Agents!$B:$I,8,0),"")=I21,IF(C21&gt;=E21,"Successful","Unsuccessful"),"🔒 BLOCKED — Wrong Code")),"—")</f>
        <v/>
      </c>
      <c r="K21" s="493">
        <f>IF(J21="Successful",TEXT(TODAY(),"YYYY-MM-DD")&amp;" Auto","—")</f>
        <v/>
      </c>
      <c r="L21" s="494" t="n"/>
    </row>
    <row r="22" ht="15" customHeight="1" s="341">
      <c r="A22" s="495" t="n"/>
      <c r="B22" s="382">
        <f>IF(A22="","",IFERROR(VLOOKUP(A22,DB_Customers!$A:$D,4,0),"❌ Account Not Found"))</f>
        <v/>
      </c>
      <c r="C22" s="496">
        <f>IF(A22="","",IFERROR(VLOOKUP(A22,DB_Customers!$A:$N,14,0),""))</f>
        <v/>
      </c>
      <c r="D22" s="497">
        <f>IF(A22="","",TODAY())</f>
        <v/>
      </c>
      <c r="E22" s="510" t="n"/>
      <c r="F22" s="382" t="n"/>
      <c r="G22" s="512">
        <f>IF(OR(A22="",E22=""),"",IF(C22="","",C22-E22))</f>
        <v/>
      </c>
      <c r="H22" s="384" t="inlineStr">
        <is>
          <t>Agent 07</t>
        </is>
      </c>
      <c r="I22" s="491" t="n"/>
      <c r="J22" s="499">
        <f>IF(AND(A22&lt;&gt;"",E22&lt;&gt;""),IF(I22="","⚠️ Enter Code",IF(IFERROR(VLOOKUP(H22,DB_Agents!$B:$I,8,0),"")=I22,IF(C22&gt;=E22,"Successful","Unsuccessful"),"🔒 BLOCKED — Wrong Code")),"—")</f>
        <v/>
      </c>
      <c r="K22" s="500">
        <f>IF(J22="Successful",TEXT(TODAY(),"YYYY-MM-DD")&amp;" Auto","—")</f>
        <v/>
      </c>
      <c r="L22" s="501" t="n"/>
    </row>
    <row r="23" ht="15" customHeight="1" s="341">
      <c r="A23" s="486" t="n"/>
      <c r="B23" s="378">
        <f>IF(A23="","",IFERROR(VLOOKUP(A23,DB_Customers!$A:$D,4,0),"❌ Account Not Found"))</f>
        <v/>
      </c>
      <c r="C23" s="487">
        <f>IF(A23="","",IFERROR(VLOOKUP(A23,DB_Customers!$A:$N,14,0),""))</f>
        <v/>
      </c>
      <c r="D23" s="488">
        <f>IF(A23="","",TODAY())</f>
        <v/>
      </c>
      <c r="E23" s="510" t="n"/>
      <c r="F23" s="378" t="n"/>
      <c r="G23" s="511">
        <f>IF(OR(A23="",E23=""),"",IF(C23="","",C23-E23))</f>
        <v/>
      </c>
      <c r="H23" s="380" t="inlineStr">
        <is>
          <t>Agent 07</t>
        </is>
      </c>
      <c r="I23" s="491" t="n"/>
      <c r="J23" s="492">
        <f>IF(AND(A23&lt;&gt;"",E23&lt;&gt;""),IF(I23="","⚠️ Enter Code",IF(IFERROR(VLOOKUP(H23,DB_Agents!$B:$I,8,0),"")=I23,IF(C23&gt;=E23,"Successful","Unsuccessful"),"🔒 BLOCKED — Wrong Code")),"—")</f>
        <v/>
      </c>
      <c r="K23" s="493">
        <f>IF(J23="Successful",TEXT(TODAY(),"YYYY-MM-DD")&amp;" Auto","—")</f>
        <v/>
      </c>
      <c r="L23" s="494" t="n"/>
    </row>
    <row r="24" ht="15" customHeight="1" s="341">
      <c r="A24" s="495" t="n"/>
      <c r="B24" s="382">
        <f>IF(A24="","",IFERROR(VLOOKUP(A24,DB_Customers!$A:$D,4,0),"❌ Account Not Found"))</f>
        <v/>
      </c>
      <c r="C24" s="496">
        <f>IF(A24="","",IFERROR(VLOOKUP(A24,DB_Customers!$A:$N,14,0),""))</f>
        <v/>
      </c>
      <c r="D24" s="497">
        <f>IF(A24="","",TODAY())</f>
        <v/>
      </c>
      <c r="E24" s="510" t="n"/>
      <c r="F24" s="382" t="n"/>
      <c r="G24" s="512">
        <f>IF(OR(A24="",E24=""),"",IF(C24="","",C24-E24))</f>
        <v/>
      </c>
      <c r="H24" s="384" t="inlineStr">
        <is>
          <t>Agent 07</t>
        </is>
      </c>
      <c r="I24" s="491" t="n"/>
      <c r="J24" s="499">
        <f>IF(AND(A24&lt;&gt;"",E24&lt;&gt;""),IF(I24="","⚠️ Enter Code",IF(IFERROR(VLOOKUP(H24,DB_Agents!$B:$I,8,0),"")=I24,IF(C24&gt;=E24,"Successful","Unsuccessful"),"🔒 BLOCKED — Wrong Code")),"—")</f>
        <v/>
      </c>
      <c r="K24" s="500">
        <f>IF(J24="Successful",TEXT(TODAY(),"YYYY-MM-DD")&amp;" Auto","—")</f>
        <v/>
      </c>
      <c r="L24" s="501" t="n"/>
    </row>
    <row r="25" ht="15" customHeight="1" s="341">
      <c r="A25" s="486" t="n"/>
      <c r="B25" s="378">
        <f>IF(A25="","",IFERROR(VLOOKUP(A25,DB_Customers!$A:$D,4,0),"❌ Account Not Found"))</f>
        <v/>
      </c>
      <c r="C25" s="487">
        <f>IF(A25="","",IFERROR(VLOOKUP(A25,DB_Customers!$A:$N,14,0),""))</f>
        <v/>
      </c>
      <c r="D25" s="488">
        <f>IF(A25="","",TODAY())</f>
        <v/>
      </c>
      <c r="E25" s="510" t="n"/>
      <c r="F25" s="378" t="n"/>
      <c r="G25" s="511">
        <f>IF(OR(A25="",E25=""),"",IF(C25="","",C25-E25))</f>
        <v/>
      </c>
      <c r="H25" s="380" t="inlineStr">
        <is>
          <t>Agent 07</t>
        </is>
      </c>
      <c r="I25" s="491" t="n"/>
      <c r="J25" s="492">
        <f>IF(AND(A25&lt;&gt;"",E25&lt;&gt;""),IF(I25="","⚠️ Enter Code",IF(IFERROR(VLOOKUP(H25,DB_Agents!$B:$I,8,0),"")=I25,IF(C25&gt;=E25,"Successful","Unsuccessful"),"🔒 BLOCKED — Wrong Code")),"—")</f>
        <v/>
      </c>
      <c r="K25" s="493">
        <f>IF(J25="Successful",TEXT(TODAY(),"YYYY-MM-DD")&amp;" Auto","—")</f>
        <v/>
      </c>
      <c r="L25" s="494" t="n"/>
    </row>
    <row r="26" ht="15" customHeight="1" s="341">
      <c r="A26" s="495" t="n"/>
      <c r="B26" s="382">
        <f>IF(A26="","",IFERROR(VLOOKUP(A26,DB_Customers!$A:$D,4,0),"❌ Account Not Found"))</f>
        <v/>
      </c>
      <c r="C26" s="496">
        <f>IF(A26="","",IFERROR(VLOOKUP(A26,DB_Customers!$A:$N,14,0),""))</f>
        <v/>
      </c>
      <c r="D26" s="497">
        <f>IF(A26="","",TODAY())</f>
        <v/>
      </c>
      <c r="E26" s="510" t="n"/>
      <c r="F26" s="382" t="n"/>
      <c r="G26" s="512">
        <f>IF(OR(A26="",E26=""),"",IF(C26="","",C26-E26))</f>
        <v/>
      </c>
      <c r="H26" s="384" t="inlineStr">
        <is>
          <t>Agent 07</t>
        </is>
      </c>
      <c r="I26" s="491" t="n"/>
      <c r="J26" s="499">
        <f>IF(AND(A26&lt;&gt;"",E26&lt;&gt;""),IF(I26="","⚠️ Enter Code",IF(IFERROR(VLOOKUP(H26,DB_Agents!$B:$I,8,0),"")=I26,IF(C26&gt;=E26,"Successful","Unsuccessful"),"🔒 BLOCKED — Wrong Code")),"—")</f>
        <v/>
      </c>
      <c r="K26" s="500">
        <f>IF(J26="Successful",TEXT(TODAY(),"YYYY-MM-DD")&amp;" Auto","—")</f>
        <v/>
      </c>
      <c r="L26" s="501" t="n"/>
    </row>
    <row r="27" ht="15" customHeight="1" s="341">
      <c r="A27" s="486" t="n"/>
      <c r="B27" s="378">
        <f>IF(A27="","",IFERROR(VLOOKUP(A27,DB_Customers!$A:$D,4,0),"❌ Account Not Found"))</f>
        <v/>
      </c>
      <c r="C27" s="487">
        <f>IF(A27="","",IFERROR(VLOOKUP(A27,DB_Customers!$A:$N,14,0),""))</f>
        <v/>
      </c>
      <c r="D27" s="488">
        <f>IF(A27="","",TODAY())</f>
        <v/>
      </c>
      <c r="E27" s="510" t="n"/>
      <c r="F27" s="378" t="n"/>
      <c r="G27" s="511">
        <f>IF(OR(A27="",E27=""),"",IF(C27="","",C27-E27))</f>
        <v/>
      </c>
      <c r="H27" s="380" t="inlineStr">
        <is>
          <t>Agent 07</t>
        </is>
      </c>
      <c r="I27" s="491" t="n"/>
      <c r="J27" s="492">
        <f>IF(AND(A27&lt;&gt;"",E27&lt;&gt;""),IF(I27="","⚠️ Enter Code",IF(IFERROR(VLOOKUP(H27,DB_Agents!$B:$I,8,0),"")=I27,IF(C27&gt;=E27,"Successful","Unsuccessful"),"🔒 BLOCKED — Wrong Code")),"—")</f>
        <v/>
      </c>
      <c r="K27" s="493">
        <f>IF(J27="Successful",TEXT(TODAY(),"YYYY-MM-DD")&amp;" Auto","—")</f>
        <v/>
      </c>
      <c r="L27" s="494" t="n"/>
    </row>
    <row r="28" ht="15" customHeight="1" s="341">
      <c r="A28" s="495" t="n"/>
      <c r="B28" s="382">
        <f>IF(A28="","",IFERROR(VLOOKUP(A28,DB_Customers!$A:$D,4,0),"❌ Account Not Found"))</f>
        <v/>
      </c>
      <c r="C28" s="496">
        <f>IF(A28="","",IFERROR(VLOOKUP(A28,DB_Customers!$A:$N,14,0),""))</f>
        <v/>
      </c>
      <c r="D28" s="497">
        <f>IF(A28="","",TODAY())</f>
        <v/>
      </c>
      <c r="E28" s="510" t="n"/>
      <c r="F28" s="382" t="n"/>
      <c r="G28" s="512">
        <f>IF(OR(A28="",E28=""),"",IF(C28="","",C28-E28))</f>
        <v/>
      </c>
      <c r="H28" s="384" t="inlineStr">
        <is>
          <t>Agent 07</t>
        </is>
      </c>
      <c r="I28" s="491" t="n"/>
      <c r="J28" s="499">
        <f>IF(AND(A28&lt;&gt;"",E28&lt;&gt;""),IF(I28="","⚠️ Enter Code",IF(IFERROR(VLOOKUP(H28,DB_Agents!$B:$I,8,0),"")=I28,IF(C28&gt;=E28,"Successful","Unsuccessful"),"🔒 BLOCKED — Wrong Code")),"—")</f>
        <v/>
      </c>
      <c r="K28" s="500">
        <f>IF(J28="Successful",TEXT(TODAY(),"YYYY-MM-DD")&amp;" Auto","—")</f>
        <v/>
      </c>
      <c r="L28" s="501" t="n"/>
    </row>
    <row r="29" ht="15" customHeight="1" s="341">
      <c r="A29" s="486" t="n"/>
      <c r="B29" s="378">
        <f>IF(A29="","",IFERROR(VLOOKUP(A29,DB_Customers!$A:$D,4,0),"❌ Account Not Found"))</f>
        <v/>
      </c>
      <c r="C29" s="487">
        <f>IF(A29="","",IFERROR(VLOOKUP(A29,DB_Customers!$A:$N,14,0),""))</f>
        <v/>
      </c>
      <c r="D29" s="488">
        <f>IF(A29="","",TODAY())</f>
        <v/>
      </c>
      <c r="E29" s="510" t="n"/>
      <c r="F29" s="378" t="n"/>
      <c r="G29" s="511">
        <f>IF(OR(A29="",E29=""),"",IF(C29="","",C29-E29))</f>
        <v/>
      </c>
      <c r="H29" s="380" t="inlineStr">
        <is>
          <t>Agent 07</t>
        </is>
      </c>
      <c r="I29" s="491" t="n"/>
      <c r="J29" s="492">
        <f>IF(AND(A29&lt;&gt;"",E29&lt;&gt;""),IF(I29="","⚠️ Enter Code",IF(IFERROR(VLOOKUP(H29,DB_Agents!$B:$I,8,0),"")=I29,IF(C29&gt;=E29,"Successful","Unsuccessful"),"🔒 BLOCKED — Wrong Code")),"—")</f>
        <v/>
      </c>
      <c r="K29" s="493">
        <f>IF(J29="Successful",TEXT(TODAY(),"YYYY-MM-DD")&amp;" Auto","—")</f>
        <v/>
      </c>
      <c r="L29" s="494" t="n"/>
    </row>
    <row r="30" ht="15" customHeight="1" s="341">
      <c r="A30" s="495" t="n"/>
      <c r="B30" s="382">
        <f>IF(A30="","",IFERROR(VLOOKUP(A30,DB_Customers!$A:$D,4,0),"❌ Account Not Found"))</f>
        <v/>
      </c>
      <c r="C30" s="496">
        <f>IF(A30="","",IFERROR(VLOOKUP(A30,DB_Customers!$A:$N,14,0),""))</f>
        <v/>
      </c>
      <c r="D30" s="497">
        <f>IF(A30="","",TODAY())</f>
        <v/>
      </c>
      <c r="E30" s="510" t="n"/>
      <c r="F30" s="382" t="n"/>
      <c r="G30" s="512">
        <f>IF(OR(A30="",E30=""),"",IF(C30="","",C30-E30))</f>
        <v/>
      </c>
      <c r="H30" s="384" t="inlineStr">
        <is>
          <t>Agent 07</t>
        </is>
      </c>
      <c r="I30" s="491" t="n"/>
      <c r="J30" s="499">
        <f>IF(AND(A30&lt;&gt;"",E30&lt;&gt;""),IF(I30="","⚠️ Enter Code",IF(IFERROR(VLOOKUP(H30,DB_Agents!$B:$I,8,0),"")=I30,IF(C30&gt;=E30,"Successful","Unsuccessful"),"🔒 BLOCKED — Wrong Code")),"—")</f>
        <v/>
      </c>
      <c r="K30" s="500">
        <f>IF(J30="Successful",TEXT(TODAY(),"YYYY-MM-DD")&amp;" Auto","—")</f>
        <v/>
      </c>
      <c r="L30" s="501" t="n"/>
    </row>
    <row r="31" ht="15" customHeight="1" s="341">
      <c r="A31" s="486" t="n"/>
      <c r="B31" s="378">
        <f>IF(A31="","",IFERROR(VLOOKUP(A31,DB_Customers!$A:$D,4,0),"❌ Account Not Found"))</f>
        <v/>
      </c>
      <c r="C31" s="487">
        <f>IF(A31="","",IFERROR(VLOOKUP(A31,DB_Customers!$A:$N,14,0),""))</f>
        <v/>
      </c>
      <c r="D31" s="488">
        <f>IF(A31="","",TODAY())</f>
        <v/>
      </c>
      <c r="E31" s="510" t="n"/>
      <c r="F31" s="378" t="n"/>
      <c r="G31" s="511">
        <f>IF(OR(A31="",E31=""),"",IF(C31="","",C31-E31))</f>
        <v/>
      </c>
      <c r="H31" s="380" t="inlineStr">
        <is>
          <t>Agent 07</t>
        </is>
      </c>
      <c r="I31" s="491" t="n"/>
      <c r="J31" s="492">
        <f>IF(AND(A31&lt;&gt;"",E31&lt;&gt;""),IF(I31="","⚠️ Enter Code",IF(IFERROR(VLOOKUP(H31,DB_Agents!$B:$I,8,0),"")=I31,IF(C31&gt;=E31,"Successful","Unsuccessful"),"🔒 BLOCKED — Wrong Code")),"—")</f>
        <v/>
      </c>
      <c r="K31" s="493">
        <f>IF(J31="Successful",TEXT(TODAY(),"YYYY-MM-DD")&amp;" Auto","—")</f>
        <v/>
      </c>
      <c r="L31" s="494" t="n"/>
    </row>
    <row r="32" ht="15" customHeight="1" s="341">
      <c r="A32" s="495" t="n"/>
      <c r="B32" s="382">
        <f>IF(A32="","",IFERROR(VLOOKUP(A32,DB_Customers!$A:$D,4,0),"❌ Account Not Found"))</f>
        <v/>
      </c>
      <c r="C32" s="496">
        <f>IF(A32="","",IFERROR(VLOOKUP(A32,DB_Customers!$A:$N,14,0),""))</f>
        <v/>
      </c>
      <c r="D32" s="497">
        <f>IF(A32="","",TODAY())</f>
        <v/>
      </c>
      <c r="E32" s="510" t="n"/>
      <c r="F32" s="382" t="n"/>
      <c r="G32" s="512">
        <f>IF(OR(A32="",E32=""),"",IF(C32="","",C32-E32))</f>
        <v/>
      </c>
      <c r="H32" s="384" t="inlineStr">
        <is>
          <t>Agent 07</t>
        </is>
      </c>
      <c r="I32" s="491" t="n"/>
      <c r="J32" s="499">
        <f>IF(AND(A32&lt;&gt;"",E32&lt;&gt;""),IF(I32="","⚠️ Enter Code",IF(IFERROR(VLOOKUP(H32,DB_Agents!$B:$I,8,0),"")=I32,IF(C32&gt;=E32,"Successful","Unsuccessful"),"🔒 BLOCKED — Wrong Code")),"—")</f>
        <v/>
      </c>
      <c r="K32" s="500">
        <f>IF(J32="Successful",TEXT(TODAY(),"YYYY-MM-DD")&amp;" Auto","—")</f>
        <v/>
      </c>
      <c r="L32" s="501" t="n"/>
    </row>
    <row r="33" ht="15" customHeight="1" s="341">
      <c r="A33" s="486" t="n"/>
      <c r="B33" s="378">
        <f>IF(A33="","",IFERROR(VLOOKUP(A33,DB_Customers!$A:$D,4,0),"❌ Account Not Found"))</f>
        <v/>
      </c>
      <c r="C33" s="487">
        <f>IF(A33="","",IFERROR(VLOOKUP(A33,DB_Customers!$A:$N,14,0),""))</f>
        <v/>
      </c>
      <c r="D33" s="488">
        <f>IF(A33="","",TODAY())</f>
        <v/>
      </c>
      <c r="E33" s="510" t="n"/>
      <c r="F33" s="378" t="n"/>
      <c r="G33" s="511">
        <f>IF(OR(A33="",E33=""),"",IF(C33="","",C33-E33))</f>
        <v/>
      </c>
      <c r="H33" s="380" t="inlineStr">
        <is>
          <t>Agent 07</t>
        </is>
      </c>
      <c r="I33" s="491" t="n"/>
      <c r="J33" s="492">
        <f>IF(AND(A33&lt;&gt;"",E33&lt;&gt;""),IF(I33="","⚠️ Enter Code",IF(IFERROR(VLOOKUP(H33,DB_Agents!$B:$I,8,0),"")=I33,IF(C33&gt;=E33,"Successful","Unsuccessful"),"🔒 BLOCKED — Wrong Code")),"—")</f>
        <v/>
      </c>
      <c r="K33" s="493">
        <f>IF(J33="Successful",TEXT(TODAY(),"YYYY-MM-DD")&amp;" Auto","—")</f>
        <v/>
      </c>
      <c r="L33" s="494" t="n"/>
    </row>
    <row r="34" ht="15" customHeight="1" s="341">
      <c r="A34" s="495" t="n"/>
      <c r="B34" s="382">
        <f>IF(A34="","",IFERROR(VLOOKUP(A34,DB_Customers!$A:$D,4,0),"❌ Account Not Found"))</f>
        <v/>
      </c>
      <c r="C34" s="496">
        <f>IF(A34="","",IFERROR(VLOOKUP(A34,DB_Customers!$A:$N,14,0),""))</f>
        <v/>
      </c>
      <c r="D34" s="497">
        <f>IF(A34="","",TODAY())</f>
        <v/>
      </c>
      <c r="E34" s="510" t="n"/>
      <c r="F34" s="382" t="n"/>
      <c r="G34" s="512">
        <f>IF(OR(A34="",E34=""),"",IF(C34="","",C34-E34))</f>
        <v/>
      </c>
      <c r="H34" s="384" t="inlineStr">
        <is>
          <t>Agent 07</t>
        </is>
      </c>
      <c r="I34" s="491" t="n"/>
      <c r="J34" s="499">
        <f>IF(AND(A34&lt;&gt;"",E34&lt;&gt;""),IF(I34="","⚠️ Enter Code",IF(IFERROR(VLOOKUP(H34,DB_Agents!$B:$I,8,0),"")=I34,IF(C34&gt;=E34,"Successful","Unsuccessful"),"🔒 BLOCKED — Wrong Code")),"—")</f>
        <v/>
      </c>
      <c r="K34" s="500">
        <f>IF(J34="Successful",TEXT(TODAY(),"YYYY-MM-DD")&amp;" Auto","—")</f>
        <v/>
      </c>
      <c r="L34" s="501" t="n"/>
    </row>
    <row r="35" ht="15" customHeight="1" s="341">
      <c r="A35" s="486" t="n"/>
      <c r="B35" s="378">
        <f>IF(A35="","",IFERROR(VLOOKUP(A35,DB_Customers!$A:$D,4,0),"❌ Account Not Found"))</f>
        <v/>
      </c>
      <c r="C35" s="487">
        <f>IF(A35="","",IFERROR(VLOOKUP(A35,DB_Customers!$A:$N,14,0),""))</f>
        <v/>
      </c>
      <c r="D35" s="488">
        <f>IF(A35="","",TODAY())</f>
        <v/>
      </c>
      <c r="E35" s="510" t="n"/>
      <c r="F35" s="378" t="n"/>
      <c r="G35" s="511">
        <f>IF(OR(A35="",E35=""),"",IF(C35="","",C35-E35))</f>
        <v/>
      </c>
      <c r="H35" s="380" t="inlineStr">
        <is>
          <t>Agent 07</t>
        </is>
      </c>
      <c r="I35" s="491" t="n"/>
      <c r="J35" s="492">
        <f>IF(AND(A35&lt;&gt;"",E35&lt;&gt;""),IF(I35="","⚠️ Enter Code",IF(IFERROR(VLOOKUP(H35,DB_Agents!$B:$I,8,0),"")=I35,IF(C35&gt;=E35,"Successful","Unsuccessful"),"🔒 BLOCKED — Wrong Code")),"—")</f>
        <v/>
      </c>
      <c r="K35" s="493">
        <f>IF(J35="Successful",TEXT(TODAY(),"YYYY-MM-DD")&amp;" Auto","—")</f>
        <v/>
      </c>
      <c r="L35" s="494" t="n"/>
    </row>
    <row r="36" ht="15" customHeight="1" s="341">
      <c r="A36" s="495" t="n"/>
      <c r="B36" s="382">
        <f>IF(A36="","",IFERROR(VLOOKUP(A36,DB_Customers!$A:$D,4,0),"❌ Account Not Found"))</f>
        <v/>
      </c>
      <c r="C36" s="496">
        <f>IF(A36="","",IFERROR(VLOOKUP(A36,DB_Customers!$A:$N,14,0),""))</f>
        <v/>
      </c>
      <c r="D36" s="497">
        <f>IF(A36="","",TODAY())</f>
        <v/>
      </c>
      <c r="E36" s="510" t="n"/>
      <c r="F36" s="382" t="n"/>
      <c r="G36" s="512">
        <f>IF(OR(A36="",E36=""),"",IF(C36="","",C36-E36))</f>
        <v/>
      </c>
      <c r="H36" s="384" t="inlineStr">
        <is>
          <t>Agent 07</t>
        </is>
      </c>
      <c r="I36" s="491" t="n"/>
      <c r="J36" s="499">
        <f>IF(AND(A36&lt;&gt;"",E36&lt;&gt;""),IF(I36="","⚠️ Enter Code",IF(IFERROR(VLOOKUP(H36,DB_Agents!$B:$I,8,0),"")=I36,IF(C36&gt;=E36,"Successful","Unsuccessful"),"🔒 BLOCKED — Wrong Code")),"—")</f>
        <v/>
      </c>
      <c r="K36" s="500">
        <f>IF(J36="Successful",TEXT(TODAY(),"YYYY-MM-DD")&amp;" Auto","—")</f>
        <v/>
      </c>
      <c r="L36" s="501" t="n"/>
    </row>
    <row r="37" ht="15" customHeight="1" s="341">
      <c r="A37" s="486" t="n"/>
      <c r="B37" s="378">
        <f>IF(A37="","",IFERROR(VLOOKUP(A37,DB_Customers!$A:$D,4,0),"❌ Account Not Found"))</f>
        <v/>
      </c>
      <c r="C37" s="487">
        <f>IF(A37="","",IFERROR(VLOOKUP(A37,DB_Customers!$A:$N,14,0),""))</f>
        <v/>
      </c>
      <c r="D37" s="488">
        <f>IF(A37="","",TODAY())</f>
        <v/>
      </c>
      <c r="E37" s="510" t="n"/>
      <c r="F37" s="378" t="n"/>
      <c r="G37" s="511">
        <f>IF(OR(A37="",E37=""),"",IF(C37="","",C37-E37))</f>
        <v/>
      </c>
      <c r="H37" s="380" t="inlineStr">
        <is>
          <t>Agent 07</t>
        </is>
      </c>
      <c r="I37" s="491" t="n"/>
      <c r="J37" s="492">
        <f>IF(AND(A37&lt;&gt;"",E37&lt;&gt;""),IF(I37="","⚠️ Enter Code",IF(IFERROR(VLOOKUP(H37,DB_Agents!$B:$I,8,0),"")=I37,IF(C37&gt;=E37,"Successful","Unsuccessful"),"🔒 BLOCKED — Wrong Code")),"—")</f>
        <v/>
      </c>
      <c r="K37" s="493">
        <f>IF(J37="Successful",TEXT(TODAY(),"YYYY-MM-DD")&amp;" Auto","—")</f>
        <v/>
      </c>
      <c r="L37" s="494" t="n"/>
    </row>
    <row r="38" ht="15" customHeight="1" s="341">
      <c r="A38" s="495" t="n"/>
      <c r="B38" s="382">
        <f>IF(A38="","",IFERROR(VLOOKUP(A38,DB_Customers!$A:$D,4,0),"❌ Account Not Found"))</f>
        <v/>
      </c>
      <c r="C38" s="496">
        <f>IF(A38="","",IFERROR(VLOOKUP(A38,DB_Customers!$A:$N,14,0),""))</f>
        <v/>
      </c>
      <c r="D38" s="497">
        <f>IF(A38="","",TODAY())</f>
        <v/>
      </c>
      <c r="E38" s="510" t="n"/>
      <c r="F38" s="382" t="n"/>
      <c r="G38" s="512">
        <f>IF(OR(A38="",E38=""),"",IF(C38="","",C38-E38))</f>
        <v/>
      </c>
      <c r="H38" s="384" t="inlineStr">
        <is>
          <t>Agent 07</t>
        </is>
      </c>
      <c r="I38" s="491" t="n"/>
      <c r="J38" s="499">
        <f>IF(AND(A38&lt;&gt;"",E38&lt;&gt;""),IF(I38="","⚠️ Enter Code",IF(IFERROR(VLOOKUP(H38,DB_Agents!$B:$I,8,0),"")=I38,IF(C38&gt;=E38,"Successful","Unsuccessful"),"🔒 BLOCKED — Wrong Code")),"—")</f>
        <v/>
      </c>
      <c r="K38" s="500">
        <f>IF(J38="Successful",TEXT(TODAY(),"YYYY-MM-DD")&amp;" Auto","—")</f>
        <v/>
      </c>
      <c r="L38" s="501" t="n"/>
    </row>
    <row r="39" ht="15" customHeight="1" s="341">
      <c r="A39" s="486" t="n"/>
      <c r="B39" s="378">
        <f>IF(A39="","",IFERROR(VLOOKUP(A39,DB_Customers!$A:$D,4,0),"❌ Account Not Found"))</f>
        <v/>
      </c>
      <c r="C39" s="487">
        <f>IF(A39="","",IFERROR(VLOOKUP(A39,DB_Customers!$A:$N,14,0),""))</f>
        <v/>
      </c>
      <c r="D39" s="488">
        <f>IF(A39="","",TODAY())</f>
        <v/>
      </c>
      <c r="E39" s="510" t="n"/>
      <c r="F39" s="378" t="n"/>
      <c r="G39" s="511">
        <f>IF(OR(A39="",E39=""),"",IF(C39="","",C39-E39))</f>
        <v/>
      </c>
      <c r="H39" s="380" t="inlineStr">
        <is>
          <t>Agent 07</t>
        </is>
      </c>
      <c r="I39" s="491" t="n"/>
      <c r="J39" s="492">
        <f>IF(AND(A39&lt;&gt;"",E39&lt;&gt;""),IF(I39="","⚠️ Enter Code",IF(IFERROR(VLOOKUP(H39,DB_Agents!$B:$I,8,0),"")=I39,IF(C39&gt;=E39,"Successful","Unsuccessful"),"🔒 BLOCKED — Wrong Code")),"—")</f>
        <v/>
      </c>
      <c r="K39" s="493">
        <f>IF(J39="Successful",TEXT(TODAY(),"YYYY-MM-DD")&amp;" Auto","—")</f>
        <v/>
      </c>
      <c r="L39" s="494" t="n"/>
    </row>
    <row r="40" ht="15" customHeight="1" s="341">
      <c r="A40" s="495" t="n"/>
      <c r="B40" s="382">
        <f>IF(A40="","",IFERROR(VLOOKUP(A40,DB_Customers!$A:$D,4,0),"❌ Account Not Found"))</f>
        <v/>
      </c>
      <c r="C40" s="496">
        <f>IF(A40="","",IFERROR(VLOOKUP(A40,DB_Customers!$A:$N,14,0),""))</f>
        <v/>
      </c>
      <c r="D40" s="497">
        <f>IF(A40="","",TODAY())</f>
        <v/>
      </c>
      <c r="E40" s="510" t="n"/>
      <c r="F40" s="382" t="n"/>
      <c r="G40" s="512">
        <f>IF(OR(A40="",E40=""),"",IF(C40="","",C40-E40))</f>
        <v/>
      </c>
      <c r="H40" s="384" t="inlineStr">
        <is>
          <t>Agent 07</t>
        </is>
      </c>
      <c r="I40" s="491" t="n"/>
      <c r="J40" s="499">
        <f>IF(AND(A40&lt;&gt;"",E40&lt;&gt;""),IF(I40="","⚠️ Enter Code",IF(IFERROR(VLOOKUP(H40,DB_Agents!$B:$I,8,0),"")=I40,IF(C40&gt;=E40,"Successful","Unsuccessful"),"🔒 BLOCKED — Wrong Code")),"—")</f>
        <v/>
      </c>
      <c r="K40" s="500">
        <f>IF(J40="Successful",TEXT(TODAY(),"YYYY-MM-DD")&amp;" Auto","—")</f>
        <v/>
      </c>
      <c r="L40" s="501" t="n"/>
    </row>
    <row r="41" ht="15" customHeight="1" s="341">
      <c r="A41" s="486" t="n"/>
      <c r="B41" s="378">
        <f>IF(A41="","",IFERROR(VLOOKUP(A41,DB_Customers!$A:$D,4,0),"❌ Account Not Found"))</f>
        <v/>
      </c>
      <c r="C41" s="487">
        <f>IF(A41="","",IFERROR(VLOOKUP(A41,DB_Customers!$A:$N,14,0),""))</f>
        <v/>
      </c>
      <c r="D41" s="488">
        <f>IF(A41="","",TODAY())</f>
        <v/>
      </c>
      <c r="E41" s="510" t="n"/>
      <c r="F41" s="378" t="n"/>
      <c r="G41" s="511">
        <f>IF(OR(A41="",E41=""),"",IF(C41="","",C41-E41))</f>
        <v/>
      </c>
      <c r="H41" s="380" t="inlineStr">
        <is>
          <t>Agent 07</t>
        </is>
      </c>
      <c r="I41" s="491" t="n"/>
      <c r="J41" s="492">
        <f>IF(AND(A41&lt;&gt;"",E41&lt;&gt;""),IF(I41="","⚠️ Enter Code",IF(IFERROR(VLOOKUP(H41,DB_Agents!$B:$I,8,0),"")=I41,IF(C41&gt;=E41,"Successful","Unsuccessful"),"🔒 BLOCKED — Wrong Code")),"—")</f>
        <v/>
      </c>
      <c r="K41" s="493">
        <f>IF(J41="Successful",TEXT(TODAY(),"YYYY-MM-DD")&amp;" Auto","—")</f>
        <v/>
      </c>
      <c r="L41" s="494" t="n"/>
    </row>
    <row r="42" ht="15" customHeight="1" s="341">
      <c r="A42" s="495" t="n"/>
      <c r="B42" s="382">
        <f>IF(A42="","",IFERROR(VLOOKUP(A42,DB_Customers!$A:$D,4,0),"❌ Account Not Found"))</f>
        <v/>
      </c>
      <c r="C42" s="496">
        <f>IF(A42="","",IFERROR(VLOOKUP(A42,DB_Customers!$A:$N,14,0),""))</f>
        <v/>
      </c>
      <c r="D42" s="497">
        <f>IF(A42="","",TODAY())</f>
        <v/>
      </c>
      <c r="E42" s="510" t="n"/>
      <c r="F42" s="382" t="n"/>
      <c r="G42" s="512">
        <f>IF(OR(A42="",E42=""),"",IF(C42="","",C42-E42))</f>
        <v/>
      </c>
      <c r="H42" s="384" t="inlineStr">
        <is>
          <t>Agent 07</t>
        </is>
      </c>
      <c r="I42" s="491" t="n"/>
      <c r="J42" s="499">
        <f>IF(AND(A42&lt;&gt;"",E42&lt;&gt;""),IF(I42="","⚠️ Enter Code",IF(IFERROR(VLOOKUP(H42,DB_Agents!$B:$I,8,0),"")=I42,IF(C42&gt;=E42,"Successful","Unsuccessful"),"🔒 BLOCKED — Wrong Code")),"—")</f>
        <v/>
      </c>
      <c r="K42" s="500">
        <f>IF(J42="Successful",TEXT(TODAY(),"YYYY-MM-DD")&amp;" Auto","—")</f>
        <v/>
      </c>
      <c r="L42" s="501" t="n"/>
    </row>
    <row r="43" ht="15" customHeight="1" s="341">
      <c r="A43" s="486" t="n"/>
      <c r="B43" s="378">
        <f>IF(A43="","",IFERROR(VLOOKUP(A43,DB_Customers!$A:$D,4,0),"❌ Account Not Found"))</f>
        <v/>
      </c>
      <c r="C43" s="487">
        <f>IF(A43="","",IFERROR(VLOOKUP(A43,DB_Customers!$A:$N,14,0),""))</f>
        <v/>
      </c>
      <c r="D43" s="488">
        <f>IF(A43="","",TODAY())</f>
        <v/>
      </c>
      <c r="E43" s="510" t="n"/>
      <c r="F43" s="378" t="n"/>
      <c r="G43" s="511">
        <f>IF(OR(A43="",E43=""),"",IF(C43="","",C43-E43))</f>
        <v/>
      </c>
      <c r="H43" s="380" t="inlineStr">
        <is>
          <t>Agent 07</t>
        </is>
      </c>
      <c r="I43" s="491" t="n"/>
      <c r="J43" s="492">
        <f>IF(AND(A43&lt;&gt;"",E43&lt;&gt;""),IF(I43="","⚠️ Enter Code",IF(IFERROR(VLOOKUP(H43,DB_Agents!$B:$I,8,0),"")=I43,IF(C43&gt;=E43,"Successful","Unsuccessful"),"🔒 BLOCKED — Wrong Code")),"—")</f>
        <v/>
      </c>
      <c r="K43" s="493">
        <f>IF(J43="Successful",TEXT(TODAY(),"YYYY-MM-DD")&amp;" Auto","—")</f>
        <v/>
      </c>
      <c r="L43" s="494" t="n"/>
    </row>
    <row r="44" ht="15" customHeight="1" s="341">
      <c r="A44" s="495" t="n"/>
      <c r="B44" s="382">
        <f>IF(A44="","",IFERROR(VLOOKUP(A44,DB_Customers!$A:$D,4,0),"❌ Account Not Found"))</f>
        <v/>
      </c>
      <c r="C44" s="496">
        <f>IF(A44="","",IFERROR(VLOOKUP(A44,DB_Customers!$A:$N,14,0),""))</f>
        <v/>
      </c>
      <c r="D44" s="497">
        <f>IF(A44="","",TODAY())</f>
        <v/>
      </c>
      <c r="E44" s="510" t="n"/>
      <c r="F44" s="382" t="n"/>
      <c r="G44" s="512">
        <f>IF(OR(A44="",E44=""),"",IF(C44="","",C44-E44))</f>
        <v/>
      </c>
      <c r="H44" s="384" t="inlineStr">
        <is>
          <t>Agent 07</t>
        </is>
      </c>
      <c r="I44" s="491" t="n"/>
      <c r="J44" s="499">
        <f>IF(AND(A44&lt;&gt;"",E44&lt;&gt;""),IF(I44="","⚠️ Enter Code",IF(IFERROR(VLOOKUP(H44,DB_Agents!$B:$I,8,0),"")=I44,IF(C44&gt;=E44,"Successful","Unsuccessful"),"🔒 BLOCKED — Wrong Code")),"—")</f>
        <v/>
      </c>
      <c r="K44" s="500">
        <f>IF(J44="Successful",TEXT(TODAY(),"YYYY-MM-DD")&amp;" Auto","—")</f>
        <v/>
      </c>
      <c r="L44" s="501" t="n"/>
    </row>
    <row r="45" ht="15" customHeight="1" s="341">
      <c r="A45" s="486" t="n"/>
      <c r="B45" s="378">
        <f>IF(A45="","",IFERROR(VLOOKUP(A45,DB_Customers!$A:$D,4,0),"❌ Account Not Found"))</f>
        <v/>
      </c>
      <c r="C45" s="487">
        <f>IF(A45="","",IFERROR(VLOOKUP(A45,DB_Customers!$A:$N,14,0),""))</f>
        <v/>
      </c>
      <c r="D45" s="488">
        <f>IF(A45="","",TODAY())</f>
        <v/>
      </c>
      <c r="E45" s="510" t="n"/>
      <c r="F45" s="378" t="n"/>
      <c r="G45" s="511">
        <f>IF(OR(A45="",E45=""),"",IF(C45="","",C45-E45))</f>
        <v/>
      </c>
      <c r="H45" s="380" t="inlineStr">
        <is>
          <t>Agent 07</t>
        </is>
      </c>
      <c r="I45" s="491" t="n"/>
      <c r="J45" s="492">
        <f>IF(AND(A45&lt;&gt;"",E45&lt;&gt;""),IF(I45="","⚠️ Enter Code",IF(IFERROR(VLOOKUP(H45,DB_Agents!$B:$I,8,0),"")=I45,IF(C45&gt;=E45,"Successful","Unsuccessful"),"🔒 BLOCKED — Wrong Code")),"—")</f>
        <v/>
      </c>
      <c r="K45" s="493">
        <f>IF(J45="Successful",TEXT(TODAY(),"YYYY-MM-DD")&amp;" Auto","—")</f>
        <v/>
      </c>
      <c r="L45" s="494" t="n"/>
    </row>
    <row r="46" ht="15" customHeight="1" s="341">
      <c r="A46" s="495" t="n"/>
      <c r="B46" s="382">
        <f>IF(A46="","",IFERROR(VLOOKUP(A46,DB_Customers!$A:$D,4,0),"❌ Account Not Found"))</f>
        <v/>
      </c>
      <c r="C46" s="496">
        <f>IF(A46="","",IFERROR(VLOOKUP(A46,DB_Customers!$A:$N,14,0),""))</f>
        <v/>
      </c>
      <c r="D46" s="497">
        <f>IF(A46="","",TODAY())</f>
        <v/>
      </c>
      <c r="E46" s="510" t="n"/>
      <c r="F46" s="382" t="n"/>
      <c r="G46" s="512">
        <f>IF(OR(A46="",E46=""),"",IF(C46="","",C46-E46))</f>
        <v/>
      </c>
      <c r="H46" s="384" t="inlineStr">
        <is>
          <t>Agent 07</t>
        </is>
      </c>
      <c r="I46" s="491" t="n"/>
      <c r="J46" s="499">
        <f>IF(AND(A46&lt;&gt;"",E46&lt;&gt;""),IF(I46="","⚠️ Enter Code",IF(IFERROR(VLOOKUP(H46,DB_Agents!$B:$I,8,0),"")=I46,IF(C46&gt;=E46,"Successful","Unsuccessful"),"🔒 BLOCKED — Wrong Code")),"—")</f>
        <v/>
      </c>
      <c r="K46" s="500">
        <f>IF(J46="Successful",TEXT(TODAY(),"YYYY-MM-DD")&amp;" Auto","—")</f>
        <v/>
      </c>
      <c r="L46" s="501" t="n"/>
    </row>
    <row r="47" ht="15" customHeight="1" s="341">
      <c r="A47" s="486" t="n"/>
      <c r="B47" s="378">
        <f>IF(A47="","",IFERROR(VLOOKUP(A47,DB_Customers!$A:$D,4,0),"❌ Account Not Found"))</f>
        <v/>
      </c>
      <c r="C47" s="487">
        <f>IF(A47="","",IFERROR(VLOOKUP(A47,DB_Customers!$A:$N,14,0),""))</f>
        <v/>
      </c>
      <c r="D47" s="488">
        <f>IF(A47="","",TODAY())</f>
        <v/>
      </c>
      <c r="E47" s="510" t="n"/>
      <c r="F47" s="378" t="n"/>
      <c r="G47" s="511">
        <f>IF(OR(A47="",E47=""),"",IF(C47="","",C47-E47))</f>
        <v/>
      </c>
      <c r="H47" s="380" t="inlineStr">
        <is>
          <t>Agent 07</t>
        </is>
      </c>
      <c r="I47" s="491" t="n"/>
      <c r="J47" s="492">
        <f>IF(AND(A47&lt;&gt;"",E47&lt;&gt;""),IF(I47="","⚠️ Enter Code",IF(IFERROR(VLOOKUP(H47,DB_Agents!$B:$I,8,0),"")=I47,IF(C47&gt;=E47,"Successful","Unsuccessful"),"🔒 BLOCKED — Wrong Code")),"—")</f>
        <v/>
      </c>
      <c r="K47" s="493">
        <f>IF(J47="Successful",TEXT(TODAY(),"YYYY-MM-DD")&amp;" Auto","—")</f>
        <v/>
      </c>
      <c r="L47" s="494" t="n"/>
    </row>
    <row r="48" ht="15" customHeight="1" s="341">
      <c r="A48" s="495" t="n"/>
      <c r="B48" s="382">
        <f>IF(A48="","",IFERROR(VLOOKUP(A48,DB_Customers!$A:$D,4,0),"❌ Account Not Found"))</f>
        <v/>
      </c>
      <c r="C48" s="496">
        <f>IF(A48="","",IFERROR(VLOOKUP(A48,DB_Customers!$A:$N,14,0),""))</f>
        <v/>
      </c>
      <c r="D48" s="497">
        <f>IF(A48="","",TODAY())</f>
        <v/>
      </c>
      <c r="E48" s="510" t="n"/>
      <c r="F48" s="382" t="n"/>
      <c r="G48" s="512">
        <f>IF(OR(A48="",E48=""),"",IF(C48="","",C48-E48))</f>
        <v/>
      </c>
      <c r="H48" s="384" t="inlineStr">
        <is>
          <t>Agent 07</t>
        </is>
      </c>
      <c r="I48" s="491" t="n"/>
      <c r="J48" s="499">
        <f>IF(AND(A48&lt;&gt;"",E48&lt;&gt;""),IF(I48="","⚠️ Enter Code",IF(IFERROR(VLOOKUP(H48,DB_Agents!$B:$I,8,0),"")=I48,IF(C48&gt;=E48,"Successful","Unsuccessful"),"🔒 BLOCKED — Wrong Code")),"—")</f>
        <v/>
      </c>
      <c r="K48" s="500">
        <f>IF(J48="Successful",TEXT(TODAY(),"YYYY-MM-DD")&amp;" Auto","—")</f>
        <v/>
      </c>
      <c r="L48" s="501" t="n"/>
    </row>
    <row r="49" ht="15" customHeight="1" s="341">
      <c r="A49" s="486" t="n"/>
      <c r="B49" s="378">
        <f>IF(A49="","",IFERROR(VLOOKUP(A49,DB_Customers!$A:$D,4,0),"❌ Account Not Found"))</f>
        <v/>
      </c>
      <c r="C49" s="487">
        <f>IF(A49="","",IFERROR(VLOOKUP(A49,DB_Customers!$A:$N,14,0),""))</f>
        <v/>
      </c>
      <c r="D49" s="488">
        <f>IF(A49="","",TODAY())</f>
        <v/>
      </c>
      <c r="E49" s="510" t="n"/>
      <c r="F49" s="378" t="n"/>
      <c r="G49" s="511">
        <f>IF(OR(A49="",E49=""),"",IF(C49="","",C49-E49))</f>
        <v/>
      </c>
      <c r="H49" s="380" t="inlineStr">
        <is>
          <t>Agent 07</t>
        </is>
      </c>
      <c r="I49" s="491" t="n"/>
      <c r="J49" s="492">
        <f>IF(AND(A49&lt;&gt;"",E49&lt;&gt;""),IF(I49="","⚠️ Enter Code",IF(IFERROR(VLOOKUP(H49,DB_Agents!$B:$I,8,0),"")=I49,IF(C49&gt;=E49,"Successful","Unsuccessful"),"🔒 BLOCKED — Wrong Code")),"—")</f>
        <v/>
      </c>
      <c r="K49" s="493">
        <f>IF(J49="Successful",TEXT(TODAY(),"YYYY-MM-DD")&amp;" Auto","—")</f>
        <v/>
      </c>
      <c r="L49" s="494" t="n"/>
    </row>
    <row r="50" ht="15" customHeight="1" s="341">
      <c r="A50" s="495" t="n"/>
      <c r="B50" s="382">
        <f>IF(A50="","",IFERROR(VLOOKUP(A50,DB_Customers!$A:$D,4,0),"❌ Account Not Found"))</f>
        <v/>
      </c>
      <c r="C50" s="496">
        <f>IF(A50="","",IFERROR(VLOOKUP(A50,DB_Customers!$A:$N,14,0),""))</f>
        <v/>
      </c>
      <c r="D50" s="497">
        <f>IF(A50="","",TODAY())</f>
        <v/>
      </c>
      <c r="E50" s="510" t="n"/>
      <c r="F50" s="382" t="n"/>
      <c r="G50" s="512">
        <f>IF(OR(A50="",E50=""),"",IF(C50="","",C50-E50))</f>
        <v/>
      </c>
      <c r="H50" s="384" t="inlineStr">
        <is>
          <t>Agent 07</t>
        </is>
      </c>
      <c r="I50" s="491" t="n"/>
      <c r="J50" s="499">
        <f>IF(AND(A50&lt;&gt;"",E50&lt;&gt;""),IF(I50="","⚠️ Enter Code",IF(IFERROR(VLOOKUP(H50,DB_Agents!$B:$I,8,0),"")=I50,IF(C50&gt;=E50,"Successful","Unsuccessful"),"🔒 BLOCKED — Wrong Code")),"—")</f>
        <v/>
      </c>
      <c r="K50" s="500">
        <f>IF(J50="Successful",TEXT(TODAY(),"YYYY-MM-DD")&amp;" Auto","—")</f>
        <v/>
      </c>
      <c r="L50" s="501" t="n"/>
    </row>
    <row r="51" ht="15" customHeight="1" s="341">
      <c r="A51" s="486" t="n"/>
      <c r="B51" s="378">
        <f>IF(A51="","",IFERROR(VLOOKUP(A51,DB_Customers!$A:$D,4,0),"❌ Account Not Found"))</f>
        <v/>
      </c>
      <c r="C51" s="487">
        <f>IF(A51="","",IFERROR(VLOOKUP(A51,DB_Customers!$A:$N,14,0),""))</f>
        <v/>
      </c>
      <c r="D51" s="488">
        <f>IF(A51="","",TODAY())</f>
        <v/>
      </c>
      <c r="E51" s="510" t="n"/>
      <c r="F51" s="378" t="n"/>
      <c r="G51" s="511">
        <f>IF(OR(A51="",E51=""),"",IF(C51="","",C51-E51))</f>
        <v/>
      </c>
      <c r="H51" s="380" t="inlineStr">
        <is>
          <t>Agent 07</t>
        </is>
      </c>
      <c r="I51" s="491" t="n"/>
      <c r="J51" s="492">
        <f>IF(AND(A51&lt;&gt;"",E51&lt;&gt;""),IF(I51="","⚠️ Enter Code",IF(IFERROR(VLOOKUP(H51,DB_Agents!$B:$I,8,0),"")=I51,IF(C51&gt;=E51,"Successful","Unsuccessful"),"🔒 BLOCKED — Wrong Code")),"—")</f>
        <v/>
      </c>
      <c r="K51" s="493">
        <f>IF(J51="Successful",TEXT(TODAY(),"YYYY-MM-DD")&amp;" Auto","—")</f>
        <v/>
      </c>
      <c r="L51" s="494" t="n"/>
    </row>
    <row r="52" ht="15" customHeight="1" s="341">
      <c r="A52" s="495" t="n"/>
      <c r="B52" s="382">
        <f>IF(A52="","",IFERROR(VLOOKUP(A52,DB_Customers!$A:$D,4,0),"❌ Account Not Found"))</f>
        <v/>
      </c>
      <c r="C52" s="496">
        <f>IF(A52="","",IFERROR(VLOOKUP(A52,DB_Customers!$A:$N,14,0),""))</f>
        <v/>
      </c>
      <c r="D52" s="497">
        <f>IF(A52="","",TODAY())</f>
        <v/>
      </c>
      <c r="E52" s="510" t="n"/>
      <c r="F52" s="382" t="n"/>
      <c r="G52" s="512">
        <f>IF(OR(A52="",E52=""),"",IF(C52="","",C52-E52))</f>
        <v/>
      </c>
      <c r="H52" s="384" t="inlineStr">
        <is>
          <t>Agent 07</t>
        </is>
      </c>
      <c r="I52" s="491" t="n"/>
      <c r="J52" s="499">
        <f>IF(AND(A52&lt;&gt;"",E52&lt;&gt;""),IF(I52="","⚠️ Enter Code",IF(IFERROR(VLOOKUP(H52,DB_Agents!$B:$I,8,0),"")=I52,IF(C52&gt;=E52,"Successful","Unsuccessful"),"🔒 BLOCKED — Wrong Code")),"—")</f>
        <v/>
      </c>
      <c r="K52" s="500">
        <f>IF(J52="Successful",TEXT(TODAY(),"YYYY-MM-DD")&amp;" Auto","—")</f>
        <v/>
      </c>
      <c r="L52" s="501" t="n"/>
    </row>
    <row r="53" ht="15" customHeight="1" s="341">
      <c r="A53" s="486" t="n"/>
      <c r="B53" s="378">
        <f>IF(A53="","",IFERROR(VLOOKUP(A53,DB_Customers!$A:$D,4,0),"❌ Account Not Found"))</f>
        <v/>
      </c>
      <c r="C53" s="487">
        <f>IF(A53="","",IFERROR(VLOOKUP(A53,DB_Customers!$A:$N,14,0),""))</f>
        <v/>
      </c>
      <c r="D53" s="488">
        <f>IF(A53="","",TODAY())</f>
        <v/>
      </c>
      <c r="E53" s="510" t="n"/>
      <c r="F53" s="378" t="n"/>
      <c r="G53" s="511">
        <f>IF(OR(A53="",E53=""),"",IF(C53="","",C53-E53))</f>
        <v/>
      </c>
      <c r="H53" s="380" t="inlineStr">
        <is>
          <t>Agent 07</t>
        </is>
      </c>
      <c r="I53" s="491" t="n"/>
      <c r="J53" s="492">
        <f>IF(AND(A53&lt;&gt;"",E53&lt;&gt;""),IF(I53="","⚠️ Enter Code",IF(IFERROR(VLOOKUP(H53,DB_Agents!$B:$I,8,0),"")=I53,IF(C53&gt;=E53,"Successful","Unsuccessful"),"🔒 BLOCKED — Wrong Code")),"—")</f>
        <v/>
      </c>
      <c r="K53" s="493">
        <f>IF(J53="Successful",TEXT(TODAY(),"YYYY-MM-DD")&amp;" Auto","—")</f>
        <v/>
      </c>
      <c r="L53" s="494" t="n"/>
    </row>
    <row r="54" ht="15" customHeight="1" s="341">
      <c r="A54" s="495" t="n"/>
      <c r="B54" s="382">
        <f>IF(A54="","",IFERROR(VLOOKUP(A54,DB_Customers!$A:$D,4,0),"❌ Account Not Found"))</f>
        <v/>
      </c>
      <c r="C54" s="496">
        <f>IF(A54="","",IFERROR(VLOOKUP(A54,DB_Customers!$A:$N,14,0),""))</f>
        <v/>
      </c>
      <c r="D54" s="497">
        <f>IF(A54="","",TODAY())</f>
        <v/>
      </c>
      <c r="E54" s="510" t="n"/>
      <c r="F54" s="382" t="n"/>
      <c r="G54" s="512">
        <f>IF(OR(A54="",E54=""),"",IF(C54="","",C54-E54))</f>
        <v/>
      </c>
      <c r="H54" s="384" t="inlineStr">
        <is>
          <t>Agent 07</t>
        </is>
      </c>
      <c r="I54" s="491" t="n"/>
      <c r="J54" s="499">
        <f>IF(AND(A54&lt;&gt;"",E54&lt;&gt;""),IF(I54="","⚠️ Enter Code",IF(IFERROR(VLOOKUP(H54,DB_Agents!$B:$I,8,0),"")=I54,IF(C54&gt;=E54,"Successful","Unsuccessful"),"🔒 BLOCKED — Wrong Code")),"—")</f>
        <v/>
      </c>
      <c r="K54" s="500">
        <f>IF(J54="Successful",TEXT(TODAY(),"YYYY-MM-DD")&amp;" Auto","—")</f>
        <v/>
      </c>
      <c r="L54" s="501" t="n"/>
    </row>
    <row r="55" ht="15" customHeight="1" s="341">
      <c r="A55" s="486" t="n"/>
      <c r="B55" s="378">
        <f>IF(A55="","",IFERROR(VLOOKUP(A55,DB_Customers!$A:$D,4,0),"❌ Account Not Found"))</f>
        <v/>
      </c>
      <c r="C55" s="487">
        <f>IF(A55="","",IFERROR(VLOOKUP(A55,DB_Customers!$A:$N,14,0),""))</f>
        <v/>
      </c>
      <c r="D55" s="488">
        <f>IF(A55="","",TODAY())</f>
        <v/>
      </c>
      <c r="E55" s="510" t="n"/>
      <c r="F55" s="378" t="n"/>
      <c r="G55" s="511">
        <f>IF(OR(A55="",E55=""),"",IF(C55="","",C55-E55))</f>
        <v/>
      </c>
      <c r="H55" s="380" t="inlineStr">
        <is>
          <t>Agent 07</t>
        </is>
      </c>
      <c r="I55" s="491" t="n"/>
      <c r="J55" s="492">
        <f>IF(AND(A55&lt;&gt;"",E55&lt;&gt;""),IF(I55="","⚠️ Enter Code",IF(IFERROR(VLOOKUP(H55,DB_Agents!$B:$I,8,0),"")=I55,IF(C55&gt;=E55,"Successful","Unsuccessful"),"🔒 BLOCKED — Wrong Code")),"—")</f>
        <v/>
      </c>
      <c r="K55" s="493">
        <f>IF(J55="Successful",TEXT(TODAY(),"YYYY-MM-DD")&amp;" Auto","—")</f>
        <v/>
      </c>
      <c r="L55" s="494" t="n"/>
    </row>
    <row r="56" ht="15" customHeight="1" s="341">
      <c r="A56" s="495" t="n"/>
      <c r="B56" s="382">
        <f>IF(A56="","",IFERROR(VLOOKUP(A56,DB_Customers!$A:$D,4,0),"❌ Account Not Found"))</f>
        <v/>
      </c>
      <c r="C56" s="496">
        <f>IF(A56="","",IFERROR(VLOOKUP(A56,DB_Customers!$A:$N,14,0),""))</f>
        <v/>
      </c>
      <c r="D56" s="497">
        <f>IF(A56="","",TODAY())</f>
        <v/>
      </c>
      <c r="E56" s="510" t="n"/>
      <c r="F56" s="382" t="n"/>
      <c r="G56" s="512">
        <f>IF(OR(A56="",E56=""),"",IF(C56="","",C56-E56))</f>
        <v/>
      </c>
      <c r="H56" s="384" t="inlineStr">
        <is>
          <t>Agent 07</t>
        </is>
      </c>
      <c r="I56" s="491" t="n"/>
      <c r="J56" s="499">
        <f>IF(AND(A56&lt;&gt;"",E56&lt;&gt;""),IF(I56="","⚠️ Enter Code",IF(IFERROR(VLOOKUP(H56,DB_Agents!$B:$I,8,0),"")=I56,IF(C56&gt;=E56,"Successful","Unsuccessful"),"🔒 BLOCKED — Wrong Code")),"—")</f>
        <v/>
      </c>
      <c r="K56" s="500">
        <f>IF(J56="Successful",TEXT(TODAY(),"YYYY-MM-DD")&amp;" Auto","—")</f>
        <v/>
      </c>
      <c r="L56" s="501" t="n"/>
    </row>
    <row r="57" ht="15" customHeight="1" s="341">
      <c r="A57" s="486" t="n"/>
      <c r="B57" s="378">
        <f>IF(A57="","",IFERROR(VLOOKUP(A57,DB_Customers!$A:$D,4,0),"❌ Account Not Found"))</f>
        <v/>
      </c>
      <c r="C57" s="487">
        <f>IF(A57="","",IFERROR(VLOOKUP(A57,DB_Customers!$A:$N,14,0),""))</f>
        <v/>
      </c>
      <c r="D57" s="488">
        <f>IF(A57="","",TODAY())</f>
        <v/>
      </c>
      <c r="E57" s="510" t="n"/>
      <c r="F57" s="378" t="n"/>
      <c r="G57" s="511">
        <f>IF(OR(A57="",E57=""),"",IF(C57="","",C57-E57))</f>
        <v/>
      </c>
      <c r="H57" s="380" t="inlineStr">
        <is>
          <t>Agent 07</t>
        </is>
      </c>
      <c r="I57" s="491" t="n"/>
      <c r="J57" s="492">
        <f>IF(AND(A57&lt;&gt;"",E57&lt;&gt;""),IF(I57="","⚠️ Enter Code",IF(IFERROR(VLOOKUP(H57,DB_Agents!$B:$I,8,0),"")=I57,IF(C57&gt;=E57,"Successful","Unsuccessful"),"🔒 BLOCKED — Wrong Code")),"—")</f>
        <v/>
      </c>
      <c r="K57" s="493">
        <f>IF(J57="Successful",TEXT(TODAY(),"YYYY-MM-DD")&amp;" Auto","—")</f>
        <v/>
      </c>
      <c r="L57" s="494" t="n"/>
    </row>
    <row r="58" ht="15" customHeight="1" s="341">
      <c r="A58" s="495" t="n"/>
      <c r="B58" s="382">
        <f>IF(A58="","",IFERROR(VLOOKUP(A58,DB_Customers!$A:$D,4,0),"❌ Account Not Found"))</f>
        <v/>
      </c>
      <c r="C58" s="496">
        <f>IF(A58="","",IFERROR(VLOOKUP(A58,DB_Customers!$A:$N,14,0),""))</f>
        <v/>
      </c>
      <c r="D58" s="497">
        <f>IF(A58="","",TODAY())</f>
        <v/>
      </c>
      <c r="E58" s="510" t="n"/>
      <c r="F58" s="382" t="n"/>
      <c r="G58" s="512">
        <f>IF(OR(A58="",E58=""),"",IF(C58="","",C58-E58))</f>
        <v/>
      </c>
      <c r="H58" s="384" t="inlineStr">
        <is>
          <t>Agent 07</t>
        </is>
      </c>
      <c r="I58" s="491" t="n"/>
      <c r="J58" s="499">
        <f>IF(AND(A58&lt;&gt;"",E58&lt;&gt;""),IF(I58="","⚠️ Enter Code",IF(IFERROR(VLOOKUP(H58,DB_Agents!$B:$I,8,0),"")=I58,IF(C58&gt;=E58,"Successful","Unsuccessful"),"🔒 BLOCKED — Wrong Code")),"—")</f>
        <v/>
      </c>
      <c r="K58" s="500">
        <f>IF(J58="Successful",TEXT(TODAY(),"YYYY-MM-DD")&amp;" Auto","—")</f>
        <v/>
      </c>
      <c r="L58" s="501" t="n"/>
    </row>
    <row r="59" ht="15" customHeight="1" s="341">
      <c r="A59" s="486" t="n"/>
      <c r="B59" s="378">
        <f>IF(A59="","",IFERROR(VLOOKUP(A59,DB_Customers!$A:$D,4,0),"❌ Account Not Found"))</f>
        <v/>
      </c>
      <c r="C59" s="487">
        <f>IF(A59="","",IFERROR(VLOOKUP(A59,DB_Customers!$A:$N,14,0),""))</f>
        <v/>
      </c>
      <c r="D59" s="488">
        <f>IF(A59="","",TODAY())</f>
        <v/>
      </c>
      <c r="E59" s="510" t="n"/>
      <c r="F59" s="378" t="n"/>
      <c r="G59" s="511">
        <f>IF(OR(A59="",E59=""),"",IF(C59="","",C59-E59))</f>
        <v/>
      </c>
      <c r="H59" s="380" t="inlineStr">
        <is>
          <t>Agent 07</t>
        </is>
      </c>
      <c r="I59" s="491" t="n"/>
      <c r="J59" s="492">
        <f>IF(AND(A59&lt;&gt;"",E59&lt;&gt;""),IF(I59="","⚠️ Enter Code",IF(IFERROR(VLOOKUP(H59,DB_Agents!$B:$I,8,0),"")=I59,IF(C59&gt;=E59,"Successful","Unsuccessful"),"🔒 BLOCKED — Wrong Code")),"—")</f>
        <v/>
      </c>
      <c r="K59" s="493">
        <f>IF(J59="Successful",TEXT(TODAY(),"YYYY-MM-DD")&amp;" Auto","—")</f>
        <v/>
      </c>
      <c r="L59" s="494" t="n"/>
    </row>
    <row r="60" ht="15" customHeight="1" s="341">
      <c r="A60" s="495" t="n"/>
      <c r="B60" s="382">
        <f>IF(A60="","",IFERROR(VLOOKUP(A60,DB_Customers!$A:$D,4,0),"❌ Account Not Found"))</f>
        <v/>
      </c>
      <c r="C60" s="496">
        <f>IF(A60="","",IFERROR(VLOOKUP(A60,DB_Customers!$A:$N,14,0),""))</f>
        <v/>
      </c>
      <c r="D60" s="497">
        <f>IF(A60="","",TODAY())</f>
        <v/>
      </c>
      <c r="E60" s="510" t="n"/>
      <c r="F60" s="382" t="n"/>
      <c r="G60" s="512">
        <f>IF(OR(A60="",E60=""),"",IF(C60="","",C60-E60))</f>
        <v/>
      </c>
      <c r="H60" s="384" t="inlineStr">
        <is>
          <t>Agent 07</t>
        </is>
      </c>
      <c r="I60" s="491" t="n"/>
      <c r="J60" s="499">
        <f>IF(AND(A60&lt;&gt;"",E60&lt;&gt;""),IF(I60="","⚠️ Enter Code",IF(IFERROR(VLOOKUP(H60,DB_Agents!$B:$I,8,0),"")=I60,IF(C60&gt;=E60,"Successful","Unsuccessful"),"🔒 BLOCKED — Wrong Code")),"—")</f>
        <v/>
      </c>
      <c r="K60" s="500">
        <f>IF(J60="Successful",TEXT(TODAY(),"YYYY-MM-DD")&amp;" Auto","—")</f>
        <v/>
      </c>
      <c r="L60" s="501" t="n"/>
    </row>
    <row r="61" ht="15" customHeight="1" s="341">
      <c r="A61" s="486" t="n"/>
      <c r="B61" s="378">
        <f>IF(A61="","",IFERROR(VLOOKUP(A61,DB_Customers!$A:$D,4,0),"❌ Account Not Found"))</f>
        <v/>
      </c>
      <c r="C61" s="487">
        <f>IF(A61="","",IFERROR(VLOOKUP(A61,DB_Customers!$A:$N,14,0),""))</f>
        <v/>
      </c>
      <c r="D61" s="488">
        <f>IF(A61="","",TODAY())</f>
        <v/>
      </c>
      <c r="E61" s="510" t="n"/>
      <c r="F61" s="378" t="n"/>
      <c r="G61" s="511">
        <f>IF(OR(A61="",E61=""),"",IF(C61="","",C61-E61))</f>
        <v/>
      </c>
      <c r="H61" s="380" t="inlineStr">
        <is>
          <t>Agent 07</t>
        </is>
      </c>
      <c r="I61" s="491" t="n"/>
      <c r="J61" s="492">
        <f>IF(AND(A61&lt;&gt;"",E61&lt;&gt;""),IF(I61="","⚠️ Enter Code",IF(IFERROR(VLOOKUP(H61,DB_Agents!$B:$I,8,0),"")=I61,IF(C61&gt;=E61,"Successful","Unsuccessful"),"🔒 BLOCKED — Wrong Code")),"—")</f>
        <v/>
      </c>
      <c r="K61" s="493">
        <f>IF(J61="Successful",TEXT(TODAY(),"YYYY-MM-DD")&amp;" Auto","—")</f>
        <v/>
      </c>
      <c r="L61" s="494" t="n"/>
    </row>
    <row r="62" ht="15" customHeight="1" s="341">
      <c r="A62" s="495" t="n"/>
      <c r="B62" s="382">
        <f>IF(A62="","",IFERROR(VLOOKUP(A62,DB_Customers!$A:$D,4,0),"❌ Account Not Found"))</f>
        <v/>
      </c>
      <c r="C62" s="496">
        <f>IF(A62="","",IFERROR(VLOOKUP(A62,DB_Customers!$A:$N,14,0),""))</f>
        <v/>
      </c>
      <c r="D62" s="497">
        <f>IF(A62="","",TODAY())</f>
        <v/>
      </c>
      <c r="E62" s="510" t="n"/>
      <c r="F62" s="382" t="n"/>
      <c r="G62" s="512">
        <f>IF(OR(A62="",E62=""),"",IF(C62="","",C62-E62))</f>
        <v/>
      </c>
      <c r="H62" s="384" t="inlineStr">
        <is>
          <t>Agent 07</t>
        </is>
      </c>
      <c r="I62" s="491" t="n"/>
      <c r="J62" s="499">
        <f>IF(AND(A62&lt;&gt;"",E62&lt;&gt;""),IF(I62="","⚠️ Enter Code",IF(IFERROR(VLOOKUP(H62,DB_Agents!$B:$I,8,0),"")=I62,IF(C62&gt;=E62,"Successful","Unsuccessful"),"🔒 BLOCKED — Wrong Code")),"—")</f>
        <v/>
      </c>
      <c r="K62" s="500">
        <f>IF(J62="Successful",TEXT(TODAY(),"YYYY-MM-DD")&amp;" Auto","—")</f>
        <v/>
      </c>
      <c r="L62" s="501" t="n"/>
    </row>
    <row r="63" ht="15" customHeight="1" s="341">
      <c r="A63" s="486" t="n"/>
      <c r="B63" s="378">
        <f>IF(A63="","",IFERROR(VLOOKUP(A63,DB_Customers!$A:$D,4,0),"❌ Account Not Found"))</f>
        <v/>
      </c>
      <c r="C63" s="487">
        <f>IF(A63="","",IFERROR(VLOOKUP(A63,DB_Customers!$A:$N,14,0),""))</f>
        <v/>
      </c>
      <c r="D63" s="488">
        <f>IF(A63="","",TODAY())</f>
        <v/>
      </c>
      <c r="E63" s="510" t="n"/>
      <c r="F63" s="378" t="n"/>
      <c r="G63" s="511">
        <f>IF(OR(A63="",E63=""),"",IF(C63="","",C63-E63))</f>
        <v/>
      </c>
      <c r="H63" s="380" t="inlineStr">
        <is>
          <t>Agent 07</t>
        </is>
      </c>
      <c r="I63" s="491" t="n"/>
      <c r="J63" s="492">
        <f>IF(AND(A63&lt;&gt;"",E63&lt;&gt;""),IF(I63="","⚠️ Enter Code",IF(IFERROR(VLOOKUP(H63,DB_Agents!$B:$I,8,0),"")=I63,IF(C63&gt;=E63,"Successful","Unsuccessful"),"🔒 BLOCKED — Wrong Code")),"—")</f>
        <v/>
      </c>
      <c r="K63" s="493">
        <f>IF(J63="Successful",TEXT(TODAY(),"YYYY-MM-DD")&amp;" Auto","—")</f>
        <v/>
      </c>
      <c r="L63" s="494" t="n"/>
    </row>
    <row r="64" ht="15" customHeight="1" s="341">
      <c r="A64" s="495" t="n"/>
      <c r="B64" s="382">
        <f>IF(A64="","",IFERROR(VLOOKUP(A64,DB_Customers!$A:$D,4,0),"❌ Account Not Found"))</f>
        <v/>
      </c>
      <c r="C64" s="496">
        <f>IF(A64="","",IFERROR(VLOOKUP(A64,DB_Customers!$A:$N,14,0),""))</f>
        <v/>
      </c>
      <c r="D64" s="497">
        <f>IF(A64="","",TODAY())</f>
        <v/>
      </c>
      <c r="E64" s="510" t="n"/>
      <c r="F64" s="382" t="n"/>
      <c r="G64" s="512">
        <f>IF(OR(A64="",E64=""),"",IF(C64="","",C64-E64))</f>
        <v/>
      </c>
      <c r="H64" s="384" t="inlineStr">
        <is>
          <t>Agent 07</t>
        </is>
      </c>
      <c r="I64" s="491" t="n"/>
      <c r="J64" s="499">
        <f>IF(AND(A64&lt;&gt;"",E64&lt;&gt;""),IF(I64="","⚠️ Enter Code",IF(IFERROR(VLOOKUP(H64,DB_Agents!$B:$I,8,0),"")=I64,IF(C64&gt;=E64,"Successful","Unsuccessful"),"🔒 BLOCKED — Wrong Code")),"—")</f>
        <v/>
      </c>
      <c r="K64" s="500">
        <f>IF(J64="Successful",TEXT(TODAY(),"YYYY-MM-DD")&amp;" Auto","—")</f>
        <v/>
      </c>
      <c r="L64" s="501" t="n"/>
    </row>
    <row r="65" ht="15" customHeight="1" s="341">
      <c r="A65" s="486" t="n"/>
      <c r="B65" s="378">
        <f>IF(A65="","",IFERROR(VLOOKUP(A65,DB_Customers!$A:$D,4,0),"❌ Account Not Found"))</f>
        <v/>
      </c>
      <c r="C65" s="487">
        <f>IF(A65="","",IFERROR(VLOOKUP(A65,DB_Customers!$A:$N,14,0),""))</f>
        <v/>
      </c>
      <c r="D65" s="488">
        <f>IF(A65="","",TODAY())</f>
        <v/>
      </c>
      <c r="E65" s="510" t="n"/>
      <c r="F65" s="378" t="n"/>
      <c r="G65" s="511">
        <f>IF(OR(A65="",E65=""),"",IF(C65="","",C65-E65))</f>
        <v/>
      </c>
      <c r="H65" s="380" t="inlineStr">
        <is>
          <t>Agent 07</t>
        </is>
      </c>
      <c r="I65" s="491" t="n"/>
      <c r="J65" s="492">
        <f>IF(AND(A65&lt;&gt;"",E65&lt;&gt;""),IF(I65="","⚠️ Enter Code",IF(IFERROR(VLOOKUP(H65,DB_Agents!$B:$I,8,0),"")=I65,IF(C65&gt;=E65,"Successful","Unsuccessful"),"🔒 BLOCKED — Wrong Code")),"—")</f>
        <v/>
      </c>
      <c r="K65" s="493">
        <f>IF(J65="Successful",TEXT(TODAY(),"YYYY-MM-DD")&amp;" Auto","—")</f>
        <v/>
      </c>
      <c r="L65" s="494" t="n"/>
    </row>
    <row r="66" ht="15" customHeight="1" s="341">
      <c r="A66" s="495" t="n"/>
      <c r="B66" s="382">
        <f>IF(A66="","",IFERROR(VLOOKUP(A66,DB_Customers!$A:$D,4,0),"❌ Account Not Found"))</f>
        <v/>
      </c>
      <c r="C66" s="496">
        <f>IF(A66="","",IFERROR(VLOOKUP(A66,DB_Customers!$A:$N,14,0),""))</f>
        <v/>
      </c>
      <c r="D66" s="497">
        <f>IF(A66="","",TODAY())</f>
        <v/>
      </c>
      <c r="E66" s="510" t="n"/>
      <c r="F66" s="382" t="n"/>
      <c r="G66" s="512">
        <f>IF(OR(A66="",E66=""),"",IF(C66="","",C66-E66))</f>
        <v/>
      </c>
      <c r="H66" s="384" t="inlineStr">
        <is>
          <t>Agent 07</t>
        </is>
      </c>
      <c r="I66" s="491" t="n"/>
      <c r="J66" s="499">
        <f>IF(AND(A66&lt;&gt;"",E66&lt;&gt;""),IF(I66="","⚠️ Enter Code",IF(IFERROR(VLOOKUP(H66,DB_Agents!$B:$I,8,0),"")=I66,IF(C66&gt;=E66,"Successful","Unsuccessful"),"🔒 BLOCKED — Wrong Code")),"—")</f>
        <v/>
      </c>
      <c r="K66" s="500">
        <f>IF(J66="Successful",TEXT(TODAY(),"YYYY-MM-DD")&amp;" Auto","—")</f>
        <v/>
      </c>
      <c r="L66" s="501" t="n"/>
    </row>
    <row r="67" ht="15" customHeight="1" s="341">
      <c r="A67" s="486" t="n"/>
      <c r="B67" s="378">
        <f>IF(A67="","",IFERROR(VLOOKUP(A67,DB_Customers!$A:$D,4,0),"❌ Account Not Found"))</f>
        <v/>
      </c>
      <c r="C67" s="487">
        <f>IF(A67="","",IFERROR(VLOOKUP(A67,DB_Customers!$A:$N,14,0),""))</f>
        <v/>
      </c>
      <c r="D67" s="488">
        <f>IF(A67="","",TODAY())</f>
        <v/>
      </c>
      <c r="E67" s="510" t="n"/>
      <c r="F67" s="378" t="n"/>
      <c r="G67" s="511">
        <f>IF(OR(A67="",E67=""),"",IF(C67="","",C67-E67))</f>
        <v/>
      </c>
      <c r="H67" s="380" t="inlineStr">
        <is>
          <t>Agent 07</t>
        </is>
      </c>
      <c r="I67" s="491" t="n"/>
      <c r="J67" s="492">
        <f>IF(AND(A67&lt;&gt;"",E67&lt;&gt;""),IF(I67="","⚠️ Enter Code",IF(IFERROR(VLOOKUP(H67,DB_Agents!$B:$I,8,0),"")=I67,IF(C67&gt;=E67,"Successful","Unsuccessful"),"🔒 BLOCKED — Wrong Code")),"—")</f>
        <v/>
      </c>
      <c r="K67" s="493">
        <f>IF(J67="Successful",TEXT(TODAY(),"YYYY-MM-DD")&amp;" Auto","—")</f>
        <v/>
      </c>
      <c r="L67" s="494" t="n"/>
    </row>
    <row r="68" ht="15" customHeight="1" s="341">
      <c r="A68" s="495" t="n"/>
      <c r="B68" s="382">
        <f>IF(A68="","",IFERROR(VLOOKUP(A68,DB_Customers!$A:$D,4,0),"❌ Account Not Found"))</f>
        <v/>
      </c>
      <c r="C68" s="496">
        <f>IF(A68="","",IFERROR(VLOOKUP(A68,DB_Customers!$A:$N,14,0),""))</f>
        <v/>
      </c>
      <c r="D68" s="497">
        <f>IF(A68="","",TODAY())</f>
        <v/>
      </c>
      <c r="E68" s="510" t="n"/>
      <c r="F68" s="382" t="n"/>
      <c r="G68" s="512">
        <f>IF(OR(A68="",E68=""),"",IF(C68="","",C68-E68))</f>
        <v/>
      </c>
      <c r="H68" s="384" t="inlineStr">
        <is>
          <t>Agent 07</t>
        </is>
      </c>
      <c r="I68" s="491" t="n"/>
      <c r="J68" s="499">
        <f>IF(AND(A68&lt;&gt;"",E68&lt;&gt;""),IF(I68="","⚠️ Enter Code",IF(IFERROR(VLOOKUP(H68,DB_Agents!$B:$I,8,0),"")=I68,IF(C68&gt;=E68,"Successful","Unsuccessful"),"🔒 BLOCKED — Wrong Code")),"—")</f>
        <v/>
      </c>
      <c r="K68" s="500">
        <f>IF(J68="Successful",TEXT(TODAY(),"YYYY-MM-DD")&amp;" Auto","—")</f>
        <v/>
      </c>
      <c r="L68" s="501" t="n"/>
    </row>
    <row r="69" ht="15" customHeight="1" s="341">
      <c r="A69" s="486" t="n"/>
      <c r="B69" s="378">
        <f>IF(A69="","",IFERROR(VLOOKUP(A69,DB_Customers!$A:$D,4,0),"❌ Account Not Found"))</f>
        <v/>
      </c>
      <c r="C69" s="487">
        <f>IF(A69="","",IFERROR(VLOOKUP(A69,DB_Customers!$A:$N,14,0),""))</f>
        <v/>
      </c>
      <c r="D69" s="488">
        <f>IF(A69="","",TODAY())</f>
        <v/>
      </c>
      <c r="E69" s="510" t="n"/>
      <c r="F69" s="378" t="n"/>
      <c r="G69" s="511">
        <f>IF(OR(A69="",E69=""),"",IF(C69="","",C69-E69))</f>
        <v/>
      </c>
      <c r="H69" s="380" t="inlineStr">
        <is>
          <t>Agent 07</t>
        </is>
      </c>
      <c r="I69" s="491" t="n"/>
      <c r="J69" s="492">
        <f>IF(AND(A69&lt;&gt;"",E69&lt;&gt;""),IF(I69="","⚠️ Enter Code",IF(IFERROR(VLOOKUP(H69,DB_Agents!$B:$I,8,0),"")=I69,IF(C69&gt;=E69,"Successful","Unsuccessful"),"🔒 BLOCKED — Wrong Code")),"—")</f>
        <v/>
      </c>
      <c r="K69" s="493">
        <f>IF(J69="Successful",TEXT(TODAY(),"YYYY-MM-DD")&amp;" Auto","—")</f>
        <v/>
      </c>
      <c r="L69" s="494" t="n"/>
    </row>
    <row r="70" ht="15" customHeight="1" s="341">
      <c r="A70" s="495" t="n"/>
      <c r="B70" s="382">
        <f>IF(A70="","",IFERROR(VLOOKUP(A70,DB_Customers!$A:$D,4,0),"❌ Account Not Found"))</f>
        <v/>
      </c>
      <c r="C70" s="496">
        <f>IF(A70="","",IFERROR(VLOOKUP(A70,DB_Customers!$A:$N,14,0),""))</f>
        <v/>
      </c>
      <c r="D70" s="497">
        <f>IF(A70="","",TODAY())</f>
        <v/>
      </c>
      <c r="E70" s="510" t="n"/>
      <c r="F70" s="382" t="n"/>
      <c r="G70" s="512">
        <f>IF(OR(A70="",E70=""),"",IF(C70="","",C70-E70))</f>
        <v/>
      </c>
      <c r="H70" s="384" t="inlineStr">
        <is>
          <t>Agent 07</t>
        </is>
      </c>
      <c r="I70" s="491" t="n"/>
      <c r="J70" s="499">
        <f>IF(AND(A70&lt;&gt;"",E70&lt;&gt;""),IF(I70="","⚠️ Enter Code",IF(IFERROR(VLOOKUP(H70,DB_Agents!$B:$I,8,0),"")=I70,IF(C70&gt;=E70,"Successful","Unsuccessful"),"🔒 BLOCKED — Wrong Code")),"—")</f>
        <v/>
      </c>
      <c r="K70" s="500">
        <f>IF(J70="Successful",TEXT(TODAY(),"YYYY-MM-DD")&amp;" Auto","—")</f>
        <v/>
      </c>
      <c r="L70" s="501" t="n"/>
    </row>
    <row r="71" ht="15" customHeight="1" s="341">
      <c r="A71" s="486" t="n"/>
      <c r="B71" s="378">
        <f>IF(A71="","",IFERROR(VLOOKUP(A71,DB_Customers!$A:$D,4,0),"❌ Account Not Found"))</f>
        <v/>
      </c>
      <c r="C71" s="487">
        <f>IF(A71="","",IFERROR(VLOOKUP(A71,DB_Customers!$A:$N,14,0),""))</f>
        <v/>
      </c>
      <c r="D71" s="488">
        <f>IF(A71="","",TODAY())</f>
        <v/>
      </c>
      <c r="E71" s="510" t="n"/>
      <c r="F71" s="378" t="n"/>
      <c r="G71" s="511">
        <f>IF(OR(A71="",E71=""),"",IF(C71="","",C71-E71))</f>
        <v/>
      </c>
      <c r="H71" s="380" t="inlineStr">
        <is>
          <t>Agent 07</t>
        </is>
      </c>
      <c r="I71" s="491" t="n"/>
      <c r="J71" s="492">
        <f>IF(AND(A71&lt;&gt;"",E71&lt;&gt;""),IF(I71="","⚠️ Enter Code",IF(IFERROR(VLOOKUP(H71,DB_Agents!$B:$I,8,0),"")=I71,IF(C71&gt;=E71,"Successful","Unsuccessful"),"🔒 BLOCKED — Wrong Code")),"—")</f>
        <v/>
      </c>
      <c r="K71" s="493">
        <f>IF(J71="Successful",TEXT(TODAY(),"YYYY-MM-DD")&amp;" Auto","—")</f>
        <v/>
      </c>
      <c r="L71" s="494" t="n"/>
    </row>
    <row r="72" ht="15" customHeight="1" s="341">
      <c r="A72" s="495" t="n"/>
      <c r="B72" s="382">
        <f>IF(A72="","",IFERROR(VLOOKUP(A72,DB_Customers!$A:$D,4,0),"❌ Account Not Found"))</f>
        <v/>
      </c>
      <c r="C72" s="496">
        <f>IF(A72="","",IFERROR(VLOOKUP(A72,DB_Customers!$A:$N,14,0),""))</f>
        <v/>
      </c>
      <c r="D72" s="497">
        <f>IF(A72="","",TODAY())</f>
        <v/>
      </c>
      <c r="E72" s="510" t="n"/>
      <c r="F72" s="382" t="n"/>
      <c r="G72" s="512">
        <f>IF(OR(A72="",E72=""),"",IF(C72="","",C72-E72))</f>
        <v/>
      </c>
      <c r="H72" s="384" t="inlineStr">
        <is>
          <t>Agent 07</t>
        </is>
      </c>
      <c r="I72" s="491" t="n"/>
      <c r="J72" s="499">
        <f>IF(AND(A72&lt;&gt;"",E72&lt;&gt;""),IF(I72="","⚠️ Enter Code",IF(IFERROR(VLOOKUP(H72,DB_Agents!$B:$I,8,0),"")=I72,IF(C72&gt;=E72,"Successful","Unsuccessful"),"🔒 BLOCKED — Wrong Code")),"—")</f>
        <v/>
      </c>
      <c r="K72" s="500">
        <f>IF(J72="Successful",TEXT(TODAY(),"YYYY-MM-DD")&amp;" Auto","—")</f>
        <v/>
      </c>
      <c r="L72" s="501" t="n"/>
    </row>
    <row r="73" ht="15" customHeight="1" s="341">
      <c r="A73" s="486" t="n"/>
      <c r="B73" s="378">
        <f>IF(A73="","",IFERROR(VLOOKUP(A73,DB_Customers!$A:$D,4,0),"❌ Account Not Found"))</f>
        <v/>
      </c>
      <c r="C73" s="487">
        <f>IF(A73="","",IFERROR(VLOOKUP(A73,DB_Customers!$A:$N,14,0),""))</f>
        <v/>
      </c>
      <c r="D73" s="488">
        <f>IF(A73="","",TODAY())</f>
        <v/>
      </c>
      <c r="E73" s="510" t="n"/>
      <c r="F73" s="378" t="n"/>
      <c r="G73" s="511">
        <f>IF(OR(A73="",E73=""),"",IF(C73="","",C73-E73))</f>
        <v/>
      </c>
      <c r="H73" s="380" t="inlineStr">
        <is>
          <t>Agent 07</t>
        </is>
      </c>
      <c r="I73" s="491" t="n"/>
      <c r="J73" s="492">
        <f>IF(AND(A73&lt;&gt;"",E73&lt;&gt;""),IF(I73="","⚠️ Enter Code",IF(IFERROR(VLOOKUP(H73,DB_Agents!$B:$I,8,0),"")=I73,IF(C73&gt;=E73,"Successful","Unsuccessful"),"🔒 BLOCKED — Wrong Code")),"—")</f>
        <v/>
      </c>
      <c r="K73" s="493">
        <f>IF(J73="Successful",TEXT(TODAY(),"YYYY-MM-DD")&amp;" Auto","—")</f>
        <v/>
      </c>
      <c r="L73" s="494" t="n"/>
    </row>
    <row r="74" ht="15" customHeight="1" s="341">
      <c r="A74" s="495" t="n"/>
      <c r="B74" s="382">
        <f>IF(A74="","",IFERROR(VLOOKUP(A74,DB_Customers!$A:$D,4,0),"❌ Account Not Found"))</f>
        <v/>
      </c>
      <c r="C74" s="496">
        <f>IF(A74="","",IFERROR(VLOOKUP(A74,DB_Customers!$A:$N,14,0),""))</f>
        <v/>
      </c>
      <c r="D74" s="497">
        <f>IF(A74="","",TODAY())</f>
        <v/>
      </c>
      <c r="E74" s="510" t="n"/>
      <c r="F74" s="382" t="n"/>
      <c r="G74" s="512">
        <f>IF(OR(A74="",E74=""),"",IF(C74="","",C74-E74))</f>
        <v/>
      </c>
      <c r="H74" s="384" t="inlineStr">
        <is>
          <t>Agent 07</t>
        </is>
      </c>
      <c r="I74" s="491" t="n"/>
      <c r="J74" s="499">
        <f>IF(AND(A74&lt;&gt;"",E74&lt;&gt;""),IF(I74="","⚠️ Enter Code",IF(IFERROR(VLOOKUP(H74,DB_Agents!$B:$I,8,0),"")=I74,IF(C74&gt;=E74,"Successful","Unsuccessful"),"🔒 BLOCKED — Wrong Code")),"—")</f>
        <v/>
      </c>
      <c r="K74" s="500">
        <f>IF(J74="Successful",TEXT(TODAY(),"YYYY-MM-DD")&amp;" Auto","—")</f>
        <v/>
      </c>
      <c r="L74" s="501" t="n"/>
    </row>
    <row r="75" ht="15" customHeight="1" s="341">
      <c r="A75" s="486" t="n"/>
      <c r="B75" s="378">
        <f>IF(A75="","",IFERROR(VLOOKUP(A75,DB_Customers!$A:$D,4,0),"❌ Account Not Found"))</f>
        <v/>
      </c>
      <c r="C75" s="487">
        <f>IF(A75="","",IFERROR(VLOOKUP(A75,DB_Customers!$A:$N,14,0),""))</f>
        <v/>
      </c>
      <c r="D75" s="488">
        <f>IF(A75="","",TODAY())</f>
        <v/>
      </c>
      <c r="E75" s="510" t="n"/>
      <c r="F75" s="378" t="n"/>
      <c r="G75" s="511">
        <f>IF(OR(A75="",E75=""),"",IF(C75="","",C75-E75))</f>
        <v/>
      </c>
      <c r="H75" s="380" t="inlineStr">
        <is>
          <t>Agent 07</t>
        </is>
      </c>
      <c r="I75" s="491" t="n"/>
      <c r="J75" s="492">
        <f>IF(AND(A75&lt;&gt;"",E75&lt;&gt;""),IF(I75="","⚠️ Enter Code",IF(IFERROR(VLOOKUP(H75,DB_Agents!$B:$I,8,0),"")=I75,IF(C75&gt;=E75,"Successful","Unsuccessful"),"🔒 BLOCKED — Wrong Code")),"—")</f>
        <v/>
      </c>
      <c r="K75" s="493">
        <f>IF(J75="Successful",TEXT(TODAY(),"YYYY-MM-DD")&amp;" Auto","—")</f>
        <v/>
      </c>
      <c r="L75" s="494" t="n"/>
    </row>
    <row r="76" ht="15" customHeight="1" s="341">
      <c r="A76" s="495" t="n"/>
      <c r="B76" s="382">
        <f>IF(A76="","",IFERROR(VLOOKUP(A76,DB_Customers!$A:$D,4,0),"❌ Account Not Found"))</f>
        <v/>
      </c>
      <c r="C76" s="496">
        <f>IF(A76="","",IFERROR(VLOOKUP(A76,DB_Customers!$A:$N,14,0),""))</f>
        <v/>
      </c>
      <c r="D76" s="497">
        <f>IF(A76="","",TODAY())</f>
        <v/>
      </c>
      <c r="E76" s="510" t="n"/>
      <c r="F76" s="382" t="n"/>
      <c r="G76" s="512">
        <f>IF(OR(A76="",E76=""),"",IF(C76="","",C76-E76))</f>
        <v/>
      </c>
      <c r="H76" s="384" t="inlineStr">
        <is>
          <t>Agent 07</t>
        </is>
      </c>
      <c r="I76" s="491" t="n"/>
      <c r="J76" s="499">
        <f>IF(AND(A76&lt;&gt;"",E76&lt;&gt;""),IF(I76="","⚠️ Enter Code",IF(IFERROR(VLOOKUP(H76,DB_Agents!$B:$I,8,0),"")=I76,IF(C76&gt;=E76,"Successful","Unsuccessful"),"🔒 BLOCKED — Wrong Code")),"—")</f>
        <v/>
      </c>
      <c r="K76" s="500">
        <f>IF(J76="Successful",TEXT(TODAY(),"YYYY-MM-DD")&amp;" Auto","—")</f>
        <v/>
      </c>
      <c r="L76" s="501" t="n"/>
    </row>
    <row r="77" ht="15" customHeight="1" s="341">
      <c r="A77" s="486" t="n"/>
      <c r="B77" s="378">
        <f>IF(A77="","",IFERROR(VLOOKUP(A77,DB_Customers!$A:$D,4,0),"❌ Account Not Found"))</f>
        <v/>
      </c>
      <c r="C77" s="487">
        <f>IF(A77="","",IFERROR(VLOOKUP(A77,DB_Customers!$A:$N,14,0),""))</f>
        <v/>
      </c>
      <c r="D77" s="488">
        <f>IF(A77="","",TODAY())</f>
        <v/>
      </c>
      <c r="E77" s="510" t="n"/>
      <c r="F77" s="378" t="n"/>
      <c r="G77" s="511">
        <f>IF(OR(A77="",E77=""),"",IF(C77="","",C77-E77))</f>
        <v/>
      </c>
      <c r="H77" s="380" t="inlineStr">
        <is>
          <t>Agent 07</t>
        </is>
      </c>
      <c r="I77" s="491" t="n"/>
      <c r="J77" s="492">
        <f>IF(AND(A77&lt;&gt;"",E77&lt;&gt;""),IF(I77="","⚠️ Enter Code",IF(IFERROR(VLOOKUP(H77,DB_Agents!$B:$I,8,0),"")=I77,IF(C77&gt;=E77,"Successful","Unsuccessful"),"🔒 BLOCKED — Wrong Code")),"—")</f>
        <v/>
      </c>
      <c r="K77" s="493">
        <f>IF(J77="Successful",TEXT(TODAY(),"YYYY-MM-DD")&amp;" Auto","—")</f>
        <v/>
      </c>
      <c r="L77" s="494" t="n"/>
    </row>
    <row r="78" ht="15" customHeight="1" s="341">
      <c r="A78" s="495" t="n"/>
      <c r="B78" s="382">
        <f>IF(A78="","",IFERROR(VLOOKUP(A78,DB_Customers!$A:$D,4,0),"❌ Account Not Found"))</f>
        <v/>
      </c>
      <c r="C78" s="496">
        <f>IF(A78="","",IFERROR(VLOOKUP(A78,DB_Customers!$A:$N,14,0),""))</f>
        <v/>
      </c>
      <c r="D78" s="497">
        <f>IF(A78="","",TODAY())</f>
        <v/>
      </c>
      <c r="E78" s="510" t="n"/>
      <c r="F78" s="382" t="n"/>
      <c r="G78" s="512">
        <f>IF(OR(A78="",E78=""),"",IF(C78="","",C78-E78))</f>
        <v/>
      </c>
      <c r="H78" s="384" t="inlineStr">
        <is>
          <t>Agent 07</t>
        </is>
      </c>
      <c r="I78" s="491" t="n"/>
      <c r="J78" s="499">
        <f>IF(AND(A78&lt;&gt;"",E78&lt;&gt;""),IF(I78="","⚠️ Enter Code",IF(IFERROR(VLOOKUP(H78,DB_Agents!$B:$I,8,0),"")=I78,IF(C78&gt;=E78,"Successful","Unsuccessful"),"🔒 BLOCKED — Wrong Code")),"—")</f>
        <v/>
      </c>
      <c r="K78" s="500">
        <f>IF(J78="Successful",TEXT(TODAY(),"YYYY-MM-DD")&amp;" Auto","—")</f>
        <v/>
      </c>
      <c r="L78" s="501" t="n"/>
    </row>
    <row r="79" ht="15" customHeight="1" s="341">
      <c r="A79" s="486" t="n"/>
      <c r="B79" s="378">
        <f>IF(A79="","",IFERROR(VLOOKUP(A79,DB_Customers!$A:$D,4,0),"❌ Account Not Found"))</f>
        <v/>
      </c>
      <c r="C79" s="487">
        <f>IF(A79="","",IFERROR(VLOOKUP(A79,DB_Customers!$A:$N,14,0),""))</f>
        <v/>
      </c>
      <c r="D79" s="488">
        <f>IF(A79="","",TODAY())</f>
        <v/>
      </c>
      <c r="E79" s="510" t="n"/>
      <c r="F79" s="378" t="n"/>
      <c r="G79" s="511">
        <f>IF(OR(A79="",E79=""),"",IF(C79="","",C79-E79))</f>
        <v/>
      </c>
      <c r="H79" s="380" t="inlineStr">
        <is>
          <t>Agent 07</t>
        </is>
      </c>
      <c r="I79" s="491" t="n"/>
      <c r="J79" s="492">
        <f>IF(AND(A79&lt;&gt;"",E79&lt;&gt;""),IF(I79="","⚠️ Enter Code",IF(IFERROR(VLOOKUP(H79,DB_Agents!$B:$I,8,0),"")=I79,IF(C79&gt;=E79,"Successful","Unsuccessful"),"🔒 BLOCKED — Wrong Code")),"—")</f>
        <v/>
      </c>
      <c r="K79" s="493">
        <f>IF(J79="Successful",TEXT(TODAY(),"YYYY-MM-DD")&amp;" Auto","—")</f>
        <v/>
      </c>
      <c r="L79" s="494" t="n"/>
    </row>
    <row r="80" ht="15" customHeight="1" s="341">
      <c r="A80" s="495" t="n"/>
      <c r="B80" s="382">
        <f>IF(A80="","",IFERROR(VLOOKUP(A80,DB_Customers!$A:$D,4,0),"❌ Account Not Found"))</f>
        <v/>
      </c>
      <c r="C80" s="496">
        <f>IF(A80="","",IFERROR(VLOOKUP(A80,DB_Customers!$A:$N,14,0),""))</f>
        <v/>
      </c>
      <c r="D80" s="497">
        <f>IF(A80="","",TODAY())</f>
        <v/>
      </c>
      <c r="E80" s="510" t="n"/>
      <c r="F80" s="382" t="n"/>
      <c r="G80" s="512">
        <f>IF(OR(A80="",E80=""),"",IF(C80="","",C80-E80))</f>
        <v/>
      </c>
      <c r="H80" s="384" t="inlineStr">
        <is>
          <t>Agent 07</t>
        </is>
      </c>
      <c r="I80" s="491" t="n"/>
      <c r="J80" s="499">
        <f>IF(AND(A80&lt;&gt;"",E80&lt;&gt;""),IF(I80="","⚠️ Enter Code",IF(IFERROR(VLOOKUP(H80,DB_Agents!$B:$I,8,0),"")=I80,IF(C80&gt;=E80,"Successful","Unsuccessful"),"🔒 BLOCKED — Wrong Code")),"—")</f>
        <v/>
      </c>
      <c r="K80" s="500">
        <f>IF(J80="Successful",TEXT(TODAY(),"YYYY-MM-DD")&amp;" Auto","—")</f>
        <v/>
      </c>
      <c r="L80" s="501" t="n"/>
    </row>
    <row r="81" ht="15" customHeight="1" s="341">
      <c r="A81" s="486" t="n"/>
      <c r="B81" s="378">
        <f>IF(A81="","",IFERROR(VLOOKUP(A81,DB_Customers!$A:$D,4,0),"❌ Account Not Found"))</f>
        <v/>
      </c>
      <c r="C81" s="487">
        <f>IF(A81="","",IFERROR(VLOOKUP(A81,DB_Customers!$A:$N,14,0),""))</f>
        <v/>
      </c>
      <c r="D81" s="488">
        <f>IF(A81="","",TODAY())</f>
        <v/>
      </c>
      <c r="E81" s="510" t="n"/>
      <c r="F81" s="378" t="n"/>
      <c r="G81" s="511">
        <f>IF(OR(A81="",E81=""),"",IF(C81="","",C81-E81))</f>
        <v/>
      </c>
      <c r="H81" s="380" t="inlineStr">
        <is>
          <t>Agent 07</t>
        </is>
      </c>
      <c r="I81" s="491" t="n"/>
      <c r="J81" s="492">
        <f>IF(AND(A81&lt;&gt;"",E81&lt;&gt;""),IF(I81="","⚠️ Enter Code",IF(IFERROR(VLOOKUP(H81,DB_Agents!$B:$I,8,0),"")=I81,IF(C81&gt;=E81,"Successful","Unsuccessful"),"🔒 BLOCKED — Wrong Code")),"—")</f>
        <v/>
      </c>
      <c r="K81" s="493">
        <f>IF(J81="Successful",TEXT(TODAY(),"YYYY-MM-DD")&amp;" Auto","—")</f>
        <v/>
      </c>
      <c r="L81" s="494" t="n"/>
    </row>
    <row r="82" ht="15" customHeight="1" s="341">
      <c r="A82" s="495" t="n"/>
      <c r="B82" s="382">
        <f>IF(A82="","",IFERROR(VLOOKUP(A82,DB_Customers!$A:$D,4,0),"❌ Account Not Found"))</f>
        <v/>
      </c>
      <c r="C82" s="496">
        <f>IF(A82="","",IFERROR(VLOOKUP(A82,DB_Customers!$A:$N,14,0),""))</f>
        <v/>
      </c>
      <c r="D82" s="497">
        <f>IF(A82="","",TODAY())</f>
        <v/>
      </c>
      <c r="E82" s="510" t="n"/>
      <c r="F82" s="382" t="n"/>
      <c r="G82" s="512">
        <f>IF(OR(A82="",E82=""),"",IF(C82="","",C82-E82))</f>
        <v/>
      </c>
      <c r="H82" s="384" t="inlineStr">
        <is>
          <t>Agent 07</t>
        </is>
      </c>
      <c r="I82" s="491" t="n"/>
      <c r="J82" s="499">
        <f>IF(AND(A82&lt;&gt;"",E82&lt;&gt;""),IF(I82="","⚠️ Enter Code",IF(IFERROR(VLOOKUP(H82,DB_Agents!$B:$I,8,0),"")=I82,IF(C82&gt;=E82,"Successful","Unsuccessful"),"🔒 BLOCKED — Wrong Code")),"—")</f>
        <v/>
      </c>
      <c r="K82" s="500">
        <f>IF(J82="Successful",TEXT(TODAY(),"YYYY-MM-DD")&amp;" Auto","—")</f>
        <v/>
      </c>
      <c r="L82" s="501" t="n"/>
    </row>
    <row r="83" ht="15" customHeight="1" s="341">
      <c r="A83" s="486" t="n"/>
      <c r="B83" s="378">
        <f>IF(A83="","",IFERROR(VLOOKUP(A83,DB_Customers!$A:$D,4,0),"❌ Account Not Found"))</f>
        <v/>
      </c>
      <c r="C83" s="487">
        <f>IF(A83="","",IFERROR(VLOOKUP(A83,DB_Customers!$A:$N,14,0),""))</f>
        <v/>
      </c>
      <c r="D83" s="488">
        <f>IF(A83="","",TODAY())</f>
        <v/>
      </c>
      <c r="E83" s="510" t="n"/>
      <c r="F83" s="378" t="n"/>
      <c r="G83" s="511">
        <f>IF(OR(A83="",E83=""),"",IF(C83="","",C83-E83))</f>
        <v/>
      </c>
      <c r="H83" s="380" t="inlineStr">
        <is>
          <t>Agent 07</t>
        </is>
      </c>
      <c r="I83" s="491" t="n"/>
      <c r="J83" s="492">
        <f>IF(AND(A83&lt;&gt;"",E83&lt;&gt;""),IF(I83="","⚠️ Enter Code",IF(IFERROR(VLOOKUP(H83,DB_Agents!$B:$I,8,0),"")=I83,IF(C83&gt;=E83,"Successful","Unsuccessful"),"🔒 BLOCKED — Wrong Code")),"—")</f>
        <v/>
      </c>
      <c r="K83" s="493">
        <f>IF(J83="Successful",TEXT(TODAY(),"YYYY-MM-DD")&amp;" Auto","—")</f>
        <v/>
      </c>
      <c r="L83" s="494" t="n"/>
    </row>
    <row r="84" ht="15" customHeight="1" s="341">
      <c r="A84" s="495" t="n"/>
      <c r="B84" s="382">
        <f>IF(A84="","",IFERROR(VLOOKUP(A84,DB_Customers!$A:$D,4,0),"❌ Account Not Found"))</f>
        <v/>
      </c>
      <c r="C84" s="496">
        <f>IF(A84="","",IFERROR(VLOOKUP(A84,DB_Customers!$A:$N,14,0),""))</f>
        <v/>
      </c>
      <c r="D84" s="497">
        <f>IF(A84="","",TODAY())</f>
        <v/>
      </c>
      <c r="E84" s="510" t="n"/>
      <c r="F84" s="382" t="n"/>
      <c r="G84" s="512">
        <f>IF(OR(A84="",E84=""),"",IF(C84="","",C84-E84))</f>
        <v/>
      </c>
      <c r="H84" s="384" t="inlineStr">
        <is>
          <t>Agent 07</t>
        </is>
      </c>
      <c r="I84" s="491" t="n"/>
      <c r="J84" s="499">
        <f>IF(AND(A84&lt;&gt;"",E84&lt;&gt;""),IF(I84="","⚠️ Enter Code",IF(IFERROR(VLOOKUP(H84,DB_Agents!$B:$I,8,0),"")=I84,IF(C84&gt;=E84,"Successful","Unsuccessful"),"🔒 BLOCKED — Wrong Code")),"—")</f>
        <v/>
      </c>
      <c r="K84" s="500">
        <f>IF(J84="Successful",TEXT(TODAY(),"YYYY-MM-DD")&amp;" Auto","—")</f>
        <v/>
      </c>
      <c r="L84" s="501" t="n"/>
    </row>
    <row r="85" ht="15" customHeight="1" s="341">
      <c r="A85" s="486" t="n"/>
      <c r="B85" s="378">
        <f>IF(A85="","",IFERROR(VLOOKUP(A85,DB_Customers!$A:$D,4,0),"❌ Account Not Found"))</f>
        <v/>
      </c>
      <c r="C85" s="487">
        <f>IF(A85="","",IFERROR(VLOOKUP(A85,DB_Customers!$A:$N,14,0),""))</f>
        <v/>
      </c>
      <c r="D85" s="488">
        <f>IF(A85="","",TODAY())</f>
        <v/>
      </c>
      <c r="E85" s="510" t="n"/>
      <c r="F85" s="378" t="n"/>
      <c r="G85" s="511">
        <f>IF(OR(A85="",E85=""),"",IF(C85="","",C85-E85))</f>
        <v/>
      </c>
      <c r="H85" s="380" t="inlineStr">
        <is>
          <t>Agent 07</t>
        </is>
      </c>
      <c r="I85" s="491" t="n"/>
      <c r="J85" s="492">
        <f>IF(AND(A85&lt;&gt;"",E85&lt;&gt;""),IF(I85="","⚠️ Enter Code",IF(IFERROR(VLOOKUP(H85,DB_Agents!$B:$I,8,0),"")=I85,IF(C85&gt;=E85,"Successful","Unsuccessful"),"🔒 BLOCKED — Wrong Code")),"—")</f>
        <v/>
      </c>
      <c r="K85" s="493">
        <f>IF(J85="Successful",TEXT(TODAY(),"YYYY-MM-DD")&amp;" Auto","—")</f>
        <v/>
      </c>
      <c r="L85" s="494" t="n"/>
    </row>
    <row r="86" ht="15" customHeight="1" s="341">
      <c r="A86" s="495" t="n"/>
      <c r="B86" s="382">
        <f>IF(A86="","",IFERROR(VLOOKUP(A86,DB_Customers!$A:$D,4,0),"❌ Account Not Found"))</f>
        <v/>
      </c>
      <c r="C86" s="496">
        <f>IF(A86="","",IFERROR(VLOOKUP(A86,DB_Customers!$A:$N,14,0),""))</f>
        <v/>
      </c>
      <c r="D86" s="497">
        <f>IF(A86="","",TODAY())</f>
        <v/>
      </c>
      <c r="E86" s="510" t="n"/>
      <c r="F86" s="382" t="n"/>
      <c r="G86" s="512">
        <f>IF(OR(A86="",E86=""),"",IF(C86="","",C86-E86))</f>
        <v/>
      </c>
      <c r="H86" s="384" t="inlineStr">
        <is>
          <t>Agent 07</t>
        </is>
      </c>
      <c r="I86" s="491" t="n"/>
      <c r="J86" s="499">
        <f>IF(AND(A86&lt;&gt;"",E86&lt;&gt;""),IF(I86="","⚠️ Enter Code",IF(IFERROR(VLOOKUP(H86,DB_Agents!$B:$I,8,0),"")=I86,IF(C86&gt;=E86,"Successful","Unsuccessful"),"🔒 BLOCKED — Wrong Code")),"—")</f>
        <v/>
      </c>
      <c r="K86" s="500">
        <f>IF(J86="Successful",TEXT(TODAY(),"YYYY-MM-DD")&amp;" Auto","—")</f>
        <v/>
      </c>
      <c r="L86" s="501" t="n"/>
    </row>
    <row r="87" ht="15" customHeight="1" s="341">
      <c r="A87" s="486" t="n"/>
      <c r="B87" s="378">
        <f>IF(A87="","",IFERROR(VLOOKUP(A87,DB_Customers!$A:$D,4,0),"❌ Account Not Found"))</f>
        <v/>
      </c>
      <c r="C87" s="487">
        <f>IF(A87="","",IFERROR(VLOOKUP(A87,DB_Customers!$A:$N,14,0),""))</f>
        <v/>
      </c>
      <c r="D87" s="488">
        <f>IF(A87="","",TODAY())</f>
        <v/>
      </c>
      <c r="E87" s="510" t="n"/>
      <c r="F87" s="378" t="n"/>
      <c r="G87" s="511">
        <f>IF(OR(A87="",E87=""),"",IF(C87="","",C87-E87))</f>
        <v/>
      </c>
      <c r="H87" s="380" t="inlineStr">
        <is>
          <t>Agent 07</t>
        </is>
      </c>
      <c r="I87" s="491" t="n"/>
      <c r="J87" s="492">
        <f>IF(AND(A87&lt;&gt;"",E87&lt;&gt;""),IF(I87="","⚠️ Enter Code",IF(IFERROR(VLOOKUP(H87,DB_Agents!$B:$I,8,0),"")=I87,IF(C87&gt;=E87,"Successful","Unsuccessful"),"🔒 BLOCKED — Wrong Code")),"—")</f>
        <v/>
      </c>
      <c r="K87" s="493">
        <f>IF(J87="Successful",TEXT(TODAY(),"YYYY-MM-DD")&amp;" Auto","—")</f>
        <v/>
      </c>
      <c r="L87" s="494" t="n"/>
    </row>
    <row r="88" ht="15" customHeight="1" s="341">
      <c r="A88" s="495" t="n"/>
      <c r="B88" s="382">
        <f>IF(A88="","",IFERROR(VLOOKUP(A88,DB_Customers!$A:$D,4,0),"❌ Account Not Found"))</f>
        <v/>
      </c>
      <c r="C88" s="496">
        <f>IF(A88="","",IFERROR(VLOOKUP(A88,DB_Customers!$A:$N,14,0),""))</f>
        <v/>
      </c>
      <c r="D88" s="497">
        <f>IF(A88="","",TODAY())</f>
        <v/>
      </c>
      <c r="E88" s="510" t="n"/>
      <c r="F88" s="382" t="n"/>
      <c r="G88" s="512">
        <f>IF(OR(A88="",E88=""),"",IF(C88="","",C88-E88))</f>
        <v/>
      </c>
      <c r="H88" s="384" t="inlineStr">
        <is>
          <t>Agent 07</t>
        </is>
      </c>
      <c r="I88" s="491" t="n"/>
      <c r="J88" s="499">
        <f>IF(AND(A88&lt;&gt;"",E88&lt;&gt;""),IF(I88="","⚠️ Enter Code",IF(IFERROR(VLOOKUP(H88,DB_Agents!$B:$I,8,0),"")=I88,IF(C88&gt;=E88,"Successful","Unsuccessful"),"🔒 BLOCKED — Wrong Code")),"—")</f>
        <v/>
      </c>
      <c r="K88" s="500">
        <f>IF(J88="Successful",TEXT(TODAY(),"YYYY-MM-DD")&amp;" Auto","—")</f>
        <v/>
      </c>
      <c r="L88" s="501" t="n"/>
    </row>
    <row r="89" ht="15" customHeight="1" s="341">
      <c r="A89" s="486" t="n"/>
      <c r="B89" s="378">
        <f>IF(A89="","",IFERROR(VLOOKUP(A89,DB_Customers!$A:$D,4,0),"❌ Account Not Found"))</f>
        <v/>
      </c>
      <c r="C89" s="487">
        <f>IF(A89="","",IFERROR(VLOOKUP(A89,DB_Customers!$A:$N,14,0),""))</f>
        <v/>
      </c>
      <c r="D89" s="488">
        <f>IF(A89="","",TODAY())</f>
        <v/>
      </c>
      <c r="E89" s="510" t="n"/>
      <c r="F89" s="378" t="n"/>
      <c r="G89" s="511">
        <f>IF(OR(A89="",E89=""),"",IF(C89="","",C89-E89))</f>
        <v/>
      </c>
      <c r="H89" s="380" t="inlineStr">
        <is>
          <t>Agent 07</t>
        </is>
      </c>
      <c r="I89" s="491" t="n"/>
      <c r="J89" s="492">
        <f>IF(AND(A89&lt;&gt;"",E89&lt;&gt;""),IF(I89="","⚠️ Enter Code",IF(IFERROR(VLOOKUP(H89,DB_Agents!$B:$I,8,0),"")=I89,IF(C89&gt;=E89,"Successful","Unsuccessful"),"🔒 BLOCKED — Wrong Code")),"—")</f>
        <v/>
      </c>
      <c r="K89" s="493">
        <f>IF(J89="Successful",TEXT(TODAY(),"YYYY-MM-DD")&amp;" Auto","—")</f>
        <v/>
      </c>
      <c r="L89" s="494" t="n"/>
    </row>
    <row r="90" ht="15" customHeight="1" s="341">
      <c r="A90" s="495" t="n"/>
      <c r="B90" s="382">
        <f>IF(A90="","",IFERROR(VLOOKUP(A90,DB_Customers!$A:$D,4,0),"❌ Account Not Found"))</f>
        <v/>
      </c>
      <c r="C90" s="496">
        <f>IF(A90="","",IFERROR(VLOOKUP(A90,DB_Customers!$A:$N,14,0),""))</f>
        <v/>
      </c>
      <c r="D90" s="497">
        <f>IF(A90="","",TODAY())</f>
        <v/>
      </c>
      <c r="E90" s="510" t="n"/>
      <c r="F90" s="382" t="n"/>
      <c r="G90" s="512">
        <f>IF(OR(A90="",E90=""),"",IF(C90="","",C90-E90))</f>
        <v/>
      </c>
      <c r="H90" s="384" t="inlineStr">
        <is>
          <t>Agent 07</t>
        </is>
      </c>
      <c r="I90" s="491" t="n"/>
      <c r="J90" s="499">
        <f>IF(AND(A90&lt;&gt;"",E90&lt;&gt;""),IF(I90="","⚠️ Enter Code",IF(IFERROR(VLOOKUP(H90,DB_Agents!$B:$I,8,0),"")=I90,IF(C90&gt;=E90,"Successful","Unsuccessful"),"🔒 BLOCKED — Wrong Code")),"—")</f>
        <v/>
      </c>
      <c r="K90" s="500">
        <f>IF(J90="Successful",TEXT(TODAY(),"YYYY-MM-DD")&amp;" Auto","—")</f>
        <v/>
      </c>
      <c r="L90" s="501" t="n"/>
    </row>
    <row r="91" ht="15" customHeight="1" s="341">
      <c r="A91" s="486" t="n"/>
      <c r="B91" s="378">
        <f>IF(A91="","",IFERROR(VLOOKUP(A91,DB_Customers!$A:$D,4,0),"❌ Account Not Found"))</f>
        <v/>
      </c>
      <c r="C91" s="487">
        <f>IF(A91="","",IFERROR(VLOOKUP(A91,DB_Customers!$A:$N,14,0),""))</f>
        <v/>
      </c>
      <c r="D91" s="488">
        <f>IF(A91="","",TODAY())</f>
        <v/>
      </c>
      <c r="E91" s="510" t="n"/>
      <c r="F91" s="378" t="n"/>
      <c r="G91" s="511">
        <f>IF(OR(A91="",E91=""),"",IF(C91="","",C91-E91))</f>
        <v/>
      </c>
      <c r="H91" s="380" t="inlineStr">
        <is>
          <t>Agent 07</t>
        </is>
      </c>
      <c r="I91" s="491" t="n"/>
      <c r="J91" s="492">
        <f>IF(AND(A91&lt;&gt;"",E91&lt;&gt;""),IF(I91="","⚠️ Enter Code",IF(IFERROR(VLOOKUP(H91,DB_Agents!$B:$I,8,0),"")=I91,IF(C91&gt;=E91,"Successful","Unsuccessful"),"🔒 BLOCKED — Wrong Code")),"—")</f>
        <v/>
      </c>
      <c r="K91" s="493">
        <f>IF(J91="Successful",TEXT(TODAY(),"YYYY-MM-DD")&amp;" Auto","—")</f>
        <v/>
      </c>
      <c r="L91" s="494" t="n"/>
    </row>
    <row r="92" ht="15" customHeight="1" s="341">
      <c r="A92" s="495" t="n"/>
      <c r="B92" s="382">
        <f>IF(A92="","",IFERROR(VLOOKUP(A92,DB_Customers!$A:$D,4,0),"❌ Account Not Found"))</f>
        <v/>
      </c>
      <c r="C92" s="496">
        <f>IF(A92="","",IFERROR(VLOOKUP(A92,DB_Customers!$A:$N,14,0),""))</f>
        <v/>
      </c>
      <c r="D92" s="497">
        <f>IF(A92="","",TODAY())</f>
        <v/>
      </c>
      <c r="E92" s="510" t="n"/>
      <c r="F92" s="382" t="n"/>
      <c r="G92" s="512">
        <f>IF(OR(A92="",E92=""),"",IF(C92="","",C92-E92))</f>
        <v/>
      </c>
      <c r="H92" s="384" t="inlineStr">
        <is>
          <t>Agent 07</t>
        </is>
      </c>
      <c r="I92" s="491" t="n"/>
      <c r="J92" s="499">
        <f>IF(AND(A92&lt;&gt;"",E92&lt;&gt;""),IF(I92="","⚠️ Enter Code",IF(IFERROR(VLOOKUP(H92,DB_Agents!$B:$I,8,0),"")=I92,IF(C92&gt;=E92,"Successful","Unsuccessful"),"🔒 BLOCKED — Wrong Code")),"—")</f>
        <v/>
      </c>
      <c r="K92" s="500">
        <f>IF(J92="Successful",TEXT(TODAY(),"YYYY-MM-DD")&amp;" Auto","—")</f>
        <v/>
      </c>
      <c r="L92" s="501" t="n"/>
    </row>
    <row r="93" ht="15" customHeight="1" s="341">
      <c r="A93" s="486" t="n"/>
      <c r="B93" s="378">
        <f>IF(A93="","",IFERROR(VLOOKUP(A93,DB_Customers!$A:$D,4,0),"❌ Account Not Found"))</f>
        <v/>
      </c>
      <c r="C93" s="487">
        <f>IF(A93="","",IFERROR(VLOOKUP(A93,DB_Customers!$A:$N,14,0),""))</f>
        <v/>
      </c>
      <c r="D93" s="488">
        <f>IF(A93="","",TODAY())</f>
        <v/>
      </c>
      <c r="E93" s="510" t="n"/>
      <c r="F93" s="378" t="n"/>
      <c r="G93" s="511">
        <f>IF(OR(A93="",E93=""),"",IF(C93="","",C93-E93))</f>
        <v/>
      </c>
      <c r="H93" s="380" t="inlineStr">
        <is>
          <t>Agent 07</t>
        </is>
      </c>
      <c r="I93" s="491" t="n"/>
      <c r="J93" s="492">
        <f>IF(AND(A93&lt;&gt;"",E93&lt;&gt;""),IF(I93="","⚠️ Enter Code",IF(IFERROR(VLOOKUP(H93,DB_Agents!$B:$I,8,0),"")=I93,IF(C93&gt;=E93,"Successful","Unsuccessful"),"🔒 BLOCKED — Wrong Code")),"—")</f>
        <v/>
      </c>
      <c r="K93" s="493">
        <f>IF(J93="Successful",TEXT(TODAY(),"YYYY-MM-DD")&amp;" Auto","—")</f>
        <v/>
      </c>
      <c r="L93" s="494" t="n"/>
    </row>
    <row r="94" ht="15" customHeight="1" s="341">
      <c r="A94" s="495" t="n"/>
      <c r="B94" s="382">
        <f>IF(A94="","",IFERROR(VLOOKUP(A94,DB_Customers!$A:$D,4,0),"❌ Account Not Found"))</f>
        <v/>
      </c>
      <c r="C94" s="496">
        <f>IF(A94="","",IFERROR(VLOOKUP(A94,DB_Customers!$A:$N,14,0),""))</f>
        <v/>
      </c>
      <c r="D94" s="497">
        <f>IF(A94="","",TODAY())</f>
        <v/>
      </c>
      <c r="E94" s="510" t="n"/>
      <c r="F94" s="382" t="n"/>
      <c r="G94" s="512">
        <f>IF(OR(A94="",E94=""),"",IF(C94="","",C94-E94))</f>
        <v/>
      </c>
      <c r="H94" s="384" t="inlineStr">
        <is>
          <t>Agent 07</t>
        </is>
      </c>
      <c r="I94" s="491" t="n"/>
      <c r="J94" s="499">
        <f>IF(AND(A94&lt;&gt;"",E94&lt;&gt;""),IF(I94="","⚠️ Enter Code",IF(IFERROR(VLOOKUP(H94,DB_Agents!$B:$I,8,0),"")=I94,IF(C94&gt;=E94,"Successful","Unsuccessful"),"🔒 BLOCKED — Wrong Code")),"—")</f>
        <v/>
      </c>
      <c r="K94" s="500">
        <f>IF(J94="Successful",TEXT(TODAY(),"YYYY-MM-DD")&amp;" Auto","—")</f>
        <v/>
      </c>
      <c r="L94" s="501" t="n"/>
    </row>
    <row r="95" ht="15" customHeight="1" s="341">
      <c r="A95" s="486" t="n"/>
      <c r="B95" s="378">
        <f>IF(A95="","",IFERROR(VLOOKUP(A95,DB_Customers!$A:$D,4,0),"❌ Account Not Found"))</f>
        <v/>
      </c>
      <c r="C95" s="487">
        <f>IF(A95="","",IFERROR(VLOOKUP(A95,DB_Customers!$A:$N,14,0),""))</f>
        <v/>
      </c>
      <c r="D95" s="488">
        <f>IF(A95="","",TODAY())</f>
        <v/>
      </c>
      <c r="E95" s="510" t="n"/>
      <c r="F95" s="378" t="n"/>
      <c r="G95" s="511">
        <f>IF(OR(A95="",E95=""),"",IF(C95="","",C95-E95))</f>
        <v/>
      </c>
      <c r="H95" s="380" t="inlineStr">
        <is>
          <t>Agent 07</t>
        </is>
      </c>
      <c r="I95" s="491" t="n"/>
      <c r="J95" s="492">
        <f>IF(AND(A95&lt;&gt;"",E95&lt;&gt;""),IF(I95="","⚠️ Enter Code",IF(IFERROR(VLOOKUP(H95,DB_Agents!$B:$I,8,0),"")=I95,IF(C95&gt;=E95,"Successful","Unsuccessful"),"🔒 BLOCKED — Wrong Code")),"—")</f>
        <v/>
      </c>
      <c r="K95" s="493">
        <f>IF(J95="Successful",TEXT(TODAY(),"YYYY-MM-DD")&amp;" Auto","—")</f>
        <v/>
      </c>
      <c r="L95" s="494" t="n"/>
    </row>
    <row r="96" ht="15" customHeight="1" s="341">
      <c r="A96" s="495" t="n"/>
      <c r="B96" s="382">
        <f>IF(A96="","",IFERROR(VLOOKUP(A96,DB_Customers!$A:$D,4,0),"❌ Account Not Found"))</f>
        <v/>
      </c>
      <c r="C96" s="496">
        <f>IF(A96="","",IFERROR(VLOOKUP(A96,DB_Customers!$A:$N,14,0),""))</f>
        <v/>
      </c>
      <c r="D96" s="497">
        <f>IF(A96="","",TODAY())</f>
        <v/>
      </c>
      <c r="E96" s="510" t="n"/>
      <c r="F96" s="382" t="n"/>
      <c r="G96" s="512">
        <f>IF(OR(A96="",E96=""),"",IF(C96="","",C96-E96))</f>
        <v/>
      </c>
      <c r="H96" s="384" t="inlineStr">
        <is>
          <t>Agent 07</t>
        </is>
      </c>
      <c r="I96" s="491" t="n"/>
      <c r="J96" s="499">
        <f>IF(AND(A96&lt;&gt;"",E96&lt;&gt;""),IF(I96="","⚠️ Enter Code",IF(IFERROR(VLOOKUP(H96,DB_Agents!$B:$I,8,0),"")=I96,IF(C96&gt;=E96,"Successful","Unsuccessful"),"🔒 BLOCKED — Wrong Code")),"—")</f>
        <v/>
      </c>
      <c r="K96" s="500">
        <f>IF(J96="Successful",TEXT(TODAY(),"YYYY-MM-DD")&amp;" Auto","—")</f>
        <v/>
      </c>
      <c r="L96" s="501" t="n"/>
    </row>
    <row r="97" ht="15" customHeight="1" s="341">
      <c r="A97" s="486" t="n"/>
      <c r="B97" s="378">
        <f>IF(A97="","",IFERROR(VLOOKUP(A97,DB_Customers!$A:$D,4,0),"❌ Account Not Found"))</f>
        <v/>
      </c>
      <c r="C97" s="487">
        <f>IF(A97="","",IFERROR(VLOOKUP(A97,DB_Customers!$A:$N,14,0),""))</f>
        <v/>
      </c>
      <c r="D97" s="488">
        <f>IF(A97="","",TODAY())</f>
        <v/>
      </c>
      <c r="E97" s="510" t="n"/>
      <c r="F97" s="378" t="n"/>
      <c r="G97" s="511">
        <f>IF(OR(A97="",E97=""),"",IF(C97="","",C97-E97))</f>
        <v/>
      </c>
      <c r="H97" s="380" t="inlineStr">
        <is>
          <t>Agent 07</t>
        </is>
      </c>
      <c r="I97" s="491" t="n"/>
      <c r="J97" s="492">
        <f>IF(AND(A97&lt;&gt;"",E97&lt;&gt;""),IF(I97="","⚠️ Enter Code",IF(IFERROR(VLOOKUP(H97,DB_Agents!$B:$I,8,0),"")=I97,IF(C97&gt;=E97,"Successful","Unsuccessful"),"🔒 BLOCKED — Wrong Code")),"—")</f>
        <v/>
      </c>
      <c r="K97" s="493">
        <f>IF(J97="Successful",TEXT(TODAY(),"YYYY-MM-DD")&amp;" Auto","—")</f>
        <v/>
      </c>
      <c r="L97" s="494" t="n"/>
    </row>
    <row r="98" ht="15" customHeight="1" s="341">
      <c r="A98" s="495" t="n"/>
      <c r="B98" s="382">
        <f>IF(A98="","",IFERROR(VLOOKUP(A98,DB_Customers!$A:$D,4,0),"❌ Account Not Found"))</f>
        <v/>
      </c>
      <c r="C98" s="496">
        <f>IF(A98="","",IFERROR(VLOOKUP(A98,DB_Customers!$A:$N,14,0),""))</f>
        <v/>
      </c>
      <c r="D98" s="497">
        <f>IF(A98="","",TODAY())</f>
        <v/>
      </c>
      <c r="E98" s="510" t="n"/>
      <c r="F98" s="382" t="n"/>
      <c r="G98" s="512">
        <f>IF(OR(A98="",E98=""),"",IF(C98="","",C98-E98))</f>
        <v/>
      </c>
      <c r="H98" s="384" t="inlineStr">
        <is>
          <t>Agent 07</t>
        </is>
      </c>
      <c r="I98" s="491" t="n"/>
      <c r="J98" s="499">
        <f>IF(AND(A98&lt;&gt;"",E98&lt;&gt;""),IF(I98="","⚠️ Enter Code",IF(IFERROR(VLOOKUP(H98,DB_Agents!$B:$I,8,0),"")=I98,IF(C98&gt;=E98,"Successful","Unsuccessful"),"🔒 BLOCKED — Wrong Code")),"—")</f>
        <v/>
      </c>
      <c r="K98" s="500">
        <f>IF(J98="Successful",TEXT(TODAY(),"YYYY-MM-DD")&amp;" Auto","—")</f>
        <v/>
      </c>
      <c r="L98" s="501" t="n"/>
    </row>
    <row r="99" ht="15" customHeight="1" s="341">
      <c r="A99" s="486" t="n"/>
      <c r="B99" s="378">
        <f>IF(A99="","",IFERROR(VLOOKUP(A99,DB_Customers!$A:$D,4,0),"❌ Account Not Found"))</f>
        <v/>
      </c>
      <c r="C99" s="487">
        <f>IF(A99="","",IFERROR(VLOOKUP(A99,DB_Customers!$A:$N,14,0),""))</f>
        <v/>
      </c>
      <c r="D99" s="488">
        <f>IF(A99="","",TODAY())</f>
        <v/>
      </c>
      <c r="E99" s="510" t="n"/>
      <c r="F99" s="378" t="n"/>
      <c r="G99" s="511">
        <f>IF(OR(A99="",E99=""),"",IF(C99="","",C99-E99))</f>
        <v/>
      </c>
      <c r="H99" s="380" t="inlineStr">
        <is>
          <t>Agent 07</t>
        </is>
      </c>
      <c r="I99" s="491" t="n"/>
      <c r="J99" s="492">
        <f>IF(AND(A99&lt;&gt;"",E99&lt;&gt;""),IF(I99="","⚠️ Enter Code",IF(IFERROR(VLOOKUP(H99,DB_Agents!$B:$I,8,0),"")=I99,IF(C99&gt;=E99,"Successful","Unsuccessful"),"🔒 BLOCKED — Wrong Code")),"—")</f>
        <v/>
      </c>
      <c r="K99" s="493">
        <f>IF(J99="Successful",TEXT(TODAY(),"YYYY-MM-DD")&amp;" Auto","—")</f>
        <v/>
      </c>
      <c r="L99" s="494" t="n"/>
    </row>
    <row r="100" ht="15" customHeight="1" s="341">
      <c r="A100" s="495" t="n"/>
      <c r="B100" s="382">
        <f>IF(A100="","",IFERROR(VLOOKUP(A100,DB_Customers!$A:$D,4,0),"❌ Account Not Found"))</f>
        <v/>
      </c>
      <c r="C100" s="496">
        <f>IF(A100="","",IFERROR(VLOOKUP(A100,DB_Customers!$A:$N,14,0),""))</f>
        <v/>
      </c>
      <c r="D100" s="497">
        <f>IF(A100="","",TODAY())</f>
        <v/>
      </c>
      <c r="E100" s="510" t="n"/>
      <c r="F100" s="382" t="n"/>
      <c r="G100" s="512">
        <f>IF(OR(A100="",E100=""),"",IF(C100="","",C100-E100))</f>
        <v/>
      </c>
      <c r="H100" s="384" t="inlineStr">
        <is>
          <t>Agent 07</t>
        </is>
      </c>
      <c r="I100" s="491" t="n"/>
      <c r="J100" s="499">
        <f>IF(AND(A100&lt;&gt;"",E100&lt;&gt;""),IF(I100="","⚠️ Enter Code",IF(IFERROR(VLOOKUP(H100,DB_Agents!$B:$I,8,0),"")=I100,IF(C100&gt;=E100,"Successful","Unsuccessful"),"🔒 BLOCKED — Wrong Code")),"—")</f>
        <v/>
      </c>
      <c r="K100" s="500">
        <f>IF(J100="Successful",TEXT(TODAY(),"YYYY-MM-DD")&amp;" Auto","—")</f>
        <v/>
      </c>
      <c r="L100" s="501" t="n"/>
    </row>
    <row r="101" ht="15" customHeight="1" s="341">
      <c r="A101" s="486" t="n"/>
      <c r="B101" s="378">
        <f>IF(A101="","",IFERROR(VLOOKUP(A101,DB_Customers!$A:$D,4,0),"❌ Account Not Found"))</f>
        <v/>
      </c>
      <c r="C101" s="487">
        <f>IF(A101="","",IFERROR(VLOOKUP(A101,DB_Customers!$A:$N,14,0),""))</f>
        <v/>
      </c>
      <c r="D101" s="488">
        <f>IF(A101="","",TODAY())</f>
        <v/>
      </c>
      <c r="E101" s="510" t="n"/>
      <c r="F101" s="378" t="n"/>
      <c r="G101" s="511">
        <f>IF(OR(A101="",E101=""),"",IF(C101="","",C101-E101))</f>
        <v/>
      </c>
      <c r="H101" s="380" t="inlineStr">
        <is>
          <t>Agent 07</t>
        </is>
      </c>
      <c r="I101" s="491" t="n"/>
      <c r="J101" s="492">
        <f>IF(AND(A101&lt;&gt;"",E101&lt;&gt;""),IF(I101="","⚠️ Enter Code",IF(IFERROR(VLOOKUP(H101,DB_Agents!$B:$I,8,0),"")=I101,IF(C101&gt;=E101,"Successful","Unsuccessful"),"🔒 BLOCKED — Wrong Code")),"—")</f>
        <v/>
      </c>
      <c r="K101" s="493">
        <f>IF(J101="Successful",TEXT(TODAY(),"YYYY-MM-DD")&amp;" Auto","—")</f>
        <v/>
      </c>
      <c r="L101" s="494" t="n"/>
    </row>
    <row r="102" ht="15" customHeight="1" s="341">
      <c r="A102" s="495" t="n"/>
      <c r="B102" s="382">
        <f>IF(A102="","",IFERROR(VLOOKUP(A102,DB_Customers!$A:$D,4,0),"❌ Account Not Found"))</f>
        <v/>
      </c>
      <c r="C102" s="496">
        <f>IF(A102="","",IFERROR(VLOOKUP(A102,DB_Customers!$A:$N,14,0),""))</f>
        <v/>
      </c>
      <c r="D102" s="497">
        <f>IF(A102="","",TODAY())</f>
        <v/>
      </c>
      <c r="E102" s="510" t="n"/>
      <c r="F102" s="382" t="n"/>
      <c r="G102" s="512">
        <f>IF(OR(A102="",E102=""),"",IF(C102="","",C102-E102))</f>
        <v/>
      </c>
      <c r="H102" s="384" t="inlineStr">
        <is>
          <t>Agent 07</t>
        </is>
      </c>
      <c r="I102" s="491" t="n"/>
      <c r="J102" s="499">
        <f>IF(AND(A102&lt;&gt;"",E102&lt;&gt;""),IF(I102="","⚠️ Enter Code",IF(IFERROR(VLOOKUP(H102,DB_Agents!$B:$I,8,0),"")=I102,IF(C102&gt;=E102,"Successful","Unsuccessful"),"🔒 BLOCKED — Wrong Code")),"—")</f>
        <v/>
      </c>
      <c r="K102" s="500">
        <f>IF(J102="Successful",TEXT(TODAY(),"YYYY-MM-DD")&amp;" Auto","—")</f>
        <v/>
      </c>
      <c r="L102" s="501" t="n"/>
    </row>
    <row r="103" ht="15" customHeight="1" s="341">
      <c r="A103" s="486" t="n"/>
      <c r="B103" s="378">
        <f>IF(A103="","",IFERROR(VLOOKUP(A103,DB_Customers!$A:$D,4,0),"❌ Account Not Found"))</f>
        <v/>
      </c>
      <c r="C103" s="487">
        <f>IF(A103="","",IFERROR(VLOOKUP(A103,DB_Customers!$A:$N,14,0),""))</f>
        <v/>
      </c>
      <c r="D103" s="488">
        <f>IF(A103="","",TODAY())</f>
        <v/>
      </c>
      <c r="E103" s="510" t="n"/>
      <c r="F103" s="378" t="n"/>
      <c r="G103" s="511">
        <f>IF(OR(A103="",E103=""),"",IF(C103="","",C103-E103))</f>
        <v/>
      </c>
      <c r="H103" s="380" t="inlineStr">
        <is>
          <t>Agent 07</t>
        </is>
      </c>
      <c r="I103" s="491" t="n"/>
      <c r="J103" s="492">
        <f>IF(AND(A103&lt;&gt;"",E103&lt;&gt;""),IF(I103="","⚠️ Enter Code",IF(IFERROR(VLOOKUP(H103,DB_Agents!$B:$I,8,0),"")=I103,IF(C103&gt;=E103,"Successful","Unsuccessful"),"🔒 BLOCKED — Wrong Code")),"—")</f>
        <v/>
      </c>
      <c r="K103" s="493">
        <f>IF(J103="Successful",TEXT(TODAY(),"YYYY-MM-DD")&amp;" Auto","—")</f>
        <v/>
      </c>
      <c r="L103" s="494" t="n"/>
    </row>
    <row r="104" ht="15" customHeight="1" s="341">
      <c r="A104" s="495" t="n"/>
      <c r="B104" s="382">
        <f>IF(A104="","",IFERROR(VLOOKUP(A104,DB_Customers!$A:$D,4,0),"❌ Account Not Found"))</f>
        <v/>
      </c>
      <c r="C104" s="496">
        <f>IF(A104="","",IFERROR(VLOOKUP(A104,DB_Customers!$A:$N,14,0),""))</f>
        <v/>
      </c>
      <c r="D104" s="497">
        <f>IF(A104="","",TODAY())</f>
        <v/>
      </c>
      <c r="E104" s="510" t="n"/>
      <c r="F104" s="382" t="n"/>
      <c r="G104" s="512">
        <f>IF(OR(A104="",E104=""),"",IF(C104="","",C104-E104))</f>
        <v/>
      </c>
      <c r="H104" s="384" t="inlineStr">
        <is>
          <t>Agent 07</t>
        </is>
      </c>
      <c r="I104" s="491" t="n"/>
      <c r="J104" s="499">
        <f>IF(AND(A104&lt;&gt;"",E104&lt;&gt;""),IF(I104="","⚠️ Enter Code",IF(IFERROR(VLOOKUP(H104,DB_Agents!$B:$I,8,0),"")=I104,IF(C104&gt;=E104,"Successful","Unsuccessful"),"🔒 BLOCKED — Wrong Code")),"—")</f>
        <v/>
      </c>
      <c r="K104" s="500">
        <f>IF(J104="Successful",TEXT(TODAY(),"YYYY-MM-DD")&amp;" Auto","—")</f>
        <v/>
      </c>
      <c r="L104" s="501" t="n"/>
    </row>
    <row r="105" ht="15" customHeight="1" s="341">
      <c r="A105" s="486" t="n"/>
      <c r="B105" s="378">
        <f>IF(A105="","",IFERROR(VLOOKUP(A105,DB_Customers!$A:$D,4,0),"❌ Account Not Found"))</f>
        <v/>
      </c>
      <c r="C105" s="487">
        <f>IF(A105="","",IFERROR(VLOOKUP(A105,DB_Customers!$A:$N,14,0),""))</f>
        <v/>
      </c>
      <c r="D105" s="488">
        <f>IF(A105="","",TODAY())</f>
        <v/>
      </c>
      <c r="E105" s="510" t="n"/>
      <c r="F105" s="378" t="n"/>
      <c r="G105" s="511">
        <f>IF(OR(A105="",E105=""),"",IF(C105="","",C105-E105))</f>
        <v/>
      </c>
      <c r="H105" s="380" t="inlineStr">
        <is>
          <t>Agent 07</t>
        </is>
      </c>
      <c r="I105" s="491" t="n"/>
      <c r="J105" s="492">
        <f>IF(AND(A105&lt;&gt;"",E105&lt;&gt;""),IF(I105="","⚠️ Enter Code",IF(IFERROR(VLOOKUP(H105,DB_Agents!$B:$I,8,0),"")=I105,IF(C105&gt;=E105,"Successful","Unsuccessful"),"🔒 BLOCKED — Wrong Code")),"—")</f>
        <v/>
      </c>
      <c r="K105" s="493">
        <f>IF(J105="Successful",TEXT(TODAY(),"YYYY-MM-DD")&amp;" Auto","—")</f>
        <v/>
      </c>
      <c r="L105" s="494" t="n"/>
    </row>
    <row r="106" ht="15" customHeight="1" s="341">
      <c r="A106" s="495" t="n"/>
      <c r="B106" s="382">
        <f>IF(A106="","",IFERROR(VLOOKUP(A106,DB_Customers!$A:$D,4,0),"❌ Account Not Found"))</f>
        <v/>
      </c>
      <c r="C106" s="496">
        <f>IF(A106="","",IFERROR(VLOOKUP(A106,DB_Customers!$A:$N,14,0),""))</f>
        <v/>
      </c>
      <c r="D106" s="497">
        <f>IF(A106="","",TODAY())</f>
        <v/>
      </c>
      <c r="E106" s="510" t="n"/>
      <c r="F106" s="382" t="n"/>
      <c r="G106" s="512">
        <f>IF(OR(A106="",E106=""),"",IF(C106="","",C106-E106))</f>
        <v/>
      </c>
      <c r="H106" s="384" t="inlineStr">
        <is>
          <t>Agent 07</t>
        </is>
      </c>
      <c r="I106" s="491" t="n"/>
      <c r="J106" s="499">
        <f>IF(AND(A106&lt;&gt;"",E106&lt;&gt;""),IF(I106="","⚠️ Enter Code",IF(IFERROR(VLOOKUP(H106,DB_Agents!$B:$I,8,0),"")=I106,IF(C106&gt;=E106,"Successful","Unsuccessful"),"🔒 BLOCKED — Wrong Code")),"—")</f>
        <v/>
      </c>
      <c r="K106" s="500">
        <f>IF(J106="Successful",TEXT(TODAY(),"YYYY-MM-DD")&amp;" Auto","—")</f>
        <v/>
      </c>
      <c r="L106" s="501" t="n"/>
    </row>
    <row r="107" ht="15" customHeight="1" s="341">
      <c r="A107" s="486" t="n"/>
      <c r="B107" s="378">
        <f>IF(A107="","",IFERROR(VLOOKUP(A107,DB_Customers!$A:$D,4,0),"❌ Account Not Found"))</f>
        <v/>
      </c>
      <c r="C107" s="487">
        <f>IF(A107="","",IFERROR(VLOOKUP(A107,DB_Customers!$A:$N,14,0),""))</f>
        <v/>
      </c>
      <c r="D107" s="488">
        <f>IF(A107="","",TODAY())</f>
        <v/>
      </c>
      <c r="E107" s="510" t="n"/>
      <c r="F107" s="378" t="n"/>
      <c r="G107" s="511">
        <f>IF(OR(A107="",E107=""),"",IF(C107="","",C107-E107))</f>
        <v/>
      </c>
      <c r="H107" s="380" t="inlineStr">
        <is>
          <t>Agent 07</t>
        </is>
      </c>
      <c r="I107" s="491" t="n"/>
      <c r="J107" s="492">
        <f>IF(AND(A107&lt;&gt;"",E107&lt;&gt;""),IF(I107="","⚠️ Enter Code",IF(IFERROR(VLOOKUP(H107,DB_Agents!$B:$I,8,0),"")=I107,IF(C107&gt;=E107,"Successful","Unsuccessful"),"🔒 BLOCKED — Wrong Code")),"—")</f>
        <v/>
      </c>
      <c r="K107" s="493">
        <f>IF(J107="Successful",TEXT(TODAY(),"YYYY-MM-DD")&amp;" Auto","—")</f>
        <v/>
      </c>
      <c r="L107" s="494" t="n"/>
    </row>
    <row r="108" ht="15" customHeight="1" s="341">
      <c r="A108" s="495" t="n"/>
      <c r="B108" s="382">
        <f>IF(A108="","",IFERROR(VLOOKUP(A108,DB_Customers!$A:$D,4,0),"❌ Account Not Found"))</f>
        <v/>
      </c>
      <c r="C108" s="496">
        <f>IF(A108="","",IFERROR(VLOOKUP(A108,DB_Customers!$A:$N,14,0),""))</f>
        <v/>
      </c>
      <c r="D108" s="497">
        <f>IF(A108="","",TODAY())</f>
        <v/>
      </c>
      <c r="E108" s="510" t="n"/>
      <c r="F108" s="382" t="n"/>
      <c r="G108" s="512">
        <f>IF(OR(A108="",E108=""),"",IF(C108="","",C108-E108))</f>
        <v/>
      </c>
      <c r="H108" s="384" t="inlineStr">
        <is>
          <t>Agent 07</t>
        </is>
      </c>
      <c r="I108" s="491" t="n"/>
      <c r="J108" s="499">
        <f>IF(AND(A108&lt;&gt;"",E108&lt;&gt;""),IF(I108="","⚠️ Enter Code",IF(IFERROR(VLOOKUP(H108,DB_Agents!$B:$I,8,0),"")=I108,IF(C108&gt;=E108,"Successful","Unsuccessful"),"🔒 BLOCKED — Wrong Code")),"—")</f>
        <v/>
      </c>
      <c r="K108" s="500">
        <f>IF(J108="Successful",TEXT(TODAY(),"YYYY-MM-DD")&amp;" Auto","—")</f>
        <v/>
      </c>
      <c r="L108" s="501" t="n"/>
    </row>
    <row r="109" ht="15" customHeight="1" s="341">
      <c r="A109" s="486" t="n"/>
      <c r="B109" s="378">
        <f>IF(A109="","",IFERROR(VLOOKUP(A109,DB_Customers!$A:$D,4,0),"❌ Account Not Found"))</f>
        <v/>
      </c>
      <c r="C109" s="487">
        <f>IF(A109="","",IFERROR(VLOOKUP(A109,DB_Customers!$A:$N,14,0),""))</f>
        <v/>
      </c>
      <c r="D109" s="488">
        <f>IF(A109="","",TODAY())</f>
        <v/>
      </c>
      <c r="E109" s="510" t="n"/>
      <c r="F109" s="378" t="n"/>
      <c r="G109" s="511">
        <f>IF(OR(A109="",E109=""),"",IF(C109="","",C109-E109))</f>
        <v/>
      </c>
      <c r="H109" s="380" t="inlineStr">
        <is>
          <t>Agent 07</t>
        </is>
      </c>
      <c r="I109" s="491" t="n"/>
      <c r="J109" s="492">
        <f>IF(AND(A109&lt;&gt;"",E109&lt;&gt;""),IF(I109="","⚠️ Enter Code",IF(IFERROR(VLOOKUP(H109,DB_Agents!$B:$I,8,0),"")=I109,IF(C109&gt;=E109,"Successful","Unsuccessful"),"🔒 BLOCKED — Wrong Code")),"—")</f>
        <v/>
      </c>
      <c r="K109" s="493">
        <f>IF(J109="Successful",TEXT(TODAY(),"YYYY-MM-DD")&amp;" Auto","—")</f>
        <v/>
      </c>
      <c r="L109" s="494" t="n"/>
    </row>
    <row r="110" ht="15" customHeight="1" s="341">
      <c r="A110" s="495" t="n"/>
      <c r="B110" s="382">
        <f>IF(A110="","",IFERROR(VLOOKUP(A110,DB_Customers!$A:$D,4,0),"❌ Account Not Found"))</f>
        <v/>
      </c>
      <c r="C110" s="496">
        <f>IF(A110="","",IFERROR(VLOOKUP(A110,DB_Customers!$A:$N,14,0),""))</f>
        <v/>
      </c>
      <c r="D110" s="497">
        <f>IF(A110="","",TODAY())</f>
        <v/>
      </c>
      <c r="E110" s="510" t="n"/>
      <c r="F110" s="382" t="n"/>
      <c r="G110" s="512">
        <f>IF(OR(A110="",E110=""),"",IF(C110="","",C110-E110))</f>
        <v/>
      </c>
      <c r="H110" s="384" t="inlineStr">
        <is>
          <t>Agent 07</t>
        </is>
      </c>
      <c r="I110" s="491" t="n"/>
      <c r="J110" s="499">
        <f>IF(AND(A110&lt;&gt;"",E110&lt;&gt;""),IF(I110="","⚠️ Enter Code",IF(IFERROR(VLOOKUP(H110,DB_Agents!$B:$I,8,0),"")=I110,IF(C110&gt;=E110,"Successful","Unsuccessful"),"🔒 BLOCKED — Wrong Code")),"—")</f>
        <v/>
      </c>
      <c r="K110" s="500">
        <f>IF(J110="Successful",TEXT(TODAY(),"YYYY-MM-DD")&amp;" Auto","—")</f>
        <v/>
      </c>
      <c r="L110" s="501" t="n"/>
    </row>
    <row r="111" ht="15" customHeight="1" s="341">
      <c r="A111" s="486" t="n"/>
      <c r="B111" s="378">
        <f>IF(A111="","",IFERROR(VLOOKUP(A111,DB_Customers!$A:$D,4,0),"❌ Account Not Found"))</f>
        <v/>
      </c>
      <c r="C111" s="487">
        <f>IF(A111="","",IFERROR(VLOOKUP(A111,DB_Customers!$A:$N,14,0),""))</f>
        <v/>
      </c>
      <c r="D111" s="488">
        <f>IF(A111="","",TODAY())</f>
        <v/>
      </c>
      <c r="E111" s="510" t="n"/>
      <c r="F111" s="378" t="n"/>
      <c r="G111" s="511">
        <f>IF(OR(A111="",E111=""),"",IF(C111="","",C111-E111))</f>
        <v/>
      </c>
      <c r="H111" s="380" t="inlineStr">
        <is>
          <t>Agent 07</t>
        </is>
      </c>
      <c r="I111" s="491" t="n"/>
      <c r="J111" s="492">
        <f>IF(AND(A111&lt;&gt;"",E111&lt;&gt;""),IF(I111="","⚠️ Enter Code",IF(IFERROR(VLOOKUP(H111,DB_Agents!$B:$I,8,0),"")=I111,IF(C111&gt;=E111,"Successful","Unsuccessful"),"🔒 BLOCKED — Wrong Code")),"—")</f>
        <v/>
      </c>
      <c r="K111" s="493">
        <f>IF(J111="Successful",TEXT(TODAY(),"YYYY-MM-DD")&amp;" Auto","—")</f>
        <v/>
      </c>
      <c r="L111" s="494" t="n"/>
    </row>
    <row r="112" ht="15" customHeight="1" s="341">
      <c r="A112" s="495" t="n"/>
      <c r="B112" s="382">
        <f>IF(A112="","",IFERROR(VLOOKUP(A112,DB_Customers!$A:$D,4,0),"❌ Account Not Found"))</f>
        <v/>
      </c>
      <c r="C112" s="496">
        <f>IF(A112="","",IFERROR(VLOOKUP(A112,DB_Customers!$A:$N,14,0),""))</f>
        <v/>
      </c>
      <c r="D112" s="497">
        <f>IF(A112="","",TODAY())</f>
        <v/>
      </c>
      <c r="E112" s="510" t="n"/>
      <c r="F112" s="382" t="n"/>
      <c r="G112" s="512">
        <f>IF(OR(A112="",E112=""),"",IF(C112="","",C112-E112))</f>
        <v/>
      </c>
      <c r="H112" s="384" t="inlineStr">
        <is>
          <t>Agent 07</t>
        </is>
      </c>
      <c r="I112" s="491" t="n"/>
      <c r="J112" s="499">
        <f>IF(AND(A112&lt;&gt;"",E112&lt;&gt;""),IF(I112="","⚠️ Enter Code",IF(IFERROR(VLOOKUP(H112,DB_Agents!$B:$I,8,0),"")=I112,IF(C112&gt;=E112,"Successful","Unsuccessful"),"🔒 BLOCKED — Wrong Code")),"—")</f>
        <v/>
      </c>
      <c r="K112" s="500">
        <f>IF(J112="Successful",TEXT(TODAY(),"YYYY-MM-DD")&amp;" Auto","—")</f>
        <v/>
      </c>
      <c r="L112" s="501" t="n"/>
    </row>
    <row r="113" ht="15" customHeight="1" s="341">
      <c r="A113" s="486" t="n"/>
      <c r="B113" s="378">
        <f>IF(A113="","",IFERROR(VLOOKUP(A113,DB_Customers!$A:$D,4,0),"❌ Account Not Found"))</f>
        <v/>
      </c>
      <c r="C113" s="487">
        <f>IF(A113="","",IFERROR(VLOOKUP(A113,DB_Customers!$A:$N,14,0),""))</f>
        <v/>
      </c>
      <c r="D113" s="488">
        <f>IF(A113="","",TODAY())</f>
        <v/>
      </c>
      <c r="E113" s="510" t="n"/>
      <c r="F113" s="378" t="n"/>
      <c r="G113" s="511">
        <f>IF(OR(A113="",E113=""),"",IF(C113="","",C113-E113))</f>
        <v/>
      </c>
      <c r="H113" s="380" t="inlineStr">
        <is>
          <t>Agent 07</t>
        </is>
      </c>
      <c r="I113" s="491" t="n"/>
      <c r="J113" s="492">
        <f>IF(AND(A113&lt;&gt;"",E113&lt;&gt;""),IF(I113="","⚠️ Enter Code",IF(IFERROR(VLOOKUP(H113,DB_Agents!$B:$I,8,0),"")=I113,IF(C113&gt;=E113,"Successful","Unsuccessful"),"🔒 BLOCKED — Wrong Code")),"—")</f>
        <v/>
      </c>
      <c r="K113" s="493">
        <f>IF(J113="Successful",TEXT(TODAY(),"YYYY-MM-DD")&amp;" Auto","—")</f>
        <v/>
      </c>
      <c r="L113" s="494" t="n"/>
    </row>
    <row r="114" ht="15" customHeight="1" s="341">
      <c r="A114" s="495" t="n"/>
      <c r="B114" s="382">
        <f>IF(A114="","",IFERROR(VLOOKUP(A114,DB_Customers!$A:$D,4,0),"❌ Account Not Found"))</f>
        <v/>
      </c>
      <c r="C114" s="496">
        <f>IF(A114="","",IFERROR(VLOOKUP(A114,DB_Customers!$A:$N,14,0),""))</f>
        <v/>
      </c>
      <c r="D114" s="497">
        <f>IF(A114="","",TODAY())</f>
        <v/>
      </c>
      <c r="E114" s="510" t="n"/>
      <c r="F114" s="382" t="n"/>
      <c r="G114" s="512">
        <f>IF(OR(A114="",E114=""),"",IF(C114="","",C114-E114))</f>
        <v/>
      </c>
      <c r="H114" s="384" t="inlineStr">
        <is>
          <t>Agent 07</t>
        </is>
      </c>
      <c r="I114" s="491" t="n"/>
      <c r="J114" s="499">
        <f>IF(AND(A114&lt;&gt;"",E114&lt;&gt;""),IF(I114="","⚠️ Enter Code",IF(IFERROR(VLOOKUP(H114,DB_Agents!$B:$I,8,0),"")=I114,IF(C114&gt;=E114,"Successful","Unsuccessful"),"🔒 BLOCKED — Wrong Code")),"—")</f>
        <v/>
      </c>
      <c r="K114" s="500">
        <f>IF(J114="Successful",TEXT(TODAY(),"YYYY-MM-DD")&amp;" Auto","—")</f>
        <v/>
      </c>
      <c r="L114" s="501" t="n"/>
    </row>
    <row r="115" ht="15" customHeight="1" s="341">
      <c r="A115" s="486" t="n"/>
      <c r="B115" s="378">
        <f>IF(A115="","",IFERROR(VLOOKUP(A115,DB_Customers!$A:$D,4,0),"❌ Account Not Found"))</f>
        <v/>
      </c>
      <c r="C115" s="487">
        <f>IF(A115="","",IFERROR(VLOOKUP(A115,DB_Customers!$A:$N,14,0),""))</f>
        <v/>
      </c>
      <c r="D115" s="488">
        <f>IF(A115="","",TODAY())</f>
        <v/>
      </c>
      <c r="E115" s="510" t="n"/>
      <c r="F115" s="378" t="n"/>
      <c r="G115" s="511">
        <f>IF(OR(A115="",E115=""),"",IF(C115="","",C115-E115))</f>
        <v/>
      </c>
      <c r="H115" s="380" t="inlineStr">
        <is>
          <t>Agent 07</t>
        </is>
      </c>
      <c r="I115" s="491" t="n"/>
      <c r="J115" s="492">
        <f>IF(AND(A115&lt;&gt;"",E115&lt;&gt;""),IF(I115="","⚠️ Enter Code",IF(IFERROR(VLOOKUP(H115,DB_Agents!$B:$I,8,0),"")=I115,IF(C115&gt;=E115,"Successful","Unsuccessful"),"🔒 BLOCKED — Wrong Code")),"—")</f>
        <v/>
      </c>
      <c r="K115" s="493">
        <f>IF(J115="Successful",TEXT(TODAY(),"YYYY-MM-DD")&amp;" Auto","—")</f>
        <v/>
      </c>
      <c r="L115" s="494" t="n"/>
    </row>
    <row r="116" ht="15" customHeight="1" s="341">
      <c r="A116" s="495" t="n"/>
      <c r="B116" s="382">
        <f>IF(A116="","",IFERROR(VLOOKUP(A116,DB_Customers!$A:$D,4,0),"❌ Account Not Found"))</f>
        <v/>
      </c>
      <c r="C116" s="496">
        <f>IF(A116="","",IFERROR(VLOOKUP(A116,DB_Customers!$A:$N,14,0),""))</f>
        <v/>
      </c>
      <c r="D116" s="497">
        <f>IF(A116="","",TODAY())</f>
        <v/>
      </c>
      <c r="E116" s="510" t="n"/>
      <c r="F116" s="382" t="n"/>
      <c r="G116" s="512">
        <f>IF(OR(A116="",E116=""),"",IF(C116="","",C116-E116))</f>
        <v/>
      </c>
      <c r="H116" s="384" t="inlineStr">
        <is>
          <t>Agent 07</t>
        </is>
      </c>
      <c r="I116" s="491" t="n"/>
      <c r="J116" s="499">
        <f>IF(AND(A116&lt;&gt;"",E116&lt;&gt;""),IF(I116="","⚠️ Enter Code",IF(IFERROR(VLOOKUP(H116,DB_Agents!$B:$I,8,0),"")=I116,IF(C116&gt;=E116,"Successful","Unsuccessful"),"🔒 BLOCKED — Wrong Code")),"—")</f>
        <v/>
      </c>
      <c r="K116" s="500">
        <f>IF(J116="Successful",TEXT(TODAY(),"YYYY-MM-DD")&amp;" Auto","—")</f>
        <v/>
      </c>
      <c r="L116" s="501" t="n"/>
    </row>
    <row r="117" ht="15" customHeight="1" s="341">
      <c r="A117" s="486" t="n"/>
      <c r="B117" s="378">
        <f>IF(A117="","",IFERROR(VLOOKUP(A117,DB_Customers!$A:$D,4,0),"❌ Account Not Found"))</f>
        <v/>
      </c>
      <c r="C117" s="487">
        <f>IF(A117="","",IFERROR(VLOOKUP(A117,DB_Customers!$A:$N,14,0),""))</f>
        <v/>
      </c>
      <c r="D117" s="488">
        <f>IF(A117="","",TODAY())</f>
        <v/>
      </c>
      <c r="E117" s="510" t="n"/>
      <c r="F117" s="378" t="n"/>
      <c r="G117" s="511">
        <f>IF(OR(A117="",E117=""),"",IF(C117="","",C117-E117))</f>
        <v/>
      </c>
      <c r="H117" s="380" t="inlineStr">
        <is>
          <t>Agent 07</t>
        </is>
      </c>
      <c r="I117" s="491" t="n"/>
      <c r="J117" s="492">
        <f>IF(AND(A117&lt;&gt;"",E117&lt;&gt;""),IF(I117="","⚠️ Enter Code",IF(IFERROR(VLOOKUP(H117,DB_Agents!$B:$I,8,0),"")=I117,IF(C117&gt;=E117,"Successful","Unsuccessful"),"🔒 BLOCKED — Wrong Code")),"—")</f>
        <v/>
      </c>
      <c r="K117" s="493">
        <f>IF(J117="Successful",TEXT(TODAY(),"YYYY-MM-DD")&amp;" Auto","—")</f>
        <v/>
      </c>
      <c r="L117" s="494" t="n"/>
    </row>
    <row r="118" ht="15" customHeight="1" s="341">
      <c r="A118" s="495" t="n"/>
      <c r="B118" s="382">
        <f>IF(A118="","",IFERROR(VLOOKUP(A118,DB_Customers!$A:$D,4,0),"❌ Account Not Found"))</f>
        <v/>
      </c>
      <c r="C118" s="496">
        <f>IF(A118="","",IFERROR(VLOOKUP(A118,DB_Customers!$A:$N,14,0),""))</f>
        <v/>
      </c>
      <c r="D118" s="497">
        <f>IF(A118="","",TODAY())</f>
        <v/>
      </c>
      <c r="E118" s="510" t="n"/>
      <c r="F118" s="382" t="n"/>
      <c r="G118" s="512">
        <f>IF(OR(A118="",E118=""),"",IF(C118="","",C118-E118))</f>
        <v/>
      </c>
      <c r="H118" s="384" t="inlineStr">
        <is>
          <t>Agent 07</t>
        </is>
      </c>
      <c r="I118" s="491" t="n"/>
      <c r="J118" s="499">
        <f>IF(AND(A118&lt;&gt;"",E118&lt;&gt;""),IF(I118="","⚠️ Enter Code",IF(IFERROR(VLOOKUP(H118,DB_Agents!$B:$I,8,0),"")=I118,IF(C118&gt;=E118,"Successful","Unsuccessful"),"🔒 BLOCKED — Wrong Code")),"—")</f>
        <v/>
      </c>
      <c r="K118" s="500">
        <f>IF(J118="Successful",TEXT(TODAY(),"YYYY-MM-DD")&amp;" Auto","—")</f>
        <v/>
      </c>
      <c r="L118" s="501" t="n"/>
    </row>
    <row r="119" ht="15" customHeight="1" s="341">
      <c r="A119" s="486" t="n"/>
      <c r="B119" s="378">
        <f>IF(A119="","",IFERROR(VLOOKUP(A119,DB_Customers!$A:$D,4,0),"❌ Account Not Found"))</f>
        <v/>
      </c>
      <c r="C119" s="487">
        <f>IF(A119="","",IFERROR(VLOOKUP(A119,DB_Customers!$A:$N,14,0),""))</f>
        <v/>
      </c>
      <c r="D119" s="488">
        <f>IF(A119="","",TODAY())</f>
        <v/>
      </c>
      <c r="E119" s="510" t="n"/>
      <c r="F119" s="378" t="n"/>
      <c r="G119" s="511">
        <f>IF(OR(A119="",E119=""),"",IF(C119="","",C119-E119))</f>
        <v/>
      </c>
      <c r="H119" s="380" t="inlineStr">
        <is>
          <t>Agent 07</t>
        </is>
      </c>
      <c r="I119" s="491" t="n"/>
      <c r="J119" s="492">
        <f>IF(AND(A119&lt;&gt;"",E119&lt;&gt;""),IF(I119="","⚠️ Enter Code",IF(IFERROR(VLOOKUP(H119,DB_Agents!$B:$I,8,0),"")=I119,IF(C119&gt;=E119,"Successful","Unsuccessful"),"🔒 BLOCKED — Wrong Code")),"—")</f>
        <v/>
      </c>
      <c r="K119" s="493">
        <f>IF(J119="Successful",TEXT(TODAY(),"YYYY-MM-DD")&amp;" Auto","—")</f>
        <v/>
      </c>
      <c r="L119" s="494" t="n"/>
    </row>
    <row r="120" ht="15" customHeight="1" s="341">
      <c r="A120" s="495" t="n"/>
      <c r="B120" s="382">
        <f>IF(A120="","",IFERROR(VLOOKUP(A120,DB_Customers!$A:$D,4,0),"❌ Account Not Found"))</f>
        <v/>
      </c>
      <c r="C120" s="496">
        <f>IF(A120="","",IFERROR(VLOOKUP(A120,DB_Customers!$A:$N,14,0),""))</f>
        <v/>
      </c>
      <c r="D120" s="497">
        <f>IF(A120="","",TODAY())</f>
        <v/>
      </c>
      <c r="E120" s="510" t="n"/>
      <c r="F120" s="382" t="n"/>
      <c r="G120" s="512">
        <f>IF(OR(A120="",E120=""),"",IF(C120="","",C120-E120))</f>
        <v/>
      </c>
      <c r="H120" s="384" t="inlineStr">
        <is>
          <t>Agent 07</t>
        </is>
      </c>
      <c r="I120" s="491" t="n"/>
      <c r="J120" s="499">
        <f>IF(AND(A120&lt;&gt;"",E120&lt;&gt;""),IF(I120="","⚠️ Enter Code",IF(IFERROR(VLOOKUP(H120,DB_Agents!$B:$I,8,0),"")=I120,IF(C120&gt;=E120,"Successful","Unsuccessful"),"🔒 BLOCKED — Wrong Code")),"—")</f>
        <v/>
      </c>
      <c r="K120" s="500">
        <f>IF(J120="Successful",TEXT(TODAY(),"YYYY-MM-DD")&amp;" Auto","—")</f>
        <v/>
      </c>
      <c r="L120" s="501" t="n"/>
    </row>
    <row r="121" ht="15" customHeight="1" s="341">
      <c r="A121" s="486" t="n"/>
      <c r="B121" s="378">
        <f>IF(A121="","",IFERROR(VLOOKUP(A121,DB_Customers!$A:$D,4,0),"❌ Account Not Found"))</f>
        <v/>
      </c>
      <c r="C121" s="487">
        <f>IF(A121="","",IFERROR(VLOOKUP(A121,DB_Customers!$A:$N,14,0),""))</f>
        <v/>
      </c>
      <c r="D121" s="488">
        <f>IF(A121="","",TODAY())</f>
        <v/>
      </c>
      <c r="E121" s="510" t="n"/>
      <c r="F121" s="378" t="n"/>
      <c r="G121" s="511">
        <f>IF(OR(A121="",E121=""),"",IF(C121="","",C121-E121))</f>
        <v/>
      </c>
      <c r="H121" s="380" t="inlineStr">
        <is>
          <t>Agent 07</t>
        </is>
      </c>
      <c r="I121" s="491" t="n"/>
      <c r="J121" s="492">
        <f>IF(AND(A121&lt;&gt;"",E121&lt;&gt;""),IF(I121="","⚠️ Enter Code",IF(IFERROR(VLOOKUP(H121,DB_Agents!$B:$I,8,0),"")=I121,IF(C121&gt;=E121,"Successful","Unsuccessful"),"🔒 BLOCKED — Wrong Code")),"—")</f>
        <v/>
      </c>
      <c r="K121" s="493">
        <f>IF(J121="Successful",TEXT(TODAY(),"YYYY-MM-DD")&amp;" Auto","—")</f>
        <v/>
      </c>
      <c r="L121" s="494" t="n"/>
    </row>
    <row r="122" ht="15" customHeight="1" s="341">
      <c r="A122" s="495" t="n"/>
      <c r="B122" s="382">
        <f>IF(A122="","",IFERROR(VLOOKUP(A122,DB_Customers!$A:$D,4,0),"❌ Account Not Found"))</f>
        <v/>
      </c>
      <c r="C122" s="496">
        <f>IF(A122="","",IFERROR(VLOOKUP(A122,DB_Customers!$A:$N,14,0),""))</f>
        <v/>
      </c>
      <c r="D122" s="497">
        <f>IF(A122="","",TODAY())</f>
        <v/>
      </c>
      <c r="E122" s="510" t="n"/>
      <c r="F122" s="382" t="n"/>
      <c r="G122" s="512">
        <f>IF(OR(A122="",E122=""),"",IF(C122="","",C122-E122))</f>
        <v/>
      </c>
      <c r="H122" s="384" t="inlineStr">
        <is>
          <t>Agent 07</t>
        </is>
      </c>
      <c r="I122" s="491" t="n"/>
      <c r="J122" s="499">
        <f>IF(AND(A122&lt;&gt;"",E122&lt;&gt;""),IF(I122="","⚠️ Enter Code",IF(IFERROR(VLOOKUP(H122,DB_Agents!$B:$I,8,0),"")=I122,IF(C122&gt;=E122,"Successful","Unsuccessful"),"🔒 BLOCKED — Wrong Code")),"—")</f>
        <v/>
      </c>
      <c r="K122" s="500">
        <f>IF(J122="Successful",TEXT(TODAY(),"YYYY-MM-DD")&amp;" Auto","—")</f>
        <v/>
      </c>
      <c r="L122" s="501" t="n"/>
    </row>
    <row r="123" ht="15" customHeight="1" s="341">
      <c r="A123" s="486" t="n"/>
      <c r="B123" s="378">
        <f>IF(A123="","",IFERROR(VLOOKUP(A123,DB_Customers!$A:$D,4,0),"❌ Account Not Found"))</f>
        <v/>
      </c>
      <c r="C123" s="487">
        <f>IF(A123="","",IFERROR(VLOOKUP(A123,DB_Customers!$A:$N,14,0),""))</f>
        <v/>
      </c>
      <c r="D123" s="488">
        <f>IF(A123="","",TODAY())</f>
        <v/>
      </c>
      <c r="E123" s="510" t="n"/>
      <c r="F123" s="378" t="n"/>
      <c r="G123" s="511">
        <f>IF(OR(A123="",E123=""),"",IF(C123="","",C123-E123))</f>
        <v/>
      </c>
      <c r="H123" s="380" t="inlineStr">
        <is>
          <t>Agent 07</t>
        </is>
      </c>
      <c r="I123" s="491" t="n"/>
      <c r="J123" s="492">
        <f>IF(AND(A123&lt;&gt;"",E123&lt;&gt;""),IF(I123="","⚠️ Enter Code",IF(IFERROR(VLOOKUP(H123,DB_Agents!$B:$I,8,0),"")=I123,IF(C123&gt;=E123,"Successful","Unsuccessful"),"🔒 BLOCKED — Wrong Code")),"—")</f>
        <v/>
      </c>
      <c r="K123" s="493">
        <f>IF(J123="Successful",TEXT(TODAY(),"YYYY-MM-DD")&amp;" Auto","—")</f>
        <v/>
      </c>
      <c r="L123" s="494" t="n"/>
    </row>
    <row r="124" ht="15" customHeight="1" s="341">
      <c r="A124" s="495" t="n"/>
      <c r="B124" s="382">
        <f>IF(A124="","",IFERROR(VLOOKUP(A124,DB_Customers!$A:$D,4,0),"❌ Account Not Found"))</f>
        <v/>
      </c>
      <c r="C124" s="496">
        <f>IF(A124="","",IFERROR(VLOOKUP(A124,DB_Customers!$A:$N,14,0),""))</f>
        <v/>
      </c>
      <c r="D124" s="497">
        <f>IF(A124="","",TODAY())</f>
        <v/>
      </c>
      <c r="E124" s="510" t="n"/>
      <c r="F124" s="382" t="n"/>
      <c r="G124" s="512">
        <f>IF(OR(A124="",E124=""),"",IF(C124="","",C124-E124))</f>
        <v/>
      </c>
      <c r="H124" s="384" t="inlineStr">
        <is>
          <t>Agent 07</t>
        </is>
      </c>
      <c r="I124" s="491" t="n"/>
      <c r="J124" s="499">
        <f>IF(AND(A124&lt;&gt;"",E124&lt;&gt;""),IF(I124="","⚠️ Enter Code",IF(IFERROR(VLOOKUP(H124,DB_Agents!$B:$I,8,0),"")=I124,IF(C124&gt;=E124,"Successful","Unsuccessful"),"🔒 BLOCKED — Wrong Code")),"—")</f>
        <v/>
      </c>
      <c r="K124" s="500">
        <f>IF(J124="Successful",TEXT(TODAY(),"YYYY-MM-DD")&amp;" Auto","—")</f>
        <v/>
      </c>
      <c r="L124" s="501" t="n"/>
    </row>
    <row r="125" ht="15" customHeight="1" s="341">
      <c r="A125" s="486" t="n"/>
      <c r="B125" s="378">
        <f>IF(A125="","",IFERROR(VLOOKUP(A125,DB_Customers!$A:$D,4,0),"❌ Account Not Found"))</f>
        <v/>
      </c>
      <c r="C125" s="487">
        <f>IF(A125="","",IFERROR(VLOOKUP(A125,DB_Customers!$A:$N,14,0),""))</f>
        <v/>
      </c>
      <c r="D125" s="488">
        <f>IF(A125="","",TODAY())</f>
        <v/>
      </c>
      <c r="E125" s="510" t="n"/>
      <c r="F125" s="378" t="n"/>
      <c r="G125" s="511">
        <f>IF(OR(A125="",E125=""),"",IF(C125="","",C125-E125))</f>
        <v/>
      </c>
      <c r="H125" s="380" t="inlineStr">
        <is>
          <t>Agent 07</t>
        </is>
      </c>
      <c r="I125" s="491" t="n"/>
      <c r="J125" s="492">
        <f>IF(AND(A125&lt;&gt;"",E125&lt;&gt;""),IF(I125="","⚠️ Enter Code",IF(IFERROR(VLOOKUP(H125,DB_Agents!$B:$I,8,0),"")=I125,IF(C125&gt;=E125,"Successful","Unsuccessful"),"🔒 BLOCKED — Wrong Code")),"—")</f>
        <v/>
      </c>
      <c r="K125" s="493">
        <f>IF(J125="Successful",TEXT(TODAY(),"YYYY-MM-DD")&amp;" Auto","—")</f>
        <v/>
      </c>
      <c r="L125" s="494" t="n"/>
    </row>
    <row r="126" ht="15" customHeight="1" s="341">
      <c r="A126" s="495" t="n"/>
      <c r="B126" s="382">
        <f>IF(A126="","",IFERROR(VLOOKUP(A126,DB_Customers!$A:$D,4,0),"❌ Account Not Found"))</f>
        <v/>
      </c>
      <c r="C126" s="496">
        <f>IF(A126="","",IFERROR(VLOOKUP(A126,DB_Customers!$A:$N,14,0),""))</f>
        <v/>
      </c>
      <c r="D126" s="497">
        <f>IF(A126="","",TODAY())</f>
        <v/>
      </c>
      <c r="E126" s="510" t="n"/>
      <c r="F126" s="382" t="n"/>
      <c r="G126" s="512">
        <f>IF(OR(A126="",E126=""),"",IF(C126="","",C126-E126))</f>
        <v/>
      </c>
      <c r="H126" s="384" t="inlineStr">
        <is>
          <t>Agent 07</t>
        </is>
      </c>
      <c r="I126" s="491" t="n"/>
      <c r="J126" s="499">
        <f>IF(AND(A126&lt;&gt;"",E126&lt;&gt;""),IF(I126="","⚠️ Enter Code",IF(IFERROR(VLOOKUP(H126,DB_Agents!$B:$I,8,0),"")=I126,IF(C126&gt;=E126,"Successful","Unsuccessful"),"🔒 BLOCKED — Wrong Code")),"—")</f>
        <v/>
      </c>
      <c r="K126" s="500">
        <f>IF(J126="Successful",TEXT(TODAY(),"YYYY-MM-DD")&amp;" Auto","—")</f>
        <v/>
      </c>
      <c r="L126" s="501" t="n"/>
    </row>
    <row r="127" ht="15" customHeight="1" s="341">
      <c r="A127" s="486" t="n"/>
      <c r="B127" s="378">
        <f>IF(A127="","",IFERROR(VLOOKUP(A127,DB_Customers!$A:$D,4,0),"❌ Account Not Found"))</f>
        <v/>
      </c>
      <c r="C127" s="487">
        <f>IF(A127="","",IFERROR(VLOOKUP(A127,DB_Customers!$A:$N,14,0),""))</f>
        <v/>
      </c>
      <c r="D127" s="488">
        <f>IF(A127="","",TODAY())</f>
        <v/>
      </c>
      <c r="E127" s="510" t="n"/>
      <c r="F127" s="378" t="n"/>
      <c r="G127" s="511">
        <f>IF(OR(A127="",E127=""),"",IF(C127="","",C127-E127))</f>
        <v/>
      </c>
      <c r="H127" s="380" t="inlineStr">
        <is>
          <t>Agent 07</t>
        </is>
      </c>
      <c r="I127" s="491" t="n"/>
      <c r="J127" s="492">
        <f>IF(AND(A127&lt;&gt;"",E127&lt;&gt;""),IF(I127="","⚠️ Enter Code",IF(IFERROR(VLOOKUP(H127,DB_Agents!$B:$I,8,0),"")=I127,IF(C127&gt;=E127,"Successful","Unsuccessful"),"🔒 BLOCKED — Wrong Code")),"—")</f>
        <v/>
      </c>
      <c r="K127" s="493">
        <f>IF(J127="Successful",TEXT(TODAY(),"YYYY-MM-DD")&amp;" Auto","—")</f>
        <v/>
      </c>
      <c r="L127" s="494" t="n"/>
    </row>
    <row r="128" ht="15" customHeight="1" s="341">
      <c r="A128" s="495" t="n"/>
      <c r="B128" s="382">
        <f>IF(A128="","",IFERROR(VLOOKUP(A128,DB_Customers!$A:$D,4,0),"❌ Account Not Found"))</f>
        <v/>
      </c>
      <c r="C128" s="496">
        <f>IF(A128="","",IFERROR(VLOOKUP(A128,DB_Customers!$A:$N,14,0),""))</f>
        <v/>
      </c>
      <c r="D128" s="497">
        <f>IF(A128="","",TODAY())</f>
        <v/>
      </c>
      <c r="E128" s="510" t="n"/>
      <c r="F128" s="382" t="n"/>
      <c r="G128" s="512">
        <f>IF(OR(A128="",E128=""),"",IF(C128="","",C128-E128))</f>
        <v/>
      </c>
      <c r="H128" s="384" t="inlineStr">
        <is>
          <t>Agent 07</t>
        </is>
      </c>
      <c r="I128" s="491" t="n"/>
      <c r="J128" s="499">
        <f>IF(AND(A128&lt;&gt;"",E128&lt;&gt;""),IF(I128="","⚠️ Enter Code",IF(IFERROR(VLOOKUP(H128,DB_Agents!$B:$I,8,0),"")=I128,IF(C128&gt;=E128,"Successful","Unsuccessful"),"🔒 BLOCKED — Wrong Code")),"—")</f>
        <v/>
      </c>
      <c r="K128" s="500">
        <f>IF(J128="Successful",TEXT(TODAY(),"YYYY-MM-DD")&amp;" Auto","—")</f>
        <v/>
      </c>
      <c r="L128" s="501" t="n"/>
    </row>
    <row r="129" ht="15" customHeight="1" s="341">
      <c r="A129" s="486" t="n"/>
      <c r="B129" s="378">
        <f>IF(A129="","",IFERROR(VLOOKUP(A129,DB_Customers!$A:$D,4,0),"❌ Account Not Found"))</f>
        <v/>
      </c>
      <c r="C129" s="487">
        <f>IF(A129="","",IFERROR(VLOOKUP(A129,DB_Customers!$A:$N,14,0),""))</f>
        <v/>
      </c>
      <c r="D129" s="488">
        <f>IF(A129="","",TODAY())</f>
        <v/>
      </c>
      <c r="E129" s="510" t="n"/>
      <c r="F129" s="378" t="n"/>
      <c r="G129" s="511">
        <f>IF(OR(A129="",E129=""),"",IF(C129="","",C129-E129))</f>
        <v/>
      </c>
      <c r="H129" s="380" t="inlineStr">
        <is>
          <t>Agent 07</t>
        </is>
      </c>
      <c r="I129" s="491" t="n"/>
      <c r="J129" s="492">
        <f>IF(AND(A129&lt;&gt;"",E129&lt;&gt;""),IF(I129="","⚠️ Enter Code",IF(IFERROR(VLOOKUP(H129,DB_Agents!$B:$I,8,0),"")=I129,IF(C129&gt;=E129,"Successful","Unsuccessful"),"🔒 BLOCKED — Wrong Code")),"—")</f>
        <v/>
      </c>
      <c r="K129" s="493">
        <f>IF(J129="Successful",TEXT(TODAY(),"YYYY-MM-DD")&amp;" Auto","—")</f>
        <v/>
      </c>
      <c r="L129" s="494" t="n"/>
    </row>
    <row r="130" ht="15" customHeight="1" s="341">
      <c r="A130" s="495" t="n"/>
      <c r="B130" s="382">
        <f>IF(A130="","",IFERROR(VLOOKUP(A130,DB_Customers!$A:$D,4,0),"❌ Account Not Found"))</f>
        <v/>
      </c>
      <c r="C130" s="496">
        <f>IF(A130="","",IFERROR(VLOOKUP(A130,DB_Customers!$A:$N,14,0),""))</f>
        <v/>
      </c>
      <c r="D130" s="497">
        <f>IF(A130="","",TODAY())</f>
        <v/>
      </c>
      <c r="E130" s="510" t="n"/>
      <c r="F130" s="382" t="n"/>
      <c r="G130" s="512">
        <f>IF(OR(A130="",E130=""),"",IF(C130="","",C130-E130))</f>
        <v/>
      </c>
      <c r="H130" s="384" t="inlineStr">
        <is>
          <t>Agent 07</t>
        </is>
      </c>
      <c r="I130" s="491" t="n"/>
      <c r="J130" s="499">
        <f>IF(AND(A130&lt;&gt;"",E130&lt;&gt;""),IF(I130="","⚠️ Enter Code",IF(IFERROR(VLOOKUP(H130,DB_Agents!$B:$I,8,0),"")=I130,IF(C130&gt;=E130,"Successful","Unsuccessful"),"🔒 BLOCKED — Wrong Code")),"—")</f>
        <v/>
      </c>
      <c r="K130" s="500">
        <f>IF(J130="Successful",TEXT(TODAY(),"YYYY-MM-DD")&amp;" Auto","—")</f>
        <v/>
      </c>
      <c r="L130" s="501" t="n"/>
    </row>
    <row r="131" ht="15" customHeight="1" s="341">
      <c r="A131" s="486" t="n"/>
      <c r="B131" s="378">
        <f>IF(A131="","",IFERROR(VLOOKUP(A131,DB_Customers!$A:$D,4,0),"❌ Account Not Found"))</f>
        <v/>
      </c>
      <c r="C131" s="487">
        <f>IF(A131="","",IFERROR(VLOOKUP(A131,DB_Customers!$A:$N,14,0),""))</f>
        <v/>
      </c>
      <c r="D131" s="488">
        <f>IF(A131="","",TODAY())</f>
        <v/>
      </c>
      <c r="E131" s="510" t="n"/>
      <c r="F131" s="378" t="n"/>
      <c r="G131" s="511">
        <f>IF(OR(A131="",E131=""),"",IF(C131="","",C131-E131))</f>
        <v/>
      </c>
      <c r="H131" s="380" t="inlineStr">
        <is>
          <t>Agent 07</t>
        </is>
      </c>
      <c r="I131" s="491" t="n"/>
      <c r="J131" s="492">
        <f>IF(AND(A131&lt;&gt;"",E131&lt;&gt;""),IF(I131="","⚠️ Enter Code",IF(IFERROR(VLOOKUP(H131,DB_Agents!$B:$I,8,0),"")=I131,IF(C131&gt;=E131,"Successful","Unsuccessful"),"🔒 BLOCKED — Wrong Code")),"—")</f>
        <v/>
      </c>
      <c r="K131" s="493">
        <f>IF(J131="Successful",TEXT(TODAY(),"YYYY-MM-DD")&amp;" Auto","—")</f>
        <v/>
      </c>
      <c r="L131" s="494" t="n"/>
    </row>
    <row r="132" ht="15" customHeight="1" s="341">
      <c r="A132" s="495" t="n"/>
      <c r="B132" s="382">
        <f>IF(A132="","",IFERROR(VLOOKUP(A132,DB_Customers!$A:$D,4,0),"❌ Account Not Found"))</f>
        <v/>
      </c>
      <c r="C132" s="496">
        <f>IF(A132="","",IFERROR(VLOOKUP(A132,DB_Customers!$A:$N,14,0),""))</f>
        <v/>
      </c>
      <c r="D132" s="497">
        <f>IF(A132="","",TODAY())</f>
        <v/>
      </c>
      <c r="E132" s="510" t="n"/>
      <c r="F132" s="382" t="n"/>
      <c r="G132" s="512">
        <f>IF(OR(A132="",E132=""),"",IF(C132="","",C132-E132))</f>
        <v/>
      </c>
      <c r="H132" s="384" t="inlineStr">
        <is>
          <t>Agent 07</t>
        </is>
      </c>
      <c r="I132" s="491" t="n"/>
      <c r="J132" s="499">
        <f>IF(AND(A132&lt;&gt;"",E132&lt;&gt;""),IF(I132="","⚠️ Enter Code",IF(IFERROR(VLOOKUP(H132,DB_Agents!$B:$I,8,0),"")=I132,IF(C132&gt;=E132,"Successful","Unsuccessful"),"🔒 BLOCKED — Wrong Code")),"—")</f>
        <v/>
      </c>
      <c r="K132" s="500">
        <f>IF(J132="Successful",TEXT(TODAY(),"YYYY-MM-DD")&amp;" Auto","—")</f>
        <v/>
      </c>
      <c r="L132" s="501" t="n"/>
    </row>
    <row r="133" ht="15" customHeight="1" s="341">
      <c r="A133" s="486" t="n"/>
      <c r="B133" s="378">
        <f>IF(A133="","",IFERROR(VLOOKUP(A133,DB_Customers!$A:$D,4,0),"❌ Account Not Found"))</f>
        <v/>
      </c>
      <c r="C133" s="487">
        <f>IF(A133="","",IFERROR(VLOOKUP(A133,DB_Customers!$A:$N,14,0),""))</f>
        <v/>
      </c>
      <c r="D133" s="488">
        <f>IF(A133="","",TODAY())</f>
        <v/>
      </c>
      <c r="E133" s="510" t="n"/>
      <c r="F133" s="378" t="n"/>
      <c r="G133" s="511">
        <f>IF(OR(A133="",E133=""),"",IF(C133="","",C133-E133))</f>
        <v/>
      </c>
      <c r="H133" s="380" t="inlineStr">
        <is>
          <t>Agent 07</t>
        </is>
      </c>
      <c r="I133" s="491" t="n"/>
      <c r="J133" s="492">
        <f>IF(AND(A133&lt;&gt;"",E133&lt;&gt;""),IF(I133="","⚠️ Enter Code",IF(IFERROR(VLOOKUP(H133,DB_Agents!$B:$I,8,0),"")=I133,IF(C133&gt;=E133,"Successful","Unsuccessful"),"🔒 BLOCKED — Wrong Code")),"—")</f>
        <v/>
      </c>
      <c r="K133" s="493">
        <f>IF(J133="Successful",TEXT(TODAY(),"YYYY-MM-DD")&amp;" Auto","—")</f>
        <v/>
      </c>
      <c r="L133" s="494" t="n"/>
    </row>
    <row r="134" ht="15" customHeight="1" s="341">
      <c r="A134" s="495" t="n"/>
      <c r="B134" s="382">
        <f>IF(A134="","",IFERROR(VLOOKUP(A134,DB_Customers!$A:$D,4,0),"❌ Account Not Found"))</f>
        <v/>
      </c>
      <c r="C134" s="496">
        <f>IF(A134="","",IFERROR(VLOOKUP(A134,DB_Customers!$A:$N,14,0),""))</f>
        <v/>
      </c>
      <c r="D134" s="497">
        <f>IF(A134="","",TODAY())</f>
        <v/>
      </c>
      <c r="E134" s="510" t="n"/>
      <c r="F134" s="382" t="n"/>
      <c r="G134" s="512">
        <f>IF(OR(A134="",E134=""),"",IF(C134="","",C134-E134))</f>
        <v/>
      </c>
      <c r="H134" s="384" t="inlineStr">
        <is>
          <t>Agent 07</t>
        </is>
      </c>
      <c r="I134" s="491" t="n"/>
      <c r="J134" s="499">
        <f>IF(AND(A134&lt;&gt;"",E134&lt;&gt;""),IF(I134="","⚠️ Enter Code",IF(IFERROR(VLOOKUP(H134,DB_Agents!$B:$I,8,0),"")=I134,IF(C134&gt;=E134,"Successful","Unsuccessful"),"🔒 BLOCKED — Wrong Code")),"—")</f>
        <v/>
      </c>
      <c r="K134" s="500">
        <f>IF(J134="Successful",TEXT(TODAY(),"YYYY-MM-DD")&amp;" Auto","—")</f>
        <v/>
      </c>
      <c r="L134" s="501" t="n"/>
    </row>
    <row r="135" ht="15" customHeight="1" s="341">
      <c r="A135" s="486" t="n"/>
      <c r="B135" s="378">
        <f>IF(A135="","",IFERROR(VLOOKUP(A135,DB_Customers!$A:$D,4,0),"❌ Account Not Found"))</f>
        <v/>
      </c>
      <c r="C135" s="487">
        <f>IF(A135="","",IFERROR(VLOOKUP(A135,DB_Customers!$A:$N,14,0),""))</f>
        <v/>
      </c>
      <c r="D135" s="488">
        <f>IF(A135="","",TODAY())</f>
        <v/>
      </c>
      <c r="E135" s="510" t="n"/>
      <c r="F135" s="378" t="n"/>
      <c r="G135" s="511">
        <f>IF(OR(A135="",E135=""),"",IF(C135="","",C135-E135))</f>
        <v/>
      </c>
      <c r="H135" s="380" t="inlineStr">
        <is>
          <t>Agent 07</t>
        </is>
      </c>
      <c r="I135" s="491" t="n"/>
      <c r="J135" s="492">
        <f>IF(AND(A135&lt;&gt;"",E135&lt;&gt;""),IF(I135="","⚠️ Enter Code",IF(IFERROR(VLOOKUP(H135,DB_Agents!$B:$I,8,0),"")=I135,IF(C135&gt;=E135,"Successful","Unsuccessful"),"🔒 BLOCKED — Wrong Code")),"—")</f>
        <v/>
      </c>
      <c r="K135" s="493">
        <f>IF(J135="Successful",TEXT(TODAY(),"YYYY-MM-DD")&amp;" Auto","—")</f>
        <v/>
      </c>
      <c r="L135" s="494" t="n"/>
    </row>
    <row r="136" ht="15" customHeight="1" s="341">
      <c r="A136" s="495" t="n"/>
      <c r="B136" s="382">
        <f>IF(A136="","",IFERROR(VLOOKUP(A136,DB_Customers!$A:$D,4,0),"❌ Account Not Found"))</f>
        <v/>
      </c>
      <c r="C136" s="496">
        <f>IF(A136="","",IFERROR(VLOOKUP(A136,DB_Customers!$A:$N,14,0),""))</f>
        <v/>
      </c>
      <c r="D136" s="497">
        <f>IF(A136="","",TODAY())</f>
        <v/>
      </c>
      <c r="E136" s="510" t="n"/>
      <c r="F136" s="382" t="n"/>
      <c r="G136" s="512">
        <f>IF(OR(A136="",E136=""),"",IF(C136="","",C136-E136))</f>
        <v/>
      </c>
      <c r="H136" s="384" t="inlineStr">
        <is>
          <t>Agent 07</t>
        </is>
      </c>
      <c r="I136" s="491" t="n"/>
      <c r="J136" s="499">
        <f>IF(AND(A136&lt;&gt;"",E136&lt;&gt;""),IF(I136="","⚠️ Enter Code",IF(IFERROR(VLOOKUP(H136,DB_Agents!$B:$I,8,0),"")=I136,IF(C136&gt;=E136,"Successful","Unsuccessful"),"🔒 BLOCKED — Wrong Code")),"—")</f>
        <v/>
      </c>
      <c r="K136" s="500">
        <f>IF(J136="Successful",TEXT(TODAY(),"YYYY-MM-DD")&amp;" Auto","—")</f>
        <v/>
      </c>
      <c r="L136" s="501" t="n"/>
    </row>
    <row r="137" ht="15" customHeight="1" s="341">
      <c r="A137" s="486" t="n"/>
      <c r="B137" s="378">
        <f>IF(A137="","",IFERROR(VLOOKUP(A137,DB_Customers!$A:$D,4,0),"❌ Account Not Found"))</f>
        <v/>
      </c>
      <c r="C137" s="487">
        <f>IF(A137="","",IFERROR(VLOOKUP(A137,DB_Customers!$A:$N,14,0),""))</f>
        <v/>
      </c>
      <c r="D137" s="488">
        <f>IF(A137="","",TODAY())</f>
        <v/>
      </c>
      <c r="E137" s="510" t="n"/>
      <c r="F137" s="378" t="n"/>
      <c r="G137" s="511">
        <f>IF(OR(A137="",E137=""),"",IF(C137="","",C137-E137))</f>
        <v/>
      </c>
      <c r="H137" s="380" t="inlineStr">
        <is>
          <t>Agent 07</t>
        </is>
      </c>
      <c r="I137" s="491" t="n"/>
      <c r="J137" s="492">
        <f>IF(AND(A137&lt;&gt;"",E137&lt;&gt;""),IF(I137="","⚠️ Enter Code",IF(IFERROR(VLOOKUP(H137,DB_Agents!$B:$I,8,0),"")=I137,IF(C137&gt;=E137,"Successful","Unsuccessful"),"🔒 BLOCKED — Wrong Code")),"—")</f>
        <v/>
      </c>
      <c r="K137" s="493">
        <f>IF(J137="Successful",TEXT(TODAY(),"YYYY-MM-DD")&amp;" Auto","—")</f>
        <v/>
      </c>
      <c r="L137" s="494" t="n"/>
    </row>
    <row r="138" ht="15" customHeight="1" s="341">
      <c r="A138" s="495" t="n"/>
      <c r="B138" s="382">
        <f>IF(A138="","",IFERROR(VLOOKUP(A138,DB_Customers!$A:$D,4,0),"❌ Account Not Found"))</f>
        <v/>
      </c>
      <c r="C138" s="496">
        <f>IF(A138="","",IFERROR(VLOOKUP(A138,DB_Customers!$A:$N,14,0),""))</f>
        <v/>
      </c>
      <c r="D138" s="497">
        <f>IF(A138="","",TODAY())</f>
        <v/>
      </c>
      <c r="E138" s="510" t="n"/>
      <c r="F138" s="382" t="n"/>
      <c r="G138" s="512">
        <f>IF(OR(A138="",E138=""),"",IF(C138="","",C138-E138))</f>
        <v/>
      </c>
      <c r="H138" s="384" t="inlineStr">
        <is>
          <t>Agent 07</t>
        </is>
      </c>
      <c r="I138" s="491" t="n"/>
      <c r="J138" s="499">
        <f>IF(AND(A138&lt;&gt;"",E138&lt;&gt;""),IF(I138="","⚠️ Enter Code",IF(IFERROR(VLOOKUP(H138,DB_Agents!$B:$I,8,0),"")=I138,IF(C138&gt;=E138,"Successful","Unsuccessful"),"🔒 BLOCKED — Wrong Code")),"—")</f>
        <v/>
      </c>
      <c r="K138" s="500">
        <f>IF(J138="Successful",TEXT(TODAY(),"YYYY-MM-DD")&amp;" Auto","—")</f>
        <v/>
      </c>
      <c r="L138" s="501" t="n"/>
    </row>
    <row r="139" ht="15" customHeight="1" s="341">
      <c r="A139" s="486" t="n"/>
      <c r="B139" s="378">
        <f>IF(A139="","",IFERROR(VLOOKUP(A139,DB_Customers!$A:$D,4,0),"❌ Account Not Found"))</f>
        <v/>
      </c>
      <c r="C139" s="487">
        <f>IF(A139="","",IFERROR(VLOOKUP(A139,DB_Customers!$A:$N,14,0),""))</f>
        <v/>
      </c>
      <c r="D139" s="488">
        <f>IF(A139="","",TODAY())</f>
        <v/>
      </c>
      <c r="E139" s="510" t="n"/>
      <c r="F139" s="378" t="n"/>
      <c r="G139" s="511">
        <f>IF(OR(A139="",E139=""),"",IF(C139="","",C139-E139))</f>
        <v/>
      </c>
      <c r="H139" s="380" t="inlineStr">
        <is>
          <t>Agent 07</t>
        </is>
      </c>
      <c r="I139" s="491" t="n"/>
      <c r="J139" s="492">
        <f>IF(AND(A139&lt;&gt;"",E139&lt;&gt;""),IF(I139="","⚠️ Enter Code",IF(IFERROR(VLOOKUP(H139,DB_Agents!$B:$I,8,0),"")=I139,IF(C139&gt;=E139,"Successful","Unsuccessful"),"🔒 BLOCKED — Wrong Code")),"—")</f>
        <v/>
      </c>
      <c r="K139" s="493">
        <f>IF(J139="Successful",TEXT(TODAY(),"YYYY-MM-DD")&amp;" Auto","—")</f>
        <v/>
      </c>
      <c r="L139" s="494" t="n"/>
    </row>
    <row r="140" ht="15" customHeight="1" s="341">
      <c r="A140" s="495" t="n"/>
      <c r="B140" s="382">
        <f>IF(A140="","",IFERROR(VLOOKUP(A140,DB_Customers!$A:$D,4,0),"❌ Account Not Found"))</f>
        <v/>
      </c>
      <c r="C140" s="496">
        <f>IF(A140="","",IFERROR(VLOOKUP(A140,DB_Customers!$A:$N,14,0),""))</f>
        <v/>
      </c>
      <c r="D140" s="497">
        <f>IF(A140="","",TODAY())</f>
        <v/>
      </c>
      <c r="E140" s="510" t="n"/>
      <c r="F140" s="382" t="n"/>
      <c r="G140" s="512">
        <f>IF(OR(A140="",E140=""),"",IF(C140="","",C140-E140))</f>
        <v/>
      </c>
      <c r="H140" s="384" t="inlineStr">
        <is>
          <t>Agent 07</t>
        </is>
      </c>
      <c r="I140" s="491" t="n"/>
      <c r="J140" s="499">
        <f>IF(AND(A140&lt;&gt;"",E140&lt;&gt;""),IF(I140="","⚠️ Enter Code",IF(IFERROR(VLOOKUP(H140,DB_Agents!$B:$I,8,0),"")=I140,IF(C140&gt;=E140,"Successful","Unsuccessful"),"🔒 BLOCKED — Wrong Code")),"—")</f>
        <v/>
      </c>
      <c r="K140" s="500">
        <f>IF(J140="Successful",TEXT(TODAY(),"YYYY-MM-DD")&amp;" Auto","—")</f>
        <v/>
      </c>
      <c r="L140" s="501" t="n"/>
    </row>
    <row r="141" ht="15" customHeight="1" s="341">
      <c r="A141" s="486" t="n"/>
      <c r="B141" s="378">
        <f>IF(A141="","",IFERROR(VLOOKUP(A141,DB_Customers!$A:$D,4,0),"❌ Account Not Found"))</f>
        <v/>
      </c>
      <c r="C141" s="487">
        <f>IF(A141="","",IFERROR(VLOOKUP(A141,DB_Customers!$A:$N,14,0),""))</f>
        <v/>
      </c>
      <c r="D141" s="488">
        <f>IF(A141="","",TODAY())</f>
        <v/>
      </c>
      <c r="E141" s="510" t="n"/>
      <c r="F141" s="378" t="n"/>
      <c r="G141" s="511">
        <f>IF(OR(A141="",E141=""),"",IF(C141="","",C141-E141))</f>
        <v/>
      </c>
      <c r="H141" s="380" t="inlineStr">
        <is>
          <t>Agent 07</t>
        </is>
      </c>
      <c r="I141" s="491" t="n"/>
      <c r="J141" s="492">
        <f>IF(AND(A141&lt;&gt;"",E141&lt;&gt;""),IF(I141="","⚠️ Enter Code",IF(IFERROR(VLOOKUP(H141,DB_Agents!$B:$I,8,0),"")=I141,IF(C141&gt;=E141,"Successful","Unsuccessful"),"🔒 BLOCKED — Wrong Code")),"—")</f>
        <v/>
      </c>
      <c r="K141" s="493">
        <f>IF(J141="Successful",TEXT(TODAY(),"YYYY-MM-DD")&amp;" Auto","—")</f>
        <v/>
      </c>
      <c r="L141" s="494" t="n"/>
    </row>
    <row r="142" ht="15" customHeight="1" s="341">
      <c r="A142" s="495" t="n"/>
      <c r="B142" s="382">
        <f>IF(A142="","",IFERROR(VLOOKUP(A142,DB_Customers!$A:$D,4,0),"❌ Account Not Found"))</f>
        <v/>
      </c>
      <c r="C142" s="496">
        <f>IF(A142="","",IFERROR(VLOOKUP(A142,DB_Customers!$A:$N,14,0),""))</f>
        <v/>
      </c>
      <c r="D142" s="497">
        <f>IF(A142="","",TODAY())</f>
        <v/>
      </c>
      <c r="E142" s="510" t="n"/>
      <c r="F142" s="382" t="n"/>
      <c r="G142" s="512">
        <f>IF(OR(A142="",E142=""),"",IF(C142="","",C142-E142))</f>
        <v/>
      </c>
      <c r="H142" s="384" t="inlineStr">
        <is>
          <t>Agent 07</t>
        </is>
      </c>
      <c r="I142" s="491" t="n"/>
      <c r="J142" s="499">
        <f>IF(AND(A142&lt;&gt;"",E142&lt;&gt;""),IF(I142="","⚠️ Enter Code",IF(IFERROR(VLOOKUP(H142,DB_Agents!$B:$I,8,0),"")=I142,IF(C142&gt;=E142,"Successful","Unsuccessful"),"🔒 BLOCKED — Wrong Code")),"—")</f>
        <v/>
      </c>
      <c r="K142" s="500">
        <f>IF(J142="Successful",TEXT(TODAY(),"YYYY-MM-DD")&amp;" Auto","—")</f>
        <v/>
      </c>
      <c r="L142" s="501" t="n"/>
    </row>
    <row r="143" ht="15" customHeight="1" s="341">
      <c r="A143" s="486" t="n"/>
      <c r="B143" s="378">
        <f>IF(A143="","",IFERROR(VLOOKUP(A143,DB_Customers!$A:$D,4,0),"❌ Account Not Found"))</f>
        <v/>
      </c>
      <c r="C143" s="487">
        <f>IF(A143="","",IFERROR(VLOOKUP(A143,DB_Customers!$A:$N,14,0),""))</f>
        <v/>
      </c>
      <c r="D143" s="488">
        <f>IF(A143="","",TODAY())</f>
        <v/>
      </c>
      <c r="E143" s="510" t="n"/>
      <c r="F143" s="378" t="n"/>
      <c r="G143" s="511">
        <f>IF(OR(A143="",E143=""),"",IF(C143="","",C143-E143))</f>
        <v/>
      </c>
      <c r="H143" s="380" t="inlineStr">
        <is>
          <t>Agent 07</t>
        </is>
      </c>
      <c r="I143" s="491" t="n"/>
      <c r="J143" s="492">
        <f>IF(AND(A143&lt;&gt;"",E143&lt;&gt;""),IF(I143="","⚠️ Enter Code",IF(IFERROR(VLOOKUP(H143,DB_Agents!$B:$I,8,0),"")=I143,IF(C143&gt;=E143,"Successful","Unsuccessful"),"🔒 BLOCKED — Wrong Code")),"—")</f>
        <v/>
      </c>
      <c r="K143" s="493">
        <f>IF(J143="Successful",TEXT(TODAY(),"YYYY-MM-DD")&amp;" Auto","—")</f>
        <v/>
      </c>
      <c r="L143" s="494" t="n"/>
    </row>
    <row r="144" ht="15" customHeight="1" s="341">
      <c r="A144" s="495" t="n"/>
      <c r="B144" s="382">
        <f>IF(A144="","",IFERROR(VLOOKUP(A144,DB_Customers!$A:$D,4,0),"❌ Account Not Found"))</f>
        <v/>
      </c>
      <c r="C144" s="496">
        <f>IF(A144="","",IFERROR(VLOOKUP(A144,DB_Customers!$A:$N,14,0),""))</f>
        <v/>
      </c>
      <c r="D144" s="497">
        <f>IF(A144="","",TODAY())</f>
        <v/>
      </c>
      <c r="E144" s="510" t="n"/>
      <c r="F144" s="382" t="n"/>
      <c r="G144" s="512">
        <f>IF(OR(A144="",E144=""),"",IF(C144="","",C144-E144))</f>
        <v/>
      </c>
      <c r="H144" s="384" t="inlineStr">
        <is>
          <t>Agent 07</t>
        </is>
      </c>
      <c r="I144" s="491" t="n"/>
      <c r="J144" s="499">
        <f>IF(AND(A144&lt;&gt;"",E144&lt;&gt;""),IF(I144="","⚠️ Enter Code",IF(IFERROR(VLOOKUP(H144,DB_Agents!$B:$I,8,0),"")=I144,IF(C144&gt;=E144,"Successful","Unsuccessful"),"🔒 BLOCKED — Wrong Code")),"—")</f>
        <v/>
      </c>
      <c r="K144" s="500">
        <f>IF(J144="Successful",TEXT(TODAY(),"YYYY-MM-DD")&amp;" Auto","—")</f>
        <v/>
      </c>
      <c r="L144" s="501" t="n"/>
    </row>
    <row r="145" ht="15" customHeight="1" s="341">
      <c r="A145" s="486" t="n"/>
      <c r="B145" s="378">
        <f>IF(A145="","",IFERROR(VLOOKUP(A145,DB_Customers!$A:$D,4,0),"❌ Account Not Found"))</f>
        <v/>
      </c>
      <c r="C145" s="487">
        <f>IF(A145="","",IFERROR(VLOOKUP(A145,DB_Customers!$A:$N,14,0),""))</f>
        <v/>
      </c>
      <c r="D145" s="488">
        <f>IF(A145="","",TODAY())</f>
        <v/>
      </c>
      <c r="E145" s="510" t="n"/>
      <c r="F145" s="378" t="n"/>
      <c r="G145" s="511">
        <f>IF(OR(A145="",E145=""),"",IF(C145="","",C145-E145))</f>
        <v/>
      </c>
      <c r="H145" s="380" t="inlineStr">
        <is>
          <t>Agent 07</t>
        </is>
      </c>
      <c r="I145" s="491" t="n"/>
      <c r="J145" s="492">
        <f>IF(AND(A145&lt;&gt;"",E145&lt;&gt;""),IF(I145="","⚠️ Enter Code",IF(IFERROR(VLOOKUP(H145,DB_Agents!$B:$I,8,0),"")=I145,IF(C145&gt;=E145,"Successful","Unsuccessful"),"🔒 BLOCKED — Wrong Code")),"—")</f>
        <v/>
      </c>
      <c r="K145" s="493">
        <f>IF(J145="Successful",TEXT(TODAY(),"YYYY-MM-DD")&amp;" Auto","—")</f>
        <v/>
      </c>
      <c r="L145" s="494" t="n"/>
    </row>
    <row r="146" ht="15" customHeight="1" s="341">
      <c r="A146" s="495" t="n"/>
      <c r="B146" s="382">
        <f>IF(A146="","",IFERROR(VLOOKUP(A146,DB_Customers!$A:$D,4,0),"❌ Account Not Found"))</f>
        <v/>
      </c>
      <c r="C146" s="496">
        <f>IF(A146="","",IFERROR(VLOOKUP(A146,DB_Customers!$A:$N,14,0),""))</f>
        <v/>
      </c>
      <c r="D146" s="497">
        <f>IF(A146="","",TODAY())</f>
        <v/>
      </c>
      <c r="E146" s="510" t="n"/>
      <c r="F146" s="382" t="n"/>
      <c r="G146" s="512">
        <f>IF(OR(A146="",E146=""),"",IF(C146="","",C146-E146))</f>
        <v/>
      </c>
      <c r="H146" s="384" t="inlineStr">
        <is>
          <t>Agent 07</t>
        </is>
      </c>
      <c r="I146" s="491" t="n"/>
      <c r="J146" s="499">
        <f>IF(AND(A146&lt;&gt;"",E146&lt;&gt;""),IF(I146="","⚠️ Enter Code",IF(IFERROR(VLOOKUP(H146,DB_Agents!$B:$I,8,0),"")=I146,IF(C146&gt;=E146,"Successful","Unsuccessful"),"🔒 BLOCKED — Wrong Code")),"—")</f>
        <v/>
      </c>
      <c r="K146" s="500">
        <f>IF(J146="Successful",TEXT(TODAY(),"YYYY-MM-DD")&amp;" Auto","—")</f>
        <v/>
      </c>
      <c r="L146" s="501" t="n"/>
    </row>
    <row r="147" ht="15" customHeight="1" s="341">
      <c r="A147" s="486" t="n"/>
      <c r="B147" s="378">
        <f>IF(A147="","",IFERROR(VLOOKUP(A147,DB_Customers!$A:$D,4,0),"❌ Account Not Found"))</f>
        <v/>
      </c>
      <c r="C147" s="487">
        <f>IF(A147="","",IFERROR(VLOOKUP(A147,DB_Customers!$A:$N,14,0),""))</f>
        <v/>
      </c>
      <c r="D147" s="488">
        <f>IF(A147="","",TODAY())</f>
        <v/>
      </c>
      <c r="E147" s="510" t="n"/>
      <c r="F147" s="378" t="n"/>
      <c r="G147" s="511">
        <f>IF(OR(A147="",E147=""),"",IF(C147="","",C147-E147))</f>
        <v/>
      </c>
      <c r="H147" s="380" t="inlineStr">
        <is>
          <t>Agent 07</t>
        </is>
      </c>
      <c r="I147" s="491" t="n"/>
      <c r="J147" s="492">
        <f>IF(AND(A147&lt;&gt;"",E147&lt;&gt;""),IF(I147="","⚠️ Enter Code",IF(IFERROR(VLOOKUP(H147,DB_Agents!$B:$I,8,0),"")=I147,IF(C147&gt;=E147,"Successful","Unsuccessful"),"🔒 BLOCKED — Wrong Code")),"—")</f>
        <v/>
      </c>
      <c r="K147" s="493">
        <f>IF(J147="Successful",TEXT(TODAY(),"YYYY-MM-DD")&amp;" Auto","—")</f>
        <v/>
      </c>
      <c r="L147" s="494" t="n"/>
    </row>
    <row r="148" ht="15" customHeight="1" s="341">
      <c r="A148" s="495" t="n"/>
      <c r="B148" s="382">
        <f>IF(A148="","",IFERROR(VLOOKUP(A148,DB_Customers!$A:$D,4,0),"❌ Account Not Found"))</f>
        <v/>
      </c>
      <c r="C148" s="496">
        <f>IF(A148="","",IFERROR(VLOOKUP(A148,DB_Customers!$A:$N,14,0),""))</f>
        <v/>
      </c>
      <c r="D148" s="497">
        <f>IF(A148="","",TODAY())</f>
        <v/>
      </c>
      <c r="E148" s="510" t="n"/>
      <c r="F148" s="382" t="n"/>
      <c r="G148" s="512">
        <f>IF(OR(A148="",E148=""),"",IF(C148="","",C148-E148))</f>
        <v/>
      </c>
      <c r="H148" s="384" t="inlineStr">
        <is>
          <t>Agent 07</t>
        </is>
      </c>
      <c r="I148" s="491" t="n"/>
      <c r="J148" s="499">
        <f>IF(AND(A148&lt;&gt;"",E148&lt;&gt;""),IF(I148="","⚠️ Enter Code",IF(IFERROR(VLOOKUP(H148,DB_Agents!$B:$I,8,0),"")=I148,IF(C148&gt;=E148,"Successful","Unsuccessful"),"🔒 BLOCKED — Wrong Code")),"—")</f>
        <v/>
      </c>
      <c r="K148" s="500">
        <f>IF(J148="Successful",TEXT(TODAY(),"YYYY-MM-DD")&amp;" Auto","—")</f>
        <v/>
      </c>
      <c r="L148" s="501" t="n"/>
    </row>
    <row r="149" ht="15" customHeight="1" s="341">
      <c r="A149" s="486" t="n"/>
      <c r="B149" s="378">
        <f>IF(A149="","",IFERROR(VLOOKUP(A149,DB_Customers!$A:$D,4,0),"❌ Account Not Found"))</f>
        <v/>
      </c>
      <c r="C149" s="487">
        <f>IF(A149="","",IFERROR(VLOOKUP(A149,DB_Customers!$A:$N,14,0),""))</f>
        <v/>
      </c>
      <c r="D149" s="488">
        <f>IF(A149="","",TODAY())</f>
        <v/>
      </c>
      <c r="E149" s="510" t="n"/>
      <c r="F149" s="378" t="n"/>
      <c r="G149" s="511">
        <f>IF(OR(A149="",E149=""),"",IF(C149="","",C149-E149))</f>
        <v/>
      </c>
      <c r="H149" s="380" t="inlineStr">
        <is>
          <t>Agent 07</t>
        </is>
      </c>
      <c r="I149" s="491" t="n"/>
      <c r="J149" s="492">
        <f>IF(AND(A149&lt;&gt;"",E149&lt;&gt;""),IF(I149="","⚠️ Enter Code",IF(IFERROR(VLOOKUP(H149,DB_Agents!$B:$I,8,0),"")=I149,IF(C149&gt;=E149,"Successful","Unsuccessful"),"🔒 BLOCKED — Wrong Code")),"—")</f>
        <v/>
      </c>
      <c r="K149" s="493">
        <f>IF(J149="Successful",TEXT(TODAY(),"YYYY-MM-DD")&amp;" Auto","—")</f>
        <v/>
      </c>
      <c r="L149" s="494" t="n"/>
    </row>
    <row r="150" ht="15" customHeight="1" s="341">
      <c r="A150" s="495" t="n"/>
      <c r="B150" s="382">
        <f>IF(A150="","",IFERROR(VLOOKUP(A150,DB_Customers!$A:$D,4,0),"❌ Account Not Found"))</f>
        <v/>
      </c>
      <c r="C150" s="496">
        <f>IF(A150="","",IFERROR(VLOOKUP(A150,DB_Customers!$A:$N,14,0),""))</f>
        <v/>
      </c>
      <c r="D150" s="497">
        <f>IF(A150="","",TODAY())</f>
        <v/>
      </c>
      <c r="E150" s="510" t="n"/>
      <c r="F150" s="382" t="n"/>
      <c r="G150" s="512">
        <f>IF(OR(A150="",E150=""),"",IF(C150="","",C150-E150))</f>
        <v/>
      </c>
      <c r="H150" s="384" t="inlineStr">
        <is>
          <t>Agent 07</t>
        </is>
      </c>
      <c r="I150" s="491" t="n"/>
      <c r="J150" s="499">
        <f>IF(AND(A150&lt;&gt;"",E150&lt;&gt;""),IF(I150="","⚠️ Enter Code",IF(IFERROR(VLOOKUP(H150,DB_Agents!$B:$I,8,0),"")=I150,IF(C150&gt;=E150,"Successful","Unsuccessful"),"🔒 BLOCKED — Wrong Code")),"—")</f>
        <v/>
      </c>
      <c r="K150" s="500">
        <f>IF(J150="Successful",TEXT(TODAY(),"YYYY-MM-DD")&amp;" Auto","—")</f>
        <v/>
      </c>
      <c r="L150" s="501" t="n"/>
    </row>
    <row r="151" ht="15" customHeight="1" s="341">
      <c r="A151" s="486" t="n"/>
      <c r="B151" s="378">
        <f>IF(A151="","",IFERROR(VLOOKUP(A151,DB_Customers!$A:$D,4,0),"❌ Account Not Found"))</f>
        <v/>
      </c>
      <c r="C151" s="487">
        <f>IF(A151="","",IFERROR(VLOOKUP(A151,DB_Customers!$A:$N,14,0),""))</f>
        <v/>
      </c>
      <c r="D151" s="488">
        <f>IF(A151="","",TODAY())</f>
        <v/>
      </c>
      <c r="E151" s="510" t="n"/>
      <c r="F151" s="378" t="n"/>
      <c r="G151" s="511">
        <f>IF(OR(A151="",E151=""),"",IF(C151="","",C151-E151))</f>
        <v/>
      </c>
      <c r="H151" s="380" t="inlineStr">
        <is>
          <t>Agent 07</t>
        </is>
      </c>
      <c r="I151" s="491" t="n"/>
      <c r="J151" s="492">
        <f>IF(AND(A151&lt;&gt;"",E151&lt;&gt;""),IF(I151="","⚠️ Enter Code",IF(IFERROR(VLOOKUP(H151,DB_Agents!$B:$I,8,0),"")=I151,IF(C151&gt;=E151,"Successful","Unsuccessful"),"🔒 BLOCKED — Wrong Code")),"—")</f>
        <v/>
      </c>
      <c r="K151" s="493">
        <f>IF(J151="Successful",TEXT(TODAY(),"YYYY-MM-DD")&amp;" Auto","—")</f>
        <v/>
      </c>
      <c r="L151" s="494" t="n"/>
    </row>
    <row r="152" ht="15" customHeight="1" s="341">
      <c r="A152" s="495" t="n"/>
      <c r="B152" s="382">
        <f>IF(A152="","",IFERROR(VLOOKUP(A152,DB_Customers!$A:$D,4,0),"❌ Account Not Found"))</f>
        <v/>
      </c>
      <c r="C152" s="496">
        <f>IF(A152="","",IFERROR(VLOOKUP(A152,DB_Customers!$A:$N,14,0),""))</f>
        <v/>
      </c>
      <c r="D152" s="497">
        <f>IF(A152="","",TODAY())</f>
        <v/>
      </c>
      <c r="E152" s="510" t="n"/>
      <c r="F152" s="382" t="n"/>
      <c r="G152" s="512">
        <f>IF(OR(A152="",E152=""),"",IF(C152="","",C152-E152))</f>
        <v/>
      </c>
      <c r="H152" s="384" t="inlineStr">
        <is>
          <t>Agent 07</t>
        </is>
      </c>
      <c r="I152" s="491" t="n"/>
      <c r="J152" s="499">
        <f>IF(AND(A152&lt;&gt;"",E152&lt;&gt;""),IF(I152="","⚠️ Enter Code",IF(IFERROR(VLOOKUP(H152,DB_Agents!$B:$I,8,0),"")=I152,IF(C152&gt;=E152,"Successful","Unsuccessful"),"🔒 BLOCKED — Wrong Code")),"—")</f>
        <v/>
      </c>
      <c r="K152" s="500">
        <f>IF(J152="Successful",TEXT(TODAY(),"YYYY-MM-DD")&amp;" Auto","—")</f>
        <v/>
      </c>
      <c r="L152" s="501" t="n"/>
    </row>
    <row r="153" ht="15" customHeight="1" s="341">
      <c r="A153" s="486" t="n"/>
      <c r="B153" s="378">
        <f>IF(A153="","",IFERROR(VLOOKUP(A153,DB_Customers!$A:$D,4,0),"❌ Account Not Found"))</f>
        <v/>
      </c>
      <c r="C153" s="487">
        <f>IF(A153="","",IFERROR(VLOOKUP(A153,DB_Customers!$A:$N,14,0),""))</f>
        <v/>
      </c>
      <c r="D153" s="488">
        <f>IF(A153="","",TODAY())</f>
        <v/>
      </c>
      <c r="E153" s="510" t="n"/>
      <c r="F153" s="378" t="n"/>
      <c r="G153" s="511">
        <f>IF(OR(A153="",E153=""),"",IF(C153="","",C153-E153))</f>
        <v/>
      </c>
      <c r="H153" s="380" t="inlineStr">
        <is>
          <t>Agent 07</t>
        </is>
      </c>
      <c r="I153" s="491" t="n"/>
      <c r="J153" s="492">
        <f>IF(AND(A153&lt;&gt;"",E153&lt;&gt;""),IF(I153="","⚠️ Enter Code",IF(IFERROR(VLOOKUP(H153,DB_Agents!$B:$I,8,0),"")=I153,IF(C153&gt;=E153,"Successful","Unsuccessful"),"🔒 BLOCKED — Wrong Code")),"—")</f>
        <v/>
      </c>
      <c r="K153" s="493">
        <f>IF(J153="Successful",TEXT(TODAY(),"YYYY-MM-DD")&amp;" Auto","—")</f>
        <v/>
      </c>
      <c r="L153" s="494" t="n"/>
    </row>
    <row r="154" ht="15" customHeight="1" s="341">
      <c r="A154" s="495" t="n"/>
      <c r="B154" s="382">
        <f>IF(A154="","",IFERROR(VLOOKUP(A154,DB_Customers!$A:$D,4,0),"❌ Account Not Found"))</f>
        <v/>
      </c>
      <c r="C154" s="496">
        <f>IF(A154="","",IFERROR(VLOOKUP(A154,DB_Customers!$A:$N,14,0),""))</f>
        <v/>
      </c>
      <c r="D154" s="497">
        <f>IF(A154="","",TODAY())</f>
        <v/>
      </c>
      <c r="E154" s="510" t="n"/>
      <c r="F154" s="382" t="n"/>
      <c r="G154" s="512">
        <f>IF(OR(A154="",E154=""),"",IF(C154="","",C154-E154))</f>
        <v/>
      </c>
      <c r="H154" s="384" t="inlineStr">
        <is>
          <t>Agent 07</t>
        </is>
      </c>
      <c r="I154" s="491" t="n"/>
      <c r="J154" s="499">
        <f>IF(AND(A154&lt;&gt;"",E154&lt;&gt;""),IF(I154="","⚠️ Enter Code",IF(IFERROR(VLOOKUP(H154,DB_Agents!$B:$I,8,0),"")=I154,IF(C154&gt;=E154,"Successful","Unsuccessful"),"🔒 BLOCKED — Wrong Code")),"—")</f>
        <v/>
      </c>
      <c r="K154" s="500">
        <f>IF(J154="Successful",TEXT(TODAY(),"YYYY-MM-DD")&amp;" Auto","—")</f>
        <v/>
      </c>
      <c r="L154" s="501" t="n"/>
    </row>
    <row r="155" ht="15" customHeight="1" s="341">
      <c r="A155" s="486" t="n"/>
      <c r="B155" s="378">
        <f>IF(A155="","",IFERROR(VLOOKUP(A155,DB_Customers!$A:$D,4,0),"❌ Account Not Found"))</f>
        <v/>
      </c>
      <c r="C155" s="487">
        <f>IF(A155="","",IFERROR(VLOOKUP(A155,DB_Customers!$A:$N,14,0),""))</f>
        <v/>
      </c>
      <c r="D155" s="488">
        <f>IF(A155="","",TODAY())</f>
        <v/>
      </c>
      <c r="E155" s="510" t="n"/>
      <c r="F155" s="378" t="n"/>
      <c r="G155" s="511">
        <f>IF(OR(A155="",E155=""),"",IF(C155="","",C155-E155))</f>
        <v/>
      </c>
      <c r="H155" s="380" t="inlineStr">
        <is>
          <t>Agent 07</t>
        </is>
      </c>
      <c r="I155" s="491" t="n"/>
      <c r="J155" s="492">
        <f>IF(AND(A155&lt;&gt;"",E155&lt;&gt;""),IF(I155="","⚠️ Enter Code",IF(IFERROR(VLOOKUP(H155,DB_Agents!$B:$I,8,0),"")=I155,IF(C155&gt;=E155,"Successful","Unsuccessful"),"🔒 BLOCKED — Wrong Code")),"—")</f>
        <v/>
      </c>
      <c r="K155" s="493">
        <f>IF(J155="Successful",TEXT(TODAY(),"YYYY-MM-DD")&amp;" Auto","—")</f>
        <v/>
      </c>
      <c r="L155" s="494" t="n"/>
    </row>
    <row r="156" ht="15" customHeight="1" s="341">
      <c r="A156" s="495" t="n"/>
      <c r="B156" s="382">
        <f>IF(A156="","",IFERROR(VLOOKUP(A156,DB_Customers!$A:$D,4,0),"❌ Account Not Found"))</f>
        <v/>
      </c>
      <c r="C156" s="496">
        <f>IF(A156="","",IFERROR(VLOOKUP(A156,DB_Customers!$A:$N,14,0),""))</f>
        <v/>
      </c>
      <c r="D156" s="497">
        <f>IF(A156="","",TODAY())</f>
        <v/>
      </c>
      <c r="E156" s="510" t="n"/>
      <c r="F156" s="382" t="n"/>
      <c r="G156" s="512">
        <f>IF(OR(A156="",E156=""),"",IF(C156="","",C156-E156))</f>
        <v/>
      </c>
      <c r="H156" s="384" t="inlineStr">
        <is>
          <t>Agent 07</t>
        </is>
      </c>
      <c r="I156" s="491" t="n"/>
      <c r="J156" s="499">
        <f>IF(AND(A156&lt;&gt;"",E156&lt;&gt;""),IF(I156="","⚠️ Enter Code",IF(IFERROR(VLOOKUP(H156,DB_Agents!$B:$I,8,0),"")=I156,IF(C156&gt;=E156,"Successful","Unsuccessful"),"🔒 BLOCKED — Wrong Code")),"—")</f>
        <v/>
      </c>
      <c r="K156" s="500">
        <f>IF(J156="Successful",TEXT(TODAY(),"YYYY-MM-DD")&amp;" Auto","—")</f>
        <v/>
      </c>
      <c r="L156" s="501" t="n"/>
    </row>
    <row r="157" ht="15" customHeight="1" s="341">
      <c r="A157" s="486" t="n"/>
      <c r="B157" s="378">
        <f>IF(A157="","",IFERROR(VLOOKUP(A157,DB_Customers!$A:$D,4,0),"❌ Account Not Found"))</f>
        <v/>
      </c>
      <c r="C157" s="487">
        <f>IF(A157="","",IFERROR(VLOOKUP(A157,DB_Customers!$A:$N,14,0),""))</f>
        <v/>
      </c>
      <c r="D157" s="488">
        <f>IF(A157="","",TODAY())</f>
        <v/>
      </c>
      <c r="E157" s="510" t="n"/>
      <c r="F157" s="378" t="n"/>
      <c r="G157" s="511">
        <f>IF(OR(A157="",E157=""),"",IF(C157="","",C157-E157))</f>
        <v/>
      </c>
      <c r="H157" s="380" t="inlineStr">
        <is>
          <t>Agent 07</t>
        </is>
      </c>
      <c r="I157" s="491" t="n"/>
      <c r="J157" s="492">
        <f>IF(AND(A157&lt;&gt;"",E157&lt;&gt;""),IF(I157="","⚠️ Enter Code",IF(IFERROR(VLOOKUP(H157,DB_Agents!$B:$I,8,0),"")=I157,IF(C157&gt;=E157,"Successful","Unsuccessful"),"🔒 BLOCKED — Wrong Code")),"—")</f>
        <v/>
      </c>
      <c r="K157" s="493">
        <f>IF(J157="Successful",TEXT(TODAY(),"YYYY-MM-DD")&amp;" Auto","—")</f>
        <v/>
      </c>
      <c r="L157" s="494" t="n"/>
    </row>
    <row r="158" ht="15" customHeight="1" s="341">
      <c r="A158" s="495" t="n"/>
      <c r="B158" s="382">
        <f>IF(A158="","",IFERROR(VLOOKUP(A158,DB_Customers!$A:$D,4,0),"❌ Account Not Found"))</f>
        <v/>
      </c>
      <c r="C158" s="496">
        <f>IF(A158="","",IFERROR(VLOOKUP(A158,DB_Customers!$A:$N,14,0),""))</f>
        <v/>
      </c>
      <c r="D158" s="497">
        <f>IF(A158="","",TODAY())</f>
        <v/>
      </c>
      <c r="E158" s="510" t="n"/>
      <c r="F158" s="382" t="n"/>
      <c r="G158" s="512">
        <f>IF(OR(A158="",E158=""),"",IF(C158="","",C158-E158))</f>
        <v/>
      </c>
      <c r="H158" s="384" t="inlineStr">
        <is>
          <t>Agent 07</t>
        </is>
      </c>
      <c r="I158" s="491" t="n"/>
      <c r="J158" s="499">
        <f>IF(AND(A158&lt;&gt;"",E158&lt;&gt;""),IF(I158="","⚠️ Enter Code",IF(IFERROR(VLOOKUP(H158,DB_Agents!$B:$I,8,0),"")=I158,IF(C158&gt;=E158,"Successful","Unsuccessful"),"🔒 BLOCKED — Wrong Code")),"—")</f>
        <v/>
      </c>
      <c r="K158" s="500">
        <f>IF(J158="Successful",TEXT(TODAY(),"YYYY-MM-DD")&amp;" Auto","—")</f>
        <v/>
      </c>
      <c r="L158" s="501" t="n"/>
    </row>
    <row r="159" ht="15" customHeight="1" s="341">
      <c r="A159" s="486" t="n"/>
      <c r="B159" s="378">
        <f>IF(A159="","",IFERROR(VLOOKUP(A159,DB_Customers!$A:$D,4,0),"❌ Account Not Found"))</f>
        <v/>
      </c>
      <c r="C159" s="487">
        <f>IF(A159="","",IFERROR(VLOOKUP(A159,DB_Customers!$A:$N,14,0),""))</f>
        <v/>
      </c>
      <c r="D159" s="488">
        <f>IF(A159="","",TODAY())</f>
        <v/>
      </c>
      <c r="E159" s="510" t="n"/>
      <c r="F159" s="378" t="n"/>
      <c r="G159" s="511">
        <f>IF(OR(A159="",E159=""),"",IF(C159="","",C159-E159))</f>
        <v/>
      </c>
      <c r="H159" s="380" t="inlineStr">
        <is>
          <t>Agent 07</t>
        </is>
      </c>
      <c r="I159" s="491" t="n"/>
      <c r="J159" s="492">
        <f>IF(AND(A159&lt;&gt;"",E159&lt;&gt;""),IF(I159="","⚠️ Enter Code",IF(IFERROR(VLOOKUP(H159,DB_Agents!$B:$I,8,0),"")=I159,IF(C159&gt;=E159,"Successful","Unsuccessful"),"🔒 BLOCKED — Wrong Code")),"—")</f>
        <v/>
      </c>
      <c r="K159" s="493">
        <f>IF(J159="Successful",TEXT(TODAY(),"YYYY-MM-DD")&amp;" Auto","—")</f>
        <v/>
      </c>
      <c r="L159" s="494" t="n"/>
    </row>
    <row r="160" ht="15" customHeight="1" s="341">
      <c r="A160" s="495" t="n"/>
      <c r="B160" s="382">
        <f>IF(A160="","",IFERROR(VLOOKUP(A160,DB_Customers!$A:$D,4,0),"❌ Account Not Found"))</f>
        <v/>
      </c>
      <c r="C160" s="496">
        <f>IF(A160="","",IFERROR(VLOOKUP(A160,DB_Customers!$A:$N,14,0),""))</f>
        <v/>
      </c>
      <c r="D160" s="497">
        <f>IF(A160="","",TODAY())</f>
        <v/>
      </c>
      <c r="E160" s="510" t="n"/>
      <c r="F160" s="382" t="n"/>
      <c r="G160" s="512">
        <f>IF(OR(A160="",E160=""),"",IF(C160="","",C160-E160))</f>
        <v/>
      </c>
      <c r="H160" s="384" t="inlineStr">
        <is>
          <t>Agent 07</t>
        </is>
      </c>
      <c r="I160" s="491" t="n"/>
      <c r="J160" s="499">
        <f>IF(AND(A160&lt;&gt;"",E160&lt;&gt;""),IF(I160="","⚠️ Enter Code",IF(IFERROR(VLOOKUP(H160,DB_Agents!$B:$I,8,0),"")=I160,IF(C160&gt;=E160,"Successful","Unsuccessful"),"🔒 BLOCKED — Wrong Code")),"—")</f>
        <v/>
      </c>
      <c r="K160" s="500">
        <f>IF(J160="Successful",TEXT(TODAY(),"YYYY-MM-DD")&amp;" Auto","—")</f>
        <v/>
      </c>
      <c r="L160" s="501" t="n"/>
    </row>
    <row r="161" ht="15" customHeight="1" s="341">
      <c r="A161" s="486" t="n"/>
      <c r="B161" s="378">
        <f>IF(A161="","",IFERROR(VLOOKUP(A161,DB_Customers!$A:$D,4,0),"❌ Account Not Found"))</f>
        <v/>
      </c>
      <c r="C161" s="487">
        <f>IF(A161="","",IFERROR(VLOOKUP(A161,DB_Customers!$A:$N,14,0),""))</f>
        <v/>
      </c>
      <c r="D161" s="488">
        <f>IF(A161="","",TODAY())</f>
        <v/>
      </c>
      <c r="E161" s="510" t="n"/>
      <c r="F161" s="378" t="n"/>
      <c r="G161" s="511">
        <f>IF(OR(A161="",E161=""),"",IF(C161="","",C161-E161))</f>
        <v/>
      </c>
      <c r="H161" s="380" t="inlineStr">
        <is>
          <t>Agent 07</t>
        </is>
      </c>
      <c r="I161" s="491" t="n"/>
      <c r="J161" s="492">
        <f>IF(AND(A161&lt;&gt;"",E161&lt;&gt;""),IF(I161="","⚠️ Enter Code",IF(IFERROR(VLOOKUP(H161,DB_Agents!$B:$I,8,0),"")=I161,IF(C161&gt;=E161,"Successful","Unsuccessful"),"🔒 BLOCKED — Wrong Code")),"—")</f>
        <v/>
      </c>
      <c r="K161" s="493">
        <f>IF(J161="Successful",TEXT(TODAY(),"YYYY-MM-DD")&amp;" Auto","—")</f>
        <v/>
      </c>
      <c r="L161" s="494" t="n"/>
    </row>
    <row r="162" ht="15" customHeight="1" s="341">
      <c r="A162" s="495" t="n"/>
      <c r="B162" s="382">
        <f>IF(A162="","",IFERROR(VLOOKUP(A162,DB_Customers!$A:$D,4,0),"❌ Account Not Found"))</f>
        <v/>
      </c>
      <c r="C162" s="496">
        <f>IF(A162="","",IFERROR(VLOOKUP(A162,DB_Customers!$A:$N,14,0),""))</f>
        <v/>
      </c>
      <c r="D162" s="497">
        <f>IF(A162="","",TODAY())</f>
        <v/>
      </c>
      <c r="E162" s="510" t="n"/>
      <c r="F162" s="382" t="n"/>
      <c r="G162" s="512">
        <f>IF(OR(A162="",E162=""),"",IF(C162="","",C162-E162))</f>
        <v/>
      </c>
      <c r="H162" s="384" t="inlineStr">
        <is>
          <t>Agent 07</t>
        </is>
      </c>
      <c r="I162" s="491" t="n"/>
      <c r="J162" s="499">
        <f>IF(AND(A162&lt;&gt;"",E162&lt;&gt;""),IF(I162="","⚠️ Enter Code",IF(IFERROR(VLOOKUP(H162,DB_Agents!$B:$I,8,0),"")=I162,IF(C162&gt;=E162,"Successful","Unsuccessful"),"🔒 BLOCKED — Wrong Code")),"—")</f>
        <v/>
      </c>
      <c r="K162" s="500">
        <f>IF(J162="Successful",TEXT(TODAY(),"YYYY-MM-DD")&amp;" Auto","—")</f>
        <v/>
      </c>
      <c r="L162" s="501" t="n"/>
    </row>
    <row r="163" ht="15" customHeight="1" s="341">
      <c r="A163" s="486" t="n"/>
      <c r="B163" s="378">
        <f>IF(A163="","",IFERROR(VLOOKUP(A163,DB_Customers!$A:$D,4,0),"❌ Account Not Found"))</f>
        <v/>
      </c>
      <c r="C163" s="487">
        <f>IF(A163="","",IFERROR(VLOOKUP(A163,DB_Customers!$A:$N,14,0),""))</f>
        <v/>
      </c>
      <c r="D163" s="488">
        <f>IF(A163="","",TODAY())</f>
        <v/>
      </c>
      <c r="E163" s="510" t="n"/>
      <c r="F163" s="378" t="n"/>
      <c r="G163" s="511">
        <f>IF(OR(A163="",E163=""),"",IF(C163="","",C163-E163))</f>
        <v/>
      </c>
      <c r="H163" s="380" t="inlineStr">
        <is>
          <t>Agent 07</t>
        </is>
      </c>
      <c r="I163" s="491" t="n"/>
      <c r="J163" s="492">
        <f>IF(AND(A163&lt;&gt;"",E163&lt;&gt;""),IF(I163="","⚠️ Enter Code",IF(IFERROR(VLOOKUP(H163,DB_Agents!$B:$I,8,0),"")=I163,IF(C163&gt;=E163,"Successful","Unsuccessful"),"🔒 BLOCKED — Wrong Code")),"—")</f>
        <v/>
      </c>
      <c r="K163" s="493">
        <f>IF(J163="Successful",TEXT(TODAY(),"YYYY-MM-DD")&amp;" Auto","—")</f>
        <v/>
      </c>
      <c r="L163" s="494" t="n"/>
    </row>
    <row r="164" ht="15" customHeight="1" s="341">
      <c r="A164" s="495" t="n"/>
      <c r="B164" s="382">
        <f>IF(A164="","",IFERROR(VLOOKUP(A164,DB_Customers!$A:$D,4,0),"❌ Account Not Found"))</f>
        <v/>
      </c>
      <c r="C164" s="496">
        <f>IF(A164="","",IFERROR(VLOOKUP(A164,DB_Customers!$A:$N,14,0),""))</f>
        <v/>
      </c>
      <c r="D164" s="497">
        <f>IF(A164="","",TODAY())</f>
        <v/>
      </c>
      <c r="E164" s="510" t="n"/>
      <c r="F164" s="382" t="n"/>
      <c r="G164" s="512">
        <f>IF(OR(A164="",E164=""),"",IF(C164="","",C164-E164))</f>
        <v/>
      </c>
      <c r="H164" s="384" t="inlineStr">
        <is>
          <t>Agent 07</t>
        </is>
      </c>
      <c r="I164" s="491" t="n"/>
      <c r="J164" s="499">
        <f>IF(AND(A164&lt;&gt;"",E164&lt;&gt;""),IF(I164="","⚠️ Enter Code",IF(IFERROR(VLOOKUP(H164,DB_Agents!$B:$I,8,0),"")=I164,IF(C164&gt;=E164,"Successful","Unsuccessful"),"🔒 BLOCKED — Wrong Code")),"—")</f>
        <v/>
      </c>
      <c r="K164" s="500">
        <f>IF(J164="Successful",TEXT(TODAY(),"YYYY-MM-DD")&amp;" Auto","—")</f>
        <v/>
      </c>
      <c r="L164" s="501" t="n"/>
    </row>
    <row r="165" ht="15" customHeight="1" s="341">
      <c r="A165" s="486" t="n"/>
      <c r="B165" s="378">
        <f>IF(A165="","",IFERROR(VLOOKUP(A165,DB_Customers!$A:$D,4,0),"❌ Account Not Found"))</f>
        <v/>
      </c>
      <c r="C165" s="487">
        <f>IF(A165="","",IFERROR(VLOOKUP(A165,DB_Customers!$A:$N,14,0),""))</f>
        <v/>
      </c>
      <c r="D165" s="488">
        <f>IF(A165="","",TODAY())</f>
        <v/>
      </c>
      <c r="E165" s="510" t="n"/>
      <c r="F165" s="378" t="n"/>
      <c r="G165" s="511">
        <f>IF(OR(A165="",E165=""),"",IF(C165="","",C165-E165))</f>
        <v/>
      </c>
      <c r="H165" s="380" t="inlineStr">
        <is>
          <t>Agent 07</t>
        </is>
      </c>
      <c r="I165" s="491" t="n"/>
      <c r="J165" s="492">
        <f>IF(AND(A165&lt;&gt;"",E165&lt;&gt;""),IF(I165="","⚠️ Enter Code",IF(IFERROR(VLOOKUP(H165,DB_Agents!$B:$I,8,0),"")=I165,IF(C165&gt;=E165,"Successful","Unsuccessful"),"🔒 BLOCKED — Wrong Code")),"—")</f>
        <v/>
      </c>
      <c r="K165" s="493">
        <f>IF(J165="Successful",TEXT(TODAY(),"YYYY-MM-DD")&amp;" Auto","—")</f>
        <v/>
      </c>
      <c r="L165" s="494" t="n"/>
    </row>
    <row r="166" ht="15" customHeight="1" s="341">
      <c r="A166" s="495" t="n"/>
      <c r="B166" s="382">
        <f>IF(A166="","",IFERROR(VLOOKUP(A166,DB_Customers!$A:$D,4,0),"❌ Account Not Found"))</f>
        <v/>
      </c>
      <c r="C166" s="496">
        <f>IF(A166="","",IFERROR(VLOOKUP(A166,DB_Customers!$A:$N,14,0),""))</f>
        <v/>
      </c>
      <c r="D166" s="497">
        <f>IF(A166="","",TODAY())</f>
        <v/>
      </c>
      <c r="E166" s="510" t="n"/>
      <c r="F166" s="382" t="n"/>
      <c r="G166" s="512">
        <f>IF(OR(A166="",E166=""),"",IF(C166="","",C166-E166))</f>
        <v/>
      </c>
      <c r="H166" s="384" t="inlineStr">
        <is>
          <t>Agent 07</t>
        </is>
      </c>
      <c r="I166" s="491" t="n"/>
      <c r="J166" s="499">
        <f>IF(AND(A166&lt;&gt;"",E166&lt;&gt;""),IF(I166="","⚠️ Enter Code",IF(IFERROR(VLOOKUP(H166,DB_Agents!$B:$I,8,0),"")=I166,IF(C166&gt;=E166,"Successful","Unsuccessful"),"🔒 BLOCKED — Wrong Code")),"—")</f>
        <v/>
      </c>
      <c r="K166" s="500">
        <f>IF(J166="Successful",TEXT(TODAY(),"YYYY-MM-DD")&amp;" Auto","—")</f>
        <v/>
      </c>
      <c r="L166" s="501" t="n"/>
    </row>
    <row r="167" ht="15" customHeight="1" s="341">
      <c r="A167" s="486" t="n"/>
      <c r="B167" s="378">
        <f>IF(A167="","",IFERROR(VLOOKUP(A167,DB_Customers!$A:$D,4,0),"❌ Account Not Found"))</f>
        <v/>
      </c>
      <c r="C167" s="487">
        <f>IF(A167="","",IFERROR(VLOOKUP(A167,DB_Customers!$A:$N,14,0),""))</f>
        <v/>
      </c>
      <c r="D167" s="488">
        <f>IF(A167="","",TODAY())</f>
        <v/>
      </c>
      <c r="E167" s="510" t="n"/>
      <c r="F167" s="378" t="n"/>
      <c r="G167" s="511">
        <f>IF(OR(A167="",E167=""),"",IF(C167="","",C167-E167))</f>
        <v/>
      </c>
      <c r="H167" s="380" t="inlineStr">
        <is>
          <t>Agent 07</t>
        </is>
      </c>
      <c r="I167" s="491" t="n"/>
      <c r="J167" s="492">
        <f>IF(AND(A167&lt;&gt;"",E167&lt;&gt;""),IF(I167="","⚠️ Enter Code",IF(IFERROR(VLOOKUP(H167,DB_Agents!$B:$I,8,0),"")=I167,IF(C167&gt;=E167,"Successful","Unsuccessful"),"🔒 BLOCKED — Wrong Code")),"—")</f>
        <v/>
      </c>
      <c r="K167" s="493">
        <f>IF(J167="Successful",TEXT(TODAY(),"YYYY-MM-DD")&amp;" Auto","—")</f>
        <v/>
      </c>
      <c r="L167" s="494" t="n"/>
    </row>
    <row r="168" ht="15" customHeight="1" s="341">
      <c r="A168" s="495" t="n"/>
      <c r="B168" s="382">
        <f>IF(A168="","",IFERROR(VLOOKUP(A168,DB_Customers!$A:$D,4,0),"❌ Account Not Found"))</f>
        <v/>
      </c>
      <c r="C168" s="496">
        <f>IF(A168="","",IFERROR(VLOOKUP(A168,DB_Customers!$A:$N,14,0),""))</f>
        <v/>
      </c>
      <c r="D168" s="497">
        <f>IF(A168="","",TODAY())</f>
        <v/>
      </c>
      <c r="E168" s="510" t="n"/>
      <c r="F168" s="382" t="n"/>
      <c r="G168" s="512">
        <f>IF(OR(A168="",E168=""),"",IF(C168="","",C168-E168))</f>
        <v/>
      </c>
      <c r="H168" s="384" t="inlineStr">
        <is>
          <t>Agent 07</t>
        </is>
      </c>
      <c r="I168" s="491" t="n"/>
      <c r="J168" s="499">
        <f>IF(AND(A168&lt;&gt;"",E168&lt;&gt;""),IF(I168="","⚠️ Enter Code",IF(IFERROR(VLOOKUP(H168,DB_Agents!$B:$I,8,0),"")=I168,IF(C168&gt;=E168,"Successful","Unsuccessful"),"🔒 BLOCKED — Wrong Code")),"—")</f>
        <v/>
      </c>
      <c r="K168" s="500">
        <f>IF(J168="Successful",TEXT(TODAY(),"YYYY-MM-DD")&amp;" Auto","—")</f>
        <v/>
      </c>
      <c r="L168" s="501" t="n"/>
    </row>
    <row r="169" ht="15" customHeight="1" s="341">
      <c r="A169" s="486" t="n"/>
      <c r="B169" s="378">
        <f>IF(A169="","",IFERROR(VLOOKUP(A169,DB_Customers!$A:$D,4,0),"❌ Account Not Found"))</f>
        <v/>
      </c>
      <c r="C169" s="487">
        <f>IF(A169="","",IFERROR(VLOOKUP(A169,DB_Customers!$A:$N,14,0),""))</f>
        <v/>
      </c>
      <c r="D169" s="488">
        <f>IF(A169="","",TODAY())</f>
        <v/>
      </c>
      <c r="E169" s="510" t="n"/>
      <c r="F169" s="378" t="n"/>
      <c r="G169" s="511">
        <f>IF(OR(A169="",E169=""),"",IF(C169="","",C169-E169))</f>
        <v/>
      </c>
      <c r="H169" s="380" t="inlineStr">
        <is>
          <t>Agent 07</t>
        </is>
      </c>
      <c r="I169" s="491" t="n"/>
      <c r="J169" s="492">
        <f>IF(AND(A169&lt;&gt;"",E169&lt;&gt;""),IF(I169="","⚠️ Enter Code",IF(IFERROR(VLOOKUP(H169,DB_Agents!$B:$I,8,0),"")=I169,IF(C169&gt;=E169,"Successful","Unsuccessful"),"🔒 BLOCKED — Wrong Code")),"—")</f>
        <v/>
      </c>
      <c r="K169" s="493">
        <f>IF(J169="Successful",TEXT(TODAY(),"YYYY-MM-DD")&amp;" Auto","—")</f>
        <v/>
      </c>
      <c r="L169" s="494" t="n"/>
    </row>
    <row r="170" ht="15" customHeight="1" s="341">
      <c r="A170" s="495" t="n"/>
      <c r="B170" s="382">
        <f>IF(A170="","",IFERROR(VLOOKUP(A170,DB_Customers!$A:$D,4,0),"❌ Account Not Found"))</f>
        <v/>
      </c>
      <c r="C170" s="496">
        <f>IF(A170="","",IFERROR(VLOOKUP(A170,DB_Customers!$A:$N,14,0),""))</f>
        <v/>
      </c>
      <c r="D170" s="497">
        <f>IF(A170="","",TODAY())</f>
        <v/>
      </c>
      <c r="E170" s="510" t="n"/>
      <c r="F170" s="382" t="n"/>
      <c r="G170" s="512">
        <f>IF(OR(A170="",E170=""),"",IF(C170="","",C170-E170))</f>
        <v/>
      </c>
      <c r="H170" s="384" t="inlineStr">
        <is>
          <t>Agent 07</t>
        </is>
      </c>
      <c r="I170" s="491" t="n"/>
      <c r="J170" s="499">
        <f>IF(AND(A170&lt;&gt;"",E170&lt;&gt;""),IF(I170="","⚠️ Enter Code",IF(IFERROR(VLOOKUP(H170,DB_Agents!$B:$I,8,0),"")=I170,IF(C170&gt;=E170,"Successful","Unsuccessful"),"🔒 BLOCKED — Wrong Code")),"—")</f>
        <v/>
      </c>
      <c r="K170" s="500">
        <f>IF(J170="Successful",TEXT(TODAY(),"YYYY-MM-DD")&amp;" Auto","—")</f>
        <v/>
      </c>
      <c r="L170" s="501" t="n"/>
    </row>
    <row r="171" ht="15" customHeight="1" s="341">
      <c r="A171" s="486" t="n"/>
      <c r="B171" s="378">
        <f>IF(A171="","",IFERROR(VLOOKUP(A171,DB_Customers!$A:$D,4,0),"❌ Account Not Found"))</f>
        <v/>
      </c>
      <c r="C171" s="487">
        <f>IF(A171="","",IFERROR(VLOOKUP(A171,DB_Customers!$A:$N,14,0),""))</f>
        <v/>
      </c>
      <c r="D171" s="488">
        <f>IF(A171="","",TODAY())</f>
        <v/>
      </c>
      <c r="E171" s="510" t="n"/>
      <c r="F171" s="378" t="n"/>
      <c r="G171" s="511">
        <f>IF(OR(A171="",E171=""),"",IF(C171="","",C171-E171))</f>
        <v/>
      </c>
      <c r="H171" s="380" t="inlineStr">
        <is>
          <t>Agent 07</t>
        </is>
      </c>
      <c r="I171" s="491" t="n"/>
      <c r="J171" s="492">
        <f>IF(AND(A171&lt;&gt;"",E171&lt;&gt;""),IF(I171="","⚠️ Enter Code",IF(IFERROR(VLOOKUP(H171,DB_Agents!$B:$I,8,0),"")=I171,IF(C171&gt;=E171,"Successful","Unsuccessful"),"🔒 BLOCKED — Wrong Code")),"—")</f>
        <v/>
      </c>
      <c r="K171" s="493">
        <f>IF(J171="Successful",TEXT(TODAY(),"YYYY-MM-DD")&amp;" Auto","—")</f>
        <v/>
      </c>
      <c r="L171" s="494" t="n"/>
    </row>
    <row r="172" ht="15" customHeight="1" s="341">
      <c r="A172" s="495" t="n"/>
      <c r="B172" s="382">
        <f>IF(A172="","",IFERROR(VLOOKUP(A172,DB_Customers!$A:$D,4,0),"❌ Account Not Found"))</f>
        <v/>
      </c>
      <c r="C172" s="496">
        <f>IF(A172="","",IFERROR(VLOOKUP(A172,DB_Customers!$A:$N,14,0),""))</f>
        <v/>
      </c>
      <c r="D172" s="497">
        <f>IF(A172="","",TODAY())</f>
        <v/>
      </c>
      <c r="E172" s="510" t="n"/>
      <c r="F172" s="382" t="n"/>
      <c r="G172" s="512">
        <f>IF(OR(A172="",E172=""),"",IF(C172="","",C172-E172))</f>
        <v/>
      </c>
      <c r="H172" s="384" t="inlineStr">
        <is>
          <t>Agent 07</t>
        </is>
      </c>
      <c r="I172" s="491" t="n"/>
      <c r="J172" s="499">
        <f>IF(AND(A172&lt;&gt;"",E172&lt;&gt;""),IF(I172="","⚠️ Enter Code",IF(IFERROR(VLOOKUP(H172,DB_Agents!$B:$I,8,0),"")=I172,IF(C172&gt;=E172,"Successful","Unsuccessful"),"🔒 BLOCKED — Wrong Code")),"—")</f>
        <v/>
      </c>
      <c r="K172" s="500">
        <f>IF(J172="Successful",TEXT(TODAY(),"YYYY-MM-DD")&amp;" Auto","—")</f>
        <v/>
      </c>
      <c r="L172" s="501" t="n"/>
    </row>
    <row r="173" ht="15" customHeight="1" s="341">
      <c r="A173" s="486" t="n"/>
      <c r="B173" s="378">
        <f>IF(A173="","",IFERROR(VLOOKUP(A173,DB_Customers!$A:$D,4,0),"❌ Account Not Found"))</f>
        <v/>
      </c>
      <c r="C173" s="487">
        <f>IF(A173="","",IFERROR(VLOOKUP(A173,DB_Customers!$A:$N,14,0),""))</f>
        <v/>
      </c>
      <c r="D173" s="488">
        <f>IF(A173="","",TODAY())</f>
        <v/>
      </c>
      <c r="E173" s="510" t="n"/>
      <c r="F173" s="378" t="n"/>
      <c r="G173" s="511">
        <f>IF(OR(A173="",E173=""),"",IF(C173="","",C173-E173))</f>
        <v/>
      </c>
      <c r="H173" s="380" t="inlineStr">
        <is>
          <t>Agent 07</t>
        </is>
      </c>
      <c r="I173" s="491" t="n"/>
      <c r="J173" s="492">
        <f>IF(AND(A173&lt;&gt;"",E173&lt;&gt;""),IF(I173="","⚠️ Enter Code",IF(IFERROR(VLOOKUP(H173,DB_Agents!$B:$I,8,0),"")=I173,IF(C173&gt;=E173,"Successful","Unsuccessful"),"🔒 BLOCKED — Wrong Code")),"—")</f>
        <v/>
      </c>
      <c r="K173" s="493">
        <f>IF(J173="Successful",TEXT(TODAY(),"YYYY-MM-DD")&amp;" Auto","—")</f>
        <v/>
      </c>
      <c r="L173" s="494" t="n"/>
    </row>
    <row r="174" ht="15" customHeight="1" s="341">
      <c r="A174" s="495" t="n"/>
      <c r="B174" s="382">
        <f>IF(A174="","",IFERROR(VLOOKUP(A174,DB_Customers!$A:$D,4,0),"❌ Account Not Found"))</f>
        <v/>
      </c>
      <c r="C174" s="496">
        <f>IF(A174="","",IFERROR(VLOOKUP(A174,DB_Customers!$A:$N,14,0),""))</f>
        <v/>
      </c>
      <c r="D174" s="497">
        <f>IF(A174="","",TODAY())</f>
        <v/>
      </c>
      <c r="E174" s="510" t="n"/>
      <c r="F174" s="382" t="n"/>
      <c r="G174" s="512">
        <f>IF(OR(A174="",E174=""),"",IF(C174="","",C174-E174))</f>
        <v/>
      </c>
      <c r="H174" s="384" t="inlineStr">
        <is>
          <t>Agent 07</t>
        </is>
      </c>
      <c r="I174" s="491" t="n"/>
      <c r="J174" s="499">
        <f>IF(AND(A174&lt;&gt;"",E174&lt;&gt;""),IF(I174="","⚠️ Enter Code",IF(IFERROR(VLOOKUP(H174,DB_Agents!$B:$I,8,0),"")=I174,IF(C174&gt;=E174,"Successful","Unsuccessful"),"🔒 BLOCKED — Wrong Code")),"—")</f>
        <v/>
      </c>
      <c r="K174" s="500">
        <f>IF(J174="Successful",TEXT(TODAY(),"YYYY-MM-DD")&amp;" Auto","—")</f>
        <v/>
      </c>
      <c r="L174" s="501" t="n"/>
    </row>
    <row r="175" ht="15" customHeight="1" s="341">
      <c r="A175" s="486" t="n"/>
      <c r="B175" s="378">
        <f>IF(A175="","",IFERROR(VLOOKUP(A175,DB_Customers!$A:$D,4,0),"❌ Account Not Found"))</f>
        <v/>
      </c>
      <c r="C175" s="487">
        <f>IF(A175="","",IFERROR(VLOOKUP(A175,DB_Customers!$A:$N,14,0),""))</f>
        <v/>
      </c>
      <c r="D175" s="488">
        <f>IF(A175="","",TODAY())</f>
        <v/>
      </c>
      <c r="E175" s="510" t="n"/>
      <c r="F175" s="378" t="n"/>
      <c r="G175" s="511">
        <f>IF(OR(A175="",E175=""),"",IF(C175="","",C175-E175))</f>
        <v/>
      </c>
      <c r="H175" s="380" t="inlineStr">
        <is>
          <t>Agent 07</t>
        </is>
      </c>
      <c r="I175" s="491" t="n"/>
      <c r="J175" s="492">
        <f>IF(AND(A175&lt;&gt;"",E175&lt;&gt;""),IF(I175="","⚠️ Enter Code",IF(IFERROR(VLOOKUP(H175,DB_Agents!$B:$I,8,0),"")=I175,IF(C175&gt;=E175,"Successful","Unsuccessful"),"🔒 BLOCKED — Wrong Code")),"—")</f>
        <v/>
      </c>
      <c r="K175" s="493">
        <f>IF(J175="Successful",TEXT(TODAY(),"YYYY-MM-DD")&amp;" Auto","—")</f>
        <v/>
      </c>
      <c r="L175" s="494" t="n"/>
    </row>
    <row r="176" ht="15" customHeight="1" s="341">
      <c r="A176" s="495" t="n"/>
      <c r="B176" s="382">
        <f>IF(A176="","",IFERROR(VLOOKUP(A176,DB_Customers!$A:$D,4,0),"❌ Account Not Found"))</f>
        <v/>
      </c>
      <c r="C176" s="496">
        <f>IF(A176="","",IFERROR(VLOOKUP(A176,DB_Customers!$A:$N,14,0),""))</f>
        <v/>
      </c>
      <c r="D176" s="497">
        <f>IF(A176="","",TODAY())</f>
        <v/>
      </c>
      <c r="E176" s="510" t="n"/>
      <c r="F176" s="382" t="n"/>
      <c r="G176" s="512">
        <f>IF(OR(A176="",E176=""),"",IF(C176="","",C176-E176))</f>
        <v/>
      </c>
      <c r="H176" s="384" t="inlineStr">
        <is>
          <t>Agent 07</t>
        </is>
      </c>
      <c r="I176" s="491" t="n"/>
      <c r="J176" s="499">
        <f>IF(AND(A176&lt;&gt;"",E176&lt;&gt;""),IF(I176="","⚠️ Enter Code",IF(IFERROR(VLOOKUP(H176,DB_Agents!$B:$I,8,0),"")=I176,IF(C176&gt;=E176,"Successful","Unsuccessful"),"🔒 BLOCKED — Wrong Code")),"—")</f>
        <v/>
      </c>
      <c r="K176" s="500">
        <f>IF(J176="Successful",TEXT(TODAY(),"YYYY-MM-DD")&amp;" Auto","—")</f>
        <v/>
      </c>
      <c r="L176" s="501" t="n"/>
    </row>
    <row r="177" ht="15" customHeight="1" s="341">
      <c r="A177" s="486" t="n"/>
      <c r="B177" s="378">
        <f>IF(A177="","",IFERROR(VLOOKUP(A177,DB_Customers!$A:$D,4,0),"❌ Account Not Found"))</f>
        <v/>
      </c>
      <c r="C177" s="487">
        <f>IF(A177="","",IFERROR(VLOOKUP(A177,DB_Customers!$A:$N,14,0),""))</f>
        <v/>
      </c>
      <c r="D177" s="488">
        <f>IF(A177="","",TODAY())</f>
        <v/>
      </c>
      <c r="E177" s="510" t="n"/>
      <c r="F177" s="378" t="n"/>
      <c r="G177" s="511">
        <f>IF(OR(A177="",E177=""),"",IF(C177="","",C177-E177))</f>
        <v/>
      </c>
      <c r="H177" s="380" t="inlineStr">
        <is>
          <t>Agent 07</t>
        </is>
      </c>
      <c r="I177" s="491" t="n"/>
      <c r="J177" s="492">
        <f>IF(AND(A177&lt;&gt;"",E177&lt;&gt;""),IF(I177="","⚠️ Enter Code",IF(IFERROR(VLOOKUP(H177,DB_Agents!$B:$I,8,0),"")=I177,IF(C177&gt;=E177,"Successful","Unsuccessful"),"🔒 BLOCKED — Wrong Code")),"—")</f>
        <v/>
      </c>
      <c r="K177" s="493">
        <f>IF(J177="Successful",TEXT(TODAY(),"YYYY-MM-DD")&amp;" Auto","—")</f>
        <v/>
      </c>
      <c r="L177" s="494" t="n"/>
    </row>
    <row r="178" ht="15" customHeight="1" s="341">
      <c r="A178" s="495" t="n"/>
      <c r="B178" s="382">
        <f>IF(A178="","",IFERROR(VLOOKUP(A178,DB_Customers!$A:$D,4,0),"❌ Account Not Found"))</f>
        <v/>
      </c>
      <c r="C178" s="496">
        <f>IF(A178="","",IFERROR(VLOOKUP(A178,DB_Customers!$A:$N,14,0),""))</f>
        <v/>
      </c>
      <c r="D178" s="497">
        <f>IF(A178="","",TODAY())</f>
        <v/>
      </c>
      <c r="E178" s="510" t="n"/>
      <c r="F178" s="382" t="n"/>
      <c r="G178" s="512">
        <f>IF(OR(A178="",E178=""),"",IF(C178="","",C178-E178))</f>
        <v/>
      </c>
      <c r="H178" s="384" t="inlineStr">
        <is>
          <t>Agent 07</t>
        </is>
      </c>
      <c r="I178" s="491" t="n"/>
      <c r="J178" s="499">
        <f>IF(AND(A178&lt;&gt;"",E178&lt;&gt;""),IF(I178="","⚠️ Enter Code",IF(IFERROR(VLOOKUP(H178,DB_Agents!$B:$I,8,0),"")=I178,IF(C178&gt;=E178,"Successful","Unsuccessful"),"🔒 BLOCKED — Wrong Code")),"—")</f>
        <v/>
      </c>
      <c r="K178" s="500">
        <f>IF(J178="Successful",TEXT(TODAY(),"YYYY-MM-DD")&amp;" Auto","—")</f>
        <v/>
      </c>
      <c r="L178" s="501" t="n"/>
    </row>
    <row r="179" ht="15" customHeight="1" s="341">
      <c r="A179" s="486" t="n"/>
      <c r="B179" s="378">
        <f>IF(A179="","",IFERROR(VLOOKUP(A179,DB_Customers!$A:$D,4,0),"❌ Account Not Found"))</f>
        <v/>
      </c>
      <c r="C179" s="487">
        <f>IF(A179="","",IFERROR(VLOOKUP(A179,DB_Customers!$A:$N,14,0),""))</f>
        <v/>
      </c>
      <c r="D179" s="488">
        <f>IF(A179="","",TODAY())</f>
        <v/>
      </c>
      <c r="E179" s="510" t="n"/>
      <c r="F179" s="378" t="n"/>
      <c r="G179" s="511">
        <f>IF(OR(A179="",E179=""),"",IF(C179="","",C179-E179))</f>
        <v/>
      </c>
      <c r="H179" s="380" t="inlineStr">
        <is>
          <t>Agent 07</t>
        </is>
      </c>
      <c r="I179" s="491" t="n"/>
      <c r="J179" s="492">
        <f>IF(AND(A179&lt;&gt;"",E179&lt;&gt;""),IF(I179="","⚠️ Enter Code",IF(IFERROR(VLOOKUP(H179,DB_Agents!$B:$I,8,0),"")=I179,IF(C179&gt;=E179,"Successful","Unsuccessful"),"🔒 BLOCKED — Wrong Code")),"—")</f>
        <v/>
      </c>
      <c r="K179" s="493">
        <f>IF(J179="Successful",TEXT(TODAY(),"YYYY-MM-DD")&amp;" Auto","—")</f>
        <v/>
      </c>
      <c r="L179" s="494" t="n"/>
    </row>
    <row r="180" ht="15" customHeight="1" s="341">
      <c r="A180" s="495" t="n"/>
      <c r="B180" s="382">
        <f>IF(A180="","",IFERROR(VLOOKUP(A180,DB_Customers!$A:$D,4,0),"❌ Account Not Found"))</f>
        <v/>
      </c>
      <c r="C180" s="496">
        <f>IF(A180="","",IFERROR(VLOOKUP(A180,DB_Customers!$A:$N,14,0),""))</f>
        <v/>
      </c>
      <c r="D180" s="497">
        <f>IF(A180="","",TODAY())</f>
        <v/>
      </c>
      <c r="E180" s="510" t="n"/>
      <c r="F180" s="382" t="n"/>
      <c r="G180" s="512">
        <f>IF(OR(A180="",E180=""),"",IF(C180="","",C180-E180))</f>
        <v/>
      </c>
      <c r="H180" s="384" t="inlineStr">
        <is>
          <t>Agent 07</t>
        </is>
      </c>
      <c r="I180" s="491" t="n"/>
      <c r="J180" s="499">
        <f>IF(AND(A180&lt;&gt;"",E180&lt;&gt;""),IF(I180="","⚠️ Enter Code",IF(IFERROR(VLOOKUP(H180,DB_Agents!$B:$I,8,0),"")=I180,IF(C180&gt;=E180,"Successful","Unsuccessful"),"🔒 BLOCKED — Wrong Code")),"—")</f>
        <v/>
      </c>
      <c r="K180" s="500">
        <f>IF(J180="Successful",TEXT(TODAY(),"YYYY-MM-DD")&amp;" Auto","—")</f>
        <v/>
      </c>
      <c r="L180" s="501" t="n"/>
    </row>
    <row r="181" ht="15" customHeight="1" s="341">
      <c r="A181" s="486" t="n"/>
      <c r="B181" s="378">
        <f>IF(A181="","",IFERROR(VLOOKUP(A181,DB_Customers!$A:$D,4,0),"❌ Account Not Found"))</f>
        <v/>
      </c>
      <c r="C181" s="487">
        <f>IF(A181="","",IFERROR(VLOOKUP(A181,DB_Customers!$A:$N,14,0),""))</f>
        <v/>
      </c>
      <c r="D181" s="488">
        <f>IF(A181="","",TODAY())</f>
        <v/>
      </c>
      <c r="E181" s="510" t="n"/>
      <c r="F181" s="378" t="n"/>
      <c r="G181" s="511">
        <f>IF(OR(A181="",E181=""),"",IF(C181="","",C181-E181))</f>
        <v/>
      </c>
      <c r="H181" s="380" t="inlineStr">
        <is>
          <t>Agent 07</t>
        </is>
      </c>
      <c r="I181" s="491" t="n"/>
      <c r="J181" s="492">
        <f>IF(AND(A181&lt;&gt;"",E181&lt;&gt;""),IF(I181="","⚠️ Enter Code",IF(IFERROR(VLOOKUP(H181,DB_Agents!$B:$I,8,0),"")=I181,IF(C181&gt;=E181,"Successful","Unsuccessful"),"🔒 BLOCKED — Wrong Code")),"—")</f>
        <v/>
      </c>
      <c r="K181" s="493">
        <f>IF(J181="Successful",TEXT(TODAY(),"YYYY-MM-DD")&amp;" Auto","—")</f>
        <v/>
      </c>
      <c r="L181" s="494" t="n"/>
    </row>
    <row r="182" ht="15" customHeight="1" s="341">
      <c r="A182" s="495" t="n"/>
      <c r="B182" s="382">
        <f>IF(A182="","",IFERROR(VLOOKUP(A182,DB_Customers!$A:$D,4,0),"❌ Account Not Found"))</f>
        <v/>
      </c>
      <c r="C182" s="496">
        <f>IF(A182="","",IFERROR(VLOOKUP(A182,DB_Customers!$A:$N,14,0),""))</f>
        <v/>
      </c>
      <c r="D182" s="497">
        <f>IF(A182="","",TODAY())</f>
        <v/>
      </c>
      <c r="E182" s="510" t="n"/>
      <c r="F182" s="382" t="n"/>
      <c r="G182" s="512">
        <f>IF(OR(A182="",E182=""),"",IF(C182="","",C182-E182))</f>
        <v/>
      </c>
      <c r="H182" s="384" t="inlineStr">
        <is>
          <t>Agent 07</t>
        </is>
      </c>
      <c r="I182" s="491" t="n"/>
      <c r="J182" s="499">
        <f>IF(AND(A182&lt;&gt;"",E182&lt;&gt;""),IF(I182="","⚠️ Enter Code",IF(IFERROR(VLOOKUP(H182,DB_Agents!$B:$I,8,0),"")=I182,IF(C182&gt;=E182,"Successful","Unsuccessful"),"🔒 BLOCKED — Wrong Code")),"—")</f>
        <v/>
      </c>
      <c r="K182" s="500">
        <f>IF(J182="Successful",TEXT(TODAY(),"YYYY-MM-DD")&amp;" Auto","—")</f>
        <v/>
      </c>
      <c r="L182" s="501" t="n"/>
    </row>
    <row r="183" ht="15" customHeight="1" s="341">
      <c r="A183" s="486" t="n"/>
      <c r="B183" s="378">
        <f>IF(A183="","",IFERROR(VLOOKUP(A183,DB_Customers!$A:$D,4,0),"❌ Account Not Found"))</f>
        <v/>
      </c>
      <c r="C183" s="487">
        <f>IF(A183="","",IFERROR(VLOOKUP(A183,DB_Customers!$A:$N,14,0),""))</f>
        <v/>
      </c>
      <c r="D183" s="488">
        <f>IF(A183="","",TODAY())</f>
        <v/>
      </c>
      <c r="E183" s="510" t="n"/>
      <c r="F183" s="378" t="n"/>
      <c r="G183" s="511">
        <f>IF(OR(A183="",E183=""),"",IF(C183="","",C183-E183))</f>
        <v/>
      </c>
      <c r="H183" s="380" t="inlineStr">
        <is>
          <t>Agent 07</t>
        </is>
      </c>
      <c r="I183" s="491" t="n"/>
      <c r="J183" s="492">
        <f>IF(AND(A183&lt;&gt;"",E183&lt;&gt;""),IF(I183="","⚠️ Enter Code",IF(IFERROR(VLOOKUP(H183,DB_Agents!$B:$I,8,0),"")=I183,IF(C183&gt;=E183,"Successful","Unsuccessful"),"🔒 BLOCKED — Wrong Code")),"—")</f>
        <v/>
      </c>
      <c r="K183" s="493">
        <f>IF(J183="Successful",TEXT(TODAY(),"YYYY-MM-DD")&amp;" Auto","—")</f>
        <v/>
      </c>
      <c r="L183" s="494" t="n"/>
    </row>
    <row r="184" ht="15" customHeight="1" s="341">
      <c r="A184" s="495" t="n"/>
      <c r="B184" s="382">
        <f>IF(A184="","",IFERROR(VLOOKUP(A184,DB_Customers!$A:$D,4,0),"❌ Account Not Found"))</f>
        <v/>
      </c>
      <c r="C184" s="496">
        <f>IF(A184="","",IFERROR(VLOOKUP(A184,DB_Customers!$A:$N,14,0),""))</f>
        <v/>
      </c>
      <c r="D184" s="497">
        <f>IF(A184="","",TODAY())</f>
        <v/>
      </c>
      <c r="E184" s="510" t="n"/>
      <c r="F184" s="382" t="n"/>
      <c r="G184" s="512">
        <f>IF(OR(A184="",E184=""),"",IF(C184="","",C184-E184))</f>
        <v/>
      </c>
      <c r="H184" s="384" t="inlineStr">
        <is>
          <t>Agent 07</t>
        </is>
      </c>
      <c r="I184" s="491" t="n"/>
      <c r="J184" s="499">
        <f>IF(AND(A184&lt;&gt;"",E184&lt;&gt;""),IF(I184="","⚠️ Enter Code",IF(IFERROR(VLOOKUP(H184,DB_Agents!$B:$I,8,0),"")=I184,IF(C184&gt;=E184,"Successful","Unsuccessful"),"🔒 BLOCKED — Wrong Code")),"—")</f>
        <v/>
      </c>
      <c r="K184" s="500">
        <f>IF(J184="Successful",TEXT(TODAY(),"YYYY-MM-DD")&amp;" Auto","—")</f>
        <v/>
      </c>
      <c r="L184" s="501" t="n"/>
    </row>
    <row r="185" ht="15" customHeight="1" s="341">
      <c r="A185" s="486" t="n"/>
      <c r="B185" s="378">
        <f>IF(A185="","",IFERROR(VLOOKUP(A185,DB_Customers!$A:$D,4,0),"❌ Account Not Found"))</f>
        <v/>
      </c>
      <c r="C185" s="487">
        <f>IF(A185="","",IFERROR(VLOOKUP(A185,DB_Customers!$A:$N,14,0),""))</f>
        <v/>
      </c>
      <c r="D185" s="488">
        <f>IF(A185="","",TODAY())</f>
        <v/>
      </c>
      <c r="E185" s="510" t="n"/>
      <c r="F185" s="378" t="n"/>
      <c r="G185" s="511">
        <f>IF(OR(A185="",E185=""),"",IF(C185="","",C185-E185))</f>
        <v/>
      </c>
      <c r="H185" s="380" t="inlineStr">
        <is>
          <t>Agent 07</t>
        </is>
      </c>
      <c r="I185" s="491" t="n"/>
      <c r="J185" s="492">
        <f>IF(AND(A185&lt;&gt;"",E185&lt;&gt;""),IF(I185="","⚠️ Enter Code",IF(IFERROR(VLOOKUP(H185,DB_Agents!$B:$I,8,0),"")=I185,IF(C185&gt;=E185,"Successful","Unsuccessful"),"🔒 BLOCKED — Wrong Code")),"—")</f>
        <v/>
      </c>
      <c r="K185" s="493">
        <f>IF(J185="Successful",TEXT(TODAY(),"YYYY-MM-DD")&amp;" Auto","—")</f>
        <v/>
      </c>
      <c r="L185" s="494" t="n"/>
    </row>
    <row r="186" ht="15" customHeight="1" s="341">
      <c r="A186" s="495" t="n"/>
      <c r="B186" s="382">
        <f>IF(A186="","",IFERROR(VLOOKUP(A186,DB_Customers!$A:$D,4,0),"❌ Account Not Found"))</f>
        <v/>
      </c>
      <c r="C186" s="496">
        <f>IF(A186="","",IFERROR(VLOOKUP(A186,DB_Customers!$A:$N,14,0),""))</f>
        <v/>
      </c>
      <c r="D186" s="497">
        <f>IF(A186="","",TODAY())</f>
        <v/>
      </c>
      <c r="E186" s="510" t="n"/>
      <c r="F186" s="382" t="n"/>
      <c r="G186" s="512">
        <f>IF(OR(A186="",E186=""),"",IF(C186="","",C186-E186))</f>
        <v/>
      </c>
      <c r="H186" s="384" t="inlineStr">
        <is>
          <t>Agent 07</t>
        </is>
      </c>
      <c r="I186" s="491" t="n"/>
      <c r="J186" s="499">
        <f>IF(AND(A186&lt;&gt;"",E186&lt;&gt;""),IF(I186="","⚠️ Enter Code",IF(IFERROR(VLOOKUP(H186,DB_Agents!$B:$I,8,0),"")=I186,IF(C186&gt;=E186,"Successful","Unsuccessful"),"🔒 BLOCKED — Wrong Code")),"—")</f>
        <v/>
      </c>
      <c r="K186" s="500">
        <f>IF(J186="Successful",TEXT(TODAY(),"YYYY-MM-DD")&amp;" Auto","—")</f>
        <v/>
      </c>
      <c r="L186" s="501" t="n"/>
    </row>
    <row r="187" ht="15" customHeight="1" s="341">
      <c r="A187" s="486" t="n"/>
      <c r="B187" s="378">
        <f>IF(A187="","",IFERROR(VLOOKUP(A187,DB_Customers!$A:$D,4,0),"❌ Account Not Found"))</f>
        <v/>
      </c>
      <c r="C187" s="487">
        <f>IF(A187="","",IFERROR(VLOOKUP(A187,DB_Customers!$A:$N,14,0),""))</f>
        <v/>
      </c>
      <c r="D187" s="488">
        <f>IF(A187="","",TODAY())</f>
        <v/>
      </c>
      <c r="E187" s="510" t="n"/>
      <c r="F187" s="378" t="n"/>
      <c r="G187" s="511">
        <f>IF(OR(A187="",E187=""),"",IF(C187="","",C187-E187))</f>
        <v/>
      </c>
      <c r="H187" s="380" t="inlineStr">
        <is>
          <t>Agent 07</t>
        </is>
      </c>
      <c r="I187" s="491" t="n"/>
      <c r="J187" s="492">
        <f>IF(AND(A187&lt;&gt;"",E187&lt;&gt;""),IF(I187="","⚠️ Enter Code",IF(IFERROR(VLOOKUP(H187,DB_Agents!$B:$I,8,0),"")=I187,IF(C187&gt;=E187,"Successful","Unsuccessful"),"🔒 BLOCKED — Wrong Code")),"—")</f>
        <v/>
      </c>
      <c r="K187" s="493">
        <f>IF(J187="Successful",TEXT(TODAY(),"YYYY-MM-DD")&amp;" Auto","—")</f>
        <v/>
      </c>
      <c r="L187" s="494" t="n"/>
    </row>
    <row r="188" ht="15" customHeight="1" s="341">
      <c r="A188" s="495" t="n"/>
      <c r="B188" s="382">
        <f>IF(A188="","",IFERROR(VLOOKUP(A188,DB_Customers!$A:$D,4,0),"❌ Account Not Found"))</f>
        <v/>
      </c>
      <c r="C188" s="496">
        <f>IF(A188="","",IFERROR(VLOOKUP(A188,DB_Customers!$A:$N,14,0),""))</f>
        <v/>
      </c>
      <c r="D188" s="497">
        <f>IF(A188="","",TODAY())</f>
        <v/>
      </c>
      <c r="E188" s="510" t="n"/>
      <c r="F188" s="382" t="n"/>
      <c r="G188" s="512">
        <f>IF(OR(A188="",E188=""),"",IF(C188="","",C188-E188))</f>
        <v/>
      </c>
      <c r="H188" s="384" t="inlineStr">
        <is>
          <t>Agent 07</t>
        </is>
      </c>
      <c r="I188" s="491" t="n"/>
      <c r="J188" s="499">
        <f>IF(AND(A188&lt;&gt;"",E188&lt;&gt;""),IF(I188="","⚠️ Enter Code",IF(IFERROR(VLOOKUP(H188,DB_Agents!$B:$I,8,0),"")=I188,IF(C188&gt;=E188,"Successful","Unsuccessful"),"🔒 BLOCKED — Wrong Code")),"—")</f>
        <v/>
      </c>
      <c r="K188" s="500">
        <f>IF(J188="Successful",TEXT(TODAY(),"YYYY-MM-DD")&amp;" Auto","—")</f>
        <v/>
      </c>
      <c r="L188" s="501" t="n"/>
    </row>
    <row r="189" ht="15" customHeight="1" s="341">
      <c r="A189" s="486" t="n"/>
      <c r="B189" s="378">
        <f>IF(A189="","",IFERROR(VLOOKUP(A189,DB_Customers!$A:$D,4,0),"❌ Account Not Found"))</f>
        <v/>
      </c>
      <c r="C189" s="487">
        <f>IF(A189="","",IFERROR(VLOOKUP(A189,DB_Customers!$A:$N,14,0),""))</f>
        <v/>
      </c>
      <c r="D189" s="488">
        <f>IF(A189="","",TODAY())</f>
        <v/>
      </c>
      <c r="E189" s="510" t="n"/>
      <c r="F189" s="378" t="n"/>
      <c r="G189" s="511">
        <f>IF(OR(A189="",E189=""),"",IF(C189="","",C189-E189))</f>
        <v/>
      </c>
      <c r="H189" s="380" t="inlineStr">
        <is>
          <t>Agent 07</t>
        </is>
      </c>
      <c r="I189" s="491" t="n"/>
      <c r="J189" s="492">
        <f>IF(AND(A189&lt;&gt;"",E189&lt;&gt;""),IF(I189="","⚠️ Enter Code",IF(IFERROR(VLOOKUP(H189,DB_Agents!$B:$I,8,0),"")=I189,IF(C189&gt;=E189,"Successful","Unsuccessful"),"🔒 BLOCKED — Wrong Code")),"—")</f>
        <v/>
      </c>
      <c r="K189" s="493">
        <f>IF(J189="Successful",TEXT(TODAY(),"YYYY-MM-DD")&amp;" Auto","—")</f>
        <v/>
      </c>
      <c r="L189" s="494" t="n"/>
    </row>
    <row r="190" ht="15" customHeight="1" s="341">
      <c r="A190" s="495" t="n"/>
      <c r="B190" s="382">
        <f>IF(A190="","",IFERROR(VLOOKUP(A190,DB_Customers!$A:$D,4,0),"❌ Account Not Found"))</f>
        <v/>
      </c>
      <c r="C190" s="496">
        <f>IF(A190="","",IFERROR(VLOOKUP(A190,DB_Customers!$A:$N,14,0),""))</f>
        <v/>
      </c>
      <c r="D190" s="497">
        <f>IF(A190="","",TODAY())</f>
        <v/>
      </c>
      <c r="E190" s="510" t="n"/>
      <c r="F190" s="382" t="n"/>
      <c r="G190" s="512">
        <f>IF(OR(A190="",E190=""),"",IF(C190="","",C190-E190))</f>
        <v/>
      </c>
      <c r="H190" s="384" t="inlineStr">
        <is>
          <t>Agent 07</t>
        </is>
      </c>
      <c r="I190" s="491" t="n"/>
      <c r="J190" s="499">
        <f>IF(AND(A190&lt;&gt;"",E190&lt;&gt;""),IF(I190="","⚠️ Enter Code",IF(IFERROR(VLOOKUP(H190,DB_Agents!$B:$I,8,0),"")=I190,IF(C190&gt;=E190,"Successful","Unsuccessful"),"🔒 BLOCKED — Wrong Code")),"—")</f>
        <v/>
      </c>
      <c r="K190" s="500">
        <f>IF(J190="Successful",TEXT(TODAY(),"YYYY-MM-DD")&amp;" Auto","—")</f>
        <v/>
      </c>
      <c r="L190" s="501" t="n"/>
    </row>
    <row r="191" ht="15" customHeight="1" s="341">
      <c r="A191" s="486" t="n"/>
      <c r="B191" s="378">
        <f>IF(A191="","",IFERROR(VLOOKUP(A191,DB_Customers!$A:$D,4,0),"❌ Account Not Found"))</f>
        <v/>
      </c>
      <c r="C191" s="487">
        <f>IF(A191="","",IFERROR(VLOOKUP(A191,DB_Customers!$A:$N,14,0),""))</f>
        <v/>
      </c>
      <c r="D191" s="488">
        <f>IF(A191="","",TODAY())</f>
        <v/>
      </c>
      <c r="E191" s="510" t="n"/>
      <c r="F191" s="378" t="n"/>
      <c r="G191" s="511">
        <f>IF(OR(A191="",E191=""),"",IF(C191="","",C191-E191))</f>
        <v/>
      </c>
      <c r="H191" s="380" t="inlineStr">
        <is>
          <t>Agent 07</t>
        </is>
      </c>
      <c r="I191" s="491" t="n"/>
      <c r="J191" s="492">
        <f>IF(AND(A191&lt;&gt;"",E191&lt;&gt;""),IF(I191="","⚠️ Enter Code",IF(IFERROR(VLOOKUP(H191,DB_Agents!$B:$I,8,0),"")=I191,IF(C191&gt;=E191,"Successful","Unsuccessful"),"🔒 BLOCKED — Wrong Code")),"—")</f>
        <v/>
      </c>
      <c r="K191" s="493">
        <f>IF(J191="Successful",TEXT(TODAY(),"YYYY-MM-DD")&amp;" Auto","—")</f>
        <v/>
      </c>
      <c r="L191" s="494" t="n"/>
    </row>
    <row r="192" ht="15" customHeight="1" s="341">
      <c r="A192" s="495" t="n"/>
      <c r="B192" s="382">
        <f>IF(A192="","",IFERROR(VLOOKUP(A192,DB_Customers!$A:$D,4,0),"❌ Account Not Found"))</f>
        <v/>
      </c>
      <c r="C192" s="496">
        <f>IF(A192="","",IFERROR(VLOOKUP(A192,DB_Customers!$A:$N,14,0),""))</f>
        <v/>
      </c>
      <c r="D192" s="497">
        <f>IF(A192="","",TODAY())</f>
        <v/>
      </c>
      <c r="E192" s="510" t="n"/>
      <c r="F192" s="382" t="n"/>
      <c r="G192" s="512">
        <f>IF(OR(A192="",E192=""),"",IF(C192="","",C192-E192))</f>
        <v/>
      </c>
      <c r="H192" s="384" t="inlineStr">
        <is>
          <t>Agent 07</t>
        </is>
      </c>
      <c r="I192" s="491" t="n"/>
      <c r="J192" s="499">
        <f>IF(AND(A192&lt;&gt;"",E192&lt;&gt;""),IF(I192="","⚠️ Enter Code",IF(IFERROR(VLOOKUP(H192,DB_Agents!$B:$I,8,0),"")=I192,IF(C192&gt;=E192,"Successful","Unsuccessful"),"🔒 BLOCKED — Wrong Code")),"—")</f>
        <v/>
      </c>
      <c r="K192" s="500">
        <f>IF(J192="Successful",TEXT(TODAY(),"YYYY-MM-DD")&amp;" Auto","—")</f>
        <v/>
      </c>
      <c r="L192" s="501" t="n"/>
    </row>
    <row r="193" ht="15" customHeight="1" s="341">
      <c r="A193" s="486" t="n"/>
      <c r="B193" s="378">
        <f>IF(A193="","",IFERROR(VLOOKUP(A193,DB_Customers!$A:$D,4,0),"❌ Account Not Found"))</f>
        <v/>
      </c>
      <c r="C193" s="487">
        <f>IF(A193="","",IFERROR(VLOOKUP(A193,DB_Customers!$A:$N,14,0),""))</f>
        <v/>
      </c>
      <c r="D193" s="488">
        <f>IF(A193="","",TODAY())</f>
        <v/>
      </c>
      <c r="E193" s="510" t="n"/>
      <c r="F193" s="378" t="n"/>
      <c r="G193" s="511">
        <f>IF(OR(A193="",E193=""),"",IF(C193="","",C193-E193))</f>
        <v/>
      </c>
      <c r="H193" s="380" t="inlineStr">
        <is>
          <t>Agent 07</t>
        </is>
      </c>
      <c r="I193" s="491" t="n"/>
      <c r="J193" s="492">
        <f>IF(AND(A193&lt;&gt;"",E193&lt;&gt;""),IF(I193="","⚠️ Enter Code",IF(IFERROR(VLOOKUP(H193,DB_Agents!$B:$I,8,0),"")=I193,IF(C193&gt;=E193,"Successful","Unsuccessful"),"🔒 BLOCKED — Wrong Code")),"—")</f>
        <v/>
      </c>
      <c r="K193" s="493">
        <f>IF(J193="Successful",TEXT(TODAY(),"YYYY-MM-DD")&amp;" Auto","—")</f>
        <v/>
      </c>
      <c r="L193" s="494" t="n"/>
    </row>
    <row r="194" ht="15" customHeight="1" s="341">
      <c r="A194" s="495" t="n"/>
      <c r="B194" s="382">
        <f>IF(A194="","",IFERROR(VLOOKUP(A194,DB_Customers!$A:$D,4,0),"❌ Account Not Found"))</f>
        <v/>
      </c>
      <c r="C194" s="496">
        <f>IF(A194="","",IFERROR(VLOOKUP(A194,DB_Customers!$A:$N,14,0),""))</f>
        <v/>
      </c>
      <c r="D194" s="497">
        <f>IF(A194="","",TODAY())</f>
        <v/>
      </c>
      <c r="E194" s="510" t="n"/>
      <c r="F194" s="382" t="n"/>
      <c r="G194" s="512">
        <f>IF(OR(A194="",E194=""),"",IF(C194="","",C194-E194))</f>
        <v/>
      </c>
      <c r="H194" s="384" t="inlineStr">
        <is>
          <t>Agent 07</t>
        </is>
      </c>
      <c r="I194" s="491" t="n"/>
      <c r="J194" s="499">
        <f>IF(AND(A194&lt;&gt;"",E194&lt;&gt;""),IF(I194="","⚠️ Enter Code",IF(IFERROR(VLOOKUP(H194,DB_Agents!$B:$I,8,0),"")=I194,IF(C194&gt;=E194,"Successful","Unsuccessful"),"🔒 BLOCKED — Wrong Code")),"—")</f>
        <v/>
      </c>
      <c r="K194" s="500">
        <f>IF(J194="Successful",TEXT(TODAY(),"YYYY-MM-DD")&amp;" Auto","—")</f>
        <v/>
      </c>
      <c r="L194" s="501" t="n"/>
    </row>
    <row r="195" ht="15" customHeight="1" s="341">
      <c r="A195" s="486" t="n"/>
      <c r="B195" s="378">
        <f>IF(A195="","",IFERROR(VLOOKUP(A195,DB_Customers!$A:$D,4,0),"❌ Account Not Found"))</f>
        <v/>
      </c>
      <c r="C195" s="487">
        <f>IF(A195="","",IFERROR(VLOOKUP(A195,DB_Customers!$A:$N,14,0),""))</f>
        <v/>
      </c>
      <c r="D195" s="488">
        <f>IF(A195="","",TODAY())</f>
        <v/>
      </c>
      <c r="E195" s="510" t="n"/>
      <c r="F195" s="378" t="n"/>
      <c r="G195" s="511">
        <f>IF(OR(A195="",E195=""),"",IF(C195="","",C195-E195))</f>
        <v/>
      </c>
      <c r="H195" s="380" t="inlineStr">
        <is>
          <t>Agent 07</t>
        </is>
      </c>
      <c r="I195" s="491" t="n"/>
      <c r="J195" s="492">
        <f>IF(AND(A195&lt;&gt;"",E195&lt;&gt;""),IF(I195="","⚠️ Enter Code",IF(IFERROR(VLOOKUP(H195,DB_Agents!$B:$I,8,0),"")=I195,IF(C195&gt;=E195,"Successful","Unsuccessful"),"🔒 BLOCKED — Wrong Code")),"—")</f>
        <v/>
      </c>
      <c r="K195" s="493">
        <f>IF(J195="Successful",TEXT(TODAY(),"YYYY-MM-DD")&amp;" Auto","—")</f>
        <v/>
      </c>
      <c r="L195" s="494" t="n"/>
    </row>
    <row r="196" ht="15" customHeight="1" s="341">
      <c r="A196" s="495" t="n"/>
      <c r="B196" s="382">
        <f>IF(A196="","",IFERROR(VLOOKUP(A196,DB_Customers!$A:$D,4,0),"❌ Account Not Found"))</f>
        <v/>
      </c>
      <c r="C196" s="496">
        <f>IF(A196="","",IFERROR(VLOOKUP(A196,DB_Customers!$A:$N,14,0),""))</f>
        <v/>
      </c>
      <c r="D196" s="497">
        <f>IF(A196="","",TODAY())</f>
        <v/>
      </c>
      <c r="E196" s="510" t="n"/>
      <c r="F196" s="382" t="n"/>
      <c r="G196" s="512">
        <f>IF(OR(A196="",E196=""),"",IF(C196="","",C196-E196))</f>
        <v/>
      </c>
      <c r="H196" s="384" t="inlineStr">
        <is>
          <t>Agent 07</t>
        </is>
      </c>
      <c r="I196" s="491" t="n"/>
      <c r="J196" s="499">
        <f>IF(AND(A196&lt;&gt;"",E196&lt;&gt;""),IF(I196="","⚠️ Enter Code",IF(IFERROR(VLOOKUP(H196,DB_Agents!$B:$I,8,0),"")=I196,IF(C196&gt;=E196,"Successful","Unsuccessful"),"🔒 BLOCKED — Wrong Code")),"—")</f>
        <v/>
      </c>
      <c r="K196" s="500">
        <f>IF(J196="Successful",TEXT(TODAY(),"YYYY-MM-DD")&amp;" Auto","—")</f>
        <v/>
      </c>
      <c r="L196" s="501" t="n"/>
    </row>
    <row r="197" ht="15" customHeight="1" s="341">
      <c r="A197" s="486" t="n"/>
      <c r="B197" s="378">
        <f>IF(A197="","",IFERROR(VLOOKUP(A197,DB_Customers!$A:$D,4,0),"❌ Account Not Found"))</f>
        <v/>
      </c>
      <c r="C197" s="487">
        <f>IF(A197="","",IFERROR(VLOOKUP(A197,DB_Customers!$A:$N,14,0),""))</f>
        <v/>
      </c>
      <c r="D197" s="488">
        <f>IF(A197="","",TODAY())</f>
        <v/>
      </c>
      <c r="E197" s="510" t="n"/>
      <c r="F197" s="378" t="n"/>
      <c r="G197" s="511">
        <f>IF(OR(A197="",E197=""),"",IF(C197="","",C197-E197))</f>
        <v/>
      </c>
      <c r="H197" s="380" t="inlineStr">
        <is>
          <t>Agent 07</t>
        </is>
      </c>
      <c r="I197" s="491" t="n"/>
      <c r="J197" s="492">
        <f>IF(AND(A197&lt;&gt;"",E197&lt;&gt;""),IF(I197="","⚠️ Enter Code",IF(IFERROR(VLOOKUP(H197,DB_Agents!$B:$I,8,0),"")=I197,IF(C197&gt;=E197,"Successful","Unsuccessful"),"🔒 BLOCKED — Wrong Code")),"—")</f>
        <v/>
      </c>
      <c r="K197" s="493">
        <f>IF(J197="Successful",TEXT(TODAY(),"YYYY-MM-DD")&amp;" Auto","—")</f>
        <v/>
      </c>
      <c r="L197" s="494" t="n"/>
    </row>
    <row r="198" ht="15" customHeight="1" s="341">
      <c r="A198" s="495" t="n"/>
      <c r="B198" s="382">
        <f>IF(A198="","",IFERROR(VLOOKUP(A198,DB_Customers!$A:$D,4,0),"❌ Account Not Found"))</f>
        <v/>
      </c>
      <c r="C198" s="496">
        <f>IF(A198="","",IFERROR(VLOOKUP(A198,DB_Customers!$A:$N,14,0),""))</f>
        <v/>
      </c>
      <c r="D198" s="497">
        <f>IF(A198="","",TODAY())</f>
        <v/>
      </c>
      <c r="E198" s="510" t="n"/>
      <c r="F198" s="382" t="n"/>
      <c r="G198" s="512">
        <f>IF(OR(A198="",E198=""),"",IF(C198="","",C198-E198))</f>
        <v/>
      </c>
      <c r="H198" s="384" t="inlineStr">
        <is>
          <t>Agent 07</t>
        </is>
      </c>
      <c r="I198" s="491" t="n"/>
      <c r="J198" s="499">
        <f>IF(AND(A198&lt;&gt;"",E198&lt;&gt;""),IF(I198="","⚠️ Enter Code",IF(IFERROR(VLOOKUP(H198,DB_Agents!$B:$I,8,0),"")=I198,IF(C198&gt;=E198,"Successful","Unsuccessful"),"🔒 BLOCKED — Wrong Code")),"—")</f>
        <v/>
      </c>
      <c r="K198" s="500">
        <f>IF(J198="Successful",TEXT(TODAY(),"YYYY-MM-DD")&amp;" Auto","—")</f>
        <v/>
      </c>
      <c r="L198" s="501" t="n"/>
    </row>
    <row r="199" ht="15" customHeight="1" s="341">
      <c r="A199" s="486" t="n"/>
      <c r="B199" s="378">
        <f>IF(A199="","",IFERROR(VLOOKUP(A199,DB_Customers!$A:$D,4,0),"❌ Account Not Found"))</f>
        <v/>
      </c>
      <c r="C199" s="487">
        <f>IF(A199="","",IFERROR(VLOOKUP(A199,DB_Customers!$A:$N,14,0),""))</f>
        <v/>
      </c>
      <c r="D199" s="488">
        <f>IF(A199="","",TODAY())</f>
        <v/>
      </c>
      <c r="E199" s="510" t="n"/>
      <c r="F199" s="378" t="n"/>
      <c r="G199" s="511">
        <f>IF(OR(A199="",E199=""),"",IF(C199="","",C199-E199))</f>
        <v/>
      </c>
      <c r="H199" s="380" t="inlineStr">
        <is>
          <t>Agent 07</t>
        </is>
      </c>
      <c r="I199" s="491" t="n"/>
      <c r="J199" s="492">
        <f>IF(AND(A199&lt;&gt;"",E199&lt;&gt;""),IF(I199="","⚠️ Enter Code",IF(IFERROR(VLOOKUP(H199,DB_Agents!$B:$I,8,0),"")=I199,IF(C199&gt;=E199,"Successful","Unsuccessful"),"🔒 BLOCKED — Wrong Code")),"—")</f>
        <v/>
      </c>
      <c r="K199" s="493">
        <f>IF(J199="Successful",TEXT(TODAY(),"YYYY-MM-DD")&amp;" Auto","—")</f>
        <v/>
      </c>
      <c r="L199" s="494" t="n"/>
    </row>
    <row r="200" ht="15" customHeight="1" s="341">
      <c r="A200" s="495" t="n"/>
      <c r="B200" s="382">
        <f>IF(A200="","",IFERROR(VLOOKUP(A200,DB_Customers!$A:$D,4,0),"❌ Account Not Found"))</f>
        <v/>
      </c>
      <c r="C200" s="496">
        <f>IF(A200="","",IFERROR(VLOOKUP(A200,DB_Customers!$A:$N,14,0),""))</f>
        <v/>
      </c>
      <c r="D200" s="497">
        <f>IF(A200="","",TODAY())</f>
        <v/>
      </c>
      <c r="E200" s="510" t="n"/>
      <c r="F200" s="382" t="n"/>
      <c r="G200" s="512">
        <f>IF(OR(A200="",E200=""),"",IF(C200="","",C200-E200))</f>
        <v/>
      </c>
      <c r="H200" s="384" t="inlineStr">
        <is>
          <t>Agent 07</t>
        </is>
      </c>
      <c r="I200" s="491" t="n"/>
      <c r="J200" s="499">
        <f>IF(AND(A200&lt;&gt;"",E200&lt;&gt;""),IF(I200="","⚠️ Enter Code",IF(IFERROR(VLOOKUP(H200,DB_Agents!$B:$I,8,0),"")=I200,IF(C200&gt;=E200,"Successful","Unsuccessful"),"🔒 BLOCKED — Wrong Code")),"—")</f>
        <v/>
      </c>
      <c r="K200" s="500">
        <f>IF(J200="Successful",TEXT(TODAY(),"YYYY-MM-DD")&amp;" Auto","—")</f>
        <v/>
      </c>
      <c r="L200" s="501" t="n"/>
    </row>
    <row r="201" ht="15" customHeight="1" s="341">
      <c r="A201" s="486" t="n"/>
      <c r="B201" s="378">
        <f>IF(A201="","",IFERROR(VLOOKUP(A201,DB_Customers!$A:$D,4,0),"❌ Account Not Found"))</f>
        <v/>
      </c>
      <c r="C201" s="487">
        <f>IF(A201="","",IFERROR(VLOOKUP(A201,DB_Customers!$A:$N,14,0),""))</f>
        <v/>
      </c>
      <c r="D201" s="488">
        <f>IF(A201="","",TODAY())</f>
        <v/>
      </c>
      <c r="E201" s="510" t="n"/>
      <c r="F201" s="378" t="n"/>
      <c r="G201" s="511">
        <f>IF(OR(A201="",E201=""),"",IF(C201="","",C201-E201))</f>
        <v/>
      </c>
      <c r="H201" s="380" t="inlineStr">
        <is>
          <t>Agent 07</t>
        </is>
      </c>
      <c r="I201" s="491" t="n"/>
      <c r="J201" s="492">
        <f>IF(AND(A201&lt;&gt;"",E201&lt;&gt;""),IF(I201="","⚠️ Enter Code",IF(IFERROR(VLOOKUP(H201,DB_Agents!$B:$I,8,0),"")=I201,IF(C201&gt;=E201,"Successful","Unsuccessful"),"🔒 BLOCKED — Wrong Code")),"—")</f>
        <v/>
      </c>
      <c r="K201" s="493">
        <f>IF(J201="Successful",TEXT(TODAY(),"YYYY-MM-DD")&amp;" Auto","—")</f>
        <v/>
      </c>
      <c r="L201" s="494" t="n"/>
    </row>
    <row r="202" ht="15" customHeight="1" s="341">
      <c r="A202" s="495" t="n"/>
      <c r="B202" s="382">
        <f>IF(A202="","",IFERROR(VLOOKUP(A202,DB_Customers!$A:$D,4,0),"❌ Account Not Found"))</f>
        <v/>
      </c>
      <c r="C202" s="496">
        <f>IF(A202="","",IFERROR(VLOOKUP(A202,DB_Customers!$A:$N,14,0),""))</f>
        <v/>
      </c>
      <c r="D202" s="497">
        <f>IF(A202="","",TODAY())</f>
        <v/>
      </c>
      <c r="E202" s="510" t="n"/>
      <c r="F202" s="382" t="n"/>
      <c r="G202" s="512">
        <f>IF(OR(A202="",E202=""),"",IF(C202="","",C202-E202))</f>
        <v/>
      </c>
      <c r="H202" s="384" t="inlineStr">
        <is>
          <t>Agent 07</t>
        </is>
      </c>
      <c r="I202" s="491" t="n"/>
      <c r="J202" s="499">
        <f>IF(AND(A202&lt;&gt;"",E202&lt;&gt;""),IF(I202="","⚠️ Enter Code",IF(IFERROR(VLOOKUP(H202,DB_Agents!$B:$I,8,0),"")=I202,IF(C202&gt;=E202,"Successful","Unsuccessful"),"🔒 BLOCKED — Wrong Code")),"—")</f>
        <v/>
      </c>
      <c r="K202" s="500">
        <f>IF(J202="Successful",TEXT(TODAY(),"YYYY-MM-DD")&amp;" Auto","—")</f>
        <v/>
      </c>
      <c r="L202" s="501" t="n"/>
    </row>
    <row r="203" ht="15" customHeight="1" s="341">
      <c r="A203" s="486" t="n"/>
      <c r="B203" s="378">
        <f>IF(A203="","",IFERROR(VLOOKUP(A203,DB_Customers!$A:$D,4,0),"❌ Account Not Found"))</f>
        <v/>
      </c>
      <c r="C203" s="487">
        <f>IF(A203="","",IFERROR(VLOOKUP(A203,DB_Customers!$A:$N,14,0),""))</f>
        <v/>
      </c>
      <c r="D203" s="488">
        <f>IF(A203="","",TODAY())</f>
        <v/>
      </c>
      <c r="E203" s="510" t="n"/>
      <c r="F203" s="378" t="n"/>
      <c r="G203" s="511">
        <f>IF(OR(A203="",E203=""),"",IF(C203="","",C203-E203))</f>
        <v/>
      </c>
      <c r="H203" s="380" t="inlineStr">
        <is>
          <t>Agent 07</t>
        </is>
      </c>
      <c r="I203" s="491" t="n"/>
      <c r="J203" s="492">
        <f>IF(AND(A203&lt;&gt;"",E203&lt;&gt;""),IF(I203="","⚠️ Enter Code",IF(IFERROR(VLOOKUP(H203,DB_Agents!$B:$I,8,0),"")=I203,IF(C203&gt;=E203,"Successful","Unsuccessful"),"🔒 BLOCKED — Wrong Code")),"—")</f>
        <v/>
      </c>
      <c r="K203" s="493">
        <f>IF(J203="Successful",TEXT(TODAY(),"YYYY-MM-DD")&amp;" Auto","—")</f>
        <v/>
      </c>
      <c r="L203" s="494" t="n"/>
    </row>
    <row r="204" ht="15" customHeight="1" s="341">
      <c r="A204" s="495" t="n"/>
      <c r="B204" s="382">
        <f>IF(A204="","",IFERROR(VLOOKUP(A204,DB_Customers!$A:$D,4,0),"❌ Account Not Found"))</f>
        <v/>
      </c>
      <c r="C204" s="496">
        <f>IF(A204="","",IFERROR(VLOOKUP(A204,DB_Customers!$A:$N,14,0),""))</f>
        <v/>
      </c>
      <c r="D204" s="497">
        <f>IF(A204="","",TODAY())</f>
        <v/>
      </c>
      <c r="E204" s="510" t="n"/>
      <c r="F204" s="382" t="n"/>
      <c r="G204" s="512">
        <f>IF(OR(A204="",E204=""),"",IF(C204="","",C204-E204))</f>
        <v/>
      </c>
      <c r="H204" s="384" t="inlineStr">
        <is>
          <t>Agent 07</t>
        </is>
      </c>
      <c r="I204" s="491" t="n"/>
      <c r="J204" s="499">
        <f>IF(AND(A204&lt;&gt;"",E204&lt;&gt;""),IF(I204="","⚠️ Enter Code",IF(IFERROR(VLOOKUP(H204,DB_Agents!$B:$I,8,0),"")=I204,IF(C204&gt;=E204,"Successful","Unsuccessful"),"🔒 BLOCKED — Wrong Code")),"—")</f>
        <v/>
      </c>
      <c r="K204" s="500">
        <f>IF(J204="Successful",TEXT(TODAY(),"YYYY-MM-DD")&amp;" Auto","—")</f>
        <v/>
      </c>
      <c r="L204" s="501" t="n"/>
    </row>
    <row r="205" ht="15" customHeight="1" s="341">
      <c r="A205" s="486" t="n"/>
      <c r="B205" s="378">
        <f>IF(A205="","",IFERROR(VLOOKUP(A205,DB_Customers!$A:$D,4,0),"❌ Account Not Found"))</f>
        <v/>
      </c>
      <c r="C205" s="487">
        <f>IF(A205="","",IFERROR(VLOOKUP(A205,DB_Customers!$A:$N,14,0),""))</f>
        <v/>
      </c>
      <c r="D205" s="488">
        <f>IF(A205="","",TODAY())</f>
        <v/>
      </c>
      <c r="E205" s="510" t="n"/>
      <c r="F205" s="378" t="n"/>
      <c r="G205" s="511">
        <f>IF(OR(A205="",E205=""),"",IF(C205="","",C205-E205))</f>
        <v/>
      </c>
      <c r="H205" s="380" t="inlineStr">
        <is>
          <t>Agent 07</t>
        </is>
      </c>
      <c r="I205" s="491" t="n"/>
      <c r="J205" s="492">
        <f>IF(AND(A205&lt;&gt;"",E205&lt;&gt;""),IF(I205="","⚠️ Enter Code",IF(IFERROR(VLOOKUP(H205,DB_Agents!$B:$I,8,0),"")=I205,IF(C205&gt;=E205,"Successful","Unsuccessful"),"🔒 BLOCKED — Wrong Code")),"—")</f>
        <v/>
      </c>
      <c r="K205" s="493">
        <f>IF(J205="Successful",TEXT(TODAY(),"YYYY-MM-DD")&amp;" Auto","—")</f>
        <v/>
      </c>
      <c r="L205" s="494" t="n"/>
    </row>
    <row r="206" ht="15" customHeight="1" s="341">
      <c r="A206" s="495" t="n"/>
      <c r="B206" s="382">
        <f>IF(A206="","",IFERROR(VLOOKUP(A206,DB_Customers!$A:$D,4,0),"❌ Account Not Found"))</f>
        <v/>
      </c>
      <c r="C206" s="496">
        <f>IF(A206="","",IFERROR(VLOOKUP(A206,DB_Customers!$A:$N,14,0),""))</f>
        <v/>
      </c>
      <c r="D206" s="497">
        <f>IF(A206="","",TODAY())</f>
        <v/>
      </c>
      <c r="E206" s="510" t="n"/>
      <c r="F206" s="382" t="n"/>
      <c r="G206" s="512">
        <f>IF(OR(A206="",E206=""),"",IF(C206="","",C206-E206))</f>
        <v/>
      </c>
      <c r="H206" s="384" t="inlineStr">
        <is>
          <t>Agent 07</t>
        </is>
      </c>
      <c r="I206" s="491" t="n"/>
      <c r="J206" s="499">
        <f>IF(AND(A206&lt;&gt;"",E206&lt;&gt;""),IF(I206="","⚠️ Enter Code",IF(IFERROR(VLOOKUP(H206,DB_Agents!$B:$I,8,0),"")=I206,IF(C206&gt;=E206,"Successful","Unsuccessful"),"🔒 BLOCKED — Wrong Code")),"—")</f>
        <v/>
      </c>
      <c r="K206" s="500">
        <f>IF(J206="Successful",TEXT(TODAY(),"YYYY-MM-DD")&amp;" Auto","—")</f>
        <v/>
      </c>
      <c r="L206" s="501" t="n"/>
    </row>
    <row r="207" ht="15" customHeight="1" s="341">
      <c r="A207" s="486" t="n"/>
      <c r="B207" s="378">
        <f>IF(A207="","",IFERROR(VLOOKUP(A207,DB_Customers!$A:$D,4,0),"❌ Account Not Found"))</f>
        <v/>
      </c>
      <c r="C207" s="487">
        <f>IF(A207="","",IFERROR(VLOOKUP(A207,DB_Customers!$A:$N,14,0),""))</f>
        <v/>
      </c>
      <c r="D207" s="488">
        <f>IF(A207="","",TODAY())</f>
        <v/>
      </c>
      <c r="E207" s="510" t="n"/>
      <c r="F207" s="378" t="n"/>
      <c r="G207" s="511">
        <f>IF(OR(A207="",E207=""),"",IF(C207="","",C207-E207))</f>
        <v/>
      </c>
      <c r="H207" s="380" t="inlineStr">
        <is>
          <t>Agent 07</t>
        </is>
      </c>
      <c r="I207" s="491" t="n"/>
      <c r="J207" s="492">
        <f>IF(AND(A207&lt;&gt;"",E207&lt;&gt;""),IF(I207="","⚠️ Enter Code",IF(IFERROR(VLOOKUP(H207,DB_Agents!$B:$I,8,0),"")=I207,IF(C207&gt;=E207,"Successful","Unsuccessful"),"🔒 BLOCKED — Wrong Code")),"—")</f>
        <v/>
      </c>
      <c r="K207" s="493">
        <f>IF(J207="Successful",TEXT(TODAY(),"YYYY-MM-DD")&amp;" Auto","—")</f>
        <v/>
      </c>
      <c r="L207" s="494" t="n"/>
    </row>
    <row r="208" ht="15" customHeight="1" s="341">
      <c r="A208" s="495" t="n"/>
      <c r="B208" s="382">
        <f>IF(A208="","",IFERROR(VLOOKUP(A208,DB_Customers!$A:$D,4,0),"❌ Account Not Found"))</f>
        <v/>
      </c>
      <c r="C208" s="496">
        <f>IF(A208="","",IFERROR(VLOOKUP(A208,DB_Customers!$A:$N,14,0),""))</f>
        <v/>
      </c>
      <c r="D208" s="497">
        <f>IF(A208="","",TODAY())</f>
        <v/>
      </c>
      <c r="E208" s="510" t="n"/>
      <c r="F208" s="382" t="n"/>
      <c r="G208" s="512">
        <f>IF(OR(A208="",E208=""),"",IF(C208="","",C208-E208))</f>
        <v/>
      </c>
      <c r="H208" s="384" t="inlineStr">
        <is>
          <t>Agent 07</t>
        </is>
      </c>
      <c r="I208" s="491" t="n"/>
      <c r="J208" s="499">
        <f>IF(AND(A208&lt;&gt;"",E208&lt;&gt;""),IF(I208="","⚠️ Enter Code",IF(IFERROR(VLOOKUP(H208,DB_Agents!$B:$I,8,0),"")=I208,IF(C208&gt;=E208,"Successful","Unsuccessful"),"🔒 BLOCKED — Wrong Code")),"—")</f>
        <v/>
      </c>
      <c r="K208" s="500">
        <f>IF(J208="Successful",TEXT(TODAY(),"YYYY-MM-DD")&amp;" Auto","—")</f>
        <v/>
      </c>
      <c r="L208" s="501" t="n"/>
    </row>
  </sheetData>
  <mergeCells count="8">
    <mergeCell ref="A1:M1"/>
    <mergeCell ref="A5:M5"/>
    <mergeCell ref="D4:F4"/>
    <mergeCell ref="D3:F3"/>
    <mergeCell ref="A3:C3"/>
    <mergeCell ref="A7:M7"/>
    <mergeCell ref="A4:C4"/>
    <mergeCell ref="A2:M2"/>
  </mergeCells>
  <conditionalFormatting sqref="I9:I208">
    <cfRule type="cellIs" rank="0" priority="2" equalAverage="0" operator="equal" aboveAverage="0" dxfId="0" text="" percent="0" bottom="0">
      <formula>"Successful"</formula>
    </cfRule>
    <cfRule type="cellIs" rank="0" priority="3" equalAverage="0" operator="equal" aboveAverage="0" dxfId="1" text="" percent="0" bottom="0">
      <formula>"Unsuccessful"</formula>
    </cfRule>
  </conditionalFormatting>
  <conditionalFormatting sqref="A9:K208">
    <cfRule type="expression" rank="0" priority="4" equalAverage="0" aboveAverage="0" dxfId="13" text="" percent="0" bottom="0">
      <formula>$I9="Unsuccessful"</formula>
    </cfRule>
  </conditionalFormatting>
  <conditionalFormatting sqref="G9:G208">
    <cfRule type="cellIs" rank="0" priority="5" equalAverage="0" operator="lessThan" aboveAverage="0" dxfId="1" text="" percent="0" bottom="0">
      <formula>0</formula>
    </cfRule>
  </conditionalFormatting>
  <dataValidations count="1">
    <dataValidation sqref="H9:H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6.xml><?xml version="1.0" encoding="utf-8"?>
<worksheet xmlns="http://schemas.openxmlformats.org/spreadsheetml/2006/main">
  <sheetPr filterMode="0">
    <tabColor rgb="FFE67E22"/>
    <outlinePr summaryBelow="1" summaryRight="1"/>
    <pageSetUpPr fitToPage="0"/>
  </sheetPr>
  <dimension ref="A1:N213"/>
  <sheetViews>
    <sheetView showFormulas="0" showGridLines="1" showRowColHeaders="1" showZeros="1" rightToLeft="0" tabSelected="0" showOutlineSymbols="1" defaultGridColor="1" view="normal" topLeftCell="A1" colorId="64" zoomScale="100" zoomScaleNormal="100" zoomScalePageLayoutView="100" workbookViewId="0">
      <pane xSplit="0" ySplit="13" topLeftCell="A1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22" customWidth="1" style="340" min="1" max="1"/>
    <col width="16" customWidth="1" style="340" min="2" max="2"/>
    <col width="22" customWidth="1" style="340" min="3" max="3"/>
    <col width="13" customWidth="1" style="340" min="4" max="4"/>
    <col width="14" customWidth="1" style="340" min="5" max="5"/>
    <col width="22" customWidth="1" style="340" min="6" max="6"/>
    <col width="9" customWidth="1" style="340" min="7" max="7"/>
    <col width="8" customWidth="1" style="340" min="8" max="8"/>
    <col width="16" customWidth="1" style="340" min="9" max="9"/>
    <col width="15" customWidth="1" style="340" min="10" max="10"/>
    <col width="14" customWidth="1" style="340" min="11" max="11"/>
    <col width="12" customWidth="1" style="340" min="12" max="12"/>
    <col width="14" customWidth="1" style="340" min="13" max="13"/>
  </cols>
  <sheetData>
    <row r="1" ht="31.5" customHeight="1" s="341">
      <c r="A1" s="513" t="inlineStr">
        <is>
          <t>🏦  SAMICIOUS MICROFINANCE — AGENT07 LOAN REQUESTS</t>
        </is>
      </c>
    </row>
    <row r="2" ht="19.5" customHeight="1" s="341">
      <c r="A2" s="514" t="inlineStr">
        <is>
          <t>Total Repayable = Loan Amount + (Loan Amount × Rate% × Months) | Status: Pending → Approved when credited</t>
        </is>
      </c>
    </row>
    <row r="4" ht="21.75" customHeight="1" s="341">
      <c r="A4" s="515" t="inlineStr">
        <is>
          <t>🔢  INSTANT LOAN CALCULATOR</t>
        </is>
      </c>
    </row>
    <row r="5" ht="19.5" customHeight="1" s="341">
      <c r="A5" s="516" t="inlineStr">
        <is>
          <t>Loan Amount (GHC):</t>
        </is>
      </c>
      <c r="B5" s="517" t="n"/>
      <c r="C5" s="453" t="n"/>
      <c r="D5" s="518" t="n"/>
    </row>
    <row r="6" ht="19.5" customHeight="1" s="341">
      <c r="A6" s="516" t="inlineStr">
        <is>
          <t>Duration (Months):</t>
        </is>
      </c>
      <c r="B6" s="517" t="n"/>
      <c r="C6" s="453" t="n"/>
      <c r="D6" s="518" t="n"/>
    </row>
    <row r="7" ht="19.5" customHeight="1" s="341">
      <c r="A7" s="519" t="inlineStr">
        <is>
          <t>Interest Rate (%/month):</t>
        </is>
      </c>
      <c r="B7" s="520" t="n">
        <v>2.5</v>
      </c>
      <c r="C7" s="393" t="n"/>
      <c r="D7" s="521" t="n"/>
    </row>
    <row r="8" ht="19.5" customHeight="1" s="341">
      <c r="A8" s="519" t="inlineStr">
        <is>
          <t>━ Total Interest:</t>
        </is>
      </c>
      <c r="B8" s="522">
        <f>IF(B5="","",B5*B7/100*B6)</f>
        <v/>
      </c>
      <c r="C8" s="393" t="n"/>
      <c r="D8" s="521" t="n"/>
    </row>
    <row r="9" ht="19.5" customHeight="1" s="341">
      <c r="A9" s="519" t="n"/>
      <c r="B9" s="523">
        <f>IF(B5="","",B5+(B5*B7/100*B6))</f>
        <v/>
      </c>
      <c r="C9" s="393" t="n"/>
      <c r="D9" s="521" t="n"/>
    </row>
    <row r="10" ht="19.5" customHeight="1" s="341">
      <c r="A10" s="519" t="n"/>
      <c r="B10" s="523">
        <f>IFERROR(B9/B6,"")</f>
        <v/>
      </c>
      <c r="C10" s="393" t="n"/>
      <c r="D10" s="521" t="n"/>
    </row>
    <row r="11" ht="7.5" customHeight="1" s="341"/>
    <row r="12" ht="21.75" customHeight="1" s="341">
      <c r="A12" s="524" t="n"/>
    </row>
    <row r="13" ht="19.5" customHeight="1" s="341">
      <c r="A13" s="525" t="n"/>
      <c r="B13" s="525" t="n"/>
      <c r="C13" s="525" t="n"/>
      <c r="D13" s="525" t="n"/>
      <c r="E13" s="525" t="n"/>
      <c r="F13" s="525" t="n"/>
      <c r="G13" s="525" t="n"/>
      <c r="H13" s="525" t="n"/>
      <c r="I13" s="525" t="n"/>
      <c r="J13" s="525" t="n"/>
      <c r="K13" s="525" t="n"/>
      <c r="L13" s="525" t="inlineStr">
        <is>
          <t>Agent</t>
        </is>
      </c>
      <c r="M13" s="485" t="n"/>
      <c r="N13" s="525" t="n"/>
    </row>
    <row r="14" ht="15" customHeight="1" s="341">
      <c r="A14" s="499">
        <f>IF(B14="","",IF(C14="❌ Account Not Found","INVALID","LN"&amp;TEXT(D14,"YYYYMMDD")&amp;TEXT(ROW()-13,"0000")))</f>
        <v/>
      </c>
      <c r="B14" s="495" t="n"/>
      <c r="C14" s="382">
        <f>IF(B14="","",IFERROR(VLOOKUP(B14,DB_Customers!$A:$D,4,0),"❌ Account Not Found"))</f>
        <v/>
      </c>
      <c r="D14" s="497">
        <f>IF(B14="","",TODAY())</f>
        <v/>
      </c>
      <c r="E14" s="526" t="n"/>
      <c r="F14" s="382" t="n"/>
      <c r="G14" s="527" t="n"/>
      <c r="H14" s="528" t="n"/>
      <c r="I14" s="529">
        <f>IF(E14="","",E14+(E14*H14/100*G14))</f>
        <v/>
      </c>
      <c r="J14" s="530">
        <f>IFERROR(I14/G14,"")</f>
        <v/>
      </c>
      <c r="K14" s="531">
        <f>IF(B14="","Pending",IF(M14="","⚠️ Enter Code",IF(IFERROR(VLOOKUP(L14,DB_Agents!$B:$I,8,0),"")=M14,"Pending","🔒 BLOCKED — Wrong Code")))</f>
        <v/>
      </c>
      <c r="L14" s="384" t="inlineStr">
        <is>
          <t>Agent 07</t>
        </is>
      </c>
      <c r="M14" s="491" t="n"/>
      <c r="N14" s="501" t="n"/>
    </row>
    <row r="15" ht="15" customHeight="1" s="341">
      <c r="A15" s="492">
        <f>IF(B15="","",IF(C15="❌ Account Not Found","INVALID","LN"&amp;TEXT(D15,"YYYYMMDD")&amp;TEXT(ROW()-13,"0000")))</f>
        <v/>
      </c>
      <c r="B15" s="486" t="n"/>
      <c r="C15" s="378">
        <f>IF(B15="","",IFERROR(VLOOKUP(B15,DB_Customers!$A:$D,4,0),"❌ Account Not Found"))</f>
        <v/>
      </c>
      <c r="D15" s="488">
        <f>IF(B15="","",TODAY())</f>
        <v/>
      </c>
      <c r="E15" s="526" t="n"/>
      <c r="F15" s="378" t="n"/>
      <c r="G15" s="532" t="n"/>
      <c r="H15" s="533" t="n"/>
      <c r="I15" s="529">
        <f>IF(E15="","",E15+(E15*H15/100*G15))</f>
        <v/>
      </c>
      <c r="J15" s="534">
        <f>IFERROR(I15/G15,"")</f>
        <v/>
      </c>
      <c r="K15" s="535">
        <f>IF(B15="","Pending",IF(M15="","⚠️ Enter Code",IF(IFERROR(VLOOKUP(L15,DB_Agents!$B:$I,8,0),"")=M15,"Pending","🔒 BLOCKED — Wrong Code")))</f>
        <v/>
      </c>
      <c r="L15" s="380" t="inlineStr">
        <is>
          <t>Agent 07</t>
        </is>
      </c>
      <c r="M15" s="491" t="n"/>
      <c r="N15" s="494" t="n"/>
    </row>
    <row r="16" ht="15" customHeight="1" s="341">
      <c r="A16" s="499">
        <f>IF(B16="","",IF(C16="❌ Account Not Found","INVALID","LN"&amp;TEXT(D16,"YYYYMMDD")&amp;TEXT(ROW()-13,"0000")))</f>
        <v/>
      </c>
      <c r="B16" s="495" t="n"/>
      <c r="C16" s="382">
        <f>IF(B16="","",IFERROR(VLOOKUP(B16,DB_Customers!$A:$D,4,0),"❌ Account Not Found"))</f>
        <v/>
      </c>
      <c r="D16" s="497">
        <f>IF(B16="","",TODAY())</f>
        <v/>
      </c>
      <c r="E16" s="526" t="n"/>
      <c r="F16" s="382" t="n"/>
      <c r="G16" s="527" t="n"/>
      <c r="H16" s="528" t="n"/>
      <c r="I16" s="529">
        <f>IF(E16="","",E16+(E16*H16/100*G16))</f>
        <v/>
      </c>
      <c r="J16" s="530">
        <f>IFERROR(I16/G16,"")</f>
        <v/>
      </c>
      <c r="K16" s="531">
        <f>IF(B16="","Pending",IF(M16="","⚠️ Enter Code",IF(IFERROR(VLOOKUP(L16,DB_Agents!$B:$I,8,0),"")=M16,"Pending","🔒 BLOCKED — Wrong Code")))</f>
        <v/>
      </c>
      <c r="L16" s="384" t="inlineStr">
        <is>
          <t>Agent 07</t>
        </is>
      </c>
      <c r="M16" s="491" t="n"/>
      <c r="N16" s="501" t="n"/>
    </row>
    <row r="17" ht="15" customHeight="1" s="341">
      <c r="A17" s="492">
        <f>IF(B17="","",IF(C17="❌ Account Not Found","INVALID","LN"&amp;TEXT(D17,"YYYYMMDD")&amp;TEXT(ROW()-13,"0000")))</f>
        <v/>
      </c>
      <c r="B17" s="486" t="n"/>
      <c r="C17" s="378">
        <f>IF(B17="","",IFERROR(VLOOKUP(B17,DB_Customers!$A:$D,4,0),"❌ Account Not Found"))</f>
        <v/>
      </c>
      <c r="D17" s="488">
        <f>IF(B17="","",TODAY())</f>
        <v/>
      </c>
      <c r="E17" s="526" t="n"/>
      <c r="F17" s="378" t="n"/>
      <c r="G17" s="532" t="n"/>
      <c r="H17" s="533" t="n"/>
      <c r="I17" s="529">
        <f>IF(E17="","",E17+(E17*H17/100*G17))</f>
        <v/>
      </c>
      <c r="J17" s="534">
        <f>IFERROR(I17/G17,"")</f>
        <v/>
      </c>
      <c r="K17" s="535">
        <f>IF(B17="","Pending",IF(M17="","⚠️ Enter Code",IF(IFERROR(VLOOKUP(L17,DB_Agents!$B:$I,8,0),"")=M17,"Pending","🔒 BLOCKED — Wrong Code")))</f>
        <v/>
      </c>
      <c r="L17" s="380" t="inlineStr">
        <is>
          <t>Agent 07</t>
        </is>
      </c>
      <c r="M17" s="491" t="n"/>
      <c r="N17" s="494" t="n"/>
    </row>
    <row r="18" ht="15" customHeight="1" s="341">
      <c r="A18" s="499">
        <f>IF(B18="","",IF(C18="❌ Account Not Found","INVALID","LN"&amp;TEXT(D18,"YYYYMMDD")&amp;TEXT(ROW()-13,"0000")))</f>
        <v/>
      </c>
      <c r="B18" s="495" t="n"/>
      <c r="C18" s="382">
        <f>IF(B18="","",IFERROR(VLOOKUP(B18,DB_Customers!$A:$D,4,0),"❌ Account Not Found"))</f>
        <v/>
      </c>
      <c r="D18" s="497">
        <f>IF(B18="","",TODAY())</f>
        <v/>
      </c>
      <c r="E18" s="526" t="n"/>
      <c r="F18" s="382" t="n"/>
      <c r="G18" s="527" t="n"/>
      <c r="H18" s="528" t="n"/>
      <c r="I18" s="529">
        <f>IF(E18="","",E18+(E18*H18/100*G18))</f>
        <v/>
      </c>
      <c r="J18" s="530">
        <f>IFERROR(I18/G18,"")</f>
        <v/>
      </c>
      <c r="K18" s="531">
        <f>IF(B18="","Pending",IF(M18="","⚠️ Enter Code",IF(IFERROR(VLOOKUP(L18,DB_Agents!$B:$I,8,0),"")=M18,"Pending","🔒 BLOCKED — Wrong Code")))</f>
        <v/>
      </c>
      <c r="L18" s="384" t="inlineStr">
        <is>
          <t>Agent 07</t>
        </is>
      </c>
      <c r="M18" s="491" t="n"/>
      <c r="N18" s="501" t="n"/>
    </row>
    <row r="19" ht="15" customHeight="1" s="341">
      <c r="A19" s="492">
        <f>IF(B19="","",IF(C19="❌ Account Not Found","INVALID","LN"&amp;TEXT(D19,"YYYYMMDD")&amp;TEXT(ROW()-13,"0000")))</f>
        <v/>
      </c>
      <c r="B19" s="486" t="n"/>
      <c r="C19" s="378">
        <f>IF(B19="","",IFERROR(VLOOKUP(B19,DB_Customers!$A:$D,4,0),"❌ Account Not Found"))</f>
        <v/>
      </c>
      <c r="D19" s="488">
        <f>IF(B19="","",TODAY())</f>
        <v/>
      </c>
      <c r="E19" s="526" t="n"/>
      <c r="F19" s="378" t="n"/>
      <c r="G19" s="532" t="n"/>
      <c r="H19" s="533" t="n"/>
      <c r="I19" s="529">
        <f>IF(E19="","",E19+(E19*H19/100*G19))</f>
        <v/>
      </c>
      <c r="J19" s="534">
        <f>IFERROR(I19/G19,"")</f>
        <v/>
      </c>
      <c r="K19" s="535">
        <f>IF(B19="","Pending",IF(M19="","⚠️ Enter Code",IF(IFERROR(VLOOKUP(L19,DB_Agents!$B:$I,8,0),"")=M19,"Pending","🔒 BLOCKED — Wrong Code")))</f>
        <v/>
      </c>
      <c r="L19" s="380" t="inlineStr">
        <is>
          <t>Agent 07</t>
        </is>
      </c>
      <c r="M19" s="491" t="n"/>
      <c r="N19" s="494" t="n"/>
    </row>
    <row r="20" ht="15" customHeight="1" s="341">
      <c r="A20" s="499">
        <f>IF(B20="","",IF(C20="❌ Account Not Found","INVALID","LN"&amp;TEXT(D20,"YYYYMMDD")&amp;TEXT(ROW()-13,"0000")))</f>
        <v/>
      </c>
      <c r="B20" s="495" t="n"/>
      <c r="C20" s="382">
        <f>IF(B20="","",IFERROR(VLOOKUP(B20,DB_Customers!$A:$D,4,0),"❌ Account Not Found"))</f>
        <v/>
      </c>
      <c r="D20" s="497">
        <f>IF(B20="","",TODAY())</f>
        <v/>
      </c>
      <c r="E20" s="526" t="n"/>
      <c r="F20" s="382" t="n"/>
      <c r="G20" s="527" t="n"/>
      <c r="H20" s="528" t="n"/>
      <c r="I20" s="529">
        <f>IF(E20="","",E20+(E20*H20/100*G20))</f>
        <v/>
      </c>
      <c r="J20" s="530">
        <f>IFERROR(I20/G20,"")</f>
        <v/>
      </c>
      <c r="K20" s="531">
        <f>IF(B20="","Pending",IF(M20="","⚠️ Enter Code",IF(IFERROR(VLOOKUP(L20,DB_Agents!$B:$I,8,0),"")=M20,"Pending","🔒 BLOCKED — Wrong Code")))</f>
        <v/>
      </c>
      <c r="L20" s="384" t="inlineStr">
        <is>
          <t>Agent 07</t>
        </is>
      </c>
      <c r="M20" s="491" t="n"/>
      <c r="N20" s="501" t="n"/>
    </row>
    <row r="21" ht="15" customHeight="1" s="341">
      <c r="A21" s="492">
        <f>IF(B21="","",IF(C21="❌ Account Not Found","INVALID","LN"&amp;TEXT(D21,"YYYYMMDD")&amp;TEXT(ROW()-13,"0000")))</f>
        <v/>
      </c>
      <c r="B21" s="486" t="n"/>
      <c r="C21" s="378">
        <f>IF(B21="","",IFERROR(VLOOKUP(B21,DB_Customers!$A:$D,4,0),"❌ Account Not Found"))</f>
        <v/>
      </c>
      <c r="D21" s="488">
        <f>IF(B21="","",TODAY())</f>
        <v/>
      </c>
      <c r="E21" s="526" t="n"/>
      <c r="F21" s="378" t="n"/>
      <c r="G21" s="532" t="n"/>
      <c r="H21" s="533" t="n"/>
      <c r="I21" s="529">
        <f>IF(E21="","",E21+(E21*H21/100*G21))</f>
        <v/>
      </c>
      <c r="J21" s="534">
        <f>IFERROR(I21/G21,"")</f>
        <v/>
      </c>
      <c r="K21" s="535">
        <f>IF(B21="","Pending",IF(M21="","⚠️ Enter Code",IF(IFERROR(VLOOKUP(L21,DB_Agents!$B:$I,8,0),"")=M21,"Pending","🔒 BLOCKED — Wrong Code")))</f>
        <v/>
      </c>
      <c r="L21" s="380" t="inlineStr">
        <is>
          <t>Agent 07</t>
        </is>
      </c>
      <c r="M21" s="491" t="n"/>
      <c r="N21" s="494" t="n"/>
    </row>
    <row r="22" ht="15" customHeight="1" s="341">
      <c r="A22" s="499">
        <f>IF(B22="","",IF(C22="❌ Account Not Found","INVALID","LN"&amp;TEXT(D22,"YYYYMMDD")&amp;TEXT(ROW()-13,"0000")))</f>
        <v/>
      </c>
      <c r="B22" s="495" t="n"/>
      <c r="C22" s="382">
        <f>IF(B22="","",IFERROR(VLOOKUP(B22,DB_Customers!$A:$D,4,0),"❌ Account Not Found"))</f>
        <v/>
      </c>
      <c r="D22" s="497">
        <f>IF(B22="","",TODAY())</f>
        <v/>
      </c>
      <c r="E22" s="526" t="n"/>
      <c r="F22" s="382" t="n"/>
      <c r="G22" s="527" t="n"/>
      <c r="H22" s="528" t="n"/>
      <c r="I22" s="529">
        <f>IF(E22="","",E22+(E22*H22/100*G22))</f>
        <v/>
      </c>
      <c r="J22" s="530">
        <f>IFERROR(I22/G22,"")</f>
        <v/>
      </c>
      <c r="K22" s="531">
        <f>IF(B22="","Pending",IF(M22="","⚠️ Enter Code",IF(IFERROR(VLOOKUP(L22,DB_Agents!$B:$I,8,0),"")=M22,"Pending","🔒 BLOCKED — Wrong Code")))</f>
        <v/>
      </c>
      <c r="L22" s="384" t="inlineStr">
        <is>
          <t>Agent 07</t>
        </is>
      </c>
      <c r="M22" s="491" t="n"/>
      <c r="N22" s="501" t="n"/>
    </row>
    <row r="23" ht="15" customHeight="1" s="341">
      <c r="A23" s="492">
        <f>IF(B23="","",IF(C23="❌ Account Not Found","INVALID","LN"&amp;TEXT(D23,"YYYYMMDD")&amp;TEXT(ROW()-13,"0000")))</f>
        <v/>
      </c>
      <c r="B23" s="486" t="n"/>
      <c r="C23" s="378">
        <f>IF(B23="","",IFERROR(VLOOKUP(B23,DB_Customers!$A:$D,4,0),"❌ Account Not Found"))</f>
        <v/>
      </c>
      <c r="D23" s="488">
        <f>IF(B23="","",TODAY())</f>
        <v/>
      </c>
      <c r="E23" s="526" t="n"/>
      <c r="F23" s="378" t="n"/>
      <c r="G23" s="532" t="n"/>
      <c r="H23" s="533" t="n"/>
      <c r="I23" s="529">
        <f>IF(E23="","",E23+(E23*H23/100*G23))</f>
        <v/>
      </c>
      <c r="J23" s="534">
        <f>IFERROR(I23/G23,"")</f>
        <v/>
      </c>
      <c r="K23" s="535">
        <f>IF(B23="","Pending",IF(M23="","⚠️ Enter Code",IF(IFERROR(VLOOKUP(L23,DB_Agents!$B:$I,8,0),"")=M23,"Pending","🔒 BLOCKED — Wrong Code")))</f>
        <v/>
      </c>
      <c r="L23" s="380" t="inlineStr">
        <is>
          <t>Agent 07</t>
        </is>
      </c>
      <c r="M23" s="491" t="n"/>
      <c r="N23" s="494" t="n"/>
    </row>
    <row r="24" ht="15" customHeight="1" s="341">
      <c r="A24" s="499">
        <f>IF(B24="","",IF(C24="❌ Account Not Found","INVALID","LN"&amp;TEXT(D24,"YYYYMMDD")&amp;TEXT(ROW()-13,"0000")))</f>
        <v/>
      </c>
      <c r="B24" s="495" t="n"/>
      <c r="C24" s="382">
        <f>IF(B24="","",IFERROR(VLOOKUP(B24,DB_Customers!$A:$D,4,0),"❌ Account Not Found"))</f>
        <v/>
      </c>
      <c r="D24" s="497">
        <f>IF(B24="","",TODAY())</f>
        <v/>
      </c>
      <c r="E24" s="526" t="n"/>
      <c r="F24" s="382" t="n"/>
      <c r="G24" s="527" t="n"/>
      <c r="H24" s="528" t="n"/>
      <c r="I24" s="529">
        <f>IF(E24="","",E24+(E24*H24/100*G24))</f>
        <v/>
      </c>
      <c r="J24" s="530">
        <f>IFERROR(I24/G24,"")</f>
        <v/>
      </c>
      <c r="K24" s="531">
        <f>IF(B24="","Pending",IF(M24="","⚠️ Enter Code",IF(IFERROR(VLOOKUP(L24,DB_Agents!$B:$I,8,0),"")=M24,"Pending","🔒 BLOCKED — Wrong Code")))</f>
        <v/>
      </c>
      <c r="L24" s="384" t="inlineStr">
        <is>
          <t>Agent 07</t>
        </is>
      </c>
      <c r="M24" s="491" t="n"/>
      <c r="N24" s="501" t="n"/>
    </row>
    <row r="25" ht="15" customHeight="1" s="341">
      <c r="A25" s="492">
        <f>IF(B25="","",IF(C25="❌ Account Not Found","INVALID","LN"&amp;TEXT(D25,"YYYYMMDD")&amp;TEXT(ROW()-13,"0000")))</f>
        <v/>
      </c>
      <c r="B25" s="486" t="n"/>
      <c r="C25" s="378">
        <f>IF(B25="","",IFERROR(VLOOKUP(B25,DB_Customers!$A:$D,4,0),"❌ Account Not Found"))</f>
        <v/>
      </c>
      <c r="D25" s="488">
        <f>IF(B25="","",TODAY())</f>
        <v/>
      </c>
      <c r="E25" s="526" t="n"/>
      <c r="F25" s="378" t="n"/>
      <c r="G25" s="532" t="n"/>
      <c r="H25" s="533" t="n"/>
      <c r="I25" s="529">
        <f>IF(E25="","",E25+(E25*H25/100*G25))</f>
        <v/>
      </c>
      <c r="J25" s="534">
        <f>IFERROR(I25/G25,"")</f>
        <v/>
      </c>
      <c r="K25" s="535">
        <f>IF(B25="","Pending",IF(M25="","⚠️ Enter Code",IF(IFERROR(VLOOKUP(L25,DB_Agents!$B:$I,8,0),"")=M25,"Pending","🔒 BLOCKED — Wrong Code")))</f>
        <v/>
      </c>
      <c r="L25" s="380" t="inlineStr">
        <is>
          <t>Agent 07</t>
        </is>
      </c>
      <c r="M25" s="491" t="n"/>
      <c r="N25" s="494" t="n"/>
    </row>
    <row r="26" ht="15" customHeight="1" s="341">
      <c r="A26" s="499">
        <f>IF(B26="","",IF(C26="❌ Account Not Found","INVALID","LN"&amp;TEXT(D26,"YYYYMMDD")&amp;TEXT(ROW()-13,"0000")))</f>
        <v/>
      </c>
      <c r="B26" s="495" t="n"/>
      <c r="C26" s="382">
        <f>IF(B26="","",IFERROR(VLOOKUP(B26,DB_Customers!$A:$D,4,0),"❌ Account Not Found"))</f>
        <v/>
      </c>
      <c r="D26" s="497">
        <f>IF(B26="","",TODAY())</f>
        <v/>
      </c>
      <c r="E26" s="526" t="n"/>
      <c r="F26" s="382" t="n"/>
      <c r="G26" s="527" t="n"/>
      <c r="H26" s="528" t="n"/>
      <c r="I26" s="529">
        <f>IF(E26="","",E26+(E26*H26/100*G26))</f>
        <v/>
      </c>
      <c r="J26" s="530">
        <f>IFERROR(I26/G26,"")</f>
        <v/>
      </c>
      <c r="K26" s="531">
        <f>IF(B26="","Pending",IF(M26="","⚠️ Enter Code",IF(IFERROR(VLOOKUP(L26,DB_Agents!$B:$I,8,0),"")=M26,"Pending","🔒 BLOCKED — Wrong Code")))</f>
        <v/>
      </c>
      <c r="L26" s="384" t="inlineStr">
        <is>
          <t>Agent 07</t>
        </is>
      </c>
      <c r="M26" s="491" t="n"/>
      <c r="N26" s="501" t="n"/>
    </row>
    <row r="27" ht="15" customHeight="1" s="341">
      <c r="A27" s="492">
        <f>IF(B27="","",IF(C27="❌ Account Not Found","INVALID","LN"&amp;TEXT(D27,"YYYYMMDD")&amp;TEXT(ROW()-13,"0000")))</f>
        <v/>
      </c>
      <c r="B27" s="486" t="n"/>
      <c r="C27" s="378">
        <f>IF(B27="","",IFERROR(VLOOKUP(B27,DB_Customers!$A:$D,4,0),"❌ Account Not Found"))</f>
        <v/>
      </c>
      <c r="D27" s="488">
        <f>IF(B27="","",TODAY())</f>
        <v/>
      </c>
      <c r="E27" s="526" t="n"/>
      <c r="F27" s="378" t="n"/>
      <c r="G27" s="532" t="n"/>
      <c r="H27" s="533" t="n"/>
      <c r="I27" s="529">
        <f>IF(E27="","",E27+(E27*H27/100*G27))</f>
        <v/>
      </c>
      <c r="J27" s="534">
        <f>IFERROR(I27/G27,"")</f>
        <v/>
      </c>
      <c r="K27" s="535">
        <f>IF(B27="","Pending",IF(M27="","⚠️ Enter Code",IF(IFERROR(VLOOKUP(L27,DB_Agents!$B:$I,8,0),"")=M27,"Pending","🔒 BLOCKED — Wrong Code")))</f>
        <v/>
      </c>
      <c r="L27" s="380" t="inlineStr">
        <is>
          <t>Agent 07</t>
        </is>
      </c>
      <c r="M27" s="491" t="n"/>
      <c r="N27" s="494" t="n"/>
    </row>
    <row r="28" ht="15" customHeight="1" s="341">
      <c r="A28" s="499">
        <f>IF(B28="","",IF(C28="❌ Account Not Found","INVALID","LN"&amp;TEXT(D28,"YYYYMMDD")&amp;TEXT(ROW()-13,"0000")))</f>
        <v/>
      </c>
      <c r="B28" s="495" t="n"/>
      <c r="C28" s="382">
        <f>IF(B28="","",IFERROR(VLOOKUP(B28,DB_Customers!$A:$D,4,0),"❌ Account Not Found"))</f>
        <v/>
      </c>
      <c r="D28" s="497">
        <f>IF(B28="","",TODAY())</f>
        <v/>
      </c>
      <c r="E28" s="526" t="n"/>
      <c r="F28" s="382" t="n"/>
      <c r="G28" s="527" t="n"/>
      <c r="H28" s="528" t="n"/>
      <c r="I28" s="529">
        <f>IF(E28="","",E28+(E28*H28/100*G28))</f>
        <v/>
      </c>
      <c r="J28" s="530">
        <f>IFERROR(I28/G28,"")</f>
        <v/>
      </c>
      <c r="K28" s="531">
        <f>IF(B28="","Pending",IF(M28="","⚠️ Enter Code",IF(IFERROR(VLOOKUP(L28,DB_Agents!$B:$I,8,0),"")=M28,"Pending","🔒 BLOCKED — Wrong Code")))</f>
        <v/>
      </c>
      <c r="L28" s="384" t="inlineStr">
        <is>
          <t>Agent 07</t>
        </is>
      </c>
      <c r="M28" s="491" t="n"/>
      <c r="N28" s="501" t="n"/>
    </row>
    <row r="29" ht="15" customHeight="1" s="341">
      <c r="A29" s="492">
        <f>IF(B29="","",IF(C29="❌ Account Not Found","INVALID","LN"&amp;TEXT(D29,"YYYYMMDD")&amp;TEXT(ROW()-13,"0000")))</f>
        <v/>
      </c>
      <c r="B29" s="486" t="n"/>
      <c r="C29" s="378">
        <f>IF(B29="","",IFERROR(VLOOKUP(B29,DB_Customers!$A:$D,4,0),"❌ Account Not Found"))</f>
        <v/>
      </c>
      <c r="D29" s="488">
        <f>IF(B29="","",TODAY())</f>
        <v/>
      </c>
      <c r="E29" s="526" t="n"/>
      <c r="F29" s="378" t="n"/>
      <c r="G29" s="532" t="n"/>
      <c r="H29" s="533" t="n"/>
      <c r="I29" s="529">
        <f>IF(E29="","",E29+(E29*H29/100*G29))</f>
        <v/>
      </c>
      <c r="J29" s="534">
        <f>IFERROR(I29/G29,"")</f>
        <v/>
      </c>
      <c r="K29" s="535">
        <f>IF(B29="","Pending",IF(M29="","⚠️ Enter Code",IF(IFERROR(VLOOKUP(L29,DB_Agents!$B:$I,8,0),"")=M29,"Pending","🔒 BLOCKED — Wrong Code")))</f>
        <v/>
      </c>
      <c r="L29" s="380" t="inlineStr">
        <is>
          <t>Agent 07</t>
        </is>
      </c>
      <c r="M29" s="491" t="n"/>
      <c r="N29" s="494" t="n"/>
    </row>
    <row r="30" ht="15" customHeight="1" s="341">
      <c r="A30" s="499">
        <f>IF(B30="","",IF(C30="❌ Account Not Found","INVALID","LN"&amp;TEXT(D30,"YYYYMMDD")&amp;TEXT(ROW()-13,"0000")))</f>
        <v/>
      </c>
      <c r="B30" s="495" t="n"/>
      <c r="C30" s="382">
        <f>IF(B30="","",IFERROR(VLOOKUP(B30,DB_Customers!$A:$D,4,0),"❌ Account Not Found"))</f>
        <v/>
      </c>
      <c r="D30" s="497">
        <f>IF(B30="","",TODAY())</f>
        <v/>
      </c>
      <c r="E30" s="526" t="n"/>
      <c r="F30" s="382" t="n"/>
      <c r="G30" s="527" t="n"/>
      <c r="H30" s="528" t="n"/>
      <c r="I30" s="529">
        <f>IF(E30="","",E30+(E30*H30/100*G30))</f>
        <v/>
      </c>
      <c r="J30" s="530">
        <f>IFERROR(I30/G30,"")</f>
        <v/>
      </c>
      <c r="K30" s="531">
        <f>IF(B30="","Pending",IF(M30="","⚠️ Enter Code",IF(IFERROR(VLOOKUP(L30,DB_Agents!$B:$I,8,0),"")=M30,"Pending","🔒 BLOCKED — Wrong Code")))</f>
        <v/>
      </c>
      <c r="L30" s="384" t="inlineStr">
        <is>
          <t>Agent 07</t>
        </is>
      </c>
      <c r="M30" s="491" t="n"/>
      <c r="N30" s="501" t="n"/>
    </row>
    <row r="31" ht="15" customHeight="1" s="341">
      <c r="A31" s="492">
        <f>IF(B31="","",IF(C31="❌ Account Not Found","INVALID","LN"&amp;TEXT(D31,"YYYYMMDD")&amp;TEXT(ROW()-13,"0000")))</f>
        <v/>
      </c>
      <c r="B31" s="486" t="n"/>
      <c r="C31" s="378">
        <f>IF(B31="","",IFERROR(VLOOKUP(B31,DB_Customers!$A:$D,4,0),"❌ Account Not Found"))</f>
        <v/>
      </c>
      <c r="D31" s="488">
        <f>IF(B31="","",TODAY())</f>
        <v/>
      </c>
      <c r="E31" s="526" t="n"/>
      <c r="F31" s="378" t="n"/>
      <c r="G31" s="532" t="n"/>
      <c r="H31" s="533" t="n"/>
      <c r="I31" s="529">
        <f>IF(E31="","",E31+(E31*H31/100*G31))</f>
        <v/>
      </c>
      <c r="J31" s="534">
        <f>IFERROR(I31/G31,"")</f>
        <v/>
      </c>
      <c r="K31" s="535">
        <f>IF(B31="","Pending",IF(M31="","⚠️ Enter Code",IF(IFERROR(VLOOKUP(L31,DB_Agents!$B:$I,8,0),"")=M31,"Pending","🔒 BLOCKED — Wrong Code")))</f>
        <v/>
      </c>
      <c r="L31" s="380" t="inlineStr">
        <is>
          <t>Agent 07</t>
        </is>
      </c>
      <c r="M31" s="491" t="n"/>
      <c r="N31" s="494" t="n"/>
    </row>
    <row r="32" ht="15" customHeight="1" s="341">
      <c r="A32" s="499">
        <f>IF(B32="","",IF(C32="❌ Account Not Found","INVALID","LN"&amp;TEXT(D32,"YYYYMMDD")&amp;TEXT(ROW()-13,"0000")))</f>
        <v/>
      </c>
      <c r="B32" s="495" t="n"/>
      <c r="C32" s="382">
        <f>IF(B32="","",IFERROR(VLOOKUP(B32,DB_Customers!$A:$D,4,0),"❌ Account Not Found"))</f>
        <v/>
      </c>
      <c r="D32" s="497">
        <f>IF(B32="","",TODAY())</f>
        <v/>
      </c>
      <c r="E32" s="526" t="n"/>
      <c r="F32" s="382" t="n"/>
      <c r="G32" s="527" t="n"/>
      <c r="H32" s="528" t="n"/>
      <c r="I32" s="529">
        <f>IF(E32="","",E32+(E32*H32/100*G32))</f>
        <v/>
      </c>
      <c r="J32" s="530">
        <f>IFERROR(I32/G32,"")</f>
        <v/>
      </c>
      <c r="K32" s="531">
        <f>IF(B32="","Pending",IF(M32="","⚠️ Enter Code",IF(IFERROR(VLOOKUP(L32,DB_Agents!$B:$I,8,0),"")=M32,"Pending","🔒 BLOCKED — Wrong Code")))</f>
        <v/>
      </c>
      <c r="L32" s="384" t="inlineStr">
        <is>
          <t>Agent 07</t>
        </is>
      </c>
      <c r="M32" s="491" t="n"/>
      <c r="N32" s="501" t="n"/>
    </row>
    <row r="33" ht="15" customHeight="1" s="341">
      <c r="A33" s="492">
        <f>IF(B33="","",IF(C33="❌ Account Not Found","INVALID","LN"&amp;TEXT(D33,"YYYYMMDD")&amp;TEXT(ROW()-13,"0000")))</f>
        <v/>
      </c>
      <c r="B33" s="486" t="n"/>
      <c r="C33" s="378">
        <f>IF(B33="","",IFERROR(VLOOKUP(B33,DB_Customers!$A:$D,4,0),"❌ Account Not Found"))</f>
        <v/>
      </c>
      <c r="D33" s="488">
        <f>IF(B33="","",TODAY())</f>
        <v/>
      </c>
      <c r="E33" s="526" t="n"/>
      <c r="F33" s="378" t="n"/>
      <c r="G33" s="532" t="n"/>
      <c r="H33" s="533" t="n"/>
      <c r="I33" s="529">
        <f>IF(E33="","",E33+(E33*H33/100*G33))</f>
        <v/>
      </c>
      <c r="J33" s="534">
        <f>IFERROR(I33/G33,"")</f>
        <v/>
      </c>
      <c r="K33" s="535">
        <f>IF(B33="","Pending",IF(M33="","⚠️ Enter Code",IF(IFERROR(VLOOKUP(L33,DB_Agents!$B:$I,8,0),"")=M33,"Pending","🔒 BLOCKED — Wrong Code")))</f>
        <v/>
      </c>
      <c r="L33" s="380" t="inlineStr">
        <is>
          <t>Agent 07</t>
        </is>
      </c>
      <c r="M33" s="491" t="n"/>
      <c r="N33" s="494" t="n"/>
    </row>
    <row r="34" ht="15" customHeight="1" s="341">
      <c r="A34" s="499">
        <f>IF(B34="","",IF(C34="❌ Account Not Found","INVALID","LN"&amp;TEXT(D34,"YYYYMMDD")&amp;TEXT(ROW()-13,"0000")))</f>
        <v/>
      </c>
      <c r="B34" s="495" t="n"/>
      <c r="C34" s="382">
        <f>IF(B34="","",IFERROR(VLOOKUP(B34,DB_Customers!$A:$D,4,0),"❌ Account Not Found"))</f>
        <v/>
      </c>
      <c r="D34" s="497">
        <f>IF(B34="","",TODAY())</f>
        <v/>
      </c>
      <c r="E34" s="526" t="n"/>
      <c r="F34" s="382" t="n"/>
      <c r="G34" s="527" t="n"/>
      <c r="H34" s="528" t="n"/>
      <c r="I34" s="529">
        <f>IF(E34="","",E34+(E34*H34/100*G34))</f>
        <v/>
      </c>
      <c r="J34" s="530">
        <f>IFERROR(I34/G34,"")</f>
        <v/>
      </c>
      <c r="K34" s="531">
        <f>IF(B34="","Pending",IF(M34="","⚠️ Enter Code",IF(IFERROR(VLOOKUP(L34,DB_Agents!$B:$I,8,0),"")=M34,"Pending","🔒 BLOCKED — Wrong Code")))</f>
        <v/>
      </c>
      <c r="L34" s="384" t="inlineStr">
        <is>
          <t>Agent 07</t>
        </is>
      </c>
      <c r="M34" s="491" t="n"/>
      <c r="N34" s="501" t="n"/>
    </row>
    <row r="35" ht="15" customHeight="1" s="341">
      <c r="A35" s="492">
        <f>IF(B35="","",IF(C35="❌ Account Not Found","INVALID","LN"&amp;TEXT(D35,"YYYYMMDD")&amp;TEXT(ROW()-13,"0000")))</f>
        <v/>
      </c>
      <c r="B35" s="486" t="n"/>
      <c r="C35" s="378">
        <f>IF(B35="","",IFERROR(VLOOKUP(B35,DB_Customers!$A:$D,4,0),"❌ Account Not Found"))</f>
        <v/>
      </c>
      <c r="D35" s="488">
        <f>IF(B35="","",TODAY())</f>
        <v/>
      </c>
      <c r="E35" s="526" t="n"/>
      <c r="F35" s="378" t="n"/>
      <c r="G35" s="532" t="n"/>
      <c r="H35" s="533" t="n"/>
      <c r="I35" s="529">
        <f>IF(E35="","",E35+(E35*H35/100*G35))</f>
        <v/>
      </c>
      <c r="J35" s="534">
        <f>IFERROR(I35/G35,"")</f>
        <v/>
      </c>
      <c r="K35" s="535">
        <f>IF(B35="","Pending",IF(M35="","⚠️ Enter Code",IF(IFERROR(VLOOKUP(L35,DB_Agents!$B:$I,8,0),"")=M35,"Pending","🔒 BLOCKED — Wrong Code")))</f>
        <v/>
      </c>
      <c r="L35" s="380" t="inlineStr">
        <is>
          <t>Agent 07</t>
        </is>
      </c>
      <c r="M35" s="491" t="n"/>
      <c r="N35" s="494" t="n"/>
    </row>
    <row r="36" ht="15" customHeight="1" s="341">
      <c r="A36" s="499">
        <f>IF(B36="","",IF(C36="❌ Account Not Found","INVALID","LN"&amp;TEXT(D36,"YYYYMMDD")&amp;TEXT(ROW()-13,"0000")))</f>
        <v/>
      </c>
      <c r="B36" s="495" t="n"/>
      <c r="C36" s="382">
        <f>IF(B36="","",IFERROR(VLOOKUP(B36,DB_Customers!$A:$D,4,0),"❌ Account Not Found"))</f>
        <v/>
      </c>
      <c r="D36" s="497">
        <f>IF(B36="","",TODAY())</f>
        <v/>
      </c>
      <c r="E36" s="526" t="n"/>
      <c r="F36" s="382" t="n"/>
      <c r="G36" s="527" t="n"/>
      <c r="H36" s="528" t="n"/>
      <c r="I36" s="529">
        <f>IF(E36="","",E36+(E36*H36/100*G36))</f>
        <v/>
      </c>
      <c r="J36" s="530">
        <f>IFERROR(I36/G36,"")</f>
        <v/>
      </c>
      <c r="K36" s="531">
        <f>IF(B36="","Pending",IF(M36="","⚠️ Enter Code",IF(IFERROR(VLOOKUP(L36,DB_Agents!$B:$I,8,0),"")=M36,"Pending","🔒 BLOCKED — Wrong Code")))</f>
        <v/>
      </c>
      <c r="L36" s="384" t="inlineStr">
        <is>
          <t>Agent 07</t>
        </is>
      </c>
      <c r="M36" s="491" t="n"/>
      <c r="N36" s="501" t="n"/>
    </row>
    <row r="37" ht="15" customHeight="1" s="341">
      <c r="A37" s="492">
        <f>IF(B37="","",IF(C37="❌ Account Not Found","INVALID","LN"&amp;TEXT(D37,"YYYYMMDD")&amp;TEXT(ROW()-13,"0000")))</f>
        <v/>
      </c>
      <c r="B37" s="486" t="n"/>
      <c r="C37" s="378">
        <f>IF(B37="","",IFERROR(VLOOKUP(B37,DB_Customers!$A:$D,4,0),"❌ Account Not Found"))</f>
        <v/>
      </c>
      <c r="D37" s="488">
        <f>IF(B37="","",TODAY())</f>
        <v/>
      </c>
      <c r="E37" s="526" t="n"/>
      <c r="F37" s="378" t="n"/>
      <c r="G37" s="532" t="n"/>
      <c r="H37" s="533" t="n"/>
      <c r="I37" s="529">
        <f>IF(E37="","",E37+(E37*H37/100*G37))</f>
        <v/>
      </c>
      <c r="J37" s="534">
        <f>IFERROR(I37/G37,"")</f>
        <v/>
      </c>
      <c r="K37" s="535">
        <f>IF(B37="","Pending",IF(M37="","⚠️ Enter Code",IF(IFERROR(VLOOKUP(L37,DB_Agents!$B:$I,8,0),"")=M37,"Pending","🔒 BLOCKED — Wrong Code")))</f>
        <v/>
      </c>
      <c r="L37" s="380" t="inlineStr">
        <is>
          <t>Agent 07</t>
        </is>
      </c>
      <c r="M37" s="491" t="n"/>
      <c r="N37" s="494" t="n"/>
    </row>
    <row r="38" ht="15" customHeight="1" s="341">
      <c r="A38" s="499">
        <f>IF(B38="","",IF(C38="❌ Account Not Found","INVALID","LN"&amp;TEXT(D38,"YYYYMMDD")&amp;TEXT(ROW()-13,"0000")))</f>
        <v/>
      </c>
      <c r="B38" s="495" t="n"/>
      <c r="C38" s="382">
        <f>IF(B38="","",IFERROR(VLOOKUP(B38,DB_Customers!$A:$D,4,0),"❌ Account Not Found"))</f>
        <v/>
      </c>
      <c r="D38" s="497">
        <f>IF(B38="","",TODAY())</f>
        <v/>
      </c>
      <c r="E38" s="526" t="n"/>
      <c r="F38" s="382" t="n"/>
      <c r="G38" s="527" t="n"/>
      <c r="H38" s="528" t="n"/>
      <c r="I38" s="529">
        <f>IF(E38="","",E38+(E38*H38/100*G38))</f>
        <v/>
      </c>
      <c r="J38" s="530">
        <f>IFERROR(I38/G38,"")</f>
        <v/>
      </c>
      <c r="K38" s="531">
        <f>IF(B38="","Pending",IF(M38="","⚠️ Enter Code",IF(IFERROR(VLOOKUP(L38,DB_Agents!$B:$I,8,0),"")=M38,"Pending","🔒 BLOCKED — Wrong Code")))</f>
        <v/>
      </c>
      <c r="L38" s="384" t="inlineStr">
        <is>
          <t>Agent 07</t>
        </is>
      </c>
      <c r="M38" s="491" t="n"/>
      <c r="N38" s="501" t="n"/>
    </row>
    <row r="39" ht="15" customHeight="1" s="341">
      <c r="A39" s="492">
        <f>IF(B39="","",IF(C39="❌ Account Not Found","INVALID","LN"&amp;TEXT(D39,"YYYYMMDD")&amp;TEXT(ROW()-13,"0000")))</f>
        <v/>
      </c>
      <c r="B39" s="486" t="n"/>
      <c r="C39" s="378">
        <f>IF(B39="","",IFERROR(VLOOKUP(B39,DB_Customers!$A:$D,4,0),"❌ Account Not Found"))</f>
        <v/>
      </c>
      <c r="D39" s="488">
        <f>IF(B39="","",TODAY())</f>
        <v/>
      </c>
      <c r="E39" s="526" t="n"/>
      <c r="F39" s="378" t="n"/>
      <c r="G39" s="532" t="n"/>
      <c r="H39" s="533" t="n"/>
      <c r="I39" s="529">
        <f>IF(E39="","",E39+(E39*H39/100*G39))</f>
        <v/>
      </c>
      <c r="J39" s="534">
        <f>IFERROR(I39/G39,"")</f>
        <v/>
      </c>
      <c r="K39" s="535">
        <f>IF(B39="","Pending",IF(M39="","⚠️ Enter Code",IF(IFERROR(VLOOKUP(L39,DB_Agents!$B:$I,8,0),"")=M39,"Pending","🔒 BLOCKED — Wrong Code")))</f>
        <v/>
      </c>
      <c r="L39" s="380" t="inlineStr">
        <is>
          <t>Agent 07</t>
        </is>
      </c>
      <c r="M39" s="491" t="n"/>
      <c r="N39" s="494" t="n"/>
    </row>
    <row r="40" ht="15" customHeight="1" s="341">
      <c r="A40" s="499">
        <f>IF(B40="","",IF(C40="❌ Account Not Found","INVALID","LN"&amp;TEXT(D40,"YYYYMMDD")&amp;TEXT(ROW()-13,"0000")))</f>
        <v/>
      </c>
      <c r="B40" s="495" t="n"/>
      <c r="C40" s="382">
        <f>IF(B40="","",IFERROR(VLOOKUP(B40,DB_Customers!$A:$D,4,0),"❌ Account Not Found"))</f>
        <v/>
      </c>
      <c r="D40" s="497">
        <f>IF(B40="","",TODAY())</f>
        <v/>
      </c>
      <c r="E40" s="526" t="n"/>
      <c r="F40" s="382" t="n"/>
      <c r="G40" s="527" t="n"/>
      <c r="H40" s="528" t="n"/>
      <c r="I40" s="529">
        <f>IF(E40="","",E40+(E40*H40/100*G40))</f>
        <v/>
      </c>
      <c r="J40" s="530">
        <f>IFERROR(I40/G40,"")</f>
        <v/>
      </c>
      <c r="K40" s="531">
        <f>IF(B40="","Pending",IF(M40="","⚠️ Enter Code",IF(IFERROR(VLOOKUP(L40,DB_Agents!$B:$I,8,0),"")=M40,"Pending","🔒 BLOCKED — Wrong Code")))</f>
        <v/>
      </c>
      <c r="L40" s="384" t="inlineStr">
        <is>
          <t>Agent 07</t>
        </is>
      </c>
      <c r="M40" s="491" t="n"/>
      <c r="N40" s="501" t="n"/>
    </row>
    <row r="41" ht="15" customHeight="1" s="341">
      <c r="A41" s="492">
        <f>IF(B41="","",IF(C41="❌ Account Not Found","INVALID","LN"&amp;TEXT(D41,"YYYYMMDD")&amp;TEXT(ROW()-13,"0000")))</f>
        <v/>
      </c>
      <c r="B41" s="486" t="n"/>
      <c r="C41" s="378">
        <f>IF(B41="","",IFERROR(VLOOKUP(B41,DB_Customers!$A:$D,4,0),"❌ Account Not Found"))</f>
        <v/>
      </c>
      <c r="D41" s="488">
        <f>IF(B41="","",TODAY())</f>
        <v/>
      </c>
      <c r="E41" s="526" t="n"/>
      <c r="F41" s="378" t="n"/>
      <c r="G41" s="532" t="n"/>
      <c r="H41" s="533" t="n"/>
      <c r="I41" s="529">
        <f>IF(E41="","",E41+(E41*H41/100*G41))</f>
        <v/>
      </c>
      <c r="J41" s="534">
        <f>IFERROR(I41/G41,"")</f>
        <v/>
      </c>
      <c r="K41" s="535">
        <f>IF(B41="","Pending",IF(M41="","⚠️ Enter Code",IF(IFERROR(VLOOKUP(L41,DB_Agents!$B:$I,8,0),"")=M41,"Pending","🔒 BLOCKED — Wrong Code")))</f>
        <v/>
      </c>
      <c r="L41" s="380" t="inlineStr">
        <is>
          <t>Agent 07</t>
        </is>
      </c>
      <c r="M41" s="491" t="n"/>
      <c r="N41" s="494" t="n"/>
    </row>
    <row r="42" ht="15" customHeight="1" s="341">
      <c r="A42" s="499">
        <f>IF(B42="","",IF(C42="❌ Account Not Found","INVALID","LN"&amp;TEXT(D42,"YYYYMMDD")&amp;TEXT(ROW()-13,"0000")))</f>
        <v/>
      </c>
      <c r="B42" s="495" t="n"/>
      <c r="C42" s="382">
        <f>IF(B42="","",IFERROR(VLOOKUP(B42,DB_Customers!$A:$D,4,0),"❌ Account Not Found"))</f>
        <v/>
      </c>
      <c r="D42" s="497">
        <f>IF(B42="","",TODAY())</f>
        <v/>
      </c>
      <c r="E42" s="526" t="n"/>
      <c r="F42" s="382" t="n"/>
      <c r="G42" s="527" t="n"/>
      <c r="H42" s="528" t="n"/>
      <c r="I42" s="529">
        <f>IF(E42="","",E42+(E42*H42/100*G42))</f>
        <v/>
      </c>
      <c r="J42" s="530">
        <f>IFERROR(I42/G42,"")</f>
        <v/>
      </c>
      <c r="K42" s="531">
        <f>IF(B42="","Pending",IF(M42="","⚠️ Enter Code",IF(IFERROR(VLOOKUP(L42,DB_Agents!$B:$I,8,0),"")=M42,"Pending","🔒 BLOCKED — Wrong Code")))</f>
        <v/>
      </c>
      <c r="L42" s="384" t="inlineStr">
        <is>
          <t>Agent 07</t>
        </is>
      </c>
      <c r="M42" s="491" t="n"/>
      <c r="N42" s="501" t="n"/>
    </row>
    <row r="43" ht="15" customHeight="1" s="341">
      <c r="A43" s="492">
        <f>IF(B43="","",IF(C43="❌ Account Not Found","INVALID","LN"&amp;TEXT(D43,"YYYYMMDD")&amp;TEXT(ROW()-13,"0000")))</f>
        <v/>
      </c>
      <c r="B43" s="486" t="n"/>
      <c r="C43" s="378">
        <f>IF(B43="","",IFERROR(VLOOKUP(B43,DB_Customers!$A:$D,4,0),"❌ Account Not Found"))</f>
        <v/>
      </c>
      <c r="D43" s="488">
        <f>IF(B43="","",TODAY())</f>
        <v/>
      </c>
      <c r="E43" s="526" t="n"/>
      <c r="F43" s="378" t="n"/>
      <c r="G43" s="532" t="n"/>
      <c r="H43" s="533" t="n"/>
      <c r="I43" s="529">
        <f>IF(E43="","",E43+(E43*H43/100*G43))</f>
        <v/>
      </c>
      <c r="J43" s="534">
        <f>IFERROR(I43/G43,"")</f>
        <v/>
      </c>
      <c r="K43" s="535">
        <f>IF(B43="","Pending",IF(M43="","⚠️ Enter Code",IF(IFERROR(VLOOKUP(L43,DB_Agents!$B:$I,8,0),"")=M43,"Pending","🔒 BLOCKED — Wrong Code")))</f>
        <v/>
      </c>
      <c r="L43" s="380" t="inlineStr">
        <is>
          <t>Agent 07</t>
        </is>
      </c>
      <c r="M43" s="491" t="n"/>
      <c r="N43" s="494" t="n"/>
    </row>
    <row r="44" ht="15" customHeight="1" s="341">
      <c r="A44" s="499">
        <f>IF(B44="","",IF(C44="❌ Account Not Found","INVALID","LN"&amp;TEXT(D44,"YYYYMMDD")&amp;TEXT(ROW()-13,"0000")))</f>
        <v/>
      </c>
      <c r="B44" s="495" t="n"/>
      <c r="C44" s="382">
        <f>IF(B44="","",IFERROR(VLOOKUP(B44,DB_Customers!$A:$D,4,0),"❌ Account Not Found"))</f>
        <v/>
      </c>
      <c r="D44" s="497">
        <f>IF(B44="","",TODAY())</f>
        <v/>
      </c>
      <c r="E44" s="526" t="n"/>
      <c r="F44" s="382" t="n"/>
      <c r="G44" s="527" t="n"/>
      <c r="H44" s="528" t="n"/>
      <c r="I44" s="529">
        <f>IF(E44="","",E44+(E44*H44/100*G44))</f>
        <v/>
      </c>
      <c r="J44" s="530">
        <f>IFERROR(I44/G44,"")</f>
        <v/>
      </c>
      <c r="K44" s="531">
        <f>IF(B44="","Pending",IF(M44="","⚠️ Enter Code",IF(IFERROR(VLOOKUP(L44,DB_Agents!$B:$I,8,0),"")=M44,"Pending","🔒 BLOCKED — Wrong Code")))</f>
        <v/>
      </c>
      <c r="L44" s="384" t="inlineStr">
        <is>
          <t>Agent 07</t>
        </is>
      </c>
      <c r="M44" s="491" t="n"/>
      <c r="N44" s="501" t="n"/>
    </row>
    <row r="45" ht="15" customHeight="1" s="341">
      <c r="A45" s="492">
        <f>IF(B45="","",IF(C45="❌ Account Not Found","INVALID","LN"&amp;TEXT(D45,"YYYYMMDD")&amp;TEXT(ROW()-13,"0000")))</f>
        <v/>
      </c>
      <c r="B45" s="486" t="n"/>
      <c r="C45" s="378">
        <f>IF(B45="","",IFERROR(VLOOKUP(B45,DB_Customers!$A:$D,4,0),"❌ Account Not Found"))</f>
        <v/>
      </c>
      <c r="D45" s="488">
        <f>IF(B45="","",TODAY())</f>
        <v/>
      </c>
      <c r="E45" s="526" t="n"/>
      <c r="F45" s="378" t="n"/>
      <c r="G45" s="532" t="n"/>
      <c r="H45" s="533" t="n"/>
      <c r="I45" s="529">
        <f>IF(E45="","",E45+(E45*H45/100*G45))</f>
        <v/>
      </c>
      <c r="J45" s="534">
        <f>IFERROR(I45/G45,"")</f>
        <v/>
      </c>
      <c r="K45" s="535">
        <f>IF(B45="","Pending",IF(M45="","⚠️ Enter Code",IF(IFERROR(VLOOKUP(L45,DB_Agents!$B:$I,8,0),"")=M45,"Pending","🔒 BLOCKED — Wrong Code")))</f>
        <v/>
      </c>
      <c r="L45" s="380" t="inlineStr">
        <is>
          <t>Agent 07</t>
        </is>
      </c>
      <c r="M45" s="491" t="n"/>
      <c r="N45" s="494" t="n"/>
    </row>
    <row r="46" ht="15" customHeight="1" s="341">
      <c r="A46" s="499">
        <f>IF(B46="","",IF(C46="❌ Account Not Found","INVALID","LN"&amp;TEXT(D46,"YYYYMMDD")&amp;TEXT(ROW()-13,"0000")))</f>
        <v/>
      </c>
      <c r="B46" s="495" t="n"/>
      <c r="C46" s="382">
        <f>IF(B46="","",IFERROR(VLOOKUP(B46,DB_Customers!$A:$D,4,0),"❌ Account Not Found"))</f>
        <v/>
      </c>
      <c r="D46" s="497">
        <f>IF(B46="","",TODAY())</f>
        <v/>
      </c>
      <c r="E46" s="526" t="n"/>
      <c r="F46" s="382" t="n"/>
      <c r="G46" s="527" t="n"/>
      <c r="H46" s="528" t="n"/>
      <c r="I46" s="529">
        <f>IF(E46="","",E46+(E46*H46/100*G46))</f>
        <v/>
      </c>
      <c r="J46" s="530">
        <f>IFERROR(I46/G46,"")</f>
        <v/>
      </c>
      <c r="K46" s="531">
        <f>IF(B46="","Pending",IF(M46="","⚠️ Enter Code",IF(IFERROR(VLOOKUP(L46,DB_Agents!$B:$I,8,0),"")=M46,"Pending","🔒 BLOCKED — Wrong Code")))</f>
        <v/>
      </c>
      <c r="L46" s="384" t="inlineStr">
        <is>
          <t>Agent 07</t>
        </is>
      </c>
      <c r="M46" s="491" t="n"/>
      <c r="N46" s="501" t="n"/>
    </row>
    <row r="47" ht="15" customHeight="1" s="341">
      <c r="A47" s="492">
        <f>IF(B47="","",IF(C47="❌ Account Not Found","INVALID","LN"&amp;TEXT(D47,"YYYYMMDD")&amp;TEXT(ROW()-13,"0000")))</f>
        <v/>
      </c>
      <c r="B47" s="486" t="n"/>
      <c r="C47" s="378">
        <f>IF(B47="","",IFERROR(VLOOKUP(B47,DB_Customers!$A:$D,4,0),"❌ Account Not Found"))</f>
        <v/>
      </c>
      <c r="D47" s="488">
        <f>IF(B47="","",TODAY())</f>
        <v/>
      </c>
      <c r="E47" s="526" t="n"/>
      <c r="F47" s="378" t="n"/>
      <c r="G47" s="532" t="n"/>
      <c r="H47" s="533" t="n"/>
      <c r="I47" s="529">
        <f>IF(E47="","",E47+(E47*H47/100*G47))</f>
        <v/>
      </c>
      <c r="J47" s="534">
        <f>IFERROR(I47/G47,"")</f>
        <v/>
      </c>
      <c r="K47" s="535">
        <f>IF(B47="","Pending",IF(M47="","⚠️ Enter Code",IF(IFERROR(VLOOKUP(L47,DB_Agents!$B:$I,8,0),"")=M47,"Pending","🔒 BLOCKED — Wrong Code")))</f>
        <v/>
      </c>
      <c r="L47" s="380" t="inlineStr">
        <is>
          <t>Agent 07</t>
        </is>
      </c>
      <c r="M47" s="491" t="n"/>
      <c r="N47" s="494" t="n"/>
    </row>
    <row r="48" ht="15" customHeight="1" s="341">
      <c r="A48" s="499">
        <f>IF(B48="","",IF(C48="❌ Account Not Found","INVALID","LN"&amp;TEXT(D48,"YYYYMMDD")&amp;TEXT(ROW()-13,"0000")))</f>
        <v/>
      </c>
      <c r="B48" s="495" t="n"/>
      <c r="C48" s="382">
        <f>IF(B48="","",IFERROR(VLOOKUP(B48,DB_Customers!$A:$D,4,0),"❌ Account Not Found"))</f>
        <v/>
      </c>
      <c r="D48" s="497">
        <f>IF(B48="","",TODAY())</f>
        <v/>
      </c>
      <c r="E48" s="526" t="n"/>
      <c r="F48" s="382" t="n"/>
      <c r="G48" s="527" t="n"/>
      <c r="H48" s="528" t="n"/>
      <c r="I48" s="529">
        <f>IF(E48="","",E48+(E48*H48/100*G48))</f>
        <v/>
      </c>
      <c r="J48" s="530">
        <f>IFERROR(I48/G48,"")</f>
        <v/>
      </c>
      <c r="K48" s="531">
        <f>IF(B48="","Pending",IF(M48="","⚠️ Enter Code",IF(IFERROR(VLOOKUP(L48,DB_Agents!$B:$I,8,0),"")=M48,"Pending","🔒 BLOCKED — Wrong Code")))</f>
        <v/>
      </c>
      <c r="L48" s="384" t="inlineStr">
        <is>
          <t>Agent 07</t>
        </is>
      </c>
      <c r="M48" s="491" t="n"/>
      <c r="N48" s="501" t="n"/>
    </row>
    <row r="49" ht="15" customHeight="1" s="341">
      <c r="A49" s="492">
        <f>IF(B49="","",IF(C49="❌ Account Not Found","INVALID","LN"&amp;TEXT(D49,"YYYYMMDD")&amp;TEXT(ROW()-13,"0000")))</f>
        <v/>
      </c>
      <c r="B49" s="486" t="n"/>
      <c r="C49" s="378">
        <f>IF(B49="","",IFERROR(VLOOKUP(B49,DB_Customers!$A:$D,4,0),"❌ Account Not Found"))</f>
        <v/>
      </c>
      <c r="D49" s="488">
        <f>IF(B49="","",TODAY())</f>
        <v/>
      </c>
      <c r="E49" s="526" t="n"/>
      <c r="F49" s="378" t="n"/>
      <c r="G49" s="532" t="n"/>
      <c r="H49" s="533" t="n"/>
      <c r="I49" s="529">
        <f>IF(E49="","",E49+(E49*H49/100*G49))</f>
        <v/>
      </c>
      <c r="J49" s="534">
        <f>IFERROR(I49/G49,"")</f>
        <v/>
      </c>
      <c r="K49" s="535">
        <f>IF(B49="","Pending",IF(M49="","⚠️ Enter Code",IF(IFERROR(VLOOKUP(L49,DB_Agents!$B:$I,8,0),"")=M49,"Pending","🔒 BLOCKED — Wrong Code")))</f>
        <v/>
      </c>
      <c r="L49" s="380" t="inlineStr">
        <is>
          <t>Agent 07</t>
        </is>
      </c>
      <c r="M49" s="491" t="n"/>
      <c r="N49" s="494" t="n"/>
    </row>
    <row r="50" ht="15" customHeight="1" s="341">
      <c r="A50" s="499">
        <f>IF(B50="","",IF(C50="❌ Account Not Found","INVALID","LN"&amp;TEXT(D50,"YYYYMMDD")&amp;TEXT(ROW()-13,"0000")))</f>
        <v/>
      </c>
      <c r="B50" s="495" t="n"/>
      <c r="C50" s="382">
        <f>IF(B50="","",IFERROR(VLOOKUP(B50,DB_Customers!$A:$D,4,0),"❌ Account Not Found"))</f>
        <v/>
      </c>
      <c r="D50" s="497">
        <f>IF(B50="","",TODAY())</f>
        <v/>
      </c>
      <c r="E50" s="526" t="n"/>
      <c r="F50" s="382" t="n"/>
      <c r="G50" s="527" t="n"/>
      <c r="H50" s="528" t="n"/>
      <c r="I50" s="529">
        <f>IF(E50="","",E50+(E50*H50/100*G50))</f>
        <v/>
      </c>
      <c r="J50" s="530">
        <f>IFERROR(I50/G50,"")</f>
        <v/>
      </c>
      <c r="K50" s="531">
        <f>IF(B50="","Pending",IF(M50="","⚠️ Enter Code",IF(IFERROR(VLOOKUP(L50,DB_Agents!$B:$I,8,0),"")=M50,"Pending","🔒 BLOCKED — Wrong Code")))</f>
        <v/>
      </c>
      <c r="L50" s="384" t="inlineStr">
        <is>
          <t>Agent 07</t>
        </is>
      </c>
      <c r="M50" s="491" t="n"/>
      <c r="N50" s="501" t="n"/>
    </row>
    <row r="51" ht="15" customHeight="1" s="341">
      <c r="A51" s="492">
        <f>IF(B51="","",IF(C51="❌ Account Not Found","INVALID","LN"&amp;TEXT(D51,"YYYYMMDD")&amp;TEXT(ROW()-13,"0000")))</f>
        <v/>
      </c>
      <c r="B51" s="486" t="n"/>
      <c r="C51" s="378">
        <f>IF(B51="","",IFERROR(VLOOKUP(B51,DB_Customers!$A:$D,4,0),"❌ Account Not Found"))</f>
        <v/>
      </c>
      <c r="D51" s="488">
        <f>IF(B51="","",TODAY())</f>
        <v/>
      </c>
      <c r="E51" s="526" t="n"/>
      <c r="F51" s="378" t="n"/>
      <c r="G51" s="532" t="n"/>
      <c r="H51" s="533" t="n"/>
      <c r="I51" s="529">
        <f>IF(E51="","",E51+(E51*H51/100*G51))</f>
        <v/>
      </c>
      <c r="J51" s="534">
        <f>IFERROR(I51/G51,"")</f>
        <v/>
      </c>
      <c r="K51" s="535">
        <f>IF(B51="","Pending",IF(M51="","⚠️ Enter Code",IF(IFERROR(VLOOKUP(L51,DB_Agents!$B:$I,8,0),"")=M51,"Pending","🔒 BLOCKED — Wrong Code")))</f>
        <v/>
      </c>
      <c r="L51" s="380" t="inlineStr">
        <is>
          <t>Agent 07</t>
        </is>
      </c>
      <c r="M51" s="491" t="n"/>
      <c r="N51" s="494" t="n"/>
    </row>
    <row r="52" ht="15" customHeight="1" s="341">
      <c r="A52" s="499">
        <f>IF(B52="","",IF(C52="❌ Account Not Found","INVALID","LN"&amp;TEXT(D52,"YYYYMMDD")&amp;TEXT(ROW()-13,"0000")))</f>
        <v/>
      </c>
      <c r="B52" s="495" t="n"/>
      <c r="C52" s="382">
        <f>IF(B52="","",IFERROR(VLOOKUP(B52,DB_Customers!$A:$D,4,0),"❌ Account Not Found"))</f>
        <v/>
      </c>
      <c r="D52" s="497">
        <f>IF(B52="","",TODAY())</f>
        <v/>
      </c>
      <c r="E52" s="526" t="n"/>
      <c r="F52" s="382" t="n"/>
      <c r="G52" s="527" t="n"/>
      <c r="H52" s="528" t="n"/>
      <c r="I52" s="529">
        <f>IF(E52="","",E52+(E52*H52/100*G52))</f>
        <v/>
      </c>
      <c r="J52" s="530">
        <f>IFERROR(I52/G52,"")</f>
        <v/>
      </c>
      <c r="K52" s="531">
        <f>IF(B52="","Pending",IF(M52="","⚠️ Enter Code",IF(IFERROR(VLOOKUP(L52,DB_Agents!$B:$I,8,0),"")=M52,"Pending","🔒 BLOCKED — Wrong Code")))</f>
        <v/>
      </c>
      <c r="L52" s="384" t="inlineStr">
        <is>
          <t>Agent 07</t>
        </is>
      </c>
      <c r="M52" s="491" t="n"/>
      <c r="N52" s="501" t="n"/>
    </row>
    <row r="53" ht="15" customHeight="1" s="341">
      <c r="A53" s="492">
        <f>IF(B53="","",IF(C53="❌ Account Not Found","INVALID","LN"&amp;TEXT(D53,"YYYYMMDD")&amp;TEXT(ROW()-13,"0000")))</f>
        <v/>
      </c>
      <c r="B53" s="486" t="n"/>
      <c r="C53" s="378">
        <f>IF(B53="","",IFERROR(VLOOKUP(B53,DB_Customers!$A:$D,4,0),"❌ Account Not Found"))</f>
        <v/>
      </c>
      <c r="D53" s="488">
        <f>IF(B53="","",TODAY())</f>
        <v/>
      </c>
      <c r="E53" s="526" t="n"/>
      <c r="F53" s="378" t="n"/>
      <c r="G53" s="532" t="n"/>
      <c r="H53" s="533" t="n"/>
      <c r="I53" s="529">
        <f>IF(E53="","",E53+(E53*H53/100*G53))</f>
        <v/>
      </c>
      <c r="J53" s="534">
        <f>IFERROR(I53/G53,"")</f>
        <v/>
      </c>
      <c r="K53" s="535">
        <f>IF(B53="","Pending",IF(M53="","⚠️ Enter Code",IF(IFERROR(VLOOKUP(L53,DB_Agents!$B:$I,8,0),"")=M53,"Pending","🔒 BLOCKED — Wrong Code")))</f>
        <v/>
      </c>
      <c r="L53" s="380" t="inlineStr">
        <is>
          <t>Agent 07</t>
        </is>
      </c>
      <c r="M53" s="491" t="n"/>
      <c r="N53" s="494" t="n"/>
    </row>
    <row r="54" ht="15" customHeight="1" s="341">
      <c r="A54" s="499">
        <f>IF(B54="","",IF(C54="❌ Account Not Found","INVALID","LN"&amp;TEXT(D54,"YYYYMMDD")&amp;TEXT(ROW()-13,"0000")))</f>
        <v/>
      </c>
      <c r="B54" s="495" t="n"/>
      <c r="C54" s="382">
        <f>IF(B54="","",IFERROR(VLOOKUP(B54,DB_Customers!$A:$D,4,0),"❌ Account Not Found"))</f>
        <v/>
      </c>
      <c r="D54" s="497">
        <f>IF(B54="","",TODAY())</f>
        <v/>
      </c>
      <c r="E54" s="526" t="n"/>
      <c r="F54" s="382" t="n"/>
      <c r="G54" s="527" t="n"/>
      <c r="H54" s="528" t="n"/>
      <c r="I54" s="529">
        <f>IF(E54="","",E54+(E54*H54/100*G54))</f>
        <v/>
      </c>
      <c r="J54" s="530">
        <f>IFERROR(I54/G54,"")</f>
        <v/>
      </c>
      <c r="K54" s="531">
        <f>IF(B54="","Pending",IF(M54="","⚠️ Enter Code",IF(IFERROR(VLOOKUP(L54,DB_Agents!$B:$I,8,0),"")=M54,"Pending","🔒 BLOCKED — Wrong Code")))</f>
        <v/>
      </c>
      <c r="L54" s="384" t="inlineStr">
        <is>
          <t>Agent 07</t>
        </is>
      </c>
      <c r="M54" s="491" t="n"/>
      <c r="N54" s="501" t="n"/>
    </row>
    <row r="55" ht="15" customHeight="1" s="341">
      <c r="A55" s="492">
        <f>IF(B55="","",IF(C55="❌ Account Not Found","INVALID","LN"&amp;TEXT(D55,"YYYYMMDD")&amp;TEXT(ROW()-13,"0000")))</f>
        <v/>
      </c>
      <c r="B55" s="486" t="n"/>
      <c r="C55" s="378">
        <f>IF(B55="","",IFERROR(VLOOKUP(B55,DB_Customers!$A:$D,4,0),"❌ Account Not Found"))</f>
        <v/>
      </c>
      <c r="D55" s="488">
        <f>IF(B55="","",TODAY())</f>
        <v/>
      </c>
      <c r="E55" s="526" t="n"/>
      <c r="F55" s="378" t="n"/>
      <c r="G55" s="532" t="n"/>
      <c r="H55" s="533" t="n"/>
      <c r="I55" s="529">
        <f>IF(E55="","",E55+(E55*H55/100*G55))</f>
        <v/>
      </c>
      <c r="J55" s="534">
        <f>IFERROR(I55/G55,"")</f>
        <v/>
      </c>
      <c r="K55" s="535">
        <f>IF(B55="","Pending",IF(M55="","⚠️ Enter Code",IF(IFERROR(VLOOKUP(L55,DB_Agents!$B:$I,8,0),"")=M55,"Pending","🔒 BLOCKED — Wrong Code")))</f>
        <v/>
      </c>
      <c r="L55" s="380" t="inlineStr">
        <is>
          <t>Agent 07</t>
        </is>
      </c>
      <c r="M55" s="491" t="n"/>
      <c r="N55" s="494" t="n"/>
    </row>
    <row r="56" ht="15" customHeight="1" s="341">
      <c r="A56" s="499">
        <f>IF(B56="","",IF(C56="❌ Account Not Found","INVALID","LN"&amp;TEXT(D56,"YYYYMMDD")&amp;TEXT(ROW()-13,"0000")))</f>
        <v/>
      </c>
      <c r="B56" s="495" t="n"/>
      <c r="C56" s="382">
        <f>IF(B56="","",IFERROR(VLOOKUP(B56,DB_Customers!$A:$D,4,0),"❌ Account Not Found"))</f>
        <v/>
      </c>
      <c r="D56" s="497">
        <f>IF(B56="","",TODAY())</f>
        <v/>
      </c>
      <c r="E56" s="526" t="n"/>
      <c r="F56" s="382" t="n"/>
      <c r="G56" s="527" t="n"/>
      <c r="H56" s="528" t="n"/>
      <c r="I56" s="529">
        <f>IF(E56="","",E56+(E56*H56/100*G56))</f>
        <v/>
      </c>
      <c r="J56" s="530">
        <f>IFERROR(I56/G56,"")</f>
        <v/>
      </c>
      <c r="K56" s="531">
        <f>IF(B56="","Pending",IF(M56="","⚠️ Enter Code",IF(IFERROR(VLOOKUP(L56,DB_Agents!$B:$I,8,0),"")=M56,"Pending","🔒 BLOCKED — Wrong Code")))</f>
        <v/>
      </c>
      <c r="L56" s="384" t="inlineStr">
        <is>
          <t>Agent 07</t>
        </is>
      </c>
      <c r="M56" s="491" t="n"/>
      <c r="N56" s="501" t="n"/>
    </row>
    <row r="57" ht="15" customHeight="1" s="341">
      <c r="A57" s="492">
        <f>IF(B57="","",IF(C57="❌ Account Not Found","INVALID","LN"&amp;TEXT(D57,"YYYYMMDD")&amp;TEXT(ROW()-13,"0000")))</f>
        <v/>
      </c>
      <c r="B57" s="486" t="n"/>
      <c r="C57" s="378">
        <f>IF(B57="","",IFERROR(VLOOKUP(B57,DB_Customers!$A:$D,4,0),"❌ Account Not Found"))</f>
        <v/>
      </c>
      <c r="D57" s="488">
        <f>IF(B57="","",TODAY())</f>
        <v/>
      </c>
      <c r="E57" s="526" t="n"/>
      <c r="F57" s="378" t="n"/>
      <c r="G57" s="532" t="n"/>
      <c r="H57" s="533" t="n"/>
      <c r="I57" s="529">
        <f>IF(E57="","",E57+(E57*H57/100*G57))</f>
        <v/>
      </c>
      <c r="J57" s="534">
        <f>IFERROR(I57/G57,"")</f>
        <v/>
      </c>
      <c r="K57" s="535">
        <f>IF(B57="","Pending",IF(M57="","⚠️ Enter Code",IF(IFERROR(VLOOKUP(L57,DB_Agents!$B:$I,8,0),"")=M57,"Pending","🔒 BLOCKED — Wrong Code")))</f>
        <v/>
      </c>
      <c r="L57" s="380" t="inlineStr">
        <is>
          <t>Agent 07</t>
        </is>
      </c>
      <c r="M57" s="491" t="n"/>
      <c r="N57" s="494" t="n"/>
    </row>
    <row r="58" ht="15" customHeight="1" s="341">
      <c r="A58" s="499">
        <f>IF(B58="","",IF(C58="❌ Account Not Found","INVALID","LN"&amp;TEXT(D58,"YYYYMMDD")&amp;TEXT(ROW()-13,"0000")))</f>
        <v/>
      </c>
      <c r="B58" s="495" t="n"/>
      <c r="C58" s="382">
        <f>IF(B58="","",IFERROR(VLOOKUP(B58,DB_Customers!$A:$D,4,0),"❌ Account Not Found"))</f>
        <v/>
      </c>
      <c r="D58" s="497">
        <f>IF(B58="","",TODAY())</f>
        <v/>
      </c>
      <c r="E58" s="526" t="n"/>
      <c r="F58" s="382" t="n"/>
      <c r="G58" s="527" t="n"/>
      <c r="H58" s="528" t="n"/>
      <c r="I58" s="529">
        <f>IF(E58="","",E58+(E58*H58/100*G58))</f>
        <v/>
      </c>
      <c r="J58" s="530">
        <f>IFERROR(I58/G58,"")</f>
        <v/>
      </c>
      <c r="K58" s="531">
        <f>IF(B58="","Pending",IF(M58="","⚠️ Enter Code",IF(IFERROR(VLOOKUP(L58,DB_Agents!$B:$I,8,0),"")=M58,"Pending","🔒 BLOCKED — Wrong Code")))</f>
        <v/>
      </c>
      <c r="L58" s="384" t="inlineStr">
        <is>
          <t>Agent 07</t>
        </is>
      </c>
      <c r="M58" s="491" t="n"/>
      <c r="N58" s="501" t="n"/>
    </row>
    <row r="59" ht="15" customHeight="1" s="341">
      <c r="A59" s="492">
        <f>IF(B59="","",IF(C59="❌ Account Not Found","INVALID","LN"&amp;TEXT(D59,"YYYYMMDD")&amp;TEXT(ROW()-13,"0000")))</f>
        <v/>
      </c>
      <c r="B59" s="486" t="n"/>
      <c r="C59" s="378">
        <f>IF(B59="","",IFERROR(VLOOKUP(B59,DB_Customers!$A:$D,4,0),"❌ Account Not Found"))</f>
        <v/>
      </c>
      <c r="D59" s="488">
        <f>IF(B59="","",TODAY())</f>
        <v/>
      </c>
      <c r="E59" s="526" t="n"/>
      <c r="F59" s="378" t="n"/>
      <c r="G59" s="532" t="n"/>
      <c r="H59" s="533" t="n"/>
      <c r="I59" s="529">
        <f>IF(E59="","",E59+(E59*H59/100*G59))</f>
        <v/>
      </c>
      <c r="J59" s="534">
        <f>IFERROR(I59/G59,"")</f>
        <v/>
      </c>
      <c r="K59" s="535">
        <f>IF(B59="","Pending",IF(M59="","⚠️ Enter Code",IF(IFERROR(VLOOKUP(L59,DB_Agents!$B:$I,8,0),"")=M59,"Pending","🔒 BLOCKED — Wrong Code")))</f>
        <v/>
      </c>
      <c r="L59" s="380" t="inlineStr">
        <is>
          <t>Agent 07</t>
        </is>
      </c>
      <c r="M59" s="491" t="n"/>
      <c r="N59" s="494" t="n"/>
    </row>
    <row r="60" ht="15" customHeight="1" s="341">
      <c r="A60" s="499">
        <f>IF(B60="","",IF(C60="❌ Account Not Found","INVALID","LN"&amp;TEXT(D60,"YYYYMMDD")&amp;TEXT(ROW()-13,"0000")))</f>
        <v/>
      </c>
      <c r="B60" s="495" t="n"/>
      <c r="C60" s="382">
        <f>IF(B60="","",IFERROR(VLOOKUP(B60,DB_Customers!$A:$D,4,0),"❌ Account Not Found"))</f>
        <v/>
      </c>
      <c r="D60" s="497">
        <f>IF(B60="","",TODAY())</f>
        <v/>
      </c>
      <c r="E60" s="526" t="n"/>
      <c r="F60" s="382" t="n"/>
      <c r="G60" s="527" t="n"/>
      <c r="H60" s="528" t="n"/>
      <c r="I60" s="529">
        <f>IF(E60="","",E60+(E60*H60/100*G60))</f>
        <v/>
      </c>
      <c r="J60" s="530">
        <f>IFERROR(I60/G60,"")</f>
        <v/>
      </c>
      <c r="K60" s="531">
        <f>IF(B60="","Pending",IF(M60="","⚠️ Enter Code",IF(IFERROR(VLOOKUP(L60,DB_Agents!$B:$I,8,0),"")=M60,"Pending","🔒 BLOCKED — Wrong Code")))</f>
        <v/>
      </c>
      <c r="L60" s="384" t="inlineStr">
        <is>
          <t>Agent 07</t>
        </is>
      </c>
      <c r="M60" s="491" t="n"/>
      <c r="N60" s="501" t="n"/>
    </row>
    <row r="61" ht="15" customHeight="1" s="341">
      <c r="A61" s="492">
        <f>IF(B61="","",IF(C61="❌ Account Not Found","INVALID","LN"&amp;TEXT(D61,"YYYYMMDD")&amp;TEXT(ROW()-13,"0000")))</f>
        <v/>
      </c>
      <c r="B61" s="486" t="n"/>
      <c r="C61" s="378">
        <f>IF(B61="","",IFERROR(VLOOKUP(B61,DB_Customers!$A:$D,4,0),"❌ Account Not Found"))</f>
        <v/>
      </c>
      <c r="D61" s="488">
        <f>IF(B61="","",TODAY())</f>
        <v/>
      </c>
      <c r="E61" s="526" t="n"/>
      <c r="F61" s="378" t="n"/>
      <c r="G61" s="532" t="n"/>
      <c r="H61" s="533" t="n"/>
      <c r="I61" s="529">
        <f>IF(E61="","",E61+(E61*H61/100*G61))</f>
        <v/>
      </c>
      <c r="J61" s="534">
        <f>IFERROR(I61/G61,"")</f>
        <v/>
      </c>
      <c r="K61" s="535">
        <f>IF(B61="","Pending",IF(M61="","⚠️ Enter Code",IF(IFERROR(VLOOKUP(L61,DB_Agents!$B:$I,8,0),"")=M61,"Pending","🔒 BLOCKED — Wrong Code")))</f>
        <v/>
      </c>
      <c r="L61" s="380" t="inlineStr">
        <is>
          <t>Agent 07</t>
        </is>
      </c>
      <c r="M61" s="491" t="n"/>
      <c r="N61" s="494" t="n"/>
    </row>
    <row r="62" ht="15" customHeight="1" s="341">
      <c r="A62" s="499">
        <f>IF(B62="","",IF(C62="❌ Account Not Found","INVALID","LN"&amp;TEXT(D62,"YYYYMMDD")&amp;TEXT(ROW()-13,"0000")))</f>
        <v/>
      </c>
      <c r="B62" s="495" t="n"/>
      <c r="C62" s="382">
        <f>IF(B62="","",IFERROR(VLOOKUP(B62,DB_Customers!$A:$D,4,0),"❌ Account Not Found"))</f>
        <v/>
      </c>
      <c r="D62" s="497">
        <f>IF(B62="","",TODAY())</f>
        <v/>
      </c>
      <c r="E62" s="526" t="n"/>
      <c r="F62" s="382" t="n"/>
      <c r="G62" s="527" t="n"/>
      <c r="H62" s="528" t="n"/>
      <c r="I62" s="529">
        <f>IF(E62="","",E62+(E62*H62/100*G62))</f>
        <v/>
      </c>
      <c r="J62" s="530">
        <f>IFERROR(I62/G62,"")</f>
        <v/>
      </c>
      <c r="K62" s="531">
        <f>IF(B62="","Pending",IF(M62="","⚠️ Enter Code",IF(IFERROR(VLOOKUP(L62,DB_Agents!$B:$I,8,0),"")=M62,"Pending","🔒 BLOCKED — Wrong Code")))</f>
        <v/>
      </c>
      <c r="L62" s="384" t="inlineStr">
        <is>
          <t>Agent 07</t>
        </is>
      </c>
      <c r="M62" s="491" t="n"/>
      <c r="N62" s="501" t="n"/>
    </row>
    <row r="63" ht="15" customHeight="1" s="341">
      <c r="A63" s="492">
        <f>IF(B63="","",IF(C63="❌ Account Not Found","INVALID","LN"&amp;TEXT(D63,"YYYYMMDD")&amp;TEXT(ROW()-13,"0000")))</f>
        <v/>
      </c>
      <c r="B63" s="486" t="n"/>
      <c r="C63" s="378">
        <f>IF(B63="","",IFERROR(VLOOKUP(B63,DB_Customers!$A:$D,4,0),"❌ Account Not Found"))</f>
        <v/>
      </c>
      <c r="D63" s="488">
        <f>IF(B63="","",TODAY())</f>
        <v/>
      </c>
      <c r="E63" s="526" t="n"/>
      <c r="F63" s="378" t="n"/>
      <c r="G63" s="532" t="n"/>
      <c r="H63" s="533" t="n"/>
      <c r="I63" s="529">
        <f>IF(E63="","",E63+(E63*H63/100*G63))</f>
        <v/>
      </c>
      <c r="J63" s="534">
        <f>IFERROR(I63/G63,"")</f>
        <v/>
      </c>
      <c r="K63" s="535">
        <f>IF(B63="","Pending",IF(M63="","⚠️ Enter Code",IF(IFERROR(VLOOKUP(L63,DB_Agents!$B:$I,8,0),"")=M63,"Pending","🔒 BLOCKED — Wrong Code")))</f>
        <v/>
      </c>
      <c r="L63" s="380" t="inlineStr">
        <is>
          <t>Agent 07</t>
        </is>
      </c>
      <c r="M63" s="491" t="n"/>
      <c r="N63" s="494" t="n"/>
    </row>
    <row r="64" ht="15" customHeight="1" s="341">
      <c r="A64" s="499">
        <f>IF(B64="","",IF(C64="❌ Account Not Found","INVALID","LN"&amp;TEXT(D64,"YYYYMMDD")&amp;TEXT(ROW()-13,"0000")))</f>
        <v/>
      </c>
      <c r="B64" s="495" t="n"/>
      <c r="C64" s="382">
        <f>IF(B64="","",IFERROR(VLOOKUP(B64,DB_Customers!$A:$D,4,0),"❌ Account Not Found"))</f>
        <v/>
      </c>
      <c r="D64" s="497">
        <f>IF(B64="","",TODAY())</f>
        <v/>
      </c>
      <c r="E64" s="526" t="n"/>
      <c r="F64" s="382" t="n"/>
      <c r="G64" s="527" t="n"/>
      <c r="H64" s="528" t="n"/>
      <c r="I64" s="529">
        <f>IF(E64="","",E64+(E64*H64/100*G64))</f>
        <v/>
      </c>
      <c r="J64" s="530">
        <f>IFERROR(I64/G64,"")</f>
        <v/>
      </c>
      <c r="K64" s="531">
        <f>IF(B64="","Pending",IF(M64="","⚠️ Enter Code",IF(IFERROR(VLOOKUP(L64,DB_Agents!$B:$I,8,0),"")=M64,"Pending","🔒 BLOCKED — Wrong Code")))</f>
        <v/>
      </c>
      <c r="L64" s="384" t="inlineStr">
        <is>
          <t>Agent 07</t>
        </is>
      </c>
      <c r="M64" s="491" t="n"/>
      <c r="N64" s="501" t="n"/>
    </row>
    <row r="65" ht="15" customHeight="1" s="341">
      <c r="A65" s="492">
        <f>IF(B65="","",IF(C65="❌ Account Not Found","INVALID","LN"&amp;TEXT(D65,"YYYYMMDD")&amp;TEXT(ROW()-13,"0000")))</f>
        <v/>
      </c>
      <c r="B65" s="486" t="n"/>
      <c r="C65" s="378">
        <f>IF(B65="","",IFERROR(VLOOKUP(B65,DB_Customers!$A:$D,4,0),"❌ Account Not Found"))</f>
        <v/>
      </c>
      <c r="D65" s="488">
        <f>IF(B65="","",TODAY())</f>
        <v/>
      </c>
      <c r="E65" s="526" t="n"/>
      <c r="F65" s="378" t="n"/>
      <c r="G65" s="532" t="n"/>
      <c r="H65" s="533" t="n"/>
      <c r="I65" s="529">
        <f>IF(E65="","",E65+(E65*H65/100*G65))</f>
        <v/>
      </c>
      <c r="J65" s="534">
        <f>IFERROR(I65/G65,"")</f>
        <v/>
      </c>
      <c r="K65" s="535">
        <f>IF(B65="","Pending",IF(M65="","⚠️ Enter Code",IF(IFERROR(VLOOKUP(L65,DB_Agents!$B:$I,8,0),"")=M65,"Pending","🔒 BLOCKED — Wrong Code")))</f>
        <v/>
      </c>
      <c r="L65" s="380" t="inlineStr">
        <is>
          <t>Agent 07</t>
        </is>
      </c>
      <c r="M65" s="491" t="n"/>
      <c r="N65" s="494" t="n"/>
    </row>
    <row r="66" ht="15" customHeight="1" s="341">
      <c r="A66" s="499">
        <f>IF(B66="","",IF(C66="❌ Account Not Found","INVALID","LN"&amp;TEXT(D66,"YYYYMMDD")&amp;TEXT(ROW()-13,"0000")))</f>
        <v/>
      </c>
      <c r="B66" s="495" t="n"/>
      <c r="C66" s="382">
        <f>IF(B66="","",IFERROR(VLOOKUP(B66,DB_Customers!$A:$D,4,0),"❌ Account Not Found"))</f>
        <v/>
      </c>
      <c r="D66" s="497">
        <f>IF(B66="","",TODAY())</f>
        <v/>
      </c>
      <c r="E66" s="526" t="n"/>
      <c r="F66" s="382" t="n"/>
      <c r="G66" s="527" t="n"/>
      <c r="H66" s="528" t="n"/>
      <c r="I66" s="529">
        <f>IF(E66="","",E66+(E66*H66/100*G66))</f>
        <v/>
      </c>
      <c r="J66" s="530">
        <f>IFERROR(I66/G66,"")</f>
        <v/>
      </c>
      <c r="K66" s="531">
        <f>IF(B66="","Pending",IF(M66="","⚠️ Enter Code",IF(IFERROR(VLOOKUP(L66,DB_Agents!$B:$I,8,0),"")=M66,"Pending","🔒 BLOCKED — Wrong Code")))</f>
        <v/>
      </c>
      <c r="L66" s="384" t="inlineStr">
        <is>
          <t>Agent 07</t>
        </is>
      </c>
      <c r="M66" s="491" t="n"/>
      <c r="N66" s="501" t="n"/>
    </row>
    <row r="67" ht="15" customHeight="1" s="341">
      <c r="A67" s="492">
        <f>IF(B67="","",IF(C67="❌ Account Not Found","INVALID","LN"&amp;TEXT(D67,"YYYYMMDD")&amp;TEXT(ROW()-13,"0000")))</f>
        <v/>
      </c>
      <c r="B67" s="486" t="n"/>
      <c r="C67" s="378">
        <f>IF(B67="","",IFERROR(VLOOKUP(B67,DB_Customers!$A:$D,4,0),"❌ Account Not Found"))</f>
        <v/>
      </c>
      <c r="D67" s="488">
        <f>IF(B67="","",TODAY())</f>
        <v/>
      </c>
      <c r="E67" s="526" t="n"/>
      <c r="F67" s="378" t="n"/>
      <c r="G67" s="532" t="n"/>
      <c r="H67" s="533" t="n"/>
      <c r="I67" s="529">
        <f>IF(E67="","",E67+(E67*H67/100*G67))</f>
        <v/>
      </c>
      <c r="J67" s="534">
        <f>IFERROR(I67/G67,"")</f>
        <v/>
      </c>
      <c r="K67" s="535">
        <f>IF(B67="","Pending",IF(M67="","⚠️ Enter Code",IF(IFERROR(VLOOKUP(L67,DB_Agents!$B:$I,8,0),"")=M67,"Pending","🔒 BLOCKED — Wrong Code")))</f>
        <v/>
      </c>
      <c r="L67" s="380" t="inlineStr">
        <is>
          <t>Agent 07</t>
        </is>
      </c>
      <c r="M67" s="491" t="n"/>
      <c r="N67" s="494" t="n"/>
    </row>
    <row r="68" ht="15" customHeight="1" s="341">
      <c r="A68" s="499">
        <f>IF(B68="","",IF(C68="❌ Account Not Found","INVALID","LN"&amp;TEXT(D68,"YYYYMMDD")&amp;TEXT(ROW()-13,"0000")))</f>
        <v/>
      </c>
      <c r="B68" s="495" t="n"/>
      <c r="C68" s="382">
        <f>IF(B68="","",IFERROR(VLOOKUP(B68,DB_Customers!$A:$D,4,0),"❌ Account Not Found"))</f>
        <v/>
      </c>
      <c r="D68" s="497">
        <f>IF(B68="","",TODAY())</f>
        <v/>
      </c>
      <c r="E68" s="526" t="n"/>
      <c r="F68" s="382" t="n"/>
      <c r="G68" s="527" t="n"/>
      <c r="H68" s="528" t="n"/>
      <c r="I68" s="529">
        <f>IF(E68="","",E68+(E68*H68/100*G68))</f>
        <v/>
      </c>
      <c r="J68" s="530">
        <f>IFERROR(I68/G68,"")</f>
        <v/>
      </c>
      <c r="K68" s="531">
        <f>IF(B68="","Pending",IF(M68="","⚠️ Enter Code",IF(IFERROR(VLOOKUP(L68,DB_Agents!$B:$I,8,0),"")=M68,"Pending","🔒 BLOCKED — Wrong Code")))</f>
        <v/>
      </c>
      <c r="L68" s="384" t="inlineStr">
        <is>
          <t>Agent 07</t>
        </is>
      </c>
      <c r="M68" s="491" t="n"/>
      <c r="N68" s="501" t="n"/>
    </row>
    <row r="69" ht="15" customHeight="1" s="341">
      <c r="A69" s="492">
        <f>IF(B69="","",IF(C69="❌ Account Not Found","INVALID","LN"&amp;TEXT(D69,"YYYYMMDD")&amp;TEXT(ROW()-13,"0000")))</f>
        <v/>
      </c>
      <c r="B69" s="486" t="n"/>
      <c r="C69" s="378">
        <f>IF(B69="","",IFERROR(VLOOKUP(B69,DB_Customers!$A:$D,4,0),"❌ Account Not Found"))</f>
        <v/>
      </c>
      <c r="D69" s="488">
        <f>IF(B69="","",TODAY())</f>
        <v/>
      </c>
      <c r="E69" s="526" t="n"/>
      <c r="F69" s="378" t="n"/>
      <c r="G69" s="532" t="n"/>
      <c r="H69" s="533" t="n"/>
      <c r="I69" s="529">
        <f>IF(E69="","",E69+(E69*H69/100*G69))</f>
        <v/>
      </c>
      <c r="J69" s="534">
        <f>IFERROR(I69/G69,"")</f>
        <v/>
      </c>
      <c r="K69" s="535">
        <f>IF(B69="","Pending",IF(M69="","⚠️ Enter Code",IF(IFERROR(VLOOKUP(L69,DB_Agents!$B:$I,8,0),"")=M69,"Pending","🔒 BLOCKED — Wrong Code")))</f>
        <v/>
      </c>
      <c r="L69" s="380" t="inlineStr">
        <is>
          <t>Agent 07</t>
        </is>
      </c>
      <c r="M69" s="491" t="n"/>
      <c r="N69" s="494" t="n"/>
    </row>
    <row r="70" ht="15" customHeight="1" s="341">
      <c r="A70" s="499">
        <f>IF(B70="","",IF(C70="❌ Account Not Found","INVALID","LN"&amp;TEXT(D70,"YYYYMMDD")&amp;TEXT(ROW()-13,"0000")))</f>
        <v/>
      </c>
      <c r="B70" s="495" t="n"/>
      <c r="C70" s="382">
        <f>IF(B70="","",IFERROR(VLOOKUP(B70,DB_Customers!$A:$D,4,0),"❌ Account Not Found"))</f>
        <v/>
      </c>
      <c r="D70" s="497">
        <f>IF(B70="","",TODAY())</f>
        <v/>
      </c>
      <c r="E70" s="526" t="n"/>
      <c r="F70" s="382" t="n"/>
      <c r="G70" s="527" t="n"/>
      <c r="H70" s="528" t="n"/>
      <c r="I70" s="529">
        <f>IF(E70="","",E70+(E70*H70/100*G70))</f>
        <v/>
      </c>
      <c r="J70" s="530">
        <f>IFERROR(I70/G70,"")</f>
        <v/>
      </c>
      <c r="K70" s="531">
        <f>IF(B70="","Pending",IF(M70="","⚠️ Enter Code",IF(IFERROR(VLOOKUP(L70,DB_Agents!$B:$I,8,0),"")=M70,"Pending","🔒 BLOCKED — Wrong Code")))</f>
        <v/>
      </c>
      <c r="L70" s="384" t="inlineStr">
        <is>
          <t>Agent 07</t>
        </is>
      </c>
      <c r="M70" s="491" t="n"/>
      <c r="N70" s="501" t="n"/>
    </row>
    <row r="71" ht="15" customHeight="1" s="341">
      <c r="A71" s="492">
        <f>IF(B71="","",IF(C71="❌ Account Not Found","INVALID","LN"&amp;TEXT(D71,"YYYYMMDD")&amp;TEXT(ROW()-13,"0000")))</f>
        <v/>
      </c>
      <c r="B71" s="486" t="n"/>
      <c r="C71" s="378">
        <f>IF(B71="","",IFERROR(VLOOKUP(B71,DB_Customers!$A:$D,4,0),"❌ Account Not Found"))</f>
        <v/>
      </c>
      <c r="D71" s="488">
        <f>IF(B71="","",TODAY())</f>
        <v/>
      </c>
      <c r="E71" s="526" t="n"/>
      <c r="F71" s="378" t="n"/>
      <c r="G71" s="532" t="n"/>
      <c r="H71" s="533" t="n"/>
      <c r="I71" s="529">
        <f>IF(E71="","",E71+(E71*H71/100*G71))</f>
        <v/>
      </c>
      <c r="J71" s="534">
        <f>IFERROR(I71/G71,"")</f>
        <v/>
      </c>
      <c r="K71" s="535">
        <f>IF(B71="","Pending",IF(M71="","⚠️ Enter Code",IF(IFERROR(VLOOKUP(L71,DB_Agents!$B:$I,8,0),"")=M71,"Pending","🔒 BLOCKED — Wrong Code")))</f>
        <v/>
      </c>
      <c r="L71" s="380" t="inlineStr">
        <is>
          <t>Agent 07</t>
        </is>
      </c>
      <c r="M71" s="491" t="n"/>
      <c r="N71" s="494" t="n"/>
    </row>
    <row r="72" ht="15" customHeight="1" s="341">
      <c r="A72" s="499">
        <f>IF(B72="","",IF(C72="❌ Account Not Found","INVALID","LN"&amp;TEXT(D72,"YYYYMMDD")&amp;TEXT(ROW()-13,"0000")))</f>
        <v/>
      </c>
      <c r="B72" s="495" t="n"/>
      <c r="C72" s="382">
        <f>IF(B72="","",IFERROR(VLOOKUP(B72,DB_Customers!$A:$D,4,0),"❌ Account Not Found"))</f>
        <v/>
      </c>
      <c r="D72" s="497">
        <f>IF(B72="","",TODAY())</f>
        <v/>
      </c>
      <c r="E72" s="526" t="n"/>
      <c r="F72" s="382" t="n"/>
      <c r="G72" s="527" t="n"/>
      <c r="H72" s="528" t="n"/>
      <c r="I72" s="529">
        <f>IF(E72="","",E72+(E72*H72/100*G72))</f>
        <v/>
      </c>
      <c r="J72" s="530">
        <f>IFERROR(I72/G72,"")</f>
        <v/>
      </c>
      <c r="K72" s="531">
        <f>IF(B72="","Pending",IF(M72="","⚠️ Enter Code",IF(IFERROR(VLOOKUP(L72,DB_Agents!$B:$I,8,0),"")=M72,"Pending","🔒 BLOCKED — Wrong Code")))</f>
        <v/>
      </c>
      <c r="L72" s="384" t="inlineStr">
        <is>
          <t>Agent 07</t>
        </is>
      </c>
      <c r="M72" s="491" t="n"/>
      <c r="N72" s="501" t="n"/>
    </row>
    <row r="73" ht="15" customHeight="1" s="341">
      <c r="A73" s="492">
        <f>IF(B73="","",IF(C73="❌ Account Not Found","INVALID","LN"&amp;TEXT(D73,"YYYYMMDD")&amp;TEXT(ROW()-13,"0000")))</f>
        <v/>
      </c>
      <c r="B73" s="486" t="n"/>
      <c r="C73" s="378">
        <f>IF(B73="","",IFERROR(VLOOKUP(B73,DB_Customers!$A:$D,4,0),"❌ Account Not Found"))</f>
        <v/>
      </c>
      <c r="D73" s="488">
        <f>IF(B73="","",TODAY())</f>
        <v/>
      </c>
      <c r="E73" s="526" t="n"/>
      <c r="F73" s="378" t="n"/>
      <c r="G73" s="532" t="n"/>
      <c r="H73" s="533" t="n"/>
      <c r="I73" s="529">
        <f>IF(E73="","",E73+(E73*H73/100*G73))</f>
        <v/>
      </c>
      <c r="J73" s="534">
        <f>IFERROR(I73/G73,"")</f>
        <v/>
      </c>
      <c r="K73" s="535">
        <f>IF(B73="","Pending",IF(M73="","⚠️ Enter Code",IF(IFERROR(VLOOKUP(L73,DB_Agents!$B:$I,8,0),"")=M73,"Pending","🔒 BLOCKED — Wrong Code")))</f>
        <v/>
      </c>
      <c r="L73" s="380" t="inlineStr">
        <is>
          <t>Agent 07</t>
        </is>
      </c>
      <c r="M73" s="491" t="n"/>
      <c r="N73" s="494" t="n"/>
    </row>
    <row r="74" ht="15" customHeight="1" s="341">
      <c r="A74" s="499">
        <f>IF(B74="","",IF(C74="❌ Account Not Found","INVALID","LN"&amp;TEXT(D74,"YYYYMMDD")&amp;TEXT(ROW()-13,"0000")))</f>
        <v/>
      </c>
      <c r="B74" s="495" t="n"/>
      <c r="C74" s="382">
        <f>IF(B74="","",IFERROR(VLOOKUP(B74,DB_Customers!$A:$D,4,0),"❌ Account Not Found"))</f>
        <v/>
      </c>
      <c r="D74" s="497">
        <f>IF(B74="","",TODAY())</f>
        <v/>
      </c>
      <c r="E74" s="526" t="n"/>
      <c r="F74" s="382" t="n"/>
      <c r="G74" s="527" t="n"/>
      <c r="H74" s="528" t="n"/>
      <c r="I74" s="529">
        <f>IF(E74="","",E74+(E74*H74/100*G74))</f>
        <v/>
      </c>
      <c r="J74" s="530">
        <f>IFERROR(I74/G74,"")</f>
        <v/>
      </c>
      <c r="K74" s="531">
        <f>IF(B74="","Pending",IF(M74="","⚠️ Enter Code",IF(IFERROR(VLOOKUP(L74,DB_Agents!$B:$I,8,0),"")=M74,"Pending","🔒 BLOCKED — Wrong Code")))</f>
        <v/>
      </c>
      <c r="L74" s="384" t="inlineStr">
        <is>
          <t>Agent 07</t>
        </is>
      </c>
      <c r="M74" s="491" t="n"/>
      <c r="N74" s="501" t="n"/>
    </row>
    <row r="75" ht="15" customHeight="1" s="341">
      <c r="A75" s="492">
        <f>IF(B75="","",IF(C75="❌ Account Not Found","INVALID","LN"&amp;TEXT(D75,"YYYYMMDD")&amp;TEXT(ROW()-13,"0000")))</f>
        <v/>
      </c>
      <c r="B75" s="486" t="n"/>
      <c r="C75" s="378">
        <f>IF(B75="","",IFERROR(VLOOKUP(B75,DB_Customers!$A:$D,4,0),"❌ Account Not Found"))</f>
        <v/>
      </c>
      <c r="D75" s="488">
        <f>IF(B75="","",TODAY())</f>
        <v/>
      </c>
      <c r="E75" s="526" t="n"/>
      <c r="F75" s="378" t="n"/>
      <c r="G75" s="532" t="n"/>
      <c r="H75" s="533" t="n"/>
      <c r="I75" s="529">
        <f>IF(E75="","",E75+(E75*H75/100*G75))</f>
        <v/>
      </c>
      <c r="J75" s="534">
        <f>IFERROR(I75/G75,"")</f>
        <v/>
      </c>
      <c r="K75" s="535">
        <f>IF(B75="","Pending",IF(M75="","⚠️ Enter Code",IF(IFERROR(VLOOKUP(L75,DB_Agents!$B:$I,8,0),"")=M75,"Pending","🔒 BLOCKED — Wrong Code")))</f>
        <v/>
      </c>
      <c r="L75" s="380" t="inlineStr">
        <is>
          <t>Agent 07</t>
        </is>
      </c>
      <c r="M75" s="491" t="n"/>
      <c r="N75" s="494" t="n"/>
    </row>
    <row r="76" ht="15" customHeight="1" s="341">
      <c r="A76" s="499">
        <f>IF(B76="","",IF(C76="❌ Account Not Found","INVALID","LN"&amp;TEXT(D76,"YYYYMMDD")&amp;TEXT(ROW()-13,"0000")))</f>
        <v/>
      </c>
      <c r="B76" s="495" t="n"/>
      <c r="C76" s="382">
        <f>IF(B76="","",IFERROR(VLOOKUP(B76,DB_Customers!$A:$D,4,0),"❌ Account Not Found"))</f>
        <v/>
      </c>
      <c r="D76" s="497">
        <f>IF(B76="","",TODAY())</f>
        <v/>
      </c>
      <c r="E76" s="526" t="n"/>
      <c r="F76" s="382" t="n"/>
      <c r="G76" s="527" t="n"/>
      <c r="H76" s="528" t="n"/>
      <c r="I76" s="529">
        <f>IF(E76="","",E76+(E76*H76/100*G76))</f>
        <v/>
      </c>
      <c r="J76" s="530">
        <f>IFERROR(I76/G76,"")</f>
        <v/>
      </c>
      <c r="K76" s="531">
        <f>IF(B76="","Pending",IF(M76="","⚠️ Enter Code",IF(IFERROR(VLOOKUP(L76,DB_Agents!$B:$I,8,0),"")=M76,"Pending","🔒 BLOCKED — Wrong Code")))</f>
        <v/>
      </c>
      <c r="L76" s="384" t="inlineStr">
        <is>
          <t>Agent 07</t>
        </is>
      </c>
      <c r="M76" s="491" t="n"/>
      <c r="N76" s="501" t="n"/>
    </row>
    <row r="77" ht="15" customHeight="1" s="341">
      <c r="A77" s="492">
        <f>IF(B77="","",IF(C77="❌ Account Not Found","INVALID","LN"&amp;TEXT(D77,"YYYYMMDD")&amp;TEXT(ROW()-13,"0000")))</f>
        <v/>
      </c>
      <c r="B77" s="486" t="n"/>
      <c r="C77" s="378">
        <f>IF(B77="","",IFERROR(VLOOKUP(B77,DB_Customers!$A:$D,4,0),"❌ Account Not Found"))</f>
        <v/>
      </c>
      <c r="D77" s="488">
        <f>IF(B77="","",TODAY())</f>
        <v/>
      </c>
      <c r="E77" s="526" t="n"/>
      <c r="F77" s="378" t="n"/>
      <c r="G77" s="532" t="n"/>
      <c r="H77" s="533" t="n"/>
      <c r="I77" s="529">
        <f>IF(E77="","",E77+(E77*H77/100*G77))</f>
        <v/>
      </c>
      <c r="J77" s="534">
        <f>IFERROR(I77/G77,"")</f>
        <v/>
      </c>
      <c r="K77" s="535">
        <f>IF(B77="","Pending",IF(M77="","⚠️ Enter Code",IF(IFERROR(VLOOKUP(L77,DB_Agents!$B:$I,8,0),"")=M77,"Pending","🔒 BLOCKED — Wrong Code")))</f>
        <v/>
      </c>
      <c r="L77" s="380" t="inlineStr">
        <is>
          <t>Agent 07</t>
        </is>
      </c>
      <c r="M77" s="491" t="n"/>
      <c r="N77" s="494" t="n"/>
    </row>
    <row r="78" ht="15" customHeight="1" s="341">
      <c r="A78" s="499">
        <f>IF(B78="","",IF(C78="❌ Account Not Found","INVALID","LN"&amp;TEXT(D78,"YYYYMMDD")&amp;TEXT(ROW()-13,"0000")))</f>
        <v/>
      </c>
      <c r="B78" s="495" t="n"/>
      <c r="C78" s="382">
        <f>IF(B78="","",IFERROR(VLOOKUP(B78,DB_Customers!$A:$D,4,0),"❌ Account Not Found"))</f>
        <v/>
      </c>
      <c r="D78" s="497">
        <f>IF(B78="","",TODAY())</f>
        <v/>
      </c>
      <c r="E78" s="526" t="n"/>
      <c r="F78" s="382" t="n"/>
      <c r="G78" s="527" t="n"/>
      <c r="H78" s="528" t="n"/>
      <c r="I78" s="529">
        <f>IF(E78="","",E78+(E78*H78/100*G78))</f>
        <v/>
      </c>
      <c r="J78" s="530">
        <f>IFERROR(I78/G78,"")</f>
        <v/>
      </c>
      <c r="K78" s="531">
        <f>IF(B78="","Pending",IF(M78="","⚠️ Enter Code",IF(IFERROR(VLOOKUP(L78,DB_Agents!$B:$I,8,0),"")=M78,"Pending","🔒 BLOCKED — Wrong Code")))</f>
        <v/>
      </c>
      <c r="L78" s="384" t="inlineStr">
        <is>
          <t>Agent 07</t>
        </is>
      </c>
      <c r="M78" s="491" t="n"/>
      <c r="N78" s="501" t="n"/>
    </row>
    <row r="79" ht="15" customHeight="1" s="341">
      <c r="A79" s="492">
        <f>IF(B79="","",IF(C79="❌ Account Not Found","INVALID","LN"&amp;TEXT(D79,"YYYYMMDD")&amp;TEXT(ROW()-13,"0000")))</f>
        <v/>
      </c>
      <c r="B79" s="486" t="n"/>
      <c r="C79" s="378">
        <f>IF(B79="","",IFERROR(VLOOKUP(B79,DB_Customers!$A:$D,4,0),"❌ Account Not Found"))</f>
        <v/>
      </c>
      <c r="D79" s="488">
        <f>IF(B79="","",TODAY())</f>
        <v/>
      </c>
      <c r="E79" s="526" t="n"/>
      <c r="F79" s="378" t="n"/>
      <c r="G79" s="532" t="n"/>
      <c r="H79" s="533" t="n"/>
      <c r="I79" s="529">
        <f>IF(E79="","",E79+(E79*H79/100*G79))</f>
        <v/>
      </c>
      <c r="J79" s="534">
        <f>IFERROR(I79/G79,"")</f>
        <v/>
      </c>
      <c r="K79" s="535">
        <f>IF(B79="","Pending",IF(M79="","⚠️ Enter Code",IF(IFERROR(VLOOKUP(L79,DB_Agents!$B:$I,8,0),"")=M79,"Pending","🔒 BLOCKED — Wrong Code")))</f>
        <v/>
      </c>
      <c r="L79" s="380" t="inlineStr">
        <is>
          <t>Agent 07</t>
        </is>
      </c>
      <c r="M79" s="491" t="n"/>
      <c r="N79" s="494" t="n"/>
    </row>
    <row r="80" ht="15" customHeight="1" s="341">
      <c r="A80" s="499">
        <f>IF(B80="","",IF(C80="❌ Account Not Found","INVALID","LN"&amp;TEXT(D80,"YYYYMMDD")&amp;TEXT(ROW()-13,"0000")))</f>
        <v/>
      </c>
      <c r="B80" s="495" t="n"/>
      <c r="C80" s="382">
        <f>IF(B80="","",IFERROR(VLOOKUP(B80,DB_Customers!$A:$D,4,0),"❌ Account Not Found"))</f>
        <v/>
      </c>
      <c r="D80" s="497">
        <f>IF(B80="","",TODAY())</f>
        <v/>
      </c>
      <c r="E80" s="526" t="n"/>
      <c r="F80" s="382" t="n"/>
      <c r="G80" s="527" t="n"/>
      <c r="H80" s="528" t="n"/>
      <c r="I80" s="529">
        <f>IF(E80="","",E80+(E80*H80/100*G80))</f>
        <v/>
      </c>
      <c r="J80" s="530">
        <f>IFERROR(I80/G80,"")</f>
        <v/>
      </c>
      <c r="K80" s="531">
        <f>IF(B80="","Pending",IF(M80="","⚠️ Enter Code",IF(IFERROR(VLOOKUP(L80,DB_Agents!$B:$I,8,0),"")=M80,"Pending","🔒 BLOCKED — Wrong Code")))</f>
        <v/>
      </c>
      <c r="L80" s="384" t="inlineStr">
        <is>
          <t>Agent 07</t>
        </is>
      </c>
      <c r="M80" s="491" t="n"/>
      <c r="N80" s="501" t="n"/>
    </row>
    <row r="81" ht="15" customHeight="1" s="341">
      <c r="A81" s="492">
        <f>IF(B81="","",IF(C81="❌ Account Not Found","INVALID","LN"&amp;TEXT(D81,"YYYYMMDD")&amp;TEXT(ROW()-13,"0000")))</f>
        <v/>
      </c>
      <c r="B81" s="486" t="n"/>
      <c r="C81" s="378">
        <f>IF(B81="","",IFERROR(VLOOKUP(B81,DB_Customers!$A:$D,4,0),"❌ Account Not Found"))</f>
        <v/>
      </c>
      <c r="D81" s="488">
        <f>IF(B81="","",TODAY())</f>
        <v/>
      </c>
      <c r="E81" s="526" t="n"/>
      <c r="F81" s="378" t="n"/>
      <c r="G81" s="532" t="n"/>
      <c r="H81" s="533" t="n"/>
      <c r="I81" s="529">
        <f>IF(E81="","",E81+(E81*H81/100*G81))</f>
        <v/>
      </c>
      <c r="J81" s="534">
        <f>IFERROR(I81/G81,"")</f>
        <v/>
      </c>
      <c r="K81" s="535">
        <f>IF(B81="","Pending",IF(M81="","⚠️ Enter Code",IF(IFERROR(VLOOKUP(L81,DB_Agents!$B:$I,8,0),"")=M81,"Pending","🔒 BLOCKED — Wrong Code")))</f>
        <v/>
      </c>
      <c r="L81" s="380" t="inlineStr">
        <is>
          <t>Agent 07</t>
        </is>
      </c>
      <c r="M81" s="491" t="n"/>
      <c r="N81" s="494" t="n"/>
    </row>
    <row r="82" ht="15" customHeight="1" s="341">
      <c r="A82" s="499">
        <f>IF(B82="","",IF(C82="❌ Account Not Found","INVALID","LN"&amp;TEXT(D82,"YYYYMMDD")&amp;TEXT(ROW()-13,"0000")))</f>
        <v/>
      </c>
      <c r="B82" s="495" t="n"/>
      <c r="C82" s="382">
        <f>IF(B82="","",IFERROR(VLOOKUP(B82,DB_Customers!$A:$D,4,0),"❌ Account Not Found"))</f>
        <v/>
      </c>
      <c r="D82" s="497">
        <f>IF(B82="","",TODAY())</f>
        <v/>
      </c>
      <c r="E82" s="526" t="n"/>
      <c r="F82" s="382" t="n"/>
      <c r="G82" s="527" t="n"/>
      <c r="H82" s="528" t="n"/>
      <c r="I82" s="529">
        <f>IF(E82="","",E82+(E82*H82/100*G82))</f>
        <v/>
      </c>
      <c r="J82" s="530">
        <f>IFERROR(I82/G82,"")</f>
        <v/>
      </c>
      <c r="K82" s="531">
        <f>IF(B82="","Pending",IF(M82="","⚠️ Enter Code",IF(IFERROR(VLOOKUP(L82,DB_Agents!$B:$I,8,0),"")=M82,"Pending","🔒 BLOCKED — Wrong Code")))</f>
        <v/>
      </c>
      <c r="L82" s="384" t="inlineStr">
        <is>
          <t>Agent 07</t>
        </is>
      </c>
      <c r="M82" s="491" t="n"/>
      <c r="N82" s="501" t="n"/>
    </row>
    <row r="83" ht="15" customHeight="1" s="341">
      <c r="A83" s="492">
        <f>IF(B83="","",IF(C83="❌ Account Not Found","INVALID","LN"&amp;TEXT(D83,"YYYYMMDD")&amp;TEXT(ROW()-13,"0000")))</f>
        <v/>
      </c>
      <c r="B83" s="486" t="n"/>
      <c r="C83" s="378">
        <f>IF(B83="","",IFERROR(VLOOKUP(B83,DB_Customers!$A:$D,4,0),"❌ Account Not Found"))</f>
        <v/>
      </c>
      <c r="D83" s="488">
        <f>IF(B83="","",TODAY())</f>
        <v/>
      </c>
      <c r="E83" s="526" t="n"/>
      <c r="F83" s="378" t="n"/>
      <c r="G83" s="532" t="n"/>
      <c r="H83" s="533" t="n"/>
      <c r="I83" s="529">
        <f>IF(E83="","",E83+(E83*H83/100*G83))</f>
        <v/>
      </c>
      <c r="J83" s="534">
        <f>IFERROR(I83/G83,"")</f>
        <v/>
      </c>
      <c r="K83" s="535">
        <f>IF(B83="","Pending",IF(M83="","⚠️ Enter Code",IF(IFERROR(VLOOKUP(L83,DB_Agents!$B:$I,8,0),"")=M83,"Pending","🔒 BLOCKED — Wrong Code")))</f>
        <v/>
      </c>
      <c r="L83" s="380" t="inlineStr">
        <is>
          <t>Agent 07</t>
        </is>
      </c>
      <c r="M83" s="491" t="n"/>
      <c r="N83" s="494" t="n"/>
    </row>
    <row r="84" ht="15" customHeight="1" s="341">
      <c r="A84" s="499">
        <f>IF(B84="","",IF(C84="❌ Account Not Found","INVALID","LN"&amp;TEXT(D84,"YYYYMMDD")&amp;TEXT(ROW()-13,"0000")))</f>
        <v/>
      </c>
      <c r="B84" s="495" t="n"/>
      <c r="C84" s="382">
        <f>IF(B84="","",IFERROR(VLOOKUP(B84,DB_Customers!$A:$D,4,0),"❌ Account Not Found"))</f>
        <v/>
      </c>
      <c r="D84" s="497">
        <f>IF(B84="","",TODAY())</f>
        <v/>
      </c>
      <c r="E84" s="526" t="n"/>
      <c r="F84" s="382" t="n"/>
      <c r="G84" s="527" t="n"/>
      <c r="H84" s="528" t="n"/>
      <c r="I84" s="529">
        <f>IF(E84="","",E84+(E84*H84/100*G84))</f>
        <v/>
      </c>
      <c r="J84" s="530">
        <f>IFERROR(I84/G84,"")</f>
        <v/>
      </c>
      <c r="K84" s="531">
        <f>IF(B84="","Pending",IF(M84="","⚠️ Enter Code",IF(IFERROR(VLOOKUP(L84,DB_Agents!$B:$I,8,0),"")=M84,"Pending","🔒 BLOCKED — Wrong Code")))</f>
        <v/>
      </c>
      <c r="L84" s="384" t="inlineStr">
        <is>
          <t>Agent 07</t>
        </is>
      </c>
      <c r="M84" s="491" t="n"/>
      <c r="N84" s="501" t="n"/>
    </row>
    <row r="85" ht="15" customHeight="1" s="341">
      <c r="A85" s="492">
        <f>IF(B85="","",IF(C85="❌ Account Not Found","INVALID","LN"&amp;TEXT(D85,"YYYYMMDD")&amp;TEXT(ROW()-13,"0000")))</f>
        <v/>
      </c>
      <c r="B85" s="486" t="n"/>
      <c r="C85" s="378">
        <f>IF(B85="","",IFERROR(VLOOKUP(B85,DB_Customers!$A:$D,4,0),"❌ Account Not Found"))</f>
        <v/>
      </c>
      <c r="D85" s="488">
        <f>IF(B85="","",TODAY())</f>
        <v/>
      </c>
      <c r="E85" s="526" t="n"/>
      <c r="F85" s="378" t="n"/>
      <c r="G85" s="532" t="n"/>
      <c r="H85" s="533" t="n"/>
      <c r="I85" s="529">
        <f>IF(E85="","",E85+(E85*H85/100*G85))</f>
        <v/>
      </c>
      <c r="J85" s="534">
        <f>IFERROR(I85/G85,"")</f>
        <v/>
      </c>
      <c r="K85" s="535">
        <f>IF(B85="","Pending",IF(M85="","⚠️ Enter Code",IF(IFERROR(VLOOKUP(L85,DB_Agents!$B:$I,8,0),"")=M85,"Pending","🔒 BLOCKED — Wrong Code")))</f>
        <v/>
      </c>
      <c r="L85" s="380" t="inlineStr">
        <is>
          <t>Agent 07</t>
        </is>
      </c>
      <c r="M85" s="491" t="n"/>
      <c r="N85" s="494" t="n"/>
    </row>
    <row r="86" ht="15" customHeight="1" s="341">
      <c r="A86" s="499">
        <f>IF(B86="","",IF(C86="❌ Account Not Found","INVALID","LN"&amp;TEXT(D86,"YYYYMMDD")&amp;TEXT(ROW()-13,"0000")))</f>
        <v/>
      </c>
      <c r="B86" s="495" t="n"/>
      <c r="C86" s="382">
        <f>IF(B86="","",IFERROR(VLOOKUP(B86,DB_Customers!$A:$D,4,0),"❌ Account Not Found"))</f>
        <v/>
      </c>
      <c r="D86" s="497">
        <f>IF(B86="","",TODAY())</f>
        <v/>
      </c>
      <c r="E86" s="526" t="n"/>
      <c r="F86" s="382" t="n"/>
      <c r="G86" s="527" t="n"/>
      <c r="H86" s="528" t="n"/>
      <c r="I86" s="529">
        <f>IF(E86="","",E86+(E86*H86/100*G86))</f>
        <v/>
      </c>
      <c r="J86" s="530">
        <f>IFERROR(I86/G86,"")</f>
        <v/>
      </c>
      <c r="K86" s="531">
        <f>IF(B86="","Pending",IF(M86="","⚠️ Enter Code",IF(IFERROR(VLOOKUP(L86,DB_Agents!$B:$I,8,0),"")=M86,"Pending","🔒 BLOCKED — Wrong Code")))</f>
        <v/>
      </c>
      <c r="L86" s="384" t="inlineStr">
        <is>
          <t>Agent 07</t>
        </is>
      </c>
      <c r="M86" s="491" t="n"/>
      <c r="N86" s="501" t="n"/>
    </row>
    <row r="87" ht="15" customHeight="1" s="341">
      <c r="A87" s="492">
        <f>IF(B87="","",IF(C87="❌ Account Not Found","INVALID","LN"&amp;TEXT(D87,"YYYYMMDD")&amp;TEXT(ROW()-13,"0000")))</f>
        <v/>
      </c>
      <c r="B87" s="486" t="n"/>
      <c r="C87" s="378">
        <f>IF(B87="","",IFERROR(VLOOKUP(B87,DB_Customers!$A:$D,4,0),"❌ Account Not Found"))</f>
        <v/>
      </c>
      <c r="D87" s="488">
        <f>IF(B87="","",TODAY())</f>
        <v/>
      </c>
      <c r="E87" s="526" t="n"/>
      <c r="F87" s="378" t="n"/>
      <c r="G87" s="532" t="n"/>
      <c r="H87" s="533" t="n"/>
      <c r="I87" s="529">
        <f>IF(E87="","",E87+(E87*H87/100*G87))</f>
        <v/>
      </c>
      <c r="J87" s="534">
        <f>IFERROR(I87/G87,"")</f>
        <v/>
      </c>
      <c r="K87" s="535">
        <f>IF(B87="","Pending",IF(M87="","⚠️ Enter Code",IF(IFERROR(VLOOKUP(L87,DB_Agents!$B:$I,8,0),"")=M87,"Pending","🔒 BLOCKED — Wrong Code")))</f>
        <v/>
      </c>
      <c r="L87" s="380" t="inlineStr">
        <is>
          <t>Agent 07</t>
        </is>
      </c>
      <c r="M87" s="491" t="n"/>
      <c r="N87" s="494" t="n"/>
    </row>
    <row r="88" ht="15" customHeight="1" s="341">
      <c r="A88" s="499">
        <f>IF(B88="","",IF(C88="❌ Account Not Found","INVALID","LN"&amp;TEXT(D88,"YYYYMMDD")&amp;TEXT(ROW()-13,"0000")))</f>
        <v/>
      </c>
      <c r="B88" s="495" t="n"/>
      <c r="C88" s="382">
        <f>IF(B88="","",IFERROR(VLOOKUP(B88,DB_Customers!$A:$D,4,0),"❌ Account Not Found"))</f>
        <v/>
      </c>
      <c r="D88" s="497">
        <f>IF(B88="","",TODAY())</f>
        <v/>
      </c>
      <c r="E88" s="526" t="n"/>
      <c r="F88" s="382" t="n"/>
      <c r="G88" s="527" t="n"/>
      <c r="H88" s="528" t="n"/>
      <c r="I88" s="529">
        <f>IF(E88="","",E88+(E88*H88/100*G88))</f>
        <v/>
      </c>
      <c r="J88" s="530">
        <f>IFERROR(I88/G88,"")</f>
        <v/>
      </c>
      <c r="K88" s="531">
        <f>IF(B88="","Pending",IF(M88="","⚠️ Enter Code",IF(IFERROR(VLOOKUP(L88,DB_Agents!$B:$I,8,0),"")=M88,"Pending","🔒 BLOCKED — Wrong Code")))</f>
        <v/>
      </c>
      <c r="L88" s="384" t="inlineStr">
        <is>
          <t>Agent 07</t>
        </is>
      </c>
      <c r="M88" s="491" t="n"/>
      <c r="N88" s="501" t="n"/>
    </row>
    <row r="89" ht="15" customHeight="1" s="341">
      <c r="A89" s="492">
        <f>IF(B89="","",IF(C89="❌ Account Not Found","INVALID","LN"&amp;TEXT(D89,"YYYYMMDD")&amp;TEXT(ROW()-13,"0000")))</f>
        <v/>
      </c>
      <c r="B89" s="486" t="n"/>
      <c r="C89" s="378">
        <f>IF(B89="","",IFERROR(VLOOKUP(B89,DB_Customers!$A:$D,4,0),"❌ Account Not Found"))</f>
        <v/>
      </c>
      <c r="D89" s="488">
        <f>IF(B89="","",TODAY())</f>
        <v/>
      </c>
      <c r="E89" s="526" t="n"/>
      <c r="F89" s="378" t="n"/>
      <c r="G89" s="532" t="n"/>
      <c r="H89" s="533" t="n"/>
      <c r="I89" s="529">
        <f>IF(E89="","",E89+(E89*H89/100*G89))</f>
        <v/>
      </c>
      <c r="J89" s="534">
        <f>IFERROR(I89/G89,"")</f>
        <v/>
      </c>
      <c r="K89" s="535">
        <f>IF(B89="","Pending",IF(M89="","⚠️ Enter Code",IF(IFERROR(VLOOKUP(L89,DB_Agents!$B:$I,8,0),"")=M89,"Pending","🔒 BLOCKED — Wrong Code")))</f>
        <v/>
      </c>
      <c r="L89" s="380" t="inlineStr">
        <is>
          <t>Agent 07</t>
        </is>
      </c>
      <c r="M89" s="491" t="n"/>
      <c r="N89" s="494" t="n"/>
    </row>
    <row r="90" ht="15" customHeight="1" s="341">
      <c r="A90" s="499">
        <f>IF(B90="","",IF(C90="❌ Account Not Found","INVALID","LN"&amp;TEXT(D90,"YYYYMMDD")&amp;TEXT(ROW()-13,"0000")))</f>
        <v/>
      </c>
      <c r="B90" s="495" t="n"/>
      <c r="C90" s="382">
        <f>IF(B90="","",IFERROR(VLOOKUP(B90,DB_Customers!$A:$D,4,0),"❌ Account Not Found"))</f>
        <v/>
      </c>
      <c r="D90" s="497">
        <f>IF(B90="","",TODAY())</f>
        <v/>
      </c>
      <c r="E90" s="526" t="n"/>
      <c r="F90" s="382" t="n"/>
      <c r="G90" s="527" t="n"/>
      <c r="H90" s="528" t="n"/>
      <c r="I90" s="529">
        <f>IF(E90="","",E90+(E90*H90/100*G90))</f>
        <v/>
      </c>
      <c r="J90" s="530">
        <f>IFERROR(I90/G90,"")</f>
        <v/>
      </c>
      <c r="K90" s="531">
        <f>IF(B90="","Pending",IF(M90="","⚠️ Enter Code",IF(IFERROR(VLOOKUP(L90,DB_Agents!$B:$I,8,0),"")=M90,"Pending","🔒 BLOCKED — Wrong Code")))</f>
        <v/>
      </c>
      <c r="L90" s="384" t="inlineStr">
        <is>
          <t>Agent 07</t>
        </is>
      </c>
      <c r="M90" s="491" t="n"/>
      <c r="N90" s="501" t="n"/>
    </row>
    <row r="91" ht="15" customHeight="1" s="341">
      <c r="A91" s="492">
        <f>IF(B91="","",IF(C91="❌ Account Not Found","INVALID","LN"&amp;TEXT(D91,"YYYYMMDD")&amp;TEXT(ROW()-13,"0000")))</f>
        <v/>
      </c>
      <c r="B91" s="486" t="n"/>
      <c r="C91" s="378">
        <f>IF(B91="","",IFERROR(VLOOKUP(B91,DB_Customers!$A:$D,4,0),"❌ Account Not Found"))</f>
        <v/>
      </c>
      <c r="D91" s="488">
        <f>IF(B91="","",TODAY())</f>
        <v/>
      </c>
      <c r="E91" s="526" t="n"/>
      <c r="F91" s="378" t="n"/>
      <c r="G91" s="532" t="n"/>
      <c r="H91" s="533" t="n"/>
      <c r="I91" s="529">
        <f>IF(E91="","",E91+(E91*H91/100*G91))</f>
        <v/>
      </c>
      <c r="J91" s="534">
        <f>IFERROR(I91/G91,"")</f>
        <v/>
      </c>
      <c r="K91" s="535">
        <f>IF(B91="","Pending",IF(M91="","⚠️ Enter Code",IF(IFERROR(VLOOKUP(L91,DB_Agents!$B:$I,8,0),"")=M91,"Pending","🔒 BLOCKED — Wrong Code")))</f>
        <v/>
      </c>
      <c r="L91" s="380" t="inlineStr">
        <is>
          <t>Agent 07</t>
        </is>
      </c>
      <c r="M91" s="491" t="n"/>
      <c r="N91" s="494" t="n"/>
    </row>
    <row r="92" ht="15" customHeight="1" s="341">
      <c r="A92" s="499">
        <f>IF(B92="","",IF(C92="❌ Account Not Found","INVALID","LN"&amp;TEXT(D92,"YYYYMMDD")&amp;TEXT(ROW()-13,"0000")))</f>
        <v/>
      </c>
      <c r="B92" s="495" t="n"/>
      <c r="C92" s="382">
        <f>IF(B92="","",IFERROR(VLOOKUP(B92,DB_Customers!$A:$D,4,0),"❌ Account Not Found"))</f>
        <v/>
      </c>
      <c r="D92" s="497">
        <f>IF(B92="","",TODAY())</f>
        <v/>
      </c>
      <c r="E92" s="526" t="n"/>
      <c r="F92" s="382" t="n"/>
      <c r="G92" s="527" t="n"/>
      <c r="H92" s="528" t="n"/>
      <c r="I92" s="529">
        <f>IF(E92="","",E92+(E92*H92/100*G92))</f>
        <v/>
      </c>
      <c r="J92" s="530">
        <f>IFERROR(I92/G92,"")</f>
        <v/>
      </c>
      <c r="K92" s="531">
        <f>IF(B92="","Pending",IF(M92="","⚠️ Enter Code",IF(IFERROR(VLOOKUP(L92,DB_Agents!$B:$I,8,0),"")=M92,"Pending","🔒 BLOCKED — Wrong Code")))</f>
        <v/>
      </c>
      <c r="L92" s="384" t="inlineStr">
        <is>
          <t>Agent 07</t>
        </is>
      </c>
      <c r="M92" s="491" t="n"/>
      <c r="N92" s="501" t="n"/>
    </row>
    <row r="93" ht="15" customHeight="1" s="341">
      <c r="A93" s="492">
        <f>IF(B93="","",IF(C93="❌ Account Not Found","INVALID","LN"&amp;TEXT(D93,"YYYYMMDD")&amp;TEXT(ROW()-13,"0000")))</f>
        <v/>
      </c>
      <c r="B93" s="486" t="n"/>
      <c r="C93" s="378">
        <f>IF(B93="","",IFERROR(VLOOKUP(B93,DB_Customers!$A:$D,4,0),"❌ Account Not Found"))</f>
        <v/>
      </c>
      <c r="D93" s="488">
        <f>IF(B93="","",TODAY())</f>
        <v/>
      </c>
      <c r="E93" s="526" t="n"/>
      <c r="F93" s="378" t="n"/>
      <c r="G93" s="532" t="n"/>
      <c r="H93" s="533" t="n"/>
      <c r="I93" s="529">
        <f>IF(E93="","",E93+(E93*H93/100*G93))</f>
        <v/>
      </c>
      <c r="J93" s="534">
        <f>IFERROR(I93/G93,"")</f>
        <v/>
      </c>
      <c r="K93" s="535">
        <f>IF(B93="","Pending",IF(M93="","⚠️ Enter Code",IF(IFERROR(VLOOKUP(L93,DB_Agents!$B:$I,8,0),"")=M93,"Pending","🔒 BLOCKED — Wrong Code")))</f>
        <v/>
      </c>
      <c r="L93" s="380" t="inlineStr">
        <is>
          <t>Agent 07</t>
        </is>
      </c>
      <c r="M93" s="491" t="n"/>
      <c r="N93" s="494" t="n"/>
    </row>
    <row r="94" ht="15" customHeight="1" s="341">
      <c r="A94" s="499">
        <f>IF(B94="","",IF(C94="❌ Account Not Found","INVALID","LN"&amp;TEXT(D94,"YYYYMMDD")&amp;TEXT(ROW()-13,"0000")))</f>
        <v/>
      </c>
      <c r="B94" s="495" t="n"/>
      <c r="C94" s="382">
        <f>IF(B94="","",IFERROR(VLOOKUP(B94,DB_Customers!$A:$D,4,0),"❌ Account Not Found"))</f>
        <v/>
      </c>
      <c r="D94" s="497">
        <f>IF(B94="","",TODAY())</f>
        <v/>
      </c>
      <c r="E94" s="526" t="n"/>
      <c r="F94" s="382" t="n"/>
      <c r="G94" s="527" t="n"/>
      <c r="H94" s="528" t="n"/>
      <c r="I94" s="529">
        <f>IF(E94="","",E94+(E94*H94/100*G94))</f>
        <v/>
      </c>
      <c r="J94" s="530">
        <f>IFERROR(I94/G94,"")</f>
        <v/>
      </c>
      <c r="K94" s="531">
        <f>IF(B94="","Pending",IF(M94="","⚠️ Enter Code",IF(IFERROR(VLOOKUP(L94,DB_Agents!$B:$I,8,0),"")=M94,"Pending","🔒 BLOCKED — Wrong Code")))</f>
        <v/>
      </c>
      <c r="L94" s="384" t="inlineStr">
        <is>
          <t>Agent 07</t>
        </is>
      </c>
      <c r="M94" s="491" t="n"/>
      <c r="N94" s="501" t="n"/>
    </row>
    <row r="95" ht="15" customHeight="1" s="341">
      <c r="A95" s="492">
        <f>IF(B95="","",IF(C95="❌ Account Not Found","INVALID","LN"&amp;TEXT(D95,"YYYYMMDD")&amp;TEXT(ROW()-13,"0000")))</f>
        <v/>
      </c>
      <c r="B95" s="486" t="n"/>
      <c r="C95" s="378">
        <f>IF(B95="","",IFERROR(VLOOKUP(B95,DB_Customers!$A:$D,4,0),"❌ Account Not Found"))</f>
        <v/>
      </c>
      <c r="D95" s="488">
        <f>IF(B95="","",TODAY())</f>
        <v/>
      </c>
      <c r="E95" s="526" t="n"/>
      <c r="F95" s="378" t="n"/>
      <c r="G95" s="532" t="n"/>
      <c r="H95" s="533" t="n"/>
      <c r="I95" s="529">
        <f>IF(E95="","",E95+(E95*H95/100*G95))</f>
        <v/>
      </c>
      <c r="J95" s="534">
        <f>IFERROR(I95/G95,"")</f>
        <v/>
      </c>
      <c r="K95" s="535">
        <f>IF(B95="","Pending",IF(M95="","⚠️ Enter Code",IF(IFERROR(VLOOKUP(L95,DB_Agents!$B:$I,8,0),"")=M95,"Pending","🔒 BLOCKED — Wrong Code")))</f>
        <v/>
      </c>
      <c r="L95" s="380" t="inlineStr">
        <is>
          <t>Agent 07</t>
        </is>
      </c>
      <c r="M95" s="491" t="n"/>
      <c r="N95" s="494" t="n"/>
    </row>
    <row r="96" ht="15" customHeight="1" s="341">
      <c r="A96" s="499">
        <f>IF(B96="","",IF(C96="❌ Account Not Found","INVALID","LN"&amp;TEXT(D96,"YYYYMMDD")&amp;TEXT(ROW()-13,"0000")))</f>
        <v/>
      </c>
      <c r="B96" s="495" t="n"/>
      <c r="C96" s="382">
        <f>IF(B96="","",IFERROR(VLOOKUP(B96,DB_Customers!$A:$D,4,0),"❌ Account Not Found"))</f>
        <v/>
      </c>
      <c r="D96" s="497">
        <f>IF(B96="","",TODAY())</f>
        <v/>
      </c>
      <c r="E96" s="526" t="n"/>
      <c r="F96" s="382" t="n"/>
      <c r="G96" s="527" t="n"/>
      <c r="H96" s="528" t="n"/>
      <c r="I96" s="529">
        <f>IF(E96="","",E96+(E96*H96/100*G96))</f>
        <v/>
      </c>
      <c r="J96" s="530">
        <f>IFERROR(I96/G96,"")</f>
        <v/>
      </c>
      <c r="K96" s="531">
        <f>IF(B96="","Pending",IF(M96="","⚠️ Enter Code",IF(IFERROR(VLOOKUP(L96,DB_Agents!$B:$I,8,0),"")=M96,"Pending","🔒 BLOCKED — Wrong Code")))</f>
        <v/>
      </c>
      <c r="L96" s="384" t="inlineStr">
        <is>
          <t>Agent 07</t>
        </is>
      </c>
      <c r="M96" s="491" t="n"/>
      <c r="N96" s="501" t="n"/>
    </row>
    <row r="97" ht="15" customHeight="1" s="341">
      <c r="A97" s="492">
        <f>IF(B97="","",IF(C97="❌ Account Not Found","INVALID","LN"&amp;TEXT(D97,"YYYYMMDD")&amp;TEXT(ROW()-13,"0000")))</f>
        <v/>
      </c>
      <c r="B97" s="486" t="n"/>
      <c r="C97" s="378">
        <f>IF(B97="","",IFERROR(VLOOKUP(B97,DB_Customers!$A:$D,4,0),"❌ Account Not Found"))</f>
        <v/>
      </c>
      <c r="D97" s="488">
        <f>IF(B97="","",TODAY())</f>
        <v/>
      </c>
      <c r="E97" s="526" t="n"/>
      <c r="F97" s="378" t="n"/>
      <c r="G97" s="532" t="n"/>
      <c r="H97" s="533" t="n"/>
      <c r="I97" s="529">
        <f>IF(E97="","",E97+(E97*H97/100*G97))</f>
        <v/>
      </c>
      <c r="J97" s="534">
        <f>IFERROR(I97/G97,"")</f>
        <v/>
      </c>
      <c r="K97" s="535">
        <f>IF(B97="","Pending",IF(M97="","⚠️ Enter Code",IF(IFERROR(VLOOKUP(L97,DB_Agents!$B:$I,8,0),"")=M97,"Pending","🔒 BLOCKED — Wrong Code")))</f>
        <v/>
      </c>
      <c r="L97" s="380" t="inlineStr">
        <is>
          <t>Agent 07</t>
        </is>
      </c>
      <c r="M97" s="491" t="n"/>
      <c r="N97" s="494" t="n"/>
    </row>
    <row r="98" ht="15" customHeight="1" s="341">
      <c r="A98" s="499">
        <f>IF(B98="","",IF(C98="❌ Account Not Found","INVALID","LN"&amp;TEXT(D98,"YYYYMMDD")&amp;TEXT(ROW()-13,"0000")))</f>
        <v/>
      </c>
      <c r="B98" s="495" t="n"/>
      <c r="C98" s="382">
        <f>IF(B98="","",IFERROR(VLOOKUP(B98,DB_Customers!$A:$D,4,0),"❌ Account Not Found"))</f>
        <v/>
      </c>
      <c r="D98" s="497">
        <f>IF(B98="","",TODAY())</f>
        <v/>
      </c>
      <c r="E98" s="526" t="n"/>
      <c r="F98" s="382" t="n"/>
      <c r="G98" s="527" t="n"/>
      <c r="H98" s="528" t="n"/>
      <c r="I98" s="529">
        <f>IF(E98="","",E98+(E98*H98/100*G98))</f>
        <v/>
      </c>
      <c r="J98" s="530">
        <f>IFERROR(I98/G98,"")</f>
        <v/>
      </c>
      <c r="K98" s="531">
        <f>IF(B98="","Pending",IF(M98="","⚠️ Enter Code",IF(IFERROR(VLOOKUP(L98,DB_Agents!$B:$I,8,0),"")=M98,"Pending","🔒 BLOCKED — Wrong Code")))</f>
        <v/>
      </c>
      <c r="L98" s="384" t="inlineStr">
        <is>
          <t>Agent 07</t>
        </is>
      </c>
      <c r="M98" s="491" t="n"/>
      <c r="N98" s="501" t="n"/>
    </row>
    <row r="99" ht="15" customHeight="1" s="341">
      <c r="A99" s="492">
        <f>IF(B99="","",IF(C99="❌ Account Not Found","INVALID","LN"&amp;TEXT(D99,"YYYYMMDD")&amp;TEXT(ROW()-13,"0000")))</f>
        <v/>
      </c>
      <c r="B99" s="486" t="n"/>
      <c r="C99" s="378">
        <f>IF(B99="","",IFERROR(VLOOKUP(B99,DB_Customers!$A:$D,4,0),"❌ Account Not Found"))</f>
        <v/>
      </c>
      <c r="D99" s="488">
        <f>IF(B99="","",TODAY())</f>
        <v/>
      </c>
      <c r="E99" s="526" t="n"/>
      <c r="F99" s="378" t="n"/>
      <c r="G99" s="532" t="n"/>
      <c r="H99" s="533" t="n"/>
      <c r="I99" s="529">
        <f>IF(E99="","",E99+(E99*H99/100*G99))</f>
        <v/>
      </c>
      <c r="J99" s="534">
        <f>IFERROR(I99/G99,"")</f>
        <v/>
      </c>
      <c r="K99" s="535">
        <f>IF(B99="","Pending",IF(M99="","⚠️ Enter Code",IF(IFERROR(VLOOKUP(L99,DB_Agents!$B:$I,8,0),"")=M99,"Pending","🔒 BLOCKED — Wrong Code")))</f>
        <v/>
      </c>
      <c r="L99" s="380" t="inlineStr">
        <is>
          <t>Agent 07</t>
        </is>
      </c>
      <c r="M99" s="491" t="n"/>
      <c r="N99" s="494" t="n"/>
    </row>
    <row r="100" ht="15" customHeight="1" s="341">
      <c r="A100" s="499">
        <f>IF(B100="","",IF(C100="❌ Account Not Found","INVALID","LN"&amp;TEXT(D100,"YYYYMMDD")&amp;TEXT(ROW()-13,"0000")))</f>
        <v/>
      </c>
      <c r="B100" s="495" t="n"/>
      <c r="C100" s="382">
        <f>IF(B100="","",IFERROR(VLOOKUP(B100,DB_Customers!$A:$D,4,0),"❌ Account Not Found"))</f>
        <v/>
      </c>
      <c r="D100" s="497">
        <f>IF(B100="","",TODAY())</f>
        <v/>
      </c>
      <c r="E100" s="526" t="n"/>
      <c r="F100" s="382" t="n"/>
      <c r="G100" s="527" t="n"/>
      <c r="H100" s="528" t="n"/>
      <c r="I100" s="529">
        <f>IF(E100="","",E100+(E100*H100/100*G100))</f>
        <v/>
      </c>
      <c r="J100" s="530">
        <f>IFERROR(I100/G100,"")</f>
        <v/>
      </c>
      <c r="K100" s="531">
        <f>IF(B100="","Pending",IF(M100="","⚠️ Enter Code",IF(IFERROR(VLOOKUP(L100,DB_Agents!$B:$I,8,0),"")=M100,"Pending","🔒 BLOCKED — Wrong Code")))</f>
        <v/>
      </c>
      <c r="L100" s="384" t="inlineStr">
        <is>
          <t>Agent 07</t>
        </is>
      </c>
      <c r="M100" s="491" t="n"/>
      <c r="N100" s="501" t="n"/>
    </row>
    <row r="101" ht="15" customHeight="1" s="341">
      <c r="A101" s="492">
        <f>IF(B101="","",IF(C101="❌ Account Not Found","INVALID","LN"&amp;TEXT(D101,"YYYYMMDD")&amp;TEXT(ROW()-13,"0000")))</f>
        <v/>
      </c>
      <c r="B101" s="486" t="n"/>
      <c r="C101" s="378">
        <f>IF(B101="","",IFERROR(VLOOKUP(B101,DB_Customers!$A:$D,4,0),"❌ Account Not Found"))</f>
        <v/>
      </c>
      <c r="D101" s="488">
        <f>IF(B101="","",TODAY())</f>
        <v/>
      </c>
      <c r="E101" s="526" t="n"/>
      <c r="F101" s="378" t="n"/>
      <c r="G101" s="532" t="n"/>
      <c r="H101" s="533" t="n"/>
      <c r="I101" s="529">
        <f>IF(E101="","",E101+(E101*H101/100*G101))</f>
        <v/>
      </c>
      <c r="J101" s="534">
        <f>IFERROR(I101/G101,"")</f>
        <v/>
      </c>
      <c r="K101" s="535">
        <f>IF(B101="","Pending",IF(M101="","⚠️ Enter Code",IF(IFERROR(VLOOKUP(L101,DB_Agents!$B:$I,8,0),"")=M101,"Pending","🔒 BLOCKED — Wrong Code")))</f>
        <v/>
      </c>
      <c r="L101" s="380" t="inlineStr">
        <is>
          <t>Agent 07</t>
        </is>
      </c>
      <c r="M101" s="491" t="n"/>
      <c r="N101" s="494" t="n"/>
    </row>
    <row r="102" ht="15" customHeight="1" s="341">
      <c r="A102" s="499">
        <f>IF(B102="","",IF(C102="❌ Account Not Found","INVALID","LN"&amp;TEXT(D102,"YYYYMMDD")&amp;TEXT(ROW()-13,"0000")))</f>
        <v/>
      </c>
      <c r="B102" s="495" t="n"/>
      <c r="C102" s="382">
        <f>IF(B102="","",IFERROR(VLOOKUP(B102,DB_Customers!$A:$D,4,0),"❌ Account Not Found"))</f>
        <v/>
      </c>
      <c r="D102" s="497">
        <f>IF(B102="","",TODAY())</f>
        <v/>
      </c>
      <c r="E102" s="526" t="n"/>
      <c r="F102" s="382" t="n"/>
      <c r="G102" s="527" t="n"/>
      <c r="H102" s="528" t="n"/>
      <c r="I102" s="529">
        <f>IF(E102="","",E102+(E102*H102/100*G102))</f>
        <v/>
      </c>
      <c r="J102" s="530">
        <f>IFERROR(I102/G102,"")</f>
        <v/>
      </c>
      <c r="K102" s="531">
        <f>IF(B102="","Pending",IF(M102="","⚠️ Enter Code",IF(IFERROR(VLOOKUP(L102,DB_Agents!$B:$I,8,0),"")=M102,"Pending","🔒 BLOCKED — Wrong Code")))</f>
        <v/>
      </c>
      <c r="L102" s="384" t="inlineStr">
        <is>
          <t>Agent 07</t>
        </is>
      </c>
      <c r="M102" s="491" t="n"/>
      <c r="N102" s="501" t="n"/>
    </row>
    <row r="103" ht="15" customHeight="1" s="341">
      <c r="A103" s="492">
        <f>IF(B103="","",IF(C103="❌ Account Not Found","INVALID","LN"&amp;TEXT(D103,"YYYYMMDD")&amp;TEXT(ROW()-13,"0000")))</f>
        <v/>
      </c>
      <c r="B103" s="486" t="n"/>
      <c r="C103" s="378">
        <f>IF(B103="","",IFERROR(VLOOKUP(B103,DB_Customers!$A:$D,4,0),"❌ Account Not Found"))</f>
        <v/>
      </c>
      <c r="D103" s="488">
        <f>IF(B103="","",TODAY())</f>
        <v/>
      </c>
      <c r="E103" s="526" t="n"/>
      <c r="F103" s="378" t="n"/>
      <c r="G103" s="532" t="n"/>
      <c r="H103" s="533" t="n"/>
      <c r="I103" s="529">
        <f>IF(E103="","",E103+(E103*H103/100*G103))</f>
        <v/>
      </c>
      <c r="J103" s="534">
        <f>IFERROR(I103/G103,"")</f>
        <v/>
      </c>
      <c r="K103" s="535">
        <f>IF(B103="","Pending",IF(M103="","⚠️ Enter Code",IF(IFERROR(VLOOKUP(L103,DB_Agents!$B:$I,8,0),"")=M103,"Pending","🔒 BLOCKED — Wrong Code")))</f>
        <v/>
      </c>
      <c r="L103" s="380" t="inlineStr">
        <is>
          <t>Agent 07</t>
        </is>
      </c>
      <c r="M103" s="491" t="n"/>
      <c r="N103" s="494" t="n"/>
    </row>
    <row r="104" ht="15" customHeight="1" s="341">
      <c r="A104" s="499">
        <f>IF(B104="","",IF(C104="❌ Account Not Found","INVALID","LN"&amp;TEXT(D104,"YYYYMMDD")&amp;TEXT(ROW()-13,"0000")))</f>
        <v/>
      </c>
      <c r="B104" s="495" t="n"/>
      <c r="C104" s="382">
        <f>IF(B104="","",IFERROR(VLOOKUP(B104,DB_Customers!$A:$D,4,0),"❌ Account Not Found"))</f>
        <v/>
      </c>
      <c r="D104" s="497">
        <f>IF(B104="","",TODAY())</f>
        <v/>
      </c>
      <c r="E104" s="526" t="n"/>
      <c r="F104" s="382" t="n"/>
      <c r="G104" s="527" t="n"/>
      <c r="H104" s="528" t="n"/>
      <c r="I104" s="529">
        <f>IF(E104="","",E104+(E104*H104/100*G104))</f>
        <v/>
      </c>
      <c r="J104" s="530">
        <f>IFERROR(I104/G104,"")</f>
        <v/>
      </c>
      <c r="K104" s="531">
        <f>IF(B104="","Pending",IF(M104="","⚠️ Enter Code",IF(IFERROR(VLOOKUP(L104,DB_Agents!$B:$I,8,0),"")=M104,"Pending","🔒 BLOCKED — Wrong Code")))</f>
        <v/>
      </c>
      <c r="L104" s="384" t="inlineStr">
        <is>
          <t>Agent 07</t>
        </is>
      </c>
      <c r="M104" s="491" t="n"/>
      <c r="N104" s="501" t="n"/>
    </row>
    <row r="105" ht="15" customHeight="1" s="341">
      <c r="A105" s="492">
        <f>IF(B105="","",IF(C105="❌ Account Not Found","INVALID","LN"&amp;TEXT(D105,"YYYYMMDD")&amp;TEXT(ROW()-13,"0000")))</f>
        <v/>
      </c>
      <c r="B105" s="486" t="n"/>
      <c r="C105" s="378">
        <f>IF(B105="","",IFERROR(VLOOKUP(B105,DB_Customers!$A:$D,4,0),"❌ Account Not Found"))</f>
        <v/>
      </c>
      <c r="D105" s="488">
        <f>IF(B105="","",TODAY())</f>
        <v/>
      </c>
      <c r="E105" s="526" t="n"/>
      <c r="F105" s="378" t="n"/>
      <c r="G105" s="532" t="n"/>
      <c r="H105" s="533" t="n"/>
      <c r="I105" s="529">
        <f>IF(E105="","",E105+(E105*H105/100*G105))</f>
        <v/>
      </c>
      <c r="J105" s="534">
        <f>IFERROR(I105/G105,"")</f>
        <v/>
      </c>
      <c r="K105" s="535">
        <f>IF(B105="","Pending",IF(M105="","⚠️ Enter Code",IF(IFERROR(VLOOKUP(L105,DB_Agents!$B:$I,8,0),"")=M105,"Pending","🔒 BLOCKED — Wrong Code")))</f>
        <v/>
      </c>
      <c r="L105" s="380" t="inlineStr">
        <is>
          <t>Agent 07</t>
        </is>
      </c>
      <c r="M105" s="491" t="n"/>
      <c r="N105" s="494" t="n"/>
    </row>
    <row r="106" ht="15" customHeight="1" s="341">
      <c r="A106" s="499">
        <f>IF(B106="","",IF(C106="❌ Account Not Found","INVALID","LN"&amp;TEXT(D106,"YYYYMMDD")&amp;TEXT(ROW()-13,"0000")))</f>
        <v/>
      </c>
      <c r="B106" s="495" t="n"/>
      <c r="C106" s="382">
        <f>IF(B106="","",IFERROR(VLOOKUP(B106,DB_Customers!$A:$D,4,0),"❌ Account Not Found"))</f>
        <v/>
      </c>
      <c r="D106" s="497">
        <f>IF(B106="","",TODAY())</f>
        <v/>
      </c>
      <c r="E106" s="526" t="n"/>
      <c r="F106" s="382" t="n"/>
      <c r="G106" s="527" t="n"/>
      <c r="H106" s="528" t="n"/>
      <c r="I106" s="529">
        <f>IF(E106="","",E106+(E106*H106/100*G106))</f>
        <v/>
      </c>
      <c r="J106" s="530">
        <f>IFERROR(I106/G106,"")</f>
        <v/>
      </c>
      <c r="K106" s="531">
        <f>IF(B106="","Pending",IF(M106="","⚠️ Enter Code",IF(IFERROR(VLOOKUP(L106,DB_Agents!$B:$I,8,0),"")=M106,"Pending","🔒 BLOCKED — Wrong Code")))</f>
        <v/>
      </c>
      <c r="L106" s="384" t="inlineStr">
        <is>
          <t>Agent 07</t>
        </is>
      </c>
      <c r="M106" s="491" t="n"/>
      <c r="N106" s="501" t="n"/>
    </row>
    <row r="107" ht="15" customHeight="1" s="341">
      <c r="A107" s="492">
        <f>IF(B107="","",IF(C107="❌ Account Not Found","INVALID","LN"&amp;TEXT(D107,"YYYYMMDD")&amp;TEXT(ROW()-13,"0000")))</f>
        <v/>
      </c>
      <c r="B107" s="486" t="n"/>
      <c r="C107" s="378">
        <f>IF(B107="","",IFERROR(VLOOKUP(B107,DB_Customers!$A:$D,4,0),"❌ Account Not Found"))</f>
        <v/>
      </c>
      <c r="D107" s="488">
        <f>IF(B107="","",TODAY())</f>
        <v/>
      </c>
      <c r="E107" s="526" t="n"/>
      <c r="F107" s="378" t="n"/>
      <c r="G107" s="532" t="n"/>
      <c r="H107" s="533" t="n"/>
      <c r="I107" s="529">
        <f>IF(E107="","",E107+(E107*H107/100*G107))</f>
        <v/>
      </c>
      <c r="J107" s="534">
        <f>IFERROR(I107/G107,"")</f>
        <v/>
      </c>
      <c r="K107" s="535">
        <f>IF(B107="","Pending",IF(M107="","⚠️ Enter Code",IF(IFERROR(VLOOKUP(L107,DB_Agents!$B:$I,8,0),"")=M107,"Pending","🔒 BLOCKED — Wrong Code")))</f>
        <v/>
      </c>
      <c r="L107" s="380" t="inlineStr">
        <is>
          <t>Agent 07</t>
        </is>
      </c>
      <c r="M107" s="491" t="n"/>
      <c r="N107" s="494" t="n"/>
    </row>
    <row r="108" ht="15" customHeight="1" s="341">
      <c r="A108" s="499">
        <f>IF(B108="","",IF(C108="❌ Account Not Found","INVALID","LN"&amp;TEXT(D108,"YYYYMMDD")&amp;TEXT(ROW()-13,"0000")))</f>
        <v/>
      </c>
      <c r="B108" s="495" t="n"/>
      <c r="C108" s="382">
        <f>IF(B108="","",IFERROR(VLOOKUP(B108,DB_Customers!$A:$D,4,0),"❌ Account Not Found"))</f>
        <v/>
      </c>
      <c r="D108" s="497">
        <f>IF(B108="","",TODAY())</f>
        <v/>
      </c>
      <c r="E108" s="526" t="n"/>
      <c r="F108" s="382" t="n"/>
      <c r="G108" s="527" t="n"/>
      <c r="H108" s="528" t="n"/>
      <c r="I108" s="529">
        <f>IF(E108="","",E108+(E108*H108/100*G108))</f>
        <v/>
      </c>
      <c r="J108" s="530">
        <f>IFERROR(I108/G108,"")</f>
        <v/>
      </c>
      <c r="K108" s="531">
        <f>IF(B108="","Pending",IF(M108="","⚠️ Enter Code",IF(IFERROR(VLOOKUP(L108,DB_Agents!$B:$I,8,0),"")=M108,"Pending","🔒 BLOCKED — Wrong Code")))</f>
        <v/>
      </c>
      <c r="L108" s="384" t="inlineStr">
        <is>
          <t>Agent 07</t>
        </is>
      </c>
      <c r="M108" s="491" t="n"/>
      <c r="N108" s="501" t="n"/>
    </row>
    <row r="109" ht="15" customHeight="1" s="341">
      <c r="A109" s="492">
        <f>IF(B109="","",IF(C109="❌ Account Not Found","INVALID","LN"&amp;TEXT(D109,"YYYYMMDD")&amp;TEXT(ROW()-13,"0000")))</f>
        <v/>
      </c>
      <c r="B109" s="486" t="n"/>
      <c r="C109" s="378">
        <f>IF(B109="","",IFERROR(VLOOKUP(B109,DB_Customers!$A:$D,4,0),"❌ Account Not Found"))</f>
        <v/>
      </c>
      <c r="D109" s="488">
        <f>IF(B109="","",TODAY())</f>
        <v/>
      </c>
      <c r="E109" s="526" t="n"/>
      <c r="F109" s="378" t="n"/>
      <c r="G109" s="532" t="n"/>
      <c r="H109" s="533" t="n"/>
      <c r="I109" s="529">
        <f>IF(E109="","",E109+(E109*H109/100*G109))</f>
        <v/>
      </c>
      <c r="J109" s="534">
        <f>IFERROR(I109/G109,"")</f>
        <v/>
      </c>
      <c r="K109" s="535">
        <f>IF(B109="","Pending",IF(M109="","⚠️ Enter Code",IF(IFERROR(VLOOKUP(L109,DB_Agents!$B:$I,8,0),"")=M109,"Pending","🔒 BLOCKED — Wrong Code")))</f>
        <v/>
      </c>
      <c r="L109" s="380" t="inlineStr">
        <is>
          <t>Agent 07</t>
        </is>
      </c>
      <c r="M109" s="491" t="n"/>
      <c r="N109" s="494" t="n"/>
    </row>
    <row r="110" ht="15" customHeight="1" s="341">
      <c r="A110" s="499">
        <f>IF(B110="","",IF(C110="❌ Account Not Found","INVALID","LN"&amp;TEXT(D110,"YYYYMMDD")&amp;TEXT(ROW()-13,"0000")))</f>
        <v/>
      </c>
      <c r="B110" s="495" t="n"/>
      <c r="C110" s="382">
        <f>IF(B110="","",IFERROR(VLOOKUP(B110,DB_Customers!$A:$D,4,0),"❌ Account Not Found"))</f>
        <v/>
      </c>
      <c r="D110" s="497">
        <f>IF(B110="","",TODAY())</f>
        <v/>
      </c>
      <c r="E110" s="526" t="n"/>
      <c r="F110" s="382" t="n"/>
      <c r="G110" s="527" t="n"/>
      <c r="H110" s="528" t="n"/>
      <c r="I110" s="529">
        <f>IF(E110="","",E110+(E110*H110/100*G110))</f>
        <v/>
      </c>
      <c r="J110" s="530">
        <f>IFERROR(I110/G110,"")</f>
        <v/>
      </c>
      <c r="K110" s="531">
        <f>IF(B110="","Pending",IF(M110="","⚠️ Enter Code",IF(IFERROR(VLOOKUP(L110,DB_Agents!$B:$I,8,0),"")=M110,"Pending","🔒 BLOCKED — Wrong Code")))</f>
        <v/>
      </c>
      <c r="L110" s="384" t="inlineStr">
        <is>
          <t>Agent 07</t>
        </is>
      </c>
      <c r="M110" s="491" t="n"/>
      <c r="N110" s="501" t="n"/>
    </row>
    <row r="111" ht="15" customHeight="1" s="341">
      <c r="A111" s="492">
        <f>IF(B111="","",IF(C111="❌ Account Not Found","INVALID","LN"&amp;TEXT(D111,"YYYYMMDD")&amp;TEXT(ROW()-13,"0000")))</f>
        <v/>
      </c>
      <c r="B111" s="486" t="n"/>
      <c r="C111" s="378">
        <f>IF(B111="","",IFERROR(VLOOKUP(B111,DB_Customers!$A:$D,4,0),"❌ Account Not Found"))</f>
        <v/>
      </c>
      <c r="D111" s="488">
        <f>IF(B111="","",TODAY())</f>
        <v/>
      </c>
      <c r="E111" s="526" t="n"/>
      <c r="F111" s="378" t="n"/>
      <c r="G111" s="532" t="n"/>
      <c r="H111" s="533" t="n"/>
      <c r="I111" s="529">
        <f>IF(E111="","",E111+(E111*H111/100*G111))</f>
        <v/>
      </c>
      <c r="J111" s="534">
        <f>IFERROR(I111/G111,"")</f>
        <v/>
      </c>
      <c r="K111" s="535">
        <f>IF(B111="","Pending",IF(M111="","⚠️ Enter Code",IF(IFERROR(VLOOKUP(L111,DB_Agents!$B:$I,8,0),"")=M111,"Pending","🔒 BLOCKED — Wrong Code")))</f>
        <v/>
      </c>
      <c r="L111" s="380" t="inlineStr">
        <is>
          <t>Agent 07</t>
        </is>
      </c>
      <c r="M111" s="491" t="n"/>
      <c r="N111" s="494" t="n"/>
    </row>
    <row r="112" ht="15" customHeight="1" s="341">
      <c r="A112" s="499">
        <f>IF(B112="","",IF(C112="❌ Account Not Found","INVALID","LN"&amp;TEXT(D112,"YYYYMMDD")&amp;TEXT(ROW()-13,"0000")))</f>
        <v/>
      </c>
      <c r="B112" s="495" t="n"/>
      <c r="C112" s="382">
        <f>IF(B112="","",IFERROR(VLOOKUP(B112,DB_Customers!$A:$D,4,0),"❌ Account Not Found"))</f>
        <v/>
      </c>
      <c r="D112" s="497">
        <f>IF(B112="","",TODAY())</f>
        <v/>
      </c>
      <c r="E112" s="526" t="n"/>
      <c r="F112" s="382" t="n"/>
      <c r="G112" s="527" t="n"/>
      <c r="H112" s="528" t="n"/>
      <c r="I112" s="529">
        <f>IF(E112="","",E112+(E112*H112/100*G112))</f>
        <v/>
      </c>
      <c r="J112" s="530">
        <f>IFERROR(I112/G112,"")</f>
        <v/>
      </c>
      <c r="K112" s="531">
        <f>IF(B112="","Pending",IF(M112="","⚠️ Enter Code",IF(IFERROR(VLOOKUP(L112,DB_Agents!$B:$I,8,0),"")=M112,"Pending","🔒 BLOCKED — Wrong Code")))</f>
        <v/>
      </c>
      <c r="L112" s="384" t="inlineStr">
        <is>
          <t>Agent 07</t>
        </is>
      </c>
      <c r="M112" s="491" t="n"/>
      <c r="N112" s="501" t="n"/>
    </row>
    <row r="113" ht="15" customHeight="1" s="341">
      <c r="A113" s="492">
        <f>IF(B113="","",IF(C113="❌ Account Not Found","INVALID","LN"&amp;TEXT(D113,"YYYYMMDD")&amp;TEXT(ROW()-13,"0000")))</f>
        <v/>
      </c>
      <c r="B113" s="486" t="n"/>
      <c r="C113" s="378">
        <f>IF(B113="","",IFERROR(VLOOKUP(B113,DB_Customers!$A:$D,4,0),"❌ Account Not Found"))</f>
        <v/>
      </c>
      <c r="D113" s="488">
        <f>IF(B113="","",TODAY())</f>
        <v/>
      </c>
      <c r="E113" s="526" t="n"/>
      <c r="F113" s="378" t="n"/>
      <c r="G113" s="532" t="n"/>
      <c r="H113" s="533" t="n"/>
      <c r="I113" s="529">
        <f>IF(E113="","",E113+(E113*H113/100*G113))</f>
        <v/>
      </c>
      <c r="J113" s="534">
        <f>IFERROR(I113/G113,"")</f>
        <v/>
      </c>
      <c r="K113" s="535">
        <f>IF(B113="","Pending",IF(M113="","⚠️ Enter Code",IF(IFERROR(VLOOKUP(L113,DB_Agents!$B:$I,8,0),"")=M113,"Pending","🔒 BLOCKED — Wrong Code")))</f>
        <v/>
      </c>
      <c r="L113" s="380" t="inlineStr">
        <is>
          <t>Agent 07</t>
        </is>
      </c>
      <c r="M113" s="491" t="n"/>
      <c r="N113" s="494" t="n"/>
    </row>
    <row r="114" ht="15" customHeight="1" s="341">
      <c r="H114" s="536" t="n"/>
      <c r="K114" s="537">
        <f>IF(B114="","Pending",IF(M114="","⚠️ Enter Code",IF(IFERROR(VLOOKUP(L114,DB_Agents!$B:$I,8,0),"")=M114,"Pending","🔒 BLOCKED — Wrong Code")))</f>
        <v/>
      </c>
      <c r="M114" s="491" t="n"/>
    </row>
    <row r="115" ht="15" customHeight="1" s="341">
      <c r="H115" s="536" t="n"/>
      <c r="K115" s="342">
        <f>IF(B115="","Pending",IF(M115="","⚠️ Enter Code",IF(IFERROR(VLOOKUP(L115,DB_Agents!$B:$I,8,0),"")=M115,"Pending","🔒 BLOCKED — Wrong Code")))</f>
        <v/>
      </c>
      <c r="M115" s="491" t="n"/>
    </row>
    <row r="116" ht="15" customHeight="1" s="341">
      <c r="H116" s="536" t="n"/>
      <c r="K116" s="537">
        <f>IF(B116="","Pending",IF(M116="","⚠️ Enter Code",IF(IFERROR(VLOOKUP(L116,DB_Agents!$B:$I,8,0),"")=M116,"Pending","🔒 BLOCKED — Wrong Code")))</f>
        <v/>
      </c>
      <c r="M116" s="491" t="n"/>
    </row>
    <row r="117" ht="15" customHeight="1" s="341">
      <c r="H117" s="536" t="n"/>
      <c r="K117" s="342">
        <f>IF(B117="","Pending",IF(M117="","⚠️ Enter Code",IF(IFERROR(VLOOKUP(L117,DB_Agents!$B:$I,8,0),"")=M117,"Pending","🔒 BLOCKED — Wrong Code")))</f>
        <v/>
      </c>
      <c r="M117" s="491" t="n"/>
    </row>
    <row r="118" ht="15" customHeight="1" s="341">
      <c r="H118" s="536" t="n"/>
      <c r="K118" s="537">
        <f>IF(B118="","Pending",IF(M118="","⚠️ Enter Code",IF(IFERROR(VLOOKUP(L118,DB_Agents!$B:$I,8,0),"")=M118,"Pending","🔒 BLOCKED — Wrong Code")))</f>
        <v/>
      </c>
      <c r="M118" s="491" t="n"/>
    </row>
    <row r="119" ht="15" customHeight="1" s="341">
      <c r="H119" s="536" t="n"/>
      <c r="K119" s="342">
        <f>IF(B119="","Pending",IF(M119="","⚠️ Enter Code",IF(IFERROR(VLOOKUP(L119,DB_Agents!$B:$I,8,0),"")=M119,"Pending","🔒 BLOCKED — Wrong Code")))</f>
        <v/>
      </c>
      <c r="M119" s="491" t="n"/>
    </row>
    <row r="120" ht="15" customHeight="1" s="341">
      <c r="H120" s="536" t="n"/>
      <c r="K120" s="537">
        <f>IF(B120="","Pending",IF(M120="","⚠️ Enter Code",IF(IFERROR(VLOOKUP(L120,DB_Agents!$B:$I,8,0),"")=M120,"Pending","🔒 BLOCKED — Wrong Code")))</f>
        <v/>
      </c>
      <c r="M120" s="491" t="n"/>
    </row>
    <row r="121" ht="15" customHeight="1" s="341">
      <c r="H121" s="536" t="n"/>
      <c r="K121" s="342">
        <f>IF(B121="","Pending",IF(M121="","⚠️ Enter Code",IF(IFERROR(VLOOKUP(L121,DB_Agents!$B:$I,8,0),"")=M121,"Pending","🔒 BLOCKED — Wrong Code")))</f>
        <v/>
      </c>
      <c r="M121" s="491" t="n"/>
    </row>
    <row r="122" ht="15" customHeight="1" s="341">
      <c r="H122" s="536" t="n"/>
      <c r="K122" s="537">
        <f>IF(B122="","Pending",IF(M122="","⚠️ Enter Code",IF(IFERROR(VLOOKUP(L122,DB_Agents!$B:$I,8,0),"")=M122,"Pending","🔒 BLOCKED — Wrong Code")))</f>
        <v/>
      </c>
      <c r="M122" s="491" t="n"/>
    </row>
    <row r="123" ht="15" customHeight="1" s="341">
      <c r="H123" s="536" t="n"/>
      <c r="K123" s="342">
        <f>IF(B123="","Pending",IF(M123="","⚠️ Enter Code",IF(IFERROR(VLOOKUP(L123,DB_Agents!$B:$I,8,0),"")=M123,"Pending","🔒 BLOCKED — Wrong Code")))</f>
        <v/>
      </c>
      <c r="M123" s="491" t="n"/>
    </row>
    <row r="124" ht="15" customHeight="1" s="341">
      <c r="H124" s="536" t="n"/>
      <c r="K124" s="537">
        <f>IF(B124="","Pending",IF(M124="","⚠️ Enter Code",IF(IFERROR(VLOOKUP(L124,DB_Agents!$B:$I,8,0),"")=M124,"Pending","🔒 BLOCKED — Wrong Code")))</f>
        <v/>
      </c>
      <c r="M124" s="491" t="n"/>
    </row>
    <row r="125" ht="15" customHeight="1" s="341">
      <c r="H125" s="536" t="n"/>
      <c r="K125" s="342">
        <f>IF(B125="","Pending",IF(M125="","⚠️ Enter Code",IF(IFERROR(VLOOKUP(L125,DB_Agents!$B:$I,8,0),"")=M125,"Pending","🔒 BLOCKED — Wrong Code")))</f>
        <v/>
      </c>
      <c r="M125" s="491" t="n"/>
    </row>
    <row r="126" ht="15" customHeight="1" s="341">
      <c r="H126" s="536" t="n"/>
      <c r="K126" s="537">
        <f>IF(B126="","Pending",IF(M126="","⚠️ Enter Code",IF(IFERROR(VLOOKUP(L126,DB_Agents!$B:$I,8,0),"")=M126,"Pending","🔒 BLOCKED — Wrong Code")))</f>
        <v/>
      </c>
      <c r="M126" s="491" t="n"/>
    </row>
    <row r="127" ht="15" customHeight="1" s="341">
      <c r="H127" s="536" t="n"/>
      <c r="K127" s="342">
        <f>IF(B127="","Pending",IF(M127="","⚠️ Enter Code",IF(IFERROR(VLOOKUP(L127,DB_Agents!$B:$I,8,0),"")=M127,"Pending","🔒 BLOCKED — Wrong Code")))</f>
        <v/>
      </c>
      <c r="M127" s="491" t="n"/>
    </row>
    <row r="128" ht="15" customHeight="1" s="341">
      <c r="H128" s="536" t="n"/>
      <c r="K128" s="537">
        <f>IF(B128="","Pending",IF(M128="","⚠️ Enter Code",IF(IFERROR(VLOOKUP(L128,DB_Agents!$B:$I,8,0),"")=M128,"Pending","🔒 BLOCKED — Wrong Code")))</f>
        <v/>
      </c>
      <c r="M128" s="491" t="n"/>
    </row>
    <row r="129" ht="15" customHeight="1" s="341">
      <c r="H129" s="536" t="n"/>
      <c r="K129" s="342">
        <f>IF(B129="","Pending",IF(M129="","⚠️ Enter Code",IF(IFERROR(VLOOKUP(L129,DB_Agents!$B:$I,8,0),"")=M129,"Pending","🔒 BLOCKED — Wrong Code")))</f>
        <v/>
      </c>
      <c r="M129" s="491" t="n"/>
    </row>
    <row r="130" ht="15" customHeight="1" s="341">
      <c r="H130" s="536" t="n"/>
      <c r="K130" s="537">
        <f>IF(B130="","Pending",IF(M130="","⚠️ Enter Code",IF(IFERROR(VLOOKUP(L130,DB_Agents!$B:$I,8,0),"")=M130,"Pending","🔒 BLOCKED — Wrong Code")))</f>
        <v/>
      </c>
      <c r="M130" s="491" t="n"/>
    </row>
    <row r="131" ht="15" customHeight="1" s="341">
      <c r="H131" s="536" t="n"/>
      <c r="K131" s="342">
        <f>IF(B131="","Pending",IF(M131="","⚠️ Enter Code",IF(IFERROR(VLOOKUP(L131,DB_Agents!$B:$I,8,0),"")=M131,"Pending","🔒 BLOCKED — Wrong Code")))</f>
        <v/>
      </c>
      <c r="M131" s="491" t="n"/>
    </row>
    <row r="132" ht="15" customHeight="1" s="341">
      <c r="H132" s="536" t="n"/>
      <c r="K132" s="537">
        <f>IF(B132="","Pending",IF(M132="","⚠️ Enter Code",IF(IFERROR(VLOOKUP(L132,DB_Agents!$B:$I,8,0),"")=M132,"Pending","🔒 BLOCKED — Wrong Code")))</f>
        <v/>
      </c>
      <c r="M132" s="491" t="n"/>
    </row>
    <row r="133" ht="15" customHeight="1" s="341">
      <c r="H133" s="536" t="n"/>
      <c r="K133" s="342">
        <f>IF(B133="","Pending",IF(M133="","⚠️ Enter Code",IF(IFERROR(VLOOKUP(L133,DB_Agents!$B:$I,8,0),"")=M133,"Pending","🔒 BLOCKED — Wrong Code")))</f>
        <v/>
      </c>
      <c r="M133" s="491" t="n"/>
    </row>
    <row r="134" ht="15" customHeight="1" s="341">
      <c r="H134" s="536" t="n"/>
      <c r="K134" s="537">
        <f>IF(B134="","Pending",IF(M134="","⚠️ Enter Code",IF(IFERROR(VLOOKUP(L134,DB_Agents!$B:$I,8,0),"")=M134,"Pending","🔒 BLOCKED — Wrong Code")))</f>
        <v/>
      </c>
      <c r="M134" s="491" t="n"/>
    </row>
    <row r="135" ht="15" customHeight="1" s="341">
      <c r="H135" s="536" t="n"/>
      <c r="K135" s="342">
        <f>IF(B135="","Pending",IF(M135="","⚠️ Enter Code",IF(IFERROR(VLOOKUP(L135,DB_Agents!$B:$I,8,0),"")=M135,"Pending","🔒 BLOCKED — Wrong Code")))</f>
        <v/>
      </c>
      <c r="M135" s="491" t="n"/>
    </row>
    <row r="136" ht="15" customHeight="1" s="341">
      <c r="H136" s="536" t="n"/>
      <c r="K136" s="537">
        <f>IF(B136="","Pending",IF(M136="","⚠️ Enter Code",IF(IFERROR(VLOOKUP(L136,DB_Agents!$B:$I,8,0),"")=M136,"Pending","🔒 BLOCKED — Wrong Code")))</f>
        <v/>
      </c>
      <c r="M136" s="491" t="n"/>
    </row>
    <row r="137" ht="15" customHeight="1" s="341">
      <c r="H137" s="536" t="n"/>
      <c r="K137" s="342">
        <f>IF(B137="","Pending",IF(M137="","⚠️ Enter Code",IF(IFERROR(VLOOKUP(L137,DB_Agents!$B:$I,8,0),"")=M137,"Pending","🔒 BLOCKED — Wrong Code")))</f>
        <v/>
      </c>
      <c r="M137" s="491" t="n"/>
    </row>
    <row r="138" ht="15" customHeight="1" s="341">
      <c r="H138" s="536" t="n"/>
      <c r="K138" s="537">
        <f>IF(B138="","Pending",IF(M138="","⚠️ Enter Code",IF(IFERROR(VLOOKUP(L138,DB_Agents!$B:$I,8,0),"")=M138,"Pending","🔒 BLOCKED — Wrong Code")))</f>
        <v/>
      </c>
      <c r="M138" s="491" t="n"/>
    </row>
    <row r="139" ht="15" customHeight="1" s="341">
      <c r="H139" s="536" t="n"/>
      <c r="K139" s="342">
        <f>IF(B139="","Pending",IF(M139="","⚠️ Enter Code",IF(IFERROR(VLOOKUP(L139,DB_Agents!$B:$I,8,0),"")=M139,"Pending","🔒 BLOCKED — Wrong Code")))</f>
        <v/>
      </c>
      <c r="M139" s="491" t="n"/>
    </row>
    <row r="140" ht="15" customHeight="1" s="341">
      <c r="H140" s="536" t="n"/>
      <c r="K140" s="537">
        <f>IF(B140="","Pending",IF(M140="","⚠️ Enter Code",IF(IFERROR(VLOOKUP(L140,DB_Agents!$B:$I,8,0),"")=M140,"Pending","🔒 BLOCKED — Wrong Code")))</f>
        <v/>
      </c>
      <c r="M140" s="491" t="n"/>
    </row>
    <row r="141" ht="15" customHeight="1" s="341">
      <c r="H141" s="536" t="n"/>
      <c r="K141" s="342">
        <f>IF(B141="","Pending",IF(M141="","⚠️ Enter Code",IF(IFERROR(VLOOKUP(L141,DB_Agents!$B:$I,8,0),"")=M141,"Pending","🔒 BLOCKED — Wrong Code")))</f>
        <v/>
      </c>
      <c r="M141" s="491" t="n"/>
    </row>
    <row r="142" ht="15" customHeight="1" s="341">
      <c r="H142" s="536" t="n"/>
      <c r="K142" s="537">
        <f>IF(B142="","Pending",IF(M142="","⚠️ Enter Code",IF(IFERROR(VLOOKUP(L142,DB_Agents!$B:$I,8,0),"")=M142,"Pending","🔒 BLOCKED — Wrong Code")))</f>
        <v/>
      </c>
      <c r="M142" s="491" t="n"/>
    </row>
    <row r="143" ht="15" customHeight="1" s="341">
      <c r="H143" s="536" t="n"/>
      <c r="K143" s="342">
        <f>IF(B143="","Pending",IF(M143="","⚠️ Enter Code",IF(IFERROR(VLOOKUP(L143,DB_Agents!$B:$I,8,0),"")=M143,"Pending","🔒 BLOCKED — Wrong Code")))</f>
        <v/>
      </c>
      <c r="M143" s="491" t="n"/>
    </row>
    <row r="144" ht="15" customHeight="1" s="341">
      <c r="H144" s="536" t="n"/>
      <c r="K144" s="537">
        <f>IF(B144="","Pending",IF(M144="","⚠️ Enter Code",IF(IFERROR(VLOOKUP(L144,DB_Agents!$B:$I,8,0),"")=M144,"Pending","🔒 BLOCKED — Wrong Code")))</f>
        <v/>
      </c>
      <c r="M144" s="491" t="n"/>
    </row>
    <row r="145" ht="15" customHeight="1" s="341">
      <c r="H145" s="536" t="n"/>
      <c r="K145" s="342">
        <f>IF(B145="","Pending",IF(M145="","⚠️ Enter Code",IF(IFERROR(VLOOKUP(L145,DB_Agents!$B:$I,8,0),"")=M145,"Pending","🔒 BLOCKED — Wrong Code")))</f>
        <v/>
      </c>
      <c r="M145" s="491" t="n"/>
    </row>
    <row r="146" ht="15" customHeight="1" s="341">
      <c r="H146" s="536" t="n"/>
      <c r="K146" s="537">
        <f>IF(B146="","Pending",IF(M146="","⚠️ Enter Code",IF(IFERROR(VLOOKUP(L146,DB_Agents!$B:$I,8,0),"")=M146,"Pending","🔒 BLOCKED — Wrong Code")))</f>
        <v/>
      </c>
      <c r="M146" s="491" t="n"/>
    </row>
    <row r="147" ht="15" customHeight="1" s="341">
      <c r="H147" s="536" t="n"/>
      <c r="K147" s="342">
        <f>IF(B147="","Pending",IF(M147="","⚠️ Enter Code",IF(IFERROR(VLOOKUP(L147,DB_Agents!$B:$I,8,0),"")=M147,"Pending","🔒 BLOCKED — Wrong Code")))</f>
        <v/>
      </c>
      <c r="M147" s="491" t="n"/>
    </row>
    <row r="148" ht="15" customHeight="1" s="341">
      <c r="H148" s="536" t="n"/>
      <c r="K148" s="537">
        <f>IF(B148="","Pending",IF(M148="","⚠️ Enter Code",IF(IFERROR(VLOOKUP(L148,DB_Agents!$B:$I,8,0),"")=M148,"Pending","🔒 BLOCKED — Wrong Code")))</f>
        <v/>
      </c>
      <c r="M148" s="491" t="n"/>
    </row>
    <row r="149" ht="15" customHeight="1" s="341">
      <c r="H149" s="536" t="n"/>
      <c r="K149" s="342">
        <f>IF(B149="","Pending",IF(M149="","⚠️ Enter Code",IF(IFERROR(VLOOKUP(L149,DB_Agents!$B:$I,8,0),"")=M149,"Pending","🔒 BLOCKED — Wrong Code")))</f>
        <v/>
      </c>
      <c r="M149" s="491" t="n"/>
    </row>
    <row r="150" ht="15" customHeight="1" s="341">
      <c r="H150" s="536" t="n"/>
      <c r="K150" s="537">
        <f>IF(B150="","Pending",IF(M150="","⚠️ Enter Code",IF(IFERROR(VLOOKUP(L150,DB_Agents!$B:$I,8,0),"")=M150,"Pending","🔒 BLOCKED — Wrong Code")))</f>
        <v/>
      </c>
      <c r="M150" s="491" t="n"/>
    </row>
    <row r="151" ht="15" customHeight="1" s="341">
      <c r="H151" s="536" t="n"/>
      <c r="K151" s="342">
        <f>IF(B151="","Pending",IF(M151="","⚠️ Enter Code",IF(IFERROR(VLOOKUP(L151,DB_Agents!$B:$I,8,0),"")=M151,"Pending","🔒 BLOCKED — Wrong Code")))</f>
        <v/>
      </c>
      <c r="M151" s="491" t="n"/>
    </row>
    <row r="152" ht="15" customHeight="1" s="341">
      <c r="H152" s="536" t="n"/>
      <c r="K152" s="537">
        <f>IF(B152="","Pending",IF(M152="","⚠️ Enter Code",IF(IFERROR(VLOOKUP(L152,DB_Agents!$B:$I,8,0),"")=M152,"Pending","🔒 BLOCKED — Wrong Code")))</f>
        <v/>
      </c>
      <c r="M152" s="491" t="n"/>
    </row>
    <row r="153" ht="15" customHeight="1" s="341">
      <c r="H153" s="536" t="n"/>
      <c r="K153" s="342">
        <f>IF(B153="","Pending",IF(M153="","⚠️ Enter Code",IF(IFERROR(VLOOKUP(L153,DB_Agents!$B:$I,8,0),"")=M153,"Pending","🔒 BLOCKED — Wrong Code")))</f>
        <v/>
      </c>
      <c r="M153" s="491" t="n"/>
    </row>
    <row r="154" ht="15" customHeight="1" s="341">
      <c r="H154" s="536" t="n"/>
      <c r="K154" s="537">
        <f>IF(B154="","Pending",IF(M154="","⚠️ Enter Code",IF(IFERROR(VLOOKUP(L154,DB_Agents!$B:$I,8,0),"")=M154,"Pending","🔒 BLOCKED — Wrong Code")))</f>
        <v/>
      </c>
      <c r="M154" s="491" t="n"/>
    </row>
    <row r="155" ht="15" customHeight="1" s="341">
      <c r="H155" s="536" t="n"/>
      <c r="K155" s="342">
        <f>IF(B155="","Pending",IF(M155="","⚠️ Enter Code",IF(IFERROR(VLOOKUP(L155,DB_Agents!$B:$I,8,0),"")=M155,"Pending","🔒 BLOCKED — Wrong Code")))</f>
        <v/>
      </c>
      <c r="M155" s="491" t="n"/>
    </row>
    <row r="156" ht="15" customHeight="1" s="341">
      <c r="H156" s="536" t="n"/>
      <c r="K156" s="537">
        <f>IF(B156="","Pending",IF(M156="","⚠️ Enter Code",IF(IFERROR(VLOOKUP(L156,DB_Agents!$B:$I,8,0),"")=M156,"Pending","🔒 BLOCKED — Wrong Code")))</f>
        <v/>
      </c>
      <c r="M156" s="491" t="n"/>
    </row>
    <row r="157" ht="15" customHeight="1" s="341">
      <c r="H157" s="536" t="n"/>
      <c r="K157" s="342">
        <f>IF(B157="","Pending",IF(M157="","⚠️ Enter Code",IF(IFERROR(VLOOKUP(L157,DB_Agents!$B:$I,8,0),"")=M157,"Pending","🔒 BLOCKED — Wrong Code")))</f>
        <v/>
      </c>
      <c r="M157" s="491" t="n"/>
    </row>
    <row r="158" ht="15" customHeight="1" s="341">
      <c r="H158" s="536" t="n"/>
      <c r="K158" s="537">
        <f>IF(B158="","Pending",IF(M158="","⚠️ Enter Code",IF(IFERROR(VLOOKUP(L158,DB_Agents!$B:$I,8,0),"")=M158,"Pending","🔒 BLOCKED — Wrong Code")))</f>
        <v/>
      </c>
      <c r="M158" s="491" t="n"/>
    </row>
    <row r="159" ht="15" customHeight="1" s="341">
      <c r="H159" s="536" t="n"/>
      <c r="K159" s="342">
        <f>IF(B159="","Pending",IF(M159="","⚠️ Enter Code",IF(IFERROR(VLOOKUP(L159,DB_Agents!$B:$I,8,0),"")=M159,"Pending","🔒 BLOCKED — Wrong Code")))</f>
        <v/>
      </c>
      <c r="M159" s="491" t="n"/>
    </row>
    <row r="160" ht="15" customHeight="1" s="341">
      <c r="H160" s="536" t="n"/>
      <c r="K160" s="537">
        <f>IF(B160="","Pending",IF(M160="","⚠️ Enter Code",IF(IFERROR(VLOOKUP(L160,DB_Agents!$B:$I,8,0),"")=M160,"Pending","🔒 BLOCKED — Wrong Code")))</f>
        <v/>
      </c>
      <c r="M160" s="491" t="n"/>
    </row>
    <row r="161" ht="15" customHeight="1" s="341">
      <c r="H161" s="536" t="n"/>
      <c r="K161" s="342">
        <f>IF(B161="","Pending",IF(M161="","⚠️ Enter Code",IF(IFERROR(VLOOKUP(L161,DB_Agents!$B:$I,8,0),"")=M161,"Pending","🔒 BLOCKED — Wrong Code")))</f>
        <v/>
      </c>
      <c r="M161" s="491" t="n"/>
    </row>
    <row r="162" ht="15" customHeight="1" s="341">
      <c r="H162" s="536" t="n"/>
      <c r="K162" s="537">
        <f>IF(B162="","Pending",IF(M162="","⚠️ Enter Code",IF(IFERROR(VLOOKUP(L162,DB_Agents!$B:$I,8,0),"")=M162,"Pending","🔒 BLOCKED — Wrong Code")))</f>
        <v/>
      </c>
      <c r="M162" s="491" t="n"/>
    </row>
    <row r="163" ht="15" customHeight="1" s="341">
      <c r="H163" s="536" t="n"/>
      <c r="K163" s="342">
        <f>IF(B163="","Pending",IF(M163="","⚠️ Enter Code",IF(IFERROR(VLOOKUP(L163,DB_Agents!$B:$I,8,0),"")=M163,"Pending","🔒 BLOCKED — Wrong Code")))</f>
        <v/>
      </c>
      <c r="M163" s="491" t="n"/>
    </row>
    <row r="164" ht="15" customHeight="1" s="341">
      <c r="H164" s="536" t="n"/>
      <c r="K164" s="537">
        <f>IF(B164="","Pending",IF(M164="","⚠️ Enter Code",IF(IFERROR(VLOOKUP(L164,DB_Agents!$B:$I,8,0),"")=M164,"Pending","🔒 BLOCKED — Wrong Code")))</f>
        <v/>
      </c>
      <c r="M164" s="491" t="n"/>
    </row>
    <row r="165" ht="15" customHeight="1" s="341">
      <c r="H165" s="536" t="n"/>
      <c r="K165" s="342">
        <f>IF(B165="","Pending",IF(M165="","⚠️ Enter Code",IF(IFERROR(VLOOKUP(L165,DB_Agents!$B:$I,8,0),"")=M165,"Pending","🔒 BLOCKED — Wrong Code")))</f>
        <v/>
      </c>
      <c r="M165" s="491" t="n"/>
    </row>
    <row r="166" ht="15" customHeight="1" s="341">
      <c r="H166" s="536" t="n"/>
      <c r="K166" s="537">
        <f>IF(B166="","Pending",IF(M166="","⚠️ Enter Code",IF(IFERROR(VLOOKUP(L166,DB_Agents!$B:$I,8,0),"")=M166,"Pending","🔒 BLOCKED — Wrong Code")))</f>
        <v/>
      </c>
      <c r="M166" s="491" t="n"/>
    </row>
    <row r="167" ht="15" customHeight="1" s="341">
      <c r="H167" s="536" t="n"/>
      <c r="K167" s="342">
        <f>IF(B167="","Pending",IF(M167="","⚠️ Enter Code",IF(IFERROR(VLOOKUP(L167,DB_Agents!$B:$I,8,0),"")=M167,"Pending","🔒 BLOCKED — Wrong Code")))</f>
        <v/>
      </c>
      <c r="M167" s="491" t="n"/>
    </row>
    <row r="168" ht="15" customHeight="1" s="341">
      <c r="H168" s="536" t="n"/>
      <c r="K168" s="537">
        <f>IF(B168="","Pending",IF(M168="","⚠️ Enter Code",IF(IFERROR(VLOOKUP(L168,DB_Agents!$B:$I,8,0),"")=M168,"Pending","🔒 BLOCKED — Wrong Code")))</f>
        <v/>
      </c>
      <c r="M168" s="491" t="n"/>
    </row>
    <row r="169" ht="15" customHeight="1" s="341">
      <c r="H169" s="536" t="n"/>
      <c r="K169" s="342">
        <f>IF(B169="","Pending",IF(M169="","⚠️ Enter Code",IF(IFERROR(VLOOKUP(L169,DB_Agents!$B:$I,8,0),"")=M169,"Pending","🔒 BLOCKED — Wrong Code")))</f>
        <v/>
      </c>
      <c r="M169" s="491" t="n"/>
    </row>
    <row r="170" ht="15" customHeight="1" s="341">
      <c r="H170" s="536" t="n"/>
      <c r="K170" s="537">
        <f>IF(B170="","Pending",IF(M170="","⚠️ Enter Code",IF(IFERROR(VLOOKUP(L170,DB_Agents!$B:$I,8,0),"")=M170,"Pending","🔒 BLOCKED — Wrong Code")))</f>
        <v/>
      </c>
      <c r="M170" s="491" t="n"/>
    </row>
    <row r="171" ht="15" customHeight="1" s="341">
      <c r="H171" s="536" t="n"/>
      <c r="K171" s="342">
        <f>IF(B171="","Pending",IF(M171="","⚠️ Enter Code",IF(IFERROR(VLOOKUP(L171,DB_Agents!$B:$I,8,0),"")=M171,"Pending","🔒 BLOCKED — Wrong Code")))</f>
        <v/>
      </c>
      <c r="M171" s="491" t="n"/>
    </row>
    <row r="172" ht="15" customHeight="1" s="341">
      <c r="H172" s="536" t="n"/>
      <c r="K172" s="537">
        <f>IF(B172="","Pending",IF(M172="","⚠️ Enter Code",IF(IFERROR(VLOOKUP(L172,DB_Agents!$B:$I,8,0),"")=M172,"Pending","🔒 BLOCKED — Wrong Code")))</f>
        <v/>
      </c>
      <c r="M172" s="491" t="n"/>
    </row>
    <row r="173" ht="15" customHeight="1" s="341">
      <c r="H173" s="536" t="n"/>
      <c r="K173" s="342">
        <f>IF(B173="","Pending",IF(M173="","⚠️ Enter Code",IF(IFERROR(VLOOKUP(L173,DB_Agents!$B:$I,8,0),"")=M173,"Pending","🔒 BLOCKED — Wrong Code")))</f>
        <v/>
      </c>
      <c r="M173" s="491" t="n"/>
    </row>
    <row r="174" ht="15" customHeight="1" s="341">
      <c r="H174" s="536" t="n"/>
      <c r="K174" s="537">
        <f>IF(B174="","Pending",IF(M174="","⚠️ Enter Code",IF(IFERROR(VLOOKUP(L174,DB_Agents!$B:$I,8,0),"")=M174,"Pending","🔒 BLOCKED — Wrong Code")))</f>
        <v/>
      </c>
      <c r="M174" s="491" t="n"/>
    </row>
    <row r="175" ht="15" customHeight="1" s="341">
      <c r="H175" s="536" t="n"/>
      <c r="K175" s="342">
        <f>IF(B175="","Pending",IF(M175="","⚠️ Enter Code",IF(IFERROR(VLOOKUP(L175,DB_Agents!$B:$I,8,0),"")=M175,"Pending","🔒 BLOCKED — Wrong Code")))</f>
        <v/>
      </c>
      <c r="M175" s="491" t="n"/>
    </row>
    <row r="176" ht="15" customHeight="1" s="341">
      <c r="H176" s="536" t="n"/>
      <c r="K176" s="537">
        <f>IF(B176="","Pending",IF(M176="","⚠️ Enter Code",IF(IFERROR(VLOOKUP(L176,DB_Agents!$B:$I,8,0),"")=M176,"Pending","🔒 BLOCKED — Wrong Code")))</f>
        <v/>
      </c>
      <c r="M176" s="491" t="n"/>
    </row>
    <row r="177" ht="15" customHeight="1" s="341">
      <c r="H177" s="536" t="n"/>
      <c r="K177" s="342">
        <f>IF(B177="","Pending",IF(M177="","⚠️ Enter Code",IF(IFERROR(VLOOKUP(L177,DB_Agents!$B:$I,8,0),"")=M177,"Pending","🔒 BLOCKED — Wrong Code")))</f>
        <v/>
      </c>
      <c r="M177" s="491" t="n"/>
    </row>
    <row r="178" ht="15" customHeight="1" s="341">
      <c r="H178" s="536" t="n"/>
      <c r="K178" s="537">
        <f>IF(B178="","Pending",IF(M178="","⚠️ Enter Code",IF(IFERROR(VLOOKUP(L178,DB_Agents!$B:$I,8,0),"")=M178,"Pending","🔒 BLOCKED — Wrong Code")))</f>
        <v/>
      </c>
      <c r="M178" s="491" t="n"/>
    </row>
    <row r="179" ht="15" customHeight="1" s="341">
      <c r="H179" s="536" t="n"/>
      <c r="K179" s="342">
        <f>IF(B179="","Pending",IF(M179="","⚠️ Enter Code",IF(IFERROR(VLOOKUP(L179,DB_Agents!$B:$I,8,0),"")=M179,"Pending","🔒 BLOCKED — Wrong Code")))</f>
        <v/>
      </c>
      <c r="M179" s="491" t="n"/>
    </row>
    <row r="180" ht="15" customHeight="1" s="341">
      <c r="H180" s="536" t="n"/>
      <c r="K180" s="537">
        <f>IF(B180="","Pending",IF(M180="","⚠️ Enter Code",IF(IFERROR(VLOOKUP(L180,DB_Agents!$B:$I,8,0),"")=M180,"Pending","🔒 BLOCKED — Wrong Code")))</f>
        <v/>
      </c>
      <c r="M180" s="491" t="n"/>
    </row>
    <row r="181" ht="15" customHeight="1" s="341">
      <c r="H181" s="536" t="n"/>
      <c r="K181" s="342">
        <f>IF(B181="","Pending",IF(M181="","⚠️ Enter Code",IF(IFERROR(VLOOKUP(L181,DB_Agents!$B:$I,8,0),"")=M181,"Pending","🔒 BLOCKED — Wrong Code")))</f>
        <v/>
      </c>
      <c r="M181" s="491" t="n"/>
    </row>
    <row r="182" ht="15" customHeight="1" s="341">
      <c r="H182" s="536" t="n"/>
      <c r="K182" s="537">
        <f>IF(B182="","Pending",IF(M182="","⚠️ Enter Code",IF(IFERROR(VLOOKUP(L182,DB_Agents!$B:$I,8,0),"")=M182,"Pending","🔒 BLOCKED — Wrong Code")))</f>
        <v/>
      </c>
      <c r="M182" s="491" t="n"/>
    </row>
    <row r="183" ht="15" customHeight="1" s="341">
      <c r="H183" s="536" t="n"/>
      <c r="K183" s="342">
        <f>IF(B183="","Pending",IF(M183="","⚠️ Enter Code",IF(IFERROR(VLOOKUP(L183,DB_Agents!$B:$I,8,0),"")=M183,"Pending","🔒 BLOCKED — Wrong Code")))</f>
        <v/>
      </c>
      <c r="M183" s="491" t="n"/>
    </row>
    <row r="184" ht="15" customHeight="1" s="341">
      <c r="H184" s="536" t="n"/>
      <c r="K184" s="537">
        <f>IF(B184="","Pending",IF(M184="","⚠️ Enter Code",IF(IFERROR(VLOOKUP(L184,DB_Agents!$B:$I,8,0),"")=M184,"Pending","🔒 BLOCKED — Wrong Code")))</f>
        <v/>
      </c>
      <c r="M184" s="491" t="n"/>
    </row>
    <row r="185" ht="15" customHeight="1" s="341">
      <c r="H185" s="536" t="n"/>
      <c r="K185" s="342">
        <f>IF(B185="","Pending",IF(M185="","⚠️ Enter Code",IF(IFERROR(VLOOKUP(L185,DB_Agents!$B:$I,8,0),"")=M185,"Pending","🔒 BLOCKED — Wrong Code")))</f>
        <v/>
      </c>
      <c r="M185" s="491" t="n"/>
    </row>
    <row r="186" ht="15" customHeight="1" s="341">
      <c r="H186" s="536" t="n"/>
      <c r="K186" s="537">
        <f>IF(B186="","Pending",IF(M186="","⚠️ Enter Code",IF(IFERROR(VLOOKUP(L186,DB_Agents!$B:$I,8,0),"")=M186,"Pending","🔒 BLOCKED — Wrong Code")))</f>
        <v/>
      </c>
      <c r="M186" s="491" t="n"/>
    </row>
    <row r="187" ht="15" customHeight="1" s="341">
      <c r="H187" s="536" t="n"/>
      <c r="K187" s="342">
        <f>IF(B187="","Pending",IF(M187="","⚠️ Enter Code",IF(IFERROR(VLOOKUP(L187,DB_Agents!$B:$I,8,0),"")=M187,"Pending","🔒 BLOCKED — Wrong Code")))</f>
        <v/>
      </c>
      <c r="M187" s="491" t="n"/>
    </row>
    <row r="188" ht="15" customHeight="1" s="341">
      <c r="H188" s="536" t="n"/>
      <c r="K188" s="537">
        <f>IF(B188="","Pending",IF(M188="","⚠️ Enter Code",IF(IFERROR(VLOOKUP(L188,DB_Agents!$B:$I,8,0),"")=M188,"Pending","🔒 BLOCKED — Wrong Code")))</f>
        <v/>
      </c>
      <c r="M188" s="491" t="n"/>
    </row>
    <row r="189" ht="15" customHeight="1" s="341">
      <c r="H189" s="536" t="n"/>
      <c r="K189" s="342">
        <f>IF(B189="","Pending",IF(M189="","⚠️ Enter Code",IF(IFERROR(VLOOKUP(L189,DB_Agents!$B:$I,8,0),"")=M189,"Pending","🔒 BLOCKED — Wrong Code")))</f>
        <v/>
      </c>
      <c r="M189" s="491" t="n"/>
    </row>
    <row r="190" ht="15" customHeight="1" s="341">
      <c r="H190" s="536" t="n"/>
      <c r="K190" s="537">
        <f>IF(B190="","Pending",IF(M190="","⚠️ Enter Code",IF(IFERROR(VLOOKUP(L190,DB_Agents!$B:$I,8,0),"")=M190,"Pending","🔒 BLOCKED — Wrong Code")))</f>
        <v/>
      </c>
      <c r="M190" s="491" t="n"/>
    </row>
    <row r="191" ht="15" customHeight="1" s="341">
      <c r="H191" s="536" t="n"/>
      <c r="K191" s="342">
        <f>IF(B191="","Pending",IF(M191="","⚠️ Enter Code",IF(IFERROR(VLOOKUP(L191,DB_Agents!$B:$I,8,0),"")=M191,"Pending","🔒 BLOCKED — Wrong Code")))</f>
        <v/>
      </c>
      <c r="M191" s="491" t="n"/>
    </row>
    <row r="192" ht="15" customHeight="1" s="341">
      <c r="H192" s="536" t="n"/>
      <c r="K192" s="537">
        <f>IF(B192="","Pending",IF(M192="","⚠️ Enter Code",IF(IFERROR(VLOOKUP(L192,DB_Agents!$B:$I,8,0),"")=M192,"Pending","🔒 BLOCKED — Wrong Code")))</f>
        <v/>
      </c>
      <c r="M192" s="491" t="n"/>
    </row>
    <row r="193" ht="15" customHeight="1" s="341">
      <c r="H193" s="536" t="n"/>
      <c r="K193" s="342">
        <f>IF(B193="","Pending",IF(M193="","⚠️ Enter Code",IF(IFERROR(VLOOKUP(L193,DB_Agents!$B:$I,8,0),"")=M193,"Pending","🔒 BLOCKED — Wrong Code")))</f>
        <v/>
      </c>
      <c r="M193" s="491" t="n"/>
    </row>
    <row r="194" ht="15" customHeight="1" s="341">
      <c r="H194" s="536" t="n"/>
      <c r="K194" s="537">
        <f>IF(B194="","Pending",IF(M194="","⚠️ Enter Code",IF(IFERROR(VLOOKUP(L194,DB_Agents!$B:$I,8,0),"")=M194,"Pending","🔒 BLOCKED — Wrong Code")))</f>
        <v/>
      </c>
      <c r="M194" s="491" t="n"/>
    </row>
    <row r="195" ht="15" customHeight="1" s="341">
      <c r="H195" s="536" t="n"/>
      <c r="K195" s="342">
        <f>IF(B195="","Pending",IF(M195="","⚠️ Enter Code",IF(IFERROR(VLOOKUP(L195,DB_Agents!$B:$I,8,0),"")=M195,"Pending","🔒 BLOCKED — Wrong Code")))</f>
        <v/>
      </c>
      <c r="M195" s="491" t="n"/>
    </row>
    <row r="196" ht="15" customHeight="1" s="341">
      <c r="H196" s="536" t="n"/>
      <c r="K196" s="537">
        <f>IF(B196="","Pending",IF(M196="","⚠️ Enter Code",IF(IFERROR(VLOOKUP(L196,DB_Agents!$B:$I,8,0),"")=M196,"Pending","🔒 BLOCKED — Wrong Code")))</f>
        <v/>
      </c>
      <c r="M196" s="491" t="n"/>
    </row>
    <row r="197" ht="15" customHeight="1" s="341">
      <c r="H197" s="536" t="n"/>
      <c r="K197" s="342">
        <f>IF(B197="","Pending",IF(M197="","⚠️ Enter Code",IF(IFERROR(VLOOKUP(L197,DB_Agents!$B:$I,8,0),"")=M197,"Pending","🔒 BLOCKED — Wrong Code")))</f>
        <v/>
      </c>
      <c r="M197" s="491" t="n"/>
    </row>
    <row r="198" ht="15" customHeight="1" s="341">
      <c r="H198" s="536" t="n"/>
      <c r="K198" s="537">
        <f>IF(B198="","Pending",IF(M198="","⚠️ Enter Code",IF(IFERROR(VLOOKUP(L198,DB_Agents!$B:$I,8,0),"")=M198,"Pending","🔒 BLOCKED — Wrong Code")))</f>
        <v/>
      </c>
      <c r="M198" s="491" t="n"/>
    </row>
    <row r="199" ht="15" customHeight="1" s="341">
      <c r="H199" s="536" t="n"/>
      <c r="K199" s="342">
        <f>IF(B199="","Pending",IF(M199="","⚠️ Enter Code",IF(IFERROR(VLOOKUP(L199,DB_Agents!$B:$I,8,0),"")=M199,"Pending","🔒 BLOCKED — Wrong Code")))</f>
        <v/>
      </c>
      <c r="M199" s="491" t="n"/>
    </row>
    <row r="200" ht="15" customHeight="1" s="341">
      <c r="H200" s="536" t="n"/>
      <c r="K200" s="537">
        <f>IF(B200="","Pending",IF(M200="","⚠️ Enter Code",IF(IFERROR(VLOOKUP(L200,DB_Agents!$B:$I,8,0),"")=M200,"Pending","🔒 BLOCKED — Wrong Code")))</f>
        <v/>
      </c>
      <c r="M200" s="491" t="n"/>
    </row>
    <row r="201" ht="15" customHeight="1" s="341">
      <c r="K201" s="342">
        <f>IF(B201="","Pending",IF(M201="","⚠️ Enter Code",IF(IFERROR(VLOOKUP(L201,DB_Agents!$B:$I,8,0),"")=M201,"Pending","🔒 BLOCKED — Wrong Code")))</f>
        <v/>
      </c>
      <c r="M201" s="491" t="n"/>
    </row>
    <row r="202" ht="15" customHeight="1" s="341">
      <c r="K202" s="537">
        <f>IF(B202="","Pending",IF(M202="","⚠️ Enter Code",IF(IFERROR(VLOOKUP(L202,DB_Agents!$B:$I,8,0),"")=M202,"Pending","🔒 BLOCKED — Wrong Code")))</f>
        <v/>
      </c>
      <c r="M202" s="491" t="n"/>
    </row>
    <row r="203" ht="15" customHeight="1" s="341">
      <c r="K203" s="342">
        <f>IF(B203="","Pending",IF(M203="","⚠️ Enter Code",IF(IFERROR(VLOOKUP(L203,DB_Agents!$B:$I,8,0),"")=M203,"Pending","🔒 BLOCKED — Wrong Code")))</f>
        <v/>
      </c>
      <c r="M203" s="491" t="n"/>
    </row>
    <row r="204" ht="15" customHeight="1" s="341">
      <c r="K204" s="537">
        <f>IF(B204="","Pending",IF(M204="","⚠️ Enter Code",IF(IFERROR(VLOOKUP(L204,DB_Agents!$B:$I,8,0),"")=M204,"Pending","🔒 BLOCKED — Wrong Code")))</f>
        <v/>
      </c>
      <c r="M204" s="491" t="n"/>
    </row>
    <row r="205" ht="15" customHeight="1" s="341">
      <c r="K205" s="342">
        <f>IF(B205="","Pending",IF(M205="","⚠️ Enter Code",IF(IFERROR(VLOOKUP(L205,DB_Agents!$B:$I,8,0),"")=M205,"Pending","🔒 BLOCKED — Wrong Code")))</f>
        <v/>
      </c>
      <c r="M205" s="491" t="n"/>
    </row>
    <row r="206" ht="15" customHeight="1" s="341">
      <c r="K206" s="537">
        <f>IF(B206="","Pending",IF(M206="","⚠️ Enter Code",IF(IFERROR(VLOOKUP(L206,DB_Agents!$B:$I,8,0),"")=M206,"Pending","🔒 BLOCKED — Wrong Code")))</f>
        <v/>
      </c>
      <c r="M206" s="491" t="n"/>
    </row>
    <row r="207" ht="15" customHeight="1" s="341">
      <c r="K207" s="342">
        <f>IF(B207="","Pending",IF(M207="","⚠️ Enter Code",IF(IFERROR(VLOOKUP(L207,DB_Agents!$B:$I,8,0),"")=M207,"Pending","🔒 BLOCKED — Wrong Code")))</f>
        <v/>
      </c>
      <c r="M207" s="491" t="n"/>
    </row>
    <row r="208" ht="15" customHeight="1" s="341">
      <c r="K208" s="537">
        <f>IF(B208="","Pending",IF(M208="","⚠️ Enter Code",IF(IFERROR(VLOOKUP(L208,DB_Agents!$B:$I,8,0),"")=M208,"Pending","🔒 BLOCKED — Wrong Code")))</f>
        <v/>
      </c>
      <c r="M208" s="491" t="n"/>
    </row>
    <row r="209" ht="15" customHeight="1" s="341">
      <c r="K209" s="342">
        <f>IF(B209="","Pending",IF(M209="","⚠️ Enter Code",IF(IFERROR(VLOOKUP(L209,DB_Agents!$B:$I,8,0),"")=M209,"Pending","🔒 BLOCKED — Wrong Code")))</f>
        <v/>
      </c>
      <c r="M209" s="491" t="n"/>
    </row>
    <row r="210" ht="15" customHeight="1" s="341">
      <c r="K210" s="537">
        <f>IF(B210="","Pending",IF(M210="","⚠️ Enter Code",IF(IFERROR(VLOOKUP(L210,DB_Agents!$B:$I,8,0),"")=M210,"Pending","🔒 BLOCKED — Wrong Code")))</f>
        <v/>
      </c>
      <c r="M210" s="491" t="n"/>
    </row>
    <row r="211" ht="15" customHeight="1" s="341">
      <c r="K211" s="342">
        <f>IF(B211="","Pending",IF(M211="","⚠️ Enter Code",IF(IFERROR(VLOOKUP(L211,DB_Agents!$B:$I,8,0),"")=M211,"Pending","🔒 BLOCKED — Wrong Code")))</f>
        <v/>
      </c>
      <c r="M211" s="491" t="n"/>
    </row>
    <row r="212" ht="15" customHeight="1" s="341">
      <c r="K212" s="537">
        <f>IF(B212="","Pending",IF(M212="","⚠️ Enter Code",IF(IFERROR(VLOOKUP(L212,DB_Agents!$B:$I,8,0),"")=M212,"Pending","🔒 BLOCKED — Wrong Code")))</f>
        <v/>
      </c>
      <c r="M212" s="491" t="n"/>
    </row>
    <row r="213" ht="15" customHeight="1" s="341">
      <c r="K213" s="342">
        <f>IF(B213="","Pending",IF(M213="","⚠️ Enter Code",IF(IFERROR(VLOOKUP(L213,DB_Agents!$B:$I,8,0),"")=M213,"Pending","🔒 BLOCKED — Wrong Code")))</f>
        <v/>
      </c>
      <c r="M213" s="491" t="n"/>
    </row>
  </sheetData>
  <mergeCells count="10">
    <mergeCell ref="B10:D10"/>
    <mergeCell ref="B5:D5"/>
    <mergeCell ref="A12:N12"/>
    <mergeCell ref="A4:D4"/>
    <mergeCell ref="B8:D8"/>
    <mergeCell ref="A2:N2"/>
    <mergeCell ref="B9:D9"/>
    <mergeCell ref="B7:D7"/>
    <mergeCell ref="B6:D6"/>
    <mergeCell ref="A1:N1"/>
  </mergeCells>
  <conditionalFormatting sqref="K14:K113">
    <cfRule type="cellIs" rank="0" priority="2" equalAverage="0" operator="equal" aboveAverage="0" dxfId="0" text="" percent="0" bottom="0">
      <formula>"Approved"</formula>
    </cfRule>
    <cfRule type="cellIs" rank="0" priority="3" equalAverage="0" operator="equal" aboveAverage="0" dxfId="11" text="" percent="0" bottom="0">
      <formula>"Pending"</formula>
    </cfRule>
    <cfRule type="cellIs" rank="0" priority="4" equalAverage="0" operator="equal" aboveAverage="0" dxfId="1" text="" percent="0" bottom="0">
      <formula>"Rejected"</formula>
    </cfRule>
  </conditionalFormatting>
  <dataValidations count="2">
    <dataValidation sqref="G14:G113" showDropDown="0" showInputMessage="0" showErrorMessage="1" allowBlank="0" error="Enter 1-36 months" type="whole" errorStyle="stop" operator="between">
      <formula1>1</formula1>
      <formula2>36</formula2>
    </dataValidation>
    <dataValidation sqref="L14:L113"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7.xml><?xml version="1.0" encoding="utf-8"?>
<worksheet xmlns="http://schemas.openxmlformats.org/spreadsheetml/2006/main">
  <sheetPr filterMode="0">
    <tabColor rgb="FF27AE60"/>
    <outlinePr summaryBelow="1" summaryRight="1"/>
    <pageSetUpPr fitToPage="0"/>
  </sheetPr>
  <dimension ref="A1:L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2" customWidth="1" style="340" min="7" max="7"/>
    <col width="14" customWidth="1" style="340" min="8" max="8"/>
    <col width="22" customWidth="1" style="340" min="9" max="10"/>
  </cols>
  <sheetData>
    <row r="1" ht="31.5" customHeight="1" s="341">
      <c r="A1" s="409" t="inlineStr">
        <is>
          <t>💰  SAMICIOUS MICROFINANCE — AGENT08 SAVINGS</t>
        </is>
      </c>
    </row>
    <row r="2" ht="19.5" customHeight="1" s="341">
      <c r="A2" s="479" t="inlineStr">
        <is>
          <t>Agent: Agent 08  |  Enter Account # → All fields auto-populate  |  Status auto-sets to "Saved"  |  🔑 Security: Enter your 4-digit Agent Code in each row</t>
        </is>
      </c>
    </row>
    <row r="3" ht="18" customHeight="1" s="341">
      <c r="A3" s="364" t="inlineStr">
        <is>
          <t>💰 Total Collected Today</t>
        </is>
      </c>
      <c r="D3" s="367" t="inlineStr">
        <is>
          <t>📊 Transactions Today</t>
        </is>
      </c>
      <c r="G3" s="439" t="inlineStr">
        <is>
          <t>📅 Date</t>
        </is>
      </c>
      <c r="J3" s="340" t="n"/>
    </row>
    <row r="4" ht="27.75" customHeight="1" s="341">
      <c r="A4" s="480">
        <f>SUMIFS(DB_Savings!$F:$F,DB_Savings!$G:$G,"Agent 08",DB_Savings!$E:$E,TODAY())</f>
        <v/>
      </c>
      <c r="D4" s="481">
        <f>COUNTIFS(DB_Savings!$G:$G,"Agent 08",DB_Savings!$E:$E,TODAY())</f>
        <v/>
      </c>
      <c r="G4" s="482">
        <f>TEXT(TODAY(),"DDDD, DD MMMM YYYY")</f>
        <v/>
      </c>
      <c r="J4" s="340" t="n"/>
    </row>
    <row r="5" ht="21.75" customHeight="1" s="341">
      <c r="A5" s="483">
        <f>IF(SUMIFS(DB_Savings!$F:$F,DB_Savings!$G:$G,"Agent 08",DB_Savings!$E:$E,TODAY())&gt;=J4,"✅ DAILY TARGET ACHIEVED! Well done Agent 08!","⏳ Collection in progress — Keep going! Remaining: GHC "&amp;TEXT(J4-SUMIFS(DB_Savings!$F:$F,DB_Savings!$G:$G,"Agent 08",DB_Savings!$E:$E,TODAY()),"#,##0.00"))</f>
        <v/>
      </c>
    </row>
    <row r="6" ht="7.5" customHeight="1" s="341"/>
    <row r="7" ht="19.5" customHeight="1" s="341">
      <c r="A7" s="484" t="inlineStr">
        <is>
          <t>📝  ENTRY FORM — Enter Account Number in column A. All other fields auto-populate. Enter Savings Amount in column E then Tab to complete. | Enter Agent Code in 🔑 column to authorize each transaction.</t>
        </is>
      </c>
    </row>
    <row r="8" ht="19.5" customHeight="1" s="341">
      <c r="A8" s="377" t="inlineStr">
        <is>
          <t>Account #</t>
        </is>
      </c>
      <c r="B8" s="377" t="inlineStr">
        <is>
          <t>Customer Name</t>
        </is>
      </c>
      <c r="C8" s="377" t="inlineStr">
        <is>
          <t>Current Balance</t>
        </is>
      </c>
      <c r="D8" s="377" t="inlineStr">
        <is>
          <t>Date</t>
        </is>
      </c>
      <c r="E8" s="377" t="inlineStr">
        <is>
          <t>Savings Amount</t>
        </is>
      </c>
      <c r="F8" s="377" t="inlineStr">
        <is>
          <t>New Balance</t>
        </is>
      </c>
      <c r="G8" s="377" t="inlineStr">
        <is>
          <t>Agent</t>
        </is>
      </c>
      <c r="H8" s="485" t="inlineStr">
        <is>
          <t>🔑 Agent Code</t>
        </is>
      </c>
      <c r="I8" s="377" t="inlineStr">
        <is>
          <t>Status</t>
        </is>
      </c>
      <c r="J8" s="377" t="inlineStr">
        <is>
          <t>Saved At</t>
        </is>
      </c>
      <c r="K8" s="377" t="inlineStr">
        <is>
          <t>Notes</t>
        </is>
      </c>
    </row>
    <row r="9" ht="15" customHeight="1" s="341">
      <c r="A9" s="486" t="n"/>
      <c r="B9" s="378">
        <f>IF(A9="","",IFERROR(VLOOKUP(A9,DB_Customers!$A:$D,4,0),"❌ Account Not Found"))</f>
        <v/>
      </c>
      <c r="C9" s="487">
        <f>IF(A9="","",IFERROR(VLOOKUP(A9,DB_Customers!$A:$N,14,0),""))</f>
        <v/>
      </c>
      <c r="D9" s="488">
        <f>IF(A9="","",TODAY())</f>
        <v/>
      </c>
      <c r="E9" s="489" t="n"/>
      <c r="F9" s="490">
        <f>IF(OR(A9="",E9=""),"",IF(C9="","",C9+E9))</f>
        <v/>
      </c>
      <c r="G9" s="380" t="inlineStr">
        <is>
          <t>Agent 08</t>
        </is>
      </c>
      <c r="H9" s="491" t="n"/>
      <c r="I9" s="492">
        <f>IF(A9="","Pending",IF(H9="","⚠️ Enter Code",IF(IFERROR(VLOOKUP(G9,DB_Agents!$B:$I,8,0),"")=H9,IF(AND(A9&lt;&gt;"",E9&lt;&gt;""),"Saved","Pending"),"🔒 BLOCKED — Wrong Code")))</f>
        <v/>
      </c>
      <c r="J9" s="493">
        <f>IF(I9="Saved",TEXT(TODAY(),"YYYY-MM-DD")&amp;" Auto","—")</f>
        <v/>
      </c>
      <c r="K9" s="494" t="n"/>
    </row>
    <row r="10" ht="15" customHeight="1" s="341">
      <c r="A10" s="495" t="n"/>
      <c r="B10" s="382">
        <f>IF(A10="","",IFERROR(VLOOKUP(A10,DB_Customers!$A:$D,4,0),"❌ Account Not Found"))</f>
        <v/>
      </c>
      <c r="C10" s="496">
        <f>IF(A10="","",IFERROR(VLOOKUP(A10,DB_Customers!$A:$N,14,0),""))</f>
        <v/>
      </c>
      <c r="D10" s="497">
        <f>IF(A10="","",TODAY())</f>
        <v/>
      </c>
      <c r="E10" s="489" t="n"/>
      <c r="F10" s="498">
        <f>IF(OR(A10="",E10=""),"",IF(C10="","",C10+E10))</f>
        <v/>
      </c>
      <c r="G10" s="384" t="inlineStr">
        <is>
          <t>Agent 08</t>
        </is>
      </c>
      <c r="H10" s="491" t="n"/>
      <c r="I10" s="499">
        <f>IF(A10="","Pending",IF(H10="","⚠️ Enter Code",IF(IFERROR(VLOOKUP(G10,DB_Agents!$B:$I,8,0),"")=H10,IF(AND(A10&lt;&gt;"",E10&lt;&gt;""),"Saved","Pending"),"🔒 BLOCKED — Wrong Code")))</f>
        <v/>
      </c>
      <c r="J10" s="500">
        <f>IF(I10="Saved",TEXT(TODAY(),"YYYY-MM-DD")&amp;" Auto","—")</f>
        <v/>
      </c>
      <c r="K10" s="501" t="n"/>
    </row>
    <row r="11" ht="15" customHeight="1" s="341">
      <c r="A11" s="486" t="n"/>
      <c r="B11" s="378">
        <f>IF(A11="","",IFERROR(VLOOKUP(A11,DB_Customers!$A:$D,4,0),"❌ Account Not Found"))</f>
        <v/>
      </c>
      <c r="C11" s="487">
        <f>IF(A11="","",IFERROR(VLOOKUP(A11,DB_Customers!$A:$N,14,0),""))</f>
        <v/>
      </c>
      <c r="D11" s="488">
        <f>IF(A11="","",TODAY())</f>
        <v/>
      </c>
      <c r="E11" s="489" t="n"/>
      <c r="F11" s="490">
        <f>IF(OR(A11="",E11=""),"",IF(C11="","",C11+E11))</f>
        <v/>
      </c>
      <c r="G11" s="380" t="inlineStr">
        <is>
          <t>Agent 08</t>
        </is>
      </c>
      <c r="H11" s="491" t="n"/>
      <c r="I11" s="492">
        <f>IF(A11="","Pending",IF(H11="","⚠️ Enter Code",IF(IFERROR(VLOOKUP(G11,DB_Agents!$B:$I,8,0),"")=H11,IF(AND(A11&lt;&gt;"",E11&lt;&gt;""),"Saved","Pending"),"🔒 BLOCKED — Wrong Code")))</f>
        <v/>
      </c>
      <c r="J11" s="493">
        <f>IF(I11="Saved",TEXT(TODAY(),"YYYY-MM-DD")&amp;" Auto","—")</f>
        <v/>
      </c>
      <c r="K11" s="494" t="n"/>
    </row>
    <row r="12" ht="15" customHeight="1" s="341">
      <c r="A12" s="495" t="n"/>
      <c r="B12" s="382">
        <f>IF(A12="","",IFERROR(VLOOKUP(A12,DB_Customers!$A:$D,4,0),"❌ Account Not Found"))</f>
        <v/>
      </c>
      <c r="C12" s="496">
        <f>IF(A12="","",IFERROR(VLOOKUP(A12,DB_Customers!$A:$N,14,0),""))</f>
        <v/>
      </c>
      <c r="D12" s="497">
        <f>IF(A12="","",TODAY())</f>
        <v/>
      </c>
      <c r="E12" s="489" t="n"/>
      <c r="F12" s="498">
        <f>IF(OR(A12="",E12=""),"",IF(C12="","",C12+E12))</f>
        <v/>
      </c>
      <c r="G12" s="384" t="inlineStr">
        <is>
          <t>Agent 08</t>
        </is>
      </c>
      <c r="H12" s="491" t="n"/>
      <c r="I12" s="499">
        <f>IF(A12="","Pending",IF(H12="","⚠️ Enter Code",IF(IFERROR(VLOOKUP(G12,DB_Agents!$B:$I,8,0),"")=H12,IF(AND(A12&lt;&gt;"",E12&lt;&gt;""),"Saved","Pending"),"🔒 BLOCKED — Wrong Code")))</f>
        <v/>
      </c>
      <c r="J12" s="500">
        <f>IF(I12="Saved",TEXT(TODAY(),"YYYY-MM-DD")&amp;" Auto","—")</f>
        <v/>
      </c>
      <c r="K12" s="501" t="n"/>
    </row>
    <row r="13" ht="15" customHeight="1" s="341">
      <c r="A13" s="486" t="n"/>
      <c r="B13" s="378">
        <f>IF(A13="","",IFERROR(VLOOKUP(A13,DB_Customers!$A:$D,4,0),"❌ Account Not Found"))</f>
        <v/>
      </c>
      <c r="C13" s="487">
        <f>IF(A13="","",IFERROR(VLOOKUP(A13,DB_Customers!$A:$N,14,0),""))</f>
        <v/>
      </c>
      <c r="D13" s="488">
        <f>IF(A13="","",TODAY())</f>
        <v/>
      </c>
      <c r="E13" s="489" t="n"/>
      <c r="F13" s="490">
        <f>IF(OR(A13="",E13=""),"",IF(C13="","",C13+E13))</f>
        <v/>
      </c>
      <c r="G13" s="380" t="inlineStr">
        <is>
          <t>Agent 08</t>
        </is>
      </c>
      <c r="H13" s="491" t="n"/>
      <c r="I13" s="492">
        <f>IF(A13="","Pending",IF(H13="","⚠️ Enter Code",IF(IFERROR(VLOOKUP(G13,DB_Agents!$B:$I,8,0),"")=H13,IF(AND(A13&lt;&gt;"",E13&lt;&gt;""),"Saved","Pending"),"🔒 BLOCKED — Wrong Code")))</f>
        <v/>
      </c>
      <c r="J13" s="493">
        <f>IF(I13="Saved",TEXT(TODAY(),"YYYY-MM-DD")&amp;" Auto","—")</f>
        <v/>
      </c>
      <c r="K13" s="494" t="n"/>
    </row>
    <row r="14" ht="15" customHeight="1" s="341">
      <c r="A14" s="495" t="n"/>
      <c r="B14" s="382">
        <f>IF(A14="","",IFERROR(VLOOKUP(A14,DB_Customers!$A:$D,4,0),"❌ Account Not Found"))</f>
        <v/>
      </c>
      <c r="C14" s="496">
        <f>IF(A14="","",IFERROR(VLOOKUP(A14,DB_Customers!$A:$N,14,0),""))</f>
        <v/>
      </c>
      <c r="D14" s="497">
        <f>IF(A14="","",TODAY())</f>
        <v/>
      </c>
      <c r="E14" s="489" t="n"/>
      <c r="F14" s="498">
        <f>IF(OR(A14="",E14=""),"",IF(C14="","",C14+E14))</f>
        <v/>
      </c>
      <c r="G14" s="384" t="inlineStr">
        <is>
          <t>Agent 08</t>
        </is>
      </c>
      <c r="H14" s="491" t="n"/>
      <c r="I14" s="499">
        <f>IF(A14="","Pending",IF(H14="","⚠️ Enter Code",IF(IFERROR(VLOOKUP(G14,DB_Agents!$B:$I,8,0),"")=H14,IF(AND(A14&lt;&gt;"",E14&lt;&gt;""),"Saved","Pending"),"🔒 BLOCKED — Wrong Code")))</f>
        <v/>
      </c>
      <c r="J14" s="500">
        <f>IF(I14="Saved",TEXT(TODAY(),"YYYY-MM-DD")&amp;" Auto","—")</f>
        <v/>
      </c>
      <c r="K14" s="501" t="n"/>
    </row>
    <row r="15" ht="15" customHeight="1" s="341">
      <c r="A15" s="486" t="n"/>
      <c r="B15" s="378">
        <f>IF(A15="","",IFERROR(VLOOKUP(A15,DB_Customers!$A:$D,4,0),"❌ Account Not Found"))</f>
        <v/>
      </c>
      <c r="C15" s="487">
        <f>IF(A15="","",IFERROR(VLOOKUP(A15,DB_Customers!$A:$N,14,0),""))</f>
        <v/>
      </c>
      <c r="D15" s="488">
        <f>IF(A15="","",TODAY())</f>
        <v/>
      </c>
      <c r="E15" s="489" t="n"/>
      <c r="F15" s="490">
        <f>IF(OR(A15="",E15=""),"",IF(C15="","",C15+E15))</f>
        <v/>
      </c>
      <c r="G15" s="380" t="inlineStr">
        <is>
          <t>Agent 08</t>
        </is>
      </c>
      <c r="H15" s="491" t="n"/>
      <c r="I15" s="492">
        <f>IF(A15="","Pending",IF(H15="","⚠️ Enter Code",IF(IFERROR(VLOOKUP(G15,DB_Agents!$B:$I,8,0),"")=H15,IF(AND(A15&lt;&gt;"",E15&lt;&gt;""),"Saved","Pending"),"🔒 BLOCKED — Wrong Code")))</f>
        <v/>
      </c>
      <c r="J15" s="493">
        <f>IF(I15="Saved",TEXT(TODAY(),"YYYY-MM-DD")&amp;" Auto","—")</f>
        <v/>
      </c>
      <c r="K15" s="494" t="n"/>
    </row>
    <row r="16" ht="15" customHeight="1" s="341">
      <c r="A16" s="495" t="n"/>
      <c r="B16" s="382">
        <f>IF(A16="","",IFERROR(VLOOKUP(A16,DB_Customers!$A:$D,4,0),"❌ Account Not Found"))</f>
        <v/>
      </c>
      <c r="C16" s="496">
        <f>IF(A16="","",IFERROR(VLOOKUP(A16,DB_Customers!$A:$N,14,0),""))</f>
        <v/>
      </c>
      <c r="D16" s="497">
        <f>IF(A16="","",TODAY())</f>
        <v/>
      </c>
      <c r="E16" s="489" t="n"/>
      <c r="F16" s="498">
        <f>IF(OR(A16="",E16=""),"",IF(C16="","",C16+E16))</f>
        <v/>
      </c>
      <c r="G16" s="384" t="inlineStr">
        <is>
          <t>Agent 08</t>
        </is>
      </c>
      <c r="H16" s="491" t="n"/>
      <c r="I16" s="499">
        <f>IF(A16="","Pending",IF(H16="","⚠️ Enter Code",IF(IFERROR(VLOOKUP(G16,DB_Agents!$B:$I,8,0),"")=H16,IF(AND(A16&lt;&gt;"",E16&lt;&gt;""),"Saved","Pending"),"🔒 BLOCKED — Wrong Code")))</f>
        <v/>
      </c>
      <c r="J16" s="500">
        <f>IF(I16="Saved",TEXT(TODAY(),"YYYY-MM-DD")&amp;" Auto","—")</f>
        <v/>
      </c>
      <c r="K16" s="501" t="n"/>
    </row>
    <row r="17" ht="15" customHeight="1" s="341">
      <c r="A17" s="486" t="n"/>
      <c r="B17" s="378">
        <f>IF(A17="","",IFERROR(VLOOKUP(A17,DB_Customers!$A:$D,4,0),"❌ Account Not Found"))</f>
        <v/>
      </c>
      <c r="C17" s="487">
        <f>IF(A17="","",IFERROR(VLOOKUP(A17,DB_Customers!$A:$N,14,0),""))</f>
        <v/>
      </c>
      <c r="D17" s="488">
        <f>IF(A17="","",TODAY())</f>
        <v/>
      </c>
      <c r="E17" s="489" t="n"/>
      <c r="F17" s="490">
        <f>IF(OR(A17="",E17=""),"",IF(C17="","",C17+E17))</f>
        <v/>
      </c>
      <c r="G17" s="380" t="inlineStr">
        <is>
          <t>Agent 08</t>
        </is>
      </c>
      <c r="H17" s="491" t="n"/>
      <c r="I17" s="492">
        <f>IF(A17="","Pending",IF(H17="","⚠️ Enter Code",IF(IFERROR(VLOOKUP(G17,DB_Agents!$B:$I,8,0),"")=H17,IF(AND(A17&lt;&gt;"",E17&lt;&gt;""),"Saved","Pending"),"🔒 BLOCKED — Wrong Code")))</f>
        <v/>
      </c>
      <c r="J17" s="493">
        <f>IF(I17="Saved",TEXT(TODAY(),"YYYY-MM-DD")&amp;" Auto","—")</f>
        <v/>
      </c>
      <c r="K17" s="494" t="n"/>
    </row>
    <row r="18" ht="15" customHeight="1" s="341">
      <c r="A18" s="495" t="n"/>
      <c r="B18" s="382">
        <f>IF(A18="","",IFERROR(VLOOKUP(A18,DB_Customers!$A:$D,4,0),"❌ Account Not Found"))</f>
        <v/>
      </c>
      <c r="C18" s="496">
        <f>IF(A18="","",IFERROR(VLOOKUP(A18,DB_Customers!$A:$N,14,0),""))</f>
        <v/>
      </c>
      <c r="D18" s="497">
        <f>IF(A18="","",TODAY())</f>
        <v/>
      </c>
      <c r="E18" s="489" t="n"/>
      <c r="F18" s="498">
        <f>IF(OR(A18="",E18=""),"",IF(C18="","",C18+E18))</f>
        <v/>
      </c>
      <c r="G18" s="384" t="inlineStr">
        <is>
          <t>Agent 08</t>
        </is>
      </c>
      <c r="H18" s="491" t="n"/>
      <c r="I18" s="499">
        <f>IF(A18="","Pending",IF(H18="","⚠️ Enter Code",IF(IFERROR(VLOOKUP(G18,DB_Agents!$B:$I,8,0),"")=H18,IF(AND(A18&lt;&gt;"",E18&lt;&gt;""),"Saved","Pending"),"🔒 BLOCKED — Wrong Code")))</f>
        <v/>
      </c>
      <c r="J18" s="500">
        <f>IF(I18="Saved",TEXT(TODAY(),"YYYY-MM-DD")&amp;" Auto","—")</f>
        <v/>
      </c>
      <c r="K18" s="501" t="n"/>
    </row>
    <row r="19" ht="15" customHeight="1" s="341">
      <c r="A19" s="486" t="n"/>
      <c r="B19" s="378">
        <f>IF(A19="","",IFERROR(VLOOKUP(A19,DB_Customers!$A:$D,4,0),"❌ Account Not Found"))</f>
        <v/>
      </c>
      <c r="C19" s="487">
        <f>IF(A19="","",IFERROR(VLOOKUP(A19,DB_Customers!$A:$N,14,0),""))</f>
        <v/>
      </c>
      <c r="D19" s="488">
        <f>IF(A19="","",TODAY())</f>
        <v/>
      </c>
      <c r="E19" s="489" t="n"/>
      <c r="F19" s="490">
        <f>IF(OR(A19="",E19=""),"",IF(C19="","",C19+E19))</f>
        <v/>
      </c>
      <c r="G19" s="380" t="inlineStr">
        <is>
          <t>Agent 08</t>
        </is>
      </c>
      <c r="H19" s="491" t="n"/>
      <c r="I19" s="492">
        <f>IF(A19="","Pending",IF(H19="","⚠️ Enter Code",IF(IFERROR(VLOOKUP(G19,DB_Agents!$B:$I,8,0),"")=H19,IF(AND(A19&lt;&gt;"",E19&lt;&gt;""),"Saved","Pending"),"🔒 BLOCKED — Wrong Code")))</f>
        <v/>
      </c>
      <c r="J19" s="493">
        <f>IF(I19="Saved",TEXT(TODAY(),"YYYY-MM-DD")&amp;" Auto","—")</f>
        <v/>
      </c>
      <c r="K19" s="494" t="n"/>
    </row>
    <row r="20" ht="15" customHeight="1" s="341">
      <c r="A20" s="495" t="n"/>
      <c r="B20" s="382">
        <f>IF(A20="","",IFERROR(VLOOKUP(A20,DB_Customers!$A:$D,4,0),"❌ Account Not Found"))</f>
        <v/>
      </c>
      <c r="C20" s="496">
        <f>IF(A20="","",IFERROR(VLOOKUP(A20,DB_Customers!$A:$N,14,0),""))</f>
        <v/>
      </c>
      <c r="D20" s="497">
        <f>IF(A20="","",TODAY())</f>
        <v/>
      </c>
      <c r="E20" s="489" t="n"/>
      <c r="F20" s="498">
        <f>IF(OR(A20="",E20=""),"",IF(C20="","",C20+E20))</f>
        <v/>
      </c>
      <c r="G20" s="384" t="inlineStr">
        <is>
          <t>Agent 08</t>
        </is>
      </c>
      <c r="H20" s="491" t="n"/>
      <c r="I20" s="499">
        <f>IF(A20="","Pending",IF(H20="","⚠️ Enter Code",IF(IFERROR(VLOOKUP(G20,DB_Agents!$B:$I,8,0),"")=H20,IF(AND(A20&lt;&gt;"",E20&lt;&gt;""),"Saved","Pending"),"🔒 BLOCKED — Wrong Code")))</f>
        <v/>
      </c>
      <c r="J20" s="500">
        <f>IF(I20="Saved",TEXT(TODAY(),"YYYY-MM-DD")&amp;" Auto","—")</f>
        <v/>
      </c>
      <c r="K20" s="501" t="n"/>
    </row>
    <row r="21" ht="15" customHeight="1" s="341">
      <c r="A21" s="486" t="n"/>
      <c r="B21" s="378">
        <f>IF(A21="","",IFERROR(VLOOKUP(A21,DB_Customers!$A:$D,4,0),"❌ Account Not Found"))</f>
        <v/>
      </c>
      <c r="C21" s="487">
        <f>IF(A21="","",IFERROR(VLOOKUP(A21,DB_Customers!$A:$N,14,0),""))</f>
        <v/>
      </c>
      <c r="D21" s="488">
        <f>IF(A21="","",TODAY())</f>
        <v/>
      </c>
      <c r="E21" s="489" t="n"/>
      <c r="F21" s="490">
        <f>IF(OR(A21="",E21=""),"",IF(C21="","",C21+E21))</f>
        <v/>
      </c>
      <c r="G21" s="380" t="inlineStr">
        <is>
          <t>Agent 08</t>
        </is>
      </c>
      <c r="H21" s="491" t="n"/>
      <c r="I21" s="492">
        <f>IF(A21="","Pending",IF(H21="","⚠️ Enter Code",IF(IFERROR(VLOOKUP(G21,DB_Agents!$B:$I,8,0),"")=H21,IF(AND(A21&lt;&gt;"",E21&lt;&gt;""),"Saved","Pending"),"🔒 BLOCKED — Wrong Code")))</f>
        <v/>
      </c>
      <c r="J21" s="493">
        <f>IF(I21="Saved",TEXT(TODAY(),"YYYY-MM-DD")&amp;" Auto","—")</f>
        <v/>
      </c>
      <c r="K21" s="494" t="n"/>
    </row>
    <row r="22" ht="15" customHeight="1" s="341">
      <c r="A22" s="495" t="n"/>
      <c r="B22" s="382">
        <f>IF(A22="","",IFERROR(VLOOKUP(A22,DB_Customers!$A:$D,4,0),"❌ Account Not Found"))</f>
        <v/>
      </c>
      <c r="C22" s="496">
        <f>IF(A22="","",IFERROR(VLOOKUP(A22,DB_Customers!$A:$N,14,0),""))</f>
        <v/>
      </c>
      <c r="D22" s="497">
        <f>IF(A22="","",TODAY())</f>
        <v/>
      </c>
      <c r="E22" s="489" t="n"/>
      <c r="F22" s="498">
        <f>IF(OR(A22="",E22=""),"",IF(C22="","",C22+E22))</f>
        <v/>
      </c>
      <c r="G22" s="384" t="inlineStr">
        <is>
          <t>Agent 08</t>
        </is>
      </c>
      <c r="H22" s="491" t="n"/>
      <c r="I22" s="499">
        <f>IF(A22="","Pending",IF(H22="","⚠️ Enter Code",IF(IFERROR(VLOOKUP(G22,DB_Agents!$B:$I,8,0),"")=H22,IF(AND(A22&lt;&gt;"",E22&lt;&gt;""),"Saved","Pending"),"🔒 BLOCKED — Wrong Code")))</f>
        <v/>
      </c>
      <c r="J22" s="500">
        <f>IF(I22="Saved",TEXT(TODAY(),"YYYY-MM-DD")&amp;" Auto","—")</f>
        <v/>
      </c>
      <c r="K22" s="501" t="n"/>
    </row>
    <row r="23" ht="15" customHeight="1" s="341">
      <c r="A23" s="486" t="n"/>
      <c r="B23" s="378">
        <f>IF(A23="","",IFERROR(VLOOKUP(A23,DB_Customers!$A:$D,4,0),"❌ Account Not Found"))</f>
        <v/>
      </c>
      <c r="C23" s="487">
        <f>IF(A23="","",IFERROR(VLOOKUP(A23,DB_Customers!$A:$N,14,0),""))</f>
        <v/>
      </c>
      <c r="D23" s="488">
        <f>IF(A23="","",TODAY())</f>
        <v/>
      </c>
      <c r="E23" s="489" t="n"/>
      <c r="F23" s="490">
        <f>IF(OR(A23="",E23=""),"",IF(C23="","",C23+E23))</f>
        <v/>
      </c>
      <c r="G23" s="380" t="inlineStr">
        <is>
          <t>Agent 08</t>
        </is>
      </c>
      <c r="H23" s="491" t="n"/>
      <c r="I23" s="492">
        <f>IF(A23="","Pending",IF(H23="","⚠️ Enter Code",IF(IFERROR(VLOOKUP(G23,DB_Agents!$B:$I,8,0),"")=H23,IF(AND(A23&lt;&gt;"",E23&lt;&gt;""),"Saved","Pending"),"🔒 BLOCKED — Wrong Code")))</f>
        <v/>
      </c>
      <c r="J23" s="493">
        <f>IF(I23="Saved",TEXT(TODAY(),"YYYY-MM-DD")&amp;" Auto","—")</f>
        <v/>
      </c>
      <c r="K23" s="494" t="n"/>
    </row>
    <row r="24" ht="15" customHeight="1" s="341">
      <c r="A24" s="495" t="n"/>
      <c r="B24" s="382">
        <f>IF(A24="","",IFERROR(VLOOKUP(A24,DB_Customers!$A:$D,4,0),"❌ Account Not Found"))</f>
        <v/>
      </c>
      <c r="C24" s="496">
        <f>IF(A24="","",IFERROR(VLOOKUP(A24,DB_Customers!$A:$N,14,0),""))</f>
        <v/>
      </c>
      <c r="D24" s="497">
        <f>IF(A24="","",TODAY())</f>
        <v/>
      </c>
      <c r="E24" s="489" t="n"/>
      <c r="F24" s="498">
        <f>IF(OR(A24="",E24=""),"",IF(C24="","",C24+E24))</f>
        <v/>
      </c>
      <c r="G24" s="384" t="inlineStr">
        <is>
          <t>Agent 08</t>
        </is>
      </c>
      <c r="H24" s="491" t="n"/>
      <c r="I24" s="499">
        <f>IF(A24="","Pending",IF(H24="","⚠️ Enter Code",IF(IFERROR(VLOOKUP(G24,DB_Agents!$B:$I,8,0),"")=H24,IF(AND(A24&lt;&gt;"",E24&lt;&gt;""),"Saved","Pending"),"🔒 BLOCKED — Wrong Code")))</f>
        <v/>
      </c>
      <c r="J24" s="500">
        <f>IF(I24="Saved",TEXT(TODAY(),"YYYY-MM-DD")&amp;" Auto","—")</f>
        <v/>
      </c>
      <c r="K24" s="501" t="n"/>
    </row>
    <row r="25" ht="15" customHeight="1" s="341">
      <c r="A25" s="486" t="n"/>
      <c r="B25" s="378">
        <f>IF(A25="","",IFERROR(VLOOKUP(A25,DB_Customers!$A:$D,4,0),"❌ Account Not Found"))</f>
        <v/>
      </c>
      <c r="C25" s="487">
        <f>IF(A25="","",IFERROR(VLOOKUP(A25,DB_Customers!$A:$N,14,0),""))</f>
        <v/>
      </c>
      <c r="D25" s="488">
        <f>IF(A25="","",TODAY())</f>
        <v/>
      </c>
      <c r="E25" s="489" t="n"/>
      <c r="F25" s="490">
        <f>IF(OR(A25="",E25=""),"",IF(C25="","",C25+E25))</f>
        <v/>
      </c>
      <c r="G25" s="380" t="inlineStr">
        <is>
          <t>Agent 08</t>
        </is>
      </c>
      <c r="H25" s="491" t="n"/>
      <c r="I25" s="492">
        <f>IF(A25="","Pending",IF(H25="","⚠️ Enter Code",IF(IFERROR(VLOOKUP(G25,DB_Agents!$B:$I,8,0),"")=H25,IF(AND(A25&lt;&gt;"",E25&lt;&gt;""),"Saved","Pending"),"🔒 BLOCKED — Wrong Code")))</f>
        <v/>
      </c>
      <c r="J25" s="493">
        <f>IF(I25="Saved",TEXT(TODAY(),"YYYY-MM-DD")&amp;" Auto","—")</f>
        <v/>
      </c>
      <c r="K25" s="494" t="n"/>
    </row>
    <row r="26" ht="15" customHeight="1" s="341">
      <c r="A26" s="495" t="n"/>
      <c r="B26" s="382">
        <f>IF(A26="","",IFERROR(VLOOKUP(A26,DB_Customers!$A:$D,4,0),"❌ Account Not Found"))</f>
        <v/>
      </c>
      <c r="C26" s="496">
        <f>IF(A26="","",IFERROR(VLOOKUP(A26,DB_Customers!$A:$N,14,0),""))</f>
        <v/>
      </c>
      <c r="D26" s="497">
        <f>IF(A26="","",TODAY())</f>
        <v/>
      </c>
      <c r="E26" s="489" t="n"/>
      <c r="F26" s="498">
        <f>IF(OR(A26="",E26=""),"",IF(C26="","",C26+E26))</f>
        <v/>
      </c>
      <c r="G26" s="384" t="inlineStr">
        <is>
          <t>Agent 08</t>
        </is>
      </c>
      <c r="H26" s="491" t="n"/>
      <c r="I26" s="499">
        <f>IF(A26="","Pending",IF(H26="","⚠️ Enter Code",IF(IFERROR(VLOOKUP(G26,DB_Agents!$B:$I,8,0),"")=H26,IF(AND(A26&lt;&gt;"",E26&lt;&gt;""),"Saved","Pending"),"🔒 BLOCKED — Wrong Code")))</f>
        <v/>
      </c>
      <c r="J26" s="500">
        <f>IF(I26="Saved",TEXT(TODAY(),"YYYY-MM-DD")&amp;" Auto","—")</f>
        <v/>
      </c>
      <c r="K26" s="501" t="n"/>
    </row>
    <row r="27" ht="15" customHeight="1" s="341">
      <c r="A27" s="486" t="n"/>
      <c r="B27" s="378">
        <f>IF(A27="","",IFERROR(VLOOKUP(A27,DB_Customers!$A:$D,4,0),"❌ Account Not Found"))</f>
        <v/>
      </c>
      <c r="C27" s="487">
        <f>IF(A27="","",IFERROR(VLOOKUP(A27,DB_Customers!$A:$N,14,0),""))</f>
        <v/>
      </c>
      <c r="D27" s="488">
        <f>IF(A27="","",TODAY())</f>
        <v/>
      </c>
      <c r="E27" s="489" t="n"/>
      <c r="F27" s="490">
        <f>IF(OR(A27="",E27=""),"",IF(C27="","",C27+E27))</f>
        <v/>
      </c>
      <c r="G27" s="380" t="inlineStr">
        <is>
          <t>Agent 08</t>
        </is>
      </c>
      <c r="H27" s="491" t="n"/>
      <c r="I27" s="492">
        <f>IF(A27="","Pending",IF(H27="","⚠️ Enter Code",IF(IFERROR(VLOOKUP(G27,DB_Agents!$B:$I,8,0),"")=H27,IF(AND(A27&lt;&gt;"",E27&lt;&gt;""),"Saved","Pending"),"🔒 BLOCKED — Wrong Code")))</f>
        <v/>
      </c>
      <c r="J27" s="493">
        <f>IF(I27="Saved",TEXT(TODAY(),"YYYY-MM-DD")&amp;" Auto","—")</f>
        <v/>
      </c>
      <c r="K27" s="494" t="n"/>
    </row>
    <row r="28" ht="15" customHeight="1" s="341">
      <c r="A28" s="495" t="n"/>
      <c r="B28" s="382">
        <f>IF(A28="","",IFERROR(VLOOKUP(A28,DB_Customers!$A:$D,4,0),"❌ Account Not Found"))</f>
        <v/>
      </c>
      <c r="C28" s="496">
        <f>IF(A28="","",IFERROR(VLOOKUP(A28,DB_Customers!$A:$N,14,0),""))</f>
        <v/>
      </c>
      <c r="D28" s="497">
        <f>IF(A28="","",TODAY())</f>
        <v/>
      </c>
      <c r="E28" s="489" t="n"/>
      <c r="F28" s="498">
        <f>IF(OR(A28="",E28=""),"",IF(C28="","",C28+E28))</f>
        <v/>
      </c>
      <c r="G28" s="384" t="inlineStr">
        <is>
          <t>Agent 08</t>
        </is>
      </c>
      <c r="H28" s="491" t="n"/>
      <c r="I28" s="499">
        <f>IF(A28="","Pending",IF(H28="","⚠️ Enter Code",IF(IFERROR(VLOOKUP(G28,DB_Agents!$B:$I,8,0),"")=H28,IF(AND(A28&lt;&gt;"",E28&lt;&gt;""),"Saved","Pending"),"🔒 BLOCKED — Wrong Code")))</f>
        <v/>
      </c>
      <c r="J28" s="500">
        <f>IF(I28="Saved",TEXT(TODAY(),"YYYY-MM-DD")&amp;" Auto","—")</f>
        <v/>
      </c>
      <c r="K28" s="501" t="n"/>
    </row>
    <row r="29" ht="15" customHeight="1" s="341">
      <c r="A29" s="486" t="n"/>
      <c r="B29" s="378">
        <f>IF(A29="","",IFERROR(VLOOKUP(A29,DB_Customers!$A:$D,4,0),"❌ Account Not Found"))</f>
        <v/>
      </c>
      <c r="C29" s="487">
        <f>IF(A29="","",IFERROR(VLOOKUP(A29,DB_Customers!$A:$N,14,0),""))</f>
        <v/>
      </c>
      <c r="D29" s="488">
        <f>IF(A29="","",TODAY())</f>
        <v/>
      </c>
      <c r="E29" s="489" t="n"/>
      <c r="F29" s="490">
        <f>IF(OR(A29="",E29=""),"",IF(C29="","",C29+E29))</f>
        <v/>
      </c>
      <c r="G29" s="380" t="inlineStr">
        <is>
          <t>Agent 08</t>
        </is>
      </c>
      <c r="H29" s="491" t="n"/>
      <c r="I29" s="492">
        <f>IF(A29="","Pending",IF(H29="","⚠️ Enter Code",IF(IFERROR(VLOOKUP(G29,DB_Agents!$B:$I,8,0),"")=H29,IF(AND(A29&lt;&gt;"",E29&lt;&gt;""),"Saved","Pending"),"🔒 BLOCKED — Wrong Code")))</f>
        <v/>
      </c>
      <c r="J29" s="493">
        <f>IF(I29="Saved",TEXT(TODAY(),"YYYY-MM-DD")&amp;" Auto","—")</f>
        <v/>
      </c>
      <c r="K29" s="494" t="n"/>
    </row>
    <row r="30" ht="15" customHeight="1" s="341">
      <c r="A30" s="495" t="n"/>
      <c r="B30" s="382">
        <f>IF(A30="","",IFERROR(VLOOKUP(A30,DB_Customers!$A:$D,4,0),"❌ Account Not Found"))</f>
        <v/>
      </c>
      <c r="C30" s="496">
        <f>IF(A30="","",IFERROR(VLOOKUP(A30,DB_Customers!$A:$N,14,0),""))</f>
        <v/>
      </c>
      <c r="D30" s="497">
        <f>IF(A30="","",TODAY())</f>
        <v/>
      </c>
      <c r="E30" s="489" t="n"/>
      <c r="F30" s="498">
        <f>IF(OR(A30="",E30=""),"",IF(C30="","",C30+E30))</f>
        <v/>
      </c>
      <c r="G30" s="384" t="inlineStr">
        <is>
          <t>Agent 08</t>
        </is>
      </c>
      <c r="H30" s="491" t="n"/>
      <c r="I30" s="499">
        <f>IF(A30="","Pending",IF(H30="","⚠️ Enter Code",IF(IFERROR(VLOOKUP(G30,DB_Agents!$B:$I,8,0),"")=H30,IF(AND(A30&lt;&gt;"",E30&lt;&gt;""),"Saved","Pending"),"🔒 BLOCKED — Wrong Code")))</f>
        <v/>
      </c>
      <c r="J30" s="500">
        <f>IF(I30="Saved",TEXT(TODAY(),"YYYY-MM-DD")&amp;" Auto","—")</f>
        <v/>
      </c>
      <c r="K30" s="501" t="n"/>
    </row>
    <row r="31" ht="15" customHeight="1" s="341">
      <c r="A31" s="486" t="n"/>
      <c r="B31" s="378">
        <f>IF(A31="","",IFERROR(VLOOKUP(A31,DB_Customers!$A:$D,4,0),"❌ Account Not Found"))</f>
        <v/>
      </c>
      <c r="C31" s="487">
        <f>IF(A31="","",IFERROR(VLOOKUP(A31,DB_Customers!$A:$N,14,0),""))</f>
        <v/>
      </c>
      <c r="D31" s="488">
        <f>IF(A31="","",TODAY())</f>
        <v/>
      </c>
      <c r="E31" s="489" t="n"/>
      <c r="F31" s="490">
        <f>IF(OR(A31="",E31=""),"",IF(C31="","",C31+E31))</f>
        <v/>
      </c>
      <c r="G31" s="380" t="inlineStr">
        <is>
          <t>Agent 08</t>
        </is>
      </c>
      <c r="H31" s="491" t="n"/>
      <c r="I31" s="492">
        <f>IF(A31="","Pending",IF(H31="","⚠️ Enter Code",IF(IFERROR(VLOOKUP(G31,DB_Agents!$B:$I,8,0),"")=H31,IF(AND(A31&lt;&gt;"",E31&lt;&gt;""),"Saved","Pending"),"🔒 BLOCKED — Wrong Code")))</f>
        <v/>
      </c>
      <c r="J31" s="493">
        <f>IF(I31="Saved",TEXT(TODAY(),"YYYY-MM-DD")&amp;" Auto","—")</f>
        <v/>
      </c>
      <c r="K31" s="494" t="n"/>
    </row>
    <row r="32" ht="15" customHeight="1" s="341">
      <c r="A32" s="495" t="n"/>
      <c r="B32" s="382">
        <f>IF(A32="","",IFERROR(VLOOKUP(A32,DB_Customers!$A:$D,4,0),"❌ Account Not Found"))</f>
        <v/>
      </c>
      <c r="C32" s="496">
        <f>IF(A32="","",IFERROR(VLOOKUP(A32,DB_Customers!$A:$N,14,0),""))</f>
        <v/>
      </c>
      <c r="D32" s="497">
        <f>IF(A32="","",TODAY())</f>
        <v/>
      </c>
      <c r="E32" s="489" t="n"/>
      <c r="F32" s="498">
        <f>IF(OR(A32="",E32=""),"",IF(C32="","",C32+E32))</f>
        <v/>
      </c>
      <c r="G32" s="384" t="inlineStr">
        <is>
          <t>Agent 08</t>
        </is>
      </c>
      <c r="H32" s="491" t="n"/>
      <c r="I32" s="499">
        <f>IF(A32="","Pending",IF(H32="","⚠️ Enter Code",IF(IFERROR(VLOOKUP(G32,DB_Agents!$B:$I,8,0),"")=H32,IF(AND(A32&lt;&gt;"",E32&lt;&gt;""),"Saved","Pending"),"🔒 BLOCKED — Wrong Code")))</f>
        <v/>
      </c>
      <c r="J32" s="500">
        <f>IF(I32="Saved",TEXT(TODAY(),"YYYY-MM-DD")&amp;" Auto","—")</f>
        <v/>
      </c>
      <c r="K32" s="501" t="n"/>
    </row>
    <row r="33" ht="15" customHeight="1" s="341">
      <c r="A33" s="486" t="n"/>
      <c r="B33" s="378">
        <f>IF(A33="","",IFERROR(VLOOKUP(A33,DB_Customers!$A:$D,4,0),"❌ Account Not Found"))</f>
        <v/>
      </c>
      <c r="C33" s="487">
        <f>IF(A33="","",IFERROR(VLOOKUP(A33,DB_Customers!$A:$N,14,0),""))</f>
        <v/>
      </c>
      <c r="D33" s="488">
        <f>IF(A33="","",TODAY())</f>
        <v/>
      </c>
      <c r="E33" s="489" t="n"/>
      <c r="F33" s="490">
        <f>IF(OR(A33="",E33=""),"",IF(C33="","",C33+E33))</f>
        <v/>
      </c>
      <c r="G33" s="380" t="inlineStr">
        <is>
          <t>Agent 08</t>
        </is>
      </c>
      <c r="H33" s="491" t="n"/>
      <c r="I33" s="492">
        <f>IF(A33="","Pending",IF(H33="","⚠️ Enter Code",IF(IFERROR(VLOOKUP(G33,DB_Agents!$B:$I,8,0),"")=H33,IF(AND(A33&lt;&gt;"",E33&lt;&gt;""),"Saved","Pending"),"🔒 BLOCKED — Wrong Code")))</f>
        <v/>
      </c>
      <c r="J33" s="493">
        <f>IF(I33="Saved",TEXT(TODAY(),"YYYY-MM-DD")&amp;" Auto","—")</f>
        <v/>
      </c>
      <c r="K33" s="494" t="n"/>
    </row>
    <row r="34" ht="15" customHeight="1" s="341">
      <c r="A34" s="495" t="n"/>
      <c r="B34" s="382">
        <f>IF(A34="","",IFERROR(VLOOKUP(A34,DB_Customers!$A:$D,4,0),"❌ Account Not Found"))</f>
        <v/>
      </c>
      <c r="C34" s="496">
        <f>IF(A34="","",IFERROR(VLOOKUP(A34,DB_Customers!$A:$N,14,0),""))</f>
        <v/>
      </c>
      <c r="D34" s="497">
        <f>IF(A34="","",TODAY())</f>
        <v/>
      </c>
      <c r="E34" s="489" t="n"/>
      <c r="F34" s="498">
        <f>IF(OR(A34="",E34=""),"",IF(C34="","",C34+E34))</f>
        <v/>
      </c>
      <c r="G34" s="384" t="inlineStr">
        <is>
          <t>Agent 08</t>
        </is>
      </c>
      <c r="H34" s="491" t="n"/>
      <c r="I34" s="499">
        <f>IF(A34="","Pending",IF(H34="","⚠️ Enter Code",IF(IFERROR(VLOOKUP(G34,DB_Agents!$B:$I,8,0),"")=H34,IF(AND(A34&lt;&gt;"",E34&lt;&gt;""),"Saved","Pending"),"🔒 BLOCKED — Wrong Code")))</f>
        <v/>
      </c>
      <c r="J34" s="500">
        <f>IF(I34="Saved",TEXT(TODAY(),"YYYY-MM-DD")&amp;" Auto","—")</f>
        <v/>
      </c>
      <c r="K34" s="501" t="n"/>
    </row>
    <row r="35" ht="15" customHeight="1" s="341">
      <c r="A35" s="486" t="n"/>
      <c r="B35" s="378">
        <f>IF(A35="","",IFERROR(VLOOKUP(A35,DB_Customers!$A:$D,4,0),"❌ Account Not Found"))</f>
        <v/>
      </c>
      <c r="C35" s="487">
        <f>IF(A35="","",IFERROR(VLOOKUP(A35,DB_Customers!$A:$N,14,0),""))</f>
        <v/>
      </c>
      <c r="D35" s="488">
        <f>IF(A35="","",TODAY())</f>
        <v/>
      </c>
      <c r="E35" s="489" t="n"/>
      <c r="F35" s="490">
        <f>IF(OR(A35="",E35=""),"",IF(C35="","",C35+E35))</f>
        <v/>
      </c>
      <c r="G35" s="380" t="inlineStr">
        <is>
          <t>Agent 08</t>
        </is>
      </c>
      <c r="H35" s="491" t="n"/>
      <c r="I35" s="492">
        <f>IF(A35="","Pending",IF(H35="","⚠️ Enter Code",IF(IFERROR(VLOOKUP(G35,DB_Agents!$B:$I,8,0),"")=H35,IF(AND(A35&lt;&gt;"",E35&lt;&gt;""),"Saved","Pending"),"🔒 BLOCKED — Wrong Code")))</f>
        <v/>
      </c>
      <c r="J35" s="493">
        <f>IF(I35="Saved",TEXT(TODAY(),"YYYY-MM-DD")&amp;" Auto","—")</f>
        <v/>
      </c>
      <c r="K35" s="494" t="n"/>
    </row>
    <row r="36" ht="15" customHeight="1" s="341">
      <c r="A36" s="495" t="n"/>
      <c r="B36" s="382">
        <f>IF(A36="","",IFERROR(VLOOKUP(A36,DB_Customers!$A:$D,4,0),"❌ Account Not Found"))</f>
        <v/>
      </c>
      <c r="C36" s="496">
        <f>IF(A36="","",IFERROR(VLOOKUP(A36,DB_Customers!$A:$N,14,0),""))</f>
        <v/>
      </c>
      <c r="D36" s="497">
        <f>IF(A36="","",TODAY())</f>
        <v/>
      </c>
      <c r="E36" s="489" t="n"/>
      <c r="F36" s="498">
        <f>IF(OR(A36="",E36=""),"",IF(C36="","",C36+E36))</f>
        <v/>
      </c>
      <c r="G36" s="384" t="inlineStr">
        <is>
          <t>Agent 08</t>
        </is>
      </c>
      <c r="H36" s="491" t="n"/>
      <c r="I36" s="499">
        <f>IF(A36="","Pending",IF(H36="","⚠️ Enter Code",IF(IFERROR(VLOOKUP(G36,DB_Agents!$B:$I,8,0),"")=H36,IF(AND(A36&lt;&gt;"",E36&lt;&gt;""),"Saved","Pending"),"🔒 BLOCKED — Wrong Code")))</f>
        <v/>
      </c>
      <c r="J36" s="500">
        <f>IF(I36="Saved",TEXT(TODAY(),"YYYY-MM-DD")&amp;" Auto","—")</f>
        <v/>
      </c>
      <c r="K36" s="501" t="n"/>
    </row>
    <row r="37" ht="15" customHeight="1" s="341">
      <c r="A37" s="486" t="n"/>
      <c r="B37" s="378">
        <f>IF(A37="","",IFERROR(VLOOKUP(A37,DB_Customers!$A:$D,4,0),"❌ Account Not Found"))</f>
        <v/>
      </c>
      <c r="C37" s="487">
        <f>IF(A37="","",IFERROR(VLOOKUP(A37,DB_Customers!$A:$N,14,0),""))</f>
        <v/>
      </c>
      <c r="D37" s="488">
        <f>IF(A37="","",TODAY())</f>
        <v/>
      </c>
      <c r="E37" s="489" t="n"/>
      <c r="F37" s="490">
        <f>IF(OR(A37="",E37=""),"",IF(C37="","",C37+E37))</f>
        <v/>
      </c>
      <c r="G37" s="380" t="inlineStr">
        <is>
          <t>Agent 08</t>
        </is>
      </c>
      <c r="H37" s="491" t="n"/>
      <c r="I37" s="492">
        <f>IF(A37="","Pending",IF(H37="","⚠️ Enter Code",IF(IFERROR(VLOOKUP(G37,DB_Agents!$B:$I,8,0),"")=H37,IF(AND(A37&lt;&gt;"",E37&lt;&gt;""),"Saved","Pending"),"🔒 BLOCKED — Wrong Code")))</f>
        <v/>
      </c>
      <c r="J37" s="493">
        <f>IF(I37="Saved",TEXT(TODAY(),"YYYY-MM-DD")&amp;" Auto","—")</f>
        <v/>
      </c>
      <c r="K37" s="494" t="n"/>
    </row>
    <row r="38" ht="15" customHeight="1" s="341">
      <c r="A38" s="495" t="n"/>
      <c r="B38" s="382">
        <f>IF(A38="","",IFERROR(VLOOKUP(A38,DB_Customers!$A:$D,4,0),"❌ Account Not Found"))</f>
        <v/>
      </c>
      <c r="C38" s="496">
        <f>IF(A38="","",IFERROR(VLOOKUP(A38,DB_Customers!$A:$N,14,0),""))</f>
        <v/>
      </c>
      <c r="D38" s="497">
        <f>IF(A38="","",TODAY())</f>
        <v/>
      </c>
      <c r="E38" s="489" t="n"/>
      <c r="F38" s="498">
        <f>IF(OR(A38="",E38=""),"",IF(C38="","",C38+E38))</f>
        <v/>
      </c>
      <c r="G38" s="384" t="inlineStr">
        <is>
          <t>Agent 08</t>
        </is>
      </c>
      <c r="H38" s="491" t="n"/>
      <c r="I38" s="499">
        <f>IF(A38="","Pending",IF(H38="","⚠️ Enter Code",IF(IFERROR(VLOOKUP(G38,DB_Agents!$B:$I,8,0),"")=H38,IF(AND(A38&lt;&gt;"",E38&lt;&gt;""),"Saved","Pending"),"🔒 BLOCKED — Wrong Code")))</f>
        <v/>
      </c>
      <c r="J38" s="500">
        <f>IF(I38="Saved",TEXT(TODAY(),"YYYY-MM-DD")&amp;" Auto","—")</f>
        <v/>
      </c>
      <c r="K38" s="501" t="n"/>
    </row>
    <row r="39" ht="15" customHeight="1" s="341">
      <c r="A39" s="486" t="n"/>
      <c r="B39" s="378">
        <f>IF(A39="","",IFERROR(VLOOKUP(A39,DB_Customers!$A:$D,4,0),"❌ Account Not Found"))</f>
        <v/>
      </c>
      <c r="C39" s="487">
        <f>IF(A39="","",IFERROR(VLOOKUP(A39,DB_Customers!$A:$N,14,0),""))</f>
        <v/>
      </c>
      <c r="D39" s="488">
        <f>IF(A39="","",TODAY())</f>
        <v/>
      </c>
      <c r="E39" s="489" t="n"/>
      <c r="F39" s="490">
        <f>IF(OR(A39="",E39=""),"",IF(C39="","",C39+E39))</f>
        <v/>
      </c>
      <c r="G39" s="380" t="inlineStr">
        <is>
          <t>Agent 08</t>
        </is>
      </c>
      <c r="H39" s="491" t="n"/>
      <c r="I39" s="492">
        <f>IF(A39="","Pending",IF(H39="","⚠️ Enter Code",IF(IFERROR(VLOOKUP(G39,DB_Agents!$B:$I,8,0),"")=H39,IF(AND(A39&lt;&gt;"",E39&lt;&gt;""),"Saved","Pending"),"🔒 BLOCKED — Wrong Code")))</f>
        <v/>
      </c>
      <c r="J39" s="493">
        <f>IF(I39="Saved",TEXT(TODAY(),"YYYY-MM-DD")&amp;" Auto","—")</f>
        <v/>
      </c>
      <c r="K39" s="494" t="n"/>
    </row>
    <row r="40" ht="15" customHeight="1" s="341">
      <c r="A40" s="495" t="n"/>
      <c r="B40" s="382">
        <f>IF(A40="","",IFERROR(VLOOKUP(A40,DB_Customers!$A:$D,4,0),"❌ Account Not Found"))</f>
        <v/>
      </c>
      <c r="C40" s="496">
        <f>IF(A40="","",IFERROR(VLOOKUP(A40,DB_Customers!$A:$N,14,0),""))</f>
        <v/>
      </c>
      <c r="D40" s="497">
        <f>IF(A40="","",TODAY())</f>
        <v/>
      </c>
      <c r="E40" s="489" t="n"/>
      <c r="F40" s="498">
        <f>IF(OR(A40="",E40=""),"",IF(C40="","",C40+E40))</f>
        <v/>
      </c>
      <c r="G40" s="384" t="inlineStr">
        <is>
          <t>Agent 08</t>
        </is>
      </c>
      <c r="H40" s="491" t="n"/>
      <c r="I40" s="499">
        <f>IF(A40="","Pending",IF(H40="","⚠️ Enter Code",IF(IFERROR(VLOOKUP(G40,DB_Agents!$B:$I,8,0),"")=H40,IF(AND(A40&lt;&gt;"",E40&lt;&gt;""),"Saved","Pending"),"🔒 BLOCKED — Wrong Code")))</f>
        <v/>
      </c>
      <c r="J40" s="500">
        <f>IF(I40="Saved",TEXT(TODAY(),"YYYY-MM-DD")&amp;" Auto","—")</f>
        <v/>
      </c>
      <c r="K40" s="501" t="n"/>
    </row>
    <row r="41" ht="15" customHeight="1" s="341">
      <c r="A41" s="486" t="n"/>
      <c r="B41" s="378">
        <f>IF(A41="","",IFERROR(VLOOKUP(A41,DB_Customers!$A:$D,4,0),"❌ Account Not Found"))</f>
        <v/>
      </c>
      <c r="C41" s="487">
        <f>IF(A41="","",IFERROR(VLOOKUP(A41,DB_Customers!$A:$N,14,0),""))</f>
        <v/>
      </c>
      <c r="D41" s="488">
        <f>IF(A41="","",TODAY())</f>
        <v/>
      </c>
      <c r="E41" s="489" t="n"/>
      <c r="F41" s="490">
        <f>IF(OR(A41="",E41=""),"",IF(C41="","",C41+E41))</f>
        <v/>
      </c>
      <c r="G41" s="380" t="inlineStr">
        <is>
          <t>Agent 08</t>
        </is>
      </c>
      <c r="H41" s="491" t="n"/>
      <c r="I41" s="492">
        <f>IF(A41="","Pending",IF(H41="","⚠️ Enter Code",IF(IFERROR(VLOOKUP(G41,DB_Agents!$B:$I,8,0),"")=H41,IF(AND(A41&lt;&gt;"",E41&lt;&gt;""),"Saved","Pending"),"🔒 BLOCKED — Wrong Code")))</f>
        <v/>
      </c>
      <c r="J41" s="493">
        <f>IF(I41="Saved",TEXT(TODAY(),"YYYY-MM-DD")&amp;" Auto","—")</f>
        <v/>
      </c>
      <c r="K41" s="494" t="n"/>
    </row>
    <row r="42" ht="15" customHeight="1" s="341">
      <c r="A42" s="495" t="n"/>
      <c r="B42" s="382">
        <f>IF(A42="","",IFERROR(VLOOKUP(A42,DB_Customers!$A:$D,4,0),"❌ Account Not Found"))</f>
        <v/>
      </c>
      <c r="C42" s="496">
        <f>IF(A42="","",IFERROR(VLOOKUP(A42,DB_Customers!$A:$N,14,0),""))</f>
        <v/>
      </c>
      <c r="D42" s="497">
        <f>IF(A42="","",TODAY())</f>
        <v/>
      </c>
      <c r="E42" s="489" t="n"/>
      <c r="F42" s="498">
        <f>IF(OR(A42="",E42=""),"",IF(C42="","",C42+E42))</f>
        <v/>
      </c>
      <c r="G42" s="384" t="inlineStr">
        <is>
          <t>Agent 08</t>
        </is>
      </c>
      <c r="H42" s="491" t="n"/>
      <c r="I42" s="499">
        <f>IF(A42="","Pending",IF(H42="","⚠️ Enter Code",IF(IFERROR(VLOOKUP(G42,DB_Agents!$B:$I,8,0),"")=H42,IF(AND(A42&lt;&gt;"",E42&lt;&gt;""),"Saved","Pending"),"🔒 BLOCKED — Wrong Code")))</f>
        <v/>
      </c>
      <c r="J42" s="500">
        <f>IF(I42="Saved",TEXT(TODAY(),"YYYY-MM-DD")&amp;" Auto","—")</f>
        <v/>
      </c>
      <c r="K42" s="501" t="n"/>
    </row>
    <row r="43" ht="15" customHeight="1" s="341">
      <c r="A43" s="486" t="n"/>
      <c r="B43" s="378">
        <f>IF(A43="","",IFERROR(VLOOKUP(A43,DB_Customers!$A:$D,4,0),"❌ Account Not Found"))</f>
        <v/>
      </c>
      <c r="C43" s="487">
        <f>IF(A43="","",IFERROR(VLOOKUP(A43,DB_Customers!$A:$N,14,0),""))</f>
        <v/>
      </c>
      <c r="D43" s="488">
        <f>IF(A43="","",TODAY())</f>
        <v/>
      </c>
      <c r="E43" s="489" t="n"/>
      <c r="F43" s="490">
        <f>IF(OR(A43="",E43=""),"",IF(C43="","",C43+E43))</f>
        <v/>
      </c>
      <c r="G43" s="380" t="inlineStr">
        <is>
          <t>Agent 08</t>
        </is>
      </c>
      <c r="H43" s="491" t="n"/>
      <c r="I43" s="492">
        <f>IF(A43="","Pending",IF(H43="","⚠️ Enter Code",IF(IFERROR(VLOOKUP(G43,DB_Agents!$B:$I,8,0),"")=H43,IF(AND(A43&lt;&gt;"",E43&lt;&gt;""),"Saved","Pending"),"🔒 BLOCKED — Wrong Code")))</f>
        <v/>
      </c>
      <c r="J43" s="493">
        <f>IF(I43="Saved",TEXT(TODAY(),"YYYY-MM-DD")&amp;" Auto","—")</f>
        <v/>
      </c>
      <c r="K43" s="494" t="n"/>
    </row>
    <row r="44" ht="15" customHeight="1" s="341">
      <c r="A44" s="495" t="n"/>
      <c r="B44" s="382">
        <f>IF(A44="","",IFERROR(VLOOKUP(A44,DB_Customers!$A:$D,4,0),"❌ Account Not Found"))</f>
        <v/>
      </c>
      <c r="C44" s="496">
        <f>IF(A44="","",IFERROR(VLOOKUP(A44,DB_Customers!$A:$N,14,0),""))</f>
        <v/>
      </c>
      <c r="D44" s="497">
        <f>IF(A44="","",TODAY())</f>
        <v/>
      </c>
      <c r="E44" s="489" t="n"/>
      <c r="F44" s="498">
        <f>IF(OR(A44="",E44=""),"",IF(C44="","",C44+E44))</f>
        <v/>
      </c>
      <c r="G44" s="384" t="inlineStr">
        <is>
          <t>Agent 08</t>
        </is>
      </c>
      <c r="H44" s="491" t="n"/>
      <c r="I44" s="499">
        <f>IF(A44="","Pending",IF(H44="","⚠️ Enter Code",IF(IFERROR(VLOOKUP(G44,DB_Agents!$B:$I,8,0),"")=H44,IF(AND(A44&lt;&gt;"",E44&lt;&gt;""),"Saved","Pending"),"🔒 BLOCKED — Wrong Code")))</f>
        <v/>
      </c>
      <c r="J44" s="500">
        <f>IF(I44="Saved",TEXT(TODAY(),"YYYY-MM-DD")&amp;" Auto","—")</f>
        <v/>
      </c>
      <c r="K44" s="501" t="n"/>
    </row>
    <row r="45" ht="15" customHeight="1" s="341">
      <c r="A45" s="486" t="n"/>
      <c r="B45" s="378">
        <f>IF(A45="","",IFERROR(VLOOKUP(A45,DB_Customers!$A:$D,4,0),"❌ Account Not Found"))</f>
        <v/>
      </c>
      <c r="C45" s="487">
        <f>IF(A45="","",IFERROR(VLOOKUP(A45,DB_Customers!$A:$N,14,0),""))</f>
        <v/>
      </c>
      <c r="D45" s="488">
        <f>IF(A45="","",TODAY())</f>
        <v/>
      </c>
      <c r="E45" s="489" t="n"/>
      <c r="F45" s="490">
        <f>IF(OR(A45="",E45=""),"",IF(C45="","",C45+E45))</f>
        <v/>
      </c>
      <c r="G45" s="380" t="inlineStr">
        <is>
          <t>Agent 08</t>
        </is>
      </c>
      <c r="H45" s="491" t="n"/>
      <c r="I45" s="492">
        <f>IF(A45="","Pending",IF(H45="","⚠️ Enter Code",IF(IFERROR(VLOOKUP(G45,DB_Agents!$B:$I,8,0),"")=H45,IF(AND(A45&lt;&gt;"",E45&lt;&gt;""),"Saved","Pending"),"🔒 BLOCKED — Wrong Code")))</f>
        <v/>
      </c>
      <c r="J45" s="493">
        <f>IF(I45="Saved",TEXT(TODAY(),"YYYY-MM-DD")&amp;" Auto","—")</f>
        <v/>
      </c>
      <c r="K45" s="494" t="n"/>
    </row>
    <row r="46" ht="15" customHeight="1" s="341">
      <c r="A46" s="495" t="n"/>
      <c r="B46" s="382">
        <f>IF(A46="","",IFERROR(VLOOKUP(A46,DB_Customers!$A:$D,4,0),"❌ Account Not Found"))</f>
        <v/>
      </c>
      <c r="C46" s="496">
        <f>IF(A46="","",IFERROR(VLOOKUP(A46,DB_Customers!$A:$N,14,0),""))</f>
        <v/>
      </c>
      <c r="D46" s="497">
        <f>IF(A46="","",TODAY())</f>
        <v/>
      </c>
      <c r="E46" s="489" t="n"/>
      <c r="F46" s="498">
        <f>IF(OR(A46="",E46=""),"",IF(C46="","",C46+E46))</f>
        <v/>
      </c>
      <c r="G46" s="384" t="inlineStr">
        <is>
          <t>Agent 08</t>
        </is>
      </c>
      <c r="H46" s="491" t="n"/>
      <c r="I46" s="499">
        <f>IF(A46="","Pending",IF(H46="","⚠️ Enter Code",IF(IFERROR(VLOOKUP(G46,DB_Agents!$B:$I,8,0),"")=H46,IF(AND(A46&lt;&gt;"",E46&lt;&gt;""),"Saved","Pending"),"🔒 BLOCKED — Wrong Code")))</f>
        <v/>
      </c>
      <c r="J46" s="500">
        <f>IF(I46="Saved",TEXT(TODAY(),"YYYY-MM-DD")&amp;" Auto","—")</f>
        <v/>
      </c>
      <c r="K46" s="501" t="n"/>
    </row>
    <row r="47" ht="15" customHeight="1" s="341">
      <c r="A47" s="486" t="n"/>
      <c r="B47" s="378">
        <f>IF(A47="","",IFERROR(VLOOKUP(A47,DB_Customers!$A:$D,4,0),"❌ Account Not Found"))</f>
        <v/>
      </c>
      <c r="C47" s="487">
        <f>IF(A47="","",IFERROR(VLOOKUP(A47,DB_Customers!$A:$N,14,0),""))</f>
        <v/>
      </c>
      <c r="D47" s="488">
        <f>IF(A47="","",TODAY())</f>
        <v/>
      </c>
      <c r="E47" s="489" t="n"/>
      <c r="F47" s="490">
        <f>IF(OR(A47="",E47=""),"",IF(C47="","",C47+E47))</f>
        <v/>
      </c>
      <c r="G47" s="380" t="inlineStr">
        <is>
          <t>Agent 08</t>
        </is>
      </c>
      <c r="H47" s="491" t="n"/>
      <c r="I47" s="492">
        <f>IF(A47="","Pending",IF(H47="","⚠️ Enter Code",IF(IFERROR(VLOOKUP(G47,DB_Agents!$B:$I,8,0),"")=H47,IF(AND(A47&lt;&gt;"",E47&lt;&gt;""),"Saved","Pending"),"🔒 BLOCKED — Wrong Code")))</f>
        <v/>
      </c>
      <c r="J47" s="493">
        <f>IF(I47="Saved",TEXT(TODAY(),"YYYY-MM-DD")&amp;" Auto","—")</f>
        <v/>
      </c>
      <c r="K47" s="494" t="n"/>
    </row>
    <row r="48" ht="15" customHeight="1" s="341">
      <c r="A48" s="495" t="n"/>
      <c r="B48" s="382">
        <f>IF(A48="","",IFERROR(VLOOKUP(A48,DB_Customers!$A:$D,4,0),"❌ Account Not Found"))</f>
        <v/>
      </c>
      <c r="C48" s="496">
        <f>IF(A48="","",IFERROR(VLOOKUP(A48,DB_Customers!$A:$N,14,0),""))</f>
        <v/>
      </c>
      <c r="D48" s="497">
        <f>IF(A48="","",TODAY())</f>
        <v/>
      </c>
      <c r="E48" s="489" t="n"/>
      <c r="F48" s="498">
        <f>IF(OR(A48="",E48=""),"",IF(C48="","",C48+E48))</f>
        <v/>
      </c>
      <c r="G48" s="384" t="inlineStr">
        <is>
          <t>Agent 08</t>
        </is>
      </c>
      <c r="H48" s="491" t="n"/>
      <c r="I48" s="499">
        <f>IF(A48="","Pending",IF(H48="","⚠️ Enter Code",IF(IFERROR(VLOOKUP(G48,DB_Agents!$B:$I,8,0),"")=H48,IF(AND(A48&lt;&gt;"",E48&lt;&gt;""),"Saved","Pending"),"🔒 BLOCKED — Wrong Code")))</f>
        <v/>
      </c>
      <c r="J48" s="500">
        <f>IF(I48="Saved",TEXT(TODAY(),"YYYY-MM-DD")&amp;" Auto","—")</f>
        <v/>
      </c>
      <c r="K48" s="501" t="n"/>
    </row>
    <row r="49" ht="15" customHeight="1" s="341">
      <c r="A49" s="486" t="n"/>
      <c r="B49" s="378">
        <f>IF(A49="","",IFERROR(VLOOKUP(A49,DB_Customers!$A:$D,4,0),"❌ Account Not Found"))</f>
        <v/>
      </c>
      <c r="C49" s="487">
        <f>IF(A49="","",IFERROR(VLOOKUP(A49,DB_Customers!$A:$N,14,0),""))</f>
        <v/>
      </c>
      <c r="D49" s="488">
        <f>IF(A49="","",TODAY())</f>
        <v/>
      </c>
      <c r="E49" s="489" t="n"/>
      <c r="F49" s="490">
        <f>IF(OR(A49="",E49=""),"",IF(C49="","",C49+E49))</f>
        <v/>
      </c>
      <c r="G49" s="380" t="inlineStr">
        <is>
          <t>Agent 08</t>
        </is>
      </c>
      <c r="H49" s="491" t="n"/>
      <c r="I49" s="492">
        <f>IF(A49="","Pending",IF(H49="","⚠️ Enter Code",IF(IFERROR(VLOOKUP(G49,DB_Agents!$B:$I,8,0),"")=H49,IF(AND(A49&lt;&gt;"",E49&lt;&gt;""),"Saved","Pending"),"🔒 BLOCKED — Wrong Code")))</f>
        <v/>
      </c>
      <c r="J49" s="493">
        <f>IF(I49="Saved",TEXT(TODAY(),"YYYY-MM-DD")&amp;" Auto","—")</f>
        <v/>
      </c>
      <c r="K49" s="494" t="n"/>
    </row>
    <row r="50" ht="15" customHeight="1" s="341">
      <c r="A50" s="495" t="n"/>
      <c r="B50" s="382">
        <f>IF(A50="","",IFERROR(VLOOKUP(A50,DB_Customers!$A:$D,4,0),"❌ Account Not Found"))</f>
        <v/>
      </c>
      <c r="C50" s="496">
        <f>IF(A50="","",IFERROR(VLOOKUP(A50,DB_Customers!$A:$N,14,0),""))</f>
        <v/>
      </c>
      <c r="D50" s="497">
        <f>IF(A50="","",TODAY())</f>
        <v/>
      </c>
      <c r="E50" s="489" t="n"/>
      <c r="F50" s="498">
        <f>IF(OR(A50="",E50=""),"",IF(C50="","",C50+E50))</f>
        <v/>
      </c>
      <c r="G50" s="384" t="inlineStr">
        <is>
          <t>Agent 08</t>
        </is>
      </c>
      <c r="H50" s="491" t="n"/>
      <c r="I50" s="499">
        <f>IF(A50="","Pending",IF(H50="","⚠️ Enter Code",IF(IFERROR(VLOOKUP(G50,DB_Agents!$B:$I,8,0),"")=H50,IF(AND(A50&lt;&gt;"",E50&lt;&gt;""),"Saved","Pending"),"🔒 BLOCKED — Wrong Code")))</f>
        <v/>
      </c>
      <c r="J50" s="500">
        <f>IF(I50="Saved",TEXT(TODAY(),"YYYY-MM-DD")&amp;" Auto","—")</f>
        <v/>
      </c>
      <c r="K50" s="501" t="n"/>
    </row>
    <row r="51" ht="15" customHeight="1" s="341">
      <c r="A51" s="486" t="n"/>
      <c r="B51" s="378">
        <f>IF(A51="","",IFERROR(VLOOKUP(A51,DB_Customers!$A:$D,4,0),"❌ Account Not Found"))</f>
        <v/>
      </c>
      <c r="C51" s="487">
        <f>IF(A51="","",IFERROR(VLOOKUP(A51,DB_Customers!$A:$N,14,0),""))</f>
        <v/>
      </c>
      <c r="D51" s="488">
        <f>IF(A51="","",TODAY())</f>
        <v/>
      </c>
      <c r="E51" s="489" t="n"/>
      <c r="F51" s="490">
        <f>IF(OR(A51="",E51=""),"",IF(C51="","",C51+E51))</f>
        <v/>
      </c>
      <c r="G51" s="380" t="inlineStr">
        <is>
          <t>Agent 08</t>
        </is>
      </c>
      <c r="H51" s="491" t="n"/>
      <c r="I51" s="492">
        <f>IF(A51="","Pending",IF(H51="","⚠️ Enter Code",IF(IFERROR(VLOOKUP(G51,DB_Agents!$B:$I,8,0),"")=H51,IF(AND(A51&lt;&gt;"",E51&lt;&gt;""),"Saved","Pending"),"🔒 BLOCKED — Wrong Code")))</f>
        <v/>
      </c>
      <c r="J51" s="493">
        <f>IF(I51="Saved",TEXT(TODAY(),"YYYY-MM-DD")&amp;" Auto","—")</f>
        <v/>
      </c>
      <c r="K51" s="494" t="n"/>
    </row>
    <row r="52" ht="15" customHeight="1" s="341">
      <c r="A52" s="495" t="n"/>
      <c r="B52" s="382">
        <f>IF(A52="","",IFERROR(VLOOKUP(A52,DB_Customers!$A:$D,4,0),"❌ Account Not Found"))</f>
        <v/>
      </c>
      <c r="C52" s="496">
        <f>IF(A52="","",IFERROR(VLOOKUP(A52,DB_Customers!$A:$N,14,0),""))</f>
        <v/>
      </c>
      <c r="D52" s="497">
        <f>IF(A52="","",TODAY())</f>
        <v/>
      </c>
      <c r="E52" s="489" t="n"/>
      <c r="F52" s="498">
        <f>IF(OR(A52="",E52=""),"",IF(C52="","",C52+E52))</f>
        <v/>
      </c>
      <c r="G52" s="384" t="inlineStr">
        <is>
          <t>Agent 08</t>
        </is>
      </c>
      <c r="H52" s="491" t="n"/>
      <c r="I52" s="499">
        <f>IF(A52="","Pending",IF(H52="","⚠️ Enter Code",IF(IFERROR(VLOOKUP(G52,DB_Agents!$B:$I,8,0),"")=H52,IF(AND(A52&lt;&gt;"",E52&lt;&gt;""),"Saved","Pending"),"🔒 BLOCKED — Wrong Code")))</f>
        <v/>
      </c>
      <c r="J52" s="500">
        <f>IF(I52="Saved",TEXT(TODAY(),"YYYY-MM-DD")&amp;" Auto","—")</f>
        <v/>
      </c>
      <c r="K52" s="501" t="n"/>
    </row>
    <row r="53" ht="15" customHeight="1" s="341">
      <c r="A53" s="486" t="n"/>
      <c r="B53" s="378">
        <f>IF(A53="","",IFERROR(VLOOKUP(A53,DB_Customers!$A:$D,4,0),"❌ Account Not Found"))</f>
        <v/>
      </c>
      <c r="C53" s="487">
        <f>IF(A53="","",IFERROR(VLOOKUP(A53,DB_Customers!$A:$N,14,0),""))</f>
        <v/>
      </c>
      <c r="D53" s="488">
        <f>IF(A53="","",TODAY())</f>
        <v/>
      </c>
      <c r="E53" s="489" t="n"/>
      <c r="F53" s="490">
        <f>IF(OR(A53="",E53=""),"",IF(C53="","",C53+E53))</f>
        <v/>
      </c>
      <c r="G53" s="380" t="inlineStr">
        <is>
          <t>Agent 08</t>
        </is>
      </c>
      <c r="H53" s="491" t="n"/>
      <c r="I53" s="492">
        <f>IF(A53="","Pending",IF(H53="","⚠️ Enter Code",IF(IFERROR(VLOOKUP(G53,DB_Agents!$B:$I,8,0),"")=H53,IF(AND(A53&lt;&gt;"",E53&lt;&gt;""),"Saved","Pending"),"🔒 BLOCKED — Wrong Code")))</f>
        <v/>
      </c>
      <c r="J53" s="493">
        <f>IF(I53="Saved",TEXT(TODAY(),"YYYY-MM-DD")&amp;" Auto","—")</f>
        <v/>
      </c>
      <c r="K53" s="494" t="n"/>
    </row>
    <row r="54" ht="15" customHeight="1" s="341">
      <c r="A54" s="495" t="n"/>
      <c r="B54" s="382">
        <f>IF(A54="","",IFERROR(VLOOKUP(A54,DB_Customers!$A:$D,4,0),"❌ Account Not Found"))</f>
        <v/>
      </c>
      <c r="C54" s="496">
        <f>IF(A54="","",IFERROR(VLOOKUP(A54,DB_Customers!$A:$N,14,0),""))</f>
        <v/>
      </c>
      <c r="D54" s="497">
        <f>IF(A54="","",TODAY())</f>
        <v/>
      </c>
      <c r="E54" s="489" t="n"/>
      <c r="F54" s="498">
        <f>IF(OR(A54="",E54=""),"",IF(C54="","",C54+E54))</f>
        <v/>
      </c>
      <c r="G54" s="384" t="inlineStr">
        <is>
          <t>Agent 08</t>
        </is>
      </c>
      <c r="H54" s="491" t="n"/>
      <c r="I54" s="499">
        <f>IF(A54="","Pending",IF(H54="","⚠️ Enter Code",IF(IFERROR(VLOOKUP(G54,DB_Agents!$B:$I,8,0),"")=H54,IF(AND(A54&lt;&gt;"",E54&lt;&gt;""),"Saved","Pending"),"🔒 BLOCKED — Wrong Code")))</f>
        <v/>
      </c>
      <c r="J54" s="500">
        <f>IF(I54="Saved",TEXT(TODAY(),"YYYY-MM-DD")&amp;" Auto","—")</f>
        <v/>
      </c>
      <c r="K54" s="501" t="n"/>
    </row>
    <row r="55" ht="15" customHeight="1" s="341">
      <c r="A55" s="486" t="n"/>
      <c r="B55" s="378">
        <f>IF(A55="","",IFERROR(VLOOKUP(A55,DB_Customers!$A:$D,4,0),"❌ Account Not Found"))</f>
        <v/>
      </c>
      <c r="C55" s="487">
        <f>IF(A55="","",IFERROR(VLOOKUP(A55,DB_Customers!$A:$N,14,0),""))</f>
        <v/>
      </c>
      <c r="D55" s="488">
        <f>IF(A55="","",TODAY())</f>
        <v/>
      </c>
      <c r="E55" s="489" t="n"/>
      <c r="F55" s="490">
        <f>IF(OR(A55="",E55=""),"",IF(C55="","",C55+E55))</f>
        <v/>
      </c>
      <c r="G55" s="380" t="inlineStr">
        <is>
          <t>Agent 08</t>
        </is>
      </c>
      <c r="H55" s="491" t="n"/>
      <c r="I55" s="492">
        <f>IF(A55="","Pending",IF(H55="","⚠️ Enter Code",IF(IFERROR(VLOOKUP(G55,DB_Agents!$B:$I,8,0),"")=H55,IF(AND(A55&lt;&gt;"",E55&lt;&gt;""),"Saved","Pending"),"🔒 BLOCKED — Wrong Code")))</f>
        <v/>
      </c>
      <c r="J55" s="493">
        <f>IF(I55="Saved",TEXT(TODAY(),"YYYY-MM-DD")&amp;" Auto","—")</f>
        <v/>
      </c>
      <c r="K55" s="494" t="n"/>
    </row>
    <row r="56" ht="15" customHeight="1" s="341">
      <c r="A56" s="495" t="n"/>
      <c r="B56" s="382">
        <f>IF(A56="","",IFERROR(VLOOKUP(A56,DB_Customers!$A:$D,4,0),"❌ Account Not Found"))</f>
        <v/>
      </c>
      <c r="C56" s="496">
        <f>IF(A56="","",IFERROR(VLOOKUP(A56,DB_Customers!$A:$N,14,0),""))</f>
        <v/>
      </c>
      <c r="D56" s="497">
        <f>IF(A56="","",TODAY())</f>
        <v/>
      </c>
      <c r="E56" s="489" t="n"/>
      <c r="F56" s="498">
        <f>IF(OR(A56="",E56=""),"",IF(C56="","",C56+E56))</f>
        <v/>
      </c>
      <c r="G56" s="384" t="inlineStr">
        <is>
          <t>Agent 08</t>
        </is>
      </c>
      <c r="H56" s="491" t="n"/>
      <c r="I56" s="499">
        <f>IF(A56="","Pending",IF(H56="","⚠️ Enter Code",IF(IFERROR(VLOOKUP(G56,DB_Agents!$B:$I,8,0),"")=H56,IF(AND(A56&lt;&gt;"",E56&lt;&gt;""),"Saved","Pending"),"🔒 BLOCKED — Wrong Code")))</f>
        <v/>
      </c>
      <c r="J56" s="500">
        <f>IF(I56="Saved",TEXT(TODAY(),"YYYY-MM-DD")&amp;" Auto","—")</f>
        <v/>
      </c>
      <c r="K56" s="501" t="n"/>
    </row>
    <row r="57" ht="15" customHeight="1" s="341">
      <c r="A57" s="486" t="n"/>
      <c r="B57" s="378">
        <f>IF(A57="","",IFERROR(VLOOKUP(A57,DB_Customers!$A:$D,4,0),"❌ Account Not Found"))</f>
        <v/>
      </c>
      <c r="C57" s="487">
        <f>IF(A57="","",IFERROR(VLOOKUP(A57,DB_Customers!$A:$N,14,0),""))</f>
        <v/>
      </c>
      <c r="D57" s="488">
        <f>IF(A57="","",TODAY())</f>
        <v/>
      </c>
      <c r="E57" s="489" t="n"/>
      <c r="F57" s="490">
        <f>IF(OR(A57="",E57=""),"",IF(C57="","",C57+E57))</f>
        <v/>
      </c>
      <c r="G57" s="380" t="inlineStr">
        <is>
          <t>Agent 08</t>
        </is>
      </c>
      <c r="H57" s="491" t="n"/>
      <c r="I57" s="492">
        <f>IF(A57="","Pending",IF(H57="","⚠️ Enter Code",IF(IFERROR(VLOOKUP(G57,DB_Agents!$B:$I,8,0),"")=H57,IF(AND(A57&lt;&gt;"",E57&lt;&gt;""),"Saved","Pending"),"🔒 BLOCKED — Wrong Code")))</f>
        <v/>
      </c>
      <c r="J57" s="493">
        <f>IF(I57="Saved",TEXT(TODAY(),"YYYY-MM-DD")&amp;" Auto","—")</f>
        <v/>
      </c>
      <c r="K57" s="494" t="n"/>
    </row>
    <row r="58" ht="15" customHeight="1" s="341">
      <c r="A58" s="495" t="n"/>
      <c r="B58" s="382">
        <f>IF(A58="","",IFERROR(VLOOKUP(A58,DB_Customers!$A:$D,4,0),"❌ Account Not Found"))</f>
        <v/>
      </c>
      <c r="C58" s="496">
        <f>IF(A58="","",IFERROR(VLOOKUP(A58,DB_Customers!$A:$N,14,0),""))</f>
        <v/>
      </c>
      <c r="D58" s="497">
        <f>IF(A58="","",TODAY())</f>
        <v/>
      </c>
      <c r="E58" s="489" t="n"/>
      <c r="F58" s="498">
        <f>IF(OR(A58="",E58=""),"",IF(C58="","",C58+E58))</f>
        <v/>
      </c>
      <c r="G58" s="384" t="inlineStr">
        <is>
          <t>Agent 08</t>
        </is>
      </c>
      <c r="H58" s="491" t="n"/>
      <c r="I58" s="499">
        <f>IF(A58="","Pending",IF(H58="","⚠️ Enter Code",IF(IFERROR(VLOOKUP(G58,DB_Agents!$B:$I,8,0),"")=H58,IF(AND(A58&lt;&gt;"",E58&lt;&gt;""),"Saved","Pending"),"🔒 BLOCKED — Wrong Code")))</f>
        <v/>
      </c>
      <c r="J58" s="500">
        <f>IF(I58="Saved",TEXT(TODAY(),"YYYY-MM-DD")&amp;" Auto","—")</f>
        <v/>
      </c>
      <c r="K58" s="501" t="n"/>
    </row>
    <row r="59" ht="15" customHeight="1" s="341">
      <c r="A59" s="486" t="n"/>
      <c r="B59" s="378">
        <f>IF(A59="","",IFERROR(VLOOKUP(A59,DB_Customers!$A:$D,4,0),"❌ Account Not Found"))</f>
        <v/>
      </c>
      <c r="C59" s="487">
        <f>IF(A59="","",IFERROR(VLOOKUP(A59,DB_Customers!$A:$N,14,0),""))</f>
        <v/>
      </c>
      <c r="D59" s="488">
        <f>IF(A59="","",TODAY())</f>
        <v/>
      </c>
      <c r="E59" s="489" t="n"/>
      <c r="F59" s="490">
        <f>IF(OR(A59="",E59=""),"",IF(C59="","",C59+E59))</f>
        <v/>
      </c>
      <c r="G59" s="380" t="inlineStr">
        <is>
          <t>Agent 08</t>
        </is>
      </c>
      <c r="H59" s="491" t="n"/>
      <c r="I59" s="492">
        <f>IF(A59="","Pending",IF(H59="","⚠️ Enter Code",IF(IFERROR(VLOOKUP(G59,DB_Agents!$B:$I,8,0),"")=H59,IF(AND(A59&lt;&gt;"",E59&lt;&gt;""),"Saved","Pending"),"🔒 BLOCKED — Wrong Code")))</f>
        <v/>
      </c>
      <c r="J59" s="493">
        <f>IF(I59="Saved",TEXT(TODAY(),"YYYY-MM-DD")&amp;" Auto","—")</f>
        <v/>
      </c>
      <c r="K59" s="494" t="n"/>
    </row>
    <row r="60" ht="15" customHeight="1" s="341">
      <c r="A60" s="495" t="n"/>
      <c r="B60" s="382">
        <f>IF(A60="","",IFERROR(VLOOKUP(A60,DB_Customers!$A:$D,4,0),"❌ Account Not Found"))</f>
        <v/>
      </c>
      <c r="C60" s="496">
        <f>IF(A60="","",IFERROR(VLOOKUP(A60,DB_Customers!$A:$N,14,0),""))</f>
        <v/>
      </c>
      <c r="D60" s="497">
        <f>IF(A60="","",TODAY())</f>
        <v/>
      </c>
      <c r="E60" s="489" t="n"/>
      <c r="F60" s="498">
        <f>IF(OR(A60="",E60=""),"",IF(C60="","",C60+E60))</f>
        <v/>
      </c>
      <c r="G60" s="384" t="inlineStr">
        <is>
          <t>Agent 08</t>
        </is>
      </c>
      <c r="H60" s="491" t="n"/>
      <c r="I60" s="499">
        <f>IF(A60="","Pending",IF(H60="","⚠️ Enter Code",IF(IFERROR(VLOOKUP(G60,DB_Agents!$B:$I,8,0),"")=H60,IF(AND(A60&lt;&gt;"",E60&lt;&gt;""),"Saved","Pending"),"🔒 BLOCKED — Wrong Code")))</f>
        <v/>
      </c>
      <c r="J60" s="500">
        <f>IF(I60="Saved",TEXT(TODAY(),"YYYY-MM-DD")&amp;" Auto","—")</f>
        <v/>
      </c>
      <c r="K60" s="501" t="n"/>
    </row>
    <row r="61" ht="15" customHeight="1" s="341">
      <c r="A61" s="486" t="n"/>
      <c r="B61" s="378">
        <f>IF(A61="","",IFERROR(VLOOKUP(A61,DB_Customers!$A:$D,4,0),"❌ Account Not Found"))</f>
        <v/>
      </c>
      <c r="C61" s="487">
        <f>IF(A61="","",IFERROR(VLOOKUP(A61,DB_Customers!$A:$N,14,0),""))</f>
        <v/>
      </c>
      <c r="D61" s="488">
        <f>IF(A61="","",TODAY())</f>
        <v/>
      </c>
      <c r="E61" s="489" t="n"/>
      <c r="F61" s="490">
        <f>IF(OR(A61="",E61=""),"",IF(C61="","",C61+E61))</f>
        <v/>
      </c>
      <c r="G61" s="380" t="inlineStr">
        <is>
          <t>Agent 08</t>
        </is>
      </c>
      <c r="H61" s="491" t="n"/>
      <c r="I61" s="492">
        <f>IF(A61="","Pending",IF(H61="","⚠️ Enter Code",IF(IFERROR(VLOOKUP(G61,DB_Agents!$B:$I,8,0),"")=H61,IF(AND(A61&lt;&gt;"",E61&lt;&gt;""),"Saved","Pending"),"🔒 BLOCKED — Wrong Code")))</f>
        <v/>
      </c>
      <c r="J61" s="493">
        <f>IF(I61="Saved",TEXT(TODAY(),"YYYY-MM-DD")&amp;" Auto","—")</f>
        <v/>
      </c>
      <c r="K61" s="494" t="n"/>
    </row>
    <row r="62" ht="15" customHeight="1" s="341">
      <c r="A62" s="495" t="n"/>
      <c r="B62" s="382">
        <f>IF(A62="","",IFERROR(VLOOKUP(A62,DB_Customers!$A:$D,4,0),"❌ Account Not Found"))</f>
        <v/>
      </c>
      <c r="C62" s="496">
        <f>IF(A62="","",IFERROR(VLOOKUP(A62,DB_Customers!$A:$N,14,0),""))</f>
        <v/>
      </c>
      <c r="D62" s="497">
        <f>IF(A62="","",TODAY())</f>
        <v/>
      </c>
      <c r="E62" s="489" t="n"/>
      <c r="F62" s="498">
        <f>IF(OR(A62="",E62=""),"",IF(C62="","",C62+E62))</f>
        <v/>
      </c>
      <c r="G62" s="384" t="inlineStr">
        <is>
          <t>Agent 08</t>
        </is>
      </c>
      <c r="H62" s="491" t="n"/>
      <c r="I62" s="499">
        <f>IF(A62="","Pending",IF(H62="","⚠️ Enter Code",IF(IFERROR(VLOOKUP(G62,DB_Agents!$B:$I,8,0),"")=H62,IF(AND(A62&lt;&gt;"",E62&lt;&gt;""),"Saved","Pending"),"🔒 BLOCKED — Wrong Code")))</f>
        <v/>
      </c>
      <c r="J62" s="500">
        <f>IF(I62="Saved",TEXT(TODAY(),"YYYY-MM-DD")&amp;" Auto","—")</f>
        <v/>
      </c>
      <c r="K62" s="501" t="n"/>
    </row>
    <row r="63" ht="15" customHeight="1" s="341">
      <c r="A63" s="486" t="n"/>
      <c r="B63" s="378">
        <f>IF(A63="","",IFERROR(VLOOKUP(A63,DB_Customers!$A:$D,4,0),"❌ Account Not Found"))</f>
        <v/>
      </c>
      <c r="C63" s="487">
        <f>IF(A63="","",IFERROR(VLOOKUP(A63,DB_Customers!$A:$N,14,0),""))</f>
        <v/>
      </c>
      <c r="D63" s="488">
        <f>IF(A63="","",TODAY())</f>
        <v/>
      </c>
      <c r="E63" s="489" t="n"/>
      <c r="F63" s="490">
        <f>IF(OR(A63="",E63=""),"",IF(C63="","",C63+E63))</f>
        <v/>
      </c>
      <c r="G63" s="380" t="inlineStr">
        <is>
          <t>Agent 08</t>
        </is>
      </c>
      <c r="H63" s="491" t="n"/>
      <c r="I63" s="492">
        <f>IF(A63="","Pending",IF(H63="","⚠️ Enter Code",IF(IFERROR(VLOOKUP(G63,DB_Agents!$B:$I,8,0),"")=H63,IF(AND(A63&lt;&gt;"",E63&lt;&gt;""),"Saved","Pending"),"🔒 BLOCKED — Wrong Code")))</f>
        <v/>
      </c>
      <c r="J63" s="493">
        <f>IF(I63="Saved",TEXT(TODAY(),"YYYY-MM-DD")&amp;" Auto","—")</f>
        <v/>
      </c>
      <c r="K63" s="494" t="n"/>
    </row>
    <row r="64" ht="15" customHeight="1" s="341">
      <c r="A64" s="495" t="n"/>
      <c r="B64" s="382">
        <f>IF(A64="","",IFERROR(VLOOKUP(A64,DB_Customers!$A:$D,4,0),"❌ Account Not Found"))</f>
        <v/>
      </c>
      <c r="C64" s="496">
        <f>IF(A64="","",IFERROR(VLOOKUP(A64,DB_Customers!$A:$N,14,0),""))</f>
        <v/>
      </c>
      <c r="D64" s="497">
        <f>IF(A64="","",TODAY())</f>
        <v/>
      </c>
      <c r="E64" s="489" t="n"/>
      <c r="F64" s="498">
        <f>IF(OR(A64="",E64=""),"",IF(C64="","",C64+E64))</f>
        <v/>
      </c>
      <c r="G64" s="384" t="inlineStr">
        <is>
          <t>Agent 08</t>
        </is>
      </c>
      <c r="H64" s="491" t="n"/>
      <c r="I64" s="499">
        <f>IF(A64="","Pending",IF(H64="","⚠️ Enter Code",IF(IFERROR(VLOOKUP(G64,DB_Agents!$B:$I,8,0),"")=H64,IF(AND(A64&lt;&gt;"",E64&lt;&gt;""),"Saved","Pending"),"🔒 BLOCKED — Wrong Code")))</f>
        <v/>
      </c>
      <c r="J64" s="500">
        <f>IF(I64="Saved",TEXT(TODAY(),"YYYY-MM-DD")&amp;" Auto","—")</f>
        <v/>
      </c>
      <c r="K64" s="501" t="n"/>
    </row>
    <row r="65" ht="15" customHeight="1" s="341">
      <c r="A65" s="486" t="n"/>
      <c r="B65" s="378">
        <f>IF(A65="","",IFERROR(VLOOKUP(A65,DB_Customers!$A:$D,4,0),"❌ Account Not Found"))</f>
        <v/>
      </c>
      <c r="C65" s="487">
        <f>IF(A65="","",IFERROR(VLOOKUP(A65,DB_Customers!$A:$N,14,0),""))</f>
        <v/>
      </c>
      <c r="D65" s="488">
        <f>IF(A65="","",TODAY())</f>
        <v/>
      </c>
      <c r="E65" s="489" t="n"/>
      <c r="F65" s="490">
        <f>IF(OR(A65="",E65=""),"",IF(C65="","",C65+E65))</f>
        <v/>
      </c>
      <c r="G65" s="380" t="inlineStr">
        <is>
          <t>Agent 08</t>
        </is>
      </c>
      <c r="H65" s="491" t="n"/>
      <c r="I65" s="492">
        <f>IF(A65="","Pending",IF(H65="","⚠️ Enter Code",IF(IFERROR(VLOOKUP(G65,DB_Agents!$B:$I,8,0),"")=H65,IF(AND(A65&lt;&gt;"",E65&lt;&gt;""),"Saved","Pending"),"🔒 BLOCKED — Wrong Code")))</f>
        <v/>
      </c>
      <c r="J65" s="493">
        <f>IF(I65="Saved",TEXT(TODAY(),"YYYY-MM-DD")&amp;" Auto","—")</f>
        <v/>
      </c>
      <c r="K65" s="494" t="n"/>
    </row>
    <row r="66" ht="15" customHeight="1" s="341">
      <c r="A66" s="495" t="n"/>
      <c r="B66" s="382">
        <f>IF(A66="","",IFERROR(VLOOKUP(A66,DB_Customers!$A:$D,4,0),"❌ Account Not Found"))</f>
        <v/>
      </c>
      <c r="C66" s="496">
        <f>IF(A66="","",IFERROR(VLOOKUP(A66,DB_Customers!$A:$N,14,0),""))</f>
        <v/>
      </c>
      <c r="D66" s="497">
        <f>IF(A66="","",TODAY())</f>
        <v/>
      </c>
      <c r="E66" s="489" t="n"/>
      <c r="F66" s="498">
        <f>IF(OR(A66="",E66=""),"",IF(C66="","",C66+E66))</f>
        <v/>
      </c>
      <c r="G66" s="384" t="inlineStr">
        <is>
          <t>Agent 08</t>
        </is>
      </c>
      <c r="H66" s="491" t="n"/>
      <c r="I66" s="499">
        <f>IF(A66="","Pending",IF(H66="","⚠️ Enter Code",IF(IFERROR(VLOOKUP(G66,DB_Agents!$B:$I,8,0),"")=H66,IF(AND(A66&lt;&gt;"",E66&lt;&gt;""),"Saved","Pending"),"🔒 BLOCKED — Wrong Code")))</f>
        <v/>
      </c>
      <c r="J66" s="500">
        <f>IF(I66="Saved",TEXT(TODAY(),"YYYY-MM-DD")&amp;" Auto","—")</f>
        <v/>
      </c>
      <c r="K66" s="501" t="n"/>
    </row>
    <row r="67" ht="15" customHeight="1" s="341">
      <c r="A67" s="486" t="n"/>
      <c r="B67" s="378">
        <f>IF(A67="","",IFERROR(VLOOKUP(A67,DB_Customers!$A:$D,4,0),"❌ Account Not Found"))</f>
        <v/>
      </c>
      <c r="C67" s="487">
        <f>IF(A67="","",IFERROR(VLOOKUP(A67,DB_Customers!$A:$N,14,0),""))</f>
        <v/>
      </c>
      <c r="D67" s="488">
        <f>IF(A67="","",TODAY())</f>
        <v/>
      </c>
      <c r="E67" s="489" t="n"/>
      <c r="F67" s="490">
        <f>IF(OR(A67="",E67=""),"",IF(C67="","",C67+E67))</f>
        <v/>
      </c>
      <c r="G67" s="380" t="inlineStr">
        <is>
          <t>Agent 08</t>
        </is>
      </c>
      <c r="H67" s="491" t="n"/>
      <c r="I67" s="492">
        <f>IF(A67="","Pending",IF(H67="","⚠️ Enter Code",IF(IFERROR(VLOOKUP(G67,DB_Agents!$B:$I,8,0),"")=H67,IF(AND(A67&lt;&gt;"",E67&lt;&gt;""),"Saved","Pending"),"🔒 BLOCKED — Wrong Code")))</f>
        <v/>
      </c>
      <c r="J67" s="493">
        <f>IF(I67="Saved",TEXT(TODAY(),"YYYY-MM-DD")&amp;" Auto","—")</f>
        <v/>
      </c>
      <c r="K67" s="494" t="n"/>
    </row>
    <row r="68" ht="15" customHeight="1" s="341">
      <c r="A68" s="495" t="n"/>
      <c r="B68" s="382">
        <f>IF(A68="","",IFERROR(VLOOKUP(A68,DB_Customers!$A:$D,4,0),"❌ Account Not Found"))</f>
        <v/>
      </c>
      <c r="C68" s="496">
        <f>IF(A68="","",IFERROR(VLOOKUP(A68,DB_Customers!$A:$N,14,0),""))</f>
        <v/>
      </c>
      <c r="D68" s="497">
        <f>IF(A68="","",TODAY())</f>
        <v/>
      </c>
      <c r="E68" s="489" t="n"/>
      <c r="F68" s="498">
        <f>IF(OR(A68="",E68=""),"",IF(C68="","",C68+E68))</f>
        <v/>
      </c>
      <c r="G68" s="384" t="inlineStr">
        <is>
          <t>Agent 08</t>
        </is>
      </c>
      <c r="H68" s="491" t="n"/>
      <c r="I68" s="499">
        <f>IF(A68="","Pending",IF(H68="","⚠️ Enter Code",IF(IFERROR(VLOOKUP(G68,DB_Agents!$B:$I,8,0),"")=H68,IF(AND(A68&lt;&gt;"",E68&lt;&gt;""),"Saved","Pending"),"🔒 BLOCKED — Wrong Code")))</f>
        <v/>
      </c>
      <c r="J68" s="500">
        <f>IF(I68="Saved",TEXT(TODAY(),"YYYY-MM-DD")&amp;" Auto","—")</f>
        <v/>
      </c>
      <c r="K68" s="501" t="n"/>
    </row>
    <row r="69" ht="15" customHeight="1" s="341">
      <c r="A69" s="486" t="n"/>
      <c r="B69" s="378">
        <f>IF(A69="","",IFERROR(VLOOKUP(A69,DB_Customers!$A:$D,4,0),"❌ Account Not Found"))</f>
        <v/>
      </c>
      <c r="C69" s="487">
        <f>IF(A69="","",IFERROR(VLOOKUP(A69,DB_Customers!$A:$N,14,0),""))</f>
        <v/>
      </c>
      <c r="D69" s="488">
        <f>IF(A69="","",TODAY())</f>
        <v/>
      </c>
      <c r="E69" s="489" t="n"/>
      <c r="F69" s="490">
        <f>IF(OR(A69="",E69=""),"",IF(C69="","",C69+E69))</f>
        <v/>
      </c>
      <c r="G69" s="380" t="inlineStr">
        <is>
          <t>Agent 08</t>
        </is>
      </c>
      <c r="H69" s="491" t="n"/>
      <c r="I69" s="492">
        <f>IF(A69="","Pending",IF(H69="","⚠️ Enter Code",IF(IFERROR(VLOOKUP(G69,DB_Agents!$B:$I,8,0),"")=H69,IF(AND(A69&lt;&gt;"",E69&lt;&gt;""),"Saved","Pending"),"🔒 BLOCKED — Wrong Code")))</f>
        <v/>
      </c>
      <c r="J69" s="493">
        <f>IF(I69="Saved",TEXT(TODAY(),"YYYY-MM-DD")&amp;" Auto","—")</f>
        <v/>
      </c>
      <c r="K69" s="494" t="n"/>
    </row>
    <row r="70" ht="15" customHeight="1" s="341">
      <c r="A70" s="495" t="n"/>
      <c r="B70" s="382">
        <f>IF(A70="","",IFERROR(VLOOKUP(A70,DB_Customers!$A:$D,4,0),"❌ Account Not Found"))</f>
        <v/>
      </c>
      <c r="C70" s="496">
        <f>IF(A70="","",IFERROR(VLOOKUP(A70,DB_Customers!$A:$N,14,0),""))</f>
        <v/>
      </c>
      <c r="D70" s="497">
        <f>IF(A70="","",TODAY())</f>
        <v/>
      </c>
      <c r="E70" s="489" t="n"/>
      <c r="F70" s="498">
        <f>IF(OR(A70="",E70=""),"",IF(C70="","",C70+E70))</f>
        <v/>
      </c>
      <c r="G70" s="384" t="inlineStr">
        <is>
          <t>Agent 08</t>
        </is>
      </c>
      <c r="H70" s="491" t="n"/>
      <c r="I70" s="499">
        <f>IF(A70="","Pending",IF(H70="","⚠️ Enter Code",IF(IFERROR(VLOOKUP(G70,DB_Agents!$B:$I,8,0),"")=H70,IF(AND(A70&lt;&gt;"",E70&lt;&gt;""),"Saved","Pending"),"🔒 BLOCKED — Wrong Code")))</f>
        <v/>
      </c>
      <c r="J70" s="500">
        <f>IF(I70="Saved",TEXT(TODAY(),"YYYY-MM-DD")&amp;" Auto","—")</f>
        <v/>
      </c>
      <c r="K70" s="501" t="n"/>
    </row>
    <row r="71" ht="15" customHeight="1" s="341">
      <c r="A71" s="486" t="n"/>
      <c r="B71" s="378">
        <f>IF(A71="","",IFERROR(VLOOKUP(A71,DB_Customers!$A:$D,4,0),"❌ Account Not Found"))</f>
        <v/>
      </c>
      <c r="C71" s="487">
        <f>IF(A71="","",IFERROR(VLOOKUP(A71,DB_Customers!$A:$N,14,0),""))</f>
        <v/>
      </c>
      <c r="D71" s="488">
        <f>IF(A71="","",TODAY())</f>
        <v/>
      </c>
      <c r="E71" s="489" t="n"/>
      <c r="F71" s="490">
        <f>IF(OR(A71="",E71=""),"",IF(C71="","",C71+E71))</f>
        <v/>
      </c>
      <c r="G71" s="380" t="inlineStr">
        <is>
          <t>Agent 08</t>
        </is>
      </c>
      <c r="H71" s="491" t="n"/>
      <c r="I71" s="492">
        <f>IF(A71="","Pending",IF(H71="","⚠️ Enter Code",IF(IFERROR(VLOOKUP(G71,DB_Agents!$B:$I,8,0),"")=H71,IF(AND(A71&lt;&gt;"",E71&lt;&gt;""),"Saved","Pending"),"🔒 BLOCKED — Wrong Code")))</f>
        <v/>
      </c>
      <c r="J71" s="493">
        <f>IF(I71="Saved",TEXT(TODAY(),"YYYY-MM-DD")&amp;" Auto","—")</f>
        <v/>
      </c>
      <c r="K71" s="494" t="n"/>
    </row>
    <row r="72" ht="15" customHeight="1" s="341">
      <c r="A72" s="495" t="n"/>
      <c r="B72" s="382">
        <f>IF(A72="","",IFERROR(VLOOKUP(A72,DB_Customers!$A:$D,4,0),"❌ Account Not Found"))</f>
        <v/>
      </c>
      <c r="C72" s="496">
        <f>IF(A72="","",IFERROR(VLOOKUP(A72,DB_Customers!$A:$N,14,0),""))</f>
        <v/>
      </c>
      <c r="D72" s="497">
        <f>IF(A72="","",TODAY())</f>
        <v/>
      </c>
      <c r="E72" s="489" t="n"/>
      <c r="F72" s="498">
        <f>IF(OR(A72="",E72=""),"",IF(C72="","",C72+E72))</f>
        <v/>
      </c>
      <c r="G72" s="384" t="inlineStr">
        <is>
          <t>Agent 08</t>
        </is>
      </c>
      <c r="H72" s="491" t="n"/>
      <c r="I72" s="499">
        <f>IF(A72="","Pending",IF(H72="","⚠️ Enter Code",IF(IFERROR(VLOOKUP(G72,DB_Agents!$B:$I,8,0),"")=H72,IF(AND(A72&lt;&gt;"",E72&lt;&gt;""),"Saved","Pending"),"🔒 BLOCKED — Wrong Code")))</f>
        <v/>
      </c>
      <c r="J72" s="500">
        <f>IF(I72="Saved",TEXT(TODAY(),"YYYY-MM-DD")&amp;" Auto","—")</f>
        <v/>
      </c>
      <c r="K72" s="501" t="n"/>
    </row>
    <row r="73" ht="15" customHeight="1" s="341">
      <c r="A73" s="486" t="n"/>
      <c r="B73" s="378">
        <f>IF(A73="","",IFERROR(VLOOKUP(A73,DB_Customers!$A:$D,4,0),"❌ Account Not Found"))</f>
        <v/>
      </c>
      <c r="C73" s="487">
        <f>IF(A73="","",IFERROR(VLOOKUP(A73,DB_Customers!$A:$N,14,0),""))</f>
        <v/>
      </c>
      <c r="D73" s="488">
        <f>IF(A73="","",TODAY())</f>
        <v/>
      </c>
      <c r="E73" s="489" t="n"/>
      <c r="F73" s="490">
        <f>IF(OR(A73="",E73=""),"",IF(C73="","",C73+E73))</f>
        <v/>
      </c>
      <c r="G73" s="380" t="inlineStr">
        <is>
          <t>Agent 08</t>
        </is>
      </c>
      <c r="H73" s="491" t="n"/>
      <c r="I73" s="492">
        <f>IF(A73="","Pending",IF(H73="","⚠️ Enter Code",IF(IFERROR(VLOOKUP(G73,DB_Agents!$B:$I,8,0),"")=H73,IF(AND(A73&lt;&gt;"",E73&lt;&gt;""),"Saved","Pending"),"🔒 BLOCKED — Wrong Code")))</f>
        <v/>
      </c>
      <c r="J73" s="493">
        <f>IF(I73="Saved",TEXT(TODAY(),"YYYY-MM-DD")&amp;" Auto","—")</f>
        <v/>
      </c>
      <c r="K73" s="494" t="n"/>
    </row>
    <row r="74" ht="15" customHeight="1" s="341">
      <c r="A74" s="495" t="n"/>
      <c r="B74" s="382">
        <f>IF(A74="","",IFERROR(VLOOKUP(A74,DB_Customers!$A:$D,4,0),"❌ Account Not Found"))</f>
        <v/>
      </c>
      <c r="C74" s="496">
        <f>IF(A74="","",IFERROR(VLOOKUP(A74,DB_Customers!$A:$N,14,0),""))</f>
        <v/>
      </c>
      <c r="D74" s="497">
        <f>IF(A74="","",TODAY())</f>
        <v/>
      </c>
      <c r="E74" s="489" t="n"/>
      <c r="F74" s="498">
        <f>IF(OR(A74="",E74=""),"",IF(C74="","",C74+E74))</f>
        <v/>
      </c>
      <c r="G74" s="384" t="inlineStr">
        <is>
          <t>Agent 08</t>
        </is>
      </c>
      <c r="H74" s="491" t="n"/>
      <c r="I74" s="499">
        <f>IF(A74="","Pending",IF(H74="","⚠️ Enter Code",IF(IFERROR(VLOOKUP(G74,DB_Agents!$B:$I,8,0),"")=H74,IF(AND(A74&lt;&gt;"",E74&lt;&gt;""),"Saved","Pending"),"🔒 BLOCKED — Wrong Code")))</f>
        <v/>
      </c>
      <c r="J74" s="500">
        <f>IF(I74="Saved",TEXT(TODAY(),"YYYY-MM-DD")&amp;" Auto","—")</f>
        <v/>
      </c>
      <c r="K74" s="501" t="n"/>
    </row>
    <row r="75" ht="15" customHeight="1" s="341">
      <c r="A75" s="486" t="n"/>
      <c r="B75" s="378">
        <f>IF(A75="","",IFERROR(VLOOKUP(A75,DB_Customers!$A:$D,4,0),"❌ Account Not Found"))</f>
        <v/>
      </c>
      <c r="C75" s="487">
        <f>IF(A75="","",IFERROR(VLOOKUP(A75,DB_Customers!$A:$N,14,0),""))</f>
        <v/>
      </c>
      <c r="D75" s="488">
        <f>IF(A75="","",TODAY())</f>
        <v/>
      </c>
      <c r="E75" s="489" t="n"/>
      <c r="F75" s="490">
        <f>IF(OR(A75="",E75=""),"",IF(C75="","",C75+E75))</f>
        <v/>
      </c>
      <c r="G75" s="380" t="inlineStr">
        <is>
          <t>Agent 08</t>
        </is>
      </c>
      <c r="H75" s="491" t="n"/>
      <c r="I75" s="492">
        <f>IF(A75="","Pending",IF(H75="","⚠️ Enter Code",IF(IFERROR(VLOOKUP(G75,DB_Agents!$B:$I,8,0),"")=H75,IF(AND(A75&lt;&gt;"",E75&lt;&gt;""),"Saved","Pending"),"🔒 BLOCKED — Wrong Code")))</f>
        <v/>
      </c>
      <c r="J75" s="493">
        <f>IF(I75="Saved",TEXT(TODAY(),"YYYY-MM-DD")&amp;" Auto","—")</f>
        <v/>
      </c>
      <c r="K75" s="494" t="n"/>
    </row>
    <row r="76" ht="15" customHeight="1" s="341">
      <c r="A76" s="495" t="n"/>
      <c r="B76" s="382">
        <f>IF(A76="","",IFERROR(VLOOKUP(A76,DB_Customers!$A:$D,4,0),"❌ Account Not Found"))</f>
        <v/>
      </c>
      <c r="C76" s="496">
        <f>IF(A76="","",IFERROR(VLOOKUP(A76,DB_Customers!$A:$N,14,0),""))</f>
        <v/>
      </c>
      <c r="D76" s="497">
        <f>IF(A76="","",TODAY())</f>
        <v/>
      </c>
      <c r="E76" s="489" t="n"/>
      <c r="F76" s="498">
        <f>IF(OR(A76="",E76=""),"",IF(C76="","",C76+E76))</f>
        <v/>
      </c>
      <c r="G76" s="384" t="inlineStr">
        <is>
          <t>Agent 08</t>
        </is>
      </c>
      <c r="H76" s="491" t="n"/>
      <c r="I76" s="499">
        <f>IF(A76="","Pending",IF(H76="","⚠️ Enter Code",IF(IFERROR(VLOOKUP(G76,DB_Agents!$B:$I,8,0),"")=H76,IF(AND(A76&lt;&gt;"",E76&lt;&gt;""),"Saved","Pending"),"🔒 BLOCKED — Wrong Code")))</f>
        <v/>
      </c>
      <c r="J76" s="500">
        <f>IF(I76="Saved",TEXT(TODAY(),"YYYY-MM-DD")&amp;" Auto","—")</f>
        <v/>
      </c>
      <c r="K76" s="501" t="n"/>
    </row>
    <row r="77" ht="15" customHeight="1" s="341">
      <c r="A77" s="486" t="n"/>
      <c r="B77" s="378">
        <f>IF(A77="","",IFERROR(VLOOKUP(A77,DB_Customers!$A:$D,4,0),"❌ Account Not Found"))</f>
        <v/>
      </c>
      <c r="C77" s="487">
        <f>IF(A77="","",IFERROR(VLOOKUP(A77,DB_Customers!$A:$N,14,0),""))</f>
        <v/>
      </c>
      <c r="D77" s="488">
        <f>IF(A77="","",TODAY())</f>
        <v/>
      </c>
      <c r="E77" s="489" t="n"/>
      <c r="F77" s="490">
        <f>IF(OR(A77="",E77=""),"",IF(C77="","",C77+E77))</f>
        <v/>
      </c>
      <c r="G77" s="380" t="inlineStr">
        <is>
          <t>Agent 08</t>
        </is>
      </c>
      <c r="H77" s="491" t="n"/>
      <c r="I77" s="492">
        <f>IF(A77="","Pending",IF(H77="","⚠️ Enter Code",IF(IFERROR(VLOOKUP(G77,DB_Agents!$B:$I,8,0),"")=H77,IF(AND(A77&lt;&gt;"",E77&lt;&gt;""),"Saved","Pending"),"🔒 BLOCKED — Wrong Code")))</f>
        <v/>
      </c>
      <c r="J77" s="493">
        <f>IF(I77="Saved",TEXT(TODAY(),"YYYY-MM-DD")&amp;" Auto","—")</f>
        <v/>
      </c>
      <c r="K77" s="494" t="n"/>
    </row>
    <row r="78" ht="15" customHeight="1" s="341">
      <c r="A78" s="495" t="n"/>
      <c r="B78" s="382">
        <f>IF(A78="","",IFERROR(VLOOKUP(A78,DB_Customers!$A:$D,4,0),"❌ Account Not Found"))</f>
        <v/>
      </c>
      <c r="C78" s="496">
        <f>IF(A78="","",IFERROR(VLOOKUP(A78,DB_Customers!$A:$N,14,0),""))</f>
        <v/>
      </c>
      <c r="D78" s="497">
        <f>IF(A78="","",TODAY())</f>
        <v/>
      </c>
      <c r="E78" s="489" t="n"/>
      <c r="F78" s="498">
        <f>IF(OR(A78="",E78=""),"",IF(C78="","",C78+E78))</f>
        <v/>
      </c>
      <c r="G78" s="384" t="inlineStr">
        <is>
          <t>Agent 08</t>
        </is>
      </c>
      <c r="H78" s="491" t="n"/>
      <c r="I78" s="499">
        <f>IF(A78="","Pending",IF(H78="","⚠️ Enter Code",IF(IFERROR(VLOOKUP(G78,DB_Agents!$B:$I,8,0),"")=H78,IF(AND(A78&lt;&gt;"",E78&lt;&gt;""),"Saved","Pending"),"🔒 BLOCKED — Wrong Code")))</f>
        <v/>
      </c>
      <c r="J78" s="500">
        <f>IF(I78="Saved",TEXT(TODAY(),"YYYY-MM-DD")&amp;" Auto","—")</f>
        <v/>
      </c>
      <c r="K78" s="501" t="n"/>
    </row>
    <row r="79" ht="15" customHeight="1" s="341">
      <c r="A79" s="486" t="n"/>
      <c r="B79" s="378">
        <f>IF(A79="","",IFERROR(VLOOKUP(A79,DB_Customers!$A:$D,4,0),"❌ Account Not Found"))</f>
        <v/>
      </c>
      <c r="C79" s="487">
        <f>IF(A79="","",IFERROR(VLOOKUP(A79,DB_Customers!$A:$N,14,0),""))</f>
        <v/>
      </c>
      <c r="D79" s="488">
        <f>IF(A79="","",TODAY())</f>
        <v/>
      </c>
      <c r="E79" s="489" t="n"/>
      <c r="F79" s="490">
        <f>IF(OR(A79="",E79=""),"",IF(C79="","",C79+E79))</f>
        <v/>
      </c>
      <c r="G79" s="380" t="inlineStr">
        <is>
          <t>Agent 08</t>
        </is>
      </c>
      <c r="H79" s="491" t="n"/>
      <c r="I79" s="492">
        <f>IF(A79="","Pending",IF(H79="","⚠️ Enter Code",IF(IFERROR(VLOOKUP(G79,DB_Agents!$B:$I,8,0),"")=H79,IF(AND(A79&lt;&gt;"",E79&lt;&gt;""),"Saved","Pending"),"🔒 BLOCKED — Wrong Code")))</f>
        <v/>
      </c>
      <c r="J79" s="493">
        <f>IF(I79="Saved",TEXT(TODAY(),"YYYY-MM-DD")&amp;" Auto","—")</f>
        <v/>
      </c>
      <c r="K79" s="494" t="n"/>
    </row>
    <row r="80" ht="15" customHeight="1" s="341">
      <c r="A80" s="495" t="n"/>
      <c r="B80" s="382">
        <f>IF(A80="","",IFERROR(VLOOKUP(A80,DB_Customers!$A:$D,4,0),"❌ Account Not Found"))</f>
        <v/>
      </c>
      <c r="C80" s="496">
        <f>IF(A80="","",IFERROR(VLOOKUP(A80,DB_Customers!$A:$N,14,0),""))</f>
        <v/>
      </c>
      <c r="D80" s="497">
        <f>IF(A80="","",TODAY())</f>
        <v/>
      </c>
      <c r="E80" s="489" t="n"/>
      <c r="F80" s="498">
        <f>IF(OR(A80="",E80=""),"",IF(C80="","",C80+E80))</f>
        <v/>
      </c>
      <c r="G80" s="384" t="inlineStr">
        <is>
          <t>Agent 08</t>
        </is>
      </c>
      <c r="H80" s="491" t="n"/>
      <c r="I80" s="499">
        <f>IF(A80="","Pending",IF(H80="","⚠️ Enter Code",IF(IFERROR(VLOOKUP(G80,DB_Agents!$B:$I,8,0),"")=H80,IF(AND(A80&lt;&gt;"",E80&lt;&gt;""),"Saved","Pending"),"🔒 BLOCKED — Wrong Code")))</f>
        <v/>
      </c>
      <c r="J80" s="500">
        <f>IF(I80="Saved",TEXT(TODAY(),"YYYY-MM-DD")&amp;" Auto","—")</f>
        <v/>
      </c>
      <c r="K80" s="501" t="n"/>
    </row>
    <row r="81" ht="15" customHeight="1" s="341">
      <c r="A81" s="486" t="n"/>
      <c r="B81" s="378">
        <f>IF(A81="","",IFERROR(VLOOKUP(A81,DB_Customers!$A:$D,4,0),"❌ Account Not Found"))</f>
        <v/>
      </c>
      <c r="C81" s="487">
        <f>IF(A81="","",IFERROR(VLOOKUP(A81,DB_Customers!$A:$N,14,0),""))</f>
        <v/>
      </c>
      <c r="D81" s="488">
        <f>IF(A81="","",TODAY())</f>
        <v/>
      </c>
      <c r="E81" s="489" t="n"/>
      <c r="F81" s="490">
        <f>IF(OR(A81="",E81=""),"",IF(C81="","",C81+E81))</f>
        <v/>
      </c>
      <c r="G81" s="380" t="inlineStr">
        <is>
          <t>Agent 08</t>
        </is>
      </c>
      <c r="H81" s="491" t="n"/>
      <c r="I81" s="492">
        <f>IF(A81="","Pending",IF(H81="","⚠️ Enter Code",IF(IFERROR(VLOOKUP(G81,DB_Agents!$B:$I,8,0),"")=H81,IF(AND(A81&lt;&gt;"",E81&lt;&gt;""),"Saved","Pending"),"🔒 BLOCKED — Wrong Code")))</f>
        <v/>
      </c>
      <c r="J81" s="493">
        <f>IF(I81="Saved",TEXT(TODAY(),"YYYY-MM-DD")&amp;" Auto","—")</f>
        <v/>
      </c>
      <c r="K81" s="494" t="n"/>
    </row>
    <row r="82" ht="15" customHeight="1" s="341">
      <c r="A82" s="495" t="n"/>
      <c r="B82" s="382">
        <f>IF(A82="","",IFERROR(VLOOKUP(A82,DB_Customers!$A:$D,4,0),"❌ Account Not Found"))</f>
        <v/>
      </c>
      <c r="C82" s="496">
        <f>IF(A82="","",IFERROR(VLOOKUP(A82,DB_Customers!$A:$N,14,0),""))</f>
        <v/>
      </c>
      <c r="D82" s="497">
        <f>IF(A82="","",TODAY())</f>
        <v/>
      </c>
      <c r="E82" s="489" t="n"/>
      <c r="F82" s="498">
        <f>IF(OR(A82="",E82=""),"",IF(C82="","",C82+E82))</f>
        <v/>
      </c>
      <c r="G82" s="384" t="inlineStr">
        <is>
          <t>Agent 08</t>
        </is>
      </c>
      <c r="H82" s="491" t="n"/>
      <c r="I82" s="499">
        <f>IF(A82="","Pending",IF(H82="","⚠️ Enter Code",IF(IFERROR(VLOOKUP(G82,DB_Agents!$B:$I,8,0),"")=H82,IF(AND(A82&lt;&gt;"",E82&lt;&gt;""),"Saved","Pending"),"🔒 BLOCKED — Wrong Code")))</f>
        <v/>
      </c>
      <c r="J82" s="500">
        <f>IF(I82="Saved",TEXT(TODAY(),"YYYY-MM-DD")&amp;" Auto","—")</f>
        <v/>
      </c>
      <c r="K82" s="501" t="n"/>
    </row>
    <row r="83" ht="15" customHeight="1" s="341">
      <c r="A83" s="486" t="n"/>
      <c r="B83" s="378">
        <f>IF(A83="","",IFERROR(VLOOKUP(A83,DB_Customers!$A:$D,4,0),"❌ Account Not Found"))</f>
        <v/>
      </c>
      <c r="C83" s="487">
        <f>IF(A83="","",IFERROR(VLOOKUP(A83,DB_Customers!$A:$N,14,0),""))</f>
        <v/>
      </c>
      <c r="D83" s="488">
        <f>IF(A83="","",TODAY())</f>
        <v/>
      </c>
      <c r="E83" s="489" t="n"/>
      <c r="F83" s="490">
        <f>IF(OR(A83="",E83=""),"",IF(C83="","",C83+E83))</f>
        <v/>
      </c>
      <c r="G83" s="380" t="inlineStr">
        <is>
          <t>Agent 08</t>
        </is>
      </c>
      <c r="H83" s="491" t="n"/>
      <c r="I83" s="492">
        <f>IF(A83="","Pending",IF(H83="","⚠️ Enter Code",IF(IFERROR(VLOOKUP(G83,DB_Agents!$B:$I,8,0),"")=H83,IF(AND(A83&lt;&gt;"",E83&lt;&gt;""),"Saved","Pending"),"🔒 BLOCKED — Wrong Code")))</f>
        <v/>
      </c>
      <c r="J83" s="493">
        <f>IF(I83="Saved",TEXT(TODAY(),"YYYY-MM-DD")&amp;" Auto","—")</f>
        <v/>
      </c>
      <c r="K83" s="494" t="n"/>
    </row>
    <row r="84" ht="15" customHeight="1" s="341">
      <c r="A84" s="495" t="n"/>
      <c r="B84" s="382">
        <f>IF(A84="","",IFERROR(VLOOKUP(A84,DB_Customers!$A:$D,4,0),"❌ Account Not Found"))</f>
        <v/>
      </c>
      <c r="C84" s="496">
        <f>IF(A84="","",IFERROR(VLOOKUP(A84,DB_Customers!$A:$N,14,0),""))</f>
        <v/>
      </c>
      <c r="D84" s="497">
        <f>IF(A84="","",TODAY())</f>
        <v/>
      </c>
      <c r="E84" s="489" t="n"/>
      <c r="F84" s="498">
        <f>IF(OR(A84="",E84=""),"",IF(C84="","",C84+E84))</f>
        <v/>
      </c>
      <c r="G84" s="384" t="inlineStr">
        <is>
          <t>Agent 08</t>
        </is>
      </c>
      <c r="H84" s="491" t="n"/>
      <c r="I84" s="499">
        <f>IF(A84="","Pending",IF(H84="","⚠️ Enter Code",IF(IFERROR(VLOOKUP(G84,DB_Agents!$B:$I,8,0),"")=H84,IF(AND(A84&lt;&gt;"",E84&lt;&gt;""),"Saved","Pending"),"🔒 BLOCKED — Wrong Code")))</f>
        <v/>
      </c>
      <c r="J84" s="500">
        <f>IF(I84="Saved",TEXT(TODAY(),"YYYY-MM-DD")&amp;" Auto","—")</f>
        <v/>
      </c>
      <c r="K84" s="501" t="n"/>
    </row>
    <row r="85" ht="15" customHeight="1" s="341">
      <c r="A85" s="486" t="n"/>
      <c r="B85" s="378">
        <f>IF(A85="","",IFERROR(VLOOKUP(A85,DB_Customers!$A:$D,4,0),"❌ Account Not Found"))</f>
        <v/>
      </c>
      <c r="C85" s="487">
        <f>IF(A85="","",IFERROR(VLOOKUP(A85,DB_Customers!$A:$N,14,0),""))</f>
        <v/>
      </c>
      <c r="D85" s="488">
        <f>IF(A85="","",TODAY())</f>
        <v/>
      </c>
      <c r="E85" s="489" t="n"/>
      <c r="F85" s="490">
        <f>IF(OR(A85="",E85=""),"",IF(C85="","",C85+E85))</f>
        <v/>
      </c>
      <c r="G85" s="380" t="inlineStr">
        <is>
          <t>Agent 08</t>
        </is>
      </c>
      <c r="H85" s="491" t="n"/>
      <c r="I85" s="492">
        <f>IF(A85="","Pending",IF(H85="","⚠️ Enter Code",IF(IFERROR(VLOOKUP(G85,DB_Agents!$B:$I,8,0),"")=H85,IF(AND(A85&lt;&gt;"",E85&lt;&gt;""),"Saved","Pending"),"🔒 BLOCKED — Wrong Code")))</f>
        <v/>
      </c>
      <c r="J85" s="493">
        <f>IF(I85="Saved",TEXT(TODAY(),"YYYY-MM-DD")&amp;" Auto","—")</f>
        <v/>
      </c>
      <c r="K85" s="494" t="n"/>
    </row>
    <row r="86" ht="15" customHeight="1" s="341">
      <c r="A86" s="495" t="n"/>
      <c r="B86" s="382">
        <f>IF(A86="","",IFERROR(VLOOKUP(A86,DB_Customers!$A:$D,4,0),"❌ Account Not Found"))</f>
        <v/>
      </c>
      <c r="C86" s="496">
        <f>IF(A86="","",IFERROR(VLOOKUP(A86,DB_Customers!$A:$N,14,0),""))</f>
        <v/>
      </c>
      <c r="D86" s="497">
        <f>IF(A86="","",TODAY())</f>
        <v/>
      </c>
      <c r="E86" s="489" t="n"/>
      <c r="F86" s="498">
        <f>IF(OR(A86="",E86=""),"",IF(C86="","",C86+E86))</f>
        <v/>
      </c>
      <c r="G86" s="384" t="inlineStr">
        <is>
          <t>Agent 08</t>
        </is>
      </c>
      <c r="H86" s="491" t="n"/>
      <c r="I86" s="499">
        <f>IF(A86="","Pending",IF(H86="","⚠️ Enter Code",IF(IFERROR(VLOOKUP(G86,DB_Agents!$B:$I,8,0),"")=H86,IF(AND(A86&lt;&gt;"",E86&lt;&gt;""),"Saved","Pending"),"🔒 BLOCKED — Wrong Code")))</f>
        <v/>
      </c>
      <c r="J86" s="500">
        <f>IF(I86="Saved",TEXT(TODAY(),"YYYY-MM-DD")&amp;" Auto","—")</f>
        <v/>
      </c>
      <c r="K86" s="501" t="n"/>
    </row>
    <row r="87" ht="15" customHeight="1" s="341">
      <c r="A87" s="486" t="n"/>
      <c r="B87" s="378">
        <f>IF(A87="","",IFERROR(VLOOKUP(A87,DB_Customers!$A:$D,4,0),"❌ Account Not Found"))</f>
        <v/>
      </c>
      <c r="C87" s="487">
        <f>IF(A87="","",IFERROR(VLOOKUP(A87,DB_Customers!$A:$N,14,0),""))</f>
        <v/>
      </c>
      <c r="D87" s="488">
        <f>IF(A87="","",TODAY())</f>
        <v/>
      </c>
      <c r="E87" s="489" t="n"/>
      <c r="F87" s="490">
        <f>IF(OR(A87="",E87=""),"",IF(C87="","",C87+E87))</f>
        <v/>
      </c>
      <c r="G87" s="380" t="inlineStr">
        <is>
          <t>Agent 08</t>
        </is>
      </c>
      <c r="H87" s="491" t="n"/>
      <c r="I87" s="492">
        <f>IF(A87="","Pending",IF(H87="","⚠️ Enter Code",IF(IFERROR(VLOOKUP(G87,DB_Agents!$B:$I,8,0),"")=H87,IF(AND(A87&lt;&gt;"",E87&lt;&gt;""),"Saved","Pending"),"🔒 BLOCKED — Wrong Code")))</f>
        <v/>
      </c>
      <c r="J87" s="493">
        <f>IF(I87="Saved",TEXT(TODAY(),"YYYY-MM-DD")&amp;" Auto","—")</f>
        <v/>
      </c>
      <c r="K87" s="494" t="n"/>
    </row>
    <row r="88" ht="15" customHeight="1" s="341">
      <c r="A88" s="495" t="n"/>
      <c r="B88" s="382">
        <f>IF(A88="","",IFERROR(VLOOKUP(A88,DB_Customers!$A:$D,4,0),"❌ Account Not Found"))</f>
        <v/>
      </c>
      <c r="C88" s="496">
        <f>IF(A88="","",IFERROR(VLOOKUP(A88,DB_Customers!$A:$N,14,0),""))</f>
        <v/>
      </c>
      <c r="D88" s="497">
        <f>IF(A88="","",TODAY())</f>
        <v/>
      </c>
      <c r="E88" s="489" t="n"/>
      <c r="F88" s="498">
        <f>IF(OR(A88="",E88=""),"",IF(C88="","",C88+E88))</f>
        <v/>
      </c>
      <c r="G88" s="384" t="inlineStr">
        <is>
          <t>Agent 08</t>
        </is>
      </c>
      <c r="H88" s="491" t="n"/>
      <c r="I88" s="499">
        <f>IF(A88="","Pending",IF(H88="","⚠️ Enter Code",IF(IFERROR(VLOOKUP(G88,DB_Agents!$B:$I,8,0),"")=H88,IF(AND(A88&lt;&gt;"",E88&lt;&gt;""),"Saved","Pending"),"🔒 BLOCKED — Wrong Code")))</f>
        <v/>
      </c>
      <c r="J88" s="500">
        <f>IF(I88="Saved",TEXT(TODAY(),"YYYY-MM-DD")&amp;" Auto","—")</f>
        <v/>
      </c>
      <c r="K88" s="501" t="n"/>
    </row>
    <row r="89" ht="15" customHeight="1" s="341">
      <c r="A89" s="486" t="n"/>
      <c r="B89" s="378">
        <f>IF(A89="","",IFERROR(VLOOKUP(A89,DB_Customers!$A:$D,4,0),"❌ Account Not Found"))</f>
        <v/>
      </c>
      <c r="C89" s="487">
        <f>IF(A89="","",IFERROR(VLOOKUP(A89,DB_Customers!$A:$N,14,0),""))</f>
        <v/>
      </c>
      <c r="D89" s="488">
        <f>IF(A89="","",TODAY())</f>
        <v/>
      </c>
      <c r="E89" s="489" t="n"/>
      <c r="F89" s="490">
        <f>IF(OR(A89="",E89=""),"",IF(C89="","",C89+E89))</f>
        <v/>
      </c>
      <c r="G89" s="380" t="inlineStr">
        <is>
          <t>Agent 08</t>
        </is>
      </c>
      <c r="H89" s="491" t="n"/>
      <c r="I89" s="492">
        <f>IF(A89="","Pending",IF(H89="","⚠️ Enter Code",IF(IFERROR(VLOOKUP(G89,DB_Agents!$B:$I,8,0),"")=H89,IF(AND(A89&lt;&gt;"",E89&lt;&gt;""),"Saved","Pending"),"🔒 BLOCKED — Wrong Code")))</f>
        <v/>
      </c>
      <c r="J89" s="493">
        <f>IF(I89="Saved",TEXT(TODAY(),"YYYY-MM-DD")&amp;" Auto","—")</f>
        <v/>
      </c>
      <c r="K89" s="494" t="n"/>
    </row>
    <row r="90" ht="15" customHeight="1" s="341">
      <c r="A90" s="495" t="n"/>
      <c r="B90" s="382">
        <f>IF(A90="","",IFERROR(VLOOKUP(A90,DB_Customers!$A:$D,4,0),"❌ Account Not Found"))</f>
        <v/>
      </c>
      <c r="C90" s="496">
        <f>IF(A90="","",IFERROR(VLOOKUP(A90,DB_Customers!$A:$N,14,0),""))</f>
        <v/>
      </c>
      <c r="D90" s="497">
        <f>IF(A90="","",TODAY())</f>
        <v/>
      </c>
      <c r="E90" s="489" t="n"/>
      <c r="F90" s="498">
        <f>IF(OR(A90="",E90=""),"",IF(C90="","",C90+E90))</f>
        <v/>
      </c>
      <c r="G90" s="384" t="inlineStr">
        <is>
          <t>Agent 08</t>
        </is>
      </c>
      <c r="H90" s="491" t="n"/>
      <c r="I90" s="499">
        <f>IF(A90="","Pending",IF(H90="","⚠️ Enter Code",IF(IFERROR(VLOOKUP(G90,DB_Agents!$B:$I,8,0),"")=H90,IF(AND(A90&lt;&gt;"",E90&lt;&gt;""),"Saved","Pending"),"🔒 BLOCKED — Wrong Code")))</f>
        <v/>
      </c>
      <c r="J90" s="500">
        <f>IF(I90="Saved",TEXT(TODAY(),"YYYY-MM-DD")&amp;" Auto","—")</f>
        <v/>
      </c>
      <c r="K90" s="501" t="n"/>
    </row>
    <row r="91" ht="15" customHeight="1" s="341">
      <c r="A91" s="486" t="n"/>
      <c r="B91" s="378">
        <f>IF(A91="","",IFERROR(VLOOKUP(A91,DB_Customers!$A:$D,4,0),"❌ Account Not Found"))</f>
        <v/>
      </c>
      <c r="C91" s="487">
        <f>IF(A91="","",IFERROR(VLOOKUP(A91,DB_Customers!$A:$N,14,0),""))</f>
        <v/>
      </c>
      <c r="D91" s="488">
        <f>IF(A91="","",TODAY())</f>
        <v/>
      </c>
      <c r="E91" s="489" t="n"/>
      <c r="F91" s="490">
        <f>IF(OR(A91="",E91=""),"",IF(C91="","",C91+E91))</f>
        <v/>
      </c>
      <c r="G91" s="380" t="inlineStr">
        <is>
          <t>Agent 08</t>
        </is>
      </c>
      <c r="H91" s="491" t="n"/>
      <c r="I91" s="492">
        <f>IF(A91="","Pending",IF(H91="","⚠️ Enter Code",IF(IFERROR(VLOOKUP(G91,DB_Agents!$B:$I,8,0),"")=H91,IF(AND(A91&lt;&gt;"",E91&lt;&gt;""),"Saved","Pending"),"🔒 BLOCKED — Wrong Code")))</f>
        <v/>
      </c>
      <c r="J91" s="493">
        <f>IF(I91="Saved",TEXT(TODAY(),"YYYY-MM-DD")&amp;" Auto","—")</f>
        <v/>
      </c>
      <c r="K91" s="494" t="n"/>
    </row>
    <row r="92" ht="15" customHeight="1" s="341">
      <c r="A92" s="495" t="n"/>
      <c r="B92" s="382">
        <f>IF(A92="","",IFERROR(VLOOKUP(A92,DB_Customers!$A:$D,4,0),"❌ Account Not Found"))</f>
        <v/>
      </c>
      <c r="C92" s="496">
        <f>IF(A92="","",IFERROR(VLOOKUP(A92,DB_Customers!$A:$N,14,0),""))</f>
        <v/>
      </c>
      <c r="D92" s="497">
        <f>IF(A92="","",TODAY())</f>
        <v/>
      </c>
      <c r="E92" s="489" t="n"/>
      <c r="F92" s="498">
        <f>IF(OR(A92="",E92=""),"",IF(C92="","",C92+E92))</f>
        <v/>
      </c>
      <c r="G92" s="384" t="inlineStr">
        <is>
          <t>Agent 08</t>
        </is>
      </c>
      <c r="H92" s="491" t="n"/>
      <c r="I92" s="499">
        <f>IF(A92="","Pending",IF(H92="","⚠️ Enter Code",IF(IFERROR(VLOOKUP(G92,DB_Agents!$B:$I,8,0),"")=H92,IF(AND(A92&lt;&gt;"",E92&lt;&gt;""),"Saved","Pending"),"🔒 BLOCKED — Wrong Code")))</f>
        <v/>
      </c>
      <c r="J92" s="500">
        <f>IF(I92="Saved",TEXT(TODAY(),"YYYY-MM-DD")&amp;" Auto","—")</f>
        <v/>
      </c>
      <c r="K92" s="501" t="n"/>
    </row>
    <row r="93" ht="15" customHeight="1" s="341">
      <c r="A93" s="486" t="n"/>
      <c r="B93" s="378">
        <f>IF(A93="","",IFERROR(VLOOKUP(A93,DB_Customers!$A:$D,4,0),"❌ Account Not Found"))</f>
        <v/>
      </c>
      <c r="C93" s="487">
        <f>IF(A93="","",IFERROR(VLOOKUP(A93,DB_Customers!$A:$N,14,0),""))</f>
        <v/>
      </c>
      <c r="D93" s="488">
        <f>IF(A93="","",TODAY())</f>
        <v/>
      </c>
      <c r="E93" s="489" t="n"/>
      <c r="F93" s="490">
        <f>IF(OR(A93="",E93=""),"",IF(C93="","",C93+E93))</f>
        <v/>
      </c>
      <c r="G93" s="380" t="inlineStr">
        <is>
          <t>Agent 08</t>
        </is>
      </c>
      <c r="H93" s="491" t="n"/>
      <c r="I93" s="492">
        <f>IF(A93="","Pending",IF(H93="","⚠️ Enter Code",IF(IFERROR(VLOOKUP(G93,DB_Agents!$B:$I,8,0),"")=H93,IF(AND(A93&lt;&gt;"",E93&lt;&gt;""),"Saved","Pending"),"🔒 BLOCKED — Wrong Code")))</f>
        <v/>
      </c>
      <c r="J93" s="493">
        <f>IF(I93="Saved",TEXT(TODAY(),"YYYY-MM-DD")&amp;" Auto","—")</f>
        <v/>
      </c>
      <c r="K93" s="494" t="n"/>
    </row>
    <row r="94" ht="15" customHeight="1" s="341">
      <c r="A94" s="495" t="n"/>
      <c r="B94" s="382">
        <f>IF(A94="","",IFERROR(VLOOKUP(A94,DB_Customers!$A:$D,4,0),"❌ Account Not Found"))</f>
        <v/>
      </c>
      <c r="C94" s="496">
        <f>IF(A94="","",IFERROR(VLOOKUP(A94,DB_Customers!$A:$N,14,0),""))</f>
        <v/>
      </c>
      <c r="D94" s="497">
        <f>IF(A94="","",TODAY())</f>
        <v/>
      </c>
      <c r="E94" s="489" t="n"/>
      <c r="F94" s="498">
        <f>IF(OR(A94="",E94=""),"",IF(C94="","",C94+E94))</f>
        <v/>
      </c>
      <c r="G94" s="384" t="inlineStr">
        <is>
          <t>Agent 08</t>
        </is>
      </c>
      <c r="H94" s="491" t="n"/>
      <c r="I94" s="499">
        <f>IF(A94="","Pending",IF(H94="","⚠️ Enter Code",IF(IFERROR(VLOOKUP(G94,DB_Agents!$B:$I,8,0),"")=H94,IF(AND(A94&lt;&gt;"",E94&lt;&gt;""),"Saved","Pending"),"🔒 BLOCKED — Wrong Code")))</f>
        <v/>
      </c>
      <c r="J94" s="500">
        <f>IF(I94="Saved",TEXT(TODAY(),"YYYY-MM-DD")&amp;" Auto","—")</f>
        <v/>
      </c>
      <c r="K94" s="501" t="n"/>
    </row>
    <row r="95" ht="15" customHeight="1" s="341">
      <c r="A95" s="486" t="n"/>
      <c r="B95" s="378">
        <f>IF(A95="","",IFERROR(VLOOKUP(A95,DB_Customers!$A:$D,4,0),"❌ Account Not Found"))</f>
        <v/>
      </c>
      <c r="C95" s="487">
        <f>IF(A95="","",IFERROR(VLOOKUP(A95,DB_Customers!$A:$N,14,0),""))</f>
        <v/>
      </c>
      <c r="D95" s="488">
        <f>IF(A95="","",TODAY())</f>
        <v/>
      </c>
      <c r="E95" s="489" t="n"/>
      <c r="F95" s="490">
        <f>IF(OR(A95="",E95=""),"",IF(C95="","",C95+E95))</f>
        <v/>
      </c>
      <c r="G95" s="380" t="inlineStr">
        <is>
          <t>Agent 08</t>
        </is>
      </c>
      <c r="H95" s="491" t="n"/>
      <c r="I95" s="492">
        <f>IF(A95="","Pending",IF(H95="","⚠️ Enter Code",IF(IFERROR(VLOOKUP(G95,DB_Agents!$B:$I,8,0),"")=H95,IF(AND(A95&lt;&gt;"",E95&lt;&gt;""),"Saved","Pending"),"🔒 BLOCKED — Wrong Code")))</f>
        <v/>
      </c>
      <c r="J95" s="493">
        <f>IF(I95="Saved",TEXT(TODAY(),"YYYY-MM-DD")&amp;" Auto","—")</f>
        <v/>
      </c>
      <c r="K95" s="494" t="n"/>
    </row>
    <row r="96" ht="15" customHeight="1" s="341">
      <c r="A96" s="495" t="n"/>
      <c r="B96" s="382">
        <f>IF(A96="","",IFERROR(VLOOKUP(A96,DB_Customers!$A:$D,4,0),"❌ Account Not Found"))</f>
        <v/>
      </c>
      <c r="C96" s="496">
        <f>IF(A96="","",IFERROR(VLOOKUP(A96,DB_Customers!$A:$N,14,0),""))</f>
        <v/>
      </c>
      <c r="D96" s="497">
        <f>IF(A96="","",TODAY())</f>
        <v/>
      </c>
      <c r="E96" s="489" t="n"/>
      <c r="F96" s="498">
        <f>IF(OR(A96="",E96=""),"",IF(C96="","",C96+E96))</f>
        <v/>
      </c>
      <c r="G96" s="384" t="inlineStr">
        <is>
          <t>Agent 08</t>
        </is>
      </c>
      <c r="H96" s="491" t="n"/>
      <c r="I96" s="499">
        <f>IF(A96="","Pending",IF(H96="","⚠️ Enter Code",IF(IFERROR(VLOOKUP(G96,DB_Agents!$B:$I,8,0),"")=H96,IF(AND(A96&lt;&gt;"",E96&lt;&gt;""),"Saved","Pending"),"🔒 BLOCKED — Wrong Code")))</f>
        <v/>
      </c>
      <c r="J96" s="500">
        <f>IF(I96="Saved",TEXT(TODAY(),"YYYY-MM-DD")&amp;" Auto","—")</f>
        <v/>
      </c>
      <c r="K96" s="501" t="n"/>
    </row>
    <row r="97" ht="15" customHeight="1" s="341">
      <c r="A97" s="486" t="n"/>
      <c r="B97" s="378">
        <f>IF(A97="","",IFERROR(VLOOKUP(A97,DB_Customers!$A:$D,4,0),"❌ Account Not Found"))</f>
        <v/>
      </c>
      <c r="C97" s="487">
        <f>IF(A97="","",IFERROR(VLOOKUP(A97,DB_Customers!$A:$N,14,0),""))</f>
        <v/>
      </c>
      <c r="D97" s="488">
        <f>IF(A97="","",TODAY())</f>
        <v/>
      </c>
      <c r="E97" s="489" t="n"/>
      <c r="F97" s="490">
        <f>IF(OR(A97="",E97=""),"",IF(C97="","",C97+E97))</f>
        <v/>
      </c>
      <c r="G97" s="380" t="inlineStr">
        <is>
          <t>Agent 08</t>
        </is>
      </c>
      <c r="H97" s="491" t="n"/>
      <c r="I97" s="492">
        <f>IF(A97="","Pending",IF(H97="","⚠️ Enter Code",IF(IFERROR(VLOOKUP(G97,DB_Agents!$B:$I,8,0),"")=H97,IF(AND(A97&lt;&gt;"",E97&lt;&gt;""),"Saved","Pending"),"🔒 BLOCKED — Wrong Code")))</f>
        <v/>
      </c>
      <c r="J97" s="493">
        <f>IF(I97="Saved",TEXT(TODAY(),"YYYY-MM-DD")&amp;" Auto","—")</f>
        <v/>
      </c>
      <c r="K97" s="494" t="n"/>
    </row>
    <row r="98" ht="15" customHeight="1" s="341">
      <c r="A98" s="495" t="n"/>
      <c r="B98" s="382">
        <f>IF(A98="","",IFERROR(VLOOKUP(A98,DB_Customers!$A:$D,4,0),"❌ Account Not Found"))</f>
        <v/>
      </c>
      <c r="C98" s="496">
        <f>IF(A98="","",IFERROR(VLOOKUP(A98,DB_Customers!$A:$N,14,0),""))</f>
        <v/>
      </c>
      <c r="D98" s="497">
        <f>IF(A98="","",TODAY())</f>
        <v/>
      </c>
      <c r="E98" s="489" t="n"/>
      <c r="F98" s="498">
        <f>IF(OR(A98="",E98=""),"",IF(C98="","",C98+E98))</f>
        <v/>
      </c>
      <c r="G98" s="384" t="inlineStr">
        <is>
          <t>Agent 08</t>
        </is>
      </c>
      <c r="H98" s="491" t="n"/>
      <c r="I98" s="499">
        <f>IF(A98="","Pending",IF(H98="","⚠️ Enter Code",IF(IFERROR(VLOOKUP(G98,DB_Agents!$B:$I,8,0),"")=H98,IF(AND(A98&lt;&gt;"",E98&lt;&gt;""),"Saved","Pending"),"🔒 BLOCKED — Wrong Code")))</f>
        <v/>
      </c>
      <c r="J98" s="500">
        <f>IF(I98="Saved",TEXT(TODAY(),"YYYY-MM-DD")&amp;" Auto","—")</f>
        <v/>
      </c>
      <c r="K98" s="501" t="n"/>
    </row>
    <row r="99" ht="15" customHeight="1" s="341">
      <c r="A99" s="486" t="n"/>
      <c r="B99" s="378">
        <f>IF(A99="","",IFERROR(VLOOKUP(A99,DB_Customers!$A:$D,4,0),"❌ Account Not Found"))</f>
        <v/>
      </c>
      <c r="C99" s="487">
        <f>IF(A99="","",IFERROR(VLOOKUP(A99,DB_Customers!$A:$N,14,0),""))</f>
        <v/>
      </c>
      <c r="D99" s="488">
        <f>IF(A99="","",TODAY())</f>
        <v/>
      </c>
      <c r="E99" s="489" t="n"/>
      <c r="F99" s="490">
        <f>IF(OR(A99="",E99=""),"",IF(C99="","",C99+E99))</f>
        <v/>
      </c>
      <c r="G99" s="380" t="inlineStr">
        <is>
          <t>Agent 08</t>
        </is>
      </c>
      <c r="H99" s="491" t="n"/>
      <c r="I99" s="492">
        <f>IF(A99="","Pending",IF(H99="","⚠️ Enter Code",IF(IFERROR(VLOOKUP(G99,DB_Agents!$B:$I,8,0),"")=H99,IF(AND(A99&lt;&gt;"",E99&lt;&gt;""),"Saved","Pending"),"🔒 BLOCKED — Wrong Code")))</f>
        <v/>
      </c>
      <c r="J99" s="493">
        <f>IF(I99="Saved",TEXT(TODAY(),"YYYY-MM-DD")&amp;" Auto","—")</f>
        <v/>
      </c>
      <c r="K99" s="494" t="n"/>
    </row>
    <row r="100" ht="15" customHeight="1" s="341">
      <c r="A100" s="495" t="n"/>
      <c r="B100" s="382">
        <f>IF(A100="","",IFERROR(VLOOKUP(A100,DB_Customers!$A:$D,4,0),"❌ Account Not Found"))</f>
        <v/>
      </c>
      <c r="C100" s="496">
        <f>IF(A100="","",IFERROR(VLOOKUP(A100,DB_Customers!$A:$N,14,0),""))</f>
        <v/>
      </c>
      <c r="D100" s="497">
        <f>IF(A100="","",TODAY())</f>
        <v/>
      </c>
      <c r="E100" s="489" t="n"/>
      <c r="F100" s="498">
        <f>IF(OR(A100="",E100=""),"",IF(C100="","",C100+E100))</f>
        <v/>
      </c>
      <c r="G100" s="384" t="inlineStr">
        <is>
          <t>Agent 08</t>
        </is>
      </c>
      <c r="H100" s="491" t="n"/>
      <c r="I100" s="499">
        <f>IF(A100="","Pending",IF(H100="","⚠️ Enter Code",IF(IFERROR(VLOOKUP(G100,DB_Agents!$B:$I,8,0),"")=H100,IF(AND(A100&lt;&gt;"",E100&lt;&gt;""),"Saved","Pending"),"🔒 BLOCKED — Wrong Code")))</f>
        <v/>
      </c>
      <c r="J100" s="500">
        <f>IF(I100="Saved",TEXT(TODAY(),"YYYY-MM-DD")&amp;" Auto","—")</f>
        <v/>
      </c>
      <c r="K100" s="501" t="n"/>
    </row>
    <row r="101" ht="15" customHeight="1" s="341">
      <c r="A101" s="486" t="n"/>
      <c r="B101" s="378">
        <f>IF(A101="","",IFERROR(VLOOKUP(A101,DB_Customers!$A:$D,4,0),"❌ Account Not Found"))</f>
        <v/>
      </c>
      <c r="C101" s="487">
        <f>IF(A101="","",IFERROR(VLOOKUP(A101,DB_Customers!$A:$N,14,0),""))</f>
        <v/>
      </c>
      <c r="D101" s="488">
        <f>IF(A101="","",TODAY())</f>
        <v/>
      </c>
      <c r="E101" s="489" t="n"/>
      <c r="F101" s="490">
        <f>IF(OR(A101="",E101=""),"",IF(C101="","",C101+E101))</f>
        <v/>
      </c>
      <c r="G101" s="380" t="inlineStr">
        <is>
          <t>Agent 08</t>
        </is>
      </c>
      <c r="H101" s="491" t="n"/>
      <c r="I101" s="492">
        <f>IF(A101="","Pending",IF(H101="","⚠️ Enter Code",IF(IFERROR(VLOOKUP(G101,DB_Agents!$B:$I,8,0),"")=H101,IF(AND(A101&lt;&gt;"",E101&lt;&gt;""),"Saved","Pending"),"🔒 BLOCKED — Wrong Code")))</f>
        <v/>
      </c>
      <c r="J101" s="493">
        <f>IF(I101="Saved",TEXT(TODAY(),"YYYY-MM-DD")&amp;" Auto","—")</f>
        <v/>
      </c>
      <c r="K101" s="494" t="n"/>
    </row>
    <row r="102" ht="15" customHeight="1" s="341">
      <c r="A102" s="495" t="n"/>
      <c r="B102" s="382">
        <f>IF(A102="","",IFERROR(VLOOKUP(A102,DB_Customers!$A:$D,4,0),"❌ Account Not Found"))</f>
        <v/>
      </c>
      <c r="C102" s="496">
        <f>IF(A102="","",IFERROR(VLOOKUP(A102,DB_Customers!$A:$N,14,0),""))</f>
        <v/>
      </c>
      <c r="D102" s="497">
        <f>IF(A102="","",TODAY())</f>
        <v/>
      </c>
      <c r="E102" s="489" t="n"/>
      <c r="F102" s="498">
        <f>IF(OR(A102="",E102=""),"",IF(C102="","",C102+E102))</f>
        <v/>
      </c>
      <c r="G102" s="384" t="inlineStr">
        <is>
          <t>Agent 08</t>
        </is>
      </c>
      <c r="H102" s="491" t="n"/>
      <c r="I102" s="499">
        <f>IF(A102="","Pending",IF(H102="","⚠️ Enter Code",IF(IFERROR(VLOOKUP(G102,DB_Agents!$B:$I,8,0),"")=H102,IF(AND(A102&lt;&gt;"",E102&lt;&gt;""),"Saved","Pending"),"🔒 BLOCKED — Wrong Code")))</f>
        <v/>
      </c>
      <c r="J102" s="500">
        <f>IF(I102="Saved",TEXT(TODAY(),"YYYY-MM-DD")&amp;" Auto","—")</f>
        <v/>
      </c>
      <c r="K102" s="501" t="n"/>
    </row>
    <row r="103" ht="15" customHeight="1" s="341">
      <c r="A103" s="486" t="n"/>
      <c r="B103" s="378">
        <f>IF(A103="","",IFERROR(VLOOKUP(A103,DB_Customers!$A:$D,4,0),"❌ Account Not Found"))</f>
        <v/>
      </c>
      <c r="C103" s="487">
        <f>IF(A103="","",IFERROR(VLOOKUP(A103,DB_Customers!$A:$N,14,0),""))</f>
        <v/>
      </c>
      <c r="D103" s="488">
        <f>IF(A103="","",TODAY())</f>
        <v/>
      </c>
      <c r="E103" s="489" t="n"/>
      <c r="F103" s="490">
        <f>IF(OR(A103="",E103=""),"",IF(C103="","",C103+E103))</f>
        <v/>
      </c>
      <c r="G103" s="380" t="inlineStr">
        <is>
          <t>Agent 08</t>
        </is>
      </c>
      <c r="H103" s="491" t="n"/>
      <c r="I103" s="492">
        <f>IF(A103="","Pending",IF(H103="","⚠️ Enter Code",IF(IFERROR(VLOOKUP(G103,DB_Agents!$B:$I,8,0),"")=H103,IF(AND(A103&lt;&gt;"",E103&lt;&gt;""),"Saved","Pending"),"🔒 BLOCKED — Wrong Code")))</f>
        <v/>
      </c>
      <c r="J103" s="493">
        <f>IF(I103="Saved",TEXT(TODAY(),"YYYY-MM-DD")&amp;" Auto","—")</f>
        <v/>
      </c>
      <c r="K103" s="494" t="n"/>
    </row>
    <row r="104" ht="15" customHeight="1" s="341">
      <c r="A104" s="495" t="n"/>
      <c r="B104" s="382">
        <f>IF(A104="","",IFERROR(VLOOKUP(A104,DB_Customers!$A:$D,4,0),"❌ Account Not Found"))</f>
        <v/>
      </c>
      <c r="C104" s="496">
        <f>IF(A104="","",IFERROR(VLOOKUP(A104,DB_Customers!$A:$N,14,0),""))</f>
        <v/>
      </c>
      <c r="D104" s="497">
        <f>IF(A104="","",TODAY())</f>
        <v/>
      </c>
      <c r="E104" s="489" t="n"/>
      <c r="F104" s="498">
        <f>IF(OR(A104="",E104=""),"",IF(C104="","",C104+E104))</f>
        <v/>
      </c>
      <c r="G104" s="384" t="inlineStr">
        <is>
          <t>Agent 08</t>
        </is>
      </c>
      <c r="H104" s="491" t="n"/>
      <c r="I104" s="499">
        <f>IF(A104="","Pending",IF(H104="","⚠️ Enter Code",IF(IFERROR(VLOOKUP(G104,DB_Agents!$B:$I,8,0),"")=H104,IF(AND(A104&lt;&gt;"",E104&lt;&gt;""),"Saved","Pending"),"🔒 BLOCKED — Wrong Code")))</f>
        <v/>
      </c>
      <c r="J104" s="500">
        <f>IF(I104="Saved",TEXT(TODAY(),"YYYY-MM-DD")&amp;" Auto","—")</f>
        <v/>
      </c>
      <c r="K104" s="501" t="n"/>
    </row>
    <row r="105" ht="15" customHeight="1" s="341">
      <c r="A105" s="486" t="n"/>
      <c r="B105" s="378">
        <f>IF(A105="","",IFERROR(VLOOKUP(A105,DB_Customers!$A:$D,4,0),"❌ Account Not Found"))</f>
        <v/>
      </c>
      <c r="C105" s="487">
        <f>IF(A105="","",IFERROR(VLOOKUP(A105,DB_Customers!$A:$N,14,0),""))</f>
        <v/>
      </c>
      <c r="D105" s="488">
        <f>IF(A105="","",TODAY())</f>
        <v/>
      </c>
      <c r="E105" s="489" t="n"/>
      <c r="F105" s="490">
        <f>IF(OR(A105="",E105=""),"",IF(C105="","",C105+E105))</f>
        <v/>
      </c>
      <c r="G105" s="380" t="inlineStr">
        <is>
          <t>Agent 08</t>
        </is>
      </c>
      <c r="H105" s="491" t="n"/>
      <c r="I105" s="492">
        <f>IF(A105="","Pending",IF(H105="","⚠️ Enter Code",IF(IFERROR(VLOOKUP(G105,DB_Agents!$B:$I,8,0),"")=H105,IF(AND(A105&lt;&gt;"",E105&lt;&gt;""),"Saved","Pending"),"🔒 BLOCKED — Wrong Code")))</f>
        <v/>
      </c>
      <c r="J105" s="493">
        <f>IF(I105="Saved",TEXT(TODAY(),"YYYY-MM-DD")&amp;" Auto","—")</f>
        <v/>
      </c>
      <c r="K105" s="494" t="n"/>
    </row>
    <row r="106" ht="15" customHeight="1" s="341">
      <c r="A106" s="495" t="n"/>
      <c r="B106" s="382">
        <f>IF(A106="","",IFERROR(VLOOKUP(A106,DB_Customers!$A:$D,4,0),"❌ Account Not Found"))</f>
        <v/>
      </c>
      <c r="C106" s="496">
        <f>IF(A106="","",IFERROR(VLOOKUP(A106,DB_Customers!$A:$N,14,0),""))</f>
        <v/>
      </c>
      <c r="D106" s="497">
        <f>IF(A106="","",TODAY())</f>
        <v/>
      </c>
      <c r="E106" s="489" t="n"/>
      <c r="F106" s="498">
        <f>IF(OR(A106="",E106=""),"",IF(C106="","",C106+E106))</f>
        <v/>
      </c>
      <c r="G106" s="384" t="inlineStr">
        <is>
          <t>Agent 08</t>
        </is>
      </c>
      <c r="H106" s="491" t="n"/>
      <c r="I106" s="499">
        <f>IF(A106="","Pending",IF(H106="","⚠️ Enter Code",IF(IFERROR(VLOOKUP(G106,DB_Agents!$B:$I,8,0),"")=H106,IF(AND(A106&lt;&gt;"",E106&lt;&gt;""),"Saved","Pending"),"🔒 BLOCKED — Wrong Code")))</f>
        <v/>
      </c>
      <c r="J106" s="500">
        <f>IF(I106="Saved",TEXT(TODAY(),"YYYY-MM-DD")&amp;" Auto","—")</f>
        <v/>
      </c>
      <c r="K106" s="501" t="n"/>
    </row>
    <row r="107" ht="15" customHeight="1" s="341">
      <c r="A107" s="486" t="n"/>
      <c r="B107" s="378">
        <f>IF(A107="","",IFERROR(VLOOKUP(A107,DB_Customers!$A:$D,4,0),"❌ Account Not Found"))</f>
        <v/>
      </c>
      <c r="C107" s="487">
        <f>IF(A107="","",IFERROR(VLOOKUP(A107,DB_Customers!$A:$N,14,0),""))</f>
        <v/>
      </c>
      <c r="D107" s="488">
        <f>IF(A107="","",TODAY())</f>
        <v/>
      </c>
      <c r="E107" s="489" t="n"/>
      <c r="F107" s="490">
        <f>IF(OR(A107="",E107=""),"",IF(C107="","",C107+E107))</f>
        <v/>
      </c>
      <c r="G107" s="380" t="inlineStr">
        <is>
          <t>Agent 08</t>
        </is>
      </c>
      <c r="H107" s="491" t="n"/>
      <c r="I107" s="492">
        <f>IF(A107="","Pending",IF(H107="","⚠️ Enter Code",IF(IFERROR(VLOOKUP(G107,DB_Agents!$B:$I,8,0),"")=H107,IF(AND(A107&lt;&gt;"",E107&lt;&gt;""),"Saved","Pending"),"🔒 BLOCKED — Wrong Code")))</f>
        <v/>
      </c>
      <c r="J107" s="493">
        <f>IF(I107="Saved",TEXT(TODAY(),"YYYY-MM-DD")&amp;" Auto","—")</f>
        <v/>
      </c>
      <c r="K107" s="494" t="n"/>
    </row>
    <row r="108" ht="15" customHeight="1" s="341">
      <c r="A108" s="495" t="n"/>
      <c r="B108" s="382">
        <f>IF(A108="","",IFERROR(VLOOKUP(A108,DB_Customers!$A:$D,4,0),"❌ Account Not Found"))</f>
        <v/>
      </c>
      <c r="C108" s="496">
        <f>IF(A108="","",IFERROR(VLOOKUP(A108,DB_Customers!$A:$N,14,0),""))</f>
        <v/>
      </c>
      <c r="D108" s="497">
        <f>IF(A108="","",TODAY())</f>
        <v/>
      </c>
      <c r="E108" s="489" t="n"/>
      <c r="F108" s="498">
        <f>IF(OR(A108="",E108=""),"",IF(C108="","",C108+E108))</f>
        <v/>
      </c>
      <c r="G108" s="384" t="inlineStr">
        <is>
          <t>Agent 08</t>
        </is>
      </c>
      <c r="H108" s="491" t="n"/>
      <c r="I108" s="499">
        <f>IF(A108="","Pending",IF(H108="","⚠️ Enter Code",IF(IFERROR(VLOOKUP(G108,DB_Agents!$B:$I,8,0),"")=H108,IF(AND(A108&lt;&gt;"",E108&lt;&gt;""),"Saved","Pending"),"🔒 BLOCKED — Wrong Code")))</f>
        <v/>
      </c>
      <c r="J108" s="500">
        <f>IF(I108="Saved",TEXT(TODAY(),"YYYY-MM-DD")&amp;" Auto","—")</f>
        <v/>
      </c>
      <c r="K108" s="501" t="n"/>
    </row>
    <row r="109" ht="15" customHeight="1" s="341">
      <c r="A109" s="486" t="n"/>
      <c r="B109" s="378">
        <f>IF(A109="","",IFERROR(VLOOKUP(A109,DB_Customers!$A:$D,4,0),"❌ Account Not Found"))</f>
        <v/>
      </c>
      <c r="C109" s="487">
        <f>IF(A109="","",IFERROR(VLOOKUP(A109,DB_Customers!$A:$N,14,0),""))</f>
        <v/>
      </c>
      <c r="D109" s="488">
        <f>IF(A109="","",TODAY())</f>
        <v/>
      </c>
      <c r="E109" s="489" t="n"/>
      <c r="F109" s="490">
        <f>IF(OR(A109="",E109=""),"",IF(C109="","",C109+E109))</f>
        <v/>
      </c>
      <c r="G109" s="380" t="inlineStr">
        <is>
          <t>Agent 08</t>
        </is>
      </c>
      <c r="H109" s="491" t="n"/>
      <c r="I109" s="492">
        <f>IF(A109="","Pending",IF(H109="","⚠️ Enter Code",IF(IFERROR(VLOOKUP(G109,DB_Agents!$B:$I,8,0),"")=H109,IF(AND(A109&lt;&gt;"",E109&lt;&gt;""),"Saved","Pending"),"🔒 BLOCKED — Wrong Code")))</f>
        <v/>
      </c>
      <c r="J109" s="493">
        <f>IF(I109="Saved",TEXT(TODAY(),"YYYY-MM-DD")&amp;" Auto","—")</f>
        <v/>
      </c>
      <c r="K109" s="494" t="n"/>
    </row>
    <row r="110" ht="15" customHeight="1" s="341">
      <c r="A110" s="495" t="n"/>
      <c r="B110" s="382">
        <f>IF(A110="","",IFERROR(VLOOKUP(A110,DB_Customers!$A:$D,4,0),"❌ Account Not Found"))</f>
        <v/>
      </c>
      <c r="C110" s="496">
        <f>IF(A110="","",IFERROR(VLOOKUP(A110,DB_Customers!$A:$N,14,0),""))</f>
        <v/>
      </c>
      <c r="D110" s="497">
        <f>IF(A110="","",TODAY())</f>
        <v/>
      </c>
      <c r="E110" s="489" t="n"/>
      <c r="F110" s="498">
        <f>IF(OR(A110="",E110=""),"",IF(C110="","",C110+E110))</f>
        <v/>
      </c>
      <c r="G110" s="384" t="inlineStr">
        <is>
          <t>Agent 08</t>
        </is>
      </c>
      <c r="H110" s="491" t="n"/>
      <c r="I110" s="499">
        <f>IF(A110="","Pending",IF(H110="","⚠️ Enter Code",IF(IFERROR(VLOOKUP(G110,DB_Agents!$B:$I,8,0),"")=H110,IF(AND(A110&lt;&gt;"",E110&lt;&gt;""),"Saved","Pending"),"🔒 BLOCKED — Wrong Code")))</f>
        <v/>
      </c>
      <c r="J110" s="500">
        <f>IF(I110="Saved",TEXT(TODAY(),"YYYY-MM-DD")&amp;" Auto","—")</f>
        <v/>
      </c>
      <c r="K110" s="501" t="n"/>
    </row>
    <row r="111" ht="15" customHeight="1" s="341">
      <c r="A111" s="486" t="n"/>
      <c r="B111" s="378">
        <f>IF(A111="","",IFERROR(VLOOKUP(A111,DB_Customers!$A:$D,4,0),"❌ Account Not Found"))</f>
        <v/>
      </c>
      <c r="C111" s="487">
        <f>IF(A111="","",IFERROR(VLOOKUP(A111,DB_Customers!$A:$N,14,0),""))</f>
        <v/>
      </c>
      <c r="D111" s="488">
        <f>IF(A111="","",TODAY())</f>
        <v/>
      </c>
      <c r="E111" s="489" t="n"/>
      <c r="F111" s="490">
        <f>IF(OR(A111="",E111=""),"",IF(C111="","",C111+E111))</f>
        <v/>
      </c>
      <c r="G111" s="380" t="inlineStr">
        <is>
          <t>Agent 08</t>
        </is>
      </c>
      <c r="H111" s="491" t="n"/>
      <c r="I111" s="492">
        <f>IF(A111="","Pending",IF(H111="","⚠️ Enter Code",IF(IFERROR(VLOOKUP(G111,DB_Agents!$B:$I,8,0),"")=H111,IF(AND(A111&lt;&gt;"",E111&lt;&gt;""),"Saved","Pending"),"🔒 BLOCKED — Wrong Code")))</f>
        <v/>
      </c>
      <c r="J111" s="493">
        <f>IF(I111="Saved",TEXT(TODAY(),"YYYY-MM-DD")&amp;" Auto","—")</f>
        <v/>
      </c>
      <c r="K111" s="494" t="n"/>
    </row>
    <row r="112" ht="15" customHeight="1" s="341">
      <c r="A112" s="495" t="n"/>
      <c r="B112" s="382">
        <f>IF(A112="","",IFERROR(VLOOKUP(A112,DB_Customers!$A:$D,4,0),"❌ Account Not Found"))</f>
        <v/>
      </c>
      <c r="C112" s="496">
        <f>IF(A112="","",IFERROR(VLOOKUP(A112,DB_Customers!$A:$N,14,0),""))</f>
        <v/>
      </c>
      <c r="D112" s="497">
        <f>IF(A112="","",TODAY())</f>
        <v/>
      </c>
      <c r="E112" s="489" t="n"/>
      <c r="F112" s="498">
        <f>IF(OR(A112="",E112=""),"",IF(C112="","",C112+E112))</f>
        <v/>
      </c>
      <c r="G112" s="384" t="inlineStr">
        <is>
          <t>Agent 08</t>
        </is>
      </c>
      <c r="H112" s="491" t="n"/>
      <c r="I112" s="499">
        <f>IF(A112="","Pending",IF(H112="","⚠️ Enter Code",IF(IFERROR(VLOOKUP(G112,DB_Agents!$B:$I,8,0),"")=H112,IF(AND(A112&lt;&gt;"",E112&lt;&gt;""),"Saved","Pending"),"🔒 BLOCKED — Wrong Code")))</f>
        <v/>
      </c>
      <c r="J112" s="500">
        <f>IF(I112="Saved",TEXT(TODAY(),"YYYY-MM-DD")&amp;" Auto","—")</f>
        <v/>
      </c>
      <c r="K112" s="501" t="n"/>
    </row>
    <row r="113" ht="15" customHeight="1" s="341">
      <c r="A113" s="486" t="n"/>
      <c r="B113" s="378">
        <f>IF(A113="","",IFERROR(VLOOKUP(A113,DB_Customers!$A:$D,4,0),"❌ Account Not Found"))</f>
        <v/>
      </c>
      <c r="C113" s="487">
        <f>IF(A113="","",IFERROR(VLOOKUP(A113,DB_Customers!$A:$N,14,0),""))</f>
        <v/>
      </c>
      <c r="D113" s="488">
        <f>IF(A113="","",TODAY())</f>
        <v/>
      </c>
      <c r="E113" s="489" t="n"/>
      <c r="F113" s="490">
        <f>IF(OR(A113="",E113=""),"",IF(C113="","",C113+E113))</f>
        <v/>
      </c>
      <c r="G113" s="380" t="inlineStr">
        <is>
          <t>Agent 08</t>
        </is>
      </c>
      <c r="H113" s="491" t="n"/>
      <c r="I113" s="492">
        <f>IF(A113="","Pending",IF(H113="","⚠️ Enter Code",IF(IFERROR(VLOOKUP(G113,DB_Agents!$B:$I,8,0),"")=H113,IF(AND(A113&lt;&gt;"",E113&lt;&gt;""),"Saved","Pending"),"🔒 BLOCKED — Wrong Code")))</f>
        <v/>
      </c>
      <c r="J113" s="493">
        <f>IF(I113="Saved",TEXT(TODAY(),"YYYY-MM-DD")&amp;" Auto","—")</f>
        <v/>
      </c>
      <c r="K113" s="494" t="n"/>
    </row>
    <row r="114" ht="15" customHeight="1" s="341">
      <c r="A114" s="495" t="n"/>
      <c r="B114" s="382">
        <f>IF(A114="","",IFERROR(VLOOKUP(A114,DB_Customers!$A:$D,4,0),"❌ Account Not Found"))</f>
        <v/>
      </c>
      <c r="C114" s="496">
        <f>IF(A114="","",IFERROR(VLOOKUP(A114,DB_Customers!$A:$N,14,0),""))</f>
        <v/>
      </c>
      <c r="D114" s="497">
        <f>IF(A114="","",TODAY())</f>
        <v/>
      </c>
      <c r="E114" s="489" t="n"/>
      <c r="F114" s="498">
        <f>IF(OR(A114="",E114=""),"",IF(C114="","",C114+E114))</f>
        <v/>
      </c>
      <c r="G114" s="384" t="inlineStr">
        <is>
          <t>Agent 08</t>
        </is>
      </c>
      <c r="H114" s="491" t="n"/>
      <c r="I114" s="499">
        <f>IF(A114="","Pending",IF(H114="","⚠️ Enter Code",IF(IFERROR(VLOOKUP(G114,DB_Agents!$B:$I,8,0),"")=H114,IF(AND(A114&lt;&gt;"",E114&lt;&gt;""),"Saved","Pending"),"🔒 BLOCKED — Wrong Code")))</f>
        <v/>
      </c>
      <c r="J114" s="500">
        <f>IF(I114="Saved",TEXT(TODAY(),"YYYY-MM-DD")&amp;" Auto","—")</f>
        <v/>
      </c>
      <c r="K114" s="501" t="n"/>
    </row>
    <row r="115" ht="15" customHeight="1" s="341">
      <c r="A115" s="486" t="n"/>
      <c r="B115" s="378">
        <f>IF(A115="","",IFERROR(VLOOKUP(A115,DB_Customers!$A:$D,4,0),"❌ Account Not Found"))</f>
        <v/>
      </c>
      <c r="C115" s="487">
        <f>IF(A115="","",IFERROR(VLOOKUP(A115,DB_Customers!$A:$N,14,0),""))</f>
        <v/>
      </c>
      <c r="D115" s="488">
        <f>IF(A115="","",TODAY())</f>
        <v/>
      </c>
      <c r="E115" s="489" t="n"/>
      <c r="F115" s="490">
        <f>IF(OR(A115="",E115=""),"",IF(C115="","",C115+E115))</f>
        <v/>
      </c>
      <c r="G115" s="380" t="inlineStr">
        <is>
          <t>Agent 08</t>
        </is>
      </c>
      <c r="H115" s="491" t="n"/>
      <c r="I115" s="492">
        <f>IF(A115="","Pending",IF(H115="","⚠️ Enter Code",IF(IFERROR(VLOOKUP(G115,DB_Agents!$B:$I,8,0),"")=H115,IF(AND(A115&lt;&gt;"",E115&lt;&gt;""),"Saved","Pending"),"🔒 BLOCKED — Wrong Code")))</f>
        <v/>
      </c>
      <c r="J115" s="493">
        <f>IF(I115="Saved",TEXT(TODAY(),"YYYY-MM-DD")&amp;" Auto","—")</f>
        <v/>
      </c>
      <c r="K115" s="494" t="n"/>
    </row>
    <row r="116" ht="15" customHeight="1" s="341">
      <c r="A116" s="495" t="n"/>
      <c r="B116" s="382">
        <f>IF(A116="","",IFERROR(VLOOKUP(A116,DB_Customers!$A:$D,4,0),"❌ Account Not Found"))</f>
        <v/>
      </c>
      <c r="C116" s="496">
        <f>IF(A116="","",IFERROR(VLOOKUP(A116,DB_Customers!$A:$N,14,0),""))</f>
        <v/>
      </c>
      <c r="D116" s="497">
        <f>IF(A116="","",TODAY())</f>
        <v/>
      </c>
      <c r="E116" s="489" t="n"/>
      <c r="F116" s="498">
        <f>IF(OR(A116="",E116=""),"",IF(C116="","",C116+E116))</f>
        <v/>
      </c>
      <c r="G116" s="384" t="inlineStr">
        <is>
          <t>Agent 08</t>
        </is>
      </c>
      <c r="H116" s="491" t="n"/>
      <c r="I116" s="499">
        <f>IF(A116="","Pending",IF(H116="","⚠️ Enter Code",IF(IFERROR(VLOOKUP(G116,DB_Agents!$B:$I,8,0),"")=H116,IF(AND(A116&lt;&gt;"",E116&lt;&gt;""),"Saved","Pending"),"🔒 BLOCKED — Wrong Code")))</f>
        <v/>
      </c>
      <c r="J116" s="500">
        <f>IF(I116="Saved",TEXT(TODAY(),"YYYY-MM-DD")&amp;" Auto","—")</f>
        <v/>
      </c>
      <c r="K116" s="501" t="n"/>
    </row>
    <row r="117" ht="15" customHeight="1" s="341">
      <c r="A117" s="486" t="n"/>
      <c r="B117" s="378">
        <f>IF(A117="","",IFERROR(VLOOKUP(A117,DB_Customers!$A:$D,4,0),"❌ Account Not Found"))</f>
        <v/>
      </c>
      <c r="C117" s="487">
        <f>IF(A117="","",IFERROR(VLOOKUP(A117,DB_Customers!$A:$N,14,0),""))</f>
        <v/>
      </c>
      <c r="D117" s="488">
        <f>IF(A117="","",TODAY())</f>
        <v/>
      </c>
      <c r="E117" s="489" t="n"/>
      <c r="F117" s="490">
        <f>IF(OR(A117="",E117=""),"",IF(C117="","",C117+E117))</f>
        <v/>
      </c>
      <c r="G117" s="380" t="inlineStr">
        <is>
          <t>Agent 08</t>
        </is>
      </c>
      <c r="H117" s="491" t="n"/>
      <c r="I117" s="492">
        <f>IF(A117="","Pending",IF(H117="","⚠️ Enter Code",IF(IFERROR(VLOOKUP(G117,DB_Agents!$B:$I,8,0),"")=H117,IF(AND(A117&lt;&gt;"",E117&lt;&gt;""),"Saved","Pending"),"🔒 BLOCKED — Wrong Code")))</f>
        <v/>
      </c>
      <c r="J117" s="493">
        <f>IF(I117="Saved",TEXT(TODAY(),"YYYY-MM-DD")&amp;" Auto","—")</f>
        <v/>
      </c>
      <c r="K117" s="494" t="n"/>
    </row>
    <row r="118" ht="15" customHeight="1" s="341">
      <c r="A118" s="495" t="n"/>
      <c r="B118" s="382">
        <f>IF(A118="","",IFERROR(VLOOKUP(A118,DB_Customers!$A:$D,4,0),"❌ Account Not Found"))</f>
        <v/>
      </c>
      <c r="C118" s="496">
        <f>IF(A118="","",IFERROR(VLOOKUP(A118,DB_Customers!$A:$N,14,0),""))</f>
        <v/>
      </c>
      <c r="D118" s="497">
        <f>IF(A118="","",TODAY())</f>
        <v/>
      </c>
      <c r="E118" s="489" t="n"/>
      <c r="F118" s="498">
        <f>IF(OR(A118="",E118=""),"",IF(C118="","",C118+E118))</f>
        <v/>
      </c>
      <c r="G118" s="384" t="inlineStr">
        <is>
          <t>Agent 08</t>
        </is>
      </c>
      <c r="H118" s="491" t="n"/>
      <c r="I118" s="499">
        <f>IF(A118="","Pending",IF(H118="","⚠️ Enter Code",IF(IFERROR(VLOOKUP(G118,DB_Agents!$B:$I,8,0),"")=H118,IF(AND(A118&lt;&gt;"",E118&lt;&gt;""),"Saved","Pending"),"🔒 BLOCKED — Wrong Code")))</f>
        <v/>
      </c>
      <c r="J118" s="500">
        <f>IF(I118="Saved",TEXT(TODAY(),"YYYY-MM-DD")&amp;" Auto","—")</f>
        <v/>
      </c>
      <c r="K118" s="501" t="n"/>
    </row>
    <row r="119" ht="15" customHeight="1" s="341">
      <c r="A119" s="486" t="n"/>
      <c r="B119" s="378">
        <f>IF(A119="","",IFERROR(VLOOKUP(A119,DB_Customers!$A:$D,4,0),"❌ Account Not Found"))</f>
        <v/>
      </c>
      <c r="C119" s="487">
        <f>IF(A119="","",IFERROR(VLOOKUP(A119,DB_Customers!$A:$N,14,0),""))</f>
        <v/>
      </c>
      <c r="D119" s="488">
        <f>IF(A119="","",TODAY())</f>
        <v/>
      </c>
      <c r="E119" s="489" t="n"/>
      <c r="F119" s="490">
        <f>IF(OR(A119="",E119=""),"",IF(C119="","",C119+E119))</f>
        <v/>
      </c>
      <c r="G119" s="380" t="inlineStr">
        <is>
          <t>Agent 08</t>
        </is>
      </c>
      <c r="H119" s="491" t="n"/>
      <c r="I119" s="492">
        <f>IF(A119="","Pending",IF(H119="","⚠️ Enter Code",IF(IFERROR(VLOOKUP(G119,DB_Agents!$B:$I,8,0),"")=H119,IF(AND(A119&lt;&gt;"",E119&lt;&gt;""),"Saved","Pending"),"🔒 BLOCKED — Wrong Code")))</f>
        <v/>
      </c>
      <c r="J119" s="493">
        <f>IF(I119="Saved",TEXT(TODAY(),"YYYY-MM-DD")&amp;" Auto","—")</f>
        <v/>
      </c>
      <c r="K119" s="494" t="n"/>
    </row>
    <row r="120" ht="15" customHeight="1" s="341">
      <c r="A120" s="495" t="n"/>
      <c r="B120" s="382">
        <f>IF(A120="","",IFERROR(VLOOKUP(A120,DB_Customers!$A:$D,4,0),"❌ Account Not Found"))</f>
        <v/>
      </c>
      <c r="C120" s="496">
        <f>IF(A120="","",IFERROR(VLOOKUP(A120,DB_Customers!$A:$N,14,0),""))</f>
        <v/>
      </c>
      <c r="D120" s="497">
        <f>IF(A120="","",TODAY())</f>
        <v/>
      </c>
      <c r="E120" s="489" t="n"/>
      <c r="F120" s="498">
        <f>IF(OR(A120="",E120=""),"",IF(C120="","",C120+E120))</f>
        <v/>
      </c>
      <c r="G120" s="384" t="inlineStr">
        <is>
          <t>Agent 08</t>
        </is>
      </c>
      <c r="H120" s="491" t="n"/>
      <c r="I120" s="499">
        <f>IF(A120="","Pending",IF(H120="","⚠️ Enter Code",IF(IFERROR(VLOOKUP(G120,DB_Agents!$B:$I,8,0),"")=H120,IF(AND(A120&lt;&gt;"",E120&lt;&gt;""),"Saved","Pending"),"🔒 BLOCKED — Wrong Code")))</f>
        <v/>
      </c>
      <c r="J120" s="500">
        <f>IF(I120="Saved",TEXT(TODAY(),"YYYY-MM-DD")&amp;" Auto","—")</f>
        <v/>
      </c>
      <c r="K120" s="501" t="n"/>
    </row>
    <row r="121" ht="15" customHeight="1" s="341">
      <c r="A121" s="486" t="n"/>
      <c r="B121" s="378">
        <f>IF(A121="","",IFERROR(VLOOKUP(A121,DB_Customers!$A:$D,4,0),"❌ Account Not Found"))</f>
        <v/>
      </c>
      <c r="C121" s="487">
        <f>IF(A121="","",IFERROR(VLOOKUP(A121,DB_Customers!$A:$N,14,0),""))</f>
        <v/>
      </c>
      <c r="D121" s="488">
        <f>IF(A121="","",TODAY())</f>
        <v/>
      </c>
      <c r="E121" s="489" t="n"/>
      <c r="F121" s="490">
        <f>IF(OR(A121="",E121=""),"",IF(C121="","",C121+E121))</f>
        <v/>
      </c>
      <c r="G121" s="380" t="inlineStr">
        <is>
          <t>Agent 08</t>
        </is>
      </c>
      <c r="H121" s="491" t="n"/>
      <c r="I121" s="492">
        <f>IF(A121="","Pending",IF(H121="","⚠️ Enter Code",IF(IFERROR(VLOOKUP(G121,DB_Agents!$B:$I,8,0),"")=H121,IF(AND(A121&lt;&gt;"",E121&lt;&gt;""),"Saved","Pending"),"🔒 BLOCKED — Wrong Code")))</f>
        <v/>
      </c>
      <c r="J121" s="493">
        <f>IF(I121="Saved",TEXT(TODAY(),"YYYY-MM-DD")&amp;" Auto","—")</f>
        <v/>
      </c>
      <c r="K121" s="494" t="n"/>
    </row>
    <row r="122" ht="15" customHeight="1" s="341">
      <c r="A122" s="495" t="n"/>
      <c r="B122" s="382">
        <f>IF(A122="","",IFERROR(VLOOKUP(A122,DB_Customers!$A:$D,4,0),"❌ Account Not Found"))</f>
        <v/>
      </c>
      <c r="C122" s="496">
        <f>IF(A122="","",IFERROR(VLOOKUP(A122,DB_Customers!$A:$N,14,0),""))</f>
        <v/>
      </c>
      <c r="D122" s="497">
        <f>IF(A122="","",TODAY())</f>
        <v/>
      </c>
      <c r="E122" s="489" t="n"/>
      <c r="F122" s="498">
        <f>IF(OR(A122="",E122=""),"",IF(C122="","",C122+E122))</f>
        <v/>
      </c>
      <c r="G122" s="384" t="inlineStr">
        <is>
          <t>Agent 08</t>
        </is>
      </c>
      <c r="H122" s="491" t="n"/>
      <c r="I122" s="499">
        <f>IF(A122="","Pending",IF(H122="","⚠️ Enter Code",IF(IFERROR(VLOOKUP(G122,DB_Agents!$B:$I,8,0),"")=H122,IF(AND(A122&lt;&gt;"",E122&lt;&gt;""),"Saved","Pending"),"🔒 BLOCKED — Wrong Code")))</f>
        <v/>
      </c>
      <c r="J122" s="500">
        <f>IF(I122="Saved",TEXT(TODAY(),"YYYY-MM-DD")&amp;" Auto","—")</f>
        <v/>
      </c>
      <c r="K122" s="501" t="n"/>
    </row>
    <row r="123" ht="15" customHeight="1" s="341">
      <c r="A123" s="486" t="n"/>
      <c r="B123" s="378">
        <f>IF(A123="","",IFERROR(VLOOKUP(A123,DB_Customers!$A:$D,4,0),"❌ Account Not Found"))</f>
        <v/>
      </c>
      <c r="C123" s="487">
        <f>IF(A123="","",IFERROR(VLOOKUP(A123,DB_Customers!$A:$N,14,0),""))</f>
        <v/>
      </c>
      <c r="D123" s="488">
        <f>IF(A123="","",TODAY())</f>
        <v/>
      </c>
      <c r="E123" s="489" t="n"/>
      <c r="F123" s="490">
        <f>IF(OR(A123="",E123=""),"",IF(C123="","",C123+E123))</f>
        <v/>
      </c>
      <c r="G123" s="380" t="inlineStr">
        <is>
          <t>Agent 08</t>
        </is>
      </c>
      <c r="H123" s="491" t="n"/>
      <c r="I123" s="492">
        <f>IF(A123="","Pending",IF(H123="","⚠️ Enter Code",IF(IFERROR(VLOOKUP(G123,DB_Agents!$B:$I,8,0),"")=H123,IF(AND(A123&lt;&gt;"",E123&lt;&gt;""),"Saved","Pending"),"🔒 BLOCKED — Wrong Code")))</f>
        <v/>
      </c>
      <c r="J123" s="493">
        <f>IF(I123="Saved",TEXT(TODAY(),"YYYY-MM-DD")&amp;" Auto","—")</f>
        <v/>
      </c>
      <c r="K123" s="494" t="n"/>
    </row>
    <row r="124" ht="15" customHeight="1" s="341">
      <c r="A124" s="495" t="n"/>
      <c r="B124" s="382">
        <f>IF(A124="","",IFERROR(VLOOKUP(A124,DB_Customers!$A:$D,4,0),"❌ Account Not Found"))</f>
        <v/>
      </c>
      <c r="C124" s="496">
        <f>IF(A124="","",IFERROR(VLOOKUP(A124,DB_Customers!$A:$N,14,0),""))</f>
        <v/>
      </c>
      <c r="D124" s="497">
        <f>IF(A124="","",TODAY())</f>
        <v/>
      </c>
      <c r="E124" s="489" t="n"/>
      <c r="F124" s="498">
        <f>IF(OR(A124="",E124=""),"",IF(C124="","",C124+E124))</f>
        <v/>
      </c>
      <c r="G124" s="384" t="inlineStr">
        <is>
          <t>Agent 08</t>
        </is>
      </c>
      <c r="H124" s="491" t="n"/>
      <c r="I124" s="499">
        <f>IF(A124="","Pending",IF(H124="","⚠️ Enter Code",IF(IFERROR(VLOOKUP(G124,DB_Agents!$B:$I,8,0),"")=H124,IF(AND(A124&lt;&gt;"",E124&lt;&gt;""),"Saved","Pending"),"🔒 BLOCKED — Wrong Code")))</f>
        <v/>
      </c>
      <c r="J124" s="500">
        <f>IF(I124="Saved",TEXT(TODAY(),"YYYY-MM-DD")&amp;" Auto","—")</f>
        <v/>
      </c>
      <c r="K124" s="501" t="n"/>
    </row>
    <row r="125" ht="15" customHeight="1" s="341">
      <c r="A125" s="486" t="n"/>
      <c r="B125" s="378">
        <f>IF(A125="","",IFERROR(VLOOKUP(A125,DB_Customers!$A:$D,4,0),"❌ Account Not Found"))</f>
        <v/>
      </c>
      <c r="C125" s="487">
        <f>IF(A125="","",IFERROR(VLOOKUP(A125,DB_Customers!$A:$N,14,0),""))</f>
        <v/>
      </c>
      <c r="D125" s="488">
        <f>IF(A125="","",TODAY())</f>
        <v/>
      </c>
      <c r="E125" s="489" t="n"/>
      <c r="F125" s="490">
        <f>IF(OR(A125="",E125=""),"",IF(C125="","",C125+E125))</f>
        <v/>
      </c>
      <c r="G125" s="380" t="inlineStr">
        <is>
          <t>Agent 08</t>
        </is>
      </c>
      <c r="H125" s="491" t="n"/>
      <c r="I125" s="492">
        <f>IF(A125="","Pending",IF(H125="","⚠️ Enter Code",IF(IFERROR(VLOOKUP(G125,DB_Agents!$B:$I,8,0),"")=H125,IF(AND(A125&lt;&gt;"",E125&lt;&gt;""),"Saved","Pending"),"🔒 BLOCKED — Wrong Code")))</f>
        <v/>
      </c>
      <c r="J125" s="493">
        <f>IF(I125="Saved",TEXT(TODAY(),"YYYY-MM-DD")&amp;" Auto","—")</f>
        <v/>
      </c>
      <c r="K125" s="494" t="n"/>
    </row>
    <row r="126" ht="15" customHeight="1" s="341">
      <c r="A126" s="495" t="n"/>
      <c r="B126" s="382">
        <f>IF(A126="","",IFERROR(VLOOKUP(A126,DB_Customers!$A:$D,4,0),"❌ Account Not Found"))</f>
        <v/>
      </c>
      <c r="C126" s="496">
        <f>IF(A126="","",IFERROR(VLOOKUP(A126,DB_Customers!$A:$N,14,0),""))</f>
        <v/>
      </c>
      <c r="D126" s="497">
        <f>IF(A126="","",TODAY())</f>
        <v/>
      </c>
      <c r="E126" s="489" t="n"/>
      <c r="F126" s="498">
        <f>IF(OR(A126="",E126=""),"",IF(C126="","",C126+E126))</f>
        <v/>
      </c>
      <c r="G126" s="384" t="inlineStr">
        <is>
          <t>Agent 08</t>
        </is>
      </c>
      <c r="H126" s="491" t="n"/>
      <c r="I126" s="499">
        <f>IF(A126="","Pending",IF(H126="","⚠️ Enter Code",IF(IFERROR(VLOOKUP(G126,DB_Agents!$B:$I,8,0),"")=H126,IF(AND(A126&lt;&gt;"",E126&lt;&gt;""),"Saved","Pending"),"🔒 BLOCKED — Wrong Code")))</f>
        <v/>
      </c>
      <c r="J126" s="500">
        <f>IF(I126="Saved",TEXT(TODAY(),"YYYY-MM-DD")&amp;" Auto","—")</f>
        <v/>
      </c>
      <c r="K126" s="501" t="n"/>
    </row>
    <row r="127" ht="15" customHeight="1" s="341">
      <c r="A127" s="486" t="n"/>
      <c r="B127" s="378">
        <f>IF(A127="","",IFERROR(VLOOKUP(A127,DB_Customers!$A:$D,4,0),"❌ Account Not Found"))</f>
        <v/>
      </c>
      <c r="C127" s="487">
        <f>IF(A127="","",IFERROR(VLOOKUP(A127,DB_Customers!$A:$N,14,0),""))</f>
        <v/>
      </c>
      <c r="D127" s="488">
        <f>IF(A127="","",TODAY())</f>
        <v/>
      </c>
      <c r="E127" s="489" t="n"/>
      <c r="F127" s="490">
        <f>IF(OR(A127="",E127=""),"",IF(C127="","",C127+E127))</f>
        <v/>
      </c>
      <c r="G127" s="380" t="inlineStr">
        <is>
          <t>Agent 08</t>
        </is>
      </c>
      <c r="H127" s="491" t="n"/>
      <c r="I127" s="492">
        <f>IF(A127="","Pending",IF(H127="","⚠️ Enter Code",IF(IFERROR(VLOOKUP(G127,DB_Agents!$B:$I,8,0),"")=H127,IF(AND(A127&lt;&gt;"",E127&lt;&gt;""),"Saved","Pending"),"🔒 BLOCKED — Wrong Code")))</f>
        <v/>
      </c>
      <c r="J127" s="493">
        <f>IF(I127="Saved",TEXT(TODAY(),"YYYY-MM-DD")&amp;" Auto","—")</f>
        <v/>
      </c>
      <c r="K127" s="494" t="n"/>
    </row>
    <row r="128" ht="15" customHeight="1" s="341">
      <c r="A128" s="495" t="n"/>
      <c r="B128" s="382">
        <f>IF(A128="","",IFERROR(VLOOKUP(A128,DB_Customers!$A:$D,4,0),"❌ Account Not Found"))</f>
        <v/>
      </c>
      <c r="C128" s="496">
        <f>IF(A128="","",IFERROR(VLOOKUP(A128,DB_Customers!$A:$N,14,0),""))</f>
        <v/>
      </c>
      <c r="D128" s="497">
        <f>IF(A128="","",TODAY())</f>
        <v/>
      </c>
      <c r="E128" s="489" t="n"/>
      <c r="F128" s="498">
        <f>IF(OR(A128="",E128=""),"",IF(C128="","",C128+E128))</f>
        <v/>
      </c>
      <c r="G128" s="384" t="inlineStr">
        <is>
          <t>Agent 08</t>
        </is>
      </c>
      <c r="H128" s="491" t="n"/>
      <c r="I128" s="499">
        <f>IF(A128="","Pending",IF(H128="","⚠️ Enter Code",IF(IFERROR(VLOOKUP(G128,DB_Agents!$B:$I,8,0),"")=H128,IF(AND(A128&lt;&gt;"",E128&lt;&gt;""),"Saved","Pending"),"🔒 BLOCKED — Wrong Code")))</f>
        <v/>
      </c>
      <c r="J128" s="500">
        <f>IF(I128="Saved",TEXT(TODAY(),"YYYY-MM-DD")&amp;" Auto","—")</f>
        <v/>
      </c>
      <c r="K128" s="501" t="n"/>
    </row>
    <row r="129" ht="15" customHeight="1" s="341">
      <c r="A129" s="486" t="n"/>
      <c r="B129" s="378">
        <f>IF(A129="","",IFERROR(VLOOKUP(A129,DB_Customers!$A:$D,4,0),"❌ Account Not Found"))</f>
        <v/>
      </c>
      <c r="C129" s="487">
        <f>IF(A129="","",IFERROR(VLOOKUP(A129,DB_Customers!$A:$N,14,0),""))</f>
        <v/>
      </c>
      <c r="D129" s="488">
        <f>IF(A129="","",TODAY())</f>
        <v/>
      </c>
      <c r="E129" s="489" t="n"/>
      <c r="F129" s="490">
        <f>IF(OR(A129="",E129=""),"",IF(C129="","",C129+E129))</f>
        <v/>
      </c>
      <c r="G129" s="380" t="inlineStr">
        <is>
          <t>Agent 08</t>
        </is>
      </c>
      <c r="H129" s="491" t="n"/>
      <c r="I129" s="492">
        <f>IF(A129="","Pending",IF(H129="","⚠️ Enter Code",IF(IFERROR(VLOOKUP(G129,DB_Agents!$B:$I,8,0),"")=H129,IF(AND(A129&lt;&gt;"",E129&lt;&gt;""),"Saved","Pending"),"🔒 BLOCKED — Wrong Code")))</f>
        <v/>
      </c>
      <c r="J129" s="493">
        <f>IF(I129="Saved",TEXT(TODAY(),"YYYY-MM-DD")&amp;" Auto","—")</f>
        <v/>
      </c>
      <c r="K129" s="494" t="n"/>
    </row>
    <row r="130" ht="15" customHeight="1" s="341">
      <c r="A130" s="495" t="n"/>
      <c r="B130" s="382">
        <f>IF(A130="","",IFERROR(VLOOKUP(A130,DB_Customers!$A:$D,4,0),"❌ Account Not Found"))</f>
        <v/>
      </c>
      <c r="C130" s="496">
        <f>IF(A130="","",IFERROR(VLOOKUP(A130,DB_Customers!$A:$N,14,0),""))</f>
        <v/>
      </c>
      <c r="D130" s="497">
        <f>IF(A130="","",TODAY())</f>
        <v/>
      </c>
      <c r="E130" s="489" t="n"/>
      <c r="F130" s="498">
        <f>IF(OR(A130="",E130=""),"",IF(C130="","",C130+E130))</f>
        <v/>
      </c>
      <c r="G130" s="384" t="inlineStr">
        <is>
          <t>Agent 08</t>
        </is>
      </c>
      <c r="H130" s="491" t="n"/>
      <c r="I130" s="499">
        <f>IF(A130="","Pending",IF(H130="","⚠️ Enter Code",IF(IFERROR(VLOOKUP(G130,DB_Agents!$B:$I,8,0),"")=H130,IF(AND(A130&lt;&gt;"",E130&lt;&gt;""),"Saved","Pending"),"🔒 BLOCKED — Wrong Code")))</f>
        <v/>
      </c>
      <c r="J130" s="500">
        <f>IF(I130="Saved",TEXT(TODAY(),"YYYY-MM-DD")&amp;" Auto","—")</f>
        <v/>
      </c>
      <c r="K130" s="501" t="n"/>
    </row>
    <row r="131" ht="15" customHeight="1" s="341">
      <c r="A131" s="486" t="n"/>
      <c r="B131" s="378">
        <f>IF(A131="","",IFERROR(VLOOKUP(A131,DB_Customers!$A:$D,4,0),"❌ Account Not Found"))</f>
        <v/>
      </c>
      <c r="C131" s="487">
        <f>IF(A131="","",IFERROR(VLOOKUP(A131,DB_Customers!$A:$N,14,0),""))</f>
        <v/>
      </c>
      <c r="D131" s="488">
        <f>IF(A131="","",TODAY())</f>
        <v/>
      </c>
      <c r="E131" s="489" t="n"/>
      <c r="F131" s="490">
        <f>IF(OR(A131="",E131=""),"",IF(C131="","",C131+E131))</f>
        <v/>
      </c>
      <c r="G131" s="380" t="inlineStr">
        <is>
          <t>Agent 08</t>
        </is>
      </c>
      <c r="H131" s="491" t="n"/>
      <c r="I131" s="492">
        <f>IF(A131="","Pending",IF(H131="","⚠️ Enter Code",IF(IFERROR(VLOOKUP(G131,DB_Agents!$B:$I,8,0),"")=H131,IF(AND(A131&lt;&gt;"",E131&lt;&gt;""),"Saved","Pending"),"🔒 BLOCKED — Wrong Code")))</f>
        <v/>
      </c>
      <c r="J131" s="493">
        <f>IF(I131="Saved",TEXT(TODAY(),"YYYY-MM-DD")&amp;" Auto","—")</f>
        <v/>
      </c>
      <c r="K131" s="494" t="n"/>
    </row>
    <row r="132" ht="15" customHeight="1" s="341">
      <c r="A132" s="495" t="n"/>
      <c r="B132" s="382">
        <f>IF(A132="","",IFERROR(VLOOKUP(A132,DB_Customers!$A:$D,4,0),"❌ Account Not Found"))</f>
        <v/>
      </c>
      <c r="C132" s="496">
        <f>IF(A132="","",IFERROR(VLOOKUP(A132,DB_Customers!$A:$N,14,0),""))</f>
        <v/>
      </c>
      <c r="D132" s="497">
        <f>IF(A132="","",TODAY())</f>
        <v/>
      </c>
      <c r="E132" s="489" t="n"/>
      <c r="F132" s="498">
        <f>IF(OR(A132="",E132=""),"",IF(C132="","",C132+E132))</f>
        <v/>
      </c>
      <c r="G132" s="384" t="inlineStr">
        <is>
          <t>Agent 08</t>
        </is>
      </c>
      <c r="H132" s="491" t="n"/>
      <c r="I132" s="499">
        <f>IF(A132="","Pending",IF(H132="","⚠️ Enter Code",IF(IFERROR(VLOOKUP(G132,DB_Agents!$B:$I,8,0),"")=H132,IF(AND(A132&lt;&gt;"",E132&lt;&gt;""),"Saved","Pending"),"🔒 BLOCKED — Wrong Code")))</f>
        <v/>
      </c>
      <c r="J132" s="500">
        <f>IF(I132="Saved",TEXT(TODAY(),"YYYY-MM-DD")&amp;" Auto","—")</f>
        <v/>
      </c>
      <c r="K132" s="501" t="n"/>
    </row>
    <row r="133" ht="15" customHeight="1" s="341">
      <c r="A133" s="486" t="n"/>
      <c r="B133" s="378">
        <f>IF(A133="","",IFERROR(VLOOKUP(A133,DB_Customers!$A:$D,4,0),"❌ Account Not Found"))</f>
        <v/>
      </c>
      <c r="C133" s="487">
        <f>IF(A133="","",IFERROR(VLOOKUP(A133,DB_Customers!$A:$N,14,0),""))</f>
        <v/>
      </c>
      <c r="D133" s="488">
        <f>IF(A133="","",TODAY())</f>
        <v/>
      </c>
      <c r="E133" s="489" t="n"/>
      <c r="F133" s="490">
        <f>IF(OR(A133="",E133=""),"",IF(C133="","",C133+E133))</f>
        <v/>
      </c>
      <c r="G133" s="380" t="inlineStr">
        <is>
          <t>Agent 08</t>
        </is>
      </c>
      <c r="H133" s="491" t="n"/>
      <c r="I133" s="492">
        <f>IF(A133="","Pending",IF(H133="","⚠️ Enter Code",IF(IFERROR(VLOOKUP(G133,DB_Agents!$B:$I,8,0),"")=H133,IF(AND(A133&lt;&gt;"",E133&lt;&gt;""),"Saved","Pending"),"🔒 BLOCKED — Wrong Code")))</f>
        <v/>
      </c>
      <c r="J133" s="493">
        <f>IF(I133="Saved",TEXT(TODAY(),"YYYY-MM-DD")&amp;" Auto","—")</f>
        <v/>
      </c>
      <c r="K133" s="494" t="n"/>
    </row>
    <row r="134" ht="15" customHeight="1" s="341">
      <c r="A134" s="495" t="n"/>
      <c r="B134" s="382">
        <f>IF(A134="","",IFERROR(VLOOKUP(A134,DB_Customers!$A:$D,4,0),"❌ Account Not Found"))</f>
        <v/>
      </c>
      <c r="C134" s="496">
        <f>IF(A134="","",IFERROR(VLOOKUP(A134,DB_Customers!$A:$N,14,0),""))</f>
        <v/>
      </c>
      <c r="D134" s="497">
        <f>IF(A134="","",TODAY())</f>
        <v/>
      </c>
      <c r="E134" s="489" t="n"/>
      <c r="F134" s="498">
        <f>IF(OR(A134="",E134=""),"",IF(C134="","",C134+E134))</f>
        <v/>
      </c>
      <c r="G134" s="384" t="inlineStr">
        <is>
          <t>Agent 08</t>
        </is>
      </c>
      <c r="H134" s="491" t="n"/>
      <c r="I134" s="499">
        <f>IF(A134="","Pending",IF(H134="","⚠️ Enter Code",IF(IFERROR(VLOOKUP(G134,DB_Agents!$B:$I,8,0),"")=H134,IF(AND(A134&lt;&gt;"",E134&lt;&gt;""),"Saved","Pending"),"🔒 BLOCKED — Wrong Code")))</f>
        <v/>
      </c>
      <c r="J134" s="500">
        <f>IF(I134="Saved",TEXT(TODAY(),"YYYY-MM-DD")&amp;" Auto","—")</f>
        <v/>
      </c>
      <c r="K134" s="501" t="n"/>
    </row>
    <row r="135" ht="15" customHeight="1" s="341">
      <c r="A135" s="486" t="n"/>
      <c r="B135" s="378">
        <f>IF(A135="","",IFERROR(VLOOKUP(A135,DB_Customers!$A:$D,4,0),"❌ Account Not Found"))</f>
        <v/>
      </c>
      <c r="C135" s="487">
        <f>IF(A135="","",IFERROR(VLOOKUP(A135,DB_Customers!$A:$N,14,0),""))</f>
        <v/>
      </c>
      <c r="D135" s="488">
        <f>IF(A135="","",TODAY())</f>
        <v/>
      </c>
      <c r="E135" s="489" t="n"/>
      <c r="F135" s="490">
        <f>IF(OR(A135="",E135=""),"",IF(C135="","",C135+E135))</f>
        <v/>
      </c>
      <c r="G135" s="380" t="inlineStr">
        <is>
          <t>Agent 08</t>
        </is>
      </c>
      <c r="H135" s="491" t="n"/>
      <c r="I135" s="492">
        <f>IF(A135="","Pending",IF(H135="","⚠️ Enter Code",IF(IFERROR(VLOOKUP(G135,DB_Agents!$B:$I,8,0),"")=H135,IF(AND(A135&lt;&gt;"",E135&lt;&gt;""),"Saved","Pending"),"🔒 BLOCKED — Wrong Code")))</f>
        <v/>
      </c>
      <c r="J135" s="493">
        <f>IF(I135="Saved",TEXT(TODAY(),"YYYY-MM-DD")&amp;" Auto","—")</f>
        <v/>
      </c>
      <c r="K135" s="494" t="n"/>
    </row>
    <row r="136" ht="15" customHeight="1" s="341">
      <c r="A136" s="495" t="n"/>
      <c r="B136" s="382">
        <f>IF(A136="","",IFERROR(VLOOKUP(A136,DB_Customers!$A:$D,4,0),"❌ Account Not Found"))</f>
        <v/>
      </c>
      <c r="C136" s="496">
        <f>IF(A136="","",IFERROR(VLOOKUP(A136,DB_Customers!$A:$N,14,0),""))</f>
        <v/>
      </c>
      <c r="D136" s="497">
        <f>IF(A136="","",TODAY())</f>
        <v/>
      </c>
      <c r="E136" s="489" t="n"/>
      <c r="F136" s="498">
        <f>IF(OR(A136="",E136=""),"",IF(C136="","",C136+E136))</f>
        <v/>
      </c>
      <c r="G136" s="384" t="inlineStr">
        <is>
          <t>Agent 08</t>
        </is>
      </c>
      <c r="H136" s="491" t="n"/>
      <c r="I136" s="499">
        <f>IF(A136="","Pending",IF(H136="","⚠️ Enter Code",IF(IFERROR(VLOOKUP(G136,DB_Agents!$B:$I,8,0),"")=H136,IF(AND(A136&lt;&gt;"",E136&lt;&gt;""),"Saved","Pending"),"🔒 BLOCKED — Wrong Code")))</f>
        <v/>
      </c>
      <c r="J136" s="500">
        <f>IF(I136="Saved",TEXT(TODAY(),"YYYY-MM-DD")&amp;" Auto","—")</f>
        <v/>
      </c>
      <c r="K136" s="501" t="n"/>
    </row>
    <row r="137" ht="15" customHeight="1" s="341">
      <c r="A137" s="486" t="n"/>
      <c r="B137" s="378">
        <f>IF(A137="","",IFERROR(VLOOKUP(A137,DB_Customers!$A:$D,4,0),"❌ Account Not Found"))</f>
        <v/>
      </c>
      <c r="C137" s="487">
        <f>IF(A137="","",IFERROR(VLOOKUP(A137,DB_Customers!$A:$N,14,0),""))</f>
        <v/>
      </c>
      <c r="D137" s="488">
        <f>IF(A137="","",TODAY())</f>
        <v/>
      </c>
      <c r="E137" s="489" t="n"/>
      <c r="F137" s="490">
        <f>IF(OR(A137="",E137=""),"",IF(C137="","",C137+E137))</f>
        <v/>
      </c>
      <c r="G137" s="380" t="inlineStr">
        <is>
          <t>Agent 08</t>
        </is>
      </c>
      <c r="H137" s="491" t="n"/>
      <c r="I137" s="492">
        <f>IF(A137="","Pending",IF(H137="","⚠️ Enter Code",IF(IFERROR(VLOOKUP(G137,DB_Agents!$B:$I,8,0),"")=H137,IF(AND(A137&lt;&gt;"",E137&lt;&gt;""),"Saved","Pending"),"🔒 BLOCKED — Wrong Code")))</f>
        <v/>
      </c>
      <c r="J137" s="493">
        <f>IF(I137="Saved",TEXT(TODAY(),"YYYY-MM-DD")&amp;" Auto","—")</f>
        <v/>
      </c>
      <c r="K137" s="494" t="n"/>
    </row>
    <row r="138" ht="15" customHeight="1" s="341">
      <c r="A138" s="495" t="n"/>
      <c r="B138" s="382">
        <f>IF(A138="","",IFERROR(VLOOKUP(A138,DB_Customers!$A:$D,4,0),"❌ Account Not Found"))</f>
        <v/>
      </c>
      <c r="C138" s="496">
        <f>IF(A138="","",IFERROR(VLOOKUP(A138,DB_Customers!$A:$N,14,0),""))</f>
        <v/>
      </c>
      <c r="D138" s="497">
        <f>IF(A138="","",TODAY())</f>
        <v/>
      </c>
      <c r="E138" s="489" t="n"/>
      <c r="F138" s="498">
        <f>IF(OR(A138="",E138=""),"",IF(C138="","",C138+E138))</f>
        <v/>
      </c>
      <c r="G138" s="384" t="inlineStr">
        <is>
          <t>Agent 08</t>
        </is>
      </c>
      <c r="H138" s="491" t="n"/>
      <c r="I138" s="499">
        <f>IF(A138="","Pending",IF(H138="","⚠️ Enter Code",IF(IFERROR(VLOOKUP(G138,DB_Agents!$B:$I,8,0),"")=H138,IF(AND(A138&lt;&gt;"",E138&lt;&gt;""),"Saved","Pending"),"🔒 BLOCKED — Wrong Code")))</f>
        <v/>
      </c>
      <c r="J138" s="500">
        <f>IF(I138="Saved",TEXT(TODAY(),"YYYY-MM-DD")&amp;" Auto","—")</f>
        <v/>
      </c>
      <c r="K138" s="501" t="n"/>
    </row>
    <row r="139" ht="15" customHeight="1" s="341">
      <c r="A139" s="486" t="n"/>
      <c r="B139" s="378">
        <f>IF(A139="","",IFERROR(VLOOKUP(A139,DB_Customers!$A:$D,4,0),"❌ Account Not Found"))</f>
        <v/>
      </c>
      <c r="C139" s="487">
        <f>IF(A139="","",IFERROR(VLOOKUP(A139,DB_Customers!$A:$N,14,0),""))</f>
        <v/>
      </c>
      <c r="D139" s="488">
        <f>IF(A139="","",TODAY())</f>
        <v/>
      </c>
      <c r="E139" s="489" t="n"/>
      <c r="F139" s="490">
        <f>IF(OR(A139="",E139=""),"",IF(C139="","",C139+E139))</f>
        <v/>
      </c>
      <c r="G139" s="380" t="inlineStr">
        <is>
          <t>Agent 08</t>
        </is>
      </c>
      <c r="H139" s="491" t="n"/>
      <c r="I139" s="492">
        <f>IF(A139="","Pending",IF(H139="","⚠️ Enter Code",IF(IFERROR(VLOOKUP(G139,DB_Agents!$B:$I,8,0),"")=H139,IF(AND(A139&lt;&gt;"",E139&lt;&gt;""),"Saved","Pending"),"🔒 BLOCKED — Wrong Code")))</f>
        <v/>
      </c>
      <c r="J139" s="493">
        <f>IF(I139="Saved",TEXT(TODAY(),"YYYY-MM-DD")&amp;" Auto","—")</f>
        <v/>
      </c>
      <c r="K139" s="494" t="n"/>
    </row>
    <row r="140" ht="15" customHeight="1" s="341">
      <c r="A140" s="495" t="n"/>
      <c r="B140" s="382">
        <f>IF(A140="","",IFERROR(VLOOKUP(A140,DB_Customers!$A:$D,4,0),"❌ Account Not Found"))</f>
        <v/>
      </c>
      <c r="C140" s="496">
        <f>IF(A140="","",IFERROR(VLOOKUP(A140,DB_Customers!$A:$N,14,0),""))</f>
        <v/>
      </c>
      <c r="D140" s="497">
        <f>IF(A140="","",TODAY())</f>
        <v/>
      </c>
      <c r="E140" s="489" t="n"/>
      <c r="F140" s="498">
        <f>IF(OR(A140="",E140=""),"",IF(C140="","",C140+E140))</f>
        <v/>
      </c>
      <c r="G140" s="384" t="inlineStr">
        <is>
          <t>Agent 08</t>
        </is>
      </c>
      <c r="H140" s="491" t="n"/>
      <c r="I140" s="499">
        <f>IF(A140="","Pending",IF(H140="","⚠️ Enter Code",IF(IFERROR(VLOOKUP(G140,DB_Agents!$B:$I,8,0),"")=H140,IF(AND(A140&lt;&gt;"",E140&lt;&gt;""),"Saved","Pending"),"🔒 BLOCKED — Wrong Code")))</f>
        <v/>
      </c>
      <c r="J140" s="500">
        <f>IF(I140="Saved",TEXT(TODAY(),"YYYY-MM-DD")&amp;" Auto","—")</f>
        <v/>
      </c>
      <c r="K140" s="501" t="n"/>
    </row>
    <row r="141" ht="15" customHeight="1" s="341">
      <c r="A141" s="486" t="n"/>
      <c r="B141" s="378">
        <f>IF(A141="","",IFERROR(VLOOKUP(A141,DB_Customers!$A:$D,4,0),"❌ Account Not Found"))</f>
        <v/>
      </c>
      <c r="C141" s="487">
        <f>IF(A141="","",IFERROR(VLOOKUP(A141,DB_Customers!$A:$N,14,0),""))</f>
        <v/>
      </c>
      <c r="D141" s="488">
        <f>IF(A141="","",TODAY())</f>
        <v/>
      </c>
      <c r="E141" s="489" t="n"/>
      <c r="F141" s="490">
        <f>IF(OR(A141="",E141=""),"",IF(C141="","",C141+E141))</f>
        <v/>
      </c>
      <c r="G141" s="380" t="inlineStr">
        <is>
          <t>Agent 08</t>
        </is>
      </c>
      <c r="H141" s="491" t="n"/>
      <c r="I141" s="492">
        <f>IF(A141="","Pending",IF(H141="","⚠️ Enter Code",IF(IFERROR(VLOOKUP(G141,DB_Agents!$B:$I,8,0),"")=H141,IF(AND(A141&lt;&gt;"",E141&lt;&gt;""),"Saved","Pending"),"🔒 BLOCKED — Wrong Code")))</f>
        <v/>
      </c>
      <c r="J141" s="493">
        <f>IF(I141="Saved",TEXT(TODAY(),"YYYY-MM-DD")&amp;" Auto","—")</f>
        <v/>
      </c>
      <c r="K141" s="494" t="n"/>
    </row>
    <row r="142" ht="15" customHeight="1" s="341">
      <c r="A142" s="495" t="n"/>
      <c r="B142" s="382">
        <f>IF(A142="","",IFERROR(VLOOKUP(A142,DB_Customers!$A:$D,4,0),"❌ Account Not Found"))</f>
        <v/>
      </c>
      <c r="C142" s="496">
        <f>IF(A142="","",IFERROR(VLOOKUP(A142,DB_Customers!$A:$N,14,0),""))</f>
        <v/>
      </c>
      <c r="D142" s="497">
        <f>IF(A142="","",TODAY())</f>
        <v/>
      </c>
      <c r="E142" s="489" t="n"/>
      <c r="F142" s="498">
        <f>IF(OR(A142="",E142=""),"",IF(C142="","",C142+E142))</f>
        <v/>
      </c>
      <c r="G142" s="384" t="inlineStr">
        <is>
          <t>Agent 08</t>
        </is>
      </c>
      <c r="H142" s="491" t="n"/>
      <c r="I142" s="499">
        <f>IF(A142="","Pending",IF(H142="","⚠️ Enter Code",IF(IFERROR(VLOOKUP(G142,DB_Agents!$B:$I,8,0),"")=H142,IF(AND(A142&lt;&gt;"",E142&lt;&gt;""),"Saved","Pending"),"🔒 BLOCKED — Wrong Code")))</f>
        <v/>
      </c>
      <c r="J142" s="500">
        <f>IF(I142="Saved",TEXT(TODAY(),"YYYY-MM-DD")&amp;" Auto","—")</f>
        <v/>
      </c>
      <c r="K142" s="501" t="n"/>
    </row>
    <row r="143" ht="15" customHeight="1" s="341">
      <c r="A143" s="486" t="n"/>
      <c r="B143" s="378">
        <f>IF(A143="","",IFERROR(VLOOKUP(A143,DB_Customers!$A:$D,4,0),"❌ Account Not Found"))</f>
        <v/>
      </c>
      <c r="C143" s="487">
        <f>IF(A143="","",IFERROR(VLOOKUP(A143,DB_Customers!$A:$N,14,0),""))</f>
        <v/>
      </c>
      <c r="D143" s="488">
        <f>IF(A143="","",TODAY())</f>
        <v/>
      </c>
      <c r="E143" s="489" t="n"/>
      <c r="F143" s="490">
        <f>IF(OR(A143="",E143=""),"",IF(C143="","",C143+E143))</f>
        <v/>
      </c>
      <c r="G143" s="380" t="inlineStr">
        <is>
          <t>Agent 08</t>
        </is>
      </c>
      <c r="H143" s="491" t="n"/>
      <c r="I143" s="492">
        <f>IF(A143="","Pending",IF(H143="","⚠️ Enter Code",IF(IFERROR(VLOOKUP(G143,DB_Agents!$B:$I,8,0),"")=H143,IF(AND(A143&lt;&gt;"",E143&lt;&gt;""),"Saved","Pending"),"🔒 BLOCKED — Wrong Code")))</f>
        <v/>
      </c>
      <c r="J143" s="493">
        <f>IF(I143="Saved",TEXT(TODAY(),"YYYY-MM-DD")&amp;" Auto","—")</f>
        <v/>
      </c>
      <c r="K143" s="494" t="n"/>
    </row>
    <row r="144" ht="15" customHeight="1" s="341">
      <c r="A144" s="495" t="n"/>
      <c r="B144" s="382">
        <f>IF(A144="","",IFERROR(VLOOKUP(A144,DB_Customers!$A:$D,4,0),"❌ Account Not Found"))</f>
        <v/>
      </c>
      <c r="C144" s="496">
        <f>IF(A144="","",IFERROR(VLOOKUP(A144,DB_Customers!$A:$N,14,0),""))</f>
        <v/>
      </c>
      <c r="D144" s="497">
        <f>IF(A144="","",TODAY())</f>
        <v/>
      </c>
      <c r="E144" s="489" t="n"/>
      <c r="F144" s="498">
        <f>IF(OR(A144="",E144=""),"",IF(C144="","",C144+E144))</f>
        <v/>
      </c>
      <c r="G144" s="384" t="inlineStr">
        <is>
          <t>Agent 08</t>
        </is>
      </c>
      <c r="H144" s="491" t="n"/>
      <c r="I144" s="499">
        <f>IF(A144="","Pending",IF(H144="","⚠️ Enter Code",IF(IFERROR(VLOOKUP(G144,DB_Agents!$B:$I,8,0),"")=H144,IF(AND(A144&lt;&gt;"",E144&lt;&gt;""),"Saved","Pending"),"🔒 BLOCKED — Wrong Code")))</f>
        <v/>
      </c>
      <c r="J144" s="500">
        <f>IF(I144="Saved",TEXT(TODAY(),"YYYY-MM-DD")&amp;" Auto","—")</f>
        <v/>
      </c>
      <c r="K144" s="501" t="n"/>
    </row>
    <row r="145" ht="15" customHeight="1" s="341">
      <c r="A145" s="486" t="n"/>
      <c r="B145" s="378">
        <f>IF(A145="","",IFERROR(VLOOKUP(A145,DB_Customers!$A:$D,4,0),"❌ Account Not Found"))</f>
        <v/>
      </c>
      <c r="C145" s="487">
        <f>IF(A145="","",IFERROR(VLOOKUP(A145,DB_Customers!$A:$N,14,0),""))</f>
        <v/>
      </c>
      <c r="D145" s="488">
        <f>IF(A145="","",TODAY())</f>
        <v/>
      </c>
      <c r="E145" s="489" t="n"/>
      <c r="F145" s="490">
        <f>IF(OR(A145="",E145=""),"",IF(C145="","",C145+E145))</f>
        <v/>
      </c>
      <c r="G145" s="380" t="inlineStr">
        <is>
          <t>Agent 08</t>
        </is>
      </c>
      <c r="H145" s="491" t="n"/>
      <c r="I145" s="492">
        <f>IF(A145="","Pending",IF(H145="","⚠️ Enter Code",IF(IFERROR(VLOOKUP(G145,DB_Agents!$B:$I,8,0),"")=H145,IF(AND(A145&lt;&gt;"",E145&lt;&gt;""),"Saved","Pending"),"🔒 BLOCKED — Wrong Code")))</f>
        <v/>
      </c>
      <c r="J145" s="493">
        <f>IF(I145="Saved",TEXT(TODAY(),"YYYY-MM-DD")&amp;" Auto","—")</f>
        <v/>
      </c>
      <c r="K145" s="494" t="n"/>
    </row>
    <row r="146" ht="15" customHeight="1" s="341">
      <c r="A146" s="495" t="n"/>
      <c r="B146" s="382">
        <f>IF(A146="","",IFERROR(VLOOKUP(A146,DB_Customers!$A:$D,4,0),"❌ Account Not Found"))</f>
        <v/>
      </c>
      <c r="C146" s="496">
        <f>IF(A146="","",IFERROR(VLOOKUP(A146,DB_Customers!$A:$N,14,0),""))</f>
        <v/>
      </c>
      <c r="D146" s="497">
        <f>IF(A146="","",TODAY())</f>
        <v/>
      </c>
      <c r="E146" s="489" t="n"/>
      <c r="F146" s="498">
        <f>IF(OR(A146="",E146=""),"",IF(C146="","",C146+E146))</f>
        <v/>
      </c>
      <c r="G146" s="384" t="inlineStr">
        <is>
          <t>Agent 08</t>
        </is>
      </c>
      <c r="H146" s="491" t="n"/>
      <c r="I146" s="499">
        <f>IF(A146="","Pending",IF(H146="","⚠️ Enter Code",IF(IFERROR(VLOOKUP(G146,DB_Agents!$B:$I,8,0),"")=H146,IF(AND(A146&lt;&gt;"",E146&lt;&gt;""),"Saved","Pending"),"🔒 BLOCKED — Wrong Code")))</f>
        <v/>
      </c>
      <c r="J146" s="500">
        <f>IF(I146="Saved",TEXT(TODAY(),"YYYY-MM-DD")&amp;" Auto","—")</f>
        <v/>
      </c>
      <c r="K146" s="501" t="n"/>
    </row>
    <row r="147" ht="15" customHeight="1" s="341">
      <c r="A147" s="486" t="n"/>
      <c r="B147" s="378">
        <f>IF(A147="","",IFERROR(VLOOKUP(A147,DB_Customers!$A:$D,4,0),"❌ Account Not Found"))</f>
        <v/>
      </c>
      <c r="C147" s="487">
        <f>IF(A147="","",IFERROR(VLOOKUP(A147,DB_Customers!$A:$N,14,0),""))</f>
        <v/>
      </c>
      <c r="D147" s="488">
        <f>IF(A147="","",TODAY())</f>
        <v/>
      </c>
      <c r="E147" s="489" t="n"/>
      <c r="F147" s="490">
        <f>IF(OR(A147="",E147=""),"",IF(C147="","",C147+E147))</f>
        <v/>
      </c>
      <c r="G147" s="380" t="inlineStr">
        <is>
          <t>Agent 08</t>
        </is>
      </c>
      <c r="H147" s="491" t="n"/>
      <c r="I147" s="492">
        <f>IF(A147="","Pending",IF(H147="","⚠️ Enter Code",IF(IFERROR(VLOOKUP(G147,DB_Agents!$B:$I,8,0),"")=H147,IF(AND(A147&lt;&gt;"",E147&lt;&gt;""),"Saved","Pending"),"🔒 BLOCKED — Wrong Code")))</f>
        <v/>
      </c>
      <c r="J147" s="493">
        <f>IF(I147="Saved",TEXT(TODAY(),"YYYY-MM-DD")&amp;" Auto","—")</f>
        <v/>
      </c>
      <c r="K147" s="494" t="n"/>
    </row>
    <row r="148" ht="15" customHeight="1" s="341">
      <c r="A148" s="495" t="n"/>
      <c r="B148" s="382">
        <f>IF(A148="","",IFERROR(VLOOKUP(A148,DB_Customers!$A:$D,4,0),"❌ Account Not Found"))</f>
        <v/>
      </c>
      <c r="C148" s="496">
        <f>IF(A148="","",IFERROR(VLOOKUP(A148,DB_Customers!$A:$N,14,0),""))</f>
        <v/>
      </c>
      <c r="D148" s="497">
        <f>IF(A148="","",TODAY())</f>
        <v/>
      </c>
      <c r="E148" s="489" t="n"/>
      <c r="F148" s="498">
        <f>IF(OR(A148="",E148=""),"",IF(C148="","",C148+E148))</f>
        <v/>
      </c>
      <c r="G148" s="384" t="inlineStr">
        <is>
          <t>Agent 08</t>
        </is>
      </c>
      <c r="H148" s="491" t="n"/>
      <c r="I148" s="499">
        <f>IF(A148="","Pending",IF(H148="","⚠️ Enter Code",IF(IFERROR(VLOOKUP(G148,DB_Agents!$B:$I,8,0),"")=H148,IF(AND(A148&lt;&gt;"",E148&lt;&gt;""),"Saved","Pending"),"🔒 BLOCKED — Wrong Code")))</f>
        <v/>
      </c>
      <c r="J148" s="500">
        <f>IF(I148="Saved",TEXT(TODAY(),"YYYY-MM-DD")&amp;" Auto","—")</f>
        <v/>
      </c>
      <c r="K148" s="501" t="n"/>
    </row>
    <row r="149" ht="15" customHeight="1" s="341">
      <c r="A149" s="486" t="n"/>
      <c r="B149" s="378">
        <f>IF(A149="","",IFERROR(VLOOKUP(A149,DB_Customers!$A:$D,4,0),"❌ Account Not Found"))</f>
        <v/>
      </c>
      <c r="C149" s="487">
        <f>IF(A149="","",IFERROR(VLOOKUP(A149,DB_Customers!$A:$N,14,0),""))</f>
        <v/>
      </c>
      <c r="D149" s="488">
        <f>IF(A149="","",TODAY())</f>
        <v/>
      </c>
      <c r="E149" s="489" t="n"/>
      <c r="F149" s="490">
        <f>IF(OR(A149="",E149=""),"",IF(C149="","",C149+E149))</f>
        <v/>
      </c>
      <c r="G149" s="380" t="inlineStr">
        <is>
          <t>Agent 08</t>
        </is>
      </c>
      <c r="H149" s="491" t="n"/>
      <c r="I149" s="492">
        <f>IF(A149="","Pending",IF(H149="","⚠️ Enter Code",IF(IFERROR(VLOOKUP(G149,DB_Agents!$B:$I,8,0),"")=H149,IF(AND(A149&lt;&gt;"",E149&lt;&gt;""),"Saved","Pending"),"🔒 BLOCKED — Wrong Code")))</f>
        <v/>
      </c>
      <c r="J149" s="493">
        <f>IF(I149="Saved",TEXT(TODAY(),"YYYY-MM-DD")&amp;" Auto","—")</f>
        <v/>
      </c>
      <c r="K149" s="494" t="n"/>
    </row>
    <row r="150" ht="15" customHeight="1" s="341">
      <c r="A150" s="495" t="n"/>
      <c r="B150" s="382">
        <f>IF(A150="","",IFERROR(VLOOKUP(A150,DB_Customers!$A:$D,4,0),"❌ Account Not Found"))</f>
        <v/>
      </c>
      <c r="C150" s="496">
        <f>IF(A150="","",IFERROR(VLOOKUP(A150,DB_Customers!$A:$N,14,0),""))</f>
        <v/>
      </c>
      <c r="D150" s="497">
        <f>IF(A150="","",TODAY())</f>
        <v/>
      </c>
      <c r="E150" s="489" t="n"/>
      <c r="F150" s="498">
        <f>IF(OR(A150="",E150=""),"",IF(C150="","",C150+E150))</f>
        <v/>
      </c>
      <c r="G150" s="384" t="inlineStr">
        <is>
          <t>Agent 08</t>
        </is>
      </c>
      <c r="H150" s="491" t="n"/>
      <c r="I150" s="499">
        <f>IF(A150="","Pending",IF(H150="","⚠️ Enter Code",IF(IFERROR(VLOOKUP(G150,DB_Agents!$B:$I,8,0),"")=H150,IF(AND(A150&lt;&gt;"",E150&lt;&gt;""),"Saved","Pending"),"🔒 BLOCKED — Wrong Code")))</f>
        <v/>
      </c>
      <c r="J150" s="500">
        <f>IF(I150="Saved",TEXT(TODAY(),"YYYY-MM-DD")&amp;" Auto","—")</f>
        <v/>
      </c>
      <c r="K150" s="501" t="n"/>
    </row>
    <row r="151" ht="15" customHeight="1" s="341">
      <c r="A151" s="486" t="n"/>
      <c r="B151" s="378">
        <f>IF(A151="","",IFERROR(VLOOKUP(A151,DB_Customers!$A:$D,4,0),"❌ Account Not Found"))</f>
        <v/>
      </c>
      <c r="C151" s="487">
        <f>IF(A151="","",IFERROR(VLOOKUP(A151,DB_Customers!$A:$N,14,0),""))</f>
        <v/>
      </c>
      <c r="D151" s="488">
        <f>IF(A151="","",TODAY())</f>
        <v/>
      </c>
      <c r="E151" s="489" t="n"/>
      <c r="F151" s="490">
        <f>IF(OR(A151="",E151=""),"",IF(C151="","",C151+E151))</f>
        <v/>
      </c>
      <c r="G151" s="380" t="inlineStr">
        <is>
          <t>Agent 08</t>
        </is>
      </c>
      <c r="H151" s="491" t="n"/>
      <c r="I151" s="492">
        <f>IF(A151="","Pending",IF(H151="","⚠️ Enter Code",IF(IFERROR(VLOOKUP(G151,DB_Agents!$B:$I,8,0),"")=H151,IF(AND(A151&lt;&gt;"",E151&lt;&gt;""),"Saved","Pending"),"🔒 BLOCKED — Wrong Code")))</f>
        <v/>
      </c>
      <c r="J151" s="493">
        <f>IF(I151="Saved",TEXT(TODAY(),"YYYY-MM-DD")&amp;" Auto","—")</f>
        <v/>
      </c>
      <c r="K151" s="494" t="n"/>
    </row>
    <row r="152" ht="15" customHeight="1" s="341">
      <c r="A152" s="495" t="n"/>
      <c r="B152" s="382">
        <f>IF(A152="","",IFERROR(VLOOKUP(A152,DB_Customers!$A:$D,4,0),"❌ Account Not Found"))</f>
        <v/>
      </c>
      <c r="C152" s="496">
        <f>IF(A152="","",IFERROR(VLOOKUP(A152,DB_Customers!$A:$N,14,0),""))</f>
        <v/>
      </c>
      <c r="D152" s="497">
        <f>IF(A152="","",TODAY())</f>
        <v/>
      </c>
      <c r="E152" s="489" t="n"/>
      <c r="F152" s="498">
        <f>IF(OR(A152="",E152=""),"",IF(C152="","",C152+E152))</f>
        <v/>
      </c>
      <c r="G152" s="384" t="inlineStr">
        <is>
          <t>Agent 08</t>
        </is>
      </c>
      <c r="H152" s="491" t="n"/>
      <c r="I152" s="499">
        <f>IF(A152="","Pending",IF(H152="","⚠️ Enter Code",IF(IFERROR(VLOOKUP(G152,DB_Agents!$B:$I,8,0),"")=H152,IF(AND(A152&lt;&gt;"",E152&lt;&gt;""),"Saved","Pending"),"🔒 BLOCKED — Wrong Code")))</f>
        <v/>
      </c>
      <c r="J152" s="500">
        <f>IF(I152="Saved",TEXT(TODAY(),"YYYY-MM-DD")&amp;" Auto","—")</f>
        <v/>
      </c>
      <c r="K152" s="501" t="n"/>
    </row>
    <row r="153" ht="15" customHeight="1" s="341">
      <c r="A153" s="486" t="n"/>
      <c r="B153" s="378">
        <f>IF(A153="","",IFERROR(VLOOKUP(A153,DB_Customers!$A:$D,4,0),"❌ Account Not Found"))</f>
        <v/>
      </c>
      <c r="C153" s="487">
        <f>IF(A153="","",IFERROR(VLOOKUP(A153,DB_Customers!$A:$N,14,0),""))</f>
        <v/>
      </c>
      <c r="D153" s="488">
        <f>IF(A153="","",TODAY())</f>
        <v/>
      </c>
      <c r="E153" s="489" t="n"/>
      <c r="F153" s="490">
        <f>IF(OR(A153="",E153=""),"",IF(C153="","",C153+E153))</f>
        <v/>
      </c>
      <c r="G153" s="380" t="inlineStr">
        <is>
          <t>Agent 08</t>
        </is>
      </c>
      <c r="H153" s="491" t="n"/>
      <c r="I153" s="492">
        <f>IF(A153="","Pending",IF(H153="","⚠️ Enter Code",IF(IFERROR(VLOOKUP(G153,DB_Agents!$B:$I,8,0),"")=H153,IF(AND(A153&lt;&gt;"",E153&lt;&gt;""),"Saved","Pending"),"🔒 BLOCKED — Wrong Code")))</f>
        <v/>
      </c>
      <c r="J153" s="493">
        <f>IF(I153="Saved",TEXT(TODAY(),"YYYY-MM-DD")&amp;" Auto","—")</f>
        <v/>
      </c>
      <c r="K153" s="494" t="n"/>
    </row>
    <row r="154" ht="15" customHeight="1" s="341">
      <c r="A154" s="495" t="n"/>
      <c r="B154" s="382">
        <f>IF(A154="","",IFERROR(VLOOKUP(A154,DB_Customers!$A:$D,4,0),"❌ Account Not Found"))</f>
        <v/>
      </c>
      <c r="C154" s="496">
        <f>IF(A154="","",IFERROR(VLOOKUP(A154,DB_Customers!$A:$N,14,0),""))</f>
        <v/>
      </c>
      <c r="D154" s="497">
        <f>IF(A154="","",TODAY())</f>
        <v/>
      </c>
      <c r="E154" s="489" t="n"/>
      <c r="F154" s="498">
        <f>IF(OR(A154="",E154=""),"",IF(C154="","",C154+E154))</f>
        <v/>
      </c>
      <c r="G154" s="384" t="inlineStr">
        <is>
          <t>Agent 08</t>
        </is>
      </c>
      <c r="H154" s="491" t="n"/>
      <c r="I154" s="499">
        <f>IF(A154="","Pending",IF(H154="","⚠️ Enter Code",IF(IFERROR(VLOOKUP(G154,DB_Agents!$B:$I,8,0),"")=H154,IF(AND(A154&lt;&gt;"",E154&lt;&gt;""),"Saved","Pending"),"🔒 BLOCKED — Wrong Code")))</f>
        <v/>
      </c>
      <c r="J154" s="500">
        <f>IF(I154="Saved",TEXT(TODAY(),"YYYY-MM-DD")&amp;" Auto","—")</f>
        <v/>
      </c>
      <c r="K154" s="501" t="n"/>
    </row>
    <row r="155" ht="15" customHeight="1" s="341">
      <c r="A155" s="486" t="n"/>
      <c r="B155" s="378">
        <f>IF(A155="","",IFERROR(VLOOKUP(A155,DB_Customers!$A:$D,4,0),"❌ Account Not Found"))</f>
        <v/>
      </c>
      <c r="C155" s="487">
        <f>IF(A155="","",IFERROR(VLOOKUP(A155,DB_Customers!$A:$N,14,0),""))</f>
        <v/>
      </c>
      <c r="D155" s="488">
        <f>IF(A155="","",TODAY())</f>
        <v/>
      </c>
      <c r="E155" s="489" t="n"/>
      <c r="F155" s="490">
        <f>IF(OR(A155="",E155=""),"",IF(C155="","",C155+E155))</f>
        <v/>
      </c>
      <c r="G155" s="380" t="inlineStr">
        <is>
          <t>Agent 08</t>
        </is>
      </c>
      <c r="H155" s="491" t="n"/>
      <c r="I155" s="492">
        <f>IF(A155="","Pending",IF(H155="","⚠️ Enter Code",IF(IFERROR(VLOOKUP(G155,DB_Agents!$B:$I,8,0),"")=H155,IF(AND(A155&lt;&gt;"",E155&lt;&gt;""),"Saved","Pending"),"🔒 BLOCKED — Wrong Code")))</f>
        <v/>
      </c>
      <c r="J155" s="493">
        <f>IF(I155="Saved",TEXT(TODAY(),"YYYY-MM-DD")&amp;" Auto","—")</f>
        <v/>
      </c>
      <c r="K155" s="494" t="n"/>
    </row>
    <row r="156" ht="15" customHeight="1" s="341">
      <c r="A156" s="495" t="n"/>
      <c r="B156" s="382">
        <f>IF(A156="","",IFERROR(VLOOKUP(A156,DB_Customers!$A:$D,4,0),"❌ Account Not Found"))</f>
        <v/>
      </c>
      <c r="C156" s="496">
        <f>IF(A156="","",IFERROR(VLOOKUP(A156,DB_Customers!$A:$N,14,0),""))</f>
        <v/>
      </c>
      <c r="D156" s="497">
        <f>IF(A156="","",TODAY())</f>
        <v/>
      </c>
      <c r="E156" s="489" t="n"/>
      <c r="F156" s="498">
        <f>IF(OR(A156="",E156=""),"",IF(C156="","",C156+E156))</f>
        <v/>
      </c>
      <c r="G156" s="384" t="inlineStr">
        <is>
          <t>Agent 08</t>
        </is>
      </c>
      <c r="H156" s="491" t="n"/>
      <c r="I156" s="499">
        <f>IF(A156="","Pending",IF(H156="","⚠️ Enter Code",IF(IFERROR(VLOOKUP(G156,DB_Agents!$B:$I,8,0),"")=H156,IF(AND(A156&lt;&gt;"",E156&lt;&gt;""),"Saved","Pending"),"🔒 BLOCKED — Wrong Code")))</f>
        <v/>
      </c>
      <c r="J156" s="500">
        <f>IF(I156="Saved",TEXT(TODAY(),"YYYY-MM-DD")&amp;" Auto","—")</f>
        <v/>
      </c>
      <c r="K156" s="501" t="n"/>
    </row>
    <row r="157" ht="15" customHeight="1" s="341">
      <c r="A157" s="486" t="n"/>
      <c r="B157" s="378">
        <f>IF(A157="","",IFERROR(VLOOKUP(A157,DB_Customers!$A:$D,4,0),"❌ Account Not Found"))</f>
        <v/>
      </c>
      <c r="C157" s="487">
        <f>IF(A157="","",IFERROR(VLOOKUP(A157,DB_Customers!$A:$N,14,0),""))</f>
        <v/>
      </c>
      <c r="D157" s="488">
        <f>IF(A157="","",TODAY())</f>
        <v/>
      </c>
      <c r="E157" s="489" t="n"/>
      <c r="F157" s="490">
        <f>IF(OR(A157="",E157=""),"",IF(C157="","",C157+E157))</f>
        <v/>
      </c>
      <c r="G157" s="380" t="inlineStr">
        <is>
          <t>Agent 08</t>
        </is>
      </c>
      <c r="H157" s="491" t="n"/>
      <c r="I157" s="492">
        <f>IF(A157="","Pending",IF(H157="","⚠️ Enter Code",IF(IFERROR(VLOOKUP(G157,DB_Agents!$B:$I,8,0),"")=H157,IF(AND(A157&lt;&gt;"",E157&lt;&gt;""),"Saved","Pending"),"🔒 BLOCKED — Wrong Code")))</f>
        <v/>
      </c>
      <c r="J157" s="493">
        <f>IF(I157="Saved",TEXT(TODAY(),"YYYY-MM-DD")&amp;" Auto","—")</f>
        <v/>
      </c>
      <c r="K157" s="494" t="n"/>
    </row>
    <row r="158" ht="15" customHeight="1" s="341">
      <c r="A158" s="495" t="n"/>
      <c r="B158" s="382">
        <f>IF(A158="","",IFERROR(VLOOKUP(A158,DB_Customers!$A:$D,4,0),"❌ Account Not Found"))</f>
        <v/>
      </c>
      <c r="C158" s="496">
        <f>IF(A158="","",IFERROR(VLOOKUP(A158,DB_Customers!$A:$N,14,0),""))</f>
        <v/>
      </c>
      <c r="D158" s="497">
        <f>IF(A158="","",TODAY())</f>
        <v/>
      </c>
      <c r="E158" s="489" t="n"/>
      <c r="F158" s="498">
        <f>IF(OR(A158="",E158=""),"",IF(C158="","",C158+E158))</f>
        <v/>
      </c>
      <c r="G158" s="384" t="inlineStr">
        <is>
          <t>Agent 08</t>
        </is>
      </c>
      <c r="H158" s="491" t="n"/>
      <c r="I158" s="499">
        <f>IF(A158="","Pending",IF(H158="","⚠️ Enter Code",IF(IFERROR(VLOOKUP(G158,DB_Agents!$B:$I,8,0),"")=H158,IF(AND(A158&lt;&gt;"",E158&lt;&gt;""),"Saved","Pending"),"🔒 BLOCKED — Wrong Code")))</f>
        <v/>
      </c>
      <c r="J158" s="500">
        <f>IF(I158="Saved",TEXT(TODAY(),"YYYY-MM-DD")&amp;" Auto","—")</f>
        <v/>
      </c>
      <c r="K158" s="501" t="n"/>
    </row>
    <row r="159" ht="15" customHeight="1" s="341">
      <c r="A159" s="486" t="n"/>
      <c r="B159" s="378">
        <f>IF(A159="","",IFERROR(VLOOKUP(A159,DB_Customers!$A:$D,4,0),"❌ Account Not Found"))</f>
        <v/>
      </c>
      <c r="C159" s="487">
        <f>IF(A159="","",IFERROR(VLOOKUP(A159,DB_Customers!$A:$N,14,0),""))</f>
        <v/>
      </c>
      <c r="D159" s="488">
        <f>IF(A159="","",TODAY())</f>
        <v/>
      </c>
      <c r="E159" s="489" t="n"/>
      <c r="F159" s="490">
        <f>IF(OR(A159="",E159=""),"",IF(C159="","",C159+E159))</f>
        <v/>
      </c>
      <c r="G159" s="380" t="inlineStr">
        <is>
          <t>Agent 08</t>
        </is>
      </c>
      <c r="H159" s="491" t="n"/>
      <c r="I159" s="492">
        <f>IF(A159="","Pending",IF(H159="","⚠️ Enter Code",IF(IFERROR(VLOOKUP(G159,DB_Agents!$B:$I,8,0),"")=H159,IF(AND(A159&lt;&gt;"",E159&lt;&gt;""),"Saved","Pending"),"🔒 BLOCKED — Wrong Code")))</f>
        <v/>
      </c>
      <c r="J159" s="493">
        <f>IF(I159="Saved",TEXT(TODAY(),"YYYY-MM-DD")&amp;" Auto","—")</f>
        <v/>
      </c>
      <c r="K159" s="494" t="n"/>
    </row>
    <row r="160" ht="15" customHeight="1" s="341">
      <c r="A160" s="495" t="n"/>
      <c r="B160" s="382">
        <f>IF(A160="","",IFERROR(VLOOKUP(A160,DB_Customers!$A:$D,4,0),"❌ Account Not Found"))</f>
        <v/>
      </c>
      <c r="C160" s="496">
        <f>IF(A160="","",IFERROR(VLOOKUP(A160,DB_Customers!$A:$N,14,0),""))</f>
        <v/>
      </c>
      <c r="D160" s="497">
        <f>IF(A160="","",TODAY())</f>
        <v/>
      </c>
      <c r="E160" s="489" t="n"/>
      <c r="F160" s="498">
        <f>IF(OR(A160="",E160=""),"",IF(C160="","",C160+E160))</f>
        <v/>
      </c>
      <c r="G160" s="384" t="inlineStr">
        <is>
          <t>Agent 08</t>
        </is>
      </c>
      <c r="H160" s="491" t="n"/>
      <c r="I160" s="499">
        <f>IF(A160="","Pending",IF(H160="","⚠️ Enter Code",IF(IFERROR(VLOOKUP(G160,DB_Agents!$B:$I,8,0),"")=H160,IF(AND(A160&lt;&gt;"",E160&lt;&gt;""),"Saved","Pending"),"🔒 BLOCKED — Wrong Code")))</f>
        <v/>
      </c>
      <c r="J160" s="500">
        <f>IF(I160="Saved",TEXT(TODAY(),"YYYY-MM-DD")&amp;" Auto","—")</f>
        <v/>
      </c>
      <c r="K160" s="501" t="n"/>
    </row>
    <row r="161" ht="15" customHeight="1" s="341">
      <c r="A161" s="486" t="n"/>
      <c r="B161" s="378">
        <f>IF(A161="","",IFERROR(VLOOKUP(A161,DB_Customers!$A:$D,4,0),"❌ Account Not Found"))</f>
        <v/>
      </c>
      <c r="C161" s="487">
        <f>IF(A161="","",IFERROR(VLOOKUP(A161,DB_Customers!$A:$N,14,0),""))</f>
        <v/>
      </c>
      <c r="D161" s="488">
        <f>IF(A161="","",TODAY())</f>
        <v/>
      </c>
      <c r="E161" s="489" t="n"/>
      <c r="F161" s="490">
        <f>IF(OR(A161="",E161=""),"",IF(C161="","",C161+E161))</f>
        <v/>
      </c>
      <c r="G161" s="380" t="inlineStr">
        <is>
          <t>Agent 08</t>
        </is>
      </c>
      <c r="H161" s="491" t="n"/>
      <c r="I161" s="492">
        <f>IF(A161="","Pending",IF(H161="","⚠️ Enter Code",IF(IFERROR(VLOOKUP(G161,DB_Agents!$B:$I,8,0),"")=H161,IF(AND(A161&lt;&gt;"",E161&lt;&gt;""),"Saved","Pending"),"🔒 BLOCKED — Wrong Code")))</f>
        <v/>
      </c>
      <c r="J161" s="493">
        <f>IF(I161="Saved",TEXT(TODAY(),"YYYY-MM-DD")&amp;" Auto","—")</f>
        <v/>
      </c>
      <c r="K161" s="494" t="n"/>
    </row>
    <row r="162" ht="15" customHeight="1" s="341">
      <c r="A162" s="495" t="n"/>
      <c r="B162" s="382">
        <f>IF(A162="","",IFERROR(VLOOKUP(A162,DB_Customers!$A:$D,4,0),"❌ Account Not Found"))</f>
        <v/>
      </c>
      <c r="C162" s="496">
        <f>IF(A162="","",IFERROR(VLOOKUP(A162,DB_Customers!$A:$N,14,0),""))</f>
        <v/>
      </c>
      <c r="D162" s="497">
        <f>IF(A162="","",TODAY())</f>
        <v/>
      </c>
      <c r="E162" s="489" t="n"/>
      <c r="F162" s="498">
        <f>IF(OR(A162="",E162=""),"",IF(C162="","",C162+E162))</f>
        <v/>
      </c>
      <c r="G162" s="384" t="inlineStr">
        <is>
          <t>Agent 08</t>
        </is>
      </c>
      <c r="H162" s="491" t="n"/>
      <c r="I162" s="499">
        <f>IF(A162="","Pending",IF(H162="","⚠️ Enter Code",IF(IFERROR(VLOOKUP(G162,DB_Agents!$B:$I,8,0),"")=H162,IF(AND(A162&lt;&gt;"",E162&lt;&gt;""),"Saved","Pending"),"🔒 BLOCKED — Wrong Code")))</f>
        <v/>
      </c>
      <c r="J162" s="500">
        <f>IF(I162="Saved",TEXT(TODAY(),"YYYY-MM-DD")&amp;" Auto","—")</f>
        <v/>
      </c>
      <c r="K162" s="501" t="n"/>
    </row>
    <row r="163" ht="15" customHeight="1" s="341">
      <c r="A163" s="486" t="n"/>
      <c r="B163" s="378">
        <f>IF(A163="","",IFERROR(VLOOKUP(A163,DB_Customers!$A:$D,4,0),"❌ Account Not Found"))</f>
        <v/>
      </c>
      <c r="C163" s="487">
        <f>IF(A163="","",IFERROR(VLOOKUP(A163,DB_Customers!$A:$N,14,0),""))</f>
        <v/>
      </c>
      <c r="D163" s="488">
        <f>IF(A163="","",TODAY())</f>
        <v/>
      </c>
      <c r="E163" s="489" t="n"/>
      <c r="F163" s="490">
        <f>IF(OR(A163="",E163=""),"",IF(C163="","",C163+E163))</f>
        <v/>
      </c>
      <c r="G163" s="380" t="inlineStr">
        <is>
          <t>Agent 08</t>
        </is>
      </c>
      <c r="H163" s="491" t="n"/>
      <c r="I163" s="492">
        <f>IF(A163="","Pending",IF(H163="","⚠️ Enter Code",IF(IFERROR(VLOOKUP(G163,DB_Agents!$B:$I,8,0),"")=H163,IF(AND(A163&lt;&gt;"",E163&lt;&gt;""),"Saved","Pending"),"🔒 BLOCKED — Wrong Code")))</f>
        <v/>
      </c>
      <c r="J163" s="493">
        <f>IF(I163="Saved",TEXT(TODAY(),"YYYY-MM-DD")&amp;" Auto","—")</f>
        <v/>
      </c>
      <c r="K163" s="494" t="n"/>
    </row>
    <row r="164" ht="15" customHeight="1" s="341">
      <c r="A164" s="495" t="n"/>
      <c r="B164" s="382">
        <f>IF(A164="","",IFERROR(VLOOKUP(A164,DB_Customers!$A:$D,4,0),"❌ Account Not Found"))</f>
        <v/>
      </c>
      <c r="C164" s="496">
        <f>IF(A164="","",IFERROR(VLOOKUP(A164,DB_Customers!$A:$N,14,0),""))</f>
        <v/>
      </c>
      <c r="D164" s="497">
        <f>IF(A164="","",TODAY())</f>
        <v/>
      </c>
      <c r="E164" s="489" t="n"/>
      <c r="F164" s="498">
        <f>IF(OR(A164="",E164=""),"",IF(C164="","",C164+E164))</f>
        <v/>
      </c>
      <c r="G164" s="384" t="inlineStr">
        <is>
          <t>Agent 08</t>
        </is>
      </c>
      <c r="H164" s="491" t="n"/>
      <c r="I164" s="499">
        <f>IF(A164="","Pending",IF(H164="","⚠️ Enter Code",IF(IFERROR(VLOOKUP(G164,DB_Agents!$B:$I,8,0),"")=H164,IF(AND(A164&lt;&gt;"",E164&lt;&gt;""),"Saved","Pending"),"🔒 BLOCKED — Wrong Code")))</f>
        <v/>
      </c>
      <c r="J164" s="500">
        <f>IF(I164="Saved",TEXT(TODAY(),"YYYY-MM-DD")&amp;" Auto","—")</f>
        <v/>
      </c>
      <c r="K164" s="501" t="n"/>
    </row>
    <row r="165" ht="15" customHeight="1" s="341">
      <c r="A165" s="486" t="n"/>
      <c r="B165" s="378">
        <f>IF(A165="","",IFERROR(VLOOKUP(A165,DB_Customers!$A:$D,4,0),"❌ Account Not Found"))</f>
        <v/>
      </c>
      <c r="C165" s="487">
        <f>IF(A165="","",IFERROR(VLOOKUP(A165,DB_Customers!$A:$N,14,0),""))</f>
        <v/>
      </c>
      <c r="D165" s="488">
        <f>IF(A165="","",TODAY())</f>
        <v/>
      </c>
      <c r="E165" s="489" t="n"/>
      <c r="F165" s="490">
        <f>IF(OR(A165="",E165=""),"",IF(C165="","",C165+E165))</f>
        <v/>
      </c>
      <c r="G165" s="380" t="inlineStr">
        <is>
          <t>Agent 08</t>
        </is>
      </c>
      <c r="H165" s="491" t="n"/>
      <c r="I165" s="492">
        <f>IF(A165="","Pending",IF(H165="","⚠️ Enter Code",IF(IFERROR(VLOOKUP(G165,DB_Agents!$B:$I,8,0),"")=H165,IF(AND(A165&lt;&gt;"",E165&lt;&gt;""),"Saved","Pending"),"🔒 BLOCKED — Wrong Code")))</f>
        <v/>
      </c>
      <c r="J165" s="493">
        <f>IF(I165="Saved",TEXT(TODAY(),"YYYY-MM-DD")&amp;" Auto","—")</f>
        <v/>
      </c>
      <c r="K165" s="494" t="n"/>
    </row>
    <row r="166" ht="15" customHeight="1" s="341">
      <c r="A166" s="495" t="n"/>
      <c r="B166" s="382">
        <f>IF(A166="","",IFERROR(VLOOKUP(A166,DB_Customers!$A:$D,4,0),"❌ Account Not Found"))</f>
        <v/>
      </c>
      <c r="C166" s="496">
        <f>IF(A166="","",IFERROR(VLOOKUP(A166,DB_Customers!$A:$N,14,0),""))</f>
        <v/>
      </c>
      <c r="D166" s="497">
        <f>IF(A166="","",TODAY())</f>
        <v/>
      </c>
      <c r="E166" s="489" t="n"/>
      <c r="F166" s="498">
        <f>IF(OR(A166="",E166=""),"",IF(C166="","",C166+E166))</f>
        <v/>
      </c>
      <c r="G166" s="384" t="inlineStr">
        <is>
          <t>Agent 08</t>
        </is>
      </c>
      <c r="H166" s="491" t="n"/>
      <c r="I166" s="499">
        <f>IF(A166="","Pending",IF(H166="","⚠️ Enter Code",IF(IFERROR(VLOOKUP(G166,DB_Agents!$B:$I,8,0),"")=H166,IF(AND(A166&lt;&gt;"",E166&lt;&gt;""),"Saved","Pending"),"🔒 BLOCKED — Wrong Code")))</f>
        <v/>
      </c>
      <c r="J166" s="500">
        <f>IF(I166="Saved",TEXT(TODAY(),"YYYY-MM-DD")&amp;" Auto","—")</f>
        <v/>
      </c>
      <c r="K166" s="501" t="n"/>
    </row>
    <row r="167" ht="15" customHeight="1" s="341">
      <c r="A167" s="486" t="n"/>
      <c r="B167" s="378">
        <f>IF(A167="","",IFERROR(VLOOKUP(A167,DB_Customers!$A:$D,4,0),"❌ Account Not Found"))</f>
        <v/>
      </c>
      <c r="C167" s="487">
        <f>IF(A167="","",IFERROR(VLOOKUP(A167,DB_Customers!$A:$N,14,0),""))</f>
        <v/>
      </c>
      <c r="D167" s="488">
        <f>IF(A167="","",TODAY())</f>
        <v/>
      </c>
      <c r="E167" s="489" t="n"/>
      <c r="F167" s="490">
        <f>IF(OR(A167="",E167=""),"",IF(C167="","",C167+E167))</f>
        <v/>
      </c>
      <c r="G167" s="380" t="inlineStr">
        <is>
          <t>Agent 08</t>
        </is>
      </c>
      <c r="H167" s="491" t="n"/>
      <c r="I167" s="492">
        <f>IF(A167="","Pending",IF(H167="","⚠️ Enter Code",IF(IFERROR(VLOOKUP(G167,DB_Agents!$B:$I,8,0),"")=H167,IF(AND(A167&lt;&gt;"",E167&lt;&gt;""),"Saved","Pending"),"🔒 BLOCKED — Wrong Code")))</f>
        <v/>
      </c>
      <c r="J167" s="493">
        <f>IF(I167="Saved",TEXT(TODAY(),"YYYY-MM-DD")&amp;" Auto","—")</f>
        <v/>
      </c>
      <c r="K167" s="494" t="n"/>
    </row>
    <row r="168" ht="15" customHeight="1" s="341">
      <c r="A168" s="495" t="n"/>
      <c r="B168" s="382">
        <f>IF(A168="","",IFERROR(VLOOKUP(A168,DB_Customers!$A:$D,4,0),"❌ Account Not Found"))</f>
        <v/>
      </c>
      <c r="C168" s="496">
        <f>IF(A168="","",IFERROR(VLOOKUP(A168,DB_Customers!$A:$N,14,0),""))</f>
        <v/>
      </c>
      <c r="D168" s="497">
        <f>IF(A168="","",TODAY())</f>
        <v/>
      </c>
      <c r="E168" s="489" t="n"/>
      <c r="F168" s="498">
        <f>IF(OR(A168="",E168=""),"",IF(C168="","",C168+E168))</f>
        <v/>
      </c>
      <c r="G168" s="384" t="inlineStr">
        <is>
          <t>Agent 08</t>
        </is>
      </c>
      <c r="H168" s="491" t="n"/>
      <c r="I168" s="499">
        <f>IF(A168="","Pending",IF(H168="","⚠️ Enter Code",IF(IFERROR(VLOOKUP(G168,DB_Agents!$B:$I,8,0),"")=H168,IF(AND(A168&lt;&gt;"",E168&lt;&gt;""),"Saved","Pending"),"🔒 BLOCKED — Wrong Code")))</f>
        <v/>
      </c>
      <c r="J168" s="500">
        <f>IF(I168="Saved",TEXT(TODAY(),"YYYY-MM-DD")&amp;" Auto","—")</f>
        <v/>
      </c>
      <c r="K168" s="501" t="n"/>
    </row>
    <row r="169" ht="15" customHeight="1" s="341">
      <c r="A169" s="486" t="n"/>
      <c r="B169" s="378">
        <f>IF(A169="","",IFERROR(VLOOKUP(A169,DB_Customers!$A:$D,4,0),"❌ Account Not Found"))</f>
        <v/>
      </c>
      <c r="C169" s="487">
        <f>IF(A169="","",IFERROR(VLOOKUP(A169,DB_Customers!$A:$N,14,0),""))</f>
        <v/>
      </c>
      <c r="D169" s="488">
        <f>IF(A169="","",TODAY())</f>
        <v/>
      </c>
      <c r="E169" s="489" t="n"/>
      <c r="F169" s="490">
        <f>IF(OR(A169="",E169=""),"",IF(C169="","",C169+E169))</f>
        <v/>
      </c>
      <c r="G169" s="380" t="inlineStr">
        <is>
          <t>Agent 08</t>
        </is>
      </c>
      <c r="H169" s="491" t="n"/>
      <c r="I169" s="492">
        <f>IF(A169="","Pending",IF(H169="","⚠️ Enter Code",IF(IFERROR(VLOOKUP(G169,DB_Agents!$B:$I,8,0),"")=H169,IF(AND(A169&lt;&gt;"",E169&lt;&gt;""),"Saved","Pending"),"🔒 BLOCKED — Wrong Code")))</f>
        <v/>
      </c>
      <c r="J169" s="493">
        <f>IF(I169="Saved",TEXT(TODAY(),"YYYY-MM-DD")&amp;" Auto","—")</f>
        <v/>
      </c>
      <c r="K169" s="494" t="n"/>
    </row>
    <row r="170" ht="15" customHeight="1" s="341">
      <c r="A170" s="495" t="n"/>
      <c r="B170" s="382">
        <f>IF(A170="","",IFERROR(VLOOKUP(A170,DB_Customers!$A:$D,4,0),"❌ Account Not Found"))</f>
        <v/>
      </c>
      <c r="C170" s="496">
        <f>IF(A170="","",IFERROR(VLOOKUP(A170,DB_Customers!$A:$N,14,0),""))</f>
        <v/>
      </c>
      <c r="D170" s="497">
        <f>IF(A170="","",TODAY())</f>
        <v/>
      </c>
      <c r="E170" s="489" t="n"/>
      <c r="F170" s="498">
        <f>IF(OR(A170="",E170=""),"",IF(C170="","",C170+E170))</f>
        <v/>
      </c>
      <c r="G170" s="384" t="inlineStr">
        <is>
          <t>Agent 08</t>
        </is>
      </c>
      <c r="H170" s="491" t="n"/>
      <c r="I170" s="499">
        <f>IF(A170="","Pending",IF(H170="","⚠️ Enter Code",IF(IFERROR(VLOOKUP(G170,DB_Agents!$B:$I,8,0),"")=H170,IF(AND(A170&lt;&gt;"",E170&lt;&gt;""),"Saved","Pending"),"🔒 BLOCKED — Wrong Code")))</f>
        <v/>
      </c>
      <c r="J170" s="500">
        <f>IF(I170="Saved",TEXT(TODAY(),"YYYY-MM-DD")&amp;" Auto","—")</f>
        <v/>
      </c>
      <c r="K170" s="501" t="n"/>
    </row>
    <row r="171" ht="15" customHeight="1" s="341">
      <c r="A171" s="486" t="n"/>
      <c r="B171" s="378">
        <f>IF(A171="","",IFERROR(VLOOKUP(A171,DB_Customers!$A:$D,4,0),"❌ Account Not Found"))</f>
        <v/>
      </c>
      <c r="C171" s="487">
        <f>IF(A171="","",IFERROR(VLOOKUP(A171,DB_Customers!$A:$N,14,0),""))</f>
        <v/>
      </c>
      <c r="D171" s="488">
        <f>IF(A171="","",TODAY())</f>
        <v/>
      </c>
      <c r="E171" s="489" t="n"/>
      <c r="F171" s="490">
        <f>IF(OR(A171="",E171=""),"",IF(C171="","",C171+E171))</f>
        <v/>
      </c>
      <c r="G171" s="380" t="inlineStr">
        <is>
          <t>Agent 08</t>
        </is>
      </c>
      <c r="H171" s="491" t="n"/>
      <c r="I171" s="492">
        <f>IF(A171="","Pending",IF(H171="","⚠️ Enter Code",IF(IFERROR(VLOOKUP(G171,DB_Agents!$B:$I,8,0),"")=H171,IF(AND(A171&lt;&gt;"",E171&lt;&gt;""),"Saved","Pending"),"🔒 BLOCKED — Wrong Code")))</f>
        <v/>
      </c>
      <c r="J171" s="493">
        <f>IF(I171="Saved",TEXT(TODAY(),"YYYY-MM-DD")&amp;" Auto","—")</f>
        <v/>
      </c>
      <c r="K171" s="494" t="n"/>
    </row>
    <row r="172" ht="15" customHeight="1" s="341">
      <c r="A172" s="495" t="n"/>
      <c r="B172" s="382">
        <f>IF(A172="","",IFERROR(VLOOKUP(A172,DB_Customers!$A:$D,4,0),"❌ Account Not Found"))</f>
        <v/>
      </c>
      <c r="C172" s="496">
        <f>IF(A172="","",IFERROR(VLOOKUP(A172,DB_Customers!$A:$N,14,0),""))</f>
        <v/>
      </c>
      <c r="D172" s="497">
        <f>IF(A172="","",TODAY())</f>
        <v/>
      </c>
      <c r="E172" s="489" t="n"/>
      <c r="F172" s="498">
        <f>IF(OR(A172="",E172=""),"",IF(C172="","",C172+E172))</f>
        <v/>
      </c>
      <c r="G172" s="384" t="inlineStr">
        <is>
          <t>Agent 08</t>
        </is>
      </c>
      <c r="H172" s="491" t="n"/>
      <c r="I172" s="499">
        <f>IF(A172="","Pending",IF(H172="","⚠️ Enter Code",IF(IFERROR(VLOOKUP(G172,DB_Agents!$B:$I,8,0),"")=H172,IF(AND(A172&lt;&gt;"",E172&lt;&gt;""),"Saved","Pending"),"🔒 BLOCKED — Wrong Code")))</f>
        <v/>
      </c>
      <c r="J172" s="500">
        <f>IF(I172="Saved",TEXT(TODAY(),"YYYY-MM-DD")&amp;" Auto","—")</f>
        <v/>
      </c>
      <c r="K172" s="501" t="n"/>
    </row>
    <row r="173" ht="15" customHeight="1" s="341">
      <c r="A173" s="486" t="n"/>
      <c r="B173" s="378">
        <f>IF(A173="","",IFERROR(VLOOKUP(A173,DB_Customers!$A:$D,4,0),"❌ Account Not Found"))</f>
        <v/>
      </c>
      <c r="C173" s="487">
        <f>IF(A173="","",IFERROR(VLOOKUP(A173,DB_Customers!$A:$N,14,0),""))</f>
        <v/>
      </c>
      <c r="D173" s="488">
        <f>IF(A173="","",TODAY())</f>
        <v/>
      </c>
      <c r="E173" s="489" t="n"/>
      <c r="F173" s="490">
        <f>IF(OR(A173="",E173=""),"",IF(C173="","",C173+E173))</f>
        <v/>
      </c>
      <c r="G173" s="380" t="inlineStr">
        <is>
          <t>Agent 08</t>
        </is>
      </c>
      <c r="H173" s="491" t="n"/>
      <c r="I173" s="492">
        <f>IF(A173="","Pending",IF(H173="","⚠️ Enter Code",IF(IFERROR(VLOOKUP(G173,DB_Agents!$B:$I,8,0),"")=H173,IF(AND(A173&lt;&gt;"",E173&lt;&gt;""),"Saved","Pending"),"🔒 BLOCKED — Wrong Code")))</f>
        <v/>
      </c>
      <c r="J173" s="493">
        <f>IF(I173="Saved",TEXT(TODAY(),"YYYY-MM-DD")&amp;" Auto","—")</f>
        <v/>
      </c>
      <c r="K173" s="494" t="n"/>
    </row>
    <row r="174" ht="15" customHeight="1" s="341">
      <c r="A174" s="495" t="n"/>
      <c r="B174" s="382">
        <f>IF(A174="","",IFERROR(VLOOKUP(A174,DB_Customers!$A:$D,4,0),"❌ Account Not Found"))</f>
        <v/>
      </c>
      <c r="C174" s="496">
        <f>IF(A174="","",IFERROR(VLOOKUP(A174,DB_Customers!$A:$N,14,0),""))</f>
        <v/>
      </c>
      <c r="D174" s="497">
        <f>IF(A174="","",TODAY())</f>
        <v/>
      </c>
      <c r="E174" s="489" t="n"/>
      <c r="F174" s="498">
        <f>IF(OR(A174="",E174=""),"",IF(C174="","",C174+E174))</f>
        <v/>
      </c>
      <c r="G174" s="384" t="inlineStr">
        <is>
          <t>Agent 08</t>
        </is>
      </c>
      <c r="H174" s="491" t="n"/>
      <c r="I174" s="499">
        <f>IF(A174="","Pending",IF(H174="","⚠️ Enter Code",IF(IFERROR(VLOOKUP(G174,DB_Agents!$B:$I,8,0),"")=H174,IF(AND(A174&lt;&gt;"",E174&lt;&gt;""),"Saved","Pending"),"🔒 BLOCKED — Wrong Code")))</f>
        <v/>
      </c>
      <c r="J174" s="500">
        <f>IF(I174="Saved",TEXT(TODAY(),"YYYY-MM-DD")&amp;" Auto","—")</f>
        <v/>
      </c>
      <c r="K174" s="501" t="n"/>
    </row>
    <row r="175" ht="15" customHeight="1" s="341">
      <c r="A175" s="486" t="n"/>
      <c r="B175" s="378">
        <f>IF(A175="","",IFERROR(VLOOKUP(A175,DB_Customers!$A:$D,4,0),"❌ Account Not Found"))</f>
        <v/>
      </c>
      <c r="C175" s="487">
        <f>IF(A175="","",IFERROR(VLOOKUP(A175,DB_Customers!$A:$N,14,0),""))</f>
        <v/>
      </c>
      <c r="D175" s="488">
        <f>IF(A175="","",TODAY())</f>
        <v/>
      </c>
      <c r="E175" s="489" t="n"/>
      <c r="F175" s="490">
        <f>IF(OR(A175="",E175=""),"",IF(C175="","",C175+E175))</f>
        <v/>
      </c>
      <c r="G175" s="380" t="inlineStr">
        <is>
          <t>Agent 08</t>
        </is>
      </c>
      <c r="H175" s="491" t="n"/>
      <c r="I175" s="492">
        <f>IF(A175="","Pending",IF(H175="","⚠️ Enter Code",IF(IFERROR(VLOOKUP(G175,DB_Agents!$B:$I,8,0),"")=H175,IF(AND(A175&lt;&gt;"",E175&lt;&gt;""),"Saved","Pending"),"🔒 BLOCKED — Wrong Code")))</f>
        <v/>
      </c>
      <c r="J175" s="493">
        <f>IF(I175="Saved",TEXT(TODAY(),"YYYY-MM-DD")&amp;" Auto","—")</f>
        <v/>
      </c>
      <c r="K175" s="494" t="n"/>
    </row>
    <row r="176" ht="15" customHeight="1" s="341">
      <c r="A176" s="495" t="n"/>
      <c r="B176" s="382">
        <f>IF(A176="","",IFERROR(VLOOKUP(A176,DB_Customers!$A:$D,4,0),"❌ Account Not Found"))</f>
        <v/>
      </c>
      <c r="C176" s="496">
        <f>IF(A176="","",IFERROR(VLOOKUP(A176,DB_Customers!$A:$N,14,0),""))</f>
        <v/>
      </c>
      <c r="D176" s="497">
        <f>IF(A176="","",TODAY())</f>
        <v/>
      </c>
      <c r="E176" s="489" t="n"/>
      <c r="F176" s="498">
        <f>IF(OR(A176="",E176=""),"",IF(C176="","",C176+E176))</f>
        <v/>
      </c>
      <c r="G176" s="384" t="inlineStr">
        <is>
          <t>Agent 08</t>
        </is>
      </c>
      <c r="H176" s="491" t="n"/>
      <c r="I176" s="499">
        <f>IF(A176="","Pending",IF(H176="","⚠️ Enter Code",IF(IFERROR(VLOOKUP(G176,DB_Agents!$B:$I,8,0),"")=H176,IF(AND(A176&lt;&gt;"",E176&lt;&gt;""),"Saved","Pending"),"🔒 BLOCKED — Wrong Code")))</f>
        <v/>
      </c>
      <c r="J176" s="500">
        <f>IF(I176="Saved",TEXT(TODAY(),"YYYY-MM-DD")&amp;" Auto","—")</f>
        <v/>
      </c>
      <c r="K176" s="501" t="n"/>
    </row>
    <row r="177" ht="15" customHeight="1" s="341">
      <c r="A177" s="486" t="n"/>
      <c r="B177" s="378">
        <f>IF(A177="","",IFERROR(VLOOKUP(A177,DB_Customers!$A:$D,4,0),"❌ Account Not Found"))</f>
        <v/>
      </c>
      <c r="C177" s="487">
        <f>IF(A177="","",IFERROR(VLOOKUP(A177,DB_Customers!$A:$N,14,0),""))</f>
        <v/>
      </c>
      <c r="D177" s="488">
        <f>IF(A177="","",TODAY())</f>
        <v/>
      </c>
      <c r="E177" s="489" t="n"/>
      <c r="F177" s="490">
        <f>IF(OR(A177="",E177=""),"",IF(C177="","",C177+E177))</f>
        <v/>
      </c>
      <c r="G177" s="380" t="inlineStr">
        <is>
          <t>Agent 08</t>
        </is>
      </c>
      <c r="H177" s="491" t="n"/>
      <c r="I177" s="492">
        <f>IF(A177="","Pending",IF(H177="","⚠️ Enter Code",IF(IFERROR(VLOOKUP(G177,DB_Agents!$B:$I,8,0),"")=H177,IF(AND(A177&lt;&gt;"",E177&lt;&gt;""),"Saved","Pending"),"🔒 BLOCKED — Wrong Code")))</f>
        <v/>
      </c>
      <c r="J177" s="493">
        <f>IF(I177="Saved",TEXT(TODAY(),"YYYY-MM-DD")&amp;" Auto","—")</f>
        <v/>
      </c>
      <c r="K177" s="494" t="n"/>
    </row>
    <row r="178" ht="15" customHeight="1" s="341">
      <c r="A178" s="495" t="n"/>
      <c r="B178" s="382">
        <f>IF(A178="","",IFERROR(VLOOKUP(A178,DB_Customers!$A:$D,4,0),"❌ Account Not Found"))</f>
        <v/>
      </c>
      <c r="C178" s="496">
        <f>IF(A178="","",IFERROR(VLOOKUP(A178,DB_Customers!$A:$N,14,0),""))</f>
        <v/>
      </c>
      <c r="D178" s="497">
        <f>IF(A178="","",TODAY())</f>
        <v/>
      </c>
      <c r="E178" s="489" t="n"/>
      <c r="F178" s="498">
        <f>IF(OR(A178="",E178=""),"",IF(C178="","",C178+E178))</f>
        <v/>
      </c>
      <c r="G178" s="384" t="inlineStr">
        <is>
          <t>Agent 08</t>
        </is>
      </c>
      <c r="H178" s="491" t="n"/>
      <c r="I178" s="499">
        <f>IF(A178="","Pending",IF(H178="","⚠️ Enter Code",IF(IFERROR(VLOOKUP(G178,DB_Agents!$B:$I,8,0),"")=H178,IF(AND(A178&lt;&gt;"",E178&lt;&gt;""),"Saved","Pending"),"🔒 BLOCKED — Wrong Code")))</f>
        <v/>
      </c>
      <c r="J178" s="500">
        <f>IF(I178="Saved",TEXT(TODAY(),"YYYY-MM-DD")&amp;" Auto","—")</f>
        <v/>
      </c>
      <c r="K178" s="501" t="n"/>
    </row>
    <row r="179" ht="15" customHeight="1" s="341">
      <c r="A179" s="486" t="n"/>
      <c r="B179" s="378">
        <f>IF(A179="","",IFERROR(VLOOKUP(A179,DB_Customers!$A:$D,4,0),"❌ Account Not Found"))</f>
        <v/>
      </c>
      <c r="C179" s="487">
        <f>IF(A179="","",IFERROR(VLOOKUP(A179,DB_Customers!$A:$N,14,0),""))</f>
        <v/>
      </c>
      <c r="D179" s="488">
        <f>IF(A179="","",TODAY())</f>
        <v/>
      </c>
      <c r="E179" s="489" t="n"/>
      <c r="F179" s="490">
        <f>IF(OR(A179="",E179=""),"",IF(C179="","",C179+E179))</f>
        <v/>
      </c>
      <c r="G179" s="380" t="inlineStr">
        <is>
          <t>Agent 08</t>
        </is>
      </c>
      <c r="H179" s="491" t="n"/>
      <c r="I179" s="492">
        <f>IF(A179="","Pending",IF(H179="","⚠️ Enter Code",IF(IFERROR(VLOOKUP(G179,DB_Agents!$B:$I,8,0),"")=H179,IF(AND(A179&lt;&gt;"",E179&lt;&gt;""),"Saved","Pending"),"🔒 BLOCKED — Wrong Code")))</f>
        <v/>
      </c>
      <c r="J179" s="493">
        <f>IF(I179="Saved",TEXT(TODAY(),"YYYY-MM-DD")&amp;" Auto","—")</f>
        <v/>
      </c>
      <c r="K179" s="494" t="n"/>
    </row>
    <row r="180" ht="15" customHeight="1" s="341">
      <c r="A180" s="495" t="n"/>
      <c r="B180" s="382">
        <f>IF(A180="","",IFERROR(VLOOKUP(A180,DB_Customers!$A:$D,4,0),"❌ Account Not Found"))</f>
        <v/>
      </c>
      <c r="C180" s="496">
        <f>IF(A180="","",IFERROR(VLOOKUP(A180,DB_Customers!$A:$N,14,0),""))</f>
        <v/>
      </c>
      <c r="D180" s="497">
        <f>IF(A180="","",TODAY())</f>
        <v/>
      </c>
      <c r="E180" s="489" t="n"/>
      <c r="F180" s="498">
        <f>IF(OR(A180="",E180=""),"",IF(C180="","",C180+E180))</f>
        <v/>
      </c>
      <c r="G180" s="384" t="inlineStr">
        <is>
          <t>Agent 08</t>
        </is>
      </c>
      <c r="H180" s="491" t="n"/>
      <c r="I180" s="499">
        <f>IF(A180="","Pending",IF(H180="","⚠️ Enter Code",IF(IFERROR(VLOOKUP(G180,DB_Agents!$B:$I,8,0),"")=H180,IF(AND(A180&lt;&gt;"",E180&lt;&gt;""),"Saved","Pending"),"🔒 BLOCKED — Wrong Code")))</f>
        <v/>
      </c>
      <c r="J180" s="500">
        <f>IF(I180="Saved",TEXT(TODAY(),"YYYY-MM-DD")&amp;" Auto","—")</f>
        <v/>
      </c>
      <c r="K180" s="501" t="n"/>
    </row>
    <row r="181" ht="15" customHeight="1" s="341">
      <c r="A181" s="486" t="n"/>
      <c r="B181" s="378">
        <f>IF(A181="","",IFERROR(VLOOKUP(A181,DB_Customers!$A:$D,4,0),"❌ Account Not Found"))</f>
        <v/>
      </c>
      <c r="C181" s="487">
        <f>IF(A181="","",IFERROR(VLOOKUP(A181,DB_Customers!$A:$N,14,0),""))</f>
        <v/>
      </c>
      <c r="D181" s="488">
        <f>IF(A181="","",TODAY())</f>
        <v/>
      </c>
      <c r="E181" s="489" t="n"/>
      <c r="F181" s="490">
        <f>IF(OR(A181="",E181=""),"",IF(C181="","",C181+E181))</f>
        <v/>
      </c>
      <c r="G181" s="380" t="inlineStr">
        <is>
          <t>Agent 08</t>
        </is>
      </c>
      <c r="H181" s="491" t="n"/>
      <c r="I181" s="492">
        <f>IF(A181="","Pending",IF(H181="","⚠️ Enter Code",IF(IFERROR(VLOOKUP(G181,DB_Agents!$B:$I,8,0),"")=H181,IF(AND(A181&lt;&gt;"",E181&lt;&gt;""),"Saved","Pending"),"🔒 BLOCKED — Wrong Code")))</f>
        <v/>
      </c>
      <c r="J181" s="493">
        <f>IF(I181="Saved",TEXT(TODAY(),"YYYY-MM-DD")&amp;" Auto","—")</f>
        <v/>
      </c>
      <c r="K181" s="494" t="n"/>
    </row>
    <row r="182" ht="15" customHeight="1" s="341">
      <c r="A182" s="495" t="n"/>
      <c r="B182" s="382">
        <f>IF(A182="","",IFERROR(VLOOKUP(A182,DB_Customers!$A:$D,4,0),"❌ Account Not Found"))</f>
        <v/>
      </c>
      <c r="C182" s="496">
        <f>IF(A182="","",IFERROR(VLOOKUP(A182,DB_Customers!$A:$N,14,0),""))</f>
        <v/>
      </c>
      <c r="D182" s="497">
        <f>IF(A182="","",TODAY())</f>
        <v/>
      </c>
      <c r="E182" s="489" t="n"/>
      <c r="F182" s="498">
        <f>IF(OR(A182="",E182=""),"",IF(C182="","",C182+E182))</f>
        <v/>
      </c>
      <c r="G182" s="384" t="inlineStr">
        <is>
          <t>Agent 08</t>
        </is>
      </c>
      <c r="H182" s="491" t="n"/>
      <c r="I182" s="499">
        <f>IF(A182="","Pending",IF(H182="","⚠️ Enter Code",IF(IFERROR(VLOOKUP(G182,DB_Agents!$B:$I,8,0),"")=H182,IF(AND(A182&lt;&gt;"",E182&lt;&gt;""),"Saved","Pending"),"🔒 BLOCKED — Wrong Code")))</f>
        <v/>
      </c>
      <c r="J182" s="500">
        <f>IF(I182="Saved",TEXT(TODAY(),"YYYY-MM-DD")&amp;" Auto","—")</f>
        <v/>
      </c>
      <c r="K182" s="501" t="n"/>
    </row>
    <row r="183" ht="15" customHeight="1" s="341">
      <c r="A183" s="486" t="n"/>
      <c r="B183" s="378">
        <f>IF(A183="","",IFERROR(VLOOKUP(A183,DB_Customers!$A:$D,4,0),"❌ Account Not Found"))</f>
        <v/>
      </c>
      <c r="C183" s="487">
        <f>IF(A183="","",IFERROR(VLOOKUP(A183,DB_Customers!$A:$N,14,0),""))</f>
        <v/>
      </c>
      <c r="D183" s="488">
        <f>IF(A183="","",TODAY())</f>
        <v/>
      </c>
      <c r="E183" s="489" t="n"/>
      <c r="F183" s="490">
        <f>IF(OR(A183="",E183=""),"",IF(C183="","",C183+E183))</f>
        <v/>
      </c>
      <c r="G183" s="380" t="inlineStr">
        <is>
          <t>Agent 08</t>
        </is>
      </c>
      <c r="H183" s="491" t="n"/>
      <c r="I183" s="492">
        <f>IF(A183="","Pending",IF(H183="","⚠️ Enter Code",IF(IFERROR(VLOOKUP(G183,DB_Agents!$B:$I,8,0),"")=H183,IF(AND(A183&lt;&gt;"",E183&lt;&gt;""),"Saved","Pending"),"🔒 BLOCKED — Wrong Code")))</f>
        <v/>
      </c>
      <c r="J183" s="493">
        <f>IF(I183="Saved",TEXT(TODAY(),"YYYY-MM-DD")&amp;" Auto","—")</f>
        <v/>
      </c>
      <c r="K183" s="494" t="n"/>
    </row>
    <row r="184" ht="15" customHeight="1" s="341">
      <c r="A184" s="495" t="n"/>
      <c r="B184" s="382">
        <f>IF(A184="","",IFERROR(VLOOKUP(A184,DB_Customers!$A:$D,4,0),"❌ Account Not Found"))</f>
        <v/>
      </c>
      <c r="C184" s="496">
        <f>IF(A184="","",IFERROR(VLOOKUP(A184,DB_Customers!$A:$N,14,0),""))</f>
        <v/>
      </c>
      <c r="D184" s="497">
        <f>IF(A184="","",TODAY())</f>
        <v/>
      </c>
      <c r="E184" s="489" t="n"/>
      <c r="F184" s="498">
        <f>IF(OR(A184="",E184=""),"",IF(C184="","",C184+E184))</f>
        <v/>
      </c>
      <c r="G184" s="384" t="inlineStr">
        <is>
          <t>Agent 08</t>
        </is>
      </c>
      <c r="H184" s="491" t="n"/>
      <c r="I184" s="499">
        <f>IF(A184="","Pending",IF(H184="","⚠️ Enter Code",IF(IFERROR(VLOOKUP(G184,DB_Agents!$B:$I,8,0),"")=H184,IF(AND(A184&lt;&gt;"",E184&lt;&gt;""),"Saved","Pending"),"🔒 BLOCKED — Wrong Code")))</f>
        <v/>
      </c>
      <c r="J184" s="500">
        <f>IF(I184="Saved",TEXT(TODAY(),"YYYY-MM-DD")&amp;" Auto","—")</f>
        <v/>
      </c>
      <c r="K184" s="501" t="n"/>
    </row>
    <row r="185" ht="15" customHeight="1" s="341">
      <c r="A185" s="486" t="n"/>
      <c r="B185" s="378">
        <f>IF(A185="","",IFERROR(VLOOKUP(A185,DB_Customers!$A:$D,4,0),"❌ Account Not Found"))</f>
        <v/>
      </c>
      <c r="C185" s="487">
        <f>IF(A185="","",IFERROR(VLOOKUP(A185,DB_Customers!$A:$N,14,0),""))</f>
        <v/>
      </c>
      <c r="D185" s="488">
        <f>IF(A185="","",TODAY())</f>
        <v/>
      </c>
      <c r="E185" s="489" t="n"/>
      <c r="F185" s="490">
        <f>IF(OR(A185="",E185=""),"",IF(C185="","",C185+E185))</f>
        <v/>
      </c>
      <c r="G185" s="380" t="inlineStr">
        <is>
          <t>Agent 08</t>
        </is>
      </c>
      <c r="H185" s="491" t="n"/>
      <c r="I185" s="492">
        <f>IF(A185="","Pending",IF(H185="","⚠️ Enter Code",IF(IFERROR(VLOOKUP(G185,DB_Agents!$B:$I,8,0),"")=H185,IF(AND(A185&lt;&gt;"",E185&lt;&gt;""),"Saved","Pending"),"🔒 BLOCKED — Wrong Code")))</f>
        <v/>
      </c>
      <c r="J185" s="493">
        <f>IF(I185="Saved",TEXT(TODAY(),"YYYY-MM-DD")&amp;" Auto","—")</f>
        <v/>
      </c>
      <c r="K185" s="494" t="n"/>
    </row>
    <row r="186" ht="15" customHeight="1" s="341">
      <c r="A186" s="495" t="n"/>
      <c r="B186" s="382">
        <f>IF(A186="","",IFERROR(VLOOKUP(A186,DB_Customers!$A:$D,4,0),"❌ Account Not Found"))</f>
        <v/>
      </c>
      <c r="C186" s="496">
        <f>IF(A186="","",IFERROR(VLOOKUP(A186,DB_Customers!$A:$N,14,0),""))</f>
        <v/>
      </c>
      <c r="D186" s="497">
        <f>IF(A186="","",TODAY())</f>
        <v/>
      </c>
      <c r="E186" s="489" t="n"/>
      <c r="F186" s="498">
        <f>IF(OR(A186="",E186=""),"",IF(C186="","",C186+E186))</f>
        <v/>
      </c>
      <c r="G186" s="384" t="inlineStr">
        <is>
          <t>Agent 08</t>
        </is>
      </c>
      <c r="H186" s="491" t="n"/>
      <c r="I186" s="499">
        <f>IF(A186="","Pending",IF(H186="","⚠️ Enter Code",IF(IFERROR(VLOOKUP(G186,DB_Agents!$B:$I,8,0),"")=H186,IF(AND(A186&lt;&gt;"",E186&lt;&gt;""),"Saved","Pending"),"🔒 BLOCKED — Wrong Code")))</f>
        <v/>
      </c>
      <c r="J186" s="500">
        <f>IF(I186="Saved",TEXT(TODAY(),"YYYY-MM-DD")&amp;" Auto","—")</f>
        <v/>
      </c>
      <c r="K186" s="501" t="n"/>
    </row>
    <row r="187" ht="15" customHeight="1" s="341">
      <c r="A187" s="486" t="n"/>
      <c r="B187" s="378">
        <f>IF(A187="","",IFERROR(VLOOKUP(A187,DB_Customers!$A:$D,4,0),"❌ Account Not Found"))</f>
        <v/>
      </c>
      <c r="C187" s="487">
        <f>IF(A187="","",IFERROR(VLOOKUP(A187,DB_Customers!$A:$N,14,0),""))</f>
        <v/>
      </c>
      <c r="D187" s="488">
        <f>IF(A187="","",TODAY())</f>
        <v/>
      </c>
      <c r="E187" s="489" t="n"/>
      <c r="F187" s="490">
        <f>IF(OR(A187="",E187=""),"",IF(C187="","",C187+E187))</f>
        <v/>
      </c>
      <c r="G187" s="380" t="inlineStr">
        <is>
          <t>Agent 08</t>
        </is>
      </c>
      <c r="H187" s="491" t="n"/>
      <c r="I187" s="492">
        <f>IF(A187="","Pending",IF(H187="","⚠️ Enter Code",IF(IFERROR(VLOOKUP(G187,DB_Agents!$B:$I,8,0),"")=H187,IF(AND(A187&lt;&gt;"",E187&lt;&gt;""),"Saved","Pending"),"🔒 BLOCKED — Wrong Code")))</f>
        <v/>
      </c>
      <c r="J187" s="493">
        <f>IF(I187="Saved",TEXT(TODAY(),"YYYY-MM-DD")&amp;" Auto","—")</f>
        <v/>
      </c>
      <c r="K187" s="494" t="n"/>
    </row>
    <row r="188" ht="15" customHeight="1" s="341">
      <c r="A188" s="495" t="n"/>
      <c r="B188" s="382">
        <f>IF(A188="","",IFERROR(VLOOKUP(A188,DB_Customers!$A:$D,4,0),"❌ Account Not Found"))</f>
        <v/>
      </c>
      <c r="C188" s="496">
        <f>IF(A188="","",IFERROR(VLOOKUP(A188,DB_Customers!$A:$N,14,0),""))</f>
        <v/>
      </c>
      <c r="D188" s="497">
        <f>IF(A188="","",TODAY())</f>
        <v/>
      </c>
      <c r="E188" s="489" t="n"/>
      <c r="F188" s="498">
        <f>IF(OR(A188="",E188=""),"",IF(C188="","",C188+E188))</f>
        <v/>
      </c>
      <c r="G188" s="384" t="inlineStr">
        <is>
          <t>Agent 08</t>
        </is>
      </c>
      <c r="H188" s="491" t="n"/>
      <c r="I188" s="499">
        <f>IF(A188="","Pending",IF(H188="","⚠️ Enter Code",IF(IFERROR(VLOOKUP(G188,DB_Agents!$B:$I,8,0),"")=H188,IF(AND(A188&lt;&gt;"",E188&lt;&gt;""),"Saved","Pending"),"🔒 BLOCKED — Wrong Code")))</f>
        <v/>
      </c>
      <c r="J188" s="500">
        <f>IF(I188="Saved",TEXT(TODAY(),"YYYY-MM-DD")&amp;" Auto","—")</f>
        <v/>
      </c>
      <c r="K188" s="501" t="n"/>
    </row>
    <row r="189" ht="15" customHeight="1" s="341">
      <c r="A189" s="486" t="n"/>
      <c r="B189" s="378">
        <f>IF(A189="","",IFERROR(VLOOKUP(A189,DB_Customers!$A:$D,4,0),"❌ Account Not Found"))</f>
        <v/>
      </c>
      <c r="C189" s="487">
        <f>IF(A189="","",IFERROR(VLOOKUP(A189,DB_Customers!$A:$N,14,0),""))</f>
        <v/>
      </c>
      <c r="D189" s="488">
        <f>IF(A189="","",TODAY())</f>
        <v/>
      </c>
      <c r="E189" s="489" t="n"/>
      <c r="F189" s="490">
        <f>IF(OR(A189="",E189=""),"",IF(C189="","",C189+E189))</f>
        <v/>
      </c>
      <c r="G189" s="380" t="inlineStr">
        <is>
          <t>Agent 08</t>
        </is>
      </c>
      <c r="H189" s="491" t="n"/>
      <c r="I189" s="492">
        <f>IF(A189="","Pending",IF(H189="","⚠️ Enter Code",IF(IFERROR(VLOOKUP(G189,DB_Agents!$B:$I,8,0),"")=H189,IF(AND(A189&lt;&gt;"",E189&lt;&gt;""),"Saved","Pending"),"🔒 BLOCKED — Wrong Code")))</f>
        <v/>
      </c>
      <c r="J189" s="493">
        <f>IF(I189="Saved",TEXT(TODAY(),"YYYY-MM-DD")&amp;" Auto","—")</f>
        <v/>
      </c>
      <c r="K189" s="494" t="n"/>
    </row>
    <row r="190" ht="15" customHeight="1" s="341">
      <c r="A190" s="495" t="n"/>
      <c r="B190" s="382">
        <f>IF(A190="","",IFERROR(VLOOKUP(A190,DB_Customers!$A:$D,4,0),"❌ Account Not Found"))</f>
        <v/>
      </c>
      <c r="C190" s="496">
        <f>IF(A190="","",IFERROR(VLOOKUP(A190,DB_Customers!$A:$N,14,0),""))</f>
        <v/>
      </c>
      <c r="D190" s="497">
        <f>IF(A190="","",TODAY())</f>
        <v/>
      </c>
      <c r="E190" s="489" t="n"/>
      <c r="F190" s="498">
        <f>IF(OR(A190="",E190=""),"",IF(C190="","",C190+E190))</f>
        <v/>
      </c>
      <c r="G190" s="384" t="inlineStr">
        <is>
          <t>Agent 08</t>
        </is>
      </c>
      <c r="H190" s="491" t="n"/>
      <c r="I190" s="499">
        <f>IF(A190="","Pending",IF(H190="","⚠️ Enter Code",IF(IFERROR(VLOOKUP(G190,DB_Agents!$B:$I,8,0),"")=H190,IF(AND(A190&lt;&gt;"",E190&lt;&gt;""),"Saved","Pending"),"🔒 BLOCKED — Wrong Code")))</f>
        <v/>
      </c>
      <c r="J190" s="500">
        <f>IF(I190="Saved",TEXT(TODAY(),"YYYY-MM-DD")&amp;" Auto","—")</f>
        <v/>
      </c>
      <c r="K190" s="501" t="n"/>
    </row>
    <row r="191" ht="15" customHeight="1" s="341">
      <c r="A191" s="486" t="n"/>
      <c r="B191" s="378">
        <f>IF(A191="","",IFERROR(VLOOKUP(A191,DB_Customers!$A:$D,4,0),"❌ Account Not Found"))</f>
        <v/>
      </c>
      <c r="C191" s="487">
        <f>IF(A191="","",IFERROR(VLOOKUP(A191,DB_Customers!$A:$N,14,0),""))</f>
        <v/>
      </c>
      <c r="D191" s="488">
        <f>IF(A191="","",TODAY())</f>
        <v/>
      </c>
      <c r="E191" s="489" t="n"/>
      <c r="F191" s="490">
        <f>IF(OR(A191="",E191=""),"",IF(C191="","",C191+E191))</f>
        <v/>
      </c>
      <c r="G191" s="380" t="inlineStr">
        <is>
          <t>Agent 08</t>
        </is>
      </c>
      <c r="H191" s="491" t="n"/>
      <c r="I191" s="492">
        <f>IF(A191="","Pending",IF(H191="","⚠️ Enter Code",IF(IFERROR(VLOOKUP(G191,DB_Agents!$B:$I,8,0),"")=H191,IF(AND(A191&lt;&gt;"",E191&lt;&gt;""),"Saved","Pending"),"🔒 BLOCKED — Wrong Code")))</f>
        <v/>
      </c>
      <c r="J191" s="493">
        <f>IF(I191="Saved",TEXT(TODAY(),"YYYY-MM-DD")&amp;" Auto","—")</f>
        <v/>
      </c>
      <c r="K191" s="494" t="n"/>
    </row>
    <row r="192" ht="15" customHeight="1" s="341">
      <c r="A192" s="495" t="n"/>
      <c r="B192" s="382">
        <f>IF(A192="","",IFERROR(VLOOKUP(A192,DB_Customers!$A:$D,4,0),"❌ Account Not Found"))</f>
        <v/>
      </c>
      <c r="C192" s="496">
        <f>IF(A192="","",IFERROR(VLOOKUP(A192,DB_Customers!$A:$N,14,0),""))</f>
        <v/>
      </c>
      <c r="D192" s="497">
        <f>IF(A192="","",TODAY())</f>
        <v/>
      </c>
      <c r="E192" s="489" t="n"/>
      <c r="F192" s="498">
        <f>IF(OR(A192="",E192=""),"",IF(C192="","",C192+E192))</f>
        <v/>
      </c>
      <c r="G192" s="384" t="inlineStr">
        <is>
          <t>Agent 08</t>
        </is>
      </c>
      <c r="H192" s="491" t="n"/>
      <c r="I192" s="499">
        <f>IF(A192="","Pending",IF(H192="","⚠️ Enter Code",IF(IFERROR(VLOOKUP(G192,DB_Agents!$B:$I,8,0),"")=H192,IF(AND(A192&lt;&gt;"",E192&lt;&gt;""),"Saved","Pending"),"🔒 BLOCKED — Wrong Code")))</f>
        <v/>
      </c>
      <c r="J192" s="500">
        <f>IF(I192="Saved",TEXT(TODAY(),"YYYY-MM-DD")&amp;" Auto","—")</f>
        <v/>
      </c>
      <c r="K192" s="501" t="n"/>
    </row>
    <row r="193" ht="15" customHeight="1" s="341">
      <c r="A193" s="486" t="n"/>
      <c r="B193" s="378">
        <f>IF(A193="","",IFERROR(VLOOKUP(A193,DB_Customers!$A:$D,4,0),"❌ Account Not Found"))</f>
        <v/>
      </c>
      <c r="C193" s="487">
        <f>IF(A193="","",IFERROR(VLOOKUP(A193,DB_Customers!$A:$N,14,0),""))</f>
        <v/>
      </c>
      <c r="D193" s="488">
        <f>IF(A193="","",TODAY())</f>
        <v/>
      </c>
      <c r="E193" s="489" t="n"/>
      <c r="F193" s="490">
        <f>IF(OR(A193="",E193=""),"",IF(C193="","",C193+E193))</f>
        <v/>
      </c>
      <c r="G193" s="380" t="inlineStr">
        <is>
          <t>Agent 08</t>
        </is>
      </c>
      <c r="H193" s="491" t="n"/>
      <c r="I193" s="492">
        <f>IF(A193="","Pending",IF(H193="","⚠️ Enter Code",IF(IFERROR(VLOOKUP(G193,DB_Agents!$B:$I,8,0),"")=H193,IF(AND(A193&lt;&gt;"",E193&lt;&gt;""),"Saved","Pending"),"🔒 BLOCKED — Wrong Code")))</f>
        <v/>
      </c>
      <c r="J193" s="493">
        <f>IF(I193="Saved",TEXT(TODAY(),"YYYY-MM-DD")&amp;" Auto","—")</f>
        <v/>
      </c>
      <c r="K193" s="494" t="n"/>
    </row>
    <row r="194" ht="15" customHeight="1" s="341">
      <c r="A194" s="495" t="n"/>
      <c r="B194" s="382">
        <f>IF(A194="","",IFERROR(VLOOKUP(A194,DB_Customers!$A:$D,4,0),"❌ Account Not Found"))</f>
        <v/>
      </c>
      <c r="C194" s="496">
        <f>IF(A194="","",IFERROR(VLOOKUP(A194,DB_Customers!$A:$N,14,0),""))</f>
        <v/>
      </c>
      <c r="D194" s="497">
        <f>IF(A194="","",TODAY())</f>
        <v/>
      </c>
      <c r="E194" s="489" t="n"/>
      <c r="F194" s="498">
        <f>IF(OR(A194="",E194=""),"",IF(C194="","",C194+E194))</f>
        <v/>
      </c>
      <c r="G194" s="384" t="inlineStr">
        <is>
          <t>Agent 08</t>
        </is>
      </c>
      <c r="H194" s="491" t="n"/>
      <c r="I194" s="499">
        <f>IF(A194="","Pending",IF(H194="","⚠️ Enter Code",IF(IFERROR(VLOOKUP(G194,DB_Agents!$B:$I,8,0),"")=H194,IF(AND(A194&lt;&gt;"",E194&lt;&gt;""),"Saved","Pending"),"🔒 BLOCKED — Wrong Code")))</f>
        <v/>
      </c>
      <c r="J194" s="500">
        <f>IF(I194="Saved",TEXT(TODAY(),"YYYY-MM-DD")&amp;" Auto","—")</f>
        <v/>
      </c>
      <c r="K194" s="501" t="n"/>
    </row>
    <row r="195" ht="15" customHeight="1" s="341">
      <c r="A195" s="486" t="n"/>
      <c r="B195" s="378">
        <f>IF(A195="","",IFERROR(VLOOKUP(A195,DB_Customers!$A:$D,4,0),"❌ Account Not Found"))</f>
        <v/>
      </c>
      <c r="C195" s="487">
        <f>IF(A195="","",IFERROR(VLOOKUP(A195,DB_Customers!$A:$N,14,0),""))</f>
        <v/>
      </c>
      <c r="D195" s="488">
        <f>IF(A195="","",TODAY())</f>
        <v/>
      </c>
      <c r="E195" s="489" t="n"/>
      <c r="F195" s="490">
        <f>IF(OR(A195="",E195=""),"",IF(C195="","",C195+E195))</f>
        <v/>
      </c>
      <c r="G195" s="380" t="inlineStr">
        <is>
          <t>Agent 08</t>
        </is>
      </c>
      <c r="H195" s="491" t="n"/>
      <c r="I195" s="492">
        <f>IF(A195="","Pending",IF(H195="","⚠️ Enter Code",IF(IFERROR(VLOOKUP(G195,DB_Agents!$B:$I,8,0),"")=H195,IF(AND(A195&lt;&gt;"",E195&lt;&gt;""),"Saved","Pending"),"🔒 BLOCKED — Wrong Code")))</f>
        <v/>
      </c>
      <c r="J195" s="493">
        <f>IF(I195="Saved",TEXT(TODAY(),"YYYY-MM-DD")&amp;" Auto","—")</f>
        <v/>
      </c>
      <c r="K195" s="494" t="n"/>
    </row>
    <row r="196" ht="15" customHeight="1" s="341">
      <c r="A196" s="495" t="n"/>
      <c r="B196" s="382">
        <f>IF(A196="","",IFERROR(VLOOKUP(A196,DB_Customers!$A:$D,4,0),"❌ Account Not Found"))</f>
        <v/>
      </c>
      <c r="C196" s="496">
        <f>IF(A196="","",IFERROR(VLOOKUP(A196,DB_Customers!$A:$N,14,0),""))</f>
        <v/>
      </c>
      <c r="D196" s="497">
        <f>IF(A196="","",TODAY())</f>
        <v/>
      </c>
      <c r="E196" s="489" t="n"/>
      <c r="F196" s="498">
        <f>IF(OR(A196="",E196=""),"",IF(C196="","",C196+E196))</f>
        <v/>
      </c>
      <c r="G196" s="384" t="inlineStr">
        <is>
          <t>Agent 08</t>
        </is>
      </c>
      <c r="H196" s="491" t="n"/>
      <c r="I196" s="499">
        <f>IF(A196="","Pending",IF(H196="","⚠️ Enter Code",IF(IFERROR(VLOOKUP(G196,DB_Agents!$B:$I,8,0),"")=H196,IF(AND(A196&lt;&gt;"",E196&lt;&gt;""),"Saved","Pending"),"🔒 BLOCKED — Wrong Code")))</f>
        <v/>
      </c>
      <c r="J196" s="500">
        <f>IF(I196="Saved",TEXT(TODAY(),"YYYY-MM-DD")&amp;" Auto","—")</f>
        <v/>
      </c>
      <c r="K196" s="501" t="n"/>
    </row>
    <row r="197" ht="15" customHeight="1" s="341">
      <c r="A197" s="486" t="n"/>
      <c r="B197" s="378">
        <f>IF(A197="","",IFERROR(VLOOKUP(A197,DB_Customers!$A:$D,4,0),"❌ Account Not Found"))</f>
        <v/>
      </c>
      <c r="C197" s="487">
        <f>IF(A197="","",IFERROR(VLOOKUP(A197,DB_Customers!$A:$N,14,0),""))</f>
        <v/>
      </c>
      <c r="D197" s="488">
        <f>IF(A197="","",TODAY())</f>
        <v/>
      </c>
      <c r="E197" s="489" t="n"/>
      <c r="F197" s="490">
        <f>IF(OR(A197="",E197=""),"",IF(C197="","",C197+E197))</f>
        <v/>
      </c>
      <c r="G197" s="380" t="inlineStr">
        <is>
          <t>Agent 08</t>
        </is>
      </c>
      <c r="H197" s="491" t="n"/>
      <c r="I197" s="492">
        <f>IF(A197="","Pending",IF(H197="","⚠️ Enter Code",IF(IFERROR(VLOOKUP(G197,DB_Agents!$B:$I,8,0),"")=H197,IF(AND(A197&lt;&gt;"",E197&lt;&gt;""),"Saved","Pending"),"🔒 BLOCKED — Wrong Code")))</f>
        <v/>
      </c>
      <c r="J197" s="493">
        <f>IF(I197="Saved",TEXT(TODAY(),"YYYY-MM-DD")&amp;" Auto","—")</f>
        <v/>
      </c>
      <c r="K197" s="494" t="n"/>
    </row>
    <row r="198" ht="15" customHeight="1" s="341">
      <c r="A198" s="495" t="n"/>
      <c r="B198" s="382">
        <f>IF(A198="","",IFERROR(VLOOKUP(A198,DB_Customers!$A:$D,4,0),"❌ Account Not Found"))</f>
        <v/>
      </c>
      <c r="C198" s="496">
        <f>IF(A198="","",IFERROR(VLOOKUP(A198,DB_Customers!$A:$N,14,0),""))</f>
        <v/>
      </c>
      <c r="D198" s="497">
        <f>IF(A198="","",TODAY())</f>
        <v/>
      </c>
      <c r="E198" s="489" t="n"/>
      <c r="F198" s="498">
        <f>IF(OR(A198="",E198=""),"",IF(C198="","",C198+E198))</f>
        <v/>
      </c>
      <c r="G198" s="384" t="inlineStr">
        <is>
          <t>Agent 08</t>
        </is>
      </c>
      <c r="H198" s="491" t="n"/>
      <c r="I198" s="499">
        <f>IF(A198="","Pending",IF(H198="","⚠️ Enter Code",IF(IFERROR(VLOOKUP(G198,DB_Agents!$B:$I,8,0),"")=H198,IF(AND(A198&lt;&gt;"",E198&lt;&gt;""),"Saved","Pending"),"🔒 BLOCKED — Wrong Code")))</f>
        <v/>
      </c>
      <c r="J198" s="500">
        <f>IF(I198="Saved",TEXT(TODAY(),"YYYY-MM-DD")&amp;" Auto","—")</f>
        <v/>
      </c>
      <c r="K198" s="501" t="n"/>
    </row>
    <row r="199" ht="15" customHeight="1" s="341">
      <c r="A199" s="486" t="n"/>
      <c r="B199" s="378">
        <f>IF(A199="","",IFERROR(VLOOKUP(A199,DB_Customers!$A:$D,4,0),"❌ Account Not Found"))</f>
        <v/>
      </c>
      <c r="C199" s="487">
        <f>IF(A199="","",IFERROR(VLOOKUP(A199,DB_Customers!$A:$N,14,0),""))</f>
        <v/>
      </c>
      <c r="D199" s="488">
        <f>IF(A199="","",TODAY())</f>
        <v/>
      </c>
      <c r="E199" s="489" t="n"/>
      <c r="F199" s="490">
        <f>IF(OR(A199="",E199=""),"",IF(C199="","",C199+E199))</f>
        <v/>
      </c>
      <c r="G199" s="380" t="inlineStr">
        <is>
          <t>Agent 08</t>
        </is>
      </c>
      <c r="H199" s="491" t="n"/>
      <c r="I199" s="492">
        <f>IF(A199="","Pending",IF(H199="","⚠️ Enter Code",IF(IFERROR(VLOOKUP(G199,DB_Agents!$B:$I,8,0),"")=H199,IF(AND(A199&lt;&gt;"",E199&lt;&gt;""),"Saved","Pending"),"🔒 BLOCKED — Wrong Code")))</f>
        <v/>
      </c>
      <c r="J199" s="493">
        <f>IF(I199="Saved",TEXT(TODAY(),"YYYY-MM-DD")&amp;" Auto","—")</f>
        <v/>
      </c>
      <c r="K199" s="494" t="n"/>
    </row>
    <row r="200" ht="15" customHeight="1" s="341">
      <c r="A200" s="495" t="n"/>
      <c r="B200" s="382">
        <f>IF(A200="","",IFERROR(VLOOKUP(A200,DB_Customers!$A:$D,4,0),"❌ Account Not Found"))</f>
        <v/>
      </c>
      <c r="C200" s="496">
        <f>IF(A200="","",IFERROR(VLOOKUP(A200,DB_Customers!$A:$N,14,0),""))</f>
        <v/>
      </c>
      <c r="D200" s="497">
        <f>IF(A200="","",TODAY())</f>
        <v/>
      </c>
      <c r="E200" s="489" t="n"/>
      <c r="F200" s="498">
        <f>IF(OR(A200="",E200=""),"",IF(C200="","",C200+E200))</f>
        <v/>
      </c>
      <c r="G200" s="384" t="inlineStr">
        <is>
          <t>Agent 08</t>
        </is>
      </c>
      <c r="H200" s="491" t="n"/>
      <c r="I200" s="499">
        <f>IF(A200="","Pending",IF(H200="","⚠️ Enter Code",IF(IFERROR(VLOOKUP(G200,DB_Agents!$B:$I,8,0),"")=H200,IF(AND(A200&lt;&gt;"",E200&lt;&gt;""),"Saved","Pending"),"🔒 BLOCKED — Wrong Code")))</f>
        <v/>
      </c>
      <c r="J200" s="500">
        <f>IF(I200="Saved",TEXT(TODAY(),"YYYY-MM-DD")&amp;" Auto","—")</f>
        <v/>
      </c>
      <c r="K200" s="501" t="n"/>
    </row>
    <row r="201" ht="15" customHeight="1" s="341">
      <c r="A201" s="486" t="n"/>
      <c r="B201" s="378">
        <f>IF(A201="","",IFERROR(VLOOKUP(A201,DB_Customers!$A:$D,4,0),"❌ Account Not Found"))</f>
        <v/>
      </c>
      <c r="C201" s="487">
        <f>IF(A201="","",IFERROR(VLOOKUP(A201,DB_Customers!$A:$N,14,0),""))</f>
        <v/>
      </c>
      <c r="D201" s="488">
        <f>IF(A201="","",TODAY())</f>
        <v/>
      </c>
      <c r="E201" s="489" t="n"/>
      <c r="F201" s="490">
        <f>IF(OR(A201="",E201=""),"",IF(C201="","",C201+E201))</f>
        <v/>
      </c>
      <c r="G201" s="380" t="inlineStr">
        <is>
          <t>Agent 08</t>
        </is>
      </c>
      <c r="H201" s="491" t="n"/>
      <c r="I201" s="492">
        <f>IF(A201="","Pending",IF(H201="","⚠️ Enter Code",IF(IFERROR(VLOOKUP(G201,DB_Agents!$B:$I,8,0),"")=H201,IF(AND(A201&lt;&gt;"",E201&lt;&gt;""),"Saved","Pending"),"🔒 BLOCKED — Wrong Code")))</f>
        <v/>
      </c>
      <c r="J201" s="493">
        <f>IF(I201="Saved",TEXT(TODAY(),"YYYY-MM-DD")&amp;" Auto","—")</f>
        <v/>
      </c>
      <c r="K201" s="494" t="n"/>
    </row>
    <row r="202" ht="15" customHeight="1" s="341">
      <c r="A202" s="495" t="n"/>
      <c r="B202" s="382">
        <f>IF(A202="","",IFERROR(VLOOKUP(A202,DB_Customers!$A:$D,4,0),"❌ Account Not Found"))</f>
        <v/>
      </c>
      <c r="C202" s="496">
        <f>IF(A202="","",IFERROR(VLOOKUP(A202,DB_Customers!$A:$N,14,0),""))</f>
        <v/>
      </c>
      <c r="D202" s="497">
        <f>IF(A202="","",TODAY())</f>
        <v/>
      </c>
      <c r="E202" s="489" t="n"/>
      <c r="F202" s="498">
        <f>IF(OR(A202="",E202=""),"",IF(C202="","",C202+E202))</f>
        <v/>
      </c>
      <c r="G202" s="384" t="inlineStr">
        <is>
          <t>Agent 08</t>
        </is>
      </c>
      <c r="H202" s="491" t="n"/>
      <c r="I202" s="499">
        <f>IF(A202="","Pending",IF(H202="","⚠️ Enter Code",IF(IFERROR(VLOOKUP(G202,DB_Agents!$B:$I,8,0),"")=H202,IF(AND(A202&lt;&gt;"",E202&lt;&gt;""),"Saved","Pending"),"🔒 BLOCKED — Wrong Code")))</f>
        <v/>
      </c>
      <c r="J202" s="500">
        <f>IF(I202="Saved",TEXT(TODAY(),"YYYY-MM-DD")&amp;" Auto","—")</f>
        <v/>
      </c>
      <c r="K202" s="501" t="n"/>
    </row>
    <row r="203" ht="15" customHeight="1" s="341">
      <c r="A203" s="486" t="n"/>
      <c r="B203" s="378">
        <f>IF(A203="","",IFERROR(VLOOKUP(A203,DB_Customers!$A:$D,4,0),"❌ Account Not Found"))</f>
        <v/>
      </c>
      <c r="C203" s="487">
        <f>IF(A203="","",IFERROR(VLOOKUP(A203,DB_Customers!$A:$N,14,0),""))</f>
        <v/>
      </c>
      <c r="D203" s="488">
        <f>IF(A203="","",TODAY())</f>
        <v/>
      </c>
      <c r="E203" s="489" t="n"/>
      <c r="F203" s="490">
        <f>IF(OR(A203="",E203=""),"",IF(C203="","",C203+E203))</f>
        <v/>
      </c>
      <c r="G203" s="380" t="inlineStr">
        <is>
          <t>Agent 08</t>
        </is>
      </c>
      <c r="H203" s="491" t="n"/>
      <c r="I203" s="492">
        <f>IF(A203="","Pending",IF(H203="","⚠️ Enter Code",IF(IFERROR(VLOOKUP(G203,DB_Agents!$B:$I,8,0),"")=H203,IF(AND(A203&lt;&gt;"",E203&lt;&gt;""),"Saved","Pending"),"🔒 BLOCKED — Wrong Code")))</f>
        <v/>
      </c>
      <c r="J203" s="493">
        <f>IF(I203="Saved",TEXT(TODAY(),"YYYY-MM-DD")&amp;" Auto","—")</f>
        <v/>
      </c>
      <c r="K203" s="494" t="n"/>
    </row>
    <row r="204" ht="15" customHeight="1" s="341">
      <c r="A204" s="495" t="n"/>
      <c r="B204" s="382">
        <f>IF(A204="","",IFERROR(VLOOKUP(A204,DB_Customers!$A:$D,4,0),"❌ Account Not Found"))</f>
        <v/>
      </c>
      <c r="C204" s="496">
        <f>IF(A204="","",IFERROR(VLOOKUP(A204,DB_Customers!$A:$N,14,0),""))</f>
        <v/>
      </c>
      <c r="D204" s="497">
        <f>IF(A204="","",TODAY())</f>
        <v/>
      </c>
      <c r="E204" s="489" t="n"/>
      <c r="F204" s="498">
        <f>IF(OR(A204="",E204=""),"",IF(C204="","",C204+E204))</f>
        <v/>
      </c>
      <c r="G204" s="384" t="inlineStr">
        <is>
          <t>Agent 08</t>
        </is>
      </c>
      <c r="H204" s="491" t="n"/>
      <c r="I204" s="499">
        <f>IF(A204="","Pending",IF(H204="","⚠️ Enter Code",IF(IFERROR(VLOOKUP(G204,DB_Agents!$B:$I,8,0),"")=H204,IF(AND(A204&lt;&gt;"",E204&lt;&gt;""),"Saved","Pending"),"🔒 BLOCKED — Wrong Code")))</f>
        <v/>
      </c>
      <c r="J204" s="500">
        <f>IF(I204="Saved",TEXT(TODAY(),"YYYY-MM-DD")&amp;" Auto","—")</f>
        <v/>
      </c>
      <c r="K204" s="501" t="n"/>
    </row>
    <row r="205" ht="15" customHeight="1" s="341">
      <c r="A205" s="486" t="n"/>
      <c r="B205" s="378">
        <f>IF(A205="","",IFERROR(VLOOKUP(A205,DB_Customers!$A:$D,4,0),"❌ Account Not Found"))</f>
        <v/>
      </c>
      <c r="C205" s="487">
        <f>IF(A205="","",IFERROR(VLOOKUP(A205,DB_Customers!$A:$N,14,0),""))</f>
        <v/>
      </c>
      <c r="D205" s="488">
        <f>IF(A205="","",TODAY())</f>
        <v/>
      </c>
      <c r="E205" s="489" t="n"/>
      <c r="F205" s="490">
        <f>IF(OR(A205="",E205=""),"",IF(C205="","",C205+E205))</f>
        <v/>
      </c>
      <c r="G205" s="380" t="inlineStr">
        <is>
          <t>Agent 08</t>
        </is>
      </c>
      <c r="H205" s="491" t="n"/>
      <c r="I205" s="492">
        <f>IF(A205="","Pending",IF(H205="","⚠️ Enter Code",IF(IFERROR(VLOOKUP(G205,DB_Agents!$B:$I,8,0),"")=H205,IF(AND(A205&lt;&gt;"",E205&lt;&gt;""),"Saved","Pending"),"🔒 BLOCKED — Wrong Code")))</f>
        <v/>
      </c>
      <c r="J205" s="493">
        <f>IF(I205="Saved",TEXT(TODAY(),"YYYY-MM-DD")&amp;" Auto","—")</f>
        <v/>
      </c>
      <c r="K205" s="494" t="n"/>
    </row>
    <row r="206" ht="15" customHeight="1" s="341">
      <c r="A206" s="495" t="n"/>
      <c r="B206" s="382">
        <f>IF(A206="","",IFERROR(VLOOKUP(A206,DB_Customers!$A:$D,4,0),"❌ Account Not Found"))</f>
        <v/>
      </c>
      <c r="C206" s="496">
        <f>IF(A206="","",IFERROR(VLOOKUP(A206,DB_Customers!$A:$N,14,0),""))</f>
        <v/>
      </c>
      <c r="D206" s="497">
        <f>IF(A206="","",TODAY())</f>
        <v/>
      </c>
      <c r="E206" s="489" t="n"/>
      <c r="F206" s="498">
        <f>IF(OR(A206="",E206=""),"",IF(C206="","",C206+E206))</f>
        <v/>
      </c>
      <c r="G206" s="384" t="inlineStr">
        <is>
          <t>Agent 08</t>
        </is>
      </c>
      <c r="H206" s="491" t="n"/>
      <c r="I206" s="499">
        <f>IF(A206="","Pending",IF(H206="","⚠️ Enter Code",IF(IFERROR(VLOOKUP(G206,DB_Agents!$B:$I,8,0),"")=H206,IF(AND(A206&lt;&gt;"",E206&lt;&gt;""),"Saved","Pending"),"🔒 BLOCKED — Wrong Code")))</f>
        <v/>
      </c>
      <c r="J206" s="500">
        <f>IF(I206="Saved",TEXT(TODAY(),"YYYY-MM-DD")&amp;" Auto","—")</f>
        <v/>
      </c>
      <c r="K206" s="501" t="n"/>
    </row>
    <row r="207" ht="15" customHeight="1" s="341">
      <c r="A207" s="486" t="n"/>
      <c r="B207" s="378">
        <f>IF(A207="","",IFERROR(VLOOKUP(A207,DB_Customers!$A:$D,4,0),"❌ Account Not Found"))</f>
        <v/>
      </c>
      <c r="C207" s="487">
        <f>IF(A207="","",IFERROR(VLOOKUP(A207,DB_Customers!$A:$N,14,0),""))</f>
        <v/>
      </c>
      <c r="D207" s="488">
        <f>IF(A207="","",TODAY())</f>
        <v/>
      </c>
      <c r="E207" s="489" t="n"/>
      <c r="F207" s="490">
        <f>IF(OR(A207="",E207=""),"",IF(C207="","",C207+E207))</f>
        <v/>
      </c>
      <c r="G207" s="380" t="inlineStr">
        <is>
          <t>Agent 08</t>
        </is>
      </c>
      <c r="H207" s="491" t="n"/>
      <c r="I207" s="492">
        <f>IF(A207="","Pending",IF(H207="","⚠️ Enter Code",IF(IFERROR(VLOOKUP(G207,DB_Agents!$B:$I,8,0),"")=H207,IF(AND(A207&lt;&gt;"",E207&lt;&gt;""),"Saved","Pending"),"🔒 BLOCKED — Wrong Code")))</f>
        <v/>
      </c>
      <c r="J207" s="493">
        <f>IF(I207="Saved",TEXT(TODAY(),"YYYY-MM-DD")&amp;" Auto","—")</f>
        <v/>
      </c>
      <c r="K207" s="494" t="n"/>
    </row>
    <row r="208" ht="15" customHeight="1" s="341">
      <c r="A208" s="495" t="n"/>
      <c r="B208" s="382">
        <f>IF(A208="","",IFERROR(VLOOKUP(A208,DB_Customers!$A:$D,4,0),"❌ Account Not Found"))</f>
        <v/>
      </c>
      <c r="C208" s="496">
        <f>IF(A208="","",IFERROR(VLOOKUP(A208,DB_Customers!$A:$N,14,0),""))</f>
        <v/>
      </c>
      <c r="D208" s="497">
        <f>IF(A208="","",TODAY())</f>
        <v/>
      </c>
      <c r="E208" s="489" t="n"/>
      <c r="F208" s="498">
        <f>IF(OR(A208="",E208=""),"",IF(C208="","",C208+E208))</f>
        <v/>
      </c>
      <c r="G208" s="384" t="inlineStr">
        <is>
          <t>Agent 08</t>
        </is>
      </c>
      <c r="H208" s="491" t="n"/>
      <c r="I208" s="499">
        <f>IF(A208="","Pending",IF(H208="","⚠️ Enter Code",IF(IFERROR(VLOOKUP(G208,DB_Agents!$B:$I,8,0),"")=H208,IF(AND(A208&lt;&gt;"",E208&lt;&gt;""),"Saved","Pending"),"🔒 BLOCKED — Wrong Code")))</f>
        <v/>
      </c>
      <c r="J208" s="500">
        <f>IF(I208="Saved",TEXT(TODAY(),"YYYY-MM-DD")&amp;" Auto","—")</f>
        <v/>
      </c>
      <c r="K208" s="501" t="n"/>
    </row>
  </sheetData>
  <mergeCells count="12">
    <mergeCell ref="A2:L2"/>
    <mergeCell ref="A7:L7"/>
    <mergeCell ref="A1:L1"/>
    <mergeCell ref="A5:L5"/>
    <mergeCell ref="D4:F4"/>
    <mergeCell ref="D3:F3"/>
    <mergeCell ref="A3:C3"/>
    <mergeCell ref="G3:I3"/>
    <mergeCell ref="G4:I4"/>
    <mergeCell ref="J4:L4"/>
    <mergeCell ref="A4:C4"/>
    <mergeCell ref="J3:L3"/>
  </mergeCells>
  <conditionalFormatting sqref="H9:H208">
    <cfRule type="cellIs" rank="0" priority="2" equalAverage="0" operator="equal" aboveAverage="0" dxfId="0" text="" percent="0" bottom="0">
      <formula>"Saved"</formula>
    </cfRule>
    <cfRule type="cellIs" rank="0" priority="3" equalAverage="0" operator="equal" aboveAverage="0" dxfId="11" text="" percent="0" bottom="0">
      <formula>"Pending"</formula>
    </cfRule>
  </conditionalFormatting>
  <conditionalFormatting sqref="A9:J208">
    <cfRule type="expression" rank="0" priority="4" equalAverage="0" aboveAverage="0" dxfId="12" text="" percent="0" bottom="0">
      <formula>$H9="Saved"</formula>
    </cfRule>
  </conditionalFormatting>
  <dataValidations count="2">
    <dataValidation sqref="E9:E208" showDropDown="0" showInputMessage="0" showErrorMessage="1" allowBlank="0" error="Must be &gt; 0" type="decimal" errorStyle="stop" operator="greaterThan">
      <formula1>0</formula1>
      <formula2>0</formula2>
    </dataValidation>
    <dataValidation sqref="G9:G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8.xml><?xml version="1.0" encoding="utf-8"?>
<worksheet xmlns="http://schemas.openxmlformats.org/spreadsheetml/2006/main">
  <sheetPr filterMode="0">
    <tabColor rgb="FFC0392B"/>
    <outlinePr summaryBelow="1" summaryRight="1"/>
    <pageSetUpPr fitToPage="0"/>
  </sheetPr>
  <dimension ref="A1:M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5" customWidth="1" style="340" min="7" max="7"/>
    <col width="12" customWidth="1" style="340" min="8" max="8"/>
    <col width="14" customWidth="1" style="340" min="9" max="9"/>
    <col width="22" customWidth="1" style="340" min="10" max="10"/>
    <col width="20" customWidth="1" style="340" min="11" max="11"/>
  </cols>
  <sheetData>
    <row r="1" ht="31.5" customHeight="1" s="341">
      <c r="A1" s="502" t="inlineStr">
        <is>
          <t>🏧  SAMICIOUS MICROFINANCE — AGENT08 WITHDRAWALS</t>
        </is>
      </c>
    </row>
    <row r="2" ht="19.5" customHeight="1" s="341">
      <c r="A2" s="503" t="inlineStr">
        <is>
          <t>Agent: Agent 08  |  Status auto: "Successful" or "Unsuccessful" based on balance check  |  🔑 Security: Enter your 4-digit Agent Code in each row</t>
        </is>
      </c>
    </row>
    <row r="3" ht="18" customHeight="1" s="341">
      <c r="A3" s="365" t="inlineStr">
        <is>
          <t>🏧 Total Withdrawn Today</t>
        </is>
      </c>
      <c r="D3" s="364" t="inlineStr">
        <is>
          <t>✅ Successful</t>
        </is>
      </c>
      <c r="G3" s="368" t="inlineStr">
        <is>
          <t>❌ Unsuccessful</t>
        </is>
      </c>
      <c r="K3" s="439" t="inlineStr">
        <is>
          <t>📅 Date</t>
        </is>
      </c>
    </row>
    <row r="4" ht="27.75" customHeight="1" s="341">
      <c r="A4" s="504">
        <f>SUMIFS(DB_Withdrawals!$G:$G,DB_Withdrawals!$J:$J,"Agent 08",DB_Withdrawals!$F:$F,TODAY())</f>
        <v/>
      </c>
      <c r="D4" s="505">
        <f>COUNTIFS(DB_Withdrawals!$J:$J,"Agent 08",DB_Withdrawals!$K:$K,"Successful",DB_Withdrawals!$F:$F,TODAY())</f>
        <v/>
      </c>
      <c r="G4" s="506">
        <f>COUNTIFS(DB_Withdrawals!$J:$J,"Agent 08",DB_Withdrawals!$K:$K,"Unsuccessful",DB_Withdrawals!$F:$F,TODAY())</f>
        <v/>
      </c>
      <c r="K4" s="482">
        <f>TEXT(TODAY(),"DD MMM YYYY")</f>
        <v/>
      </c>
    </row>
    <row r="5" ht="19.5" customHeight="1" s="341">
      <c r="A5" s="507" t="inlineStr">
        <is>
          <t>⚠️  WITHDRAWALS — System auto-validates balance. Insufficient funds will show "Unsuccessful" status.</t>
        </is>
      </c>
    </row>
    <row r="6" ht="7.5" customHeight="1" s="341"/>
    <row r="7" ht="19.5" customHeight="1" s="341">
      <c r="A7" s="508" t="inlineStr">
        <is>
          <t>📝  ENTRY FORM — Enter Account # → Name, Balance, Date auto-populate. Enter Withdrawal Amount &amp; Authorized By. | Enter Agent Code in 🔑 column to authorize each transaction.</t>
        </is>
      </c>
    </row>
    <row r="8" ht="19.5" customHeight="1" s="341">
      <c r="A8" s="509" t="inlineStr">
        <is>
          <t>Account #</t>
        </is>
      </c>
      <c r="B8" s="509" t="inlineStr">
        <is>
          <t>Customer Name</t>
        </is>
      </c>
      <c r="C8" s="509" t="inlineStr">
        <is>
          <t>Available Balance</t>
        </is>
      </c>
      <c r="D8" s="509" t="inlineStr">
        <is>
          <t>Date</t>
        </is>
      </c>
      <c r="E8" s="509" t="inlineStr">
        <is>
          <t>Withdrawal Amt</t>
        </is>
      </c>
      <c r="F8" s="509" t="inlineStr">
        <is>
          <t>Authorized By</t>
        </is>
      </c>
      <c r="G8" s="509" t="inlineStr">
        <is>
          <t>New Balance</t>
        </is>
      </c>
      <c r="H8" s="509" t="inlineStr">
        <is>
          <t>Agent</t>
        </is>
      </c>
      <c r="I8" s="485" t="inlineStr">
        <is>
          <t>🔑 Agent Code</t>
        </is>
      </c>
      <c r="J8" s="509" t="inlineStr">
        <is>
          <t>Status</t>
        </is>
      </c>
      <c r="K8" s="509" t="inlineStr">
        <is>
          <t>Saved At</t>
        </is>
      </c>
      <c r="L8" s="509" t="inlineStr">
        <is>
          <t>Notes</t>
        </is>
      </c>
    </row>
    <row r="9" ht="15" customHeight="1" s="341">
      <c r="A9" s="486" t="n"/>
      <c r="B9" s="378">
        <f>IF(A9="","",IFERROR(VLOOKUP(A9,DB_Customers!$A:$D,4,0),"❌ Account Not Found"))</f>
        <v/>
      </c>
      <c r="C9" s="487">
        <f>IF(A9="","",IFERROR(VLOOKUP(A9,DB_Customers!$A:$N,14,0),""))</f>
        <v/>
      </c>
      <c r="D9" s="488">
        <f>IF(A9="","",TODAY())</f>
        <v/>
      </c>
      <c r="E9" s="510" t="n"/>
      <c r="F9" s="378" t="n"/>
      <c r="G9" s="511">
        <f>IF(OR(A9="",E9=""),"",IF(C9="","",C9-E9))</f>
        <v/>
      </c>
      <c r="H9" s="380" t="inlineStr">
        <is>
          <t>Agent 08</t>
        </is>
      </c>
      <c r="I9" s="491" t="n"/>
      <c r="J9" s="492">
        <f>IF(AND(A9&lt;&gt;"",E9&lt;&gt;""),IF(I9="","⚠️ Enter Code",IF(IFERROR(VLOOKUP(H9,DB_Agents!$B:$I,8,0),"")=I9,IF(C9&gt;=E9,"Successful","Unsuccessful"),"🔒 BLOCKED — Wrong Code")),"—")</f>
        <v/>
      </c>
      <c r="K9" s="493">
        <f>IF(J9="Successful",TEXT(TODAY(),"YYYY-MM-DD")&amp;" Auto","—")</f>
        <v/>
      </c>
      <c r="L9" s="494" t="n"/>
    </row>
    <row r="10" ht="15" customHeight="1" s="341">
      <c r="A10" s="495" t="n"/>
      <c r="B10" s="382">
        <f>IF(A10="","",IFERROR(VLOOKUP(A10,DB_Customers!$A:$D,4,0),"❌ Account Not Found"))</f>
        <v/>
      </c>
      <c r="C10" s="496">
        <f>IF(A10="","",IFERROR(VLOOKUP(A10,DB_Customers!$A:$N,14,0),""))</f>
        <v/>
      </c>
      <c r="D10" s="497">
        <f>IF(A10="","",TODAY())</f>
        <v/>
      </c>
      <c r="E10" s="510" t="n"/>
      <c r="F10" s="382" t="n"/>
      <c r="G10" s="512">
        <f>IF(OR(A10="",E10=""),"",IF(C10="","",C10-E10))</f>
        <v/>
      </c>
      <c r="H10" s="384" t="inlineStr">
        <is>
          <t>Agent 08</t>
        </is>
      </c>
      <c r="I10" s="491" t="n"/>
      <c r="J10" s="499">
        <f>IF(AND(A10&lt;&gt;"",E10&lt;&gt;""),IF(I10="","⚠️ Enter Code",IF(IFERROR(VLOOKUP(H10,DB_Agents!$B:$I,8,0),"")=I10,IF(C10&gt;=E10,"Successful","Unsuccessful"),"🔒 BLOCKED — Wrong Code")),"—")</f>
        <v/>
      </c>
      <c r="K10" s="500">
        <f>IF(J10="Successful",TEXT(TODAY(),"YYYY-MM-DD")&amp;" Auto","—")</f>
        <v/>
      </c>
      <c r="L10" s="501" t="n"/>
    </row>
    <row r="11" ht="15" customHeight="1" s="341">
      <c r="A11" s="486" t="n"/>
      <c r="B11" s="378">
        <f>IF(A11="","",IFERROR(VLOOKUP(A11,DB_Customers!$A:$D,4,0),"❌ Account Not Found"))</f>
        <v/>
      </c>
      <c r="C11" s="487">
        <f>IF(A11="","",IFERROR(VLOOKUP(A11,DB_Customers!$A:$N,14,0),""))</f>
        <v/>
      </c>
      <c r="D11" s="488">
        <f>IF(A11="","",TODAY())</f>
        <v/>
      </c>
      <c r="E11" s="510" t="n"/>
      <c r="F11" s="378" t="n"/>
      <c r="G11" s="511">
        <f>IF(OR(A11="",E11=""),"",IF(C11="","",C11-E11))</f>
        <v/>
      </c>
      <c r="H11" s="380" t="inlineStr">
        <is>
          <t>Agent 08</t>
        </is>
      </c>
      <c r="I11" s="491" t="n"/>
      <c r="J11" s="492">
        <f>IF(AND(A11&lt;&gt;"",E11&lt;&gt;""),IF(I11="","⚠️ Enter Code",IF(IFERROR(VLOOKUP(H11,DB_Agents!$B:$I,8,0),"")=I11,IF(C11&gt;=E11,"Successful","Unsuccessful"),"🔒 BLOCKED — Wrong Code")),"—")</f>
        <v/>
      </c>
      <c r="K11" s="493">
        <f>IF(J11="Successful",TEXT(TODAY(),"YYYY-MM-DD")&amp;" Auto","—")</f>
        <v/>
      </c>
      <c r="L11" s="494" t="n"/>
    </row>
    <row r="12" ht="15" customHeight="1" s="341">
      <c r="A12" s="495" t="n"/>
      <c r="B12" s="382">
        <f>IF(A12="","",IFERROR(VLOOKUP(A12,DB_Customers!$A:$D,4,0),"❌ Account Not Found"))</f>
        <v/>
      </c>
      <c r="C12" s="496">
        <f>IF(A12="","",IFERROR(VLOOKUP(A12,DB_Customers!$A:$N,14,0),""))</f>
        <v/>
      </c>
      <c r="D12" s="497">
        <f>IF(A12="","",TODAY())</f>
        <v/>
      </c>
      <c r="E12" s="510" t="n"/>
      <c r="F12" s="382" t="n"/>
      <c r="G12" s="512">
        <f>IF(OR(A12="",E12=""),"",IF(C12="","",C12-E12))</f>
        <v/>
      </c>
      <c r="H12" s="384" t="inlineStr">
        <is>
          <t>Agent 08</t>
        </is>
      </c>
      <c r="I12" s="491" t="n"/>
      <c r="J12" s="499">
        <f>IF(AND(A12&lt;&gt;"",E12&lt;&gt;""),IF(I12="","⚠️ Enter Code",IF(IFERROR(VLOOKUP(H12,DB_Agents!$B:$I,8,0),"")=I12,IF(C12&gt;=E12,"Successful","Unsuccessful"),"🔒 BLOCKED — Wrong Code")),"—")</f>
        <v/>
      </c>
      <c r="K12" s="500">
        <f>IF(J12="Successful",TEXT(TODAY(),"YYYY-MM-DD")&amp;" Auto","—")</f>
        <v/>
      </c>
      <c r="L12" s="501" t="n"/>
    </row>
    <row r="13" ht="15" customHeight="1" s="341">
      <c r="A13" s="486" t="n"/>
      <c r="B13" s="378">
        <f>IF(A13="","",IFERROR(VLOOKUP(A13,DB_Customers!$A:$D,4,0),"❌ Account Not Found"))</f>
        <v/>
      </c>
      <c r="C13" s="487">
        <f>IF(A13="","",IFERROR(VLOOKUP(A13,DB_Customers!$A:$N,14,0),""))</f>
        <v/>
      </c>
      <c r="D13" s="488">
        <f>IF(A13="","",TODAY())</f>
        <v/>
      </c>
      <c r="E13" s="510" t="n"/>
      <c r="F13" s="378" t="n"/>
      <c r="G13" s="511">
        <f>IF(OR(A13="",E13=""),"",IF(C13="","",C13-E13))</f>
        <v/>
      </c>
      <c r="H13" s="380" t="inlineStr">
        <is>
          <t>Agent 08</t>
        </is>
      </c>
      <c r="I13" s="491" t="n"/>
      <c r="J13" s="492">
        <f>IF(AND(A13&lt;&gt;"",E13&lt;&gt;""),IF(I13="","⚠️ Enter Code",IF(IFERROR(VLOOKUP(H13,DB_Agents!$B:$I,8,0),"")=I13,IF(C13&gt;=E13,"Successful","Unsuccessful"),"🔒 BLOCKED — Wrong Code")),"—")</f>
        <v/>
      </c>
      <c r="K13" s="493">
        <f>IF(J13="Successful",TEXT(TODAY(),"YYYY-MM-DD")&amp;" Auto","—")</f>
        <v/>
      </c>
      <c r="L13" s="494" t="n"/>
    </row>
    <row r="14" ht="15" customHeight="1" s="341">
      <c r="A14" s="495" t="n"/>
      <c r="B14" s="382">
        <f>IF(A14="","",IFERROR(VLOOKUP(A14,DB_Customers!$A:$D,4,0),"❌ Account Not Found"))</f>
        <v/>
      </c>
      <c r="C14" s="496">
        <f>IF(A14="","",IFERROR(VLOOKUP(A14,DB_Customers!$A:$N,14,0),""))</f>
        <v/>
      </c>
      <c r="D14" s="497">
        <f>IF(A14="","",TODAY())</f>
        <v/>
      </c>
      <c r="E14" s="510" t="n"/>
      <c r="F14" s="382" t="n"/>
      <c r="G14" s="512">
        <f>IF(OR(A14="",E14=""),"",IF(C14="","",C14-E14))</f>
        <v/>
      </c>
      <c r="H14" s="384" t="inlineStr">
        <is>
          <t>Agent 08</t>
        </is>
      </c>
      <c r="I14" s="491" t="n"/>
      <c r="J14" s="499">
        <f>IF(AND(A14&lt;&gt;"",E14&lt;&gt;""),IF(I14="","⚠️ Enter Code",IF(IFERROR(VLOOKUP(H14,DB_Agents!$B:$I,8,0),"")=I14,IF(C14&gt;=E14,"Successful","Unsuccessful"),"🔒 BLOCKED — Wrong Code")),"—")</f>
        <v/>
      </c>
      <c r="K14" s="500">
        <f>IF(J14="Successful",TEXT(TODAY(),"YYYY-MM-DD")&amp;" Auto","—")</f>
        <v/>
      </c>
      <c r="L14" s="501" t="n"/>
    </row>
    <row r="15" ht="15" customHeight="1" s="341">
      <c r="A15" s="486" t="n"/>
      <c r="B15" s="378">
        <f>IF(A15="","",IFERROR(VLOOKUP(A15,DB_Customers!$A:$D,4,0),"❌ Account Not Found"))</f>
        <v/>
      </c>
      <c r="C15" s="487">
        <f>IF(A15="","",IFERROR(VLOOKUP(A15,DB_Customers!$A:$N,14,0),""))</f>
        <v/>
      </c>
      <c r="D15" s="488">
        <f>IF(A15="","",TODAY())</f>
        <v/>
      </c>
      <c r="E15" s="510" t="n"/>
      <c r="F15" s="378" t="n"/>
      <c r="G15" s="511">
        <f>IF(OR(A15="",E15=""),"",IF(C15="","",C15-E15))</f>
        <v/>
      </c>
      <c r="H15" s="380" t="inlineStr">
        <is>
          <t>Agent 08</t>
        </is>
      </c>
      <c r="I15" s="491" t="n"/>
      <c r="J15" s="492">
        <f>IF(AND(A15&lt;&gt;"",E15&lt;&gt;""),IF(I15="","⚠️ Enter Code",IF(IFERROR(VLOOKUP(H15,DB_Agents!$B:$I,8,0),"")=I15,IF(C15&gt;=E15,"Successful","Unsuccessful"),"🔒 BLOCKED — Wrong Code")),"—")</f>
        <v/>
      </c>
      <c r="K15" s="493">
        <f>IF(J15="Successful",TEXT(TODAY(),"YYYY-MM-DD")&amp;" Auto","—")</f>
        <v/>
      </c>
      <c r="L15" s="494" t="n"/>
    </row>
    <row r="16" ht="15" customHeight="1" s="341">
      <c r="A16" s="495" t="n"/>
      <c r="B16" s="382">
        <f>IF(A16="","",IFERROR(VLOOKUP(A16,DB_Customers!$A:$D,4,0),"❌ Account Not Found"))</f>
        <v/>
      </c>
      <c r="C16" s="496">
        <f>IF(A16="","",IFERROR(VLOOKUP(A16,DB_Customers!$A:$N,14,0),""))</f>
        <v/>
      </c>
      <c r="D16" s="497">
        <f>IF(A16="","",TODAY())</f>
        <v/>
      </c>
      <c r="E16" s="510" t="n"/>
      <c r="F16" s="382" t="n"/>
      <c r="G16" s="512">
        <f>IF(OR(A16="",E16=""),"",IF(C16="","",C16-E16))</f>
        <v/>
      </c>
      <c r="H16" s="384" t="inlineStr">
        <is>
          <t>Agent 08</t>
        </is>
      </c>
      <c r="I16" s="491" t="n"/>
      <c r="J16" s="499">
        <f>IF(AND(A16&lt;&gt;"",E16&lt;&gt;""),IF(I16="","⚠️ Enter Code",IF(IFERROR(VLOOKUP(H16,DB_Agents!$B:$I,8,0),"")=I16,IF(C16&gt;=E16,"Successful","Unsuccessful"),"🔒 BLOCKED — Wrong Code")),"—")</f>
        <v/>
      </c>
      <c r="K16" s="500">
        <f>IF(J16="Successful",TEXT(TODAY(),"YYYY-MM-DD")&amp;" Auto","—")</f>
        <v/>
      </c>
      <c r="L16" s="501" t="n"/>
    </row>
    <row r="17" ht="15" customHeight="1" s="341">
      <c r="A17" s="486" t="n"/>
      <c r="B17" s="378">
        <f>IF(A17="","",IFERROR(VLOOKUP(A17,DB_Customers!$A:$D,4,0),"❌ Account Not Found"))</f>
        <v/>
      </c>
      <c r="C17" s="487">
        <f>IF(A17="","",IFERROR(VLOOKUP(A17,DB_Customers!$A:$N,14,0),""))</f>
        <v/>
      </c>
      <c r="D17" s="488">
        <f>IF(A17="","",TODAY())</f>
        <v/>
      </c>
      <c r="E17" s="510" t="n"/>
      <c r="F17" s="378" t="n"/>
      <c r="G17" s="511">
        <f>IF(OR(A17="",E17=""),"",IF(C17="","",C17-E17))</f>
        <v/>
      </c>
      <c r="H17" s="380" t="inlineStr">
        <is>
          <t>Agent 08</t>
        </is>
      </c>
      <c r="I17" s="491" t="n"/>
      <c r="J17" s="492">
        <f>IF(AND(A17&lt;&gt;"",E17&lt;&gt;""),IF(I17="","⚠️ Enter Code",IF(IFERROR(VLOOKUP(H17,DB_Agents!$B:$I,8,0),"")=I17,IF(C17&gt;=E17,"Successful","Unsuccessful"),"🔒 BLOCKED — Wrong Code")),"—")</f>
        <v/>
      </c>
      <c r="K17" s="493">
        <f>IF(J17="Successful",TEXT(TODAY(),"YYYY-MM-DD")&amp;" Auto","—")</f>
        <v/>
      </c>
      <c r="L17" s="494" t="n"/>
    </row>
    <row r="18" ht="15" customHeight="1" s="341">
      <c r="A18" s="495" t="n"/>
      <c r="B18" s="382">
        <f>IF(A18="","",IFERROR(VLOOKUP(A18,DB_Customers!$A:$D,4,0),"❌ Account Not Found"))</f>
        <v/>
      </c>
      <c r="C18" s="496">
        <f>IF(A18="","",IFERROR(VLOOKUP(A18,DB_Customers!$A:$N,14,0),""))</f>
        <v/>
      </c>
      <c r="D18" s="497">
        <f>IF(A18="","",TODAY())</f>
        <v/>
      </c>
      <c r="E18" s="510" t="n"/>
      <c r="F18" s="382" t="n"/>
      <c r="G18" s="512">
        <f>IF(OR(A18="",E18=""),"",IF(C18="","",C18-E18))</f>
        <v/>
      </c>
      <c r="H18" s="384" t="inlineStr">
        <is>
          <t>Agent 08</t>
        </is>
      </c>
      <c r="I18" s="491" t="n"/>
      <c r="J18" s="499">
        <f>IF(AND(A18&lt;&gt;"",E18&lt;&gt;""),IF(I18="","⚠️ Enter Code",IF(IFERROR(VLOOKUP(H18,DB_Agents!$B:$I,8,0),"")=I18,IF(C18&gt;=E18,"Successful","Unsuccessful"),"🔒 BLOCKED — Wrong Code")),"—")</f>
        <v/>
      </c>
      <c r="K18" s="500">
        <f>IF(J18="Successful",TEXT(TODAY(),"YYYY-MM-DD")&amp;" Auto","—")</f>
        <v/>
      </c>
      <c r="L18" s="501" t="n"/>
    </row>
    <row r="19" ht="15" customHeight="1" s="341">
      <c r="A19" s="486" t="n"/>
      <c r="B19" s="378">
        <f>IF(A19="","",IFERROR(VLOOKUP(A19,DB_Customers!$A:$D,4,0),"❌ Account Not Found"))</f>
        <v/>
      </c>
      <c r="C19" s="487">
        <f>IF(A19="","",IFERROR(VLOOKUP(A19,DB_Customers!$A:$N,14,0),""))</f>
        <v/>
      </c>
      <c r="D19" s="488">
        <f>IF(A19="","",TODAY())</f>
        <v/>
      </c>
      <c r="E19" s="510" t="n"/>
      <c r="F19" s="378" t="n"/>
      <c r="G19" s="511">
        <f>IF(OR(A19="",E19=""),"",IF(C19="","",C19-E19))</f>
        <v/>
      </c>
      <c r="H19" s="380" t="inlineStr">
        <is>
          <t>Agent 08</t>
        </is>
      </c>
      <c r="I19" s="491" t="n"/>
      <c r="J19" s="492">
        <f>IF(AND(A19&lt;&gt;"",E19&lt;&gt;""),IF(I19="","⚠️ Enter Code",IF(IFERROR(VLOOKUP(H19,DB_Agents!$B:$I,8,0),"")=I19,IF(C19&gt;=E19,"Successful","Unsuccessful"),"🔒 BLOCKED — Wrong Code")),"—")</f>
        <v/>
      </c>
      <c r="K19" s="493">
        <f>IF(J19="Successful",TEXT(TODAY(),"YYYY-MM-DD")&amp;" Auto","—")</f>
        <v/>
      </c>
      <c r="L19" s="494" t="n"/>
    </row>
    <row r="20" ht="15" customHeight="1" s="341">
      <c r="A20" s="495" t="n"/>
      <c r="B20" s="382">
        <f>IF(A20="","",IFERROR(VLOOKUP(A20,DB_Customers!$A:$D,4,0),"❌ Account Not Found"))</f>
        <v/>
      </c>
      <c r="C20" s="496">
        <f>IF(A20="","",IFERROR(VLOOKUP(A20,DB_Customers!$A:$N,14,0),""))</f>
        <v/>
      </c>
      <c r="D20" s="497">
        <f>IF(A20="","",TODAY())</f>
        <v/>
      </c>
      <c r="E20" s="510" t="n"/>
      <c r="F20" s="382" t="n"/>
      <c r="G20" s="512">
        <f>IF(OR(A20="",E20=""),"",IF(C20="","",C20-E20))</f>
        <v/>
      </c>
      <c r="H20" s="384" t="inlineStr">
        <is>
          <t>Agent 08</t>
        </is>
      </c>
      <c r="I20" s="491" t="n"/>
      <c r="J20" s="499">
        <f>IF(AND(A20&lt;&gt;"",E20&lt;&gt;""),IF(I20="","⚠️ Enter Code",IF(IFERROR(VLOOKUP(H20,DB_Agents!$B:$I,8,0),"")=I20,IF(C20&gt;=E20,"Successful","Unsuccessful"),"🔒 BLOCKED — Wrong Code")),"—")</f>
        <v/>
      </c>
      <c r="K20" s="500">
        <f>IF(J20="Successful",TEXT(TODAY(),"YYYY-MM-DD")&amp;" Auto","—")</f>
        <v/>
      </c>
      <c r="L20" s="501" t="n"/>
    </row>
    <row r="21" ht="15" customHeight="1" s="341">
      <c r="A21" s="486" t="n"/>
      <c r="B21" s="378">
        <f>IF(A21="","",IFERROR(VLOOKUP(A21,DB_Customers!$A:$D,4,0),"❌ Account Not Found"))</f>
        <v/>
      </c>
      <c r="C21" s="487">
        <f>IF(A21="","",IFERROR(VLOOKUP(A21,DB_Customers!$A:$N,14,0),""))</f>
        <v/>
      </c>
      <c r="D21" s="488">
        <f>IF(A21="","",TODAY())</f>
        <v/>
      </c>
      <c r="E21" s="510" t="n"/>
      <c r="F21" s="378" t="n"/>
      <c r="G21" s="511">
        <f>IF(OR(A21="",E21=""),"",IF(C21="","",C21-E21))</f>
        <v/>
      </c>
      <c r="H21" s="380" t="inlineStr">
        <is>
          <t>Agent 08</t>
        </is>
      </c>
      <c r="I21" s="491" t="n"/>
      <c r="J21" s="492">
        <f>IF(AND(A21&lt;&gt;"",E21&lt;&gt;""),IF(I21="","⚠️ Enter Code",IF(IFERROR(VLOOKUP(H21,DB_Agents!$B:$I,8,0),"")=I21,IF(C21&gt;=E21,"Successful","Unsuccessful"),"🔒 BLOCKED — Wrong Code")),"—")</f>
        <v/>
      </c>
      <c r="K21" s="493">
        <f>IF(J21="Successful",TEXT(TODAY(),"YYYY-MM-DD")&amp;" Auto","—")</f>
        <v/>
      </c>
      <c r="L21" s="494" t="n"/>
    </row>
    <row r="22" ht="15" customHeight="1" s="341">
      <c r="A22" s="495" t="n"/>
      <c r="B22" s="382">
        <f>IF(A22="","",IFERROR(VLOOKUP(A22,DB_Customers!$A:$D,4,0),"❌ Account Not Found"))</f>
        <v/>
      </c>
      <c r="C22" s="496">
        <f>IF(A22="","",IFERROR(VLOOKUP(A22,DB_Customers!$A:$N,14,0),""))</f>
        <v/>
      </c>
      <c r="D22" s="497">
        <f>IF(A22="","",TODAY())</f>
        <v/>
      </c>
      <c r="E22" s="510" t="n"/>
      <c r="F22" s="382" t="n"/>
      <c r="G22" s="512">
        <f>IF(OR(A22="",E22=""),"",IF(C22="","",C22-E22))</f>
        <v/>
      </c>
      <c r="H22" s="384" t="inlineStr">
        <is>
          <t>Agent 08</t>
        </is>
      </c>
      <c r="I22" s="491" t="n"/>
      <c r="J22" s="499">
        <f>IF(AND(A22&lt;&gt;"",E22&lt;&gt;""),IF(I22="","⚠️ Enter Code",IF(IFERROR(VLOOKUP(H22,DB_Agents!$B:$I,8,0),"")=I22,IF(C22&gt;=E22,"Successful","Unsuccessful"),"🔒 BLOCKED — Wrong Code")),"—")</f>
        <v/>
      </c>
      <c r="K22" s="500">
        <f>IF(J22="Successful",TEXT(TODAY(),"YYYY-MM-DD")&amp;" Auto","—")</f>
        <v/>
      </c>
      <c r="L22" s="501" t="n"/>
    </row>
    <row r="23" ht="15" customHeight="1" s="341">
      <c r="A23" s="486" t="n"/>
      <c r="B23" s="378">
        <f>IF(A23="","",IFERROR(VLOOKUP(A23,DB_Customers!$A:$D,4,0),"❌ Account Not Found"))</f>
        <v/>
      </c>
      <c r="C23" s="487">
        <f>IF(A23="","",IFERROR(VLOOKUP(A23,DB_Customers!$A:$N,14,0),""))</f>
        <v/>
      </c>
      <c r="D23" s="488">
        <f>IF(A23="","",TODAY())</f>
        <v/>
      </c>
      <c r="E23" s="510" t="n"/>
      <c r="F23" s="378" t="n"/>
      <c r="G23" s="511">
        <f>IF(OR(A23="",E23=""),"",IF(C23="","",C23-E23))</f>
        <v/>
      </c>
      <c r="H23" s="380" t="inlineStr">
        <is>
          <t>Agent 08</t>
        </is>
      </c>
      <c r="I23" s="491" t="n"/>
      <c r="J23" s="492">
        <f>IF(AND(A23&lt;&gt;"",E23&lt;&gt;""),IF(I23="","⚠️ Enter Code",IF(IFERROR(VLOOKUP(H23,DB_Agents!$B:$I,8,0),"")=I23,IF(C23&gt;=E23,"Successful","Unsuccessful"),"🔒 BLOCKED — Wrong Code")),"—")</f>
        <v/>
      </c>
      <c r="K23" s="493">
        <f>IF(J23="Successful",TEXT(TODAY(),"YYYY-MM-DD")&amp;" Auto","—")</f>
        <v/>
      </c>
      <c r="L23" s="494" t="n"/>
    </row>
    <row r="24" ht="15" customHeight="1" s="341">
      <c r="A24" s="495" t="n"/>
      <c r="B24" s="382">
        <f>IF(A24="","",IFERROR(VLOOKUP(A24,DB_Customers!$A:$D,4,0),"❌ Account Not Found"))</f>
        <v/>
      </c>
      <c r="C24" s="496">
        <f>IF(A24="","",IFERROR(VLOOKUP(A24,DB_Customers!$A:$N,14,0),""))</f>
        <v/>
      </c>
      <c r="D24" s="497">
        <f>IF(A24="","",TODAY())</f>
        <v/>
      </c>
      <c r="E24" s="510" t="n"/>
      <c r="F24" s="382" t="n"/>
      <c r="G24" s="512">
        <f>IF(OR(A24="",E24=""),"",IF(C24="","",C24-E24))</f>
        <v/>
      </c>
      <c r="H24" s="384" t="inlineStr">
        <is>
          <t>Agent 08</t>
        </is>
      </c>
      <c r="I24" s="491" t="n"/>
      <c r="J24" s="499">
        <f>IF(AND(A24&lt;&gt;"",E24&lt;&gt;""),IF(I24="","⚠️ Enter Code",IF(IFERROR(VLOOKUP(H24,DB_Agents!$B:$I,8,0),"")=I24,IF(C24&gt;=E24,"Successful","Unsuccessful"),"🔒 BLOCKED — Wrong Code")),"—")</f>
        <v/>
      </c>
      <c r="K24" s="500">
        <f>IF(J24="Successful",TEXT(TODAY(),"YYYY-MM-DD")&amp;" Auto","—")</f>
        <v/>
      </c>
      <c r="L24" s="501" t="n"/>
    </row>
    <row r="25" ht="15" customHeight="1" s="341">
      <c r="A25" s="486" t="n"/>
      <c r="B25" s="378">
        <f>IF(A25="","",IFERROR(VLOOKUP(A25,DB_Customers!$A:$D,4,0),"❌ Account Not Found"))</f>
        <v/>
      </c>
      <c r="C25" s="487">
        <f>IF(A25="","",IFERROR(VLOOKUP(A25,DB_Customers!$A:$N,14,0),""))</f>
        <v/>
      </c>
      <c r="D25" s="488">
        <f>IF(A25="","",TODAY())</f>
        <v/>
      </c>
      <c r="E25" s="510" t="n"/>
      <c r="F25" s="378" t="n"/>
      <c r="G25" s="511">
        <f>IF(OR(A25="",E25=""),"",IF(C25="","",C25-E25))</f>
        <v/>
      </c>
      <c r="H25" s="380" t="inlineStr">
        <is>
          <t>Agent 08</t>
        </is>
      </c>
      <c r="I25" s="491" t="n"/>
      <c r="J25" s="492">
        <f>IF(AND(A25&lt;&gt;"",E25&lt;&gt;""),IF(I25="","⚠️ Enter Code",IF(IFERROR(VLOOKUP(H25,DB_Agents!$B:$I,8,0),"")=I25,IF(C25&gt;=E25,"Successful","Unsuccessful"),"🔒 BLOCKED — Wrong Code")),"—")</f>
        <v/>
      </c>
      <c r="K25" s="493">
        <f>IF(J25="Successful",TEXT(TODAY(),"YYYY-MM-DD")&amp;" Auto","—")</f>
        <v/>
      </c>
      <c r="L25" s="494" t="n"/>
    </row>
    <row r="26" ht="15" customHeight="1" s="341">
      <c r="A26" s="495" t="n"/>
      <c r="B26" s="382">
        <f>IF(A26="","",IFERROR(VLOOKUP(A26,DB_Customers!$A:$D,4,0),"❌ Account Not Found"))</f>
        <v/>
      </c>
      <c r="C26" s="496">
        <f>IF(A26="","",IFERROR(VLOOKUP(A26,DB_Customers!$A:$N,14,0),""))</f>
        <v/>
      </c>
      <c r="D26" s="497">
        <f>IF(A26="","",TODAY())</f>
        <v/>
      </c>
      <c r="E26" s="510" t="n"/>
      <c r="F26" s="382" t="n"/>
      <c r="G26" s="512">
        <f>IF(OR(A26="",E26=""),"",IF(C26="","",C26-E26))</f>
        <v/>
      </c>
      <c r="H26" s="384" t="inlineStr">
        <is>
          <t>Agent 08</t>
        </is>
      </c>
      <c r="I26" s="491" t="n"/>
      <c r="J26" s="499">
        <f>IF(AND(A26&lt;&gt;"",E26&lt;&gt;""),IF(I26="","⚠️ Enter Code",IF(IFERROR(VLOOKUP(H26,DB_Agents!$B:$I,8,0),"")=I26,IF(C26&gt;=E26,"Successful","Unsuccessful"),"🔒 BLOCKED — Wrong Code")),"—")</f>
        <v/>
      </c>
      <c r="K26" s="500">
        <f>IF(J26="Successful",TEXT(TODAY(),"YYYY-MM-DD")&amp;" Auto","—")</f>
        <v/>
      </c>
      <c r="L26" s="501" t="n"/>
    </row>
    <row r="27" ht="15" customHeight="1" s="341">
      <c r="A27" s="486" t="n"/>
      <c r="B27" s="378">
        <f>IF(A27="","",IFERROR(VLOOKUP(A27,DB_Customers!$A:$D,4,0),"❌ Account Not Found"))</f>
        <v/>
      </c>
      <c r="C27" s="487">
        <f>IF(A27="","",IFERROR(VLOOKUP(A27,DB_Customers!$A:$N,14,0),""))</f>
        <v/>
      </c>
      <c r="D27" s="488">
        <f>IF(A27="","",TODAY())</f>
        <v/>
      </c>
      <c r="E27" s="510" t="n"/>
      <c r="F27" s="378" t="n"/>
      <c r="G27" s="511">
        <f>IF(OR(A27="",E27=""),"",IF(C27="","",C27-E27))</f>
        <v/>
      </c>
      <c r="H27" s="380" t="inlineStr">
        <is>
          <t>Agent 08</t>
        </is>
      </c>
      <c r="I27" s="491" t="n"/>
      <c r="J27" s="492">
        <f>IF(AND(A27&lt;&gt;"",E27&lt;&gt;""),IF(I27="","⚠️ Enter Code",IF(IFERROR(VLOOKUP(H27,DB_Agents!$B:$I,8,0),"")=I27,IF(C27&gt;=E27,"Successful","Unsuccessful"),"🔒 BLOCKED — Wrong Code")),"—")</f>
        <v/>
      </c>
      <c r="K27" s="493">
        <f>IF(J27="Successful",TEXT(TODAY(),"YYYY-MM-DD")&amp;" Auto","—")</f>
        <v/>
      </c>
      <c r="L27" s="494" t="n"/>
    </row>
    <row r="28" ht="15" customHeight="1" s="341">
      <c r="A28" s="495" t="n"/>
      <c r="B28" s="382">
        <f>IF(A28="","",IFERROR(VLOOKUP(A28,DB_Customers!$A:$D,4,0),"❌ Account Not Found"))</f>
        <v/>
      </c>
      <c r="C28" s="496">
        <f>IF(A28="","",IFERROR(VLOOKUP(A28,DB_Customers!$A:$N,14,0),""))</f>
        <v/>
      </c>
      <c r="D28" s="497">
        <f>IF(A28="","",TODAY())</f>
        <v/>
      </c>
      <c r="E28" s="510" t="n"/>
      <c r="F28" s="382" t="n"/>
      <c r="G28" s="512">
        <f>IF(OR(A28="",E28=""),"",IF(C28="","",C28-E28))</f>
        <v/>
      </c>
      <c r="H28" s="384" t="inlineStr">
        <is>
          <t>Agent 08</t>
        </is>
      </c>
      <c r="I28" s="491" t="n"/>
      <c r="J28" s="499">
        <f>IF(AND(A28&lt;&gt;"",E28&lt;&gt;""),IF(I28="","⚠️ Enter Code",IF(IFERROR(VLOOKUP(H28,DB_Agents!$B:$I,8,0),"")=I28,IF(C28&gt;=E28,"Successful","Unsuccessful"),"🔒 BLOCKED — Wrong Code")),"—")</f>
        <v/>
      </c>
      <c r="K28" s="500">
        <f>IF(J28="Successful",TEXT(TODAY(),"YYYY-MM-DD")&amp;" Auto","—")</f>
        <v/>
      </c>
      <c r="L28" s="501" t="n"/>
    </row>
    <row r="29" ht="15" customHeight="1" s="341">
      <c r="A29" s="486" t="n"/>
      <c r="B29" s="378">
        <f>IF(A29="","",IFERROR(VLOOKUP(A29,DB_Customers!$A:$D,4,0),"❌ Account Not Found"))</f>
        <v/>
      </c>
      <c r="C29" s="487">
        <f>IF(A29="","",IFERROR(VLOOKUP(A29,DB_Customers!$A:$N,14,0),""))</f>
        <v/>
      </c>
      <c r="D29" s="488">
        <f>IF(A29="","",TODAY())</f>
        <v/>
      </c>
      <c r="E29" s="510" t="n"/>
      <c r="F29" s="378" t="n"/>
      <c r="G29" s="511">
        <f>IF(OR(A29="",E29=""),"",IF(C29="","",C29-E29))</f>
        <v/>
      </c>
      <c r="H29" s="380" t="inlineStr">
        <is>
          <t>Agent 08</t>
        </is>
      </c>
      <c r="I29" s="491" t="n"/>
      <c r="J29" s="492">
        <f>IF(AND(A29&lt;&gt;"",E29&lt;&gt;""),IF(I29="","⚠️ Enter Code",IF(IFERROR(VLOOKUP(H29,DB_Agents!$B:$I,8,0),"")=I29,IF(C29&gt;=E29,"Successful","Unsuccessful"),"🔒 BLOCKED — Wrong Code")),"—")</f>
        <v/>
      </c>
      <c r="K29" s="493">
        <f>IF(J29="Successful",TEXT(TODAY(),"YYYY-MM-DD")&amp;" Auto","—")</f>
        <v/>
      </c>
      <c r="L29" s="494" t="n"/>
    </row>
    <row r="30" ht="15" customHeight="1" s="341">
      <c r="A30" s="495" t="n"/>
      <c r="B30" s="382">
        <f>IF(A30="","",IFERROR(VLOOKUP(A30,DB_Customers!$A:$D,4,0),"❌ Account Not Found"))</f>
        <v/>
      </c>
      <c r="C30" s="496">
        <f>IF(A30="","",IFERROR(VLOOKUP(A30,DB_Customers!$A:$N,14,0),""))</f>
        <v/>
      </c>
      <c r="D30" s="497">
        <f>IF(A30="","",TODAY())</f>
        <v/>
      </c>
      <c r="E30" s="510" t="n"/>
      <c r="F30" s="382" t="n"/>
      <c r="G30" s="512">
        <f>IF(OR(A30="",E30=""),"",IF(C30="","",C30-E30))</f>
        <v/>
      </c>
      <c r="H30" s="384" t="inlineStr">
        <is>
          <t>Agent 08</t>
        </is>
      </c>
      <c r="I30" s="491" t="n"/>
      <c r="J30" s="499">
        <f>IF(AND(A30&lt;&gt;"",E30&lt;&gt;""),IF(I30="","⚠️ Enter Code",IF(IFERROR(VLOOKUP(H30,DB_Agents!$B:$I,8,0),"")=I30,IF(C30&gt;=E30,"Successful","Unsuccessful"),"🔒 BLOCKED — Wrong Code")),"—")</f>
        <v/>
      </c>
      <c r="K30" s="500">
        <f>IF(J30="Successful",TEXT(TODAY(),"YYYY-MM-DD")&amp;" Auto","—")</f>
        <v/>
      </c>
      <c r="L30" s="501" t="n"/>
    </row>
    <row r="31" ht="15" customHeight="1" s="341">
      <c r="A31" s="486" t="n"/>
      <c r="B31" s="378">
        <f>IF(A31="","",IFERROR(VLOOKUP(A31,DB_Customers!$A:$D,4,0),"❌ Account Not Found"))</f>
        <v/>
      </c>
      <c r="C31" s="487">
        <f>IF(A31="","",IFERROR(VLOOKUP(A31,DB_Customers!$A:$N,14,0),""))</f>
        <v/>
      </c>
      <c r="D31" s="488">
        <f>IF(A31="","",TODAY())</f>
        <v/>
      </c>
      <c r="E31" s="510" t="n"/>
      <c r="F31" s="378" t="n"/>
      <c r="G31" s="511">
        <f>IF(OR(A31="",E31=""),"",IF(C31="","",C31-E31))</f>
        <v/>
      </c>
      <c r="H31" s="380" t="inlineStr">
        <is>
          <t>Agent 08</t>
        </is>
      </c>
      <c r="I31" s="491" t="n"/>
      <c r="J31" s="492">
        <f>IF(AND(A31&lt;&gt;"",E31&lt;&gt;""),IF(I31="","⚠️ Enter Code",IF(IFERROR(VLOOKUP(H31,DB_Agents!$B:$I,8,0),"")=I31,IF(C31&gt;=E31,"Successful","Unsuccessful"),"🔒 BLOCKED — Wrong Code")),"—")</f>
        <v/>
      </c>
      <c r="K31" s="493">
        <f>IF(J31="Successful",TEXT(TODAY(),"YYYY-MM-DD")&amp;" Auto","—")</f>
        <v/>
      </c>
      <c r="L31" s="494" t="n"/>
    </row>
    <row r="32" ht="15" customHeight="1" s="341">
      <c r="A32" s="495" t="n"/>
      <c r="B32" s="382">
        <f>IF(A32="","",IFERROR(VLOOKUP(A32,DB_Customers!$A:$D,4,0),"❌ Account Not Found"))</f>
        <v/>
      </c>
      <c r="C32" s="496">
        <f>IF(A32="","",IFERROR(VLOOKUP(A32,DB_Customers!$A:$N,14,0),""))</f>
        <v/>
      </c>
      <c r="D32" s="497">
        <f>IF(A32="","",TODAY())</f>
        <v/>
      </c>
      <c r="E32" s="510" t="n"/>
      <c r="F32" s="382" t="n"/>
      <c r="G32" s="512">
        <f>IF(OR(A32="",E32=""),"",IF(C32="","",C32-E32))</f>
        <v/>
      </c>
      <c r="H32" s="384" t="inlineStr">
        <is>
          <t>Agent 08</t>
        </is>
      </c>
      <c r="I32" s="491" t="n"/>
      <c r="J32" s="499">
        <f>IF(AND(A32&lt;&gt;"",E32&lt;&gt;""),IF(I32="","⚠️ Enter Code",IF(IFERROR(VLOOKUP(H32,DB_Agents!$B:$I,8,0),"")=I32,IF(C32&gt;=E32,"Successful","Unsuccessful"),"🔒 BLOCKED — Wrong Code")),"—")</f>
        <v/>
      </c>
      <c r="K32" s="500">
        <f>IF(J32="Successful",TEXT(TODAY(),"YYYY-MM-DD")&amp;" Auto","—")</f>
        <v/>
      </c>
      <c r="L32" s="501" t="n"/>
    </row>
    <row r="33" ht="15" customHeight="1" s="341">
      <c r="A33" s="486" t="n"/>
      <c r="B33" s="378">
        <f>IF(A33="","",IFERROR(VLOOKUP(A33,DB_Customers!$A:$D,4,0),"❌ Account Not Found"))</f>
        <v/>
      </c>
      <c r="C33" s="487">
        <f>IF(A33="","",IFERROR(VLOOKUP(A33,DB_Customers!$A:$N,14,0),""))</f>
        <v/>
      </c>
      <c r="D33" s="488">
        <f>IF(A33="","",TODAY())</f>
        <v/>
      </c>
      <c r="E33" s="510" t="n"/>
      <c r="F33" s="378" t="n"/>
      <c r="G33" s="511">
        <f>IF(OR(A33="",E33=""),"",IF(C33="","",C33-E33))</f>
        <v/>
      </c>
      <c r="H33" s="380" t="inlineStr">
        <is>
          <t>Agent 08</t>
        </is>
      </c>
      <c r="I33" s="491" t="n"/>
      <c r="J33" s="492">
        <f>IF(AND(A33&lt;&gt;"",E33&lt;&gt;""),IF(I33="","⚠️ Enter Code",IF(IFERROR(VLOOKUP(H33,DB_Agents!$B:$I,8,0),"")=I33,IF(C33&gt;=E33,"Successful","Unsuccessful"),"🔒 BLOCKED — Wrong Code")),"—")</f>
        <v/>
      </c>
      <c r="K33" s="493">
        <f>IF(J33="Successful",TEXT(TODAY(),"YYYY-MM-DD")&amp;" Auto","—")</f>
        <v/>
      </c>
      <c r="L33" s="494" t="n"/>
    </row>
    <row r="34" ht="15" customHeight="1" s="341">
      <c r="A34" s="495" t="n"/>
      <c r="B34" s="382">
        <f>IF(A34="","",IFERROR(VLOOKUP(A34,DB_Customers!$A:$D,4,0),"❌ Account Not Found"))</f>
        <v/>
      </c>
      <c r="C34" s="496">
        <f>IF(A34="","",IFERROR(VLOOKUP(A34,DB_Customers!$A:$N,14,0),""))</f>
        <v/>
      </c>
      <c r="D34" s="497">
        <f>IF(A34="","",TODAY())</f>
        <v/>
      </c>
      <c r="E34" s="510" t="n"/>
      <c r="F34" s="382" t="n"/>
      <c r="G34" s="512">
        <f>IF(OR(A34="",E34=""),"",IF(C34="","",C34-E34))</f>
        <v/>
      </c>
      <c r="H34" s="384" t="inlineStr">
        <is>
          <t>Agent 08</t>
        </is>
      </c>
      <c r="I34" s="491" t="n"/>
      <c r="J34" s="499">
        <f>IF(AND(A34&lt;&gt;"",E34&lt;&gt;""),IF(I34="","⚠️ Enter Code",IF(IFERROR(VLOOKUP(H34,DB_Agents!$B:$I,8,0),"")=I34,IF(C34&gt;=E34,"Successful","Unsuccessful"),"🔒 BLOCKED — Wrong Code")),"—")</f>
        <v/>
      </c>
      <c r="K34" s="500">
        <f>IF(J34="Successful",TEXT(TODAY(),"YYYY-MM-DD")&amp;" Auto","—")</f>
        <v/>
      </c>
      <c r="L34" s="501" t="n"/>
    </row>
    <row r="35" ht="15" customHeight="1" s="341">
      <c r="A35" s="486" t="n"/>
      <c r="B35" s="378">
        <f>IF(A35="","",IFERROR(VLOOKUP(A35,DB_Customers!$A:$D,4,0),"❌ Account Not Found"))</f>
        <v/>
      </c>
      <c r="C35" s="487">
        <f>IF(A35="","",IFERROR(VLOOKUP(A35,DB_Customers!$A:$N,14,0),""))</f>
        <v/>
      </c>
      <c r="D35" s="488">
        <f>IF(A35="","",TODAY())</f>
        <v/>
      </c>
      <c r="E35" s="510" t="n"/>
      <c r="F35" s="378" t="n"/>
      <c r="G35" s="511">
        <f>IF(OR(A35="",E35=""),"",IF(C35="","",C35-E35))</f>
        <v/>
      </c>
      <c r="H35" s="380" t="inlineStr">
        <is>
          <t>Agent 08</t>
        </is>
      </c>
      <c r="I35" s="491" t="n"/>
      <c r="J35" s="492">
        <f>IF(AND(A35&lt;&gt;"",E35&lt;&gt;""),IF(I35="","⚠️ Enter Code",IF(IFERROR(VLOOKUP(H35,DB_Agents!$B:$I,8,0),"")=I35,IF(C35&gt;=E35,"Successful","Unsuccessful"),"🔒 BLOCKED — Wrong Code")),"—")</f>
        <v/>
      </c>
      <c r="K35" s="493">
        <f>IF(J35="Successful",TEXT(TODAY(),"YYYY-MM-DD")&amp;" Auto","—")</f>
        <v/>
      </c>
      <c r="L35" s="494" t="n"/>
    </row>
    <row r="36" ht="15" customHeight="1" s="341">
      <c r="A36" s="495" t="n"/>
      <c r="B36" s="382">
        <f>IF(A36="","",IFERROR(VLOOKUP(A36,DB_Customers!$A:$D,4,0),"❌ Account Not Found"))</f>
        <v/>
      </c>
      <c r="C36" s="496">
        <f>IF(A36="","",IFERROR(VLOOKUP(A36,DB_Customers!$A:$N,14,0),""))</f>
        <v/>
      </c>
      <c r="D36" s="497">
        <f>IF(A36="","",TODAY())</f>
        <v/>
      </c>
      <c r="E36" s="510" t="n"/>
      <c r="F36" s="382" t="n"/>
      <c r="G36" s="512">
        <f>IF(OR(A36="",E36=""),"",IF(C36="","",C36-E36))</f>
        <v/>
      </c>
      <c r="H36" s="384" t="inlineStr">
        <is>
          <t>Agent 08</t>
        </is>
      </c>
      <c r="I36" s="491" t="n"/>
      <c r="J36" s="499">
        <f>IF(AND(A36&lt;&gt;"",E36&lt;&gt;""),IF(I36="","⚠️ Enter Code",IF(IFERROR(VLOOKUP(H36,DB_Agents!$B:$I,8,0),"")=I36,IF(C36&gt;=E36,"Successful","Unsuccessful"),"🔒 BLOCKED — Wrong Code")),"—")</f>
        <v/>
      </c>
      <c r="K36" s="500">
        <f>IF(J36="Successful",TEXT(TODAY(),"YYYY-MM-DD")&amp;" Auto","—")</f>
        <v/>
      </c>
      <c r="L36" s="501" t="n"/>
    </row>
    <row r="37" ht="15" customHeight="1" s="341">
      <c r="A37" s="486" t="n"/>
      <c r="B37" s="378">
        <f>IF(A37="","",IFERROR(VLOOKUP(A37,DB_Customers!$A:$D,4,0),"❌ Account Not Found"))</f>
        <v/>
      </c>
      <c r="C37" s="487">
        <f>IF(A37="","",IFERROR(VLOOKUP(A37,DB_Customers!$A:$N,14,0),""))</f>
        <v/>
      </c>
      <c r="D37" s="488">
        <f>IF(A37="","",TODAY())</f>
        <v/>
      </c>
      <c r="E37" s="510" t="n"/>
      <c r="F37" s="378" t="n"/>
      <c r="G37" s="511">
        <f>IF(OR(A37="",E37=""),"",IF(C37="","",C37-E37))</f>
        <v/>
      </c>
      <c r="H37" s="380" t="inlineStr">
        <is>
          <t>Agent 08</t>
        </is>
      </c>
      <c r="I37" s="491" t="n"/>
      <c r="J37" s="492">
        <f>IF(AND(A37&lt;&gt;"",E37&lt;&gt;""),IF(I37="","⚠️ Enter Code",IF(IFERROR(VLOOKUP(H37,DB_Agents!$B:$I,8,0),"")=I37,IF(C37&gt;=E37,"Successful","Unsuccessful"),"🔒 BLOCKED — Wrong Code")),"—")</f>
        <v/>
      </c>
      <c r="K37" s="493">
        <f>IF(J37="Successful",TEXT(TODAY(),"YYYY-MM-DD")&amp;" Auto","—")</f>
        <v/>
      </c>
      <c r="L37" s="494" t="n"/>
    </row>
    <row r="38" ht="15" customHeight="1" s="341">
      <c r="A38" s="495" t="n"/>
      <c r="B38" s="382">
        <f>IF(A38="","",IFERROR(VLOOKUP(A38,DB_Customers!$A:$D,4,0),"❌ Account Not Found"))</f>
        <v/>
      </c>
      <c r="C38" s="496">
        <f>IF(A38="","",IFERROR(VLOOKUP(A38,DB_Customers!$A:$N,14,0),""))</f>
        <v/>
      </c>
      <c r="D38" s="497">
        <f>IF(A38="","",TODAY())</f>
        <v/>
      </c>
      <c r="E38" s="510" t="n"/>
      <c r="F38" s="382" t="n"/>
      <c r="G38" s="512">
        <f>IF(OR(A38="",E38=""),"",IF(C38="","",C38-E38))</f>
        <v/>
      </c>
      <c r="H38" s="384" t="inlineStr">
        <is>
          <t>Agent 08</t>
        </is>
      </c>
      <c r="I38" s="491" t="n"/>
      <c r="J38" s="499">
        <f>IF(AND(A38&lt;&gt;"",E38&lt;&gt;""),IF(I38="","⚠️ Enter Code",IF(IFERROR(VLOOKUP(H38,DB_Agents!$B:$I,8,0),"")=I38,IF(C38&gt;=E38,"Successful","Unsuccessful"),"🔒 BLOCKED — Wrong Code")),"—")</f>
        <v/>
      </c>
      <c r="K38" s="500">
        <f>IF(J38="Successful",TEXT(TODAY(),"YYYY-MM-DD")&amp;" Auto","—")</f>
        <v/>
      </c>
      <c r="L38" s="501" t="n"/>
    </row>
    <row r="39" ht="15" customHeight="1" s="341">
      <c r="A39" s="486" t="n"/>
      <c r="B39" s="378">
        <f>IF(A39="","",IFERROR(VLOOKUP(A39,DB_Customers!$A:$D,4,0),"❌ Account Not Found"))</f>
        <v/>
      </c>
      <c r="C39" s="487">
        <f>IF(A39="","",IFERROR(VLOOKUP(A39,DB_Customers!$A:$N,14,0),""))</f>
        <v/>
      </c>
      <c r="D39" s="488">
        <f>IF(A39="","",TODAY())</f>
        <v/>
      </c>
      <c r="E39" s="510" t="n"/>
      <c r="F39" s="378" t="n"/>
      <c r="G39" s="511">
        <f>IF(OR(A39="",E39=""),"",IF(C39="","",C39-E39))</f>
        <v/>
      </c>
      <c r="H39" s="380" t="inlineStr">
        <is>
          <t>Agent 08</t>
        </is>
      </c>
      <c r="I39" s="491" t="n"/>
      <c r="J39" s="492">
        <f>IF(AND(A39&lt;&gt;"",E39&lt;&gt;""),IF(I39="","⚠️ Enter Code",IF(IFERROR(VLOOKUP(H39,DB_Agents!$B:$I,8,0),"")=I39,IF(C39&gt;=E39,"Successful","Unsuccessful"),"🔒 BLOCKED — Wrong Code")),"—")</f>
        <v/>
      </c>
      <c r="K39" s="493">
        <f>IF(J39="Successful",TEXT(TODAY(),"YYYY-MM-DD")&amp;" Auto","—")</f>
        <v/>
      </c>
      <c r="L39" s="494" t="n"/>
    </row>
    <row r="40" ht="15" customHeight="1" s="341">
      <c r="A40" s="495" t="n"/>
      <c r="B40" s="382">
        <f>IF(A40="","",IFERROR(VLOOKUP(A40,DB_Customers!$A:$D,4,0),"❌ Account Not Found"))</f>
        <v/>
      </c>
      <c r="C40" s="496">
        <f>IF(A40="","",IFERROR(VLOOKUP(A40,DB_Customers!$A:$N,14,0),""))</f>
        <v/>
      </c>
      <c r="D40" s="497">
        <f>IF(A40="","",TODAY())</f>
        <v/>
      </c>
      <c r="E40" s="510" t="n"/>
      <c r="F40" s="382" t="n"/>
      <c r="G40" s="512">
        <f>IF(OR(A40="",E40=""),"",IF(C40="","",C40-E40))</f>
        <v/>
      </c>
      <c r="H40" s="384" t="inlineStr">
        <is>
          <t>Agent 08</t>
        </is>
      </c>
      <c r="I40" s="491" t="n"/>
      <c r="J40" s="499">
        <f>IF(AND(A40&lt;&gt;"",E40&lt;&gt;""),IF(I40="","⚠️ Enter Code",IF(IFERROR(VLOOKUP(H40,DB_Agents!$B:$I,8,0),"")=I40,IF(C40&gt;=E40,"Successful","Unsuccessful"),"🔒 BLOCKED — Wrong Code")),"—")</f>
        <v/>
      </c>
      <c r="K40" s="500">
        <f>IF(J40="Successful",TEXT(TODAY(),"YYYY-MM-DD")&amp;" Auto","—")</f>
        <v/>
      </c>
      <c r="L40" s="501" t="n"/>
    </row>
    <row r="41" ht="15" customHeight="1" s="341">
      <c r="A41" s="486" t="n"/>
      <c r="B41" s="378">
        <f>IF(A41="","",IFERROR(VLOOKUP(A41,DB_Customers!$A:$D,4,0),"❌ Account Not Found"))</f>
        <v/>
      </c>
      <c r="C41" s="487">
        <f>IF(A41="","",IFERROR(VLOOKUP(A41,DB_Customers!$A:$N,14,0),""))</f>
        <v/>
      </c>
      <c r="D41" s="488">
        <f>IF(A41="","",TODAY())</f>
        <v/>
      </c>
      <c r="E41" s="510" t="n"/>
      <c r="F41" s="378" t="n"/>
      <c r="G41" s="511">
        <f>IF(OR(A41="",E41=""),"",IF(C41="","",C41-E41))</f>
        <v/>
      </c>
      <c r="H41" s="380" t="inlineStr">
        <is>
          <t>Agent 08</t>
        </is>
      </c>
      <c r="I41" s="491" t="n"/>
      <c r="J41" s="492">
        <f>IF(AND(A41&lt;&gt;"",E41&lt;&gt;""),IF(I41="","⚠️ Enter Code",IF(IFERROR(VLOOKUP(H41,DB_Agents!$B:$I,8,0),"")=I41,IF(C41&gt;=E41,"Successful","Unsuccessful"),"🔒 BLOCKED — Wrong Code")),"—")</f>
        <v/>
      </c>
      <c r="K41" s="493">
        <f>IF(J41="Successful",TEXT(TODAY(),"YYYY-MM-DD")&amp;" Auto","—")</f>
        <v/>
      </c>
      <c r="L41" s="494" t="n"/>
    </row>
    <row r="42" ht="15" customHeight="1" s="341">
      <c r="A42" s="495" t="n"/>
      <c r="B42" s="382">
        <f>IF(A42="","",IFERROR(VLOOKUP(A42,DB_Customers!$A:$D,4,0),"❌ Account Not Found"))</f>
        <v/>
      </c>
      <c r="C42" s="496">
        <f>IF(A42="","",IFERROR(VLOOKUP(A42,DB_Customers!$A:$N,14,0),""))</f>
        <v/>
      </c>
      <c r="D42" s="497">
        <f>IF(A42="","",TODAY())</f>
        <v/>
      </c>
      <c r="E42" s="510" t="n"/>
      <c r="F42" s="382" t="n"/>
      <c r="G42" s="512">
        <f>IF(OR(A42="",E42=""),"",IF(C42="","",C42-E42))</f>
        <v/>
      </c>
      <c r="H42" s="384" t="inlineStr">
        <is>
          <t>Agent 08</t>
        </is>
      </c>
      <c r="I42" s="491" t="n"/>
      <c r="J42" s="499">
        <f>IF(AND(A42&lt;&gt;"",E42&lt;&gt;""),IF(I42="","⚠️ Enter Code",IF(IFERROR(VLOOKUP(H42,DB_Agents!$B:$I,8,0),"")=I42,IF(C42&gt;=E42,"Successful","Unsuccessful"),"🔒 BLOCKED — Wrong Code")),"—")</f>
        <v/>
      </c>
      <c r="K42" s="500">
        <f>IF(J42="Successful",TEXT(TODAY(),"YYYY-MM-DD")&amp;" Auto","—")</f>
        <v/>
      </c>
      <c r="L42" s="501" t="n"/>
    </row>
    <row r="43" ht="15" customHeight="1" s="341">
      <c r="A43" s="486" t="n"/>
      <c r="B43" s="378">
        <f>IF(A43="","",IFERROR(VLOOKUP(A43,DB_Customers!$A:$D,4,0),"❌ Account Not Found"))</f>
        <v/>
      </c>
      <c r="C43" s="487">
        <f>IF(A43="","",IFERROR(VLOOKUP(A43,DB_Customers!$A:$N,14,0),""))</f>
        <v/>
      </c>
      <c r="D43" s="488">
        <f>IF(A43="","",TODAY())</f>
        <v/>
      </c>
      <c r="E43" s="510" t="n"/>
      <c r="F43" s="378" t="n"/>
      <c r="G43" s="511">
        <f>IF(OR(A43="",E43=""),"",IF(C43="","",C43-E43))</f>
        <v/>
      </c>
      <c r="H43" s="380" t="inlineStr">
        <is>
          <t>Agent 08</t>
        </is>
      </c>
      <c r="I43" s="491" t="n"/>
      <c r="J43" s="492">
        <f>IF(AND(A43&lt;&gt;"",E43&lt;&gt;""),IF(I43="","⚠️ Enter Code",IF(IFERROR(VLOOKUP(H43,DB_Agents!$B:$I,8,0),"")=I43,IF(C43&gt;=E43,"Successful","Unsuccessful"),"🔒 BLOCKED — Wrong Code")),"—")</f>
        <v/>
      </c>
      <c r="K43" s="493">
        <f>IF(J43="Successful",TEXT(TODAY(),"YYYY-MM-DD")&amp;" Auto","—")</f>
        <v/>
      </c>
      <c r="L43" s="494" t="n"/>
    </row>
    <row r="44" ht="15" customHeight="1" s="341">
      <c r="A44" s="495" t="n"/>
      <c r="B44" s="382">
        <f>IF(A44="","",IFERROR(VLOOKUP(A44,DB_Customers!$A:$D,4,0),"❌ Account Not Found"))</f>
        <v/>
      </c>
      <c r="C44" s="496">
        <f>IF(A44="","",IFERROR(VLOOKUP(A44,DB_Customers!$A:$N,14,0),""))</f>
        <v/>
      </c>
      <c r="D44" s="497">
        <f>IF(A44="","",TODAY())</f>
        <v/>
      </c>
      <c r="E44" s="510" t="n"/>
      <c r="F44" s="382" t="n"/>
      <c r="G44" s="512">
        <f>IF(OR(A44="",E44=""),"",IF(C44="","",C44-E44))</f>
        <v/>
      </c>
      <c r="H44" s="384" t="inlineStr">
        <is>
          <t>Agent 08</t>
        </is>
      </c>
      <c r="I44" s="491" t="n"/>
      <c r="J44" s="499">
        <f>IF(AND(A44&lt;&gt;"",E44&lt;&gt;""),IF(I44="","⚠️ Enter Code",IF(IFERROR(VLOOKUP(H44,DB_Agents!$B:$I,8,0),"")=I44,IF(C44&gt;=E44,"Successful","Unsuccessful"),"🔒 BLOCKED — Wrong Code")),"—")</f>
        <v/>
      </c>
      <c r="K44" s="500">
        <f>IF(J44="Successful",TEXT(TODAY(),"YYYY-MM-DD")&amp;" Auto","—")</f>
        <v/>
      </c>
      <c r="L44" s="501" t="n"/>
    </row>
    <row r="45" ht="15" customHeight="1" s="341">
      <c r="A45" s="486" t="n"/>
      <c r="B45" s="378">
        <f>IF(A45="","",IFERROR(VLOOKUP(A45,DB_Customers!$A:$D,4,0),"❌ Account Not Found"))</f>
        <v/>
      </c>
      <c r="C45" s="487">
        <f>IF(A45="","",IFERROR(VLOOKUP(A45,DB_Customers!$A:$N,14,0),""))</f>
        <v/>
      </c>
      <c r="D45" s="488">
        <f>IF(A45="","",TODAY())</f>
        <v/>
      </c>
      <c r="E45" s="510" t="n"/>
      <c r="F45" s="378" t="n"/>
      <c r="G45" s="511">
        <f>IF(OR(A45="",E45=""),"",IF(C45="","",C45-E45))</f>
        <v/>
      </c>
      <c r="H45" s="380" t="inlineStr">
        <is>
          <t>Agent 08</t>
        </is>
      </c>
      <c r="I45" s="491" t="n"/>
      <c r="J45" s="492">
        <f>IF(AND(A45&lt;&gt;"",E45&lt;&gt;""),IF(I45="","⚠️ Enter Code",IF(IFERROR(VLOOKUP(H45,DB_Agents!$B:$I,8,0),"")=I45,IF(C45&gt;=E45,"Successful","Unsuccessful"),"🔒 BLOCKED — Wrong Code")),"—")</f>
        <v/>
      </c>
      <c r="K45" s="493">
        <f>IF(J45="Successful",TEXT(TODAY(),"YYYY-MM-DD")&amp;" Auto","—")</f>
        <v/>
      </c>
      <c r="L45" s="494" t="n"/>
    </row>
    <row r="46" ht="15" customHeight="1" s="341">
      <c r="A46" s="495" t="n"/>
      <c r="B46" s="382">
        <f>IF(A46="","",IFERROR(VLOOKUP(A46,DB_Customers!$A:$D,4,0),"❌ Account Not Found"))</f>
        <v/>
      </c>
      <c r="C46" s="496">
        <f>IF(A46="","",IFERROR(VLOOKUP(A46,DB_Customers!$A:$N,14,0),""))</f>
        <v/>
      </c>
      <c r="D46" s="497">
        <f>IF(A46="","",TODAY())</f>
        <v/>
      </c>
      <c r="E46" s="510" t="n"/>
      <c r="F46" s="382" t="n"/>
      <c r="G46" s="512">
        <f>IF(OR(A46="",E46=""),"",IF(C46="","",C46-E46))</f>
        <v/>
      </c>
      <c r="H46" s="384" t="inlineStr">
        <is>
          <t>Agent 08</t>
        </is>
      </c>
      <c r="I46" s="491" t="n"/>
      <c r="J46" s="499">
        <f>IF(AND(A46&lt;&gt;"",E46&lt;&gt;""),IF(I46="","⚠️ Enter Code",IF(IFERROR(VLOOKUP(H46,DB_Agents!$B:$I,8,0),"")=I46,IF(C46&gt;=E46,"Successful","Unsuccessful"),"🔒 BLOCKED — Wrong Code")),"—")</f>
        <v/>
      </c>
      <c r="K46" s="500">
        <f>IF(J46="Successful",TEXT(TODAY(),"YYYY-MM-DD")&amp;" Auto","—")</f>
        <v/>
      </c>
      <c r="L46" s="501" t="n"/>
    </row>
    <row r="47" ht="15" customHeight="1" s="341">
      <c r="A47" s="486" t="n"/>
      <c r="B47" s="378">
        <f>IF(A47="","",IFERROR(VLOOKUP(A47,DB_Customers!$A:$D,4,0),"❌ Account Not Found"))</f>
        <v/>
      </c>
      <c r="C47" s="487">
        <f>IF(A47="","",IFERROR(VLOOKUP(A47,DB_Customers!$A:$N,14,0),""))</f>
        <v/>
      </c>
      <c r="D47" s="488">
        <f>IF(A47="","",TODAY())</f>
        <v/>
      </c>
      <c r="E47" s="510" t="n"/>
      <c r="F47" s="378" t="n"/>
      <c r="G47" s="511">
        <f>IF(OR(A47="",E47=""),"",IF(C47="","",C47-E47))</f>
        <v/>
      </c>
      <c r="H47" s="380" t="inlineStr">
        <is>
          <t>Agent 08</t>
        </is>
      </c>
      <c r="I47" s="491" t="n"/>
      <c r="J47" s="492">
        <f>IF(AND(A47&lt;&gt;"",E47&lt;&gt;""),IF(I47="","⚠️ Enter Code",IF(IFERROR(VLOOKUP(H47,DB_Agents!$B:$I,8,0),"")=I47,IF(C47&gt;=E47,"Successful","Unsuccessful"),"🔒 BLOCKED — Wrong Code")),"—")</f>
        <v/>
      </c>
      <c r="K47" s="493">
        <f>IF(J47="Successful",TEXT(TODAY(),"YYYY-MM-DD")&amp;" Auto","—")</f>
        <v/>
      </c>
      <c r="L47" s="494" t="n"/>
    </row>
    <row r="48" ht="15" customHeight="1" s="341">
      <c r="A48" s="495" t="n"/>
      <c r="B48" s="382">
        <f>IF(A48="","",IFERROR(VLOOKUP(A48,DB_Customers!$A:$D,4,0),"❌ Account Not Found"))</f>
        <v/>
      </c>
      <c r="C48" s="496">
        <f>IF(A48="","",IFERROR(VLOOKUP(A48,DB_Customers!$A:$N,14,0),""))</f>
        <v/>
      </c>
      <c r="D48" s="497">
        <f>IF(A48="","",TODAY())</f>
        <v/>
      </c>
      <c r="E48" s="510" t="n"/>
      <c r="F48" s="382" t="n"/>
      <c r="G48" s="512">
        <f>IF(OR(A48="",E48=""),"",IF(C48="","",C48-E48))</f>
        <v/>
      </c>
      <c r="H48" s="384" t="inlineStr">
        <is>
          <t>Agent 08</t>
        </is>
      </c>
      <c r="I48" s="491" t="n"/>
      <c r="J48" s="499">
        <f>IF(AND(A48&lt;&gt;"",E48&lt;&gt;""),IF(I48="","⚠️ Enter Code",IF(IFERROR(VLOOKUP(H48,DB_Agents!$B:$I,8,0),"")=I48,IF(C48&gt;=E48,"Successful","Unsuccessful"),"🔒 BLOCKED — Wrong Code")),"—")</f>
        <v/>
      </c>
      <c r="K48" s="500">
        <f>IF(J48="Successful",TEXT(TODAY(),"YYYY-MM-DD")&amp;" Auto","—")</f>
        <v/>
      </c>
      <c r="L48" s="501" t="n"/>
    </row>
    <row r="49" ht="15" customHeight="1" s="341">
      <c r="A49" s="486" t="n"/>
      <c r="B49" s="378">
        <f>IF(A49="","",IFERROR(VLOOKUP(A49,DB_Customers!$A:$D,4,0),"❌ Account Not Found"))</f>
        <v/>
      </c>
      <c r="C49" s="487">
        <f>IF(A49="","",IFERROR(VLOOKUP(A49,DB_Customers!$A:$N,14,0),""))</f>
        <v/>
      </c>
      <c r="D49" s="488">
        <f>IF(A49="","",TODAY())</f>
        <v/>
      </c>
      <c r="E49" s="510" t="n"/>
      <c r="F49" s="378" t="n"/>
      <c r="G49" s="511">
        <f>IF(OR(A49="",E49=""),"",IF(C49="","",C49-E49))</f>
        <v/>
      </c>
      <c r="H49" s="380" t="inlineStr">
        <is>
          <t>Agent 08</t>
        </is>
      </c>
      <c r="I49" s="491" t="n"/>
      <c r="J49" s="492">
        <f>IF(AND(A49&lt;&gt;"",E49&lt;&gt;""),IF(I49="","⚠️ Enter Code",IF(IFERROR(VLOOKUP(H49,DB_Agents!$B:$I,8,0),"")=I49,IF(C49&gt;=E49,"Successful","Unsuccessful"),"🔒 BLOCKED — Wrong Code")),"—")</f>
        <v/>
      </c>
      <c r="K49" s="493">
        <f>IF(J49="Successful",TEXT(TODAY(),"YYYY-MM-DD")&amp;" Auto","—")</f>
        <v/>
      </c>
      <c r="L49" s="494" t="n"/>
    </row>
    <row r="50" ht="15" customHeight="1" s="341">
      <c r="A50" s="495" t="n"/>
      <c r="B50" s="382">
        <f>IF(A50="","",IFERROR(VLOOKUP(A50,DB_Customers!$A:$D,4,0),"❌ Account Not Found"))</f>
        <v/>
      </c>
      <c r="C50" s="496">
        <f>IF(A50="","",IFERROR(VLOOKUP(A50,DB_Customers!$A:$N,14,0),""))</f>
        <v/>
      </c>
      <c r="D50" s="497">
        <f>IF(A50="","",TODAY())</f>
        <v/>
      </c>
      <c r="E50" s="510" t="n"/>
      <c r="F50" s="382" t="n"/>
      <c r="G50" s="512">
        <f>IF(OR(A50="",E50=""),"",IF(C50="","",C50-E50))</f>
        <v/>
      </c>
      <c r="H50" s="384" t="inlineStr">
        <is>
          <t>Agent 08</t>
        </is>
      </c>
      <c r="I50" s="491" t="n"/>
      <c r="J50" s="499">
        <f>IF(AND(A50&lt;&gt;"",E50&lt;&gt;""),IF(I50="","⚠️ Enter Code",IF(IFERROR(VLOOKUP(H50,DB_Agents!$B:$I,8,0),"")=I50,IF(C50&gt;=E50,"Successful","Unsuccessful"),"🔒 BLOCKED — Wrong Code")),"—")</f>
        <v/>
      </c>
      <c r="K50" s="500">
        <f>IF(J50="Successful",TEXT(TODAY(),"YYYY-MM-DD")&amp;" Auto","—")</f>
        <v/>
      </c>
      <c r="L50" s="501" t="n"/>
    </row>
    <row r="51" ht="15" customHeight="1" s="341">
      <c r="A51" s="486" t="n"/>
      <c r="B51" s="378">
        <f>IF(A51="","",IFERROR(VLOOKUP(A51,DB_Customers!$A:$D,4,0),"❌ Account Not Found"))</f>
        <v/>
      </c>
      <c r="C51" s="487">
        <f>IF(A51="","",IFERROR(VLOOKUP(A51,DB_Customers!$A:$N,14,0),""))</f>
        <v/>
      </c>
      <c r="D51" s="488">
        <f>IF(A51="","",TODAY())</f>
        <v/>
      </c>
      <c r="E51" s="510" t="n"/>
      <c r="F51" s="378" t="n"/>
      <c r="G51" s="511">
        <f>IF(OR(A51="",E51=""),"",IF(C51="","",C51-E51))</f>
        <v/>
      </c>
      <c r="H51" s="380" t="inlineStr">
        <is>
          <t>Agent 08</t>
        </is>
      </c>
      <c r="I51" s="491" t="n"/>
      <c r="J51" s="492">
        <f>IF(AND(A51&lt;&gt;"",E51&lt;&gt;""),IF(I51="","⚠️ Enter Code",IF(IFERROR(VLOOKUP(H51,DB_Agents!$B:$I,8,0),"")=I51,IF(C51&gt;=E51,"Successful","Unsuccessful"),"🔒 BLOCKED — Wrong Code")),"—")</f>
        <v/>
      </c>
      <c r="K51" s="493">
        <f>IF(J51="Successful",TEXT(TODAY(),"YYYY-MM-DD")&amp;" Auto","—")</f>
        <v/>
      </c>
      <c r="L51" s="494" t="n"/>
    </row>
    <row r="52" ht="15" customHeight="1" s="341">
      <c r="A52" s="495" t="n"/>
      <c r="B52" s="382">
        <f>IF(A52="","",IFERROR(VLOOKUP(A52,DB_Customers!$A:$D,4,0),"❌ Account Not Found"))</f>
        <v/>
      </c>
      <c r="C52" s="496">
        <f>IF(A52="","",IFERROR(VLOOKUP(A52,DB_Customers!$A:$N,14,0),""))</f>
        <v/>
      </c>
      <c r="D52" s="497">
        <f>IF(A52="","",TODAY())</f>
        <v/>
      </c>
      <c r="E52" s="510" t="n"/>
      <c r="F52" s="382" t="n"/>
      <c r="G52" s="512">
        <f>IF(OR(A52="",E52=""),"",IF(C52="","",C52-E52))</f>
        <v/>
      </c>
      <c r="H52" s="384" t="inlineStr">
        <is>
          <t>Agent 08</t>
        </is>
      </c>
      <c r="I52" s="491" t="n"/>
      <c r="J52" s="499">
        <f>IF(AND(A52&lt;&gt;"",E52&lt;&gt;""),IF(I52="","⚠️ Enter Code",IF(IFERROR(VLOOKUP(H52,DB_Agents!$B:$I,8,0),"")=I52,IF(C52&gt;=E52,"Successful","Unsuccessful"),"🔒 BLOCKED — Wrong Code")),"—")</f>
        <v/>
      </c>
      <c r="K52" s="500">
        <f>IF(J52="Successful",TEXT(TODAY(),"YYYY-MM-DD")&amp;" Auto","—")</f>
        <v/>
      </c>
      <c r="L52" s="501" t="n"/>
    </row>
    <row r="53" ht="15" customHeight="1" s="341">
      <c r="A53" s="486" t="n"/>
      <c r="B53" s="378">
        <f>IF(A53="","",IFERROR(VLOOKUP(A53,DB_Customers!$A:$D,4,0),"❌ Account Not Found"))</f>
        <v/>
      </c>
      <c r="C53" s="487">
        <f>IF(A53="","",IFERROR(VLOOKUP(A53,DB_Customers!$A:$N,14,0),""))</f>
        <v/>
      </c>
      <c r="D53" s="488">
        <f>IF(A53="","",TODAY())</f>
        <v/>
      </c>
      <c r="E53" s="510" t="n"/>
      <c r="F53" s="378" t="n"/>
      <c r="G53" s="511">
        <f>IF(OR(A53="",E53=""),"",IF(C53="","",C53-E53))</f>
        <v/>
      </c>
      <c r="H53" s="380" t="inlineStr">
        <is>
          <t>Agent 08</t>
        </is>
      </c>
      <c r="I53" s="491" t="n"/>
      <c r="J53" s="492">
        <f>IF(AND(A53&lt;&gt;"",E53&lt;&gt;""),IF(I53="","⚠️ Enter Code",IF(IFERROR(VLOOKUP(H53,DB_Agents!$B:$I,8,0),"")=I53,IF(C53&gt;=E53,"Successful","Unsuccessful"),"🔒 BLOCKED — Wrong Code")),"—")</f>
        <v/>
      </c>
      <c r="K53" s="493">
        <f>IF(J53="Successful",TEXT(TODAY(),"YYYY-MM-DD")&amp;" Auto","—")</f>
        <v/>
      </c>
      <c r="L53" s="494" t="n"/>
    </row>
    <row r="54" ht="15" customHeight="1" s="341">
      <c r="A54" s="495" t="n"/>
      <c r="B54" s="382">
        <f>IF(A54="","",IFERROR(VLOOKUP(A54,DB_Customers!$A:$D,4,0),"❌ Account Not Found"))</f>
        <v/>
      </c>
      <c r="C54" s="496">
        <f>IF(A54="","",IFERROR(VLOOKUP(A54,DB_Customers!$A:$N,14,0),""))</f>
        <v/>
      </c>
      <c r="D54" s="497">
        <f>IF(A54="","",TODAY())</f>
        <v/>
      </c>
      <c r="E54" s="510" t="n"/>
      <c r="F54" s="382" t="n"/>
      <c r="G54" s="512">
        <f>IF(OR(A54="",E54=""),"",IF(C54="","",C54-E54))</f>
        <v/>
      </c>
      <c r="H54" s="384" t="inlineStr">
        <is>
          <t>Agent 08</t>
        </is>
      </c>
      <c r="I54" s="491" t="n"/>
      <c r="J54" s="499">
        <f>IF(AND(A54&lt;&gt;"",E54&lt;&gt;""),IF(I54="","⚠️ Enter Code",IF(IFERROR(VLOOKUP(H54,DB_Agents!$B:$I,8,0),"")=I54,IF(C54&gt;=E54,"Successful","Unsuccessful"),"🔒 BLOCKED — Wrong Code")),"—")</f>
        <v/>
      </c>
      <c r="K54" s="500">
        <f>IF(J54="Successful",TEXT(TODAY(),"YYYY-MM-DD")&amp;" Auto","—")</f>
        <v/>
      </c>
      <c r="L54" s="501" t="n"/>
    </row>
    <row r="55" ht="15" customHeight="1" s="341">
      <c r="A55" s="486" t="n"/>
      <c r="B55" s="378">
        <f>IF(A55="","",IFERROR(VLOOKUP(A55,DB_Customers!$A:$D,4,0),"❌ Account Not Found"))</f>
        <v/>
      </c>
      <c r="C55" s="487">
        <f>IF(A55="","",IFERROR(VLOOKUP(A55,DB_Customers!$A:$N,14,0),""))</f>
        <v/>
      </c>
      <c r="D55" s="488">
        <f>IF(A55="","",TODAY())</f>
        <v/>
      </c>
      <c r="E55" s="510" t="n"/>
      <c r="F55" s="378" t="n"/>
      <c r="G55" s="511">
        <f>IF(OR(A55="",E55=""),"",IF(C55="","",C55-E55))</f>
        <v/>
      </c>
      <c r="H55" s="380" t="inlineStr">
        <is>
          <t>Agent 08</t>
        </is>
      </c>
      <c r="I55" s="491" t="n"/>
      <c r="J55" s="492">
        <f>IF(AND(A55&lt;&gt;"",E55&lt;&gt;""),IF(I55="","⚠️ Enter Code",IF(IFERROR(VLOOKUP(H55,DB_Agents!$B:$I,8,0),"")=I55,IF(C55&gt;=E55,"Successful","Unsuccessful"),"🔒 BLOCKED — Wrong Code")),"—")</f>
        <v/>
      </c>
      <c r="K55" s="493">
        <f>IF(J55="Successful",TEXT(TODAY(),"YYYY-MM-DD")&amp;" Auto","—")</f>
        <v/>
      </c>
      <c r="L55" s="494" t="n"/>
    </row>
    <row r="56" ht="15" customHeight="1" s="341">
      <c r="A56" s="495" t="n"/>
      <c r="B56" s="382">
        <f>IF(A56="","",IFERROR(VLOOKUP(A56,DB_Customers!$A:$D,4,0),"❌ Account Not Found"))</f>
        <v/>
      </c>
      <c r="C56" s="496">
        <f>IF(A56="","",IFERROR(VLOOKUP(A56,DB_Customers!$A:$N,14,0),""))</f>
        <v/>
      </c>
      <c r="D56" s="497">
        <f>IF(A56="","",TODAY())</f>
        <v/>
      </c>
      <c r="E56" s="510" t="n"/>
      <c r="F56" s="382" t="n"/>
      <c r="G56" s="512">
        <f>IF(OR(A56="",E56=""),"",IF(C56="","",C56-E56))</f>
        <v/>
      </c>
      <c r="H56" s="384" t="inlineStr">
        <is>
          <t>Agent 08</t>
        </is>
      </c>
      <c r="I56" s="491" t="n"/>
      <c r="J56" s="499">
        <f>IF(AND(A56&lt;&gt;"",E56&lt;&gt;""),IF(I56="","⚠️ Enter Code",IF(IFERROR(VLOOKUP(H56,DB_Agents!$B:$I,8,0),"")=I56,IF(C56&gt;=E56,"Successful","Unsuccessful"),"🔒 BLOCKED — Wrong Code")),"—")</f>
        <v/>
      </c>
      <c r="K56" s="500">
        <f>IF(J56="Successful",TEXT(TODAY(),"YYYY-MM-DD")&amp;" Auto","—")</f>
        <v/>
      </c>
      <c r="L56" s="501" t="n"/>
    </row>
    <row r="57" ht="15" customHeight="1" s="341">
      <c r="A57" s="486" t="n"/>
      <c r="B57" s="378">
        <f>IF(A57="","",IFERROR(VLOOKUP(A57,DB_Customers!$A:$D,4,0),"❌ Account Not Found"))</f>
        <v/>
      </c>
      <c r="C57" s="487">
        <f>IF(A57="","",IFERROR(VLOOKUP(A57,DB_Customers!$A:$N,14,0),""))</f>
        <v/>
      </c>
      <c r="D57" s="488">
        <f>IF(A57="","",TODAY())</f>
        <v/>
      </c>
      <c r="E57" s="510" t="n"/>
      <c r="F57" s="378" t="n"/>
      <c r="G57" s="511">
        <f>IF(OR(A57="",E57=""),"",IF(C57="","",C57-E57))</f>
        <v/>
      </c>
      <c r="H57" s="380" t="inlineStr">
        <is>
          <t>Agent 08</t>
        </is>
      </c>
      <c r="I57" s="491" t="n"/>
      <c r="J57" s="492">
        <f>IF(AND(A57&lt;&gt;"",E57&lt;&gt;""),IF(I57="","⚠️ Enter Code",IF(IFERROR(VLOOKUP(H57,DB_Agents!$B:$I,8,0),"")=I57,IF(C57&gt;=E57,"Successful","Unsuccessful"),"🔒 BLOCKED — Wrong Code")),"—")</f>
        <v/>
      </c>
      <c r="K57" s="493">
        <f>IF(J57="Successful",TEXT(TODAY(),"YYYY-MM-DD")&amp;" Auto","—")</f>
        <v/>
      </c>
      <c r="L57" s="494" t="n"/>
    </row>
    <row r="58" ht="15" customHeight="1" s="341">
      <c r="A58" s="495" t="n"/>
      <c r="B58" s="382">
        <f>IF(A58="","",IFERROR(VLOOKUP(A58,DB_Customers!$A:$D,4,0),"❌ Account Not Found"))</f>
        <v/>
      </c>
      <c r="C58" s="496">
        <f>IF(A58="","",IFERROR(VLOOKUP(A58,DB_Customers!$A:$N,14,0),""))</f>
        <v/>
      </c>
      <c r="D58" s="497">
        <f>IF(A58="","",TODAY())</f>
        <v/>
      </c>
      <c r="E58" s="510" t="n"/>
      <c r="F58" s="382" t="n"/>
      <c r="G58" s="512">
        <f>IF(OR(A58="",E58=""),"",IF(C58="","",C58-E58))</f>
        <v/>
      </c>
      <c r="H58" s="384" t="inlineStr">
        <is>
          <t>Agent 08</t>
        </is>
      </c>
      <c r="I58" s="491" t="n"/>
      <c r="J58" s="499">
        <f>IF(AND(A58&lt;&gt;"",E58&lt;&gt;""),IF(I58="","⚠️ Enter Code",IF(IFERROR(VLOOKUP(H58,DB_Agents!$B:$I,8,0),"")=I58,IF(C58&gt;=E58,"Successful","Unsuccessful"),"🔒 BLOCKED — Wrong Code")),"—")</f>
        <v/>
      </c>
      <c r="K58" s="500">
        <f>IF(J58="Successful",TEXT(TODAY(),"YYYY-MM-DD")&amp;" Auto","—")</f>
        <v/>
      </c>
      <c r="L58" s="501" t="n"/>
    </row>
    <row r="59" ht="15" customHeight="1" s="341">
      <c r="A59" s="486" t="n"/>
      <c r="B59" s="378">
        <f>IF(A59="","",IFERROR(VLOOKUP(A59,DB_Customers!$A:$D,4,0),"❌ Account Not Found"))</f>
        <v/>
      </c>
      <c r="C59" s="487">
        <f>IF(A59="","",IFERROR(VLOOKUP(A59,DB_Customers!$A:$N,14,0),""))</f>
        <v/>
      </c>
      <c r="D59" s="488">
        <f>IF(A59="","",TODAY())</f>
        <v/>
      </c>
      <c r="E59" s="510" t="n"/>
      <c r="F59" s="378" t="n"/>
      <c r="G59" s="511">
        <f>IF(OR(A59="",E59=""),"",IF(C59="","",C59-E59))</f>
        <v/>
      </c>
      <c r="H59" s="380" t="inlineStr">
        <is>
          <t>Agent 08</t>
        </is>
      </c>
      <c r="I59" s="491" t="n"/>
      <c r="J59" s="492">
        <f>IF(AND(A59&lt;&gt;"",E59&lt;&gt;""),IF(I59="","⚠️ Enter Code",IF(IFERROR(VLOOKUP(H59,DB_Agents!$B:$I,8,0),"")=I59,IF(C59&gt;=E59,"Successful","Unsuccessful"),"🔒 BLOCKED — Wrong Code")),"—")</f>
        <v/>
      </c>
      <c r="K59" s="493">
        <f>IF(J59="Successful",TEXT(TODAY(),"YYYY-MM-DD")&amp;" Auto","—")</f>
        <v/>
      </c>
      <c r="L59" s="494" t="n"/>
    </row>
    <row r="60" ht="15" customHeight="1" s="341">
      <c r="A60" s="495" t="n"/>
      <c r="B60" s="382">
        <f>IF(A60="","",IFERROR(VLOOKUP(A60,DB_Customers!$A:$D,4,0),"❌ Account Not Found"))</f>
        <v/>
      </c>
      <c r="C60" s="496">
        <f>IF(A60="","",IFERROR(VLOOKUP(A60,DB_Customers!$A:$N,14,0),""))</f>
        <v/>
      </c>
      <c r="D60" s="497">
        <f>IF(A60="","",TODAY())</f>
        <v/>
      </c>
      <c r="E60" s="510" t="n"/>
      <c r="F60" s="382" t="n"/>
      <c r="G60" s="512">
        <f>IF(OR(A60="",E60=""),"",IF(C60="","",C60-E60))</f>
        <v/>
      </c>
      <c r="H60" s="384" t="inlineStr">
        <is>
          <t>Agent 08</t>
        </is>
      </c>
      <c r="I60" s="491" t="n"/>
      <c r="J60" s="499">
        <f>IF(AND(A60&lt;&gt;"",E60&lt;&gt;""),IF(I60="","⚠️ Enter Code",IF(IFERROR(VLOOKUP(H60,DB_Agents!$B:$I,8,0),"")=I60,IF(C60&gt;=E60,"Successful","Unsuccessful"),"🔒 BLOCKED — Wrong Code")),"—")</f>
        <v/>
      </c>
      <c r="K60" s="500">
        <f>IF(J60="Successful",TEXT(TODAY(),"YYYY-MM-DD")&amp;" Auto","—")</f>
        <v/>
      </c>
      <c r="L60" s="501" t="n"/>
    </row>
    <row r="61" ht="15" customHeight="1" s="341">
      <c r="A61" s="486" t="n"/>
      <c r="B61" s="378">
        <f>IF(A61="","",IFERROR(VLOOKUP(A61,DB_Customers!$A:$D,4,0),"❌ Account Not Found"))</f>
        <v/>
      </c>
      <c r="C61" s="487">
        <f>IF(A61="","",IFERROR(VLOOKUP(A61,DB_Customers!$A:$N,14,0),""))</f>
        <v/>
      </c>
      <c r="D61" s="488">
        <f>IF(A61="","",TODAY())</f>
        <v/>
      </c>
      <c r="E61" s="510" t="n"/>
      <c r="F61" s="378" t="n"/>
      <c r="G61" s="511">
        <f>IF(OR(A61="",E61=""),"",IF(C61="","",C61-E61))</f>
        <v/>
      </c>
      <c r="H61" s="380" t="inlineStr">
        <is>
          <t>Agent 08</t>
        </is>
      </c>
      <c r="I61" s="491" t="n"/>
      <c r="J61" s="492">
        <f>IF(AND(A61&lt;&gt;"",E61&lt;&gt;""),IF(I61="","⚠️ Enter Code",IF(IFERROR(VLOOKUP(H61,DB_Agents!$B:$I,8,0),"")=I61,IF(C61&gt;=E61,"Successful","Unsuccessful"),"🔒 BLOCKED — Wrong Code")),"—")</f>
        <v/>
      </c>
      <c r="K61" s="493">
        <f>IF(J61="Successful",TEXT(TODAY(),"YYYY-MM-DD")&amp;" Auto","—")</f>
        <v/>
      </c>
      <c r="L61" s="494" t="n"/>
    </row>
    <row r="62" ht="15" customHeight="1" s="341">
      <c r="A62" s="495" t="n"/>
      <c r="B62" s="382">
        <f>IF(A62="","",IFERROR(VLOOKUP(A62,DB_Customers!$A:$D,4,0),"❌ Account Not Found"))</f>
        <v/>
      </c>
      <c r="C62" s="496">
        <f>IF(A62="","",IFERROR(VLOOKUP(A62,DB_Customers!$A:$N,14,0),""))</f>
        <v/>
      </c>
      <c r="D62" s="497">
        <f>IF(A62="","",TODAY())</f>
        <v/>
      </c>
      <c r="E62" s="510" t="n"/>
      <c r="F62" s="382" t="n"/>
      <c r="G62" s="512">
        <f>IF(OR(A62="",E62=""),"",IF(C62="","",C62-E62))</f>
        <v/>
      </c>
      <c r="H62" s="384" t="inlineStr">
        <is>
          <t>Agent 08</t>
        </is>
      </c>
      <c r="I62" s="491" t="n"/>
      <c r="J62" s="499">
        <f>IF(AND(A62&lt;&gt;"",E62&lt;&gt;""),IF(I62="","⚠️ Enter Code",IF(IFERROR(VLOOKUP(H62,DB_Agents!$B:$I,8,0),"")=I62,IF(C62&gt;=E62,"Successful","Unsuccessful"),"🔒 BLOCKED — Wrong Code")),"—")</f>
        <v/>
      </c>
      <c r="K62" s="500">
        <f>IF(J62="Successful",TEXT(TODAY(),"YYYY-MM-DD")&amp;" Auto","—")</f>
        <v/>
      </c>
      <c r="L62" s="501" t="n"/>
    </row>
    <row r="63" ht="15" customHeight="1" s="341">
      <c r="A63" s="486" t="n"/>
      <c r="B63" s="378">
        <f>IF(A63="","",IFERROR(VLOOKUP(A63,DB_Customers!$A:$D,4,0),"❌ Account Not Found"))</f>
        <v/>
      </c>
      <c r="C63" s="487">
        <f>IF(A63="","",IFERROR(VLOOKUP(A63,DB_Customers!$A:$N,14,0),""))</f>
        <v/>
      </c>
      <c r="D63" s="488">
        <f>IF(A63="","",TODAY())</f>
        <v/>
      </c>
      <c r="E63" s="510" t="n"/>
      <c r="F63" s="378" t="n"/>
      <c r="G63" s="511">
        <f>IF(OR(A63="",E63=""),"",IF(C63="","",C63-E63))</f>
        <v/>
      </c>
      <c r="H63" s="380" t="inlineStr">
        <is>
          <t>Agent 08</t>
        </is>
      </c>
      <c r="I63" s="491" t="n"/>
      <c r="J63" s="492">
        <f>IF(AND(A63&lt;&gt;"",E63&lt;&gt;""),IF(I63="","⚠️ Enter Code",IF(IFERROR(VLOOKUP(H63,DB_Agents!$B:$I,8,0),"")=I63,IF(C63&gt;=E63,"Successful","Unsuccessful"),"🔒 BLOCKED — Wrong Code")),"—")</f>
        <v/>
      </c>
      <c r="K63" s="493">
        <f>IF(J63="Successful",TEXT(TODAY(),"YYYY-MM-DD")&amp;" Auto","—")</f>
        <v/>
      </c>
      <c r="L63" s="494" t="n"/>
    </row>
    <row r="64" ht="15" customHeight="1" s="341">
      <c r="A64" s="495" t="n"/>
      <c r="B64" s="382">
        <f>IF(A64="","",IFERROR(VLOOKUP(A64,DB_Customers!$A:$D,4,0),"❌ Account Not Found"))</f>
        <v/>
      </c>
      <c r="C64" s="496">
        <f>IF(A64="","",IFERROR(VLOOKUP(A64,DB_Customers!$A:$N,14,0),""))</f>
        <v/>
      </c>
      <c r="D64" s="497">
        <f>IF(A64="","",TODAY())</f>
        <v/>
      </c>
      <c r="E64" s="510" t="n"/>
      <c r="F64" s="382" t="n"/>
      <c r="G64" s="512">
        <f>IF(OR(A64="",E64=""),"",IF(C64="","",C64-E64))</f>
        <v/>
      </c>
      <c r="H64" s="384" t="inlineStr">
        <is>
          <t>Agent 08</t>
        </is>
      </c>
      <c r="I64" s="491" t="n"/>
      <c r="J64" s="499">
        <f>IF(AND(A64&lt;&gt;"",E64&lt;&gt;""),IF(I64="","⚠️ Enter Code",IF(IFERROR(VLOOKUP(H64,DB_Agents!$B:$I,8,0),"")=I64,IF(C64&gt;=E64,"Successful","Unsuccessful"),"🔒 BLOCKED — Wrong Code")),"—")</f>
        <v/>
      </c>
      <c r="K64" s="500">
        <f>IF(J64="Successful",TEXT(TODAY(),"YYYY-MM-DD")&amp;" Auto","—")</f>
        <v/>
      </c>
      <c r="L64" s="501" t="n"/>
    </row>
    <row r="65" ht="15" customHeight="1" s="341">
      <c r="A65" s="486" t="n"/>
      <c r="B65" s="378">
        <f>IF(A65="","",IFERROR(VLOOKUP(A65,DB_Customers!$A:$D,4,0),"❌ Account Not Found"))</f>
        <v/>
      </c>
      <c r="C65" s="487">
        <f>IF(A65="","",IFERROR(VLOOKUP(A65,DB_Customers!$A:$N,14,0),""))</f>
        <v/>
      </c>
      <c r="D65" s="488">
        <f>IF(A65="","",TODAY())</f>
        <v/>
      </c>
      <c r="E65" s="510" t="n"/>
      <c r="F65" s="378" t="n"/>
      <c r="G65" s="511">
        <f>IF(OR(A65="",E65=""),"",IF(C65="","",C65-E65))</f>
        <v/>
      </c>
      <c r="H65" s="380" t="inlineStr">
        <is>
          <t>Agent 08</t>
        </is>
      </c>
      <c r="I65" s="491" t="n"/>
      <c r="J65" s="492">
        <f>IF(AND(A65&lt;&gt;"",E65&lt;&gt;""),IF(I65="","⚠️ Enter Code",IF(IFERROR(VLOOKUP(H65,DB_Agents!$B:$I,8,0),"")=I65,IF(C65&gt;=E65,"Successful","Unsuccessful"),"🔒 BLOCKED — Wrong Code")),"—")</f>
        <v/>
      </c>
      <c r="K65" s="493">
        <f>IF(J65="Successful",TEXT(TODAY(),"YYYY-MM-DD")&amp;" Auto","—")</f>
        <v/>
      </c>
      <c r="L65" s="494" t="n"/>
    </row>
    <row r="66" ht="15" customHeight="1" s="341">
      <c r="A66" s="495" t="n"/>
      <c r="B66" s="382">
        <f>IF(A66="","",IFERROR(VLOOKUP(A66,DB_Customers!$A:$D,4,0),"❌ Account Not Found"))</f>
        <v/>
      </c>
      <c r="C66" s="496">
        <f>IF(A66="","",IFERROR(VLOOKUP(A66,DB_Customers!$A:$N,14,0),""))</f>
        <v/>
      </c>
      <c r="D66" s="497">
        <f>IF(A66="","",TODAY())</f>
        <v/>
      </c>
      <c r="E66" s="510" t="n"/>
      <c r="F66" s="382" t="n"/>
      <c r="G66" s="512">
        <f>IF(OR(A66="",E66=""),"",IF(C66="","",C66-E66))</f>
        <v/>
      </c>
      <c r="H66" s="384" t="inlineStr">
        <is>
          <t>Agent 08</t>
        </is>
      </c>
      <c r="I66" s="491" t="n"/>
      <c r="J66" s="499">
        <f>IF(AND(A66&lt;&gt;"",E66&lt;&gt;""),IF(I66="","⚠️ Enter Code",IF(IFERROR(VLOOKUP(H66,DB_Agents!$B:$I,8,0),"")=I66,IF(C66&gt;=E66,"Successful","Unsuccessful"),"🔒 BLOCKED — Wrong Code")),"—")</f>
        <v/>
      </c>
      <c r="K66" s="500">
        <f>IF(J66="Successful",TEXT(TODAY(),"YYYY-MM-DD")&amp;" Auto","—")</f>
        <v/>
      </c>
      <c r="L66" s="501" t="n"/>
    </row>
    <row r="67" ht="15" customHeight="1" s="341">
      <c r="A67" s="486" t="n"/>
      <c r="B67" s="378">
        <f>IF(A67="","",IFERROR(VLOOKUP(A67,DB_Customers!$A:$D,4,0),"❌ Account Not Found"))</f>
        <v/>
      </c>
      <c r="C67" s="487">
        <f>IF(A67="","",IFERROR(VLOOKUP(A67,DB_Customers!$A:$N,14,0),""))</f>
        <v/>
      </c>
      <c r="D67" s="488">
        <f>IF(A67="","",TODAY())</f>
        <v/>
      </c>
      <c r="E67" s="510" t="n"/>
      <c r="F67" s="378" t="n"/>
      <c r="G67" s="511">
        <f>IF(OR(A67="",E67=""),"",IF(C67="","",C67-E67))</f>
        <v/>
      </c>
      <c r="H67" s="380" t="inlineStr">
        <is>
          <t>Agent 08</t>
        </is>
      </c>
      <c r="I67" s="491" t="n"/>
      <c r="J67" s="492">
        <f>IF(AND(A67&lt;&gt;"",E67&lt;&gt;""),IF(I67="","⚠️ Enter Code",IF(IFERROR(VLOOKUP(H67,DB_Agents!$B:$I,8,0),"")=I67,IF(C67&gt;=E67,"Successful","Unsuccessful"),"🔒 BLOCKED — Wrong Code")),"—")</f>
        <v/>
      </c>
      <c r="K67" s="493">
        <f>IF(J67="Successful",TEXT(TODAY(),"YYYY-MM-DD")&amp;" Auto","—")</f>
        <v/>
      </c>
      <c r="L67" s="494" t="n"/>
    </row>
    <row r="68" ht="15" customHeight="1" s="341">
      <c r="A68" s="495" t="n"/>
      <c r="B68" s="382">
        <f>IF(A68="","",IFERROR(VLOOKUP(A68,DB_Customers!$A:$D,4,0),"❌ Account Not Found"))</f>
        <v/>
      </c>
      <c r="C68" s="496">
        <f>IF(A68="","",IFERROR(VLOOKUP(A68,DB_Customers!$A:$N,14,0),""))</f>
        <v/>
      </c>
      <c r="D68" s="497">
        <f>IF(A68="","",TODAY())</f>
        <v/>
      </c>
      <c r="E68" s="510" t="n"/>
      <c r="F68" s="382" t="n"/>
      <c r="G68" s="512">
        <f>IF(OR(A68="",E68=""),"",IF(C68="","",C68-E68))</f>
        <v/>
      </c>
      <c r="H68" s="384" t="inlineStr">
        <is>
          <t>Agent 08</t>
        </is>
      </c>
      <c r="I68" s="491" t="n"/>
      <c r="J68" s="499">
        <f>IF(AND(A68&lt;&gt;"",E68&lt;&gt;""),IF(I68="","⚠️ Enter Code",IF(IFERROR(VLOOKUP(H68,DB_Agents!$B:$I,8,0),"")=I68,IF(C68&gt;=E68,"Successful","Unsuccessful"),"🔒 BLOCKED — Wrong Code")),"—")</f>
        <v/>
      </c>
      <c r="K68" s="500">
        <f>IF(J68="Successful",TEXT(TODAY(),"YYYY-MM-DD")&amp;" Auto","—")</f>
        <v/>
      </c>
      <c r="L68" s="501" t="n"/>
    </row>
    <row r="69" ht="15" customHeight="1" s="341">
      <c r="A69" s="486" t="n"/>
      <c r="B69" s="378">
        <f>IF(A69="","",IFERROR(VLOOKUP(A69,DB_Customers!$A:$D,4,0),"❌ Account Not Found"))</f>
        <v/>
      </c>
      <c r="C69" s="487">
        <f>IF(A69="","",IFERROR(VLOOKUP(A69,DB_Customers!$A:$N,14,0),""))</f>
        <v/>
      </c>
      <c r="D69" s="488">
        <f>IF(A69="","",TODAY())</f>
        <v/>
      </c>
      <c r="E69" s="510" t="n"/>
      <c r="F69" s="378" t="n"/>
      <c r="G69" s="511">
        <f>IF(OR(A69="",E69=""),"",IF(C69="","",C69-E69))</f>
        <v/>
      </c>
      <c r="H69" s="380" t="inlineStr">
        <is>
          <t>Agent 08</t>
        </is>
      </c>
      <c r="I69" s="491" t="n"/>
      <c r="J69" s="492">
        <f>IF(AND(A69&lt;&gt;"",E69&lt;&gt;""),IF(I69="","⚠️ Enter Code",IF(IFERROR(VLOOKUP(H69,DB_Agents!$B:$I,8,0),"")=I69,IF(C69&gt;=E69,"Successful","Unsuccessful"),"🔒 BLOCKED — Wrong Code")),"—")</f>
        <v/>
      </c>
      <c r="K69" s="493">
        <f>IF(J69="Successful",TEXT(TODAY(),"YYYY-MM-DD")&amp;" Auto","—")</f>
        <v/>
      </c>
      <c r="L69" s="494" t="n"/>
    </row>
    <row r="70" ht="15" customHeight="1" s="341">
      <c r="A70" s="495" t="n"/>
      <c r="B70" s="382">
        <f>IF(A70="","",IFERROR(VLOOKUP(A70,DB_Customers!$A:$D,4,0),"❌ Account Not Found"))</f>
        <v/>
      </c>
      <c r="C70" s="496">
        <f>IF(A70="","",IFERROR(VLOOKUP(A70,DB_Customers!$A:$N,14,0),""))</f>
        <v/>
      </c>
      <c r="D70" s="497">
        <f>IF(A70="","",TODAY())</f>
        <v/>
      </c>
      <c r="E70" s="510" t="n"/>
      <c r="F70" s="382" t="n"/>
      <c r="G70" s="512">
        <f>IF(OR(A70="",E70=""),"",IF(C70="","",C70-E70))</f>
        <v/>
      </c>
      <c r="H70" s="384" t="inlineStr">
        <is>
          <t>Agent 08</t>
        </is>
      </c>
      <c r="I70" s="491" t="n"/>
      <c r="J70" s="499">
        <f>IF(AND(A70&lt;&gt;"",E70&lt;&gt;""),IF(I70="","⚠️ Enter Code",IF(IFERROR(VLOOKUP(H70,DB_Agents!$B:$I,8,0),"")=I70,IF(C70&gt;=E70,"Successful","Unsuccessful"),"🔒 BLOCKED — Wrong Code")),"—")</f>
        <v/>
      </c>
      <c r="K70" s="500">
        <f>IF(J70="Successful",TEXT(TODAY(),"YYYY-MM-DD")&amp;" Auto","—")</f>
        <v/>
      </c>
      <c r="L70" s="501" t="n"/>
    </row>
    <row r="71" ht="15" customHeight="1" s="341">
      <c r="A71" s="486" t="n"/>
      <c r="B71" s="378">
        <f>IF(A71="","",IFERROR(VLOOKUP(A71,DB_Customers!$A:$D,4,0),"❌ Account Not Found"))</f>
        <v/>
      </c>
      <c r="C71" s="487">
        <f>IF(A71="","",IFERROR(VLOOKUP(A71,DB_Customers!$A:$N,14,0),""))</f>
        <v/>
      </c>
      <c r="D71" s="488">
        <f>IF(A71="","",TODAY())</f>
        <v/>
      </c>
      <c r="E71" s="510" t="n"/>
      <c r="F71" s="378" t="n"/>
      <c r="G71" s="511">
        <f>IF(OR(A71="",E71=""),"",IF(C71="","",C71-E71))</f>
        <v/>
      </c>
      <c r="H71" s="380" t="inlineStr">
        <is>
          <t>Agent 08</t>
        </is>
      </c>
      <c r="I71" s="491" t="n"/>
      <c r="J71" s="492">
        <f>IF(AND(A71&lt;&gt;"",E71&lt;&gt;""),IF(I71="","⚠️ Enter Code",IF(IFERROR(VLOOKUP(H71,DB_Agents!$B:$I,8,0),"")=I71,IF(C71&gt;=E71,"Successful","Unsuccessful"),"🔒 BLOCKED — Wrong Code")),"—")</f>
        <v/>
      </c>
      <c r="K71" s="493">
        <f>IF(J71="Successful",TEXT(TODAY(),"YYYY-MM-DD")&amp;" Auto","—")</f>
        <v/>
      </c>
      <c r="L71" s="494" t="n"/>
    </row>
    <row r="72" ht="15" customHeight="1" s="341">
      <c r="A72" s="495" t="n"/>
      <c r="B72" s="382">
        <f>IF(A72="","",IFERROR(VLOOKUP(A72,DB_Customers!$A:$D,4,0),"❌ Account Not Found"))</f>
        <v/>
      </c>
      <c r="C72" s="496">
        <f>IF(A72="","",IFERROR(VLOOKUP(A72,DB_Customers!$A:$N,14,0),""))</f>
        <v/>
      </c>
      <c r="D72" s="497">
        <f>IF(A72="","",TODAY())</f>
        <v/>
      </c>
      <c r="E72" s="510" t="n"/>
      <c r="F72" s="382" t="n"/>
      <c r="G72" s="512">
        <f>IF(OR(A72="",E72=""),"",IF(C72="","",C72-E72))</f>
        <v/>
      </c>
      <c r="H72" s="384" t="inlineStr">
        <is>
          <t>Agent 08</t>
        </is>
      </c>
      <c r="I72" s="491" t="n"/>
      <c r="J72" s="499">
        <f>IF(AND(A72&lt;&gt;"",E72&lt;&gt;""),IF(I72="","⚠️ Enter Code",IF(IFERROR(VLOOKUP(H72,DB_Agents!$B:$I,8,0),"")=I72,IF(C72&gt;=E72,"Successful","Unsuccessful"),"🔒 BLOCKED — Wrong Code")),"—")</f>
        <v/>
      </c>
      <c r="K72" s="500">
        <f>IF(J72="Successful",TEXT(TODAY(),"YYYY-MM-DD")&amp;" Auto","—")</f>
        <v/>
      </c>
      <c r="L72" s="501" t="n"/>
    </row>
    <row r="73" ht="15" customHeight="1" s="341">
      <c r="A73" s="486" t="n"/>
      <c r="B73" s="378">
        <f>IF(A73="","",IFERROR(VLOOKUP(A73,DB_Customers!$A:$D,4,0),"❌ Account Not Found"))</f>
        <v/>
      </c>
      <c r="C73" s="487">
        <f>IF(A73="","",IFERROR(VLOOKUP(A73,DB_Customers!$A:$N,14,0),""))</f>
        <v/>
      </c>
      <c r="D73" s="488">
        <f>IF(A73="","",TODAY())</f>
        <v/>
      </c>
      <c r="E73" s="510" t="n"/>
      <c r="F73" s="378" t="n"/>
      <c r="G73" s="511">
        <f>IF(OR(A73="",E73=""),"",IF(C73="","",C73-E73))</f>
        <v/>
      </c>
      <c r="H73" s="380" t="inlineStr">
        <is>
          <t>Agent 08</t>
        </is>
      </c>
      <c r="I73" s="491" t="n"/>
      <c r="J73" s="492">
        <f>IF(AND(A73&lt;&gt;"",E73&lt;&gt;""),IF(I73="","⚠️ Enter Code",IF(IFERROR(VLOOKUP(H73,DB_Agents!$B:$I,8,0),"")=I73,IF(C73&gt;=E73,"Successful","Unsuccessful"),"🔒 BLOCKED — Wrong Code")),"—")</f>
        <v/>
      </c>
      <c r="K73" s="493">
        <f>IF(J73="Successful",TEXT(TODAY(),"YYYY-MM-DD")&amp;" Auto","—")</f>
        <v/>
      </c>
      <c r="L73" s="494" t="n"/>
    </row>
    <row r="74" ht="15" customHeight="1" s="341">
      <c r="A74" s="495" t="n"/>
      <c r="B74" s="382">
        <f>IF(A74="","",IFERROR(VLOOKUP(A74,DB_Customers!$A:$D,4,0),"❌ Account Not Found"))</f>
        <v/>
      </c>
      <c r="C74" s="496">
        <f>IF(A74="","",IFERROR(VLOOKUP(A74,DB_Customers!$A:$N,14,0),""))</f>
        <v/>
      </c>
      <c r="D74" s="497">
        <f>IF(A74="","",TODAY())</f>
        <v/>
      </c>
      <c r="E74" s="510" t="n"/>
      <c r="F74" s="382" t="n"/>
      <c r="G74" s="512">
        <f>IF(OR(A74="",E74=""),"",IF(C74="","",C74-E74))</f>
        <v/>
      </c>
      <c r="H74" s="384" t="inlineStr">
        <is>
          <t>Agent 08</t>
        </is>
      </c>
      <c r="I74" s="491" t="n"/>
      <c r="J74" s="499">
        <f>IF(AND(A74&lt;&gt;"",E74&lt;&gt;""),IF(I74="","⚠️ Enter Code",IF(IFERROR(VLOOKUP(H74,DB_Agents!$B:$I,8,0),"")=I74,IF(C74&gt;=E74,"Successful","Unsuccessful"),"🔒 BLOCKED — Wrong Code")),"—")</f>
        <v/>
      </c>
      <c r="K74" s="500">
        <f>IF(J74="Successful",TEXT(TODAY(),"YYYY-MM-DD")&amp;" Auto","—")</f>
        <v/>
      </c>
      <c r="L74" s="501" t="n"/>
    </row>
    <row r="75" ht="15" customHeight="1" s="341">
      <c r="A75" s="486" t="n"/>
      <c r="B75" s="378">
        <f>IF(A75="","",IFERROR(VLOOKUP(A75,DB_Customers!$A:$D,4,0),"❌ Account Not Found"))</f>
        <v/>
      </c>
      <c r="C75" s="487">
        <f>IF(A75="","",IFERROR(VLOOKUP(A75,DB_Customers!$A:$N,14,0),""))</f>
        <v/>
      </c>
      <c r="D75" s="488">
        <f>IF(A75="","",TODAY())</f>
        <v/>
      </c>
      <c r="E75" s="510" t="n"/>
      <c r="F75" s="378" t="n"/>
      <c r="G75" s="511">
        <f>IF(OR(A75="",E75=""),"",IF(C75="","",C75-E75))</f>
        <v/>
      </c>
      <c r="H75" s="380" t="inlineStr">
        <is>
          <t>Agent 08</t>
        </is>
      </c>
      <c r="I75" s="491" t="n"/>
      <c r="J75" s="492">
        <f>IF(AND(A75&lt;&gt;"",E75&lt;&gt;""),IF(I75="","⚠️ Enter Code",IF(IFERROR(VLOOKUP(H75,DB_Agents!$B:$I,8,0),"")=I75,IF(C75&gt;=E75,"Successful","Unsuccessful"),"🔒 BLOCKED — Wrong Code")),"—")</f>
        <v/>
      </c>
      <c r="K75" s="493">
        <f>IF(J75="Successful",TEXT(TODAY(),"YYYY-MM-DD")&amp;" Auto","—")</f>
        <v/>
      </c>
      <c r="L75" s="494" t="n"/>
    </row>
    <row r="76" ht="15" customHeight="1" s="341">
      <c r="A76" s="495" t="n"/>
      <c r="B76" s="382">
        <f>IF(A76="","",IFERROR(VLOOKUP(A76,DB_Customers!$A:$D,4,0),"❌ Account Not Found"))</f>
        <v/>
      </c>
      <c r="C76" s="496">
        <f>IF(A76="","",IFERROR(VLOOKUP(A76,DB_Customers!$A:$N,14,0),""))</f>
        <v/>
      </c>
      <c r="D76" s="497">
        <f>IF(A76="","",TODAY())</f>
        <v/>
      </c>
      <c r="E76" s="510" t="n"/>
      <c r="F76" s="382" t="n"/>
      <c r="G76" s="512">
        <f>IF(OR(A76="",E76=""),"",IF(C76="","",C76-E76))</f>
        <v/>
      </c>
      <c r="H76" s="384" t="inlineStr">
        <is>
          <t>Agent 08</t>
        </is>
      </c>
      <c r="I76" s="491" t="n"/>
      <c r="J76" s="499">
        <f>IF(AND(A76&lt;&gt;"",E76&lt;&gt;""),IF(I76="","⚠️ Enter Code",IF(IFERROR(VLOOKUP(H76,DB_Agents!$B:$I,8,0),"")=I76,IF(C76&gt;=E76,"Successful","Unsuccessful"),"🔒 BLOCKED — Wrong Code")),"—")</f>
        <v/>
      </c>
      <c r="K76" s="500">
        <f>IF(J76="Successful",TEXT(TODAY(),"YYYY-MM-DD")&amp;" Auto","—")</f>
        <v/>
      </c>
      <c r="L76" s="501" t="n"/>
    </row>
    <row r="77" ht="15" customHeight="1" s="341">
      <c r="A77" s="486" t="n"/>
      <c r="B77" s="378">
        <f>IF(A77="","",IFERROR(VLOOKUP(A77,DB_Customers!$A:$D,4,0),"❌ Account Not Found"))</f>
        <v/>
      </c>
      <c r="C77" s="487">
        <f>IF(A77="","",IFERROR(VLOOKUP(A77,DB_Customers!$A:$N,14,0),""))</f>
        <v/>
      </c>
      <c r="D77" s="488">
        <f>IF(A77="","",TODAY())</f>
        <v/>
      </c>
      <c r="E77" s="510" t="n"/>
      <c r="F77" s="378" t="n"/>
      <c r="G77" s="511">
        <f>IF(OR(A77="",E77=""),"",IF(C77="","",C77-E77))</f>
        <v/>
      </c>
      <c r="H77" s="380" t="inlineStr">
        <is>
          <t>Agent 08</t>
        </is>
      </c>
      <c r="I77" s="491" t="n"/>
      <c r="J77" s="492">
        <f>IF(AND(A77&lt;&gt;"",E77&lt;&gt;""),IF(I77="","⚠️ Enter Code",IF(IFERROR(VLOOKUP(H77,DB_Agents!$B:$I,8,0),"")=I77,IF(C77&gt;=E77,"Successful","Unsuccessful"),"🔒 BLOCKED — Wrong Code")),"—")</f>
        <v/>
      </c>
      <c r="K77" s="493">
        <f>IF(J77="Successful",TEXT(TODAY(),"YYYY-MM-DD")&amp;" Auto","—")</f>
        <v/>
      </c>
      <c r="L77" s="494" t="n"/>
    </row>
    <row r="78" ht="15" customHeight="1" s="341">
      <c r="A78" s="495" t="n"/>
      <c r="B78" s="382">
        <f>IF(A78="","",IFERROR(VLOOKUP(A78,DB_Customers!$A:$D,4,0),"❌ Account Not Found"))</f>
        <v/>
      </c>
      <c r="C78" s="496">
        <f>IF(A78="","",IFERROR(VLOOKUP(A78,DB_Customers!$A:$N,14,0),""))</f>
        <v/>
      </c>
      <c r="D78" s="497">
        <f>IF(A78="","",TODAY())</f>
        <v/>
      </c>
      <c r="E78" s="510" t="n"/>
      <c r="F78" s="382" t="n"/>
      <c r="G78" s="512">
        <f>IF(OR(A78="",E78=""),"",IF(C78="","",C78-E78))</f>
        <v/>
      </c>
      <c r="H78" s="384" t="inlineStr">
        <is>
          <t>Agent 08</t>
        </is>
      </c>
      <c r="I78" s="491" t="n"/>
      <c r="J78" s="499">
        <f>IF(AND(A78&lt;&gt;"",E78&lt;&gt;""),IF(I78="","⚠️ Enter Code",IF(IFERROR(VLOOKUP(H78,DB_Agents!$B:$I,8,0),"")=I78,IF(C78&gt;=E78,"Successful","Unsuccessful"),"🔒 BLOCKED — Wrong Code")),"—")</f>
        <v/>
      </c>
      <c r="K78" s="500">
        <f>IF(J78="Successful",TEXT(TODAY(),"YYYY-MM-DD")&amp;" Auto","—")</f>
        <v/>
      </c>
      <c r="L78" s="501" t="n"/>
    </row>
    <row r="79" ht="15" customHeight="1" s="341">
      <c r="A79" s="486" t="n"/>
      <c r="B79" s="378">
        <f>IF(A79="","",IFERROR(VLOOKUP(A79,DB_Customers!$A:$D,4,0),"❌ Account Not Found"))</f>
        <v/>
      </c>
      <c r="C79" s="487">
        <f>IF(A79="","",IFERROR(VLOOKUP(A79,DB_Customers!$A:$N,14,0),""))</f>
        <v/>
      </c>
      <c r="D79" s="488">
        <f>IF(A79="","",TODAY())</f>
        <v/>
      </c>
      <c r="E79" s="510" t="n"/>
      <c r="F79" s="378" t="n"/>
      <c r="G79" s="511">
        <f>IF(OR(A79="",E79=""),"",IF(C79="","",C79-E79))</f>
        <v/>
      </c>
      <c r="H79" s="380" t="inlineStr">
        <is>
          <t>Agent 08</t>
        </is>
      </c>
      <c r="I79" s="491" t="n"/>
      <c r="J79" s="492">
        <f>IF(AND(A79&lt;&gt;"",E79&lt;&gt;""),IF(I79="","⚠️ Enter Code",IF(IFERROR(VLOOKUP(H79,DB_Agents!$B:$I,8,0),"")=I79,IF(C79&gt;=E79,"Successful","Unsuccessful"),"🔒 BLOCKED — Wrong Code")),"—")</f>
        <v/>
      </c>
      <c r="K79" s="493">
        <f>IF(J79="Successful",TEXT(TODAY(),"YYYY-MM-DD")&amp;" Auto","—")</f>
        <v/>
      </c>
      <c r="L79" s="494" t="n"/>
    </row>
    <row r="80" ht="15" customHeight="1" s="341">
      <c r="A80" s="495" t="n"/>
      <c r="B80" s="382">
        <f>IF(A80="","",IFERROR(VLOOKUP(A80,DB_Customers!$A:$D,4,0),"❌ Account Not Found"))</f>
        <v/>
      </c>
      <c r="C80" s="496">
        <f>IF(A80="","",IFERROR(VLOOKUP(A80,DB_Customers!$A:$N,14,0),""))</f>
        <v/>
      </c>
      <c r="D80" s="497">
        <f>IF(A80="","",TODAY())</f>
        <v/>
      </c>
      <c r="E80" s="510" t="n"/>
      <c r="F80" s="382" t="n"/>
      <c r="G80" s="512">
        <f>IF(OR(A80="",E80=""),"",IF(C80="","",C80-E80))</f>
        <v/>
      </c>
      <c r="H80" s="384" t="inlineStr">
        <is>
          <t>Agent 08</t>
        </is>
      </c>
      <c r="I80" s="491" t="n"/>
      <c r="J80" s="499">
        <f>IF(AND(A80&lt;&gt;"",E80&lt;&gt;""),IF(I80="","⚠️ Enter Code",IF(IFERROR(VLOOKUP(H80,DB_Agents!$B:$I,8,0),"")=I80,IF(C80&gt;=E80,"Successful","Unsuccessful"),"🔒 BLOCKED — Wrong Code")),"—")</f>
        <v/>
      </c>
      <c r="K80" s="500">
        <f>IF(J80="Successful",TEXT(TODAY(),"YYYY-MM-DD")&amp;" Auto","—")</f>
        <v/>
      </c>
      <c r="L80" s="501" t="n"/>
    </row>
    <row r="81" ht="15" customHeight="1" s="341">
      <c r="A81" s="486" t="n"/>
      <c r="B81" s="378">
        <f>IF(A81="","",IFERROR(VLOOKUP(A81,DB_Customers!$A:$D,4,0),"❌ Account Not Found"))</f>
        <v/>
      </c>
      <c r="C81" s="487">
        <f>IF(A81="","",IFERROR(VLOOKUP(A81,DB_Customers!$A:$N,14,0),""))</f>
        <v/>
      </c>
      <c r="D81" s="488">
        <f>IF(A81="","",TODAY())</f>
        <v/>
      </c>
      <c r="E81" s="510" t="n"/>
      <c r="F81" s="378" t="n"/>
      <c r="G81" s="511">
        <f>IF(OR(A81="",E81=""),"",IF(C81="","",C81-E81))</f>
        <v/>
      </c>
      <c r="H81" s="380" t="inlineStr">
        <is>
          <t>Agent 08</t>
        </is>
      </c>
      <c r="I81" s="491" t="n"/>
      <c r="J81" s="492">
        <f>IF(AND(A81&lt;&gt;"",E81&lt;&gt;""),IF(I81="","⚠️ Enter Code",IF(IFERROR(VLOOKUP(H81,DB_Agents!$B:$I,8,0),"")=I81,IF(C81&gt;=E81,"Successful","Unsuccessful"),"🔒 BLOCKED — Wrong Code")),"—")</f>
        <v/>
      </c>
      <c r="K81" s="493">
        <f>IF(J81="Successful",TEXT(TODAY(),"YYYY-MM-DD")&amp;" Auto","—")</f>
        <v/>
      </c>
      <c r="L81" s="494" t="n"/>
    </row>
    <row r="82" ht="15" customHeight="1" s="341">
      <c r="A82" s="495" t="n"/>
      <c r="B82" s="382">
        <f>IF(A82="","",IFERROR(VLOOKUP(A82,DB_Customers!$A:$D,4,0),"❌ Account Not Found"))</f>
        <v/>
      </c>
      <c r="C82" s="496">
        <f>IF(A82="","",IFERROR(VLOOKUP(A82,DB_Customers!$A:$N,14,0),""))</f>
        <v/>
      </c>
      <c r="D82" s="497">
        <f>IF(A82="","",TODAY())</f>
        <v/>
      </c>
      <c r="E82" s="510" t="n"/>
      <c r="F82" s="382" t="n"/>
      <c r="G82" s="512">
        <f>IF(OR(A82="",E82=""),"",IF(C82="","",C82-E82))</f>
        <v/>
      </c>
      <c r="H82" s="384" t="inlineStr">
        <is>
          <t>Agent 08</t>
        </is>
      </c>
      <c r="I82" s="491" t="n"/>
      <c r="J82" s="499">
        <f>IF(AND(A82&lt;&gt;"",E82&lt;&gt;""),IF(I82="","⚠️ Enter Code",IF(IFERROR(VLOOKUP(H82,DB_Agents!$B:$I,8,0),"")=I82,IF(C82&gt;=E82,"Successful","Unsuccessful"),"🔒 BLOCKED — Wrong Code")),"—")</f>
        <v/>
      </c>
      <c r="K82" s="500">
        <f>IF(J82="Successful",TEXT(TODAY(),"YYYY-MM-DD")&amp;" Auto","—")</f>
        <v/>
      </c>
      <c r="L82" s="501" t="n"/>
    </row>
    <row r="83" ht="15" customHeight="1" s="341">
      <c r="A83" s="486" t="n"/>
      <c r="B83" s="378">
        <f>IF(A83="","",IFERROR(VLOOKUP(A83,DB_Customers!$A:$D,4,0),"❌ Account Not Found"))</f>
        <v/>
      </c>
      <c r="C83" s="487">
        <f>IF(A83="","",IFERROR(VLOOKUP(A83,DB_Customers!$A:$N,14,0),""))</f>
        <v/>
      </c>
      <c r="D83" s="488">
        <f>IF(A83="","",TODAY())</f>
        <v/>
      </c>
      <c r="E83" s="510" t="n"/>
      <c r="F83" s="378" t="n"/>
      <c r="G83" s="511">
        <f>IF(OR(A83="",E83=""),"",IF(C83="","",C83-E83))</f>
        <v/>
      </c>
      <c r="H83" s="380" t="inlineStr">
        <is>
          <t>Agent 08</t>
        </is>
      </c>
      <c r="I83" s="491" t="n"/>
      <c r="J83" s="492">
        <f>IF(AND(A83&lt;&gt;"",E83&lt;&gt;""),IF(I83="","⚠️ Enter Code",IF(IFERROR(VLOOKUP(H83,DB_Agents!$B:$I,8,0),"")=I83,IF(C83&gt;=E83,"Successful","Unsuccessful"),"🔒 BLOCKED — Wrong Code")),"—")</f>
        <v/>
      </c>
      <c r="K83" s="493">
        <f>IF(J83="Successful",TEXT(TODAY(),"YYYY-MM-DD")&amp;" Auto","—")</f>
        <v/>
      </c>
      <c r="L83" s="494" t="n"/>
    </row>
    <row r="84" ht="15" customHeight="1" s="341">
      <c r="A84" s="495" t="n"/>
      <c r="B84" s="382">
        <f>IF(A84="","",IFERROR(VLOOKUP(A84,DB_Customers!$A:$D,4,0),"❌ Account Not Found"))</f>
        <v/>
      </c>
      <c r="C84" s="496">
        <f>IF(A84="","",IFERROR(VLOOKUP(A84,DB_Customers!$A:$N,14,0),""))</f>
        <v/>
      </c>
      <c r="D84" s="497">
        <f>IF(A84="","",TODAY())</f>
        <v/>
      </c>
      <c r="E84" s="510" t="n"/>
      <c r="F84" s="382" t="n"/>
      <c r="G84" s="512">
        <f>IF(OR(A84="",E84=""),"",IF(C84="","",C84-E84))</f>
        <v/>
      </c>
      <c r="H84" s="384" t="inlineStr">
        <is>
          <t>Agent 08</t>
        </is>
      </c>
      <c r="I84" s="491" t="n"/>
      <c r="J84" s="499">
        <f>IF(AND(A84&lt;&gt;"",E84&lt;&gt;""),IF(I84="","⚠️ Enter Code",IF(IFERROR(VLOOKUP(H84,DB_Agents!$B:$I,8,0),"")=I84,IF(C84&gt;=E84,"Successful","Unsuccessful"),"🔒 BLOCKED — Wrong Code")),"—")</f>
        <v/>
      </c>
      <c r="K84" s="500">
        <f>IF(J84="Successful",TEXT(TODAY(),"YYYY-MM-DD")&amp;" Auto","—")</f>
        <v/>
      </c>
      <c r="L84" s="501" t="n"/>
    </row>
    <row r="85" ht="15" customHeight="1" s="341">
      <c r="A85" s="486" t="n"/>
      <c r="B85" s="378">
        <f>IF(A85="","",IFERROR(VLOOKUP(A85,DB_Customers!$A:$D,4,0),"❌ Account Not Found"))</f>
        <v/>
      </c>
      <c r="C85" s="487">
        <f>IF(A85="","",IFERROR(VLOOKUP(A85,DB_Customers!$A:$N,14,0),""))</f>
        <v/>
      </c>
      <c r="D85" s="488">
        <f>IF(A85="","",TODAY())</f>
        <v/>
      </c>
      <c r="E85" s="510" t="n"/>
      <c r="F85" s="378" t="n"/>
      <c r="G85" s="511">
        <f>IF(OR(A85="",E85=""),"",IF(C85="","",C85-E85))</f>
        <v/>
      </c>
      <c r="H85" s="380" t="inlineStr">
        <is>
          <t>Agent 08</t>
        </is>
      </c>
      <c r="I85" s="491" t="n"/>
      <c r="J85" s="492">
        <f>IF(AND(A85&lt;&gt;"",E85&lt;&gt;""),IF(I85="","⚠️ Enter Code",IF(IFERROR(VLOOKUP(H85,DB_Agents!$B:$I,8,0),"")=I85,IF(C85&gt;=E85,"Successful","Unsuccessful"),"🔒 BLOCKED — Wrong Code")),"—")</f>
        <v/>
      </c>
      <c r="K85" s="493">
        <f>IF(J85="Successful",TEXT(TODAY(),"YYYY-MM-DD")&amp;" Auto","—")</f>
        <v/>
      </c>
      <c r="L85" s="494" t="n"/>
    </row>
    <row r="86" ht="15" customHeight="1" s="341">
      <c r="A86" s="495" t="n"/>
      <c r="B86" s="382">
        <f>IF(A86="","",IFERROR(VLOOKUP(A86,DB_Customers!$A:$D,4,0),"❌ Account Not Found"))</f>
        <v/>
      </c>
      <c r="C86" s="496">
        <f>IF(A86="","",IFERROR(VLOOKUP(A86,DB_Customers!$A:$N,14,0),""))</f>
        <v/>
      </c>
      <c r="D86" s="497">
        <f>IF(A86="","",TODAY())</f>
        <v/>
      </c>
      <c r="E86" s="510" t="n"/>
      <c r="F86" s="382" t="n"/>
      <c r="G86" s="512">
        <f>IF(OR(A86="",E86=""),"",IF(C86="","",C86-E86))</f>
        <v/>
      </c>
      <c r="H86" s="384" t="inlineStr">
        <is>
          <t>Agent 08</t>
        </is>
      </c>
      <c r="I86" s="491" t="n"/>
      <c r="J86" s="499">
        <f>IF(AND(A86&lt;&gt;"",E86&lt;&gt;""),IF(I86="","⚠️ Enter Code",IF(IFERROR(VLOOKUP(H86,DB_Agents!$B:$I,8,0),"")=I86,IF(C86&gt;=E86,"Successful","Unsuccessful"),"🔒 BLOCKED — Wrong Code")),"—")</f>
        <v/>
      </c>
      <c r="K86" s="500">
        <f>IF(J86="Successful",TEXT(TODAY(),"YYYY-MM-DD")&amp;" Auto","—")</f>
        <v/>
      </c>
      <c r="L86" s="501" t="n"/>
    </row>
    <row r="87" ht="15" customHeight="1" s="341">
      <c r="A87" s="486" t="n"/>
      <c r="B87" s="378">
        <f>IF(A87="","",IFERROR(VLOOKUP(A87,DB_Customers!$A:$D,4,0),"❌ Account Not Found"))</f>
        <v/>
      </c>
      <c r="C87" s="487">
        <f>IF(A87="","",IFERROR(VLOOKUP(A87,DB_Customers!$A:$N,14,0),""))</f>
        <v/>
      </c>
      <c r="D87" s="488">
        <f>IF(A87="","",TODAY())</f>
        <v/>
      </c>
      <c r="E87" s="510" t="n"/>
      <c r="F87" s="378" t="n"/>
      <c r="G87" s="511">
        <f>IF(OR(A87="",E87=""),"",IF(C87="","",C87-E87))</f>
        <v/>
      </c>
      <c r="H87" s="380" t="inlineStr">
        <is>
          <t>Agent 08</t>
        </is>
      </c>
      <c r="I87" s="491" t="n"/>
      <c r="J87" s="492">
        <f>IF(AND(A87&lt;&gt;"",E87&lt;&gt;""),IF(I87="","⚠️ Enter Code",IF(IFERROR(VLOOKUP(H87,DB_Agents!$B:$I,8,0),"")=I87,IF(C87&gt;=E87,"Successful","Unsuccessful"),"🔒 BLOCKED — Wrong Code")),"—")</f>
        <v/>
      </c>
      <c r="K87" s="493">
        <f>IF(J87="Successful",TEXT(TODAY(),"YYYY-MM-DD")&amp;" Auto","—")</f>
        <v/>
      </c>
      <c r="L87" s="494" t="n"/>
    </row>
    <row r="88" ht="15" customHeight="1" s="341">
      <c r="A88" s="495" t="n"/>
      <c r="B88" s="382">
        <f>IF(A88="","",IFERROR(VLOOKUP(A88,DB_Customers!$A:$D,4,0),"❌ Account Not Found"))</f>
        <v/>
      </c>
      <c r="C88" s="496">
        <f>IF(A88="","",IFERROR(VLOOKUP(A88,DB_Customers!$A:$N,14,0),""))</f>
        <v/>
      </c>
      <c r="D88" s="497">
        <f>IF(A88="","",TODAY())</f>
        <v/>
      </c>
      <c r="E88" s="510" t="n"/>
      <c r="F88" s="382" t="n"/>
      <c r="G88" s="512">
        <f>IF(OR(A88="",E88=""),"",IF(C88="","",C88-E88))</f>
        <v/>
      </c>
      <c r="H88" s="384" t="inlineStr">
        <is>
          <t>Agent 08</t>
        </is>
      </c>
      <c r="I88" s="491" t="n"/>
      <c r="J88" s="499">
        <f>IF(AND(A88&lt;&gt;"",E88&lt;&gt;""),IF(I88="","⚠️ Enter Code",IF(IFERROR(VLOOKUP(H88,DB_Agents!$B:$I,8,0),"")=I88,IF(C88&gt;=E88,"Successful","Unsuccessful"),"🔒 BLOCKED — Wrong Code")),"—")</f>
        <v/>
      </c>
      <c r="K88" s="500">
        <f>IF(J88="Successful",TEXT(TODAY(),"YYYY-MM-DD")&amp;" Auto","—")</f>
        <v/>
      </c>
      <c r="L88" s="501" t="n"/>
    </row>
    <row r="89" ht="15" customHeight="1" s="341">
      <c r="A89" s="486" t="n"/>
      <c r="B89" s="378">
        <f>IF(A89="","",IFERROR(VLOOKUP(A89,DB_Customers!$A:$D,4,0),"❌ Account Not Found"))</f>
        <v/>
      </c>
      <c r="C89" s="487">
        <f>IF(A89="","",IFERROR(VLOOKUP(A89,DB_Customers!$A:$N,14,0),""))</f>
        <v/>
      </c>
      <c r="D89" s="488">
        <f>IF(A89="","",TODAY())</f>
        <v/>
      </c>
      <c r="E89" s="510" t="n"/>
      <c r="F89" s="378" t="n"/>
      <c r="G89" s="511">
        <f>IF(OR(A89="",E89=""),"",IF(C89="","",C89-E89))</f>
        <v/>
      </c>
      <c r="H89" s="380" t="inlineStr">
        <is>
          <t>Agent 08</t>
        </is>
      </c>
      <c r="I89" s="491" t="n"/>
      <c r="J89" s="492">
        <f>IF(AND(A89&lt;&gt;"",E89&lt;&gt;""),IF(I89="","⚠️ Enter Code",IF(IFERROR(VLOOKUP(H89,DB_Agents!$B:$I,8,0),"")=I89,IF(C89&gt;=E89,"Successful","Unsuccessful"),"🔒 BLOCKED — Wrong Code")),"—")</f>
        <v/>
      </c>
      <c r="K89" s="493">
        <f>IF(J89="Successful",TEXT(TODAY(),"YYYY-MM-DD")&amp;" Auto","—")</f>
        <v/>
      </c>
      <c r="L89" s="494" t="n"/>
    </row>
    <row r="90" ht="15" customHeight="1" s="341">
      <c r="A90" s="495" t="n"/>
      <c r="B90" s="382">
        <f>IF(A90="","",IFERROR(VLOOKUP(A90,DB_Customers!$A:$D,4,0),"❌ Account Not Found"))</f>
        <v/>
      </c>
      <c r="C90" s="496">
        <f>IF(A90="","",IFERROR(VLOOKUP(A90,DB_Customers!$A:$N,14,0),""))</f>
        <v/>
      </c>
      <c r="D90" s="497">
        <f>IF(A90="","",TODAY())</f>
        <v/>
      </c>
      <c r="E90" s="510" t="n"/>
      <c r="F90" s="382" t="n"/>
      <c r="G90" s="512">
        <f>IF(OR(A90="",E90=""),"",IF(C90="","",C90-E90))</f>
        <v/>
      </c>
      <c r="H90" s="384" t="inlineStr">
        <is>
          <t>Agent 08</t>
        </is>
      </c>
      <c r="I90" s="491" t="n"/>
      <c r="J90" s="499">
        <f>IF(AND(A90&lt;&gt;"",E90&lt;&gt;""),IF(I90="","⚠️ Enter Code",IF(IFERROR(VLOOKUP(H90,DB_Agents!$B:$I,8,0),"")=I90,IF(C90&gt;=E90,"Successful","Unsuccessful"),"🔒 BLOCKED — Wrong Code")),"—")</f>
        <v/>
      </c>
      <c r="K90" s="500">
        <f>IF(J90="Successful",TEXT(TODAY(),"YYYY-MM-DD")&amp;" Auto","—")</f>
        <v/>
      </c>
      <c r="L90" s="501" t="n"/>
    </row>
    <row r="91" ht="15" customHeight="1" s="341">
      <c r="A91" s="486" t="n"/>
      <c r="B91" s="378">
        <f>IF(A91="","",IFERROR(VLOOKUP(A91,DB_Customers!$A:$D,4,0),"❌ Account Not Found"))</f>
        <v/>
      </c>
      <c r="C91" s="487">
        <f>IF(A91="","",IFERROR(VLOOKUP(A91,DB_Customers!$A:$N,14,0),""))</f>
        <v/>
      </c>
      <c r="D91" s="488">
        <f>IF(A91="","",TODAY())</f>
        <v/>
      </c>
      <c r="E91" s="510" t="n"/>
      <c r="F91" s="378" t="n"/>
      <c r="G91" s="511">
        <f>IF(OR(A91="",E91=""),"",IF(C91="","",C91-E91))</f>
        <v/>
      </c>
      <c r="H91" s="380" t="inlineStr">
        <is>
          <t>Agent 08</t>
        </is>
      </c>
      <c r="I91" s="491" t="n"/>
      <c r="J91" s="492">
        <f>IF(AND(A91&lt;&gt;"",E91&lt;&gt;""),IF(I91="","⚠️ Enter Code",IF(IFERROR(VLOOKUP(H91,DB_Agents!$B:$I,8,0),"")=I91,IF(C91&gt;=E91,"Successful","Unsuccessful"),"🔒 BLOCKED — Wrong Code")),"—")</f>
        <v/>
      </c>
      <c r="K91" s="493">
        <f>IF(J91="Successful",TEXT(TODAY(),"YYYY-MM-DD")&amp;" Auto","—")</f>
        <v/>
      </c>
      <c r="L91" s="494" t="n"/>
    </row>
    <row r="92" ht="15" customHeight="1" s="341">
      <c r="A92" s="495" t="n"/>
      <c r="B92" s="382">
        <f>IF(A92="","",IFERROR(VLOOKUP(A92,DB_Customers!$A:$D,4,0),"❌ Account Not Found"))</f>
        <v/>
      </c>
      <c r="C92" s="496">
        <f>IF(A92="","",IFERROR(VLOOKUP(A92,DB_Customers!$A:$N,14,0),""))</f>
        <v/>
      </c>
      <c r="D92" s="497">
        <f>IF(A92="","",TODAY())</f>
        <v/>
      </c>
      <c r="E92" s="510" t="n"/>
      <c r="F92" s="382" t="n"/>
      <c r="G92" s="512">
        <f>IF(OR(A92="",E92=""),"",IF(C92="","",C92-E92))</f>
        <v/>
      </c>
      <c r="H92" s="384" t="inlineStr">
        <is>
          <t>Agent 08</t>
        </is>
      </c>
      <c r="I92" s="491" t="n"/>
      <c r="J92" s="499">
        <f>IF(AND(A92&lt;&gt;"",E92&lt;&gt;""),IF(I92="","⚠️ Enter Code",IF(IFERROR(VLOOKUP(H92,DB_Agents!$B:$I,8,0),"")=I92,IF(C92&gt;=E92,"Successful","Unsuccessful"),"🔒 BLOCKED — Wrong Code")),"—")</f>
        <v/>
      </c>
      <c r="K92" s="500">
        <f>IF(J92="Successful",TEXT(TODAY(),"YYYY-MM-DD")&amp;" Auto","—")</f>
        <v/>
      </c>
      <c r="L92" s="501" t="n"/>
    </row>
    <row r="93" ht="15" customHeight="1" s="341">
      <c r="A93" s="486" t="n"/>
      <c r="B93" s="378">
        <f>IF(A93="","",IFERROR(VLOOKUP(A93,DB_Customers!$A:$D,4,0),"❌ Account Not Found"))</f>
        <v/>
      </c>
      <c r="C93" s="487">
        <f>IF(A93="","",IFERROR(VLOOKUP(A93,DB_Customers!$A:$N,14,0),""))</f>
        <v/>
      </c>
      <c r="D93" s="488">
        <f>IF(A93="","",TODAY())</f>
        <v/>
      </c>
      <c r="E93" s="510" t="n"/>
      <c r="F93" s="378" t="n"/>
      <c r="G93" s="511">
        <f>IF(OR(A93="",E93=""),"",IF(C93="","",C93-E93))</f>
        <v/>
      </c>
      <c r="H93" s="380" t="inlineStr">
        <is>
          <t>Agent 08</t>
        </is>
      </c>
      <c r="I93" s="491" t="n"/>
      <c r="J93" s="492">
        <f>IF(AND(A93&lt;&gt;"",E93&lt;&gt;""),IF(I93="","⚠️ Enter Code",IF(IFERROR(VLOOKUP(H93,DB_Agents!$B:$I,8,0),"")=I93,IF(C93&gt;=E93,"Successful","Unsuccessful"),"🔒 BLOCKED — Wrong Code")),"—")</f>
        <v/>
      </c>
      <c r="K93" s="493">
        <f>IF(J93="Successful",TEXT(TODAY(),"YYYY-MM-DD")&amp;" Auto","—")</f>
        <v/>
      </c>
      <c r="L93" s="494" t="n"/>
    </row>
    <row r="94" ht="15" customHeight="1" s="341">
      <c r="A94" s="495" t="n"/>
      <c r="B94" s="382">
        <f>IF(A94="","",IFERROR(VLOOKUP(A94,DB_Customers!$A:$D,4,0),"❌ Account Not Found"))</f>
        <v/>
      </c>
      <c r="C94" s="496">
        <f>IF(A94="","",IFERROR(VLOOKUP(A94,DB_Customers!$A:$N,14,0),""))</f>
        <v/>
      </c>
      <c r="D94" s="497">
        <f>IF(A94="","",TODAY())</f>
        <v/>
      </c>
      <c r="E94" s="510" t="n"/>
      <c r="F94" s="382" t="n"/>
      <c r="G94" s="512">
        <f>IF(OR(A94="",E94=""),"",IF(C94="","",C94-E94))</f>
        <v/>
      </c>
      <c r="H94" s="384" t="inlineStr">
        <is>
          <t>Agent 08</t>
        </is>
      </c>
      <c r="I94" s="491" t="n"/>
      <c r="J94" s="499">
        <f>IF(AND(A94&lt;&gt;"",E94&lt;&gt;""),IF(I94="","⚠️ Enter Code",IF(IFERROR(VLOOKUP(H94,DB_Agents!$B:$I,8,0),"")=I94,IF(C94&gt;=E94,"Successful","Unsuccessful"),"🔒 BLOCKED — Wrong Code")),"—")</f>
        <v/>
      </c>
      <c r="K94" s="500">
        <f>IF(J94="Successful",TEXT(TODAY(),"YYYY-MM-DD")&amp;" Auto","—")</f>
        <v/>
      </c>
      <c r="L94" s="501" t="n"/>
    </row>
    <row r="95" ht="15" customHeight="1" s="341">
      <c r="A95" s="486" t="n"/>
      <c r="B95" s="378">
        <f>IF(A95="","",IFERROR(VLOOKUP(A95,DB_Customers!$A:$D,4,0),"❌ Account Not Found"))</f>
        <v/>
      </c>
      <c r="C95" s="487">
        <f>IF(A95="","",IFERROR(VLOOKUP(A95,DB_Customers!$A:$N,14,0),""))</f>
        <v/>
      </c>
      <c r="D95" s="488">
        <f>IF(A95="","",TODAY())</f>
        <v/>
      </c>
      <c r="E95" s="510" t="n"/>
      <c r="F95" s="378" t="n"/>
      <c r="G95" s="511">
        <f>IF(OR(A95="",E95=""),"",IF(C95="","",C95-E95))</f>
        <v/>
      </c>
      <c r="H95" s="380" t="inlineStr">
        <is>
          <t>Agent 08</t>
        </is>
      </c>
      <c r="I95" s="491" t="n"/>
      <c r="J95" s="492">
        <f>IF(AND(A95&lt;&gt;"",E95&lt;&gt;""),IF(I95="","⚠️ Enter Code",IF(IFERROR(VLOOKUP(H95,DB_Agents!$B:$I,8,0),"")=I95,IF(C95&gt;=E95,"Successful","Unsuccessful"),"🔒 BLOCKED — Wrong Code")),"—")</f>
        <v/>
      </c>
      <c r="K95" s="493">
        <f>IF(J95="Successful",TEXT(TODAY(),"YYYY-MM-DD")&amp;" Auto","—")</f>
        <v/>
      </c>
      <c r="L95" s="494" t="n"/>
    </row>
    <row r="96" ht="15" customHeight="1" s="341">
      <c r="A96" s="495" t="n"/>
      <c r="B96" s="382">
        <f>IF(A96="","",IFERROR(VLOOKUP(A96,DB_Customers!$A:$D,4,0),"❌ Account Not Found"))</f>
        <v/>
      </c>
      <c r="C96" s="496">
        <f>IF(A96="","",IFERROR(VLOOKUP(A96,DB_Customers!$A:$N,14,0),""))</f>
        <v/>
      </c>
      <c r="D96" s="497">
        <f>IF(A96="","",TODAY())</f>
        <v/>
      </c>
      <c r="E96" s="510" t="n"/>
      <c r="F96" s="382" t="n"/>
      <c r="G96" s="512">
        <f>IF(OR(A96="",E96=""),"",IF(C96="","",C96-E96))</f>
        <v/>
      </c>
      <c r="H96" s="384" t="inlineStr">
        <is>
          <t>Agent 08</t>
        </is>
      </c>
      <c r="I96" s="491" t="n"/>
      <c r="J96" s="499">
        <f>IF(AND(A96&lt;&gt;"",E96&lt;&gt;""),IF(I96="","⚠️ Enter Code",IF(IFERROR(VLOOKUP(H96,DB_Agents!$B:$I,8,0),"")=I96,IF(C96&gt;=E96,"Successful","Unsuccessful"),"🔒 BLOCKED — Wrong Code")),"—")</f>
        <v/>
      </c>
      <c r="K96" s="500">
        <f>IF(J96="Successful",TEXT(TODAY(),"YYYY-MM-DD")&amp;" Auto","—")</f>
        <v/>
      </c>
      <c r="L96" s="501" t="n"/>
    </row>
    <row r="97" ht="15" customHeight="1" s="341">
      <c r="A97" s="486" t="n"/>
      <c r="B97" s="378">
        <f>IF(A97="","",IFERROR(VLOOKUP(A97,DB_Customers!$A:$D,4,0),"❌ Account Not Found"))</f>
        <v/>
      </c>
      <c r="C97" s="487">
        <f>IF(A97="","",IFERROR(VLOOKUP(A97,DB_Customers!$A:$N,14,0),""))</f>
        <v/>
      </c>
      <c r="D97" s="488">
        <f>IF(A97="","",TODAY())</f>
        <v/>
      </c>
      <c r="E97" s="510" t="n"/>
      <c r="F97" s="378" t="n"/>
      <c r="G97" s="511">
        <f>IF(OR(A97="",E97=""),"",IF(C97="","",C97-E97))</f>
        <v/>
      </c>
      <c r="H97" s="380" t="inlineStr">
        <is>
          <t>Agent 08</t>
        </is>
      </c>
      <c r="I97" s="491" t="n"/>
      <c r="J97" s="492">
        <f>IF(AND(A97&lt;&gt;"",E97&lt;&gt;""),IF(I97="","⚠️ Enter Code",IF(IFERROR(VLOOKUP(H97,DB_Agents!$B:$I,8,0),"")=I97,IF(C97&gt;=E97,"Successful","Unsuccessful"),"🔒 BLOCKED — Wrong Code")),"—")</f>
        <v/>
      </c>
      <c r="K97" s="493">
        <f>IF(J97="Successful",TEXT(TODAY(),"YYYY-MM-DD")&amp;" Auto","—")</f>
        <v/>
      </c>
      <c r="L97" s="494" t="n"/>
    </row>
    <row r="98" ht="15" customHeight="1" s="341">
      <c r="A98" s="495" t="n"/>
      <c r="B98" s="382">
        <f>IF(A98="","",IFERROR(VLOOKUP(A98,DB_Customers!$A:$D,4,0),"❌ Account Not Found"))</f>
        <v/>
      </c>
      <c r="C98" s="496">
        <f>IF(A98="","",IFERROR(VLOOKUP(A98,DB_Customers!$A:$N,14,0),""))</f>
        <v/>
      </c>
      <c r="D98" s="497">
        <f>IF(A98="","",TODAY())</f>
        <v/>
      </c>
      <c r="E98" s="510" t="n"/>
      <c r="F98" s="382" t="n"/>
      <c r="G98" s="512">
        <f>IF(OR(A98="",E98=""),"",IF(C98="","",C98-E98))</f>
        <v/>
      </c>
      <c r="H98" s="384" t="inlineStr">
        <is>
          <t>Agent 08</t>
        </is>
      </c>
      <c r="I98" s="491" t="n"/>
      <c r="J98" s="499">
        <f>IF(AND(A98&lt;&gt;"",E98&lt;&gt;""),IF(I98="","⚠️ Enter Code",IF(IFERROR(VLOOKUP(H98,DB_Agents!$B:$I,8,0),"")=I98,IF(C98&gt;=E98,"Successful","Unsuccessful"),"🔒 BLOCKED — Wrong Code")),"—")</f>
        <v/>
      </c>
      <c r="K98" s="500">
        <f>IF(J98="Successful",TEXT(TODAY(),"YYYY-MM-DD")&amp;" Auto","—")</f>
        <v/>
      </c>
      <c r="L98" s="501" t="n"/>
    </row>
    <row r="99" ht="15" customHeight="1" s="341">
      <c r="A99" s="486" t="n"/>
      <c r="B99" s="378">
        <f>IF(A99="","",IFERROR(VLOOKUP(A99,DB_Customers!$A:$D,4,0),"❌ Account Not Found"))</f>
        <v/>
      </c>
      <c r="C99" s="487">
        <f>IF(A99="","",IFERROR(VLOOKUP(A99,DB_Customers!$A:$N,14,0),""))</f>
        <v/>
      </c>
      <c r="D99" s="488">
        <f>IF(A99="","",TODAY())</f>
        <v/>
      </c>
      <c r="E99" s="510" t="n"/>
      <c r="F99" s="378" t="n"/>
      <c r="G99" s="511">
        <f>IF(OR(A99="",E99=""),"",IF(C99="","",C99-E99))</f>
        <v/>
      </c>
      <c r="H99" s="380" t="inlineStr">
        <is>
          <t>Agent 08</t>
        </is>
      </c>
      <c r="I99" s="491" t="n"/>
      <c r="J99" s="492">
        <f>IF(AND(A99&lt;&gt;"",E99&lt;&gt;""),IF(I99="","⚠️ Enter Code",IF(IFERROR(VLOOKUP(H99,DB_Agents!$B:$I,8,0),"")=I99,IF(C99&gt;=E99,"Successful","Unsuccessful"),"🔒 BLOCKED — Wrong Code")),"—")</f>
        <v/>
      </c>
      <c r="K99" s="493">
        <f>IF(J99="Successful",TEXT(TODAY(),"YYYY-MM-DD")&amp;" Auto","—")</f>
        <v/>
      </c>
      <c r="L99" s="494" t="n"/>
    </row>
    <row r="100" ht="15" customHeight="1" s="341">
      <c r="A100" s="495" t="n"/>
      <c r="B100" s="382">
        <f>IF(A100="","",IFERROR(VLOOKUP(A100,DB_Customers!$A:$D,4,0),"❌ Account Not Found"))</f>
        <v/>
      </c>
      <c r="C100" s="496">
        <f>IF(A100="","",IFERROR(VLOOKUP(A100,DB_Customers!$A:$N,14,0),""))</f>
        <v/>
      </c>
      <c r="D100" s="497">
        <f>IF(A100="","",TODAY())</f>
        <v/>
      </c>
      <c r="E100" s="510" t="n"/>
      <c r="F100" s="382" t="n"/>
      <c r="G100" s="512">
        <f>IF(OR(A100="",E100=""),"",IF(C100="","",C100-E100))</f>
        <v/>
      </c>
      <c r="H100" s="384" t="inlineStr">
        <is>
          <t>Agent 08</t>
        </is>
      </c>
      <c r="I100" s="491" t="n"/>
      <c r="J100" s="499">
        <f>IF(AND(A100&lt;&gt;"",E100&lt;&gt;""),IF(I100="","⚠️ Enter Code",IF(IFERROR(VLOOKUP(H100,DB_Agents!$B:$I,8,0),"")=I100,IF(C100&gt;=E100,"Successful","Unsuccessful"),"🔒 BLOCKED — Wrong Code")),"—")</f>
        <v/>
      </c>
      <c r="K100" s="500">
        <f>IF(J100="Successful",TEXT(TODAY(),"YYYY-MM-DD")&amp;" Auto","—")</f>
        <v/>
      </c>
      <c r="L100" s="501" t="n"/>
    </row>
    <row r="101" ht="15" customHeight="1" s="341">
      <c r="A101" s="486" t="n"/>
      <c r="B101" s="378">
        <f>IF(A101="","",IFERROR(VLOOKUP(A101,DB_Customers!$A:$D,4,0),"❌ Account Not Found"))</f>
        <v/>
      </c>
      <c r="C101" s="487">
        <f>IF(A101="","",IFERROR(VLOOKUP(A101,DB_Customers!$A:$N,14,0),""))</f>
        <v/>
      </c>
      <c r="D101" s="488">
        <f>IF(A101="","",TODAY())</f>
        <v/>
      </c>
      <c r="E101" s="510" t="n"/>
      <c r="F101" s="378" t="n"/>
      <c r="G101" s="511">
        <f>IF(OR(A101="",E101=""),"",IF(C101="","",C101-E101))</f>
        <v/>
      </c>
      <c r="H101" s="380" t="inlineStr">
        <is>
          <t>Agent 08</t>
        </is>
      </c>
      <c r="I101" s="491" t="n"/>
      <c r="J101" s="492">
        <f>IF(AND(A101&lt;&gt;"",E101&lt;&gt;""),IF(I101="","⚠️ Enter Code",IF(IFERROR(VLOOKUP(H101,DB_Agents!$B:$I,8,0),"")=I101,IF(C101&gt;=E101,"Successful","Unsuccessful"),"🔒 BLOCKED — Wrong Code")),"—")</f>
        <v/>
      </c>
      <c r="K101" s="493">
        <f>IF(J101="Successful",TEXT(TODAY(),"YYYY-MM-DD")&amp;" Auto","—")</f>
        <v/>
      </c>
      <c r="L101" s="494" t="n"/>
    </row>
    <row r="102" ht="15" customHeight="1" s="341">
      <c r="A102" s="495" t="n"/>
      <c r="B102" s="382">
        <f>IF(A102="","",IFERROR(VLOOKUP(A102,DB_Customers!$A:$D,4,0),"❌ Account Not Found"))</f>
        <v/>
      </c>
      <c r="C102" s="496">
        <f>IF(A102="","",IFERROR(VLOOKUP(A102,DB_Customers!$A:$N,14,0),""))</f>
        <v/>
      </c>
      <c r="D102" s="497">
        <f>IF(A102="","",TODAY())</f>
        <v/>
      </c>
      <c r="E102" s="510" t="n"/>
      <c r="F102" s="382" t="n"/>
      <c r="G102" s="512">
        <f>IF(OR(A102="",E102=""),"",IF(C102="","",C102-E102))</f>
        <v/>
      </c>
      <c r="H102" s="384" t="inlineStr">
        <is>
          <t>Agent 08</t>
        </is>
      </c>
      <c r="I102" s="491" t="n"/>
      <c r="J102" s="499">
        <f>IF(AND(A102&lt;&gt;"",E102&lt;&gt;""),IF(I102="","⚠️ Enter Code",IF(IFERROR(VLOOKUP(H102,DB_Agents!$B:$I,8,0),"")=I102,IF(C102&gt;=E102,"Successful","Unsuccessful"),"🔒 BLOCKED — Wrong Code")),"—")</f>
        <v/>
      </c>
      <c r="K102" s="500">
        <f>IF(J102="Successful",TEXT(TODAY(),"YYYY-MM-DD")&amp;" Auto","—")</f>
        <v/>
      </c>
      <c r="L102" s="501" t="n"/>
    </row>
    <row r="103" ht="15" customHeight="1" s="341">
      <c r="A103" s="486" t="n"/>
      <c r="B103" s="378">
        <f>IF(A103="","",IFERROR(VLOOKUP(A103,DB_Customers!$A:$D,4,0),"❌ Account Not Found"))</f>
        <v/>
      </c>
      <c r="C103" s="487">
        <f>IF(A103="","",IFERROR(VLOOKUP(A103,DB_Customers!$A:$N,14,0),""))</f>
        <v/>
      </c>
      <c r="D103" s="488">
        <f>IF(A103="","",TODAY())</f>
        <v/>
      </c>
      <c r="E103" s="510" t="n"/>
      <c r="F103" s="378" t="n"/>
      <c r="G103" s="511">
        <f>IF(OR(A103="",E103=""),"",IF(C103="","",C103-E103))</f>
        <v/>
      </c>
      <c r="H103" s="380" t="inlineStr">
        <is>
          <t>Agent 08</t>
        </is>
      </c>
      <c r="I103" s="491" t="n"/>
      <c r="J103" s="492">
        <f>IF(AND(A103&lt;&gt;"",E103&lt;&gt;""),IF(I103="","⚠️ Enter Code",IF(IFERROR(VLOOKUP(H103,DB_Agents!$B:$I,8,0),"")=I103,IF(C103&gt;=E103,"Successful","Unsuccessful"),"🔒 BLOCKED — Wrong Code")),"—")</f>
        <v/>
      </c>
      <c r="K103" s="493">
        <f>IF(J103="Successful",TEXT(TODAY(),"YYYY-MM-DD")&amp;" Auto","—")</f>
        <v/>
      </c>
      <c r="L103" s="494" t="n"/>
    </row>
    <row r="104" ht="15" customHeight="1" s="341">
      <c r="A104" s="495" t="n"/>
      <c r="B104" s="382">
        <f>IF(A104="","",IFERROR(VLOOKUP(A104,DB_Customers!$A:$D,4,0),"❌ Account Not Found"))</f>
        <v/>
      </c>
      <c r="C104" s="496">
        <f>IF(A104="","",IFERROR(VLOOKUP(A104,DB_Customers!$A:$N,14,0),""))</f>
        <v/>
      </c>
      <c r="D104" s="497">
        <f>IF(A104="","",TODAY())</f>
        <v/>
      </c>
      <c r="E104" s="510" t="n"/>
      <c r="F104" s="382" t="n"/>
      <c r="G104" s="512">
        <f>IF(OR(A104="",E104=""),"",IF(C104="","",C104-E104))</f>
        <v/>
      </c>
      <c r="H104" s="384" t="inlineStr">
        <is>
          <t>Agent 08</t>
        </is>
      </c>
      <c r="I104" s="491" t="n"/>
      <c r="J104" s="499">
        <f>IF(AND(A104&lt;&gt;"",E104&lt;&gt;""),IF(I104="","⚠️ Enter Code",IF(IFERROR(VLOOKUP(H104,DB_Agents!$B:$I,8,0),"")=I104,IF(C104&gt;=E104,"Successful","Unsuccessful"),"🔒 BLOCKED — Wrong Code")),"—")</f>
        <v/>
      </c>
      <c r="K104" s="500">
        <f>IF(J104="Successful",TEXT(TODAY(),"YYYY-MM-DD")&amp;" Auto","—")</f>
        <v/>
      </c>
      <c r="L104" s="501" t="n"/>
    </row>
    <row r="105" ht="15" customHeight="1" s="341">
      <c r="A105" s="486" t="n"/>
      <c r="B105" s="378">
        <f>IF(A105="","",IFERROR(VLOOKUP(A105,DB_Customers!$A:$D,4,0),"❌ Account Not Found"))</f>
        <v/>
      </c>
      <c r="C105" s="487">
        <f>IF(A105="","",IFERROR(VLOOKUP(A105,DB_Customers!$A:$N,14,0),""))</f>
        <v/>
      </c>
      <c r="D105" s="488">
        <f>IF(A105="","",TODAY())</f>
        <v/>
      </c>
      <c r="E105" s="510" t="n"/>
      <c r="F105" s="378" t="n"/>
      <c r="G105" s="511">
        <f>IF(OR(A105="",E105=""),"",IF(C105="","",C105-E105))</f>
        <v/>
      </c>
      <c r="H105" s="380" t="inlineStr">
        <is>
          <t>Agent 08</t>
        </is>
      </c>
      <c r="I105" s="491" t="n"/>
      <c r="J105" s="492">
        <f>IF(AND(A105&lt;&gt;"",E105&lt;&gt;""),IF(I105="","⚠️ Enter Code",IF(IFERROR(VLOOKUP(H105,DB_Agents!$B:$I,8,0),"")=I105,IF(C105&gt;=E105,"Successful","Unsuccessful"),"🔒 BLOCKED — Wrong Code")),"—")</f>
        <v/>
      </c>
      <c r="K105" s="493">
        <f>IF(J105="Successful",TEXT(TODAY(),"YYYY-MM-DD")&amp;" Auto","—")</f>
        <v/>
      </c>
      <c r="L105" s="494" t="n"/>
    </row>
    <row r="106" ht="15" customHeight="1" s="341">
      <c r="A106" s="495" t="n"/>
      <c r="B106" s="382">
        <f>IF(A106="","",IFERROR(VLOOKUP(A106,DB_Customers!$A:$D,4,0),"❌ Account Not Found"))</f>
        <v/>
      </c>
      <c r="C106" s="496">
        <f>IF(A106="","",IFERROR(VLOOKUP(A106,DB_Customers!$A:$N,14,0),""))</f>
        <v/>
      </c>
      <c r="D106" s="497">
        <f>IF(A106="","",TODAY())</f>
        <v/>
      </c>
      <c r="E106" s="510" t="n"/>
      <c r="F106" s="382" t="n"/>
      <c r="G106" s="512">
        <f>IF(OR(A106="",E106=""),"",IF(C106="","",C106-E106))</f>
        <v/>
      </c>
      <c r="H106" s="384" t="inlineStr">
        <is>
          <t>Agent 08</t>
        </is>
      </c>
      <c r="I106" s="491" t="n"/>
      <c r="J106" s="499">
        <f>IF(AND(A106&lt;&gt;"",E106&lt;&gt;""),IF(I106="","⚠️ Enter Code",IF(IFERROR(VLOOKUP(H106,DB_Agents!$B:$I,8,0),"")=I106,IF(C106&gt;=E106,"Successful","Unsuccessful"),"🔒 BLOCKED — Wrong Code")),"—")</f>
        <v/>
      </c>
      <c r="K106" s="500">
        <f>IF(J106="Successful",TEXT(TODAY(),"YYYY-MM-DD")&amp;" Auto","—")</f>
        <v/>
      </c>
      <c r="L106" s="501" t="n"/>
    </row>
    <row r="107" ht="15" customHeight="1" s="341">
      <c r="A107" s="486" t="n"/>
      <c r="B107" s="378">
        <f>IF(A107="","",IFERROR(VLOOKUP(A107,DB_Customers!$A:$D,4,0),"❌ Account Not Found"))</f>
        <v/>
      </c>
      <c r="C107" s="487">
        <f>IF(A107="","",IFERROR(VLOOKUP(A107,DB_Customers!$A:$N,14,0),""))</f>
        <v/>
      </c>
      <c r="D107" s="488">
        <f>IF(A107="","",TODAY())</f>
        <v/>
      </c>
      <c r="E107" s="510" t="n"/>
      <c r="F107" s="378" t="n"/>
      <c r="G107" s="511">
        <f>IF(OR(A107="",E107=""),"",IF(C107="","",C107-E107))</f>
        <v/>
      </c>
      <c r="H107" s="380" t="inlineStr">
        <is>
          <t>Agent 08</t>
        </is>
      </c>
      <c r="I107" s="491" t="n"/>
      <c r="J107" s="492">
        <f>IF(AND(A107&lt;&gt;"",E107&lt;&gt;""),IF(I107="","⚠️ Enter Code",IF(IFERROR(VLOOKUP(H107,DB_Agents!$B:$I,8,0),"")=I107,IF(C107&gt;=E107,"Successful","Unsuccessful"),"🔒 BLOCKED — Wrong Code")),"—")</f>
        <v/>
      </c>
      <c r="K107" s="493">
        <f>IF(J107="Successful",TEXT(TODAY(),"YYYY-MM-DD")&amp;" Auto","—")</f>
        <v/>
      </c>
      <c r="L107" s="494" t="n"/>
    </row>
    <row r="108" ht="15" customHeight="1" s="341">
      <c r="A108" s="495" t="n"/>
      <c r="B108" s="382">
        <f>IF(A108="","",IFERROR(VLOOKUP(A108,DB_Customers!$A:$D,4,0),"❌ Account Not Found"))</f>
        <v/>
      </c>
      <c r="C108" s="496">
        <f>IF(A108="","",IFERROR(VLOOKUP(A108,DB_Customers!$A:$N,14,0),""))</f>
        <v/>
      </c>
      <c r="D108" s="497">
        <f>IF(A108="","",TODAY())</f>
        <v/>
      </c>
      <c r="E108" s="510" t="n"/>
      <c r="F108" s="382" t="n"/>
      <c r="G108" s="512">
        <f>IF(OR(A108="",E108=""),"",IF(C108="","",C108-E108))</f>
        <v/>
      </c>
      <c r="H108" s="384" t="inlineStr">
        <is>
          <t>Agent 08</t>
        </is>
      </c>
      <c r="I108" s="491" t="n"/>
      <c r="J108" s="499">
        <f>IF(AND(A108&lt;&gt;"",E108&lt;&gt;""),IF(I108="","⚠️ Enter Code",IF(IFERROR(VLOOKUP(H108,DB_Agents!$B:$I,8,0),"")=I108,IF(C108&gt;=E108,"Successful","Unsuccessful"),"🔒 BLOCKED — Wrong Code")),"—")</f>
        <v/>
      </c>
      <c r="K108" s="500">
        <f>IF(J108="Successful",TEXT(TODAY(),"YYYY-MM-DD")&amp;" Auto","—")</f>
        <v/>
      </c>
      <c r="L108" s="501" t="n"/>
    </row>
    <row r="109" ht="15" customHeight="1" s="341">
      <c r="A109" s="486" t="n"/>
      <c r="B109" s="378">
        <f>IF(A109="","",IFERROR(VLOOKUP(A109,DB_Customers!$A:$D,4,0),"❌ Account Not Found"))</f>
        <v/>
      </c>
      <c r="C109" s="487">
        <f>IF(A109="","",IFERROR(VLOOKUP(A109,DB_Customers!$A:$N,14,0),""))</f>
        <v/>
      </c>
      <c r="D109" s="488">
        <f>IF(A109="","",TODAY())</f>
        <v/>
      </c>
      <c r="E109" s="510" t="n"/>
      <c r="F109" s="378" t="n"/>
      <c r="G109" s="511">
        <f>IF(OR(A109="",E109=""),"",IF(C109="","",C109-E109))</f>
        <v/>
      </c>
      <c r="H109" s="380" t="inlineStr">
        <is>
          <t>Agent 08</t>
        </is>
      </c>
      <c r="I109" s="491" t="n"/>
      <c r="J109" s="492">
        <f>IF(AND(A109&lt;&gt;"",E109&lt;&gt;""),IF(I109="","⚠️ Enter Code",IF(IFERROR(VLOOKUP(H109,DB_Agents!$B:$I,8,0),"")=I109,IF(C109&gt;=E109,"Successful","Unsuccessful"),"🔒 BLOCKED — Wrong Code")),"—")</f>
        <v/>
      </c>
      <c r="K109" s="493">
        <f>IF(J109="Successful",TEXT(TODAY(),"YYYY-MM-DD")&amp;" Auto","—")</f>
        <v/>
      </c>
      <c r="L109" s="494" t="n"/>
    </row>
    <row r="110" ht="15" customHeight="1" s="341">
      <c r="A110" s="495" t="n"/>
      <c r="B110" s="382">
        <f>IF(A110="","",IFERROR(VLOOKUP(A110,DB_Customers!$A:$D,4,0),"❌ Account Not Found"))</f>
        <v/>
      </c>
      <c r="C110" s="496">
        <f>IF(A110="","",IFERROR(VLOOKUP(A110,DB_Customers!$A:$N,14,0),""))</f>
        <v/>
      </c>
      <c r="D110" s="497">
        <f>IF(A110="","",TODAY())</f>
        <v/>
      </c>
      <c r="E110" s="510" t="n"/>
      <c r="F110" s="382" t="n"/>
      <c r="G110" s="512">
        <f>IF(OR(A110="",E110=""),"",IF(C110="","",C110-E110))</f>
        <v/>
      </c>
      <c r="H110" s="384" t="inlineStr">
        <is>
          <t>Agent 08</t>
        </is>
      </c>
      <c r="I110" s="491" t="n"/>
      <c r="J110" s="499">
        <f>IF(AND(A110&lt;&gt;"",E110&lt;&gt;""),IF(I110="","⚠️ Enter Code",IF(IFERROR(VLOOKUP(H110,DB_Agents!$B:$I,8,0),"")=I110,IF(C110&gt;=E110,"Successful","Unsuccessful"),"🔒 BLOCKED — Wrong Code")),"—")</f>
        <v/>
      </c>
      <c r="K110" s="500">
        <f>IF(J110="Successful",TEXT(TODAY(),"YYYY-MM-DD")&amp;" Auto","—")</f>
        <v/>
      </c>
      <c r="L110" s="501" t="n"/>
    </row>
    <row r="111" ht="15" customHeight="1" s="341">
      <c r="A111" s="486" t="n"/>
      <c r="B111" s="378">
        <f>IF(A111="","",IFERROR(VLOOKUP(A111,DB_Customers!$A:$D,4,0),"❌ Account Not Found"))</f>
        <v/>
      </c>
      <c r="C111" s="487">
        <f>IF(A111="","",IFERROR(VLOOKUP(A111,DB_Customers!$A:$N,14,0),""))</f>
        <v/>
      </c>
      <c r="D111" s="488">
        <f>IF(A111="","",TODAY())</f>
        <v/>
      </c>
      <c r="E111" s="510" t="n"/>
      <c r="F111" s="378" t="n"/>
      <c r="G111" s="511">
        <f>IF(OR(A111="",E111=""),"",IF(C111="","",C111-E111))</f>
        <v/>
      </c>
      <c r="H111" s="380" t="inlineStr">
        <is>
          <t>Agent 08</t>
        </is>
      </c>
      <c r="I111" s="491" t="n"/>
      <c r="J111" s="492">
        <f>IF(AND(A111&lt;&gt;"",E111&lt;&gt;""),IF(I111="","⚠️ Enter Code",IF(IFERROR(VLOOKUP(H111,DB_Agents!$B:$I,8,0),"")=I111,IF(C111&gt;=E111,"Successful","Unsuccessful"),"🔒 BLOCKED — Wrong Code")),"—")</f>
        <v/>
      </c>
      <c r="K111" s="493">
        <f>IF(J111="Successful",TEXT(TODAY(),"YYYY-MM-DD")&amp;" Auto","—")</f>
        <v/>
      </c>
      <c r="L111" s="494" t="n"/>
    </row>
    <row r="112" ht="15" customHeight="1" s="341">
      <c r="A112" s="495" t="n"/>
      <c r="B112" s="382">
        <f>IF(A112="","",IFERROR(VLOOKUP(A112,DB_Customers!$A:$D,4,0),"❌ Account Not Found"))</f>
        <v/>
      </c>
      <c r="C112" s="496">
        <f>IF(A112="","",IFERROR(VLOOKUP(A112,DB_Customers!$A:$N,14,0),""))</f>
        <v/>
      </c>
      <c r="D112" s="497">
        <f>IF(A112="","",TODAY())</f>
        <v/>
      </c>
      <c r="E112" s="510" t="n"/>
      <c r="F112" s="382" t="n"/>
      <c r="G112" s="512">
        <f>IF(OR(A112="",E112=""),"",IF(C112="","",C112-E112))</f>
        <v/>
      </c>
      <c r="H112" s="384" t="inlineStr">
        <is>
          <t>Agent 08</t>
        </is>
      </c>
      <c r="I112" s="491" t="n"/>
      <c r="J112" s="499">
        <f>IF(AND(A112&lt;&gt;"",E112&lt;&gt;""),IF(I112="","⚠️ Enter Code",IF(IFERROR(VLOOKUP(H112,DB_Agents!$B:$I,8,0),"")=I112,IF(C112&gt;=E112,"Successful","Unsuccessful"),"🔒 BLOCKED — Wrong Code")),"—")</f>
        <v/>
      </c>
      <c r="K112" s="500">
        <f>IF(J112="Successful",TEXT(TODAY(),"YYYY-MM-DD")&amp;" Auto","—")</f>
        <v/>
      </c>
      <c r="L112" s="501" t="n"/>
    </row>
    <row r="113" ht="15" customHeight="1" s="341">
      <c r="A113" s="486" t="n"/>
      <c r="B113" s="378">
        <f>IF(A113="","",IFERROR(VLOOKUP(A113,DB_Customers!$A:$D,4,0),"❌ Account Not Found"))</f>
        <v/>
      </c>
      <c r="C113" s="487">
        <f>IF(A113="","",IFERROR(VLOOKUP(A113,DB_Customers!$A:$N,14,0),""))</f>
        <v/>
      </c>
      <c r="D113" s="488">
        <f>IF(A113="","",TODAY())</f>
        <v/>
      </c>
      <c r="E113" s="510" t="n"/>
      <c r="F113" s="378" t="n"/>
      <c r="G113" s="511">
        <f>IF(OR(A113="",E113=""),"",IF(C113="","",C113-E113))</f>
        <v/>
      </c>
      <c r="H113" s="380" t="inlineStr">
        <is>
          <t>Agent 08</t>
        </is>
      </c>
      <c r="I113" s="491" t="n"/>
      <c r="J113" s="492">
        <f>IF(AND(A113&lt;&gt;"",E113&lt;&gt;""),IF(I113="","⚠️ Enter Code",IF(IFERROR(VLOOKUP(H113,DB_Agents!$B:$I,8,0),"")=I113,IF(C113&gt;=E113,"Successful","Unsuccessful"),"🔒 BLOCKED — Wrong Code")),"—")</f>
        <v/>
      </c>
      <c r="K113" s="493">
        <f>IF(J113="Successful",TEXT(TODAY(),"YYYY-MM-DD")&amp;" Auto","—")</f>
        <v/>
      </c>
      <c r="L113" s="494" t="n"/>
    </row>
    <row r="114" ht="15" customHeight="1" s="341">
      <c r="A114" s="495" t="n"/>
      <c r="B114" s="382">
        <f>IF(A114="","",IFERROR(VLOOKUP(A114,DB_Customers!$A:$D,4,0),"❌ Account Not Found"))</f>
        <v/>
      </c>
      <c r="C114" s="496">
        <f>IF(A114="","",IFERROR(VLOOKUP(A114,DB_Customers!$A:$N,14,0),""))</f>
        <v/>
      </c>
      <c r="D114" s="497">
        <f>IF(A114="","",TODAY())</f>
        <v/>
      </c>
      <c r="E114" s="510" t="n"/>
      <c r="F114" s="382" t="n"/>
      <c r="G114" s="512">
        <f>IF(OR(A114="",E114=""),"",IF(C114="","",C114-E114))</f>
        <v/>
      </c>
      <c r="H114" s="384" t="inlineStr">
        <is>
          <t>Agent 08</t>
        </is>
      </c>
      <c r="I114" s="491" t="n"/>
      <c r="J114" s="499">
        <f>IF(AND(A114&lt;&gt;"",E114&lt;&gt;""),IF(I114="","⚠️ Enter Code",IF(IFERROR(VLOOKUP(H114,DB_Agents!$B:$I,8,0),"")=I114,IF(C114&gt;=E114,"Successful","Unsuccessful"),"🔒 BLOCKED — Wrong Code")),"—")</f>
        <v/>
      </c>
      <c r="K114" s="500">
        <f>IF(J114="Successful",TEXT(TODAY(),"YYYY-MM-DD")&amp;" Auto","—")</f>
        <v/>
      </c>
      <c r="L114" s="501" t="n"/>
    </row>
    <row r="115" ht="15" customHeight="1" s="341">
      <c r="A115" s="486" t="n"/>
      <c r="B115" s="378">
        <f>IF(A115="","",IFERROR(VLOOKUP(A115,DB_Customers!$A:$D,4,0),"❌ Account Not Found"))</f>
        <v/>
      </c>
      <c r="C115" s="487">
        <f>IF(A115="","",IFERROR(VLOOKUP(A115,DB_Customers!$A:$N,14,0),""))</f>
        <v/>
      </c>
      <c r="D115" s="488">
        <f>IF(A115="","",TODAY())</f>
        <v/>
      </c>
      <c r="E115" s="510" t="n"/>
      <c r="F115" s="378" t="n"/>
      <c r="G115" s="511">
        <f>IF(OR(A115="",E115=""),"",IF(C115="","",C115-E115))</f>
        <v/>
      </c>
      <c r="H115" s="380" t="inlineStr">
        <is>
          <t>Agent 08</t>
        </is>
      </c>
      <c r="I115" s="491" t="n"/>
      <c r="J115" s="492">
        <f>IF(AND(A115&lt;&gt;"",E115&lt;&gt;""),IF(I115="","⚠️ Enter Code",IF(IFERROR(VLOOKUP(H115,DB_Agents!$B:$I,8,0),"")=I115,IF(C115&gt;=E115,"Successful","Unsuccessful"),"🔒 BLOCKED — Wrong Code")),"—")</f>
        <v/>
      </c>
      <c r="K115" s="493">
        <f>IF(J115="Successful",TEXT(TODAY(),"YYYY-MM-DD")&amp;" Auto","—")</f>
        <v/>
      </c>
      <c r="L115" s="494" t="n"/>
    </row>
    <row r="116" ht="15" customHeight="1" s="341">
      <c r="A116" s="495" t="n"/>
      <c r="B116" s="382">
        <f>IF(A116="","",IFERROR(VLOOKUP(A116,DB_Customers!$A:$D,4,0),"❌ Account Not Found"))</f>
        <v/>
      </c>
      <c r="C116" s="496">
        <f>IF(A116="","",IFERROR(VLOOKUP(A116,DB_Customers!$A:$N,14,0),""))</f>
        <v/>
      </c>
      <c r="D116" s="497">
        <f>IF(A116="","",TODAY())</f>
        <v/>
      </c>
      <c r="E116" s="510" t="n"/>
      <c r="F116" s="382" t="n"/>
      <c r="G116" s="512">
        <f>IF(OR(A116="",E116=""),"",IF(C116="","",C116-E116))</f>
        <v/>
      </c>
      <c r="H116" s="384" t="inlineStr">
        <is>
          <t>Agent 08</t>
        </is>
      </c>
      <c r="I116" s="491" t="n"/>
      <c r="J116" s="499">
        <f>IF(AND(A116&lt;&gt;"",E116&lt;&gt;""),IF(I116="","⚠️ Enter Code",IF(IFERROR(VLOOKUP(H116,DB_Agents!$B:$I,8,0),"")=I116,IF(C116&gt;=E116,"Successful","Unsuccessful"),"🔒 BLOCKED — Wrong Code")),"—")</f>
        <v/>
      </c>
      <c r="K116" s="500">
        <f>IF(J116="Successful",TEXT(TODAY(),"YYYY-MM-DD")&amp;" Auto","—")</f>
        <v/>
      </c>
      <c r="L116" s="501" t="n"/>
    </row>
    <row r="117" ht="15" customHeight="1" s="341">
      <c r="A117" s="486" t="n"/>
      <c r="B117" s="378">
        <f>IF(A117="","",IFERROR(VLOOKUP(A117,DB_Customers!$A:$D,4,0),"❌ Account Not Found"))</f>
        <v/>
      </c>
      <c r="C117" s="487">
        <f>IF(A117="","",IFERROR(VLOOKUP(A117,DB_Customers!$A:$N,14,0),""))</f>
        <v/>
      </c>
      <c r="D117" s="488">
        <f>IF(A117="","",TODAY())</f>
        <v/>
      </c>
      <c r="E117" s="510" t="n"/>
      <c r="F117" s="378" t="n"/>
      <c r="G117" s="511">
        <f>IF(OR(A117="",E117=""),"",IF(C117="","",C117-E117))</f>
        <v/>
      </c>
      <c r="H117" s="380" t="inlineStr">
        <is>
          <t>Agent 08</t>
        </is>
      </c>
      <c r="I117" s="491" t="n"/>
      <c r="J117" s="492">
        <f>IF(AND(A117&lt;&gt;"",E117&lt;&gt;""),IF(I117="","⚠️ Enter Code",IF(IFERROR(VLOOKUP(H117,DB_Agents!$B:$I,8,0),"")=I117,IF(C117&gt;=E117,"Successful","Unsuccessful"),"🔒 BLOCKED — Wrong Code")),"—")</f>
        <v/>
      </c>
      <c r="K117" s="493">
        <f>IF(J117="Successful",TEXT(TODAY(),"YYYY-MM-DD")&amp;" Auto","—")</f>
        <v/>
      </c>
      <c r="L117" s="494" t="n"/>
    </row>
    <row r="118" ht="15" customHeight="1" s="341">
      <c r="A118" s="495" t="n"/>
      <c r="B118" s="382">
        <f>IF(A118="","",IFERROR(VLOOKUP(A118,DB_Customers!$A:$D,4,0),"❌ Account Not Found"))</f>
        <v/>
      </c>
      <c r="C118" s="496">
        <f>IF(A118="","",IFERROR(VLOOKUP(A118,DB_Customers!$A:$N,14,0),""))</f>
        <v/>
      </c>
      <c r="D118" s="497">
        <f>IF(A118="","",TODAY())</f>
        <v/>
      </c>
      <c r="E118" s="510" t="n"/>
      <c r="F118" s="382" t="n"/>
      <c r="G118" s="512">
        <f>IF(OR(A118="",E118=""),"",IF(C118="","",C118-E118))</f>
        <v/>
      </c>
      <c r="H118" s="384" t="inlineStr">
        <is>
          <t>Agent 08</t>
        </is>
      </c>
      <c r="I118" s="491" t="n"/>
      <c r="J118" s="499">
        <f>IF(AND(A118&lt;&gt;"",E118&lt;&gt;""),IF(I118="","⚠️ Enter Code",IF(IFERROR(VLOOKUP(H118,DB_Agents!$B:$I,8,0),"")=I118,IF(C118&gt;=E118,"Successful","Unsuccessful"),"🔒 BLOCKED — Wrong Code")),"—")</f>
        <v/>
      </c>
      <c r="K118" s="500">
        <f>IF(J118="Successful",TEXT(TODAY(),"YYYY-MM-DD")&amp;" Auto","—")</f>
        <v/>
      </c>
      <c r="L118" s="501" t="n"/>
    </row>
    <row r="119" ht="15" customHeight="1" s="341">
      <c r="A119" s="486" t="n"/>
      <c r="B119" s="378">
        <f>IF(A119="","",IFERROR(VLOOKUP(A119,DB_Customers!$A:$D,4,0),"❌ Account Not Found"))</f>
        <v/>
      </c>
      <c r="C119" s="487">
        <f>IF(A119="","",IFERROR(VLOOKUP(A119,DB_Customers!$A:$N,14,0),""))</f>
        <v/>
      </c>
      <c r="D119" s="488">
        <f>IF(A119="","",TODAY())</f>
        <v/>
      </c>
      <c r="E119" s="510" t="n"/>
      <c r="F119" s="378" t="n"/>
      <c r="G119" s="511">
        <f>IF(OR(A119="",E119=""),"",IF(C119="","",C119-E119))</f>
        <v/>
      </c>
      <c r="H119" s="380" t="inlineStr">
        <is>
          <t>Agent 08</t>
        </is>
      </c>
      <c r="I119" s="491" t="n"/>
      <c r="J119" s="492">
        <f>IF(AND(A119&lt;&gt;"",E119&lt;&gt;""),IF(I119="","⚠️ Enter Code",IF(IFERROR(VLOOKUP(H119,DB_Agents!$B:$I,8,0),"")=I119,IF(C119&gt;=E119,"Successful","Unsuccessful"),"🔒 BLOCKED — Wrong Code")),"—")</f>
        <v/>
      </c>
      <c r="K119" s="493">
        <f>IF(J119="Successful",TEXT(TODAY(),"YYYY-MM-DD")&amp;" Auto","—")</f>
        <v/>
      </c>
      <c r="L119" s="494" t="n"/>
    </row>
    <row r="120" ht="15" customHeight="1" s="341">
      <c r="A120" s="495" t="n"/>
      <c r="B120" s="382">
        <f>IF(A120="","",IFERROR(VLOOKUP(A120,DB_Customers!$A:$D,4,0),"❌ Account Not Found"))</f>
        <v/>
      </c>
      <c r="C120" s="496">
        <f>IF(A120="","",IFERROR(VLOOKUP(A120,DB_Customers!$A:$N,14,0),""))</f>
        <v/>
      </c>
      <c r="D120" s="497">
        <f>IF(A120="","",TODAY())</f>
        <v/>
      </c>
      <c r="E120" s="510" t="n"/>
      <c r="F120" s="382" t="n"/>
      <c r="G120" s="512">
        <f>IF(OR(A120="",E120=""),"",IF(C120="","",C120-E120))</f>
        <v/>
      </c>
      <c r="H120" s="384" t="inlineStr">
        <is>
          <t>Agent 08</t>
        </is>
      </c>
      <c r="I120" s="491" t="n"/>
      <c r="J120" s="499">
        <f>IF(AND(A120&lt;&gt;"",E120&lt;&gt;""),IF(I120="","⚠️ Enter Code",IF(IFERROR(VLOOKUP(H120,DB_Agents!$B:$I,8,0),"")=I120,IF(C120&gt;=E120,"Successful","Unsuccessful"),"🔒 BLOCKED — Wrong Code")),"—")</f>
        <v/>
      </c>
      <c r="K120" s="500">
        <f>IF(J120="Successful",TEXT(TODAY(),"YYYY-MM-DD")&amp;" Auto","—")</f>
        <v/>
      </c>
      <c r="L120" s="501" t="n"/>
    </row>
    <row r="121" ht="15" customHeight="1" s="341">
      <c r="A121" s="486" t="n"/>
      <c r="B121" s="378">
        <f>IF(A121="","",IFERROR(VLOOKUP(A121,DB_Customers!$A:$D,4,0),"❌ Account Not Found"))</f>
        <v/>
      </c>
      <c r="C121" s="487">
        <f>IF(A121="","",IFERROR(VLOOKUP(A121,DB_Customers!$A:$N,14,0),""))</f>
        <v/>
      </c>
      <c r="D121" s="488">
        <f>IF(A121="","",TODAY())</f>
        <v/>
      </c>
      <c r="E121" s="510" t="n"/>
      <c r="F121" s="378" t="n"/>
      <c r="G121" s="511">
        <f>IF(OR(A121="",E121=""),"",IF(C121="","",C121-E121))</f>
        <v/>
      </c>
      <c r="H121" s="380" t="inlineStr">
        <is>
          <t>Agent 08</t>
        </is>
      </c>
      <c r="I121" s="491" t="n"/>
      <c r="J121" s="492">
        <f>IF(AND(A121&lt;&gt;"",E121&lt;&gt;""),IF(I121="","⚠️ Enter Code",IF(IFERROR(VLOOKUP(H121,DB_Agents!$B:$I,8,0),"")=I121,IF(C121&gt;=E121,"Successful","Unsuccessful"),"🔒 BLOCKED — Wrong Code")),"—")</f>
        <v/>
      </c>
      <c r="K121" s="493">
        <f>IF(J121="Successful",TEXT(TODAY(),"YYYY-MM-DD")&amp;" Auto","—")</f>
        <v/>
      </c>
      <c r="L121" s="494" t="n"/>
    </row>
    <row r="122" ht="15" customHeight="1" s="341">
      <c r="A122" s="495" t="n"/>
      <c r="B122" s="382">
        <f>IF(A122="","",IFERROR(VLOOKUP(A122,DB_Customers!$A:$D,4,0),"❌ Account Not Found"))</f>
        <v/>
      </c>
      <c r="C122" s="496">
        <f>IF(A122="","",IFERROR(VLOOKUP(A122,DB_Customers!$A:$N,14,0),""))</f>
        <v/>
      </c>
      <c r="D122" s="497">
        <f>IF(A122="","",TODAY())</f>
        <v/>
      </c>
      <c r="E122" s="510" t="n"/>
      <c r="F122" s="382" t="n"/>
      <c r="G122" s="512">
        <f>IF(OR(A122="",E122=""),"",IF(C122="","",C122-E122))</f>
        <v/>
      </c>
      <c r="H122" s="384" t="inlineStr">
        <is>
          <t>Agent 08</t>
        </is>
      </c>
      <c r="I122" s="491" t="n"/>
      <c r="J122" s="499">
        <f>IF(AND(A122&lt;&gt;"",E122&lt;&gt;""),IF(I122="","⚠️ Enter Code",IF(IFERROR(VLOOKUP(H122,DB_Agents!$B:$I,8,0),"")=I122,IF(C122&gt;=E122,"Successful","Unsuccessful"),"🔒 BLOCKED — Wrong Code")),"—")</f>
        <v/>
      </c>
      <c r="K122" s="500">
        <f>IF(J122="Successful",TEXT(TODAY(),"YYYY-MM-DD")&amp;" Auto","—")</f>
        <v/>
      </c>
      <c r="L122" s="501" t="n"/>
    </row>
    <row r="123" ht="15" customHeight="1" s="341">
      <c r="A123" s="486" t="n"/>
      <c r="B123" s="378">
        <f>IF(A123="","",IFERROR(VLOOKUP(A123,DB_Customers!$A:$D,4,0),"❌ Account Not Found"))</f>
        <v/>
      </c>
      <c r="C123" s="487">
        <f>IF(A123="","",IFERROR(VLOOKUP(A123,DB_Customers!$A:$N,14,0),""))</f>
        <v/>
      </c>
      <c r="D123" s="488">
        <f>IF(A123="","",TODAY())</f>
        <v/>
      </c>
      <c r="E123" s="510" t="n"/>
      <c r="F123" s="378" t="n"/>
      <c r="G123" s="511">
        <f>IF(OR(A123="",E123=""),"",IF(C123="","",C123-E123))</f>
        <v/>
      </c>
      <c r="H123" s="380" t="inlineStr">
        <is>
          <t>Agent 08</t>
        </is>
      </c>
      <c r="I123" s="491" t="n"/>
      <c r="J123" s="492">
        <f>IF(AND(A123&lt;&gt;"",E123&lt;&gt;""),IF(I123="","⚠️ Enter Code",IF(IFERROR(VLOOKUP(H123,DB_Agents!$B:$I,8,0),"")=I123,IF(C123&gt;=E123,"Successful","Unsuccessful"),"🔒 BLOCKED — Wrong Code")),"—")</f>
        <v/>
      </c>
      <c r="K123" s="493">
        <f>IF(J123="Successful",TEXT(TODAY(),"YYYY-MM-DD")&amp;" Auto","—")</f>
        <v/>
      </c>
      <c r="L123" s="494" t="n"/>
    </row>
    <row r="124" ht="15" customHeight="1" s="341">
      <c r="A124" s="495" t="n"/>
      <c r="B124" s="382">
        <f>IF(A124="","",IFERROR(VLOOKUP(A124,DB_Customers!$A:$D,4,0),"❌ Account Not Found"))</f>
        <v/>
      </c>
      <c r="C124" s="496">
        <f>IF(A124="","",IFERROR(VLOOKUP(A124,DB_Customers!$A:$N,14,0),""))</f>
        <v/>
      </c>
      <c r="D124" s="497">
        <f>IF(A124="","",TODAY())</f>
        <v/>
      </c>
      <c r="E124" s="510" t="n"/>
      <c r="F124" s="382" t="n"/>
      <c r="G124" s="512">
        <f>IF(OR(A124="",E124=""),"",IF(C124="","",C124-E124))</f>
        <v/>
      </c>
      <c r="H124" s="384" t="inlineStr">
        <is>
          <t>Agent 08</t>
        </is>
      </c>
      <c r="I124" s="491" t="n"/>
      <c r="J124" s="499">
        <f>IF(AND(A124&lt;&gt;"",E124&lt;&gt;""),IF(I124="","⚠️ Enter Code",IF(IFERROR(VLOOKUP(H124,DB_Agents!$B:$I,8,0),"")=I124,IF(C124&gt;=E124,"Successful","Unsuccessful"),"🔒 BLOCKED — Wrong Code")),"—")</f>
        <v/>
      </c>
      <c r="K124" s="500">
        <f>IF(J124="Successful",TEXT(TODAY(),"YYYY-MM-DD")&amp;" Auto","—")</f>
        <v/>
      </c>
      <c r="L124" s="501" t="n"/>
    </row>
    <row r="125" ht="15" customHeight="1" s="341">
      <c r="A125" s="486" t="n"/>
      <c r="B125" s="378">
        <f>IF(A125="","",IFERROR(VLOOKUP(A125,DB_Customers!$A:$D,4,0),"❌ Account Not Found"))</f>
        <v/>
      </c>
      <c r="C125" s="487">
        <f>IF(A125="","",IFERROR(VLOOKUP(A125,DB_Customers!$A:$N,14,0),""))</f>
        <v/>
      </c>
      <c r="D125" s="488">
        <f>IF(A125="","",TODAY())</f>
        <v/>
      </c>
      <c r="E125" s="510" t="n"/>
      <c r="F125" s="378" t="n"/>
      <c r="G125" s="511">
        <f>IF(OR(A125="",E125=""),"",IF(C125="","",C125-E125))</f>
        <v/>
      </c>
      <c r="H125" s="380" t="inlineStr">
        <is>
          <t>Agent 08</t>
        </is>
      </c>
      <c r="I125" s="491" t="n"/>
      <c r="J125" s="492">
        <f>IF(AND(A125&lt;&gt;"",E125&lt;&gt;""),IF(I125="","⚠️ Enter Code",IF(IFERROR(VLOOKUP(H125,DB_Agents!$B:$I,8,0),"")=I125,IF(C125&gt;=E125,"Successful","Unsuccessful"),"🔒 BLOCKED — Wrong Code")),"—")</f>
        <v/>
      </c>
      <c r="K125" s="493">
        <f>IF(J125="Successful",TEXT(TODAY(),"YYYY-MM-DD")&amp;" Auto","—")</f>
        <v/>
      </c>
      <c r="L125" s="494" t="n"/>
    </row>
    <row r="126" ht="15" customHeight="1" s="341">
      <c r="A126" s="495" t="n"/>
      <c r="B126" s="382">
        <f>IF(A126="","",IFERROR(VLOOKUP(A126,DB_Customers!$A:$D,4,0),"❌ Account Not Found"))</f>
        <v/>
      </c>
      <c r="C126" s="496">
        <f>IF(A126="","",IFERROR(VLOOKUP(A126,DB_Customers!$A:$N,14,0),""))</f>
        <v/>
      </c>
      <c r="D126" s="497">
        <f>IF(A126="","",TODAY())</f>
        <v/>
      </c>
      <c r="E126" s="510" t="n"/>
      <c r="F126" s="382" t="n"/>
      <c r="G126" s="512">
        <f>IF(OR(A126="",E126=""),"",IF(C126="","",C126-E126))</f>
        <v/>
      </c>
      <c r="H126" s="384" t="inlineStr">
        <is>
          <t>Agent 08</t>
        </is>
      </c>
      <c r="I126" s="491" t="n"/>
      <c r="J126" s="499">
        <f>IF(AND(A126&lt;&gt;"",E126&lt;&gt;""),IF(I126="","⚠️ Enter Code",IF(IFERROR(VLOOKUP(H126,DB_Agents!$B:$I,8,0),"")=I126,IF(C126&gt;=E126,"Successful","Unsuccessful"),"🔒 BLOCKED — Wrong Code")),"—")</f>
        <v/>
      </c>
      <c r="K126" s="500">
        <f>IF(J126="Successful",TEXT(TODAY(),"YYYY-MM-DD")&amp;" Auto","—")</f>
        <v/>
      </c>
      <c r="L126" s="501" t="n"/>
    </row>
    <row r="127" ht="15" customHeight="1" s="341">
      <c r="A127" s="486" t="n"/>
      <c r="B127" s="378">
        <f>IF(A127="","",IFERROR(VLOOKUP(A127,DB_Customers!$A:$D,4,0),"❌ Account Not Found"))</f>
        <v/>
      </c>
      <c r="C127" s="487">
        <f>IF(A127="","",IFERROR(VLOOKUP(A127,DB_Customers!$A:$N,14,0),""))</f>
        <v/>
      </c>
      <c r="D127" s="488">
        <f>IF(A127="","",TODAY())</f>
        <v/>
      </c>
      <c r="E127" s="510" t="n"/>
      <c r="F127" s="378" t="n"/>
      <c r="G127" s="511">
        <f>IF(OR(A127="",E127=""),"",IF(C127="","",C127-E127))</f>
        <v/>
      </c>
      <c r="H127" s="380" t="inlineStr">
        <is>
          <t>Agent 08</t>
        </is>
      </c>
      <c r="I127" s="491" t="n"/>
      <c r="J127" s="492">
        <f>IF(AND(A127&lt;&gt;"",E127&lt;&gt;""),IF(I127="","⚠️ Enter Code",IF(IFERROR(VLOOKUP(H127,DB_Agents!$B:$I,8,0),"")=I127,IF(C127&gt;=E127,"Successful","Unsuccessful"),"🔒 BLOCKED — Wrong Code")),"—")</f>
        <v/>
      </c>
      <c r="K127" s="493">
        <f>IF(J127="Successful",TEXT(TODAY(),"YYYY-MM-DD")&amp;" Auto","—")</f>
        <v/>
      </c>
      <c r="L127" s="494" t="n"/>
    </row>
    <row r="128" ht="15" customHeight="1" s="341">
      <c r="A128" s="495" t="n"/>
      <c r="B128" s="382">
        <f>IF(A128="","",IFERROR(VLOOKUP(A128,DB_Customers!$A:$D,4,0),"❌ Account Not Found"))</f>
        <v/>
      </c>
      <c r="C128" s="496">
        <f>IF(A128="","",IFERROR(VLOOKUP(A128,DB_Customers!$A:$N,14,0),""))</f>
        <v/>
      </c>
      <c r="D128" s="497">
        <f>IF(A128="","",TODAY())</f>
        <v/>
      </c>
      <c r="E128" s="510" t="n"/>
      <c r="F128" s="382" t="n"/>
      <c r="G128" s="512">
        <f>IF(OR(A128="",E128=""),"",IF(C128="","",C128-E128))</f>
        <v/>
      </c>
      <c r="H128" s="384" t="inlineStr">
        <is>
          <t>Agent 08</t>
        </is>
      </c>
      <c r="I128" s="491" t="n"/>
      <c r="J128" s="499">
        <f>IF(AND(A128&lt;&gt;"",E128&lt;&gt;""),IF(I128="","⚠️ Enter Code",IF(IFERROR(VLOOKUP(H128,DB_Agents!$B:$I,8,0),"")=I128,IF(C128&gt;=E128,"Successful","Unsuccessful"),"🔒 BLOCKED — Wrong Code")),"—")</f>
        <v/>
      </c>
      <c r="K128" s="500">
        <f>IF(J128="Successful",TEXT(TODAY(),"YYYY-MM-DD")&amp;" Auto","—")</f>
        <v/>
      </c>
      <c r="L128" s="501" t="n"/>
    </row>
    <row r="129" ht="15" customHeight="1" s="341">
      <c r="A129" s="486" t="n"/>
      <c r="B129" s="378">
        <f>IF(A129="","",IFERROR(VLOOKUP(A129,DB_Customers!$A:$D,4,0),"❌ Account Not Found"))</f>
        <v/>
      </c>
      <c r="C129" s="487">
        <f>IF(A129="","",IFERROR(VLOOKUP(A129,DB_Customers!$A:$N,14,0),""))</f>
        <v/>
      </c>
      <c r="D129" s="488">
        <f>IF(A129="","",TODAY())</f>
        <v/>
      </c>
      <c r="E129" s="510" t="n"/>
      <c r="F129" s="378" t="n"/>
      <c r="G129" s="511">
        <f>IF(OR(A129="",E129=""),"",IF(C129="","",C129-E129))</f>
        <v/>
      </c>
      <c r="H129" s="380" t="inlineStr">
        <is>
          <t>Agent 08</t>
        </is>
      </c>
      <c r="I129" s="491" t="n"/>
      <c r="J129" s="492">
        <f>IF(AND(A129&lt;&gt;"",E129&lt;&gt;""),IF(I129="","⚠️ Enter Code",IF(IFERROR(VLOOKUP(H129,DB_Agents!$B:$I,8,0),"")=I129,IF(C129&gt;=E129,"Successful","Unsuccessful"),"🔒 BLOCKED — Wrong Code")),"—")</f>
        <v/>
      </c>
      <c r="K129" s="493">
        <f>IF(J129="Successful",TEXT(TODAY(),"YYYY-MM-DD")&amp;" Auto","—")</f>
        <v/>
      </c>
      <c r="L129" s="494" t="n"/>
    </row>
    <row r="130" ht="15" customHeight="1" s="341">
      <c r="A130" s="495" t="n"/>
      <c r="B130" s="382">
        <f>IF(A130="","",IFERROR(VLOOKUP(A130,DB_Customers!$A:$D,4,0),"❌ Account Not Found"))</f>
        <v/>
      </c>
      <c r="C130" s="496">
        <f>IF(A130="","",IFERROR(VLOOKUP(A130,DB_Customers!$A:$N,14,0),""))</f>
        <v/>
      </c>
      <c r="D130" s="497">
        <f>IF(A130="","",TODAY())</f>
        <v/>
      </c>
      <c r="E130" s="510" t="n"/>
      <c r="F130" s="382" t="n"/>
      <c r="G130" s="512">
        <f>IF(OR(A130="",E130=""),"",IF(C130="","",C130-E130))</f>
        <v/>
      </c>
      <c r="H130" s="384" t="inlineStr">
        <is>
          <t>Agent 08</t>
        </is>
      </c>
      <c r="I130" s="491" t="n"/>
      <c r="J130" s="499">
        <f>IF(AND(A130&lt;&gt;"",E130&lt;&gt;""),IF(I130="","⚠️ Enter Code",IF(IFERROR(VLOOKUP(H130,DB_Agents!$B:$I,8,0),"")=I130,IF(C130&gt;=E130,"Successful","Unsuccessful"),"🔒 BLOCKED — Wrong Code")),"—")</f>
        <v/>
      </c>
      <c r="K130" s="500">
        <f>IF(J130="Successful",TEXT(TODAY(),"YYYY-MM-DD")&amp;" Auto","—")</f>
        <v/>
      </c>
      <c r="L130" s="501" t="n"/>
    </row>
    <row r="131" ht="15" customHeight="1" s="341">
      <c r="A131" s="486" t="n"/>
      <c r="B131" s="378">
        <f>IF(A131="","",IFERROR(VLOOKUP(A131,DB_Customers!$A:$D,4,0),"❌ Account Not Found"))</f>
        <v/>
      </c>
      <c r="C131" s="487">
        <f>IF(A131="","",IFERROR(VLOOKUP(A131,DB_Customers!$A:$N,14,0),""))</f>
        <v/>
      </c>
      <c r="D131" s="488">
        <f>IF(A131="","",TODAY())</f>
        <v/>
      </c>
      <c r="E131" s="510" t="n"/>
      <c r="F131" s="378" t="n"/>
      <c r="G131" s="511">
        <f>IF(OR(A131="",E131=""),"",IF(C131="","",C131-E131))</f>
        <v/>
      </c>
      <c r="H131" s="380" t="inlineStr">
        <is>
          <t>Agent 08</t>
        </is>
      </c>
      <c r="I131" s="491" t="n"/>
      <c r="J131" s="492">
        <f>IF(AND(A131&lt;&gt;"",E131&lt;&gt;""),IF(I131="","⚠️ Enter Code",IF(IFERROR(VLOOKUP(H131,DB_Agents!$B:$I,8,0),"")=I131,IF(C131&gt;=E131,"Successful","Unsuccessful"),"🔒 BLOCKED — Wrong Code")),"—")</f>
        <v/>
      </c>
      <c r="K131" s="493">
        <f>IF(J131="Successful",TEXT(TODAY(),"YYYY-MM-DD")&amp;" Auto","—")</f>
        <v/>
      </c>
      <c r="L131" s="494" t="n"/>
    </row>
    <row r="132" ht="15" customHeight="1" s="341">
      <c r="A132" s="495" t="n"/>
      <c r="B132" s="382">
        <f>IF(A132="","",IFERROR(VLOOKUP(A132,DB_Customers!$A:$D,4,0),"❌ Account Not Found"))</f>
        <v/>
      </c>
      <c r="C132" s="496">
        <f>IF(A132="","",IFERROR(VLOOKUP(A132,DB_Customers!$A:$N,14,0),""))</f>
        <v/>
      </c>
      <c r="D132" s="497">
        <f>IF(A132="","",TODAY())</f>
        <v/>
      </c>
      <c r="E132" s="510" t="n"/>
      <c r="F132" s="382" t="n"/>
      <c r="G132" s="512">
        <f>IF(OR(A132="",E132=""),"",IF(C132="","",C132-E132))</f>
        <v/>
      </c>
      <c r="H132" s="384" t="inlineStr">
        <is>
          <t>Agent 08</t>
        </is>
      </c>
      <c r="I132" s="491" t="n"/>
      <c r="J132" s="499">
        <f>IF(AND(A132&lt;&gt;"",E132&lt;&gt;""),IF(I132="","⚠️ Enter Code",IF(IFERROR(VLOOKUP(H132,DB_Agents!$B:$I,8,0),"")=I132,IF(C132&gt;=E132,"Successful","Unsuccessful"),"🔒 BLOCKED — Wrong Code")),"—")</f>
        <v/>
      </c>
      <c r="K132" s="500">
        <f>IF(J132="Successful",TEXT(TODAY(),"YYYY-MM-DD")&amp;" Auto","—")</f>
        <v/>
      </c>
      <c r="L132" s="501" t="n"/>
    </row>
    <row r="133" ht="15" customHeight="1" s="341">
      <c r="A133" s="486" t="n"/>
      <c r="B133" s="378">
        <f>IF(A133="","",IFERROR(VLOOKUP(A133,DB_Customers!$A:$D,4,0),"❌ Account Not Found"))</f>
        <v/>
      </c>
      <c r="C133" s="487">
        <f>IF(A133="","",IFERROR(VLOOKUP(A133,DB_Customers!$A:$N,14,0),""))</f>
        <v/>
      </c>
      <c r="D133" s="488">
        <f>IF(A133="","",TODAY())</f>
        <v/>
      </c>
      <c r="E133" s="510" t="n"/>
      <c r="F133" s="378" t="n"/>
      <c r="G133" s="511">
        <f>IF(OR(A133="",E133=""),"",IF(C133="","",C133-E133))</f>
        <v/>
      </c>
      <c r="H133" s="380" t="inlineStr">
        <is>
          <t>Agent 08</t>
        </is>
      </c>
      <c r="I133" s="491" t="n"/>
      <c r="J133" s="492">
        <f>IF(AND(A133&lt;&gt;"",E133&lt;&gt;""),IF(I133="","⚠️ Enter Code",IF(IFERROR(VLOOKUP(H133,DB_Agents!$B:$I,8,0),"")=I133,IF(C133&gt;=E133,"Successful","Unsuccessful"),"🔒 BLOCKED — Wrong Code")),"—")</f>
        <v/>
      </c>
      <c r="K133" s="493">
        <f>IF(J133="Successful",TEXT(TODAY(),"YYYY-MM-DD")&amp;" Auto","—")</f>
        <v/>
      </c>
      <c r="L133" s="494" t="n"/>
    </row>
    <row r="134" ht="15" customHeight="1" s="341">
      <c r="A134" s="495" t="n"/>
      <c r="B134" s="382">
        <f>IF(A134="","",IFERROR(VLOOKUP(A134,DB_Customers!$A:$D,4,0),"❌ Account Not Found"))</f>
        <v/>
      </c>
      <c r="C134" s="496">
        <f>IF(A134="","",IFERROR(VLOOKUP(A134,DB_Customers!$A:$N,14,0),""))</f>
        <v/>
      </c>
      <c r="D134" s="497">
        <f>IF(A134="","",TODAY())</f>
        <v/>
      </c>
      <c r="E134" s="510" t="n"/>
      <c r="F134" s="382" t="n"/>
      <c r="G134" s="512">
        <f>IF(OR(A134="",E134=""),"",IF(C134="","",C134-E134))</f>
        <v/>
      </c>
      <c r="H134" s="384" t="inlineStr">
        <is>
          <t>Agent 08</t>
        </is>
      </c>
      <c r="I134" s="491" t="n"/>
      <c r="J134" s="499">
        <f>IF(AND(A134&lt;&gt;"",E134&lt;&gt;""),IF(I134="","⚠️ Enter Code",IF(IFERROR(VLOOKUP(H134,DB_Agents!$B:$I,8,0),"")=I134,IF(C134&gt;=E134,"Successful","Unsuccessful"),"🔒 BLOCKED — Wrong Code")),"—")</f>
        <v/>
      </c>
      <c r="K134" s="500">
        <f>IF(J134="Successful",TEXT(TODAY(),"YYYY-MM-DD")&amp;" Auto","—")</f>
        <v/>
      </c>
      <c r="L134" s="501" t="n"/>
    </row>
    <row r="135" ht="15" customHeight="1" s="341">
      <c r="A135" s="486" t="n"/>
      <c r="B135" s="378">
        <f>IF(A135="","",IFERROR(VLOOKUP(A135,DB_Customers!$A:$D,4,0),"❌ Account Not Found"))</f>
        <v/>
      </c>
      <c r="C135" s="487">
        <f>IF(A135="","",IFERROR(VLOOKUP(A135,DB_Customers!$A:$N,14,0),""))</f>
        <v/>
      </c>
      <c r="D135" s="488">
        <f>IF(A135="","",TODAY())</f>
        <v/>
      </c>
      <c r="E135" s="510" t="n"/>
      <c r="F135" s="378" t="n"/>
      <c r="G135" s="511">
        <f>IF(OR(A135="",E135=""),"",IF(C135="","",C135-E135))</f>
        <v/>
      </c>
      <c r="H135" s="380" t="inlineStr">
        <is>
          <t>Agent 08</t>
        </is>
      </c>
      <c r="I135" s="491" t="n"/>
      <c r="J135" s="492">
        <f>IF(AND(A135&lt;&gt;"",E135&lt;&gt;""),IF(I135="","⚠️ Enter Code",IF(IFERROR(VLOOKUP(H135,DB_Agents!$B:$I,8,0),"")=I135,IF(C135&gt;=E135,"Successful","Unsuccessful"),"🔒 BLOCKED — Wrong Code")),"—")</f>
        <v/>
      </c>
      <c r="K135" s="493">
        <f>IF(J135="Successful",TEXT(TODAY(),"YYYY-MM-DD")&amp;" Auto","—")</f>
        <v/>
      </c>
      <c r="L135" s="494" t="n"/>
    </row>
    <row r="136" ht="15" customHeight="1" s="341">
      <c r="A136" s="495" t="n"/>
      <c r="B136" s="382">
        <f>IF(A136="","",IFERROR(VLOOKUP(A136,DB_Customers!$A:$D,4,0),"❌ Account Not Found"))</f>
        <v/>
      </c>
      <c r="C136" s="496">
        <f>IF(A136="","",IFERROR(VLOOKUP(A136,DB_Customers!$A:$N,14,0),""))</f>
        <v/>
      </c>
      <c r="D136" s="497">
        <f>IF(A136="","",TODAY())</f>
        <v/>
      </c>
      <c r="E136" s="510" t="n"/>
      <c r="F136" s="382" t="n"/>
      <c r="G136" s="512">
        <f>IF(OR(A136="",E136=""),"",IF(C136="","",C136-E136))</f>
        <v/>
      </c>
      <c r="H136" s="384" t="inlineStr">
        <is>
          <t>Agent 08</t>
        </is>
      </c>
      <c r="I136" s="491" t="n"/>
      <c r="J136" s="499">
        <f>IF(AND(A136&lt;&gt;"",E136&lt;&gt;""),IF(I136="","⚠️ Enter Code",IF(IFERROR(VLOOKUP(H136,DB_Agents!$B:$I,8,0),"")=I136,IF(C136&gt;=E136,"Successful","Unsuccessful"),"🔒 BLOCKED — Wrong Code")),"—")</f>
        <v/>
      </c>
      <c r="K136" s="500">
        <f>IF(J136="Successful",TEXT(TODAY(),"YYYY-MM-DD")&amp;" Auto","—")</f>
        <v/>
      </c>
      <c r="L136" s="501" t="n"/>
    </row>
    <row r="137" ht="15" customHeight="1" s="341">
      <c r="A137" s="486" t="n"/>
      <c r="B137" s="378">
        <f>IF(A137="","",IFERROR(VLOOKUP(A137,DB_Customers!$A:$D,4,0),"❌ Account Not Found"))</f>
        <v/>
      </c>
      <c r="C137" s="487">
        <f>IF(A137="","",IFERROR(VLOOKUP(A137,DB_Customers!$A:$N,14,0),""))</f>
        <v/>
      </c>
      <c r="D137" s="488">
        <f>IF(A137="","",TODAY())</f>
        <v/>
      </c>
      <c r="E137" s="510" t="n"/>
      <c r="F137" s="378" t="n"/>
      <c r="G137" s="511">
        <f>IF(OR(A137="",E137=""),"",IF(C137="","",C137-E137))</f>
        <v/>
      </c>
      <c r="H137" s="380" t="inlineStr">
        <is>
          <t>Agent 08</t>
        </is>
      </c>
      <c r="I137" s="491" t="n"/>
      <c r="J137" s="492">
        <f>IF(AND(A137&lt;&gt;"",E137&lt;&gt;""),IF(I137="","⚠️ Enter Code",IF(IFERROR(VLOOKUP(H137,DB_Agents!$B:$I,8,0),"")=I137,IF(C137&gt;=E137,"Successful","Unsuccessful"),"🔒 BLOCKED — Wrong Code")),"—")</f>
        <v/>
      </c>
      <c r="K137" s="493">
        <f>IF(J137="Successful",TEXT(TODAY(),"YYYY-MM-DD")&amp;" Auto","—")</f>
        <v/>
      </c>
      <c r="L137" s="494" t="n"/>
    </row>
    <row r="138" ht="15" customHeight="1" s="341">
      <c r="A138" s="495" t="n"/>
      <c r="B138" s="382">
        <f>IF(A138="","",IFERROR(VLOOKUP(A138,DB_Customers!$A:$D,4,0),"❌ Account Not Found"))</f>
        <v/>
      </c>
      <c r="C138" s="496">
        <f>IF(A138="","",IFERROR(VLOOKUP(A138,DB_Customers!$A:$N,14,0),""))</f>
        <v/>
      </c>
      <c r="D138" s="497">
        <f>IF(A138="","",TODAY())</f>
        <v/>
      </c>
      <c r="E138" s="510" t="n"/>
      <c r="F138" s="382" t="n"/>
      <c r="G138" s="512">
        <f>IF(OR(A138="",E138=""),"",IF(C138="","",C138-E138))</f>
        <v/>
      </c>
      <c r="H138" s="384" t="inlineStr">
        <is>
          <t>Agent 08</t>
        </is>
      </c>
      <c r="I138" s="491" t="n"/>
      <c r="J138" s="499">
        <f>IF(AND(A138&lt;&gt;"",E138&lt;&gt;""),IF(I138="","⚠️ Enter Code",IF(IFERROR(VLOOKUP(H138,DB_Agents!$B:$I,8,0),"")=I138,IF(C138&gt;=E138,"Successful","Unsuccessful"),"🔒 BLOCKED — Wrong Code")),"—")</f>
        <v/>
      </c>
      <c r="K138" s="500">
        <f>IF(J138="Successful",TEXT(TODAY(),"YYYY-MM-DD")&amp;" Auto","—")</f>
        <v/>
      </c>
      <c r="L138" s="501" t="n"/>
    </row>
    <row r="139" ht="15" customHeight="1" s="341">
      <c r="A139" s="486" t="n"/>
      <c r="B139" s="378">
        <f>IF(A139="","",IFERROR(VLOOKUP(A139,DB_Customers!$A:$D,4,0),"❌ Account Not Found"))</f>
        <v/>
      </c>
      <c r="C139" s="487">
        <f>IF(A139="","",IFERROR(VLOOKUP(A139,DB_Customers!$A:$N,14,0),""))</f>
        <v/>
      </c>
      <c r="D139" s="488">
        <f>IF(A139="","",TODAY())</f>
        <v/>
      </c>
      <c r="E139" s="510" t="n"/>
      <c r="F139" s="378" t="n"/>
      <c r="G139" s="511">
        <f>IF(OR(A139="",E139=""),"",IF(C139="","",C139-E139))</f>
        <v/>
      </c>
      <c r="H139" s="380" t="inlineStr">
        <is>
          <t>Agent 08</t>
        </is>
      </c>
      <c r="I139" s="491" t="n"/>
      <c r="J139" s="492">
        <f>IF(AND(A139&lt;&gt;"",E139&lt;&gt;""),IF(I139="","⚠️ Enter Code",IF(IFERROR(VLOOKUP(H139,DB_Agents!$B:$I,8,0),"")=I139,IF(C139&gt;=E139,"Successful","Unsuccessful"),"🔒 BLOCKED — Wrong Code")),"—")</f>
        <v/>
      </c>
      <c r="K139" s="493">
        <f>IF(J139="Successful",TEXT(TODAY(),"YYYY-MM-DD")&amp;" Auto","—")</f>
        <v/>
      </c>
      <c r="L139" s="494" t="n"/>
    </row>
    <row r="140" ht="15" customHeight="1" s="341">
      <c r="A140" s="495" t="n"/>
      <c r="B140" s="382">
        <f>IF(A140="","",IFERROR(VLOOKUP(A140,DB_Customers!$A:$D,4,0),"❌ Account Not Found"))</f>
        <v/>
      </c>
      <c r="C140" s="496">
        <f>IF(A140="","",IFERROR(VLOOKUP(A140,DB_Customers!$A:$N,14,0),""))</f>
        <v/>
      </c>
      <c r="D140" s="497">
        <f>IF(A140="","",TODAY())</f>
        <v/>
      </c>
      <c r="E140" s="510" t="n"/>
      <c r="F140" s="382" t="n"/>
      <c r="G140" s="512">
        <f>IF(OR(A140="",E140=""),"",IF(C140="","",C140-E140))</f>
        <v/>
      </c>
      <c r="H140" s="384" t="inlineStr">
        <is>
          <t>Agent 08</t>
        </is>
      </c>
      <c r="I140" s="491" t="n"/>
      <c r="J140" s="499">
        <f>IF(AND(A140&lt;&gt;"",E140&lt;&gt;""),IF(I140="","⚠️ Enter Code",IF(IFERROR(VLOOKUP(H140,DB_Agents!$B:$I,8,0),"")=I140,IF(C140&gt;=E140,"Successful","Unsuccessful"),"🔒 BLOCKED — Wrong Code")),"—")</f>
        <v/>
      </c>
      <c r="K140" s="500">
        <f>IF(J140="Successful",TEXT(TODAY(),"YYYY-MM-DD")&amp;" Auto","—")</f>
        <v/>
      </c>
      <c r="L140" s="501" t="n"/>
    </row>
    <row r="141" ht="15" customHeight="1" s="341">
      <c r="A141" s="486" t="n"/>
      <c r="B141" s="378">
        <f>IF(A141="","",IFERROR(VLOOKUP(A141,DB_Customers!$A:$D,4,0),"❌ Account Not Found"))</f>
        <v/>
      </c>
      <c r="C141" s="487">
        <f>IF(A141="","",IFERROR(VLOOKUP(A141,DB_Customers!$A:$N,14,0),""))</f>
        <v/>
      </c>
      <c r="D141" s="488">
        <f>IF(A141="","",TODAY())</f>
        <v/>
      </c>
      <c r="E141" s="510" t="n"/>
      <c r="F141" s="378" t="n"/>
      <c r="G141" s="511">
        <f>IF(OR(A141="",E141=""),"",IF(C141="","",C141-E141))</f>
        <v/>
      </c>
      <c r="H141" s="380" t="inlineStr">
        <is>
          <t>Agent 08</t>
        </is>
      </c>
      <c r="I141" s="491" t="n"/>
      <c r="J141" s="492">
        <f>IF(AND(A141&lt;&gt;"",E141&lt;&gt;""),IF(I141="","⚠️ Enter Code",IF(IFERROR(VLOOKUP(H141,DB_Agents!$B:$I,8,0),"")=I141,IF(C141&gt;=E141,"Successful","Unsuccessful"),"🔒 BLOCKED — Wrong Code")),"—")</f>
        <v/>
      </c>
      <c r="K141" s="493">
        <f>IF(J141="Successful",TEXT(TODAY(),"YYYY-MM-DD")&amp;" Auto","—")</f>
        <v/>
      </c>
      <c r="L141" s="494" t="n"/>
    </row>
    <row r="142" ht="15" customHeight="1" s="341">
      <c r="A142" s="495" t="n"/>
      <c r="B142" s="382">
        <f>IF(A142="","",IFERROR(VLOOKUP(A142,DB_Customers!$A:$D,4,0),"❌ Account Not Found"))</f>
        <v/>
      </c>
      <c r="C142" s="496">
        <f>IF(A142="","",IFERROR(VLOOKUP(A142,DB_Customers!$A:$N,14,0),""))</f>
        <v/>
      </c>
      <c r="D142" s="497">
        <f>IF(A142="","",TODAY())</f>
        <v/>
      </c>
      <c r="E142" s="510" t="n"/>
      <c r="F142" s="382" t="n"/>
      <c r="G142" s="512">
        <f>IF(OR(A142="",E142=""),"",IF(C142="","",C142-E142))</f>
        <v/>
      </c>
      <c r="H142" s="384" t="inlineStr">
        <is>
          <t>Agent 08</t>
        </is>
      </c>
      <c r="I142" s="491" t="n"/>
      <c r="J142" s="499">
        <f>IF(AND(A142&lt;&gt;"",E142&lt;&gt;""),IF(I142="","⚠️ Enter Code",IF(IFERROR(VLOOKUP(H142,DB_Agents!$B:$I,8,0),"")=I142,IF(C142&gt;=E142,"Successful","Unsuccessful"),"🔒 BLOCKED — Wrong Code")),"—")</f>
        <v/>
      </c>
      <c r="K142" s="500">
        <f>IF(J142="Successful",TEXT(TODAY(),"YYYY-MM-DD")&amp;" Auto","—")</f>
        <v/>
      </c>
      <c r="L142" s="501" t="n"/>
    </row>
    <row r="143" ht="15" customHeight="1" s="341">
      <c r="A143" s="486" t="n"/>
      <c r="B143" s="378">
        <f>IF(A143="","",IFERROR(VLOOKUP(A143,DB_Customers!$A:$D,4,0),"❌ Account Not Found"))</f>
        <v/>
      </c>
      <c r="C143" s="487">
        <f>IF(A143="","",IFERROR(VLOOKUP(A143,DB_Customers!$A:$N,14,0),""))</f>
        <v/>
      </c>
      <c r="D143" s="488">
        <f>IF(A143="","",TODAY())</f>
        <v/>
      </c>
      <c r="E143" s="510" t="n"/>
      <c r="F143" s="378" t="n"/>
      <c r="G143" s="511">
        <f>IF(OR(A143="",E143=""),"",IF(C143="","",C143-E143))</f>
        <v/>
      </c>
      <c r="H143" s="380" t="inlineStr">
        <is>
          <t>Agent 08</t>
        </is>
      </c>
      <c r="I143" s="491" t="n"/>
      <c r="J143" s="492">
        <f>IF(AND(A143&lt;&gt;"",E143&lt;&gt;""),IF(I143="","⚠️ Enter Code",IF(IFERROR(VLOOKUP(H143,DB_Agents!$B:$I,8,0),"")=I143,IF(C143&gt;=E143,"Successful","Unsuccessful"),"🔒 BLOCKED — Wrong Code")),"—")</f>
        <v/>
      </c>
      <c r="K143" s="493">
        <f>IF(J143="Successful",TEXT(TODAY(),"YYYY-MM-DD")&amp;" Auto","—")</f>
        <v/>
      </c>
      <c r="L143" s="494" t="n"/>
    </row>
    <row r="144" ht="15" customHeight="1" s="341">
      <c r="A144" s="495" t="n"/>
      <c r="B144" s="382">
        <f>IF(A144="","",IFERROR(VLOOKUP(A144,DB_Customers!$A:$D,4,0),"❌ Account Not Found"))</f>
        <v/>
      </c>
      <c r="C144" s="496">
        <f>IF(A144="","",IFERROR(VLOOKUP(A144,DB_Customers!$A:$N,14,0),""))</f>
        <v/>
      </c>
      <c r="D144" s="497">
        <f>IF(A144="","",TODAY())</f>
        <v/>
      </c>
      <c r="E144" s="510" t="n"/>
      <c r="F144" s="382" t="n"/>
      <c r="G144" s="512">
        <f>IF(OR(A144="",E144=""),"",IF(C144="","",C144-E144))</f>
        <v/>
      </c>
      <c r="H144" s="384" t="inlineStr">
        <is>
          <t>Agent 08</t>
        </is>
      </c>
      <c r="I144" s="491" t="n"/>
      <c r="J144" s="499">
        <f>IF(AND(A144&lt;&gt;"",E144&lt;&gt;""),IF(I144="","⚠️ Enter Code",IF(IFERROR(VLOOKUP(H144,DB_Agents!$B:$I,8,0),"")=I144,IF(C144&gt;=E144,"Successful","Unsuccessful"),"🔒 BLOCKED — Wrong Code")),"—")</f>
        <v/>
      </c>
      <c r="K144" s="500">
        <f>IF(J144="Successful",TEXT(TODAY(),"YYYY-MM-DD")&amp;" Auto","—")</f>
        <v/>
      </c>
      <c r="L144" s="501" t="n"/>
    </row>
    <row r="145" ht="15" customHeight="1" s="341">
      <c r="A145" s="486" t="n"/>
      <c r="B145" s="378">
        <f>IF(A145="","",IFERROR(VLOOKUP(A145,DB_Customers!$A:$D,4,0),"❌ Account Not Found"))</f>
        <v/>
      </c>
      <c r="C145" s="487">
        <f>IF(A145="","",IFERROR(VLOOKUP(A145,DB_Customers!$A:$N,14,0),""))</f>
        <v/>
      </c>
      <c r="D145" s="488">
        <f>IF(A145="","",TODAY())</f>
        <v/>
      </c>
      <c r="E145" s="510" t="n"/>
      <c r="F145" s="378" t="n"/>
      <c r="G145" s="511">
        <f>IF(OR(A145="",E145=""),"",IF(C145="","",C145-E145))</f>
        <v/>
      </c>
      <c r="H145" s="380" t="inlineStr">
        <is>
          <t>Agent 08</t>
        </is>
      </c>
      <c r="I145" s="491" t="n"/>
      <c r="J145" s="492">
        <f>IF(AND(A145&lt;&gt;"",E145&lt;&gt;""),IF(I145="","⚠️ Enter Code",IF(IFERROR(VLOOKUP(H145,DB_Agents!$B:$I,8,0),"")=I145,IF(C145&gt;=E145,"Successful","Unsuccessful"),"🔒 BLOCKED — Wrong Code")),"—")</f>
        <v/>
      </c>
      <c r="K145" s="493">
        <f>IF(J145="Successful",TEXT(TODAY(),"YYYY-MM-DD")&amp;" Auto","—")</f>
        <v/>
      </c>
      <c r="L145" s="494" t="n"/>
    </row>
    <row r="146" ht="15" customHeight="1" s="341">
      <c r="A146" s="495" t="n"/>
      <c r="B146" s="382">
        <f>IF(A146="","",IFERROR(VLOOKUP(A146,DB_Customers!$A:$D,4,0),"❌ Account Not Found"))</f>
        <v/>
      </c>
      <c r="C146" s="496">
        <f>IF(A146="","",IFERROR(VLOOKUP(A146,DB_Customers!$A:$N,14,0),""))</f>
        <v/>
      </c>
      <c r="D146" s="497">
        <f>IF(A146="","",TODAY())</f>
        <v/>
      </c>
      <c r="E146" s="510" t="n"/>
      <c r="F146" s="382" t="n"/>
      <c r="G146" s="512">
        <f>IF(OR(A146="",E146=""),"",IF(C146="","",C146-E146))</f>
        <v/>
      </c>
      <c r="H146" s="384" t="inlineStr">
        <is>
          <t>Agent 08</t>
        </is>
      </c>
      <c r="I146" s="491" t="n"/>
      <c r="J146" s="499">
        <f>IF(AND(A146&lt;&gt;"",E146&lt;&gt;""),IF(I146="","⚠️ Enter Code",IF(IFERROR(VLOOKUP(H146,DB_Agents!$B:$I,8,0),"")=I146,IF(C146&gt;=E146,"Successful","Unsuccessful"),"🔒 BLOCKED — Wrong Code")),"—")</f>
        <v/>
      </c>
      <c r="K146" s="500">
        <f>IF(J146="Successful",TEXT(TODAY(),"YYYY-MM-DD")&amp;" Auto","—")</f>
        <v/>
      </c>
      <c r="L146" s="501" t="n"/>
    </row>
    <row r="147" ht="15" customHeight="1" s="341">
      <c r="A147" s="486" t="n"/>
      <c r="B147" s="378">
        <f>IF(A147="","",IFERROR(VLOOKUP(A147,DB_Customers!$A:$D,4,0),"❌ Account Not Found"))</f>
        <v/>
      </c>
      <c r="C147" s="487">
        <f>IF(A147="","",IFERROR(VLOOKUP(A147,DB_Customers!$A:$N,14,0),""))</f>
        <v/>
      </c>
      <c r="D147" s="488">
        <f>IF(A147="","",TODAY())</f>
        <v/>
      </c>
      <c r="E147" s="510" t="n"/>
      <c r="F147" s="378" t="n"/>
      <c r="G147" s="511">
        <f>IF(OR(A147="",E147=""),"",IF(C147="","",C147-E147))</f>
        <v/>
      </c>
      <c r="H147" s="380" t="inlineStr">
        <is>
          <t>Agent 08</t>
        </is>
      </c>
      <c r="I147" s="491" t="n"/>
      <c r="J147" s="492">
        <f>IF(AND(A147&lt;&gt;"",E147&lt;&gt;""),IF(I147="","⚠️ Enter Code",IF(IFERROR(VLOOKUP(H147,DB_Agents!$B:$I,8,0),"")=I147,IF(C147&gt;=E147,"Successful","Unsuccessful"),"🔒 BLOCKED — Wrong Code")),"—")</f>
        <v/>
      </c>
      <c r="K147" s="493">
        <f>IF(J147="Successful",TEXT(TODAY(),"YYYY-MM-DD")&amp;" Auto","—")</f>
        <v/>
      </c>
      <c r="L147" s="494" t="n"/>
    </row>
    <row r="148" ht="15" customHeight="1" s="341">
      <c r="A148" s="495" t="n"/>
      <c r="B148" s="382">
        <f>IF(A148="","",IFERROR(VLOOKUP(A148,DB_Customers!$A:$D,4,0),"❌ Account Not Found"))</f>
        <v/>
      </c>
      <c r="C148" s="496">
        <f>IF(A148="","",IFERROR(VLOOKUP(A148,DB_Customers!$A:$N,14,0),""))</f>
        <v/>
      </c>
      <c r="D148" s="497">
        <f>IF(A148="","",TODAY())</f>
        <v/>
      </c>
      <c r="E148" s="510" t="n"/>
      <c r="F148" s="382" t="n"/>
      <c r="G148" s="512">
        <f>IF(OR(A148="",E148=""),"",IF(C148="","",C148-E148))</f>
        <v/>
      </c>
      <c r="H148" s="384" t="inlineStr">
        <is>
          <t>Agent 08</t>
        </is>
      </c>
      <c r="I148" s="491" t="n"/>
      <c r="J148" s="499">
        <f>IF(AND(A148&lt;&gt;"",E148&lt;&gt;""),IF(I148="","⚠️ Enter Code",IF(IFERROR(VLOOKUP(H148,DB_Agents!$B:$I,8,0),"")=I148,IF(C148&gt;=E148,"Successful","Unsuccessful"),"🔒 BLOCKED — Wrong Code")),"—")</f>
        <v/>
      </c>
      <c r="K148" s="500">
        <f>IF(J148="Successful",TEXT(TODAY(),"YYYY-MM-DD")&amp;" Auto","—")</f>
        <v/>
      </c>
      <c r="L148" s="501" t="n"/>
    </row>
    <row r="149" ht="15" customHeight="1" s="341">
      <c r="A149" s="486" t="n"/>
      <c r="B149" s="378">
        <f>IF(A149="","",IFERROR(VLOOKUP(A149,DB_Customers!$A:$D,4,0),"❌ Account Not Found"))</f>
        <v/>
      </c>
      <c r="C149" s="487">
        <f>IF(A149="","",IFERROR(VLOOKUP(A149,DB_Customers!$A:$N,14,0),""))</f>
        <v/>
      </c>
      <c r="D149" s="488">
        <f>IF(A149="","",TODAY())</f>
        <v/>
      </c>
      <c r="E149" s="510" t="n"/>
      <c r="F149" s="378" t="n"/>
      <c r="G149" s="511">
        <f>IF(OR(A149="",E149=""),"",IF(C149="","",C149-E149))</f>
        <v/>
      </c>
      <c r="H149" s="380" t="inlineStr">
        <is>
          <t>Agent 08</t>
        </is>
      </c>
      <c r="I149" s="491" t="n"/>
      <c r="J149" s="492">
        <f>IF(AND(A149&lt;&gt;"",E149&lt;&gt;""),IF(I149="","⚠️ Enter Code",IF(IFERROR(VLOOKUP(H149,DB_Agents!$B:$I,8,0),"")=I149,IF(C149&gt;=E149,"Successful","Unsuccessful"),"🔒 BLOCKED — Wrong Code")),"—")</f>
        <v/>
      </c>
      <c r="K149" s="493">
        <f>IF(J149="Successful",TEXT(TODAY(),"YYYY-MM-DD")&amp;" Auto","—")</f>
        <v/>
      </c>
      <c r="L149" s="494" t="n"/>
    </row>
    <row r="150" ht="15" customHeight="1" s="341">
      <c r="A150" s="495" t="n"/>
      <c r="B150" s="382">
        <f>IF(A150="","",IFERROR(VLOOKUP(A150,DB_Customers!$A:$D,4,0),"❌ Account Not Found"))</f>
        <v/>
      </c>
      <c r="C150" s="496">
        <f>IF(A150="","",IFERROR(VLOOKUP(A150,DB_Customers!$A:$N,14,0),""))</f>
        <v/>
      </c>
      <c r="D150" s="497">
        <f>IF(A150="","",TODAY())</f>
        <v/>
      </c>
      <c r="E150" s="510" t="n"/>
      <c r="F150" s="382" t="n"/>
      <c r="G150" s="512">
        <f>IF(OR(A150="",E150=""),"",IF(C150="","",C150-E150))</f>
        <v/>
      </c>
      <c r="H150" s="384" t="inlineStr">
        <is>
          <t>Agent 08</t>
        </is>
      </c>
      <c r="I150" s="491" t="n"/>
      <c r="J150" s="499">
        <f>IF(AND(A150&lt;&gt;"",E150&lt;&gt;""),IF(I150="","⚠️ Enter Code",IF(IFERROR(VLOOKUP(H150,DB_Agents!$B:$I,8,0),"")=I150,IF(C150&gt;=E150,"Successful","Unsuccessful"),"🔒 BLOCKED — Wrong Code")),"—")</f>
        <v/>
      </c>
      <c r="K150" s="500">
        <f>IF(J150="Successful",TEXT(TODAY(),"YYYY-MM-DD")&amp;" Auto","—")</f>
        <v/>
      </c>
      <c r="L150" s="501" t="n"/>
    </row>
    <row r="151" ht="15" customHeight="1" s="341">
      <c r="A151" s="486" t="n"/>
      <c r="B151" s="378">
        <f>IF(A151="","",IFERROR(VLOOKUP(A151,DB_Customers!$A:$D,4,0),"❌ Account Not Found"))</f>
        <v/>
      </c>
      <c r="C151" s="487">
        <f>IF(A151="","",IFERROR(VLOOKUP(A151,DB_Customers!$A:$N,14,0),""))</f>
        <v/>
      </c>
      <c r="D151" s="488">
        <f>IF(A151="","",TODAY())</f>
        <v/>
      </c>
      <c r="E151" s="510" t="n"/>
      <c r="F151" s="378" t="n"/>
      <c r="G151" s="511">
        <f>IF(OR(A151="",E151=""),"",IF(C151="","",C151-E151))</f>
        <v/>
      </c>
      <c r="H151" s="380" t="inlineStr">
        <is>
          <t>Agent 08</t>
        </is>
      </c>
      <c r="I151" s="491" t="n"/>
      <c r="J151" s="492">
        <f>IF(AND(A151&lt;&gt;"",E151&lt;&gt;""),IF(I151="","⚠️ Enter Code",IF(IFERROR(VLOOKUP(H151,DB_Agents!$B:$I,8,0),"")=I151,IF(C151&gt;=E151,"Successful","Unsuccessful"),"🔒 BLOCKED — Wrong Code")),"—")</f>
        <v/>
      </c>
      <c r="K151" s="493">
        <f>IF(J151="Successful",TEXT(TODAY(),"YYYY-MM-DD")&amp;" Auto","—")</f>
        <v/>
      </c>
      <c r="L151" s="494" t="n"/>
    </row>
    <row r="152" ht="15" customHeight="1" s="341">
      <c r="A152" s="495" t="n"/>
      <c r="B152" s="382">
        <f>IF(A152="","",IFERROR(VLOOKUP(A152,DB_Customers!$A:$D,4,0),"❌ Account Not Found"))</f>
        <v/>
      </c>
      <c r="C152" s="496">
        <f>IF(A152="","",IFERROR(VLOOKUP(A152,DB_Customers!$A:$N,14,0),""))</f>
        <v/>
      </c>
      <c r="D152" s="497">
        <f>IF(A152="","",TODAY())</f>
        <v/>
      </c>
      <c r="E152" s="510" t="n"/>
      <c r="F152" s="382" t="n"/>
      <c r="G152" s="512">
        <f>IF(OR(A152="",E152=""),"",IF(C152="","",C152-E152))</f>
        <v/>
      </c>
      <c r="H152" s="384" t="inlineStr">
        <is>
          <t>Agent 08</t>
        </is>
      </c>
      <c r="I152" s="491" t="n"/>
      <c r="J152" s="499">
        <f>IF(AND(A152&lt;&gt;"",E152&lt;&gt;""),IF(I152="","⚠️ Enter Code",IF(IFERROR(VLOOKUP(H152,DB_Agents!$B:$I,8,0),"")=I152,IF(C152&gt;=E152,"Successful","Unsuccessful"),"🔒 BLOCKED — Wrong Code")),"—")</f>
        <v/>
      </c>
      <c r="K152" s="500">
        <f>IF(J152="Successful",TEXT(TODAY(),"YYYY-MM-DD")&amp;" Auto","—")</f>
        <v/>
      </c>
      <c r="L152" s="501" t="n"/>
    </row>
    <row r="153" ht="15" customHeight="1" s="341">
      <c r="A153" s="486" t="n"/>
      <c r="B153" s="378">
        <f>IF(A153="","",IFERROR(VLOOKUP(A153,DB_Customers!$A:$D,4,0),"❌ Account Not Found"))</f>
        <v/>
      </c>
      <c r="C153" s="487">
        <f>IF(A153="","",IFERROR(VLOOKUP(A153,DB_Customers!$A:$N,14,0),""))</f>
        <v/>
      </c>
      <c r="D153" s="488">
        <f>IF(A153="","",TODAY())</f>
        <v/>
      </c>
      <c r="E153" s="510" t="n"/>
      <c r="F153" s="378" t="n"/>
      <c r="G153" s="511">
        <f>IF(OR(A153="",E153=""),"",IF(C153="","",C153-E153))</f>
        <v/>
      </c>
      <c r="H153" s="380" t="inlineStr">
        <is>
          <t>Agent 08</t>
        </is>
      </c>
      <c r="I153" s="491" t="n"/>
      <c r="J153" s="492">
        <f>IF(AND(A153&lt;&gt;"",E153&lt;&gt;""),IF(I153="","⚠️ Enter Code",IF(IFERROR(VLOOKUP(H153,DB_Agents!$B:$I,8,0),"")=I153,IF(C153&gt;=E153,"Successful","Unsuccessful"),"🔒 BLOCKED — Wrong Code")),"—")</f>
        <v/>
      </c>
      <c r="K153" s="493">
        <f>IF(J153="Successful",TEXT(TODAY(),"YYYY-MM-DD")&amp;" Auto","—")</f>
        <v/>
      </c>
      <c r="L153" s="494" t="n"/>
    </row>
    <row r="154" ht="15" customHeight="1" s="341">
      <c r="A154" s="495" t="n"/>
      <c r="B154" s="382">
        <f>IF(A154="","",IFERROR(VLOOKUP(A154,DB_Customers!$A:$D,4,0),"❌ Account Not Found"))</f>
        <v/>
      </c>
      <c r="C154" s="496">
        <f>IF(A154="","",IFERROR(VLOOKUP(A154,DB_Customers!$A:$N,14,0),""))</f>
        <v/>
      </c>
      <c r="D154" s="497">
        <f>IF(A154="","",TODAY())</f>
        <v/>
      </c>
      <c r="E154" s="510" t="n"/>
      <c r="F154" s="382" t="n"/>
      <c r="G154" s="512">
        <f>IF(OR(A154="",E154=""),"",IF(C154="","",C154-E154))</f>
        <v/>
      </c>
      <c r="H154" s="384" t="inlineStr">
        <is>
          <t>Agent 08</t>
        </is>
      </c>
      <c r="I154" s="491" t="n"/>
      <c r="J154" s="499">
        <f>IF(AND(A154&lt;&gt;"",E154&lt;&gt;""),IF(I154="","⚠️ Enter Code",IF(IFERROR(VLOOKUP(H154,DB_Agents!$B:$I,8,0),"")=I154,IF(C154&gt;=E154,"Successful","Unsuccessful"),"🔒 BLOCKED — Wrong Code")),"—")</f>
        <v/>
      </c>
      <c r="K154" s="500">
        <f>IF(J154="Successful",TEXT(TODAY(),"YYYY-MM-DD")&amp;" Auto","—")</f>
        <v/>
      </c>
      <c r="L154" s="501" t="n"/>
    </row>
    <row r="155" ht="15" customHeight="1" s="341">
      <c r="A155" s="486" t="n"/>
      <c r="B155" s="378">
        <f>IF(A155="","",IFERROR(VLOOKUP(A155,DB_Customers!$A:$D,4,0),"❌ Account Not Found"))</f>
        <v/>
      </c>
      <c r="C155" s="487">
        <f>IF(A155="","",IFERROR(VLOOKUP(A155,DB_Customers!$A:$N,14,0),""))</f>
        <v/>
      </c>
      <c r="D155" s="488">
        <f>IF(A155="","",TODAY())</f>
        <v/>
      </c>
      <c r="E155" s="510" t="n"/>
      <c r="F155" s="378" t="n"/>
      <c r="G155" s="511">
        <f>IF(OR(A155="",E155=""),"",IF(C155="","",C155-E155))</f>
        <v/>
      </c>
      <c r="H155" s="380" t="inlineStr">
        <is>
          <t>Agent 08</t>
        </is>
      </c>
      <c r="I155" s="491" t="n"/>
      <c r="J155" s="492">
        <f>IF(AND(A155&lt;&gt;"",E155&lt;&gt;""),IF(I155="","⚠️ Enter Code",IF(IFERROR(VLOOKUP(H155,DB_Agents!$B:$I,8,0),"")=I155,IF(C155&gt;=E155,"Successful","Unsuccessful"),"🔒 BLOCKED — Wrong Code")),"—")</f>
        <v/>
      </c>
      <c r="K155" s="493">
        <f>IF(J155="Successful",TEXT(TODAY(),"YYYY-MM-DD")&amp;" Auto","—")</f>
        <v/>
      </c>
      <c r="L155" s="494" t="n"/>
    </row>
    <row r="156" ht="15" customHeight="1" s="341">
      <c r="A156" s="495" t="n"/>
      <c r="B156" s="382">
        <f>IF(A156="","",IFERROR(VLOOKUP(A156,DB_Customers!$A:$D,4,0),"❌ Account Not Found"))</f>
        <v/>
      </c>
      <c r="C156" s="496">
        <f>IF(A156="","",IFERROR(VLOOKUP(A156,DB_Customers!$A:$N,14,0),""))</f>
        <v/>
      </c>
      <c r="D156" s="497">
        <f>IF(A156="","",TODAY())</f>
        <v/>
      </c>
      <c r="E156" s="510" t="n"/>
      <c r="F156" s="382" t="n"/>
      <c r="G156" s="512">
        <f>IF(OR(A156="",E156=""),"",IF(C156="","",C156-E156))</f>
        <v/>
      </c>
      <c r="H156" s="384" t="inlineStr">
        <is>
          <t>Agent 08</t>
        </is>
      </c>
      <c r="I156" s="491" t="n"/>
      <c r="J156" s="499">
        <f>IF(AND(A156&lt;&gt;"",E156&lt;&gt;""),IF(I156="","⚠️ Enter Code",IF(IFERROR(VLOOKUP(H156,DB_Agents!$B:$I,8,0),"")=I156,IF(C156&gt;=E156,"Successful","Unsuccessful"),"🔒 BLOCKED — Wrong Code")),"—")</f>
        <v/>
      </c>
      <c r="K156" s="500">
        <f>IF(J156="Successful",TEXT(TODAY(),"YYYY-MM-DD")&amp;" Auto","—")</f>
        <v/>
      </c>
      <c r="L156" s="501" t="n"/>
    </row>
    <row r="157" ht="15" customHeight="1" s="341">
      <c r="A157" s="486" t="n"/>
      <c r="B157" s="378">
        <f>IF(A157="","",IFERROR(VLOOKUP(A157,DB_Customers!$A:$D,4,0),"❌ Account Not Found"))</f>
        <v/>
      </c>
      <c r="C157" s="487">
        <f>IF(A157="","",IFERROR(VLOOKUP(A157,DB_Customers!$A:$N,14,0),""))</f>
        <v/>
      </c>
      <c r="D157" s="488">
        <f>IF(A157="","",TODAY())</f>
        <v/>
      </c>
      <c r="E157" s="510" t="n"/>
      <c r="F157" s="378" t="n"/>
      <c r="G157" s="511">
        <f>IF(OR(A157="",E157=""),"",IF(C157="","",C157-E157))</f>
        <v/>
      </c>
      <c r="H157" s="380" t="inlineStr">
        <is>
          <t>Agent 08</t>
        </is>
      </c>
      <c r="I157" s="491" t="n"/>
      <c r="J157" s="492">
        <f>IF(AND(A157&lt;&gt;"",E157&lt;&gt;""),IF(I157="","⚠️ Enter Code",IF(IFERROR(VLOOKUP(H157,DB_Agents!$B:$I,8,0),"")=I157,IF(C157&gt;=E157,"Successful","Unsuccessful"),"🔒 BLOCKED — Wrong Code")),"—")</f>
        <v/>
      </c>
      <c r="K157" s="493">
        <f>IF(J157="Successful",TEXT(TODAY(),"YYYY-MM-DD")&amp;" Auto","—")</f>
        <v/>
      </c>
      <c r="L157" s="494" t="n"/>
    </row>
    <row r="158" ht="15" customHeight="1" s="341">
      <c r="A158" s="495" t="n"/>
      <c r="B158" s="382">
        <f>IF(A158="","",IFERROR(VLOOKUP(A158,DB_Customers!$A:$D,4,0),"❌ Account Not Found"))</f>
        <v/>
      </c>
      <c r="C158" s="496">
        <f>IF(A158="","",IFERROR(VLOOKUP(A158,DB_Customers!$A:$N,14,0),""))</f>
        <v/>
      </c>
      <c r="D158" s="497">
        <f>IF(A158="","",TODAY())</f>
        <v/>
      </c>
      <c r="E158" s="510" t="n"/>
      <c r="F158" s="382" t="n"/>
      <c r="G158" s="512">
        <f>IF(OR(A158="",E158=""),"",IF(C158="","",C158-E158))</f>
        <v/>
      </c>
      <c r="H158" s="384" t="inlineStr">
        <is>
          <t>Agent 08</t>
        </is>
      </c>
      <c r="I158" s="491" t="n"/>
      <c r="J158" s="499">
        <f>IF(AND(A158&lt;&gt;"",E158&lt;&gt;""),IF(I158="","⚠️ Enter Code",IF(IFERROR(VLOOKUP(H158,DB_Agents!$B:$I,8,0),"")=I158,IF(C158&gt;=E158,"Successful","Unsuccessful"),"🔒 BLOCKED — Wrong Code")),"—")</f>
        <v/>
      </c>
      <c r="K158" s="500">
        <f>IF(J158="Successful",TEXT(TODAY(),"YYYY-MM-DD")&amp;" Auto","—")</f>
        <v/>
      </c>
      <c r="L158" s="501" t="n"/>
    </row>
    <row r="159" ht="15" customHeight="1" s="341">
      <c r="A159" s="486" t="n"/>
      <c r="B159" s="378">
        <f>IF(A159="","",IFERROR(VLOOKUP(A159,DB_Customers!$A:$D,4,0),"❌ Account Not Found"))</f>
        <v/>
      </c>
      <c r="C159" s="487">
        <f>IF(A159="","",IFERROR(VLOOKUP(A159,DB_Customers!$A:$N,14,0),""))</f>
        <v/>
      </c>
      <c r="D159" s="488">
        <f>IF(A159="","",TODAY())</f>
        <v/>
      </c>
      <c r="E159" s="510" t="n"/>
      <c r="F159" s="378" t="n"/>
      <c r="G159" s="511">
        <f>IF(OR(A159="",E159=""),"",IF(C159="","",C159-E159))</f>
        <v/>
      </c>
      <c r="H159" s="380" t="inlineStr">
        <is>
          <t>Agent 08</t>
        </is>
      </c>
      <c r="I159" s="491" t="n"/>
      <c r="J159" s="492">
        <f>IF(AND(A159&lt;&gt;"",E159&lt;&gt;""),IF(I159="","⚠️ Enter Code",IF(IFERROR(VLOOKUP(H159,DB_Agents!$B:$I,8,0),"")=I159,IF(C159&gt;=E159,"Successful","Unsuccessful"),"🔒 BLOCKED — Wrong Code")),"—")</f>
        <v/>
      </c>
      <c r="K159" s="493">
        <f>IF(J159="Successful",TEXT(TODAY(),"YYYY-MM-DD")&amp;" Auto","—")</f>
        <v/>
      </c>
      <c r="L159" s="494" t="n"/>
    </row>
    <row r="160" ht="15" customHeight="1" s="341">
      <c r="A160" s="495" t="n"/>
      <c r="B160" s="382">
        <f>IF(A160="","",IFERROR(VLOOKUP(A160,DB_Customers!$A:$D,4,0),"❌ Account Not Found"))</f>
        <v/>
      </c>
      <c r="C160" s="496">
        <f>IF(A160="","",IFERROR(VLOOKUP(A160,DB_Customers!$A:$N,14,0),""))</f>
        <v/>
      </c>
      <c r="D160" s="497">
        <f>IF(A160="","",TODAY())</f>
        <v/>
      </c>
      <c r="E160" s="510" t="n"/>
      <c r="F160" s="382" t="n"/>
      <c r="G160" s="512">
        <f>IF(OR(A160="",E160=""),"",IF(C160="","",C160-E160))</f>
        <v/>
      </c>
      <c r="H160" s="384" t="inlineStr">
        <is>
          <t>Agent 08</t>
        </is>
      </c>
      <c r="I160" s="491" t="n"/>
      <c r="J160" s="499">
        <f>IF(AND(A160&lt;&gt;"",E160&lt;&gt;""),IF(I160="","⚠️ Enter Code",IF(IFERROR(VLOOKUP(H160,DB_Agents!$B:$I,8,0),"")=I160,IF(C160&gt;=E160,"Successful","Unsuccessful"),"🔒 BLOCKED — Wrong Code")),"—")</f>
        <v/>
      </c>
      <c r="K160" s="500">
        <f>IF(J160="Successful",TEXT(TODAY(),"YYYY-MM-DD")&amp;" Auto","—")</f>
        <v/>
      </c>
      <c r="L160" s="501" t="n"/>
    </row>
    <row r="161" ht="15" customHeight="1" s="341">
      <c r="A161" s="486" t="n"/>
      <c r="B161" s="378">
        <f>IF(A161="","",IFERROR(VLOOKUP(A161,DB_Customers!$A:$D,4,0),"❌ Account Not Found"))</f>
        <v/>
      </c>
      <c r="C161" s="487">
        <f>IF(A161="","",IFERROR(VLOOKUP(A161,DB_Customers!$A:$N,14,0),""))</f>
        <v/>
      </c>
      <c r="D161" s="488">
        <f>IF(A161="","",TODAY())</f>
        <v/>
      </c>
      <c r="E161" s="510" t="n"/>
      <c r="F161" s="378" t="n"/>
      <c r="G161" s="511">
        <f>IF(OR(A161="",E161=""),"",IF(C161="","",C161-E161))</f>
        <v/>
      </c>
      <c r="H161" s="380" t="inlineStr">
        <is>
          <t>Agent 08</t>
        </is>
      </c>
      <c r="I161" s="491" t="n"/>
      <c r="J161" s="492">
        <f>IF(AND(A161&lt;&gt;"",E161&lt;&gt;""),IF(I161="","⚠️ Enter Code",IF(IFERROR(VLOOKUP(H161,DB_Agents!$B:$I,8,0),"")=I161,IF(C161&gt;=E161,"Successful","Unsuccessful"),"🔒 BLOCKED — Wrong Code")),"—")</f>
        <v/>
      </c>
      <c r="K161" s="493">
        <f>IF(J161="Successful",TEXT(TODAY(),"YYYY-MM-DD")&amp;" Auto","—")</f>
        <v/>
      </c>
      <c r="L161" s="494" t="n"/>
    </row>
    <row r="162" ht="15" customHeight="1" s="341">
      <c r="A162" s="495" t="n"/>
      <c r="B162" s="382">
        <f>IF(A162="","",IFERROR(VLOOKUP(A162,DB_Customers!$A:$D,4,0),"❌ Account Not Found"))</f>
        <v/>
      </c>
      <c r="C162" s="496">
        <f>IF(A162="","",IFERROR(VLOOKUP(A162,DB_Customers!$A:$N,14,0),""))</f>
        <v/>
      </c>
      <c r="D162" s="497">
        <f>IF(A162="","",TODAY())</f>
        <v/>
      </c>
      <c r="E162" s="510" t="n"/>
      <c r="F162" s="382" t="n"/>
      <c r="G162" s="512">
        <f>IF(OR(A162="",E162=""),"",IF(C162="","",C162-E162))</f>
        <v/>
      </c>
      <c r="H162" s="384" t="inlineStr">
        <is>
          <t>Agent 08</t>
        </is>
      </c>
      <c r="I162" s="491" t="n"/>
      <c r="J162" s="499">
        <f>IF(AND(A162&lt;&gt;"",E162&lt;&gt;""),IF(I162="","⚠️ Enter Code",IF(IFERROR(VLOOKUP(H162,DB_Agents!$B:$I,8,0),"")=I162,IF(C162&gt;=E162,"Successful","Unsuccessful"),"🔒 BLOCKED — Wrong Code")),"—")</f>
        <v/>
      </c>
      <c r="K162" s="500">
        <f>IF(J162="Successful",TEXT(TODAY(),"YYYY-MM-DD")&amp;" Auto","—")</f>
        <v/>
      </c>
      <c r="L162" s="501" t="n"/>
    </row>
    <row r="163" ht="15" customHeight="1" s="341">
      <c r="A163" s="486" t="n"/>
      <c r="B163" s="378">
        <f>IF(A163="","",IFERROR(VLOOKUP(A163,DB_Customers!$A:$D,4,0),"❌ Account Not Found"))</f>
        <v/>
      </c>
      <c r="C163" s="487">
        <f>IF(A163="","",IFERROR(VLOOKUP(A163,DB_Customers!$A:$N,14,0),""))</f>
        <v/>
      </c>
      <c r="D163" s="488">
        <f>IF(A163="","",TODAY())</f>
        <v/>
      </c>
      <c r="E163" s="510" t="n"/>
      <c r="F163" s="378" t="n"/>
      <c r="G163" s="511">
        <f>IF(OR(A163="",E163=""),"",IF(C163="","",C163-E163))</f>
        <v/>
      </c>
      <c r="H163" s="380" t="inlineStr">
        <is>
          <t>Agent 08</t>
        </is>
      </c>
      <c r="I163" s="491" t="n"/>
      <c r="J163" s="492">
        <f>IF(AND(A163&lt;&gt;"",E163&lt;&gt;""),IF(I163="","⚠️ Enter Code",IF(IFERROR(VLOOKUP(H163,DB_Agents!$B:$I,8,0),"")=I163,IF(C163&gt;=E163,"Successful","Unsuccessful"),"🔒 BLOCKED — Wrong Code")),"—")</f>
        <v/>
      </c>
      <c r="K163" s="493">
        <f>IF(J163="Successful",TEXT(TODAY(),"YYYY-MM-DD")&amp;" Auto","—")</f>
        <v/>
      </c>
      <c r="L163" s="494" t="n"/>
    </row>
    <row r="164" ht="15" customHeight="1" s="341">
      <c r="A164" s="495" t="n"/>
      <c r="B164" s="382">
        <f>IF(A164="","",IFERROR(VLOOKUP(A164,DB_Customers!$A:$D,4,0),"❌ Account Not Found"))</f>
        <v/>
      </c>
      <c r="C164" s="496">
        <f>IF(A164="","",IFERROR(VLOOKUP(A164,DB_Customers!$A:$N,14,0),""))</f>
        <v/>
      </c>
      <c r="D164" s="497">
        <f>IF(A164="","",TODAY())</f>
        <v/>
      </c>
      <c r="E164" s="510" t="n"/>
      <c r="F164" s="382" t="n"/>
      <c r="G164" s="512">
        <f>IF(OR(A164="",E164=""),"",IF(C164="","",C164-E164))</f>
        <v/>
      </c>
      <c r="H164" s="384" t="inlineStr">
        <is>
          <t>Agent 08</t>
        </is>
      </c>
      <c r="I164" s="491" t="n"/>
      <c r="J164" s="499">
        <f>IF(AND(A164&lt;&gt;"",E164&lt;&gt;""),IF(I164="","⚠️ Enter Code",IF(IFERROR(VLOOKUP(H164,DB_Agents!$B:$I,8,0),"")=I164,IF(C164&gt;=E164,"Successful","Unsuccessful"),"🔒 BLOCKED — Wrong Code")),"—")</f>
        <v/>
      </c>
      <c r="K164" s="500">
        <f>IF(J164="Successful",TEXT(TODAY(),"YYYY-MM-DD")&amp;" Auto","—")</f>
        <v/>
      </c>
      <c r="L164" s="501" t="n"/>
    </row>
    <row r="165" ht="15" customHeight="1" s="341">
      <c r="A165" s="486" t="n"/>
      <c r="B165" s="378">
        <f>IF(A165="","",IFERROR(VLOOKUP(A165,DB_Customers!$A:$D,4,0),"❌ Account Not Found"))</f>
        <v/>
      </c>
      <c r="C165" s="487">
        <f>IF(A165="","",IFERROR(VLOOKUP(A165,DB_Customers!$A:$N,14,0),""))</f>
        <v/>
      </c>
      <c r="D165" s="488">
        <f>IF(A165="","",TODAY())</f>
        <v/>
      </c>
      <c r="E165" s="510" t="n"/>
      <c r="F165" s="378" t="n"/>
      <c r="G165" s="511">
        <f>IF(OR(A165="",E165=""),"",IF(C165="","",C165-E165))</f>
        <v/>
      </c>
      <c r="H165" s="380" t="inlineStr">
        <is>
          <t>Agent 08</t>
        </is>
      </c>
      <c r="I165" s="491" t="n"/>
      <c r="J165" s="492">
        <f>IF(AND(A165&lt;&gt;"",E165&lt;&gt;""),IF(I165="","⚠️ Enter Code",IF(IFERROR(VLOOKUP(H165,DB_Agents!$B:$I,8,0),"")=I165,IF(C165&gt;=E165,"Successful","Unsuccessful"),"🔒 BLOCKED — Wrong Code")),"—")</f>
        <v/>
      </c>
      <c r="K165" s="493">
        <f>IF(J165="Successful",TEXT(TODAY(),"YYYY-MM-DD")&amp;" Auto","—")</f>
        <v/>
      </c>
      <c r="L165" s="494" t="n"/>
    </row>
    <row r="166" ht="15" customHeight="1" s="341">
      <c r="A166" s="495" t="n"/>
      <c r="B166" s="382">
        <f>IF(A166="","",IFERROR(VLOOKUP(A166,DB_Customers!$A:$D,4,0),"❌ Account Not Found"))</f>
        <v/>
      </c>
      <c r="C166" s="496">
        <f>IF(A166="","",IFERROR(VLOOKUP(A166,DB_Customers!$A:$N,14,0),""))</f>
        <v/>
      </c>
      <c r="D166" s="497">
        <f>IF(A166="","",TODAY())</f>
        <v/>
      </c>
      <c r="E166" s="510" t="n"/>
      <c r="F166" s="382" t="n"/>
      <c r="G166" s="512">
        <f>IF(OR(A166="",E166=""),"",IF(C166="","",C166-E166))</f>
        <v/>
      </c>
      <c r="H166" s="384" t="inlineStr">
        <is>
          <t>Agent 08</t>
        </is>
      </c>
      <c r="I166" s="491" t="n"/>
      <c r="J166" s="499">
        <f>IF(AND(A166&lt;&gt;"",E166&lt;&gt;""),IF(I166="","⚠️ Enter Code",IF(IFERROR(VLOOKUP(H166,DB_Agents!$B:$I,8,0),"")=I166,IF(C166&gt;=E166,"Successful","Unsuccessful"),"🔒 BLOCKED — Wrong Code")),"—")</f>
        <v/>
      </c>
      <c r="K166" s="500">
        <f>IF(J166="Successful",TEXT(TODAY(),"YYYY-MM-DD")&amp;" Auto","—")</f>
        <v/>
      </c>
      <c r="L166" s="501" t="n"/>
    </row>
    <row r="167" ht="15" customHeight="1" s="341">
      <c r="A167" s="486" t="n"/>
      <c r="B167" s="378">
        <f>IF(A167="","",IFERROR(VLOOKUP(A167,DB_Customers!$A:$D,4,0),"❌ Account Not Found"))</f>
        <v/>
      </c>
      <c r="C167" s="487">
        <f>IF(A167="","",IFERROR(VLOOKUP(A167,DB_Customers!$A:$N,14,0),""))</f>
        <v/>
      </c>
      <c r="D167" s="488">
        <f>IF(A167="","",TODAY())</f>
        <v/>
      </c>
      <c r="E167" s="510" t="n"/>
      <c r="F167" s="378" t="n"/>
      <c r="G167" s="511">
        <f>IF(OR(A167="",E167=""),"",IF(C167="","",C167-E167))</f>
        <v/>
      </c>
      <c r="H167" s="380" t="inlineStr">
        <is>
          <t>Agent 08</t>
        </is>
      </c>
      <c r="I167" s="491" t="n"/>
      <c r="J167" s="492">
        <f>IF(AND(A167&lt;&gt;"",E167&lt;&gt;""),IF(I167="","⚠️ Enter Code",IF(IFERROR(VLOOKUP(H167,DB_Agents!$B:$I,8,0),"")=I167,IF(C167&gt;=E167,"Successful","Unsuccessful"),"🔒 BLOCKED — Wrong Code")),"—")</f>
        <v/>
      </c>
      <c r="K167" s="493">
        <f>IF(J167="Successful",TEXT(TODAY(),"YYYY-MM-DD")&amp;" Auto","—")</f>
        <v/>
      </c>
      <c r="L167" s="494" t="n"/>
    </row>
    <row r="168" ht="15" customHeight="1" s="341">
      <c r="A168" s="495" t="n"/>
      <c r="B168" s="382">
        <f>IF(A168="","",IFERROR(VLOOKUP(A168,DB_Customers!$A:$D,4,0),"❌ Account Not Found"))</f>
        <v/>
      </c>
      <c r="C168" s="496">
        <f>IF(A168="","",IFERROR(VLOOKUP(A168,DB_Customers!$A:$N,14,0),""))</f>
        <v/>
      </c>
      <c r="D168" s="497">
        <f>IF(A168="","",TODAY())</f>
        <v/>
      </c>
      <c r="E168" s="510" t="n"/>
      <c r="F168" s="382" t="n"/>
      <c r="G168" s="512">
        <f>IF(OR(A168="",E168=""),"",IF(C168="","",C168-E168))</f>
        <v/>
      </c>
      <c r="H168" s="384" t="inlineStr">
        <is>
          <t>Agent 08</t>
        </is>
      </c>
      <c r="I168" s="491" t="n"/>
      <c r="J168" s="499">
        <f>IF(AND(A168&lt;&gt;"",E168&lt;&gt;""),IF(I168="","⚠️ Enter Code",IF(IFERROR(VLOOKUP(H168,DB_Agents!$B:$I,8,0),"")=I168,IF(C168&gt;=E168,"Successful","Unsuccessful"),"🔒 BLOCKED — Wrong Code")),"—")</f>
        <v/>
      </c>
      <c r="K168" s="500">
        <f>IF(J168="Successful",TEXT(TODAY(),"YYYY-MM-DD")&amp;" Auto","—")</f>
        <v/>
      </c>
      <c r="L168" s="501" t="n"/>
    </row>
    <row r="169" ht="15" customHeight="1" s="341">
      <c r="A169" s="486" t="n"/>
      <c r="B169" s="378">
        <f>IF(A169="","",IFERROR(VLOOKUP(A169,DB_Customers!$A:$D,4,0),"❌ Account Not Found"))</f>
        <v/>
      </c>
      <c r="C169" s="487">
        <f>IF(A169="","",IFERROR(VLOOKUP(A169,DB_Customers!$A:$N,14,0),""))</f>
        <v/>
      </c>
      <c r="D169" s="488">
        <f>IF(A169="","",TODAY())</f>
        <v/>
      </c>
      <c r="E169" s="510" t="n"/>
      <c r="F169" s="378" t="n"/>
      <c r="G169" s="511">
        <f>IF(OR(A169="",E169=""),"",IF(C169="","",C169-E169))</f>
        <v/>
      </c>
      <c r="H169" s="380" t="inlineStr">
        <is>
          <t>Agent 08</t>
        </is>
      </c>
      <c r="I169" s="491" t="n"/>
      <c r="J169" s="492">
        <f>IF(AND(A169&lt;&gt;"",E169&lt;&gt;""),IF(I169="","⚠️ Enter Code",IF(IFERROR(VLOOKUP(H169,DB_Agents!$B:$I,8,0),"")=I169,IF(C169&gt;=E169,"Successful","Unsuccessful"),"🔒 BLOCKED — Wrong Code")),"—")</f>
        <v/>
      </c>
      <c r="K169" s="493">
        <f>IF(J169="Successful",TEXT(TODAY(),"YYYY-MM-DD")&amp;" Auto","—")</f>
        <v/>
      </c>
      <c r="L169" s="494" t="n"/>
    </row>
    <row r="170" ht="15" customHeight="1" s="341">
      <c r="A170" s="495" t="n"/>
      <c r="B170" s="382">
        <f>IF(A170="","",IFERROR(VLOOKUP(A170,DB_Customers!$A:$D,4,0),"❌ Account Not Found"))</f>
        <v/>
      </c>
      <c r="C170" s="496">
        <f>IF(A170="","",IFERROR(VLOOKUP(A170,DB_Customers!$A:$N,14,0),""))</f>
        <v/>
      </c>
      <c r="D170" s="497">
        <f>IF(A170="","",TODAY())</f>
        <v/>
      </c>
      <c r="E170" s="510" t="n"/>
      <c r="F170" s="382" t="n"/>
      <c r="G170" s="512">
        <f>IF(OR(A170="",E170=""),"",IF(C170="","",C170-E170))</f>
        <v/>
      </c>
      <c r="H170" s="384" t="inlineStr">
        <is>
          <t>Agent 08</t>
        </is>
      </c>
      <c r="I170" s="491" t="n"/>
      <c r="J170" s="499">
        <f>IF(AND(A170&lt;&gt;"",E170&lt;&gt;""),IF(I170="","⚠️ Enter Code",IF(IFERROR(VLOOKUP(H170,DB_Agents!$B:$I,8,0),"")=I170,IF(C170&gt;=E170,"Successful","Unsuccessful"),"🔒 BLOCKED — Wrong Code")),"—")</f>
        <v/>
      </c>
      <c r="K170" s="500">
        <f>IF(J170="Successful",TEXT(TODAY(),"YYYY-MM-DD")&amp;" Auto","—")</f>
        <v/>
      </c>
      <c r="L170" s="501" t="n"/>
    </row>
    <row r="171" ht="15" customHeight="1" s="341">
      <c r="A171" s="486" t="n"/>
      <c r="B171" s="378">
        <f>IF(A171="","",IFERROR(VLOOKUP(A171,DB_Customers!$A:$D,4,0),"❌ Account Not Found"))</f>
        <v/>
      </c>
      <c r="C171" s="487">
        <f>IF(A171="","",IFERROR(VLOOKUP(A171,DB_Customers!$A:$N,14,0),""))</f>
        <v/>
      </c>
      <c r="D171" s="488">
        <f>IF(A171="","",TODAY())</f>
        <v/>
      </c>
      <c r="E171" s="510" t="n"/>
      <c r="F171" s="378" t="n"/>
      <c r="G171" s="511">
        <f>IF(OR(A171="",E171=""),"",IF(C171="","",C171-E171))</f>
        <v/>
      </c>
      <c r="H171" s="380" t="inlineStr">
        <is>
          <t>Agent 08</t>
        </is>
      </c>
      <c r="I171" s="491" t="n"/>
      <c r="J171" s="492">
        <f>IF(AND(A171&lt;&gt;"",E171&lt;&gt;""),IF(I171="","⚠️ Enter Code",IF(IFERROR(VLOOKUP(H171,DB_Agents!$B:$I,8,0),"")=I171,IF(C171&gt;=E171,"Successful","Unsuccessful"),"🔒 BLOCKED — Wrong Code")),"—")</f>
        <v/>
      </c>
      <c r="K171" s="493">
        <f>IF(J171="Successful",TEXT(TODAY(),"YYYY-MM-DD")&amp;" Auto","—")</f>
        <v/>
      </c>
      <c r="L171" s="494" t="n"/>
    </row>
    <row r="172" ht="15" customHeight="1" s="341">
      <c r="A172" s="495" t="n"/>
      <c r="B172" s="382">
        <f>IF(A172="","",IFERROR(VLOOKUP(A172,DB_Customers!$A:$D,4,0),"❌ Account Not Found"))</f>
        <v/>
      </c>
      <c r="C172" s="496">
        <f>IF(A172="","",IFERROR(VLOOKUP(A172,DB_Customers!$A:$N,14,0),""))</f>
        <v/>
      </c>
      <c r="D172" s="497">
        <f>IF(A172="","",TODAY())</f>
        <v/>
      </c>
      <c r="E172" s="510" t="n"/>
      <c r="F172" s="382" t="n"/>
      <c r="G172" s="512">
        <f>IF(OR(A172="",E172=""),"",IF(C172="","",C172-E172))</f>
        <v/>
      </c>
      <c r="H172" s="384" t="inlineStr">
        <is>
          <t>Agent 08</t>
        </is>
      </c>
      <c r="I172" s="491" t="n"/>
      <c r="J172" s="499">
        <f>IF(AND(A172&lt;&gt;"",E172&lt;&gt;""),IF(I172="","⚠️ Enter Code",IF(IFERROR(VLOOKUP(H172,DB_Agents!$B:$I,8,0),"")=I172,IF(C172&gt;=E172,"Successful","Unsuccessful"),"🔒 BLOCKED — Wrong Code")),"—")</f>
        <v/>
      </c>
      <c r="K172" s="500">
        <f>IF(J172="Successful",TEXT(TODAY(),"YYYY-MM-DD")&amp;" Auto","—")</f>
        <v/>
      </c>
      <c r="L172" s="501" t="n"/>
    </row>
    <row r="173" ht="15" customHeight="1" s="341">
      <c r="A173" s="486" t="n"/>
      <c r="B173" s="378">
        <f>IF(A173="","",IFERROR(VLOOKUP(A173,DB_Customers!$A:$D,4,0),"❌ Account Not Found"))</f>
        <v/>
      </c>
      <c r="C173" s="487">
        <f>IF(A173="","",IFERROR(VLOOKUP(A173,DB_Customers!$A:$N,14,0),""))</f>
        <v/>
      </c>
      <c r="D173" s="488">
        <f>IF(A173="","",TODAY())</f>
        <v/>
      </c>
      <c r="E173" s="510" t="n"/>
      <c r="F173" s="378" t="n"/>
      <c r="G173" s="511">
        <f>IF(OR(A173="",E173=""),"",IF(C173="","",C173-E173))</f>
        <v/>
      </c>
      <c r="H173" s="380" t="inlineStr">
        <is>
          <t>Agent 08</t>
        </is>
      </c>
      <c r="I173" s="491" t="n"/>
      <c r="J173" s="492">
        <f>IF(AND(A173&lt;&gt;"",E173&lt;&gt;""),IF(I173="","⚠️ Enter Code",IF(IFERROR(VLOOKUP(H173,DB_Agents!$B:$I,8,0),"")=I173,IF(C173&gt;=E173,"Successful","Unsuccessful"),"🔒 BLOCKED — Wrong Code")),"—")</f>
        <v/>
      </c>
      <c r="K173" s="493">
        <f>IF(J173="Successful",TEXT(TODAY(),"YYYY-MM-DD")&amp;" Auto","—")</f>
        <v/>
      </c>
      <c r="L173" s="494" t="n"/>
    </row>
    <row r="174" ht="15" customHeight="1" s="341">
      <c r="A174" s="495" t="n"/>
      <c r="B174" s="382">
        <f>IF(A174="","",IFERROR(VLOOKUP(A174,DB_Customers!$A:$D,4,0),"❌ Account Not Found"))</f>
        <v/>
      </c>
      <c r="C174" s="496">
        <f>IF(A174="","",IFERROR(VLOOKUP(A174,DB_Customers!$A:$N,14,0),""))</f>
        <v/>
      </c>
      <c r="D174" s="497">
        <f>IF(A174="","",TODAY())</f>
        <v/>
      </c>
      <c r="E174" s="510" t="n"/>
      <c r="F174" s="382" t="n"/>
      <c r="G174" s="512">
        <f>IF(OR(A174="",E174=""),"",IF(C174="","",C174-E174))</f>
        <v/>
      </c>
      <c r="H174" s="384" t="inlineStr">
        <is>
          <t>Agent 08</t>
        </is>
      </c>
      <c r="I174" s="491" t="n"/>
      <c r="J174" s="499">
        <f>IF(AND(A174&lt;&gt;"",E174&lt;&gt;""),IF(I174="","⚠️ Enter Code",IF(IFERROR(VLOOKUP(H174,DB_Agents!$B:$I,8,0),"")=I174,IF(C174&gt;=E174,"Successful","Unsuccessful"),"🔒 BLOCKED — Wrong Code")),"—")</f>
        <v/>
      </c>
      <c r="K174" s="500">
        <f>IF(J174="Successful",TEXT(TODAY(),"YYYY-MM-DD")&amp;" Auto","—")</f>
        <v/>
      </c>
      <c r="L174" s="501" t="n"/>
    </row>
    <row r="175" ht="15" customHeight="1" s="341">
      <c r="A175" s="486" t="n"/>
      <c r="B175" s="378">
        <f>IF(A175="","",IFERROR(VLOOKUP(A175,DB_Customers!$A:$D,4,0),"❌ Account Not Found"))</f>
        <v/>
      </c>
      <c r="C175" s="487">
        <f>IF(A175="","",IFERROR(VLOOKUP(A175,DB_Customers!$A:$N,14,0),""))</f>
        <v/>
      </c>
      <c r="D175" s="488">
        <f>IF(A175="","",TODAY())</f>
        <v/>
      </c>
      <c r="E175" s="510" t="n"/>
      <c r="F175" s="378" t="n"/>
      <c r="G175" s="511">
        <f>IF(OR(A175="",E175=""),"",IF(C175="","",C175-E175))</f>
        <v/>
      </c>
      <c r="H175" s="380" t="inlineStr">
        <is>
          <t>Agent 08</t>
        </is>
      </c>
      <c r="I175" s="491" t="n"/>
      <c r="J175" s="492">
        <f>IF(AND(A175&lt;&gt;"",E175&lt;&gt;""),IF(I175="","⚠️ Enter Code",IF(IFERROR(VLOOKUP(H175,DB_Agents!$B:$I,8,0),"")=I175,IF(C175&gt;=E175,"Successful","Unsuccessful"),"🔒 BLOCKED — Wrong Code")),"—")</f>
        <v/>
      </c>
      <c r="K175" s="493">
        <f>IF(J175="Successful",TEXT(TODAY(),"YYYY-MM-DD")&amp;" Auto","—")</f>
        <v/>
      </c>
      <c r="L175" s="494" t="n"/>
    </row>
    <row r="176" ht="15" customHeight="1" s="341">
      <c r="A176" s="495" t="n"/>
      <c r="B176" s="382">
        <f>IF(A176="","",IFERROR(VLOOKUP(A176,DB_Customers!$A:$D,4,0),"❌ Account Not Found"))</f>
        <v/>
      </c>
      <c r="C176" s="496">
        <f>IF(A176="","",IFERROR(VLOOKUP(A176,DB_Customers!$A:$N,14,0),""))</f>
        <v/>
      </c>
      <c r="D176" s="497">
        <f>IF(A176="","",TODAY())</f>
        <v/>
      </c>
      <c r="E176" s="510" t="n"/>
      <c r="F176" s="382" t="n"/>
      <c r="G176" s="512">
        <f>IF(OR(A176="",E176=""),"",IF(C176="","",C176-E176))</f>
        <v/>
      </c>
      <c r="H176" s="384" t="inlineStr">
        <is>
          <t>Agent 08</t>
        </is>
      </c>
      <c r="I176" s="491" t="n"/>
      <c r="J176" s="499">
        <f>IF(AND(A176&lt;&gt;"",E176&lt;&gt;""),IF(I176="","⚠️ Enter Code",IF(IFERROR(VLOOKUP(H176,DB_Agents!$B:$I,8,0),"")=I176,IF(C176&gt;=E176,"Successful","Unsuccessful"),"🔒 BLOCKED — Wrong Code")),"—")</f>
        <v/>
      </c>
      <c r="K176" s="500">
        <f>IF(J176="Successful",TEXT(TODAY(),"YYYY-MM-DD")&amp;" Auto","—")</f>
        <v/>
      </c>
      <c r="L176" s="501" t="n"/>
    </row>
    <row r="177" ht="15" customHeight="1" s="341">
      <c r="A177" s="486" t="n"/>
      <c r="B177" s="378">
        <f>IF(A177="","",IFERROR(VLOOKUP(A177,DB_Customers!$A:$D,4,0),"❌ Account Not Found"))</f>
        <v/>
      </c>
      <c r="C177" s="487">
        <f>IF(A177="","",IFERROR(VLOOKUP(A177,DB_Customers!$A:$N,14,0),""))</f>
        <v/>
      </c>
      <c r="D177" s="488">
        <f>IF(A177="","",TODAY())</f>
        <v/>
      </c>
      <c r="E177" s="510" t="n"/>
      <c r="F177" s="378" t="n"/>
      <c r="G177" s="511">
        <f>IF(OR(A177="",E177=""),"",IF(C177="","",C177-E177))</f>
        <v/>
      </c>
      <c r="H177" s="380" t="inlineStr">
        <is>
          <t>Agent 08</t>
        </is>
      </c>
      <c r="I177" s="491" t="n"/>
      <c r="J177" s="492">
        <f>IF(AND(A177&lt;&gt;"",E177&lt;&gt;""),IF(I177="","⚠️ Enter Code",IF(IFERROR(VLOOKUP(H177,DB_Agents!$B:$I,8,0),"")=I177,IF(C177&gt;=E177,"Successful","Unsuccessful"),"🔒 BLOCKED — Wrong Code")),"—")</f>
        <v/>
      </c>
      <c r="K177" s="493">
        <f>IF(J177="Successful",TEXT(TODAY(),"YYYY-MM-DD")&amp;" Auto","—")</f>
        <v/>
      </c>
      <c r="L177" s="494" t="n"/>
    </row>
    <row r="178" ht="15" customHeight="1" s="341">
      <c r="A178" s="495" t="n"/>
      <c r="B178" s="382">
        <f>IF(A178="","",IFERROR(VLOOKUP(A178,DB_Customers!$A:$D,4,0),"❌ Account Not Found"))</f>
        <v/>
      </c>
      <c r="C178" s="496">
        <f>IF(A178="","",IFERROR(VLOOKUP(A178,DB_Customers!$A:$N,14,0),""))</f>
        <v/>
      </c>
      <c r="D178" s="497">
        <f>IF(A178="","",TODAY())</f>
        <v/>
      </c>
      <c r="E178" s="510" t="n"/>
      <c r="F178" s="382" t="n"/>
      <c r="G178" s="512">
        <f>IF(OR(A178="",E178=""),"",IF(C178="","",C178-E178))</f>
        <v/>
      </c>
      <c r="H178" s="384" t="inlineStr">
        <is>
          <t>Agent 08</t>
        </is>
      </c>
      <c r="I178" s="491" t="n"/>
      <c r="J178" s="499">
        <f>IF(AND(A178&lt;&gt;"",E178&lt;&gt;""),IF(I178="","⚠️ Enter Code",IF(IFERROR(VLOOKUP(H178,DB_Agents!$B:$I,8,0),"")=I178,IF(C178&gt;=E178,"Successful","Unsuccessful"),"🔒 BLOCKED — Wrong Code")),"—")</f>
        <v/>
      </c>
      <c r="K178" s="500">
        <f>IF(J178="Successful",TEXT(TODAY(),"YYYY-MM-DD")&amp;" Auto","—")</f>
        <v/>
      </c>
      <c r="L178" s="501" t="n"/>
    </row>
    <row r="179" ht="15" customHeight="1" s="341">
      <c r="A179" s="486" t="n"/>
      <c r="B179" s="378">
        <f>IF(A179="","",IFERROR(VLOOKUP(A179,DB_Customers!$A:$D,4,0),"❌ Account Not Found"))</f>
        <v/>
      </c>
      <c r="C179" s="487">
        <f>IF(A179="","",IFERROR(VLOOKUP(A179,DB_Customers!$A:$N,14,0),""))</f>
        <v/>
      </c>
      <c r="D179" s="488">
        <f>IF(A179="","",TODAY())</f>
        <v/>
      </c>
      <c r="E179" s="510" t="n"/>
      <c r="F179" s="378" t="n"/>
      <c r="G179" s="511">
        <f>IF(OR(A179="",E179=""),"",IF(C179="","",C179-E179))</f>
        <v/>
      </c>
      <c r="H179" s="380" t="inlineStr">
        <is>
          <t>Agent 08</t>
        </is>
      </c>
      <c r="I179" s="491" t="n"/>
      <c r="J179" s="492">
        <f>IF(AND(A179&lt;&gt;"",E179&lt;&gt;""),IF(I179="","⚠️ Enter Code",IF(IFERROR(VLOOKUP(H179,DB_Agents!$B:$I,8,0),"")=I179,IF(C179&gt;=E179,"Successful","Unsuccessful"),"🔒 BLOCKED — Wrong Code")),"—")</f>
        <v/>
      </c>
      <c r="K179" s="493">
        <f>IF(J179="Successful",TEXT(TODAY(),"YYYY-MM-DD")&amp;" Auto","—")</f>
        <v/>
      </c>
      <c r="L179" s="494" t="n"/>
    </row>
    <row r="180" ht="15" customHeight="1" s="341">
      <c r="A180" s="495" t="n"/>
      <c r="B180" s="382">
        <f>IF(A180="","",IFERROR(VLOOKUP(A180,DB_Customers!$A:$D,4,0),"❌ Account Not Found"))</f>
        <v/>
      </c>
      <c r="C180" s="496">
        <f>IF(A180="","",IFERROR(VLOOKUP(A180,DB_Customers!$A:$N,14,0),""))</f>
        <v/>
      </c>
      <c r="D180" s="497">
        <f>IF(A180="","",TODAY())</f>
        <v/>
      </c>
      <c r="E180" s="510" t="n"/>
      <c r="F180" s="382" t="n"/>
      <c r="G180" s="512">
        <f>IF(OR(A180="",E180=""),"",IF(C180="","",C180-E180))</f>
        <v/>
      </c>
      <c r="H180" s="384" t="inlineStr">
        <is>
          <t>Agent 08</t>
        </is>
      </c>
      <c r="I180" s="491" t="n"/>
      <c r="J180" s="499">
        <f>IF(AND(A180&lt;&gt;"",E180&lt;&gt;""),IF(I180="","⚠️ Enter Code",IF(IFERROR(VLOOKUP(H180,DB_Agents!$B:$I,8,0),"")=I180,IF(C180&gt;=E180,"Successful","Unsuccessful"),"🔒 BLOCKED — Wrong Code")),"—")</f>
        <v/>
      </c>
      <c r="K180" s="500">
        <f>IF(J180="Successful",TEXT(TODAY(),"YYYY-MM-DD")&amp;" Auto","—")</f>
        <v/>
      </c>
      <c r="L180" s="501" t="n"/>
    </row>
    <row r="181" ht="15" customHeight="1" s="341">
      <c r="A181" s="486" t="n"/>
      <c r="B181" s="378">
        <f>IF(A181="","",IFERROR(VLOOKUP(A181,DB_Customers!$A:$D,4,0),"❌ Account Not Found"))</f>
        <v/>
      </c>
      <c r="C181" s="487">
        <f>IF(A181="","",IFERROR(VLOOKUP(A181,DB_Customers!$A:$N,14,0),""))</f>
        <v/>
      </c>
      <c r="D181" s="488">
        <f>IF(A181="","",TODAY())</f>
        <v/>
      </c>
      <c r="E181" s="510" t="n"/>
      <c r="F181" s="378" t="n"/>
      <c r="G181" s="511">
        <f>IF(OR(A181="",E181=""),"",IF(C181="","",C181-E181))</f>
        <v/>
      </c>
      <c r="H181" s="380" t="inlineStr">
        <is>
          <t>Agent 08</t>
        </is>
      </c>
      <c r="I181" s="491" t="n"/>
      <c r="J181" s="492">
        <f>IF(AND(A181&lt;&gt;"",E181&lt;&gt;""),IF(I181="","⚠️ Enter Code",IF(IFERROR(VLOOKUP(H181,DB_Agents!$B:$I,8,0),"")=I181,IF(C181&gt;=E181,"Successful","Unsuccessful"),"🔒 BLOCKED — Wrong Code")),"—")</f>
        <v/>
      </c>
      <c r="K181" s="493">
        <f>IF(J181="Successful",TEXT(TODAY(),"YYYY-MM-DD")&amp;" Auto","—")</f>
        <v/>
      </c>
      <c r="L181" s="494" t="n"/>
    </row>
    <row r="182" ht="15" customHeight="1" s="341">
      <c r="A182" s="495" t="n"/>
      <c r="B182" s="382">
        <f>IF(A182="","",IFERROR(VLOOKUP(A182,DB_Customers!$A:$D,4,0),"❌ Account Not Found"))</f>
        <v/>
      </c>
      <c r="C182" s="496">
        <f>IF(A182="","",IFERROR(VLOOKUP(A182,DB_Customers!$A:$N,14,0),""))</f>
        <v/>
      </c>
      <c r="D182" s="497">
        <f>IF(A182="","",TODAY())</f>
        <v/>
      </c>
      <c r="E182" s="510" t="n"/>
      <c r="F182" s="382" t="n"/>
      <c r="G182" s="512">
        <f>IF(OR(A182="",E182=""),"",IF(C182="","",C182-E182))</f>
        <v/>
      </c>
      <c r="H182" s="384" t="inlineStr">
        <is>
          <t>Agent 08</t>
        </is>
      </c>
      <c r="I182" s="491" t="n"/>
      <c r="J182" s="499">
        <f>IF(AND(A182&lt;&gt;"",E182&lt;&gt;""),IF(I182="","⚠️ Enter Code",IF(IFERROR(VLOOKUP(H182,DB_Agents!$B:$I,8,0),"")=I182,IF(C182&gt;=E182,"Successful","Unsuccessful"),"🔒 BLOCKED — Wrong Code")),"—")</f>
        <v/>
      </c>
      <c r="K182" s="500">
        <f>IF(J182="Successful",TEXT(TODAY(),"YYYY-MM-DD")&amp;" Auto","—")</f>
        <v/>
      </c>
      <c r="L182" s="501" t="n"/>
    </row>
    <row r="183" ht="15" customHeight="1" s="341">
      <c r="A183" s="486" t="n"/>
      <c r="B183" s="378">
        <f>IF(A183="","",IFERROR(VLOOKUP(A183,DB_Customers!$A:$D,4,0),"❌ Account Not Found"))</f>
        <v/>
      </c>
      <c r="C183" s="487">
        <f>IF(A183="","",IFERROR(VLOOKUP(A183,DB_Customers!$A:$N,14,0),""))</f>
        <v/>
      </c>
      <c r="D183" s="488">
        <f>IF(A183="","",TODAY())</f>
        <v/>
      </c>
      <c r="E183" s="510" t="n"/>
      <c r="F183" s="378" t="n"/>
      <c r="G183" s="511">
        <f>IF(OR(A183="",E183=""),"",IF(C183="","",C183-E183))</f>
        <v/>
      </c>
      <c r="H183" s="380" t="inlineStr">
        <is>
          <t>Agent 08</t>
        </is>
      </c>
      <c r="I183" s="491" t="n"/>
      <c r="J183" s="492">
        <f>IF(AND(A183&lt;&gt;"",E183&lt;&gt;""),IF(I183="","⚠️ Enter Code",IF(IFERROR(VLOOKUP(H183,DB_Agents!$B:$I,8,0),"")=I183,IF(C183&gt;=E183,"Successful","Unsuccessful"),"🔒 BLOCKED — Wrong Code")),"—")</f>
        <v/>
      </c>
      <c r="K183" s="493">
        <f>IF(J183="Successful",TEXT(TODAY(),"YYYY-MM-DD")&amp;" Auto","—")</f>
        <v/>
      </c>
      <c r="L183" s="494" t="n"/>
    </row>
    <row r="184" ht="15" customHeight="1" s="341">
      <c r="A184" s="495" t="n"/>
      <c r="B184" s="382">
        <f>IF(A184="","",IFERROR(VLOOKUP(A184,DB_Customers!$A:$D,4,0),"❌ Account Not Found"))</f>
        <v/>
      </c>
      <c r="C184" s="496">
        <f>IF(A184="","",IFERROR(VLOOKUP(A184,DB_Customers!$A:$N,14,0),""))</f>
        <v/>
      </c>
      <c r="D184" s="497">
        <f>IF(A184="","",TODAY())</f>
        <v/>
      </c>
      <c r="E184" s="510" t="n"/>
      <c r="F184" s="382" t="n"/>
      <c r="G184" s="512">
        <f>IF(OR(A184="",E184=""),"",IF(C184="","",C184-E184))</f>
        <v/>
      </c>
      <c r="H184" s="384" t="inlineStr">
        <is>
          <t>Agent 08</t>
        </is>
      </c>
      <c r="I184" s="491" t="n"/>
      <c r="J184" s="499">
        <f>IF(AND(A184&lt;&gt;"",E184&lt;&gt;""),IF(I184="","⚠️ Enter Code",IF(IFERROR(VLOOKUP(H184,DB_Agents!$B:$I,8,0),"")=I184,IF(C184&gt;=E184,"Successful","Unsuccessful"),"🔒 BLOCKED — Wrong Code")),"—")</f>
        <v/>
      </c>
      <c r="K184" s="500">
        <f>IF(J184="Successful",TEXT(TODAY(),"YYYY-MM-DD")&amp;" Auto","—")</f>
        <v/>
      </c>
      <c r="L184" s="501" t="n"/>
    </row>
    <row r="185" ht="15" customHeight="1" s="341">
      <c r="A185" s="486" t="n"/>
      <c r="B185" s="378">
        <f>IF(A185="","",IFERROR(VLOOKUP(A185,DB_Customers!$A:$D,4,0),"❌ Account Not Found"))</f>
        <v/>
      </c>
      <c r="C185" s="487">
        <f>IF(A185="","",IFERROR(VLOOKUP(A185,DB_Customers!$A:$N,14,0),""))</f>
        <v/>
      </c>
      <c r="D185" s="488">
        <f>IF(A185="","",TODAY())</f>
        <v/>
      </c>
      <c r="E185" s="510" t="n"/>
      <c r="F185" s="378" t="n"/>
      <c r="G185" s="511">
        <f>IF(OR(A185="",E185=""),"",IF(C185="","",C185-E185))</f>
        <v/>
      </c>
      <c r="H185" s="380" t="inlineStr">
        <is>
          <t>Agent 08</t>
        </is>
      </c>
      <c r="I185" s="491" t="n"/>
      <c r="J185" s="492">
        <f>IF(AND(A185&lt;&gt;"",E185&lt;&gt;""),IF(I185="","⚠️ Enter Code",IF(IFERROR(VLOOKUP(H185,DB_Agents!$B:$I,8,0),"")=I185,IF(C185&gt;=E185,"Successful","Unsuccessful"),"🔒 BLOCKED — Wrong Code")),"—")</f>
        <v/>
      </c>
      <c r="K185" s="493">
        <f>IF(J185="Successful",TEXT(TODAY(),"YYYY-MM-DD")&amp;" Auto","—")</f>
        <v/>
      </c>
      <c r="L185" s="494" t="n"/>
    </row>
    <row r="186" ht="15" customHeight="1" s="341">
      <c r="A186" s="495" t="n"/>
      <c r="B186" s="382">
        <f>IF(A186="","",IFERROR(VLOOKUP(A186,DB_Customers!$A:$D,4,0),"❌ Account Not Found"))</f>
        <v/>
      </c>
      <c r="C186" s="496">
        <f>IF(A186="","",IFERROR(VLOOKUP(A186,DB_Customers!$A:$N,14,0),""))</f>
        <v/>
      </c>
      <c r="D186" s="497">
        <f>IF(A186="","",TODAY())</f>
        <v/>
      </c>
      <c r="E186" s="510" t="n"/>
      <c r="F186" s="382" t="n"/>
      <c r="G186" s="512">
        <f>IF(OR(A186="",E186=""),"",IF(C186="","",C186-E186))</f>
        <v/>
      </c>
      <c r="H186" s="384" t="inlineStr">
        <is>
          <t>Agent 08</t>
        </is>
      </c>
      <c r="I186" s="491" t="n"/>
      <c r="J186" s="499">
        <f>IF(AND(A186&lt;&gt;"",E186&lt;&gt;""),IF(I186="","⚠️ Enter Code",IF(IFERROR(VLOOKUP(H186,DB_Agents!$B:$I,8,0),"")=I186,IF(C186&gt;=E186,"Successful","Unsuccessful"),"🔒 BLOCKED — Wrong Code")),"—")</f>
        <v/>
      </c>
      <c r="K186" s="500">
        <f>IF(J186="Successful",TEXT(TODAY(),"YYYY-MM-DD")&amp;" Auto","—")</f>
        <v/>
      </c>
      <c r="L186" s="501" t="n"/>
    </row>
    <row r="187" ht="15" customHeight="1" s="341">
      <c r="A187" s="486" t="n"/>
      <c r="B187" s="378">
        <f>IF(A187="","",IFERROR(VLOOKUP(A187,DB_Customers!$A:$D,4,0),"❌ Account Not Found"))</f>
        <v/>
      </c>
      <c r="C187" s="487">
        <f>IF(A187="","",IFERROR(VLOOKUP(A187,DB_Customers!$A:$N,14,0),""))</f>
        <v/>
      </c>
      <c r="D187" s="488">
        <f>IF(A187="","",TODAY())</f>
        <v/>
      </c>
      <c r="E187" s="510" t="n"/>
      <c r="F187" s="378" t="n"/>
      <c r="G187" s="511">
        <f>IF(OR(A187="",E187=""),"",IF(C187="","",C187-E187))</f>
        <v/>
      </c>
      <c r="H187" s="380" t="inlineStr">
        <is>
          <t>Agent 08</t>
        </is>
      </c>
      <c r="I187" s="491" t="n"/>
      <c r="J187" s="492">
        <f>IF(AND(A187&lt;&gt;"",E187&lt;&gt;""),IF(I187="","⚠️ Enter Code",IF(IFERROR(VLOOKUP(H187,DB_Agents!$B:$I,8,0),"")=I187,IF(C187&gt;=E187,"Successful","Unsuccessful"),"🔒 BLOCKED — Wrong Code")),"—")</f>
        <v/>
      </c>
      <c r="K187" s="493">
        <f>IF(J187="Successful",TEXT(TODAY(),"YYYY-MM-DD")&amp;" Auto","—")</f>
        <v/>
      </c>
      <c r="L187" s="494" t="n"/>
    </row>
    <row r="188" ht="15" customHeight="1" s="341">
      <c r="A188" s="495" t="n"/>
      <c r="B188" s="382">
        <f>IF(A188="","",IFERROR(VLOOKUP(A188,DB_Customers!$A:$D,4,0),"❌ Account Not Found"))</f>
        <v/>
      </c>
      <c r="C188" s="496">
        <f>IF(A188="","",IFERROR(VLOOKUP(A188,DB_Customers!$A:$N,14,0),""))</f>
        <v/>
      </c>
      <c r="D188" s="497">
        <f>IF(A188="","",TODAY())</f>
        <v/>
      </c>
      <c r="E188" s="510" t="n"/>
      <c r="F188" s="382" t="n"/>
      <c r="G188" s="512">
        <f>IF(OR(A188="",E188=""),"",IF(C188="","",C188-E188))</f>
        <v/>
      </c>
      <c r="H188" s="384" t="inlineStr">
        <is>
          <t>Agent 08</t>
        </is>
      </c>
      <c r="I188" s="491" t="n"/>
      <c r="J188" s="499">
        <f>IF(AND(A188&lt;&gt;"",E188&lt;&gt;""),IF(I188="","⚠️ Enter Code",IF(IFERROR(VLOOKUP(H188,DB_Agents!$B:$I,8,0),"")=I188,IF(C188&gt;=E188,"Successful","Unsuccessful"),"🔒 BLOCKED — Wrong Code")),"—")</f>
        <v/>
      </c>
      <c r="K188" s="500">
        <f>IF(J188="Successful",TEXT(TODAY(),"YYYY-MM-DD")&amp;" Auto","—")</f>
        <v/>
      </c>
      <c r="L188" s="501" t="n"/>
    </row>
    <row r="189" ht="15" customHeight="1" s="341">
      <c r="A189" s="486" t="n"/>
      <c r="B189" s="378">
        <f>IF(A189="","",IFERROR(VLOOKUP(A189,DB_Customers!$A:$D,4,0),"❌ Account Not Found"))</f>
        <v/>
      </c>
      <c r="C189" s="487">
        <f>IF(A189="","",IFERROR(VLOOKUP(A189,DB_Customers!$A:$N,14,0),""))</f>
        <v/>
      </c>
      <c r="D189" s="488">
        <f>IF(A189="","",TODAY())</f>
        <v/>
      </c>
      <c r="E189" s="510" t="n"/>
      <c r="F189" s="378" t="n"/>
      <c r="G189" s="511">
        <f>IF(OR(A189="",E189=""),"",IF(C189="","",C189-E189))</f>
        <v/>
      </c>
      <c r="H189" s="380" t="inlineStr">
        <is>
          <t>Agent 08</t>
        </is>
      </c>
      <c r="I189" s="491" t="n"/>
      <c r="J189" s="492">
        <f>IF(AND(A189&lt;&gt;"",E189&lt;&gt;""),IF(I189="","⚠️ Enter Code",IF(IFERROR(VLOOKUP(H189,DB_Agents!$B:$I,8,0),"")=I189,IF(C189&gt;=E189,"Successful","Unsuccessful"),"🔒 BLOCKED — Wrong Code")),"—")</f>
        <v/>
      </c>
      <c r="K189" s="493">
        <f>IF(J189="Successful",TEXT(TODAY(),"YYYY-MM-DD")&amp;" Auto","—")</f>
        <v/>
      </c>
      <c r="L189" s="494" t="n"/>
    </row>
    <row r="190" ht="15" customHeight="1" s="341">
      <c r="A190" s="495" t="n"/>
      <c r="B190" s="382">
        <f>IF(A190="","",IFERROR(VLOOKUP(A190,DB_Customers!$A:$D,4,0),"❌ Account Not Found"))</f>
        <v/>
      </c>
      <c r="C190" s="496">
        <f>IF(A190="","",IFERROR(VLOOKUP(A190,DB_Customers!$A:$N,14,0),""))</f>
        <v/>
      </c>
      <c r="D190" s="497">
        <f>IF(A190="","",TODAY())</f>
        <v/>
      </c>
      <c r="E190" s="510" t="n"/>
      <c r="F190" s="382" t="n"/>
      <c r="G190" s="512">
        <f>IF(OR(A190="",E190=""),"",IF(C190="","",C190-E190))</f>
        <v/>
      </c>
      <c r="H190" s="384" t="inlineStr">
        <is>
          <t>Agent 08</t>
        </is>
      </c>
      <c r="I190" s="491" t="n"/>
      <c r="J190" s="499">
        <f>IF(AND(A190&lt;&gt;"",E190&lt;&gt;""),IF(I190="","⚠️ Enter Code",IF(IFERROR(VLOOKUP(H190,DB_Agents!$B:$I,8,0),"")=I190,IF(C190&gt;=E190,"Successful","Unsuccessful"),"🔒 BLOCKED — Wrong Code")),"—")</f>
        <v/>
      </c>
      <c r="K190" s="500">
        <f>IF(J190="Successful",TEXT(TODAY(),"YYYY-MM-DD")&amp;" Auto","—")</f>
        <v/>
      </c>
      <c r="L190" s="501" t="n"/>
    </row>
    <row r="191" ht="15" customHeight="1" s="341">
      <c r="A191" s="486" t="n"/>
      <c r="B191" s="378">
        <f>IF(A191="","",IFERROR(VLOOKUP(A191,DB_Customers!$A:$D,4,0),"❌ Account Not Found"))</f>
        <v/>
      </c>
      <c r="C191" s="487">
        <f>IF(A191="","",IFERROR(VLOOKUP(A191,DB_Customers!$A:$N,14,0),""))</f>
        <v/>
      </c>
      <c r="D191" s="488">
        <f>IF(A191="","",TODAY())</f>
        <v/>
      </c>
      <c r="E191" s="510" t="n"/>
      <c r="F191" s="378" t="n"/>
      <c r="G191" s="511">
        <f>IF(OR(A191="",E191=""),"",IF(C191="","",C191-E191))</f>
        <v/>
      </c>
      <c r="H191" s="380" t="inlineStr">
        <is>
          <t>Agent 08</t>
        </is>
      </c>
      <c r="I191" s="491" t="n"/>
      <c r="J191" s="492">
        <f>IF(AND(A191&lt;&gt;"",E191&lt;&gt;""),IF(I191="","⚠️ Enter Code",IF(IFERROR(VLOOKUP(H191,DB_Agents!$B:$I,8,0),"")=I191,IF(C191&gt;=E191,"Successful","Unsuccessful"),"🔒 BLOCKED — Wrong Code")),"—")</f>
        <v/>
      </c>
      <c r="K191" s="493">
        <f>IF(J191="Successful",TEXT(TODAY(),"YYYY-MM-DD")&amp;" Auto","—")</f>
        <v/>
      </c>
      <c r="L191" s="494" t="n"/>
    </row>
    <row r="192" ht="15" customHeight="1" s="341">
      <c r="A192" s="495" t="n"/>
      <c r="B192" s="382">
        <f>IF(A192="","",IFERROR(VLOOKUP(A192,DB_Customers!$A:$D,4,0),"❌ Account Not Found"))</f>
        <v/>
      </c>
      <c r="C192" s="496">
        <f>IF(A192="","",IFERROR(VLOOKUP(A192,DB_Customers!$A:$N,14,0),""))</f>
        <v/>
      </c>
      <c r="D192" s="497">
        <f>IF(A192="","",TODAY())</f>
        <v/>
      </c>
      <c r="E192" s="510" t="n"/>
      <c r="F192" s="382" t="n"/>
      <c r="G192" s="512">
        <f>IF(OR(A192="",E192=""),"",IF(C192="","",C192-E192))</f>
        <v/>
      </c>
      <c r="H192" s="384" t="inlineStr">
        <is>
          <t>Agent 08</t>
        </is>
      </c>
      <c r="I192" s="491" t="n"/>
      <c r="J192" s="499">
        <f>IF(AND(A192&lt;&gt;"",E192&lt;&gt;""),IF(I192="","⚠️ Enter Code",IF(IFERROR(VLOOKUP(H192,DB_Agents!$B:$I,8,0),"")=I192,IF(C192&gt;=E192,"Successful","Unsuccessful"),"🔒 BLOCKED — Wrong Code")),"—")</f>
        <v/>
      </c>
      <c r="K192" s="500">
        <f>IF(J192="Successful",TEXT(TODAY(),"YYYY-MM-DD")&amp;" Auto","—")</f>
        <v/>
      </c>
      <c r="L192" s="501" t="n"/>
    </row>
    <row r="193" ht="15" customHeight="1" s="341">
      <c r="A193" s="486" t="n"/>
      <c r="B193" s="378">
        <f>IF(A193="","",IFERROR(VLOOKUP(A193,DB_Customers!$A:$D,4,0),"❌ Account Not Found"))</f>
        <v/>
      </c>
      <c r="C193" s="487">
        <f>IF(A193="","",IFERROR(VLOOKUP(A193,DB_Customers!$A:$N,14,0),""))</f>
        <v/>
      </c>
      <c r="D193" s="488">
        <f>IF(A193="","",TODAY())</f>
        <v/>
      </c>
      <c r="E193" s="510" t="n"/>
      <c r="F193" s="378" t="n"/>
      <c r="G193" s="511">
        <f>IF(OR(A193="",E193=""),"",IF(C193="","",C193-E193))</f>
        <v/>
      </c>
      <c r="H193" s="380" t="inlineStr">
        <is>
          <t>Agent 08</t>
        </is>
      </c>
      <c r="I193" s="491" t="n"/>
      <c r="J193" s="492">
        <f>IF(AND(A193&lt;&gt;"",E193&lt;&gt;""),IF(I193="","⚠️ Enter Code",IF(IFERROR(VLOOKUP(H193,DB_Agents!$B:$I,8,0),"")=I193,IF(C193&gt;=E193,"Successful","Unsuccessful"),"🔒 BLOCKED — Wrong Code")),"—")</f>
        <v/>
      </c>
      <c r="K193" s="493">
        <f>IF(J193="Successful",TEXT(TODAY(),"YYYY-MM-DD")&amp;" Auto","—")</f>
        <v/>
      </c>
      <c r="L193" s="494" t="n"/>
    </row>
    <row r="194" ht="15" customHeight="1" s="341">
      <c r="A194" s="495" t="n"/>
      <c r="B194" s="382">
        <f>IF(A194="","",IFERROR(VLOOKUP(A194,DB_Customers!$A:$D,4,0),"❌ Account Not Found"))</f>
        <v/>
      </c>
      <c r="C194" s="496">
        <f>IF(A194="","",IFERROR(VLOOKUP(A194,DB_Customers!$A:$N,14,0),""))</f>
        <v/>
      </c>
      <c r="D194" s="497">
        <f>IF(A194="","",TODAY())</f>
        <v/>
      </c>
      <c r="E194" s="510" t="n"/>
      <c r="F194" s="382" t="n"/>
      <c r="G194" s="512">
        <f>IF(OR(A194="",E194=""),"",IF(C194="","",C194-E194))</f>
        <v/>
      </c>
      <c r="H194" s="384" t="inlineStr">
        <is>
          <t>Agent 08</t>
        </is>
      </c>
      <c r="I194" s="491" t="n"/>
      <c r="J194" s="499">
        <f>IF(AND(A194&lt;&gt;"",E194&lt;&gt;""),IF(I194="","⚠️ Enter Code",IF(IFERROR(VLOOKUP(H194,DB_Agents!$B:$I,8,0),"")=I194,IF(C194&gt;=E194,"Successful","Unsuccessful"),"🔒 BLOCKED — Wrong Code")),"—")</f>
        <v/>
      </c>
      <c r="K194" s="500">
        <f>IF(J194="Successful",TEXT(TODAY(),"YYYY-MM-DD")&amp;" Auto","—")</f>
        <v/>
      </c>
      <c r="L194" s="501" t="n"/>
    </row>
    <row r="195" ht="15" customHeight="1" s="341">
      <c r="A195" s="486" t="n"/>
      <c r="B195" s="378">
        <f>IF(A195="","",IFERROR(VLOOKUP(A195,DB_Customers!$A:$D,4,0),"❌ Account Not Found"))</f>
        <v/>
      </c>
      <c r="C195" s="487">
        <f>IF(A195="","",IFERROR(VLOOKUP(A195,DB_Customers!$A:$N,14,0),""))</f>
        <v/>
      </c>
      <c r="D195" s="488">
        <f>IF(A195="","",TODAY())</f>
        <v/>
      </c>
      <c r="E195" s="510" t="n"/>
      <c r="F195" s="378" t="n"/>
      <c r="G195" s="511">
        <f>IF(OR(A195="",E195=""),"",IF(C195="","",C195-E195))</f>
        <v/>
      </c>
      <c r="H195" s="380" t="inlineStr">
        <is>
          <t>Agent 08</t>
        </is>
      </c>
      <c r="I195" s="491" t="n"/>
      <c r="J195" s="492">
        <f>IF(AND(A195&lt;&gt;"",E195&lt;&gt;""),IF(I195="","⚠️ Enter Code",IF(IFERROR(VLOOKUP(H195,DB_Agents!$B:$I,8,0),"")=I195,IF(C195&gt;=E195,"Successful","Unsuccessful"),"🔒 BLOCKED — Wrong Code")),"—")</f>
        <v/>
      </c>
      <c r="K195" s="493">
        <f>IF(J195="Successful",TEXT(TODAY(),"YYYY-MM-DD")&amp;" Auto","—")</f>
        <v/>
      </c>
      <c r="L195" s="494" t="n"/>
    </row>
    <row r="196" ht="15" customHeight="1" s="341">
      <c r="A196" s="495" t="n"/>
      <c r="B196" s="382">
        <f>IF(A196="","",IFERROR(VLOOKUP(A196,DB_Customers!$A:$D,4,0),"❌ Account Not Found"))</f>
        <v/>
      </c>
      <c r="C196" s="496">
        <f>IF(A196="","",IFERROR(VLOOKUP(A196,DB_Customers!$A:$N,14,0),""))</f>
        <v/>
      </c>
      <c r="D196" s="497">
        <f>IF(A196="","",TODAY())</f>
        <v/>
      </c>
      <c r="E196" s="510" t="n"/>
      <c r="F196" s="382" t="n"/>
      <c r="G196" s="512">
        <f>IF(OR(A196="",E196=""),"",IF(C196="","",C196-E196))</f>
        <v/>
      </c>
      <c r="H196" s="384" t="inlineStr">
        <is>
          <t>Agent 08</t>
        </is>
      </c>
      <c r="I196" s="491" t="n"/>
      <c r="J196" s="499">
        <f>IF(AND(A196&lt;&gt;"",E196&lt;&gt;""),IF(I196="","⚠️ Enter Code",IF(IFERROR(VLOOKUP(H196,DB_Agents!$B:$I,8,0),"")=I196,IF(C196&gt;=E196,"Successful","Unsuccessful"),"🔒 BLOCKED — Wrong Code")),"—")</f>
        <v/>
      </c>
      <c r="K196" s="500">
        <f>IF(J196="Successful",TEXT(TODAY(),"YYYY-MM-DD")&amp;" Auto","—")</f>
        <v/>
      </c>
      <c r="L196" s="501" t="n"/>
    </row>
    <row r="197" ht="15" customHeight="1" s="341">
      <c r="A197" s="486" t="n"/>
      <c r="B197" s="378">
        <f>IF(A197="","",IFERROR(VLOOKUP(A197,DB_Customers!$A:$D,4,0),"❌ Account Not Found"))</f>
        <v/>
      </c>
      <c r="C197" s="487">
        <f>IF(A197="","",IFERROR(VLOOKUP(A197,DB_Customers!$A:$N,14,0),""))</f>
        <v/>
      </c>
      <c r="D197" s="488">
        <f>IF(A197="","",TODAY())</f>
        <v/>
      </c>
      <c r="E197" s="510" t="n"/>
      <c r="F197" s="378" t="n"/>
      <c r="G197" s="511">
        <f>IF(OR(A197="",E197=""),"",IF(C197="","",C197-E197))</f>
        <v/>
      </c>
      <c r="H197" s="380" t="inlineStr">
        <is>
          <t>Agent 08</t>
        </is>
      </c>
      <c r="I197" s="491" t="n"/>
      <c r="J197" s="492">
        <f>IF(AND(A197&lt;&gt;"",E197&lt;&gt;""),IF(I197="","⚠️ Enter Code",IF(IFERROR(VLOOKUP(H197,DB_Agents!$B:$I,8,0),"")=I197,IF(C197&gt;=E197,"Successful","Unsuccessful"),"🔒 BLOCKED — Wrong Code")),"—")</f>
        <v/>
      </c>
      <c r="K197" s="493">
        <f>IF(J197="Successful",TEXT(TODAY(),"YYYY-MM-DD")&amp;" Auto","—")</f>
        <v/>
      </c>
      <c r="L197" s="494" t="n"/>
    </row>
    <row r="198" ht="15" customHeight="1" s="341">
      <c r="A198" s="495" t="n"/>
      <c r="B198" s="382">
        <f>IF(A198="","",IFERROR(VLOOKUP(A198,DB_Customers!$A:$D,4,0),"❌ Account Not Found"))</f>
        <v/>
      </c>
      <c r="C198" s="496">
        <f>IF(A198="","",IFERROR(VLOOKUP(A198,DB_Customers!$A:$N,14,0),""))</f>
        <v/>
      </c>
      <c r="D198" s="497">
        <f>IF(A198="","",TODAY())</f>
        <v/>
      </c>
      <c r="E198" s="510" t="n"/>
      <c r="F198" s="382" t="n"/>
      <c r="G198" s="512">
        <f>IF(OR(A198="",E198=""),"",IF(C198="","",C198-E198))</f>
        <v/>
      </c>
      <c r="H198" s="384" t="inlineStr">
        <is>
          <t>Agent 08</t>
        </is>
      </c>
      <c r="I198" s="491" t="n"/>
      <c r="J198" s="499">
        <f>IF(AND(A198&lt;&gt;"",E198&lt;&gt;""),IF(I198="","⚠️ Enter Code",IF(IFERROR(VLOOKUP(H198,DB_Agents!$B:$I,8,0),"")=I198,IF(C198&gt;=E198,"Successful","Unsuccessful"),"🔒 BLOCKED — Wrong Code")),"—")</f>
        <v/>
      </c>
      <c r="K198" s="500">
        <f>IF(J198="Successful",TEXT(TODAY(),"YYYY-MM-DD")&amp;" Auto","—")</f>
        <v/>
      </c>
      <c r="L198" s="501" t="n"/>
    </row>
    <row r="199" ht="15" customHeight="1" s="341">
      <c r="A199" s="486" t="n"/>
      <c r="B199" s="378">
        <f>IF(A199="","",IFERROR(VLOOKUP(A199,DB_Customers!$A:$D,4,0),"❌ Account Not Found"))</f>
        <v/>
      </c>
      <c r="C199" s="487">
        <f>IF(A199="","",IFERROR(VLOOKUP(A199,DB_Customers!$A:$N,14,0),""))</f>
        <v/>
      </c>
      <c r="D199" s="488">
        <f>IF(A199="","",TODAY())</f>
        <v/>
      </c>
      <c r="E199" s="510" t="n"/>
      <c r="F199" s="378" t="n"/>
      <c r="G199" s="511">
        <f>IF(OR(A199="",E199=""),"",IF(C199="","",C199-E199))</f>
        <v/>
      </c>
      <c r="H199" s="380" t="inlineStr">
        <is>
          <t>Agent 08</t>
        </is>
      </c>
      <c r="I199" s="491" t="n"/>
      <c r="J199" s="492">
        <f>IF(AND(A199&lt;&gt;"",E199&lt;&gt;""),IF(I199="","⚠️ Enter Code",IF(IFERROR(VLOOKUP(H199,DB_Agents!$B:$I,8,0),"")=I199,IF(C199&gt;=E199,"Successful","Unsuccessful"),"🔒 BLOCKED — Wrong Code")),"—")</f>
        <v/>
      </c>
      <c r="K199" s="493">
        <f>IF(J199="Successful",TEXT(TODAY(),"YYYY-MM-DD")&amp;" Auto","—")</f>
        <v/>
      </c>
      <c r="L199" s="494" t="n"/>
    </row>
    <row r="200" ht="15" customHeight="1" s="341">
      <c r="A200" s="495" t="n"/>
      <c r="B200" s="382">
        <f>IF(A200="","",IFERROR(VLOOKUP(A200,DB_Customers!$A:$D,4,0),"❌ Account Not Found"))</f>
        <v/>
      </c>
      <c r="C200" s="496">
        <f>IF(A200="","",IFERROR(VLOOKUP(A200,DB_Customers!$A:$N,14,0),""))</f>
        <v/>
      </c>
      <c r="D200" s="497">
        <f>IF(A200="","",TODAY())</f>
        <v/>
      </c>
      <c r="E200" s="510" t="n"/>
      <c r="F200" s="382" t="n"/>
      <c r="G200" s="512">
        <f>IF(OR(A200="",E200=""),"",IF(C200="","",C200-E200))</f>
        <v/>
      </c>
      <c r="H200" s="384" t="inlineStr">
        <is>
          <t>Agent 08</t>
        </is>
      </c>
      <c r="I200" s="491" t="n"/>
      <c r="J200" s="499">
        <f>IF(AND(A200&lt;&gt;"",E200&lt;&gt;""),IF(I200="","⚠️ Enter Code",IF(IFERROR(VLOOKUP(H200,DB_Agents!$B:$I,8,0),"")=I200,IF(C200&gt;=E200,"Successful","Unsuccessful"),"🔒 BLOCKED — Wrong Code")),"—")</f>
        <v/>
      </c>
      <c r="K200" s="500">
        <f>IF(J200="Successful",TEXT(TODAY(),"YYYY-MM-DD")&amp;" Auto","—")</f>
        <v/>
      </c>
      <c r="L200" s="501" t="n"/>
    </row>
    <row r="201" ht="15" customHeight="1" s="341">
      <c r="A201" s="486" t="n"/>
      <c r="B201" s="378">
        <f>IF(A201="","",IFERROR(VLOOKUP(A201,DB_Customers!$A:$D,4,0),"❌ Account Not Found"))</f>
        <v/>
      </c>
      <c r="C201" s="487">
        <f>IF(A201="","",IFERROR(VLOOKUP(A201,DB_Customers!$A:$N,14,0),""))</f>
        <v/>
      </c>
      <c r="D201" s="488">
        <f>IF(A201="","",TODAY())</f>
        <v/>
      </c>
      <c r="E201" s="510" t="n"/>
      <c r="F201" s="378" t="n"/>
      <c r="G201" s="511">
        <f>IF(OR(A201="",E201=""),"",IF(C201="","",C201-E201))</f>
        <v/>
      </c>
      <c r="H201" s="380" t="inlineStr">
        <is>
          <t>Agent 08</t>
        </is>
      </c>
      <c r="I201" s="491" t="n"/>
      <c r="J201" s="492">
        <f>IF(AND(A201&lt;&gt;"",E201&lt;&gt;""),IF(I201="","⚠️ Enter Code",IF(IFERROR(VLOOKUP(H201,DB_Agents!$B:$I,8,0),"")=I201,IF(C201&gt;=E201,"Successful","Unsuccessful"),"🔒 BLOCKED — Wrong Code")),"—")</f>
        <v/>
      </c>
      <c r="K201" s="493">
        <f>IF(J201="Successful",TEXT(TODAY(),"YYYY-MM-DD")&amp;" Auto","—")</f>
        <v/>
      </c>
      <c r="L201" s="494" t="n"/>
    </row>
    <row r="202" ht="15" customHeight="1" s="341">
      <c r="A202" s="495" t="n"/>
      <c r="B202" s="382">
        <f>IF(A202="","",IFERROR(VLOOKUP(A202,DB_Customers!$A:$D,4,0),"❌ Account Not Found"))</f>
        <v/>
      </c>
      <c r="C202" s="496">
        <f>IF(A202="","",IFERROR(VLOOKUP(A202,DB_Customers!$A:$N,14,0),""))</f>
        <v/>
      </c>
      <c r="D202" s="497">
        <f>IF(A202="","",TODAY())</f>
        <v/>
      </c>
      <c r="E202" s="510" t="n"/>
      <c r="F202" s="382" t="n"/>
      <c r="G202" s="512">
        <f>IF(OR(A202="",E202=""),"",IF(C202="","",C202-E202))</f>
        <v/>
      </c>
      <c r="H202" s="384" t="inlineStr">
        <is>
          <t>Agent 08</t>
        </is>
      </c>
      <c r="I202" s="491" t="n"/>
      <c r="J202" s="499">
        <f>IF(AND(A202&lt;&gt;"",E202&lt;&gt;""),IF(I202="","⚠️ Enter Code",IF(IFERROR(VLOOKUP(H202,DB_Agents!$B:$I,8,0),"")=I202,IF(C202&gt;=E202,"Successful","Unsuccessful"),"🔒 BLOCKED — Wrong Code")),"—")</f>
        <v/>
      </c>
      <c r="K202" s="500">
        <f>IF(J202="Successful",TEXT(TODAY(),"YYYY-MM-DD")&amp;" Auto","—")</f>
        <v/>
      </c>
      <c r="L202" s="501" t="n"/>
    </row>
    <row r="203" ht="15" customHeight="1" s="341">
      <c r="A203" s="486" t="n"/>
      <c r="B203" s="378">
        <f>IF(A203="","",IFERROR(VLOOKUP(A203,DB_Customers!$A:$D,4,0),"❌ Account Not Found"))</f>
        <v/>
      </c>
      <c r="C203" s="487">
        <f>IF(A203="","",IFERROR(VLOOKUP(A203,DB_Customers!$A:$N,14,0),""))</f>
        <v/>
      </c>
      <c r="D203" s="488">
        <f>IF(A203="","",TODAY())</f>
        <v/>
      </c>
      <c r="E203" s="510" t="n"/>
      <c r="F203" s="378" t="n"/>
      <c r="G203" s="511">
        <f>IF(OR(A203="",E203=""),"",IF(C203="","",C203-E203))</f>
        <v/>
      </c>
      <c r="H203" s="380" t="inlineStr">
        <is>
          <t>Agent 08</t>
        </is>
      </c>
      <c r="I203" s="491" t="n"/>
      <c r="J203" s="492">
        <f>IF(AND(A203&lt;&gt;"",E203&lt;&gt;""),IF(I203="","⚠️ Enter Code",IF(IFERROR(VLOOKUP(H203,DB_Agents!$B:$I,8,0),"")=I203,IF(C203&gt;=E203,"Successful","Unsuccessful"),"🔒 BLOCKED — Wrong Code")),"—")</f>
        <v/>
      </c>
      <c r="K203" s="493">
        <f>IF(J203="Successful",TEXT(TODAY(),"YYYY-MM-DD")&amp;" Auto","—")</f>
        <v/>
      </c>
      <c r="L203" s="494" t="n"/>
    </row>
    <row r="204" ht="15" customHeight="1" s="341">
      <c r="A204" s="495" t="n"/>
      <c r="B204" s="382">
        <f>IF(A204="","",IFERROR(VLOOKUP(A204,DB_Customers!$A:$D,4,0),"❌ Account Not Found"))</f>
        <v/>
      </c>
      <c r="C204" s="496">
        <f>IF(A204="","",IFERROR(VLOOKUP(A204,DB_Customers!$A:$N,14,0),""))</f>
        <v/>
      </c>
      <c r="D204" s="497">
        <f>IF(A204="","",TODAY())</f>
        <v/>
      </c>
      <c r="E204" s="510" t="n"/>
      <c r="F204" s="382" t="n"/>
      <c r="G204" s="512">
        <f>IF(OR(A204="",E204=""),"",IF(C204="","",C204-E204))</f>
        <v/>
      </c>
      <c r="H204" s="384" t="inlineStr">
        <is>
          <t>Agent 08</t>
        </is>
      </c>
      <c r="I204" s="491" t="n"/>
      <c r="J204" s="499">
        <f>IF(AND(A204&lt;&gt;"",E204&lt;&gt;""),IF(I204="","⚠️ Enter Code",IF(IFERROR(VLOOKUP(H204,DB_Agents!$B:$I,8,0),"")=I204,IF(C204&gt;=E204,"Successful","Unsuccessful"),"🔒 BLOCKED — Wrong Code")),"—")</f>
        <v/>
      </c>
      <c r="K204" s="500">
        <f>IF(J204="Successful",TEXT(TODAY(),"YYYY-MM-DD")&amp;" Auto","—")</f>
        <v/>
      </c>
      <c r="L204" s="501" t="n"/>
    </row>
    <row r="205" ht="15" customHeight="1" s="341">
      <c r="A205" s="486" t="n"/>
      <c r="B205" s="378">
        <f>IF(A205="","",IFERROR(VLOOKUP(A205,DB_Customers!$A:$D,4,0),"❌ Account Not Found"))</f>
        <v/>
      </c>
      <c r="C205" s="487">
        <f>IF(A205="","",IFERROR(VLOOKUP(A205,DB_Customers!$A:$N,14,0),""))</f>
        <v/>
      </c>
      <c r="D205" s="488">
        <f>IF(A205="","",TODAY())</f>
        <v/>
      </c>
      <c r="E205" s="510" t="n"/>
      <c r="F205" s="378" t="n"/>
      <c r="G205" s="511">
        <f>IF(OR(A205="",E205=""),"",IF(C205="","",C205-E205))</f>
        <v/>
      </c>
      <c r="H205" s="380" t="inlineStr">
        <is>
          <t>Agent 08</t>
        </is>
      </c>
      <c r="I205" s="491" t="n"/>
      <c r="J205" s="492">
        <f>IF(AND(A205&lt;&gt;"",E205&lt;&gt;""),IF(I205="","⚠️ Enter Code",IF(IFERROR(VLOOKUP(H205,DB_Agents!$B:$I,8,0),"")=I205,IF(C205&gt;=E205,"Successful","Unsuccessful"),"🔒 BLOCKED — Wrong Code")),"—")</f>
        <v/>
      </c>
      <c r="K205" s="493">
        <f>IF(J205="Successful",TEXT(TODAY(),"YYYY-MM-DD")&amp;" Auto","—")</f>
        <v/>
      </c>
      <c r="L205" s="494" t="n"/>
    </row>
    <row r="206" ht="15" customHeight="1" s="341">
      <c r="A206" s="495" t="n"/>
      <c r="B206" s="382">
        <f>IF(A206="","",IFERROR(VLOOKUP(A206,DB_Customers!$A:$D,4,0),"❌ Account Not Found"))</f>
        <v/>
      </c>
      <c r="C206" s="496">
        <f>IF(A206="","",IFERROR(VLOOKUP(A206,DB_Customers!$A:$N,14,0),""))</f>
        <v/>
      </c>
      <c r="D206" s="497">
        <f>IF(A206="","",TODAY())</f>
        <v/>
      </c>
      <c r="E206" s="510" t="n"/>
      <c r="F206" s="382" t="n"/>
      <c r="G206" s="512">
        <f>IF(OR(A206="",E206=""),"",IF(C206="","",C206-E206))</f>
        <v/>
      </c>
      <c r="H206" s="384" t="inlineStr">
        <is>
          <t>Agent 08</t>
        </is>
      </c>
      <c r="I206" s="491" t="n"/>
      <c r="J206" s="499">
        <f>IF(AND(A206&lt;&gt;"",E206&lt;&gt;""),IF(I206="","⚠️ Enter Code",IF(IFERROR(VLOOKUP(H206,DB_Agents!$B:$I,8,0),"")=I206,IF(C206&gt;=E206,"Successful","Unsuccessful"),"🔒 BLOCKED — Wrong Code")),"—")</f>
        <v/>
      </c>
      <c r="K206" s="500">
        <f>IF(J206="Successful",TEXT(TODAY(),"YYYY-MM-DD")&amp;" Auto","—")</f>
        <v/>
      </c>
      <c r="L206" s="501" t="n"/>
    </row>
    <row r="207" ht="15" customHeight="1" s="341">
      <c r="A207" s="486" t="n"/>
      <c r="B207" s="378">
        <f>IF(A207="","",IFERROR(VLOOKUP(A207,DB_Customers!$A:$D,4,0),"❌ Account Not Found"))</f>
        <v/>
      </c>
      <c r="C207" s="487">
        <f>IF(A207="","",IFERROR(VLOOKUP(A207,DB_Customers!$A:$N,14,0),""))</f>
        <v/>
      </c>
      <c r="D207" s="488">
        <f>IF(A207="","",TODAY())</f>
        <v/>
      </c>
      <c r="E207" s="510" t="n"/>
      <c r="F207" s="378" t="n"/>
      <c r="G207" s="511">
        <f>IF(OR(A207="",E207=""),"",IF(C207="","",C207-E207))</f>
        <v/>
      </c>
      <c r="H207" s="380" t="inlineStr">
        <is>
          <t>Agent 08</t>
        </is>
      </c>
      <c r="I207" s="491" t="n"/>
      <c r="J207" s="492">
        <f>IF(AND(A207&lt;&gt;"",E207&lt;&gt;""),IF(I207="","⚠️ Enter Code",IF(IFERROR(VLOOKUP(H207,DB_Agents!$B:$I,8,0),"")=I207,IF(C207&gt;=E207,"Successful","Unsuccessful"),"🔒 BLOCKED — Wrong Code")),"—")</f>
        <v/>
      </c>
      <c r="K207" s="493">
        <f>IF(J207="Successful",TEXT(TODAY(),"YYYY-MM-DD")&amp;" Auto","—")</f>
        <v/>
      </c>
      <c r="L207" s="494" t="n"/>
    </row>
    <row r="208" ht="15" customHeight="1" s="341">
      <c r="A208" s="495" t="n"/>
      <c r="B208" s="382">
        <f>IF(A208="","",IFERROR(VLOOKUP(A208,DB_Customers!$A:$D,4,0),"❌ Account Not Found"))</f>
        <v/>
      </c>
      <c r="C208" s="496">
        <f>IF(A208="","",IFERROR(VLOOKUP(A208,DB_Customers!$A:$N,14,0),""))</f>
        <v/>
      </c>
      <c r="D208" s="497">
        <f>IF(A208="","",TODAY())</f>
        <v/>
      </c>
      <c r="E208" s="510" t="n"/>
      <c r="F208" s="382" t="n"/>
      <c r="G208" s="512">
        <f>IF(OR(A208="",E208=""),"",IF(C208="","",C208-E208))</f>
        <v/>
      </c>
      <c r="H208" s="384" t="inlineStr">
        <is>
          <t>Agent 08</t>
        </is>
      </c>
      <c r="I208" s="491" t="n"/>
      <c r="J208" s="499">
        <f>IF(AND(A208&lt;&gt;"",E208&lt;&gt;""),IF(I208="","⚠️ Enter Code",IF(IFERROR(VLOOKUP(H208,DB_Agents!$B:$I,8,0),"")=I208,IF(C208&gt;=E208,"Successful","Unsuccessful"),"🔒 BLOCKED — Wrong Code")),"—")</f>
        <v/>
      </c>
      <c r="K208" s="500">
        <f>IF(J208="Successful",TEXT(TODAY(),"YYYY-MM-DD")&amp;" Auto","—")</f>
        <v/>
      </c>
      <c r="L208" s="501" t="n"/>
    </row>
  </sheetData>
  <mergeCells count="8">
    <mergeCell ref="A1:M1"/>
    <mergeCell ref="A5:M5"/>
    <mergeCell ref="D4:F4"/>
    <mergeCell ref="D3:F3"/>
    <mergeCell ref="A3:C3"/>
    <mergeCell ref="A7:M7"/>
    <mergeCell ref="A4:C4"/>
    <mergeCell ref="A2:M2"/>
  </mergeCells>
  <conditionalFormatting sqref="I9:I208">
    <cfRule type="cellIs" rank="0" priority="2" equalAverage="0" operator="equal" aboveAverage="0" dxfId="0" text="" percent="0" bottom="0">
      <formula>"Successful"</formula>
    </cfRule>
    <cfRule type="cellIs" rank="0" priority="3" equalAverage="0" operator="equal" aboveAverage="0" dxfId="1" text="" percent="0" bottom="0">
      <formula>"Unsuccessful"</formula>
    </cfRule>
  </conditionalFormatting>
  <conditionalFormatting sqref="A9:K208">
    <cfRule type="expression" rank="0" priority="4" equalAverage="0" aboveAverage="0" dxfId="13" text="" percent="0" bottom="0">
      <formula>$I9="Unsuccessful"</formula>
    </cfRule>
  </conditionalFormatting>
  <conditionalFormatting sqref="G9:G208">
    <cfRule type="cellIs" rank="0" priority="5" equalAverage="0" operator="lessThan" aboveAverage="0" dxfId="1" text="" percent="0" bottom="0">
      <formula>0</formula>
    </cfRule>
  </conditionalFormatting>
  <dataValidations count="1">
    <dataValidation sqref="H9:H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9.xml><?xml version="1.0" encoding="utf-8"?>
<worksheet xmlns="http://schemas.openxmlformats.org/spreadsheetml/2006/main">
  <sheetPr filterMode="0">
    <tabColor rgb="FFE67E22"/>
    <outlinePr summaryBelow="1" summaryRight="1"/>
    <pageSetUpPr fitToPage="0"/>
  </sheetPr>
  <dimension ref="A1:N213"/>
  <sheetViews>
    <sheetView showFormulas="0" showGridLines="1" showRowColHeaders="1" showZeros="1" rightToLeft="0" tabSelected="0" showOutlineSymbols="1" defaultGridColor="1" view="normal" topLeftCell="A1" colorId="64" zoomScale="100" zoomScaleNormal="100" zoomScalePageLayoutView="100" workbookViewId="0">
      <pane xSplit="0" ySplit="13" topLeftCell="A1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22" customWidth="1" style="340" min="1" max="1"/>
    <col width="16" customWidth="1" style="340" min="2" max="2"/>
    <col width="22" customWidth="1" style="340" min="3" max="3"/>
    <col width="13" customWidth="1" style="340" min="4" max="4"/>
    <col width="14" customWidth="1" style="340" min="5" max="5"/>
    <col width="22" customWidth="1" style="340" min="6" max="6"/>
    <col width="9" customWidth="1" style="340" min="7" max="7"/>
    <col width="8" customWidth="1" style="340" min="8" max="8"/>
    <col width="16" customWidth="1" style="340" min="9" max="9"/>
    <col width="15" customWidth="1" style="340" min="10" max="10"/>
    <col width="14" customWidth="1" style="340" min="11" max="11"/>
    <col width="12" customWidth="1" style="340" min="12" max="12"/>
    <col width="14" customWidth="1" style="340" min="13" max="13"/>
  </cols>
  <sheetData>
    <row r="1" ht="31.5" customHeight="1" s="341">
      <c r="A1" s="513" t="inlineStr">
        <is>
          <t>🏦  SAMICIOUS MICROFINANCE — AGENT08 LOAN REQUESTS</t>
        </is>
      </c>
    </row>
    <row r="2" ht="19.5" customHeight="1" s="341">
      <c r="A2" s="514" t="inlineStr">
        <is>
          <t>Total Repayable = Loan Amount + (Loan Amount × Rate% × Months) | Status: Pending → Approved when credited</t>
        </is>
      </c>
    </row>
    <row r="4" ht="21.75" customHeight="1" s="341">
      <c r="A4" s="515" t="inlineStr">
        <is>
          <t>🔢  INSTANT LOAN CALCULATOR</t>
        </is>
      </c>
    </row>
    <row r="5" ht="19.5" customHeight="1" s="341">
      <c r="A5" s="516" t="inlineStr">
        <is>
          <t>Loan Amount (GHC):</t>
        </is>
      </c>
      <c r="B5" s="517" t="n"/>
      <c r="C5" s="453" t="n"/>
      <c r="D5" s="518" t="n"/>
    </row>
    <row r="6" ht="19.5" customHeight="1" s="341">
      <c r="A6" s="516" t="inlineStr">
        <is>
          <t>Duration (Months):</t>
        </is>
      </c>
      <c r="B6" s="517" t="n"/>
      <c r="C6" s="453" t="n"/>
      <c r="D6" s="518" t="n"/>
    </row>
    <row r="7" ht="19.5" customHeight="1" s="341">
      <c r="A7" s="519" t="inlineStr">
        <is>
          <t>Interest Rate (%/month):</t>
        </is>
      </c>
      <c r="B7" s="520" t="n">
        <v>2.5</v>
      </c>
      <c r="C7" s="393" t="n"/>
      <c r="D7" s="521" t="n"/>
    </row>
    <row r="8" ht="19.5" customHeight="1" s="341">
      <c r="A8" s="519" t="inlineStr">
        <is>
          <t>━ Total Interest:</t>
        </is>
      </c>
      <c r="B8" s="522">
        <f>IF(B5="","",B5*B7/100*B6)</f>
        <v/>
      </c>
      <c r="C8" s="393" t="n"/>
      <c r="D8" s="521" t="n"/>
    </row>
    <row r="9" ht="19.5" customHeight="1" s="341">
      <c r="A9" s="519" t="n"/>
      <c r="B9" s="523">
        <f>IF(B5="","",B5+(B5*B7/100*B6))</f>
        <v/>
      </c>
      <c r="C9" s="393" t="n"/>
      <c r="D9" s="521" t="n"/>
    </row>
    <row r="10" ht="19.5" customHeight="1" s="341">
      <c r="A10" s="519" t="n"/>
      <c r="B10" s="523">
        <f>IFERROR(B9/B6,"")</f>
        <v/>
      </c>
      <c r="C10" s="393" t="n"/>
      <c r="D10" s="521" t="n"/>
    </row>
    <row r="11" ht="7.5" customHeight="1" s="341"/>
    <row r="12" ht="21.75" customHeight="1" s="341">
      <c r="A12" s="524" t="n"/>
    </row>
    <row r="13" ht="19.5" customHeight="1" s="341">
      <c r="A13" s="525" t="n"/>
      <c r="B13" s="525" t="n"/>
      <c r="C13" s="525" t="n"/>
      <c r="D13" s="525" t="n"/>
      <c r="E13" s="525" t="n"/>
      <c r="F13" s="525" t="n"/>
      <c r="G13" s="525" t="n"/>
      <c r="H13" s="525" t="n"/>
      <c r="I13" s="525" t="n"/>
      <c r="J13" s="525" t="n"/>
      <c r="K13" s="525" t="n"/>
      <c r="L13" s="525" t="inlineStr">
        <is>
          <t>Agent</t>
        </is>
      </c>
      <c r="M13" s="485" t="n"/>
      <c r="N13" s="525" t="n"/>
    </row>
    <row r="14" ht="15" customHeight="1" s="341">
      <c r="A14" s="499">
        <f>IF(B14="","",IF(C14="❌ Account Not Found","INVALID","LN"&amp;TEXT(D14,"YYYYMMDD")&amp;TEXT(ROW()-13,"0000")))</f>
        <v/>
      </c>
      <c r="B14" s="495" t="n"/>
      <c r="C14" s="382">
        <f>IF(B14="","",IFERROR(VLOOKUP(B14,DB_Customers!$A:$D,4,0),"❌ Account Not Found"))</f>
        <v/>
      </c>
      <c r="D14" s="497">
        <f>IF(B14="","",TODAY())</f>
        <v/>
      </c>
      <c r="E14" s="526" t="n"/>
      <c r="F14" s="382" t="n"/>
      <c r="G14" s="527" t="n"/>
      <c r="H14" s="528" t="n"/>
      <c r="I14" s="529">
        <f>IF(E14="","",E14+(E14*H14/100*G14))</f>
        <v/>
      </c>
      <c r="J14" s="530">
        <f>IFERROR(I14/G14,"")</f>
        <v/>
      </c>
      <c r="K14" s="531">
        <f>IF(B14="","Pending",IF(M14="","⚠️ Enter Code",IF(IFERROR(VLOOKUP(L14,DB_Agents!$B:$I,8,0),"")=M14,"Pending","🔒 BLOCKED — Wrong Code")))</f>
        <v/>
      </c>
      <c r="L14" s="384" t="inlineStr">
        <is>
          <t>Agent 08</t>
        </is>
      </c>
      <c r="M14" s="491" t="n"/>
      <c r="N14" s="501" t="n"/>
    </row>
    <row r="15" ht="15" customHeight="1" s="341">
      <c r="A15" s="492">
        <f>IF(B15="","",IF(C15="❌ Account Not Found","INVALID","LN"&amp;TEXT(D15,"YYYYMMDD")&amp;TEXT(ROW()-13,"0000")))</f>
        <v/>
      </c>
      <c r="B15" s="486" t="n"/>
      <c r="C15" s="378">
        <f>IF(B15="","",IFERROR(VLOOKUP(B15,DB_Customers!$A:$D,4,0),"❌ Account Not Found"))</f>
        <v/>
      </c>
      <c r="D15" s="488">
        <f>IF(B15="","",TODAY())</f>
        <v/>
      </c>
      <c r="E15" s="526" t="n"/>
      <c r="F15" s="378" t="n"/>
      <c r="G15" s="532" t="n"/>
      <c r="H15" s="533" t="n"/>
      <c r="I15" s="529">
        <f>IF(E15="","",E15+(E15*H15/100*G15))</f>
        <v/>
      </c>
      <c r="J15" s="534">
        <f>IFERROR(I15/G15,"")</f>
        <v/>
      </c>
      <c r="K15" s="535">
        <f>IF(B15="","Pending",IF(M15="","⚠️ Enter Code",IF(IFERROR(VLOOKUP(L15,DB_Agents!$B:$I,8,0),"")=M15,"Pending","🔒 BLOCKED — Wrong Code")))</f>
        <v/>
      </c>
      <c r="L15" s="380" t="inlineStr">
        <is>
          <t>Agent 08</t>
        </is>
      </c>
      <c r="M15" s="491" t="n"/>
      <c r="N15" s="494" t="n"/>
    </row>
    <row r="16" ht="15" customHeight="1" s="341">
      <c r="A16" s="499">
        <f>IF(B16="","",IF(C16="❌ Account Not Found","INVALID","LN"&amp;TEXT(D16,"YYYYMMDD")&amp;TEXT(ROW()-13,"0000")))</f>
        <v/>
      </c>
      <c r="B16" s="495" t="n"/>
      <c r="C16" s="382">
        <f>IF(B16="","",IFERROR(VLOOKUP(B16,DB_Customers!$A:$D,4,0),"❌ Account Not Found"))</f>
        <v/>
      </c>
      <c r="D16" s="497">
        <f>IF(B16="","",TODAY())</f>
        <v/>
      </c>
      <c r="E16" s="526" t="n"/>
      <c r="F16" s="382" t="n"/>
      <c r="G16" s="527" t="n"/>
      <c r="H16" s="528" t="n"/>
      <c r="I16" s="529">
        <f>IF(E16="","",E16+(E16*H16/100*G16))</f>
        <v/>
      </c>
      <c r="J16" s="530">
        <f>IFERROR(I16/G16,"")</f>
        <v/>
      </c>
      <c r="K16" s="531">
        <f>IF(B16="","Pending",IF(M16="","⚠️ Enter Code",IF(IFERROR(VLOOKUP(L16,DB_Agents!$B:$I,8,0),"")=M16,"Pending","🔒 BLOCKED — Wrong Code")))</f>
        <v/>
      </c>
      <c r="L16" s="384" t="inlineStr">
        <is>
          <t>Agent 08</t>
        </is>
      </c>
      <c r="M16" s="491" t="n"/>
      <c r="N16" s="501" t="n"/>
    </row>
    <row r="17" ht="15" customHeight="1" s="341">
      <c r="A17" s="492">
        <f>IF(B17="","",IF(C17="❌ Account Not Found","INVALID","LN"&amp;TEXT(D17,"YYYYMMDD")&amp;TEXT(ROW()-13,"0000")))</f>
        <v/>
      </c>
      <c r="B17" s="486" t="n"/>
      <c r="C17" s="378">
        <f>IF(B17="","",IFERROR(VLOOKUP(B17,DB_Customers!$A:$D,4,0),"❌ Account Not Found"))</f>
        <v/>
      </c>
      <c r="D17" s="488">
        <f>IF(B17="","",TODAY())</f>
        <v/>
      </c>
      <c r="E17" s="526" t="n"/>
      <c r="F17" s="378" t="n"/>
      <c r="G17" s="532" t="n"/>
      <c r="H17" s="533" t="n"/>
      <c r="I17" s="529">
        <f>IF(E17="","",E17+(E17*H17/100*G17))</f>
        <v/>
      </c>
      <c r="J17" s="534">
        <f>IFERROR(I17/G17,"")</f>
        <v/>
      </c>
      <c r="K17" s="535">
        <f>IF(B17="","Pending",IF(M17="","⚠️ Enter Code",IF(IFERROR(VLOOKUP(L17,DB_Agents!$B:$I,8,0),"")=M17,"Pending","🔒 BLOCKED — Wrong Code")))</f>
        <v/>
      </c>
      <c r="L17" s="380" t="inlineStr">
        <is>
          <t>Agent 08</t>
        </is>
      </c>
      <c r="M17" s="491" t="n"/>
      <c r="N17" s="494" t="n"/>
    </row>
    <row r="18" ht="15" customHeight="1" s="341">
      <c r="A18" s="499">
        <f>IF(B18="","",IF(C18="❌ Account Not Found","INVALID","LN"&amp;TEXT(D18,"YYYYMMDD")&amp;TEXT(ROW()-13,"0000")))</f>
        <v/>
      </c>
      <c r="B18" s="495" t="n"/>
      <c r="C18" s="382">
        <f>IF(B18="","",IFERROR(VLOOKUP(B18,DB_Customers!$A:$D,4,0),"❌ Account Not Found"))</f>
        <v/>
      </c>
      <c r="D18" s="497">
        <f>IF(B18="","",TODAY())</f>
        <v/>
      </c>
      <c r="E18" s="526" t="n"/>
      <c r="F18" s="382" t="n"/>
      <c r="G18" s="527" t="n"/>
      <c r="H18" s="528" t="n"/>
      <c r="I18" s="529">
        <f>IF(E18="","",E18+(E18*H18/100*G18))</f>
        <v/>
      </c>
      <c r="J18" s="530">
        <f>IFERROR(I18/G18,"")</f>
        <v/>
      </c>
      <c r="K18" s="531">
        <f>IF(B18="","Pending",IF(M18="","⚠️ Enter Code",IF(IFERROR(VLOOKUP(L18,DB_Agents!$B:$I,8,0),"")=M18,"Pending","🔒 BLOCKED — Wrong Code")))</f>
        <v/>
      </c>
      <c r="L18" s="384" t="inlineStr">
        <is>
          <t>Agent 08</t>
        </is>
      </c>
      <c r="M18" s="491" t="n"/>
      <c r="N18" s="501" t="n"/>
    </row>
    <row r="19" ht="15" customHeight="1" s="341">
      <c r="A19" s="492">
        <f>IF(B19="","",IF(C19="❌ Account Not Found","INVALID","LN"&amp;TEXT(D19,"YYYYMMDD")&amp;TEXT(ROW()-13,"0000")))</f>
        <v/>
      </c>
      <c r="B19" s="486" t="n"/>
      <c r="C19" s="378">
        <f>IF(B19="","",IFERROR(VLOOKUP(B19,DB_Customers!$A:$D,4,0),"❌ Account Not Found"))</f>
        <v/>
      </c>
      <c r="D19" s="488">
        <f>IF(B19="","",TODAY())</f>
        <v/>
      </c>
      <c r="E19" s="526" t="n"/>
      <c r="F19" s="378" t="n"/>
      <c r="G19" s="532" t="n"/>
      <c r="H19" s="533" t="n"/>
      <c r="I19" s="529">
        <f>IF(E19="","",E19+(E19*H19/100*G19))</f>
        <v/>
      </c>
      <c r="J19" s="534">
        <f>IFERROR(I19/G19,"")</f>
        <v/>
      </c>
      <c r="K19" s="535">
        <f>IF(B19="","Pending",IF(M19="","⚠️ Enter Code",IF(IFERROR(VLOOKUP(L19,DB_Agents!$B:$I,8,0),"")=M19,"Pending","🔒 BLOCKED — Wrong Code")))</f>
        <v/>
      </c>
      <c r="L19" s="380" t="inlineStr">
        <is>
          <t>Agent 08</t>
        </is>
      </c>
      <c r="M19" s="491" t="n"/>
      <c r="N19" s="494" t="n"/>
    </row>
    <row r="20" ht="15" customHeight="1" s="341">
      <c r="A20" s="499">
        <f>IF(B20="","",IF(C20="❌ Account Not Found","INVALID","LN"&amp;TEXT(D20,"YYYYMMDD")&amp;TEXT(ROW()-13,"0000")))</f>
        <v/>
      </c>
      <c r="B20" s="495" t="n"/>
      <c r="C20" s="382">
        <f>IF(B20="","",IFERROR(VLOOKUP(B20,DB_Customers!$A:$D,4,0),"❌ Account Not Found"))</f>
        <v/>
      </c>
      <c r="D20" s="497">
        <f>IF(B20="","",TODAY())</f>
        <v/>
      </c>
      <c r="E20" s="526" t="n"/>
      <c r="F20" s="382" t="n"/>
      <c r="G20" s="527" t="n"/>
      <c r="H20" s="528" t="n"/>
      <c r="I20" s="529">
        <f>IF(E20="","",E20+(E20*H20/100*G20))</f>
        <v/>
      </c>
      <c r="J20" s="530">
        <f>IFERROR(I20/G20,"")</f>
        <v/>
      </c>
      <c r="K20" s="531">
        <f>IF(B20="","Pending",IF(M20="","⚠️ Enter Code",IF(IFERROR(VLOOKUP(L20,DB_Agents!$B:$I,8,0),"")=M20,"Pending","🔒 BLOCKED — Wrong Code")))</f>
        <v/>
      </c>
      <c r="L20" s="384" t="inlineStr">
        <is>
          <t>Agent 08</t>
        </is>
      </c>
      <c r="M20" s="491" t="n"/>
      <c r="N20" s="501" t="n"/>
    </row>
    <row r="21" ht="15" customHeight="1" s="341">
      <c r="A21" s="492">
        <f>IF(B21="","",IF(C21="❌ Account Not Found","INVALID","LN"&amp;TEXT(D21,"YYYYMMDD")&amp;TEXT(ROW()-13,"0000")))</f>
        <v/>
      </c>
      <c r="B21" s="486" t="n"/>
      <c r="C21" s="378">
        <f>IF(B21="","",IFERROR(VLOOKUP(B21,DB_Customers!$A:$D,4,0),"❌ Account Not Found"))</f>
        <v/>
      </c>
      <c r="D21" s="488">
        <f>IF(B21="","",TODAY())</f>
        <v/>
      </c>
      <c r="E21" s="526" t="n"/>
      <c r="F21" s="378" t="n"/>
      <c r="G21" s="532" t="n"/>
      <c r="H21" s="533" t="n"/>
      <c r="I21" s="529">
        <f>IF(E21="","",E21+(E21*H21/100*G21))</f>
        <v/>
      </c>
      <c r="J21" s="534">
        <f>IFERROR(I21/G21,"")</f>
        <v/>
      </c>
      <c r="K21" s="535">
        <f>IF(B21="","Pending",IF(M21="","⚠️ Enter Code",IF(IFERROR(VLOOKUP(L21,DB_Agents!$B:$I,8,0),"")=M21,"Pending","🔒 BLOCKED — Wrong Code")))</f>
        <v/>
      </c>
      <c r="L21" s="380" t="inlineStr">
        <is>
          <t>Agent 08</t>
        </is>
      </c>
      <c r="M21" s="491" t="n"/>
      <c r="N21" s="494" t="n"/>
    </row>
    <row r="22" ht="15" customHeight="1" s="341">
      <c r="A22" s="499">
        <f>IF(B22="","",IF(C22="❌ Account Not Found","INVALID","LN"&amp;TEXT(D22,"YYYYMMDD")&amp;TEXT(ROW()-13,"0000")))</f>
        <v/>
      </c>
      <c r="B22" s="495" t="n"/>
      <c r="C22" s="382">
        <f>IF(B22="","",IFERROR(VLOOKUP(B22,DB_Customers!$A:$D,4,0),"❌ Account Not Found"))</f>
        <v/>
      </c>
      <c r="D22" s="497">
        <f>IF(B22="","",TODAY())</f>
        <v/>
      </c>
      <c r="E22" s="526" t="n"/>
      <c r="F22" s="382" t="n"/>
      <c r="G22" s="527" t="n"/>
      <c r="H22" s="528" t="n"/>
      <c r="I22" s="529">
        <f>IF(E22="","",E22+(E22*H22/100*G22))</f>
        <v/>
      </c>
      <c r="J22" s="530">
        <f>IFERROR(I22/G22,"")</f>
        <v/>
      </c>
      <c r="K22" s="531">
        <f>IF(B22="","Pending",IF(M22="","⚠️ Enter Code",IF(IFERROR(VLOOKUP(L22,DB_Agents!$B:$I,8,0),"")=M22,"Pending","🔒 BLOCKED — Wrong Code")))</f>
        <v/>
      </c>
      <c r="L22" s="384" t="inlineStr">
        <is>
          <t>Agent 08</t>
        </is>
      </c>
      <c r="M22" s="491" t="n"/>
      <c r="N22" s="501" t="n"/>
    </row>
    <row r="23" ht="15" customHeight="1" s="341">
      <c r="A23" s="492">
        <f>IF(B23="","",IF(C23="❌ Account Not Found","INVALID","LN"&amp;TEXT(D23,"YYYYMMDD")&amp;TEXT(ROW()-13,"0000")))</f>
        <v/>
      </c>
      <c r="B23" s="486" t="n"/>
      <c r="C23" s="378">
        <f>IF(B23="","",IFERROR(VLOOKUP(B23,DB_Customers!$A:$D,4,0),"❌ Account Not Found"))</f>
        <v/>
      </c>
      <c r="D23" s="488">
        <f>IF(B23="","",TODAY())</f>
        <v/>
      </c>
      <c r="E23" s="526" t="n"/>
      <c r="F23" s="378" t="n"/>
      <c r="G23" s="532" t="n"/>
      <c r="H23" s="533" t="n"/>
      <c r="I23" s="529">
        <f>IF(E23="","",E23+(E23*H23/100*G23))</f>
        <v/>
      </c>
      <c r="J23" s="534">
        <f>IFERROR(I23/G23,"")</f>
        <v/>
      </c>
      <c r="K23" s="535">
        <f>IF(B23="","Pending",IF(M23="","⚠️ Enter Code",IF(IFERROR(VLOOKUP(L23,DB_Agents!$B:$I,8,0),"")=M23,"Pending","🔒 BLOCKED — Wrong Code")))</f>
        <v/>
      </c>
      <c r="L23" s="380" t="inlineStr">
        <is>
          <t>Agent 08</t>
        </is>
      </c>
      <c r="M23" s="491" t="n"/>
      <c r="N23" s="494" t="n"/>
    </row>
    <row r="24" ht="15" customHeight="1" s="341">
      <c r="A24" s="499">
        <f>IF(B24="","",IF(C24="❌ Account Not Found","INVALID","LN"&amp;TEXT(D24,"YYYYMMDD")&amp;TEXT(ROW()-13,"0000")))</f>
        <v/>
      </c>
      <c r="B24" s="495" t="n"/>
      <c r="C24" s="382">
        <f>IF(B24="","",IFERROR(VLOOKUP(B24,DB_Customers!$A:$D,4,0),"❌ Account Not Found"))</f>
        <v/>
      </c>
      <c r="D24" s="497">
        <f>IF(B24="","",TODAY())</f>
        <v/>
      </c>
      <c r="E24" s="526" t="n"/>
      <c r="F24" s="382" t="n"/>
      <c r="G24" s="527" t="n"/>
      <c r="H24" s="528" t="n"/>
      <c r="I24" s="529">
        <f>IF(E24="","",E24+(E24*H24/100*G24))</f>
        <v/>
      </c>
      <c r="J24" s="530">
        <f>IFERROR(I24/G24,"")</f>
        <v/>
      </c>
      <c r="K24" s="531">
        <f>IF(B24="","Pending",IF(M24="","⚠️ Enter Code",IF(IFERROR(VLOOKUP(L24,DB_Agents!$B:$I,8,0),"")=M24,"Pending","🔒 BLOCKED — Wrong Code")))</f>
        <v/>
      </c>
      <c r="L24" s="384" t="inlineStr">
        <is>
          <t>Agent 08</t>
        </is>
      </c>
      <c r="M24" s="491" t="n"/>
      <c r="N24" s="501" t="n"/>
    </row>
    <row r="25" ht="15" customHeight="1" s="341">
      <c r="A25" s="492">
        <f>IF(B25="","",IF(C25="❌ Account Not Found","INVALID","LN"&amp;TEXT(D25,"YYYYMMDD")&amp;TEXT(ROW()-13,"0000")))</f>
        <v/>
      </c>
      <c r="B25" s="486" t="n"/>
      <c r="C25" s="378">
        <f>IF(B25="","",IFERROR(VLOOKUP(B25,DB_Customers!$A:$D,4,0),"❌ Account Not Found"))</f>
        <v/>
      </c>
      <c r="D25" s="488">
        <f>IF(B25="","",TODAY())</f>
        <v/>
      </c>
      <c r="E25" s="526" t="n"/>
      <c r="F25" s="378" t="n"/>
      <c r="G25" s="532" t="n"/>
      <c r="H25" s="533" t="n"/>
      <c r="I25" s="529">
        <f>IF(E25="","",E25+(E25*H25/100*G25))</f>
        <v/>
      </c>
      <c r="J25" s="534">
        <f>IFERROR(I25/G25,"")</f>
        <v/>
      </c>
      <c r="K25" s="535">
        <f>IF(B25="","Pending",IF(M25="","⚠️ Enter Code",IF(IFERROR(VLOOKUP(L25,DB_Agents!$B:$I,8,0),"")=M25,"Pending","🔒 BLOCKED — Wrong Code")))</f>
        <v/>
      </c>
      <c r="L25" s="380" t="inlineStr">
        <is>
          <t>Agent 08</t>
        </is>
      </c>
      <c r="M25" s="491" t="n"/>
      <c r="N25" s="494" t="n"/>
    </row>
    <row r="26" ht="15" customHeight="1" s="341">
      <c r="A26" s="499">
        <f>IF(B26="","",IF(C26="❌ Account Not Found","INVALID","LN"&amp;TEXT(D26,"YYYYMMDD")&amp;TEXT(ROW()-13,"0000")))</f>
        <v/>
      </c>
      <c r="B26" s="495" t="n"/>
      <c r="C26" s="382">
        <f>IF(B26="","",IFERROR(VLOOKUP(B26,DB_Customers!$A:$D,4,0),"❌ Account Not Found"))</f>
        <v/>
      </c>
      <c r="D26" s="497">
        <f>IF(B26="","",TODAY())</f>
        <v/>
      </c>
      <c r="E26" s="526" t="n"/>
      <c r="F26" s="382" t="n"/>
      <c r="G26" s="527" t="n"/>
      <c r="H26" s="528" t="n"/>
      <c r="I26" s="529">
        <f>IF(E26="","",E26+(E26*H26/100*G26))</f>
        <v/>
      </c>
      <c r="J26" s="530">
        <f>IFERROR(I26/G26,"")</f>
        <v/>
      </c>
      <c r="K26" s="531">
        <f>IF(B26="","Pending",IF(M26="","⚠️ Enter Code",IF(IFERROR(VLOOKUP(L26,DB_Agents!$B:$I,8,0),"")=M26,"Pending","🔒 BLOCKED — Wrong Code")))</f>
        <v/>
      </c>
      <c r="L26" s="384" t="inlineStr">
        <is>
          <t>Agent 08</t>
        </is>
      </c>
      <c r="M26" s="491" t="n"/>
      <c r="N26" s="501" t="n"/>
    </row>
    <row r="27" ht="15" customHeight="1" s="341">
      <c r="A27" s="492">
        <f>IF(B27="","",IF(C27="❌ Account Not Found","INVALID","LN"&amp;TEXT(D27,"YYYYMMDD")&amp;TEXT(ROW()-13,"0000")))</f>
        <v/>
      </c>
      <c r="B27" s="486" t="n"/>
      <c r="C27" s="378">
        <f>IF(B27="","",IFERROR(VLOOKUP(B27,DB_Customers!$A:$D,4,0),"❌ Account Not Found"))</f>
        <v/>
      </c>
      <c r="D27" s="488">
        <f>IF(B27="","",TODAY())</f>
        <v/>
      </c>
      <c r="E27" s="526" t="n"/>
      <c r="F27" s="378" t="n"/>
      <c r="G27" s="532" t="n"/>
      <c r="H27" s="533" t="n"/>
      <c r="I27" s="529">
        <f>IF(E27="","",E27+(E27*H27/100*G27))</f>
        <v/>
      </c>
      <c r="J27" s="534">
        <f>IFERROR(I27/G27,"")</f>
        <v/>
      </c>
      <c r="K27" s="535">
        <f>IF(B27="","Pending",IF(M27="","⚠️ Enter Code",IF(IFERROR(VLOOKUP(L27,DB_Agents!$B:$I,8,0),"")=M27,"Pending","🔒 BLOCKED — Wrong Code")))</f>
        <v/>
      </c>
      <c r="L27" s="380" t="inlineStr">
        <is>
          <t>Agent 08</t>
        </is>
      </c>
      <c r="M27" s="491" t="n"/>
      <c r="N27" s="494" t="n"/>
    </row>
    <row r="28" ht="15" customHeight="1" s="341">
      <c r="A28" s="499">
        <f>IF(B28="","",IF(C28="❌ Account Not Found","INVALID","LN"&amp;TEXT(D28,"YYYYMMDD")&amp;TEXT(ROW()-13,"0000")))</f>
        <v/>
      </c>
      <c r="B28" s="495" t="n"/>
      <c r="C28" s="382">
        <f>IF(B28="","",IFERROR(VLOOKUP(B28,DB_Customers!$A:$D,4,0),"❌ Account Not Found"))</f>
        <v/>
      </c>
      <c r="D28" s="497">
        <f>IF(B28="","",TODAY())</f>
        <v/>
      </c>
      <c r="E28" s="526" t="n"/>
      <c r="F28" s="382" t="n"/>
      <c r="G28" s="527" t="n"/>
      <c r="H28" s="528" t="n"/>
      <c r="I28" s="529">
        <f>IF(E28="","",E28+(E28*H28/100*G28))</f>
        <v/>
      </c>
      <c r="J28" s="530">
        <f>IFERROR(I28/G28,"")</f>
        <v/>
      </c>
      <c r="K28" s="531">
        <f>IF(B28="","Pending",IF(M28="","⚠️ Enter Code",IF(IFERROR(VLOOKUP(L28,DB_Agents!$B:$I,8,0),"")=M28,"Pending","🔒 BLOCKED — Wrong Code")))</f>
        <v/>
      </c>
      <c r="L28" s="384" t="inlineStr">
        <is>
          <t>Agent 08</t>
        </is>
      </c>
      <c r="M28" s="491" t="n"/>
      <c r="N28" s="501" t="n"/>
    </row>
    <row r="29" ht="15" customHeight="1" s="341">
      <c r="A29" s="492">
        <f>IF(B29="","",IF(C29="❌ Account Not Found","INVALID","LN"&amp;TEXT(D29,"YYYYMMDD")&amp;TEXT(ROW()-13,"0000")))</f>
        <v/>
      </c>
      <c r="B29" s="486" t="n"/>
      <c r="C29" s="378">
        <f>IF(B29="","",IFERROR(VLOOKUP(B29,DB_Customers!$A:$D,4,0),"❌ Account Not Found"))</f>
        <v/>
      </c>
      <c r="D29" s="488">
        <f>IF(B29="","",TODAY())</f>
        <v/>
      </c>
      <c r="E29" s="526" t="n"/>
      <c r="F29" s="378" t="n"/>
      <c r="G29" s="532" t="n"/>
      <c r="H29" s="533" t="n"/>
      <c r="I29" s="529">
        <f>IF(E29="","",E29+(E29*H29/100*G29))</f>
        <v/>
      </c>
      <c r="J29" s="534">
        <f>IFERROR(I29/G29,"")</f>
        <v/>
      </c>
      <c r="K29" s="535">
        <f>IF(B29="","Pending",IF(M29="","⚠️ Enter Code",IF(IFERROR(VLOOKUP(L29,DB_Agents!$B:$I,8,0),"")=M29,"Pending","🔒 BLOCKED — Wrong Code")))</f>
        <v/>
      </c>
      <c r="L29" s="380" t="inlineStr">
        <is>
          <t>Agent 08</t>
        </is>
      </c>
      <c r="M29" s="491" t="n"/>
      <c r="N29" s="494" t="n"/>
    </row>
    <row r="30" ht="15" customHeight="1" s="341">
      <c r="A30" s="499">
        <f>IF(B30="","",IF(C30="❌ Account Not Found","INVALID","LN"&amp;TEXT(D30,"YYYYMMDD")&amp;TEXT(ROW()-13,"0000")))</f>
        <v/>
      </c>
      <c r="B30" s="495" t="n"/>
      <c r="C30" s="382">
        <f>IF(B30="","",IFERROR(VLOOKUP(B30,DB_Customers!$A:$D,4,0),"❌ Account Not Found"))</f>
        <v/>
      </c>
      <c r="D30" s="497">
        <f>IF(B30="","",TODAY())</f>
        <v/>
      </c>
      <c r="E30" s="526" t="n"/>
      <c r="F30" s="382" t="n"/>
      <c r="G30" s="527" t="n"/>
      <c r="H30" s="528" t="n"/>
      <c r="I30" s="529">
        <f>IF(E30="","",E30+(E30*H30/100*G30))</f>
        <v/>
      </c>
      <c r="J30" s="530">
        <f>IFERROR(I30/G30,"")</f>
        <v/>
      </c>
      <c r="K30" s="531">
        <f>IF(B30="","Pending",IF(M30="","⚠️ Enter Code",IF(IFERROR(VLOOKUP(L30,DB_Agents!$B:$I,8,0),"")=M30,"Pending","🔒 BLOCKED — Wrong Code")))</f>
        <v/>
      </c>
      <c r="L30" s="384" t="inlineStr">
        <is>
          <t>Agent 08</t>
        </is>
      </c>
      <c r="M30" s="491" t="n"/>
      <c r="N30" s="501" t="n"/>
    </row>
    <row r="31" ht="15" customHeight="1" s="341">
      <c r="A31" s="492">
        <f>IF(B31="","",IF(C31="❌ Account Not Found","INVALID","LN"&amp;TEXT(D31,"YYYYMMDD")&amp;TEXT(ROW()-13,"0000")))</f>
        <v/>
      </c>
      <c r="B31" s="486" t="n"/>
      <c r="C31" s="378">
        <f>IF(B31="","",IFERROR(VLOOKUP(B31,DB_Customers!$A:$D,4,0),"❌ Account Not Found"))</f>
        <v/>
      </c>
      <c r="D31" s="488">
        <f>IF(B31="","",TODAY())</f>
        <v/>
      </c>
      <c r="E31" s="526" t="n"/>
      <c r="F31" s="378" t="n"/>
      <c r="G31" s="532" t="n"/>
      <c r="H31" s="533" t="n"/>
      <c r="I31" s="529">
        <f>IF(E31="","",E31+(E31*H31/100*G31))</f>
        <v/>
      </c>
      <c r="J31" s="534">
        <f>IFERROR(I31/G31,"")</f>
        <v/>
      </c>
      <c r="K31" s="535">
        <f>IF(B31="","Pending",IF(M31="","⚠️ Enter Code",IF(IFERROR(VLOOKUP(L31,DB_Agents!$B:$I,8,0),"")=M31,"Pending","🔒 BLOCKED — Wrong Code")))</f>
        <v/>
      </c>
      <c r="L31" s="380" t="inlineStr">
        <is>
          <t>Agent 08</t>
        </is>
      </c>
      <c r="M31" s="491" t="n"/>
      <c r="N31" s="494" t="n"/>
    </row>
    <row r="32" ht="15" customHeight="1" s="341">
      <c r="A32" s="499">
        <f>IF(B32="","",IF(C32="❌ Account Not Found","INVALID","LN"&amp;TEXT(D32,"YYYYMMDD")&amp;TEXT(ROW()-13,"0000")))</f>
        <v/>
      </c>
      <c r="B32" s="495" t="n"/>
      <c r="C32" s="382">
        <f>IF(B32="","",IFERROR(VLOOKUP(B32,DB_Customers!$A:$D,4,0),"❌ Account Not Found"))</f>
        <v/>
      </c>
      <c r="D32" s="497">
        <f>IF(B32="","",TODAY())</f>
        <v/>
      </c>
      <c r="E32" s="526" t="n"/>
      <c r="F32" s="382" t="n"/>
      <c r="G32" s="527" t="n"/>
      <c r="H32" s="528" t="n"/>
      <c r="I32" s="529">
        <f>IF(E32="","",E32+(E32*H32/100*G32))</f>
        <v/>
      </c>
      <c r="J32" s="530">
        <f>IFERROR(I32/G32,"")</f>
        <v/>
      </c>
      <c r="K32" s="531">
        <f>IF(B32="","Pending",IF(M32="","⚠️ Enter Code",IF(IFERROR(VLOOKUP(L32,DB_Agents!$B:$I,8,0),"")=M32,"Pending","🔒 BLOCKED — Wrong Code")))</f>
        <v/>
      </c>
      <c r="L32" s="384" t="inlineStr">
        <is>
          <t>Agent 08</t>
        </is>
      </c>
      <c r="M32" s="491" t="n"/>
      <c r="N32" s="501" t="n"/>
    </row>
    <row r="33" ht="15" customHeight="1" s="341">
      <c r="A33" s="492">
        <f>IF(B33="","",IF(C33="❌ Account Not Found","INVALID","LN"&amp;TEXT(D33,"YYYYMMDD")&amp;TEXT(ROW()-13,"0000")))</f>
        <v/>
      </c>
      <c r="B33" s="486" t="n"/>
      <c r="C33" s="378">
        <f>IF(B33="","",IFERROR(VLOOKUP(B33,DB_Customers!$A:$D,4,0),"❌ Account Not Found"))</f>
        <v/>
      </c>
      <c r="D33" s="488">
        <f>IF(B33="","",TODAY())</f>
        <v/>
      </c>
      <c r="E33" s="526" t="n"/>
      <c r="F33" s="378" t="n"/>
      <c r="G33" s="532" t="n"/>
      <c r="H33" s="533" t="n"/>
      <c r="I33" s="529">
        <f>IF(E33="","",E33+(E33*H33/100*G33))</f>
        <v/>
      </c>
      <c r="J33" s="534">
        <f>IFERROR(I33/G33,"")</f>
        <v/>
      </c>
      <c r="K33" s="535">
        <f>IF(B33="","Pending",IF(M33="","⚠️ Enter Code",IF(IFERROR(VLOOKUP(L33,DB_Agents!$B:$I,8,0),"")=M33,"Pending","🔒 BLOCKED — Wrong Code")))</f>
        <v/>
      </c>
      <c r="L33" s="380" t="inlineStr">
        <is>
          <t>Agent 08</t>
        </is>
      </c>
      <c r="M33" s="491" t="n"/>
      <c r="N33" s="494" t="n"/>
    </row>
    <row r="34" ht="15" customHeight="1" s="341">
      <c r="A34" s="499">
        <f>IF(B34="","",IF(C34="❌ Account Not Found","INVALID","LN"&amp;TEXT(D34,"YYYYMMDD")&amp;TEXT(ROW()-13,"0000")))</f>
        <v/>
      </c>
      <c r="B34" s="495" t="n"/>
      <c r="C34" s="382">
        <f>IF(B34="","",IFERROR(VLOOKUP(B34,DB_Customers!$A:$D,4,0),"❌ Account Not Found"))</f>
        <v/>
      </c>
      <c r="D34" s="497">
        <f>IF(B34="","",TODAY())</f>
        <v/>
      </c>
      <c r="E34" s="526" t="n"/>
      <c r="F34" s="382" t="n"/>
      <c r="G34" s="527" t="n"/>
      <c r="H34" s="528" t="n"/>
      <c r="I34" s="529">
        <f>IF(E34="","",E34+(E34*H34/100*G34))</f>
        <v/>
      </c>
      <c r="J34" s="530">
        <f>IFERROR(I34/G34,"")</f>
        <v/>
      </c>
      <c r="K34" s="531">
        <f>IF(B34="","Pending",IF(M34="","⚠️ Enter Code",IF(IFERROR(VLOOKUP(L34,DB_Agents!$B:$I,8,0),"")=M34,"Pending","🔒 BLOCKED — Wrong Code")))</f>
        <v/>
      </c>
      <c r="L34" s="384" t="inlineStr">
        <is>
          <t>Agent 08</t>
        </is>
      </c>
      <c r="M34" s="491" t="n"/>
      <c r="N34" s="501" t="n"/>
    </row>
    <row r="35" ht="15" customHeight="1" s="341">
      <c r="A35" s="492">
        <f>IF(B35="","",IF(C35="❌ Account Not Found","INVALID","LN"&amp;TEXT(D35,"YYYYMMDD")&amp;TEXT(ROW()-13,"0000")))</f>
        <v/>
      </c>
      <c r="B35" s="486" t="n"/>
      <c r="C35" s="378">
        <f>IF(B35="","",IFERROR(VLOOKUP(B35,DB_Customers!$A:$D,4,0),"❌ Account Not Found"))</f>
        <v/>
      </c>
      <c r="D35" s="488">
        <f>IF(B35="","",TODAY())</f>
        <v/>
      </c>
      <c r="E35" s="526" t="n"/>
      <c r="F35" s="378" t="n"/>
      <c r="G35" s="532" t="n"/>
      <c r="H35" s="533" t="n"/>
      <c r="I35" s="529">
        <f>IF(E35="","",E35+(E35*H35/100*G35))</f>
        <v/>
      </c>
      <c r="J35" s="534">
        <f>IFERROR(I35/G35,"")</f>
        <v/>
      </c>
      <c r="K35" s="535">
        <f>IF(B35="","Pending",IF(M35="","⚠️ Enter Code",IF(IFERROR(VLOOKUP(L35,DB_Agents!$B:$I,8,0),"")=M35,"Pending","🔒 BLOCKED — Wrong Code")))</f>
        <v/>
      </c>
      <c r="L35" s="380" t="inlineStr">
        <is>
          <t>Agent 08</t>
        </is>
      </c>
      <c r="M35" s="491" t="n"/>
      <c r="N35" s="494" t="n"/>
    </row>
    <row r="36" ht="15" customHeight="1" s="341">
      <c r="A36" s="499">
        <f>IF(B36="","",IF(C36="❌ Account Not Found","INVALID","LN"&amp;TEXT(D36,"YYYYMMDD")&amp;TEXT(ROW()-13,"0000")))</f>
        <v/>
      </c>
      <c r="B36" s="495" t="n"/>
      <c r="C36" s="382">
        <f>IF(B36="","",IFERROR(VLOOKUP(B36,DB_Customers!$A:$D,4,0),"❌ Account Not Found"))</f>
        <v/>
      </c>
      <c r="D36" s="497">
        <f>IF(B36="","",TODAY())</f>
        <v/>
      </c>
      <c r="E36" s="526" t="n"/>
      <c r="F36" s="382" t="n"/>
      <c r="G36" s="527" t="n"/>
      <c r="H36" s="528" t="n"/>
      <c r="I36" s="529">
        <f>IF(E36="","",E36+(E36*H36/100*G36))</f>
        <v/>
      </c>
      <c r="J36" s="530">
        <f>IFERROR(I36/G36,"")</f>
        <v/>
      </c>
      <c r="K36" s="531">
        <f>IF(B36="","Pending",IF(M36="","⚠️ Enter Code",IF(IFERROR(VLOOKUP(L36,DB_Agents!$B:$I,8,0),"")=M36,"Pending","🔒 BLOCKED — Wrong Code")))</f>
        <v/>
      </c>
      <c r="L36" s="384" t="inlineStr">
        <is>
          <t>Agent 08</t>
        </is>
      </c>
      <c r="M36" s="491" t="n"/>
      <c r="N36" s="501" t="n"/>
    </row>
    <row r="37" ht="15" customHeight="1" s="341">
      <c r="A37" s="492">
        <f>IF(B37="","",IF(C37="❌ Account Not Found","INVALID","LN"&amp;TEXT(D37,"YYYYMMDD")&amp;TEXT(ROW()-13,"0000")))</f>
        <v/>
      </c>
      <c r="B37" s="486" t="n"/>
      <c r="C37" s="378">
        <f>IF(B37="","",IFERROR(VLOOKUP(B37,DB_Customers!$A:$D,4,0),"❌ Account Not Found"))</f>
        <v/>
      </c>
      <c r="D37" s="488">
        <f>IF(B37="","",TODAY())</f>
        <v/>
      </c>
      <c r="E37" s="526" t="n"/>
      <c r="F37" s="378" t="n"/>
      <c r="G37" s="532" t="n"/>
      <c r="H37" s="533" t="n"/>
      <c r="I37" s="529">
        <f>IF(E37="","",E37+(E37*H37/100*G37))</f>
        <v/>
      </c>
      <c r="J37" s="534">
        <f>IFERROR(I37/G37,"")</f>
        <v/>
      </c>
      <c r="K37" s="535">
        <f>IF(B37="","Pending",IF(M37="","⚠️ Enter Code",IF(IFERROR(VLOOKUP(L37,DB_Agents!$B:$I,8,0),"")=M37,"Pending","🔒 BLOCKED — Wrong Code")))</f>
        <v/>
      </c>
      <c r="L37" s="380" t="inlineStr">
        <is>
          <t>Agent 08</t>
        </is>
      </c>
      <c r="M37" s="491" t="n"/>
      <c r="N37" s="494" t="n"/>
    </row>
    <row r="38" ht="15" customHeight="1" s="341">
      <c r="A38" s="499">
        <f>IF(B38="","",IF(C38="❌ Account Not Found","INVALID","LN"&amp;TEXT(D38,"YYYYMMDD")&amp;TEXT(ROW()-13,"0000")))</f>
        <v/>
      </c>
      <c r="B38" s="495" t="n"/>
      <c r="C38" s="382">
        <f>IF(B38="","",IFERROR(VLOOKUP(B38,DB_Customers!$A:$D,4,0),"❌ Account Not Found"))</f>
        <v/>
      </c>
      <c r="D38" s="497">
        <f>IF(B38="","",TODAY())</f>
        <v/>
      </c>
      <c r="E38" s="526" t="n"/>
      <c r="F38" s="382" t="n"/>
      <c r="G38" s="527" t="n"/>
      <c r="H38" s="528" t="n"/>
      <c r="I38" s="529">
        <f>IF(E38="","",E38+(E38*H38/100*G38))</f>
        <v/>
      </c>
      <c r="J38" s="530">
        <f>IFERROR(I38/G38,"")</f>
        <v/>
      </c>
      <c r="K38" s="531">
        <f>IF(B38="","Pending",IF(M38="","⚠️ Enter Code",IF(IFERROR(VLOOKUP(L38,DB_Agents!$B:$I,8,0),"")=M38,"Pending","🔒 BLOCKED — Wrong Code")))</f>
        <v/>
      </c>
      <c r="L38" s="384" t="inlineStr">
        <is>
          <t>Agent 08</t>
        </is>
      </c>
      <c r="M38" s="491" t="n"/>
      <c r="N38" s="501" t="n"/>
    </row>
    <row r="39" ht="15" customHeight="1" s="341">
      <c r="A39" s="492">
        <f>IF(B39="","",IF(C39="❌ Account Not Found","INVALID","LN"&amp;TEXT(D39,"YYYYMMDD")&amp;TEXT(ROW()-13,"0000")))</f>
        <v/>
      </c>
      <c r="B39" s="486" t="n"/>
      <c r="C39" s="378">
        <f>IF(B39="","",IFERROR(VLOOKUP(B39,DB_Customers!$A:$D,4,0),"❌ Account Not Found"))</f>
        <v/>
      </c>
      <c r="D39" s="488">
        <f>IF(B39="","",TODAY())</f>
        <v/>
      </c>
      <c r="E39" s="526" t="n"/>
      <c r="F39" s="378" t="n"/>
      <c r="G39" s="532" t="n"/>
      <c r="H39" s="533" t="n"/>
      <c r="I39" s="529">
        <f>IF(E39="","",E39+(E39*H39/100*G39))</f>
        <v/>
      </c>
      <c r="J39" s="534">
        <f>IFERROR(I39/G39,"")</f>
        <v/>
      </c>
      <c r="K39" s="535">
        <f>IF(B39="","Pending",IF(M39="","⚠️ Enter Code",IF(IFERROR(VLOOKUP(L39,DB_Agents!$B:$I,8,0),"")=M39,"Pending","🔒 BLOCKED — Wrong Code")))</f>
        <v/>
      </c>
      <c r="L39" s="380" t="inlineStr">
        <is>
          <t>Agent 08</t>
        </is>
      </c>
      <c r="M39" s="491" t="n"/>
      <c r="N39" s="494" t="n"/>
    </row>
    <row r="40" ht="15" customHeight="1" s="341">
      <c r="A40" s="499">
        <f>IF(B40="","",IF(C40="❌ Account Not Found","INVALID","LN"&amp;TEXT(D40,"YYYYMMDD")&amp;TEXT(ROW()-13,"0000")))</f>
        <v/>
      </c>
      <c r="B40" s="495" t="n"/>
      <c r="C40" s="382">
        <f>IF(B40="","",IFERROR(VLOOKUP(B40,DB_Customers!$A:$D,4,0),"❌ Account Not Found"))</f>
        <v/>
      </c>
      <c r="D40" s="497">
        <f>IF(B40="","",TODAY())</f>
        <v/>
      </c>
      <c r="E40" s="526" t="n"/>
      <c r="F40" s="382" t="n"/>
      <c r="G40" s="527" t="n"/>
      <c r="H40" s="528" t="n"/>
      <c r="I40" s="529">
        <f>IF(E40="","",E40+(E40*H40/100*G40))</f>
        <v/>
      </c>
      <c r="J40" s="530">
        <f>IFERROR(I40/G40,"")</f>
        <v/>
      </c>
      <c r="K40" s="531">
        <f>IF(B40="","Pending",IF(M40="","⚠️ Enter Code",IF(IFERROR(VLOOKUP(L40,DB_Agents!$B:$I,8,0),"")=M40,"Pending","🔒 BLOCKED — Wrong Code")))</f>
        <v/>
      </c>
      <c r="L40" s="384" t="inlineStr">
        <is>
          <t>Agent 08</t>
        </is>
      </c>
      <c r="M40" s="491" t="n"/>
      <c r="N40" s="501" t="n"/>
    </row>
    <row r="41" ht="15" customHeight="1" s="341">
      <c r="A41" s="492">
        <f>IF(B41="","",IF(C41="❌ Account Not Found","INVALID","LN"&amp;TEXT(D41,"YYYYMMDD")&amp;TEXT(ROW()-13,"0000")))</f>
        <v/>
      </c>
      <c r="B41" s="486" t="n"/>
      <c r="C41" s="378">
        <f>IF(B41="","",IFERROR(VLOOKUP(B41,DB_Customers!$A:$D,4,0),"❌ Account Not Found"))</f>
        <v/>
      </c>
      <c r="D41" s="488">
        <f>IF(B41="","",TODAY())</f>
        <v/>
      </c>
      <c r="E41" s="526" t="n"/>
      <c r="F41" s="378" t="n"/>
      <c r="G41" s="532" t="n"/>
      <c r="H41" s="533" t="n"/>
      <c r="I41" s="529">
        <f>IF(E41="","",E41+(E41*H41/100*G41))</f>
        <v/>
      </c>
      <c r="J41" s="534">
        <f>IFERROR(I41/G41,"")</f>
        <v/>
      </c>
      <c r="K41" s="535">
        <f>IF(B41="","Pending",IF(M41="","⚠️ Enter Code",IF(IFERROR(VLOOKUP(L41,DB_Agents!$B:$I,8,0),"")=M41,"Pending","🔒 BLOCKED — Wrong Code")))</f>
        <v/>
      </c>
      <c r="L41" s="380" t="inlineStr">
        <is>
          <t>Agent 08</t>
        </is>
      </c>
      <c r="M41" s="491" t="n"/>
      <c r="N41" s="494" t="n"/>
    </row>
    <row r="42" ht="15" customHeight="1" s="341">
      <c r="A42" s="499">
        <f>IF(B42="","",IF(C42="❌ Account Not Found","INVALID","LN"&amp;TEXT(D42,"YYYYMMDD")&amp;TEXT(ROW()-13,"0000")))</f>
        <v/>
      </c>
      <c r="B42" s="495" t="n"/>
      <c r="C42" s="382">
        <f>IF(B42="","",IFERROR(VLOOKUP(B42,DB_Customers!$A:$D,4,0),"❌ Account Not Found"))</f>
        <v/>
      </c>
      <c r="D42" s="497">
        <f>IF(B42="","",TODAY())</f>
        <v/>
      </c>
      <c r="E42" s="526" t="n"/>
      <c r="F42" s="382" t="n"/>
      <c r="G42" s="527" t="n"/>
      <c r="H42" s="528" t="n"/>
      <c r="I42" s="529">
        <f>IF(E42="","",E42+(E42*H42/100*G42))</f>
        <v/>
      </c>
      <c r="J42" s="530">
        <f>IFERROR(I42/G42,"")</f>
        <v/>
      </c>
      <c r="K42" s="531">
        <f>IF(B42="","Pending",IF(M42="","⚠️ Enter Code",IF(IFERROR(VLOOKUP(L42,DB_Agents!$B:$I,8,0),"")=M42,"Pending","🔒 BLOCKED — Wrong Code")))</f>
        <v/>
      </c>
      <c r="L42" s="384" t="inlineStr">
        <is>
          <t>Agent 08</t>
        </is>
      </c>
      <c r="M42" s="491" t="n"/>
      <c r="N42" s="501" t="n"/>
    </row>
    <row r="43" ht="15" customHeight="1" s="341">
      <c r="A43" s="492">
        <f>IF(B43="","",IF(C43="❌ Account Not Found","INVALID","LN"&amp;TEXT(D43,"YYYYMMDD")&amp;TEXT(ROW()-13,"0000")))</f>
        <v/>
      </c>
      <c r="B43" s="486" t="n"/>
      <c r="C43" s="378">
        <f>IF(B43="","",IFERROR(VLOOKUP(B43,DB_Customers!$A:$D,4,0),"❌ Account Not Found"))</f>
        <v/>
      </c>
      <c r="D43" s="488">
        <f>IF(B43="","",TODAY())</f>
        <v/>
      </c>
      <c r="E43" s="526" t="n"/>
      <c r="F43" s="378" t="n"/>
      <c r="G43" s="532" t="n"/>
      <c r="H43" s="533" t="n"/>
      <c r="I43" s="529">
        <f>IF(E43="","",E43+(E43*H43/100*G43))</f>
        <v/>
      </c>
      <c r="J43" s="534">
        <f>IFERROR(I43/G43,"")</f>
        <v/>
      </c>
      <c r="K43" s="535">
        <f>IF(B43="","Pending",IF(M43="","⚠️ Enter Code",IF(IFERROR(VLOOKUP(L43,DB_Agents!$B:$I,8,0),"")=M43,"Pending","🔒 BLOCKED — Wrong Code")))</f>
        <v/>
      </c>
      <c r="L43" s="380" t="inlineStr">
        <is>
          <t>Agent 08</t>
        </is>
      </c>
      <c r="M43" s="491" t="n"/>
      <c r="N43" s="494" t="n"/>
    </row>
    <row r="44" ht="15" customHeight="1" s="341">
      <c r="A44" s="499">
        <f>IF(B44="","",IF(C44="❌ Account Not Found","INVALID","LN"&amp;TEXT(D44,"YYYYMMDD")&amp;TEXT(ROW()-13,"0000")))</f>
        <v/>
      </c>
      <c r="B44" s="495" t="n"/>
      <c r="C44" s="382">
        <f>IF(B44="","",IFERROR(VLOOKUP(B44,DB_Customers!$A:$D,4,0),"❌ Account Not Found"))</f>
        <v/>
      </c>
      <c r="D44" s="497">
        <f>IF(B44="","",TODAY())</f>
        <v/>
      </c>
      <c r="E44" s="526" t="n"/>
      <c r="F44" s="382" t="n"/>
      <c r="G44" s="527" t="n"/>
      <c r="H44" s="528" t="n"/>
      <c r="I44" s="529">
        <f>IF(E44="","",E44+(E44*H44/100*G44))</f>
        <v/>
      </c>
      <c r="J44" s="530">
        <f>IFERROR(I44/G44,"")</f>
        <v/>
      </c>
      <c r="K44" s="531">
        <f>IF(B44="","Pending",IF(M44="","⚠️ Enter Code",IF(IFERROR(VLOOKUP(L44,DB_Agents!$B:$I,8,0),"")=M44,"Pending","🔒 BLOCKED — Wrong Code")))</f>
        <v/>
      </c>
      <c r="L44" s="384" t="inlineStr">
        <is>
          <t>Agent 08</t>
        </is>
      </c>
      <c r="M44" s="491" t="n"/>
      <c r="N44" s="501" t="n"/>
    </row>
    <row r="45" ht="15" customHeight="1" s="341">
      <c r="A45" s="492">
        <f>IF(B45="","",IF(C45="❌ Account Not Found","INVALID","LN"&amp;TEXT(D45,"YYYYMMDD")&amp;TEXT(ROW()-13,"0000")))</f>
        <v/>
      </c>
      <c r="B45" s="486" t="n"/>
      <c r="C45" s="378">
        <f>IF(B45="","",IFERROR(VLOOKUP(B45,DB_Customers!$A:$D,4,0),"❌ Account Not Found"))</f>
        <v/>
      </c>
      <c r="D45" s="488">
        <f>IF(B45="","",TODAY())</f>
        <v/>
      </c>
      <c r="E45" s="526" t="n"/>
      <c r="F45" s="378" t="n"/>
      <c r="G45" s="532" t="n"/>
      <c r="H45" s="533" t="n"/>
      <c r="I45" s="529">
        <f>IF(E45="","",E45+(E45*H45/100*G45))</f>
        <v/>
      </c>
      <c r="J45" s="534">
        <f>IFERROR(I45/G45,"")</f>
        <v/>
      </c>
      <c r="K45" s="535">
        <f>IF(B45="","Pending",IF(M45="","⚠️ Enter Code",IF(IFERROR(VLOOKUP(L45,DB_Agents!$B:$I,8,0),"")=M45,"Pending","🔒 BLOCKED — Wrong Code")))</f>
        <v/>
      </c>
      <c r="L45" s="380" t="inlineStr">
        <is>
          <t>Agent 08</t>
        </is>
      </c>
      <c r="M45" s="491" t="n"/>
      <c r="N45" s="494" t="n"/>
    </row>
    <row r="46" ht="15" customHeight="1" s="341">
      <c r="A46" s="499">
        <f>IF(B46="","",IF(C46="❌ Account Not Found","INVALID","LN"&amp;TEXT(D46,"YYYYMMDD")&amp;TEXT(ROW()-13,"0000")))</f>
        <v/>
      </c>
      <c r="B46" s="495" t="n"/>
      <c r="C46" s="382">
        <f>IF(B46="","",IFERROR(VLOOKUP(B46,DB_Customers!$A:$D,4,0),"❌ Account Not Found"))</f>
        <v/>
      </c>
      <c r="D46" s="497">
        <f>IF(B46="","",TODAY())</f>
        <v/>
      </c>
      <c r="E46" s="526" t="n"/>
      <c r="F46" s="382" t="n"/>
      <c r="G46" s="527" t="n"/>
      <c r="H46" s="528" t="n"/>
      <c r="I46" s="529">
        <f>IF(E46="","",E46+(E46*H46/100*G46))</f>
        <v/>
      </c>
      <c r="J46" s="530">
        <f>IFERROR(I46/G46,"")</f>
        <v/>
      </c>
      <c r="K46" s="531">
        <f>IF(B46="","Pending",IF(M46="","⚠️ Enter Code",IF(IFERROR(VLOOKUP(L46,DB_Agents!$B:$I,8,0),"")=M46,"Pending","🔒 BLOCKED — Wrong Code")))</f>
        <v/>
      </c>
      <c r="L46" s="384" t="inlineStr">
        <is>
          <t>Agent 08</t>
        </is>
      </c>
      <c r="M46" s="491" t="n"/>
      <c r="N46" s="501" t="n"/>
    </row>
    <row r="47" ht="15" customHeight="1" s="341">
      <c r="A47" s="492">
        <f>IF(B47="","",IF(C47="❌ Account Not Found","INVALID","LN"&amp;TEXT(D47,"YYYYMMDD")&amp;TEXT(ROW()-13,"0000")))</f>
        <v/>
      </c>
      <c r="B47" s="486" t="n"/>
      <c r="C47" s="378">
        <f>IF(B47="","",IFERROR(VLOOKUP(B47,DB_Customers!$A:$D,4,0),"❌ Account Not Found"))</f>
        <v/>
      </c>
      <c r="D47" s="488">
        <f>IF(B47="","",TODAY())</f>
        <v/>
      </c>
      <c r="E47" s="526" t="n"/>
      <c r="F47" s="378" t="n"/>
      <c r="G47" s="532" t="n"/>
      <c r="H47" s="533" t="n"/>
      <c r="I47" s="529">
        <f>IF(E47="","",E47+(E47*H47/100*G47))</f>
        <v/>
      </c>
      <c r="J47" s="534">
        <f>IFERROR(I47/G47,"")</f>
        <v/>
      </c>
      <c r="K47" s="535">
        <f>IF(B47="","Pending",IF(M47="","⚠️ Enter Code",IF(IFERROR(VLOOKUP(L47,DB_Agents!$B:$I,8,0),"")=M47,"Pending","🔒 BLOCKED — Wrong Code")))</f>
        <v/>
      </c>
      <c r="L47" s="380" t="inlineStr">
        <is>
          <t>Agent 08</t>
        </is>
      </c>
      <c r="M47" s="491" t="n"/>
      <c r="N47" s="494" t="n"/>
    </row>
    <row r="48" ht="15" customHeight="1" s="341">
      <c r="A48" s="499">
        <f>IF(B48="","",IF(C48="❌ Account Not Found","INVALID","LN"&amp;TEXT(D48,"YYYYMMDD")&amp;TEXT(ROW()-13,"0000")))</f>
        <v/>
      </c>
      <c r="B48" s="495" t="n"/>
      <c r="C48" s="382">
        <f>IF(B48="","",IFERROR(VLOOKUP(B48,DB_Customers!$A:$D,4,0),"❌ Account Not Found"))</f>
        <v/>
      </c>
      <c r="D48" s="497">
        <f>IF(B48="","",TODAY())</f>
        <v/>
      </c>
      <c r="E48" s="526" t="n"/>
      <c r="F48" s="382" t="n"/>
      <c r="G48" s="527" t="n"/>
      <c r="H48" s="528" t="n"/>
      <c r="I48" s="529">
        <f>IF(E48="","",E48+(E48*H48/100*G48))</f>
        <v/>
      </c>
      <c r="J48" s="530">
        <f>IFERROR(I48/G48,"")</f>
        <v/>
      </c>
      <c r="K48" s="531">
        <f>IF(B48="","Pending",IF(M48="","⚠️ Enter Code",IF(IFERROR(VLOOKUP(L48,DB_Agents!$B:$I,8,0),"")=M48,"Pending","🔒 BLOCKED — Wrong Code")))</f>
        <v/>
      </c>
      <c r="L48" s="384" t="inlineStr">
        <is>
          <t>Agent 08</t>
        </is>
      </c>
      <c r="M48" s="491" t="n"/>
      <c r="N48" s="501" t="n"/>
    </row>
    <row r="49" ht="15" customHeight="1" s="341">
      <c r="A49" s="492">
        <f>IF(B49="","",IF(C49="❌ Account Not Found","INVALID","LN"&amp;TEXT(D49,"YYYYMMDD")&amp;TEXT(ROW()-13,"0000")))</f>
        <v/>
      </c>
      <c r="B49" s="486" t="n"/>
      <c r="C49" s="378">
        <f>IF(B49="","",IFERROR(VLOOKUP(B49,DB_Customers!$A:$D,4,0),"❌ Account Not Found"))</f>
        <v/>
      </c>
      <c r="D49" s="488">
        <f>IF(B49="","",TODAY())</f>
        <v/>
      </c>
      <c r="E49" s="526" t="n"/>
      <c r="F49" s="378" t="n"/>
      <c r="G49" s="532" t="n"/>
      <c r="H49" s="533" t="n"/>
      <c r="I49" s="529">
        <f>IF(E49="","",E49+(E49*H49/100*G49))</f>
        <v/>
      </c>
      <c r="J49" s="534">
        <f>IFERROR(I49/G49,"")</f>
        <v/>
      </c>
      <c r="K49" s="535">
        <f>IF(B49="","Pending",IF(M49="","⚠️ Enter Code",IF(IFERROR(VLOOKUP(L49,DB_Agents!$B:$I,8,0),"")=M49,"Pending","🔒 BLOCKED — Wrong Code")))</f>
        <v/>
      </c>
      <c r="L49" s="380" t="inlineStr">
        <is>
          <t>Agent 08</t>
        </is>
      </c>
      <c r="M49" s="491" t="n"/>
      <c r="N49" s="494" t="n"/>
    </row>
    <row r="50" ht="15" customHeight="1" s="341">
      <c r="A50" s="499">
        <f>IF(B50="","",IF(C50="❌ Account Not Found","INVALID","LN"&amp;TEXT(D50,"YYYYMMDD")&amp;TEXT(ROW()-13,"0000")))</f>
        <v/>
      </c>
      <c r="B50" s="495" t="n"/>
      <c r="C50" s="382">
        <f>IF(B50="","",IFERROR(VLOOKUP(B50,DB_Customers!$A:$D,4,0),"❌ Account Not Found"))</f>
        <v/>
      </c>
      <c r="D50" s="497">
        <f>IF(B50="","",TODAY())</f>
        <v/>
      </c>
      <c r="E50" s="526" t="n"/>
      <c r="F50" s="382" t="n"/>
      <c r="G50" s="527" t="n"/>
      <c r="H50" s="528" t="n"/>
      <c r="I50" s="529">
        <f>IF(E50="","",E50+(E50*H50/100*G50))</f>
        <v/>
      </c>
      <c r="J50" s="530">
        <f>IFERROR(I50/G50,"")</f>
        <v/>
      </c>
      <c r="K50" s="531">
        <f>IF(B50="","Pending",IF(M50="","⚠️ Enter Code",IF(IFERROR(VLOOKUP(L50,DB_Agents!$B:$I,8,0),"")=M50,"Pending","🔒 BLOCKED — Wrong Code")))</f>
        <v/>
      </c>
      <c r="L50" s="384" t="inlineStr">
        <is>
          <t>Agent 08</t>
        </is>
      </c>
      <c r="M50" s="491" t="n"/>
      <c r="N50" s="501" t="n"/>
    </row>
    <row r="51" ht="15" customHeight="1" s="341">
      <c r="A51" s="492">
        <f>IF(B51="","",IF(C51="❌ Account Not Found","INVALID","LN"&amp;TEXT(D51,"YYYYMMDD")&amp;TEXT(ROW()-13,"0000")))</f>
        <v/>
      </c>
      <c r="B51" s="486" t="n"/>
      <c r="C51" s="378">
        <f>IF(B51="","",IFERROR(VLOOKUP(B51,DB_Customers!$A:$D,4,0),"❌ Account Not Found"))</f>
        <v/>
      </c>
      <c r="D51" s="488">
        <f>IF(B51="","",TODAY())</f>
        <v/>
      </c>
      <c r="E51" s="526" t="n"/>
      <c r="F51" s="378" t="n"/>
      <c r="G51" s="532" t="n"/>
      <c r="H51" s="533" t="n"/>
      <c r="I51" s="529">
        <f>IF(E51="","",E51+(E51*H51/100*G51))</f>
        <v/>
      </c>
      <c r="J51" s="534">
        <f>IFERROR(I51/G51,"")</f>
        <v/>
      </c>
      <c r="K51" s="535">
        <f>IF(B51="","Pending",IF(M51="","⚠️ Enter Code",IF(IFERROR(VLOOKUP(L51,DB_Agents!$B:$I,8,0),"")=M51,"Pending","🔒 BLOCKED — Wrong Code")))</f>
        <v/>
      </c>
      <c r="L51" s="380" t="inlineStr">
        <is>
          <t>Agent 08</t>
        </is>
      </c>
      <c r="M51" s="491" t="n"/>
      <c r="N51" s="494" t="n"/>
    </row>
    <row r="52" ht="15" customHeight="1" s="341">
      <c r="A52" s="499">
        <f>IF(B52="","",IF(C52="❌ Account Not Found","INVALID","LN"&amp;TEXT(D52,"YYYYMMDD")&amp;TEXT(ROW()-13,"0000")))</f>
        <v/>
      </c>
      <c r="B52" s="495" t="n"/>
      <c r="C52" s="382">
        <f>IF(B52="","",IFERROR(VLOOKUP(B52,DB_Customers!$A:$D,4,0),"❌ Account Not Found"))</f>
        <v/>
      </c>
      <c r="D52" s="497">
        <f>IF(B52="","",TODAY())</f>
        <v/>
      </c>
      <c r="E52" s="526" t="n"/>
      <c r="F52" s="382" t="n"/>
      <c r="G52" s="527" t="n"/>
      <c r="H52" s="528" t="n"/>
      <c r="I52" s="529">
        <f>IF(E52="","",E52+(E52*H52/100*G52))</f>
        <v/>
      </c>
      <c r="J52" s="530">
        <f>IFERROR(I52/G52,"")</f>
        <v/>
      </c>
      <c r="K52" s="531">
        <f>IF(B52="","Pending",IF(M52="","⚠️ Enter Code",IF(IFERROR(VLOOKUP(L52,DB_Agents!$B:$I,8,0),"")=M52,"Pending","🔒 BLOCKED — Wrong Code")))</f>
        <v/>
      </c>
      <c r="L52" s="384" t="inlineStr">
        <is>
          <t>Agent 08</t>
        </is>
      </c>
      <c r="M52" s="491" t="n"/>
      <c r="N52" s="501" t="n"/>
    </row>
    <row r="53" ht="15" customHeight="1" s="341">
      <c r="A53" s="492">
        <f>IF(B53="","",IF(C53="❌ Account Not Found","INVALID","LN"&amp;TEXT(D53,"YYYYMMDD")&amp;TEXT(ROW()-13,"0000")))</f>
        <v/>
      </c>
      <c r="B53" s="486" t="n"/>
      <c r="C53" s="378">
        <f>IF(B53="","",IFERROR(VLOOKUP(B53,DB_Customers!$A:$D,4,0),"❌ Account Not Found"))</f>
        <v/>
      </c>
      <c r="D53" s="488">
        <f>IF(B53="","",TODAY())</f>
        <v/>
      </c>
      <c r="E53" s="526" t="n"/>
      <c r="F53" s="378" t="n"/>
      <c r="G53" s="532" t="n"/>
      <c r="H53" s="533" t="n"/>
      <c r="I53" s="529">
        <f>IF(E53="","",E53+(E53*H53/100*G53))</f>
        <v/>
      </c>
      <c r="J53" s="534">
        <f>IFERROR(I53/G53,"")</f>
        <v/>
      </c>
      <c r="K53" s="535">
        <f>IF(B53="","Pending",IF(M53="","⚠️ Enter Code",IF(IFERROR(VLOOKUP(L53,DB_Agents!$B:$I,8,0),"")=M53,"Pending","🔒 BLOCKED — Wrong Code")))</f>
        <v/>
      </c>
      <c r="L53" s="380" t="inlineStr">
        <is>
          <t>Agent 08</t>
        </is>
      </c>
      <c r="M53" s="491" t="n"/>
      <c r="N53" s="494" t="n"/>
    </row>
    <row r="54" ht="15" customHeight="1" s="341">
      <c r="A54" s="499">
        <f>IF(B54="","",IF(C54="❌ Account Not Found","INVALID","LN"&amp;TEXT(D54,"YYYYMMDD")&amp;TEXT(ROW()-13,"0000")))</f>
        <v/>
      </c>
      <c r="B54" s="495" t="n"/>
      <c r="C54" s="382">
        <f>IF(B54="","",IFERROR(VLOOKUP(B54,DB_Customers!$A:$D,4,0),"❌ Account Not Found"))</f>
        <v/>
      </c>
      <c r="D54" s="497">
        <f>IF(B54="","",TODAY())</f>
        <v/>
      </c>
      <c r="E54" s="526" t="n"/>
      <c r="F54" s="382" t="n"/>
      <c r="G54" s="527" t="n"/>
      <c r="H54" s="528" t="n"/>
      <c r="I54" s="529">
        <f>IF(E54="","",E54+(E54*H54/100*G54))</f>
        <v/>
      </c>
      <c r="J54" s="530">
        <f>IFERROR(I54/G54,"")</f>
        <v/>
      </c>
      <c r="K54" s="531">
        <f>IF(B54="","Pending",IF(M54="","⚠️ Enter Code",IF(IFERROR(VLOOKUP(L54,DB_Agents!$B:$I,8,0),"")=M54,"Pending","🔒 BLOCKED — Wrong Code")))</f>
        <v/>
      </c>
      <c r="L54" s="384" t="inlineStr">
        <is>
          <t>Agent 08</t>
        </is>
      </c>
      <c r="M54" s="491" t="n"/>
      <c r="N54" s="501" t="n"/>
    </row>
    <row r="55" ht="15" customHeight="1" s="341">
      <c r="A55" s="492">
        <f>IF(B55="","",IF(C55="❌ Account Not Found","INVALID","LN"&amp;TEXT(D55,"YYYYMMDD")&amp;TEXT(ROW()-13,"0000")))</f>
        <v/>
      </c>
      <c r="B55" s="486" t="n"/>
      <c r="C55" s="378">
        <f>IF(B55="","",IFERROR(VLOOKUP(B55,DB_Customers!$A:$D,4,0),"❌ Account Not Found"))</f>
        <v/>
      </c>
      <c r="D55" s="488">
        <f>IF(B55="","",TODAY())</f>
        <v/>
      </c>
      <c r="E55" s="526" t="n"/>
      <c r="F55" s="378" t="n"/>
      <c r="G55" s="532" t="n"/>
      <c r="H55" s="533" t="n"/>
      <c r="I55" s="529">
        <f>IF(E55="","",E55+(E55*H55/100*G55))</f>
        <v/>
      </c>
      <c r="J55" s="534">
        <f>IFERROR(I55/G55,"")</f>
        <v/>
      </c>
      <c r="K55" s="535">
        <f>IF(B55="","Pending",IF(M55="","⚠️ Enter Code",IF(IFERROR(VLOOKUP(L55,DB_Agents!$B:$I,8,0),"")=M55,"Pending","🔒 BLOCKED — Wrong Code")))</f>
        <v/>
      </c>
      <c r="L55" s="380" t="inlineStr">
        <is>
          <t>Agent 08</t>
        </is>
      </c>
      <c r="M55" s="491" t="n"/>
      <c r="N55" s="494" t="n"/>
    </row>
    <row r="56" ht="15" customHeight="1" s="341">
      <c r="A56" s="499">
        <f>IF(B56="","",IF(C56="❌ Account Not Found","INVALID","LN"&amp;TEXT(D56,"YYYYMMDD")&amp;TEXT(ROW()-13,"0000")))</f>
        <v/>
      </c>
      <c r="B56" s="495" t="n"/>
      <c r="C56" s="382">
        <f>IF(B56="","",IFERROR(VLOOKUP(B56,DB_Customers!$A:$D,4,0),"❌ Account Not Found"))</f>
        <v/>
      </c>
      <c r="D56" s="497">
        <f>IF(B56="","",TODAY())</f>
        <v/>
      </c>
      <c r="E56" s="526" t="n"/>
      <c r="F56" s="382" t="n"/>
      <c r="G56" s="527" t="n"/>
      <c r="H56" s="528" t="n"/>
      <c r="I56" s="529">
        <f>IF(E56="","",E56+(E56*H56/100*G56))</f>
        <v/>
      </c>
      <c r="J56" s="530">
        <f>IFERROR(I56/G56,"")</f>
        <v/>
      </c>
      <c r="K56" s="531">
        <f>IF(B56="","Pending",IF(M56="","⚠️ Enter Code",IF(IFERROR(VLOOKUP(L56,DB_Agents!$B:$I,8,0),"")=M56,"Pending","🔒 BLOCKED — Wrong Code")))</f>
        <v/>
      </c>
      <c r="L56" s="384" t="inlineStr">
        <is>
          <t>Agent 08</t>
        </is>
      </c>
      <c r="M56" s="491" t="n"/>
      <c r="N56" s="501" t="n"/>
    </row>
    <row r="57" ht="15" customHeight="1" s="341">
      <c r="A57" s="492">
        <f>IF(B57="","",IF(C57="❌ Account Not Found","INVALID","LN"&amp;TEXT(D57,"YYYYMMDD")&amp;TEXT(ROW()-13,"0000")))</f>
        <v/>
      </c>
      <c r="B57" s="486" t="n"/>
      <c r="C57" s="378">
        <f>IF(B57="","",IFERROR(VLOOKUP(B57,DB_Customers!$A:$D,4,0),"❌ Account Not Found"))</f>
        <v/>
      </c>
      <c r="D57" s="488">
        <f>IF(B57="","",TODAY())</f>
        <v/>
      </c>
      <c r="E57" s="526" t="n"/>
      <c r="F57" s="378" t="n"/>
      <c r="G57" s="532" t="n"/>
      <c r="H57" s="533" t="n"/>
      <c r="I57" s="529">
        <f>IF(E57="","",E57+(E57*H57/100*G57))</f>
        <v/>
      </c>
      <c r="J57" s="534">
        <f>IFERROR(I57/G57,"")</f>
        <v/>
      </c>
      <c r="K57" s="535">
        <f>IF(B57="","Pending",IF(M57="","⚠️ Enter Code",IF(IFERROR(VLOOKUP(L57,DB_Agents!$B:$I,8,0),"")=M57,"Pending","🔒 BLOCKED — Wrong Code")))</f>
        <v/>
      </c>
      <c r="L57" s="380" t="inlineStr">
        <is>
          <t>Agent 08</t>
        </is>
      </c>
      <c r="M57" s="491" t="n"/>
      <c r="N57" s="494" t="n"/>
    </row>
    <row r="58" ht="15" customHeight="1" s="341">
      <c r="A58" s="499">
        <f>IF(B58="","",IF(C58="❌ Account Not Found","INVALID","LN"&amp;TEXT(D58,"YYYYMMDD")&amp;TEXT(ROW()-13,"0000")))</f>
        <v/>
      </c>
      <c r="B58" s="495" t="n"/>
      <c r="C58" s="382">
        <f>IF(B58="","",IFERROR(VLOOKUP(B58,DB_Customers!$A:$D,4,0),"❌ Account Not Found"))</f>
        <v/>
      </c>
      <c r="D58" s="497">
        <f>IF(B58="","",TODAY())</f>
        <v/>
      </c>
      <c r="E58" s="526" t="n"/>
      <c r="F58" s="382" t="n"/>
      <c r="G58" s="527" t="n"/>
      <c r="H58" s="528" t="n"/>
      <c r="I58" s="529">
        <f>IF(E58="","",E58+(E58*H58/100*G58))</f>
        <v/>
      </c>
      <c r="J58" s="530">
        <f>IFERROR(I58/G58,"")</f>
        <v/>
      </c>
      <c r="K58" s="531">
        <f>IF(B58="","Pending",IF(M58="","⚠️ Enter Code",IF(IFERROR(VLOOKUP(L58,DB_Agents!$B:$I,8,0),"")=M58,"Pending","🔒 BLOCKED — Wrong Code")))</f>
        <v/>
      </c>
      <c r="L58" s="384" t="inlineStr">
        <is>
          <t>Agent 08</t>
        </is>
      </c>
      <c r="M58" s="491" t="n"/>
      <c r="N58" s="501" t="n"/>
    </row>
    <row r="59" ht="15" customHeight="1" s="341">
      <c r="A59" s="492">
        <f>IF(B59="","",IF(C59="❌ Account Not Found","INVALID","LN"&amp;TEXT(D59,"YYYYMMDD")&amp;TEXT(ROW()-13,"0000")))</f>
        <v/>
      </c>
      <c r="B59" s="486" t="n"/>
      <c r="C59" s="378">
        <f>IF(B59="","",IFERROR(VLOOKUP(B59,DB_Customers!$A:$D,4,0),"❌ Account Not Found"))</f>
        <v/>
      </c>
      <c r="D59" s="488">
        <f>IF(B59="","",TODAY())</f>
        <v/>
      </c>
      <c r="E59" s="526" t="n"/>
      <c r="F59" s="378" t="n"/>
      <c r="G59" s="532" t="n"/>
      <c r="H59" s="533" t="n"/>
      <c r="I59" s="529">
        <f>IF(E59="","",E59+(E59*H59/100*G59))</f>
        <v/>
      </c>
      <c r="J59" s="534">
        <f>IFERROR(I59/G59,"")</f>
        <v/>
      </c>
      <c r="K59" s="535">
        <f>IF(B59="","Pending",IF(M59="","⚠️ Enter Code",IF(IFERROR(VLOOKUP(L59,DB_Agents!$B:$I,8,0),"")=M59,"Pending","🔒 BLOCKED — Wrong Code")))</f>
        <v/>
      </c>
      <c r="L59" s="380" t="inlineStr">
        <is>
          <t>Agent 08</t>
        </is>
      </c>
      <c r="M59" s="491" t="n"/>
      <c r="N59" s="494" t="n"/>
    </row>
    <row r="60" ht="15" customHeight="1" s="341">
      <c r="A60" s="499">
        <f>IF(B60="","",IF(C60="❌ Account Not Found","INVALID","LN"&amp;TEXT(D60,"YYYYMMDD")&amp;TEXT(ROW()-13,"0000")))</f>
        <v/>
      </c>
      <c r="B60" s="495" t="n"/>
      <c r="C60" s="382">
        <f>IF(B60="","",IFERROR(VLOOKUP(B60,DB_Customers!$A:$D,4,0),"❌ Account Not Found"))</f>
        <v/>
      </c>
      <c r="D60" s="497">
        <f>IF(B60="","",TODAY())</f>
        <v/>
      </c>
      <c r="E60" s="526" t="n"/>
      <c r="F60" s="382" t="n"/>
      <c r="G60" s="527" t="n"/>
      <c r="H60" s="528" t="n"/>
      <c r="I60" s="529">
        <f>IF(E60="","",E60+(E60*H60/100*G60))</f>
        <v/>
      </c>
      <c r="J60" s="530">
        <f>IFERROR(I60/G60,"")</f>
        <v/>
      </c>
      <c r="K60" s="531">
        <f>IF(B60="","Pending",IF(M60="","⚠️ Enter Code",IF(IFERROR(VLOOKUP(L60,DB_Agents!$B:$I,8,0),"")=M60,"Pending","🔒 BLOCKED — Wrong Code")))</f>
        <v/>
      </c>
      <c r="L60" s="384" t="inlineStr">
        <is>
          <t>Agent 08</t>
        </is>
      </c>
      <c r="M60" s="491" t="n"/>
      <c r="N60" s="501" t="n"/>
    </row>
    <row r="61" ht="15" customHeight="1" s="341">
      <c r="A61" s="492">
        <f>IF(B61="","",IF(C61="❌ Account Not Found","INVALID","LN"&amp;TEXT(D61,"YYYYMMDD")&amp;TEXT(ROW()-13,"0000")))</f>
        <v/>
      </c>
      <c r="B61" s="486" t="n"/>
      <c r="C61" s="378">
        <f>IF(B61="","",IFERROR(VLOOKUP(B61,DB_Customers!$A:$D,4,0),"❌ Account Not Found"))</f>
        <v/>
      </c>
      <c r="D61" s="488">
        <f>IF(B61="","",TODAY())</f>
        <v/>
      </c>
      <c r="E61" s="526" t="n"/>
      <c r="F61" s="378" t="n"/>
      <c r="G61" s="532" t="n"/>
      <c r="H61" s="533" t="n"/>
      <c r="I61" s="529">
        <f>IF(E61="","",E61+(E61*H61/100*G61))</f>
        <v/>
      </c>
      <c r="J61" s="534">
        <f>IFERROR(I61/G61,"")</f>
        <v/>
      </c>
      <c r="K61" s="535">
        <f>IF(B61="","Pending",IF(M61="","⚠️ Enter Code",IF(IFERROR(VLOOKUP(L61,DB_Agents!$B:$I,8,0),"")=M61,"Pending","🔒 BLOCKED — Wrong Code")))</f>
        <v/>
      </c>
      <c r="L61" s="380" t="inlineStr">
        <is>
          <t>Agent 08</t>
        </is>
      </c>
      <c r="M61" s="491" t="n"/>
      <c r="N61" s="494" t="n"/>
    </row>
    <row r="62" ht="15" customHeight="1" s="341">
      <c r="A62" s="499">
        <f>IF(B62="","",IF(C62="❌ Account Not Found","INVALID","LN"&amp;TEXT(D62,"YYYYMMDD")&amp;TEXT(ROW()-13,"0000")))</f>
        <v/>
      </c>
      <c r="B62" s="495" t="n"/>
      <c r="C62" s="382">
        <f>IF(B62="","",IFERROR(VLOOKUP(B62,DB_Customers!$A:$D,4,0),"❌ Account Not Found"))</f>
        <v/>
      </c>
      <c r="D62" s="497">
        <f>IF(B62="","",TODAY())</f>
        <v/>
      </c>
      <c r="E62" s="526" t="n"/>
      <c r="F62" s="382" t="n"/>
      <c r="G62" s="527" t="n"/>
      <c r="H62" s="528" t="n"/>
      <c r="I62" s="529">
        <f>IF(E62="","",E62+(E62*H62/100*G62))</f>
        <v/>
      </c>
      <c r="J62" s="530">
        <f>IFERROR(I62/G62,"")</f>
        <v/>
      </c>
      <c r="K62" s="531">
        <f>IF(B62="","Pending",IF(M62="","⚠️ Enter Code",IF(IFERROR(VLOOKUP(L62,DB_Agents!$B:$I,8,0),"")=M62,"Pending","🔒 BLOCKED — Wrong Code")))</f>
        <v/>
      </c>
      <c r="L62" s="384" t="inlineStr">
        <is>
          <t>Agent 08</t>
        </is>
      </c>
      <c r="M62" s="491" t="n"/>
      <c r="N62" s="501" t="n"/>
    </row>
    <row r="63" ht="15" customHeight="1" s="341">
      <c r="A63" s="492">
        <f>IF(B63="","",IF(C63="❌ Account Not Found","INVALID","LN"&amp;TEXT(D63,"YYYYMMDD")&amp;TEXT(ROW()-13,"0000")))</f>
        <v/>
      </c>
      <c r="B63" s="486" t="n"/>
      <c r="C63" s="378">
        <f>IF(B63="","",IFERROR(VLOOKUP(B63,DB_Customers!$A:$D,4,0),"❌ Account Not Found"))</f>
        <v/>
      </c>
      <c r="D63" s="488">
        <f>IF(B63="","",TODAY())</f>
        <v/>
      </c>
      <c r="E63" s="526" t="n"/>
      <c r="F63" s="378" t="n"/>
      <c r="G63" s="532" t="n"/>
      <c r="H63" s="533" t="n"/>
      <c r="I63" s="529">
        <f>IF(E63="","",E63+(E63*H63/100*G63))</f>
        <v/>
      </c>
      <c r="J63" s="534">
        <f>IFERROR(I63/G63,"")</f>
        <v/>
      </c>
      <c r="K63" s="535">
        <f>IF(B63="","Pending",IF(M63="","⚠️ Enter Code",IF(IFERROR(VLOOKUP(L63,DB_Agents!$B:$I,8,0),"")=M63,"Pending","🔒 BLOCKED — Wrong Code")))</f>
        <v/>
      </c>
      <c r="L63" s="380" t="inlineStr">
        <is>
          <t>Agent 08</t>
        </is>
      </c>
      <c r="M63" s="491" t="n"/>
      <c r="N63" s="494" t="n"/>
    </row>
    <row r="64" ht="15" customHeight="1" s="341">
      <c r="A64" s="499">
        <f>IF(B64="","",IF(C64="❌ Account Not Found","INVALID","LN"&amp;TEXT(D64,"YYYYMMDD")&amp;TEXT(ROW()-13,"0000")))</f>
        <v/>
      </c>
      <c r="B64" s="495" t="n"/>
      <c r="C64" s="382">
        <f>IF(B64="","",IFERROR(VLOOKUP(B64,DB_Customers!$A:$D,4,0),"❌ Account Not Found"))</f>
        <v/>
      </c>
      <c r="D64" s="497">
        <f>IF(B64="","",TODAY())</f>
        <v/>
      </c>
      <c r="E64" s="526" t="n"/>
      <c r="F64" s="382" t="n"/>
      <c r="G64" s="527" t="n"/>
      <c r="H64" s="528" t="n"/>
      <c r="I64" s="529">
        <f>IF(E64="","",E64+(E64*H64/100*G64))</f>
        <v/>
      </c>
      <c r="J64" s="530">
        <f>IFERROR(I64/G64,"")</f>
        <v/>
      </c>
      <c r="K64" s="531">
        <f>IF(B64="","Pending",IF(M64="","⚠️ Enter Code",IF(IFERROR(VLOOKUP(L64,DB_Agents!$B:$I,8,0),"")=M64,"Pending","🔒 BLOCKED — Wrong Code")))</f>
        <v/>
      </c>
      <c r="L64" s="384" t="inlineStr">
        <is>
          <t>Agent 08</t>
        </is>
      </c>
      <c r="M64" s="491" t="n"/>
      <c r="N64" s="501" t="n"/>
    </row>
    <row r="65" ht="15" customHeight="1" s="341">
      <c r="A65" s="492">
        <f>IF(B65="","",IF(C65="❌ Account Not Found","INVALID","LN"&amp;TEXT(D65,"YYYYMMDD")&amp;TEXT(ROW()-13,"0000")))</f>
        <v/>
      </c>
      <c r="B65" s="486" t="n"/>
      <c r="C65" s="378">
        <f>IF(B65="","",IFERROR(VLOOKUP(B65,DB_Customers!$A:$D,4,0),"❌ Account Not Found"))</f>
        <v/>
      </c>
      <c r="D65" s="488">
        <f>IF(B65="","",TODAY())</f>
        <v/>
      </c>
      <c r="E65" s="526" t="n"/>
      <c r="F65" s="378" t="n"/>
      <c r="G65" s="532" t="n"/>
      <c r="H65" s="533" t="n"/>
      <c r="I65" s="529">
        <f>IF(E65="","",E65+(E65*H65/100*G65))</f>
        <v/>
      </c>
      <c r="J65" s="534">
        <f>IFERROR(I65/G65,"")</f>
        <v/>
      </c>
      <c r="K65" s="535">
        <f>IF(B65="","Pending",IF(M65="","⚠️ Enter Code",IF(IFERROR(VLOOKUP(L65,DB_Agents!$B:$I,8,0),"")=M65,"Pending","🔒 BLOCKED — Wrong Code")))</f>
        <v/>
      </c>
      <c r="L65" s="380" t="inlineStr">
        <is>
          <t>Agent 08</t>
        </is>
      </c>
      <c r="M65" s="491" t="n"/>
      <c r="N65" s="494" t="n"/>
    </row>
    <row r="66" ht="15" customHeight="1" s="341">
      <c r="A66" s="499">
        <f>IF(B66="","",IF(C66="❌ Account Not Found","INVALID","LN"&amp;TEXT(D66,"YYYYMMDD")&amp;TEXT(ROW()-13,"0000")))</f>
        <v/>
      </c>
      <c r="B66" s="495" t="n"/>
      <c r="C66" s="382">
        <f>IF(B66="","",IFERROR(VLOOKUP(B66,DB_Customers!$A:$D,4,0),"❌ Account Not Found"))</f>
        <v/>
      </c>
      <c r="D66" s="497">
        <f>IF(B66="","",TODAY())</f>
        <v/>
      </c>
      <c r="E66" s="526" t="n"/>
      <c r="F66" s="382" t="n"/>
      <c r="G66" s="527" t="n"/>
      <c r="H66" s="528" t="n"/>
      <c r="I66" s="529">
        <f>IF(E66="","",E66+(E66*H66/100*G66))</f>
        <v/>
      </c>
      <c r="J66" s="530">
        <f>IFERROR(I66/G66,"")</f>
        <v/>
      </c>
      <c r="K66" s="531">
        <f>IF(B66="","Pending",IF(M66="","⚠️ Enter Code",IF(IFERROR(VLOOKUP(L66,DB_Agents!$B:$I,8,0),"")=M66,"Pending","🔒 BLOCKED — Wrong Code")))</f>
        <v/>
      </c>
      <c r="L66" s="384" t="inlineStr">
        <is>
          <t>Agent 08</t>
        </is>
      </c>
      <c r="M66" s="491" t="n"/>
      <c r="N66" s="501" t="n"/>
    </row>
    <row r="67" ht="15" customHeight="1" s="341">
      <c r="A67" s="492">
        <f>IF(B67="","",IF(C67="❌ Account Not Found","INVALID","LN"&amp;TEXT(D67,"YYYYMMDD")&amp;TEXT(ROW()-13,"0000")))</f>
        <v/>
      </c>
      <c r="B67" s="486" t="n"/>
      <c r="C67" s="378">
        <f>IF(B67="","",IFERROR(VLOOKUP(B67,DB_Customers!$A:$D,4,0),"❌ Account Not Found"))</f>
        <v/>
      </c>
      <c r="D67" s="488">
        <f>IF(B67="","",TODAY())</f>
        <v/>
      </c>
      <c r="E67" s="526" t="n"/>
      <c r="F67" s="378" t="n"/>
      <c r="G67" s="532" t="n"/>
      <c r="H67" s="533" t="n"/>
      <c r="I67" s="529">
        <f>IF(E67="","",E67+(E67*H67/100*G67))</f>
        <v/>
      </c>
      <c r="J67" s="534">
        <f>IFERROR(I67/G67,"")</f>
        <v/>
      </c>
      <c r="K67" s="535">
        <f>IF(B67="","Pending",IF(M67="","⚠️ Enter Code",IF(IFERROR(VLOOKUP(L67,DB_Agents!$B:$I,8,0),"")=M67,"Pending","🔒 BLOCKED — Wrong Code")))</f>
        <v/>
      </c>
      <c r="L67" s="380" t="inlineStr">
        <is>
          <t>Agent 08</t>
        </is>
      </c>
      <c r="M67" s="491" t="n"/>
      <c r="N67" s="494" t="n"/>
    </row>
    <row r="68" ht="15" customHeight="1" s="341">
      <c r="A68" s="499">
        <f>IF(B68="","",IF(C68="❌ Account Not Found","INVALID","LN"&amp;TEXT(D68,"YYYYMMDD")&amp;TEXT(ROW()-13,"0000")))</f>
        <v/>
      </c>
      <c r="B68" s="495" t="n"/>
      <c r="C68" s="382">
        <f>IF(B68="","",IFERROR(VLOOKUP(B68,DB_Customers!$A:$D,4,0),"❌ Account Not Found"))</f>
        <v/>
      </c>
      <c r="D68" s="497">
        <f>IF(B68="","",TODAY())</f>
        <v/>
      </c>
      <c r="E68" s="526" t="n"/>
      <c r="F68" s="382" t="n"/>
      <c r="G68" s="527" t="n"/>
      <c r="H68" s="528" t="n"/>
      <c r="I68" s="529">
        <f>IF(E68="","",E68+(E68*H68/100*G68))</f>
        <v/>
      </c>
      <c r="J68" s="530">
        <f>IFERROR(I68/G68,"")</f>
        <v/>
      </c>
      <c r="K68" s="531">
        <f>IF(B68="","Pending",IF(M68="","⚠️ Enter Code",IF(IFERROR(VLOOKUP(L68,DB_Agents!$B:$I,8,0),"")=M68,"Pending","🔒 BLOCKED — Wrong Code")))</f>
        <v/>
      </c>
      <c r="L68" s="384" t="inlineStr">
        <is>
          <t>Agent 08</t>
        </is>
      </c>
      <c r="M68" s="491" t="n"/>
      <c r="N68" s="501" t="n"/>
    </row>
    <row r="69" ht="15" customHeight="1" s="341">
      <c r="A69" s="492">
        <f>IF(B69="","",IF(C69="❌ Account Not Found","INVALID","LN"&amp;TEXT(D69,"YYYYMMDD")&amp;TEXT(ROW()-13,"0000")))</f>
        <v/>
      </c>
      <c r="B69" s="486" t="n"/>
      <c r="C69" s="378">
        <f>IF(B69="","",IFERROR(VLOOKUP(B69,DB_Customers!$A:$D,4,0),"❌ Account Not Found"))</f>
        <v/>
      </c>
      <c r="D69" s="488">
        <f>IF(B69="","",TODAY())</f>
        <v/>
      </c>
      <c r="E69" s="526" t="n"/>
      <c r="F69" s="378" t="n"/>
      <c r="G69" s="532" t="n"/>
      <c r="H69" s="533" t="n"/>
      <c r="I69" s="529">
        <f>IF(E69="","",E69+(E69*H69/100*G69))</f>
        <v/>
      </c>
      <c r="J69" s="534">
        <f>IFERROR(I69/G69,"")</f>
        <v/>
      </c>
      <c r="K69" s="535">
        <f>IF(B69="","Pending",IF(M69="","⚠️ Enter Code",IF(IFERROR(VLOOKUP(L69,DB_Agents!$B:$I,8,0),"")=M69,"Pending","🔒 BLOCKED — Wrong Code")))</f>
        <v/>
      </c>
      <c r="L69" s="380" t="inlineStr">
        <is>
          <t>Agent 08</t>
        </is>
      </c>
      <c r="M69" s="491" t="n"/>
      <c r="N69" s="494" t="n"/>
    </row>
    <row r="70" ht="15" customHeight="1" s="341">
      <c r="A70" s="499">
        <f>IF(B70="","",IF(C70="❌ Account Not Found","INVALID","LN"&amp;TEXT(D70,"YYYYMMDD")&amp;TEXT(ROW()-13,"0000")))</f>
        <v/>
      </c>
      <c r="B70" s="495" t="n"/>
      <c r="C70" s="382">
        <f>IF(B70="","",IFERROR(VLOOKUP(B70,DB_Customers!$A:$D,4,0),"❌ Account Not Found"))</f>
        <v/>
      </c>
      <c r="D70" s="497">
        <f>IF(B70="","",TODAY())</f>
        <v/>
      </c>
      <c r="E70" s="526" t="n"/>
      <c r="F70" s="382" t="n"/>
      <c r="G70" s="527" t="n"/>
      <c r="H70" s="528" t="n"/>
      <c r="I70" s="529">
        <f>IF(E70="","",E70+(E70*H70/100*G70))</f>
        <v/>
      </c>
      <c r="J70" s="530">
        <f>IFERROR(I70/G70,"")</f>
        <v/>
      </c>
      <c r="K70" s="531">
        <f>IF(B70="","Pending",IF(M70="","⚠️ Enter Code",IF(IFERROR(VLOOKUP(L70,DB_Agents!$B:$I,8,0),"")=M70,"Pending","🔒 BLOCKED — Wrong Code")))</f>
        <v/>
      </c>
      <c r="L70" s="384" t="inlineStr">
        <is>
          <t>Agent 08</t>
        </is>
      </c>
      <c r="M70" s="491" t="n"/>
      <c r="N70" s="501" t="n"/>
    </row>
    <row r="71" ht="15" customHeight="1" s="341">
      <c r="A71" s="492">
        <f>IF(B71="","",IF(C71="❌ Account Not Found","INVALID","LN"&amp;TEXT(D71,"YYYYMMDD")&amp;TEXT(ROW()-13,"0000")))</f>
        <v/>
      </c>
      <c r="B71" s="486" t="n"/>
      <c r="C71" s="378">
        <f>IF(B71="","",IFERROR(VLOOKUP(B71,DB_Customers!$A:$D,4,0),"❌ Account Not Found"))</f>
        <v/>
      </c>
      <c r="D71" s="488">
        <f>IF(B71="","",TODAY())</f>
        <v/>
      </c>
      <c r="E71" s="526" t="n"/>
      <c r="F71" s="378" t="n"/>
      <c r="G71" s="532" t="n"/>
      <c r="H71" s="533" t="n"/>
      <c r="I71" s="529">
        <f>IF(E71="","",E71+(E71*H71/100*G71))</f>
        <v/>
      </c>
      <c r="J71" s="534">
        <f>IFERROR(I71/G71,"")</f>
        <v/>
      </c>
      <c r="K71" s="535">
        <f>IF(B71="","Pending",IF(M71="","⚠️ Enter Code",IF(IFERROR(VLOOKUP(L71,DB_Agents!$B:$I,8,0),"")=M71,"Pending","🔒 BLOCKED — Wrong Code")))</f>
        <v/>
      </c>
      <c r="L71" s="380" t="inlineStr">
        <is>
          <t>Agent 08</t>
        </is>
      </c>
      <c r="M71" s="491" t="n"/>
      <c r="N71" s="494" t="n"/>
    </row>
    <row r="72" ht="15" customHeight="1" s="341">
      <c r="A72" s="499">
        <f>IF(B72="","",IF(C72="❌ Account Not Found","INVALID","LN"&amp;TEXT(D72,"YYYYMMDD")&amp;TEXT(ROW()-13,"0000")))</f>
        <v/>
      </c>
      <c r="B72" s="495" t="n"/>
      <c r="C72" s="382">
        <f>IF(B72="","",IFERROR(VLOOKUP(B72,DB_Customers!$A:$D,4,0),"❌ Account Not Found"))</f>
        <v/>
      </c>
      <c r="D72" s="497">
        <f>IF(B72="","",TODAY())</f>
        <v/>
      </c>
      <c r="E72" s="526" t="n"/>
      <c r="F72" s="382" t="n"/>
      <c r="G72" s="527" t="n"/>
      <c r="H72" s="528" t="n"/>
      <c r="I72" s="529">
        <f>IF(E72="","",E72+(E72*H72/100*G72))</f>
        <v/>
      </c>
      <c r="J72" s="530">
        <f>IFERROR(I72/G72,"")</f>
        <v/>
      </c>
      <c r="K72" s="531">
        <f>IF(B72="","Pending",IF(M72="","⚠️ Enter Code",IF(IFERROR(VLOOKUP(L72,DB_Agents!$B:$I,8,0),"")=M72,"Pending","🔒 BLOCKED — Wrong Code")))</f>
        <v/>
      </c>
      <c r="L72" s="384" t="inlineStr">
        <is>
          <t>Agent 08</t>
        </is>
      </c>
      <c r="M72" s="491" t="n"/>
      <c r="N72" s="501" t="n"/>
    </row>
    <row r="73" ht="15" customHeight="1" s="341">
      <c r="A73" s="492">
        <f>IF(B73="","",IF(C73="❌ Account Not Found","INVALID","LN"&amp;TEXT(D73,"YYYYMMDD")&amp;TEXT(ROW()-13,"0000")))</f>
        <v/>
      </c>
      <c r="B73" s="486" t="n"/>
      <c r="C73" s="378">
        <f>IF(B73="","",IFERROR(VLOOKUP(B73,DB_Customers!$A:$D,4,0),"❌ Account Not Found"))</f>
        <v/>
      </c>
      <c r="D73" s="488">
        <f>IF(B73="","",TODAY())</f>
        <v/>
      </c>
      <c r="E73" s="526" t="n"/>
      <c r="F73" s="378" t="n"/>
      <c r="G73" s="532" t="n"/>
      <c r="H73" s="533" t="n"/>
      <c r="I73" s="529">
        <f>IF(E73="","",E73+(E73*H73/100*G73))</f>
        <v/>
      </c>
      <c r="J73" s="534">
        <f>IFERROR(I73/G73,"")</f>
        <v/>
      </c>
      <c r="K73" s="535">
        <f>IF(B73="","Pending",IF(M73="","⚠️ Enter Code",IF(IFERROR(VLOOKUP(L73,DB_Agents!$B:$I,8,0),"")=M73,"Pending","🔒 BLOCKED — Wrong Code")))</f>
        <v/>
      </c>
      <c r="L73" s="380" t="inlineStr">
        <is>
          <t>Agent 08</t>
        </is>
      </c>
      <c r="M73" s="491" t="n"/>
      <c r="N73" s="494" t="n"/>
    </row>
    <row r="74" ht="15" customHeight="1" s="341">
      <c r="A74" s="499">
        <f>IF(B74="","",IF(C74="❌ Account Not Found","INVALID","LN"&amp;TEXT(D74,"YYYYMMDD")&amp;TEXT(ROW()-13,"0000")))</f>
        <v/>
      </c>
      <c r="B74" s="495" t="n"/>
      <c r="C74" s="382">
        <f>IF(B74="","",IFERROR(VLOOKUP(B74,DB_Customers!$A:$D,4,0),"❌ Account Not Found"))</f>
        <v/>
      </c>
      <c r="D74" s="497">
        <f>IF(B74="","",TODAY())</f>
        <v/>
      </c>
      <c r="E74" s="526" t="n"/>
      <c r="F74" s="382" t="n"/>
      <c r="G74" s="527" t="n"/>
      <c r="H74" s="528" t="n"/>
      <c r="I74" s="529">
        <f>IF(E74="","",E74+(E74*H74/100*G74))</f>
        <v/>
      </c>
      <c r="J74" s="530">
        <f>IFERROR(I74/G74,"")</f>
        <v/>
      </c>
      <c r="K74" s="531">
        <f>IF(B74="","Pending",IF(M74="","⚠️ Enter Code",IF(IFERROR(VLOOKUP(L74,DB_Agents!$B:$I,8,0),"")=M74,"Pending","🔒 BLOCKED — Wrong Code")))</f>
        <v/>
      </c>
      <c r="L74" s="384" t="inlineStr">
        <is>
          <t>Agent 08</t>
        </is>
      </c>
      <c r="M74" s="491" t="n"/>
      <c r="N74" s="501" t="n"/>
    </row>
    <row r="75" ht="15" customHeight="1" s="341">
      <c r="A75" s="492">
        <f>IF(B75="","",IF(C75="❌ Account Not Found","INVALID","LN"&amp;TEXT(D75,"YYYYMMDD")&amp;TEXT(ROW()-13,"0000")))</f>
        <v/>
      </c>
      <c r="B75" s="486" t="n"/>
      <c r="C75" s="378">
        <f>IF(B75="","",IFERROR(VLOOKUP(B75,DB_Customers!$A:$D,4,0),"❌ Account Not Found"))</f>
        <v/>
      </c>
      <c r="D75" s="488">
        <f>IF(B75="","",TODAY())</f>
        <v/>
      </c>
      <c r="E75" s="526" t="n"/>
      <c r="F75" s="378" t="n"/>
      <c r="G75" s="532" t="n"/>
      <c r="H75" s="533" t="n"/>
      <c r="I75" s="529">
        <f>IF(E75="","",E75+(E75*H75/100*G75))</f>
        <v/>
      </c>
      <c r="J75" s="534">
        <f>IFERROR(I75/G75,"")</f>
        <v/>
      </c>
      <c r="K75" s="535">
        <f>IF(B75="","Pending",IF(M75="","⚠️ Enter Code",IF(IFERROR(VLOOKUP(L75,DB_Agents!$B:$I,8,0),"")=M75,"Pending","🔒 BLOCKED — Wrong Code")))</f>
        <v/>
      </c>
      <c r="L75" s="380" t="inlineStr">
        <is>
          <t>Agent 08</t>
        </is>
      </c>
      <c r="M75" s="491" t="n"/>
      <c r="N75" s="494" t="n"/>
    </row>
    <row r="76" ht="15" customHeight="1" s="341">
      <c r="A76" s="499">
        <f>IF(B76="","",IF(C76="❌ Account Not Found","INVALID","LN"&amp;TEXT(D76,"YYYYMMDD")&amp;TEXT(ROW()-13,"0000")))</f>
        <v/>
      </c>
      <c r="B76" s="495" t="n"/>
      <c r="C76" s="382">
        <f>IF(B76="","",IFERROR(VLOOKUP(B76,DB_Customers!$A:$D,4,0),"❌ Account Not Found"))</f>
        <v/>
      </c>
      <c r="D76" s="497">
        <f>IF(B76="","",TODAY())</f>
        <v/>
      </c>
      <c r="E76" s="526" t="n"/>
      <c r="F76" s="382" t="n"/>
      <c r="G76" s="527" t="n"/>
      <c r="H76" s="528" t="n"/>
      <c r="I76" s="529">
        <f>IF(E76="","",E76+(E76*H76/100*G76))</f>
        <v/>
      </c>
      <c r="J76" s="530">
        <f>IFERROR(I76/G76,"")</f>
        <v/>
      </c>
      <c r="K76" s="531">
        <f>IF(B76="","Pending",IF(M76="","⚠️ Enter Code",IF(IFERROR(VLOOKUP(L76,DB_Agents!$B:$I,8,0),"")=M76,"Pending","🔒 BLOCKED — Wrong Code")))</f>
        <v/>
      </c>
      <c r="L76" s="384" t="inlineStr">
        <is>
          <t>Agent 08</t>
        </is>
      </c>
      <c r="M76" s="491" t="n"/>
      <c r="N76" s="501" t="n"/>
    </row>
    <row r="77" ht="15" customHeight="1" s="341">
      <c r="A77" s="492">
        <f>IF(B77="","",IF(C77="❌ Account Not Found","INVALID","LN"&amp;TEXT(D77,"YYYYMMDD")&amp;TEXT(ROW()-13,"0000")))</f>
        <v/>
      </c>
      <c r="B77" s="486" t="n"/>
      <c r="C77" s="378">
        <f>IF(B77="","",IFERROR(VLOOKUP(B77,DB_Customers!$A:$D,4,0),"❌ Account Not Found"))</f>
        <v/>
      </c>
      <c r="D77" s="488">
        <f>IF(B77="","",TODAY())</f>
        <v/>
      </c>
      <c r="E77" s="526" t="n"/>
      <c r="F77" s="378" t="n"/>
      <c r="G77" s="532" t="n"/>
      <c r="H77" s="533" t="n"/>
      <c r="I77" s="529">
        <f>IF(E77="","",E77+(E77*H77/100*G77))</f>
        <v/>
      </c>
      <c r="J77" s="534">
        <f>IFERROR(I77/G77,"")</f>
        <v/>
      </c>
      <c r="K77" s="535">
        <f>IF(B77="","Pending",IF(M77="","⚠️ Enter Code",IF(IFERROR(VLOOKUP(L77,DB_Agents!$B:$I,8,0),"")=M77,"Pending","🔒 BLOCKED — Wrong Code")))</f>
        <v/>
      </c>
      <c r="L77" s="380" t="inlineStr">
        <is>
          <t>Agent 08</t>
        </is>
      </c>
      <c r="M77" s="491" t="n"/>
      <c r="N77" s="494" t="n"/>
    </row>
    <row r="78" ht="15" customHeight="1" s="341">
      <c r="A78" s="499">
        <f>IF(B78="","",IF(C78="❌ Account Not Found","INVALID","LN"&amp;TEXT(D78,"YYYYMMDD")&amp;TEXT(ROW()-13,"0000")))</f>
        <v/>
      </c>
      <c r="B78" s="495" t="n"/>
      <c r="C78" s="382">
        <f>IF(B78="","",IFERROR(VLOOKUP(B78,DB_Customers!$A:$D,4,0),"❌ Account Not Found"))</f>
        <v/>
      </c>
      <c r="D78" s="497">
        <f>IF(B78="","",TODAY())</f>
        <v/>
      </c>
      <c r="E78" s="526" t="n"/>
      <c r="F78" s="382" t="n"/>
      <c r="G78" s="527" t="n"/>
      <c r="H78" s="528" t="n"/>
      <c r="I78" s="529">
        <f>IF(E78="","",E78+(E78*H78/100*G78))</f>
        <v/>
      </c>
      <c r="J78" s="530">
        <f>IFERROR(I78/G78,"")</f>
        <v/>
      </c>
      <c r="K78" s="531">
        <f>IF(B78="","Pending",IF(M78="","⚠️ Enter Code",IF(IFERROR(VLOOKUP(L78,DB_Agents!$B:$I,8,0),"")=M78,"Pending","🔒 BLOCKED — Wrong Code")))</f>
        <v/>
      </c>
      <c r="L78" s="384" t="inlineStr">
        <is>
          <t>Agent 08</t>
        </is>
      </c>
      <c r="M78" s="491" t="n"/>
      <c r="N78" s="501" t="n"/>
    </row>
    <row r="79" ht="15" customHeight="1" s="341">
      <c r="A79" s="492">
        <f>IF(B79="","",IF(C79="❌ Account Not Found","INVALID","LN"&amp;TEXT(D79,"YYYYMMDD")&amp;TEXT(ROW()-13,"0000")))</f>
        <v/>
      </c>
      <c r="B79" s="486" t="n"/>
      <c r="C79" s="378">
        <f>IF(B79="","",IFERROR(VLOOKUP(B79,DB_Customers!$A:$D,4,0),"❌ Account Not Found"))</f>
        <v/>
      </c>
      <c r="D79" s="488">
        <f>IF(B79="","",TODAY())</f>
        <v/>
      </c>
      <c r="E79" s="526" t="n"/>
      <c r="F79" s="378" t="n"/>
      <c r="G79" s="532" t="n"/>
      <c r="H79" s="533" t="n"/>
      <c r="I79" s="529">
        <f>IF(E79="","",E79+(E79*H79/100*G79))</f>
        <v/>
      </c>
      <c r="J79" s="534">
        <f>IFERROR(I79/G79,"")</f>
        <v/>
      </c>
      <c r="K79" s="535">
        <f>IF(B79="","Pending",IF(M79="","⚠️ Enter Code",IF(IFERROR(VLOOKUP(L79,DB_Agents!$B:$I,8,0),"")=M79,"Pending","🔒 BLOCKED — Wrong Code")))</f>
        <v/>
      </c>
      <c r="L79" s="380" t="inlineStr">
        <is>
          <t>Agent 08</t>
        </is>
      </c>
      <c r="M79" s="491" t="n"/>
      <c r="N79" s="494" t="n"/>
    </row>
    <row r="80" ht="15" customHeight="1" s="341">
      <c r="A80" s="499">
        <f>IF(B80="","",IF(C80="❌ Account Not Found","INVALID","LN"&amp;TEXT(D80,"YYYYMMDD")&amp;TEXT(ROW()-13,"0000")))</f>
        <v/>
      </c>
      <c r="B80" s="495" t="n"/>
      <c r="C80" s="382">
        <f>IF(B80="","",IFERROR(VLOOKUP(B80,DB_Customers!$A:$D,4,0),"❌ Account Not Found"))</f>
        <v/>
      </c>
      <c r="D80" s="497">
        <f>IF(B80="","",TODAY())</f>
        <v/>
      </c>
      <c r="E80" s="526" t="n"/>
      <c r="F80" s="382" t="n"/>
      <c r="G80" s="527" t="n"/>
      <c r="H80" s="528" t="n"/>
      <c r="I80" s="529">
        <f>IF(E80="","",E80+(E80*H80/100*G80))</f>
        <v/>
      </c>
      <c r="J80" s="530">
        <f>IFERROR(I80/G80,"")</f>
        <v/>
      </c>
      <c r="K80" s="531">
        <f>IF(B80="","Pending",IF(M80="","⚠️ Enter Code",IF(IFERROR(VLOOKUP(L80,DB_Agents!$B:$I,8,0),"")=M80,"Pending","🔒 BLOCKED — Wrong Code")))</f>
        <v/>
      </c>
      <c r="L80" s="384" t="inlineStr">
        <is>
          <t>Agent 08</t>
        </is>
      </c>
      <c r="M80" s="491" t="n"/>
      <c r="N80" s="501" t="n"/>
    </row>
    <row r="81" ht="15" customHeight="1" s="341">
      <c r="A81" s="492">
        <f>IF(B81="","",IF(C81="❌ Account Not Found","INVALID","LN"&amp;TEXT(D81,"YYYYMMDD")&amp;TEXT(ROW()-13,"0000")))</f>
        <v/>
      </c>
      <c r="B81" s="486" t="n"/>
      <c r="C81" s="378">
        <f>IF(B81="","",IFERROR(VLOOKUP(B81,DB_Customers!$A:$D,4,0),"❌ Account Not Found"))</f>
        <v/>
      </c>
      <c r="D81" s="488">
        <f>IF(B81="","",TODAY())</f>
        <v/>
      </c>
      <c r="E81" s="526" t="n"/>
      <c r="F81" s="378" t="n"/>
      <c r="G81" s="532" t="n"/>
      <c r="H81" s="533" t="n"/>
      <c r="I81" s="529">
        <f>IF(E81="","",E81+(E81*H81/100*G81))</f>
        <v/>
      </c>
      <c r="J81" s="534">
        <f>IFERROR(I81/G81,"")</f>
        <v/>
      </c>
      <c r="K81" s="535">
        <f>IF(B81="","Pending",IF(M81="","⚠️ Enter Code",IF(IFERROR(VLOOKUP(L81,DB_Agents!$B:$I,8,0),"")=M81,"Pending","🔒 BLOCKED — Wrong Code")))</f>
        <v/>
      </c>
      <c r="L81" s="380" t="inlineStr">
        <is>
          <t>Agent 08</t>
        </is>
      </c>
      <c r="M81" s="491" t="n"/>
      <c r="N81" s="494" t="n"/>
    </row>
    <row r="82" ht="15" customHeight="1" s="341">
      <c r="A82" s="499">
        <f>IF(B82="","",IF(C82="❌ Account Not Found","INVALID","LN"&amp;TEXT(D82,"YYYYMMDD")&amp;TEXT(ROW()-13,"0000")))</f>
        <v/>
      </c>
      <c r="B82" s="495" t="n"/>
      <c r="C82" s="382">
        <f>IF(B82="","",IFERROR(VLOOKUP(B82,DB_Customers!$A:$D,4,0),"❌ Account Not Found"))</f>
        <v/>
      </c>
      <c r="D82" s="497">
        <f>IF(B82="","",TODAY())</f>
        <v/>
      </c>
      <c r="E82" s="526" t="n"/>
      <c r="F82" s="382" t="n"/>
      <c r="G82" s="527" t="n"/>
      <c r="H82" s="528" t="n"/>
      <c r="I82" s="529">
        <f>IF(E82="","",E82+(E82*H82/100*G82))</f>
        <v/>
      </c>
      <c r="J82" s="530">
        <f>IFERROR(I82/G82,"")</f>
        <v/>
      </c>
      <c r="K82" s="531">
        <f>IF(B82="","Pending",IF(M82="","⚠️ Enter Code",IF(IFERROR(VLOOKUP(L82,DB_Agents!$B:$I,8,0),"")=M82,"Pending","🔒 BLOCKED — Wrong Code")))</f>
        <v/>
      </c>
      <c r="L82" s="384" t="inlineStr">
        <is>
          <t>Agent 08</t>
        </is>
      </c>
      <c r="M82" s="491" t="n"/>
      <c r="N82" s="501" t="n"/>
    </row>
    <row r="83" ht="15" customHeight="1" s="341">
      <c r="A83" s="492">
        <f>IF(B83="","",IF(C83="❌ Account Not Found","INVALID","LN"&amp;TEXT(D83,"YYYYMMDD")&amp;TEXT(ROW()-13,"0000")))</f>
        <v/>
      </c>
      <c r="B83" s="486" t="n"/>
      <c r="C83" s="378">
        <f>IF(B83="","",IFERROR(VLOOKUP(B83,DB_Customers!$A:$D,4,0),"❌ Account Not Found"))</f>
        <v/>
      </c>
      <c r="D83" s="488">
        <f>IF(B83="","",TODAY())</f>
        <v/>
      </c>
      <c r="E83" s="526" t="n"/>
      <c r="F83" s="378" t="n"/>
      <c r="G83" s="532" t="n"/>
      <c r="H83" s="533" t="n"/>
      <c r="I83" s="529">
        <f>IF(E83="","",E83+(E83*H83/100*G83))</f>
        <v/>
      </c>
      <c r="J83" s="534">
        <f>IFERROR(I83/G83,"")</f>
        <v/>
      </c>
      <c r="K83" s="535">
        <f>IF(B83="","Pending",IF(M83="","⚠️ Enter Code",IF(IFERROR(VLOOKUP(L83,DB_Agents!$B:$I,8,0),"")=M83,"Pending","🔒 BLOCKED — Wrong Code")))</f>
        <v/>
      </c>
      <c r="L83" s="380" t="inlineStr">
        <is>
          <t>Agent 08</t>
        </is>
      </c>
      <c r="M83" s="491" t="n"/>
      <c r="N83" s="494" t="n"/>
    </row>
    <row r="84" ht="15" customHeight="1" s="341">
      <c r="A84" s="499">
        <f>IF(B84="","",IF(C84="❌ Account Not Found","INVALID","LN"&amp;TEXT(D84,"YYYYMMDD")&amp;TEXT(ROW()-13,"0000")))</f>
        <v/>
      </c>
      <c r="B84" s="495" t="n"/>
      <c r="C84" s="382">
        <f>IF(B84="","",IFERROR(VLOOKUP(B84,DB_Customers!$A:$D,4,0),"❌ Account Not Found"))</f>
        <v/>
      </c>
      <c r="D84" s="497">
        <f>IF(B84="","",TODAY())</f>
        <v/>
      </c>
      <c r="E84" s="526" t="n"/>
      <c r="F84" s="382" t="n"/>
      <c r="G84" s="527" t="n"/>
      <c r="H84" s="528" t="n"/>
      <c r="I84" s="529">
        <f>IF(E84="","",E84+(E84*H84/100*G84))</f>
        <v/>
      </c>
      <c r="J84" s="530">
        <f>IFERROR(I84/G84,"")</f>
        <v/>
      </c>
      <c r="K84" s="531">
        <f>IF(B84="","Pending",IF(M84="","⚠️ Enter Code",IF(IFERROR(VLOOKUP(L84,DB_Agents!$B:$I,8,0),"")=M84,"Pending","🔒 BLOCKED — Wrong Code")))</f>
        <v/>
      </c>
      <c r="L84" s="384" t="inlineStr">
        <is>
          <t>Agent 08</t>
        </is>
      </c>
      <c r="M84" s="491" t="n"/>
      <c r="N84" s="501" t="n"/>
    </row>
    <row r="85" ht="15" customHeight="1" s="341">
      <c r="A85" s="492">
        <f>IF(B85="","",IF(C85="❌ Account Not Found","INVALID","LN"&amp;TEXT(D85,"YYYYMMDD")&amp;TEXT(ROW()-13,"0000")))</f>
        <v/>
      </c>
      <c r="B85" s="486" t="n"/>
      <c r="C85" s="378">
        <f>IF(B85="","",IFERROR(VLOOKUP(B85,DB_Customers!$A:$D,4,0),"❌ Account Not Found"))</f>
        <v/>
      </c>
      <c r="D85" s="488">
        <f>IF(B85="","",TODAY())</f>
        <v/>
      </c>
      <c r="E85" s="526" t="n"/>
      <c r="F85" s="378" t="n"/>
      <c r="G85" s="532" t="n"/>
      <c r="H85" s="533" t="n"/>
      <c r="I85" s="529">
        <f>IF(E85="","",E85+(E85*H85/100*G85))</f>
        <v/>
      </c>
      <c r="J85" s="534">
        <f>IFERROR(I85/G85,"")</f>
        <v/>
      </c>
      <c r="K85" s="535">
        <f>IF(B85="","Pending",IF(M85="","⚠️ Enter Code",IF(IFERROR(VLOOKUP(L85,DB_Agents!$B:$I,8,0),"")=M85,"Pending","🔒 BLOCKED — Wrong Code")))</f>
        <v/>
      </c>
      <c r="L85" s="380" t="inlineStr">
        <is>
          <t>Agent 08</t>
        </is>
      </c>
      <c r="M85" s="491" t="n"/>
      <c r="N85" s="494" t="n"/>
    </row>
    <row r="86" ht="15" customHeight="1" s="341">
      <c r="A86" s="499">
        <f>IF(B86="","",IF(C86="❌ Account Not Found","INVALID","LN"&amp;TEXT(D86,"YYYYMMDD")&amp;TEXT(ROW()-13,"0000")))</f>
        <v/>
      </c>
      <c r="B86" s="495" t="n"/>
      <c r="C86" s="382">
        <f>IF(B86="","",IFERROR(VLOOKUP(B86,DB_Customers!$A:$D,4,0),"❌ Account Not Found"))</f>
        <v/>
      </c>
      <c r="D86" s="497">
        <f>IF(B86="","",TODAY())</f>
        <v/>
      </c>
      <c r="E86" s="526" t="n"/>
      <c r="F86" s="382" t="n"/>
      <c r="G86" s="527" t="n"/>
      <c r="H86" s="528" t="n"/>
      <c r="I86" s="529">
        <f>IF(E86="","",E86+(E86*H86/100*G86))</f>
        <v/>
      </c>
      <c r="J86" s="530">
        <f>IFERROR(I86/G86,"")</f>
        <v/>
      </c>
      <c r="K86" s="531">
        <f>IF(B86="","Pending",IF(M86="","⚠️ Enter Code",IF(IFERROR(VLOOKUP(L86,DB_Agents!$B:$I,8,0),"")=M86,"Pending","🔒 BLOCKED — Wrong Code")))</f>
        <v/>
      </c>
      <c r="L86" s="384" t="inlineStr">
        <is>
          <t>Agent 08</t>
        </is>
      </c>
      <c r="M86" s="491" t="n"/>
      <c r="N86" s="501" t="n"/>
    </row>
    <row r="87" ht="15" customHeight="1" s="341">
      <c r="A87" s="492">
        <f>IF(B87="","",IF(C87="❌ Account Not Found","INVALID","LN"&amp;TEXT(D87,"YYYYMMDD")&amp;TEXT(ROW()-13,"0000")))</f>
        <v/>
      </c>
      <c r="B87" s="486" t="n"/>
      <c r="C87" s="378">
        <f>IF(B87="","",IFERROR(VLOOKUP(B87,DB_Customers!$A:$D,4,0),"❌ Account Not Found"))</f>
        <v/>
      </c>
      <c r="D87" s="488">
        <f>IF(B87="","",TODAY())</f>
        <v/>
      </c>
      <c r="E87" s="526" t="n"/>
      <c r="F87" s="378" t="n"/>
      <c r="G87" s="532" t="n"/>
      <c r="H87" s="533" t="n"/>
      <c r="I87" s="529">
        <f>IF(E87="","",E87+(E87*H87/100*G87))</f>
        <v/>
      </c>
      <c r="J87" s="534">
        <f>IFERROR(I87/G87,"")</f>
        <v/>
      </c>
      <c r="K87" s="535">
        <f>IF(B87="","Pending",IF(M87="","⚠️ Enter Code",IF(IFERROR(VLOOKUP(L87,DB_Agents!$B:$I,8,0),"")=M87,"Pending","🔒 BLOCKED — Wrong Code")))</f>
        <v/>
      </c>
      <c r="L87" s="380" t="inlineStr">
        <is>
          <t>Agent 08</t>
        </is>
      </c>
      <c r="M87" s="491" t="n"/>
      <c r="N87" s="494" t="n"/>
    </row>
    <row r="88" ht="15" customHeight="1" s="341">
      <c r="A88" s="499">
        <f>IF(B88="","",IF(C88="❌ Account Not Found","INVALID","LN"&amp;TEXT(D88,"YYYYMMDD")&amp;TEXT(ROW()-13,"0000")))</f>
        <v/>
      </c>
      <c r="B88" s="495" t="n"/>
      <c r="C88" s="382">
        <f>IF(B88="","",IFERROR(VLOOKUP(B88,DB_Customers!$A:$D,4,0),"❌ Account Not Found"))</f>
        <v/>
      </c>
      <c r="D88" s="497">
        <f>IF(B88="","",TODAY())</f>
        <v/>
      </c>
      <c r="E88" s="526" t="n"/>
      <c r="F88" s="382" t="n"/>
      <c r="G88" s="527" t="n"/>
      <c r="H88" s="528" t="n"/>
      <c r="I88" s="529">
        <f>IF(E88="","",E88+(E88*H88/100*G88))</f>
        <v/>
      </c>
      <c r="J88" s="530">
        <f>IFERROR(I88/G88,"")</f>
        <v/>
      </c>
      <c r="K88" s="531">
        <f>IF(B88="","Pending",IF(M88="","⚠️ Enter Code",IF(IFERROR(VLOOKUP(L88,DB_Agents!$B:$I,8,0),"")=M88,"Pending","🔒 BLOCKED — Wrong Code")))</f>
        <v/>
      </c>
      <c r="L88" s="384" t="inlineStr">
        <is>
          <t>Agent 08</t>
        </is>
      </c>
      <c r="M88" s="491" t="n"/>
      <c r="N88" s="501" t="n"/>
    </row>
    <row r="89" ht="15" customHeight="1" s="341">
      <c r="A89" s="492">
        <f>IF(B89="","",IF(C89="❌ Account Not Found","INVALID","LN"&amp;TEXT(D89,"YYYYMMDD")&amp;TEXT(ROW()-13,"0000")))</f>
        <v/>
      </c>
      <c r="B89" s="486" t="n"/>
      <c r="C89" s="378">
        <f>IF(B89="","",IFERROR(VLOOKUP(B89,DB_Customers!$A:$D,4,0),"❌ Account Not Found"))</f>
        <v/>
      </c>
      <c r="D89" s="488">
        <f>IF(B89="","",TODAY())</f>
        <v/>
      </c>
      <c r="E89" s="526" t="n"/>
      <c r="F89" s="378" t="n"/>
      <c r="G89" s="532" t="n"/>
      <c r="H89" s="533" t="n"/>
      <c r="I89" s="529">
        <f>IF(E89="","",E89+(E89*H89/100*G89))</f>
        <v/>
      </c>
      <c r="J89" s="534">
        <f>IFERROR(I89/G89,"")</f>
        <v/>
      </c>
      <c r="K89" s="535">
        <f>IF(B89="","Pending",IF(M89="","⚠️ Enter Code",IF(IFERROR(VLOOKUP(L89,DB_Agents!$B:$I,8,0),"")=M89,"Pending","🔒 BLOCKED — Wrong Code")))</f>
        <v/>
      </c>
      <c r="L89" s="380" t="inlineStr">
        <is>
          <t>Agent 08</t>
        </is>
      </c>
      <c r="M89" s="491" t="n"/>
      <c r="N89" s="494" t="n"/>
    </row>
    <row r="90" ht="15" customHeight="1" s="341">
      <c r="A90" s="499">
        <f>IF(B90="","",IF(C90="❌ Account Not Found","INVALID","LN"&amp;TEXT(D90,"YYYYMMDD")&amp;TEXT(ROW()-13,"0000")))</f>
        <v/>
      </c>
      <c r="B90" s="495" t="n"/>
      <c r="C90" s="382">
        <f>IF(B90="","",IFERROR(VLOOKUP(B90,DB_Customers!$A:$D,4,0),"❌ Account Not Found"))</f>
        <v/>
      </c>
      <c r="D90" s="497">
        <f>IF(B90="","",TODAY())</f>
        <v/>
      </c>
      <c r="E90" s="526" t="n"/>
      <c r="F90" s="382" t="n"/>
      <c r="G90" s="527" t="n"/>
      <c r="H90" s="528" t="n"/>
      <c r="I90" s="529">
        <f>IF(E90="","",E90+(E90*H90/100*G90))</f>
        <v/>
      </c>
      <c r="J90" s="530">
        <f>IFERROR(I90/G90,"")</f>
        <v/>
      </c>
      <c r="K90" s="531">
        <f>IF(B90="","Pending",IF(M90="","⚠️ Enter Code",IF(IFERROR(VLOOKUP(L90,DB_Agents!$B:$I,8,0),"")=M90,"Pending","🔒 BLOCKED — Wrong Code")))</f>
        <v/>
      </c>
      <c r="L90" s="384" t="inlineStr">
        <is>
          <t>Agent 08</t>
        </is>
      </c>
      <c r="M90" s="491" t="n"/>
      <c r="N90" s="501" t="n"/>
    </row>
    <row r="91" ht="15" customHeight="1" s="341">
      <c r="A91" s="492">
        <f>IF(B91="","",IF(C91="❌ Account Not Found","INVALID","LN"&amp;TEXT(D91,"YYYYMMDD")&amp;TEXT(ROW()-13,"0000")))</f>
        <v/>
      </c>
      <c r="B91" s="486" t="n"/>
      <c r="C91" s="378">
        <f>IF(B91="","",IFERROR(VLOOKUP(B91,DB_Customers!$A:$D,4,0),"❌ Account Not Found"))</f>
        <v/>
      </c>
      <c r="D91" s="488">
        <f>IF(B91="","",TODAY())</f>
        <v/>
      </c>
      <c r="E91" s="526" t="n"/>
      <c r="F91" s="378" t="n"/>
      <c r="G91" s="532" t="n"/>
      <c r="H91" s="533" t="n"/>
      <c r="I91" s="529">
        <f>IF(E91="","",E91+(E91*H91/100*G91))</f>
        <v/>
      </c>
      <c r="J91" s="534">
        <f>IFERROR(I91/G91,"")</f>
        <v/>
      </c>
      <c r="K91" s="535">
        <f>IF(B91="","Pending",IF(M91="","⚠️ Enter Code",IF(IFERROR(VLOOKUP(L91,DB_Agents!$B:$I,8,0),"")=M91,"Pending","🔒 BLOCKED — Wrong Code")))</f>
        <v/>
      </c>
      <c r="L91" s="380" t="inlineStr">
        <is>
          <t>Agent 08</t>
        </is>
      </c>
      <c r="M91" s="491" t="n"/>
      <c r="N91" s="494" t="n"/>
    </row>
    <row r="92" ht="15" customHeight="1" s="341">
      <c r="A92" s="499">
        <f>IF(B92="","",IF(C92="❌ Account Not Found","INVALID","LN"&amp;TEXT(D92,"YYYYMMDD")&amp;TEXT(ROW()-13,"0000")))</f>
        <v/>
      </c>
      <c r="B92" s="495" t="n"/>
      <c r="C92" s="382">
        <f>IF(B92="","",IFERROR(VLOOKUP(B92,DB_Customers!$A:$D,4,0),"❌ Account Not Found"))</f>
        <v/>
      </c>
      <c r="D92" s="497">
        <f>IF(B92="","",TODAY())</f>
        <v/>
      </c>
      <c r="E92" s="526" t="n"/>
      <c r="F92" s="382" t="n"/>
      <c r="G92" s="527" t="n"/>
      <c r="H92" s="528" t="n"/>
      <c r="I92" s="529">
        <f>IF(E92="","",E92+(E92*H92/100*G92))</f>
        <v/>
      </c>
      <c r="J92" s="530">
        <f>IFERROR(I92/G92,"")</f>
        <v/>
      </c>
      <c r="K92" s="531">
        <f>IF(B92="","Pending",IF(M92="","⚠️ Enter Code",IF(IFERROR(VLOOKUP(L92,DB_Agents!$B:$I,8,0),"")=M92,"Pending","🔒 BLOCKED — Wrong Code")))</f>
        <v/>
      </c>
      <c r="L92" s="384" t="inlineStr">
        <is>
          <t>Agent 08</t>
        </is>
      </c>
      <c r="M92" s="491" t="n"/>
      <c r="N92" s="501" t="n"/>
    </row>
    <row r="93" ht="15" customHeight="1" s="341">
      <c r="A93" s="492">
        <f>IF(B93="","",IF(C93="❌ Account Not Found","INVALID","LN"&amp;TEXT(D93,"YYYYMMDD")&amp;TEXT(ROW()-13,"0000")))</f>
        <v/>
      </c>
      <c r="B93" s="486" t="n"/>
      <c r="C93" s="378">
        <f>IF(B93="","",IFERROR(VLOOKUP(B93,DB_Customers!$A:$D,4,0),"❌ Account Not Found"))</f>
        <v/>
      </c>
      <c r="D93" s="488">
        <f>IF(B93="","",TODAY())</f>
        <v/>
      </c>
      <c r="E93" s="526" t="n"/>
      <c r="F93" s="378" t="n"/>
      <c r="G93" s="532" t="n"/>
      <c r="H93" s="533" t="n"/>
      <c r="I93" s="529">
        <f>IF(E93="","",E93+(E93*H93/100*G93))</f>
        <v/>
      </c>
      <c r="J93" s="534">
        <f>IFERROR(I93/G93,"")</f>
        <v/>
      </c>
      <c r="K93" s="535">
        <f>IF(B93="","Pending",IF(M93="","⚠️ Enter Code",IF(IFERROR(VLOOKUP(L93,DB_Agents!$B:$I,8,0),"")=M93,"Pending","🔒 BLOCKED — Wrong Code")))</f>
        <v/>
      </c>
      <c r="L93" s="380" t="inlineStr">
        <is>
          <t>Agent 08</t>
        </is>
      </c>
      <c r="M93" s="491" t="n"/>
      <c r="N93" s="494" t="n"/>
    </row>
    <row r="94" ht="15" customHeight="1" s="341">
      <c r="A94" s="499">
        <f>IF(B94="","",IF(C94="❌ Account Not Found","INVALID","LN"&amp;TEXT(D94,"YYYYMMDD")&amp;TEXT(ROW()-13,"0000")))</f>
        <v/>
      </c>
      <c r="B94" s="495" t="n"/>
      <c r="C94" s="382">
        <f>IF(B94="","",IFERROR(VLOOKUP(B94,DB_Customers!$A:$D,4,0),"❌ Account Not Found"))</f>
        <v/>
      </c>
      <c r="D94" s="497">
        <f>IF(B94="","",TODAY())</f>
        <v/>
      </c>
      <c r="E94" s="526" t="n"/>
      <c r="F94" s="382" t="n"/>
      <c r="G94" s="527" t="n"/>
      <c r="H94" s="528" t="n"/>
      <c r="I94" s="529">
        <f>IF(E94="","",E94+(E94*H94/100*G94))</f>
        <v/>
      </c>
      <c r="J94" s="530">
        <f>IFERROR(I94/G94,"")</f>
        <v/>
      </c>
      <c r="K94" s="531">
        <f>IF(B94="","Pending",IF(M94="","⚠️ Enter Code",IF(IFERROR(VLOOKUP(L94,DB_Agents!$B:$I,8,0),"")=M94,"Pending","🔒 BLOCKED — Wrong Code")))</f>
        <v/>
      </c>
      <c r="L94" s="384" t="inlineStr">
        <is>
          <t>Agent 08</t>
        </is>
      </c>
      <c r="M94" s="491" t="n"/>
      <c r="N94" s="501" t="n"/>
    </row>
    <row r="95" ht="15" customHeight="1" s="341">
      <c r="A95" s="492">
        <f>IF(B95="","",IF(C95="❌ Account Not Found","INVALID","LN"&amp;TEXT(D95,"YYYYMMDD")&amp;TEXT(ROW()-13,"0000")))</f>
        <v/>
      </c>
      <c r="B95" s="486" t="n"/>
      <c r="C95" s="378">
        <f>IF(B95="","",IFERROR(VLOOKUP(B95,DB_Customers!$A:$D,4,0),"❌ Account Not Found"))</f>
        <v/>
      </c>
      <c r="D95" s="488">
        <f>IF(B95="","",TODAY())</f>
        <v/>
      </c>
      <c r="E95" s="526" t="n"/>
      <c r="F95" s="378" t="n"/>
      <c r="G95" s="532" t="n"/>
      <c r="H95" s="533" t="n"/>
      <c r="I95" s="529">
        <f>IF(E95="","",E95+(E95*H95/100*G95))</f>
        <v/>
      </c>
      <c r="J95" s="534">
        <f>IFERROR(I95/G95,"")</f>
        <v/>
      </c>
      <c r="K95" s="535">
        <f>IF(B95="","Pending",IF(M95="","⚠️ Enter Code",IF(IFERROR(VLOOKUP(L95,DB_Agents!$B:$I,8,0),"")=M95,"Pending","🔒 BLOCKED — Wrong Code")))</f>
        <v/>
      </c>
      <c r="L95" s="380" t="inlineStr">
        <is>
          <t>Agent 08</t>
        </is>
      </c>
      <c r="M95" s="491" t="n"/>
      <c r="N95" s="494" t="n"/>
    </row>
    <row r="96" ht="15" customHeight="1" s="341">
      <c r="A96" s="499">
        <f>IF(B96="","",IF(C96="❌ Account Not Found","INVALID","LN"&amp;TEXT(D96,"YYYYMMDD")&amp;TEXT(ROW()-13,"0000")))</f>
        <v/>
      </c>
      <c r="B96" s="495" t="n"/>
      <c r="C96" s="382">
        <f>IF(B96="","",IFERROR(VLOOKUP(B96,DB_Customers!$A:$D,4,0),"❌ Account Not Found"))</f>
        <v/>
      </c>
      <c r="D96" s="497">
        <f>IF(B96="","",TODAY())</f>
        <v/>
      </c>
      <c r="E96" s="526" t="n"/>
      <c r="F96" s="382" t="n"/>
      <c r="G96" s="527" t="n"/>
      <c r="H96" s="528" t="n"/>
      <c r="I96" s="529">
        <f>IF(E96="","",E96+(E96*H96/100*G96))</f>
        <v/>
      </c>
      <c r="J96" s="530">
        <f>IFERROR(I96/G96,"")</f>
        <v/>
      </c>
      <c r="K96" s="531">
        <f>IF(B96="","Pending",IF(M96="","⚠️ Enter Code",IF(IFERROR(VLOOKUP(L96,DB_Agents!$B:$I,8,0),"")=M96,"Pending","🔒 BLOCKED — Wrong Code")))</f>
        <v/>
      </c>
      <c r="L96" s="384" t="inlineStr">
        <is>
          <t>Agent 08</t>
        </is>
      </c>
      <c r="M96" s="491" t="n"/>
      <c r="N96" s="501" t="n"/>
    </row>
    <row r="97" ht="15" customHeight="1" s="341">
      <c r="A97" s="492">
        <f>IF(B97="","",IF(C97="❌ Account Not Found","INVALID","LN"&amp;TEXT(D97,"YYYYMMDD")&amp;TEXT(ROW()-13,"0000")))</f>
        <v/>
      </c>
      <c r="B97" s="486" t="n"/>
      <c r="C97" s="378">
        <f>IF(B97="","",IFERROR(VLOOKUP(B97,DB_Customers!$A:$D,4,0),"❌ Account Not Found"))</f>
        <v/>
      </c>
      <c r="D97" s="488">
        <f>IF(B97="","",TODAY())</f>
        <v/>
      </c>
      <c r="E97" s="526" t="n"/>
      <c r="F97" s="378" t="n"/>
      <c r="G97" s="532" t="n"/>
      <c r="H97" s="533" t="n"/>
      <c r="I97" s="529">
        <f>IF(E97="","",E97+(E97*H97/100*G97))</f>
        <v/>
      </c>
      <c r="J97" s="534">
        <f>IFERROR(I97/G97,"")</f>
        <v/>
      </c>
      <c r="K97" s="535">
        <f>IF(B97="","Pending",IF(M97="","⚠️ Enter Code",IF(IFERROR(VLOOKUP(L97,DB_Agents!$B:$I,8,0),"")=M97,"Pending","🔒 BLOCKED — Wrong Code")))</f>
        <v/>
      </c>
      <c r="L97" s="380" t="inlineStr">
        <is>
          <t>Agent 08</t>
        </is>
      </c>
      <c r="M97" s="491" t="n"/>
      <c r="N97" s="494" t="n"/>
    </row>
    <row r="98" ht="15" customHeight="1" s="341">
      <c r="A98" s="499">
        <f>IF(B98="","",IF(C98="❌ Account Not Found","INVALID","LN"&amp;TEXT(D98,"YYYYMMDD")&amp;TEXT(ROW()-13,"0000")))</f>
        <v/>
      </c>
      <c r="B98" s="495" t="n"/>
      <c r="C98" s="382">
        <f>IF(B98="","",IFERROR(VLOOKUP(B98,DB_Customers!$A:$D,4,0),"❌ Account Not Found"))</f>
        <v/>
      </c>
      <c r="D98" s="497">
        <f>IF(B98="","",TODAY())</f>
        <v/>
      </c>
      <c r="E98" s="526" t="n"/>
      <c r="F98" s="382" t="n"/>
      <c r="G98" s="527" t="n"/>
      <c r="H98" s="528" t="n"/>
      <c r="I98" s="529">
        <f>IF(E98="","",E98+(E98*H98/100*G98))</f>
        <v/>
      </c>
      <c r="J98" s="530">
        <f>IFERROR(I98/G98,"")</f>
        <v/>
      </c>
      <c r="K98" s="531">
        <f>IF(B98="","Pending",IF(M98="","⚠️ Enter Code",IF(IFERROR(VLOOKUP(L98,DB_Agents!$B:$I,8,0),"")=M98,"Pending","🔒 BLOCKED — Wrong Code")))</f>
        <v/>
      </c>
      <c r="L98" s="384" t="inlineStr">
        <is>
          <t>Agent 08</t>
        </is>
      </c>
      <c r="M98" s="491" t="n"/>
      <c r="N98" s="501" t="n"/>
    </row>
    <row r="99" ht="15" customHeight="1" s="341">
      <c r="A99" s="492">
        <f>IF(B99="","",IF(C99="❌ Account Not Found","INVALID","LN"&amp;TEXT(D99,"YYYYMMDD")&amp;TEXT(ROW()-13,"0000")))</f>
        <v/>
      </c>
      <c r="B99" s="486" t="n"/>
      <c r="C99" s="378">
        <f>IF(B99="","",IFERROR(VLOOKUP(B99,DB_Customers!$A:$D,4,0),"❌ Account Not Found"))</f>
        <v/>
      </c>
      <c r="D99" s="488">
        <f>IF(B99="","",TODAY())</f>
        <v/>
      </c>
      <c r="E99" s="526" t="n"/>
      <c r="F99" s="378" t="n"/>
      <c r="G99" s="532" t="n"/>
      <c r="H99" s="533" t="n"/>
      <c r="I99" s="529">
        <f>IF(E99="","",E99+(E99*H99/100*G99))</f>
        <v/>
      </c>
      <c r="J99" s="534">
        <f>IFERROR(I99/G99,"")</f>
        <v/>
      </c>
      <c r="K99" s="535">
        <f>IF(B99="","Pending",IF(M99="","⚠️ Enter Code",IF(IFERROR(VLOOKUP(L99,DB_Agents!$B:$I,8,0),"")=M99,"Pending","🔒 BLOCKED — Wrong Code")))</f>
        <v/>
      </c>
      <c r="L99" s="380" t="inlineStr">
        <is>
          <t>Agent 08</t>
        </is>
      </c>
      <c r="M99" s="491" t="n"/>
      <c r="N99" s="494" t="n"/>
    </row>
    <row r="100" ht="15" customHeight="1" s="341">
      <c r="A100" s="499">
        <f>IF(B100="","",IF(C100="❌ Account Not Found","INVALID","LN"&amp;TEXT(D100,"YYYYMMDD")&amp;TEXT(ROW()-13,"0000")))</f>
        <v/>
      </c>
      <c r="B100" s="495" t="n"/>
      <c r="C100" s="382">
        <f>IF(B100="","",IFERROR(VLOOKUP(B100,DB_Customers!$A:$D,4,0),"❌ Account Not Found"))</f>
        <v/>
      </c>
      <c r="D100" s="497">
        <f>IF(B100="","",TODAY())</f>
        <v/>
      </c>
      <c r="E100" s="526" t="n"/>
      <c r="F100" s="382" t="n"/>
      <c r="G100" s="527" t="n"/>
      <c r="H100" s="528" t="n"/>
      <c r="I100" s="529">
        <f>IF(E100="","",E100+(E100*H100/100*G100))</f>
        <v/>
      </c>
      <c r="J100" s="530">
        <f>IFERROR(I100/G100,"")</f>
        <v/>
      </c>
      <c r="K100" s="531">
        <f>IF(B100="","Pending",IF(M100="","⚠️ Enter Code",IF(IFERROR(VLOOKUP(L100,DB_Agents!$B:$I,8,0),"")=M100,"Pending","🔒 BLOCKED — Wrong Code")))</f>
        <v/>
      </c>
      <c r="L100" s="384" t="inlineStr">
        <is>
          <t>Agent 08</t>
        </is>
      </c>
      <c r="M100" s="491" t="n"/>
      <c r="N100" s="501" t="n"/>
    </row>
    <row r="101" ht="15" customHeight="1" s="341">
      <c r="A101" s="492">
        <f>IF(B101="","",IF(C101="❌ Account Not Found","INVALID","LN"&amp;TEXT(D101,"YYYYMMDD")&amp;TEXT(ROW()-13,"0000")))</f>
        <v/>
      </c>
      <c r="B101" s="486" t="n"/>
      <c r="C101" s="378">
        <f>IF(B101="","",IFERROR(VLOOKUP(B101,DB_Customers!$A:$D,4,0),"❌ Account Not Found"))</f>
        <v/>
      </c>
      <c r="D101" s="488">
        <f>IF(B101="","",TODAY())</f>
        <v/>
      </c>
      <c r="E101" s="526" t="n"/>
      <c r="F101" s="378" t="n"/>
      <c r="G101" s="532" t="n"/>
      <c r="H101" s="533" t="n"/>
      <c r="I101" s="529">
        <f>IF(E101="","",E101+(E101*H101/100*G101))</f>
        <v/>
      </c>
      <c r="J101" s="534">
        <f>IFERROR(I101/G101,"")</f>
        <v/>
      </c>
      <c r="K101" s="535">
        <f>IF(B101="","Pending",IF(M101="","⚠️ Enter Code",IF(IFERROR(VLOOKUP(L101,DB_Agents!$B:$I,8,0),"")=M101,"Pending","🔒 BLOCKED — Wrong Code")))</f>
        <v/>
      </c>
      <c r="L101" s="380" t="inlineStr">
        <is>
          <t>Agent 08</t>
        </is>
      </c>
      <c r="M101" s="491" t="n"/>
      <c r="N101" s="494" t="n"/>
    </row>
    <row r="102" ht="15" customHeight="1" s="341">
      <c r="A102" s="499">
        <f>IF(B102="","",IF(C102="❌ Account Not Found","INVALID","LN"&amp;TEXT(D102,"YYYYMMDD")&amp;TEXT(ROW()-13,"0000")))</f>
        <v/>
      </c>
      <c r="B102" s="495" t="n"/>
      <c r="C102" s="382">
        <f>IF(B102="","",IFERROR(VLOOKUP(B102,DB_Customers!$A:$D,4,0),"❌ Account Not Found"))</f>
        <v/>
      </c>
      <c r="D102" s="497">
        <f>IF(B102="","",TODAY())</f>
        <v/>
      </c>
      <c r="E102" s="526" t="n"/>
      <c r="F102" s="382" t="n"/>
      <c r="G102" s="527" t="n"/>
      <c r="H102" s="528" t="n"/>
      <c r="I102" s="529">
        <f>IF(E102="","",E102+(E102*H102/100*G102))</f>
        <v/>
      </c>
      <c r="J102" s="530">
        <f>IFERROR(I102/G102,"")</f>
        <v/>
      </c>
      <c r="K102" s="531">
        <f>IF(B102="","Pending",IF(M102="","⚠️ Enter Code",IF(IFERROR(VLOOKUP(L102,DB_Agents!$B:$I,8,0),"")=M102,"Pending","🔒 BLOCKED — Wrong Code")))</f>
        <v/>
      </c>
      <c r="L102" s="384" t="inlineStr">
        <is>
          <t>Agent 08</t>
        </is>
      </c>
      <c r="M102" s="491" t="n"/>
      <c r="N102" s="501" t="n"/>
    </row>
    <row r="103" ht="15" customHeight="1" s="341">
      <c r="A103" s="492">
        <f>IF(B103="","",IF(C103="❌ Account Not Found","INVALID","LN"&amp;TEXT(D103,"YYYYMMDD")&amp;TEXT(ROW()-13,"0000")))</f>
        <v/>
      </c>
      <c r="B103" s="486" t="n"/>
      <c r="C103" s="378">
        <f>IF(B103="","",IFERROR(VLOOKUP(B103,DB_Customers!$A:$D,4,0),"❌ Account Not Found"))</f>
        <v/>
      </c>
      <c r="D103" s="488">
        <f>IF(B103="","",TODAY())</f>
        <v/>
      </c>
      <c r="E103" s="526" t="n"/>
      <c r="F103" s="378" t="n"/>
      <c r="G103" s="532" t="n"/>
      <c r="H103" s="533" t="n"/>
      <c r="I103" s="529">
        <f>IF(E103="","",E103+(E103*H103/100*G103))</f>
        <v/>
      </c>
      <c r="J103" s="534">
        <f>IFERROR(I103/G103,"")</f>
        <v/>
      </c>
      <c r="K103" s="535">
        <f>IF(B103="","Pending",IF(M103="","⚠️ Enter Code",IF(IFERROR(VLOOKUP(L103,DB_Agents!$B:$I,8,0),"")=M103,"Pending","🔒 BLOCKED — Wrong Code")))</f>
        <v/>
      </c>
      <c r="L103" s="380" t="inlineStr">
        <is>
          <t>Agent 08</t>
        </is>
      </c>
      <c r="M103" s="491" t="n"/>
      <c r="N103" s="494" t="n"/>
    </row>
    <row r="104" ht="15" customHeight="1" s="341">
      <c r="A104" s="499">
        <f>IF(B104="","",IF(C104="❌ Account Not Found","INVALID","LN"&amp;TEXT(D104,"YYYYMMDD")&amp;TEXT(ROW()-13,"0000")))</f>
        <v/>
      </c>
      <c r="B104" s="495" t="n"/>
      <c r="C104" s="382">
        <f>IF(B104="","",IFERROR(VLOOKUP(B104,DB_Customers!$A:$D,4,0),"❌ Account Not Found"))</f>
        <v/>
      </c>
      <c r="D104" s="497">
        <f>IF(B104="","",TODAY())</f>
        <v/>
      </c>
      <c r="E104" s="526" t="n"/>
      <c r="F104" s="382" t="n"/>
      <c r="G104" s="527" t="n"/>
      <c r="H104" s="528" t="n"/>
      <c r="I104" s="529">
        <f>IF(E104="","",E104+(E104*H104/100*G104))</f>
        <v/>
      </c>
      <c r="J104" s="530">
        <f>IFERROR(I104/G104,"")</f>
        <v/>
      </c>
      <c r="K104" s="531">
        <f>IF(B104="","Pending",IF(M104="","⚠️ Enter Code",IF(IFERROR(VLOOKUP(L104,DB_Agents!$B:$I,8,0),"")=M104,"Pending","🔒 BLOCKED — Wrong Code")))</f>
        <v/>
      </c>
      <c r="L104" s="384" t="inlineStr">
        <is>
          <t>Agent 08</t>
        </is>
      </c>
      <c r="M104" s="491" t="n"/>
      <c r="N104" s="501" t="n"/>
    </row>
    <row r="105" ht="15" customHeight="1" s="341">
      <c r="A105" s="492">
        <f>IF(B105="","",IF(C105="❌ Account Not Found","INVALID","LN"&amp;TEXT(D105,"YYYYMMDD")&amp;TEXT(ROW()-13,"0000")))</f>
        <v/>
      </c>
      <c r="B105" s="486" t="n"/>
      <c r="C105" s="378">
        <f>IF(B105="","",IFERROR(VLOOKUP(B105,DB_Customers!$A:$D,4,0),"❌ Account Not Found"))</f>
        <v/>
      </c>
      <c r="D105" s="488">
        <f>IF(B105="","",TODAY())</f>
        <v/>
      </c>
      <c r="E105" s="526" t="n"/>
      <c r="F105" s="378" t="n"/>
      <c r="G105" s="532" t="n"/>
      <c r="H105" s="533" t="n"/>
      <c r="I105" s="529">
        <f>IF(E105="","",E105+(E105*H105/100*G105))</f>
        <v/>
      </c>
      <c r="J105" s="534">
        <f>IFERROR(I105/G105,"")</f>
        <v/>
      </c>
      <c r="K105" s="535">
        <f>IF(B105="","Pending",IF(M105="","⚠️ Enter Code",IF(IFERROR(VLOOKUP(L105,DB_Agents!$B:$I,8,0),"")=M105,"Pending","🔒 BLOCKED — Wrong Code")))</f>
        <v/>
      </c>
      <c r="L105" s="380" t="inlineStr">
        <is>
          <t>Agent 08</t>
        </is>
      </c>
      <c r="M105" s="491" t="n"/>
      <c r="N105" s="494" t="n"/>
    </row>
    <row r="106" ht="15" customHeight="1" s="341">
      <c r="A106" s="499">
        <f>IF(B106="","",IF(C106="❌ Account Not Found","INVALID","LN"&amp;TEXT(D106,"YYYYMMDD")&amp;TEXT(ROW()-13,"0000")))</f>
        <v/>
      </c>
      <c r="B106" s="495" t="n"/>
      <c r="C106" s="382">
        <f>IF(B106="","",IFERROR(VLOOKUP(B106,DB_Customers!$A:$D,4,0),"❌ Account Not Found"))</f>
        <v/>
      </c>
      <c r="D106" s="497">
        <f>IF(B106="","",TODAY())</f>
        <v/>
      </c>
      <c r="E106" s="526" t="n"/>
      <c r="F106" s="382" t="n"/>
      <c r="G106" s="527" t="n"/>
      <c r="H106" s="528" t="n"/>
      <c r="I106" s="529">
        <f>IF(E106="","",E106+(E106*H106/100*G106))</f>
        <v/>
      </c>
      <c r="J106" s="530">
        <f>IFERROR(I106/G106,"")</f>
        <v/>
      </c>
      <c r="K106" s="531">
        <f>IF(B106="","Pending",IF(M106="","⚠️ Enter Code",IF(IFERROR(VLOOKUP(L106,DB_Agents!$B:$I,8,0),"")=M106,"Pending","🔒 BLOCKED — Wrong Code")))</f>
        <v/>
      </c>
      <c r="L106" s="384" t="inlineStr">
        <is>
          <t>Agent 08</t>
        </is>
      </c>
      <c r="M106" s="491" t="n"/>
      <c r="N106" s="501" t="n"/>
    </row>
    <row r="107" ht="15" customHeight="1" s="341">
      <c r="A107" s="492">
        <f>IF(B107="","",IF(C107="❌ Account Not Found","INVALID","LN"&amp;TEXT(D107,"YYYYMMDD")&amp;TEXT(ROW()-13,"0000")))</f>
        <v/>
      </c>
      <c r="B107" s="486" t="n"/>
      <c r="C107" s="378">
        <f>IF(B107="","",IFERROR(VLOOKUP(B107,DB_Customers!$A:$D,4,0),"❌ Account Not Found"))</f>
        <v/>
      </c>
      <c r="D107" s="488">
        <f>IF(B107="","",TODAY())</f>
        <v/>
      </c>
      <c r="E107" s="526" t="n"/>
      <c r="F107" s="378" t="n"/>
      <c r="G107" s="532" t="n"/>
      <c r="H107" s="533" t="n"/>
      <c r="I107" s="529">
        <f>IF(E107="","",E107+(E107*H107/100*G107))</f>
        <v/>
      </c>
      <c r="J107" s="534">
        <f>IFERROR(I107/G107,"")</f>
        <v/>
      </c>
      <c r="K107" s="535">
        <f>IF(B107="","Pending",IF(M107="","⚠️ Enter Code",IF(IFERROR(VLOOKUP(L107,DB_Agents!$B:$I,8,0),"")=M107,"Pending","🔒 BLOCKED — Wrong Code")))</f>
        <v/>
      </c>
      <c r="L107" s="380" t="inlineStr">
        <is>
          <t>Agent 08</t>
        </is>
      </c>
      <c r="M107" s="491" t="n"/>
      <c r="N107" s="494" t="n"/>
    </row>
    <row r="108" ht="15" customHeight="1" s="341">
      <c r="A108" s="499">
        <f>IF(B108="","",IF(C108="❌ Account Not Found","INVALID","LN"&amp;TEXT(D108,"YYYYMMDD")&amp;TEXT(ROW()-13,"0000")))</f>
        <v/>
      </c>
      <c r="B108" s="495" t="n"/>
      <c r="C108" s="382">
        <f>IF(B108="","",IFERROR(VLOOKUP(B108,DB_Customers!$A:$D,4,0),"❌ Account Not Found"))</f>
        <v/>
      </c>
      <c r="D108" s="497">
        <f>IF(B108="","",TODAY())</f>
        <v/>
      </c>
      <c r="E108" s="526" t="n"/>
      <c r="F108" s="382" t="n"/>
      <c r="G108" s="527" t="n"/>
      <c r="H108" s="528" t="n"/>
      <c r="I108" s="529">
        <f>IF(E108="","",E108+(E108*H108/100*G108))</f>
        <v/>
      </c>
      <c r="J108" s="530">
        <f>IFERROR(I108/G108,"")</f>
        <v/>
      </c>
      <c r="K108" s="531">
        <f>IF(B108="","Pending",IF(M108="","⚠️ Enter Code",IF(IFERROR(VLOOKUP(L108,DB_Agents!$B:$I,8,0),"")=M108,"Pending","🔒 BLOCKED — Wrong Code")))</f>
        <v/>
      </c>
      <c r="L108" s="384" t="inlineStr">
        <is>
          <t>Agent 08</t>
        </is>
      </c>
      <c r="M108" s="491" t="n"/>
      <c r="N108" s="501" t="n"/>
    </row>
    <row r="109" ht="15" customHeight="1" s="341">
      <c r="A109" s="492">
        <f>IF(B109="","",IF(C109="❌ Account Not Found","INVALID","LN"&amp;TEXT(D109,"YYYYMMDD")&amp;TEXT(ROW()-13,"0000")))</f>
        <v/>
      </c>
      <c r="B109" s="486" t="n"/>
      <c r="C109" s="378">
        <f>IF(B109="","",IFERROR(VLOOKUP(B109,DB_Customers!$A:$D,4,0),"❌ Account Not Found"))</f>
        <v/>
      </c>
      <c r="D109" s="488">
        <f>IF(B109="","",TODAY())</f>
        <v/>
      </c>
      <c r="E109" s="526" t="n"/>
      <c r="F109" s="378" t="n"/>
      <c r="G109" s="532" t="n"/>
      <c r="H109" s="533" t="n"/>
      <c r="I109" s="529">
        <f>IF(E109="","",E109+(E109*H109/100*G109))</f>
        <v/>
      </c>
      <c r="J109" s="534">
        <f>IFERROR(I109/G109,"")</f>
        <v/>
      </c>
      <c r="K109" s="535">
        <f>IF(B109="","Pending",IF(M109="","⚠️ Enter Code",IF(IFERROR(VLOOKUP(L109,DB_Agents!$B:$I,8,0),"")=M109,"Pending","🔒 BLOCKED — Wrong Code")))</f>
        <v/>
      </c>
      <c r="L109" s="380" t="inlineStr">
        <is>
          <t>Agent 08</t>
        </is>
      </c>
      <c r="M109" s="491" t="n"/>
      <c r="N109" s="494" t="n"/>
    </row>
    <row r="110" ht="15" customHeight="1" s="341">
      <c r="A110" s="499">
        <f>IF(B110="","",IF(C110="❌ Account Not Found","INVALID","LN"&amp;TEXT(D110,"YYYYMMDD")&amp;TEXT(ROW()-13,"0000")))</f>
        <v/>
      </c>
      <c r="B110" s="495" t="n"/>
      <c r="C110" s="382">
        <f>IF(B110="","",IFERROR(VLOOKUP(B110,DB_Customers!$A:$D,4,0),"❌ Account Not Found"))</f>
        <v/>
      </c>
      <c r="D110" s="497">
        <f>IF(B110="","",TODAY())</f>
        <v/>
      </c>
      <c r="E110" s="526" t="n"/>
      <c r="F110" s="382" t="n"/>
      <c r="G110" s="527" t="n"/>
      <c r="H110" s="528" t="n"/>
      <c r="I110" s="529">
        <f>IF(E110="","",E110+(E110*H110/100*G110))</f>
        <v/>
      </c>
      <c r="J110" s="530">
        <f>IFERROR(I110/G110,"")</f>
        <v/>
      </c>
      <c r="K110" s="531">
        <f>IF(B110="","Pending",IF(M110="","⚠️ Enter Code",IF(IFERROR(VLOOKUP(L110,DB_Agents!$B:$I,8,0),"")=M110,"Pending","🔒 BLOCKED — Wrong Code")))</f>
        <v/>
      </c>
      <c r="L110" s="384" t="inlineStr">
        <is>
          <t>Agent 08</t>
        </is>
      </c>
      <c r="M110" s="491" t="n"/>
      <c r="N110" s="501" t="n"/>
    </row>
    <row r="111" ht="15" customHeight="1" s="341">
      <c r="A111" s="492">
        <f>IF(B111="","",IF(C111="❌ Account Not Found","INVALID","LN"&amp;TEXT(D111,"YYYYMMDD")&amp;TEXT(ROW()-13,"0000")))</f>
        <v/>
      </c>
      <c r="B111" s="486" t="n"/>
      <c r="C111" s="378">
        <f>IF(B111="","",IFERROR(VLOOKUP(B111,DB_Customers!$A:$D,4,0),"❌ Account Not Found"))</f>
        <v/>
      </c>
      <c r="D111" s="488">
        <f>IF(B111="","",TODAY())</f>
        <v/>
      </c>
      <c r="E111" s="526" t="n"/>
      <c r="F111" s="378" t="n"/>
      <c r="G111" s="532" t="n"/>
      <c r="H111" s="533" t="n"/>
      <c r="I111" s="529">
        <f>IF(E111="","",E111+(E111*H111/100*G111))</f>
        <v/>
      </c>
      <c r="J111" s="534">
        <f>IFERROR(I111/G111,"")</f>
        <v/>
      </c>
      <c r="K111" s="535">
        <f>IF(B111="","Pending",IF(M111="","⚠️ Enter Code",IF(IFERROR(VLOOKUP(L111,DB_Agents!$B:$I,8,0),"")=M111,"Pending","🔒 BLOCKED — Wrong Code")))</f>
        <v/>
      </c>
      <c r="L111" s="380" t="inlineStr">
        <is>
          <t>Agent 08</t>
        </is>
      </c>
      <c r="M111" s="491" t="n"/>
      <c r="N111" s="494" t="n"/>
    </row>
    <row r="112" ht="15" customHeight="1" s="341">
      <c r="A112" s="499">
        <f>IF(B112="","",IF(C112="❌ Account Not Found","INVALID","LN"&amp;TEXT(D112,"YYYYMMDD")&amp;TEXT(ROW()-13,"0000")))</f>
        <v/>
      </c>
      <c r="B112" s="495" t="n"/>
      <c r="C112" s="382">
        <f>IF(B112="","",IFERROR(VLOOKUP(B112,DB_Customers!$A:$D,4,0),"❌ Account Not Found"))</f>
        <v/>
      </c>
      <c r="D112" s="497">
        <f>IF(B112="","",TODAY())</f>
        <v/>
      </c>
      <c r="E112" s="526" t="n"/>
      <c r="F112" s="382" t="n"/>
      <c r="G112" s="527" t="n"/>
      <c r="H112" s="528" t="n"/>
      <c r="I112" s="529">
        <f>IF(E112="","",E112+(E112*H112/100*G112))</f>
        <v/>
      </c>
      <c r="J112" s="530">
        <f>IFERROR(I112/G112,"")</f>
        <v/>
      </c>
      <c r="K112" s="531">
        <f>IF(B112="","Pending",IF(M112="","⚠️ Enter Code",IF(IFERROR(VLOOKUP(L112,DB_Agents!$B:$I,8,0),"")=M112,"Pending","🔒 BLOCKED — Wrong Code")))</f>
        <v/>
      </c>
      <c r="L112" s="384" t="inlineStr">
        <is>
          <t>Agent 08</t>
        </is>
      </c>
      <c r="M112" s="491" t="n"/>
      <c r="N112" s="501" t="n"/>
    </row>
    <row r="113" ht="15" customHeight="1" s="341">
      <c r="A113" s="492">
        <f>IF(B113="","",IF(C113="❌ Account Not Found","INVALID","LN"&amp;TEXT(D113,"YYYYMMDD")&amp;TEXT(ROW()-13,"0000")))</f>
        <v/>
      </c>
      <c r="B113" s="486" t="n"/>
      <c r="C113" s="378">
        <f>IF(B113="","",IFERROR(VLOOKUP(B113,DB_Customers!$A:$D,4,0),"❌ Account Not Found"))</f>
        <v/>
      </c>
      <c r="D113" s="488">
        <f>IF(B113="","",TODAY())</f>
        <v/>
      </c>
      <c r="E113" s="526" t="n"/>
      <c r="F113" s="378" t="n"/>
      <c r="G113" s="532" t="n"/>
      <c r="H113" s="533" t="n"/>
      <c r="I113" s="529">
        <f>IF(E113="","",E113+(E113*H113/100*G113))</f>
        <v/>
      </c>
      <c r="J113" s="534">
        <f>IFERROR(I113/G113,"")</f>
        <v/>
      </c>
      <c r="K113" s="535">
        <f>IF(B113="","Pending",IF(M113="","⚠️ Enter Code",IF(IFERROR(VLOOKUP(L113,DB_Agents!$B:$I,8,0),"")=M113,"Pending","🔒 BLOCKED — Wrong Code")))</f>
        <v/>
      </c>
      <c r="L113" s="380" t="inlineStr">
        <is>
          <t>Agent 08</t>
        </is>
      </c>
      <c r="M113" s="491" t="n"/>
      <c r="N113" s="494" t="n"/>
    </row>
    <row r="114" ht="15" customHeight="1" s="341">
      <c r="H114" s="536" t="n"/>
      <c r="K114" s="537">
        <f>IF(B114="","Pending",IF(M114="","⚠️ Enter Code",IF(IFERROR(VLOOKUP(L114,DB_Agents!$B:$I,8,0),"")=M114,"Pending","🔒 BLOCKED — Wrong Code")))</f>
        <v/>
      </c>
      <c r="M114" s="491" t="n"/>
    </row>
    <row r="115" ht="15" customHeight="1" s="341">
      <c r="H115" s="536" t="n"/>
      <c r="K115" s="342">
        <f>IF(B115="","Pending",IF(M115="","⚠️ Enter Code",IF(IFERROR(VLOOKUP(L115,DB_Agents!$B:$I,8,0),"")=M115,"Pending","🔒 BLOCKED — Wrong Code")))</f>
        <v/>
      </c>
      <c r="M115" s="491" t="n"/>
    </row>
    <row r="116" ht="15" customHeight="1" s="341">
      <c r="H116" s="536" t="n"/>
      <c r="K116" s="537">
        <f>IF(B116="","Pending",IF(M116="","⚠️ Enter Code",IF(IFERROR(VLOOKUP(L116,DB_Agents!$B:$I,8,0),"")=M116,"Pending","🔒 BLOCKED — Wrong Code")))</f>
        <v/>
      </c>
      <c r="M116" s="491" t="n"/>
    </row>
    <row r="117" ht="15" customHeight="1" s="341">
      <c r="H117" s="536" t="n"/>
      <c r="K117" s="342">
        <f>IF(B117="","Pending",IF(M117="","⚠️ Enter Code",IF(IFERROR(VLOOKUP(L117,DB_Agents!$B:$I,8,0),"")=M117,"Pending","🔒 BLOCKED — Wrong Code")))</f>
        <v/>
      </c>
      <c r="M117" s="491" t="n"/>
    </row>
    <row r="118" ht="15" customHeight="1" s="341">
      <c r="H118" s="536" t="n"/>
      <c r="K118" s="537">
        <f>IF(B118="","Pending",IF(M118="","⚠️ Enter Code",IF(IFERROR(VLOOKUP(L118,DB_Agents!$B:$I,8,0),"")=M118,"Pending","🔒 BLOCKED — Wrong Code")))</f>
        <v/>
      </c>
      <c r="M118" s="491" t="n"/>
    </row>
    <row r="119" ht="15" customHeight="1" s="341">
      <c r="H119" s="536" t="n"/>
      <c r="K119" s="342">
        <f>IF(B119="","Pending",IF(M119="","⚠️ Enter Code",IF(IFERROR(VLOOKUP(L119,DB_Agents!$B:$I,8,0),"")=M119,"Pending","🔒 BLOCKED — Wrong Code")))</f>
        <v/>
      </c>
      <c r="M119" s="491" t="n"/>
    </row>
    <row r="120" ht="15" customHeight="1" s="341">
      <c r="H120" s="536" t="n"/>
      <c r="K120" s="537">
        <f>IF(B120="","Pending",IF(M120="","⚠️ Enter Code",IF(IFERROR(VLOOKUP(L120,DB_Agents!$B:$I,8,0),"")=M120,"Pending","🔒 BLOCKED — Wrong Code")))</f>
        <v/>
      </c>
      <c r="M120" s="491" t="n"/>
    </row>
    <row r="121" ht="15" customHeight="1" s="341">
      <c r="H121" s="536" t="n"/>
      <c r="K121" s="342">
        <f>IF(B121="","Pending",IF(M121="","⚠️ Enter Code",IF(IFERROR(VLOOKUP(L121,DB_Agents!$B:$I,8,0),"")=M121,"Pending","🔒 BLOCKED — Wrong Code")))</f>
        <v/>
      </c>
      <c r="M121" s="491" t="n"/>
    </row>
    <row r="122" ht="15" customHeight="1" s="341">
      <c r="H122" s="536" t="n"/>
      <c r="K122" s="537">
        <f>IF(B122="","Pending",IF(M122="","⚠️ Enter Code",IF(IFERROR(VLOOKUP(L122,DB_Agents!$B:$I,8,0),"")=M122,"Pending","🔒 BLOCKED — Wrong Code")))</f>
        <v/>
      </c>
      <c r="M122" s="491" t="n"/>
    </row>
    <row r="123" ht="15" customHeight="1" s="341">
      <c r="H123" s="536" t="n"/>
      <c r="K123" s="342">
        <f>IF(B123="","Pending",IF(M123="","⚠️ Enter Code",IF(IFERROR(VLOOKUP(L123,DB_Agents!$B:$I,8,0),"")=M123,"Pending","🔒 BLOCKED — Wrong Code")))</f>
        <v/>
      </c>
      <c r="M123" s="491" t="n"/>
    </row>
    <row r="124" ht="15" customHeight="1" s="341">
      <c r="H124" s="536" t="n"/>
      <c r="K124" s="537">
        <f>IF(B124="","Pending",IF(M124="","⚠️ Enter Code",IF(IFERROR(VLOOKUP(L124,DB_Agents!$B:$I,8,0),"")=M124,"Pending","🔒 BLOCKED — Wrong Code")))</f>
        <v/>
      </c>
      <c r="M124" s="491" t="n"/>
    </row>
    <row r="125" ht="15" customHeight="1" s="341">
      <c r="H125" s="536" t="n"/>
      <c r="K125" s="342">
        <f>IF(B125="","Pending",IF(M125="","⚠️ Enter Code",IF(IFERROR(VLOOKUP(L125,DB_Agents!$B:$I,8,0),"")=M125,"Pending","🔒 BLOCKED — Wrong Code")))</f>
        <v/>
      </c>
      <c r="M125" s="491" t="n"/>
    </row>
    <row r="126" ht="15" customHeight="1" s="341">
      <c r="H126" s="536" t="n"/>
      <c r="K126" s="537">
        <f>IF(B126="","Pending",IF(M126="","⚠️ Enter Code",IF(IFERROR(VLOOKUP(L126,DB_Agents!$B:$I,8,0),"")=M126,"Pending","🔒 BLOCKED — Wrong Code")))</f>
        <v/>
      </c>
      <c r="M126" s="491" t="n"/>
    </row>
    <row r="127" ht="15" customHeight="1" s="341">
      <c r="H127" s="536" t="n"/>
      <c r="K127" s="342">
        <f>IF(B127="","Pending",IF(M127="","⚠️ Enter Code",IF(IFERROR(VLOOKUP(L127,DB_Agents!$B:$I,8,0),"")=M127,"Pending","🔒 BLOCKED — Wrong Code")))</f>
        <v/>
      </c>
      <c r="M127" s="491" t="n"/>
    </row>
    <row r="128" ht="15" customHeight="1" s="341">
      <c r="H128" s="536" t="n"/>
      <c r="K128" s="537">
        <f>IF(B128="","Pending",IF(M128="","⚠️ Enter Code",IF(IFERROR(VLOOKUP(L128,DB_Agents!$B:$I,8,0),"")=M128,"Pending","🔒 BLOCKED — Wrong Code")))</f>
        <v/>
      </c>
      <c r="M128" s="491" t="n"/>
    </row>
    <row r="129" ht="15" customHeight="1" s="341">
      <c r="H129" s="536" t="n"/>
      <c r="K129" s="342">
        <f>IF(B129="","Pending",IF(M129="","⚠️ Enter Code",IF(IFERROR(VLOOKUP(L129,DB_Agents!$B:$I,8,0),"")=M129,"Pending","🔒 BLOCKED — Wrong Code")))</f>
        <v/>
      </c>
      <c r="M129" s="491" t="n"/>
    </row>
    <row r="130" ht="15" customHeight="1" s="341">
      <c r="H130" s="536" t="n"/>
      <c r="K130" s="537">
        <f>IF(B130="","Pending",IF(M130="","⚠️ Enter Code",IF(IFERROR(VLOOKUP(L130,DB_Agents!$B:$I,8,0),"")=M130,"Pending","🔒 BLOCKED — Wrong Code")))</f>
        <v/>
      </c>
      <c r="M130" s="491" t="n"/>
    </row>
    <row r="131" ht="15" customHeight="1" s="341">
      <c r="H131" s="536" t="n"/>
      <c r="K131" s="342">
        <f>IF(B131="","Pending",IF(M131="","⚠️ Enter Code",IF(IFERROR(VLOOKUP(L131,DB_Agents!$B:$I,8,0),"")=M131,"Pending","🔒 BLOCKED — Wrong Code")))</f>
        <v/>
      </c>
      <c r="M131" s="491" t="n"/>
    </row>
    <row r="132" ht="15" customHeight="1" s="341">
      <c r="H132" s="536" t="n"/>
      <c r="K132" s="537">
        <f>IF(B132="","Pending",IF(M132="","⚠️ Enter Code",IF(IFERROR(VLOOKUP(L132,DB_Agents!$B:$I,8,0),"")=M132,"Pending","🔒 BLOCKED — Wrong Code")))</f>
        <v/>
      </c>
      <c r="M132" s="491" t="n"/>
    </row>
    <row r="133" ht="15" customHeight="1" s="341">
      <c r="H133" s="536" t="n"/>
      <c r="K133" s="342">
        <f>IF(B133="","Pending",IF(M133="","⚠️ Enter Code",IF(IFERROR(VLOOKUP(L133,DB_Agents!$B:$I,8,0),"")=M133,"Pending","🔒 BLOCKED — Wrong Code")))</f>
        <v/>
      </c>
      <c r="M133" s="491" t="n"/>
    </row>
    <row r="134" ht="15" customHeight="1" s="341">
      <c r="H134" s="536" t="n"/>
      <c r="K134" s="537">
        <f>IF(B134="","Pending",IF(M134="","⚠️ Enter Code",IF(IFERROR(VLOOKUP(L134,DB_Agents!$B:$I,8,0),"")=M134,"Pending","🔒 BLOCKED — Wrong Code")))</f>
        <v/>
      </c>
      <c r="M134" s="491" t="n"/>
    </row>
    <row r="135" ht="15" customHeight="1" s="341">
      <c r="H135" s="536" t="n"/>
      <c r="K135" s="342">
        <f>IF(B135="","Pending",IF(M135="","⚠️ Enter Code",IF(IFERROR(VLOOKUP(L135,DB_Agents!$B:$I,8,0),"")=M135,"Pending","🔒 BLOCKED — Wrong Code")))</f>
        <v/>
      </c>
      <c r="M135" s="491" t="n"/>
    </row>
    <row r="136" ht="15" customHeight="1" s="341">
      <c r="H136" s="536" t="n"/>
      <c r="K136" s="537">
        <f>IF(B136="","Pending",IF(M136="","⚠️ Enter Code",IF(IFERROR(VLOOKUP(L136,DB_Agents!$B:$I,8,0),"")=M136,"Pending","🔒 BLOCKED — Wrong Code")))</f>
        <v/>
      </c>
      <c r="M136" s="491" t="n"/>
    </row>
    <row r="137" ht="15" customHeight="1" s="341">
      <c r="H137" s="536" t="n"/>
      <c r="K137" s="342">
        <f>IF(B137="","Pending",IF(M137="","⚠️ Enter Code",IF(IFERROR(VLOOKUP(L137,DB_Agents!$B:$I,8,0),"")=M137,"Pending","🔒 BLOCKED — Wrong Code")))</f>
        <v/>
      </c>
      <c r="M137" s="491" t="n"/>
    </row>
    <row r="138" ht="15" customHeight="1" s="341">
      <c r="H138" s="536" t="n"/>
      <c r="K138" s="537">
        <f>IF(B138="","Pending",IF(M138="","⚠️ Enter Code",IF(IFERROR(VLOOKUP(L138,DB_Agents!$B:$I,8,0),"")=M138,"Pending","🔒 BLOCKED — Wrong Code")))</f>
        <v/>
      </c>
      <c r="M138" s="491" t="n"/>
    </row>
    <row r="139" ht="15" customHeight="1" s="341">
      <c r="H139" s="536" t="n"/>
      <c r="K139" s="342">
        <f>IF(B139="","Pending",IF(M139="","⚠️ Enter Code",IF(IFERROR(VLOOKUP(L139,DB_Agents!$B:$I,8,0),"")=M139,"Pending","🔒 BLOCKED — Wrong Code")))</f>
        <v/>
      </c>
      <c r="M139" s="491" t="n"/>
    </row>
    <row r="140" ht="15" customHeight="1" s="341">
      <c r="H140" s="536" t="n"/>
      <c r="K140" s="537">
        <f>IF(B140="","Pending",IF(M140="","⚠️ Enter Code",IF(IFERROR(VLOOKUP(L140,DB_Agents!$B:$I,8,0),"")=M140,"Pending","🔒 BLOCKED — Wrong Code")))</f>
        <v/>
      </c>
      <c r="M140" s="491" t="n"/>
    </row>
    <row r="141" ht="15" customHeight="1" s="341">
      <c r="H141" s="536" t="n"/>
      <c r="K141" s="342">
        <f>IF(B141="","Pending",IF(M141="","⚠️ Enter Code",IF(IFERROR(VLOOKUP(L141,DB_Agents!$B:$I,8,0),"")=M141,"Pending","🔒 BLOCKED — Wrong Code")))</f>
        <v/>
      </c>
      <c r="M141" s="491" t="n"/>
    </row>
    <row r="142" ht="15" customHeight="1" s="341">
      <c r="H142" s="536" t="n"/>
      <c r="K142" s="537">
        <f>IF(B142="","Pending",IF(M142="","⚠️ Enter Code",IF(IFERROR(VLOOKUP(L142,DB_Agents!$B:$I,8,0),"")=M142,"Pending","🔒 BLOCKED — Wrong Code")))</f>
        <v/>
      </c>
      <c r="M142" s="491" t="n"/>
    </row>
    <row r="143" ht="15" customHeight="1" s="341">
      <c r="H143" s="536" t="n"/>
      <c r="K143" s="342">
        <f>IF(B143="","Pending",IF(M143="","⚠️ Enter Code",IF(IFERROR(VLOOKUP(L143,DB_Agents!$B:$I,8,0),"")=M143,"Pending","🔒 BLOCKED — Wrong Code")))</f>
        <v/>
      </c>
      <c r="M143" s="491" t="n"/>
    </row>
    <row r="144" ht="15" customHeight="1" s="341">
      <c r="H144" s="536" t="n"/>
      <c r="K144" s="537">
        <f>IF(B144="","Pending",IF(M144="","⚠️ Enter Code",IF(IFERROR(VLOOKUP(L144,DB_Agents!$B:$I,8,0),"")=M144,"Pending","🔒 BLOCKED — Wrong Code")))</f>
        <v/>
      </c>
      <c r="M144" s="491" t="n"/>
    </row>
    <row r="145" ht="15" customHeight="1" s="341">
      <c r="H145" s="536" t="n"/>
      <c r="K145" s="342">
        <f>IF(B145="","Pending",IF(M145="","⚠️ Enter Code",IF(IFERROR(VLOOKUP(L145,DB_Agents!$B:$I,8,0),"")=M145,"Pending","🔒 BLOCKED — Wrong Code")))</f>
        <v/>
      </c>
      <c r="M145" s="491" t="n"/>
    </row>
    <row r="146" ht="15" customHeight="1" s="341">
      <c r="H146" s="536" t="n"/>
      <c r="K146" s="537">
        <f>IF(B146="","Pending",IF(M146="","⚠️ Enter Code",IF(IFERROR(VLOOKUP(L146,DB_Agents!$B:$I,8,0),"")=M146,"Pending","🔒 BLOCKED — Wrong Code")))</f>
        <v/>
      </c>
      <c r="M146" s="491" t="n"/>
    </row>
    <row r="147" ht="15" customHeight="1" s="341">
      <c r="H147" s="536" t="n"/>
      <c r="K147" s="342">
        <f>IF(B147="","Pending",IF(M147="","⚠️ Enter Code",IF(IFERROR(VLOOKUP(L147,DB_Agents!$B:$I,8,0),"")=M147,"Pending","🔒 BLOCKED — Wrong Code")))</f>
        <v/>
      </c>
      <c r="M147" s="491" t="n"/>
    </row>
    <row r="148" ht="15" customHeight="1" s="341">
      <c r="H148" s="536" t="n"/>
      <c r="K148" s="537">
        <f>IF(B148="","Pending",IF(M148="","⚠️ Enter Code",IF(IFERROR(VLOOKUP(L148,DB_Agents!$B:$I,8,0),"")=M148,"Pending","🔒 BLOCKED — Wrong Code")))</f>
        <v/>
      </c>
      <c r="M148" s="491" t="n"/>
    </row>
    <row r="149" ht="15" customHeight="1" s="341">
      <c r="H149" s="536" t="n"/>
      <c r="K149" s="342">
        <f>IF(B149="","Pending",IF(M149="","⚠️ Enter Code",IF(IFERROR(VLOOKUP(L149,DB_Agents!$B:$I,8,0),"")=M149,"Pending","🔒 BLOCKED — Wrong Code")))</f>
        <v/>
      </c>
      <c r="M149" s="491" t="n"/>
    </row>
    <row r="150" ht="15" customHeight="1" s="341">
      <c r="H150" s="536" t="n"/>
      <c r="K150" s="537">
        <f>IF(B150="","Pending",IF(M150="","⚠️ Enter Code",IF(IFERROR(VLOOKUP(L150,DB_Agents!$B:$I,8,0),"")=M150,"Pending","🔒 BLOCKED — Wrong Code")))</f>
        <v/>
      </c>
      <c r="M150" s="491" t="n"/>
    </row>
    <row r="151" ht="15" customHeight="1" s="341">
      <c r="H151" s="536" t="n"/>
      <c r="K151" s="342">
        <f>IF(B151="","Pending",IF(M151="","⚠️ Enter Code",IF(IFERROR(VLOOKUP(L151,DB_Agents!$B:$I,8,0),"")=M151,"Pending","🔒 BLOCKED — Wrong Code")))</f>
        <v/>
      </c>
      <c r="M151" s="491" t="n"/>
    </row>
    <row r="152" ht="15" customHeight="1" s="341">
      <c r="H152" s="536" t="n"/>
      <c r="K152" s="537">
        <f>IF(B152="","Pending",IF(M152="","⚠️ Enter Code",IF(IFERROR(VLOOKUP(L152,DB_Agents!$B:$I,8,0),"")=M152,"Pending","🔒 BLOCKED — Wrong Code")))</f>
        <v/>
      </c>
      <c r="M152" s="491" t="n"/>
    </row>
    <row r="153" ht="15" customHeight="1" s="341">
      <c r="H153" s="536" t="n"/>
      <c r="K153" s="342">
        <f>IF(B153="","Pending",IF(M153="","⚠️ Enter Code",IF(IFERROR(VLOOKUP(L153,DB_Agents!$B:$I,8,0),"")=M153,"Pending","🔒 BLOCKED — Wrong Code")))</f>
        <v/>
      </c>
      <c r="M153" s="491" t="n"/>
    </row>
    <row r="154" ht="15" customHeight="1" s="341">
      <c r="H154" s="536" t="n"/>
      <c r="K154" s="537">
        <f>IF(B154="","Pending",IF(M154="","⚠️ Enter Code",IF(IFERROR(VLOOKUP(L154,DB_Agents!$B:$I,8,0),"")=M154,"Pending","🔒 BLOCKED — Wrong Code")))</f>
        <v/>
      </c>
      <c r="M154" s="491" t="n"/>
    </row>
    <row r="155" ht="15" customHeight="1" s="341">
      <c r="H155" s="536" t="n"/>
      <c r="K155" s="342">
        <f>IF(B155="","Pending",IF(M155="","⚠️ Enter Code",IF(IFERROR(VLOOKUP(L155,DB_Agents!$B:$I,8,0),"")=M155,"Pending","🔒 BLOCKED — Wrong Code")))</f>
        <v/>
      </c>
      <c r="M155" s="491" t="n"/>
    </row>
    <row r="156" ht="15" customHeight="1" s="341">
      <c r="H156" s="536" t="n"/>
      <c r="K156" s="537">
        <f>IF(B156="","Pending",IF(M156="","⚠️ Enter Code",IF(IFERROR(VLOOKUP(L156,DB_Agents!$B:$I,8,0),"")=M156,"Pending","🔒 BLOCKED — Wrong Code")))</f>
        <v/>
      </c>
      <c r="M156" s="491" t="n"/>
    </row>
    <row r="157" ht="15" customHeight="1" s="341">
      <c r="H157" s="536" t="n"/>
      <c r="K157" s="342">
        <f>IF(B157="","Pending",IF(M157="","⚠️ Enter Code",IF(IFERROR(VLOOKUP(L157,DB_Agents!$B:$I,8,0),"")=M157,"Pending","🔒 BLOCKED — Wrong Code")))</f>
        <v/>
      </c>
      <c r="M157" s="491" t="n"/>
    </row>
    <row r="158" ht="15" customHeight="1" s="341">
      <c r="H158" s="536" t="n"/>
      <c r="K158" s="537">
        <f>IF(B158="","Pending",IF(M158="","⚠️ Enter Code",IF(IFERROR(VLOOKUP(L158,DB_Agents!$B:$I,8,0),"")=M158,"Pending","🔒 BLOCKED — Wrong Code")))</f>
        <v/>
      </c>
      <c r="M158" s="491" t="n"/>
    </row>
    <row r="159" ht="15" customHeight="1" s="341">
      <c r="H159" s="536" t="n"/>
      <c r="K159" s="342">
        <f>IF(B159="","Pending",IF(M159="","⚠️ Enter Code",IF(IFERROR(VLOOKUP(L159,DB_Agents!$B:$I,8,0),"")=M159,"Pending","🔒 BLOCKED — Wrong Code")))</f>
        <v/>
      </c>
      <c r="M159" s="491" t="n"/>
    </row>
    <row r="160" ht="15" customHeight="1" s="341">
      <c r="H160" s="536" t="n"/>
      <c r="K160" s="537">
        <f>IF(B160="","Pending",IF(M160="","⚠️ Enter Code",IF(IFERROR(VLOOKUP(L160,DB_Agents!$B:$I,8,0),"")=M160,"Pending","🔒 BLOCKED — Wrong Code")))</f>
        <v/>
      </c>
      <c r="M160" s="491" t="n"/>
    </row>
    <row r="161" ht="15" customHeight="1" s="341">
      <c r="H161" s="536" t="n"/>
      <c r="K161" s="342">
        <f>IF(B161="","Pending",IF(M161="","⚠️ Enter Code",IF(IFERROR(VLOOKUP(L161,DB_Agents!$B:$I,8,0),"")=M161,"Pending","🔒 BLOCKED — Wrong Code")))</f>
        <v/>
      </c>
      <c r="M161" s="491" t="n"/>
    </row>
    <row r="162" ht="15" customHeight="1" s="341">
      <c r="H162" s="536" t="n"/>
      <c r="K162" s="537">
        <f>IF(B162="","Pending",IF(M162="","⚠️ Enter Code",IF(IFERROR(VLOOKUP(L162,DB_Agents!$B:$I,8,0),"")=M162,"Pending","🔒 BLOCKED — Wrong Code")))</f>
        <v/>
      </c>
      <c r="M162" s="491" t="n"/>
    </row>
    <row r="163" ht="15" customHeight="1" s="341">
      <c r="H163" s="536" t="n"/>
      <c r="K163" s="342">
        <f>IF(B163="","Pending",IF(M163="","⚠️ Enter Code",IF(IFERROR(VLOOKUP(L163,DB_Agents!$B:$I,8,0),"")=M163,"Pending","🔒 BLOCKED — Wrong Code")))</f>
        <v/>
      </c>
      <c r="M163" s="491" t="n"/>
    </row>
    <row r="164" ht="15" customHeight="1" s="341">
      <c r="H164" s="536" t="n"/>
      <c r="K164" s="537">
        <f>IF(B164="","Pending",IF(M164="","⚠️ Enter Code",IF(IFERROR(VLOOKUP(L164,DB_Agents!$B:$I,8,0),"")=M164,"Pending","🔒 BLOCKED — Wrong Code")))</f>
        <v/>
      </c>
      <c r="M164" s="491" t="n"/>
    </row>
    <row r="165" ht="15" customHeight="1" s="341">
      <c r="H165" s="536" t="n"/>
      <c r="K165" s="342">
        <f>IF(B165="","Pending",IF(M165="","⚠️ Enter Code",IF(IFERROR(VLOOKUP(L165,DB_Agents!$B:$I,8,0),"")=M165,"Pending","🔒 BLOCKED — Wrong Code")))</f>
        <v/>
      </c>
      <c r="M165" s="491" t="n"/>
    </row>
    <row r="166" ht="15" customHeight="1" s="341">
      <c r="H166" s="536" t="n"/>
      <c r="K166" s="537">
        <f>IF(B166="","Pending",IF(M166="","⚠️ Enter Code",IF(IFERROR(VLOOKUP(L166,DB_Agents!$B:$I,8,0),"")=M166,"Pending","🔒 BLOCKED — Wrong Code")))</f>
        <v/>
      </c>
      <c r="M166" s="491" t="n"/>
    </row>
    <row r="167" ht="15" customHeight="1" s="341">
      <c r="H167" s="536" t="n"/>
      <c r="K167" s="342">
        <f>IF(B167="","Pending",IF(M167="","⚠️ Enter Code",IF(IFERROR(VLOOKUP(L167,DB_Agents!$B:$I,8,0),"")=M167,"Pending","🔒 BLOCKED — Wrong Code")))</f>
        <v/>
      </c>
      <c r="M167" s="491" t="n"/>
    </row>
    <row r="168" ht="15" customHeight="1" s="341">
      <c r="H168" s="536" t="n"/>
      <c r="K168" s="537">
        <f>IF(B168="","Pending",IF(M168="","⚠️ Enter Code",IF(IFERROR(VLOOKUP(L168,DB_Agents!$B:$I,8,0),"")=M168,"Pending","🔒 BLOCKED — Wrong Code")))</f>
        <v/>
      </c>
      <c r="M168" s="491" t="n"/>
    </row>
    <row r="169" ht="15" customHeight="1" s="341">
      <c r="H169" s="536" t="n"/>
      <c r="K169" s="342">
        <f>IF(B169="","Pending",IF(M169="","⚠️ Enter Code",IF(IFERROR(VLOOKUP(L169,DB_Agents!$B:$I,8,0),"")=M169,"Pending","🔒 BLOCKED — Wrong Code")))</f>
        <v/>
      </c>
      <c r="M169" s="491" t="n"/>
    </row>
    <row r="170" ht="15" customHeight="1" s="341">
      <c r="H170" s="536" t="n"/>
      <c r="K170" s="537">
        <f>IF(B170="","Pending",IF(M170="","⚠️ Enter Code",IF(IFERROR(VLOOKUP(L170,DB_Agents!$B:$I,8,0),"")=M170,"Pending","🔒 BLOCKED — Wrong Code")))</f>
        <v/>
      </c>
      <c r="M170" s="491" t="n"/>
    </row>
    <row r="171" ht="15" customHeight="1" s="341">
      <c r="H171" s="536" t="n"/>
      <c r="K171" s="342">
        <f>IF(B171="","Pending",IF(M171="","⚠️ Enter Code",IF(IFERROR(VLOOKUP(L171,DB_Agents!$B:$I,8,0),"")=M171,"Pending","🔒 BLOCKED — Wrong Code")))</f>
        <v/>
      </c>
      <c r="M171" s="491" t="n"/>
    </row>
    <row r="172" ht="15" customHeight="1" s="341">
      <c r="H172" s="536" t="n"/>
      <c r="K172" s="537">
        <f>IF(B172="","Pending",IF(M172="","⚠️ Enter Code",IF(IFERROR(VLOOKUP(L172,DB_Agents!$B:$I,8,0),"")=M172,"Pending","🔒 BLOCKED — Wrong Code")))</f>
        <v/>
      </c>
      <c r="M172" s="491" t="n"/>
    </row>
    <row r="173" ht="15" customHeight="1" s="341">
      <c r="H173" s="536" t="n"/>
      <c r="K173" s="342">
        <f>IF(B173="","Pending",IF(M173="","⚠️ Enter Code",IF(IFERROR(VLOOKUP(L173,DB_Agents!$B:$I,8,0),"")=M173,"Pending","🔒 BLOCKED — Wrong Code")))</f>
        <v/>
      </c>
      <c r="M173" s="491" t="n"/>
    </row>
    <row r="174" ht="15" customHeight="1" s="341">
      <c r="H174" s="536" t="n"/>
      <c r="K174" s="537">
        <f>IF(B174="","Pending",IF(M174="","⚠️ Enter Code",IF(IFERROR(VLOOKUP(L174,DB_Agents!$B:$I,8,0),"")=M174,"Pending","🔒 BLOCKED — Wrong Code")))</f>
        <v/>
      </c>
      <c r="M174" s="491" t="n"/>
    </row>
    <row r="175" ht="15" customHeight="1" s="341">
      <c r="H175" s="536" t="n"/>
      <c r="K175" s="342">
        <f>IF(B175="","Pending",IF(M175="","⚠️ Enter Code",IF(IFERROR(VLOOKUP(L175,DB_Agents!$B:$I,8,0),"")=M175,"Pending","🔒 BLOCKED — Wrong Code")))</f>
        <v/>
      </c>
      <c r="M175" s="491" t="n"/>
    </row>
    <row r="176" ht="15" customHeight="1" s="341">
      <c r="H176" s="536" t="n"/>
      <c r="K176" s="537">
        <f>IF(B176="","Pending",IF(M176="","⚠️ Enter Code",IF(IFERROR(VLOOKUP(L176,DB_Agents!$B:$I,8,0),"")=M176,"Pending","🔒 BLOCKED — Wrong Code")))</f>
        <v/>
      </c>
      <c r="M176" s="491" t="n"/>
    </row>
    <row r="177" ht="15" customHeight="1" s="341">
      <c r="H177" s="536" t="n"/>
      <c r="K177" s="342">
        <f>IF(B177="","Pending",IF(M177="","⚠️ Enter Code",IF(IFERROR(VLOOKUP(L177,DB_Agents!$B:$I,8,0),"")=M177,"Pending","🔒 BLOCKED — Wrong Code")))</f>
        <v/>
      </c>
      <c r="M177" s="491" t="n"/>
    </row>
    <row r="178" ht="15" customHeight="1" s="341">
      <c r="H178" s="536" t="n"/>
      <c r="K178" s="537">
        <f>IF(B178="","Pending",IF(M178="","⚠️ Enter Code",IF(IFERROR(VLOOKUP(L178,DB_Agents!$B:$I,8,0),"")=M178,"Pending","🔒 BLOCKED — Wrong Code")))</f>
        <v/>
      </c>
      <c r="M178" s="491" t="n"/>
    </row>
    <row r="179" ht="15" customHeight="1" s="341">
      <c r="H179" s="536" t="n"/>
      <c r="K179" s="342">
        <f>IF(B179="","Pending",IF(M179="","⚠️ Enter Code",IF(IFERROR(VLOOKUP(L179,DB_Agents!$B:$I,8,0),"")=M179,"Pending","🔒 BLOCKED — Wrong Code")))</f>
        <v/>
      </c>
      <c r="M179" s="491" t="n"/>
    </row>
    <row r="180" ht="15" customHeight="1" s="341">
      <c r="H180" s="536" t="n"/>
      <c r="K180" s="537">
        <f>IF(B180="","Pending",IF(M180="","⚠️ Enter Code",IF(IFERROR(VLOOKUP(L180,DB_Agents!$B:$I,8,0),"")=M180,"Pending","🔒 BLOCKED — Wrong Code")))</f>
        <v/>
      </c>
      <c r="M180" s="491" t="n"/>
    </row>
    <row r="181" ht="15" customHeight="1" s="341">
      <c r="H181" s="536" t="n"/>
      <c r="K181" s="342">
        <f>IF(B181="","Pending",IF(M181="","⚠️ Enter Code",IF(IFERROR(VLOOKUP(L181,DB_Agents!$B:$I,8,0),"")=M181,"Pending","🔒 BLOCKED — Wrong Code")))</f>
        <v/>
      </c>
      <c r="M181" s="491" t="n"/>
    </row>
    <row r="182" ht="15" customHeight="1" s="341">
      <c r="H182" s="536" t="n"/>
      <c r="K182" s="537">
        <f>IF(B182="","Pending",IF(M182="","⚠️ Enter Code",IF(IFERROR(VLOOKUP(L182,DB_Agents!$B:$I,8,0),"")=M182,"Pending","🔒 BLOCKED — Wrong Code")))</f>
        <v/>
      </c>
      <c r="M182" s="491" t="n"/>
    </row>
    <row r="183" ht="15" customHeight="1" s="341">
      <c r="H183" s="536" t="n"/>
      <c r="K183" s="342">
        <f>IF(B183="","Pending",IF(M183="","⚠️ Enter Code",IF(IFERROR(VLOOKUP(L183,DB_Agents!$B:$I,8,0),"")=M183,"Pending","🔒 BLOCKED — Wrong Code")))</f>
        <v/>
      </c>
      <c r="M183" s="491" t="n"/>
    </row>
    <row r="184" ht="15" customHeight="1" s="341">
      <c r="H184" s="536" t="n"/>
      <c r="K184" s="537">
        <f>IF(B184="","Pending",IF(M184="","⚠️ Enter Code",IF(IFERROR(VLOOKUP(L184,DB_Agents!$B:$I,8,0),"")=M184,"Pending","🔒 BLOCKED — Wrong Code")))</f>
        <v/>
      </c>
      <c r="M184" s="491" t="n"/>
    </row>
    <row r="185" ht="15" customHeight="1" s="341">
      <c r="H185" s="536" t="n"/>
      <c r="K185" s="342">
        <f>IF(B185="","Pending",IF(M185="","⚠️ Enter Code",IF(IFERROR(VLOOKUP(L185,DB_Agents!$B:$I,8,0),"")=M185,"Pending","🔒 BLOCKED — Wrong Code")))</f>
        <v/>
      </c>
      <c r="M185" s="491" t="n"/>
    </row>
    <row r="186" ht="15" customHeight="1" s="341">
      <c r="H186" s="536" t="n"/>
      <c r="K186" s="537">
        <f>IF(B186="","Pending",IF(M186="","⚠️ Enter Code",IF(IFERROR(VLOOKUP(L186,DB_Agents!$B:$I,8,0),"")=M186,"Pending","🔒 BLOCKED — Wrong Code")))</f>
        <v/>
      </c>
      <c r="M186" s="491" t="n"/>
    </row>
    <row r="187" ht="15" customHeight="1" s="341">
      <c r="H187" s="536" t="n"/>
      <c r="K187" s="342">
        <f>IF(B187="","Pending",IF(M187="","⚠️ Enter Code",IF(IFERROR(VLOOKUP(L187,DB_Agents!$B:$I,8,0),"")=M187,"Pending","🔒 BLOCKED — Wrong Code")))</f>
        <v/>
      </c>
      <c r="M187" s="491" t="n"/>
    </row>
    <row r="188" ht="15" customHeight="1" s="341">
      <c r="H188" s="536" t="n"/>
      <c r="K188" s="537">
        <f>IF(B188="","Pending",IF(M188="","⚠️ Enter Code",IF(IFERROR(VLOOKUP(L188,DB_Agents!$B:$I,8,0),"")=M188,"Pending","🔒 BLOCKED — Wrong Code")))</f>
        <v/>
      </c>
      <c r="M188" s="491" t="n"/>
    </row>
    <row r="189" ht="15" customHeight="1" s="341">
      <c r="H189" s="536" t="n"/>
      <c r="K189" s="342">
        <f>IF(B189="","Pending",IF(M189="","⚠️ Enter Code",IF(IFERROR(VLOOKUP(L189,DB_Agents!$B:$I,8,0),"")=M189,"Pending","🔒 BLOCKED — Wrong Code")))</f>
        <v/>
      </c>
      <c r="M189" s="491" t="n"/>
    </row>
    <row r="190" ht="15" customHeight="1" s="341">
      <c r="H190" s="536" t="n"/>
      <c r="K190" s="537">
        <f>IF(B190="","Pending",IF(M190="","⚠️ Enter Code",IF(IFERROR(VLOOKUP(L190,DB_Agents!$B:$I,8,0),"")=M190,"Pending","🔒 BLOCKED — Wrong Code")))</f>
        <v/>
      </c>
      <c r="M190" s="491" t="n"/>
    </row>
    <row r="191" ht="15" customHeight="1" s="341">
      <c r="H191" s="536" t="n"/>
      <c r="K191" s="342">
        <f>IF(B191="","Pending",IF(M191="","⚠️ Enter Code",IF(IFERROR(VLOOKUP(L191,DB_Agents!$B:$I,8,0),"")=M191,"Pending","🔒 BLOCKED — Wrong Code")))</f>
        <v/>
      </c>
      <c r="M191" s="491" t="n"/>
    </row>
    <row r="192" ht="15" customHeight="1" s="341">
      <c r="H192" s="536" t="n"/>
      <c r="K192" s="537">
        <f>IF(B192="","Pending",IF(M192="","⚠️ Enter Code",IF(IFERROR(VLOOKUP(L192,DB_Agents!$B:$I,8,0),"")=M192,"Pending","🔒 BLOCKED — Wrong Code")))</f>
        <v/>
      </c>
      <c r="M192" s="491" t="n"/>
    </row>
    <row r="193" ht="15" customHeight="1" s="341">
      <c r="H193" s="536" t="n"/>
      <c r="K193" s="342">
        <f>IF(B193="","Pending",IF(M193="","⚠️ Enter Code",IF(IFERROR(VLOOKUP(L193,DB_Agents!$B:$I,8,0),"")=M193,"Pending","🔒 BLOCKED — Wrong Code")))</f>
        <v/>
      </c>
      <c r="M193" s="491" t="n"/>
    </row>
    <row r="194" ht="15" customHeight="1" s="341">
      <c r="H194" s="536" t="n"/>
      <c r="K194" s="537">
        <f>IF(B194="","Pending",IF(M194="","⚠️ Enter Code",IF(IFERROR(VLOOKUP(L194,DB_Agents!$B:$I,8,0),"")=M194,"Pending","🔒 BLOCKED — Wrong Code")))</f>
        <v/>
      </c>
      <c r="M194" s="491" t="n"/>
    </row>
    <row r="195" ht="15" customHeight="1" s="341">
      <c r="H195" s="536" t="n"/>
      <c r="K195" s="342">
        <f>IF(B195="","Pending",IF(M195="","⚠️ Enter Code",IF(IFERROR(VLOOKUP(L195,DB_Agents!$B:$I,8,0),"")=M195,"Pending","🔒 BLOCKED — Wrong Code")))</f>
        <v/>
      </c>
      <c r="M195" s="491" t="n"/>
    </row>
    <row r="196" ht="15" customHeight="1" s="341">
      <c r="H196" s="536" t="n"/>
      <c r="K196" s="537">
        <f>IF(B196="","Pending",IF(M196="","⚠️ Enter Code",IF(IFERROR(VLOOKUP(L196,DB_Agents!$B:$I,8,0),"")=M196,"Pending","🔒 BLOCKED — Wrong Code")))</f>
        <v/>
      </c>
      <c r="M196" s="491" t="n"/>
    </row>
    <row r="197" ht="15" customHeight="1" s="341">
      <c r="H197" s="536" t="n"/>
      <c r="K197" s="342">
        <f>IF(B197="","Pending",IF(M197="","⚠️ Enter Code",IF(IFERROR(VLOOKUP(L197,DB_Agents!$B:$I,8,0),"")=M197,"Pending","🔒 BLOCKED — Wrong Code")))</f>
        <v/>
      </c>
      <c r="M197" s="491" t="n"/>
    </row>
    <row r="198" ht="15" customHeight="1" s="341">
      <c r="H198" s="536" t="n"/>
      <c r="K198" s="537">
        <f>IF(B198="","Pending",IF(M198="","⚠️ Enter Code",IF(IFERROR(VLOOKUP(L198,DB_Agents!$B:$I,8,0),"")=M198,"Pending","🔒 BLOCKED — Wrong Code")))</f>
        <v/>
      </c>
      <c r="M198" s="491" t="n"/>
    </row>
    <row r="199" ht="15" customHeight="1" s="341">
      <c r="H199" s="536" t="n"/>
      <c r="K199" s="342">
        <f>IF(B199="","Pending",IF(M199="","⚠️ Enter Code",IF(IFERROR(VLOOKUP(L199,DB_Agents!$B:$I,8,0),"")=M199,"Pending","🔒 BLOCKED — Wrong Code")))</f>
        <v/>
      </c>
      <c r="M199" s="491" t="n"/>
    </row>
    <row r="200" ht="15" customHeight="1" s="341">
      <c r="H200" s="536" t="n"/>
      <c r="K200" s="537">
        <f>IF(B200="","Pending",IF(M200="","⚠️ Enter Code",IF(IFERROR(VLOOKUP(L200,DB_Agents!$B:$I,8,0),"")=M200,"Pending","🔒 BLOCKED — Wrong Code")))</f>
        <v/>
      </c>
      <c r="M200" s="491" t="n"/>
    </row>
    <row r="201" ht="15" customHeight="1" s="341">
      <c r="K201" s="342">
        <f>IF(B201="","Pending",IF(M201="","⚠️ Enter Code",IF(IFERROR(VLOOKUP(L201,DB_Agents!$B:$I,8,0),"")=M201,"Pending","🔒 BLOCKED — Wrong Code")))</f>
        <v/>
      </c>
      <c r="M201" s="491" t="n"/>
    </row>
    <row r="202" ht="15" customHeight="1" s="341">
      <c r="K202" s="537">
        <f>IF(B202="","Pending",IF(M202="","⚠️ Enter Code",IF(IFERROR(VLOOKUP(L202,DB_Agents!$B:$I,8,0),"")=M202,"Pending","🔒 BLOCKED — Wrong Code")))</f>
        <v/>
      </c>
      <c r="M202" s="491" t="n"/>
    </row>
    <row r="203" ht="15" customHeight="1" s="341">
      <c r="K203" s="342">
        <f>IF(B203="","Pending",IF(M203="","⚠️ Enter Code",IF(IFERROR(VLOOKUP(L203,DB_Agents!$B:$I,8,0),"")=M203,"Pending","🔒 BLOCKED — Wrong Code")))</f>
        <v/>
      </c>
      <c r="M203" s="491" t="n"/>
    </row>
    <row r="204" ht="15" customHeight="1" s="341">
      <c r="K204" s="537">
        <f>IF(B204="","Pending",IF(M204="","⚠️ Enter Code",IF(IFERROR(VLOOKUP(L204,DB_Agents!$B:$I,8,0),"")=M204,"Pending","🔒 BLOCKED — Wrong Code")))</f>
        <v/>
      </c>
      <c r="M204" s="491" t="n"/>
    </row>
    <row r="205" ht="15" customHeight="1" s="341">
      <c r="K205" s="342">
        <f>IF(B205="","Pending",IF(M205="","⚠️ Enter Code",IF(IFERROR(VLOOKUP(L205,DB_Agents!$B:$I,8,0),"")=M205,"Pending","🔒 BLOCKED — Wrong Code")))</f>
        <v/>
      </c>
      <c r="M205" s="491" t="n"/>
    </row>
    <row r="206" ht="15" customHeight="1" s="341">
      <c r="K206" s="537">
        <f>IF(B206="","Pending",IF(M206="","⚠️ Enter Code",IF(IFERROR(VLOOKUP(L206,DB_Agents!$B:$I,8,0),"")=M206,"Pending","🔒 BLOCKED — Wrong Code")))</f>
        <v/>
      </c>
      <c r="M206" s="491" t="n"/>
    </row>
    <row r="207" ht="15" customHeight="1" s="341">
      <c r="K207" s="342">
        <f>IF(B207="","Pending",IF(M207="","⚠️ Enter Code",IF(IFERROR(VLOOKUP(L207,DB_Agents!$B:$I,8,0),"")=M207,"Pending","🔒 BLOCKED — Wrong Code")))</f>
        <v/>
      </c>
      <c r="M207" s="491" t="n"/>
    </row>
    <row r="208" ht="15" customHeight="1" s="341">
      <c r="K208" s="537">
        <f>IF(B208="","Pending",IF(M208="","⚠️ Enter Code",IF(IFERROR(VLOOKUP(L208,DB_Agents!$B:$I,8,0),"")=M208,"Pending","🔒 BLOCKED — Wrong Code")))</f>
        <v/>
      </c>
      <c r="M208" s="491" t="n"/>
    </row>
    <row r="209" ht="15" customHeight="1" s="341">
      <c r="K209" s="342">
        <f>IF(B209="","Pending",IF(M209="","⚠️ Enter Code",IF(IFERROR(VLOOKUP(L209,DB_Agents!$B:$I,8,0),"")=M209,"Pending","🔒 BLOCKED — Wrong Code")))</f>
        <v/>
      </c>
      <c r="M209" s="491" t="n"/>
    </row>
    <row r="210" ht="15" customHeight="1" s="341">
      <c r="K210" s="537">
        <f>IF(B210="","Pending",IF(M210="","⚠️ Enter Code",IF(IFERROR(VLOOKUP(L210,DB_Agents!$B:$I,8,0),"")=M210,"Pending","🔒 BLOCKED — Wrong Code")))</f>
        <v/>
      </c>
      <c r="M210" s="491" t="n"/>
    </row>
    <row r="211" ht="15" customHeight="1" s="341">
      <c r="K211" s="342">
        <f>IF(B211="","Pending",IF(M211="","⚠️ Enter Code",IF(IFERROR(VLOOKUP(L211,DB_Agents!$B:$I,8,0),"")=M211,"Pending","🔒 BLOCKED — Wrong Code")))</f>
        <v/>
      </c>
      <c r="M211" s="491" t="n"/>
    </row>
    <row r="212" ht="15" customHeight="1" s="341">
      <c r="K212" s="537">
        <f>IF(B212="","Pending",IF(M212="","⚠️ Enter Code",IF(IFERROR(VLOOKUP(L212,DB_Agents!$B:$I,8,0),"")=M212,"Pending","🔒 BLOCKED — Wrong Code")))</f>
        <v/>
      </c>
      <c r="M212" s="491" t="n"/>
    </row>
    <row r="213" ht="15" customHeight="1" s="341">
      <c r="K213" s="342">
        <f>IF(B213="","Pending",IF(M213="","⚠️ Enter Code",IF(IFERROR(VLOOKUP(L213,DB_Agents!$B:$I,8,0),"")=M213,"Pending","🔒 BLOCKED — Wrong Code")))</f>
        <v/>
      </c>
      <c r="M213" s="491" t="n"/>
    </row>
  </sheetData>
  <mergeCells count="10">
    <mergeCell ref="B10:D10"/>
    <mergeCell ref="B5:D5"/>
    <mergeCell ref="A12:N12"/>
    <mergeCell ref="A4:D4"/>
    <mergeCell ref="B8:D8"/>
    <mergeCell ref="A2:N2"/>
    <mergeCell ref="B9:D9"/>
    <mergeCell ref="B7:D7"/>
    <mergeCell ref="B6:D6"/>
    <mergeCell ref="A1:N1"/>
  </mergeCells>
  <conditionalFormatting sqref="K14:K113">
    <cfRule type="cellIs" rank="0" priority="2" equalAverage="0" operator="equal" aboveAverage="0" dxfId="0" text="" percent="0" bottom="0">
      <formula>"Approved"</formula>
    </cfRule>
    <cfRule type="cellIs" rank="0" priority="3" equalAverage="0" operator="equal" aboveAverage="0" dxfId="11" text="" percent="0" bottom="0">
      <formula>"Pending"</formula>
    </cfRule>
    <cfRule type="cellIs" rank="0" priority="4" equalAverage="0" operator="equal" aboveAverage="0" dxfId="1" text="" percent="0" bottom="0">
      <formula>"Rejected"</formula>
    </cfRule>
  </conditionalFormatting>
  <dataValidations count="2">
    <dataValidation sqref="G14:G113" showDropDown="0" showInputMessage="0" showErrorMessage="1" allowBlank="0" error="Enter 1-36 months" type="whole" errorStyle="stop" operator="between">
      <formula1>1</formula1>
      <formula2>36</formula2>
    </dataValidation>
    <dataValidation sqref="L14:L113"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0.xml><?xml version="1.0" encoding="utf-8"?>
<worksheet xmlns="http://schemas.openxmlformats.org/spreadsheetml/2006/main">
  <sheetPr filterMode="0">
    <tabColor rgb="FF27AE60"/>
    <outlinePr summaryBelow="1" summaryRight="1"/>
    <pageSetUpPr fitToPage="0"/>
  </sheetPr>
  <dimension ref="A1:L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2" customWidth="1" style="340" min="7" max="7"/>
    <col width="14" customWidth="1" style="340" min="8" max="8"/>
    <col width="22" customWidth="1" style="340" min="9" max="10"/>
  </cols>
  <sheetData>
    <row r="1" ht="31.5" customHeight="1" s="341">
      <c r="A1" s="409" t="inlineStr">
        <is>
          <t>💰  SAMICIOUS MICROFINANCE — AGENT09 SAVINGS</t>
        </is>
      </c>
    </row>
    <row r="2" ht="19.5" customHeight="1" s="341">
      <c r="A2" s="479" t="inlineStr">
        <is>
          <t>Agent: Agent 09  |  Enter Account # → All fields auto-populate  |  Status auto-sets to "Saved"  |  🔑 Security: Enter your 4-digit Agent Code in each row</t>
        </is>
      </c>
    </row>
    <row r="3" ht="18" customHeight="1" s="341">
      <c r="A3" s="364" t="inlineStr">
        <is>
          <t>💰 Total Collected Today</t>
        </is>
      </c>
      <c r="D3" s="367" t="inlineStr">
        <is>
          <t>📊 Transactions Today</t>
        </is>
      </c>
      <c r="G3" s="439" t="inlineStr">
        <is>
          <t>📅 Date</t>
        </is>
      </c>
      <c r="J3" s="340" t="n"/>
    </row>
    <row r="4" ht="27.75" customHeight="1" s="341">
      <c r="A4" s="480">
        <f>SUMIFS(DB_Savings!$F:$F,DB_Savings!$G:$G,"Agent 09",DB_Savings!$E:$E,TODAY())</f>
        <v/>
      </c>
      <c r="D4" s="481">
        <f>COUNTIFS(DB_Savings!$G:$G,"Agent 09",DB_Savings!$E:$E,TODAY())</f>
        <v/>
      </c>
      <c r="G4" s="482">
        <f>TEXT(TODAY(),"DDDD, DD MMMM YYYY")</f>
        <v/>
      </c>
      <c r="J4" s="340" t="n"/>
    </row>
    <row r="5" ht="21.75" customHeight="1" s="341">
      <c r="A5" s="483">
        <f>IF(SUMIFS(DB_Savings!$F:$F,DB_Savings!$G:$G,"Agent 09",DB_Savings!$E:$E,TODAY())&gt;=J4,"✅ DAILY TARGET ACHIEVED! Well done Agent 09!","⏳ Collection in progress — Keep going! Remaining: GHC "&amp;TEXT(J4-SUMIFS(DB_Savings!$F:$F,DB_Savings!$G:$G,"Agent 09",DB_Savings!$E:$E,TODAY()),"#,##0.00"))</f>
        <v/>
      </c>
    </row>
    <row r="6" ht="7.5" customHeight="1" s="341"/>
    <row r="7" ht="19.5" customHeight="1" s="341">
      <c r="A7" s="484" t="inlineStr">
        <is>
          <t>📝  ENTRY FORM — Enter Account Number in column A. All other fields auto-populate. Enter Savings Amount in column E then Tab to complete. | Enter Agent Code in 🔑 column to authorize each transaction.</t>
        </is>
      </c>
    </row>
    <row r="8" ht="19.5" customHeight="1" s="341">
      <c r="A8" s="377" t="inlineStr">
        <is>
          <t>Account #</t>
        </is>
      </c>
      <c r="B8" s="377" t="inlineStr">
        <is>
          <t>Customer Name</t>
        </is>
      </c>
      <c r="C8" s="377" t="inlineStr">
        <is>
          <t>Current Balance</t>
        </is>
      </c>
      <c r="D8" s="377" t="inlineStr">
        <is>
          <t>Date</t>
        </is>
      </c>
      <c r="E8" s="377" t="inlineStr">
        <is>
          <t>Savings Amount</t>
        </is>
      </c>
      <c r="F8" s="377" t="inlineStr">
        <is>
          <t>New Balance</t>
        </is>
      </c>
      <c r="G8" s="377" t="inlineStr">
        <is>
          <t>Agent</t>
        </is>
      </c>
      <c r="H8" s="485" t="inlineStr">
        <is>
          <t>🔑 Agent Code</t>
        </is>
      </c>
      <c r="I8" s="377" t="inlineStr">
        <is>
          <t>Status</t>
        </is>
      </c>
      <c r="J8" s="377" t="inlineStr">
        <is>
          <t>Saved At</t>
        </is>
      </c>
      <c r="K8" s="377" t="inlineStr">
        <is>
          <t>Notes</t>
        </is>
      </c>
    </row>
    <row r="9" ht="15" customHeight="1" s="341">
      <c r="A9" s="486" t="n"/>
      <c r="B9" s="378">
        <f>IF(A9="","",IFERROR(VLOOKUP(A9,DB_Customers!$A:$D,4,0),"❌ Account Not Found"))</f>
        <v/>
      </c>
      <c r="C9" s="487">
        <f>IF(A9="","",IFERROR(VLOOKUP(A9,DB_Customers!$A:$N,14,0),""))</f>
        <v/>
      </c>
      <c r="D9" s="488">
        <f>IF(A9="","",TODAY())</f>
        <v/>
      </c>
      <c r="E9" s="489" t="n"/>
      <c r="F9" s="490">
        <f>IF(OR(A9="",E9=""),"",IF(C9="","",C9+E9))</f>
        <v/>
      </c>
      <c r="G9" s="380" t="inlineStr">
        <is>
          <t>Agent 09</t>
        </is>
      </c>
      <c r="H9" s="491" t="n"/>
      <c r="I9" s="492">
        <f>IF(A9="","Pending",IF(H9="","⚠️ Enter Code",IF(IFERROR(VLOOKUP(G9,DB_Agents!$B:$I,8,0),"")=H9,IF(AND(A9&lt;&gt;"",E9&lt;&gt;""),"Saved","Pending"),"🔒 BLOCKED — Wrong Code")))</f>
        <v/>
      </c>
      <c r="J9" s="493">
        <f>IF(I9="Saved",TEXT(TODAY(),"YYYY-MM-DD")&amp;" Auto","—")</f>
        <v/>
      </c>
      <c r="K9" s="494" t="n"/>
    </row>
    <row r="10" ht="15" customHeight="1" s="341">
      <c r="A10" s="495" t="n"/>
      <c r="B10" s="382">
        <f>IF(A10="","",IFERROR(VLOOKUP(A10,DB_Customers!$A:$D,4,0),"❌ Account Not Found"))</f>
        <v/>
      </c>
      <c r="C10" s="496">
        <f>IF(A10="","",IFERROR(VLOOKUP(A10,DB_Customers!$A:$N,14,0),""))</f>
        <v/>
      </c>
      <c r="D10" s="497">
        <f>IF(A10="","",TODAY())</f>
        <v/>
      </c>
      <c r="E10" s="489" t="n"/>
      <c r="F10" s="498">
        <f>IF(OR(A10="",E10=""),"",IF(C10="","",C10+E10))</f>
        <v/>
      </c>
      <c r="G10" s="384" t="inlineStr">
        <is>
          <t>Agent 09</t>
        </is>
      </c>
      <c r="H10" s="491" t="n"/>
      <c r="I10" s="499">
        <f>IF(A10="","Pending",IF(H10="","⚠️ Enter Code",IF(IFERROR(VLOOKUP(G10,DB_Agents!$B:$I,8,0),"")=H10,IF(AND(A10&lt;&gt;"",E10&lt;&gt;""),"Saved","Pending"),"🔒 BLOCKED — Wrong Code")))</f>
        <v/>
      </c>
      <c r="J10" s="500">
        <f>IF(I10="Saved",TEXT(TODAY(),"YYYY-MM-DD")&amp;" Auto","—")</f>
        <v/>
      </c>
      <c r="K10" s="501" t="n"/>
    </row>
    <row r="11" ht="15" customHeight="1" s="341">
      <c r="A11" s="486" t="n"/>
      <c r="B11" s="378">
        <f>IF(A11="","",IFERROR(VLOOKUP(A11,DB_Customers!$A:$D,4,0),"❌ Account Not Found"))</f>
        <v/>
      </c>
      <c r="C11" s="487">
        <f>IF(A11="","",IFERROR(VLOOKUP(A11,DB_Customers!$A:$N,14,0),""))</f>
        <v/>
      </c>
      <c r="D11" s="488">
        <f>IF(A11="","",TODAY())</f>
        <v/>
      </c>
      <c r="E11" s="489" t="n"/>
      <c r="F11" s="490">
        <f>IF(OR(A11="",E11=""),"",IF(C11="","",C11+E11))</f>
        <v/>
      </c>
      <c r="G11" s="380" t="inlineStr">
        <is>
          <t>Agent 09</t>
        </is>
      </c>
      <c r="H11" s="491" t="n"/>
      <c r="I11" s="492">
        <f>IF(A11="","Pending",IF(H11="","⚠️ Enter Code",IF(IFERROR(VLOOKUP(G11,DB_Agents!$B:$I,8,0),"")=H11,IF(AND(A11&lt;&gt;"",E11&lt;&gt;""),"Saved","Pending"),"🔒 BLOCKED — Wrong Code")))</f>
        <v/>
      </c>
      <c r="J11" s="493">
        <f>IF(I11="Saved",TEXT(TODAY(),"YYYY-MM-DD")&amp;" Auto","—")</f>
        <v/>
      </c>
      <c r="K11" s="494" t="n"/>
    </row>
    <row r="12" ht="15" customHeight="1" s="341">
      <c r="A12" s="495" t="n"/>
      <c r="B12" s="382">
        <f>IF(A12="","",IFERROR(VLOOKUP(A12,DB_Customers!$A:$D,4,0),"❌ Account Not Found"))</f>
        <v/>
      </c>
      <c r="C12" s="496">
        <f>IF(A12="","",IFERROR(VLOOKUP(A12,DB_Customers!$A:$N,14,0),""))</f>
        <v/>
      </c>
      <c r="D12" s="497">
        <f>IF(A12="","",TODAY())</f>
        <v/>
      </c>
      <c r="E12" s="489" t="n"/>
      <c r="F12" s="498">
        <f>IF(OR(A12="",E12=""),"",IF(C12="","",C12+E12))</f>
        <v/>
      </c>
      <c r="G12" s="384" t="inlineStr">
        <is>
          <t>Agent 09</t>
        </is>
      </c>
      <c r="H12" s="491" t="n"/>
      <c r="I12" s="499">
        <f>IF(A12="","Pending",IF(H12="","⚠️ Enter Code",IF(IFERROR(VLOOKUP(G12,DB_Agents!$B:$I,8,0),"")=H12,IF(AND(A12&lt;&gt;"",E12&lt;&gt;""),"Saved","Pending"),"🔒 BLOCKED — Wrong Code")))</f>
        <v/>
      </c>
      <c r="J12" s="500">
        <f>IF(I12="Saved",TEXT(TODAY(),"YYYY-MM-DD")&amp;" Auto","—")</f>
        <v/>
      </c>
      <c r="K12" s="501" t="n"/>
    </row>
    <row r="13" ht="15" customHeight="1" s="341">
      <c r="A13" s="486" t="n"/>
      <c r="B13" s="378">
        <f>IF(A13="","",IFERROR(VLOOKUP(A13,DB_Customers!$A:$D,4,0),"❌ Account Not Found"))</f>
        <v/>
      </c>
      <c r="C13" s="487">
        <f>IF(A13="","",IFERROR(VLOOKUP(A13,DB_Customers!$A:$N,14,0),""))</f>
        <v/>
      </c>
      <c r="D13" s="488">
        <f>IF(A13="","",TODAY())</f>
        <v/>
      </c>
      <c r="E13" s="489" t="n"/>
      <c r="F13" s="490">
        <f>IF(OR(A13="",E13=""),"",IF(C13="","",C13+E13))</f>
        <v/>
      </c>
      <c r="G13" s="380" t="inlineStr">
        <is>
          <t>Agent 09</t>
        </is>
      </c>
      <c r="H13" s="491" t="n"/>
      <c r="I13" s="492">
        <f>IF(A13="","Pending",IF(H13="","⚠️ Enter Code",IF(IFERROR(VLOOKUP(G13,DB_Agents!$B:$I,8,0),"")=H13,IF(AND(A13&lt;&gt;"",E13&lt;&gt;""),"Saved","Pending"),"🔒 BLOCKED — Wrong Code")))</f>
        <v/>
      </c>
      <c r="J13" s="493">
        <f>IF(I13="Saved",TEXT(TODAY(),"YYYY-MM-DD")&amp;" Auto","—")</f>
        <v/>
      </c>
      <c r="K13" s="494" t="n"/>
    </row>
    <row r="14" ht="15" customHeight="1" s="341">
      <c r="A14" s="495" t="n"/>
      <c r="B14" s="382">
        <f>IF(A14="","",IFERROR(VLOOKUP(A14,DB_Customers!$A:$D,4,0),"❌ Account Not Found"))</f>
        <v/>
      </c>
      <c r="C14" s="496">
        <f>IF(A14="","",IFERROR(VLOOKUP(A14,DB_Customers!$A:$N,14,0),""))</f>
        <v/>
      </c>
      <c r="D14" s="497">
        <f>IF(A14="","",TODAY())</f>
        <v/>
      </c>
      <c r="E14" s="489" t="n"/>
      <c r="F14" s="498">
        <f>IF(OR(A14="",E14=""),"",IF(C14="","",C14+E14))</f>
        <v/>
      </c>
      <c r="G14" s="384" t="inlineStr">
        <is>
          <t>Agent 09</t>
        </is>
      </c>
      <c r="H14" s="491" t="n"/>
      <c r="I14" s="499">
        <f>IF(A14="","Pending",IF(H14="","⚠️ Enter Code",IF(IFERROR(VLOOKUP(G14,DB_Agents!$B:$I,8,0),"")=H14,IF(AND(A14&lt;&gt;"",E14&lt;&gt;""),"Saved","Pending"),"🔒 BLOCKED — Wrong Code")))</f>
        <v/>
      </c>
      <c r="J14" s="500">
        <f>IF(I14="Saved",TEXT(TODAY(),"YYYY-MM-DD")&amp;" Auto","—")</f>
        <v/>
      </c>
      <c r="K14" s="501" t="n"/>
    </row>
    <row r="15" ht="15" customHeight="1" s="341">
      <c r="A15" s="486" t="n"/>
      <c r="B15" s="378">
        <f>IF(A15="","",IFERROR(VLOOKUP(A15,DB_Customers!$A:$D,4,0),"❌ Account Not Found"))</f>
        <v/>
      </c>
      <c r="C15" s="487">
        <f>IF(A15="","",IFERROR(VLOOKUP(A15,DB_Customers!$A:$N,14,0),""))</f>
        <v/>
      </c>
      <c r="D15" s="488">
        <f>IF(A15="","",TODAY())</f>
        <v/>
      </c>
      <c r="E15" s="489" t="n"/>
      <c r="F15" s="490">
        <f>IF(OR(A15="",E15=""),"",IF(C15="","",C15+E15))</f>
        <v/>
      </c>
      <c r="G15" s="380" t="inlineStr">
        <is>
          <t>Agent 09</t>
        </is>
      </c>
      <c r="H15" s="491" t="n"/>
      <c r="I15" s="492">
        <f>IF(A15="","Pending",IF(H15="","⚠️ Enter Code",IF(IFERROR(VLOOKUP(G15,DB_Agents!$B:$I,8,0),"")=H15,IF(AND(A15&lt;&gt;"",E15&lt;&gt;""),"Saved","Pending"),"🔒 BLOCKED — Wrong Code")))</f>
        <v/>
      </c>
      <c r="J15" s="493">
        <f>IF(I15="Saved",TEXT(TODAY(),"YYYY-MM-DD")&amp;" Auto","—")</f>
        <v/>
      </c>
      <c r="K15" s="494" t="n"/>
    </row>
    <row r="16" ht="15" customHeight="1" s="341">
      <c r="A16" s="495" t="n"/>
      <c r="B16" s="382">
        <f>IF(A16="","",IFERROR(VLOOKUP(A16,DB_Customers!$A:$D,4,0),"❌ Account Not Found"))</f>
        <v/>
      </c>
      <c r="C16" s="496">
        <f>IF(A16="","",IFERROR(VLOOKUP(A16,DB_Customers!$A:$N,14,0),""))</f>
        <v/>
      </c>
      <c r="D16" s="497">
        <f>IF(A16="","",TODAY())</f>
        <v/>
      </c>
      <c r="E16" s="489" t="n"/>
      <c r="F16" s="498">
        <f>IF(OR(A16="",E16=""),"",IF(C16="","",C16+E16))</f>
        <v/>
      </c>
      <c r="G16" s="384" t="inlineStr">
        <is>
          <t>Agent 09</t>
        </is>
      </c>
      <c r="H16" s="491" t="n"/>
      <c r="I16" s="499">
        <f>IF(A16="","Pending",IF(H16="","⚠️ Enter Code",IF(IFERROR(VLOOKUP(G16,DB_Agents!$B:$I,8,0),"")=H16,IF(AND(A16&lt;&gt;"",E16&lt;&gt;""),"Saved","Pending"),"🔒 BLOCKED — Wrong Code")))</f>
        <v/>
      </c>
      <c r="J16" s="500">
        <f>IF(I16="Saved",TEXT(TODAY(),"YYYY-MM-DD")&amp;" Auto","—")</f>
        <v/>
      </c>
      <c r="K16" s="501" t="n"/>
    </row>
    <row r="17" ht="15" customHeight="1" s="341">
      <c r="A17" s="486" t="n"/>
      <c r="B17" s="378">
        <f>IF(A17="","",IFERROR(VLOOKUP(A17,DB_Customers!$A:$D,4,0),"❌ Account Not Found"))</f>
        <v/>
      </c>
      <c r="C17" s="487">
        <f>IF(A17="","",IFERROR(VLOOKUP(A17,DB_Customers!$A:$N,14,0),""))</f>
        <v/>
      </c>
      <c r="D17" s="488">
        <f>IF(A17="","",TODAY())</f>
        <v/>
      </c>
      <c r="E17" s="489" t="n"/>
      <c r="F17" s="490">
        <f>IF(OR(A17="",E17=""),"",IF(C17="","",C17+E17))</f>
        <v/>
      </c>
      <c r="G17" s="380" t="inlineStr">
        <is>
          <t>Agent 09</t>
        </is>
      </c>
      <c r="H17" s="491" t="n"/>
      <c r="I17" s="492">
        <f>IF(A17="","Pending",IF(H17="","⚠️ Enter Code",IF(IFERROR(VLOOKUP(G17,DB_Agents!$B:$I,8,0),"")=H17,IF(AND(A17&lt;&gt;"",E17&lt;&gt;""),"Saved","Pending"),"🔒 BLOCKED — Wrong Code")))</f>
        <v/>
      </c>
      <c r="J17" s="493">
        <f>IF(I17="Saved",TEXT(TODAY(),"YYYY-MM-DD")&amp;" Auto","—")</f>
        <v/>
      </c>
      <c r="K17" s="494" t="n"/>
    </row>
    <row r="18" ht="15" customHeight="1" s="341">
      <c r="A18" s="495" t="n"/>
      <c r="B18" s="382">
        <f>IF(A18="","",IFERROR(VLOOKUP(A18,DB_Customers!$A:$D,4,0),"❌ Account Not Found"))</f>
        <v/>
      </c>
      <c r="C18" s="496">
        <f>IF(A18="","",IFERROR(VLOOKUP(A18,DB_Customers!$A:$N,14,0),""))</f>
        <v/>
      </c>
      <c r="D18" s="497">
        <f>IF(A18="","",TODAY())</f>
        <v/>
      </c>
      <c r="E18" s="489" t="n"/>
      <c r="F18" s="498">
        <f>IF(OR(A18="",E18=""),"",IF(C18="","",C18+E18))</f>
        <v/>
      </c>
      <c r="G18" s="384" t="inlineStr">
        <is>
          <t>Agent 09</t>
        </is>
      </c>
      <c r="H18" s="491" t="n"/>
      <c r="I18" s="499">
        <f>IF(A18="","Pending",IF(H18="","⚠️ Enter Code",IF(IFERROR(VLOOKUP(G18,DB_Agents!$B:$I,8,0),"")=H18,IF(AND(A18&lt;&gt;"",E18&lt;&gt;""),"Saved","Pending"),"🔒 BLOCKED — Wrong Code")))</f>
        <v/>
      </c>
      <c r="J18" s="500">
        <f>IF(I18="Saved",TEXT(TODAY(),"YYYY-MM-DD")&amp;" Auto","—")</f>
        <v/>
      </c>
      <c r="K18" s="501" t="n"/>
    </row>
    <row r="19" ht="15" customHeight="1" s="341">
      <c r="A19" s="486" t="n"/>
      <c r="B19" s="378">
        <f>IF(A19="","",IFERROR(VLOOKUP(A19,DB_Customers!$A:$D,4,0),"❌ Account Not Found"))</f>
        <v/>
      </c>
      <c r="C19" s="487">
        <f>IF(A19="","",IFERROR(VLOOKUP(A19,DB_Customers!$A:$N,14,0),""))</f>
        <v/>
      </c>
      <c r="D19" s="488">
        <f>IF(A19="","",TODAY())</f>
        <v/>
      </c>
      <c r="E19" s="489" t="n"/>
      <c r="F19" s="490">
        <f>IF(OR(A19="",E19=""),"",IF(C19="","",C19+E19))</f>
        <v/>
      </c>
      <c r="G19" s="380" t="inlineStr">
        <is>
          <t>Agent 09</t>
        </is>
      </c>
      <c r="H19" s="491" t="n"/>
      <c r="I19" s="492">
        <f>IF(A19="","Pending",IF(H19="","⚠️ Enter Code",IF(IFERROR(VLOOKUP(G19,DB_Agents!$B:$I,8,0),"")=H19,IF(AND(A19&lt;&gt;"",E19&lt;&gt;""),"Saved","Pending"),"🔒 BLOCKED — Wrong Code")))</f>
        <v/>
      </c>
      <c r="J19" s="493">
        <f>IF(I19="Saved",TEXT(TODAY(),"YYYY-MM-DD")&amp;" Auto","—")</f>
        <v/>
      </c>
      <c r="K19" s="494" t="n"/>
    </row>
    <row r="20" ht="15" customHeight="1" s="341">
      <c r="A20" s="495" t="n"/>
      <c r="B20" s="382">
        <f>IF(A20="","",IFERROR(VLOOKUP(A20,DB_Customers!$A:$D,4,0),"❌ Account Not Found"))</f>
        <v/>
      </c>
      <c r="C20" s="496">
        <f>IF(A20="","",IFERROR(VLOOKUP(A20,DB_Customers!$A:$N,14,0),""))</f>
        <v/>
      </c>
      <c r="D20" s="497">
        <f>IF(A20="","",TODAY())</f>
        <v/>
      </c>
      <c r="E20" s="489" t="n"/>
      <c r="F20" s="498">
        <f>IF(OR(A20="",E20=""),"",IF(C20="","",C20+E20))</f>
        <v/>
      </c>
      <c r="G20" s="384" t="inlineStr">
        <is>
          <t>Agent 09</t>
        </is>
      </c>
      <c r="H20" s="491" t="n"/>
      <c r="I20" s="499">
        <f>IF(A20="","Pending",IF(H20="","⚠️ Enter Code",IF(IFERROR(VLOOKUP(G20,DB_Agents!$B:$I,8,0),"")=H20,IF(AND(A20&lt;&gt;"",E20&lt;&gt;""),"Saved","Pending"),"🔒 BLOCKED — Wrong Code")))</f>
        <v/>
      </c>
      <c r="J20" s="500">
        <f>IF(I20="Saved",TEXT(TODAY(),"YYYY-MM-DD")&amp;" Auto","—")</f>
        <v/>
      </c>
      <c r="K20" s="501" t="n"/>
    </row>
    <row r="21" ht="15" customHeight="1" s="341">
      <c r="A21" s="486" t="n"/>
      <c r="B21" s="378">
        <f>IF(A21="","",IFERROR(VLOOKUP(A21,DB_Customers!$A:$D,4,0),"❌ Account Not Found"))</f>
        <v/>
      </c>
      <c r="C21" s="487">
        <f>IF(A21="","",IFERROR(VLOOKUP(A21,DB_Customers!$A:$N,14,0),""))</f>
        <v/>
      </c>
      <c r="D21" s="488">
        <f>IF(A21="","",TODAY())</f>
        <v/>
      </c>
      <c r="E21" s="489" t="n"/>
      <c r="F21" s="490">
        <f>IF(OR(A21="",E21=""),"",IF(C21="","",C21+E21))</f>
        <v/>
      </c>
      <c r="G21" s="380" t="inlineStr">
        <is>
          <t>Agent 09</t>
        </is>
      </c>
      <c r="H21" s="491" t="n"/>
      <c r="I21" s="492">
        <f>IF(A21="","Pending",IF(H21="","⚠️ Enter Code",IF(IFERROR(VLOOKUP(G21,DB_Agents!$B:$I,8,0),"")=H21,IF(AND(A21&lt;&gt;"",E21&lt;&gt;""),"Saved","Pending"),"🔒 BLOCKED — Wrong Code")))</f>
        <v/>
      </c>
      <c r="J21" s="493">
        <f>IF(I21="Saved",TEXT(TODAY(),"YYYY-MM-DD")&amp;" Auto","—")</f>
        <v/>
      </c>
      <c r="K21" s="494" t="n"/>
    </row>
    <row r="22" ht="15" customHeight="1" s="341">
      <c r="A22" s="495" t="n"/>
      <c r="B22" s="382">
        <f>IF(A22="","",IFERROR(VLOOKUP(A22,DB_Customers!$A:$D,4,0),"❌ Account Not Found"))</f>
        <v/>
      </c>
      <c r="C22" s="496">
        <f>IF(A22="","",IFERROR(VLOOKUP(A22,DB_Customers!$A:$N,14,0),""))</f>
        <v/>
      </c>
      <c r="D22" s="497">
        <f>IF(A22="","",TODAY())</f>
        <v/>
      </c>
      <c r="E22" s="489" t="n"/>
      <c r="F22" s="498">
        <f>IF(OR(A22="",E22=""),"",IF(C22="","",C22+E22))</f>
        <v/>
      </c>
      <c r="G22" s="384" t="inlineStr">
        <is>
          <t>Agent 09</t>
        </is>
      </c>
      <c r="H22" s="491" t="n"/>
      <c r="I22" s="499">
        <f>IF(A22="","Pending",IF(H22="","⚠️ Enter Code",IF(IFERROR(VLOOKUP(G22,DB_Agents!$B:$I,8,0),"")=H22,IF(AND(A22&lt;&gt;"",E22&lt;&gt;""),"Saved","Pending"),"🔒 BLOCKED — Wrong Code")))</f>
        <v/>
      </c>
      <c r="J22" s="500">
        <f>IF(I22="Saved",TEXT(TODAY(),"YYYY-MM-DD")&amp;" Auto","—")</f>
        <v/>
      </c>
      <c r="K22" s="501" t="n"/>
    </row>
    <row r="23" ht="15" customHeight="1" s="341">
      <c r="A23" s="486" t="n"/>
      <c r="B23" s="378">
        <f>IF(A23="","",IFERROR(VLOOKUP(A23,DB_Customers!$A:$D,4,0),"❌ Account Not Found"))</f>
        <v/>
      </c>
      <c r="C23" s="487">
        <f>IF(A23="","",IFERROR(VLOOKUP(A23,DB_Customers!$A:$N,14,0),""))</f>
        <v/>
      </c>
      <c r="D23" s="488">
        <f>IF(A23="","",TODAY())</f>
        <v/>
      </c>
      <c r="E23" s="489" t="n"/>
      <c r="F23" s="490">
        <f>IF(OR(A23="",E23=""),"",IF(C23="","",C23+E23))</f>
        <v/>
      </c>
      <c r="G23" s="380" t="inlineStr">
        <is>
          <t>Agent 09</t>
        </is>
      </c>
      <c r="H23" s="491" t="n"/>
      <c r="I23" s="492">
        <f>IF(A23="","Pending",IF(H23="","⚠️ Enter Code",IF(IFERROR(VLOOKUP(G23,DB_Agents!$B:$I,8,0),"")=H23,IF(AND(A23&lt;&gt;"",E23&lt;&gt;""),"Saved","Pending"),"🔒 BLOCKED — Wrong Code")))</f>
        <v/>
      </c>
      <c r="J23" s="493">
        <f>IF(I23="Saved",TEXT(TODAY(),"YYYY-MM-DD")&amp;" Auto","—")</f>
        <v/>
      </c>
      <c r="K23" s="494" t="n"/>
    </row>
    <row r="24" ht="15" customHeight="1" s="341">
      <c r="A24" s="495" t="n"/>
      <c r="B24" s="382">
        <f>IF(A24="","",IFERROR(VLOOKUP(A24,DB_Customers!$A:$D,4,0),"❌ Account Not Found"))</f>
        <v/>
      </c>
      <c r="C24" s="496">
        <f>IF(A24="","",IFERROR(VLOOKUP(A24,DB_Customers!$A:$N,14,0),""))</f>
        <v/>
      </c>
      <c r="D24" s="497">
        <f>IF(A24="","",TODAY())</f>
        <v/>
      </c>
      <c r="E24" s="489" t="n"/>
      <c r="F24" s="498">
        <f>IF(OR(A24="",E24=""),"",IF(C24="","",C24+E24))</f>
        <v/>
      </c>
      <c r="G24" s="384" t="inlineStr">
        <is>
          <t>Agent 09</t>
        </is>
      </c>
      <c r="H24" s="491" t="n"/>
      <c r="I24" s="499">
        <f>IF(A24="","Pending",IF(H24="","⚠️ Enter Code",IF(IFERROR(VLOOKUP(G24,DB_Agents!$B:$I,8,0),"")=H24,IF(AND(A24&lt;&gt;"",E24&lt;&gt;""),"Saved","Pending"),"🔒 BLOCKED — Wrong Code")))</f>
        <v/>
      </c>
      <c r="J24" s="500">
        <f>IF(I24="Saved",TEXT(TODAY(),"YYYY-MM-DD")&amp;" Auto","—")</f>
        <v/>
      </c>
      <c r="K24" s="501" t="n"/>
    </row>
    <row r="25" ht="15" customHeight="1" s="341">
      <c r="A25" s="486" t="n"/>
      <c r="B25" s="378">
        <f>IF(A25="","",IFERROR(VLOOKUP(A25,DB_Customers!$A:$D,4,0),"❌ Account Not Found"))</f>
        <v/>
      </c>
      <c r="C25" s="487">
        <f>IF(A25="","",IFERROR(VLOOKUP(A25,DB_Customers!$A:$N,14,0),""))</f>
        <v/>
      </c>
      <c r="D25" s="488">
        <f>IF(A25="","",TODAY())</f>
        <v/>
      </c>
      <c r="E25" s="489" t="n"/>
      <c r="F25" s="490">
        <f>IF(OR(A25="",E25=""),"",IF(C25="","",C25+E25))</f>
        <v/>
      </c>
      <c r="G25" s="380" t="inlineStr">
        <is>
          <t>Agent 09</t>
        </is>
      </c>
      <c r="H25" s="491" t="n"/>
      <c r="I25" s="492">
        <f>IF(A25="","Pending",IF(H25="","⚠️ Enter Code",IF(IFERROR(VLOOKUP(G25,DB_Agents!$B:$I,8,0),"")=H25,IF(AND(A25&lt;&gt;"",E25&lt;&gt;""),"Saved","Pending"),"🔒 BLOCKED — Wrong Code")))</f>
        <v/>
      </c>
      <c r="J25" s="493">
        <f>IF(I25="Saved",TEXT(TODAY(),"YYYY-MM-DD")&amp;" Auto","—")</f>
        <v/>
      </c>
      <c r="K25" s="494" t="n"/>
    </row>
    <row r="26" ht="15" customHeight="1" s="341">
      <c r="A26" s="495" t="n"/>
      <c r="B26" s="382">
        <f>IF(A26="","",IFERROR(VLOOKUP(A26,DB_Customers!$A:$D,4,0),"❌ Account Not Found"))</f>
        <v/>
      </c>
      <c r="C26" s="496">
        <f>IF(A26="","",IFERROR(VLOOKUP(A26,DB_Customers!$A:$N,14,0),""))</f>
        <v/>
      </c>
      <c r="D26" s="497">
        <f>IF(A26="","",TODAY())</f>
        <v/>
      </c>
      <c r="E26" s="489" t="n"/>
      <c r="F26" s="498">
        <f>IF(OR(A26="",E26=""),"",IF(C26="","",C26+E26))</f>
        <v/>
      </c>
      <c r="G26" s="384" t="inlineStr">
        <is>
          <t>Agent 09</t>
        </is>
      </c>
      <c r="H26" s="491" t="n"/>
      <c r="I26" s="499">
        <f>IF(A26="","Pending",IF(H26="","⚠️ Enter Code",IF(IFERROR(VLOOKUP(G26,DB_Agents!$B:$I,8,0),"")=H26,IF(AND(A26&lt;&gt;"",E26&lt;&gt;""),"Saved","Pending"),"🔒 BLOCKED — Wrong Code")))</f>
        <v/>
      </c>
      <c r="J26" s="500">
        <f>IF(I26="Saved",TEXT(TODAY(),"YYYY-MM-DD")&amp;" Auto","—")</f>
        <v/>
      </c>
      <c r="K26" s="501" t="n"/>
    </row>
    <row r="27" ht="15" customHeight="1" s="341">
      <c r="A27" s="486" t="n"/>
      <c r="B27" s="378">
        <f>IF(A27="","",IFERROR(VLOOKUP(A27,DB_Customers!$A:$D,4,0),"❌ Account Not Found"))</f>
        <v/>
      </c>
      <c r="C27" s="487">
        <f>IF(A27="","",IFERROR(VLOOKUP(A27,DB_Customers!$A:$N,14,0),""))</f>
        <v/>
      </c>
      <c r="D27" s="488">
        <f>IF(A27="","",TODAY())</f>
        <v/>
      </c>
      <c r="E27" s="489" t="n"/>
      <c r="F27" s="490">
        <f>IF(OR(A27="",E27=""),"",IF(C27="","",C27+E27))</f>
        <v/>
      </c>
      <c r="G27" s="380" t="inlineStr">
        <is>
          <t>Agent 09</t>
        </is>
      </c>
      <c r="H27" s="491" t="n"/>
      <c r="I27" s="492">
        <f>IF(A27="","Pending",IF(H27="","⚠️ Enter Code",IF(IFERROR(VLOOKUP(G27,DB_Agents!$B:$I,8,0),"")=H27,IF(AND(A27&lt;&gt;"",E27&lt;&gt;""),"Saved","Pending"),"🔒 BLOCKED — Wrong Code")))</f>
        <v/>
      </c>
      <c r="J27" s="493">
        <f>IF(I27="Saved",TEXT(TODAY(),"YYYY-MM-DD")&amp;" Auto","—")</f>
        <v/>
      </c>
      <c r="K27" s="494" t="n"/>
    </row>
    <row r="28" ht="15" customHeight="1" s="341">
      <c r="A28" s="495" t="n"/>
      <c r="B28" s="382">
        <f>IF(A28="","",IFERROR(VLOOKUP(A28,DB_Customers!$A:$D,4,0),"❌ Account Not Found"))</f>
        <v/>
      </c>
      <c r="C28" s="496">
        <f>IF(A28="","",IFERROR(VLOOKUP(A28,DB_Customers!$A:$N,14,0),""))</f>
        <v/>
      </c>
      <c r="D28" s="497">
        <f>IF(A28="","",TODAY())</f>
        <v/>
      </c>
      <c r="E28" s="489" t="n"/>
      <c r="F28" s="498">
        <f>IF(OR(A28="",E28=""),"",IF(C28="","",C28+E28))</f>
        <v/>
      </c>
      <c r="G28" s="384" t="inlineStr">
        <is>
          <t>Agent 09</t>
        </is>
      </c>
      <c r="H28" s="491" t="n"/>
      <c r="I28" s="499">
        <f>IF(A28="","Pending",IF(H28="","⚠️ Enter Code",IF(IFERROR(VLOOKUP(G28,DB_Agents!$B:$I,8,0),"")=H28,IF(AND(A28&lt;&gt;"",E28&lt;&gt;""),"Saved","Pending"),"🔒 BLOCKED — Wrong Code")))</f>
        <v/>
      </c>
      <c r="J28" s="500">
        <f>IF(I28="Saved",TEXT(TODAY(),"YYYY-MM-DD")&amp;" Auto","—")</f>
        <v/>
      </c>
      <c r="K28" s="501" t="n"/>
    </row>
    <row r="29" ht="15" customHeight="1" s="341">
      <c r="A29" s="486" t="n"/>
      <c r="B29" s="378">
        <f>IF(A29="","",IFERROR(VLOOKUP(A29,DB_Customers!$A:$D,4,0),"❌ Account Not Found"))</f>
        <v/>
      </c>
      <c r="C29" s="487">
        <f>IF(A29="","",IFERROR(VLOOKUP(A29,DB_Customers!$A:$N,14,0),""))</f>
        <v/>
      </c>
      <c r="D29" s="488">
        <f>IF(A29="","",TODAY())</f>
        <v/>
      </c>
      <c r="E29" s="489" t="n"/>
      <c r="F29" s="490">
        <f>IF(OR(A29="",E29=""),"",IF(C29="","",C29+E29))</f>
        <v/>
      </c>
      <c r="G29" s="380" t="inlineStr">
        <is>
          <t>Agent 09</t>
        </is>
      </c>
      <c r="H29" s="491" t="n"/>
      <c r="I29" s="492">
        <f>IF(A29="","Pending",IF(H29="","⚠️ Enter Code",IF(IFERROR(VLOOKUP(G29,DB_Agents!$B:$I,8,0),"")=H29,IF(AND(A29&lt;&gt;"",E29&lt;&gt;""),"Saved","Pending"),"🔒 BLOCKED — Wrong Code")))</f>
        <v/>
      </c>
      <c r="J29" s="493">
        <f>IF(I29="Saved",TEXT(TODAY(),"YYYY-MM-DD")&amp;" Auto","—")</f>
        <v/>
      </c>
      <c r="K29" s="494" t="n"/>
    </row>
    <row r="30" ht="15" customHeight="1" s="341">
      <c r="A30" s="495" t="n"/>
      <c r="B30" s="382">
        <f>IF(A30="","",IFERROR(VLOOKUP(A30,DB_Customers!$A:$D,4,0),"❌ Account Not Found"))</f>
        <v/>
      </c>
      <c r="C30" s="496">
        <f>IF(A30="","",IFERROR(VLOOKUP(A30,DB_Customers!$A:$N,14,0),""))</f>
        <v/>
      </c>
      <c r="D30" s="497">
        <f>IF(A30="","",TODAY())</f>
        <v/>
      </c>
      <c r="E30" s="489" t="n"/>
      <c r="F30" s="498">
        <f>IF(OR(A30="",E30=""),"",IF(C30="","",C30+E30))</f>
        <v/>
      </c>
      <c r="G30" s="384" t="inlineStr">
        <is>
          <t>Agent 09</t>
        </is>
      </c>
      <c r="H30" s="491" t="n"/>
      <c r="I30" s="499">
        <f>IF(A30="","Pending",IF(H30="","⚠️ Enter Code",IF(IFERROR(VLOOKUP(G30,DB_Agents!$B:$I,8,0),"")=H30,IF(AND(A30&lt;&gt;"",E30&lt;&gt;""),"Saved","Pending"),"🔒 BLOCKED — Wrong Code")))</f>
        <v/>
      </c>
      <c r="J30" s="500">
        <f>IF(I30="Saved",TEXT(TODAY(),"YYYY-MM-DD")&amp;" Auto","—")</f>
        <v/>
      </c>
      <c r="K30" s="501" t="n"/>
    </row>
    <row r="31" ht="15" customHeight="1" s="341">
      <c r="A31" s="486" t="n"/>
      <c r="B31" s="378">
        <f>IF(A31="","",IFERROR(VLOOKUP(A31,DB_Customers!$A:$D,4,0),"❌ Account Not Found"))</f>
        <v/>
      </c>
      <c r="C31" s="487">
        <f>IF(A31="","",IFERROR(VLOOKUP(A31,DB_Customers!$A:$N,14,0),""))</f>
        <v/>
      </c>
      <c r="D31" s="488">
        <f>IF(A31="","",TODAY())</f>
        <v/>
      </c>
      <c r="E31" s="489" t="n"/>
      <c r="F31" s="490">
        <f>IF(OR(A31="",E31=""),"",IF(C31="","",C31+E31))</f>
        <v/>
      </c>
      <c r="G31" s="380" t="inlineStr">
        <is>
          <t>Agent 09</t>
        </is>
      </c>
      <c r="H31" s="491" t="n"/>
      <c r="I31" s="492">
        <f>IF(A31="","Pending",IF(H31="","⚠️ Enter Code",IF(IFERROR(VLOOKUP(G31,DB_Agents!$B:$I,8,0),"")=H31,IF(AND(A31&lt;&gt;"",E31&lt;&gt;""),"Saved","Pending"),"🔒 BLOCKED — Wrong Code")))</f>
        <v/>
      </c>
      <c r="J31" s="493">
        <f>IF(I31="Saved",TEXT(TODAY(),"YYYY-MM-DD")&amp;" Auto","—")</f>
        <v/>
      </c>
      <c r="K31" s="494" t="n"/>
    </row>
    <row r="32" ht="15" customHeight="1" s="341">
      <c r="A32" s="495" t="n"/>
      <c r="B32" s="382">
        <f>IF(A32="","",IFERROR(VLOOKUP(A32,DB_Customers!$A:$D,4,0),"❌ Account Not Found"))</f>
        <v/>
      </c>
      <c r="C32" s="496">
        <f>IF(A32="","",IFERROR(VLOOKUP(A32,DB_Customers!$A:$N,14,0),""))</f>
        <v/>
      </c>
      <c r="D32" s="497">
        <f>IF(A32="","",TODAY())</f>
        <v/>
      </c>
      <c r="E32" s="489" t="n"/>
      <c r="F32" s="498">
        <f>IF(OR(A32="",E32=""),"",IF(C32="","",C32+E32))</f>
        <v/>
      </c>
      <c r="G32" s="384" t="inlineStr">
        <is>
          <t>Agent 09</t>
        </is>
      </c>
      <c r="H32" s="491" t="n"/>
      <c r="I32" s="499">
        <f>IF(A32="","Pending",IF(H32="","⚠️ Enter Code",IF(IFERROR(VLOOKUP(G32,DB_Agents!$B:$I,8,0),"")=H32,IF(AND(A32&lt;&gt;"",E32&lt;&gt;""),"Saved","Pending"),"🔒 BLOCKED — Wrong Code")))</f>
        <v/>
      </c>
      <c r="J32" s="500">
        <f>IF(I32="Saved",TEXT(TODAY(),"YYYY-MM-DD")&amp;" Auto","—")</f>
        <v/>
      </c>
      <c r="K32" s="501" t="n"/>
    </row>
    <row r="33" ht="15" customHeight="1" s="341">
      <c r="A33" s="486" t="n"/>
      <c r="B33" s="378">
        <f>IF(A33="","",IFERROR(VLOOKUP(A33,DB_Customers!$A:$D,4,0),"❌ Account Not Found"))</f>
        <v/>
      </c>
      <c r="C33" s="487">
        <f>IF(A33="","",IFERROR(VLOOKUP(A33,DB_Customers!$A:$N,14,0),""))</f>
        <v/>
      </c>
      <c r="D33" s="488">
        <f>IF(A33="","",TODAY())</f>
        <v/>
      </c>
      <c r="E33" s="489" t="n"/>
      <c r="F33" s="490">
        <f>IF(OR(A33="",E33=""),"",IF(C33="","",C33+E33))</f>
        <v/>
      </c>
      <c r="G33" s="380" t="inlineStr">
        <is>
          <t>Agent 09</t>
        </is>
      </c>
      <c r="H33" s="491" t="n"/>
      <c r="I33" s="492">
        <f>IF(A33="","Pending",IF(H33="","⚠️ Enter Code",IF(IFERROR(VLOOKUP(G33,DB_Agents!$B:$I,8,0),"")=H33,IF(AND(A33&lt;&gt;"",E33&lt;&gt;""),"Saved","Pending"),"🔒 BLOCKED — Wrong Code")))</f>
        <v/>
      </c>
      <c r="J33" s="493">
        <f>IF(I33="Saved",TEXT(TODAY(),"YYYY-MM-DD")&amp;" Auto","—")</f>
        <v/>
      </c>
      <c r="K33" s="494" t="n"/>
    </row>
    <row r="34" ht="15" customHeight="1" s="341">
      <c r="A34" s="495" t="n"/>
      <c r="B34" s="382">
        <f>IF(A34="","",IFERROR(VLOOKUP(A34,DB_Customers!$A:$D,4,0),"❌ Account Not Found"))</f>
        <v/>
      </c>
      <c r="C34" s="496">
        <f>IF(A34="","",IFERROR(VLOOKUP(A34,DB_Customers!$A:$N,14,0),""))</f>
        <v/>
      </c>
      <c r="D34" s="497">
        <f>IF(A34="","",TODAY())</f>
        <v/>
      </c>
      <c r="E34" s="489" t="n"/>
      <c r="F34" s="498">
        <f>IF(OR(A34="",E34=""),"",IF(C34="","",C34+E34))</f>
        <v/>
      </c>
      <c r="G34" s="384" t="inlineStr">
        <is>
          <t>Agent 09</t>
        </is>
      </c>
      <c r="H34" s="491" t="n"/>
      <c r="I34" s="499">
        <f>IF(A34="","Pending",IF(H34="","⚠️ Enter Code",IF(IFERROR(VLOOKUP(G34,DB_Agents!$B:$I,8,0),"")=H34,IF(AND(A34&lt;&gt;"",E34&lt;&gt;""),"Saved","Pending"),"🔒 BLOCKED — Wrong Code")))</f>
        <v/>
      </c>
      <c r="J34" s="500">
        <f>IF(I34="Saved",TEXT(TODAY(),"YYYY-MM-DD")&amp;" Auto","—")</f>
        <v/>
      </c>
      <c r="K34" s="501" t="n"/>
    </row>
    <row r="35" ht="15" customHeight="1" s="341">
      <c r="A35" s="486" t="n"/>
      <c r="B35" s="378">
        <f>IF(A35="","",IFERROR(VLOOKUP(A35,DB_Customers!$A:$D,4,0),"❌ Account Not Found"))</f>
        <v/>
      </c>
      <c r="C35" s="487">
        <f>IF(A35="","",IFERROR(VLOOKUP(A35,DB_Customers!$A:$N,14,0),""))</f>
        <v/>
      </c>
      <c r="D35" s="488">
        <f>IF(A35="","",TODAY())</f>
        <v/>
      </c>
      <c r="E35" s="489" t="n"/>
      <c r="F35" s="490">
        <f>IF(OR(A35="",E35=""),"",IF(C35="","",C35+E35))</f>
        <v/>
      </c>
      <c r="G35" s="380" t="inlineStr">
        <is>
          <t>Agent 09</t>
        </is>
      </c>
      <c r="H35" s="491" t="n"/>
      <c r="I35" s="492">
        <f>IF(A35="","Pending",IF(H35="","⚠️ Enter Code",IF(IFERROR(VLOOKUP(G35,DB_Agents!$B:$I,8,0),"")=H35,IF(AND(A35&lt;&gt;"",E35&lt;&gt;""),"Saved","Pending"),"🔒 BLOCKED — Wrong Code")))</f>
        <v/>
      </c>
      <c r="J35" s="493">
        <f>IF(I35="Saved",TEXT(TODAY(),"YYYY-MM-DD")&amp;" Auto","—")</f>
        <v/>
      </c>
      <c r="K35" s="494" t="n"/>
    </row>
    <row r="36" ht="15" customHeight="1" s="341">
      <c r="A36" s="495" t="n"/>
      <c r="B36" s="382">
        <f>IF(A36="","",IFERROR(VLOOKUP(A36,DB_Customers!$A:$D,4,0),"❌ Account Not Found"))</f>
        <v/>
      </c>
      <c r="C36" s="496">
        <f>IF(A36="","",IFERROR(VLOOKUP(A36,DB_Customers!$A:$N,14,0),""))</f>
        <v/>
      </c>
      <c r="D36" s="497">
        <f>IF(A36="","",TODAY())</f>
        <v/>
      </c>
      <c r="E36" s="489" t="n"/>
      <c r="F36" s="498">
        <f>IF(OR(A36="",E36=""),"",IF(C36="","",C36+E36))</f>
        <v/>
      </c>
      <c r="G36" s="384" t="inlineStr">
        <is>
          <t>Agent 09</t>
        </is>
      </c>
      <c r="H36" s="491" t="n"/>
      <c r="I36" s="499">
        <f>IF(A36="","Pending",IF(H36="","⚠️ Enter Code",IF(IFERROR(VLOOKUP(G36,DB_Agents!$B:$I,8,0),"")=H36,IF(AND(A36&lt;&gt;"",E36&lt;&gt;""),"Saved","Pending"),"🔒 BLOCKED — Wrong Code")))</f>
        <v/>
      </c>
      <c r="J36" s="500">
        <f>IF(I36="Saved",TEXT(TODAY(),"YYYY-MM-DD")&amp;" Auto","—")</f>
        <v/>
      </c>
      <c r="K36" s="501" t="n"/>
    </row>
    <row r="37" ht="15" customHeight="1" s="341">
      <c r="A37" s="486" t="n"/>
      <c r="B37" s="378">
        <f>IF(A37="","",IFERROR(VLOOKUP(A37,DB_Customers!$A:$D,4,0),"❌ Account Not Found"))</f>
        <v/>
      </c>
      <c r="C37" s="487">
        <f>IF(A37="","",IFERROR(VLOOKUP(A37,DB_Customers!$A:$N,14,0),""))</f>
        <v/>
      </c>
      <c r="D37" s="488">
        <f>IF(A37="","",TODAY())</f>
        <v/>
      </c>
      <c r="E37" s="489" t="n"/>
      <c r="F37" s="490">
        <f>IF(OR(A37="",E37=""),"",IF(C37="","",C37+E37))</f>
        <v/>
      </c>
      <c r="G37" s="380" t="inlineStr">
        <is>
          <t>Agent 09</t>
        </is>
      </c>
      <c r="H37" s="491" t="n"/>
      <c r="I37" s="492">
        <f>IF(A37="","Pending",IF(H37="","⚠️ Enter Code",IF(IFERROR(VLOOKUP(G37,DB_Agents!$B:$I,8,0),"")=H37,IF(AND(A37&lt;&gt;"",E37&lt;&gt;""),"Saved","Pending"),"🔒 BLOCKED — Wrong Code")))</f>
        <v/>
      </c>
      <c r="J37" s="493">
        <f>IF(I37="Saved",TEXT(TODAY(),"YYYY-MM-DD")&amp;" Auto","—")</f>
        <v/>
      </c>
      <c r="K37" s="494" t="n"/>
    </row>
    <row r="38" ht="15" customHeight="1" s="341">
      <c r="A38" s="495" t="n"/>
      <c r="B38" s="382">
        <f>IF(A38="","",IFERROR(VLOOKUP(A38,DB_Customers!$A:$D,4,0),"❌ Account Not Found"))</f>
        <v/>
      </c>
      <c r="C38" s="496">
        <f>IF(A38="","",IFERROR(VLOOKUP(A38,DB_Customers!$A:$N,14,0),""))</f>
        <v/>
      </c>
      <c r="D38" s="497">
        <f>IF(A38="","",TODAY())</f>
        <v/>
      </c>
      <c r="E38" s="489" t="n"/>
      <c r="F38" s="498">
        <f>IF(OR(A38="",E38=""),"",IF(C38="","",C38+E38))</f>
        <v/>
      </c>
      <c r="G38" s="384" t="inlineStr">
        <is>
          <t>Agent 09</t>
        </is>
      </c>
      <c r="H38" s="491" t="n"/>
      <c r="I38" s="499">
        <f>IF(A38="","Pending",IF(H38="","⚠️ Enter Code",IF(IFERROR(VLOOKUP(G38,DB_Agents!$B:$I,8,0),"")=H38,IF(AND(A38&lt;&gt;"",E38&lt;&gt;""),"Saved","Pending"),"🔒 BLOCKED — Wrong Code")))</f>
        <v/>
      </c>
      <c r="J38" s="500">
        <f>IF(I38="Saved",TEXT(TODAY(),"YYYY-MM-DD")&amp;" Auto","—")</f>
        <v/>
      </c>
      <c r="K38" s="501" t="n"/>
    </row>
    <row r="39" ht="15" customHeight="1" s="341">
      <c r="A39" s="486" t="n"/>
      <c r="B39" s="378">
        <f>IF(A39="","",IFERROR(VLOOKUP(A39,DB_Customers!$A:$D,4,0),"❌ Account Not Found"))</f>
        <v/>
      </c>
      <c r="C39" s="487">
        <f>IF(A39="","",IFERROR(VLOOKUP(A39,DB_Customers!$A:$N,14,0),""))</f>
        <v/>
      </c>
      <c r="D39" s="488">
        <f>IF(A39="","",TODAY())</f>
        <v/>
      </c>
      <c r="E39" s="489" t="n"/>
      <c r="F39" s="490">
        <f>IF(OR(A39="",E39=""),"",IF(C39="","",C39+E39))</f>
        <v/>
      </c>
      <c r="G39" s="380" t="inlineStr">
        <is>
          <t>Agent 09</t>
        </is>
      </c>
      <c r="H39" s="491" t="n"/>
      <c r="I39" s="492">
        <f>IF(A39="","Pending",IF(H39="","⚠️ Enter Code",IF(IFERROR(VLOOKUP(G39,DB_Agents!$B:$I,8,0),"")=H39,IF(AND(A39&lt;&gt;"",E39&lt;&gt;""),"Saved","Pending"),"🔒 BLOCKED — Wrong Code")))</f>
        <v/>
      </c>
      <c r="J39" s="493">
        <f>IF(I39="Saved",TEXT(TODAY(),"YYYY-MM-DD")&amp;" Auto","—")</f>
        <v/>
      </c>
      <c r="K39" s="494" t="n"/>
    </row>
    <row r="40" ht="15" customHeight="1" s="341">
      <c r="A40" s="495" t="n"/>
      <c r="B40" s="382">
        <f>IF(A40="","",IFERROR(VLOOKUP(A40,DB_Customers!$A:$D,4,0),"❌ Account Not Found"))</f>
        <v/>
      </c>
      <c r="C40" s="496">
        <f>IF(A40="","",IFERROR(VLOOKUP(A40,DB_Customers!$A:$N,14,0),""))</f>
        <v/>
      </c>
      <c r="D40" s="497">
        <f>IF(A40="","",TODAY())</f>
        <v/>
      </c>
      <c r="E40" s="489" t="n"/>
      <c r="F40" s="498">
        <f>IF(OR(A40="",E40=""),"",IF(C40="","",C40+E40))</f>
        <v/>
      </c>
      <c r="G40" s="384" t="inlineStr">
        <is>
          <t>Agent 09</t>
        </is>
      </c>
      <c r="H40" s="491" t="n"/>
      <c r="I40" s="499">
        <f>IF(A40="","Pending",IF(H40="","⚠️ Enter Code",IF(IFERROR(VLOOKUP(G40,DB_Agents!$B:$I,8,0),"")=H40,IF(AND(A40&lt;&gt;"",E40&lt;&gt;""),"Saved","Pending"),"🔒 BLOCKED — Wrong Code")))</f>
        <v/>
      </c>
      <c r="J40" s="500">
        <f>IF(I40="Saved",TEXT(TODAY(),"YYYY-MM-DD")&amp;" Auto","—")</f>
        <v/>
      </c>
      <c r="K40" s="501" t="n"/>
    </row>
    <row r="41" ht="15" customHeight="1" s="341">
      <c r="A41" s="486" t="n"/>
      <c r="B41" s="378">
        <f>IF(A41="","",IFERROR(VLOOKUP(A41,DB_Customers!$A:$D,4,0),"❌ Account Not Found"))</f>
        <v/>
      </c>
      <c r="C41" s="487">
        <f>IF(A41="","",IFERROR(VLOOKUP(A41,DB_Customers!$A:$N,14,0),""))</f>
        <v/>
      </c>
      <c r="D41" s="488">
        <f>IF(A41="","",TODAY())</f>
        <v/>
      </c>
      <c r="E41" s="489" t="n"/>
      <c r="F41" s="490">
        <f>IF(OR(A41="",E41=""),"",IF(C41="","",C41+E41))</f>
        <v/>
      </c>
      <c r="G41" s="380" t="inlineStr">
        <is>
          <t>Agent 09</t>
        </is>
      </c>
      <c r="H41" s="491" t="n"/>
      <c r="I41" s="492">
        <f>IF(A41="","Pending",IF(H41="","⚠️ Enter Code",IF(IFERROR(VLOOKUP(G41,DB_Agents!$B:$I,8,0),"")=H41,IF(AND(A41&lt;&gt;"",E41&lt;&gt;""),"Saved","Pending"),"🔒 BLOCKED — Wrong Code")))</f>
        <v/>
      </c>
      <c r="J41" s="493">
        <f>IF(I41="Saved",TEXT(TODAY(),"YYYY-MM-DD")&amp;" Auto","—")</f>
        <v/>
      </c>
      <c r="K41" s="494" t="n"/>
    </row>
    <row r="42" ht="15" customHeight="1" s="341">
      <c r="A42" s="495" t="n"/>
      <c r="B42" s="382">
        <f>IF(A42="","",IFERROR(VLOOKUP(A42,DB_Customers!$A:$D,4,0),"❌ Account Not Found"))</f>
        <v/>
      </c>
      <c r="C42" s="496">
        <f>IF(A42="","",IFERROR(VLOOKUP(A42,DB_Customers!$A:$N,14,0),""))</f>
        <v/>
      </c>
      <c r="D42" s="497">
        <f>IF(A42="","",TODAY())</f>
        <v/>
      </c>
      <c r="E42" s="489" t="n"/>
      <c r="F42" s="498">
        <f>IF(OR(A42="",E42=""),"",IF(C42="","",C42+E42))</f>
        <v/>
      </c>
      <c r="G42" s="384" t="inlineStr">
        <is>
          <t>Agent 09</t>
        </is>
      </c>
      <c r="H42" s="491" t="n"/>
      <c r="I42" s="499">
        <f>IF(A42="","Pending",IF(H42="","⚠️ Enter Code",IF(IFERROR(VLOOKUP(G42,DB_Agents!$B:$I,8,0),"")=H42,IF(AND(A42&lt;&gt;"",E42&lt;&gt;""),"Saved","Pending"),"🔒 BLOCKED — Wrong Code")))</f>
        <v/>
      </c>
      <c r="J42" s="500">
        <f>IF(I42="Saved",TEXT(TODAY(),"YYYY-MM-DD")&amp;" Auto","—")</f>
        <v/>
      </c>
      <c r="K42" s="501" t="n"/>
    </row>
    <row r="43" ht="15" customHeight="1" s="341">
      <c r="A43" s="486" t="n"/>
      <c r="B43" s="378">
        <f>IF(A43="","",IFERROR(VLOOKUP(A43,DB_Customers!$A:$D,4,0),"❌ Account Not Found"))</f>
        <v/>
      </c>
      <c r="C43" s="487">
        <f>IF(A43="","",IFERROR(VLOOKUP(A43,DB_Customers!$A:$N,14,0),""))</f>
        <v/>
      </c>
      <c r="D43" s="488">
        <f>IF(A43="","",TODAY())</f>
        <v/>
      </c>
      <c r="E43" s="489" t="n"/>
      <c r="F43" s="490">
        <f>IF(OR(A43="",E43=""),"",IF(C43="","",C43+E43))</f>
        <v/>
      </c>
      <c r="G43" s="380" t="inlineStr">
        <is>
          <t>Agent 09</t>
        </is>
      </c>
      <c r="H43" s="491" t="n"/>
      <c r="I43" s="492">
        <f>IF(A43="","Pending",IF(H43="","⚠️ Enter Code",IF(IFERROR(VLOOKUP(G43,DB_Agents!$B:$I,8,0),"")=H43,IF(AND(A43&lt;&gt;"",E43&lt;&gt;""),"Saved","Pending"),"🔒 BLOCKED — Wrong Code")))</f>
        <v/>
      </c>
      <c r="J43" s="493">
        <f>IF(I43="Saved",TEXT(TODAY(),"YYYY-MM-DD")&amp;" Auto","—")</f>
        <v/>
      </c>
      <c r="K43" s="494" t="n"/>
    </row>
    <row r="44" ht="15" customHeight="1" s="341">
      <c r="A44" s="495" t="n"/>
      <c r="B44" s="382">
        <f>IF(A44="","",IFERROR(VLOOKUP(A44,DB_Customers!$A:$D,4,0),"❌ Account Not Found"))</f>
        <v/>
      </c>
      <c r="C44" s="496">
        <f>IF(A44="","",IFERROR(VLOOKUP(A44,DB_Customers!$A:$N,14,0),""))</f>
        <v/>
      </c>
      <c r="D44" s="497">
        <f>IF(A44="","",TODAY())</f>
        <v/>
      </c>
      <c r="E44" s="489" t="n"/>
      <c r="F44" s="498">
        <f>IF(OR(A44="",E44=""),"",IF(C44="","",C44+E44))</f>
        <v/>
      </c>
      <c r="G44" s="384" t="inlineStr">
        <is>
          <t>Agent 09</t>
        </is>
      </c>
      <c r="H44" s="491" t="n"/>
      <c r="I44" s="499">
        <f>IF(A44="","Pending",IF(H44="","⚠️ Enter Code",IF(IFERROR(VLOOKUP(G44,DB_Agents!$B:$I,8,0),"")=H44,IF(AND(A44&lt;&gt;"",E44&lt;&gt;""),"Saved","Pending"),"🔒 BLOCKED — Wrong Code")))</f>
        <v/>
      </c>
      <c r="J44" s="500">
        <f>IF(I44="Saved",TEXT(TODAY(),"YYYY-MM-DD")&amp;" Auto","—")</f>
        <v/>
      </c>
      <c r="K44" s="501" t="n"/>
    </row>
    <row r="45" ht="15" customHeight="1" s="341">
      <c r="A45" s="486" t="n"/>
      <c r="B45" s="378">
        <f>IF(A45="","",IFERROR(VLOOKUP(A45,DB_Customers!$A:$D,4,0),"❌ Account Not Found"))</f>
        <v/>
      </c>
      <c r="C45" s="487">
        <f>IF(A45="","",IFERROR(VLOOKUP(A45,DB_Customers!$A:$N,14,0),""))</f>
        <v/>
      </c>
      <c r="D45" s="488">
        <f>IF(A45="","",TODAY())</f>
        <v/>
      </c>
      <c r="E45" s="489" t="n"/>
      <c r="F45" s="490">
        <f>IF(OR(A45="",E45=""),"",IF(C45="","",C45+E45))</f>
        <v/>
      </c>
      <c r="G45" s="380" t="inlineStr">
        <is>
          <t>Agent 09</t>
        </is>
      </c>
      <c r="H45" s="491" t="n"/>
      <c r="I45" s="492">
        <f>IF(A45="","Pending",IF(H45="","⚠️ Enter Code",IF(IFERROR(VLOOKUP(G45,DB_Agents!$B:$I,8,0),"")=H45,IF(AND(A45&lt;&gt;"",E45&lt;&gt;""),"Saved","Pending"),"🔒 BLOCKED — Wrong Code")))</f>
        <v/>
      </c>
      <c r="J45" s="493">
        <f>IF(I45="Saved",TEXT(TODAY(),"YYYY-MM-DD")&amp;" Auto","—")</f>
        <v/>
      </c>
      <c r="K45" s="494" t="n"/>
    </row>
    <row r="46" ht="15" customHeight="1" s="341">
      <c r="A46" s="495" t="n"/>
      <c r="B46" s="382">
        <f>IF(A46="","",IFERROR(VLOOKUP(A46,DB_Customers!$A:$D,4,0),"❌ Account Not Found"))</f>
        <v/>
      </c>
      <c r="C46" s="496">
        <f>IF(A46="","",IFERROR(VLOOKUP(A46,DB_Customers!$A:$N,14,0),""))</f>
        <v/>
      </c>
      <c r="D46" s="497">
        <f>IF(A46="","",TODAY())</f>
        <v/>
      </c>
      <c r="E46" s="489" t="n"/>
      <c r="F46" s="498">
        <f>IF(OR(A46="",E46=""),"",IF(C46="","",C46+E46))</f>
        <v/>
      </c>
      <c r="G46" s="384" t="inlineStr">
        <is>
          <t>Agent 09</t>
        </is>
      </c>
      <c r="H46" s="491" t="n"/>
      <c r="I46" s="499">
        <f>IF(A46="","Pending",IF(H46="","⚠️ Enter Code",IF(IFERROR(VLOOKUP(G46,DB_Agents!$B:$I,8,0),"")=H46,IF(AND(A46&lt;&gt;"",E46&lt;&gt;""),"Saved","Pending"),"🔒 BLOCKED — Wrong Code")))</f>
        <v/>
      </c>
      <c r="J46" s="500">
        <f>IF(I46="Saved",TEXT(TODAY(),"YYYY-MM-DD")&amp;" Auto","—")</f>
        <v/>
      </c>
      <c r="K46" s="501" t="n"/>
    </row>
    <row r="47" ht="15" customHeight="1" s="341">
      <c r="A47" s="486" t="n"/>
      <c r="B47" s="378">
        <f>IF(A47="","",IFERROR(VLOOKUP(A47,DB_Customers!$A:$D,4,0),"❌ Account Not Found"))</f>
        <v/>
      </c>
      <c r="C47" s="487">
        <f>IF(A47="","",IFERROR(VLOOKUP(A47,DB_Customers!$A:$N,14,0),""))</f>
        <v/>
      </c>
      <c r="D47" s="488">
        <f>IF(A47="","",TODAY())</f>
        <v/>
      </c>
      <c r="E47" s="489" t="n"/>
      <c r="F47" s="490">
        <f>IF(OR(A47="",E47=""),"",IF(C47="","",C47+E47))</f>
        <v/>
      </c>
      <c r="G47" s="380" t="inlineStr">
        <is>
          <t>Agent 09</t>
        </is>
      </c>
      <c r="H47" s="491" t="n"/>
      <c r="I47" s="492">
        <f>IF(A47="","Pending",IF(H47="","⚠️ Enter Code",IF(IFERROR(VLOOKUP(G47,DB_Agents!$B:$I,8,0),"")=H47,IF(AND(A47&lt;&gt;"",E47&lt;&gt;""),"Saved","Pending"),"🔒 BLOCKED — Wrong Code")))</f>
        <v/>
      </c>
      <c r="J47" s="493">
        <f>IF(I47="Saved",TEXT(TODAY(),"YYYY-MM-DD")&amp;" Auto","—")</f>
        <v/>
      </c>
      <c r="K47" s="494" t="n"/>
    </row>
    <row r="48" ht="15" customHeight="1" s="341">
      <c r="A48" s="495" t="n"/>
      <c r="B48" s="382">
        <f>IF(A48="","",IFERROR(VLOOKUP(A48,DB_Customers!$A:$D,4,0),"❌ Account Not Found"))</f>
        <v/>
      </c>
      <c r="C48" s="496">
        <f>IF(A48="","",IFERROR(VLOOKUP(A48,DB_Customers!$A:$N,14,0),""))</f>
        <v/>
      </c>
      <c r="D48" s="497">
        <f>IF(A48="","",TODAY())</f>
        <v/>
      </c>
      <c r="E48" s="489" t="n"/>
      <c r="F48" s="498">
        <f>IF(OR(A48="",E48=""),"",IF(C48="","",C48+E48))</f>
        <v/>
      </c>
      <c r="G48" s="384" t="inlineStr">
        <is>
          <t>Agent 09</t>
        </is>
      </c>
      <c r="H48" s="491" t="n"/>
      <c r="I48" s="499">
        <f>IF(A48="","Pending",IF(H48="","⚠️ Enter Code",IF(IFERROR(VLOOKUP(G48,DB_Agents!$B:$I,8,0),"")=H48,IF(AND(A48&lt;&gt;"",E48&lt;&gt;""),"Saved","Pending"),"🔒 BLOCKED — Wrong Code")))</f>
        <v/>
      </c>
      <c r="J48" s="500">
        <f>IF(I48="Saved",TEXT(TODAY(),"YYYY-MM-DD")&amp;" Auto","—")</f>
        <v/>
      </c>
      <c r="K48" s="501" t="n"/>
    </row>
    <row r="49" ht="15" customHeight="1" s="341">
      <c r="A49" s="486" t="n"/>
      <c r="B49" s="378">
        <f>IF(A49="","",IFERROR(VLOOKUP(A49,DB_Customers!$A:$D,4,0),"❌ Account Not Found"))</f>
        <v/>
      </c>
      <c r="C49" s="487">
        <f>IF(A49="","",IFERROR(VLOOKUP(A49,DB_Customers!$A:$N,14,0),""))</f>
        <v/>
      </c>
      <c r="D49" s="488">
        <f>IF(A49="","",TODAY())</f>
        <v/>
      </c>
      <c r="E49" s="489" t="n"/>
      <c r="F49" s="490">
        <f>IF(OR(A49="",E49=""),"",IF(C49="","",C49+E49))</f>
        <v/>
      </c>
      <c r="G49" s="380" t="inlineStr">
        <is>
          <t>Agent 09</t>
        </is>
      </c>
      <c r="H49" s="491" t="n"/>
      <c r="I49" s="492">
        <f>IF(A49="","Pending",IF(H49="","⚠️ Enter Code",IF(IFERROR(VLOOKUP(G49,DB_Agents!$B:$I,8,0),"")=H49,IF(AND(A49&lt;&gt;"",E49&lt;&gt;""),"Saved","Pending"),"🔒 BLOCKED — Wrong Code")))</f>
        <v/>
      </c>
      <c r="J49" s="493">
        <f>IF(I49="Saved",TEXT(TODAY(),"YYYY-MM-DD")&amp;" Auto","—")</f>
        <v/>
      </c>
      <c r="K49" s="494" t="n"/>
    </row>
    <row r="50" ht="15" customHeight="1" s="341">
      <c r="A50" s="495" t="n"/>
      <c r="B50" s="382">
        <f>IF(A50="","",IFERROR(VLOOKUP(A50,DB_Customers!$A:$D,4,0),"❌ Account Not Found"))</f>
        <v/>
      </c>
      <c r="C50" s="496">
        <f>IF(A50="","",IFERROR(VLOOKUP(A50,DB_Customers!$A:$N,14,0),""))</f>
        <v/>
      </c>
      <c r="D50" s="497">
        <f>IF(A50="","",TODAY())</f>
        <v/>
      </c>
      <c r="E50" s="489" t="n"/>
      <c r="F50" s="498">
        <f>IF(OR(A50="",E50=""),"",IF(C50="","",C50+E50))</f>
        <v/>
      </c>
      <c r="G50" s="384" t="inlineStr">
        <is>
          <t>Agent 09</t>
        </is>
      </c>
      <c r="H50" s="491" t="n"/>
      <c r="I50" s="499">
        <f>IF(A50="","Pending",IF(H50="","⚠️ Enter Code",IF(IFERROR(VLOOKUP(G50,DB_Agents!$B:$I,8,0),"")=H50,IF(AND(A50&lt;&gt;"",E50&lt;&gt;""),"Saved","Pending"),"🔒 BLOCKED — Wrong Code")))</f>
        <v/>
      </c>
      <c r="J50" s="500">
        <f>IF(I50="Saved",TEXT(TODAY(),"YYYY-MM-DD")&amp;" Auto","—")</f>
        <v/>
      </c>
      <c r="K50" s="501" t="n"/>
    </row>
    <row r="51" ht="15" customHeight="1" s="341">
      <c r="A51" s="486" t="n"/>
      <c r="B51" s="378">
        <f>IF(A51="","",IFERROR(VLOOKUP(A51,DB_Customers!$A:$D,4,0),"❌ Account Not Found"))</f>
        <v/>
      </c>
      <c r="C51" s="487">
        <f>IF(A51="","",IFERROR(VLOOKUP(A51,DB_Customers!$A:$N,14,0),""))</f>
        <v/>
      </c>
      <c r="D51" s="488">
        <f>IF(A51="","",TODAY())</f>
        <v/>
      </c>
      <c r="E51" s="489" t="n"/>
      <c r="F51" s="490">
        <f>IF(OR(A51="",E51=""),"",IF(C51="","",C51+E51))</f>
        <v/>
      </c>
      <c r="G51" s="380" t="inlineStr">
        <is>
          <t>Agent 09</t>
        </is>
      </c>
      <c r="H51" s="491" t="n"/>
      <c r="I51" s="492">
        <f>IF(A51="","Pending",IF(H51="","⚠️ Enter Code",IF(IFERROR(VLOOKUP(G51,DB_Agents!$B:$I,8,0),"")=H51,IF(AND(A51&lt;&gt;"",E51&lt;&gt;""),"Saved","Pending"),"🔒 BLOCKED — Wrong Code")))</f>
        <v/>
      </c>
      <c r="J51" s="493">
        <f>IF(I51="Saved",TEXT(TODAY(),"YYYY-MM-DD")&amp;" Auto","—")</f>
        <v/>
      </c>
      <c r="K51" s="494" t="n"/>
    </row>
    <row r="52" ht="15" customHeight="1" s="341">
      <c r="A52" s="495" t="n"/>
      <c r="B52" s="382">
        <f>IF(A52="","",IFERROR(VLOOKUP(A52,DB_Customers!$A:$D,4,0),"❌ Account Not Found"))</f>
        <v/>
      </c>
      <c r="C52" s="496">
        <f>IF(A52="","",IFERROR(VLOOKUP(A52,DB_Customers!$A:$N,14,0),""))</f>
        <v/>
      </c>
      <c r="D52" s="497">
        <f>IF(A52="","",TODAY())</f>
        <v/>
      </c>
      <c r="E52" s="489" t="n"/>
      <c r="F52" s="498">
        <f>IF(OR(A52="",E52=""),"",IF(C52="","",C52+E52))</f>
        <v/>
      </c>
      <c r="G52" s="384" t="inlineStr">
        <is>
          <t>Agent 09</t>
        </is>
      </c>
      <c r="H52" s="491" t="n"/>
      <c r="I52" s="499">
        <f>IF(A52="","Pending",IF(H52="","⚠️ Enter Code",IF(IFERROR(VLOOKUP(G52,DB_Agents!$B:$I,8,0),"")=H52,IF(AND(A52&lt;&gt;"",E52&lt;&gt;""),"Saved","Pending"),"🔒 BLOCKED — Wrong Code")))</f>
        <v/>
      </c>
      <c r="J52" s="500">
        <f>IF(I52="Saved",TEXT(TODAY(),"YYYY-MM-DD")&amp;" Auto","—")</f>
        <v/>
      </c>
      <c r="K52" s="501" t="n"/>
    </row>
    <row r="53" ht="15" customHeight="1" s="341">
      <c r="A53" s="486" t="n"/>
      <c r="B53" s="378">
        <f>IF(A53="","",IFERROR(VLOOKUP(A53,DB_Customers!$A:$D,4,0),"❌ Account Not Found"))</f>
        <v/>
      </c>
      <c r="C53" s="487">
        <f>IF(A53="","",IFERROR(VLOOKUP(A53,DB_Customers!$A:$N,14,0),""))</f>
        <v/>
      </c>
      <c r="D53" s="488">
        <f>IF(A53="","",TODAY())</f>
        <v/>
      </c>
      <c r="E53" s="489" t="n"/>
      <c r="F53" s="490">
        <f>IF(OR(A53="",E53=""),"",IF(C53="","",C53+E53))</f>
        <v/>
      </c>
      <c r="G53" s="380" t="inlineStr">
        <is>
          <t>Agent 09</t>
        </is>
      </c>
      <c r="H53" s="491" t="n"/>
      <c r="I53" s="492">
        <f>IF(A53="","Pending",IF(H53="","⚠️ Enter Code",IF(IFERROR(VLOOKUP(G53,DB_Agents!$B:$I,8,0),"")=H53,IF(AND(A53&lt;&gt;"",E53&lt;&gt;""),"Saved","Pending"),"🔒 BLOCKED — Wrong Code")))</f>
        <v/>
      </c>
      <c r="J53" s="493">
        <f>IF(I53="Saved",TEXT(TODAY(),"YYYY-MM-DD")&amp;" Auto","—")</f>
        <v/>
      </c>
      <c r="K53" s="494" t="n"/>
    </row>
    <row r="54" ht="15" customHeight="1" s="341">
      <c r="A54" s="495" t="n"/>
      <c r="B54" s="382">
        <f>IF(A54="","",IFERROR(VLOOKUP(A54,DB_Customers!$A:$D,4,0),"❌ Account Not Found"))</f>
        <v/>
      </c>
      <c r="C54" s="496">
        <f>IF(A54="","",IFERROR(VLOOKUP(A54,DB_Customers!$A:$N,14,0),""))</f>
        <v/>
      </c>
      <c r="D54" s="497">
        <f>IF(A54="","",TODAY())</f>
        <v/>
      </c>
      <c r="E54" s="489" t="n"/>
      <c r="F54" s="498">
        <f>IF(OR(A54="",E54=""),"",IF(C54="","",C54+E54))</f>
        <v/>
      </c>
      <c r="G54" s="384" t="inlineStr">
        <is>
          <t>Agent 09</t>
        </is>
      </c>
      <c r="H54" s="491" t="n"/>
      <c r="I54" s="499">
        <f>IF(A54="","Pending",IF(H54="","⚠️ Enter Code",IF(IFERROR(VLOOKUP(G54,DB_Agents!$B:$I,8,0),"")=H54,IF(AND(A54&lt;&gt;"",E54&lt;&gt;""),"Saved","Pending"),"🔒 BLOCKED — Wrong Code")))</f>
        <v/>
      </c>
      <c r="J54" s="500">
        <f>IF(I54="Saved",TEXT(TODAY(),"YYYY-MM-DD")&amp;" Auto","—")</f>
        <v/>
      </c>
      <c r="K54" s="501" t="n"/>
    </row>
    <row r="55" ht="15" customHeight="1" s="341">
      <c r="A55" s="486" t="n"/>
      <c r="B55" s="378">
        <f>IF(A55="","",IFERROR(VLOOKUP(A55,DB_Customers!$A:$D,4,0),"❌ Account Not Found"))</f>
        <v/>
      </c>
      <c r="C55" s="487">
        <f>IF(A55="","",IFERROR(VLOOKUP(A55,DB_Customers!$A:$N,14,0),""))</f>
        <v/>
      </c>
      <c r="D55" s="488">
        <f>IF(A55="","",TODAY())</f>
        <v/>
      </c>
      <c r="E55" s="489" t="n"/>
      <c r="F55" s="490">
        <f>IF(OR(A55="",E55=""),"",IF(C55="","",C55+E55))</f>
        <v/>
      </c>
      <c r="G55" s="380" t="inlineStr">
        <is>
          <t>Agent 09</t>
        </is>
      </c>
      <c r="H55" s="491" t="n"/>
      <c r="I55" s="492">
        <f>IF(A55="","Pending",IF(H55="","⚠️ Enter Code",IF(IFERROR(VLOOKUP(G55,DB_Agents!$B:$I,8,0),"")=H55,IF(AND(A55&lt;&gt;"",E55&lt;&gt;""),"Saved","Pending"),"🔒 BLOCKED — Wrong Code")))</f>
        <v/>
      </c>
      <c r="J55" s="493">
        <f>IF(I55="Saved",TEXT(TODAY(),"YYYY-MM-DD")&amp;" Auto","—")</f>
        <v/>
      </c>
      <c r="K55" s="494" t="n"/>
    </row>
    <row r="56" ht="15" customHeight="1" s="341">
      <c r="A56" s="495" t="n"/>
      <c r="B56" s="382">
        <f>IF(A56="","",IFERROR(VLOOKUP(A56,DB_Customers!$A:$D,4,0),"❌ Account Not Found"))</f>
        <v/>
      </c>
      <c r="C56" s="496">
        <f>IF(A56="","",IFERROR(VLOOKUP(A56,DB_Customers!$A:$N,14,0),""))</f>
        <v/>
      </c>
      <c r="D56" s="497">
        <f>IF(A56="","",TODAY())</f>
        <v/>
      </c>
      <c r="E56" s="489" t="n"/>
      <c r="F56" s="498">
        <f>IF(OR(A56="",E56=""),"",IF(C56="","",C56+E56))</f>
        <v/>
      </c>
      <c r="G56" s="384" t="inlineStr">
        <is>
          <t>Agent 09</t>
        </is>
      </c>
      <c r="H56" s="491" t="n"/>
      <c r="I56" s="499">
        <f>IF(A56="","Pending",IF(H56="","⚠️ Enter Code",IF(IFERROR(VLOOKUP(G56,DB_Agents!$B:$I,8,0),"")=H56,IF(AND(A56&lt;&gt;"",E56&lt;&gt;""),"Saved","Pending"),"🔒 BLOCKED — Wrong Code")))</f>
        <v/>
      </c>
      <c r="J56" s="500">
        <f>IF(I56="Saved",TEXT(TODAY(),"YYYY-MM-DD")&amp;" Auto","—")</f>
        <v/>
      </c>
      <c r="K56" s="501" t="n"/>
    </row>
    <row r="57" ht="15" customHeight="1" s="341">
      <c r="A57" s="486" t="n"/>
      <c r="B57" s="378">
        <f>IF(A57="","",IFERROR(VLOOKUP(A57,DB_Customers!$A:$D,4,0),"❌ Account Not Found"))</f>
        <v/>
      </c>
      <c r="C57" s="487">
        <f>IF(A57="","",IFERROR(VLOOKUP(A57,DB_Customers!$A:$N,14,0),""))</f>
        <v/>
      </c>
      <c r="D57" s="488">
        <f>IF(A57="","",TODAY())</f>
        <v/>
      </c>
      <c r="E57" s="489" t="n"/>
      <c r="F57" s="490">
        <f>IF(OR(A57="",E57=""),"",IF(C57="","",C57+E57))</f>
        <v/>
      </c>
      <c r="G57" s="380" t="inlineStr">
        <is>
          <t>Agent 09</t>
        </is>
      </c>
      <c r="H57" s="491" t="n"/>
      <c r="I57" s="492">
        <f>IF(A57="","Pending",IF(H57="","⚠️ Enter Code",IF(IFERROR(VLOOKUP(G57,DB_Agents!$B:$I,8,0),"")=H57,IF(AND(A57&lt;&gt;"",E57&lt;&gt;""),"Saved","Pending"),"🔒 BLOCKED — Wrong Code")))</f>
        <v/>
      </c>
      <c r="J57" s="493">
        <f>IF(I57="Saved",TEXT(TODAY(),"YYYY-MM-DD")&amp;" Auto","—")</f>
        <v/>
      </c>
      <c r="K57" s="494" t="n"/>
    </row>
    <row r="58" ht="15" customHeight="1" s="341">
      <c r="A58" s="495" t="n"/>
      <c r="B58" s="382">
        <f>IF(A58="","",IFERROR(VLOOKUP(A58,DB_Customers!$A:$D,4,0),"❌ Account Not Found"))</f>
        <v/>
      </c>
      <c r="C58" s="496">
        <f>IF(A58="","",IFERROR(VLOOKUP(A58,DB_Customers!$A:$N,14,0),""))</f>
        <v/>
      </c>
      <c r="D58" s="497">
        <f>IF(A58="","",TODAY())</f>
        <v/>
      </c>
      <c r="E58" s="489" t="n"/>
      <c r="F58" s="498">
        <f>IF(OR(A58="",E58=""),"",IF(C58="","",C58+E58))</f>
        <v/>
      </c>
      <c r="G58" s="384" t="inlineStr">
        <is>
          <t>Agent 09</t>
        </is>
      </c>
      <c r="H58" s="491" t="n"/>
      <c r="I58" s="499">
        <f>IF(A58="","Pending",IF(H58="","⚠️ Enter Code",IF(IFERROR(VLOOKUP(G58,DB_Agents!$B:$I,8,0),"")=H58,IF(AND(A58&lt;&gt;"",E58&lt;&gt;""),"Saved","Pending"),"🔒 BLOCKED — Wrong Code")))</f>
        <v/>
      </c>
      <c r="J58" s="500">
        <f>IF(I58="Saved",TEXT(TODAY(),"YYYY-MM-DD")&amp;" Auto","—")</f>
        <v/>
      </c>
      <c r="K58" s="501" t="n"/>
    </row>
    <row r="59" ht="15" customHeight="1" s="341">
      <c r="A59" s="486" t="n"/>
      <c r="B59" s="378">
        <f>IF(A59="","",IFERROR(VLOOKUP(A59,DB_Customers!$A:$D,4,0),"❌ Account Not Found"))</f>
        <v/>
      </c>
      <c r="C59" s="487">
        <f>IF(A59="","",IFERROR(VLOOKUP(A59,DB_Customers!$A:$N,14,0),""))</f>
        <v/>
      </c>
      <c r="D59" s="488">
        <f>IF(A59="","",TODAY())</f>
        <v/>
      </c>
      <c r="E59" s="489" t="n"/>
      <c r="F59" s="490">
        <f>IF(OR(A59="",E59=""),"",IF(C59="","",C59+E59))</f>
        <v/>
      </c>
      <c r="G59" s="380" t="inlineStr">
        <is>
          <t>Agent 09</t>
        </is>
      </c>
      <c r="H59" s="491" t="n"/>
      <c r="I59" s="492">
        <f>IF(A59="","Pending",IF(H59="","⚠️ Enter Code",IF(IFERROR(VLOOKUP(G59,DB_Agents!$B:$I,8,0),"")=H59,IF(AND(A59&lt;&gt;"",E59&lt;&gt;""),"Saved","Pending"),"🔒 BLOCKED — Wrong Code")))</f>
        <v/>
      </c>
      <c r="J59" s="493">
        <f>IF(I59="Saved",TEXT(TODAY(),"YYYY-MM-DD")&amp;" Auto","—")</f>
        <v/>
      </c>
      <c r="K59" s="494" t="n"/>
    </row>
    <row r="60" ht="15" customHeight="1" s="341">
      <c r="A60" s="495" t="n"/>
      <c r="B60" s="382">
        <f>IF(A60="","",IFERROR(VLOOKUP(A60,DB_Customers!$A:$D,4,0),"❌ Account Not Found"))</f>
        <v/>
      </c>
      <c r="C60" s="496">
        <f>IF(A60="","",IFERROR(VLOOKUP(A60,DB_Customers!$A:$N,14,0),""))</f>
        <v/>
      </c>
      <c r="D60" s="497">
        <f>IF(A60="","",TODAY())</f>
        <v/>
      </c>
      <c r="E60" s="489" t="n"/>
      <c r="F60" s="498">
        <f>IF(OR(A60="",E60=""),"",IF(C60="","",C60+E60))</f>
        <v/>
      </c>
      <c r="G60" s="384" t="inlineStr">
        <is>
          <t>Agent 09</t>
        </is>
      </c>
      <c r="H60" s="491" t="n"/>
      <c r="I60" s="499">
        <f>IF(A60="","Pending",IF(H60="","⚠️ Enter Code",IF(IFERROR(VLOOKUP(G60,DB_Agents!$B:$I,8,0),"")=H60,IF(AND(A60&lt;&gt;"",E60&lt;&gt;""),"Saved","Pending"),"🔒 BLOCKED — Wrong Code")))</f>
        <v/>
      </c>
      <c r="J60" s="500">
        <f>IF(I60="Saved",TEXT(TODAY(),"YYYY-MM-DD")&amp;" Auto","—")</f>
        <v/>
      </c>
      <c r="K60" s="501" t="n"/>
    </row>
    <row r="61" ht="15" customHeight="1" s="341">
      <c r="A61" s="486" t="n"/>
      <c r="B61" s="378">
        <f>IF(A61="","",IFERROR(VLOOKUP(A61,DB_Customers!$A:$D,4,0),"❌ Account Not Found"))</f>
        <v/>
      </c>
      <c r="C61" s="487">
        <f>IF(A61="","",IFERROR(VLOOKUP(A61,DB_Customers!$A:$N,14,0),""))</f>
        <v/>
      </c>
      <c r="D61" s="488">
        <f>IF(A61="","",TODAY())</f>
        <v/>
      </c>
      <c r="E61" s="489" t="n"/>
      <c r="F61" s="490">
        <f>IF(OR(A61="",E61=""),"",IF(C61="","",C61+E61))</f>
        <v/>
      </c>
      <c r="G61" s="380" t="inlineStr">
        <is>
          <t>Agent 09</t>
        </is>
      </c>
      <c r="H61" s="491" t="n"/>
      <c r="I61" s="492">
        <f>IF(A61="","Pending",IF(H61="","⚠️ Enter Code",IF(IFERROR(VLOOKUP(G61,DB_Agents!$B:$I,8,0),"")=H61,IF(AND(A61&lt;&gt;"",E61&lt;&gt;""),"Saved","Pending"),"🔒 BLOCKED — Wrong Code")))</f>
        <v/>
      </c>
      <c r="J61" s="493">
        <f>IF(I61="Saved",TEXT(TODAY(),"YYYY-MM-DD")&amp;" Auto","—")</f>
        <v/>
      </c>
      <c r="K61" s="494" t="n"/>
    </row>
    <row r="62" ht="15" customHeight="1" s="341">
      <c r="A62" s="495" t="n"/>
      <c r="B62" s="382">
        <f>IF(A62="","",IFERROR(VLOOKUP(A62,DB_Customers!$A:$D,4,0),"❌ Account Not Found"))</f>
        <v/>
      </c>
      <c r="C62" s="496">
        <f>IF(A62="","",IFERROR(VLOOKUP(A62,DB_Customers!$A:$N,14,0),""))</f>
        <v/>
      </c>
      <c r="D62" s="497">
        <f>IF(A62="","",TODAY())</f>
        <v/>
      </c>
      <c r="E62" s="489" t="n"/>
      <c r="F62" s="498">
        <f>IF(OR(A62="",E62=""),"",IF(C62="","",C62+E62))</f>
        <v/>
      </c>
      <c r="G62" s="384" t="inlineStr">
        <is>
          <t>Agent 09</t>
        </is>
      </c>
      <c r="H62" s="491" t="n"/>
      <c r="I62" s="499">
        <f>IF(A62="","Pending",IF(H62="","⚠️ Enter Code",IF(IFERROR(VLOOKUP(G62,DB_Agents!$B:$I,8,0),"")=H62,IF(AND(A62&lt;&gt;"",E62&lt;&gt;""),"Saved","Pending"),"🔒 BLOCKED — Wrong Code")))</f>
        <v/>
      </c>
      <c r="J62" s="500">
        <f>IF(I62="Saved",TEXT(TODAY(),"YYYY-MM-DD")&amp;" Auto","—")</f>
        <v/>
      </c>
      <c r="K62" s="501" t="n"/>
    </row>
    <row r="63" ht="15" customHeight="1" s="341">
      <c r="A63" s="486" t="n"/>
      <c r="B63" s="378">
        <f>IF(A63="","",IFERROR(VLOOKUP(A63,DB_Customers!$A:$D,4,0),"❌ Account Not Found"))</f>
        <v/>
      </c>
      <c r="C63" s="487">
        <f>IF(A63="","",IFERROR(VLOOKUP(A63,DB_Customers!$A:$N,14,0),""))</f>
        <v/>
      </c>
      <c r="D63" s="488">
        <f>IF(A63="","",TODAY())</f>
        <v/>
      </c>
      <c r="E63" s="489" t="n"/>
      <c r="F63" s="490">
        <f>IF(OR(A63="",E63=""),"",IF(C63="","",C63+E63))</f>
        <v/>
      </c>
      <c r="G63" s="380" t="inlineStr">
        <is>
          <t>Agent 09</t>
        </is>
      </c>
      <c r="H63" s="491" t="n"/>
      <c r="I63" s="492">
        <f>IF(A63="","Pending",IF(H63="","⚠️ Enter Code",IF(IFERROR(VLOOKUP(G63,DB_Agents!$B:$I,8,0),"")=H63,IF(AND(A63&lt;&gt;"",E63&lt;&gt;""),"Saved","Pending"),"🔒 BLOCKED — Wrong Code")))</f>
        <v/>
      </c>
      <c r="J63" s="493">
        <f>IF(I63="Saved",TEXT(TODAY(),"YYYY-MM-DD")&amp;" Auto","—")</f>
        <v/>
      </c>
      <c r="K63" s="494" t="n"/>
    </row>
    <row r="64" ht="15" customHeight="1" s="341">
      <c r="A64" s="495" t="n"/>
      <c r="B64" s="382">
        <f>IF(A64="","",IFERROR(VLOOKUP(A64,DB_Customers!$A:$D,4,0),"❌ Account Not Found"))</f>
        <v/>
      </c>
      <c r="C64" s="496">
        <f>IF(A64="","",IFERROR(VLOOKUP(A64,DB_Customers!$A:$N,14,0),""))</f>
        <v/>
      </c>
      <c r="D64" s="497">
        <f>IF(A64="","",TODAY())</f>
        <v/>
      </c>
      <c r="E64" s="489" t="n"/>
      <c r="F64" s="498">
        <f>IF(OR(A64="",E64=""),"",IF(C64="","",C64+E64))</f>
        <v/>
      </c>
      <c r="G64" s="384" t="inlineStr">
        <is>
          <t>Agent 09</t>
        </is>
      </c>
      <c r="H64" s="491" t="n"/>
      <c r="I64" s="499">
        <f>IF(A64="","Pending",IF(H64="","⚠️ Enter Code",IF(IFERROR(VLOOKUP(G64,DB_Agents!$B:$I,8,0),"")=H64,IF(AND(A64&lt;&gt;"",E64&lt;&gt;""),"Saved","Pending"),"🔒 BLOCKED — Wrong Code")))</f>
        <v/>
      </c>
      <c r="J64" s="500">
        <f>IF(I64="Saved",TEXT(TODAY(),"YYYY-MM-DD")&amp;" Auto","—")</f>
        <v/>
      </c>
      <c r="K64" s="501" t="n"/>
    </row>
    <row r="65" ht="15" customHeight="1" s="341">
      <c r="A65" s="486" t="n"/>
      <c r="B65" s="378">
        <f>IF(A65="","",IFERROR(VLOOKUP(A65,DB_Customers!$A:$D,4,0),"❌ Account Not Found"))</f>
        <v/>
      </c>
      <c r="C65" s="487">
        <f>IF(A65="","",IFERROR(VLOOKUP(A65,DB_Customers!$A:$N,14,0),""))</f>
        <v/>
      </c>
      <c r="D65" s="488">
        <f>IF(A65="","",TODAY())</f>
        <v/>
      </c>
      <c r="E65" s="489" t="n"/>
      <c r="F65" s="490">
        <f>IF(OR(A65="",E65=""),"",IF(C65="","",C65+E65))</f>
        <v/>
      </c>
      <c r="G65" s="380" t="inlineStr">
        <is>
          <t>Agent 09</t>
        </is>
      </c>
      <c r="H65" s="491" t="n"/>
      <c r="I65" s="492">
        <f>IF(A65="","Pending",IF(H65="","⚠️ Enter Code",IF(IFERROR(VLOOKUP(G65,DB_Agents!$B:$I,8,0),"")=H65,IF(AND(A65&lt;&gt;"",E65&lt;&gt;""),"Saved","Pending"),"🔒 BLOCKED — Wrong Code")))</f>
        <v/>
      </c>
      <c r="J65" s="493">
        <f>IF(I65="Saved",TEXT(TODAY(),"YYYY-MM-DD")&amp;" Auto","—")</f>
        <v/>
      </c>
      <c r="K65" s="494" t="n"/>
    </row>
    <row r="66" ht="15" customHeight="1" s="341">
      <c r="A66" s="495" t="n"/>
      <c r="B66" s="382">
        <f>IF(A66="","",IFERROR(VLOOKUP(A66,DB_Customers!$A:$D,4,0),"❌ Account Not Found"))</f>
        <v/>
      </c>
      <c r="C66" s="496">
        <f>IF(A66="","",IFERROR(VLOOKUP(A66,DB_Customers!$A:$N,14,0),""))</f>
        <v/>
      </c>
      <c r="D66" s="497">
        <f>IF(A66="","",TODAY())</f>
        <v/>
      </c>
      <c r="E66" s="489" t="n"/>
      <c r="F66" s="498">
        <f>IF(OR(A66="",E66=""),"",IF(C66="","",C66+E66))</f>
        <v/>
      </c>
      <c r="G66" s="384" t="inlineStr">
        <is>
          <t>Agent 09</t>
        </is>
      </c>
      <c r="H66" s="491" t="n"/>
      <c r="I66" s="499">
        <f>IF(A66="","Pending",IF(H66="","⚠️ Enter Code",IF(IFERROR(VLOOKUP(G66,DB_Agents!$B:$I,8,0),"")=H66,IF(AND(A66&lt;&gt;"",E66&lt;&gt;""),"Saved","Pending"),"🔒 BLOCKED — Wrong Code")))</f>
        <v/>
      </c>
      <c r="J66" s="500">
        <f>IF(I66="Saved",TEXT(TODAY(),"YYYY-MM-DD")&amp;" Auto","—")</f>
        <v/>
      </c>
      <c r="K66" s="501" t="n"/>
    </row>
    <row r="67" ht="15" customHeight="1" s="341">
      <c r="A67" s="486" t="n"/>
      <c r="B67" s="378">
        <f>IF(A67="","",IFERROR(VLOOKUP(A67,DB_Customers!$A:$D,4,0),"❌ Account Not Found"))</f>
        <v/>
      </c>
      <c r="C67" s="487">
        <f>IF(A67="","",IFERROR(VLOOKUP(A67,DB_Customers!$A:$N,14,0),""))</f>
        <v/>
      </c>
      <c r="D67" s="488">
        <f>IF(A67="","",TODAY())</f>
        <v/>
      </c>
      <c r="E67" s="489" t="n"/>
      <c r="F67" s="490">
        <f>IF(OR(A67="",E67=""),"",IF(C67="","",C67+E67))</f>
        <v/>
      </c>
      <c r="G67" s="380" t="inlineStr">
        <is>
          <t>Agent 09</t>
        </is>
      </c>
      <c r="H67" s="491" t="n"/>
      <c r="I67" s="492">
        <f>IF(A67="","Pending",IF(H67="","⚠️ Enter Code",IF(IFERROR(VLOOKUP(G67,DB_Agents!$B:$I,8,0),"")=H67,IF(AND(A67&lt;&gt;"",E67&lt;&gt;""),"Saved","Pending"),"🔒 BLOCKED — Wrong Code")))</f>
        <v/>
      </c>
      <c r="J67" s="493">
        <f>IF(I67="Saved",TEXT(TODAY(),"YYYY-MM-DD")&amp;" Auto","—")</f>
        <v/>
      </c>
      <c r="K67" s="494" t="n"/>
    </row>
    <row r="68" ht="15" customHeight="1" s="341">
      <c r="A68" s="495" t="n"/>
      <c r="B68" s="382">
        <f>IF(A68="","",IFERROR(VLOOKUP(A68,DB_Customers!$A:$D,4,0),"❌ Account Not Found"))</f>
        <v/>
      </c>
      <c r="C68" s="496">
        <f>IF(A68="","",IFERROR(VLOOKUP(A68,DB_Customers!$A:$N,14,0),""))</f>
        <v/>
      </c>
      <c r="D68" s="497">
        <f>IF(A68="","",TODAY())</f>
        <v/>
      </c>
      <c r="E68" s="489" t="n"/>
      <c r="F68" s="498">
        <f>IF(OR(A68="",E68=""),"",IF(C68="","",C68+E68))</f>
        <v/>
      </c>
      <c r="G68" s="384" t="inlineStr">
        <is>
          <t>Agent 09</t>
        </is>
      </c>
      <c r="H68" s="491" t="n"/>
      <c r="I68" s="499">
        <f>IF(A68="","Pending",IF(H68="","⚠️ Enter Code",IF(IFERROR(VLOOKUP(G68,DB_Agents!$B:$I,8,0),"")=H68,IF(AND(A68&lt;&gt;"",E68&lt;&gt;""),"Saved","Pending"),"🔒 BLOCKED — Wrong Code")))</f>
        <v/>
      </c>
      <c r="J68" s="500">
        <f>IF(I68="Saved",TEXT(TODAY(),"YYYY-MM-DD")&amp;" Auto","—")</f>
        <v/>
      </c>
      <c r="K68" s="501" t="n"/>
    </row>
    <row r="69" ht="15" customHeight="1" s="341">
      <c r="A69" s="486" t="n"/>
      <c r="B69" s="378">
        <f>IF(A69="","",IFERROR(VLOOKUP(A69,DB_Customers!$A:$D,4,0),"❌ Account Not Found"))</f>
        <v/>
      </c>
      <c r="C69" s="487">
        <f>IF(A69="","",IFERROR(VLOOKUP(A69,DB_Customers!$A:$N,14,0),""))</f>
        <v/>
      </c>
      <c r="D69" s="488">
        <f>IF(A69="","",TODAY())</f>
        <v/>
      </c>
      <c r="E69" s="489" t="n"/>
      <c r="F69" s="490">
        <f>IF(OR(A69="",E69=""),"",IF(C69="","",C69+E69))</f>
        <v/>
      </c>
      <c r="G69" s="380" t="inlineStr">
        <is>
          <t>Agent 09</t>
        </is>
      </c>
      <c r="H69" s="491" t="n"/>
      <c r="I69" s="492">
        <f>IF(A69="","Pending",IF(H69="","⚠️ Enter Code",IF(IFERROR(VLOOKUP(G69,DB_Agents!$B:$I,8,0),"")=H69,IF(AND(A69&lt;&gt;"",E69&lt;&gt;""),"Saved","Pending"),"🔒 BLOCKED — Wrong Code")))</f>
        <v/>
      </c>
      <c r="J69" s="493">
        <f>IF(I69="Saved",TEXT(TODAY(),"YYYY-MM-DD")&amp;" Auto","—")</f>
        <v/>
      </c>
      <c r="K69" s="494" t="n"/>
    </row>
    <row r="70" ht="15" customHeight="1" s="341">
      <c r="A70" s="495" t="n"/>
      <c r="B70" s="382">
        <f>IF(A70="","",IFERROR(VLOOKUP(A70,DB_Customers!$A:$D,4,0),"❌ Account Not Found"))</f>
        <v/>
      </c>
      <c r="C70" s="496">
        <f>IF(A70="","",IFERROR(VLOOKUP(A70,DB_Customers!$A:$N,14,0),""))</f>
        <v/>
      </c>
      <c r="D70" s="497">
        <f>IF(A70="","",TODAY())</f>
        <v/>
      </c>
      <c r="E70" s="489" t="n"/>
      <c r="F70" s="498">
        <f>IF(OR(A70="",E70=""),"",IF(C70="","",C70+E70))</f>
        <v/>
      </c>
      <c r="G70" s="384" t="inlineStr">
        <is>
          <t>Agent 09</t>
        </is>
      </c>
      <c r="H70" s="491" t="n"/>
      <c r="I70" s="499">
        <f>IF(A70="","Pending",IF(H70="","⚠️ Enter Code",IF(IFERROR(VLOOKUP(G70,DB_Agents!$B:$I,8,0),"")=H70,IF(AND(A70&lt;&gt;"",E70&lt;&gt;""),"Saved","Pending"),"🔒 BLOCKED — Wrong Code")))</f>
        <v/>
      </c>
      <c r="J70" s="500">
        <f>IF(I70="Saved",TEXT(TODAY(),"YYYY-MM-DD")&amp;" Auto","—")</f>
        <v/>
      </c>
      <c r="K70" s="501" t="n"/>
    </row>
    <row r="71" ht="15" customHeight="1" s="341">
      <c r="A71" s="486" t="n"/>
      <c r="B71" s="378">
        <f>IF(A71="","",IFERROR(VLOOKUP(A71,DB_Customers!$A:$D,4,0),"❌ Account Not Found"))</f>
        <v/>
      </c>
      <c r="C71" s="487">
        <f>IF(A71="","",IFERROR(VLOOKUP(A71,DB_Customers!$A:$N,14,0),""))</f>
        <v/>
      </c>
      <c r="D71" s="488">
        <f>IF(A71="","",TODAY())</f>
        <v/>
      </c>
      <c r="E71" s="489" t="n"/>
      <c r="F71" s="490">
        <f>IF(OR(A71="",E71=""),"",IF(C71="","",C71+E71))</f>
        <v/>
      </c>
      <c r="G71" s="380" t="inlineStr">
        <is>
          <t>Agent 09</t>
        </is>
      </c>
      <c r="H71" s="491" t="n"/>
      <c r="I71" s="492">
        <f>IF(A71="","Pending",IF(H71="","⚠️ Enter Code",IF(IFERROR(VLOOKUP(G71,DB_Agents!$B:$I,8,0),"")=H71,IF(AND(A71&lt;&gt;"",E71&lt;&gt;""),"Saved","Pending"),"🔒 BLOCKED — Wrong Code")))</f>
        <v/>
      </c>
      <c r="J71" s="493">
        <f>IF(I71="Saved",TEXT(TODAY(),"YYYY-MM-DD")&amp;" Auto","—")</f>
        <v/>
      </c>
      <c r="K71" s="494" t="n"/>
    </row>
    <row r="72" ht="15" customHeight="1" s="341">
      <c r="A72" s="495" t="n"/>
      <c r="B72" s="382">
        <f>IF(A72="","",IFERROR(VLOOKUP(A72,DB_Customers!$A:$D,4,0),"❌ Account Not Found"))</f>
        <v/>
      </c>
      <c r="C72" s="496">
        <f>IF(A72="","",IFERROR(VLOOKUP(A72,DB_Customers!$A:$N,14,0),""))</f>
        <v/>
      </c>
      <c r="D72" s="497">
        <f>IF(A72="","",TODAY())</f>
        <v/>
      </c>
      <c r="E72" s="489" t="n"/>
      <c r="F72" s="498">
        <f>IF(OR(A72="",E72=""),"",IF(C72="","",C72+E72))</f>
        <v/>
      </c>
      <c r="G72" s="384" t="inlineStr">
        <is>
          <t>Agent 09</t>
        </is>
      </c>
      <c r="H72" s="491" t="n"/>
      <c r="I72" s="499">
        <f>IF(A72="","Pending",IF(H72="","⚠️ Enter Code",IF(IFERROR(VLOOKUP(G72,DB_Agents!$B:$I,8,0),"")=H72,IF(AND(A72&lt;&gt;"",E72&lt;&gt;""),"Saved","Pending"),"🔒 BLOCKED — Wrong Code")))</f>
        <v/>
      </c>
      <c r="J72" s="500">
        <f>IF(I72="Saved",TEXT(TODAY(),"YYYY-MM-DD")&amp;" Auto","—")</f>
        <v/>
      </c>
      <c r="K72" s="501" t="n"/>
    </row>
    <row r="73" ht="15" customHeight="1" s="341">
      <c r="A73" s="486" t="n"/>
      <c r="B73" s="378">
        <f>IF(A73="","",IFERROR(VLOOKUP(A73,DB_Customers!$A:$D,4,0),"❌ Account Not Found"))</f>
        <v/>
      </c>
      <c r="C73" s="487">
        <f>IF(A73="","",IFERROR(VLOOKUP(A73,DB_Customers!$A:$N,14,0),""))</f>
        <v/>
      </c>
      <c r="D73" s="488">
        <f>IF(A73="","",TODAY())</f>
        <v/>
      </c>
      <c r="E73" s="489" t="n"/>
      <c r="F73" s="490">
        <f>IF(OR(A73="",E73=""),"",IF(C73="","",C73+E73))</f>
        <v/>
      </c>
      <c r="G73" s="380" t="inlineStr">
        <is>
          <t>Agent 09</t>
        </is>
      </c>
      <c r="H73" s="491" t="n"/>
      <c r="I73" s="492">
        <f>IF(A73="","Pending",IF(H73="","⚠️ Enter Code",IF(IFERROR(VLOOKUP(G73,DB_Agents!$B:$I,8,0),"")=H73,IF(AND(A73&lt;&gt;"",E73&lt;&gt;""),"Saved","Pending"),"🔒 BLOCKED — Wrong Code")))</f>
        <v/>
      </c>
      <c r="J73" s="493">
        <f>IF(I73="Saved",TEXT(TODAY(),"YYYY-MM-DD")&amp;" Auto","—")</f>
        <v/>
      </c>
      <c r="K73" s="494" t="n"/>
    </row>
    <row r="74" ht="15" customHeight="1" s="341">
      <c r="A74" s="495" t="n"/>
      <c r="B74" s="382">
        <f>IF(A74="","",IFERROR(VLOOKUP(A74,DB_Customers!$A:$D,4,0),"❌ Account Not Found"))</f>
        <v/>
      </c>
      <c r="C74" s="496">
        <f>IF(A74="","",IFERROR(VLOOKUP(A74,DB_Customers!$A:$N,14,0),""))</f>
        <v/>
      </c>
      <c r="D74" s="497">
        <f>IF(A74="","",TODAY())</f>
        <v/>
      </c>
      <c r="E74" s="489" t="n"/>
      <c r="F74" s="498">
        <f>IF(OR(A74="",E74=""),"",IF(C74="","",C74+E74))</f>
        <v/>
      </c>
      <c r="G74" s="384" t="inlineStr">
        <is>
          <t>Agent 09</t>
        </is>
      </c>
      <c r="H74" s="491" t="n"/>
      <c r="I74" s="499">
        <f>IF(A74="","Pending",IF(H74="","⚠️ Enter Code",IF(IFERROR(VLOOKUP(G74,DB_Agents!$B:$I,8,0),"")=H74,IF(AND(A74&lt;&gt;"",E74&lt;&gt;""),"Saved","Pending"),"🔒 BLOCKED — Wrong Code")))</f>
        <v/>
      </c>
      <c r="J74" s="500">
        <f>IF(I74="Saved",TEXT(TODAY(),"YYYY-MM-DD")&amp;" Auto","—")</f>
        <v/>
      </c>
      <c r="K74" s="501" t="n"/>
    </row>
    <row r="75" ht="15" customHeight="1" s="341">
      <c r="A75" s="486" t="n"/>
      <c r="B75" s="378">
        <f>IF(A75="","",IFERROR(VLOOKUP(A75,DB_Customers!$A:$D,4,0),"❌ Account Not Found"))</f>
        <v/>
      </c>
      <c r="C75" s="487">
        <f>IF(A75="","",IFERROR(VLOOKUP(A75,DB_Customers!$A:$N,14,0),""))</f>
        <v/>
      </c>
      <c r="D75" s="488">
        <f>IF(A75="","",TODAY())</f>
        <v/>
      </c>
      <c r="E75" s="489" t="n"/>
      <c r="F75" s="490">
        <f>IF(OR(A75="",E75=""),"",IF(C75="","",C75+E75))</f>
        <v/>
      </c>
      <c r="G75" s="380" t="inlineStr">
        <is>
          <t>Agent 09</t>
        </is>
      </c>
      <c r="H75" s="491" t="n"/>
      <c r="I75" s="492">
        <f>IF(A75="","Pending",IF(H75="","⚠️ Enter Code",IF(IFERROR(VLOOKUP(G75,DB_Agents!$B:$I,8,0),"")=H75,IF(AND(A75&lt;&gt;"",E75&lt;&gt;""),"Saved","Pending"),"🔒 BLOCKED — Wrong Code")))</f>
        <v/>
      </c>
      <c r="J75" s="493">
        <f>IF(I75="Saved",TEXT(TODAY(),"YYYY-MM-DD")&amp;" Auto","—")</f>
        <v/>
      </c>
      <c r="K75" s="494" t="n"/>
    </row>
    <row r="76" ht="15" customHeight="1" s="341">
      <c r="A76" s="495" t="n"/>
      <c r="B76" s="382">
        <f>IF(A76="","",IFERROR(VLOOKUP(A76,DB_Customers!$A:$D,4,0),"❌ Account Not Found"))</f>
        <v/>
      </c>
      <c r="C76" s="496">
        <f>IF(A76="","",IFERROR(VLOOKUP(A76,DB_Customers!$A:$N,14,0),""))</f>
        <v/>
      </c>
      <c r="D76" s="497">
        <f>IF(A76="","",TODAY())</f>
        <v/>
      </c>
      <c r="E76" s="489" t="n"/>
      <c r="F76" s="498">
        <f>IF(OR(A76="",E76=""),"",IF(C76="","",C76+E76))</f>
        <v/>
      </c>
      <c r="G76" s="384" t="inlineStr">
        <is>
          <t>Agent 09</t>
        </is>
      </c>
      <c r="H76" s="491" t="n"/>
      <c r="I76" s="499">
        <f>IF(A76="","Pending",IF(H76="","⚠️ Enter Code",IF(IFERROR(VLOOKUP(G76,DB_Agents!$B:$I,8,0),"")=H76,IF(AND(A76&lt;&gt;"",E76&lt;&gt;""),"Saved","Pending"),"🔒 BLOCKED — Wrong Code")))</f>
        <v/>
      </c>
      <c r="J76" s="500">
        <f>IF(I76="Saved",TEXT(TODAY(),"YYYY-MM-DD")&amp;" Auto","—")</f>
        <v/>
      </c>
      <c r="K76" s="501" t="n"/>
    </row>
    <row r="77" ht="15" customHeight="1" s="341">
      <c r="A77" s="486" t="n"/>
      <c r="B77" s="378">
        <f>IF(A77="","",IFERROR(VLOOKUP(A77,DB_Customers!$A:$D,4,0),"❌ Account Not Found"))</f>
        <v/>
      </c>
      <c r="C77" s="487">
        <f>IF(A77="","",IFERROR(VLOOKUP(A77,DB_Customers!$A:$N,14,0),""))</f>
        <v/>
      </c>
      <c r="D77" s="488">
        <f>IF(A77="","",TODAY())</f>
        <v/>
      </c>
      <c r="E77" s="489" t="n"/>
      <c r="F77" s="490">
        <f>IF(OR(A77="",E77=""),"",IF(C77="","",C77+E77))</f>
        <v/>
      </c>
      <c r="G77" s="380" t="inlineStr">
        <is>
          <t>Agent 09</t>
        </is>
      </c>
      <c r="H77" s="491" t="n"/>
      <c r="I77" s="492">
        <f>IF(A77="","Pending",IF(H77="","⚠️ Enter Code",IF(IFERROR(VLOOKUP(G77,DB_Agents!$B:$I,8,0),"")=H77,IF(AND(A77&lt;&gt;"",E77&lt;&gt;""),"Saved","Pending"),"🔒 BLOCKED — Wrong Code")))</f>
        <v/>
      </c>
      <c r="J77" s="493">
        <f>IF(I77="Saved",TEXT(TODAY(),"YYYY-MM-DD")&amp;" Auto","—")</f>
        <v/>
      </c>
      <c r="K77" s="494" t="n"/>
    </row>
    <row r="78" ht="15" customHeight="1" s="341">
      <c r="A78" s="495" t="n"/>
      <c r="B78" s="382">
        <f>IF(A78="","",IFERROR(VLOOKUP(A78,DB_Customers!$A:$D,4,0),"❌ Account Not Found"))</f>
        <v/>
      </c>
      <c r="C78" s="496">
        <f>IF(A78="","",IFERROR(VLOOKUP(A78,DB_Customers!$A:$N,14,0),""))</f>
        <v/>
      </c>
      <c r="D78" s="497">
        <f>IF(A78="","",TODAY())</f>
        <v/>
      </c>
      <c r="E78" s="489" t="n"/>
      <c r="F78" s="498">
        <f>IF(OR(A78="",E78=""),"",IF(C78="","",C78+E78))</f>
        <v/>
      </c>
      <c r="G78" s="384" t="inlineStr">
        <is>
          <t>Agent 09</t>
        </is>
      </c>
      <c r="H78" s="491" t="n"/>
      <c r="I78" s="499">
        <f>IF(A78="","Pending",IF(H78="","⚠️ Enter Code",IF(IFERROR(VLOOKUP(G78,DB_Agents!$B:$I,8,0),"")=H78,IF(AND(A78&lt;&gt;"",E78&lt;&gt;""),"Saved","Pending"),"🔒 BLOCKED — Wrong Code")))</f>
        <v/>
      </c>
      <c r="J78" s="500">
        <f>IF(I78="Saved",TEXT(TODAY(),"YYYY-MM-DD")&amp;" Auto","—")</f>
        <v/>
      </c>
      <c r="K78" s="501" t="n"/>
    </row>
    <row r="79" ht="15" customHeight="1" s="341">
      <c r="A79" s="486" t="n"/>
      <c r="B79" s="378">
        <f>IF(A79="","",IFERROR(VLOOKUP(A79,DB_Customers!$A:$D,4,0),"❌ Account Not Found"))</f>
        <v/>
      </c>
      <c r="C79" s="487">
        <f>IF(A79="","",IFERROR(VLOOKUP(A79,DB_Customers!$A:$N,14,0),""))</f>
        <v/>
      </c>
      <c r="D79" s="488">
        <f>IF(A79="","",TODAY())</f>
        <v/>
      </c>
      <c r="E79" s="489" t="n"/>
      <c r="F79" s="490">
        <f>IF(OR(A79="",E79=""),"",IF(C79="","",C79+E79))</f>
        <v/>
      </c>
      <c r="G79" s="380" t="inlineStr">
        <is>
          <t>Agent 09</t>
        </is>
      </c>
      <c r="H79" s="491" t="n"/>
      <c r="I79" s="492">
        <f>IF(A79="","Pending",IF(H79="","⚠️ Enter Code",IF(IFERROR(VLOOKUP(G79,DB_Agents!$B:$I,8,0),"")=H79,IF(AND(A79&lt;&gt;"",E79&lt;&gt;""),"Saved","Pending"),"🔒 BLOCKED — Wrong Code")))</f>
        <v/>
      </c>
      <c r="J79" s="493">
        <f>IF(I79="Saved",TEXT(TODAY(),"YYYY-MM-DD")&amp;" Auto","—")</f>
        <v/>
      </c>
      <c r="K79" s="494" t="n"/>
    </row>
    <row r="80" ht="15" customHeight="1" s="341">
      <c r="A80" s="495" t="n"/>
      <c r="B80" s="382">
        <f>IF(A80="","",IFERROR(VLOOKUP(A80,DB_Customers!$A:$D,4,0),"❌ Account Not Found"))</f>
        <v/>
      </c>
      <c r="C80" s="496">
        <f>IF(A80="","",IFERROR(VLOOKUP(A80,DB_Customers!$A:$N,14,0),""))</f>
        <v/>
      </c>
      <c r="D80" s="497">
        <f>IF(A80="","",TODAY())</f>
        <v/>
      </c>
      <c r="E80" s="489" t="n"/>
      <c r="F80" s="498">
        <f>IF(OR(A80="",E80=""),"",IF(C80="","",C80+E80))</f>
        <v/>
      </c>
      <c r="G80" s="384" t="inlineStr">
        <is>
          <t>Agent 09</t>
        </is>
      </c>
      <c r="H80" s="491" t="n"/>
      <c r="I80" s="499">
        <f>IF(A80="","Pending",IF(H80="","⚠️ Enter Code",IF(IFERROR(VLOOKUP(G80,DB_Agents!$B:$I,8,0),"")=H80,IF(AND(A80&lt;&gt;"",E80&lt;&gt;""),"Saved","Pending"),"🔒 BLOCKED — Wrong Code")))</f>
        <v/>
      </c>
      <c r="J80" s="500">
        <f>IF(I80="Saved",TEXT(TODAY(),"YYYY-MM-DD")&amp;" Auto","—")</f>
        <v/>
      </c>
      <c r="K80" s="501" t="n"/>
    </row>
    <row r="81" ht="15" customHeight="1" s="341">
      <c r="A81" s="486" t="n"/>
      <c r="B81" s="378">
        <f>IF(A81="","",IFERROR(VLOOKUP(A81,DB_Customers!$A:$D,4,0),"❌ Account Not Found"))</f>
        <v/>
      </c>
      <c r="C81" s="487">
        <f>IF(A81="","",IFERROR(VLOOKUP(A81,DB_Customers!$A:$N,14,0),""))</f>
        <v/>
      </c>
      <c r="D81" s="488">
        <f>IF(A81="","",TODAY())</f>
        <v/>
      </c>
      <c r="E81" s="489" t="n"/>
      <c r="F81" s="490">
        <f>IF(OR(A81="",E81=""),"",IF(C81="","",C81+E81))</f>
        <v/>
      </c>
      <c r="G81" s="380" t="inlineStr">
        <is>
          <t>Agent 09</t>
        </is>
      </c>
      <c r="H81" s="491" t="n"/>
      <c r="I81" s="492">
        <f>IF(A81="","Pending",IF(H81="","⚠️ Enter Code",IF(IFERROR(VLOOKUP(G81,DB_Agents!$B:$I,8,0),"")=H81,IF(AND(A81&lt;&gt;"",E81&lt;&gt;""),"Saved","Pending"),"🔒 BLOCKED — Wrong Code")))</f>
        <v/>
      </c>
      <c r="J81" s="493">
        <f>IF(I81="Saved",TEXT(TODAY(),"YYYY-MM-DD")&amp;" Auto","—")</f>
        <v/>
      </c>
      <c r="K81" s="494" t="n"/>
    </row>
    <row r="82" ht="15" customHeight="1" s="341">
      <c r="A82" s="495" t="n"/>
      <c r="B82" s="382">
        <f>IF(A82="","",IFERROR(VLOOKUP(A82,DB_Customers!$A:$D,4,0),"❌ Account Not Found"))</f>
        <v/>
      </c>
      <c r="C82" s="496">
        <f>IF(A82="","",IFERROR(VLOOKUP(A82,DB_Customers!$A:$N,14,0),""))</f>
        <v/>
      </c>
      <c r="D82" s="497">
        <f>IF(A82="","",TODAY())</f>
        <v/>
      </c>
      <c r="E82" s="489" t="n"/>
      <c r="F82" s="498">
        <f>IF(OR(A82="",E82=""),"",IF(C82="","",C82+E82))</f>
        <v/>
      </c>
      <c r="G82" s="384" t="inlineStr">
        <is>
          <t>Agent 09</t>
        </is>
      </c>
      <c r="H82" s="491" t="n"/>
      <c r="I82" s="499">
        <f>IF(A82="","Pending",IF(H82="","⚠️ Enter Code",IF(IFERROR(VLOOKUP(G82,DB_Agents!$B:$I,8,0),"")=H82,IF(AND(A82&lt;&gt;"",E82&lt;&gt;""),"Saved","Pending"),"🔒 BLOCKED — Wrong Code")))</f>
        <v/>
      </c>
      <c r="J82" s="500">
        <f>IF(I82="Saved",TEXT(TODAY(),"YYYY-MM-DD")&amp;" Auto","—")</f>
        <v/>
      </c>
      <c r="K82" s="501" t="n"/>
    </row>
    <row r="83" ht="15" customHeight="1" s="341">
      <c r="A83" s="486" t="n"/>
      <c r="B83" s="378">
        <f>IF(A83="","",IFERROR(VLOOKUP(A83,DB_Customers!$A:$D,4,0),"❌ Account Not Found"))</f>
        <v/>
      </c>
      <c r="C83" s="487">
        <f>IF(A83="","",IFERROR(VLOOKUP(A83,DB_Customers!$A:$N,14,0),""))</f>
        <v/>
      </c>
      <c r="D83" s="488">
        <f>IF(A83="","",TODAY())</f>
        <v/>
      </c>
      <c r="E83" s="489" t="n"/>
      <c r="F83" s="490">
        <f>IF(OR(A83="",E83=""),"",IF(C83="","",C83+E83))</f>
        <v/>
      </c>
      <c r="G83" s="380" t="inlineStr">
        <is>
          <t>Agent 09</t>
        </is>
      </c>
      <c r="H83" s="491" t="n"/>
      <c r="I83" s="492">
        <f>IF(A83="","Pending",IF(H83="","⚠️ Enter Code",IF(IFERROR(VLOOKUP(G83,DB_Agents!$B:$I,8,0),"")=H83,IF(AND(A83&lt;&gt;"",E83&lt;&gt;""),"Saved","Pending"),"🔒 BLOCKED — Wrong Code")))</f>
        <v/>
      </c>
      <c r="J83" s="493">
        <f>IF(I83="Saved",TEXT(TODAY(),"YYYY-MM-DD")&amp;" Auto","—")</f>
        <v/>
      </c>
      <c r="K83" s="494" t="n"/>
    </row>
    <row r="84" ht="15" customHeight="1" s="341">
      <c r="A84" s="495" t="n"/>
      <c r="B84" s="382">
        <f>IF(A84="","",IFERROR(VLOOKUP(A84,DB_Customers!$A:$D,4,0),"❌ Account Not Found"))</f>
        <v/>
      </c>
      <c r="C84" s="496">
        <f>IF(A84="","",IFERROR(VLOOKUP(A84,DB_Customers!$A:$N,14,0),""))</f>
        <v/>
      </c>
      <c r="D84" s="497">
        <f>IF(A84="","",TODAY())</f>
        <v/>
      </c>
      <c r="E84" s="489" t="n"/>
      <c r="F84" s="498">
        <f>IF(OR(A84="",E84=""),"",IF(C84="","",C84+E84))</f>
        <v/>
      </c>
      <c r="G84" s="384" t="inlineStr">
        <is>
          <t>Agent 09</t>
        </is>
      </c>
      <c r="H84" s="491" t="n"/>
      <c r="I84" s="499">
        <f>IF(A84="","Pending",IF(H84="","⚠️ Enter Code",IF(IFERROR(VLOOKUP(G84,DB_Agents!$B:$I,8,0),"")=H84,IF(AND(A84&lt;&gt;"",E84&lt;&gt;""),"Saved","Pending"),"🔒 BLOCKED — Wrong Code")))</f>
        <v/>
      </c>
      <c r="J84" s="500">
        <f>IF(I84="Saved",TEXT(TODAY(),"YYYY-MM-DD")&amp;" Auto","—")</f>
        <v/>
      </c>
      <c r="K84" s="501" t="n"/>
    </row>
    <row r="85" ht="15" customHeight="1" s="341">
      <c r="A85" s="486" t="n"/>
      <c r="B85" s="378">
        <f>IF(A85="","",IFERROR(VLOOKUP(A85,DB_Customers!$A:$D,4,0),"❌ Account Not Found"))</f>
        <v/>
      </c>
      <c r="C85" s="487">
        <f>IF(A85="","",IFERROR(VLOOKUP(A85,DB_Customers!$A:$N,14,0),""))</f>
        <v/>
      </c>
      <c r="D85" s="488">
        <f>IF(A85="","",TODAY())</f>
        <v/>
      </c>
      <c r="E85" s="489" t="n"/>
      <c r="F85" s="490">
        <f>IF(OR(A85="",E85=""),"",IF(C85="","",C85+E85))</f>
        <v/>
      </c>
      <c r="G85" s="380" t="inlineStr">
        <is>
          <t>Agent 09</t>
        </is>
      </c>
      <c r="H85" s="491" t="n"/>
      <c r="I85" s="492">
        <f>IF(A85="","Pending",IF(H85="","⚠️ Enter Code",IF(IFERROR(VLOOKUP(G85,DB_Agents!$B:$I,8,0),"")=H85,IF(AND(A85&lt;&gt;"",E85&lt;&gt;""),"Saved","Pending"),"🔒 BLOCKED — Wrong Code")))</f>
        <v/>
      </c>
      <c r="J85" s="493">
        <f>IF(I85="Saved",TEXT(TODAY(),"YYYY-MM-DD")&amp;" Auto","—")</f>
        <v/>
      </c>
      <c r="K85" s="494" t="n"/>
    </row>
    <row r="86" ht="15" customHeight="1" s="341">
      <c r="A86" s="495" t="n"/>
      <c r="B86" s="382">
        <f>IF(A86="","",IFERROR(VLOOKUP(A86,DB_Customers!$A:$D,4,0),"❌ Account Not Found"))</f>
        <v/>
      </c>
      <c r="C86" s="496">
        <f>IF(A86="","",IFERROR(VLOOKUP(A86,DB_Customers!$A:$N,14,0),""))</f>
        <v/>
      </c>
      <c r="D86" s="497">
        <f>IF(A86="","",TODAY())</f>
        <v/>
      </c>
      <c r="E86" s="489" t="n"/>
      <c r="F86" s="498">
        <f>IF(OR(A86="",E86=""),"",IF(C86="","",C86+E86))</f>
        <v/>
      </c>
      <c r="G86" s="384" t="inlineStr">
        <is>
          <t>Agent 09</t>
        </is>
      </c>
      <c r="H86" s="491" t="n"/>
      <c r="I86" s="499">
        <f>IF(A86="","Pending",IF(H86="","⚠️ Enter Code",IF(IFERROR(VLOOKUP(G86,DB_Agents!$B:$I,8,0),"")=H86,IF(AND(A86&lt;&gt;"",E86&lt;&gt;""),"Saved","Pending"),"🔒 BLOCKED — Wrong Code")))</f>
        <v/>
      </c>
      <c r="J86" s="500">
        <f>IF(I86="Saved",TEXT(TODAY(),"YYYY-MM-DD")&amp;" Auto","—")</f>
        <v/>
      </c>
      <c r="K86" s="501" t="n"/>
    </row>
    <row r="87" ht="15" customHeight="1" s="341">
      <c r="A87" s="486" t="n"/>
      <c r="B87" s="378">
        <f>IF(A87="","",IFERROR(VLOOKUP(A87,DB_Customers!$A:$D,4,0),"❌ Account Not Found"))</f>
        <v/>
      </c>
      <c r="C87" s="487">
        <f>IF(A87="","",IFERROR(VLOOKUP(A87,DB_Customers!$A:$N,14,0),""))</f>
        <v/>
      </c>
      <c r="D87" s="488">
        <f>IF(A87="","",TODAY())</f>
        <v/>
      </c>
      <c r="E87" s="489" t="n"/>
      <c r="F87" s="490">
        <f>IF(OR(A87="",E87=""),"",IF(C87="","",C87+E87))</f>
        <v/>
      </c>
      <c r="G87" s="380" t="inlineStr">
        <is>
          <t>Agent 09</t>
        </is>
      </c>
      <c r="H87" s="491" t="n"/>
      <c r="I87" s="492">
        <f>IF(A87="","Pending",IF(H87="","⚠️ Enter Code",IF(IFERROR(VLOOKUP(G87,DB_Agents!$B:$I,8,0),"")=H87,IF(AND(A87&lt;&gt;"",E87&lt;&gt;""),"Saved","Pending"),"🔒 BLOCKED — Wrong Code")))</f>
        <v/>
      </c>
      <c r="J87" s="493">
        <f>IF(I87="Saved",TEXT(TODAY(),"YYYY-MM-DD")&amp;" Auto","—")</f>
        <v/>
      </c>
      <c r="K87" s="494" t="n"/>
    </row>
    <row r="88" ht="15" customHeight="1" s="341">
      <c r="A88" s="495" t="n"/>
      <c r="B88" s="382">
        <f>IF(A88="","",IFERROR(VLOOKUP(A88,DB_Customers!$A:$D,4,0),"❌ Account Not Found"))</f>
        <v/>
      </c>
      <c r="C88" s="496">
        <f>IF(A88="","",IFERROR(VLOOKUP(A88,DB_Customers!$A:$N,14,0),""))</f>
        <v/>
      </c>
      <c r="D88" s="497">
        <f>IF(A88="","",TODAY())</f>
        <v/>
      </c>
      <c r="E88" s="489" t="n"/>
      <c r="F88" s="498">
        <f>IF(OR(A88="",E88=""),"",IF(C88="","",C88+E88))</f>
        <v/>
      </c>
      <c r="G88" s="384" t="inlineStr">
        <is>
          <t>Agent 09</t>
        </is>
      </c>
      <c r="H88" s="491" t="n"/>
      <c r="I88" s="499">
        <f>IF(A88="","Pending",IF(H88="","⚠️ Enter Code",IF(IFERROR(VLOOKUP(G88,DB_Agents!$B:$I,8,0),"")=H88,IF(AND(A88&lt;&gt;"",E88&lt;&gt;""),"Saved","Pending"),"🔒 BLOCKED — Wrong Code")))</f>
        <v/>
      </c>
      <c r="J88" s="500">
        <f>IF(I88="Saved",TEXT(TODAY(),"YYYY-MM-DD")&amp;" Auto","—")</f>
        <v/>
      </c>
      <c r="K88" s="501" t="n"/>
    </row>
    <row r="89" ht="15" customHeight="1" s="341">
      <c r="A89" s="486" t="n"/>
      <c r="B89" s="378">
        <f>IF(A89="","",IFERROR(VLOOKUP(A89,DB_Customers!$A:$D,4,0),"❌ Account Not Found"))</f>
        <v/>
      </c>
      <c r="C89" s="487">
        <f>IF(A89="","",IFERROR(VLOOKUP(A89,DB_Customers!$A:$N,14,0),""))</f>
        <v/>
      </c>
      <c r="D89" s="488">
        <f>IF(A89="","",TODAY())</f>
        <v/>
      </c>
      <c r="E89" s="489" t="n"/>
      <c r="F89" s="490">
        <f>IF(OR(A89="",E89=""),"",IF(C89="","",C89+E89))</f>
        <v/>
      </c>
      <c r="G89" s="380" t="inlineStr">
        <is>
          <t>Agent 09</t>
        </is>
      </c>
      <c r="H89" s="491" t="n"/>
      <c r="I89" s="492">
        <f>IF(A89="","Pending",IF(H89="","⚠️ Enter Code",IF(IFERROR(VLOOKUP(G89,DB_Agents!$B:$I,8,0),"")=H89,IF(AND(A89&lt;&gt;"",E89&lt;&gt;""),"Saved","Pending"),"🔒 BLOCKED — Wrong Code")))</f>
        <v/>
      </c>
      <c r="J89" s="493">
        <f>IF(I89="Saved",TEXT(TODAY(),"YYYY-MM-DD")&amp;" Auto","—")</f>
        <v/>
      </c>
      <c r="K89" s="494" t="n"/>
    </row>
    <row r="90" ht="15" customHeight="1" s="341">
      <c r="A90" s="495" t="n"/>
      <c r="B90" s="382">
        <f>IF(A90="","",IFERROR(VLOOKUP(A90,DB_Customers!$A:$D,4,0),"❌ Account Not Found"))</f>
        <v/>
      </c>
      <c r="C90" s="496">
        <f>IF(A90="","",IFERROR(VLOOKUP(A90,DB_Customers!$A:$N,14,0),""))</f>
        <v/>
      </c>
      <c r="D90" s="497">
        <f>IF(A90="","",TODAY())</f>
        <v/>
      </c>
      <c r="E90" s="489" t="n"/>
      <c r="F90" s="498">
        <f>IF(OR(A90="",E90=""),"",IF(C90="","",C90+E90))</f>
        <v/>
      </c>
      <c r="G90" s="384" t="inlineStr">
        <is>
          <t>Agent 09</t>
        </is>
      </c>
      <c r="H90" s="491" t="n"/>
      <c r="I90" s="499">
        <f>IF(A90="","Pending",IF(H90="","⚠️ Enter Code",IF(IFERROR(VLOOKUP(G90,DB_Agents!$B:$I,8,0),"")=H90,IF(AND(A90&lt;&gt;"",E90&lt;&gt;""),"Saved","Pending"),"🔒 BLOCKED — Wrong Code")))</f>
        <v/>
      </c>
      <c r="J90" s="500">
        <f>IF(I90="Saved",TEXT(TODAY(),"YYYY-MM-DD")&amp;" Auto","—")</f>
        <v/>
      </c>
      <c r="K90" s="501" t="n"/>
    </row>
    <row r="91" ht="15" customHeight="1" s="341">
      <c r="A91" s="486" t="n"/>
      <c r="B91" s="378">
        <f>IF(A91="","",IFERROR(VLOOKUP(A91,DB_Customers!$A:$D,4,0),"❌ Account Not Found"))</f>
        <v/>
      </c>
      <c r="C91" s="487">
        <f>IF(A91="","",IFERROR(VLOOKUP(A91,DB_Customers!$A:$N,14,0),""))</f>
        <v/>
      </c>
      <c r="D91" s="488">
        <f>IF(A91="","",TODAY())</f>
        <v/>
      </c>
      <c r="E91" s="489" t="n"/>
      <c r="F91" s="490">
        <f>IF(OR(A91="",E91=""),"",IF(C91="","",C91+E91))</f>
        <v/>
      </c>
      <c r="G91" s="380" t="inlineStr">
        <is>
          <t>Agent 09</t>
        </is>
      </c>
      <c r="H91" s="491" t="n"/>
      <c r="I91" s="492">
        <f>IF(A91="","Pending",IF(H91="","⚠️ Enter Code",IF(IFERROR(VLOOKUP(G91,DB_Agents!$B:$I,8,0),"")=H91,IF(AND(A91&lt;&gt;"",E91&lt;&gt;""),"Saved","Pending"),"🔒 BLOCKED — Wrong Code")))</f>
        <v/>
      </c>
      <c r="J91" s="493">
        <f>IF(I91="Saved",TEXT(TODAY(),"YYYY-MM-DD")&amp;" Auto","—")</f>
        <v/>
      </c>
      <c r="K91" s="494" t="n"/>
    </row>
    <row r="92" ht="15" customHeight="1" s="341">
      <c r="A92" s="495" t="n"/>
      <c r="B92" s="382">
        <f>IF(A92="","",IFERROR(VLOOKUP(A92,DB_Customers!$A:$D,4,0),"❌ Account Not Found"))</f>
        <v/>
      </c>
      <c r="C92" s="496">
        <f>IF(A92="","",IFERROR(VLOOKUP(A92,DB_Customers!$A:$N,14,0),""))</f>
        <v/>
      </c>
      <c r="D92" s="497">
        <f>IF(A92="","",TODAY())</f>
        <v/>
      </c>
      <c r="E92" s="489" t="n"/>
      <c r="F92" s="498">
        <f>IF(OR(A92="",E92=""),"",IF(C92="","",C92+E92))</f>
        <v/>
      </c>
      <c r="G92" s="384" t="inlineStr">
        <is>
          <t>Agent 09</t>
        </is>
      </c>
      <c r="H92" s="491" t="n"/>
      <c r="I92" s="499">
        <f>IF(A92="","Pending",IF(H92="","⚠️ Enter Code",IF(IFERROR(VLOOKUP(G92,DB_Agents!$B:$I,8,0),"")=H92,IF(AND(A92&lt;&gt;"",E92&lt;&gt;""),"Saved","Pending"),"🔒 BLOCKED — Wrong Code")))</f>
        <v/>
      </c>
      <c r="J92" s="500">
        <f>IF(I92="Saved",TEXT(TODAY(),"YYYY-MM-DD")&amp;" Auto","—")</f>
        <v/>
      </c>
      <c r="K92" s="501" t="n"/>
    </row>
    <row r="93" ht="15" customHeight="1" s="341">
      <c r="A93" s="486" t="n"/>
      <c r="B93" s="378">
        <f>IF(A93="","",IFERROR(VLOOKUP(A93,DB_Customers!$A:$D,4,0),"❌ Account Not Found"))</f>
        <v/>
      </c>
      <c r="C93" s="487">
        <f>IF(A93="","",IFERROR(VLOOKUP(A93,DB_Customers!$A:$N,14,0),""))</f>
        <v/>
      </c>
      <c r="D93" s="488">
        <f>IF(A93="","",TODAY())</f>
        <v/>
      </c>
      <c r="E93" s="489" t="n"/>
      <c r="F93" s="490">
        <f>IF(OR(A93="",E93=""),"",IF(C93="","",C93+E93))</f>
        <v/>
      </c>
      <c r="G93" s="380" t="inlineStr">
        <is>
          <t>Agent 09</t>
        </is>
      </c>
      <c r="H93" s="491" t="n"/>
      <c r="I93" s="492">
        <f>IF(A93="","Pending",IF(H93="","⚠️ Enter Code",IF(IFERROR(VLOOKUP(G93,DB_Agents!$B:$I,8,0),"")=H93,IF(AND(A93&lt;&gt;"",E93&lt;&gt;""),"Saved","Pending"),"🔒 BLOCKED — Wrong Code")))</f>
        <v/>
      </c>
      <c r="J93" s="493">
        <f>IF(I93="Saved",TEXT(TODAY(),"YYYY-MM-DD")&amp;" Auto","—")</f>
        <v/>
      </c>
      <c r="K93" s="494" t="n"/>
    </row>
    <row r="94" ht="15" customHeight="1" s="341">
      <c r="A94" s="495" t="n"/>
      <c r="B94" s="382">
        <f>IF(A94="","",IFERROR(VLOOKUP(A94,DB_Customers!$A:$D,4,0),"❌ Account Not Found"))</f>
        <v/>
      </c>
      <c r="C94" s="496">
        <f>IF(A94="","",IFERROR(VLOOKUP(A94,DB_Customers!$A:$N,14,0),""))</f>
        <v/>
      </c>
      <c r="D94" s="497">
        <f>IF(A94="","",TODAY())</f>
        <v/>
      </c>
      <c r="E94" s="489" t="n"/>
      <c r="F94" s="498">
        <f>IF(OR(A94="",E94=""),"",IF(C94="","",C94+E94))</f>
        <v/>
      </c>
      <c r="G94" s="384" t="inlineStr">
        <is>
          <t>Agent 09</t>
        </is>
      </c>
      <c r="H94" s="491" t="n"/>
      <c r="I94" s="499">
        <f>IF(A94="","Pending",IF(H94="","⚠️ Enter Code",IF(IFERROR(VLOOKUP(G94,DB_Agents!$B:$I,8,0),"")=H94,IF(AND(A94&lt;&gt;"",E94&lt;&gt;""),"Saved","Pending"),"🔒 BLOCKED — Wrong Code")))</f>
        <v/>
      </c>
      <c r="J94" s="500">
        <f>IF(I94="Saved",TEXT(TODAY(),"YYYY-MM-DD")&amp;" Auto","—")</f>
        <v/>
      </c>
      <c r="K94" s="501" t="n"/>
    </row>
    <row r="95" ht="15" customHeight="1" s="341">
      <c r="A95" s="486" t="n"/>
      <c r="B95" s="378">
        <f>IF(A95="","",IFERROR(VLOOKUP(A95,DB_Customers!$A:$D,4,0),"❌ Account Not Found"))</f>
        <v/>
      </c>
      <c r="C95" s="487">
        <f>IF(A95="","",IFERROR(VLOOKUP(A95,DB_Customers!$A:$N,14,0),""))</f>
        <v/>
      </c>
      <c r="D95" s="488">
        <f>IF(A95="","",TODAY())</f>
        <v/>
      </c>
      <c r="E95" s="489" t="n"/>
      <c r="F95" s="490">
        <f>IF(OR(A95="",E95=""),"",IF(C95="","",C95+E95))</f>
        <v/>
      </c>
      <c r="G95" s="380" t="inlineStr">
        <is>
          <t>Agent 09</t>
        </is>
      </c>
      <c r="H95" s="491" t="n"/>
      <c r="I95" s="492">
        <f>IF(A95="","Pending",IF(H95="","⚠️ Enter Code",IF(IFERROR(VLOOKUP(G95,DB_Agents!$B:$I,8,0),"")=H95,IF(AND(A95&lt;&gt;"",E95&lt;&gt;""),"Saved","Pending"),"🔒 BLOCKED — Wrong Code")))</f>
        <v/>
      </c>
      <c r="J95" s="493">
        <f>IF(I95="Saved",TEXT(TODAY(),"YYYY-MM-DD")&amp;" Auto","—")</f>
        <v/>
      </c>
      <c r="K95" s="494" t="n"/>
    </row>
    <row r="96" ht="15" customHeight="1" s="341">
      <c r="A96" s="495" t="n"/>
      <c r="B96" s="382">
        <f>IF(A96="","",IFERROR(VLOOKUP(A96,DB_Customers!$A:$D,4,0),"❌ Account Not Found"))</f>
        <v/>
      </c>
      <c r="C96" s="496">
        <f>IF(A96="","",IFERROR(VLOOKUP(A96,DB_Customers!$A:$N,14,0),""))</f>
        <v/>
      </c>
      <c r="D96" s="497">
        <f>IF(A96="","",TODAY())</f>
        <v/>
      </c>
      <c r="E96" s="489" t="n"/>
      <c r="F96" s="498">
        <f>IF(OR(A96="",E96=""),"",IF(C96="","",C96+E96))</f>
        <v/>
      </c>
      <c r="G96" s="384" t="inlineStr">
        <is>
          <t>Agent 09</t>
        </is>
      </c>
      <c r="H96" s="491" t="n"/>
      <c r="I96" s="499">
        <f>IF(A96="","Pending",IF(H96="","⚠️ Enter Code",IF(IFERROR(VLOOKUP(G96,DB_Agents!$B:$I,8,0),"")=H96,IF(AND(A96&lt;&gt;"",E96&lt;&gt;""),"Saved","Pending"),"🔒 BLOCKED — Wrong Code")))</f>
        <v/>
      </c>
      <c r="J96" s="500">
        <f>IF(I96="Saved",TEXT(TODAY(),"YYYY-MM-DD")&amp;" Auto","—")</f>
        <v/>
      </c>
      <c r="K96" s="501" t="n"/>
    </row>
    <row r="97" ht="15" customHeight="1" s="341">
      <c r="A97" s="486" t="n"/>
      <c r="B97" s="378">
        <f>IF(A97="","",IFERROR(VLOOKUP(A97,DB_Customers!$A:$D,4,0),"❌ Account Not Found"))</f>
        <v/>
      </c>
      <c r="C97" s="487">
        <f>IF(A97="","",IFERROR(VLOOKUP(A97,DB_Customers!$A:$N,14,0),""))</f>
        <v/>
      </c>
      <c r="D97" s="488">
        <f>IF(A97="","",TODAY())</f>
        <v/>
      </c>
      <c r="E97" s="489" t="n"/>
      <c r="F97" s="490">
        <f>IF(OR(A97="",E97=""),"",IF(C97="","",C97+E97))</f>
        <v/>
      </c>
      <c r="G97" s="380" t="inlineStr">
        <is>
          <t>Agent 09</t>
        </is>
      </c>
      <c r="H97" s="491" t="n"/>
      <c r="I97" s="492">
        <f>IF(A97="","Pending",IF(H97="","⚠️ Enter Code",IF(IFERROR(VLOOKUP(G97,DB_Agents!$B:$I,8,0),"")=H97,IF(AND(A97&lt;&gt;"",E97&lt;&gt;""),"Saved","Pending"),"🔒 BLOCKED — Wrong Code")))</f>
        <v/>
      </c>
      <c r="J97" s="493">
        <f>IF(I97="Saved",TEXT(TODAY(),"YYYY-MM-DD")&amp;" Auto","—")</f>
        <v/>
      </c>
      <c r="K97" s="494" t="n"/>
    </row>
    <row r="98" ht="15" customHeight="1" s="341">
      <c r="A98" s="495" t="n"/>
      <c r="B98" s="382">
        <f>IF(A98="","",IFERROR(VLOOKUP(A98,DB_Customers!$A:$D,4,0),"❌ Account Not Found"))</f>
        <v/>
      </c>
      <c r="C98" s="496">
        <f>IF(A98="","",IFERROR(VLOOKUP(A98,DB_Customers!$A:$N,14,0),""))</f>
        <v/>
      </c>
      <c r="D98" s="497">
        <f>IF(A98="","",TODAY())</f>
        <v/>
      </c>
      <c r="E98" s="489" t="n"/>
      <c r="F98" s="498">
        <f>IF(OR(A98="",E98=""),"",IF(C98="","",C98+E98))</f>
        <v/>
      </c>
      <c r="G98" s="384" t="inlineStr">
        <is>
          <t>Agent 09</t>
        </is>
      </c>
      <c r="H98" s="491" t="n"/>
      <c r="I98" s="499">
        <f>IF(A98="","Pending",IF(H98="","⚠️ Enter Code",IF(IFERROR(VLOOKUP(G98,DB_Agents!$B:$I,8,0),"")=H98,IF(AND(A98&lt;&gt;"",E98&lt;&gt;""),"Saved","Pending"),"🔒 BLOCKED — Wrong Code")))</f>
        <v/>
      </c>
      <c r="J98" s="500">
        <f>IF(I98="Saved",TEXT(TODAY(),"YYYY-MM-DD")&amp;" Auto","—")</f>
        <v/>
      </c>
      <c r="K98" s="501" t="n"/>
    </row>
    <row r="99" ht="15" customHeight="1" s="341">
      <c r="A99" s="486" t="n"/>
      <c r="B99" s="378">
        <f>IF(A99="","",IFERROR(VLOOKUP(A99,DB_Customers!$A:$D,4,0),"❌ Account Not Found"))</f>
        <v/>
      </c>
      <c r="C99" s="487">
        <f>IF(A99="","",IFERROR(VLOOKUP(A99,DB_Customers!$A:$N,14,0),""))</f>
        <v/>
      </c>
      <c r="D99" s="488">
        <f>IF(A99="","",TODAY())</f>
        <v/>
      </c>
      <c r="E99" s="489" t="n"/>
      <c r="F99" s="490">
        <f>IF(OR(A99="",E99=""),"",IF(C99="","",C99+E99))</f>
        <v/>
      </c>
      <c r="G99" s="380" t="inlineStr">
        <is>
          <t>Agent 09</t>
        </is>
      </c>
      <c r="H99" s="491" t="n"/>
      <c r="I99" s="492">
        <f>IF(A99="","Pending",IF(H99="","⚠️ Enter Code",IF(IFERROR(VLOOKUP(G99,DB_Agents!$B:$I,8,0),"")=H99,IF(AND(A99&lt;&gt;"",E99&lt;&gt;""),"Saved","Pending"),"🔒 BLOCKED — Wrong Code")))</f>
        <v/>
      </c>
      <c r="J99" s="493">
        <f>IF(I99="Saved",TEXT(TODAY(),"YYYY-MM-DD")&amp;" Auto","—")</f>
        <v/>
      </c>
      <c r="K99" s="494" t="n"/>
    </row>
    <row r="100" ht="15" customHeight="1" s="341">
      <c r="A100" s="495" t="n"/>
      <c r="B100" s="382">
        <f>IF(A100="","",IFERROR(VLOOKUP(A100,DB_Customers!$A:$D,4,0),"❌ Account Not Found"))</f>
        <v/>
      </c>
      <c r="C100" s="496">
        <f>IF(A100="","",IFERROR(VLOOKUP(A100,DB_Customers!$A:$N,14,0),""))</f>
        <v/>
      </c>
      <c r="D100" s="497">
        <f>IF(A100="","",TODAY())</f>
        <v/>
      </c>
      <c r="E100" s="489" t="n"/>
      <c r="F100" s="498">
        <f>IF(OR(A100="",E100=""),"",IF(C100="","",C100+E100))</f>
        <v/>
      </c>
      <c r="G100" s="384" t="inlineStr">
        <is>
          <t>Agent 09</t>
        </is>
      </c>
      <c r="H100" s="491" t="n"/>
      <c r="I100" s="499">
        <f>IF(A100="","Pending",IF(H100="","⚠️ Enter Code",IF(IFERROR(VLOOKUP(G100,DB_Agents!$B:$I,8,0),"")=H100,IF(AND(A100&lt;&gt;"",E100&lt;&gt;""),"Saved","Pending"),"🔒 BLOCKED — Wrong Code")))</f>
        <v/>
      </c>
      <c r="J100" s="500">
        <f>IF(I100="Saved",TEXT(TODAY(),"YYYY-MM-DD")&amp;" Auto","—")</f>
        <v/>
      </c>
      <c r="K100" s="501" t="n"/>
    </row>
    <row r="101" ht="15" customHeight="1" s="341">
      <c r="A101" s="486" t="n"/>
      <c r="B101" s="378">
        <f>IF(A101="","",IFERROR(VLOOKUP(A101,DB_Customers!$A:$D,4,0),"❌ Account Not Found"))</f>
        <v/>
      </c>
      <c r="C101" s="487">
        <f>IF(A101="","",IFERROR(VLOOKUP(A101,DB_Customers!$A:$N,14,0),""))</f>
        <v/>
      </c>
      <c r="D101" s="488">
        <f>IF(A101="","",TODAY())</f>
        <v/>
      </c>
      <c r="E101" s="489" t="n"/>
      <c r="F101" s="490">
        <f>IF(OR(A101="",E101=""),"",IF(C101="","",C101+E101))</f>
        <v/>
      </c>
      <c r="G101" s="380" t="inlineStr">
        <is>
          <t>Agent 09</t>
        </is>
      </c>
      <c r="H101" s="491" t="n"/>
      <c r="I101" s="492">
        <f>IF(A101="","Pending",IF(H101="","⚠️ Enter Code",IF(IFERROR(VLOOKUP(G101,DB_Agents!$B:$I,8,0),"")=H101,IF(AND(A101&lt;&gt;"",E101&lt;&gt;""),"Saved","Pending"),"🔒 BLOCKED — Wrong Code")))</f>
        <v/>
      </c>
      <c r="J101" s="493">
        <f>IF(I101="Saved",TEXT(TODAY(),"YYYY-MM-DD")&amp;" Auto","—")</f>
        <v/>
      </c>
      <c r="K101" s="494" t="n"/>
    </row>
    <row r="102" ht="15" customHeight="1" s="341">
      <c r="A102" s="495" t="n"/>
      <c r="B102" s="382">
        <f>IF(A102="","",IFERROR(VLOOKUP(A102,DB_Customers!$A:$D,4,0),"❌ Account Not Found"))</f>
        <v/>
      </c>
      <c r="C102" s="496">
        <f>IF(A102="","",IFERROR(VLOOKUP(A102,DB_Customers!$A:$N,14,0),""))</f>
        <v/>
      </c>
      <c r="D102" s="497">
        <f>IF(A102="","",TODAY())</f>
        <v/>
      </c>
      <c r="E102" s="489" t="n"/>
      <c r="F102" s="498">
        <f>IF(OR(A102="",E102=""),"",IF(C102="","",C102+E102))</f>
        <v/>
      </c>
      <c r="G102" s="384" t="inlineStr">
        <is>
          <t>Agent 09</t>
        </is>
      </c>
      <c r="H102" s="491" t="n"/>
      <c r="I102" s="499">
        <f>IF(A102="","Pending",IF(H102="","⚠️ Enter Code",IF(IFERROR(VLOOKUP(G102,DB_Agents!$B:$I,8,0),"")=H102,IF(AND(A102&lt;&gt;"",E102&lt;&gt;""),"Saved","Pending"),"🔒 BLOCKED — Wrong Code")))</f>
        <v/>
      </c>
      <c r="J102" s="500">
        <f>IF(I102="Saved",TEXT(TODAY(),"YYYY-MM-DD")&amp;" Auto","—")</f>
        <v/>
      </c>
      <c r="K102" s="501" t="n"/>
    </row>
    <row r="103" ht="15" customHeight="1" s="341">
      <c r="A103" s="486" t="n"/>
      <c r="B103" s="378">
        <f>IF(A103="","",IFERROR(VLOOKUP(A103,DB_Customers!$A:$D,4,0),"❌ Account Not Found"))</f>
        <v/>
      </c>
      <c r="C103" s="487">
        <f>IF(A103="","",IFERROR(VLOOKUP(A103,DB_Customers!$A:$N,14,0),""))</f>
        <v/>
      </c>
      <c r="D103" s="488">
        <f>IF(A103="","",TODAY())</f>
        <v/>
      </c>
      <c r="E103" s="489" t="n"/>
      <c r="F103" s="490">
        <f>IF(OR(A103="",E103=""),"",IF(C103="","",C103+E103))</f>
        <v/>
      </c>
      <c r="G103" s="380" t="inlineStr">
        <is>
          <t>Agent 09</t>
        </is>
      </c>
      <c r="H103" s="491" t="n"/>
      <c r="I103" s="492">
        <f>IF(A103="","Pending",IF(H103="","⚠️ Enter Code",IF(IFERROR(VLOOKUP(G103,DB_Agents!$B:$I,8,0),"")=H103,IF(AND(A103&lt;&gt;"",E103&lt;&gt;""),"Saved","Pending"),"🔒 BLOCKED — Wrong Code")))</f>
        <v/>
      </c>
      <c r="J103" s="493">
        <f>IF(I103="Saved",TEXT(TODAY(),"YYYY-MM-DD")&amp;" Auto","—")</f>
        <v/>
      </c>
      <c r="K103" s="494" t="n"/>
    </row>
    <row r="104" ht="15" customHeight="1" s="341">
      <c r="A104" s="495" t="n"/>
      <c r="B104" s="382">
        <f>IF(A104="","",IFERROR(VLOOKUP(A104,DB_Customers!$A:$D,4,0),"❌ Account Not Found"))</f>
        <v/>
      </c>
      <c r="C104" s="496">
        <f>IF(A104="","",IFERROR(VLOOKUP(A104,DB_Customers!$A:$N,14,0),""))</f>
        <v/>
      </c>
      <c r="D104" s="497">
        <f>IF(A104="","",TODAY())</f>
        <v/>
      </c>
      <c r="E104" s="489" t="n"/>
      <c r="F104" s="498">
        <f>IF(OR(A104="",E104=""),"",IF(C104="","",C104+E104))</f>
        <v/>
      </c>
      <c r="G104" s="384" t="inlineStr">
        <is>
          <t>Agent 09</t>
        </is>
      </c>
      <c r="H104" s="491" t="n"/>
      <c r="I104" s="499">
        <f>IF(A104="","Pending",IF(H104="","⚠️ Enter Code",IF(IFERROR(VLOOKUP(G104,DB_Agents!$B:$I,8,0),"")=H104,IF(AND(A104&lt;&gt;"",E104&lt;&gt;""),"Saved","Pending"),"🔒 BLOCKED — Wrong Code")))</f>
        <v/>
      </c>
      <c r="J104" s="500">
        <f>IF(I104="Saved",TEXT(TODAY(),"YYYY-MM-DD")&amp;" Auto","—")</f>
        <v/>
      </c>
      <c r="K104" s="501" t="n"/>
    </row>
    <row r="105" ht="15" customHeight="1" s="341">
      <c r="A105" s="486" t="n"/>
      <c r="B105" s="378">
        <f>IF(A105="","",IFERROR(VLOOKUP(A105,DB_Customers!$A:$D,4,0),"❌ Account Not Found"))</f>
        <v/>
      </c>
      <c r="C105" s="487">
        <f>IF(A105="","",IFERROR(VLOOKUP(A105,DB_Customers!$A:$N,14,0),""))</f>
        <v/>
      </c>
      <c r="D105" s="488">
        <f>IF(A105="","",TODAY())</f>
        <v/>
      </c>
      <c r="E105" s="489" t="n"/>
      <c r="F105" s="490">
        <f>IF(OR(A105="",E105=""),"",IF(C105="","",C105+E105))</f>
        <v/>
      </c>
      <c r="G105" s="380" t="inlineStr">
        <is>
          <t>Agent 09</t>
        </is>
      </c>
      <c r="H105" s="491" t="n"/>
      <c r="I105" s="492">
        <f>IF(A105="","Pending",IF(H105="","⚠️ Enter Code",IF(IFERROR(VLOOKUP(G105,DB_Agents!$B:$I,8,0),"")=H105,IF(AND(A105&lt;&gt;"",E105&lt;&gt;""),"Saved","Pending"),"🔒 BLOCKED — Wrong Code")))</f>
        <v/>
      </c>
      <c r="J105" s="493">
        <f>IF(I105="Saved",TEXT(TODAY(),"YYYY-MM-DD")&amp;" Auto","—")</f>
        <v/>
      </c>
      <c r="K105" s="494" t="n"/>
    </row>
    <row r="106" ht="15" customHeight="1" s="341">
      <c r="A106" s="495" t="n"/>
      <c r="B106" s="382">
        <f>IF(A106="","",IFERROR(VLOOKUP(A106,DB_Customers!$A:$D,4,0),"❌ Account Not Found"))</f>
        <v/>
      </c>
      <c r="C106" s="496">
        <f>IF(A106="","",IFERROR(VLOOKUP(A106,DB_Customers!$A:$N,14,0),""))</f>
        <v/>
      </c>
      <c r="D106" s="497">
        <f>IF(A106="","",TODAY())</f>
        <v/>
      </c>
      <c r="E106" s="489" t="n"/>
      <c r="F106" s="498">
        <f>IF(OR(A106="",E106=""),"",IF(C106="","",C106+E106))</f>
        <v/>
      </c>
      <c r="G106" s="384" t="inlineStr">
        <is>
          <t>Agent 09</t>
        </is>
      </c>
      <c r="H106" s="491" t="n"/>
      <c r="I106" s="499">
        <f>IF(A106="","Pending",IF(H106="","⚠️ Enter Code",IF(IFERROR(VLOOKUP(G106,DB_Agents!$B:$I,8,0),"")=H106,IF(AND(A106&lt;&gt;"",E106&lt;&gt;""),"Saved","Pending"),"🔒 BLOCKED — Wrong Code")))</f>
        <v/>
      </c>
      <c r="J106" s="500">
        <f>IF(I106="Saved",TEXT(TODAY(),"YYYY-MM-DD")&amp;" Auto","—")</f>
        <v/>
      </c>
      <c r="K106" s="501" t="n"/>
    </row>
    <row r="107" ht="15" customHeight="1" s="341">
      <c r="A107" s="486" t="n"/>
      <c r="B107" s="378">
        <f>IF(A107="","",IFERROR(VLOOKUP(A107,DB_Customers!$A:$D,4,0),"❌ Account Not Found"))</f>
        <v/>
      </c>
      <c r="C107" s="487">
        <f>IF(A107="","",IFERROR(VLOOKUP(A107,DB_Customers!$A:$N,14,0),""))</f>
        <v/>
      </c>
      <c r="D107" s="488">
        <f>IF(A107="","",TODAY())</f>
        <v/>
      </c>
      <c r="E107" s="489" t="n"/>
      <c r="F107" s="490">
        <f>IF(OR(A107="",E107=""),"",IF(C107="","",C107+E107))</f>
        <v/>
      </c>
      <c r="G107" s="380" t="inlineStr">
        <is>
          <t>Agent 09</t>
        </is>
      </c>
      <c r="H107" s="491" t="n"/>
      <c r="I107" s="492">
        <f>IF(A107="","Pending",IF(H107="","⚠️ Enter Code",IF(IFERROR(VLOOKUP(G107,DB_Agents!$B:$I,8,0),"")=H107,IF(AND(A107&lt;&gt;"",E107&lt;&gt;""),"Saved","Pending"),"🔒 BLOCKED — Wrong Code")))</f>
        <v/>
      </c>
      <c r="J107" s="493">
        <f>IF(I107="Saved",TEXT(TODAY(),"YYYY-MM-DD")&amp;" Auto","—")</f>
        <v/>
      </c>
      <c r="K107" s="494" t="n"/>
    </row>
    <row r="108" ht="15" customHeight="1" s="341">
      <c r="A108" s="495" t="n"/>
      <c r="B108" s="382">
        <f>IF(A108="","",IFERROR(VLOOKUP(A108,DB_Customers!$A:$D,4,0),"❌ Account Not Found"))</f>
        <v/>
      </c>
      <c r="C108" s="496">
        <f>IF(A108="","",IFERROR(VLOOKUP(A108,DB_Customers!$A:$N,14,0),""))</f>
        <v/>
      </c>
      <c r="D108" s="497">
        <f>IF(A108="","",TODAY())</f>
        <v/>
      </c>
      <c r="E108" s="489" t="n"/>
      <c r="F108" s="498">
        <f>IF(OR(A108="",E108=""),"",IF(C108="","",C108+E108))</f>
        <v/>
      </c>
      <c r="G108" s="384" t="inlineStr">
        <is>
          <t>Agent 09</t>
        </is>
      </c>
      <c r="H108" s="491" t="n"/>
      <c r="I108" s="499">
        <f>IF(A108="","Pending",IF(H108="","⚠️ Enter Code",IF(IFERROR(VLOOKUP(G108,DB_Agents!$B:$I,8,0),"")=H108,IF(AND(A108&lt;&gt;"",E108&lt;&gt;""),"Saved","Pending"),"🔒 BLOCKED — Wrong Code")))</f>
        <v/>
      </c>
      <c r="J108" s="500">
        <f>IF(I108="Saved",TEXT(TODAY(),"YYYY-MM-DD")&amp;" Auto","—")</f>
        <v/>
      </c>
      <c r="K108" s="501" t="n"/>
    </row>
    <row r="109" ht="15" customHeight="1" s="341">
      <c r="A109" s="486" t="n"/>
      <c r="B109" s="378">
        <f>IF(A109="","",IFERROR(VLOOKUP(A109,DB_Customers!$A:$D,4,0),"❌ Account Not Found"))</f>
        <v/>
      </c>
      <c r="C109" s="487">
        <f>IF(A109="","",IFERROR(VLOOKUP(A109,DB_Customers!$A:$N,14,0),""))</f>
        <v/>
      </c>
      <c r="D109" s="488">
        <f>IF(A109="","",TODAY())</f>
        <v/>
      </c>
      <c r="E109" s="489" t="n"/>
      <c r="F109" s="490">
        <f>IF(OR(A109="",E109=""),"",IF(C109="","",C109+E109))</f>
        <v/>
      </c>
      <c r="G109" s="380" t="inlineStr">
        <is>
          <t>Agent 09</t>
        </is>
      </c>
      <c r="H109" s="491" t="n"/>
      <c r="I109" s="492">
        <f>IF(A109="","Pending",IF(H109="","⚠️ Enter Code",IF(IFERROR(VLOOKUP(G109,DB_Agents!$B:$I,8,0),"")=H109,IF(AND(A109&lt;&gt;"",E109&lt;&gt;""),"Saved","Pending"),"🔒 BLOCKED — Wrong Code")))</f>
        <v/>
      </c>
      <c r="J109" s="493">
        <f>IF(I109="Saved",TEXT(TODAY(),"YYYY-MM-DD")&amp;" Auto","—")</f>
        <v/>
      </c>
      <c r="K109" s="494" t="n"/>
    </row>
    <row r="110" ht="15" customHeight="1" s="341">
      <c r="A110" s="495" t="n"/>
      <c r="B110" s="382">
        <f>IF(A110="","",IFERROR(VLOOKUP(A110,DB_Customers!$A:$D,4,0),"❌ Account Not Found"))</f>
        <v/>
      </c>
      <c r="C110" s="496">
        <f>IF(A110="","",IFERROR(VLOOKUP(A110,DB_Customers!$A:$N,14,0),""))</f>
        <v/>
      </c>
      <c r="D110" s="497">
        <f>IF(A110="","",TODAY())</f>
        <v/>
      </c>
      <c r="E110" s="489" t="n"/>
      <c r="F110" s="498">
        <f>IF(OR(A110="",E110=""),"",IF(C110="","",C110+E110))</f>
        <v/>
      </c>
      <c r="G110" s="384" t="inlineStr">
        <is>
          <t>Agent 09</t>
        </is>
      </c>
      <c r="H110" s="491" t="n"/>
      <c r="I110" s="499">
        <f>IF(A110="","Pending",IF(H110="","⚠️ Enter Code",IF(IFERROR(VLOOKUP(G110,DB_Agents!$B:$I,8,0),"")=H110,IF(AND(A110&lt;&gt;"",E110&lt;&gt;""),"Saved","Pending"),"🔒 BLOCKED — Wrong Code")))</f>
        <v/>
      </c>
      <c r="J110" s="500">
        <f>IF(I110="Saved",TEXT(TODAY(),"YYYY-MM-DD")&amp;" Auto","—")</f>
        <v/>
      </c>
      <c r="K110" s="501" t="n"/>
    </row>
    <row r="111" ht="15" customHeight="1" s="341">
      <c r="A111" s="486" t="n"/>
      <c r="B111" s="378">
        <f>IF(A111="","",IFERROR(VLOOKUP(A111,DB_Customers!$A:$D,4,0),"❌ Account Not Found"))</f>
        <v/>
      </c>
      <c r="C111" s="487">
        <f>IF(A111="","",IFERROR(VLOOKUP(A111,DB_Customers!$A:$N,14,0),""))</f>
        <v/>
      </c>
      <c r="D111" s="488">
        <f>IF(A111="","",TODAY())</f>
        <v/>
      </c>
      <c r="E111" s="489" t="n"/>
      <c r="F111" s="490">
        <f>IF(OR(A111="",E111=""),"",IF(C111="","",C111+E111))</f>
        <v/>
      </c>
      <c r="G111" s="380" t="inlineStr">
        <is>
          <t>Agent 09</t>
        </is>
      </c>
      <c r="H111" s="491" t="n"/>
      <c r="I111" s="492">
        <f>IF(A111="","Pending",IF(H111="","⚠️ Enter Code",IF(IFERROR(VLOOKUP(G111,DB_Agents!$B:$I,8,0),"")=H111,IF(AND(A111&lt;&gt;"",E111&lt;&gt;""),"Saved","Pending"),"🔒 BLOCKED — Wrong Code")))</f>
        <v/>
      </c>
      <c r="J111" s="493">
        <f>IF(I111="Saved",TEXT(TODAY(),"YYYY-MM-DD")&amp;" Auto","—")</f>
        <v/>
      </c>
      <c r="K111" s="494" t="n"/>
    </row>
    <row r="112" ht="15" customHeight="1" s="341">
      <c r="A112" s="495" t="n"/>
      <c r="B112" s="382">
        <f>IF(A112="","",IFERROR(VLOOKUP(A112,DB_Customers!$A:$D,4,0),"❌ Account Not Found"))</f>
        <v/>
      </c>
      <c r="C112" s="496">
        <f>IF(A112="","",IFERROR(VLOOKUP(A112,DB_Customers!$A:$N,14,0),""))</f>
        <v/>
      </c>
      <c r="D112" s="497">
        <f>IF(A112="","",TODAY())</f>
        <v/>
      </c>
      <c r="E112" s="489" t="n"/>
      <c r="F112" s="498">
        <f>IF(OR(A112="",E112=""),"",IF(C112="","",C112+E112))</f>
        <v/>
      </c>
      <c r="G112" s="384" t="inlineStr">
        <is>
          <t>Agent 09</t>
        </is>
      </c>
      <c r="H112" s="491" t="n"/>
      <c r="I112" s="499">
        <f>IF(A112="","Pending",IF(H112="","⚠️ Enter Code",IF(IFERROR(VLOOKUP(G112,DB_Agents!$B:$I,8,0),"")=H112,IF(AND(A112&lt;&gt;"",E112&lt;&gt;""),"Saved","Pending"),"🔒 BLOCKED — Wrong Code")))</f>
        <v/>
      </c>
      <c r="J112" s="500">
        <f>IF(I112="Saved",TEXT(TODAY(),"YYYY-MM-DD")&amp;" Auto","—")</f>
        <v/>
      </c>
      <c r="K112" s="501" t="n"/>
    </row>
    <row r="113" ht="15" customHeight="1" s="341">
      <c r="A113" s="486" t="n"/>
      <c r="B113" s="378">
        <f>IF(A113="","",IFERROR(VLOOKUP(A113,DB_Customers!$A:$D,4,0),"❌ Account Not Found"))</f>
        <v/>
      </c>
      <c r="C113" s="487">
        <f>IF(A113="","",IFERROR(VLOOKUP(A113,DB_Customers!$A:$N,14,0),""))</f>
        <v/>
      </c>
      <c r="D113" s="488">
        <f>IF(A113="","",TODAY())</f>
        <v/>
      </c>
      <c r="E113" s="489" t="n"/>
      <c r="F113" s="490">
        <f>IF(OR(A113="",E113=""),"",IF(C113="","",C113+E113))</f>
        <v/>
      </c>
      <c r="G113" s="380" t="inlineStr">
        <is>
          <t>Agent 09</t>
        </is>
      </c>
      <c r="H113" s="491" t="n"/>
      <c r="I113" s="492">
        <f>IF(A113="","Pending",IF(H113="","⚠️ Enter Code",IF(IFERROR(VLOOKUP(G113,DB_Agents!$B:$I,8,0),"")=H113,IF(AND(A113&lt;&gt;"",E113&lt;&gt;""),"Saved","Pending"),"🔒 BLOCKED — Wrong Code")))</f>
        <v/>
      </c>
      <c r="J113" s="493">
        <f>IF(I113="Saved",TEXT(TODAY(),"YYYY-MM-DD")&amp;" Auto","—")</f>
        <v/>
      </c>
      <c r="K113" s="494" t="n"/>
    </row>
    <row r="114" ht="15" customHeight="1" s="341">
      <c r="A114" s="495" t="n"/>
      <c r="B114" s="382">
        <f>IF(A114="","",IFERROR(VLOOKUP(A114,DB_Customers!$A:$D,4,0),"❌ Account Not Found"))</f>
        <v/>
      </c>
      <c r="C114" s="496">
        <f>IF(A114="","",IFERROR(VLOOKUP(A114,DB_Customers!$A:$N,14,0),""))</f>
        <v/>
      </c>
      <c r="D114" s="497">
        <f>IF(A114="","",TODAY())</f>
        <v/>
      </c>
      <c r="E114" s="489" t="n"/>
      <c r="F114" s="498">
        <f>IF(OR(A114="",E114=""),"",IF(C114="","",C114+E114))</f>
        <v/>
      </c>
      <c r="G114" s="384" t="inlineStr">
        <is>
          <t>Agent 09</t>
        </is>
      </c>
      <c r="H114" s="491" t="n"/>
      <c r="I114" s="499">
        <f>IF(A114="","Pending",IF(H114="","⚠️ Enter Code",IF(IFERROR(VLOOKUP(G114,DB_Agents!$B:$I,8,0),"")=H114,IF(AND(A114&lt;&gt;"",E114&lt;&gt;""),"Saved","Pending"),"🔒 BLOCKED — Wrong Code")))</f>
        <v/>
      </c>
      <c r="J114" s="500">
        <f>IF(I114="Saved",TEXT(TODAY(),"YYYY-MM-DD")&amp;" Auto","—")</f>
        <v/>
      </c>
      <c r="K114" s="501" t="n"/>
    </row>
    <row r="115" ht="15" customHeight="1" s="341">
      <c r="A115" s="486" t="n"/>
      <c r="B115" s="378">
        <f>IF(A115="","",IFERROR(VLOOKUP(A115,DB_Customers!$A:$D,4,0),"❌ Account Not Found"))</f>
        <v/>
      </c>
      <c r="C115" s="487">
        <f>IF(A115="","",IFERROR(VLOOKUP(A115,DB_Customers!$A:$N,14,0),""))</f>
        <v/>
      </c>
      <c r="D115" s="488">
        <f>IF(A115="","",TODAY())</f>
        <v/>
      </c>
      <c r="E115" s="489" t="n"/>
      <c r="F115" s="490">
        <f>IF(OR(A115="",E115=""),"",IF(C115="","",C115+E115))</f>
        <v/>
      </c>
      <c r="G115" s="380" t="inlineStr">
        <is>
          <t>Agent 09</t>
        </is>
      </c>
      <c r="H115" s="491" t="n"/>
      <c r="I115" s="492">
        <f>IF(A115="","Pending",IF(H115="","⚠️ Enter Code",IF(IFERROR(VLOOKUP(G115,DB_Agents!$B:$I,8,0),"")=H115,IF(AND(A115&lt;&gt;"",E115&lt;&gt;""),"Saved","Pending"),"🔒 BLOCKED — Wrong Code")))</f>
        <v/>
      </c>
      <c r="J115" s="493">
        <f>IF(I115="Saved",TEXT(TODAY(),"YYYY-MM-DD")&amp;" Auto","—")</f>
        <v/>
      </c>
      <c r="K115" s="494" t="n"/>
    </row>
    <row r="116" ht="15" customHeight="1" s="341">
      <c r="A116" s="495" t="n"/>
      <c r="B116" s="382">
        <f>IF(A116="","",IFERROR(VLOOKUP(A116,DB_Customers!$A:$D,4,0),"❌ Account Not Found"))</f>
        <v/>
      </c>
      <c r="C116" s="496">
        <f>IF(A116="","",IFERROR(VLOOKUP(A116,DB_Customers!$A:$N,14,0),""))</f>
        <v/>
      </c>
      <c r="D116" s="497">
        <f>IF(A116="","",TODAY())</f>
        <v/>
      </c>
      <c r="E116" s="489" t="n"/>
      <c r="F116" s="498">
        <f>IF(OR(A116="",E116=""),"",IF(C116="","",C116+E116))</f>
        <v/>
      </c>
      <c r="G116" s="384" t="inlineStr">
        <is>
          <t>Agent 09</t>
        </is>
      </c>
      <c r="H116" s="491" t="n"/>
      <c r="I116" s="499">
        <f>IF(A116="","Pending",IF(H116="","⚠️ Enter Code",IF(IFERROR(VLOOKUP(G116,DB_Agents!$B:$I,8,0),"")=H116,IF(AND(A116&lt;&gt;"",E116&lt;&gt;""),"Saved","Pending"),"🔒 BLOCKED — Wrong Code")))</f>
        <v/>
      </c>
      <c r="J116" s="500">
        <f>IF(I116="Saved",TEXT(TODAY(),"YYYY-MM-DD")&amp;" Auto","—")</f>
        <v/>
      </c>
      <c r="K116" s="501" t="n"/>
    </row>
    <row r="117" ht="15" customHeight="1" s="341">
      <c r="A117" s="486" t="n"/>
      <c r="B117" s="378">
        <f>IF(A117="","",IFERROR(VLOOKUP(A117,DB_Customers!$A:$D,4,0),"❌ Account Not Found"))</f>
        <v/>
      </c>
      <c r="C117" s="487">
        <f>IF(A117="","",IFERROR(VLOOKUP(A117,DB_Customers!$A:$N,14,0),""))</f>
        <v/>
      </c>
      <c r="D117" s="488">
        <f>IF(A117="","",TODAY())</f>
        <v/>
      </c>
      <c r="E117" s="489" t="n"/>
      <c r="F117" s="490">
        <f>IF(OR(A117="",E117=""),"",IF(C117="","",C117+E117))</f>
        <v/>
      </c>
      <c r="G117" s="380" t="inlineStr">
        <is>
          <t>Agent 09</t>
        </is>
      </c>
      <c r="H117" s="491" t="n"/>
      <c r="I117" s="492">
        <f>IF(A117="","Pending",IF(H117="","⚠️ Enter Code",IF(IFERROR(VLOOKUP(G117,DB_Agents!$B:$I,8,0),"")=H117,IF(AND(A117&lt;&gt;"",E117&lt;&gt;""),"Saved","Pending"),"🔒 BLOCKED — Wrong Code")))</f>
        <v/>
      </c>
      <c r="J117" s="493">
        <f>IF(I117="Saved",TEXT(TODAY(),"YYYY-MM-DD")&amp;" Auto","—")</f>
        <v/>
      </c>
      <c r="K117" s="494" t="n"/>
    </row>
    <row r="118" ht="15" customHeight="1" s="341">
      <c r="A118" s="495" t="n"/>
      <c r="B118" s="382">
        <f>IF(A118="","",IFERROR(VLOOKUP(A118,DB_Customers!$A:$D,4,0),"❌ Account Not Found"))</f>
        <v/>
      </c>
      <c r="C118" s="496">
        <f>IF(A118="","",IFERROR(VLOOKUP(A118,DB_Customers!$A:$N,14,0),""))</f>
        <v/>
      </c>
      <c r="D118" s="497">
        <f>IF(A118="","",TODAY())</f>
        <v/>
      </c>
      <c r="E118" s="489" t="n"/>
      <c r="F118" s="498">
        <f>IF(OR(A118="",E118=""),"",IF(C118="","",C118+E118))</f>
        <v/>
      </c>
      <c r="G118" s="384" t="inlineStr">
        <is>
          <t>Agent 09</t>
        </is>
      </c>
      <c r="H118" s="491" t="n"/>
      <c r="I118" s="499">
        <f>IF(A118="","Pending",IF(H118="","⚠️ Enter Code",IF(IFERROR(VLOOKUP(G118,DB_Agents!$B:$I,8,0),"")=H118,IF(AND(A118&lt;&gt;"",E118&lt;&gt;""),"Saved","Pending"),"🔒 BLOCKED — Wrong Code")))</f>
        <v/>
      </c>
      <c r="J118" s="500">
        <f>IF(I118="Saved",TEXT(TODAY(),"YYYY-MM-DD")&amp;" Auto","—")</f>
        <v/>
      </c>
      <c r="K118" s="501" t="n"/>
    </row>
    <row r="119" ht="15" customHeight="1" s="341">
      <c r="A119" s="486" t="n"/>
      <c r="B119" s="378">
        <f>IF(A119="","",IFERROR(VLOOKUP(A119,DB_Customers!$A:$D,4,0),"❌ Account Not Found"))</f>
        <v/>
      </c>
      <c r="C119" s="487">
        <f>IF(A119="","",IFERROR(VLOOKUP(A119,DB_Customers!$A:$N,14,0),""))</f>
        <v/>
      </c>
      <c r="D119" s="488">
        <f>IF(A119="","",TODAY())</f>
        <v/>
      </c>
      <c r="E119" s="489" t="n"/>
      <c r="F119" s="490">
        <f>IF(OR(A119="",E119=""),"",IF(C119="","",C119+E119))</f>
        <v/>
      </c>
      <c r="G119" s="380" t="inlineStr">
        <is>
          <t>Agent 09</t>
        </is>
      </c>
      <c r="H119" s="491" t="n"/>
      <c r="I119" s="492">
        <f>IF(A119="","Pending",IF(H119="","⚠️ Enter Code",IF(IFERROR(VLOOKUP(G119,DB_Agents!$B:$I,8,0),"")=H119,IF(AND(A119&lt;&gt;"",E119&lt;&gt;""),"Saved","Pending"),"🔒 BLOCKED — Wrong Code")))</f>
        <v/>
      </c>
      <c r="J119" s="493">
        <f>IF(I119="Saved",TEXT(TODAY(),"YYYY-MM-DD")&amp;" Auto","—")</f>
        <v/>
      </c>
      <c r="K119" s="494" t="n"/>
    </row>
    <row r="120" ht="15" customHeight="1" s="341">
      <c r="A120" s="495" t="n"/>
      <c r="B120" s="382">
        <f>IF(A120="","",IFERROR(VLOOKUP(A120,DB_Customers!$A:$D,4,0),"❌ Account Not Found"))</f>
        <v/>
      </c>
      <c r="C120" s="496">
        <f>IF(A120="","",IFERROR(VLOOKUP(A120,DB_Customers!$A:$N,14,0),""))</f>
        <v/>
      </c>
      <c r="D120" s="497">
        <f>IF(A120="","",TODAY())</f>
        <v/>
      </c>
      <c r="E120" s="489" t="n"/>
      <c r="F120" s="498">
        <f>IF(OR(A120="",E120=""),"",IF(C120="","",C120+E120))</f>
        <v/>
      </c>
      <c r="G120" s="384" t="inlineStr">
        <is>
          <t>Agent 09</t>
        </is>
      </c>
      <c r="H120" s="491" t="n"/>
      <c r="I120" s="499">
        <f>IF(A120="","Pending",IF(H120="","⚠️ Enter Code",IF(IFERROR(VLOOKUP(G120,DB_Agents!$B:$I,8,0),"")=H120,IF(AND(A120&lt;&gt;"",E120&lt;&gt;""),"Saved","Pending"),"🔒 BLOCKED — Wrong Code")))</f>
        <v/>
      </c>
      <c r="J120" s="500">
        <f>IF(I120="Saved",TEXT(TODAY(),"YYYY-MM-DD")&amp;" Auto","—")</f>
        <v/>
      </c>
      <c r="K120" s="501" t="n"/>
    </row>
    <row r="121" ht="15" customHeight="1" s="341">
      <c r="A121" s="486" t="n"/>
      <c r="B121" s="378">
        <f>IF(A121="","",IFERROR(VLOOKUP(A121,DB_Customers!$A:$D,4,0),"❌ Account Not Found"))</f>
        <v/>
      </c>
      <c r="C121" s="487">
        <f>IF(A121="","",IFERROR(VLOOKUP(A121,DB_Customers!$A:$N,14,0),""))</f>
        <v/>
      </c>
      <c r="D121" s="488">
        <f>IF(A121="","",TODAY())</f>
        <v/>
      </c>
      <c r="E121" s="489" t="n"/>
      <c r="F121" s="490">
        <f>IF(OR(A121="",E121=""),"",IF(C121="","",C121+E121))</f>
        <v/>
      </c>
      <c r="G121" s="380" t="inlineStr">
        <is>
          <t>Agent 09</t>
        </is>
      </c>
      <c r="H121" s="491" t="n"/>
      <c r="I121" s="492">
        <f>IF(A121="","Pending",IF(H121="","⚠️ Enter Code",IF(IFERROR(VLOOKUP(G121,DB_Agents!$B:$I,8,0),"")=H121,IF(AND(A121&lt;&gt;"",E121&lt;&gt;""),"Saved","Pending"),"🔒 BLOCKED — Wrong Code")))</f>
        <v/>
      </c>
      <c r="J121" s="493">
        <f>IF(I121="Saved",TEXT(TODAY(),"YYYY-MM-DD")&amp;" Auto","—")</f>
        <v/>
      </c>
      <c r="K121" s="494" t="n"/>
    </row>
    <row r="122" ht="15" customHeight="1" s="341">
      <c r="A122" s="495" t="n"/>
      <c r="B122" s="382">
        <f>IF(A122="","",IFERROR(VLOOKUP(A122,DB_Customers!$A:$D,4,0),"❌ Account Not Found"))</f>
        <v/>
      </c>
      <c r="C122" s="496">
        <f>IF(A122="","",IFERROR(VLOOKUP(A122,DB_Customers!$A:$N,14,0),""))</f>
        <v/>
      </c>
      <c r="D122" s="497">
        <f>IF(A122="","",TODAY())</f>
        <v/>
      </c>
      <c r="E122" s="489" t="n"/>
      <c r="F122" s="498">
        <f>IF(OR(A122="",E122=""),"",IF(C122="","",C122+E122))</f>
        <v/>
      </c>
      <c r="G122" s="384" t="inlineStr">
        <is>
          <t>Agent 09</t>
        </is>
      </c>
      <c r="H122" s="491" t="n"/>
      <c r="I122" s="499">
        <f>IF(A122="","Pending",IF(H122="","⚠️ Enter Code",IF(IFERROR(VLOOKUP(G122,DB_Agents!$B:$I,8,0),"")=H122,IF(AND(A122&lt;&gt;"",E122&lt;&gt;""),"Saved","Pending"),"🔒 BLOCKED — Wrong Code")))</f>
        <v/>
      </c>
      <c r="J122" s="500">
        <f>IF(I122="Saved",TEXT(TODAY(),"YYYY-MM-DD")&amp;" Auto","—")</f>
        <v/>
      </c>
      <c r="K122" s="501" t="n"/>
    </row>
    <row r="123" ht="15" customHeight="1" s="341">
      <c r="A123" s="486" t="n"/>
      <c r="B123" s="378">
        <f>IF(A123="","",IFERROR(VLOOKUP(A123,DB_Customers!$A:$D,4,0),"❌ Account Not Found"))</f>
        <v/>
      </c>
      <c r="C123" s="487">
        <f>IF(A123="","",IFERROR(VLOOKUP(A123,DB_Customers!$A:$N,14,0),""))</f>
        <v/>
      </c>
      <c r="D123" s="488">
        <f>IF(A123="","",TODAY())</f>
        <v/>
      </c>
      <c r="E123" s="489" t="n"/>
      <c r="F123" s="490">
        <f>IF(OR(A123="",E123=""),"",IF(C123="","",C123+E123))</f>
        <v/>
      </c>
      <c r="G123" s="380" t="inlineStr">
        <is>
          <t>Agent 09</t>
        </is>
      </c>
      <c r="H123" s="491" t="n"/>
      <c r="I123" s="492">
        <f>IF(A123="","Pending",IF(H123="","⚠️ Enter Code",IF(IFERROR(VLOOKUP(G123,DB_Agents!$B:$I,8,0),"")=H123,IF(AND(A123&lt;&gt;"",E123&lt;&gt;""),"Saved","Pending"),"🔒 BLOCKED — Wrong Code")))</f>
        <v/>
      </c>
      <c r="J123" s="493">
        <f>IF(I123="Saved",TEXT(TODAY(),"YYYY-MM-DD")&amp;" Auto","—")</f>
        <v/>
      </c>
      <c r="K123" s="494" t="n"/>
    </row>
    <row r="124" ht="15" customHeight="1" s="341">
      <c r="A124" s="495" t="n"/>
      <c r="B124" s="382">
        <f>IF(A124="","",IFERROR(VLOOKUP(A124,DB_Customers!$A:$D,4,0),"❌ Account Not Found"))</f>
        <v/>
      </c>
      <c r="C124" s="496">
        <f>IF(A124="","",IFERROR(VLOOKUP(A124,DB_Customers!$A:$N,14,0),""))</f>
        <v/>
      </c>
      <c r="D124" s="497">
        <f>IF(A124="","",TODAY())</f>
        <v/>
      </c>
      <c r="E124" s="489" t="n"/>
      <c r="F124" s="498">
        <f>IF(OR(A124="",E124=""),"",IF(C124="","",C124+E124))</f>
        <v/>
      </c>
      <c r="G124" s="384" t="inlineStr">
        <is>
          <t>Agent 09</t>
        </is>
      </c>
      <c r="H124" s="491" t="n"/>
      <c r="I124" s="499">
        <f>IF(A124="","Pending",IF(H124="","⚠️ Enter Code",IF(IFERROR(VLOOKUP(G124,DB_Agents!$B:$I,8,0),"")=H124,IF(AND(A124&lt;&gt;"",E124&lt;&gt;""),"Saved","Pending"),"🔒 BLOCKED — Wrong Code")))</f>
        <v/>
      </c>
      <c r="J124" s="500">
        <f>IF(I124="Saved",TEXT(TODAY(),"YYYY-MM-DD")&amp;" Auto","—")</f>
        <v/>
      </c>
      <c r="K124" s="501" t="n"/>
    </row>
    <row r="125" ht="15" customHeight="1" s="341">
      <c r="A125" s="486" t="n"/>
      <c r="B125" s="378">
        <f>IF(A125="","",IFERROR(VLOOKUP(A125,DB_Customers!$A:$D,4,0),"❌ Account Not Found"))</f>
        <v/>
      </c>
      <c r="C125" s="487">
        <f>IF(A125="","",IFERROR(VLOOKUP(A125,DB_Customers!$A:$N,14,0),""))</f>
        <v/>
      </c>
      <c r="D125" s="488">
        <f>IF(A125="","",TODAY())</f>
        <v/>
      </c>
      <c r="E125" s="489" t="n"/>
      <c r="F125" s="490">
        <f>IF(OR(A125="",E125=""),"",IF(C125="","",C125+E125))</f>
        <v/>
      </c>
      <c r="G125" s="380" t="inlineStr">
        <is>
          <t>Agent 09</t>
        </is>
      </c>
      <c r="H125" s="491" t="n"/>
      <c r="I125" s="492">
        <f>IF(A125="","Pending",IF(H125="","⚠️ Enter Code",IF(IFERROR(VLOOKUP(G125,DB_Agents!$B:$I,8,0),"")=H125,IF(AND(A125&lt;&gt;"",E125&lt;&gt;""),"Saved","Pending"),"🔒 BLOCKED — Wrong Code")))</f>
        <v/>
      </c>
      <c r="J125" s="493">
        <f>IF(I125="Saved",TEXT(TODAY(),"YYYY-MM-DD")&amp;" Auto","—")</f>
        <v/>
      </c>
      <c r="K125" s="494" t="n"/>
    </row>
    <row r="126" ht="15" customHeight="1" s="341">
      <c r="A126" s="495" t="n"/>
      <c r="B126" s="382">
        <f>IF(A126="","",IFERROR(VLOOKUP(A126,DB_Customers!$A:$D,4,0),"❌ Account Not Found"))</f>
        <v/>
      </c>
      <c r="C126" s="496">
        <f>IF(A126="","",IFERROR(VLOOKUP(A126,DB_Customers!$A:$N,14,0),""))</f>
        <v/>
      </c>
      <c r="D126" s="497">
        <f>IF(A126="","",TODAY())</f>
        <v/>
      </c>
      <c r="E126" s="489" t="n"/>
      <c r="F126" s="498">
        <f>IF(OR(A126="",E126=""),"",IF(C126="","",C126+E126))</f>
        <v/>
      </c>
      <c r="G126" s="384" t="inlineStr">
        <is>
          <t>Agent 09</t>
        </is>
      </c>
      <c r="H126" s="491" t="n"/>
      <c r="I126" s="499">
        <f>IF(A126="","Pending",IF(H126="","⚠️ Enter Code",IF(IFERROR(VLOOKUP(G126,DB_Agents!$B:$I,8,0),"")=H126,IF(AND(A126&lt;&gt;"",E126&lt;&gt;""),"Saved","Pending"),"🔒 BLOCKED — Wrong Code")))</f>
        <v/>
      </c>
      <c r="J126" s="500">
        <f>IF(I126="Saved",TEXT(TODAY(),"YYYY-MM-DD")&amp;" Auto","—")</f>
        <v/>
      </c>
      <c r="K126" s="501" t="n"/>
    </row>
    <row r="127" ht="15" customHeight="1" s="341">
      <c r="A127" s="486" t="n"/>
      <c r="B127" s="378">
        <f>IF(A127="","",IFERROR(VLOOKUP(A127,DB_Customers!$A:$D,4,0),"❌ Account Not Found"))</f>
        <v/>
      </c>
      <c r="C127" s="487">
        <f>IF(A127="","",IFERROR(VLOOKUP(A127,DB_Customers!$A:$N,14,0),""))</f>
        <v/>
      </c>
      <c r="D127" s="488">
        <f>IF(A127="","",TODAY())</f>
        <v/>
      </c>
      <c r="E127" s="489" t="n"/>
      <c r="F127" s="490">
        <f>IF(OR(A127="",E127=""),"",IF(C127="","",C127+E127))</f>
        <v/>
      </c>
      <c r="G127" s="380" t="inlineStr">
        <is>
          <t>Agent 09</t>
        </is>
      </c>
      <c r="H127" s="491" t="n"/>
      <c r="I127" s="492">
        <f>IF(A127="","Pending",IF(H127="","⚠️ Enter Code",IF(IFERROR(VLOOKUP(G127,DB_Agents!$B:$I,8,0),"")=H127,IF(AND(A127&lt;&gt;"",E127&lt;&gt;""),"Saved","Pending"),"🔒 BLOCKED — Wrong Code")))</f>
        <v/>
      </c>
      <c r="J127" s="493">
        <f>IF(I127="Saved",TEXT(TODAY(),"YYYY-MM-DD")&amp;" Auto","—")</f>
        <v/>
      </c>
      <c r="K127" s="494" t="n"/>
    </row>
    <row r="128" ht="15" customHeight="1" s="341">
      <c r="A128" s="495" t="n"/>
      <c r="B128" s="382">
        <f>IF(A128="","",IFERROR(VLOOKUP(A128,DB_Customers!$A:$D,4,0),"❌ Account Not Found"))</f>
        <v/>
      </c>
      <c r="C128" s="496">
        <f>IF(A128="","",IFERROR(VLOOKUP(A128,DB_Customers!$A:$N,14,0),""))</f>
        <v/>
      </c>
      <c r="D128" s="497">
        <f>IF(A128="","",TODAY())</f>
        <v/>
      </c>
      <c r="E128" s="489" t="n"/>
      <c r="F128" s="498">
        <f>IF(OR(A128="",E128=""),"",IF(C128="","",C128+E128))</f>
        <v/>
      </c>
      <c r="G128" s="384" t="inlineStr">
        <is>
          <t>Agent 09</t>
        </is>
      </c>
      <c r="H128" s="491" t="n"/>
      <c r="I128" s="499">
        <f>IF(A128="","Pending",IF(H128="","⚠️ Enter Code",IF(IFERROR(VLOOKUP(G128,DB_Agents!$B:$I,8,0),"")=H128,IF(AND(A128&lt;&gt;"",E128&lt;&gt;""),"Saved","Pending"),"🔒 BLOCKED — Wrong Code")))</f>
        <v/>
      </c>
      <c r="J128" s="500">
        <f>IF(I128="Saved",TEXT(TODAY(),"YYYY-MM-DD")&amp;" Auto","—")</f>
        <v/>
      </c>
      <c r="K128" s="501" t="n"/>
    </row>
    <row r="129" ht="15" customHeight="1" s="341">
      <c r="A129" s="486" t="n"/>
      <c r="B129" s="378">
        <f>IF(A129="","",IFERROR(VLOOKUP(A129,DB_Customers!$A:$D,4,0),"❌ Account Not Found"))</f>
        <v/>
      </c>
      <c r="C129" s="487">
        <f>IF(A129="","",IFERROR(VLOOKUP(A129,DB_Customers!$A:$N,14,0),""))</f>
        <v/>
      </c>
      <c r="D129" s="488">
        <f>IF(A129="","",TODAY())</f>
        <v/>
      </c>
      <c r="E129" s="489" t="n"/>
      <c r="F129" s="490">
        <f>IF(OR(A129="",E129=""),"",IF(C129="","",C129+E129))</f>
        <v/>
      </c>
      <c r="G129" s="380" t="inlineStr">
        <is>
          <t>Agent 09</t>
        </is>
      </c>
      <c r="H129" s="491" t="n"/>
      <c r="I129" s="492">
        <f>IF(A129="","Pending",IF(H129="","⚠️ Enter Code",IF(IFERROR(VLOOKUP(G129,DB_Agents!$B:$I,8,0),"")=H129,IF(AND(A129&lt;&gt;"",E129&lt;&gt;""),"Saved","Pending"),"🔒 BLOCKED — Wrong Code")))</f>
        <v/>
      </c>
      <c r="J129" s="493">
        <f>IF(I129="Saved",TEXT(TODAY(),"YYYY-MM-DD")&amp;" Auto","—")</f>
        <v/>
      </c>
      <c r="K129" s="494" t="n"/>
    </row>
    <row r="130" ht="15" customHeight="1" s="341">
      <c r="A130" s="495" t="n"/>
      <c r="B130" s="382">
        <f>IF(A130="","",IFERROR(VLOOKUP(A130,DB_Customers!$A:$D,4,0),"❌ Account Not Found"))</f>
        <v/>
      </c>
      <c r="C130" s="496">
        <f>IF(A130="","",IFERROR(VLOOKUP(A130,DB_Customers!$A:$N,14,0),""))</f>
        <v/>
      </c>
      <c r="D130" s="497">
        <f>IF(A130="","",TODAY())</f>
        <v/>
      </c>
      <c r="E130" s="489" t="n"/>
      <c r="F130" s="498">
        <f>IF(OR(A130="",E130=""),"",IF(C130="","",C130+E130))</f>
        <v/>
      </c>
      <c r="G130" s="384" t="inlineStr">
        <is>
          <t>Agent 09</t>
        </is>
      </c>
      <c r="H130" s="491" t="n"/>
      <c r="I130" s="499">
        <f>IF(A130="","Pending",IF(H130="","⚠️ Enter Code",IF(IFERROR(VLOOKUP(G130,DB_Agents!$B:$I,8,0),"")=H130,IF(AND(A130&lt;&gt;"",E130&lt;&gt;""),"Saved","Pending"),"🔒 BLOCKED — Wrong Code")))</f>
        <v/>
      </c>
      <c r="J130" s="500">
        <f>IF(I130="Saved",TEXT(TODAY(),"YYYY-MM-DD")&amp;" Auto","—")</f>
        <v/>
      </c>
      <c r="K130" s="501" t="n"/>
    </row>
    <row r="131" ht="15" customHeight="1" s="341">
      <c r="A131" s="486" t="n"/>
      <c r="B131" s="378">
        <f>IF(A131="","",IFERROR(VLOOKUP(A131,DB_Customers!$A:$D,4,0),"❌ Account Not Found"))</f>
        <v/>
      </c>
      <c r="C131" s="487">
        <f>IF(A131="","",IFERROR(VLOOKUP(A131,DB_Customers!$A:$N,14,0),""))</f>
        <v/>
      </c>
      <c r="D131" s="488">
        <f>IF(A131="","",TODAY())</f>
        <v/>
      </c>
      <c r="E131" s="489" t="n"/>
      <c r="F131" s="490">
        <f>IF(OR(A131="",E131=""),"",IF(C131="","",C131+E131))</f>
        <v/>
      </c>
      <c r="G131" s="380" t="inlineStr">
        <is>
          <t>Agent 09</t>
        </is>
      </c>
      <c r="H131" s="491" t="n"/>
      <c r="I131" s="492">
        <f>IF(A131="","Pending",IF(H131="","⚠️ Enter Code",IF(IFERROR(VLOOKUP(G131,DB_Agents!$B:$I,8,0),"")=H131,IF(AND(A131&lt;&gt;"",E131&lt;&gt;""),"Saved","Pending"),"🔒 BLOCKED — Wrong Code")))</f>
        <v/>
      </c>
      <c r="J131" s="493">
        <f>IF(I131="Saved",TEXT(TODAY(),"YYYY-MM-DD")&amp;" Auto","—")</f>
        <v/>
      </c>
      <c r="K131" s="494" t="n"/>
    </row>
    <row r="132" ht="15" customHeight="1" s="341">
      <c r="A132" s="495" t="n"/>
      <c r="B132" s="382">
        <f>IF(A132="","",IFERROR(VLOOKUP(A132,DB_Customers!$A:$D,4,0),"❌ Account Not Found"))</f>
        <v/>
      </c>
      <c r="C132" s="496">
        <f>IF(A132="","",IFERROR(VLOOKUP(A132,DB_Customers!$A:$N,14,0),""))</f>
        <v/>
      </c>
      <c r="D132" s="497">
        <f>IF(A132="","",TODAY())</f>
        <v/>
      </c>
      <c r="E132" s="489" t="n"/>
      <c r="F132" s="498">
        <f>IF(OR(A132="",E132=""),"",IF(C132="","",C132+E132))</f>
        <v/>
      </c>
      <c r="G132" s="384" t="inlineStr">
        <is>
          <t>Agent 09</t>
        </is>
      </c>
      <c r="H132" s="491" t="n"/>
      <c r="I132" s="499">
        <f>IF(A132="","Pending",IF(H132="","⚠️ Enter Code",IF(IFERROR(VLOOKUP(G132,DB_Agents!$B:$I,8,0),"")=H132,IF(AND(A132&lt;&gt;"",E132&lt;&gt;""),"Saved","Pending"),"🔒 BLOCKED — Wrong Code")))</f>
        <v/>
      </c>
      <c r="J132" s="500">
        <f>IF(I132="Saved",TEXT(TODAY(),"YYYY-MM-DD")&amp;" Auto","—")</f>
        <v/>
      </c>
      <c r="K132" s="501" t="n"/>
    </row>
    <row r="133" ht="15" customHeight="1" s="341">
      <c r="A133" s="486" t="n"/>
      <c r="B133" s="378">
        <f>IF(A133="","",IFERROR(VLOOKUP(A133,DB_Customers!$A:$D,4,0),"❌ Account Not Found"))</f>
        <v/>
      </c>
      <c r="C133" s="487">
        <f>IF(A133="","",IFERROR(VLOOKUP(A133,DB_Customers!$A:$N,14,0),""))</f>
        <v/>
      </c>
      <c r="D133" s="488">
        <f>IF(A133="","",TODAY())</f>
        <v/>
      </c>
      <c r="E133" s="489" t="n"/>
      <c r="F133" s="490">
        <f>IF(OR(A133="",E133=""),"",IF(C133="","",C133+E133))</f>
        <v/>
      </c>
      <c r="G133" s="380" t="inlineStr">
        <is>
          <t>Agent 09</t>
        </is>
      </c>
      <c r="H133" s="491" t="n"/>
      <c r="I133" s="492">
        <f>IF(A133="","Pending",IF(H133="","⚠️ Enter Code",IF(IFERROR(VLOOKUP(G133,DB_Agents!$B:$I,8,0),"")=H133,IF(AND(A133&lt;&gt;"",E133&lt;&gt;""),"Saved","Pending"),"🔒 BLOCKED — Wrong Code")))</f>
        <v/>
      </c>
      <c r="J133" s="493">
        <f>IF(I133="Saved",TEXT(TODAY(),"YYYY-MM-DD")&amp;" Auto","—")</f>
        <v/>
      </c>
      <c r="K133" s="494" t="n"/>
    </row>
    <row r="134" ht="15" customHeight="1" s="341">
      <c r="A134" s="495" t="n"/>
      <c r="B134" s="382">
        <f>IF(A134="","",IFERROR(VLOOKUP(A134,DB_Customers!$A:$D,4,0),"❌ Account Not Found"))</f>
        <v/>
      </c>
      <c r="C134" s="496">
        <f>IF(A134="","",IFERROR(VLOOKUP(A134,DB_Customers!$A:$N,14,0),""))</f>
        <v/>
      </c>
      <c r="D134" s="497">
        <f>IF(A134="","",TODAY())</f>
        <v/>
      </c>
      <c r="E134" s="489" t="n"/>
      <c r="F134" s="498">
        <f>IF(OR(A134="",E134=""),"",IF(C134="","",C134+E134))</f>
        <v/>
      </c>
      <c r="G134" s="384" t="inlineStr">
        <is>
          <t>Agent 09</t>
        </is>
      </c>
      <c r="H134" s="491" t="n"/>
      <c r="I134" s="499">
        <f>IF(A134="","Pending",IF(H134="","⚠️ Enter Code",IF(IFERROR(VLOOKUP(G134,DB_Agents!$B:$I,8,0),"")=H134,IF(AND(A134&lt;&gt;"",E134&lt;&gt;""),"Saved","Pending"),"🔒 BLOCKED — Wrong Code")))</f>
        <v/>
      </c>
      <c r="J134" s="500">
        <f>IF(I134="Saved",TEXT(TODAY(),"YYYY-MM-DD")&amp;" Auto","—")</f>
        <v/>
      </c>
      <c r="K134" s="501" t="n"/>
    </row>
    <row r="135" ht="15" customHeight="1" s="341">
      <c r="A135" s="486" t="n"/>
      <c r="B135" s="378">
        <f>IF(A135="","",IFERROR(VLOOKUP(A135,DB_Customers!$A:$D,4,0),"❌ Account Not Found"))</f>
        <v/>
      </c>
      <c r="C135" s="487">
        <f>IF(A135="","",IFERROR(VLOOKUP(A135,DB_Customers!$A:$N,14,0),""))</f>
        <v/>
      </c>
      <c r="D135" s="488">
        <f>IF(A135="","",TODAY())</f>
        <v/>
      </c>
      <c r="E135" s="489" t="n"/>
      <c r="F135" s="490">
        <f>IF(OR(A135="",E135=""),"",IF(C135="","",C135+E135))</f>
        <v/>
      </c>
      <c r="G135" s="380" t="inlineStr">
        <is>
          <t>Agent 09</t>
        </is>
      </c>
      <c r="H135" s="491" t="n"/>
      <c r="I135" s="492">
        <f>IF(A135="","Pending",IF(H135="","⚠️ Enter Code",IF(IFERROR(VLOOKUP(G135,DB_Agents!$B:$I,8,0),"")=H135,IF(AND(A135&lt;&gt;"",E135&lt;&gt;""),"Saved","Pending"),"🔒 BLOCKED — Wrong Code")))</f>
        <v/>
      </c>
      <c r="J135" s="493">
        <f>IF(I135="Saved",TEXT(TODAY(),"YYYY-MM-DD")&amp;" Auto","—")</f>
        <v/>
      </c>
      <c r="K135" s="494" t="n"/>
    </row>
    <row r="136" ht="15" customHeight="1" s="341">
      <c r="A136" s="495" t="n"/>
      <c r="B136" s="382">
        <f>IF(A136="","",IFERROR(VLOOKUP(A136,DB_Customers!$A:$D,4,0),"❌ Account Not Found"))</f>
        <v/>
      </c>
      <c r="C136" s="496">
        <f>IF(A136="","",IFERROR(VLOOKUP(A136,DB_Customers!$A:$N,14,0),""))</f>
        <v/>
      </c>
      <c r="D136" s="497">
        <f>IF(A136="","",TODAY())</f>
        <v/>
      </c>
      <c r="E136" s="489" t="n"/>
      <c r="F136" s="498">
        <f>IF(OR(A136="",E136=""),"",IF(C136="","",C136+E136))</f>
        <v/>
      </c>
      <c r="G136" s="384" t="inlineStr">
        <is>
          <t>Agent 09</t>
        </is>
      </c>
      <c r="H136" s="491" t="n"/>
      <c r="I136" s="499">
        <f>IF(A136="","Pending",IF(H136="","⚠️ Enter Code",IF(IFERROR(VLOOKUP(G136,DB_Agents!$B:$I,8,0),"")=H136,IF(AND(A136&lt;&gt;"",E136&lt;&gt;""),"Saved","Pending"),"🔒 BLOCKED — Wrong Code")))</f>
        <v/>
      </c>
      <c r="J136" s="500">
        <f>IF(I136="Saved",TEXT(TODAY(),"YYYY-MM-DD")&amp;" Auto","—")</f>
        <v/>
      </c>
      <c r="K136" s="501" t="n"/>
    </row>
    <row r="137" ht="15" customHeight="1" s="341">
      <c r="A137" s="486" t="n"/>
      <c r="B137" s="378">
        <f>IF(A137="","",IFERROR(VLOOKUP(A137,DB_Customers!$A:$D,4,0),"❌ Account Not Found"))</f>
        <v/>
      </c>
      <c r="C137" s="487">
        <f>IF(A137="","",IFERROR(VLOOKUP(A137,DB_Customers!$A:$N,14,0),""))</f>
        <v/>
      </c>
      <c r="D137" s="488">
        <f>IF(A137="","",TODAY())</f>
        <v/>
      </c>
      <c r="E137" s="489" t="n"/>
      <c r="F137" s="490">
        <f>IF(OR(A137="",E137=""),"",IF(C137="","",C137+E137))</f>
        <v/>
      </c>
      <c r="G137" s="380" t="inlineStr">
        <is>
          <t>Agent 09</t>
        </is>
      </c>
      <c r="H137" s="491" t="n"/>
      <c r="I137" s="492">
        <f>IF(A137="","Pending",IF(H137="","⚠️ Enter Code",IF(IFERROR(VLOOKUP(G137,DB_Agents!$B:$I,8,0),"")=H137,IF(AND(A137&lt;&gt;"",E137&lt;&gt;""),"Saved","Pending"),"🔒 BLOCKED — Wrong Code")))</f>
        <v/>
      </c>
      <c r="J137" s="493">
        <f>IF(I137="Saved",TEXT(TODAY(),"YYYY-MM-DD")&amp;" Auto","—")</f>
        <v/>
      </c>
      <c r="K137" s="494" t="n"/>
    </row>
    <row r="138" ht="15" customHeight="1" s="341">
      <c r="A138" s="495" t="n"/>
      <c r="B138" s="382">
        <f>IF(A138="","",IFERROR(VLOOKUP(A138,DB_Customers!$A:$D,4,0),"❌ Account Not Found"))</f>
        <v/>
      </c>
      <c r="C138" s="496">
        <f>IF(A138="","",IFERROR(VLOOKUP(A138,DB_Customers!$A:$N,14,0),""))</f>
        <v/>
      </c>
      <c r="D138" s="497">
        <f>IF(A138="","",TODAY())</f>
        <v/>
      </c>
      <c r="E138" s="489" t="n"/>
      <c r="F138" s="498">
        <f>IF(OR(A138="",E138=""),"",IF(C138="","",C138+E138))</f>
        <v/>
      </c>
      <c r="G138" s="384" t="inlineStr">
        <is>
          <t>Agent 09</t>
        </is>
      </c>
      <c r="H138" s="491" t="n"/>
      <c r="I138" s="499">
        <f>IF(A138="","Pending",IF(H138="","⚠️ Enter Code",IF(IFERROR(VLOOKUP(G138,DB_Agents!$B:$I,8,0),"")=H138,IF(AND(A138&lt;&gt;"",E138&lt;&gt;""),"Saved","Pending"),"🔒 BLOCKED — Wrong Code")))</f>
        <v/>
      </c>
      <c r="J138" s="500">
        <f>IF(I138="Saved",TEXT(TODAY(),"YYYY-MM-DD")&amp;" Auto","—")</f>
        <v/>
      </c>
      <c r="K138" s="501" t="n"/>
    </row>
    <row r="139" ht="15" customHeight="1" s="341">
      <c r="A139" s="486" t="n"/>
      <c r="B139" s="378">
        <f>IF(A139="","",IFERROR(VLOOKUP(A139,DB_Customers!$A:$D,4,0),"❌ Account Not Found"))</f>
        <v/>
      </c>
      <c r="C139" s="487">
        <f>IF(A139="","",IFERROR(VLOOKUP(A139,DB_Customers!$A:$N,14,0),""))</f>
        <v/>
      </c>
      <c r="D139" s="488">
        <f>IF(A139="","",TODAY())</f>
        <v/>
      </c>
      <c r="E139" s="489" t="n"/>
      <c r="F139" s="490">
        <f>IF(OR(A139="",E139=""),"",IF(C139="","",C139+E139))</f>
        <v/>
      </c>
      <c r="G139" s="380" t="inlineStr">
        <is>
          <t>Agent 09</t>
        </is>
      </c>
      <c r="H139" s="491" t="n"/>
      <c r="I139" s="492">
        <f>IF(A139="","Pending",IF(H139="","⚠️ Enter Code",IF(IFERROR(VLOOKUP(G139,DB_Agents!$B:$I,8,0),"")=H139,IF(AND(A139&lt;&gt;"",E139&lt;&gt;""),"Saved","Pending"),"🔒 BLOCKED — Wrong Code")))</f>
        <v/>
      </c>
      <c r="J139" s="493">
        <f>IF(I139="Saved",TEXT(TODAY(),"YYYY-MM-DD")&amp;" Auto","—")</f>
        <v/>
      </c>
      <c r="K139" s="494" t="n"/>
    </row>
    <row r="140" ht="15" customHeight="1" s="341">
      <c r="A140" s="495" t="n"/>
      <c r="B140" s="382">
        <f>IF(A140="","",IFERROR(VLOOKUP(A140,DB_Customers!$A:$D,4,0),"❌ Account Not Found"))</f>
        <v/>
      </c>
      <c r="C140" s="496">
        <f>IF(A140="","",IFERROR(VLOOKUP(A140,DB_Customers!$A:$N,14,0),""))</f>
        <v/>
      </c>
      <c r="D140" s="497">
        <f>IF(A140="","",TODAY())</f>
        <v/>
      </c>
      <c r="E140" s="489" t="n"/>
      <c r="F140" s="498">
        <f>IF(OR(A140="",E140=""),"",IF(C140="","",C140+E140))</f>
        <v/>
      </c>
      <c r="G140" s="384" t="inlineStr">
        <is>
          <t>Agent 09</t>
        </is>
      </c>
      <c r="H140" s="491" t="n"/>
      <c r="I140" s="499">
        <f>IF(A140="","Pending",IF(H140="","⚠️ Enter Code",IF(IFERROR(VLOOKUP(G140,DB_Agents!$B:$I,8,0),"")=H140,IF(AND(A140&lt;&gt;"",E140&lt;&gt;""),"Saved","Pending"),"🔒 BLOCKED — Wrong Code")))</f>
        <v/>
      </c>
      <c r="J140" s="500">
        <f>IF(I140="Saved",TEXT(TODAY(),"YYYY-MM-DD")&amp;" Auto","—")</f>
        <v/>
      </c>
      <c r="K140" s="501" t="n"/>
    </row>
    <row r="141" ht="15" customHeight="1" s="341">
      <c r="A141" s="486" t="n"/>
      <c r="B141" s="378">
        <f>IF(A141="","",IFERROR(VLOOKUP(A141,DB_Customers!$A:$D,4,0),"❌ Account Not Found"))</f>
        <v/>
      </c>
      <c r="C141" s="487">
        <f>IF(A141="","",IFERROR(VLOOKUP(A141,DB_Customers!$A:$N,14,0),""))</f>
        <v/>
      </c>
      <c r="D141" s="488">
        <f>IF(A141="","",TODAY())</f>
        <v/>
      </c>
      <c r="E141" s="489" t="n"/>
      <c r="F141" s="490">
        <f>IF(OR(A141="",E141=""),"",IF(C141="","",C141+E141))</f>
        <v/>
      </c>
      <c r="G141" s="380" t="inlineStr">
        <is>
          <t>Agent 09</t>
        </is>
      </c>
      <c r="H141" s="491" t="n"/>
      <c r="I141" s="492">
        <f>IF(A141="","Pending",IF(H141="","⚠️ Enter Code",IF(IFERROR(VLOOKUP(G141,DB_Agents!$B:$I,8,0),"")=H141,IF(AND(A141&lt;&gt;"",E141&lt;&gt;""),"Saved","Pending"),"🔒 BLOCKED — Wrong Code")))</f>
        <v/>
      </c>
      <c r="J141" s="493">
        <f>IF(I141="Saved",TEXT(TODAY(),"YYYY-MM-DD")&amp;" Auto","—")</f>
        <v/>
      </c>
      <c r="K141" s="494" t="n"/>
    </row>
    <row r="142" ht="15" customHeight="1" s="341">
      <c r="A142" s="495" t="n"/>
      <c r="B142" s="382">
        <f>IF(A142="","",IFERROR(VLOOKUP(A142,DB_Customers!$A:$D,4,0),"❌ Account Not Found"))</f>
        <v/>
      </c>
      <c r="C142" s="496">
        <f>IF(A142="","",IFERROR(VLOOKUP(A142,DB_Customers!$A:$N,14,0),""))</f>
        <v/>
      </c>
      <c r="D142" s="497">
        <f>IF(A142="","",TODAY())</f>
        <v/>
      </c>
      <c r="E142" s="489" t="n"/>
      <c r="F142" s="498">
        <f>IF(OR(A142="",E142=""),"",IF(C142="","",C142+E142))</f>
        <v/>
      </c>
      <c r="G142" s="384" t="inlineStr">
        <is>
          <t>Agent 09</t>
        </is>
      </c>
      <c r="H142" s="491" t="n"/>
      <c r="I142" s="499">
        <f>IF(A142="","Pending",IF(H142="","⚠️ Enter Code",IF(IFERROR(VLOOKUP(G142,DB_Agents!$B:$I,8,0),"")=H142,IF(AND(A142&lt;&gt;"",E142&lt;&gt;""),"Saved","Pending"),"🔒 BLOCKED — Wrong Code")))</f>
        <v/>
      </c>
      <c r="J142" s="500">
        <f>IF(I142="Saved",TEXT(TODAY(),"YYYY-MM-DD")&amp;" Auto","—")</f>
        <v/>
      </c>
      <c r="K142" s="501" t="n"/>
    </row>
    <row r="143" ht="15" customHeight="1" s="341">
      <c r="A143" s="486" t="n"/>
      <c r="B143" s="378">
        <f>IF(A143="","",IFERROR(VLOOKUP(A143,DB_Customers!$A:$D,4,0),"❌ Account Not Found"))</f>
        <v/>
      </c>
      <c r="C143" s="487">
        <f>IF(A143="","",IFERROR(VLOOKUP(A143,DB_Customers!$A:$N,14,0),""))</f>
        <v/>
      </c>
      <c r="D143" s="488">
        <f>IF(A143="","",TODAY())</f>
        <v/>
      </c>
      <c r="E143" s="489" t="n"/>
      <c r="F143" s="490">
        <f>IF(OR(A143="",E143=""),"",IF(C143="","",C143+E143))</f>
        <v/>
      </c>
      <c r="G143" s="380" t="inlineStr">
        <is>
          <t>Agent 09</t>
        </is>
      </c>
      <c r="H143" s="491" t="n"/>
      <c r="I143" s="492">
        <f>IF(A143="","Pending",IF(H143="","⚠️ Enter Code",IF(IFERROR(VLOOKUP(G143,DB_Agents!$B:$I,8,0),"")=H143,IF(AND(A143&lt;&gt;"",E143&lt;&gt;""),"Saved","Pending"),"🔒 BLOCKED — Wrong Code")))</f>
        <v/>
      </c>
      <c r="J143" s="493">
        <f>IF(I143="Saved",TEXT(TODAY(),"YYYY-MM-DD")&amp;" Auto","—")</f>
        <v/>
      </c>
      <c r="K143" s="494" t="n"/>
    </row>
    <row r="144" ht="15" customHeight="1" s="341">
      <c r="A144" s="495" t="n"/>
      <c r="B144" s="382">
        <f>IF(A144="","",IFERROR(VLOOKUP(A144,DB_Customers!$A:$D,4,0),"❌ Account Not Found"))</f>
        <v/>
      </c>
      <c r="C144" s="496">
        <f>IF(A144="","",IFERROR(VLOOKUP(A144,DB_Customers!$A:$N,14,0),""))</f>
        <v/>
      </c>
      <c r="D144" s="497">
        <f>IF(A144="","",TODAY())</f>
        <v/>
      </c>
      <c r="E144" s="489" t="n"/>
      <c r="F144" s="498">
        <f>IF(OR(A144="",E144=""),"",IF(C144="","",C144+E144))</f>
        <v/>
      </c>
      <c r="G144" s="384" t="inlineStr">
        <is>
          <t>Agent 09</t>
        </is>
      </c>
      <c r="H144" s="491" t="n"/>
      <c r="I144" s="499">
        <f>IF(A144="","Pending",IF(H144="","⚠️ Enter Code",IF(IFERROR(VLOOKUP(G144,DB_Agents!$B:$I,8,0),"")=H144,IF(AND(A144&lt;&gt;"",E144&lt;&gt;""),"Saved","Pending"),"🔒 BLOCKED — Wrong Code")))</f>
        <v/>
      </c>
      <c r="J144" s="500">
        <f>IF(I144="Saved",TEXT(TODAY(),"YYYY-MM-DD")&amp;" Auto","—")</f>
        <v/>
      </c>
      <c r="K144" s="501" t="n"/>
    </row>
    <row r="145" ht="15" customHeight="1" s="341">
      <c r="A145" s="486" t="n"/>
      <c r="B145" s="378">
        <f>IF(A145="","",IFERROR(VLOOKUP(A145,DB_Customers!$A:$D,4,0),"❌ Account Not Found"))</f>
        <v/>
      </c>
      <c r="C145" s="487">
        <f>IF(A145="","",IFERROR(VLOOKUP(A145,DB_Customers!$A:$N,14,0),""))</f>
        <v/>
      </c>
      <c r="D145" s="488">
        <f>IF(A145="","",TODAY())</f>
        <v/>
      </c>
      <c r="E145" s="489" t="n"/>
      <c r="F145" s="490">
        <f>IF(OR(A145="",E145=""),"",IF(C145="","",C145+E145))</f>
        <v/>
      </c>
      <c r="G145" s="380" t="inlineStr">
        <is>
          <t>Agent 09</t>
        </is>
      </c>
      <c r="H145" s="491" t="n"/>
      <c r="I145" s="492">
        <f>IF(A145="","Pending",IF(H145="","⚠️ Enter Code",IF(IFERROR(VLOOKUP(G145,DB_Agents!$B:$I,8,0),"")=H145,IF(AND(A145&lt;&gt;"",E145&lt;&gt;""),"Saved","Pending"),"🔒 BLOCKED — Wrong Code")))</f>
        <v/>
      </c>
      <c r="J145" s="493">
        <f>IF(I145="Saved",TEXT(TODAY(),"YYYY-MM-DD")&amp;" Auto","—")</f>
        <v/>
      </c>
      <c r="K145" s="494" t="n"/>
    </row>
    <row r="146" ht="15" customHeight="1" s="341">
      <c r="A146" s="495" t="n"/>
      <c r="B146" s="382">
        <f>IF(A146="","",IFERROR(VLOOKUP(A146,DB_Customers!$A:$D,4,0),"❌ Account Not Found"))</f>
        <v/>
      </c>
      <c r="C146" s="496">
        <f>IF(A146="","",IFERROR(VLOOKUP(A146,DB_Customers!$A:$N,14,0),""))</f>
        <v/>
      </c>
      <c r="D146" s="497">
        <f>IF(A146="","",TODAY())</f>
        <v/>
      </c>
      <c r="E146" s="489" t="n"/>
      <c r="F146" s="498">
        <f>IF(OR(A146="",E146=""),"",IF(C146="","",C146+E146))</f>
        <v/>
      </c>
      <c r="G146" s="384" t="inlineStr">
        <is>
          <t>Agent 09</t>
        </is>
      </c>
      <c r="H146" s="491" t="n"/>
      <c r="I146" s="499">
        <f>IF(A146="","Pending",IF(H146="","⚠️ Enter Code",IF(IFERROR(VLOOKUP(G146,DB_Agents!$B:$I,8,0),"")=H146,IF(AND(A146&lt;&gt;"",E146&lt;&gt;""),"Saved","Pending"),"🔒 BLOCKED — Wrong Code")))</f>
        <v/>
      </c>
      <c r="J146" s="500">
        <f>IF(I146="Saved",TEXT(TODAY(),"YYYY-MM-DD")&amp;" Auto","—")</f>
        <v/>
      </c>
      <c r="K146" s="501" t="n"/>
    </row>
    <row r="147" ht="15" customHeight="1" s="341">
      <c r="A147" s="486" t="n"/>
      <c r="B147" s="378">
        <f>IF(A147="","",IFERROR(VLOOKUP(A147,DB_Customers!$A:$D,4,0),"❌ Account Not Found"))</f>
        <v/>
      </c>
      <c r="C147" s="487">
        <f>IF(A147="","",IFERROR(VLOOKUP(A147,DB_Customers!$A:$N,14,0),""))</f>
        <v/>
      </c>
      <c r="D147" s="488">
        <f>IF(A147="","",TODAY())</f>
        <v/>
      </c>
      <c r="E147" s="489" t="n"/>
      <c r="F147" s="490">
        <f>IF(OR(A147="",E147=""),"",IF(C147="","",C147+E147))</f>
        <v/>
      </c>
      <c r="G147" s="380" t="inlineStr">
        <is>
          <t>Agent 09</t>
        </is>
      </c>
      <c r="H147" s="491" t="n"/>
      <c r="I147" s="492">
        <f>IF(A147="","Pending",IF(H147="","⚠️ Enter Code",IF(IFERROR(VLOOKUP(G147,DB_Agents!$B:$I,8,0),"")=H147,IF(AND(A147&lt;&gt;"",E147&lt;&gt;""),"Saved","Pending"),"🔒 BLOCKED — Wrong Code")))</f>
        <v/>
      </c>
      <c r="J147" s="493">
        <f>IF(I147="Saved",TEXT(TODAY(),"YYYY-MM-DD")&amp;" Auto","—")</f>
        <v/>
      </c>
      <c r="K147" s="494" t="n"/>
    </row>
    <row r="148" ht="15" customHeight="1" s="341">
      <c r="A148" s="495" t="n"/>
      <c r="B148" s="382">
        <f>IF(A148="","",IFERROR(VLOOKUP(A148,DB_Customers!$A:$D,4,0),"❌ Account Not Found"))</f>
        <v/>
      </c>
      <c r="C148" s="496">
        <f>IF(A148="","",IFERROR(VLOOKUP(A148,DB_Customers!$A:$N,14,0),""))</f>
        <v/>
      </c>
      <c r="D148" s="497">
        <f>IF(A148="","",TODAY())</f>
        <v/>
      </c>
      <c r="E148" s="489" t="n"/>
      <c r="F148" s="498">
        <f>IF(OR(A148="",E148=""),"",IF(C148="","",C148+E148))</f>
        <v/>
      </c>
      <c r="G148" s="384" t="inlineStr">
        <is>
          <t>Agent 09</t>
        </is>
      </c>
      <c r="H148" s="491" t="n"/>
      <c r="I148" s="499">
        <f>IF(A148="","Pending",IF(H148="","⚠️ Enter Code",IF(IFERROR(VLOOKUP(G148,DB_Agents!$B:$I,8,0),"")=H148,IF(AND(A148&lt;&gt;"",E148&lt;&gt;""),"Saved","Pending"),"🔒 BLOCKED — Wrong Code")))</f>
        <v/>
      </c>
      <c r="J148" s="500">
        <f>IF(I148="Saved",TEXT(TODAY(),"YYYY-MM-DD")&amp;" Auto","—")</f>
        <v/>
      </c>
      <c r="K148" s="501" t="n"/>
    </row>
    <row r="149" ht="15" customHeight="1" s="341">
      <c r="A149" s="486" t="n"/>
      <c r="B149" s="378">
        <f>IF(A149="","",IFERROR(VLOOKUP(A149,DB_Customers!$A:$D,4,0),"❌ Account Not Found"))</f>
        <v/>
      </c>
      <c r="C149" s="487">
        <f>IF(A149="","",IFERROR(VLOOKUP(A149,DB_Customers!$A:$N,14,0),""))</f>
        <v/>
      </c>
      <c r="D149" s="488">
        <f>IF(A149="","",TODAY())</f>
        <v/>
      </c>
      <c r="E149" s="489" t="n"/>
      <c r="F149" s="490">
        <f>IF(OR(A149="",E149=""),"",IF(C149="","",C149+E149))</f>
        <v/>
      </c>
      <c r="G149" s="380" t="inlineStr">
        <is>
          <t>Agent 09</t>
        </is>
      </c>
      <c r="H149" s="491" t="n"/>
      <c r="I149" s="492">
        <f>IF(A149="","Pending",IF(H149="","⚠️ Enter Code",IF(IFERROR(VLOOKUP(G149,DB_Agents!$B:$I,8,0),"")=H149,IF(AND(A149&lt;&gt;"",E149&lt;&gt;""),"Saved","Pending"),"🔒 BLOCKED — Wrong Code")))</f>
        <v/>
      </c>
      <c r="J149" s="493">
        <f>IF(I149="Saved",TEXT(TODAY(),"YYYY-MM-DD")&amp;" Auto","—")</f>
        <v/>
      </c>
      <c r="K149" s="494" t="n"/>
    </row>
    <row r="150" ht="15" customHeight="1" s="341">
      <c r="A150" s="495" t="n"/>
      <c r="B150" s="382">
        <f>IF(A150="","",IFERROR(VLOOKUP(A150,DB_Customers!$A:$D,4,0),"❌ Account Not Found"))</f>
        <v/>
      </c>
      <c r="C150" s="496">
        <f>IF(A150="","",IFERROR(VLOOKUP(A150,DB_Customers!$A:$N,14,0),""))</f>
        <v/>
      </c>
      <c r="D150" s="497">
        <f>IF(A150="","",TODAY())</f>
        <v/>
      </c>
      <c r="E150" s="489" t="n"/>
      <c r="F150" s="498">
        <f>IF(OR(A150="",E150=""),"",IF(C150="","",C150+E150))</f>
        <v/>
      </c>
      <c r="G150" s="384" t="inlineStr">
        <is>
          <t>Agent 09</t>
        </is>
      </c>
      <c r="H150" s="491" t="n"/>
      <c r="I150" s="499">
        <f>IF(A150="","Pending",IF(H150="","⚠️ Enter Code",IF(IFERROR(VLOOKUP(G150,DB_Agents!$B:$I,8,0),"")=H150,IF(AND(A150&lt;&gt;"",E150&lt;&gt;""),"Saved","Pending"),"🔒 BLOCKED — Wrong Code")))</f>
        <v/>
      </c>
      <c r="J150" s="500">
        <f>IF(I150="Saved",TEXT(TODAY(),"YYYY-MM-DD")&amp;" Auto","—")</f>
        <v/>
      </c>
      <c r="K150" s="501" t="n"/>
    </row>
    <row r="151" ht="15" customHeight="1" s="341">
      <c r="A151" s="486" t="n"/>
      <c r="B151" s="378">
        <f>IF(A151="","",IFERROR(VLOOKUP(A151,DB_Customers!$A:$D,4,0),"❌ Account Not Found"))</f>
        <v/>
      </c>
      <c r="C151" s="487">
        <f>IF(A151="","",IFERROR(VLOOKUP(A151,DB_Customers!$A:$N,14,0),""))</f>
        <v/>
      </c>
      <c r="D151" s="488">
        <f>IF(A151="","",TODAY())</f>
        <v/>
      </c>
      <c r="E151" s="489" t="n"/>
      <c r="F151" s="490">
        <f>IF(OR(A151="",E151=""),"",IF(C151="","",C151+E151))</f>
        <v/>
      </c>
      <c r="G151" s="380" t="inlineStr">
        <is>
          <t>Agent 09</t>
        </is>
      </c>
      <c r="H151" s="491" t="n"/>
      <c r="I151" s="492">
        <f>IF(A151="","Pending",IF(H151="","⚠️ Enter Code",IF(IFERROR(VLOOKUP(G151,DB_Agents!$B:$I,8,0),"")=H151,IF(AND(A151&lt;&gt;"",E151&lt;&gt;""),"Saved","Pending"),"🔒 BLOCKED — Wrong Code")))</f>
        <v/>
      </c>
      <c r="J151" s="493">
        <f>IF(I151="Saved",TEXT(TODAY(),"YYYY-MM-DD")&amp;" Auto","—")</f>
        <v/>
      </c>
      <c r="K151" s="494" t="n"/>
    </row>
    <row r="152" ht="15" customHeight="1" s="341">
      <c r="A152" s="495" t="n"/>
      <c r="B152" s="382">
        <f>IF(A152="","",IFERROR(VLOOKUP(A152,DB_Customers!$A:$D,4,0),"❌ Account Not Found"))</f>
        <v/>
      </c>
      <c r="C152" s="496">
        <f>IF(A152="","",IFERROR(VLOOKUP(A152,DB_Customers!$A:$N,14,0),""))</f>
        <v/>
      </c>
      <c r="D152" s="497">
        <f>IF(A152="","",TODAY())</f>
        <v/>
      </c>
      <c r="E152" s="489" t="n"/>
      <c r="F152" s="498">
        <f>IF(OR(A152="",E152=""),"",IF(C152="","",C152+E152))</f>
        <v/>
      </c>
      <c r="G152" s="384" t="inlineStr">
        <is>
          <t>Agent 09</t>
        </is>
      </c>
      <c r="H152" s="491" t="n"/>
      <c r="I152" s="499">
        <f>IF(A152="","Pending",IF(H152="","⚠️ Enter Code",IF(IFERROR(VLOOKUP(G152,DB_Agents!$B:$I,8,0),"")=H152,IF(AND(A152&lt;&gt;"",E152&lt;&gt;""),"Saved","Pending"),"🔒 BLOCKED — Wrong Code")))</f>
        <v/>
      </c>
      <c r="J152" s="500">
        <f>IF(I152="Saved",TEXT(TODAY(),"YYYY-MM-DD")&amp;" Auto","—")</f>
        <v/>
      </c>
      <c r="K152" s="501" t="n"/>
    </row>
    <row r="153" ht="15" customHeight="1" s="341">
      <c r="A153" s="486" t="n"/>
      <c r="B153" s="378">
        <f>IF(A153="","",IFERROR(VLOOKUP(A153,DB_Customers!$A:$D,4,0),"❌ Account Not Found"))</f>
        <v/>
      </c>
      <c r="C153" s="487">
        <f>IF(A153="","",IFERROR(VLOOKUP(A153,DB_Customers!$A:$N,14,0),""))</f>
        <v/>
      </c>
      <c r="D153" s="488">
        <f>IF(A153="","",TODAY())</f>
        <v/>
      </c>
      <c r="E153" s="489" t="n"/>
      <c r="F153" s="490">
        <f>IF(OR(A153="",E153=""),"",IF(C153="","",C153+E153))</f>
        <v/>
      </c>
      <c r="G153" s="380" t="inlineStr">
        <is>
          <t>Agent 09</t>
        </is>
      </c>
      <c r="H153" s="491" t="n"/>
      <c r="I153" s="492">
        <f>IF(A153="","Pending",IF(H153="","⚠️ Enter Code",IF(IFERROR(VLOOKUP(G153,DB_Agents!$B:$I,8,0),"")=H153,IF(AND(A153&lt;&gt;"",E153&lt;&gt;""),"Saved","Pending"),"🔒 BLOCKED — Wrong Code")))</f>
        <v/>
      </c>
      <c r="J153" s="493">
        <f>IF(I153="Saved",TEXT(TODAY(),"YYYY-MM-DD")&amp;" Auto","—")</f>
        <v/>
      </c>
      <c r="K153" s="494" t="n"/>
    </row>
    <row r="154" ht="15" customHeight="1" s="341">
      <c r="A154" s="495" t="n"/>
      <c r="B154" s="382">
        <f>IF(A154="","",IFERROR(VLOOKUP(A154,DB_Customers!$A:$D,4,0),"❌ Account Not Found"))</f>
        <v/>
      </c>
      <c r="C154" s="496">
        <f>IF(A154="","",IFERROR(VLOOKUP(A154,DB_Customers!$A:$N,14,0),""))</f>
        <v/>
      </c>
      <c r="D154" s="497">
        <f>IF(A154="","",TODAY())</f>
        <v/>
      </c>
      <c r="E154" s="489" t="n"/>
      <c r="F154" s="498">
        <f>IF(OR(A154="",E154=""),"",IF(C154="","",C154+E154))</f>
        <v/>
      </c>
      <c r="G154" s="384" t="inlineStr">
        <is>
          <t>Agent 09</t>
        </is>
      </c>
      <c r="H154" s="491" t="n"/>
      <c r="I154" s="499">
        <f>IF(A154="","Pending",IF(H154="","⚠️ Enter Code",IF(IFERROR(VLOOKUP(G154,DB_Agents!$B:$I,8,0),"")=H154,IF(AND(A154&lt;&gt;"",E154&lt;&gt;""),"Saved","Pending"),"🔒 BLOCKED — Wrong Code")))</f>
        <v/>
      </c>
      <c r="J154" s="500">
        <f>IF(I154="Saved",TEXT(TODAY(),"YYYY-MM-DD")&amp;" Auto","—")</f>
        <v/>
      </c>
      <c r="K154" s="501" t="n"/>
    </row>
    <row r="155" ht="15" customHeight="1" s="341">
      <c r="A155" s="486" t="n"/>
      <c r="B155" s="378">
        <f>IF(A155="","",IFERROR(VLOOKUP(A155,DB_Customers!$A:$D,4,0),"❌ Account Not Found"))</f>
        <v/>
      </c>
      <c r="C155" s="487">
        <f>IF(A155="","",IFERROR(VLOOKUP(A155,DB_Customers!$A:$N,14,0),""))</f>
        <v/>
      </c>
      <c r="D155" s="488">
        <f>IF(A155="","",TODAY())</f>
        <v/>
      </c>
      <c r="E155" s="489" t="n"/>
      <c r="F155" s="490">
        <f>IF(OR(A155="",E155=""),"",IF(C155="","",C155+E155))</f>
        <v/>
      </c>
      <c r="G155" s="380" t="inlineStr">
        <is>
          <t>Agent 09</t>
        </is>
      </c>
      <c r="H155" s="491" t="n"/>
      <c r="I155" s="492">
        <f>IF(A155="","Pending",IF(H155="","⚠️ Enter Code",IF(IFERROR(VLOOKUP(G155,DB_Agents!$B:$I,8,0),"")=H155,IF(AND(A155&lt;&gt;"",E155&lt;&gt;""),"Saved","Pending"),"🔒 BLOCKED — Wrong Code")))</f>
        <v/>
      </c>
      <c r="J155" s="493">
        <f>IF(I155="Saved",TEXT(TODAY(),"YYYY-MM-DD")&amp;" Auto","—")</f>
        <v/>
      </c>
      <c r="K155" s="494" t="n"/>
    </row>
    <row r="156" ht="15" customHeight="1" s="341">
      <c r="A156" s="495" t="n"/>
      <c r="B156" s="382">
        <f>IF(A156="","",IFERROR(VLOOKUP(A156,DB_Customers!$A:$D,4,0),"❌ Account Not Found"))</f>
        <v/>
      </c>
      <c r="C156" s="496">
        <f>IF(A156="","",IFERROR(VLOOKUP(A156,DB_Customers!$A:$N,14,0),""))</f>
        <v/>
      </c>
      <c r="D156" s="497">
        <f>IF(A156="","",TODAY())</f>
        <v/>
      </c>
      <c r="E156" s="489" t="n"/>
      <c r="F156" s="498">
        <f>IF(OR(A156="",E156=""),"",IF(C156="","",C156+E156))</f>
        <v/>
      </c>
      <c r="G156" s="384" t="inlineStr">
        <is>
          <t>Agent 09</t>
        </is>
      </c>
      <c r="H156" s="491" t="n"/>
      <c r="I156" s="499">
        <f>IF(A156="","Pending",IF(H156="","⚠️ Enter Code",IF(IFERROR(VLOOKUP(G156,DB_Agents!$B:$I,8,0),"")=H156,IF(AND(A156&lt;&gt;"",E156&lt;&gt;""),"Saved","Pending"),"🔒 BLOCKED — Wrong Code")))</f>
        <v/>
      </c>
      <c r="J156" s="500">
        <f>IF(I156="Saved",TEXT(TODAY(),"YYYY-MM-DD")&amp;" Auto","—")</f>
        <v/>
      </c>
      <c r="K156" s="501" t="n"/>
    </row>
    <row r="157" ht="15" customHeight="1" s="341">
      <c r="A157" s="486" t="n"/>
      <c r="B157" s="378">
        <f>IF(A157="","",IFERROR(VLOOKUP(A157,DB_Customers!$A:$D,4,0),"❌ Account Not Found"))</f>
        <v/>
      </c>
      <c r="C157" s="487">
        <f>IF(A157="","",IFERROR(VLOOKUP(A157,DB_Customers!$A:$N,14,0),""))</f>
        <v/>
      </c>
      <c r="D157" s="488">
        <f>IF(A157="","",TODAY())</f>
        <v/>
      </c>
      <c r="E157" s="489" t="n"/>
      <c r="F157" s="490">
        <f>IF(OR(A157="",E157=""),"",IF(C157="","",C157+E157))</f>
        <v/>
      </c>
      <c r="G157" s="380" t="inlineStr">
        <is>
          <t>Agent 09</t>
        </is>
      </c>
      <c r="H157" s="491" t="n"/>
      <c r="I157" s="492">
        <f>IF(A157="","Pending",IF(H157="","⚠️ Enter Code",IF(IFERROR(VLOOKUP(G157,DB_Agents!$B:$I,8,0),"")=H157,IF(AND(A157&lt;&gt;"",E157&lt;&gt;""),"Saved","Pending"),"🔒 BLOCKED — Wrong Code")))</f>
        <v/>
      </c>
      <c r="J157" s="493">
        <f>IF(I157="Saved",TEXT(TODAY(),"YYYY-MM-DD")&amp;" Auto","—")</f>
        <v/>
      </c>
      <c r="K157" s="494" t="n"/>
    </row>
    <row r="158" ht="15" customHeight="1" s="341">
      <c r="A158" s="495" t="n"/>
      <c r="B158" s="382">
        <f>IF(A158="","",IFERROR(VLOOKUP(A158,DB_Customers!$A:$D,4,0),"❌ Account Not Found"))</f>
        <v/>
      </c>
      <c r="C158" s="496">
        <f>IF(A158="","",IFERROR(VLOOKUP(A158,DB_Customers!$A:$N,14,0),""))</f>
        <v/>
      </c>
      <c r="D158" s="497">
        <f>IF(A158="","",TODAY())</f>
        <v/>
      </c>
      <c r="E158" s="489" t="n"/>
      <c r="F158" s="498">
        <f>IF(OR(A158="",E158=""),"",IF(C158="","",C158+E158))</f>
        <v/>
      </c>
      <c r="G158" s="384" t="inlineStr">
        <is>
          <t>Agent 09</t>
        </is>
      </c>
      <c r="H158" s="491" t="n"/>
      <c r="I158" s="499">
        <f>IF(A158="","Pending",IF(H158="","⚠️ Enter Code",IF(IFERROR(VLOOKUP(G158,DB_Agents!$B:$I,8,0),"")=H158,IF(AND(A158&lt;&gt;"",E158&lt;&gt;""),"Saved","Pending"),"🔒 BLOCKED — Wrong Code")))</f>
        <v/>
      </c>
      <c r="J158" s="500">
        <f>IF(I158="Saved",TEXT(TODAY(),"YYYY-MM-DD")&amp;" Auto","—")</f>
        <v/>
      </c>
      <c r="K158" s="501" t="n"/>
    </row>
    <row r="159" ht="15" customHeight="1" s="341">
      <c r="A159" s="486" t="n"/>
      <c r="B159" s="378">
        <f>IF(A159="","",IFERROR(VLOOKUP(A159,DB_Customers!$A:$D,4,0),"❌ Account Not Found"))</f>
        <v/>
      </c>
      <c r="C159" s="487">
        <f>IF(A159="","",IFERROR(VLOOKUP(A159,DB_Customers!$A:$N,14,0),""))</f>
        <v/>
      </c>
      <c r="D159" s="488">
        <f>IF(A159="","",TODAY())</f>
        <v/>
      </c>
      <c r="E159" s="489" t="n"/>
      <c r="F159" s="490">
        <f>IF(OR(A159="",E159=""),"",IF(C159="","",C159+E159))</f>
        <v/>
      </c>
      <c r="G159" s="380" t="inlineStr">
        <is>
          <t>Agent 09</t>
        </is>
      </c>
      <c r="H159" s="491" t="n"/>
      <c r="I159" s="492">
        <f>IF(A159="","Pending",IF(H159="","⚠️ Enter Code",IF(IFERROR(VLOOKUP(G159,DB_Agents!$B:$I,8,0),"")=H159,IF(AND(A159&lt;&gt;"",E159&lt;&gt;""),"Saved","Pending"),"🔒 BLOCKED — Wrong Code")))</f>
        <v/>
      </c>
      <c r="J159" s="493">
        <f>IF(I159="Saved",TEXT(TODAY(),"YYYY-MM-DD")&amp;" Auto","—")</f>
        <v/>
      </c>
      <c r="K159" s="494" t="n"/>
    </row>
    <row r="160" ht="15" customHeight="1" s="341">
      <c r="A160" s="495" t="n"/>
      <c r="B160" s="382">
        <f>IF(A160="","",IFERROR(VLOOKUP(A160,DB_Customers!$A:$D,4,0),"❌ Account Not Found"))</f>
        <v/>
      </c>
      <c r="C160" s="496">
        <f>IF(A160="","",IFERROR(VLOOKUP(A160,DB_Customers!$A:$N,14,0),""))</f>
        <v/>
      </c>
      <c r="D160" s="497">
        <f>IF(A160="","",TODAY())</f>
        <v/>
      </c>
      <c r="E160" s="489" t="n"/>
      <c r="F160" s="498">
        <f>IF(OR(A160="",E160=""),"",IF(C160="","",C160+E160))</f>
        <v/>
      </c>
      <c r="G160" s="384" t="inlineStr">
        <is>
          <t>Agent 09</t>
        </is>
      </c>
      <c r="H160" s="491" t="n"/>
      <c r="I160" s="499">
        <f>IF(A160="","Pending",IF(H160="","⚠️ Enter Code",IF(IFERROR(VLOOKUP(G160,DB_Agents!$B:$I,8,0),"")=H160,IF(AND(A160&lt;&gt;"",E160&lt;&gt;""),"Saved","Pending"),"🔒 BLOCKED — Wrong Code")))</f>
        <v/>
      </c>
      <c r="J160" s="500">
        <f>IF(I160="Saved",TEXT(TODAY(),"YYYY-MM-DD")&amp;" Auto","—")</f>
        <v/>
      </c>
      <c r="K160" s="501" t="n"/>
    </row>
    <row r="161" ht="15" customHeight="1" s="341">
      <c r="A161" s="486" t="n"/>
      <c r="B161" s="378">
        <f>IF(A161="","",IFERROR(VLOOKUP(A161,DB_Customers!$A:$D,4,0),"❌ Account Not Found"))</f>
        <v/>
      </c>
      <c r="C161" s="487">
        <f>IF(A161="","",IFERROR(VLOOKUP(A161,DB_Customers!$A:$N,14,0),""))</f>
        <v/>
      </c>
      <c r="D161" s="488">
        <f>IF(A161="","",TODAY())</f>
        <v/>
      </c>
      <c r="E161" s="489" t="n"/>
      <c r="F161" s="490">
        <f>IF(OR(A161="",E161=""),"",IF(C161="","",C161+E161))</f>
        <v/>
      </c>
      <c r="G161" s="380" t="inlineStr">
        <is>
          <t>Agent 09</t>
        </is>
      </c>
      <c r="H161" s="491" t="n"/>
      <c r="I161" s="492">
        <f>IF(A161="","Pending",IF(H161="","⚠️ Enter Code",IF(IFERROR(VLOOKUP(G161,DB_Agents!$B:$I,8,0),"")=H161,IF(AND(A161&lt;&gt;"",E161&lt;&gt;""),"Saved","Pending"),"🔒 BLOCKED — Wrong Code")))</f>
        <v/>
      </c>
      <c r="J161" s="493">
        <f>IF(I161="Saved",TEXT(TODAY(),"YYYY-MM-DD")&amp;" Auto","—")</f>
        <v/>
      </c>
      <c r="K161" s="494" t="n"/>
    </row>
    <row r="162" ht="15" customHeight="1" s="341">
      <c r="A162" s="495" t="n"/>
      <c r="B162" s="382">
        <f>IF(A162="","",IFERROR(VLOOKUP(A162,DB_Customers!$A:$D,4,0),"❌ Account Not Found"))</f>
        <v/>
      </c>
      <c r="C162" s="496">
        <f>IF(A162="","",IFERROR(VLOOKUP(A162,DB_Customers!$A:$N,14,0),""))</f>
        <v/>
      </c>
      <c r="D162" s="497">
        <f>IF(A162="","",TODAY())</f>
        <v/>
      </c>
      <c r="E162" s="489" t="n"/>
      <c r="F162" s="498">
        <f>IF(OR(A162="",E162=""),"",IF(C162="","",C162+E162))</f>
        <v/>
      </c>
      <c r="G162" s="384" t="inlineStr">
        <is>
          <t>Agent 09</t>
        </is>
      </c>
      <c r="H162" s="491" t="n"/>
      <c r="I162" s="499">
        <f>IF(A162="","Pending",IF(H162="","⚠️ Enter Code",IF(IFERROR(VLOOKUP(G162,DB_Agents!$B:$I,8,0),"")=H162,IF(AND(A162&lt;&gt;"",E162&lt;&gt;""),"Saved","Pending"),"🔒 BLOCKED — Wrong Code")))</f>
        <v/>
      </c>
      <c r="J162" s="500">
        <f>IF(I162="Saved",TEXT(TODAY(),"YYYY-MM-DD")&amp;" Auto","—")</f>
        <v/>
      </c>
      <c r="K162" s="501" t="n"/>
    </row>
    <row r="163" ht="15" customHeight="1" s="341">
      <c r="A163" s="486" t="n"/>
      <c r="B163" s="378">
        <f>IF(A163="","",IFERROR(VLOOKUP(A163,DB_Customers!$A:$D,4,0),"❌ Account Not Found"))</f>
        <v/>
      </c>
      <c r="C163" s="487">
        <f>IF(A163="","",IFERROR(VLOOKUP(A163,DB_Customers!$A:$N,14,0),""))</f>
        <v/>
      </c>
      <c r="D163" s="488">
        <f>IF(A163="","",TODAY())</f>
        <v/>
      </c>
      <c r="E163" s="489" t="n"/>
      <c r="F163" s="490">
        <f>IF(OR(A163="",E163=""),"",IF(C163="","",C163+E163))</f>
        <v/>
      </c>
      <c r="G163" s="380" t="inlineStr">
        <is>
          <t>Agent 09</t>
        </is>
      </c>
      <c r="H163" s="491" t="n"/>
      <c r="I163" s="492">
        <f>IF(A163="","Pending",IF(H163="","⚠️ Enter Code",IF(IFERROR(VLOOKUP(G163,DB_Agents!$B:$I,8,0),"")=H163,IF(AND(A163&lt;&gt;"",E163&lt;&gt;""),"Saved","Pending"),"🔒 BLOCKED — Wrong Code")))</f>
        <v/>
      </c>
      <c r="J163" s="493">
        <f>IF(I163="Saved",TEXT(TODAY(),"YYYY-MM-DD")&amp;" Auto","—")</f>
        <v/>
      </c>
      <c r="K163" s="494" t="n"/>
    </row>
    <row r="164" ht="15" customHeight="1" s="341">
      <c r="A164" s="495" t="n"/>
      <c r="B164" s="382">
        <f>IF(A164="","",IFERROR(VLOOKUP(A164,DB_Customers!$A:$D,4,0),"❌ Account Not Found"))</f>
        <v/>
      </c>
      <c r="C164" s="496">
        <f>IF(A164="","",IFERROR(VLOOKUP(A164,DB_Customers!$A:$N,14,0),""))</f>
        <v/>
      </c>
      <c r="D164" s="497">
        <f>IF(A164="","",TODAY())</f>
        <v/>
      </c>
      <c r="E164" s="489" t="n"/>
      <c r="F164" s="498">
        <f>IF(OR(A164="",E164=""),"",IF(C164="","",C164+E164))</f>
        <v/>
      </c>
      <c r="G164" s="384" t="inlineStr">
        <is>
          <t>Agent 09</t>
        </is>
      </c>
      <c r="H164" s="491" t="n"/>
      <c r="I164" s="499">
        <f>IF(A164="","Pending",IF(H164="","⚠️ Enter Code",IF(IFERROR(VLOOKUP(G164,DB_Agents!$B:$I,8,0),"")=H164,IF(AND(A164&lt;&gt;"",E164&lt;&gt;""),"Saved","Pending"),"🔒 BLOCKED — Wrong Code")))</f>
        <v/>
      </c>
      <c r="J164" s="500">
        <f>IF(I164="Saved",TEXT(TODAY(),"YYYY-MM-DD")&amp;" Auto","—")</f>
        <v/>
      </c>
      <c r="K164" s="501" t="n"/>
    </row>
    <row r="165" ht="15" customHeight="1" s="341">
      <c r="A165" s="486" t="n"/>
      <c r="B165" s="378">
        <f>IF(A165="","",IFERROR(VLOOKUP(A165,DB_Customers!$A:$D,4,0),"❌ Account Not Found"))</f>
        <v/>
      </c>
      <c r="C165" s="487">
        <f>IF(A165="","",IFERROR(VLOOKUP(A165,DB_Customers!$A:$N,14,0),""))</f>
        <v/>
      </c>
      <c r="D165" s="488">
        <f>IF(A165="","",TODAY())</f>
        <v/>
      </c>
      <c r="E165" s="489" t="n"/>
      <c r="F165" s="490">
        <f>IF(OR(A165="",E165=""),"",IF(C165="","",C165+E165))</f>
        <v/>
      </c>
      <c r="G165" s="380" t="inlineStr">
        <is>
          <t>Agent 09</t>
        </is>
      </c>
      <c r="H165" s="491" t="n"/>
      <c r="I165" s="492">
        <f>IF(A165="","Pending",IF(H165="","⚠️ Enter Code",IF(IFERROR(VLOOKUP(G165,DB_Agents!$B:$I,8,0),"")=H165,IF(AND(A165&lt;&gt;"",E165&lt;&gt;""),"Saved","Pending"),"🔒 BLOCKED — Wrong Code")))</f>
        <v/>
      </c>
      <c r="J165" s="493">
        <f>IF(I165="Saved",TEXT(TODAY(),"YYYY-MM-DD")&amp;" Auto","—")</f>
        <v/>
      </c>
      <c r="K165" s="494" t="n"/>
    </row>
    <row r="166" ht="15" customHeight="1" s="341">
      <c r="A166" s="495" t="n"/>
      <c r="B166" s="382">
        <f>IF(A166="","",IFERROR(VLOOKUP(A166,DB_Customers!$A:$D,4,0),"❌ Account Not Found"))</f>
        <v/>
      </c>
      <c r="C166" s="496">
        <f>IF(A166="","",IFERROR(VLOOKUP(A166,DB_Customers!$A:$N,14,0),""))</f>
        <v/>
      </c>
      <c r="D166" s="497">
        <f>IF(A166="","",TODAY())</f>
        <v/>
      </c>
      <c r="E166" s="489" t="n"/>
      <c r="F166" s="498">
        <f>IF(OR(A166="",E166=""),"",IF(C166="","",C166+E166))</f>
        <v/>
      </c>
      <c r="G166" s="384" t="inlineStr">
        <is>
          <t>Agent 09</t>
        </is>
      </c>
      <c r="H166" s="491" t="n"/>
      <c r="I166" s="499">
        <f>IF(A166="","Pending",IF(H166="","⚠️ Enter Code",IF(IFERROR(VLOOKUP(G166,DB_Agents!$B:$I,8,0),"")=H166,IF(AND(A166&lt;&gt;"",E166&lt;&gt;""),"Saved","Pending"),"🔒 BLOCKED — Wrong Code")))</f>
        <v/>
      </c>
      <c r="J166" s="500">
        <f>IF(I166="Saved",TEXT(TODAY(),"YYYY-MM-DD")&amp;" Auto","—")</f>
        <v/>
      </c>
      <c r="K166" s="501" t="n"/>
    </row>
    <row r="167" ht="15" customHeight="1" s="341">
      <c r="A167" s="486" t="n"/>
      <c r="B167" s="378">
        <f>IF(A167="","",IFERROR(VLOOKUP(A167,DB_Customers!$A:$D,4,0),"❌ Account Not Found"))</f>
        <v/>
      </c>
      <c r="C167" s="487">
        <f>IF(A167="","",IFERROR(VLOOKUP(A167,DB_Customers!$A:$N,14,0),""))</f>
        <v/>
      </c>
      <c r="D167" s="488">
        <f>IF(A167="","",TODAY())</f>
        <v/>
      </c>
      <c r="E167" s="489" t="n"/>
      <c r="F167" s="490">
        <f>IF(OR(A167="",E167=""),"",IF(C167="","",C167+E167))</f>
        <v/>
      </c>
      <c r="G167" s="380" t="inlineStr">
        <is>
          <t>Agent 09</t>
        </is>
      </c>
      <c r="H167" s="491" t="n"/>
      <c r="I167" s="492">
        <f>IF(A167="","Pending",IF(H167="","⚠️ Enter Code",IF(IFERROR(VLOOKUP(G167,DB_Agents!$B:$I,8,0),"")=H167,IF(AND(A167&lt;&gt;"",E167&lt;&gt;""),"Saved","Pending"),"🔒 BLOCKED — Wrong Code")))</f>
        <v/>
      </c>
      <c r="J167" s="493">
        <f>IF(I167="Saved",TEXT(TODAY(),"YYYY-MM-DD")&amp;" Auto","—")</f>
        <v/>
      </c>
      <c r="K167" s="494" t="n"/>
    </row>
    <row r="168" ht="15" customHeight="1" s="341">
      <c r="A168" s="495" t="n"/>
      <c r="B168" s="382">
        <f>IF(A168="","",IFERROR(VLOOKUP(A168,DB_Customers!$A:$D,4,0),"❌ Account Not Found"))</f>
        <v/>
      </c>
      <c r="C168" s="496">
        <f>IF(A168="","",IFERROR(VLOOKUP(A168,DB_Customers!$A:$N,14,0),""))</f>
        <v/>
      </c>
      <c r="D168" s="497">
        <f>IF(A168="","",TODAY())</f>
        <v/>
      </c>
      <c r="E168" s="489" t="n"/>
      <c r="F168" s="498">
        <f>IF(OR(A168="",E168=""),"",IF(C168="","",C168+E168))</f>
        <v/>
      </c>
      <c r="G168" s="384" t="inlineStr">
        <is>
          <t>Agent 09</t>
        </is>
      </c>
      <c r="H168" s="491" t="n"/>
      <c r="I168" s="499">
        <f>IF(A168="","Pending",IF(H168="","⚠️ Enter Code",IF(IFERROR(VLOOKUP(G168,DB_Agents!$B:$I,8,0),"")=H168,IF(AND(A168&lt;&gt;"",E168&lt;&gt;""),"Saved","Pending"),"🔒 BLOCKED — Wrong Code")))</f>
        <v/>
      </c>
      <c r="J168" s="500">
        <f>IF(I168="Saved",TEXT(TODAY(),"YYYY-MM-DD")&amp;" Auto","—")</f>
        <v/>
      </c>
      <c r="K168" s="501" t="n"/>
    </row>
    <row r="169" ht="15" customHeight="1" s="341">
      <c r="A169" s="486" t="n"/>
      <c r="B169" s="378">
        <f>IF(A169="","",IFERROR(VLOOKUP(A169,DB_Customers!$A:$D,4,0),"❌ Account Not Found"))</f>
        <v/>
      </c>
      <c r="C169" s="487">
        <f>IF(A169="","",IFERROR(VLOOKUP(A169,DB_Customers!$A:$N,14,0),""))</f>
        <v/>
      </c>
      <c r="D169" s="488">
        <f>IF(A169="","",TODAY())</f>
        <v/>
      </c>
      <c r="E169" s="489" t="n"/>
      <c r="F169" s="490">
        <f>IF(OR(A169="",E169=""),"",IF(C169="","",C169+E169))</f>
        <v/>
      </c>
      <c r="G169" s="380" t="inlineStr">
        <is>
          <t>Agent 09</t>
        </is>
      </c>
      <c r="H169" s="491" t="n"/>
      <c r="I169" s="492">
        <f>IF(A169="","Pending",IF(H169="","⚠️ Enter Code",IF(IFERROR(VLOOKUP(G169,DB_Agents!$B:$I,8,0),"")=H169,IF(AND(A169&lt;&gt;"",E169&lt;&gt;""),"Saved","Pending"),"🔒 BLOCKED — Wrong Code")))</f>
        <v/>
      </c>
      <c r="J169" s="493">
        <f>IF(I169="Saved",TEXT(TODAY(),"YYYY-MM-DD")&amp;" Auto","—")</f>
        <v/>
      </c>
      <c r="K169" s="494" t="n"/>
    </row>
    <row r="170" ht="15" customHeight="1" s="341">
      <c r="A170" s="495" t="n"/>
      <c r="B170" s="382">
        <f>IF(A170="","",IFERROR(VLOOKUP(A170,DB_Customers!$A:$D,4,0),"❌ Account Not Found"))</f>
        <v/>
      </c>
      <c r="C170" s="496">
        <f>IF(A170="","",IFERROR(VLOOKUP(A170,DB_Customers!$A:$N,14,0),""))</f>
        <v/>
      </c>
      <c r="D170" s="497">
        <f>IF(A170="","",TODAY())</f>
        <v/>
      </c>
      <c r="E170" s="489" t="n"/>
      <c r="F170" s="498">
        <f>IF(OR(A170="",E170=""),"",IF(C170="","",C170+E170))</f>
        <v/>
      </c>
      <c r="G170" s="384" t="inlineStr">
        <is>
          <t>Agent 09</t>
        </is>
      </c>
      <c r="H170" s="491" t="n"/>
      <c r="I170" s="499">
        <f>IF(A170="","Pending",IF(H170="","⚠️ Enter Code",IF(IFERROR(VLOOKUP(G170,DB_Agents!$B:$I,8,0),"")=H170,IF(AND(A170&lt;&gt;"",E170&lt;&gt;""),"Saved","Pending"),"🔒 BLOCKED — Wrong Code")))</f>
        <v/>
      </c>
      <c r="J170" s="500">
        <f>IF(I170="Saved",TEXT(TODAY(),"YYYY-MM-DD")&amp;" Auto","—")</f>
        <v/>
      </c>
      <c r="K170" s="501" t="n"/>
    </row>
    <row r="171" ht="15" customHeight="1" s="341">
      <c r="A171" s="486" t="n"/>
      <c r="B171" s="378">
        <f>IF(A171="","",IFERROR(VLOOKUP(A171,DB_Customers!$A:$D,4,0),"❌ Account Not Found"))</f>
        <v/>
      </c>
      <c r="C171" s="487">
        <f>IF(A171="","",IFERROR(VLOOKUP(A171,DB_Customers!$A:$N,14,0),""))</f>
        <v/>
      </c>
      <c r="D171" s="488">
        <f>IF(A171="","",TODAY())</f>
        <v/>
      </c>
      <c r="E171" s="489" t="n"/>
      <c r="F171" s="490">
        <f>IF(OR(A171="",E171=""),"",IF(C171="","",C171+E171))</f>
        <v/>
      </c>
      <c r="G171" s="380" t="inlineStr">
        <is>
          <t>Agent 09</t>
        </is>
      </c>
      <c r="H171" s="491" t="n"/>
      <c r="I171" s="492">
        <f>IF(A171="","Pending",IF(H171="","⚠️ Enter Code",IF(IFERROR(VLOOKUP(G171,DB_Agents!$B:$I,8,0),"")=H171,IF(AND(A171&lt;&gt;"",E171&lt;&gt;""),"Saved","Pending"),"🔒 BLOCKED — Wrong Code")))</f>
        <v/>
      </c>
      <c r="J171" s="493">
        <f>IF(I171="Saved",TEXT(TODAY(),"YYYY-MM-DD")&amp;" Auto","—")</f>
        <v/>
      </c>
      <c r="K171" s="494" t="n"/>
    </row>
    <row r="172" ht="15" customHeight="1" s="341">
      <c r="A172" s="495" t="n"/>
      <c r="B172" s="382">
        <f>IF(A172="","",IFERROR(VLOOKUP(A172,DB_Customers!$A:$D,4,0),"❌ Account Not Found"))</f>
        <v/>
      </c>
      <c r="C172" s="496">
        <f>IF(A172="","",IFERROR(VLOOKUP(A172,DB_Customers!$A:$N,14,0),""))</f>
        <v/>
      </c>
      <c r="D172" s="497">
        <f>IF(A172="","",TODAY())</f>
        <v/>
      </c>
      <c r="E172" s="489" t="n"/>
      <c r="F172" s="498">
        <f>IF(OR(A172="",E172=""),"",IF(C172="","",C172+E172))</f>
        <v/>
      </c>
      <c r="G172" s="384" t="inlineStr">
        <is>
          <t>Agent 09</t>
        </is>
      </c>
      <c r="H172" s="491" t="n"/>
      <c r="I172" s="499">
        <f>IF(A172="","Pending",IF(H172="","⚠️ Enter Code",IF(IFERROR(VLOOKUP(G172,DB_Agents!$B:$I,8,0),"")=H172,IF(AND(A172&lt;&gt;"",E172&lt;&gt;""),"Saved","Pending"),"🔒 BLOCKED — Wrong Code")))</f>
        <v/>
      </c>
      <c r="J172" s="500">
        <f>IF(I172="Saved",TEXT(TODAY(),"YYYY-MM-DD")&amp;" Auto","—")</f>
        <v/>
      </c>
      <c r="K172" s="501" t="n"/>
    </row>
    <row r="173" ht="15" customHeight="1" s="341">
      <c r="A173" s="486" t="n"/>
      <c r="B173" s="378">
        <f>IF(A173="","",IFERROR(VLOOKUP(A173,DB_Customers!$A:$D,4,0),"❌ Account Not Found"))</f>
        <v/>
      </c>
      <c r="C173" s="487">
        <f>IF(A173="","",IFERROR(VLOOKUP(A173,DB_Customers!$A:$N,14,0),""))</f>
        <v/>
      </c>
      <c r="D173" s="488">
        <f>IF(A173="","",TODAY())</f>
        <v/>
      </c>
      <c r="E173" s="489" t="n"/>
      <c r="F173" s="490">
        <f>IF(OR(A173="",E173=""),"",IF(C173="","",C173+E173))</f>
        <v/>
      </c>
      <c r="G173" s="380" t="inlineStr">
        <is>
          <t>Agent 09</t>
        </is>
      </c>
      <c r="H173" s="491" t="n"/>
      <c r="I173" s="492">
        <f>IF(A173="","Pending",IF(H173="","⚠️ Enter Code",IF(IFERROR(VLOOKUP(G173,DB_Agents!$B:$I,8,0),"")=H173,IF(AND(A173&lt;&gt;"",E173&lt;&gt;""),"Saved","Pending"),"🔒 BLOCKED — Wrong Code")))</f>
        <v/>
      </c>
      <c r="J173" s="493">
        <f>IF(I173="Saved",TEXT(TODAY(),"YYYY-MM-DD")&amp;" Auto","—")</f>
        <v/>
      </c>
      <c r="K173" s="494" t="n"/>
    </row>
    <row r="174" ht="15" customHeight="1" s="341">
      <c r="A174" s="495" t="n"/>
      <c r="B174" s="382">
        <f>IF(A174="","",IFERROR(VLOOKUP(A174,DB_Customers!$A:$D,4,0),"❌ Account Not Found"))</f>
        <v/>
      </c>
      <c r="C174" s="496">
        <f>IF(A174="","",IFERROR(VLOOKUP(A174,DB_Customers!$A:$N,14,0),""))</f>
        <v/>
      </c>
      <c r="D174" s="497">
        <f>IF(A174="","",TODAY())</f>
        <v/>
      </c>
      <c r="E174" s="489" t="n"/>
      <c r="F174" s="498">
        <f>IF(OR(A174="",E174=""),"",IF(C174="","",C174+E174))</f>
        <v/>
      </c>
      <c r="G174" s="384" t="inlineStr">
        <is>
          <t>Agent 09</t>
        </is>
      </c>
      <c r="H174" s="491" t="n"/>
      <c r="I174" s="499">
        <f>IF(A174="","Pending",IF(H174="","⚠️ Enter Code",IF(IFERROR(VLOOKUP(G174,DB_Agents!$B:$I,8,0),"")=H174,IF(AND(A174&lt;&gt;"",E174&lt;&gt;""),"Saved","Pending"),"🔒 BLOCKED — Wrong Code")))</f>
        <v/>
      </c>
      <c r="J174" s="500">
        <f>IF(I174="Saved",TEXT(TODAY(),"YYYY-MM-DD")&amp;" Auto","—")</f>
        <v/>
      </c>
      <c r="K174" s="501" t="n"/>
    </row>
    <row r="175" ht="15" customHeight="1" s="341">
      <c r="A175" s="486" t="n"/>
      <c r="B175" s="378">
        <f>IF(A175="","",IFERROR(VLOOKUP(A175,DB_Customers!$A:$D,4,0),"❌ Account Not Found"))</f>
        <v/>
      </c>
      <c r="C175" s="487">
        <f>IF(A175="","",IFERROR(VLOOKUP(A175,DB_Customers!$A:$N,14,0),""))</f>
        <v/>
      </c>
      <c r="D175" s="488">
        <f>IF(A175="","",TODAY())</f>
        <v/>
      </c>
      <c r="E175" s="489" t="n"/>
      <c r="F175" s="490">
        <f>IF(OR(A175="",E175=""),"",IF(C175="","",C175+E175))</f>
        <v/>
      </c>
      <c r="G175" s="380" t="inlineStr">
        <is>
          <t>Agent 09</t>
        </is>
      </c>
      <c r="H175" s="491" t="n"/>
      <c r="I175" s="492">
        <f>IF(A175="","Pending",IF(H175="","⚠️ Enter Code",IF(IFERROR(VLOOKUP(G175,DB_Agents!$B:$I,8,0),"")=H175,IF(AND(A175&lt;&gt;"",E175&lt;&gt;""),"Saved","Pending"),"🔒 BLOCKED — Wrong Code")))</f>
        <v/>
      </c>
      <c r="J175" s="493">
        <f>IF(I175="Saved",TEXT(TODAY(),"YYYY-MM-DD")&amp;" Auto","—")</f>
        <v/>
      </c>
      <c r="K175" s="494" t="n"/>
    </row>
    <row r="176" ht="15" customHeight="1" s="341">
      <c r="A176" s="495" t="n"/>
      <c r="B176" s="382">
        <f>IF(A176="","",IFERROR(VLOOKUP(A176,DB_Customers!$A:$D,4,0),"❌ Account Not Found"))</f>
        <v/>
      </c>
      <c r="C176" s="496">
        <f>IF(A176="","",IFERROR(VLOOKUP(A176,DB_Customers!$A:$N,14,0),""))</f>
        <v/>
      </c>
      <c r="D176" s="497">
        <f>IF(A176="","",TODAY())</f>
        <v/>
      </c>
      <c r="E176" s="489" t="n"/>
      <c r="F176" s="498">
        <f>IF(OR(A176="",E176=""),"",IF(C176="","",C176+E176))</f>
        <v/>
      </c>
      <c r="G176" s="384" t="inlineStr">
        <is>
          <t>Agent 09</t>
        </is>
      </c>
      <c r="H176" s="491" t="n"/>
      <c r="I176" s="499">
        <f>IF(A176="","Pending",IF(H176="","⚠️ Enter Code",IF(IFERROR(VLOOKUP(G176,DB_Agents!$B:$I,8,0),"")=H176,IF(AND(A176&lt;&gt;"",E176&lt;&gt;""),"Saved","Pending"),"🔒 BLOCKED — Wrong Code")))</f>
        <v/>
      </c>
      <c r="J176" s="500">
        <f>IF(I176="Saved",TEXT(TODAY(),"YYYY-MM-DD")&amp;" Auto","—")</f>
        <v/>
      </c>
      <c r="K176" s="501" t="n"/>
    </row>
    <row r="177" ht="15" customHeight="1" s="341">
      <c r="A177" s="486" t="n"/>
      <c r="B177" s="378">
        <f>IF(A177="","",IFERROR(VLOOKUP(A177,DB_Customers!$A:$D,4,0),"❌ Account Not Found"))</f>
        <v/>
      </c>
      <c r="C177" s="487">
        <f>IF(A177="","",IFERROR(VLOOKUP(A177,DB_Customers!$A:$N,14,0),""))</f>
        <v/>
      </c>
      <c r="D177" s="488">
        <f>IF(A177="","",TODAY())</f>
        <v/>
      </c>
      <c r="E177" s="489" t="n"/>
      <c r="F177" s="490">
        <f>IF(OR(A177="",E177=""),"",IF(C177="","",C177+E177))</f>
        <v/>
      </c>
      <c r="G177" s="380" t="inlineStr">
        <is>
          <t>Agent 09</t>
        </is>
      </c>
      <c r="H177" s="491" t="n"/>
      <c r="I177" s="492">
        <f>IF(A177="","Pending",IF(H177="","⚠️ Enter Code",IF(IFERROR(VLOOKUP(G177,DB_Agents!$B:$I,8,0),"")=H177,IF(AND(A177&lt;&gt;"",E177&lt;&gt;""),"Saved","Pending"),"🔒 BLOCKED — Wrong Code")))</f>
        <v/>
      </c>
      <c r="J177" s="493">
        <f>IF(I177="Saved",TEXT(TODAY(),"YYYY-MM-DD")&amp;" Auto","—")</f>
        <v/>
      </c>
      <c r="K177" s="494" t="n"/>
    </row>
    <row r="178" ht="15" customHeight="1" s="341">
      <c r="A178" s="495" t="n"/>
      <c r="B178" s="382">
        <f>IF(A178="","",IFERROR(VLOOKUP(A178,DB_Customers!$A:$D,4,0),"❌ Account Not Found"))</f>
        <v/>
      </c>
      <c r="C178" s="496">
        <f>IF(A178="","",IFERROR(VLOOKUP(A178,DB_Customers!$A:$N,14,0),""))</f>
        <v/>
      </c>
      <c r="D178" s="497">
        <f>IF(A178="","",TODAY())</f>
        <v/>
      </c>
      <c r="E178" s="489" t="n"/>
      <c r="F178" s="498">
        <f>IF(OR(A178="",E178=""),"",IF(C178="","",C178+E178))</f>
        <v/>
      </c>
      <c r="G178" s="384" t="inlineStr">
        <is>
          <t>Agent 09</t>
        </is>
      </c>
      <c r="H178" s="491" t="n"/>
      <c r="I178" s="499">
        <f>IF(A178="","Pending",IF(H178="","⚠️ Enter Code",IF(IFERROR(VLOOKUP(G178,DB_Agents!$B:$I,8,0),"")=H178,IF(AND(A178&lt;&gt;"",E178&lt;&gt;""),"Saved","Pending"),"🔒 BLOCKED — Wrong Code")))</f>
        <v/>
      </c>
      <c r="J178" s="500">
        <f>IF(I178="Saved",TEXT(TODAY(),"YYYY-MM-DD")&amp;" Auto","—")</f>
        <v/>
      </c>
      <c r="K178" s="501" t="n"/>
    </row>
    <row r="179" ht="15" customHeight="1" s="341">
      <c r="A179" s="486" t="n"/>
      <c r="B179" s="378">
        <f>IF(A179="","",IFERROR(VLOOKUP(A179,DB_Customers!$A:$D,4,0),"❌ Account Not Found"))</f>
        <v/>
      </c>
      <c r="C179" s="487">
        <f>IF(A179="","",IFERROR(VLOOKUP(A179,DB_Customers!$A:$N,14,0),""))</f>
        <v/>
      </c>
      <c r="D179" s="488">
        <f>IF(A179="","",TODAY())</f>
        <v/>
      </c>
      <c r="E179" s="489" t="n"/>
      <c r="F179" s="490">
        <f>IF(OR(A179="",E179=""),"",IF(C179="","",C179+E179))</f>
        <v/>
      </c>
      <c r="G179" s="380" t="inlineStr">
        <is>
          <t>Agent 09</t>
        </is>
      </c>
      <c r="H179" s="491" t="n"/>
      <c r="I179" s="492">
        <f>IF(A179="","Pending",IF(H179="","⚠️ Enter Code",IF(IFERROR(VLOOKUP(G179,DB_Agents!$B:$I,8,0),"")=H179,IF(AND(A179&lt;&gt;"",E179&lt;&gt;""),"Saved","Pending"),"🔒 BLOCKED — Wrong Code")))</f>
        <v/>
      </c>
      <c r="J179" s="493">
        <f>IF(I179="Saved",TEXT(TODAY(),"YYYY-MM-DD")&amp;" Auto","—")</f>
        <v/>
      </c>
      <c r="K179" s="494" t="n"/>
    </row>
    <row r="180" ht="15" customHeight="1" s="341">
      <c r="A180" s="495" t="n"/>
      <c r="B180" s="382">
        <f>IF(A180="","",IFERROR(VLOOKUP(A180,DB_Customers!$A:$D,4,0),"❌ Account Not Found"))</f>
        <v/>
      </c>
      <c r="C180" s="496">
        <f>IF(A180="","",IFERROR(VLOOKUP(A180,DB_Customers!$A:$N,14,0),""))</f>
        <v/>
      </c>
      <c r="D180" s="497">
        <f>IF(A180="","",TODAY())</f>
        <v/>
      </c>
      <c r="E180" s="489" t="n"/>
      <c r="F180" s="498">
        <f>IF(OR(A180="",E180=""),"",IF(C180="","",C180+E180))</f>
        <v/>
      </c>
      <c r="G180" s="384" t="inlineStr">
        <is>
          <t>Agent 09</t>
        </is>
      </c>
      <c r="H180" s="491" t="n"/>
      <c r="I180" s="499">
        <f>IF(A180="","Pending",IF(H180="","⚠️ Enter Code",IF(IFERROR(VLOOKUP(G180,DB_Agents!$B:$I,8,0),"")=H180,IF(AND(A180&lt;&gt;"",E180&lt;&gt;""),"Saved","Pending"),"🔒 BLOCKED — Wrong Code")))</f>
        <v/>
      </c>
      <c r="J180" s="500">
        <f>IF(I180="Saved",TEXT(TODAY(),"YYYY-MM-DD")&amp;" Auto","—")</f>
        <v/>
      </c>
      <c r="K180" s="501" t="n"/>
    </row>
    <row r="181" ht="15" customHeight="1" s="341">
      <c r="A181" s="486" t="n"/>
      <c r="B181" s="378">
        <f>IF(A181="","",IFERROR(VLOOKUP(A181,DB_Customers!$A:$D,4,0),"❌ Account Not Found"))</f>
        <v/>
      </c>
      <c r="C181" s="487">
        <f>IF(A181="","",IFERROR(VLOOKUP(A181,DB_Customers!$A:$N,14,0),""))</f>
        <v/>
      </c>
      <c r="D181" s="488">
        <f>IF(A181="","",TODAY())</f>
        <v/>
      </c>
      <c r="E181" s="489" t="n"/>
      <c r="F181" s="490">
        <f>IF(OR(A181="",E181=""),"",IF(C181="","",C181+E181))</f>
        <v/>
      </c>
      <c r="G181" s="380" t="inlineStr">
        <is>
          <t>Agent 09</t>
        </is>
      </c>
      <c r="H181" s="491" t="n"/>
      <c r="I181" s="492">
        <f>IF(A181="","Pending",IF(H181="","⚠️ Enter Code",IF(IFERROR(VLOOKUP(G181,DB_Agents!$B:$I,8,0),"")=H181,IF(AND(A181&lt;&gt;"",E181&lt;&gt;""),"Saved","Pending"),"🔒 BLOCKED — Wrong Code")))</f>
        <v/>
      </c>
      <c r="J181" s="493">
        <f>IF(I181="Saved",TEXT(TODAY(),"YYYY-MM-DD")&amp;" Auto","—")</f>
        <v/>
      </c>
      <c r="K181" s="494" t="n"/>
    </row>
    <row r="182" ht="15" customHeight="1" s="341">
      <c r="A182" s="495" t="n"/>
      <c r="B182" s="382">
        <f>IF(A182="","",IFERROR(VLOOKUP(A182,DB_Customers!$A:$D,4,0),"❌ Account Not Found"))</f>
        <v/>
      </c>
      <c r="C182" s="496">
        <f>IF(A182="","",IFERROR(VLOOKUP(A182,DB_Customers!$A:$N,14,0),""))</f>
        <v/>
      </c>
      <c r="D182" s="497">
        <f>IF(A182="","",TODAY())</f>
        <v/>
      </c>
      <c r="E182" s="489" t="n"/>
      <c r="F182" s="498">
        <f>IF(OR(A182="",E182=""),"",IF(C182="","",C182+E182))</f>
        <v/>
      </c>
      <c r="G182" s="384" t="inlineStr">
        <is>
          <t>Agent 09</t>
        </is>
      </c>
      <c r="H182" s="491" t="n"/>
      <c r="I182" s="499">
        <f>IF(A182="","Pending",IF(H182="","⚠️ Enter Code",IF(IFERROR(VLOOKUP(G182,DB_Agents!$B:$I,8,0),"")=H182,IF(AND(A182&lt;&gt;"",E182&lt;&gt;""),"Saved","Pending"),"🔒 BLOCKED — Wrong Code")))</f>
        <v/>
      </c>
      <c r="J182" s="500">
        <f>IF(I182="Saved",TEXT(TODAY(),"YYYY-MM-DD")&amp;" Auto","—")</f>
        <v/>
      </c>
      <c r="K182" s="501" t="n"/>
    </row>
    <row r="183" ht="15" customHeight="1" s="341">
      <c r="A183" s="486" t="n"/>
      <c r="B183" s="378">
        <f>IF(A183="","",IFERROR(VLOOKUP(A183,DB_Customers!$A:$D,4,0),"❌ Account Not Found"))</f>
        <v/>
      </c>
      <c r="C183" s="487">
        <f>IF(A183="","",IFERROR(VLOOKUP(A183,DB_Customers!$A:$N,14,0),""))</f>
        <v/>
      </c>
      <c r="D183" s="488">
        <f>IF(A183="","",TODAY())</f>
        <v/>
      </c>
      <c r="E183" s="489" t="n"/>
      <c r="F183" s="490">
        <f>IF(OR(A183="",E183=""),"",IF(C183="","",C183+E183))</f>
        <v/>
      </c>
      <c r="G183" s="380" t="inlineStr">
        <is>
          <t>Agent 09</t>
        </is>
      </c>
      <c r="H183" s="491" t="n"/>
      <c r="I183" s="492">
        <f>IF(A183="","Pending",IF(H183="","⚠️ Enter Code",IF(IFERROR(VLOOKUP(G183,DB_Agents!$B:$I,8,0),"")=H183,IF(AND(A183&lt;&gt;"",E183&lt;&gt;""),"Saved","Pending"),"🔒 BLOCKED — Wrong Code")))</f>
        <v/>
      </c>
      <c r="J183" s="493">
        <f>IF(I183="Saved",TEXT(TODAY(),"YYYY-MM-DD")&amp;" Auto","—")</f>
        <v/>
      </c>
      <c r="K183" s="494" t="n"/>
    </row>
    <row r="184" ht="15" customHeight="1" s="341">
      <c r="A184" s="495" t="n"/>
      <c r="B184" s="382">
        <f>IF(A184="","",IFERROR(VLOOKUP(A184,DB_Customers!$A:$D,4,0),"❌ Account Not Found"))</f>
        <v/>
      </c>
      <c r="C184" s="496">
        <f>IF(A184="","",IFERROR(VLOOKUP(A184,DB_Customers!$A:$N,14,0),""))</f>
        <v/>
      </c>
      <c r="D184" s="497">
        <f>IF(A184="","",TODAY())</f>
        <v/>
      </c>
      <c r="E184" s="489" t="n"/>
      <c r="F184" s="498">
        <f>IF(OR(A184="",E184=""),"",IF(C184="","",C184+E184))</f>
        <v/>
      </c>
      <c r="G184" s="384" t="inlineStr">
        <is>
          <t>Agent 09</t>
        </is>
      </c>
      <c r="H184" s="491" t="n"/>
      <c r="I184" s="499">
        <f>IF(A184="","Pending",IF(H184="","⚠️ Enter Code",IF(IFERROR(VLOOKUP(G184,DB_Agents!$B:$I,8,0),"")=H184,IF(AND(A184&lt;&gt;"",E184&lt;&gt;""),"Saved","Pending"),"🔒 BLOCKED — Wrong Code")))</f>
        <v/>
      </c>
      <c r="J184" s="500">
        <f>IF(I184="Saved",TEXT(TODAY(),"YYYY-MM-DD")&amp;" Auto","—")</f>
        <v/>
      </c>
      <c r="K184" s="501" t="n"/>
    </row>
    <row r="185" ht="15" customHeight="1" s="341">
      <c r="A185" s="486" t="n"/>
      <c r="B185" s="378">
        <f>IF(A185="","",IFERROR(VLOOKUP(A185,DB_Customers!$A:$D,4,0),"❌ Account Not Found"))</f>
        <v/>
      </c>
      <c r="C185" s="487">
        <f>IF(A185="","",IFERROR(VLOOKUP(A185,DB_Customers!$A:$N,14,0),""))</f>
        <v/>
      </c>
      <c r="D185" s="488">
        <f>IF(A185="","",TODAY())</f>
        <v/>
      </c>
      <c r="E185" s="489" t="n"/>
      <c r="F185" s="490">
        <f>IF(OR(A185="",E185=""),"",IF(C185="","",C185+E185))</f>
        <v/>
      </c>
      <c r="G185" s="380" t="inlineStr">
        <is>
          <t>Agent 09</t>
        </is>
      </c>
      <c r="H185" s="491" t="n"/>
      <c r="I185" s="492">
        <f>IF(A185="","Pending",IF(H185="","⚠️ Enter Code",IF(IFERROR(VLOOKUP(G185,DB_Agents!$B:$I,8,0),"")=H185,IF(AND(A185&lt;&gt;"",E185&lt;&gt;""),"Saved","Pending"),"🔒 BLOCKED — Wrong Code")))</f>
        <v/>
      </c>
      <c r="J185" s="493">
        <f>IF(I185="Saved",TEXT(TODAY(),"YYYY-MM-DD")&amp;" Auto","—")</f>
        <v/>
      </c>
      <c r="K185" s="494" t="n"/>
    </row>
    <row r="186" ht="15" customHeight="1" s="341">
      <c r="A186" s="495" t="n"/>
      <c r="B186" s="382">
        <f>IF(A186="","",IFERROR(VLOOKUP(A186,DB_Customers!$A:$D,4,0),"❌ Account Not Found"))</f>
        <v/>
      </c>
      <c r="C186" s="496">
        <f>IF(A186="","",IFERROR(VLOOKUP(A186,DB_Customers!$A:$N,14,0),""))</f>
        <v/>
      </c>
      <c r="D186" s="497">
        <f>IF(A186="","",TODAY())</f>
        <v/>
      </c>
      <c r="E186" s="489" t="n"/>
      <c r="F186" s="498">
        <f>IF(OR(A186="",E186=""),"",IF(C186="","",C186+E186))</f>
        <v/>
      </c>
      <c r="G186" s="384" t="inlineStr">
        <is>
          <t>Agent 09</t>
        </is>
      </c>
      <c r="H186" s="491" t="n"/>
      <c r="I186" s="499">
        <f>IF(A186="","Pending",IF(H186="","⚠️ Enter Code",IF(IFERROR(VLOOKUP(G186,DB_Agents!$B:$I,8,0),"")=H186,IF(AND(A186&lt;&gt;"",E186&lt;&gt;""),"Saved","Pending"),"🔒 BLOCKED — Wrong Code")))</f>
        <v/>
      </c>
      <c r="J186" s="500">
        <f>IF(I186="Saved",TEXT(TODAY(),"YYYY-MM-DD")&amp;" Auto","—")</f>
        <v/>
      </c>
      <c r="K186" s="501" t="n"/>
    </row>
    <row r="187" ht="15" customHeight="1" s="341">
      <c r="A187" s="486" t="n"/>
      <c r="B187" s="378">
        <f>IF(A187="","",IFERROR(VLOOKUP(A187,DB_Customers!$A:$D,4,0),"❌ Account Not Found"))</f>
        <v/>
      </c>
      <c r="C187" s="487">
        <f>IF(A187="","",IFERROR(VLOOKUP(A187,DB_Customers!$A:$N,14,0),""))</f>
        <v/>
      </c>
      <c r="D187" s="488">
        <f>IF(A187="","",TODAY())</f>
        <v/>
      </c>
      <c r="E187" s="489" t="n"/>
      <c r="F187" s="490">
        <f>IF(OR(A187="",E187=""),"",IF(C187="","",C187+E187))</f>
        <v/>
      </c>
      <c r="G187" s="380" t="inlineStr">
        <is>
          <t>Agent 09</t>
        </is>
      </c>
      <c r="H187" s="491" t="n"/>
      <c r="I187" s="492">
        <f>IF(A187="","Pending",IF(H187="","⚠️ Enter Code",IF(IFERROR(VLOOKUP(G187,DB_Agents!$B:$I,8,0),"")=H187,IF(AND(A187&lt;&gt;"",E187&lt;&gt;""),"Saved","Pending"),"🔒 BLOCKED — Wrong Code")))</f>
        <v/>
      </c>
      <c r="J187" s="493">
        <f>IF(I187="Saved",TEXT(TODAY(),"YYYY-MM-DD")&amp;" Auto","—")</f>
        <v/>
      </c>
      <c r="K187" s="494" t="n"/>
    </row>
    <row r="188" ht="15" customHeight="1" s="341">
      <c r="A188" s="495" t="n"/>
      <c r="B188" s="382">
        <f>IF(A188="","",IFERROR(VLOOKUP(A188,DB_Customers!$A:$D,4,0),"❌ Account Not Found"))</f>
        <v/>
      </c>
      <c r="C188" s="496">
        <f>IF(A188="","",IFERROR(VLOOKUP(A188,DB_Customers!$A:$N,14,0),""))</f>
        <v/>
      </c>
      <c r="D188" s="497">
        <f>IF(A188="","",TODAY())</f>
        <v/>
      </c>
      <c r="E188" s="489" t="n"/>
      <c r="F188" s="498">
        <f>IF(OR(A188="",E188=""),"",IF(C188="","",C188+E188))</f>
        <v/>
      </c>
      <c r="G188" s="384" t="inlineStr">
        <is>
          <t>Agent 09</t>
        </is>
      </c>
      <c r="H188" s="491" t="n"/>
      <c r="I188" s="499">
        <f>IF(A188="","Pending",IF(H188="","⚠️ Enter Code",IF(IFERROR(VLOOKUP(G188,DB_Agents!$B:$I,8,0),"")=H188,IF(AND(A188&lt;&gt;"",E188&lt;&gt;""),"Saved","Pending"),"🔒 BLOCKED — Wrong Code")))</f>
        <v/>
      </c>
      <c r="J188" s="500">
        <f>IF(I188="Saved",TEXT(TODAY(),"YYYY-MM-DD")&amp;" Auto","—")</f>
        <v/>
      </c>
      <c r="K188" s="501" t="n"/>
    </row>
    <row r="189" ht="15" customHeight="1" s="341">
      <c r="A189" s="486" t="n"/>
      <c r="B189" s="378">
        <f>IF(A189="","",IFERROR(VLOOKUP(A189,DB_Customers!$A:$D,4,0),"❌ Account Not Found"))</f>
        <v/>
      </c>
      <c r="C189" s="487">
        <f>IF(A189="","",IFERROR(VLOOKUP(A189,DB_Customers!$A:$N,14,0),""))</f>
        <v/>
      </c>
      <c r="D189" s="488">
        <f>IF(A189="","",TODAY())</f>
        <v/>
      </c>
      <c r="E189" s="489" t="n"/>
      <c r="F189" s="490">
        <f>IF(OR(A189="",E189=""),"",IF(C189="","",C189+E189))</f>
        <v/>
      </c>
      <c r="G189" s="380" t="inlineStr">
        <is>
          <t>Agent 09</t>
        </is>
      </c>
      <c r="H189" s="491" t="n"/>
      <c r="I189" s="492">
        <f>IF(A189="","Pending",IF(H189="","⚠️ Enter Code",IF(IFERROR(VLOOKUP(G189,DB_Agents!$B:$I,8,0),"")=H189,IF(AND(A189&lt;&gt;"",E189&lt;&gt;""),"Saved","Pending"),"🔒 BLOCKED — Wrong Code")))</f>
        <v/>
      </c>
      <c r="J189" s="493">
        <f>IF(I189="Saved",TEXT(TODAY(),"YYYY-MM-DD")&amp;" Auto","—")</f>
        <v/>
      </c>
      <c r="K189" s="494" t="n"/>
    </row>
    <row r="190" ht="15" customHeight="1" s="341">
      <c r="A190" s="495" t="n"/>
      <c r="B190" s="382">
        <f>IF(A190="","",IFERROR(VLOOKUP(A190,DB_Customers!$A:$D,4,0),"❌ Account Not Found"))</f>
        <v/>
      </c>
      <c r="C190" s="496">
        <f>IF(A190="","",IFERROR(VLOOKUP(A190,DB_Customers!$A:$N,14,0),""))</f>
        <v/>
      </c>
      <c r="D190" s="497">
        <f>IF(A190="","",TODAY())</f>
        <v/>
      </c>
      <c r="E190" s="489" t="n"/>
      <c r="F190" s="498">
        <f>IF(OR(A190="",E190=""),"",IF(C190="","",C190+E190))</f>
        <v/>
      </c>
      <c r="G190" s="384" t="inlineStr">
        <is>
          <t>Agent 09</t>
        </is>
      </c>
      <c r="H190" s="491" t="n"/>
      <c r="I190" s="499">
        <f>IF(A190="","Pending",IF(H190="","⚠️ Enter Code",IF(IFERROR(VLOOKUP(G190,DB_Agents!$B:$I,8,0),"")=H190,IF(AND(A190&lt;&gt;"",E190&lt;&gt;""),"Saved","Pending"),"🔒 BLOCKED — Wrong Code")))</f>
        <v/>
      </c>
      <c r="J190" s="500">
        <f>IF(I190="Saved",TEXT(TODAY(),"YYYY-MM-DD")&amp;" Auto","—")</f>
        <v/>
      </c>
      <c r="K190" s="501" t="n"/>
    </row>
    <row r="191" ht="15" customHeight="1" s="341">
      <c r="A191" s="486" t="n"/>
      <c r="B191" s="378">
        <f>IF(A191="","",IFERROR(VLOOKUP(A191,DB_Customers!$A:$D,4,0),"❌ Account Not Found"))</f>
        <v/>
      </c>
      <c r="C191" s="487">
        <f>IF(A191="","",IFERROR(VLOOKUP(A191,DB_Customers!$A:$N,14,0),""))</f>
        <v/>
      </c>
      <c r="D191" s="488">
        <f>IF(A191="","",TODAY())</f>
        <v/>
      </c>
      <c r="E191" s="489" t="n"/>
      <c r="F191" s="490">
        <f>IF(OR(A191="",E191=""),"",IF(C191="","",C191+E191))</f>
        <v/>
      </c>
      <c r="G191" s="380" t="inlineStr">
        <is>
          <t>Agent 09</t>
        </is>
      </c>
      <c r="H191" s="491" t="n"/>
      <c r="I191" s="492">
        <f>IF(A191="","Pending",IF(H191="","⚠️ Enter Code",IF(IFERROR(VLOOKUP(G191,DB_Agents!$B:$I,8,0),"")=H191,IF(AND(A191&lt;&gt;"",E191&lt;&gt;""),"Saved","Pending"),"🔒 BLOCKED — Wrong Code")))</f>
        <v/>
      </c>
      <c r="J191" s="493">
        <f>IF(I191="Saved",TEXT(TODAY(),"YYYY-MM-DD")&amp;" Auto","—")</f>
        <v/>
      </c>
      <c r="K191" s="494" t="n"/>
    </row>
    <row r="192" ht="15" customHeight="1" s="341">
      <c r="A192" s="495" t="n"/>
      <c r="B192" s="382">
        <f>IF(A192="","",IFERROR(VLOOKUP(A192,DB_Customers!$A:$D,4,0),"❌ Account Not Found"))</f>
        <v/>
      </c>
      <c r="C192" s="496">
        <f>IF(A192="","",IFERROR(VLOOKUP(A192,DB_Customers!$A:$N,14,0),""))</f>
        <v/>
      </c>
      <c r="D192" s="497">
        <f>IF(A192="","",TODAY())</f>
        <v/>
      </c>
      <c r="E192" s="489" t="n"/>
      <c r="F192" s="498">
        <f>IF(OR(A192="",E192=""),"",IF(C192="","",C192+E192))</f>
        <v/>
      </c>
      <c r="G192" s="384" t="inlineStr">
        <is>
          <t>Agent 09</t>
        </is>
      </c>
      <c r="H192" s="491" t="n"/>
      <c r="I192" s="499">
        <f>IF(A192="","Pending",IF(H192="","⚠️ Enter Code",IF(IFERROR(VLOOKUP(G192,DB_Agents!$B:$I,8,0),"")=H192,IF(AND(A192&lt;&gt;"",E192&lt;&gt;""),"Saved","Pending"),"🔒 BLOCKED — Wrong Code")))</f>
        <v/>
      </c>
      <c r="J192" s="500">
        <f>IF(I192="Saved",TEXT(TODAY(),"YYYY-MM-DD")&amp;" Auto","—")</f>
        <v/>
      </c>
      <c r="K192" s="501" t="n"/>
    </row>
    <row r="193" ht="15" customHeight="1" s="341">
      <c r="A193" s="486" t="n"/>
      <c r="B193" s="378">
        <f>IF(A193="","",IFERROR(VLOOKUP(A193,DB_Customers!$A:$D,4,0),"❌ Account Not Found"))</f>
        <v/>
      </c>
      <c r="C193" s="487">
        <f>IF(A193="","",IFERROR(VLOOKUP(A193,DB_Customers!$A:$N,14,0),""))</f>
        <v/>
      </c>
      <c r="D193" s="488">
        <f>IF(A193="","",TODAY())</f>
        <v/>
      </c>
      <c r="E193" s="489" t="n"/>
      <c r="F193" s="490">
        <f>IF(OR(A193="",E193=""),"",IF(C193="","",C193+E193))</f>
        <v/>
      </c>
      <c r="G193" s="380" t="inlineStr">
        <is>
          <t>Agent 09</t>
        </is>
      </c>
      <c r="H193" s="491" t="n"/>
      <c r="I193" s="492">
        <f>IF(A193="","Pending",IF(H193="","⚠️ Enter Code",IF(IFERROR(VLOOKUP(G193,DB_Agents!$B:$I,8,0),"")=H193,IF(AND(A193&lt;&gt;"",E193&lt;&gt;""),"Saved","Pending"),"🔒 BLOCKED — Wrong Code")))</f>
        <v/>
      </c>
      <c r="J193" s="493">
        <f>IF(I193="Saved",TEXT(TODAY(),"YYYY-MM-DD")&amp;" Auto","—")</f>
        <v/>
      </c>
      <c r="K193" s="494" t="n"/>
    </row>
    <row r="194" ht="15" customHeight="1" s="341">
      <c r="A194" s="495" t="n"/>
      <c r="B194" s="382">
        <f>IF(A194="","",IFERROR(VLOOKUP(A194,DB_Customers!$A:$D,4,0),"❌ Account Not Found"))</f>
        <v/>
      </c>
      <c r="C194" s="496">
        <f>IF(A194="","",IFERROR(VLOOKUP(A194,DB_Customers!$A:$N,14,0),""))</f>
        <v/>
      </c>
      <c r="D194" s="497">
        <f>IF(A194="","",TODAY())</f>
        <v/>
      </c>
      <c r="E194" s="489" t="n"/>
      <c r="F194" s="498">
        <f>IF(OR(A194="",E194=""),"",IF(C194="","",C194+E194))</f>
        <v/>
      </c>
      <c r="G194" s="384" t="inlineStr">
        <is>
          <t>Agent 09</t>
        </is>
      </c>
      <c r="H194" s="491" t="n"/>
      <c r="I194" s="499">
        <f>IF(A194="","Pending",IF(H194="","⚠️ Enter Code",IF(IFERROR(VLOOKUP(G194,DB_Agents!$B:$I,8,0),"")=H194,IF(AND(A194&lt;&gt;"",E194&lt;&gt;""),"Saved","Pending"),"🔒 BLOCKED — Wrong Code")))</f>
        <v/>
      </c>
      <c r="J194" s="500">
        <f>IF(I194="Saved",TEXT(TODAY(),"YYYY-MM-DD")&amp;" Auto","—")</f>
        <v/>
      </c>
      <c r="K194" s="501" t="n"/>
    </row>
    <row r="195" ht="15" customHeight="1" s="341">
      <c r="A195" s="486" t="n"/>
      <c r="B195" s="378">
        <f>IF(A195="","",IFERROR(VLOOKUP(A195,DB_Customers!$A:$D,4,0),"❌ Account Not Found"))</f>
        <v/>
      </c>
      <c r="C195" s="487">
        <f>IF(A195="","",IFERROR(VLOOKUP(A195,DB_Customers!$A:$N,14,0),""))</f>
        <v/>
      </c>
      <c r="D195" s="488">
        <f>IF(A195="","",TODAY())</f>
        <v/>
      </c>
      <c r="E195" s="489" t="n"/>
      <c r="F195" s="490">
        <f>IF(OR(A195="",E195=""),"",IF(C195="","",C195+E195))</f>
        <v/>
      </c>
      <c r="G195" s="380" t="inlineStr">
        <is>
          <t>Agent 09</t>
        </is>
      </c>
      <c r="H195" s="491" t="n"/>
      <c r="I195" s="492">
        <f>IF(A195="","Pending",IF(H195="","⚠️ Enter Code",IF(IFERROR(VLOOKUP(G195,DB_Agents!$B:$I,8,0),"")=H195,IF(AND(A195&lt;&gt;"",E195&lt;&gt;""),"Saved","Pending"),"🔒 BLOCKED — Wrong Code")))</f>
        <v/>
      </c>
      <c r="J195" s="493">
        <f>IF(I195="Saved",TEXT(TODAY(),"YYYY-MM-DD")&amp;" Auto","—")</f>
        <v/>
      </c>
      <c r="K195" s="494" t="n"/>
    </row>
    <row r="196" ht="15" customHeight="1" s="341">
      <c r="A196" s="495" t="n"/>
      <c r="B196" s="382">
        <f>IF(A196="","",IFERROR(VLOOKUP(A196,DB_Customers!$A:$D,4,0),"❌ Account Not Found"))</f>
        <v/>
      </c>
      <c r="C196" s="496">
        <f>IF(A196="","",IFERROR(VLOOKUP(A196,DB_Customers!$A:$N,14,0),""))</f>
        <v/>
      </c>
      <c r="D196" s="497">
        <f>IF(A196="","",TODAY())</f>
        <v/>
      </c>
      <c r="E196" s="489" t="n"/>
      <c r="F196" s="498">
        <f>IF(OR(A196="",E196=""),"",IF(C196="","",C196+E196))</f>
        <v/>
      </c>
      <c r="G196" s="384" t="inlineStr">
        <is>
          <t>Agent 09</t>
        </is>
      </c>
      <c r="H196" s="491" t="n"/>
      <c r="I196" s="499">
        <f>IF(A196="","Pending",IF(H196="","⚠️ Enter Code",IF(IFERROR(VLOOKUP(G196,DB_Agents!$B:$I,8,0),"")=H196,IF(AND(A196&lt;&gt;"",E196&lt;&gt;""),"Saved","Pending"),"🔒 BLOCKED — Wrong Code")))</f>
        <v/>
      </c>
      <c r="J196" s="500">
        <f>IF(I196="Saved",TEXT(TODAY(),"YYYY-MM-DD")&amp;" Auto","—")</f>
        <v/>
      </c>
      <c r="K196" s="501" t="n"/>
    </row>
    <row r="197" ht="15" customHeight="1" s="341">
      <c r="A197" s="486" t="n"/>
      <c r="B197" s="378">
        <f>IF(A197="","",IFERROR(VLOOKUP(A197,DB_Customers!$A:$D,4,0),"❌ Account Not Found"))</f>
        <v/>
      </c>
      <c r="C197" s="487">
        <f>IF(A197="","",IFERROR(VLOOKUP(A197,DB_Customers!$A:$N,14,0),""))</f>
        <v/>
      </c>
      <c r="D197" s="488">
        <f>IF(A197="","",TODAY())</f>
        <v/>
      </c>
      <c r="E197" s="489" t="n"/>
      <c r="F197" s="490">
        <f>IF(OR(A197="",E197=""),"",IF(C197="","",C197+E197))</f>
        <v/>
      </c>
      <c r="G197" s="380" t="inlineStr">
        <is>
          <t>Agent 09</t>
        </is>
      </c>
      <c r="H197" s="491" t="n"/>
      <c r="I197" s="492">
        <f>IF(A197="","Pending",IF(H197="","⚠️ Enter Code",IF(IFERROR(VLOOKUP(G197,DB_Agents!$B:$I,8,0),"")=H197,IF(AND(A197&lt;&gt;"",E197&lt;&gt;""),"Saved","Pending"),"🔒 BLOCKED — Wrong Code")))</f>
        <v/>
      </c>
      <c r="J197" s="493">
        <f>IF(I197="Saved",TEXT(TODAY(),"YYYY-MM-DD")&amp;" Auto","—")</f>
        <v/>
      </c>
      <c r="K197" s="494" t="n"/>
    </row>
    <row r="198" ht="15" customHeight="1" s="341">
      <c r="A198" s="495" t="n"/>
      <c r="B198" s="382">
        <f>IF(A198="","",IFERROR(VLOOKUP(A198,DB_Customers!$A:$D,4,0),"❌ Account Not Found"))</f>
        <v/>
      </c>
      <c r="C198" s="496">
        <f>IF(A198="","",IFERROR(VLOOKUP(A198,DB_Customers!$A:$N,14,0),""))</f>
        <v/>
      </c>
      <c r="D198" s="497">
        <f>IF(A198="","",TODAY())</f>
        <v/>
      </c>
      <c r="E198" s="489" t="n"/>
      <c r="F198" s="498">
        <f>IF(OR(A198="",E198=""),"",IF(C198="","",C198+E198))</f>
        <v/>
      </c>
      <c r="G198" s="384" t="inlineStr">
        <is>
          <t>Agent 09</t>
        </is>
      </c>
      <c r="H198" s="491" t="n"/>
      <c r="I198" s="499">
        <f>IF(A198="","Pending",IF(H198="","⚠️ Enter Code",IF(IFERROR(VLOOKUP(G198,DB_Agents!$B:$I,8,0),"")=H198,IF(AND(A198&lt;&gt;"",E198&lt;&gt;""),"Saved","Pending"),"🔒 BLOCKED — Wrong Code")))</f>
        <v/>
      </c>
      <c r="J198" s="500">
        <f>IF(I198="Saved",TEXT(TODAY(),"YYYY-MM-DD")&amp;" Auto","—")</f>
        <v/>
      </c>
      <c r="K198" s="501" t="n"/>
    </row>
    <row r="199" ht="15" customHeight="1" s="341">
      <c r="A199" s="486" t="n"/>
      <c r="B199" s="378">
        <f>IF(A199="","",IFERROR(VLOOKUP(A199,DB_Customers!$A:$D,4,0),"❌ Account Not Found"))</f>
        <v/>
      </c>
      <c r="C199" s="487">
        <f>IF(A199="","",IFERROR(VLOOKUP(A199,DB_Customers!$A:$N,14,0),""))</f>
        <v/>
      </c>
      <c r="D199" s="488">
        <f>IF(A199="","",TODAY())</f>
        <v/>
      </c>
      <c r="E199" s="489" t="n"/>
      <c r="F199" s="490">
        <f>IF(OR(A199="",E199=""),"",IF(C199="","",C199+E199))</f>
        <v/>
      </c>
      <c r="G199" s="380" t="inlineStr">
        <is>
          <t>Agent 09</t>
        </is>
      </c>
      <c r="H199" s="491" t="n"/>
      <c r="I199" s="492">
        <f>IF(A199="","Pending",IF(H199="","⚠️ Enter Code",IF(IFERROR(VLOOKUP(G199,DB_Agents!$B:$I,8,0),"")=H199,IF(AND(A199&lt;&gt;"",E199&lt;&gt;""),"Saved","Pending"),"🔒 BLOCKED — Wrong Code")))</f>
        <v/>
      </c>
      <c r="J199" s="493">
        <f>IF(I199="Saved",TEXT(TODAY(),"YYYY-MM-DD")&amp;" Auto","—")</f>
        <v/>
      </c>
      <c r="K199" s="494" t="n"/>
    </row>
    <row r="200" ht="15" customHeight="1" s="341">
      <c r="A200" s="495" t="n"/>
      <c r="B200" s="382">
        <f>IF(A200="","",IFERROR(VLOOKUP(A200,DB_Customers!$A:$D,4,0),"❌ Account Not Found"))</f>
        <v/>
      </c>
      <c r="C200" s="496">
        <f>IF(A200="","",IFERROR(VLOOKUP(A200,DB_Customers!$A:$N,14,0),""))</f>
        <v/>
      </c>
      <c r="D200" s="497">
        <f>IF(A200="","",TODAY())</f>
        <v/>
      </c>
      <c r="E200" s="489" t="n"/>
      <c r="F200" s="498">
        <f>IF(OR(A200="",E200=""),"",IF(C200="","",C200+E200))</f>
        <v/>
      </c>
      <c r="G200" s="384" t="inlineStr">
        <is>
          <t>Agent 09</t>
        </is>
      </c>
      <c r="H200" s="491" t="n"/>
      <c r="I200" s="499">
        <f>IF(A200="","Pending",IF(H200="","⚠️ Enter Code",IF(IFERROR(VLOOKUP(G200,DB_Agents!$B:$I,8,0),"")=H200,IF(AND(A200&lt;&gt;"",E200&lt;&gt;""),"Saved","Pending"),"🔒 BLOCKED — Wrong Code")))</f>
        <v/>
      </c>
      <c r="J200" s="500">
        <f>IF(I200="Saved",TEXT(TODAY(),"YYYY-MM-DD")&amp;" Auto","—")</f>
        <v/>
      </c>
      <c r="K200" s="501" t="n"/>
    </row>
    <row r="201" ht="15" customHeight="1" s="341">
      <c r="A201" s="486" t="n"/>
      <c r="B201" s="378">
        <f>IF(A201="","",IFERROR(VLOOKUP(A201,DB_Customers!$A:$D,4,0),"❌ Account Not Found"))</f>
        <v/>
      </c>
      <c r="C201" s="487">
        <f>IF(A201="","",IFERROR(VLOOKUP(A201,DB_Customers!$A:$N,14,0),""))</f>
        <v/>
      </c>
      <c r="D201" s="488">
        <f>IF(A201="","",TODAY())</f>
        <v/>
      </c>
      <c r="E201" s="489" t="n"/>
      <c r="F201" s="490">
        <f>IF(OR(A201="",E201=""),"",IF(C201="","",C201+E201))</f>
        <v/>
      </c>
      <c r="G201" s="380" t="inlineStr">
        <is>
          <t>Agent 09</t>
        </is>
      </c>
      <c r="H201" s="491" t="n"/>
      <c r="I201" s="492">
        <f>IF(A201="","Pending",IF(H201="","⚠️ Enter Code",IF(IFERROR(VLOOKUP(G201,DB_Agents!$B:$I,8,0),"")=H201,IF(AND(A201&lt;&gt;"",E201&lt;&gt;""),"Saved","Pending"),"🔒 BLOCKED — Wrong Code")))</f>
        <v/>
      </c>
      <c r="J201" s="493">
        <f>IF(I201="Saved",TEXT(TODAY(),"YYYY-MM-DD")&amp;" Auto","—")</f>
        <v/>
      </c>
      <c r="K201" s="494" t="n"/>
    </row>
    <row r="202" ht="15" customHeight="1" s="341">
      <c r="A202" s="495" t="n"/>
      <c r="B202" s="382">
        <f>IF(A202="","",IFERROR(VLOOKUP(A202,DB_Customers!$A:$D,4,0),"❌ Account Not Found"))</f>
        <v/>
      </c>
      <c r="C202" s="496">
        <f>IF(A202="","",IFERROR(VLOOKUP(A202,DB_Customers!$A:$N,14,0),""))</f>
        <v/>
      </c>
      <c r="D202" s="497">
        <f>IF(A202="","",TODAY())</f>
        <v/>
      </c>
      <c r="E202" s="489" t="n"/>
      <c r="F202" s="498">
        <f>IF(OR(A202="",E202=""),"",IF(C202="","",C202+E202))</f>
        <v/>
      </c>
      <c r="G202" s="384" t="inlineStr">
        <is>
          <t>Agent 09</t>
        </is>
      </c>
      <c r="H202" s="491" t="n"/>
      <c r="I202" s="499">
        <f>IF(A202="","Pending",IF(H202="","⚠️ Enter Code",IF(IFERROR(VLOOKUP(G202,DB_Agents!$B:$I,8,0),"")=H202,IF(AND(A202&lt;&gt;"",E202&lt;&gt;""),"Saved","Pending"),"🔒 BLOCKED — Wrong Code")))</f>
        <v/>
      </c>
      <c r="J202" s="500">
        <f>IF(I202="Saved",TEXT(TODAY(),"YYYY-MM-DD")&amp;" Auto","—")</f>
        <v/>
      </c>
      <c r="K202" s="501" t="n"/>
    </row>
    <row r="203" ht="15" customHeight="1" s="341">
      <c r="A203" s="486" t="n"/>
      <c r="B203" s="378">
        <f>IF(A203="","",IFERROR(VLOOKUP(A203,DB_Customers!$A:$D,4,0),"❌ Account Not Found"))</f>
        <v/>
      </c>
      <c r="C203" s="487">
        <f>IF(A203="","",IFERROR(VLOOKUP(A203,DB_Customers!$A:$N,14,0),""))</f>
        <v/>
      </c>
      <c r="D203" s="488">
        <f>IF(A203="","",TODAY())</f>
        <v/>
      </c>
      <c r="E203" s="489" t="n"/>
      <c r="F203" s="490">
        <f>IF(OR(A203="",E203=""),"",IF(C203="","",C203+E203))</f>
        <v/>
      </c>
      <c r="G203" s="380" t="inlineStr">
        <is>
          <t>Agent 09</t>
        </is>
      </c>
      <c r="H203" s="491" t="n"/>
      <c r="I203" s="492">
        <f>IF(A203="","Pending",IF(H203="","⚠️ Enter Code",IF(IFERROR(VLOOKUP(G203,DB_Agents!$B:$I,8,0),"")=H203,IF(AND(A203&lt;&gt;"",E203&lt;&gt;""),"Saved","Pending"),"🔒 BLOCKED — Wrong Code")))</f>
        <v/>
      </c>
      <c r="J203" s="493">
        <f>IF(I203="Saved",TEXT(TODAY(),"YYYY-MM-DD")&amp;" Auto","—")</f>
        <v/>
      </c>
      <c r="K203" s="494" t="n"/>
    </row>
    <row r="204" ht="15" customHeight="1" s="341">
      <c r="A204" s="495" t="n"/>
      <c r="B204" s="382">
        <f>IF(A204="","",IFERROR(VLOOKUP(A204,DB_Customers!$A:$D,4,0),"❌ Account Not Found"))</f>
        <v/>
      </c>
      <c r="C204" s="496">
        <f>IF(A204="","",IFERROR(VLOOKUP(A204,DB_Customers!$A:$N,14,0),""))</f>
        <v/>
      </c>
      <c r="D204" s="497">
        <f>IF(A204="","",TODAY())</f>
        <v/>
      </c>
      <c r="E204" s="489" t="n"/>
      <c r="F204" s="498">
        <f>IF(OR(A204="",E204=""),"",IF(C204="","",C204+E204))</f>
        <v/>
      </c>
      <c r="G204" s="384" t="inlineStr">
        <is>
          <t>Agent 09</t>
        </is>
      </c>
      <c r="H204" s="491" t="n"/>
      <c r="I204" s="499">
        <f>IF(A204="","Pending",IF(H204="","⚠️ Enter Code",IF(IFERROR(VLOOKUP(G204,DB_Agents!$B:$I,8,0),"")=H204,IF(AND(A204&lt;&gt;"",E204&lt;&gt;""),"Saved","Pending"),"🔒 BLOCKED — Wrong Code")))</f>
        <v/>
      </c>
      <c r="J204" s="500">
        <f>IF(I204="Saved",TEXT(TODAY(),"YYYY-MM-DD")&amp;" Auto","—")</f>
        <v/>
      </c>
      <c r="K204" s="501" t="n"/>
    </row>
    <row r="205" ht="15" customHeight="1" s="341">
      <c r="A205" s="486" t="n"/>
      <c r="B205" s="378">
        <f>IF(A205="","",IFERROR(VLOOKUP(A205,DB_Customers!$A:$D,4,0),"❌ Account Not Found"))</f>
        <v/>
      </c>
      <c r="C205" s="487">
        <f>IF(A205="","",IFERROR(VLOOKUP(A205,DB_Customers!$A:$N,14,0),""))</f>
        <v/>
      </c>
      <c r="D205" s="488">
        <f>IF(A205="","",TODAY())</f>
        <v/>
      </c>
      <c r="E205" s="489" t="n"/>
      <c r="F205" s="490">
        <f>IF(OR(A205="",E205=""),"",IF(C205="","",C205+E205))</f>
        <v/>
      </c>
      <c r="G205" s="380" t="inlineStr">
        <is>
          <t>Agent 09</t>
        </is>
      </c>
      <c r="H205" s="491" t="n"/>
      <c r="I205" s="492">
        <f>IF(A205="","Pending",IF(H205="","⚠️ Enter Code",IF(IFERROR(VLOOKUP(G205,DB_Agents!$B:$I,8,0),"")=H205,IF(AND(A205&lt;&gt;"",E205&lt;&gt;""),"Saved","Pending"),"🔒 BLOCKED — Wrong Code")))</f>
        <v/>
      </c>
      <c r="J205" s="493">
        <f>IF(I205="Saved",TEXT(TODAY(),"YYYY-MM-DD")&amp;" Auto","—")</f>
        <v/>
      </c>
      <c r="K205" s="494" t="n"/>
    </row>
    <row r="206" ht="15" customHeight="1" s="341">
      <c r="A206" s="495" t="n"/>
      <c r="B206" s="382">
        <f>IF(A206="","",IFERROR(VLOOKUP(A206,DB_Customers!$A:$D,4,0),"❌ Account Not Found"))</f>
        <v/>
      </c>
      <c r="C206" s="496">
        <f>IF(A206="","",IFERROR(VLOOKUP(A206,DB_Customers!$A:$N,14,0),""))</f>
        <v/>
      </c>
      <c r="D206" s="497">
        <f>IF(A206="","",TODAY())</f>
        <v/>
      </c>
      <c r="E206" s="489" t="n"/>
      <c r="F206" s="498">
        <f>IF(OR(A206="",E206=""),"",IF(C206="","",C206+E206))</f>
        <v/>
      </c>
      <c r="G206" s="384" t="inlineStr">
        <is>
          <t>Agent 09</t>
        </is>
      </c>
      <c r="H206" s="491" t="n"/>
      <c r="I206" s="499">
        <f>IF(A206="","Pending",IF(H206="","⚠️ Enter Code",IF(IFERROR(VLOOKUP(G206,DB_Agents!$B:$I,8,0),"")=H206,IF(AND(A206&lt;&gt;"",E206&lt;&gt;""),"Saved","Pending"),"🔒 BLOCKED — Wrong Code")))</f>
        <v/>
      </c>
      <c r="J206" s="500">
        <f>IF(I206="Saved",TEXT(TODAY(),"YYYY-MM-DD")&amp;" Auto","—")</f>
        <v/>
      </c>
      <c r="K206" s="501" t="n"/>
    </row>
    <row r="207" ht="15" customHeight="1" s="341">
      <c r="A207" s="486" t="n"/>
      <c r="B207" s="378">
        <f>IF(A207="","",IFERROR(VLOOKUP(A207,DB_Customers!$A:$D,4,0),"❌ Account Not Found"))</f>
        <v/>
      </c>
      <c r="C207" s="487">
        <f>IF(A207="","",IFERROR(VLOOKUP(A207,DB_Customers!$A:$N,14,0),""))</f>
        <v/>
      </c>
      <c r="D207" s="488">
        <f>IF(A207="","",TODAY())</f>
        <v/>
      </c>
      <c r="E207" s="489" t="n"/>
      <c r="F207" s="490">
        <f>IF(OR(A207="",E207=""),"",IF(C207="","",C207+E207))</f>
        <v/>
      </c>
      <c r="G207" s="380" t="inlineStr">
        <is>
          <t>Agent 09</t>
        </is>
      </c>
      <c r="H207" s="491" t="n"/>
      <c r="I207" s="492">
        <f>IF(A207="","Pending",IF(H207="","⚠️ Enter Code",IF(IFERROR(VLOOKUP(G207,DB_Agents!$B:$I,8,0),"")=H207,IF(AND(A207&lt;&gt;"",E207&lt;&gt;""),"Saved","Pending"),"🔒 BLOCKED — Wrong Code")))</f>
        <v/>
      </c>
      <c r="J207" s="493">
        <f>IF(I207="Saved",TEXT(TODAY(),"YYYY-MM-DD")&amp;" Auto","—")</f>
        <v/>
      </c>
      <c r="K207" s="494" t="n"/>
    </row>
    <row r="208" ht="15" customHeight="1" s="341">
      <c r="A208" s="495" t="n"/>
      <c r="B208" s="382">
        <f>IF(A208="","",IFERROR(VLOOKUP(A208,DB_Customers!$A:$D,4,0),"❌ Account Not Found"))</f>
        <v/>
      </c>
      <c r="C208" s="496">
        <f>IF(A208="","",IFERROR(VLOOKUP(A208,DB_Customers!$A:$N,14,0),""))</f>
        <v/>
      </c>
      <c r="D208" s="497">
        <f>IF(A208="","",TODAY())</f>
        <v/>
      </c>
      <c r="E208" s="489" t="n"/>
      <c r="F208" s="498">
        <f>IF(OR(A208="",E208=""),"",IF(C208="","",C208+E208))</f>
        <v/>
      </c>
      <c r="G208" s="384" t="inlineStr">
        <is>
          <t>Agent 09</t>
        </is>
      </c>
      <c r="H208" s="491" t="n"/>
      <c r="I208" s="499">
        <f>IF(A208="","Pending",IF(H208="","⚠️ Enter Code",IF(IFERROR(VLOOKUP(G208,DB_Agents!$B:$I,8,0),"")=H208,IF(AND(A208&lt;&gt;"",E208&lt;&gt;""),"Saved","Pending"),"🔒 BLOCKED — Wrong Code")))</f>
        <v/>
      </c>
      <c r="J208" s="500">
        <f>IF(I208="Saved",TEXT(TODAY(),"YYYY-MM-DD")&amp;" Auto","—")</f>
        <v/>
      </c>
      <c r="K208" s="501" t="n"/>
    </row>
  </sheetData>
  <mergeCells count="12">
    <mergeCell ref="A2:L2"/>
    <mergeCell ref="A7:L7"/>
    <mergeCell ref="A1:L1"/>
    <mergeCell ref="A5:L5"/>
    <mergeCell ref="D4:F4"/>
    <mergeCell ref="D3:F3"/>
    <mergeCell ref="A3:C3"/>
    <mergeCell ref="G3:I3"/>
    <mergeCell ref="G4:I4"/>
    <mergeCell ref="J4:L4"/>
    <mergeCell ref="A4:C4"/>
    <mergeCell ref="J3:L3"/>
  </mergeCells>
  <conditionalFormatting sqref="H9:H208">
    <cfRule type="cellIs" rank="0" priority="2" equalAverage="0" operator="equal" aboveAverage="0" dxfId="0" text="" percent="0" bottom="0">
      <formula>"Saved"</formula>
    </cfRule>
    <cfRule type="cellIs" rank="0" priority="3" equalAverage="0" operator="equal" aboveAverage="0" dxfId="11" text="" percent="0" bottom="0">
      <formula>"Pending"</formula>
    </cfRule>
  </conditionalFormatting>
  <conditionalFormatting sqref="A9:J208">
    <cfRule type="expression" rank="0" priority="4" equalAverage="0" aboveAverage="0" dxfId="12" text="" percent="0" bottom="0">
      <formula>$H9="Saved"</formula>
    </cfRule>
  </conditionalFormatting>
  <dataValidations count="2">
    <dataValidation sqref="E9:E208" showDropDown="0" showInputMessage="0" showErrorMessage="1" allowBlank="0" error="Must be &gt; 0" type="decimal" errorStyle="stop" operator="greaterThan">
      <formula1>0</formula1>
      <formula2>0</formula2>
    </dataValidation>
    <dataValidation sqref="G9:G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1.xml><?xml version="1.0" encoding="utf-8"?>
<worksheet xmlns="http://schemas.openxmlformats.org/spreadsheetml/2006/main">
  <sheetPr filterMode="0">
    <tabColor rgb="FFC0392B"/>
    <outlinePr summaryBelow="1" summaryRight="1"/>
    <pageSetUpPr fitToPage="0"/>
  </sheetPr>
  <dimension ref="A1:M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5" customWidth="1" style="340" min="7" max="7"/>
    <col width="12" customWidth="1" style="340" min="8" max="8"/>
    <col width="14" customWidth="1" style="340" min="9" max="9"/>
    <col width="22" customWidth="1" style="340" min="10" max="10"/>
    <col width="20" customWidth="1" style="340" min="11" max="11"/>
  </cols>
  <sheetData>
    <row r="1" ht="31.5" customHeight="1" s="341">
      <c r="A1" s="502" t="inlineStr">
        <is>
          <t>🏧  SAMICIOUS MICROFINANCE — AGENT09 WITHDRAWALS</t>
        </is>
      </c>
    </row>
    <row r="2" ht="19.5" customHeight="1" s="341">
      <c r="A2" s="503" t="inlineStr">
        <is>
          <t>Agent: Agent 09  |  Status auto: "Successful" or "Unsuccessful" based on balance check  |  🔑 Security: Enter your 4-digit Agent Code in each row</t>
        </is>
      </c>
    </row>
    <row r="3" ht="18" customHeight="1" s="341">
      <c r="A3" s="365" t="inlineStr">
        <is>
          <t>🏧 Total Withdrawn Today</t>
        </is>
      </c>
      <c r="D3" s="364" t="inlineStr">
        <is>
          <t>✅ Successful</t>
        </is>
      </c>
      <c r="G3" s="368" t="inlineStr">
        <is>
          <t>❌ Unsuccessful</t>
        </is>
      </c>
      <c r="K3" s="439" t="inlineStr">
        <is>
          <t>📅 Date</t>
        </is>
      </c>
    </row>
    <row r="4" ht="27.75" customHeight="1" s="341">
      <c r="A4" s="504">
        <f>SUMIFS(DB_Withdrawals!$G:$G,DB_Withdrawals!$J:$J,"Agent 09",DB_Withdrawals!$F:$F,TODAY())</f>
        <v/>
      </c>
      <c r="D4" s="505">
        <f>COUNTIFS(DB_Withdrawals!$J:$J,"Agent 09",DB_Withdrawals!$K:$K,"Successful",DB_Withdrawals!$F:$F,TODAY())</f>
        <v/>
      </c>
      <c r="G4" s="506">
        <f>COUNTIFS(DB_Withdrawals!$J:$J,"Agent 09",DB_Withdrawals!$K:$K,"Unsuccessful",DB_Withdrawals!$F:$F,TODAY())</f>
        <v/>
      </c>
      <c r="K4" s="482">
        <f>TEXT(TODAY(),"DD MMM YYYY")</f>
        <v/>
      </c>
    </row>
    <row r="5" ht="19.5" customHeight="1" s="341">
      <c r="A5" s="507" t="inlineStr">
        <is>
          <t>⚠️  WITHDRAWALS — System auto-validates balance. Insufficient funds will show "Unsuccessful" status.</t>
        </is>
      </c>
    </row>
    <row r="6" ht="7.5" customHeight="1" s="341"/>
    <row r="7" ht="19.5" customHeight="1" s="341">
      <c r="A7" s="508" t="inlineStr">
        <is>
          <t>📝  ENTRY FORM — Enter Account # → Name, Balance, Date auto-populate. Enter Withdrawal Amount &amp; Authorized By. | Enter Agent Code in 🔑 column to authorize each transaction.</t>
        </is>
      </c>
    </row>
    <row r="8" ht="19.5" customHeight="1" s="341">
      <c r="A8" s="509" t="inlineStr">
        <is>
          <t>Account #</t>
        </is>
      </c>
      <c r="B8" s="509" t="inlineStr">
        <is>
          <t>Customer Name</t>
        </is>
      </c>
      <c r="C8" s="509" t="inlineStr">
        <is>
          <t>Available Balance</t>
        </is>
      </c>
      <c r="D8" s="509" t="inlineStr">
        <is>
          <t>Date</t>
        </is>
      </c>
      <c r="E8" s="509" t="inlineStr">
        <is>
          <t>Withdrawal Amt</t>
        </is>
      </c>
      <c r="F8" s="509" t="inlineStr">
        <is>
          <t>Authorized By</t>
        </is>
      </c>
      <c r="G8" s="509" t="inlineStr">
        <is>
          <t>New Balance</t>
        </is>
      </c>
      <c r="H8" s="509" t="inlineStr">
        <is>
          <t>Agent</t>
        </is>
      </c>
      <c r="I8" s="485" t="inlineStr">
        <is>
          <t>🔑 Agent Code</t>
        </is>
      </c>
      <c r="J8" s="509" t="inlineStr">
        <is>
          <t>Status</t>
        </is>
      </c>
      <c r="K8" s="509" t="inlineStr">
        <is>
          <t>Saved At</t>
        </is>
      </c>
      <c r="L8" s="509" t="inlineStr">
        <is>
          <t>Notes</t>
        </is>
      </c>
    </row>
    <row r="9" ht="15" customHeight="1" s="341">
      <c r="A9" s="486" t="n"/>
      <c r="B9" s="378">
        <f>IF(A9="","",IFERROR(VLOOKUP(A9,DB_Customers!$A:$D,4,0),"❌ Account Not Found"))</f>
        <v/>
      </c>
      <c r="C9" s="487">
        <f>IF(A9="","",IFERROR(VLOOKUP(A9,DB_Customers!$A:$N,14,0),""))</f>
        <v/>
      </c>
      <c r="D9" s="488">
        <f>IF(A9="","",TODAY())</f>
        <v/>
      </c>
      <c r="E9" s="510" t="n"/>
      <c r="F9" s="378" t="n"/>
      <c r="G9" s="511">
        <f>IF(OR(A9="",E9=""),"",IF(C9="","",C9-E9))</f>
        <v/>
      </c>
      <c r="H9" s="380" t="inlineStr">
        <is>
          <t>Agent 09</t>
        </is>
      </c>
      <c r="I9" s="491" t="n"/>
      <c r="J9" s="492">
        <f>IF(AND(A9&lt;&gt;"",E9&lt;&gt;""),IF(I9="","⚠️ Enter Code",IF(IFERROR(VLOOKUP(H9,DB_Agents!$B:$I,8,0),"")=I9,IF(C9&gt;=E9,"Successful","Unsuccessful"),"🔒 BLOCKED — Wrong Code")),"—")</f>
        <v/>
      </c>
      <c r="K9" s="493">
        <f>IF(J9="Successful",TEXT(TODAY(),"YYYY-MM-DD")&amp;" Auto","—")</f>
        <v/>
      </c>
      <c r="L9" s="494" t="n"/>
    </row>
    <row r="10" ht="15" customHeight="1" s="341">
      <c r="A10" s="495" t="n"/>
      <c r="B10" s="382">
        <f>IF(A10="","",IFERROR(VLOOKUP(A10,DB_Customers!$A:$D,4,0),"❌ Account Not Found"))</f>
        <v/>
      </c>
      <c r="C10" s="496">
        <f>IF(A10="","",IFERROR(VLOOKUP(A10,DB_Customers!$A:$N,14,0),""))</f>
        <v/>
      </c>
      <c r="D10" s="497">
        <f>IF(A10="","",TODAY())</f>
        <v/>
      </c>
      <c r="E10" s="510" t="n"/>
      <c r="F10" s="382" t="n"/>
      <c r="G10" s="512">
        <f>IF(OR(A10="",E10=""),"",IF(C10="","",C10-E10))</f>
        <v/>
      </c>
      <c r="H10" s="384" t="inlineStr">
        <is>
          <t>Agent 09</t>
        </is>
      </c>
      <c r="I10" s="491" t="n"/>
      <c r="J10" s="499">
        <f>IF(AND(A10&lt;&gt;"",E10&lt;&gt;""),IF(I10="","⚠️ Enter Code",IF(IFERROR(VLOOKUP(H10,DB_Agents!$B:$I,8,0),"")=I10,IF(C10&gt;=E10,"Successful","Unsuccessful"),"🔒 BLOCKED — Wrong Code")),"—")</f>
        <v/>
      </c>
      <c r="K10" s="500">
        <f>IF(J10="Successful",TEXT(TODAY(),"YYYY-MM-DD")&amp;" Auto","—")</f>
        <v/>
      </c>
      <c r="L10" s="501" t="n"/>
    </row>
    <row r="11" ht="15" customHeight="1" s="341">
      <c r="A11" s="486" t="n"/>
      <c r="B11" s="378">
        <f>IF(A11="","",IFERROR(VLOOKUP(A11,DB_Customers!$A:$D,4,0),"❌ Account Not Found"))</f>
        <v/>
      </c>
      <c r="C11" s="487">
        <f>IF(A11="","",IFERROR(VLOOKUP(A11,DB_Customers!$A:$N,14,0),""))</f>
        <v/>
      </c>
      <c r="D11" s="488">
        <f>IF(A11="","",TODAY())</f>
        <v/>
      </c>
      <c r="E11" s="510" t="n"/>
      <c r="F11" s="378" t="n"/>
      <c r="G11" s="511">
        <f>IF(OR(A11="",E11=""),"",IF(C11="","",C11-E11))</f>
        <v/>
      </c>
      <c r="H11" s="380" t="inlineStr">
        <is>
          <t>Agent 09</t>
        </is>
      </c>
      <c r="I11" s="491" t="n"/>
      <c r="J11" s="492">
        <f>IF(AND(A11&lt;&gt;"",E11&lt;&gt;""),IF(I11="","⚠️ Enter Code",IF(IFERROR(VLOOKUP(H11,DB_Agents!$B:$I,8,0),"")=I11,IF(C11&gt;=E11,"Successful","Unsuccessful"),"🔒 BLOCKED — Wrong Code")),"—")</f>
        <v/>
      </c>
      <c r="K11" s="493">
        <f>IF(J11="Successful",TEXT(TODAY(),"YYYY-MM-DD")&amp;" Auto","—")</f>
        <v/>
      </c>
      <c r="L11" s="494" t="n"/>
    </row>
    <row r="12" ht="15" customHeight="1" s="341">
      <c r="A12" s="495" t="n"/>
      <c r="B12" s="382">
        <f>IF(A12="","",IFERROR(VLOOKUP(A12,DB_Customers!$A:$D,4,0),"❌ Account Not Found"))</f>
        <v/>
      </c>
      <c r="C12" s="496">
        <f>IF(A12="","",IFERROR(VLOOKUP(A12,DB_Customers!$A:$N,14,0),""))</f>
        <v/>
      </c>
      <c r="D12" s="497">
        <f>IF(A12="","",TODAY())</f>
        <v/>
      </c>
      <c r="E12" s="510" t="n"/>
      <c r="F12" s="382" t="n"/>
      <c r="G12" s="512">
        <f>IF(OR(A12="",E12=""),"",IF(C12="","",C12-E12))</f>
        <v/>
      </c>
      <c r="H12" s="384" t="inlineStr">
        <is>
          <t>Agent 09</t>
        </is>
      </c>
      <c r="I12" s="491" t="n"/>
      <c r="J12" s="499">
        <f>IF(AND(A12&lt;&gt;"",E12&lt;&gt;""),IF(I12="","⚠️ Enter Code",IF(IFERROR(VLOOKUP(H12,DB_Agents!$B:$I,8,0),"")=I12,IF(C12&gt;=E12,"Successful","Unsuccessful"),"🔒 BLOCKED — Wrong Code")),"—")</f>
        <v/>
      </c>
      <c r="K12" s="500">
        <f>IF(J12="Successful",TEXT(TODAY(),"YYYY-MM-DD")&amp;" Auto","—")</f>
        <v/>
      </c>
      <c r="L12" s="501" t="n"/>
    </row>
    <row r="13" ht="15" customHeight="1" s="341">
      <c r="A13" s="486" t="n"/>
      <c r="B13" s="378">
        <f>IF(A13="","",IFERROR(VLOOKUP(A13,DB_Customers!$A:$D,4,0),"❌ Account Not Found"))</f>
        <v/>
      </c>
      <c r="C13" s="487">
        <f>IF(A13="","",IFERROR(VLOOKUP(A13,DB_Customers!$A:$N,14,0),""))</f>
        <v/>
      </c>
      <c r="D13" s="488">
        <f>IF(A13="","",TODAY())</f>
        <v/>
      </c>
      <c r="E13" s="510" t="n"/>
      <c r="F13" s="378" t="n"/>
      <c r="G13" s="511">
        <f>IF(OR(A13="",E13=""),"",IF(C13="","",C13-E13))</f>
        <v/>
      </c>
      <c r="H13" s="380" t="inlineStr">
        <is>
          <t>Agent 09</t>
        </is>
      </c>
      <c r="I13" s="491" t="n"/>
      <c r="J13" s="492">
        <f>IF(AND(A13&lt;&gt;"",E13&lt;&gt;""),IF(I13="","⚠️ Enter Code",IF(IFERROR(VLOOKUP(H13,DB_Agents!$B:$I,8,0),"")=I13,IF(C13&gt;=E13,"Successful","Unsuccessful"),"🔒 BLOCKED — Wrong Code")),"—")</f>
        <v/>
      </c>
      <c r="K13" s="493">
        <f>IF(J13="Successful",TEXT(TODAY(),"YYYY-MM-DD")&amp;" Auto","—")</f>
        <v/>
      </c>
      <c r="L13" s="494" t="n"/>
    </row>
    <row r="14" ht="15" customHeight="1" s="341">
      <c r="A14" s="495" t="n"/>
      <c r="B14" s="382">
        <f>IF(A14="","",IFERROR(VLOOKUP(A14,DB_Customers!$A:$D,4,0),"❌ Account Not Found"))</f>
        <v/>
      </c>
      <c r="C14" s="496">
        <f>IF(A14="","",IFERROR(VLOOKUP(A14,DB_Customers!$A:$N,14,0),""))</f>
        <v/>
      </c>
      <c r="D14" s="497">
        <f>IF(A14="","",TODAY())</f>
        <v/>
      </c>
      <c r="E14" s="510" t="n"/>
      <c r="F14" s="382" t="n"/>
      <c r="G14" s="512">
        <f>IF(OR(A14="",E14=""),"",IF(C14="","",C14-E14))</f>
        <v/>
      </c>
      <c r="H14" s="384" t="inlineStr">
        <is>
          <t>Agent 09</t>
        </is>
      </c>
      <c r="I14" s="491" t="n"/>
      <c r="J14" s="499">
        <f>IF(AND(A14&lt;&gt;"",E14&lt;&gt;""),IF(I14="","⚠️ Enter Code",IF(IFERROR(VLOOKUP(H14,DB_Agents!$B:$I,8,0),"")=I14,IF(C14&gt;=E14,"Successful","Unsuccessful"),"🔒 BLOCKED — Wrong Code")),"—")</f>
        <v/>
      </c>
      <c r="K14" s="500">
        <f>IF(J14="Successful",TEXT(TODAY(),"YYYY-MM-DD")&amp;" Auto","—")</f>
        <v/>
      </c>
      <c r="L14" s="501" t="n"/>
    </row>
    <row r="15" ht="15" customHeight="1" s="341">
      <c r="A15" s="486" t="n"/>
      <c r="B15" s="378">
        <f>IF(A15="","",IFERROR(VLOOKUP(A15,DB_Customers!$A:$D,4,0),"❌ Account Not Found"))</f>
        <v/>
      </c>
      <c r="C15" s="487">
        <f>IF(A15="","",IFERROR(VLOOKUP(A15,DB_Customers!$A:$N,14,0),""))</f>
        <v/>
      </c>
      <c r="D15" s="488">
        <f>IF(A15="","",TODAY())</f>
        <v/>
      </c>
      <c r="E15" s="510" t="n"/>
      <c r="F15" s="378" t="n"/>
      <c r="G15" s="511">
        <f>IF(OR(A15="",E15=""),"",IF(C15="","",C15-E15))</f>
        <v/>
      </c>
      <c r="H15" s="380" t="inlineStr">
        <is>
          <t>Agent 09</t>
        </is>
      </c>
      <c r="I15" s="491" t="n"/>
      <c r="J15" s="492">
        <f>IF(AND(A15&lt;&gt;"",E15&lt;&gt;""),IF(I15="","⚠️ Enter Code",IF(IFERROR(VLOOKUP(H15,DB_Agents!$B:$I,8,0),"")=I15,IF(C15&gt;=E15,"Successful","Unsuccessful"),"🔒 BLOCKED — Wrong Code")),"—")</f>
        <v/>
      </c>
      <c r="K15" s="493">
        <f>IF(J15="Successful",TEXT(TODAY(),"YYYY-MM-DD")&amp;" Auto","—")</f>
        <v/>
      </c>
      <c r="L15" s="494" t="n"/>
    </row>
    <row r="16" ht="15" customHeight="1" s="341">
      <c r="A16" s="495" t="n"/>
      <c r="B16" s="382">
        <f>IF(A16="","",IFERROR(VLOOKUP(A16,DB_Customers!$A:$D,4,0),"❌ Account Not Found"))</f>
        <v/>
      </c>
      <c r="C16" s="496">
        <f>IF(A16="","",IFERROR(VLOOKUP(A16,DB_Customers!$A:$N,14,0),""))</f>
        <v/>
      </c>
      <c r="D16" s="497">
        <f>IF(A16="","",TODAY())</f>
        <v/>
      </c>
      <c r="E16" s="510" t="n"/>
      <c r="F16" s="382" t="n"/>
      <c r="G16" s="512">
        <f>IF(OR(A16="",E16=""),"",IF(C16="","",C16-E16))</f>
        <v/>
      </c>
      <c r="H16" s="384" t="inlineStr">
        <is>
          <t>Agent 09</t>
        </is>
      </c>
      <c r="I16" s="491" t="n"/>
      <c r="J16" s="499">
        <f>IF(AND(A16&lt;&gt;"",E16&lt;&gt;""),IF(I16="","⚠️ Enter Code",IF(IFERROR(VLOOKUP(H16,DB_Agents!$B:$I,8,0),"")=I16,IF(C16&gt;=E16,"Successful","Unsuccessful"),"🔒 BLOCKED — Wrong Code")),"—")</f>
        <v/>
      </c>
      <c r="K16" s="500">
        <f>IF(J16="Successful",TEXT(TODAY(),"YYYY-MM-DD")&amp;" Auto","—")</f>
        <v/>
      </c>
      <c r="L16" s="501" t="n"/>
    </row>
    <row r="17" ht="15" customHeight="1" s="341">
      <c r="A17" s="486" t="n"/>
      <c r="B17" s="378">
        <f>IF(A17="","",IFERROR(VLOOKUP(A17,DB_Customers!$A:$D,4,0),"❌ Account Not Found"))</f>
        <v/>
      </c>
      <c r="C17" s="487">
        <f>IF(A17="","",IFERROR(VLOOKUP(A17,DB_Customers!$A:$N,14,0),""))</f>
        <v/>
      </c>
      <c r="D17" s="488">
        <f>IF(A17="","",TODAY())</f>
        <v/>
      </c>
      <c r="E17" s="510" t="n"/>
      <c r="F17" s="378" t="n"/>
      <c r="G17" s="511">
        <f>IF(OR(A17="",E17=""),"",IF(C17="","",C17-E17))</f>
        <v/>
      </c>
      <c r="H17" s="380" t="inlineStr">
        <is>
          <t>Agent 09</t>
        </is>
      </c>
      <c r="I17" s="491" t="n"/>
      <c r="J17" s="492">
        <f>IF(AND(A17&lt;&gt;"",E17&lt;&gt;""),IF(I17="","⚠️ Enter Code",IF(IFERROR(VLOOKUP(H17,DB_Agents!$B:$I,8,0),"")=I17,IF(C17&gt;=E17,"Successful","Unsuccessful"),"🔒 BLOCKED — Wrong Code")),"—")</f>
        <v/>
      </c>
      <c r="K17" s="493">
        <f>IF(J17="Successful",TEXT(TODAY(),"YYYY-MM-DD")&amp;" Auto","—")</f>
        <v/>
      </c>
      <c r="L17" s="494" t="n"/>
    </row>
    <row r="18" ht="15" customHeight="1" s="341">
      <c r="A18" s="495" t="n"/>
      <c r="B18" s="382">
        <f>IF(A18="","",IFERROR(VLOOKUP(A18,DB_Customers!$A:$D,4,0),"❌ Account Not Found"))</f>
        <v/>
      </c>
      <c r="C18" s="496">
        <f>IF(A18="","",IFERROR(VLOOKUP(A18,DB_Customers!$A:$N,14,0),""))</f>
        <v/>
      </c>
      <c r="D18" s="497">
        <f>IF(A18="","",TODAY())</f>
        <v/>
      </c>
      <c r="E18" s="510" t="n"/>
      <c r="F18" s="382" t="n"/>
      <c r="G18" s="512">
        <f>IF(OR(A18="",E18=""),"",IF(C18="","",C18-E18))</f>
        <v/>
      </c>
      <c r="H18" s="384" t="inlineStr">
        <is>
          <t>Agent 09</t>
        </is>
      </c>
      <c r="I18" s="491" t="n"/>
      <c r="J18" s="499">
        <f>IF(AND(A18&lt;&gt;"",E18&lt;&gt;""),IF(I18="","⚠️ Enter Code",IF(IFERROR(VLOOKUP(H18,DB_Agents!$B:$I,8,0),"")=I18,IF(C18&gt;=E18,"Successful","Unsuccessful"),"🔒 BLOCKED — Wrong Code")),"—")</f>
        <v/>
      </c>
      <c r="K18" s="500">
        <f>IF(J18="Successful",TEXT(TODAY(),"YYYY-MM-DD")&amp;" Auto","—")</f>
        <v/>
      </c>
      <c r="L18" s="501" t="n"/>
    </row>
    <row r="19" ht="15" customHeight="1" s="341">
      <c r="A19" s="486" t="n"/>
      <c r="B19" s="378">
        <f>IF(A19="","",IFERROR(VLOOKUP(A19,DB_Customers!$A:$D,4,0),"❌ Account Not Found"))</f>
        <v/>
      </c>
      <c r="C19" s="487">
        <f>IF(A19="","",IFERROR(VLOOKUP(A19,DB_Customers!$A:$N,14,0),""))</f>
        <v/>
      </c>
      <c r="D19" s="488">
        <f>IF(A19="","",TODAY())</f>
        <v/>
      </c>
      <c r="E19" s="510" t="n"/>
      <c r="F19" s="378" t="n"/>
      <c r="G19" s="511">
        <f>IF(OR(A19="",E19=""),"",IF(C19="","",C19-E19))</f>
        <v/>
      </c>
      <c r="H19" s="380" t="inlineStr">
        <is>
          <t>Agent 09</t>
        </is>
      </c>
      <c r="I19" s="491" t="n"/>
      <c r="J19" s="492">
        <f>IF(AND(A19&lt;&gt;"",E19&lt;&gt;""),IF(I19="","⚠️ Enter Code",IF(IFERROR(VLOOKUP(H19,DB_Agents!$B:$I,8,0),"")=I19,IF(C19&gt;=E19,"Successful","Unsuccessful"),"🔒 BLOCKED — Wrong Code")),"—")</f>
        <v/>
      </c>
      <c r="K19" s="493">
        <f>IF(J19="Successful",TEXT(TODAY(),"YYYY-MM-DD")&amp;" Auto","—")</f>
        <v/>
      </c>
      <c r="L19" s="494" t="n"/>
    </row>
    <row r="20" ht="15" customHeight="1" s="341">
      <c r="A20" s="495" t="n"/>
      <c r="B20" s="382">
        <f>IF(A20="","",IFERROR(VLOOKUP(A20,DB_Customers!$A:$D,4,0),"❌ Account Not Found"))</f>
        <v/>
      </c>
      <c r="C20" s="496">
        <f>IF(A20="","",IFERROR(VLOOKUP(A20,DB_Customers!$A:$N,14,0),""))</f>
        <v/>
      </c>
      <c r="D20" s="497">
        <f>IF(A20="","",TODAY())</f>
        <v/>
      </c>
      <c r="E20" s="510" t="n"/>
      <c r="F20" s="382" t="n"/>
      <c r="G20" s="512">
        <f>IF(OR(A20="",E20=""),"",IF(C20="","",C20-E20))</f>
        <v/>
      </c>
      <c r="H20" s="384" t="inlineStr">
        <is>
          <t>Agent 09</t>
        </is>
      </c>
      <c r="I20" s="491" t="n"/>
      <c r="J20" s="499">
        <f>IF(AND(A20&lt;&gt;"",E20&lt;&gt;""),IF(I20="","⚠️ Enter Code",IF(IFERROR(VLOOKUP(H20,DB_Agents!$B:$I,8,0),"")=I20,IF(C20&gt;=E20,"Successful","Unsuccessful"),"🔒 BLOCKED — Wrong Code")),"—")</f>
        <v/>
      </c>
      <c r="K20" s="500">
        <f>IF(J20="Successful",TEXT(TODAY(),"YYYY-MM-DD")&amp;" Auto","—")</f>
        <v/>
      </c>
      <c r="L20" s="501" t="n"/>
    </row>
    <row r="21" ht="15" customHeight="1" s="341">
      <c r="A21" s="486" t="n"/>
      <c r="B21" s="378">
        <f>IF(A21="","",IFERROR(VLOOKUP(A21,DB_Customers!$A:$D,4,0),"❌ Account Not Found"))</f>
        <v/>
      </c>
      <c r="C21" s="487">
        <f>IF(A21="","",IFERROR(VLOOKUP(A21,DB_Customers!$A:$N,14,0),""))</f>
        <v/>
      </c>
      <c r="D21" s="488">
        <f>IF(A21="","",TODAY())</f>
        <v/>
      </c>
      <c r="E21" s="510" t="n"/>
      <c r="F21" s="378" t="n"/>
      <c r="G21" s="511">
        <f>IF(OR(A21="",E21=""),"",IF(C21="","",C21-E21))</f>
        <v/>
      </c>
      <c r="H21" s="380" t="inlineStr">
        <is>
          <t>Agent 09</t>
        </is>
      </c>
      <c r="I21" s="491" t="n"/>
      <c r="J21" s="492">
        <f>IF(AND(A21&lt;&gt;"",E21&lt;&gt;""),IF(I21="","⚠️ Enter Code",IF(IFERROR(VLOOKUP(H21,DB_Agents!$B:$I,8,0),"")=I21,IF(C21&gt;=E21,"Successful","Unsuccessful"),"🔒 BLOCKED — Wrong Code")),"—")</f>
        <v/>
      </c>
      <c r="K21" s="493">
        <f>IF(J21="Successful",TEXT(TODAY(),"YYYY-MM-DD")&amp;" Auto","—")</f>
        <v/>
      </c>
      <c r="L21" s="494" t="n"/>
    </row>
    <row r="22" ht="15" customHeight="1" s="341">
      <c r="A22" s="495" t="n"/>
      <c r="B22" s="382">
        <f>IF(A22="","",IFERROR(VLOOKUP(A22,DB_Customers!$A:$D,4,0),"❌ Account Not Found"))</f>
        <v/>
      </c>
      <c r="C22" s="496">
        <f>IF(A22="","",IFERROR(VLOOKUP(A22,DB_Customers!$A:$N,14,0),""))</f>
        <v/>
      </c>
      <c r="D22" s="497">
        <f>IF(A22="","",TODAY())</f>
        <v/>
      </c>
      <c r="E22" s="510" t="n"/>
      <c r="F22" s="382" t="n"/>
      <c r="G22" s="512">
        <f>IF(OR(A22="",E22=""),"",IF(C22="","",C22-E22))</f>
        <v/>
      </c>
      <c r="H22" s="384" t="inlineStr">
        <is>
          <t>Agent 09</t>
        </is>
      </c>
      <c r="I22" s="491" t="n"/>
      <c r="J22" s="499">
        <f>IF(AND(A22&lt;&gt;"",E22&lt;&gt;""),IF(I22="","⚠️ Enter Code",IF(IFERROR(VLOOKUP(H22,DB_Agents!$B:$I,8,0),"")=I22,IF(C22&gt;=E22,"Successful","Unsuccessful"),"🔒 BLOCKED — Wrong Code")),"—")</f>
        <v/>
      </c>
      <c r="K22" s="500">
        <f>IF(J22="Successful",TEXT(TODAY(),"YYYY-MM-DD")&amp;" Auto","—")</f>
        <v/>
      </c>
      <c r="L22" s="501" t="n"/>
    </row>
    <row r="23" ht="15" customHeight="1" s="341">
      <c r="A23" s="486" t="n"/>
      <c r="B23" s="378">
        <f>IF(A23="","",IFERROR(VLOOKUP(A23,DB_Customers!$A:$D,4,0),"❌ Account Not Found"))</f>
        <v/>
      </c>
      <c r="C23" s="487">
        <f>IF(A23="","",IFERROR(VLOOKUP(A23,DB_Customers!$A:$N,14,0),""))</f>
        <v/>
      </c>
      <c r="D23" s="488">
        <f>IF(A23="","",TODAY())</f>
        <v/>
      </c>
      <c r="E23" s="510" t="n"/>
      <c r="F23" s="378" t="n"/>
      <c r="G23" s="511">
        <f>IF(OR(A23="",E23=""),"",IF(C23="","",C23-E23))</f>
        <v/>
      </c>
      <c r="H23" s="380" t="inlineStr">
        <is>
          <t>Agent 09</t>
        </is>
      </c>
      <c r="I23" s="491" t="n"/>
      <c r="J23" s="492">
        <f>IF(AND(A23&lt;&gt;"",E23&lt;&gt;""),IF(I23="","⚠️ Enter Code",IF(IFERROR(VLOOKUP(H23,DB_Agents!$B:$I,8,0),"")=I23,IF(C23&gt;=E23,"Successful","Unsuccessful"),"🔒 BLOCKED — Wrong Code")),"—")</f>
        <v/>
      </c>
      <c r="K23" s="493">
        <f>IF(J23="Successful",TEXT(TODAY(),"YYYY-MM-DD")&amp;" Auto","—")</f>
        <v/>
      </c>
      <c r="L23" s="494" t="n"/>
    </row>
    <row r="24" ht="15" customHeight="1" s="341">
      <c r="A24" s="495" t="n"/>
      <c r="B24" s="382">
        <f>IF(A24="","",IFERROR(VLOOKUP(A24,DB_Customers!$A:$D,4,0),"❌ Account Not Found"))</f>
        <v/>
      </c>
      <c r="C24" s="496">
        <f>IF(A24="","",IFERROR(VLOOKUP(A24,DB_Customers!$A:$N,14,0),""))</f>
        <v/>
      </c>
      <c r="D24" s="497">
        <f>IF(A24="","",TODAY())</f>
        <v/>
      </c>
      <c r="E24" s="510" t="n"/>
      <c r="F24" s="382" t="n"/>
      <c r="G24" s="512">
        <f>IF(OR(A24="",E24=""),"",IF(C24="","",C24-E24))</f>
        <v/>
      </c>
      <c r="H24" s="384" t="inlineStr">
        <is>
          <t>Agent 09</t>
        </is>
      </c>
      <c r="I24" s="491" t="n"/>
      <c r="J24" s="499">
        <f>IF(AND(A24&lt;&gt;"",E24&lt;&gt;""),IF(I24="","⚠️ Enter Code",IF(IFERROR(VLOOKUP(H24,DB_Agents!$B:$I,8,0),"")=I24,IF(C24&gt;=E24,"Successful","Unsuccessful"),"🔒 BLOCKED — Wrong Code")),"—")</f>
        <v/>
      </c>
      <c r="K24" s="500">
        <f>IF(J24="Successful",TEXT(TODAY(),"YYYY-MM-DD")&amp;" Auto","—")</f>
        <v/>
      </c>
      <c r="L24" s="501" t="n"/>
    </row>
    <row r="25" ht="15" customHeight="1" s="341">
      <c r="A25" s="486" t="n"/>
      <c r="B25" s="378">
        <f>IF(A25="","",IFERROR(VLOOKUP(A25,DB_Customers!$A:$D,4,0),"❌ Account Not Found"))</f>
        <v/>
      </c>
      <c r="C25" s="487">
        <f>IF(A25="","",IFERROR(VLOOKUP(A25,DB_Customers!$A:$N,14,0),""))</f>
        <v/>
      </c>
      <c r="D25" s="488">
        <f>IF(A25="","",TODAY())</f>
        <v/>
      </c>
      <c r="E25" s="510" t="n"/>
      <c r="F25" s="378" t="n"/>
      <c r="G25" s="511">
        <f>IF(OR(A25="",E25=""),"",IF(C25="","",C25-E25))</f>
        <v/>
      </c>
      <c r="H25" s="380" t="inlineStr">
        <is>
          <t>Agent 09</t>
        </is>
      </c>
      <c r="I25" s="491" t="n"/>
      <c r="J25" s="492">
        <f>IF(AND(A25&lt;&gt;"",E25&lt;&gt;""),IF(I25="","⚠️ Enter Code",IF(IFERROR(VLOOKUP(H25,DB_Agents!$B:$I,8,0),"")=I25,IF(C25&gt;=E25,"Successful","Unsuccessful"),"🔒 BLOCKED — Wrong Code")),"—")</f>
        <v/>
      </c>
      <c r="K25" s="493">
        <f>IF(J25="Successful",TEXT(TODAY(),"YYYY-MM-DD")&amp;" Auto","—")</f>
        <v/>
      </c>
      <c r="L25" s="494" t="n"/>
    </row>
    <row r="26" ht="15" customHeight="1" s="341">
      <c r="A26" s="495" t="n"/>
      <c r="B26" s="382">
        <f>IF(A26="","",IFERROR(VLOOKUP(A26,DB_Customers!$A:$D,4,0),"❌ Account Not Found"))</f>
        <v/>
      </c>
      <c r="C26" s="496">
        <f>IF(A26="","",IFERROR(VLOOKUP(A26,DB_Customers!$A:$N,14,0),""))</f>
        <v/>
      </c>
      <c r="D26" s="497">
        <f>IF(A26="","",TODAY())</f>
        <v/>
      </c>
      <c r="E26" s="510" t="n"/>
      <c r="F26" s="382" t="n"/>
      <c r="G26" s="512">
        <f>IF(OR(A26="",E26=""),"",IF(C26="","",C26-E26))</f>
        <v/>
      </c>
      <c r="H26" s="384" t="inlineStr">
        <is>
          <t>Agent 09</t>
        </is>
      </c>
      <c r="I26" s="491" t="n"/>
      <c r="J26" s="499">
        <f>IF(AND(A26&lt;&gt;"",E26&lt;&gt;""),IF(I26="","⚠️ Enter Code",IF(IFERROR(VLOOKUP(H26,DB_Agents!$B:$I,8,0),"")=I26,IF(C26&gt;=E26,"Successful","Unsuccessful"),"🔒 BLOCKED — Wrong Code")),"—")</f>
        <v/>
      </c>
      <c r="K26" s="500">
        <f>IF(J26="Successful",TEXT(TODAY(),"YYYY-MM-DD")&amp;" Auto","—")</f>
        <v/>
      </c>
      <c r="L26" s="501" t="n"/>
    </row>
    <row r="27" ht="15" customHeight="1" s="341">
      <c r="A27" s="486" t="n"/>
      <c r="B27" s="378">
        <f>IF(A27="","",IFERROR(VLOOKUP(A27,DB_Customers!$A:$D,4,0),"❌ Account Not Found"))</f>
        <v/>
      </c>
      <c r="C27" s="487">
        <f>IF(A27="","",IFERROR(VLOOKUP(A27,DB_Customers!$A:$N,14,0),""))</f>
        <v/>
      </c>
      <c r="D27" s="488">
        <f>IF(A27="","",TODAY())</f>
        <v/>
      </c>
      <c r="E27" s="510" t="n"/>
      <c r="F27" s="378" t="n"/>
      <c r="G27" s="511">
        <f>IF(OR(A27="",E27=""),"",IF(C27="","",C27-E27))</f>
        <v/>
      </c>
      <c r="H27" s="380" t="inlineStr">
        <is>
          <t>Agent 09</t>
        </is>
      </c>
      <c r="I27" s="491" t="n"/>
      <c r="J27" s="492">
        <f>IF(AND(A27&lt;&gt;"",E27&lt;&gt;""),IF(I27="","⚠️ Enter Code",IF(IFERROR(VLOOKUP(H27,DB_Agents!$B:$I,8,0),"")=I27,IF(C27&gt;=E27,"Successful","Unsuccessful"),"🔒 BLOCKED — Wrong Code")),"—")</f>
        <v/>
      </c>
      <c r="K27" s="493">
        <f>IF(J27="Successful",TEXT(TODAY(),"YYYY-MM-DD")&amp;" Auto","—")</f>
        <v/>
      </c>
      <c r="L27" s="494" t="n"/>
    </row>
    <row r="28" ht="15" customHeight="1" s="341">
      <c r="A28" s="495" t="n"/>
      <c r="B28" s="382">
        <f>IF(A28="","",IFERROR(VLOOKUP(A28,DB_Customers!$A:$D,4,0),"❌ Account Not Found"))</f>
        <v/>
      </c>
      <c r="C28" s="496">
        <f>IF(A28="","",IFERROR(VLOOKUP(A28,DB_Customers!$A:$N,14,0),""))</f>
        <v/>
      </c>
      <c r="D28" s="497">
        <f>IF(A28="","",TODAY())</f>
        <v/>
      </c>
      <c r="E28" s="510" t="n"/>
      <c r="F28" s="382" t="n"/>
      <c r="G28" s="512">
        <f>IF(OR(A28="",E28=""),"",IF(C28="","",C28-E28))</f>
        <v/>
      </c>
      <c r="H28" s="384" t="inlineStr">
        <is>
          <t>Agent 09</t>
        </is>
      </c>
      <c r="I28" s="491" t="n"/>
      <c r="J28" s="499">
        <f>IF(AND(A28&lt;&gt;"",E28&lt;&gt;""),IF(I28="","⚠️ Enter Code",IF(IFERROR(VLOOKUP(H28,DB_Agents!$B:$I,8,0),"")=I28,IF(C28&gt;=E28,"Successful","Unsuccessful"),"🔒 BLOCKED — Wrong Code")),"—")</f>
        <v/>
      </c>
      <c r="K28" s="500">
        <f>IF(J28="Successful",TEXT(TODAY(),"YYYY-MM-DD")&amp;" Auto","—")</f>
        <v/>
      </c>
      <c r="L28" s="501" t="n"/>
    </row>
    <row r="29" ht="15" customHeight="1" s="341">
      <c r="A29" s="486" t="n"/>
      <c r="B29" s="378">
        <f>IF(A29="","",IFERROR(VLOOKUP(A29,DB_Customers!$A:$D,4,0),"❌ Account Not Found"))</f>
        <v/>
      </c>
      <c r="C29" s="487">
        <f>IF(A29="","",IFERROR(VLOOKUP(A29,DB_Customers!$A:$N,14,0),""))</f>
        <v/>
      </c>
      <c r="D29" s="488">
        <f>IF(A29="","",TODAY())</f>
        <v/>
      </c>
      <c r="E29" s="510" t="n"/>
      <c r="F29" s="378" t="n"/>
      <c r="G29" s="511">
        <f>IF(OR(A29="",E29=""),"",IF(C29="","",C29-E29))</f>
        <v/>
      </c>
      <c r="H29" s="380" t="inlineStr">
        <is>
          <t>Agent 09</t>
        </is>
      </c>
      <c r="I29" s="491" t="n"/>
      <c r="J29" s="492">
        <f>IF(AND(A29&lt;&gt;"",E29&lt;&gt;""),IF(I29="","⚠️ Enter Code",IF(IFERROR(VLOOKUP(H29,DB_Agents!$B:$I,8,0),"")=I29,IF(C29&gt;=E29,"Successful","Unsuccessful"),"🔒 BLOCKED — Wrong Code")),"—")</f>
        <v/>
      </c>
      <c r="K29" s="493">
        <f>IF(J29="Successful",TEXT(TODAY(),"YYYY-MM-DD")&amp;" Auto","—")</f>
        <v/>
      </c>
      <c r="L29" s="494" t="n"/>
    </row>
    <row r="30" ht="15" customHeight="1" s="341">
      <c r="A30" s="495" t="n"/>
      <c r="B30" s="382">
        <f>IF(A30="","",IFERROR(VLOOKUP(A30,DB_Customers!$A:$D,4,0),"❌ Account Not Found"))</f>
        <v/>
      </c>
      <c r="C30" s="496">
        <f>IF(A30="","",IFERROR(VLOOKUP(A30,DB_Customers!$A:$N,14,0),""))</f>
        <v/>
      </c>
      <c r="D30" s="497">
        <f>IF(A30="","",TODAY())</f>
        <v/>
      </c>
      <c r="E30" s="510" t="n"/>
      <c r="F30" s="382" t="n"/>
      <c r="G30" s="512">
        <f>IF(OR(A30="",E30=""),"",IF(C30="","",C30-E30))</f>
        <v/>
      </c>
      <c r="H30" s="384" t="inlineStr">
        <is>
          <t>Agent 09</t>
        </is>
      </c>
      <c r="I30" s="491" t="n"/>
      <c r="J30" s="499">
        <f>IF(AND(A30&lt;&gt;"",E30&lt;&gt;""),IF(I30="","⚠️ Enter Code",IF(IFERROR(VLOOKUP(H30,DB_Agents!$B:$I,8,0),"")=I30,IF(C30&gt;=E30,"Successful","Unsuccessful"),"🔒 BLOCKED — Wrong Code")),"—")</f>
        <v/>
      </c>
      <c r="K30" s="500">
        <f>IF(J30="Successful",TEXT(TODAY(),"YYYY-MM-DD")&amp;" Auto","—")</f>
        <v/>
      </c>
      <c r="L30" s="501" t="n"/>
    </row>
    <row r="31" ht="15" customHeight="1" s="341">
      <c r="A31" s="486" t="n"/>
      <c r="B31" s="378">
        <f>IF(A31="","",IFERROR(VLOOKUP(A31,DB_Customers!$A:$D,4,0),"❌ Account Not Found"))</f>
        <v/>
      </c>
      <c r="C31" s="487">
        <f>IF(A31="","",IFERROR(VLOOKUP(A31,DB_Customers!$A:$N,14,0),""))</f>
        <v/>
      </c>
      <c r="D31" s="488">
        <f>IF(A31="","",TODAY())</f>
        <v/>
      </c>
      <c r="E31" s="510" t="n"/>
      <c r="F31" s="378" t="n"/>
      <c r="G31" s="511">
        <f>IF(OR(A31="",E31=""),"",IF(C31="","",C31-E31))</f>
        <v/>
      </c>
      <c r="H31" s="380" t="inlineStr">
        <is>
          <t>Agent 09</t>
        </is>
      </c>
      <c r="I31" s="491" t="n"/>
      <c r="J31" s="492">
        <f>IF(AND(A31&lt;&gt;"",E31&lt;&gt;""),IF(I31="","⚠️ Enter Code",IF(IFERROR(VLOOKUP(H31,DB_Agents!$B:$I,8,0),"")=I31,IF(C31&gt;=E31,"Successful","Unsuccessful"),"🔒 BLOCKED — Wrong Code")),"—")</f>
        <v/>
      </c>
      <c r="K31" s="493">
        <f>IF(J31="Successful",TEXT(TODAY(),"YYYY-MM-DD")&amp;" Auto","—")</f>
        <v/>
      </c>
      <c r="L31" s="494" t="n"/>
    </row>
    <row r="32" ht="15" customHeight="1" s="341">
      <c r="A32" s="495" t="n"/>
      <c r="B32" s="382">
        <f>IF(A32="","",IFERROR(VLOOKUP(A32,DB_Customers!$A:$D,4,0),"❌ Account Not Found"))</f>
        <v/>
      </c>
      <c r="C32" s="496">
        <f>IF(A32="","",IFERROR(VLOOKUP(A32,DB_Customers!$A:$N,14,0),""))</f>
        <v/>
      </c>
      <c r="D32" s="497">
        <f>IF(A32="","",TODAY())</f>
        <v/>
      </c>
      <c r="E32" s="510" t="n"/>
      <c r="F32" s="382" t="n"/>
      <c r="G32" s="512">
        <f>IF(OR(A32="",E32=""),"",IF(C32="","",C32-E32))</f>
        <v/>
      </c>
      <c r="H32" s="384" t="inlineStr">
        <is>
          <t>Agent 09</t>
        </is>
      </c>
      <c r="I32" s="491" t="n"/>
      <c r="J32" s="499">
        <f>IF(AND(A32&lt;&gt;"",E32&lt;&gt;""),IF(I32="","⚠️ Enter Code",IF(IFERROR(VLOOKUP(H32,DB_Agents!$B:$I,8,0),"")=I32,IF(C32&gt;=E32,"Successful","Unsuccessful"),"🔒 BLOCKED — Wrong Code")),"—")</f>
        <v/>
      </c>
      <c r="K32" s="500">
        <f>IF(J32="Successful",TEXT(TODAY(),"YYYY-MM-DD")&amp;" Auto","—")</f>
        <v/>
      </c>
      <c r="L32" s="501" t="n"/>
    </row>
    <row r="33" ht="15" customHeight="1" s="341">
      <c r="A33" s="486" t="n"/>
      <c r="B33" s="378">
        <f>IF(A33="","",IFERROR(VLOOKUP(A33,DB_Customers!$A:$D,4,0),"❌ Account Not Found"))</f>
        <v/>
      </c>
      <c r="C33" s="487">
        <f>IF(A33="","",IFERROR(VLOOKUP(A33,DB_Customers!$A:$N,14,0),""))</f>
        <v/>
      </c>
      <c r="D33" s="488">
        <f>IF(A33="","",TODAY())</f>
        <v/>
      </c>
      <c r="E33" s="510" t="n"/>
      <c r="F33" s="378" t="n"/>
      <c r="G33" s="511">
        <f>IF(OR(A33="",E33=""),"",IF(C33="","",C33-E33))</f>
        <v/>
      </c>
      <c r="H33" s="380" t="inlineStr">
        <is>
          <t>Agent 09</t>
        </is>
      </c>
      <c r="I33" s="491" t="n"/>
      <c r="J33" s="492">
        <f>IF(AND(A33&lt;&gt;"",E33&lt;&gt;""),IF(I33="","⚠️ Enter Code",IF(IFERROR(VLOOKUP(H33,DB_Agents!$B:$I,8,0),"")=I33,IF(C33&gt;=E33,"Successful","Unsuccessful"),"🔒 BLOCKED — Wrong Code")),"—")</f>
        <v/>
      </c>
      <c r="K33" s="493">
        <f>IF(J33="Successful",TEXT(TODAY(),"YYYY-MM-DD")&amp;" Auto","—")</f>
        <v/>
      </c>
      <c r="L33" s="494" t="n"/>
    </row>
    <row r="34" ht="15" customHeight="1" s="341">
      <c r="A34" s="495" t="n"/>
      <c r="B34" s="382">
        <f>IF(A34="","",IFERROR(VLOOKUP(A34,DB_Customers!$A:$D,4,0),"❌ Account Not Found"))</f>
        <v/>
      </c>
      <c r="C34" s="496">
        <f>IF(A34="","",IFERROR(VLOOKUP(A34,DB_Customers!$A:$N,14,0),""))</f>
        <v/>
      </c>
      <c r="D34" s="497">
        <f>IF(A34="","",TODAY())</f>
        <v/>
      </c>
      <c r="E34" s="510" t="n"/>
      <c r="F34" s="382" t="n"/>
      <c r="G34" s="512">
        <f>IF(OR(A34="",E34=""),"",IF(C34="","",C34-E34))</f>
        <v/>
      </c>
      <c r="H34" s="384" t="inlineStr">
        <is>
          <t>Agent 09</t>
        </is>
      </c>
      <c r="I34" s="491" t="n"/>
      <c r="J34" s="499">
        <f>IF(AND(A34&lt;&gt;"",E34&lt;&gt;""),IF(I34="","⚠️ Enter Code",IF(IFERROR(VLOOKUP(H34,DB_Agents!$B:$I,8,0),"")=I34,IF(C34&gt;=E34,"Successful","Unsuccessful"),"🔒 BLOCKED — Wrong Code")),"—")</f>
        <v/>
      </c>
      <c r="K34" s="500">
        <f>IF(J34="Successful",TEXT(TODAY(),"YYYY-MM-DD")&amp;" Auto","—")</f>
        <v/>
      </c>
      <c r="L34" s="501" t="n"/>
    </row>
    <row r="35" ht="15" customHeight="1" s="341">
      <c r="A35" s="486" t="n"/>
      <c r="B35" s="378">
        <f>IF(A35="","",IFERROR(VLOOKUP(A35,DB_Customers!$A:$D,4,0),"❌ Account Not Found"))</f>
        <v/>
      </c>
      <c r="C35" s="487">
        <f>IF(A35="","",IFERROR(VLOOKUP(A35,DB_Customers!$A:$N,14,0),""))</f>
        <v/>
      </c>
      <c r="D35" s="488">
        <f>IF(A35="","",TODAY())</f>
        <v/>
      </c>
      <c r="E35" s="510" t="n"/>
      <c r="F35" s="378" t="n"/>
      <c r="G35" s="511">
        <f>IF(OR(A35="",E35=""),"",IF(C35="","",C35-E35))</f>
        <v/>
      </c>
      <c r="H35" s="380" t="inlineStr">
        <is>
          <t>Agent 09</t>
        </is>
      </c>
      <c r="I35" s="491" t="n"/>
      <c r="J35" s="492">
        <f>IF(AND(A35&lt;&gt;"",E35&lt;&gt;""),IF(I35="","⚠️ Enter Code",IF(IFERROR(VLOOKUP(H35,DB_Agents!$B:$I,8,0),"")=I35,IF(C35&gt;=E35,"Successful","Unsuccessful"),"🔒 BLOCKED — Wrong Code")),"—")</f>
        <v/>
      </c>
      <c r="K35" s="493">
        <f>IF(J35="Successful",TEXT(TODAY(),"YYYY-MM-DD")&amp;" Auto","—")</f>
        <v/>
      </c>
      <c r="L35" s="494" t="n"/>
    </row>
    <row r="36" ht="15" customHeight="1" s="341">
      <c r="A36" s="495" t="n"/>
      <c r="B36" s="382">
        <f>IF(A36="","",IFERROR(VLOOKUP(A36,DB_Customers!$A:$D,4,0),"❌ Account Not Found"))</f>
        <v/>
      </c>
      <c r="C36" s="496">
        <f>IF(A36="","",IFERROR(VLOOKUP(A36,DB_Customers!$A:$N,14,0),""))</f>
        <v/>
      </c>
      <c r="D36" s="497">
        <f>IF(A36="","",TODAY())</f>
        <v/>
      </c>
      <c r="E36" s="510" t="n"/>
      <c r="F36" s="382" t="n"/>
      <c r="G36" s="512">
        <f>IF(OR(A36="",E36=""),"",IF(C36="","",C36-E36))</f>
        <v/>
      </c>
      <c r="H36" s="384" t="inlineStr">
        <is>
          <t>Agent 09</t>
        </is>
      </c>
      <c r="I36" s="491" t="n"/>
      <c r="J36" s="499">
        <f>IF(AND(A36&lt;&gt;"",E36&lt;&gt;""),IF(I36="","⚠️ Enter Code",IF(IFERROR(VLOOKUP(H36,DB_Agents!$B:$I,8,0),"")=I36,IF(C36&gt;=E36,"Successful","Unsuccessful"),"🔒 BLOCKED — Wrong Code")),"—")</f>
        <v/>
      </c>
      <c r="K36" s="500">
        <f>IF(J36="Successful",TEXT(TODAY(),"YYYY-MM-DD")&amp;" Auto","—")</f>
        <v/>
      </c>
      <c r="L36" s="501" t="n"/>
    </row>
    <row r="37" ht="15" customHeight="1" s="341">
      <c r="A37" s="486" t="n"/>
      <c r="B37" s="378">
        <f>IF(A37="","",IFERROR(VLOOKUP(A37,DB_Customers!$A:$D,4,0),"❌ Account Not Found"))</f>
        <v/>
      </c>
      <c r="C37" s="487">
        <f>IF(A37="","",IFERROR(VLOOKUP(A37,DB_Customers!$A:$N,14,0),""))</f>
        <v/>
      </c>
      <c r="D37" s="488">
        <f>IF(A37="","",TODAY())</f>
        <v/>
      </c>
      <c r="E37" s="510" t="n"/>
      <c r="F37" s="378" t="n"/>
      <c r="G37" s="511">
        <f>IF(OR(A37="",E37=""),"",IF(C37="","",C37-E37))</f>
        <v/>
      </c>
      <c r="H37" s="380" t="inlineStr">
        <is>
          <t>Agent 09</t>
        </is>
      </c>
      <c r="I37" s="491" t="n"/>
      <c r="J37" s="492">
        <f>IF(AND(A37&lt;&gt;"",E37&lt;&gt;""),IF(I37="","⚠️ Enter Code",IF(IFERROR(VLOOKUP(H37,DB_Agents!$B:$I,8,0),"")=I37,IF(C37&gt;=E37,"Successful","Unsuccessful"),"🔒 BLOCKED — Wrong Code")),"—")</f>
        <v/>
      </c>
      <c r="K37" s="493">
        <f>IF(J37="Successful",TEXT(TODAY(),"YYYY-MM-DD")&amp;" Auto","—")</f>
        <v/>
      </c>
      <c r="L37" s="494" t="n"/>
    </row>
    <row r="38" ht="15" customHeight="1" s="341">
      <c r="A38" s="495" t="n"/>
      <c r="B38" s="382">
        <f>IF(A38="","",IFERROR(VLOOKUP(A38,DB_Customers!$A:$D,4,0),"❌ Account Not Found"))</f>
        <v/>
      </c>
      <c r="C38" s="496">
        <f>IF(A38="","",IFERROR(VLOOKUP(A38,DB_Customers!$A:$N,14,0),""))</f>
        <v/>
      </c>
      <c r="D38" s="497">
        <f>IF(A38="","",TODAY())</f>
        <v/>
      </c>
      <c r="E38" s="510" t="n"/>
      <c r="F38" s="382" t="n"/>
      <c r="G38" s="512">
        <f>IF(OR(A38="",E38=""),"",IF(C38="","",C38-E38))</f>
        <v/>
      </c>
      <c r="H38" s="384" t="inlineStr">
        <is>
          <t>Agent 09</t>
        </is>
      </c>
      <c r="I38" s="491" t="n"/>
      <c r="J38" s="499">
        <f>IF(AND(A38&lt;&gt;"",E38&lt;&gt;""),IF(I38="","⚠️ Enter Code",IF(IFERROR(VLOOKUP(H38,DB_Agents!$B:$I,8,0),"")=I38,IF(C38&gt;=E38,"Successful","Unsuccessful"),"🔒 BLOCKED — Wrong Code")),"—")</f>
        <v/>
      </c>
      <c r="K38" s="500">
        <f>IF(J38="Successful",TEXT(TODAY(),"YYYY-MM-DD")&amp;" Auto","—")</f>
        <v/>
      </c>
      <c r="L38" s="501" t="n"/>
    </row>
    <row r="39" ht="15" customHeight="1" s="341">
      <c r="A39" s="486" t="n"/>
      <c r="B39" s="378">
        <f>IF(A39="","",IFERROR(VLOOKUP(A39,DB_Customers!$A:$D,4,0),"❌ Account Not Found"))</f>
        <v/>
      </c>
      <c r="C39" s="487">
        <f>IF(A39="","",IFERROR(VLOOKUP(A39,DB_Customers!$A:$N,14,0),""))</f>
        <v/>
      </c>
      <c r="D39" s="488">
        <f>IF(A39="","",TODAY())</f>
        <v/>
      </c>
      <c r="E39" s="510" t="n"/>
      <c r="F39" s="378" t="n"/>
      <c r="G39" s="511">
        <f>IF(OR(A39="",E39=""),"",IF(C39="","",C39-E39))</f>
        <v/>
      </c>
      <c r="H39" s="380" t="inlineStr">
        <is>
          <t>Agent 09</t>
        </is>
      </c>
      <c r="I39" s="491" t="n"/>
      <c r="J39" s="492">
        <f>IF(AND(A39&lt;&gt;"",E39&lt;&gt;""),IF(I39="","⚠️ Enter Code",IF(IFERROR(VLOOKUP(H39,DB_Agents!$B:$I,8,0),"")=I39,IF(C39&gt;=E39,"Successful","Unsuccessful"),"🔒 BLOCKED — Wrong Code")),"—")</f>
        <v/>
      </c>
      <c r="K39" s="493">
        <f>IF(J39="Successful",TEXT(TODAY(),"YYYY-MM-DD")&amp;" Auto","—")</f>
        <v/>
      </c>
      <c r="L39" s="494" t="n"/>
    </row>
    <row r="40" ht="15" customHeight="1" s="341">
      <c r="A40" s="495" t="n"/>
      <c r="B40" s="382">
        <f>IF(A40="","",IFERROR(VLOOKUP(A40,DB_Customers!$A:$D,4,0),"❌ Account Not Found"))</f>
        <v/>
      </c>
      <c r="C40" s="496">
        <f>IF(A40="","",IFERROR(VLOOKUP(A40,DB_Customers!$A:$N,14,0),""))</f>
        <v/>
      </c>
      <c r="D40" s="497">
        <f>IF(A40="","",TODAY())</f>
        <v/>
      </c>
      <c r="E40" s="510" t="n"/>
      <c r="F40" s="382" t="n"/>
      <c r="G40" s="512">
        <f>IF(OR(A40="",E40=""),"",IF(C40="","",C40-E40))</f>
        <v/>
      </c>
      <c r="H40" s="384" t="inlineStr">
        <is>
          <t>Agent 09</t>
        </is>
      </c>
      <c r="I40" s="491" t="n"/>
      <c r="J40" s="499">
        <f>IF(AND(A40&lt;&gt;"",E40&lt;&gt;""),IF(I40="","⚠️ Enter Code",IF(IFERROR(VLOOKUP(H40,DB_Agents!$B:$I,8,0),"")=I40,IF(C40&gt;=E40,"Successful","Unsuccessful"),"🔒 BLOCKED — Wrong Code")),"—")</f>
        <v/>
      </c>
      <c r="K40" s="500">
        <f>IF(J40="Successful",TEXT(TODAY(),"YYYY-MM-DD")&amp;" Auto","—")</f>
        <v/>
      </c>
      <c r="L40" s="501" t="n"/>
    </row>
    <row r="41" ht="15" customHeight="1" s="341">
      <c r="A41" s="486" t="n"/>
      <c r="B41" s="378">
        <f>IF(A41="","",IFERROR(VLOOKUP(A41,DB_Customers!$A:$D,4,0),"❌ Account Not Found"))</f>
        <v/>
      </c>
      <c r="C41" s="487">
        <f>IF(A41="","",IFERROR(VLOOKUP(A41,DB_Customers!$A:$N,14,0),""))</f>
        <v/>
      </c>
      <c r="D41" s="488">
        <f>IF(A41="","",TODAY())</f>
        <v/>
      </c>
      <c r="E41" s="510" t="n"/>
      <c r="F41" s="378" t="n"/>
      <c r="G41" s="511">
        <f>IF(OR(A41="",E41=""),"",IF(C41="","",C41-E41))</f>
        <v/>
      </c>
      <c r="H41" s="380" t="inlineStr">
        <is>
          <t>Agent 09</t>
        </is>
      </c>
      <c r="I41" s="491" t="n"/>
      <c r="J41" s="492">
        <f>IF(AND(A41&lt;&gt;"",E41&lt;&gt;""),IF(I41="","⚠️ Enter Code",IF(IFERROR(VLOOKUP(H41,DB_Agents!$B:$I,8,0),"")=I41,IF(C41&gt;=E41,"Successful","Unsuccessful"),"🔒 BLOCKED — Wrong Code")),"—")</f>
        <v/>
      </c>
      <c r="K41" s="493">
        <f>IF(J41="Successful",TEXT(TODAY(),"YYYY-MM-DD")&amp;" Auto","—")</f>
        <v/>
      </c>
      <c r="L41" s="494" t="n"/>
    </row>
    <row r="42" ht="15" customHeight="1" s="341">
      <c r="A42" s="495" t="n"/>
      <c r="B42" s="382">
        <f>IF(A42="","",IFERROR(VLOOKUP(A42,DB_Customers!$A:$D,4,0),"❌ Account Not Found"))</f>
        <v/>
      </c>
      <c r="C42" s="496">
        <f>IF(A42="","",IFERROR(VLOOKUP(A42,DB_Customers!$A:$N,14,0),""))</f>
        <v/>
      </c>
      <c r="D42" s="497">
        <f>IF(A42="","",TODAY())</f>
        <v/>
      </c>
      <c r="E42" s="510" t="n"/>
      <c r="F42" s="382" t="n"/>
      <c r="G42" s="512">
        <f>IF(OR(A42="",E42=""),"",IF(C42="","",C42-E42))</f>
        <v/>
      </c>
      <c r="H42" s="384" t="inlineStr">
        <is>
          <t>Agent 09</t>
        </is>
      </c>
      <c r="I42" s="491" t="n"/>
      <c r="J42" s="499">
        <f>IF(AND(A42&lt;&gt;"",E42&lt;&gt;""),IF(I42="","⚠️ Enter Code",IF(IFERROR(VLOOKUP(H42,DB_Agents!$B:$I,8,0),"")=I42,IF(C42&gt;=E42,"Successful","Unsuccessful"),"🔒 BLOCKED — Wrong Code")),"—")</f>
        <v/>
      </c>
      <c r="K42" s="500">
        <f>IF(J42="Successful",TEXT(TODAY(),"YYYY-MM-DD")&amp;" Auto","—")</f>
        <v/>
      </c>
      <c r="L42" s="501" t="n"/>
    </row>
    <row r="43" ht="15" customHeight="1" s="341">
      <c r="A43" s="486" t="n"/>
      <c r="B43" s="378">
        <f>IF(A43="","",IFERROR(VLOOKUP(A43,DB_Customers!$A:$D,4,0),"❌ Account Not Found"))</f>
        <v/>
      </c>
      <c r="C43" s="487">
        <f>IF(A43="","",IFERROR(VLOOKUP(A43,DB_Customers!$A:$N,14,0),""))</f>
        <v/>
      </c>
      <c r="D43" s="488">
        <f>IF(A43="","",TODAY())</f>
        <v/>
      </c>
      <c r="E43" s="510" t="n"/>
      <c r="F43" s="378" t="n"/>
      <c r="G43" s="511">
        <f>IF(OR(A43="",E43=""),"",IF(C43="","",C43-E43))</f>
        <v/>
      </c>
      <c r="H43" s="380" t="inlineStr">
        <is>
          <t>Agent 09</t>
        </is>
      </c>
      <c r="I43" s="491" t="n"/>
      <c r="J43" s="492">
        <f>IF(AND(A43&lt;&gt;"",E43&lt;&gt;""),IF(I43="","⚠️ Enter Code",IF(IFERROR(VLOOKUP(H43,DB_Agents!$B:$I,8,0),"")=I43,IF(C43&gt;=E43,"Successful","Unsuccessful"),"🔒 BLOCKED — Wrong Code")),"—")</f>
        <v/>
      </c>
      <c r="K43" s="493">
        <f>IF(J43="Successful",TEXT(TODAY(),"YYYY-MM-DD")&amp;" Auto","—")</f>
        <v/>
      </c>
      <c r="L43" s="494" t="n"/>
    </row>
    <row r="44" ht="15" customHeight="1" s="341">
      <c r="A44" s="495" t="n"/>
      <c r="B44" s="382">
        <f>IF(A44="","",IFERROR(VLOOKUP(A44,DB_Customers!$A:$D,4,0),"❌ Account Not Found"))</f>
        <v/>
      </c>
      <c r="C44" s="496">
        <f>IF(A44="","",IFERROR(VLOOKUP(A44,DB_Customers!$A:$N,14,0),""))</f>
        <v/>
      </c>
      <c r="D44" s="497">
        <f>IF(A44="","",TODAY())</f>
        <v/>
      </c>
      <c r="E44" s="510" t="n"/>
      <c r="F44" s="382" t="n"/>
      <c r="G44" s="512">
        <f>IF(OR(A44="",E44=""),"",IF(C44="","",C44-E44))</f>
        <v/>
      </c>
      <c r="H44" s="384" t="inlineStr">
        <is>
          <t>Agent 09</t>
        </is>
      </c>
      <c r="I44" s="491" t="n"/>
      <c r="J44" s="499">
        <f>IF(AND(A44&lt;&gt;"",E44&lt;&gt;""),IF(I44="","⚠️ Enter Code",IF(IFERROR(VLOOKUP(H44,DB_Agents!$B:$I,8,0),"")=I44,IF(C44&gt;=E44,"Successful","Unsuccessful"),"🔒 BLOCKED — Wrong Code")),"—")</f>
        <v/>
      </c>
      <c r="K44" s="500">
        <f>IF(J44="Successful",TEXT(TODAY(),"YYYY-MM-DD")&amp;" Auto","—")</f>
        <v/>
      </c>
      <c r="L44" s="501" t="n"/>
    </row>
    <row r="45" ht="15" customHeight="1" s="341">
      <c r="A45" s="486" t="n"/>
      <c r="B45" s="378">
        <f>IF(A45="","",IFERROR(VLOOKUP(A45,DB_Customers!$A:$D,4,0),"❌ Account Not Found"))</f>
        <v/>
      </c>
      <c r="C45" s="487">
        <f>IF(A45="","",IFERROR(VLOOKUP(A45,DB_Customers!$A:$N,14,0),""))</f>
        <v/>
      </c>
      <c r="D45" s="488">
        <f>IF(A45="","",TODAY())</f>
        <v/>
      </c>
      <c r="E45" s="510" t="n"/>
      <c r="F45" s="378" t="n"/>
      <c r="G45" s="511">
        <f>IF(OR(A45="",E45=""),"",IF(C45="","",C45-E45))</f>
        <v/>
      </c>
      <c r="H45" s="380" t="inlineStr">
        <is>
          <t>Agent 09</t>
        </is>
      </c>
      <c r="I45" s="491" t="n"/>
      <c r="J45" s="492">
        <f>IF(AND(A45&lt;&gt;"",E45&lt;&gt;""),IF(I45="","⚠️ Enter Code",IF(IFERROR(VLOOKUP(H45,DB_Agents!$B:$I,8,0),"")=I45,IF(C45&gt;=E45,"Successful","Unsuccessful"),"🔒 BLOCKED — Wrong Code")),"—")</f>
        <v/>
      </c>
      <c r="K45" s="493">
        <f>IF(J45="Successful",TEXT(TODAY(),"YYYY-MM-DD")&amp;" Auto","—")</f>
        <v/>
      </c>
      <c r="L45" s="494" t="n"/>
    </row>
    <row r="46" ht="15" customHeight="1" s="341">
      <c r="A46" s="495" t="n"/>
      <c r="B46" s="382">
        <f>IF(A46="","",IFERROR(VLOOKUP(A46,DB_Customers!$A:$D,4,0),"❌ Account Not Found"))</f>
        <v/>
      </c>
      <c r="C46" s="496">
        <f>IF(A46="","",IFERROR(VLOOKUP(A46,DB_Customers!$A:$N,14,0),""))</f>
        <v/>
      </c>
      <c r="D46" s="497">
        <f>IF(A46="","",TODAY())</f>
        <v/>
      </c>
      <c r="E46" s="510" t="n"/>
      <c r="F46" s="382" t="n"/>
      <c r="G46" s="512">
        <f>IF(OR(A46="",E46=""),"",IF(C46="","",C46-E46))</f>
        <v/>
      </c>
      <c r="H46" s="384" t="inlineStr">
        <is>
          <t>Agent 09</t>
        </is>
      </c>
      <c r="I46" s="491" t="n"/>
      <c r="J46" s="499">
        <f>IF(AND(A46&lt;&gt;"",E46&lt;&gt;""),IF(I46="","⚠️ Enter Code",IF(IFERROR(VLOOKUP(H46,DB_Agents!$B:$I,8,0),"")=I46,IF(C46&gt;=E46,"Successful","Unsuccessful"),"🔒 BLOCKED — Wrong Code")),"—")</f>
        <v/>
      </c>
      <c r="K46" s="500">
        <f>IF(J46="Successful",TEXT(TODAY(),"YYYY-MM-DD")&amp;" Auto","—")</f>
        <v/>
      </c>
      <c r="L46" s="501" t="n"/>
    </row>
    <row r="47" ht="15" customHeight="1" s="341">
      <c r="A47" s="486" t="n"/>
      <c r="B47" s="378">
        <f>IF(A47="","",IFERROR(VLOOKUP(A47,DB_Customers!$A:$D,4,0),"❌ Account Not Found"))</f>
        <v/>
      </c>
      <c r="C47" s="487">
        <f>IF(A47="","",IFERROR(VLOOKUP(A47,DB_Customers!$A:$N,14,0),""))</f>
        <v/>
      </c>
      <c r="D47" s="488">
        <f>IF(A47="","",TODAY())</f>
        <v/>
      </c>
      <c r="E47" s="510" t="n"/>
      <c r="F47" s="378" t="n"/>
      <c r="G47" s="511">
        <f>IF(OR(A47="",E47=""),"",IF(C47="","",C47-E47))</f>
        <v/>
      </c>
      <c r="H47" s="380" t="inlineStr">
        <is>
          <t>Agent 09</t>
        </is>
      </c>
      <c r="I47" s="491" t="n"/>
      <c r="J47" s="492">
        <f>IF(AND(A47&lt;&gt;"",E47&lt;&gt;""),IF(I47="","⚠️ Enter Code",IF(IFERROR(VLOOKUP(H47,DB_Agents!$B:$I,8,0),"")=I47,IF(C47&gt;=E47,"Successful","Unsuccessful"),"🔒 BLOCKED — Wrong Code")),"—")</f>
        <v/>
      </c>
      <c r="K47" s="493">
        <f>IF(J47="Successful",TEXT(TODAY(),"YYYY-MM-DD")&amp;" Auto","—")</f>
        <v/>
      </c>
      <c r="L47" s="494" t="n"/>
    </row>
    <row r="48" ht="15" customHeight="1" s="341">
      <c r="A48" s="495" t="n"/>
      <c r="B48" s="382">
        <f>IF(A48="","",IFERROR(VLOOKUP(A48,DB_Customers!$A:$D,4,0),"❌ Account Not Found"))</f>
        <v/>
      </c>
      <c r="C48" s="496">
        <f>IF(A48="","",IFERROR(VLOOKUP(A48,DB_Customers!$A:$N,14,0),""))</f>
        <v/>
      </c>
      <c r="D48" s="497">
        <f>IF(A48="","",TODAY())</f>
        <v/>
      </c>
      <c r="E48" s="510" t="n"/>
      <c r="F48" s="382" t="n"/>
      <c r="G48" s="512">
        <f>IF(OR(A48="",E48=""),"",IF(C48="","",C48-E48))</f>
        <v/>
      </c>
      <c r="H48" s="384" t="inlineStr">
        <is>
          <t>Agent 09</t>
        </is>
      </c>
      <c r="I48" s="491" t="n"/>
      <c r="J48" s="499">
        <f>IF(AND(A48&lt;&gt;"",E48&lt;&gt;""),IF(I48="","⚠️ Enter Code",IF(IFERROR(VLOOKUP(H48,DB_Agents!$B:$I,8,0),"")=I48,IF(C48&gt;=E48,"Successful","Unsuccessful"),"🔒 BLOCKED — Wrong Code")),"—")</f>
        <v/>
      </c>
      <c r="K48" s="500">
        <f>IF(J48="Successful",TEXT(TODAY(),"YYYY-MM-DD")&amp;" Auto","—")</f>
        <v/>
      </c>
      <c r="L48" s="501" t="n"/>
    </row>
    <row r="49" ht="15" customHeight="1" s="341">
      <c r="A49" s="486" t="n"/>
      <c r="B49" s="378">
        <f>IF(A49="","",IFERROR(VLOOKUP(A49,DB_Customers!$A:$D,4,0),"❌ Account Not Found"))</f>
        <v/>
      </c>
      <c r="C49" s="487">
        <f>IF(A49="","",IFERROR(VLOOKUP(A49,DB_Customers!$A:$N,14,0),""))</f>
        <v/>
      </c>
      <c r="D49" s="488">
        <f>IF(A49="","",TODAY())</f>
        <v/>
      </c>
      <c r="E49" s="510" t="n"/>
      <c r="F49" s="378" t="n"/>
      <c r="G49" s="511">
        <f>IF(OR(A49="",E49=""),"",IF(C49="","",C49-E49))</f>
        <v/>
      </c>
      <c r="H49" s="380" t="inlineStr">
        <is>
          <t>Agent 09</t>
        </is>
      </c>
      <c r="I49" s="491" t="n"/>
      <c r="J49" s="492">
        <f>IF(AND(A49&lt;&gt;"",E49&lt;&gt;""),IF(I49="","⚠️ Enter Code",IF(IFERROR(VLOOKUP(H49,DB_Agents!$B:$I,8,0),"")=I49,IF(C49&gt;=E49,"Successful","Unsuccessful"),"🔒 BLOCKED — Wrong Code")),"—")</f>
        <v/>
      </c>
      <c r="K49" s="493">
        <f>IF(J49="Successful",TEXT(TODAY(),"YYYY-MM-DD")&amp;" Auto","—")</f>
        <v/>
      </c>
      <c r="L49" s="494" t="n"/>
    </row>
    <row r="50" ht="15" customHeight="1" s="341">
      <c r="A50" s="495" t="n"/>
      <c r="B50" s="382">
        <f>IF(A50="","",IFERROR(VLOOKUP(A50,DB_Customers!$A:$D,4,0),"❌ Account Not Found"))</f>
        <v/>
      </c>
      <c r="C50" s="496">
        <f>IF(A50="","",IFERROR(VLOOKUP(A50,DB_Customers!$A:$N,14,0),""))</f>
        <v/>
      </c>
      <c r="D50" s="497">
        <f>IF(A50="","",TODAY())</f>
        <v/>
      </c>
      <c r="E50" s="510" t="n"/>
      <c r="F50" s="382" t="n"/>
      <c r="G50" s="512">
        <f>IF(OR(A50="",E50=""),"",IF(C50="","",C50-E50))</f>
        <v/>
      </c>
      <c r="H50" s="384" t="inlineStr">
        <is>
          <t>Agent 09</t>
        </is>
      </c>
      <c r="I50" s="491" t="n"/>
      <c r="J50" s="499">
        <f>IF(AND(A50&lt;&gt;"",E50&lt;&gt;""),IF(I50="","⚠️ Enter Code",IF(IFERROR(VLOOKUP(H50,DB_Agents!$B:$I,8,0),"")=I50,IF(C50&gt;=E50,"Successful","Unsuccessful"),"🔒 BLOCKED — Wrong Code")),"—")</f>
        <v/>
      </c>
      <c r="K50" s="500">
        <f>IF(J50="Successful",TEXT(TODAY(),"YYYY-MM-DD")&amp;" Auto","—")</f>
        <v/>
      </c>
      <c r="L50" s="501" t="n"/>
    </row>
    <row r="51" ht="15" customHeight="1" s="341">
      <c r="A51" s="486" t="n"/>
      <c r="B51" s="378">
        <f>IF(A51="","",IFERROR(VLOOKUP(A51,DB_Customers!$A:$D,4,0),"❌ Account Not Found"))</f>
        <v/>
      </c>
      <c r="C51" s="487">
        <f>IF(A51="","",IFERROR(VLOOKUP(A51,DB_Customers!$A:$N,14,0),""))</f>
        <v/>
      </c>
      <c r="D51" s="488">
        <f>IF(A51="","",TODAY())</f>
        <v/>
      </c>
      <c r="E51" s="510" t="n"/>
      <c r="F51" s="378" t="n"/>
      <c r="G51" s="511">
        <f>IF(OR(A51="",E51=""),"",IF(C51="","",C51-E51))</f>
        <v/>
      </c>
      <c r="H51" s="380" t="inlineStr">
        <is>
          <t>Agent 09</t>
        </is>
      </c>
      <c r="I51" s="491" t="n"/>
      <c r="J51" s="492">
        <f>IF(AND(A51&lt;&gt;"",E51&lt;&gt;""),IF(I51="","⚠️ Enter Code",IF(IFERROR(VLOOKUP(H51,DB_Agents!$B:$I,8,0),"")=I51,IF(C51&gt;=E51,"Successful","Unsuccessful"),"🔒 BLOCKED — Wrong Code")),"—")</f>
        <v/>
      </c>
      <c r="K51" s="493">
        <f>IF(J51="Successful",TEXT(TODAY(),"YYYY-MM-DD")&amp;" Auto","—")</f>
        <v/>
      </c>
      <c r="L51" s="494" t="n"/>
    </row>
    <row r="52" ht="15" customHeight="1" s="341">
      <c r="A52" s="495" t="n"/>
      <c r="B52" s="382">
        <f>IF(A52="","",IFERROR(VLOOKUP(A52,DB_Customers!$A:$D,4,0),"❌ Account Not Found"))</f>
        <v/>
      </c>
      <c r="C52" s="496">
        <f>IF(A52="","",IFERROR(VLOOKUP(A52,DB_Customers!$A:$N,14,0),""))</f>
        <v/>
      </c>
      <c r="D52" s="497">
        <f>IF(A52="","",TODAY())</f>
        <v/>
      </c>
      <c r="E52" s="510" t="n"/>
      <c r="F52" s="382" t="n"/>
      <c r="G52" s="512">
        <f>IF(OR(A52="",E52=""),"",IF(C52="","",C52-E52))</f>
        <v/>
      </c>
      <c r="H52" s="384" t="inlineStr">
        <is>
          <t>Agent 09</t>
        </is>
      </c>
      <c r="I52" s="491" t="n"/>
      <c r="J52" s="499">
        <f>IF(AND(A52&lt;&gt;"",E52&lt;&gt;""),IF(I52="","⚠️ Enter Code",IF(IFERROR(VLOOKUP(H52,DB_Agents!$B:$I,8,0),"")=I52,IF(C52&gt;=E52,"Successful","Unsuccessful"),"🔒 BLOCKED — Wrong Code")),"—")</f>
        <v/>
      </c>
      <c r="K52" s="500">
        <f>IF(J52="Successful",TEXT(TODAY(),"YYYY-MM-DD")&amp;" Auto","—")</f>
        <v/>
      </c>
      <c r="L52" s="501" t="n"/>
    </row>
    <row r="53" ht="15" customHeight="1" s="341">
      <c r="A53" s="486" t="n"/>
      <c r="B53" s="378">
        <f>IF(A53="","",IFERROR(VLOOKUP(A53,DB_Customers!$A:$D,4,0),"❌ Account Not Found"))</f>
        <v/>
      </c>
      <c r="C53" s="487">
        <f>IF(A53="","",IFERROR(VLOOKUP(A53,DB_Customers!$A:$N,14,0),""))</f>
        <v/>
      </c>
      <c r="D53" s="488">
        <f>IF(A53="","",TODAY())</f>
        <v/>
      </c>
      <c r="E53" s="510" t="n"/>
      <c r="F53" s="378" t="n"/>
      <c r="G53" s="511">
        <f>IF(OR(A53="",E53=""),"",IF(C53="","",C53-E53))</f>
        <v/>
      </c>
      <c r="H53" s="380" t="inlineStr">
        <is>
          <t>Agent 09</t>
        </is>
      </c>
      <c r="I53" s="491" t="n"/>
      <c r="J53" s="492">
        <f>IF(AND(A53&lt;&gt;"",E53&lt;&gt;""),IF(I53="","⚠️ Enter Code",IF(IFERROR(VLOOKUP(H53,DB_Agents!$B:$I,8,0),"")=I53,IF(C53&gt;=E53,"Successful","Unsuccessful"),"🔒 BLOCKED — Wrong Code")),"—")</f>
        <v/>
      </c>
      <c r="K53" s="493">
        <f>IF(J53="Successful",TEXT(TODAY(),"YYYY-MM-DD")&amp;" Auto","—")</f>
        <v/>
      </c>
      <c r="L53" s="494" t="n"/>
    </row>
    <row r="54" ht="15" customHeight="1" s="341">
      <c r="A54" s="495" t="n"/>
      <c r="B54" s="382">
        <f>IF(A54="","",IFERROR(VLOOKUP(A54,DB_Customers!$A:$D,4,0),"❌ Account Not Found"))</f>
        <v/>
      </c>
      <c r="C54" s="496">
        <f>IF(A54="","",IFERROR(VLOOKUP(A54,DB_Customers!$A:$N,14,0),""))</f>
        <v/>
      </c>
      <c r="D54" s="497">
        <f>IF(A54="","",TODAY())</f>
        <v/>
      </c>
      <c r="E54" s="510" t="n"/>
      <c r="F54" s="382" t="n"/>
      <c r="G54" s="512">
        <f>IF(OR(A54="",E54=""),"",IF(C54="","",C54-E54))</f>
        <v/>
      </c>
      <c r="H54" s="384" t="inlineStr">
        <is>
          <t>Agent 09</t>
        </is>
      </c>
      <c r="I54" s="491" t="n"/>
      <c r="J54" s="499">
        <f>IF(AND(A54&lt;&gt;"",E54&lt;&gt;""),IF(I54="","⚠️ Enter Code",IF(IFERROR(VLOOKUP(H54,DB_Agents!$B:$I,8,0),"")=I54,IF(C54&gt;=E54,"Successful","Unsuccessful"),"🔒 BLOCKED — Wrong Code")),"—")</f>
        <v/>
      </c>
      <c r="K54" s="500">
        <f>IF(J54="Successful",TEXT(TODAY(),"YYYY-MM-DD")&amp;" Auto","—")</f>
        <v/>
      </c>
      <c r="L54" s="501" t="n"/>
    </row>
    <row r="55" ht="15" customHeight="1" s="341">
      <c r="A55" s="486" t="n"/>
      <c r="B55" s="378">
        <f>IF(A55="","",IFERROR(VLOOKUP(A55,DB_Customers!$A:$D,4,0),"❌ Account Not Found"))</f>
        <v/>
      </c>
      <c r="C55" s="487">
        <f>IF(A55="","",IFERROR(VLOOKUP(A55,DB_Customers!$A:$N,14,0),""))</f>
        <v/>
      </c>
      <c r="D55" s="488">
        <f>IF(A55="","",TODAY())</f>
        <v/>
      </c>
      <c r="E55" s="510" t="n"/>
      <c r="F55" s="378" t="n"/>
      <c r="G55" s="511">
        <f>IF(OR(A55="",E55=""),"",IF(C55="","",C55-E55))</f>
        <v/>
      </c>
      <c r="H55" s="380" t="inlineStr">
        <is>
          <t>Agent 09</t>
        </is>
      </c>
      <c r="I55" s="491" t="n"/>
      <c r="J55" s="492">
        <f>IF(AND(A55&lt;&gt;"",E55&lt;&gt;""),IF(I55="","⚠️ Enter Code",IF(IFERROR(VLOOKUP(H55,DB_Agents!$B:$I,8,0),"")=I55,IF(C55&gt;=E55,"Successful","Unsuccessful"),"🔒 BLOCKED — Wrong Code")),"—")</f>
        <v/>
      </c>
      <c r="K55" s="493">
        <f>IF(J55="Successful",TEXT(TODAY(),"YYYY-MM-DD")&amp;" Auto","—")</f>
        <v/>
      </c>
      <c r="L55" s="494" t="n"/>
    </row>
    <row r="56" ht="15" customHeight="1" s="341">
      <c r="A56" s="495" t="n"/>
      <c r="B56" s="382">
        <f>IF(A56="","",IFERROR(VLOOKUP(A56,DB_Customers!$A:$D,4,0),"❌ Account Not Found"))</f>
        <v/>
      </c>
      <c r="C56" s="496">
        <f>IF(A56="","",IFERROR(VLOOKUP(A56,DB_Customers!$A:$N,14,0),""))</f>
        <v/>
      </c>
      <c r="D56" s="497">
        <f>IF(A56="","",TODAY())</f>
        <v/>
      </c>
      <c r="E56" s="510" t="n"/>
      <c r="F56" s="382" t="n"/>
      <c r="G56" s="512">
        <f>IF(OR(A56="",E56=""),"",IF(C56="","",C56-E56))</f>
        <v/>
      </c>
      <c r="H56" s="384" t="inlineStr">
        <is>
          <t>Agent 09</t>
        </is>
      </c>
      <c r="I56" s="491" t="n"/>
      <c r="J56" s="499">
        <f>IF(AND(A56&lt;&gt;"",E56&lt;&gt;""),IF(I56="","⚠️ Enter Code",IF(IFERROR(VLOOKUP(H56,DB_Agents!$B:$I,8,0),"")=I56,IF(C56&gt;=E56,"Successful","Unsuccessful"),"🔒 BLOCKED — Wrong Code")),"—")</f>
        <v/>
      </c>
      <c r="K56" s="500">
        <f>IF(J56="Successful",TEXT(TODAY(),"YYYY-MM-DD")&amp;" Auto","—")</f>
        <v/>
      </c>
      <c r="L56" s="501" t="n"/>
    </row>
    <row r="57" ht="15" customHeight="1" s="341">
      <c r="A57" s="486" t="n"/>
      <c r="B57" s="378">
        <f>IF(A57="","",IFERROR(VLOOKUP(A57,DB_Customers!$A:$D,4,0),"❌ Account Not Found"))</f>
        <v/>
      </c>
      <c r="C57" s="487">
        <f>IF(A57="","",IFERROR(VLOOKUP(A57,DB_Customers!$A:$N,14,0),""))</f>
        <v/>
      </c>
      <c r="D57" s="488">
        <f>IF(A57="","",TODAY())</f>
        <v/>
      </c>
      <c r="E57" s="510" t="n"/>
      <c r="F57" s="378" t="n"/>
      <c r="G57" s="511">
        <f>IF(OR(A57="",E57=""),"",IF(C57="","",C57-E57))</f>
        <v/>
      </c>
      <c r="H57" s="380" t="inlineStr">
        <is>
          <t>Agent 09</t>
        </is>
      </c>
      <c r="I57" s="491" t="n"/>
      <c r="J57" s="492">
        <f>IF(AND(A57&lt;&gt;"",E57&lt;&gt;""),IF(I57="","⚠️ Enter Code",IF(IFERROR(VLOOKUP(H57,DB_Agents!$B:$I,8,0),"")=I57,IF(C57&gt;=E57,"Successful","Unsuccessful"),"🔒 BLOCKED — Wrong Code")),"—")</f>
        <v/>
      </c>
      <c r="K57" s="493">
        <f>IF(J57="Successful",TEXT(TODAY(),"YYYY-MM-DD")&amp;" Auto","—")</f>
        <v/>
      </c>
      <c r="L57" s="494" t="n"/>
    </row>
    <row r="58" ht="15" customHeight="1" s="341">
      <c r="A58" s="495" t="n"/>
      <c r="B58" s="382">
        <f>IF(A58="","",IFERROR(VLOOKUP(A58,DB_Customers!$A:$D,4,0),"❌ Account Not Found"))</f>
        <v/>
      </c>
      <c r="C58" s="496">
        <f>IF(A58="","",IFERROR(VLOOKUP(A58,DB_Customers!$A:$N,14,0),""))</f>
        <v/>
      </c>
      <c r="D58" s="497">
        <f>IF(A58="","",TODAY())</f>
        <v/>
      </c>
      <c r="E58" s="510" t="n"/>
      <c r="F58" s="382" t="n"/>
      <c r="G58" s="512">
        <f>IF(OR(A58="",E58=""),"",IF(C58="","",C58-E58))</f>
        <v/>
      </c>
      <c r="H58" s="384" t="inlineStr">
        <is>
          <t>Agent 09</t>
        </is>
      </c>
      <c r="I58" s="491" t="n"/>
      <c r="J58" s="499">
        <f>IF(AND(A58&lt;&gt;"",E58&lt;&gt;""),IF(I58="","⚠️ Enter Code",IF(IFERROR(VLOOKUP(H58,DB_Agents!$B:$I,8,0),"")=I58,IF(C58&gt;=E58,"Successful","Unsuccessful"),"🔒 BLOCKED — Wrong Code")),"—")</f>
        <v/>
      </c>
      <c r="K58" s="500">
        <f>IF(J58="Successful",TEXT(TODAY(),"YYYY-MM-DD")&amp;" Auto","—")</f>
        <v/>
      </c>
      <c r="L58" s="501" t="n"/>
    </row>
    <row r="59" ht="15" customHeight="1" s="341">
      <c r="A59" s="486" t="n"/>
      <c r="B59" s="378">
        <f>IF(A59="","",IFERROR(VLOOKUP(A59,DB_Customers!$A:$D,4,0),"❌ Account Not Found"))</f>
        <v/>
      </c>
      <c r="C59" s="487">
        <f>IF(A59="","",IFERROR(VLOOKUP(A59,DB_Customers!$A:$N,14,0),""))</f>
        <v/>
      </c>
      <c r="D59" s="488">
        <f>IF(A59="","",TODAY())</f>
        <v/>
      </c>
      <c r="E59" s="510" t="n"/>
      <c r="F59" s="378" t="n"/>
      <c r="G59" s="511">
        <f>IF(OR(A59="",E59=""),"",IF(C59="","",C59-E59))</f>
        <v/>
      </c>
      <c r="H59" s="380" t="inlineStr">
        <is>
          <t>Agent 09</t>
        </is>
      </c>
      <c r="I59" s="491" t="n"/>
      <c r="J59" s="492">
        <f>IF(AND(A59&lt;&gt;"",E59&lt;&gt;""),IF(I59="","⚠️ Enter Code",IF(IFERROR(VLOOKUP(H59,DB_Agents!$B:$I,8,0),"")=I59,IF(C59&gt;=E59,"Successful","Unsuccessful"),"🔒 BLOCKED — Wrong Code")),"—")</f>
        <v/>
      </c>
      <c r="K59" s="493">
        <f>IF(J59="Successful",TEXT(TODAY(),"YYYY-MM-DD")&amp;" Auto","—")</f>
        <v/>
      </c>
      <c r="L59" s="494" t="n"/>
    </row>
    <row r="60" ht="15" customHeight="1" s="341">
      <c r="A60" s="495" t="n"/>
      <c r="B60" s="382">
        <f>IF(A60="","",IFERROR(VLOOKUP(A60,DB_Customers!$A:$D,4,0),"❌ Account Not Found"))</f>
        <v/>
      </c>
      <c r="C60" s="496">
        <f>IF(A60="","",IFERROR(VLOOKUP(A60,DB_Customers!$A:$N,14,0),""))</f>
        <v/>
      </c>
      <c r="D60" s="497">
        <f>IF(A60="","",TODAY())</f>
        <v/>
      </c>
      <c r="E60" s="510" t="n"/>
      <c r="F60" s="382" t="n"/>
      <c r="G60" s="512">
        <f>IF(OR(A60="",E60=""),"",IF(C60="","",C60-E60))</f>
        <v/>
      </c>
      <c r="H60" s="384" t="inlineStr">
        <is>
          <t>Agent 09</t>
        </is>
      </c>
      <c r="I60" s="491" t="n"/>
      <c r="J60" s="499">
        <f>IF(AND(A60&lt;&gt;"",E60&lt;&gt;""),IF(I60="","⚠️ Enter Code",IF(IFERROR(VLOOKUP(H60,DB_Agents!$B:$I,8,0),"")=I60,IF(C60&gt;=E60,"Successful","Unsuccessful"),"🔒 BLOCKED — Wrong Code")),"—")</f>
        <v/>
      </c>
      <c r="K60" s="500">
        <f>IF(J60="Successful",TEXT(TODAY(),"YYYY-MM-DD")&amp;" Auto","—")</f>
        <v/>
      </c>
      <c r="L60" s="501" t="n"/>
    </row>
    <row r="61" ht="15" customHeight="1" s="341">
      <c r="A61" s="486" t="n"/>
      <c r="B61" s="378">
        <f>IF(A61="","",IFERROR(VLOOKUP(A61,DB_Customers!$A:$D,4,0),"❌ Account Not Found"))</f>
        <v/>
      </c>
      <c r="C61" s="487">
        <f>IF(A61="","",IFERROR(VLOOKUP(A61,DB_Customers!$A:$N,14,0),""))</f>
        <v/>
      </c>
      <c r="D61" s="488">
        <f>IF(A61="","",TODAY())</f>
        <v/>
      </c>
      <c r="E61" s="510" t="n"/>
      <c r="F61" s="378" t="n"/>
      <c r="G61" s="511">
        <f>IF(OR(A61="",E61=""),"",IF(C61="","",C61-E61))</f>
        <v/>
      </c>
      <c r="H61" s="380" t="inlineStr">
        <is>
          <t>Agent 09</t>
        </is>
      </c>
      <c r="I61" s="491" t="n"/>
      <c r="J61" s="492">
        <f>IF(AND(A61&lt;&gt;"",E61&lt;&gt;""),IF(I61="","⚠️ Enter Code",IF(IFERROR(VLOOKUP(H61,DB_Agents!$B:$I,8,0),"")=I61,IF(C61&gt;=E61,"Successful","Unsuccessful"),"🔒 BLOCKED — Wrong Code")),"—")</f>
        <v/>
      </c>
      <c r="K61" s="493">
        <f>IF(J61="Successful",TEXT(TODAY(),"YYYY-MM-DD")&amp;" Auto","—")</f>
        <v/>
      </c>
      <c r="L61" s="494" t="n"/>
    </row>
    <row r="62" ht="15" customHeight="1" s="341">
      <c r="A62" s="495" t="n"/>
      <c r="B62" s="382">
        <f>IF(A62="","",IFERROR(VLOOKUP(A62,DB_Customers!$A:$D,4,0),"❌ Account Not Found"))</f>
        <v/>
      </c>
      <c r="C62" s="496">
        <f>IF(A62="","",IFERROR(VLOOKUP(A62,DB_Customers!$A:$N,14,0),""))</f>
        <v/>
      </c>
      <c r="D62" s="497">
        <f>IF(A62="","",TODAY())</f>
        <v/>
      </c>
      <c r="E62" s="510" t="n"/>
      <c r="F62" s="382" t="n"/>
      <c r="G62" s="512">
        <f>IF(OR(A62="",E62=""),"",IF(C62="","",C62-E62))</f>
        <v/>
      </c>
      <c r="H62" s="384" t="inlineStr">
        <is>
          <t>Agent 09</t>
        </is>
      </c>
      <c r="I62" s="491" t="n"/>
      <c r="J62" s="499">
        <f>IF(AND(A62&lt;&gt;"",E62&lt;&gt;""),IF(I62="","⚠️ Enter Code",IF(IFERROR(VLOOKUP(H62,DB_Agents!$B:$I,8,0),"")=I62,IF(C62&gt;=E62,"Successful","Unsuccessful"),"🔒 BLOCKED — Wrong Code")),"—")</f>
        <v/>
      </c>
      <c r="K62" s="500">
        <f>IF(J62="Successful",TEXT(TODAY(),"YYYY-MM-DD")&amp;" Auto","—")</f>
        <v/>
      </c>
      <c r="L62" s="501" t="n"/>
    </row>
    <row r="63" ht="15" customHeight="1" s="341">
      <c r="A63" s="486" t="n"/>
      <c r="B63" s="378">
        <f>IF(A63="","",IFERROR(VLOOKUP(A63,DB_Customers!$A:$D,4,0),"❌ Account Not Found"))</f>
        <v/>
      </c>
      <c r="C63" s="487">
        <f>IF(A63="","",IFERROR(VLOOKUP(A63,DB_Customers!$A:$N,14,0),""))</f>
        <v/>
      </c>
      <c r="D63" s="488">
        <f>IF(A63="","",TODAY())</f>
        <v/>
      </c>
      <c r="E63" s="510" t="n"/>
      <c r="F63" s="378" t="n"/>
      <c r="G63" s="511">
        <f>IF(OR(A63="",E63=""),"",IF(C63="","",C63-E63))</f>
        <v/>
      </c>
      <c r="H63" s="380" t="inlineStr">
        <is>
          <t>Agent 09</t>
        </is>
      </c>
      <c r="I63" s="491" t="n"/>
      <c r="J63" s="492">
        <f>IF(AND(A63&lt;&gt;"",E63&lt;&gt;""),IF(I63="","⚠️ Enter Code",IF(IFERROR(VLOOKUP(H63,DB_Agents!$B:$I,8,0),"")=I63,IF(C63&gt;=E63,"Successful","Unsuccessful"),"🔒 BLOCKED — Wrong Code")),"—")</f>
        <v/>
      </c>
      <c r="K63" s="493">
        <f>IF(J63="Successful",TEXT(TODAY(),"YYYY-MM-DD")&amp;" Auto","—")</f>
        <v/>
      </c>
      <c r="L63" s="494" t="n"/>
    </row>
    <row r="64" ht="15" customHeight="1" s="341">
      <c r="A64" s="495" t="n"/>
      <c r="B64" s="382">
        <f>IF(A64="","",IFERROR(VLOOKUP(A64,DB_Customers!$A:$D,4,0),"❌ Account Not Found"))</f>
        <v/>
      </c>
      <c r="C64" s="496">
        <f>IF(A64="","",IFERROR(VLOOKUP(A64,DB_Customers!$A:$N,14,0),""))</f>
        <v/>
      </c>
      <c r="D64" s="497">
        <f>IF(A64="","",TODAY())</f>
        <v/>
      </c>
      <c r="E64" s="510" t="n"/>
      <c r="F64" s="382" t="n"/>
      <c r="G64" s="512">
        <f>IF(OR(A64="",E64=""),"",IF(C64="","",C64-E64))</f>
        <v/>
      </c>
      <c r="H64" s="384" t="inlineStr">
        <is>
          <t>Agent 09</t>
        </is>
      </c>
      <c r="I64" s="491" t="n"/>
      <c r="J64" s="499">
        <f>IF(AND(A64&lt;&gt;"",E64&lt;&gt;""),IF(I64="","⚠️ Enter Code",IF(IFERROR(VLOOKUP(H64,DB_Agents!$B:$I,8,0),"")=I64,IF(C64&gt;=E64,"Successful","Unsuccessful"),"🔒 BLOCKED — Wrong Code")),"—")</f>
        <v/>
      </c>
      <c r="K64" s="500">
        <f>IF(J64="Successful",TEXT(TODAY(),"YYYY-MM-DD")&amp;" Auto","—")</f>
        <v/>
      </c>
      <c r="L64" s="501" t="n"/>
    </row>
    <row r="65" ht="15" customHeight="1" s="341">
      <c r="A65" s="486" t="n"/>
      <c r="B65" s="378">
        <f>IF(A65="","",IFERROR(VLOOKUP(A65,DB_Customers!$A:$D,4,0),"❌ Account Not Found"))</f>
        <v/>
      </c>
      <c r="C65" s="487">
        <f>IF(A65="","",IFERROR(VLOOKUP(A65,DB_Customers!$A:$N,14,0),""))</f>
        <v/>
      </c>
      <c r="D65" s="488">
        <f>IF(A65="","",TODAY())</f>
        <v/>
      </c>
      <c r="E65" s="510" t="n"/>
      <c r="F65" s="378" t="n"/>
      <c r="G65" s="511">
        <f>IF(OR(A65="",E65=""),"",IF(C65="","",C65-E65))</f>
        <v/>
      </c>
      <c r="H65" s="380" t="inlineStr">
        <is>
          <t>Agent 09</t>
        </is>
      </c>
      <c r="I65" s="491" t="n"/>
      <c r="J65" s="492">
        <f>IF(AND(A65&lt;&gt;"",E65&lt;&gt;""),IF(I65="","⚠️ Enter Code",IF(IFERROR(VLOOKUP(H65,DB_Agents!$B:$I,8,0),"")=I65,IF(C65&gt;=E65,"Successful","Unsuccessful"),"🔒 BLOCKED — Wrong Code")),"—")</f>
        <v/>
      </c>
      <c r="K65" s="493">
        <f>IF(J65="Successful",TEXT(TODAY(),"YYYY-MM-DD")&amp;" Auto","—")</f>
        <v/>
      </c>
      <c r="L65" s="494" t="n"/>
    </row>
    <row r="66" ht="15" customHeight="1" s="341">
      <c r="A66" s="495" t="n"/>
      <c r="B66" s="382">
        <f>IF(A66="","",IFERROR(VLOOKUP(A66,DB_Customers!$A:$D,4,0),"❌ Account Not Found"))</f>
        <v/>
      </c>
      <c r="C66" s="496">
        <f>IF(A66="","",IFERROR(VLOOKUP(A66,DB_Customers!$A:$N,14,0),""))</f>
        <v/>
      </c>
      <c r="D66" s="497">
        <f>IF(A66="","",TODAY())</f>
        <v/>
      </c>
      <c r="E66" s="510" t="n"/>
      <c r="F66" s="382" t="n"/>
      <c r="G66" s="512">
        <f>IF(OR(A66="",E66=""),"",IF(C66="","",C66-E66))</f>
        <v/>
      </c>
      <c r="H66" s="384" t="inlineStr">
        <is>
          <t>Agent 09</t>
        </is>
      </c>
      <c r="I66" s="491" t="n"/>
      <c r="J66" s="499">
        <f>IF(AND(A66&lt;&gt;"",E66&lt;&gt;""),IF(I66="","⚠️ Enter Code",IF(IFERROR(VLOOKUP(H66,DB_Agents!$B:$I,8,0),"")=I66,IF(C66&gt;=E66,"Successful","Unsuccessful"),"🔒 BLOCKED — Wrong Code")),"—")</f>
        <v/>
      </c>
      <c r="K66" s="500">
        <f>IF(J66="Successful",TEXT(TODAY(),"YYYY-MM-DD")&amp;" Auto","—")</f>
        <v/>
      </c>
      <c r="L66" s="501" t="n"/>
    </row>
    <row r="67" ht="15" customHeight="1" s="341">
      <c r="A67" s="486" t="n"/>
      <c r="B67" s="378">
        <f>IF(A67="","",IFERROR(VLOOKUP(A67,DB_Customers!$A:$D,4,0),"❌ Account Not Found"))</f>
        <v/>
      </c>
      <c r="C67" s="487">
        <f>IF(A67="","",IFERROR(VLOOKUP(A67,DB_Customers!$A:$N,14,0),""))</f>
        <v/>
      </c>
      <c r="D67" s="488">
        <f>IF(A67="","",TODAY())</f>
        <v/>
      </c>
      <c r="E67" s="510" t="n"/>
      <c r="F67" s="378" t="n"/>
      <c r="G67" s="511">
        <f>IF(OR(A67="",E67=""),"",IF(C67="","",C67-E67))</f>
        <v/>
      </c>
      <c r="H67" s="380" t="inlineStr">
        <is>
          <t>Agent 09</t>
        </is>
      </c>
      <c r="I67" s="491" t="n"/>
      <c r="J67" s="492">
        <f>IF(AND(A67&lt;&gt;"",E67&lt;&gt;""),IF(I67="","⚠️ Enter Code",IF(IFERROR(VLOOKUP(H67,DB_Agents!$B:$I,8,0),"")=I67,IF(C67&gt;=E67,"Successful","Unsuccessful"),"🔒 BLOCKED — Wrong Code")),"—")</f>
        <v/>
      </c>
      <c r="K67" s="493">
        <f>IF(J67="Successful",TEXT(TODAY(),"YYYY-MM-DD")&amp;" Auto","—")</f>
        <v/>
      </c>
      <c r="L67" s="494" t="n"/>
    </row>
    <row r="68" ht="15" customHeight="1" s="341">
      <c r="A68" s="495" t="n"/>
      <c r="B68" s="382">
        <f>IF(A68="","",IFERROR(VLOOKUP(A68,DB_Customers!$A:$D,4,0),"❌ Account Not Found"))</f>
        <v/>
      </c>
      <c r="C68" s="496">
        <f>IF(A68="","",IFERROR(VLOOKUP(A68,DB_Customers!$A:$N,14,0),""))</f>
        <v/>
      </c>
      <c r="D68" s="497">
        <f>IF(A68="","",TODAY())</f>
        <v/>
      </c>
      <c r="E68" s="510" t="n"/>
      <c r="F68" s="382" t="n"/>
      <c r="G68" s="512">
        <f>IF(OR(A68="",E68=""),"",IF(C68="","",C68-E68))</f>
        <v/>
      </c>
      <c r="H68" s="384" t="inlineStr">
        <is>
          <t>Agent 09</t>
        </is>
      </c>
      <c r="I68" s="491" t="n"/>
      <c r="J68" s="499">
        <f>IF(AND(A68&lt;&gt;"",E68&lt;&gt;""),IF(I68="","⚠️ Enter Code",IF(IFERROR(VLOOKUP(H68,DB_Agents!$B:$I,8,0),"")=I68,IF(C68&gt;=E68,"Successful","Unsuccessful"),"🔒 BLOCKED — Wrong Code")),"—")</f>
        <v/>
      </c>
      <c r="K68" s="500">
        <f>IF(J68="Successful",TEXT(TODAY(),"YYYY-MM-DD")&amp;" Auto","—")</f>
        <v/>
      </c>
      <c r="L68" s="501" t="n"/>
    </row>
    <row r="69" ht="15" customHeight="1" s="341">
      <c r="A69" s="486" t="n"/>
      <c r="B69" s="378">
        <f>IF(A69="","",IFERROR(VLOOKUP(A69,DB_Customers!$A:$D,4,0),"❌ Account Not Found"))</f>
        <v/>
      </c>
      <c r="C69" s="487">
        <f>IF(A69="","",IFERROR(VLOOKUP(A69,DB_Customers!$A:$N,14,0),""))</f>
        <v/>
      </c>
      <c r="D69" s="488">
        <f>IF(A69="","",TODAY())</f>
        <v/>
      </c>
      <c r="E69" s="510" t="n"/>
      <c r="F69" s="378" t="n"/>
      <c r="G69" s="511">
        <f>IF(OR(A69="",E69=""),"",IF(C69="","",C69-E69))</f>
        <v/>
      </c>
      <c r="H69" s="380" t="inlineStr">
        <is>
          <t>Agent 09</t>
        </is>
      </c>
      <c r="I69" s="491" t="n"/>
      <c r="J69" s="492">
        <f>IF(AND(A69&lt;&gt;"",E69&lt;&gt;""),IF(I69="","⚠️ Enter Code",IF(IFERROR(VLOOKUP(H69,DB_Agents!$B:$I,8,0),"")=I69,IF(C69&gt;=E69,"Successful","Unsuccessful"),"🔒 BLOCKED — Wrong Code")),"—")</f>
        <v/>
      </c>
      <c r="K69" s="493">
        <f>IF(J69="Successful",TEXT(TODAY(),"YYYY-MM-DD")&amp;" Auto","—")</f>
        <v/>
      </c>
      <c r="L69" s="494" t="n"/>
    </row>
    <row r="70" ht="15" customHeight="1" s="341">
      <c r="A70" s="495" t="n"/>
      <c r="B70" s="382">
        <f>IF(A70="","",IFERROR(VLOOKUP(A70,DB_Customers!$A:$D,4,0),"❌ Account Not Found"))</f>
        <v/>
      </c>
      <c r="C70" s="496">
        <f>IF(A70="","",IFERROR(VLOOKUP(A70,DB_Customers!$A:$N,14,0),""))</f>
        <v/>
      </c>
      <c r="D70" s="497">
        <f>IF(A70="","",TODAY())</f>
        <v/>
      </c>
      <c r="E70" s="510" t="n"/>
      <c r="F70" s="382" t="n"/>
      <c r="G70" s="512">
        <f>IF(OR(A70="",E70=""),"",IF(C70="","",C70-E70))</f>
        <v/>
      </c>
      <c r="H70" s="384" t="inlineStr">
        <is>
          <t>Agent 09</t>
        </is>
      </c>
      <c r="I70" s="491" t="n"/>
      <c r="J70" s="499">
        <f>IF(AND(A70&lt;&gt;"",E70&lt;&gt;""),IF(I70="","⚠️ Enter Code",IF(IFERROR(VLOOKUP(H70,DB_Agents!$B:$I,8,0),"")=I70,IF(C70&gt;=E70,"Successful","Unsuccessful"),"🔒 BLOCKED — Wrong Code")),"—")</f>
        <v/>
      </c>
      <c r="K70" s="500">
        <f>IF(J70="Successful",TEXT(TODAY(),"YYYY-MM-DD")&amp;" Auto","—")</f>
        <v/>
      </c>
      <c r="L70" s="501" t="n"/>
    </row>
    <row r="71" ht="15" customHeight="1" s="341">
      <c r="A71" s="486" t="n"/>
      <c r="B71" s="378">
        <f>IF(A71="","",IFERROR(VLOOKUP(A71,DB_Customers!$A:$D,4,0),"❌ Account Not Found"))</f>
        <v/>
      </c>
      <c r="C71" s="487">
        <f>IF(A71="","",IFERROR(VLOOKUP(A71,DB_Customers!$A:$N,14,0),""))</f>
        <v/>
      </c>
      <c r="D71" s="488">
        <f>IF(A71="","",TODAY())</f>
        <v/>
      </c>
      <c r="E71" s="510" t="n"/>
      <c r="F71" s="378" t="n"/>
      <c r="G71" s="511">
        <f>IF(OR(A71="",E71=""),"",IF(C71="","",C71-E71))</f>
        <v/>
      </c>
      <c r="H71" s="380" t="inlineStr">
        <is>
          <t>Agent 09</t>
        </is>
      </c>
      <c r="I71" s="491" t="n"/>
      <c r="J71" s="492">
        <f>IF(AND(A71&lt;&gt;"",E71&lt;&gt;""),IF(I71="","⚠️ Enter Code",IF(IFERROR(VLOOKUP(H71,DB_Agents!$B:$I,8,0),"")=I71,IF(C71&gt;=E71,"Successful","Unsuccessful"),"🔒 BLOCKED — Wrong Code")),"—")</f>
        <v/>
      </c>
      <c r="K71" s="493">
        <f>IF(J71="Successful",TEXT(TODAY(),"YYYY-MM-DD")&amp;" Auto","—")</f>
        <v/>
      </c>
      <c r="L71" s="494" t="n"/>
    </row>
    <row r="72" ht="15" customHeight="1" s="341">
      <c r="A72" s="495" t="n"/>
      <c r="B72" s="382">
        <f>IF(A72="","",IFERROR(VLOOKUP(A72,DB_Customers!$A:$D,4,0),"❌ Account Not Found"))</f>
        <v/>
      </c>
      <c r="C72" s="496">
        <f>IF(A72="","",IFERROR(VLOOKUP(A72,DB_Customers!$A:$N,14,0),""))</f>
        <v/>
      </c>
      <c r="D72" s="497">
        <f>IF(A72="","",TODAY())</f>
        <v/>
      </c>
      <c r="E72" s="510" t="n"/>
      <c r="F72" s="382" t="n"/>
      <c r="G72" s="512">
        <f>IF(OR(A72="",E72=""),"",IF(C72="","",C72-E72))</f>
        <v/>
      </c>
      <c r="H72" s="384" t="inlineStr">
        <is>
          <t>Agent 09</t>
        </is>
      </c>
      <c r="I72" s="491" t="n"/>
      <c r="J72" s="499">
        <f>IF(AND(A72&lt;&gt;"",E72&lt;&gt;""),IF(I72="","⚠️ Enter Code",IF(IFERROR(VLOOKUP(H72,DB_Agents!$B:$I,8,0),"")=I72,IF(C72&gt;=E72,"Successful","Unsuccessful"),"🔒 BLOCKED — Wrong Code")),"—")</f>
        <v/>
      </c>
      <c r="K72" s="500">
        <f>IF(J72="Successful",TEXT(TODAY(),"YYYY-MM-DD")&amp;" Auto","—")</f>
        <v/>
      </c>
      <c r="L72" s="501" t="n"/>
    </row>
    <row r="73" ht="15" customHeight="1" s="341">
      <c r="A73" s="486" t="n"/>
      <c r="B73" s="378">
        <f>IF(A73="","",IFERROR(VLOOKUP(A73,DB_Customers!$A:$D,4,0),"❌ Account Not Found"))</f>
        <v/>
      </c>
      <c r="C73" s="487">
        <f>IF(A73="","",IFERROR(VLOOKUP(A73,DB_Customers!$A:$N,14,0),""))</f>
        <v/>
      </c>
      <c r="D73" s="488">
        <f>IF(A73="","",TODAY())</f>
        <v/>
      </c>
      <c r="E73" s="510" t="n"/>
      <c r="F73" s="378" t="n"/>
      <c r="G73" s="511">
        <f>IF(OR(A73="",E73=""),"",IF(C73="","",C73-E73))</f>
        <v/>
      </c>
      <c r="H73" s="380" t="inlineStr">
        <is>
          <t>Agent 09</t>
        </is>
      </c>
      <c r="I73" s="491" t="n"/>
      <c r="J73" s="492">
        <f>IF(AND(A73&lt;&gt;"",E73&lt;&gt;""),IF(I73="","⚠️ Enter Code",IF(IFERROR(VLOOKUP(H73,DB_Agents!$B:$I,8,0),"")=I73,IF(C73&gt;=E73,"Successful","Unsuccessful"),"🔒 BLOCKED — Wrong Code")),"—")</f>
        <v/>
      </c>
      <c r="K73" s="493">
        <f>IF(J73="Successful",TEXT(TODAY(),"YYYY-MM-DD")&amp;" Auto","—")</f>
        <v/>
      </c>
      <c r="L73" s="494" t="n"/>
    </row>
    <row r="74" ht="15" customHeight="1" s="341">
      <c r="A74" s="495" t="n"/>
      <c r="B74" s="382">
        <f>IF(A74="","",IFERROR(VLOOKUP(A74,DB_Customers!$A:$D,4,0),"❌ Account Not Found"))</f>
        <v/>
      </c>
      <c r="C74" s="496">
        <f>IF(A74="","",IFERROR(VLOOKUP(A74,DB_Customers!$A:$N,14,0),""))</f>
        <v/>
      </c>
      <c r="D74" s="497">
        <f>IF(A74="","",TODAY())</f>
        <v/>
      </c>
      <c r="E74" s="510" t="n"/>
      <c r="F74" s="382" t="n"/>
      <c r="G74" s="512">
        <f>IF(OR(A74="",E74=""),"",IF(C74="","",C74-E74))</f>
        <v/>
      </c>
      <c r="H74" s="384" t="inlineStr">
        <is>
          <t>Agent 09</t>
        </is>
      </c>
      <c r="I74" s="491" t="n"/>
      <c r="J74" s="499">
        <f>IF(AND(A74&lt;&gt;"",E74&lt;&gt;""),IF(I74="","⚠️ Enter Code",IF(IFERROR(VLOOKUP(H74,DB_Agents!$B:$I,8,0),"")=I74,IF(C74&gt;=E74,"Successful","Unsuccessful"),"🔒 BLOCKED — Wrong Code")),"—")</f>
        <v/>
      </c>
      <c r="K74" s="500">
        <f>IF(J74="Successful",TEXT(TODAY(),"YYYY-MM-DD")&amp;" Auto","—")</f>
        <v/>
      </c>
      <c r="L74" s="501" t="n"/>
    </row>
    <row r="75" ht="15" customHeight="1" s="341">
      <c r="A75" s="486" t="n"/>
      <c r="B75" s="378">
        <f>IF(A75="","",IFERROR(VLOOKUP(A75,DB_Customers!$A:$D,4,0),"❌ Account Not Found"))</f>
        <v/>
      </c>
      <c r="C75" s="487">
        <f>IF(A75="","",IFERROR(VLOOKUP(A75,DB_Customers!$A:$N,14,0),""))</f>
        <v/>
      </c>
      <c r="D75" s="488">
        <f>IF(A75="","",TODAY())</f>
        <v/>
      </c>
      <c r="E75" s="510" t="n"/>
      <c r="F75" s="378" t="n"/>
      <c r="G75" s="511">
        <f>IF(OR(A75="",E75=""),"",IF(C75="","",C75-E75))</f>
        <v/>
      </c>
      <c r="H75" s="380" t="inlineStr">
        <is>
          <t>Agent 09</t>
        </is>
      </c>
      <c r="I75" s="491" t="n"/>
      <c r="J75" s="492">
        <f>IF(AND(A75&lt;&gt;"",E75&lt;&gt;""),IF(I75="","⚠️ Enter Code",IF(IFERROR(VLOOKUP(H75,DB_Agents!$B:$I,8,0),"")=I75,IF(C75&gt;=E75,"Successful","Unsuccessful"),"🔒 BLOCKED — Wrong Code")),"—")</f>
        <v/>
      </c>
      <c r="K75" s="493">
        <f>IF(J75="Successful",TEXT(TODAY(),"YYYY-MM-DD")&amp;" Auto","—")</f>
        <v/>
      </c>
      <c r="L75" s="494" t="n"/>
    </row>
    <row r="76" ht="15" customHeight="1" s="341">
      <c r="A76" s="495" t="n"/>
      <c r="B76" s="382">
        <f>IF(A76="","",IFERROR(VLOOKUP(A76,DB_Customers!$A:$D,4,0),"❌ Account Not Found"))</f>
        <v/>
      </c>
      <c r="C76" s="496">
        <f>IF(A76="","",IFERROR(VLOOKUP(A76,DB_Customers!$A:$N,14,0),""))</f>
        <v/>
      </c>
      <c r="D76" s="497">
        <f>IF(A76="","",TODAY())</f>
        <v/>
      </c>
      <c r="E76" s="510" t="n"/>
      <c r="F76" s="382" t="n"/>
      <c r="G76" s="512">
        <f>IF(OR(A76="",E76=""),"",IF(C76="","",C76-E76))</f>
        <v/>
      </c>
      <c r="H76" s="384" t="inlineStr">
        <is>
          <t>Agent 09</t>
        </is>
      </c>
      <c r="I76" s="491" t="n"/>
      <c r="J76" s="499">
        <f>IF(AND(A76&lt;&gt;"",E76&lt;&gt;""),IF(I76="","⚠️ Enter Code",IF(IFERROR(VLOOKUP(H76,DB_Agents!$B:$I,8,0),"")=I76,IF(C76&gt;=E76,"Successful","Unsuccessful"),"🔒 BLOCKED — Wrong Code")),"—")</f>
        <v/>
      </c>
      <c r="K76" s="500">
        <f>IF(J76="Successful",TEXT(TODAY(),"YYYY-MM-DD")&amp;" Auto","—")</f>
        <v/>
      </c>
      <c r="L76" s="501" t="n"/>
    </row>
    <row r="77" ht="15" customHeight="1" s="341">
      <c r="A77" s="486" t="n"/>
      <c r="B77" s="378">
        <f>IF(A77="","",IFERROR(VLOOKUP(A77,DB_Customers!$A:$D,4,0),"❌ Account Not Found"))</f>
        <v/>
      </c>
      <c r="C77" s="487">
        <f>IF(A77="","",IFERROR(VLOOKUP(A77,DB_Customers!$A:$N,14,0),""))</f>
        <v/>
      </c>
      <c r="D77" s="488">
        <f>IF(A77="","",TODAY())</f>
        <v/>
      </c>
      <c r="E77" s="510" t="n"/>
      <c r="F77" s="378" t="n"/>
      <c r="G77" s="511">
        <f>IF(OR(A77="",E77=""),"",IF(C77="","",C77-E77))</f>
        <v/>
      </c>
      <c r="H77" s="380" t="inlineStr">
        <is>
          <t>Agent 09</t>
        </is>
      </c>
      <c r="I77" s="491" t="n"/>
      <c r="J77" s="492">
        <f>IF(AND(A77&lt;&gt;"",E77&lt;&gt;""),IF(I77="","⚠️ Enter Code",IF(IFERROR(VLOOKUP(H77,DB_Agents!$B:$I,8,0),"")=I77,IF(C77&gt;=E77,"Successful","Unsuccessful"),"🔒 BLOCKED — Wrong Code")),"—")</f>
        <v/>
      </c>
      <c r="K77" s="493">
        <f>IF(J77="Successful",TEXT(TODAY(),"YYYY-MM-DD")&amp;" Auto","—")</f>
        <v/>
      </c>
      <c r="L77" s="494" t="n"/>
    </row>
    <row r="78" ht="15" customHeight="1" s="341">
      <c r="A78" s="495" t="n"/>
      <c r="B78" s="382">
        <f>IF(A78="","",IFERROR(VLOOKUP(A78,DB_Customers!$A:$D,4,0),"❌ Account Not Found"))</f>
        <v/>
      </c>
      <c r="C78" s="496">
        <f>IF(A78="","",IFERROR(VLOOKUP(A78,DB_Customers!$A:$N,14,0),""))</f>
        <v/>
      </c>
      <c r="D78" s="497">
        <f>IF(A78="","",TODAY())</f>
        <v/>
      </c>
      <c r="E78" s="510" t="n"/>
      <c r="F78" s="382" t="n"/>
      <c r="G78" s="512">
        <f>IF(OR(A78="",E78=""),"",IF(C78="","",C78-E78))</f>
        <v/>
      </c>
      <c r="H78" s="384" t="inlineStr">
        <is>
          <t>Agent 09</t>
        </is>
      </c>
      <c r="I78" s="491" t="n"/>
      <c r="J78" s="499">
        <f>IF(AND(A78&lt;&gt;"",E78&lt;&gt;""),IF(I78="","⚠️ Enter Code",IF(IFERROR(VLOOKUP(H78,DB_Agents!$B:$I,8,0),"")=I78,IF(C78&gt;=E78,"Successful","Unsuccessful"),"🔒 BLOCKED — Wrong Code")),"—")</f>
        <v/>
      </c>
      <c r="K78" s="500">
        <f>IF(J78="Successful",TEXT(TODAY(),"YYYY-MM-DD")&amp;" Auto","—")</f>
        <v/>
      </c>
      <c r="L78" s="501" t="n"/>
    </row>
    <row r="79" ht="15" customHeight="1" s="341">
      <c r="A79" s="486" t="n"/>
      <c r="B79" s="378">
        <f>IF(A79="","",IFERROR(VLOOKUP(A79,DB_Customers!$A:$D,4,0),"❌ Account Not Found"))</f>
        <v/>
      </c>
      <c r="C79" s="487">
        <f>IF(A79="","",IFERROR(VLOOKUP(A79,DB_Customers!$A:$N,14,0),""))</f>
        <v/>
      </c>
      <c r="D79" s="488">
        <f>IF(A79="","",TODAY())</f>
        <v/>
      </c>
      <c r="E79" s="510" t="n"/>
      <c r="F79" s="378" t="n"/>
      <c r="G79" s="511">
        <f>IF(OR(A79="",E79=""),"",IF(C79="","",C79-E79))</f>
        <v/>
      </c>
      <c r="H79" s="380" t="inlineStr">
        <is>
          <t>Agent 09</t>
        </is>
      </c>
      <c r="I79" s="491" t="n"/>
      <c r="J79" s="492">
        <f>IF(AND(A79&lt;&gt;"",E79&lt;&gt;""),IF(I79="","⚠️ Enter Code",IF(IFERROR(VLOOKUP(H79,DB_Agents!$B:$I,8,0),"")=I79,IF(C79&gt;=E79,"Successful","Unsuccessful"),"🔒 BLOCKED — Wrong Code")),"—")</f>
        <v/>
      </c>
      <c r="K79" s="493">
        <f>IF(J79="Successful",TEXT(TODAY(),"YYYY-MM-DD")&amp;" Auto","—")</f>
        <v/>
      </c>
      <c r="L79" s="494" t="n"/>
    </row>
    <row r="80" ht="15" customHeight="1" s="341">
      <c r="A80" s="495" t="n"/>
      <c r="B80" s="382">
        <f>IF(A80="","",IFERROR(VLOOKUP(A80,DB_Customers!$A:$D,4,0),"❌ Account Not Found"))</f>
        <v/>
      </c>
      <c r="C80" s="496">
        <f>IF(A80="","",IFERROR(VLOOKUP(A80,DB_Customers!$A:$N,14,0),""))</f>
        <v/>
      </c>
      <c r="D80" s="497">
        <f>IF(A80="","",TODAY())</f>
        <v/>
      </c>
      <c r="E80" s="510" t="n"/>
      <c r="F80" s="382" t="n"/>
      <c r="G80" s="512">
        <f>IF(OR(A80="",E80=""),"",IF(C80="","",C80-E80))</f>
        <v/>
      </c>
      <c r="H80" s="384" t="inlineStr">
        <is>
          <t>Agent 09</t>
        </is>
      </c>
      <c r="I80" s="491" t="n"/>
      <c r="J80" s="499">
        <f>IF(AND(A80&lt;&gt;"",E80&lt;&gt;""),IF(I80="","⚠️ Enter Code",IF(IFERROR(VLOOKUP(H80,DB_Agents!$B:$I,8,0),"")=I80,IF(C80&gt;=E80,"Successful","Unsuccessful"),"🔒 BLOCKED — Wrong Code")),"—")</f>
        <v/>
      </c>
      <c r="K80" s="500">
        <f>IF(J80="Successful",TEXT(TODAY(),"YYYY-MM-DD")&amp;" Auto","—")</f>
        <v/>
      </c>
      <c r="L80" s="501" t="n"/>
    </row>
    <row r="81" ht="15" customHeight="1" s="341">
      <c r="A81" s="486" t="n"/>
      <c r="B81" s="378">
        <f>IF(A81="","",IFERROR(VLOOKUP(A81,DB_Customers!$A:$D,4,0),"❌ Account Not Found"))</f>
        <v/>
      </c>
      <c r="C81" s="487">
        <f>IF(A81="","",IFERROR(VLOOKUP(A81,DB_Customers!$A:$N,14,0),""))</f>
        <v/>
      </c>
      <c r="D81" s="488">
        <f>IF(A81="","",TODAY())</f>
        <v/>
      </c>
      <c r="E81" s="510" t="n"/>
      <c r="F81" s="378" t="n"/>
      <c r="G81" s="511">
        <f>IF(OR(A81="",E81=""),"",IF(C81="","",C81-E81))</f>
        <v/>
      </c>
      <c r="H81" s="380" t="inlineStr">
        <is>
          <t>Agent 09</t>
        </is>
      </c>
      <c r="I81" s="491" t="n"/>
      <c r="J81" s="492">
        <f>IF(AND(A81&lt;&gt;"",E81&lt;&gt;""),IF(I81="","⚠️ Enter Code",IF(IFERROR(VLOOKUP(H81,DB_Agents!$B:$I,8,0),"")=I81,IF(C81&gt;=E81,"Successful","Unsuccessful"),"🔒 BLOCKED — Wrong Code")),"—")</f>
        <v/>
      </c>
      <c r="K81" s="493">
        <f>IF(J81="Successful",TEXT(TODAY(),"YYYY-MM-DD")&amp;" Auto","—")</f>
        <v/>
      </c>
      <c r="L81" s="494" t="n"/>
    </row>
    <row r="82" ht="15" customHeight="1" s="341">
      <c r="A82" s="495" t="n"/>
      <c r="B82" s="382">
        <f>IF(A82="","",IFERROR(VLOOKUP(A82,DB_Customers!$A:$D,4,0),"❌ Account Not Found"))</f>
        <v/>
      </c>
      <c r="C82" s="496">
        <f>IF(A82="","",IFERROR(VLOOKUP(A82,DB_Customers!$A:$N,14,0),""))</f>
        <v/>
      </c>
      <c r="D82" s="497">
        <f>IF(A82="","",TODAY())</f>
        <v/>
      </c>
      <c r="E82" s="510" t="n"/>
      <c r="F82" s="382" t="n"/>
      <c r="G82" s="512">
        <f>IF(OR(A82="",E82=""),"",IF(C82="","",C82-E82))</f>
        <v/>
      </c>
      <c r="H82" s="384" t="inlineStr">
        <is>
          <t>Agent 09</t>
        </is>
      </c>
      <c r="I82" s="491" t="n"/>
      <c r="J82" s="499">
        <f>IF(AND(A82&lt;&gt;"",E82&lt;&gt;""),IF(I82="","⚠️ Enter Code",IF(IFERROR(VLOOKUP(H82,DB_Agents!$B:$I,8,0),"")=I82,IF(C82&gt;=E82,"Successful","Unsuccessful"),"🔒 BLOCKED — Wrong Code")),"—")</f>
        <v/>
      </c>
      <c r="K82" s="500">
        <f>IF(J82="Successful",TEXT(TODAY(),"YYYY-MM-DD")&amp;" Auto","—")</f>
        <v/>
      </c>
      <c r="L82" s="501" t="n"/>
    </row>
    <row r="83" ht="15" customHeight="1" s="341">
      <c r="A83" s="486" t="n"/>
      <c r="B83" s="378">
        <f>IF(A83="","",IFERROR(VLOOKUP(A83,DB_Customers!$A:$D,4,0),"❌ Account Not Found"))</f>
        <v/>
      </c>
      <c r="C83" s="487">
        <f>IF(A83="","",IFERROR(VLOOKUP(A83,DB_Customers!$A:$N,14,0),""))</f>
        <v/>
      </c>
      <c r="D83" s="488">
        <f>IF(A83="","",TODAY())</f>
        <v/>
      </c>
      <c r="E83" s="510" t="n"/>
      <c r="F83" s="378" t="n"/>
      <c r="G83" s="511">
        <f>IF(OR(A83="",E83=""),"",IF(C83="","",C83-E83))</f>
        <v/>
      </c>
      <c r="H83" s="380" t="inlineStr">
        <is>
          <t>Agent 09</t>
        </is>
      </c>
      <c r="I83" s="491" t="n"/>
      <c r="J83" s="492">
        <f>IF(AND(A83&lt;&gt;"",E83&lt;&gt;""),IF(I83="","⚠️ Enter Code",IF(IFERROR(VLOOKUP(H83,DB_Agents!$B:$I,8,0),"")=I83,IF(C83&gt;=E83,"Successful","Unsuccessful"),"🔒 BLOCKED — Wrong Code")),"—")</f>
        <v/>
      </c>
      <c r="K83" s="493">
        <f>IF(J83="Successful",TEXT(TODAY(),"YYYY-MM-DD")&amp;" Auto","—")</f>
        <v/>
      </c>
      <c r="L83" s="494" t="n"/>
    </row>
    <row r="84" ht="15" customHeight="1" s="341">
      <c r="A84" s="495" t="n"/>
      <c r="B84" s="382">
        <f>IF(A84="","",IFERROR(VLOOKUP(A84,DB_Customers!$A:$D,4,0),"❌ Account Not Found"))</f>
        <v/>
      </c>
      <c r="C84" s="496">
        <f>IF(A84="","",IFERROR(VLOOKUP(A84,DB_Customers!$A:$N,14,0),""))</f>
        <v/>
      </c>
      <c r="D84" s="497">
        <f>IF(A84="","",TODAY())</f>
        <v/>
      </c>
      <c r="E84" s="510" t="n"/>
      <c r="F84" s="382" t="n"/>
      <c r="G84" s="512">
        <f>IF(OR(A84="",E84=""),"",IF(C84="","",C84-E84))</f>
        <v/>
      </c>
      <c r="H84" s="384" t="inlineStr">
        <is>
          <t>Agent 09</t>
        </is>
      </c>
      <c r="I84" s="491" t="n"/>
      <c r="J84" s="499">
        <f>IF(AND(A84&lt;&gt;"",E84&lt;&gt;""),IF(I84="","⚠️ Enter Code",IF(IFERROR(VLOOKUP(H84,DB_Agents!$B:$I,8,0),"")=I84,IF(C84&gt;=E84,"Successful","Unsuccessful"),"🔒 BLOCKED — Wrong Code")),"—")</f>
        <v/>
      </c>
      <c r="K84" s="500">
        <f>IF(J84="Successful",TEXT(TODAY(),"YYYY-MM-DD")&amp;" Auto","—")</f>
        <v/>
      </c>
      <c r="L84" s="501" t="n"/>
    </row>
    <row r="85" ht="15" customHeight="1" s="341">
      <c r="A85" s="486" t="n"/>
      <c r="B85" s="378">
        <f>IF(A85="","",IFERROR(VLOOKUP(A85,DB_Customers!$A:$D,4,0),"❌ Account Not Found"))</f>
        <v/>
      </c>
      <c r="C85" s="487">
        <f>IF(A85="","",IFERROR(VLOOKUP(A85,DB_Customers!$A:$N,14,0),""))</f>
        <v/>
      </c>
      <c r="D85" s="488">
        <f>IF(A85="","",TODAY())</f>
        <v/>
      </c>
      <c r="E85" s="510" t="n"/>
      <c r="F85" s="378" t="n"/>
      <c r="G85" s="511">
        <f>IF(OR(A85="",E85=""),"",IF(C85="","",C85-E85))</f>
        <v/>
      </c>
      <c r="H85" s="380" t="inlineStr">
        <is>
          <t>Agent 09</t>
        </is>
      </c>
      <c r="I85" s="491" t="n"/>
      <c r="J85" s="492">
        <f>IF(AND(A85&lt;&gt;"",E85&lt;&gt;""),IF(I85="","⚠️ Enter Code",IF(IFERROR(VLOOKUP(H85,DB_Agents!$B:$I,8,0),"")=I85,IF(C85&gt;=E85,"Successful","Unsuccessful"),"🔒 BLOCKED — Wrong Code")),"—")</f>
        <v/>
      </c>
      <c r="K85" s="493">
        <f>IF(J85="Successful",TEXT(TODAY(),"YYYY-MM-DD")&amp;" Auto","—")</f>
        <v/>
      </c>
      <c r="L85" s="494" t="n"/>
    </row>
    <row r="86" ht="15" customHeight="1" s="341">
      <c r="A86" s="495" t="n"/>
      <c r="B86" s="382">
        <f>IF(A86="","",IFERROR(VLOOKUP(A86,DB_Customers!$A:$D,4,0),"❌ Account Not Found"))</f>
        <v/>
      </c>
      <c r="C86" s="496">
        <f>IF(A86="","",IFERROR(VLOOKUP(A86,DB_Customers!$A:$N,14,0),""))</f>
        <v/>
      </c>
      <c r="D86" s="497">
        <f>IF(A86="","",TODAY())</f>
        <v/>
      </c>
      <c r="E86" s="510" t="n"/>
      <c r="F86" s="382" t="n"/>
      <c r="G86" s="512">
        <f>IF(OR(A86="",E86=""),"",IF(C86="","",C86-E86))</f>
        <v/>
      </c>
      <c r="H86" s="384" t="inlineStr">
        <is>
          <t>Agent 09</t>
        </is>
      </c>
      <c r="I86" s="491" t="n"/>
      <c r="J86" s="499">
        <f>IF(AND(A86&lt;&gt;"",E86&lt;&gt;""),IF(I86="","⚠️ Enter Code",IF(IFERROR(VLOOKUP(H86,DB_Agents!$B:$I,8,0),"")=I86,IF(C86&gt;=E86,"Successful","Unsuccessful"),"🔒 BLOCKED — Wrong Code")),"—")</f>
        <v/>
      </c>
      <c r="K86" s="500">
        <f>IF(J86="Successful",TEXT(TODAY(),"YYYY-MM-DD")&amp;" Auto","—")</f>
        <v/>
      </c>
      <c r="L86" s="501" t="n"/>
    </row>
    <row r="87" ht="15" customHeight="1" s="341">
      <c r="A87" s="486" t="n"/>
      <c r="B87" s="378">
        <f>IF(A87="","",IFERROR(VLOOKUP(A87,DB_Customers!$A:$D,4,0),"❌ Account Not Found"))</f>
        <v/>
      </c>
      <c r="C87" s="487">
        <f>IF(A87="","",IFERROR(VLOOKUP(A87,DB_Customers!$A:$N,14,0),""))</f>
        <v/>
      </c>
      <c r="D87" s="488">
        <f>IF(A87="","",TODAY())</f>
        <v/>
      </c>
      <c r="E87" s="510" t="n"/>
      <c r="F87" s="378" t="n"/>
      <c r="G87" s="511">
        <f>IF(OR(A87="",E87=""),"",IF(C87="","",C87-E87))</f>
        <v/>
      </c>
      <c r="H87" s="380" t="inlineStr">
        <is>
          <t>Agent 09</t>
        </is>
      </c>
      <c r="I87" s="491" t="n"/>
      <c r="J87" s="492">
        <f>IF(AND(A87&lt;&gt;"",E87&lt;&gt;""),IF(I87="","⚠️ Enter Code",IF(IFERROR(VLOOKUP(H87,DB_Agents!$B:$I,8,0),"")=I87,IF(C87&gt;=E87,"Successful","Unsuccessful"),"🔒 BLOCKED — Wrong Code")),"—")</f>
        <v/>
      </c>
      <c r="K87" s="493">
        <f>IF(J87="Successful",TEXT(TODAY(),"YYYY-MM-DD")&amp;" Auto","—")</f>
        <v/>
      </c>
      <c r="L87" s="494" t="n"/>
    </row>
    <row r="88" ht="15" customHeight="1" s="341">
      <c r="A88" s="495" t="n"/>
      <c r="B88" s="382">
        <f>IF(A88="","",IFERROR(VLOOKUP(A88,DB_Customers!$A:$D,4,0),"❌ Account Not Found"))</f>
        <v/>
      </c>
      <c r="C88" s="496">
        <f>IF(A88="","",IFERROR(VLOOKUP(A88,DB_Customers!$A:$N,14,0),""))</f>
        <v/>
      </c>
      <c r="D88" s="497">
        <f>IF(A88="","",TODAY())</f>
        <v/>
      </c>
      <c r="E88" s="510" t="n"/>
      <c r="F88" s="382" t="n"/>
      <c r="G88" s="512">
        <f>IF(OR(A88="",E88=""),"",IF(C88="","",C88-E88))</f>
        <v/>
      </c>
      <c r="H88" s="384" t="inlineStr">
        <is>
          <t>Agent 09</t>
        </is>
      </c>
      <c r="I88" s="491" t="n"/>
      <c r="J88" s="499">
        <f>IF(AND(A88&lt;&gt;"",E88&lt;&gt;""),IF(I88="","⚠️ Enter Code",IF(IFERROR(VLOOKUP(H88,DB_Agents!$B:$I,8,0),"")=I88,IF(C88&gt;=E88,"Successful","Unsuccessful"),"🔒 BLOCKED — Wrong Code")),"—")</f>
        <v/>
      </c>
      <c r="K88" s="500">
        <f>IF(J88="Successful",TEXT(TODAY(),"YYYY-MM-DD")&amp;" Auto","—")</f>
        <v/>
      </c>
      <c r="L88" s="501" t="n"/>
    </row>
    <row r="89" ht="15" customHeight="1" s="341">
      <c r="A89" s="486" t="n"/>
      <c r="B89" s="378">
        <f>IF(A89="","",IFERROR(VLOOKUP(A89,DB_Customers!$A:$D,4,0),"❌ Account Not Found"))</f>
        <v/>
      </c>
      <c r="C89" s="487">
        <f>IF(A89="","",IFERROR(VLOOKUP(A89,DB_Customers!$A:$N,14,0),""))</f>
        <v/>
      </c>
      <c r="D89" s="488">
        <f>IF(A89="","",TODAY())</f>
        <v/>
      </c>
      <c r="E89" s="510" t="n"/>
      <c r="F89" s="378" t="n"/>
      <c r="G89" s="511">
        <f>IF(OR(A89="",E89=""),"",IF(C89="","",C89-E89))</f>
        <v/>
      </c>
      <c r="H89" s="380" t="inlineStr">
        <is>
          <t>Agent 09</t>
        </is>
      </c>
      <c r="I89" s="491" t="n"/>
      <c r="J89" s="492">
        <f>IF(AND(A89&lt;&gt;"",E89&lt;&gt;""),IF(I89="","⚠️ Enter Code",IF(IFERROR(VLOOKUP(H89,DB_Agents!$B:$I,8,0),"")=I89,IF(C89&gt;=E89,"Successful","Unsuccessful"),"🔒 BLOCKED — Wrong Code")),"—")</f>
        <v/>
      </c>
      <c r="K89" s="493">
        <f>IF(J89="Successful",TEXT(TODAY(),"YYYY-MM-DD")&amp;" Auto","—")</f>
        <v/>
      </c>
      <c r="L89" s="494" t="n"/>
    </row>
    <row r="90" ht="15" customHeight="1" s="341">
      <c r="A90" s="495" t="n"/>
      <c r="B90" s="382">
        <f>IF(A90="","",IFERROR(VLOOKUP(A90,DB_Customers!$A:$D,4,0),"❌ Account Not Found"))</f>
        <v/>
      </c>
      <c r="C90" s="496">
        <f>IF(A90="","",IFERROR(VLOOKUP(A90,DB_Customers!$A:$N,14,0),""))</f>
        <v/>
      </c>
      <c r="D90" s="497">
        <f>IF(A90="","",TODAY())</f>
        <v/>
      </c>
      <c r="E90" s="510" t="n"/>
      <c r="F90" s="382" t="n"/>
      <c r="G90" s="512">
        <f>IF(OR(A90="",E90=""),"",IF(C90="","",C90-E90))</f>
        <v/>
      </c>
      <c r="H90" s="384" t="inlineStr">
        <is>
          <t>Agent 09</t>
        </is>
      </c>
      <c r="I90" s="491" t="n"/>
      <c r="J90" s="499">
        <f>IF(AND(A90&lt;&gt;"",E90&lt;&gt;""),IF(I90="","⚠️ Enter Code",IF(IFERROR(VLOOKUP(H90,DB_Agents!$B:$I,8,0),"")=I90,IF(C90&gt;=E90,"Successful","Unsuccessful"),"🔒 BLOCKED — Wrong Code")),"—")</f>
        <v/>
      </c>
      <c r="K90" s="500">
        <f>IF(J90="Successful",TEXT(TODAY(),"YYYY-MM-DD")&amp;" Auto","—")</f>
        <v/>
      </c>
      <c r="L90" s="501" t="n"/>
    </row>
    <row r="91" ht="15" customHeight="1" s="341">
      <c r="A91" s="486" t="n"/>
      <c r="B91" s="378">
        <f>IF(A91="","",IFERROR(VLOOKUP(A91,DB_Customers!$A:$D,4,0),"❌ Account Not Found"))</f>
        <v/>
      </c>
      <c r="C91" s="487">
        <f>IF(A91="","",IFERROR(VLOOKUP(A91,DB_Customers!$A:$N,14,0),""))</f>
        <v/>
      </c>
      <c r="D91" s="488">
        <f>IF(A91="","",TODAY())</f>
        <v/>
      </c>
      <c r="E91" s="510" t="n"/>
      <c r="F91" s="378" t="n"/>
      <c r="G91" s="511">
        <f>IF(OR(A91="",E91=""),"",IF(C91="","",C91-E91))</f>
        <v/>
      </c>
      <c r="H91" s="380" t="inlineStr">
        <is>
          <t>Agent 09</t>
        </is>
      </c>
      <c r="I91" s="491" t="n"/>
      <c r="J91" s="492">
        <f>IF(AND(A91&lt;&gt;"",E91&lt;&gt;""),IF(I91="","⚠️ Enter Code",IF(IFERROR(VLOOKUP(H91,DB_Agents!$B:$I,8,0),"")=I91,IF(C91&gt;=E91,"Successful","Unsuccessful"),"🔒 BLOCKED — Wrong Code")),"—")</f>
        <v/>
      </c>
      <c r="K91" s="493">
        <f>IF(J91="Successful",TEXT(TODAY(),"YYYY-MM-DD")&amp;" Auto","—")</f>
        <v/>
      </c>
      <c r="L91" s="494" t="n"/>
    </row>
    <row r="92" ht="15" customHeight="1" s="341">
      <c r="A92" s="495" t="n"/>
      <c r="B92" s="382">
        <f>IF(A92="","",IFERROR(VLOOKUP(A92,DB_Customers!$A:$D,4,0),"❌ Account Not Found"))</f>
        <v/>
      </c>
      <c r="C92" s="496">
        <f>IF(A92="","",IFERROR(VLOOKUP(A92,DB_Customers!$A:$N,14,0),""))</f>
        <v/>
      </c>
      <c r="D92" s="497">
        <f>IF(A92="","",TODAY())</f>
        <v/>
      </c>
      <c r="E92" s="510" t="n"/>
      <c r="F92" s="382" t="n"/>
      <c r="G92" s="512">
        <f>IF(OR(A92="",E92=""),"",IF(C92="","",C92-E92))</f>
        <v/>
      </c>
      <c r="H92" s="384" t="inlineStr">
        <is>
          <t>Agent 09</t>
        </is>
      </c>
      <c r="I92" s="491" t="n"/>
      <c r="J92" s="499">
        <f>IF(AND(A92&lt;&gt;"",E92&lt;&gt;""),IF(I92="","⚠️ Enter Code",IF(IFERROR(VLOOKUP(H92,DB_Agents!$B:$I,8,0),"")=I92,IF(C92&gt;=E92,"Successful","Unsuccessful"),"🔒 BLOCKED — Wrong Code")),"—")</f>
        <v/>
      </c>
      <c r="K92" s="500">
        <f>IF(J92="Successful",TEXT(TODAY(),"YYYY-MM-DD")&amp;" Auto","—")</f>
        <v/>
      </c>
      <c r="L92" s="501" t="n"/>
    </row>
    <row r="93" ht="15" customHeight="1" s="341">
      <c r="A93" s="486" t="n"/>
      <c r="B93" s="378">
        <f>IF(A93="","",IFERROR(VLOOKUP(A93,DB_Customers!$A:$D,4,0),"❌ Account Not Found"))</f>
        <v/>
      </c>
      <c r="C93" s="487">
        <f>IF(A93="","",IFERROR(VLOOKUP(A93,DB_Customers!$A:$N,14,0),""))</f>
        <v/>
      </c>
      <c r="D93" s="488">
        <f>IF(A93="","",TODAY())</f>
        <v/>
      </c>
      <c r="E93" s="510" t="n"/>
      <c r="F93" s="378" t="n"/>
      <c r="G93" s="511">
        <f>IF(OR(A93="",E93=""),"",IF(C93="","",C93-E93))</f>
        <v/>
      </c>
      <c r="H93" s="380" t="inlineStr">
        <is>
          <t>Agent 09</t>
        </is>
      </c>
      <c r="I93" s="491" t="n"/>
      <c r="J93" s="492">
        <f>IF(AND(A93&lt;&gt;"",E93&lt;&gt;""),IF(I93="","⚠️ Enter Code",IF(IFERROR(VLOOKUP(H93,DB_Agents!$B:$I,8,0),"")=I93,IF(C93&gt;=E93,"Successful","Unsuccessful"),"🔒 BLOCKED — Wrong Code")),"—")</f>
        <v/>
      </c>
      <c r="K93" s="493">
        <f>IF(J93="Successful",TEXT(TODAY(),"YYYY-MM-DD")&amp;" Auto","—")</f>
        <v/>
      </c>
      <c r="L93" s="494" t="n"/>
    </row>
    <row r="94" ht="15" customHeight="1" s="341">
      <c r="A94" s="495" t="n"/>
      <c r="B94" s="382">
        <f>IF(A94="","",IFERROR(VLOOKUP(A94,DB_Customers!$A:$D,4,0),"❌ Account Not Found"))</f>
        <v/>
      </c>
      <c r="C94" s="496">
        <f>IF(A94="","",IFERROR(VLOOKUP(A94,DB_Customers!$A:$N,14,0),""))</f>
        <v/>
      </c>
      <c r="D94" s="497">
        <f>IF(A94="","",TODAY())</f>
        <v/>
      </c>
      <c r="E94" s="510" t="n"/>
      <c r="F94" s="382" t="n"/>
      <c r="G94" s="512">
        <f>IF(OR(A94="",E94=""),"",IF(C94="","",C94-E94))</f>
        <v/>
      </c>
      <c r="H94" s="384" t="inlineStr">
        <is>
          <t>Agent 09</t>
        </is>
      </c>
      <c r="I94" s="491" t="n"/>
      <c r="J94" s="499">
        <f>IF(AND(A94&lt;&gt;"",E94&lt;&gt;""),IF(I94="","⚠️ Enter Code",IF(IFERROR(VLOOKUP(H94,DB_Agents!$B:$I,8,0),"")=I94,IF(C94&gt;=E94,"Successful","Unsuccessful"),"🔒 BLOCKED — Wrong Code")),"—")</f>
        <v/>
      </c>
      <c r="K94" s="500">
        <f>IF(J94="Successful",TEXT(TODAY(),"YYYY-MM-DD")&amp;" Auto","—")</f>
        <v/>
      </c>
      <c r="L94" s="501" t="n"/>
    </row>
    <row r="95" ht="15" customHeight="1" s="341">
      <c r="A95" s="486" t="n"/>
      <c r="B95" s="378">
        <f>IF(A95="","",IFERROR(VLOOKUP(A95,DB_Customers!$A:$D,4,0),"❌ Account Not Found"))</f>
        <v/>
      </c>
      <c r="C95" s="487">
        <f>IF(A95="","",IFERROR(VLOOKUP(A95,DB_Customers!$A:$N,14,0),""))</f>
        <v/>
      </c>
      <c r="D95" s="488">
        <f>IF(A95="","",TODAY())</f>
        <v/>
      </c>
      <c r="E95" s="510" t="n"/>
      <c r="F95" s="378" t="n"/>
      <c r="G95" s="511">
        <f>IF(OR(A95="",E95=""),"",IF(C95="","",C95-E95))</f>
        <v/>
      </c>
      <c r="H95" s="380" t="inlineStr">
        <is>
          <t>Agent 09</t>
        </is>
      </c>
      <c r="I95" s="491" t="n"/>
      <c r="J95" s="492">
        <f>IF(AND(A95&lt;&gt;"",E95&lt;&gt;""),IF(I95="","⚠️ Enter Code",IF(IFERROR(VLOOKUP(H95,DB_Agents!$B:$I,8,0),"")=I95,IF(C95&gt;=E95,"Successful","Unsuccessful"),"🔒 BLOCKED — Wrong Code")),"—")</f>
        <v/>
      </c>
      <c r="K95" s="493">
        <f>IF(J95="Successful",TEXT(TODAY(),"YYYY-MM-DD")&amp;" Auto","—")</f>
        <v/>
      </c>
      <c r="L95" s="494" t="n"/>
    </row>
    <row r="96" ht="15" customHeight="1" s="341">
      <c r="A96" s="495" t="n"/>
      <c r="B96" s="382">
        <f>IF(A96="","",IFERROR(VLOOKUP(A96,DB_Customers!$A:$D,4,0),"❌ Account Not Found"))</f>
        <v/>
      </c>
      <c r="C96" s="496">
        <f>IF(A96="","",IFERROR(VLOOKUP(A96,DB_Customers!$A:$N,14,0),""))</f>
        <v/>
      </c>
      <c r="D96" s="497">
        <f>IF(A96="","",TODAY())</f>
        <v/>
      </c>
      <c r="E96" s="510" t="n"/>
      <c r="F96" s="382" t="n"/>
      <c r="G96" s="512">
        <f>IF(OR(A96="",E96=""),"",IF(C96="","",C96-E96))</f>
        <v/>
      </c>
      <c r="H96" s="384" t="inlineStr">
        <is>
          <t>Agent 09</t>
        </is>
      </c>
      <c r="I96" s="491" t="n"/>
      <c r="J96" s="499">
        <f>IF(AND(A96&lt;&gt;"",E96&lt;&gt;""),IF(I96="","⚠️ Enter Code",IF(IFERROR(VLOOKUP(H96,DB_Agents!$B:$I,8,0),"")=I96,IF(C96&gt;=E96,"Successful","Unsuccessful"),"🔒 BLOCKED — Wrong Code")),"—")</f>
        <v/>
      </c>
      <c r="K96" s="500">
        <f>IF(J96="Successful",TEXT(TODAY(),"YYYY-MM-DD")&amp;" Auto","—")</f>
        <v/>
      </c>
      <c r="L96" s="501" t="n"/>
    </row>
    <row r="97" ht="15" customHeight="1" s="341">
      <c r="A97" s="486" t="n"/>
      <c r="B97" s="378">
        <f>IF(A97="","",IFERROR(VLOOKUP(A97,DB_Customers!$A:$D,4,0),"❌ Account Not Found"))</f>
        <v/>
      </c>
      <c r="C97" s="487">
        <f>IF(A97="","",IFERROR(VLOOKUP(A97,DB_Customers!$A:$N,14,0),""))</f>
        <v/>
      </c>
      <c r="D97" s="488">
        <f>IF(A97="","",TODAY())</f>
        <v/>
      </c>
      <c r="E97" s="510" t="n"/>
      <c r="F97" s="378" t="n"/>
      <c r="G97" s="511">
        <f>IF(OR(A97="",E97=""),"",IF(C97="","",C97-E97))</f>
        <v/>
      </c>
      <c r="H97" s="380" t="inlineStr">
        <is>
          <t>Agent 09</t>
        </is>
      </c>
      <c r="I97" s="491" t="n"/>
      <c r="J97" s="492">
        <f>IF(AND(A97&lt;&gt;"",E97&lt;&gt;""),IF(I97="","⚠️ Enter Code",IF(IFERROR(VLOOKUP(H97,DB_Agents!$B:$I,8,0),"")=I97,IF(C97&gt;=E97,"Successful","Unsuccessful"),"🔒 BLOCKED — Wrong Code")),"—")</f>
        <v/>
      </c>
      <c r="K97" s="493">
        <f>IF(J97="Successful",TEXT(TODAY(),"YYYY-MM-DD")&amp;" Auto","—")</f>
        <v/>
      </c>
      <c r="L97" s="494" t="n"/>
    </row>
    <row r="98" ht="15" customHeight="1" s="341">
      <c r="A98" s="495" t="n"/>
      <c r="B98" s="382">
        <f>IF(A98="","",IFERROR(VLOOKUP(A98,DB_Customers!$A:$D,4,0),"❌ Account Not Found"))</f>
        <v/>
      </c>
      <c r="C98" s="496">
        <f>IF(A98="","",IFERROR(VLOOKUP(A98,DB_Customers!$A:$N,14,0),""))</f>
        <v/>
      </c>
      <c r="D98" s="497">
        <f>IF(A98="","",TODAY())</f>
        <v/>
      </c>
      <c r="E98" s="510" t="n"/>
      <c r="F98" s="382" t="n"/>
      <c r="G98" s="512">
        <f>IF(OR(A98="",E98=""),"",IF(C98="","",C98-E98))</f>
        <v/>
      </c>
      <c r="H98" s="384" t="inlineStr">
        <is>
          <t>Agent 09</t>
        </is>
      </c>
      <c r="I98" s="491" t="n"/>
      <c r="J98" s="499">
        <f>IF(AND(A98&lt;&gt;"",E98&lt;&gt;""),IF(I98="","⚠️ Enter Code",IF(IFERROR(VLOOKUP(H98,DB_Agents!$B:$I,8,0),"")=I98,IF(C98&gt;=E98,"Successful","Unsuccessful"),"🔒 BLOCKED — Wrong Code")),"—")</f>
        <v/>
      </c>
      <c r="K98" s="500">
        <f>IF(J98="Successful",TEXT(TODAY(),"YYYY-MM-DD")&amp;" Auto","—")</f>
        <v/>
      </c>
      <c r="L98" s="501" t="n"/>
    </row>
    <row r="99" ht="15" customHeight="1" s="341">
      <c r="A99" s="486" t="n"/>
      <c r="B99" s="378">
        <f>IF(A99="","",IFERROR(VLOOKUP(A99,DB_Customers!$A:$D,4,0),"❌ Account Not Found"))</f>
        <v/>
      </c>
      <c r="C99" s="487">
        <f>IF(A99="","",IFERROR(VLOOKUP(A99,DB_Customers!$A:$N,14,0),""))</f>
        <v/>
      </c>
      <c r="D99" s="488">
        <f>IF(A99="","",TODAY())</f>
        <v/>
      </c>
      <c r="E99" s="510" t="n"/>
      <c r="F99" s="378" t="n"/>
      <c r="G99" s="511">
        <f>IF(OR(A99="",E99=""),"",IF(C99="","",C99-E99))</f>
        <v/>
      </c>
      <c r="H99" s="380" t="inlineStr">
        <is>
          <t>Agent 09</t>
        </is>
      </c>
      <c r="I99" s="491" t="n"/>
      <c r="J99" s="492">
        <f>IF(AND(A99&lt;&gt;"",E99&lt;&gt;""),IF(I99="","⚠️ Enter Code",IF(IFERROR(VLOOKUP(H99,DB_Agents!$B:$I,8,0),"")=I99,IF(C99&gt;=E99,"Successful","Unsuccessful"),"🔒 BLOCKED — Wrong Code")),"—")</f>
        <v/>
      </c>
      <c r="K99" s="493">
        <f>IF(J99="Successful",TEXT(TODAY(),"YYYY-MM-DD")&amp;" Auto","—")</f>
        <v/>
      </c>
      <c r="L99" s="494" t="n"/>
    </row>
    <row r="100" ht="15" customHeight="1" s="341">
      <c r="A100" s="495" t="n"/>
      <c r="B100" s="382">
        <f>IF(A100="","",IFERROR(VLOOKUP(A100,DB_Customers!$A:$D,4,0),"❌ Account Not Found"))</f>
        <v/>
      </c>
      <c r="C100" s="496">
        <f>IF(A100="","",IFERROR(VLOOKUP(A100,DB_Customers!$A:$N,14,0),""))</f>
        <v/>
      </c>
      <c r="D100" s="497">
        <f>IF(A100="","",TODAY())</f>
        <v/>
      </c>
      <c r="E100" s="510" t="n"/>
      <c r="F100" s="382" t="n"/>
      <c r="G100" s="512">
        <f>IF(OR(A100="",E100=""),"",IF(C100="","",C100-E100))</f>
        <v/>
      </c>
      <c r="H100" s="384" t="inlineStr">
        <is>
          <t>Agent 09</t>
        </is>
      </c>
      <c r="I100" s="491" t="n"/>
      <c r="J100" s="499">
        <f>IF(AND(A100&lt;&gt;"",E100&lt;&gt;""),IF(I100="","⚠️ Enter Code",IF(IFERROR(VLOOKUP(H100,DB_Agents!$B:$I,8,0),"")=I100,IF(C100&gt;=E100,"Successful","Unsuccessful"),"🔒 BLOCKED — Wrong Code")),"—")</f>
        <v/>
      </c>
      <c r="K100" s="500">
        <f>IF(J100="Successful",TEXT(TODAY(),"YYYY-MM-DD")&amp;" Auto","—")</f>
        <v/>
      </c>
      <c r="L100" s="501" t="n"/>
    </row>
    <row r="101" ht="15" customHeight="1" s="341">
      <c r="A101" s="486" t="n"/>
      <c r="B101" s="378">
        <f>IF(A101="","",IFERROR(VLOOKUP(A101,DB_Customers!$A:$D,4,0),"❌ Account Not Found"))</f>
        <v/>
      </c>
      <c r="C101" s="487">
        <f>IF(A101="","",IFERROR(VLOOKUP(A101,DB_Customers!$A:$N,14,0),""))</f>
        <v/>
      </c>
      <c r="D101" s="488">
        <f>IF(A101="","",TODAY())</f>
        <v/>
      </c>
      <c r="E101" s="510" t="n"/>
      <c r="F101" s="378" t="n"/>
      <c r="G101" s="511">
        <f>IF(OR(A101="",E101=""),"",IF(C101="","",C101-E101))</f>
        <v/>
      </c>
      <c r="H101" s="380" t="inlineStr">
        <is>
          <t>Agent 09</t>
        </is>
      </c>
      <c r="I101" s="491" t="n"/>
      <c r="J101" s="492">
        <f>IF(AND(A101&lt;&gt;"",E101&lt;&gt;""),IF(I101="","⚠️ Enter Code",IF(IFERROR(VLOOKUP(H101,DB_Agents!$B:$I,8,0),"")=I101,IF(C101&gt;=E101,"Successful","Unsuccessful"),"🔒 BLOCKED — Wrong Code")),"—")</f>
        <v/>
      </c>
      <c r="K101" s="493">
        <f>IF(J101="Successful",TEXT(TODAY(),"YYYY-MM-DD")&amp;" Auto","—")</f>
        <v/>
      </c>
      <c r="L101" s="494" t="n"/>
    </row>
    <row r="102" ht="15" customHeight="1" s="341">
      <c r="A102" s="495" t="n"/>
      <c r="B102" s="382">
        <f>IF(A102="","",IFERROR(VLOOKUP(A102,DB_Customers!$A:$D,4,0),"❌ Account Not Found"))</f>
        <v/>
      </c>
      <c r="C102" s="496">
        <f>IF(A102="","",IFERROR(VLOOKUP(A102,DB_Customers!$A:$N,14,0),""))</f>
        <v/>
      </c>
      <c r="D102" s="497">
        <f>IF(A102="","",TODAY())</f>
        <v/>
      </c>
      <c r="E102" s="510" t="n"/>
      <c r="F102" s="382" t="n"/>
      <c r="G102" s="512">
        <f>IF(OR(A102="",E102=""),"",IF(C102="","",C102-E102))</f>
        <v/>
      </c>
      <c r="H102" s="384" t="inlineStr">
        <is>
          <t>Agent 09</t>
        </is>
      </c>
      <c r="I102" s="491" t="n"/>
      <c r="J102" s="499">
        <f>IF(AND(A102&lt;&gt;"",E102&lt;&gt;""),IF(I102="","⚠️ Enter Code",IF(IFERROR(VLOOKUP(H102,DB_Agents!$B:$I,8,0),"")=I102,IF(C102&gt;=E102,"Successful","Unsuccessful"),"🔒 BLOCKED — Wrong Code")),"—")</f>
        <v/>
      </c>
      <c r="K102" s="500">
        <f>IF(J102="Successful",TEXT(TODAY(),"YYYY-MM-DD")&amp;" Auto","—")</f>
        <v/>
      </c>
      <c r="L102" s="501" t="n"/>
    </row>
    <row r="103" ht="15" customHeight="1" s="341">
      <c r="A103" s="486" t="n"/>
      <c r="B103" s="378">
        <f>IF(A103="","",IFERROR(VLOOKUP(A103,DB_Customers!$A:$D,4,0),"❌ Account Not Found"))</f>
        <v/>
      </c>
      <c r="C103" s="487">
        <f>IF(A103="","",IFERROR(VLOOKUP(A103,DB_Customers!$A:$N,14,0),""))</f>
        <v/>
      </c>
      <c r="D103" s="488">
        <f>IF(A103="","",TODAY())</f>
        <v/>
      </c>
      <c r="E103" s="510" t="n"/>
      <c r="F103" s="378" t="n"/>
      <c r="G103" s="511">
        <f>IF(OR(A103="",E103=""),"",IF(C103="","",C103-E103))</f>
        <v/>
      </c>
      <c r="H103" s="380" t="inlineStr">
        <is>
          <t>Agent 09</t>
        </is>
      </c>
      <c r="I103" s="491" t="n"/>
      <c r="J103" s="492">
        <f>IF(AND(A103&lt;&gt;"",E103&lt;&gt;""),IF(I103="","⚠️ Enter Code",IF(IFERROR(VLOOKUP(H103,DB_Agents!$B:$I,8,0),"")=I103,IF(C103&gt;=E103,"Successful","Unsuccessful"),"🔒 BLOCKED — Wrong Code")),"—")</f>
        <v/>
      </c>
      <c r="K103" s="493">
        <f>IF(J103="Successful",TEXT(TODAY(),"YYYY-MM-DD")&amp;" Auto","—")</f>
        <v/>
      </c>
      <c r="L103" s="494" t="n"/>
    </row>
    <row r="104" ht="15" customHeight="1" s="341">
      <c r="A104" s="495" t="n"/>
      <c r="B104" s="382">
        <f>IF(A104="","",IFERROR(VLOOKUP(A104,DB_Customers!$A:$D,4,0),"❌ Account Not Found"))</f>
        <v/>
      </c>
      <c r="C104" s="496">
        <f>IF(A104="","",IFERROR(VLOOKUP(A104,DB_Customers!$A:$N,14,0),""))</f>
        <v/>
      </c>
      <c r="D104" s="497">
        <f>IF(A104="","",TODAY())</f>
        <v/>
      </c>
      <c r="E104" s="510" t="n"/>
      <c r="F104" s="382" t="n"/>
      <c r="G104" s="512">
        <f>IF(OR(A104="",E104=""),"",IF(C104="","",C104-E104))</f>
        <v/>
      </c>
      <c r="H104" s="384" t="inlineStr">
        <is>
          <t>Agent 09</t>
        </is>
      </c>
      <c r="I104" s="491" t="n"/>
      <c r="J104" s="499">
        <f>IF(AND(A104&lt;&gt;"",E104&lt;&gt;""),IF(I104="","⚠️ Enter Code",IF(IFERROR(VLOOKUP(H104,DB_Agents!$B:$I,8,0),"")=I104,IF(C104&gt;=E104,"Successful","Unsuccessful"),"🔒 BLOCKED — Wrong Code")),"—")</f>
        <v/>
      </c>
      <c r="K104" s="500">
        <f>IF(J104="Successful",TEXT(TODAY(),"YYYY-MM-DD")&amp;" Auto","—")</f>
        <v/>
      </c>
      <c r="L104" s="501" t="n"/>
    </row>
    <row r="105" ht="15" customHeight="1" s="341">
      <c r="A105" s="486" t="n"/>
      <c r="B105" s="378">
        <f>IF(A105="","",IFERROR(VLOOKUP(A105,DB_Customers!$A:$D,4,0),"❌ Account Not Found"))</f>
        <v/>
      </c>
      <c r="C105" s="487">
        <f>IF(A105="","",IFERROR(VLOOKUP(A105,DB_Customers!$A:$N,14,0),""))</f>
        <v/>
      </c>
      <c r="D105" s="488">
        <f>IF(A105="","",TODAY())</f>
        <v/>
      </c>
      <c r="E105" s="510" t="n"/>
      <c r="F105" s="378" t="n"/>
      <c r="G105" s="511">
        <f>IF(OR(A105="",E105=""),"",IF(C105="","",C105-E105))</f>
        <v/>
      </c>
      <c r="H105" s="380" t="inlineStr">
        <is>
          <t>Agent 09</t>
        </is>
      </c>
      <c r="I105" s="491" t="n"/>
      <c r="J105" s="492">
        <f>IF(AND(A105&lt;&gt;"",E105&lt;&gt;""),IF(I105="","⚠️ Enter Code",IF(IFERROR(VLOOKUP(H105,DB_Agents!$B:$I,8,0),"")=I105,IF(C105&gt;=E105,"Successful","Unsuccessful"),"🔒 BLOCKED — Wrong Code")),"—")</f>
        <v/>
      </c>
      <c r="K105" s="493">
        <f>IF(J105="Successful",TEXT(TODAY(),"YYYY-MM-DD")&amp;" Auto","—")</f>
        <v/>
      </c>
      <c r="L105" s="494" t="n"/>
    </row>
    <row r="106" ht="15" customHeight="1" s="341">
      <c r="A106" s="495" t="n"/>
      <c r="B106" s="382">
        <f>IF(A106="","",IFERROR(VLOOKUP(A106,DB_Customers!$A:$D,4,0),"❌ Account Not Found"))</f>
        <v/>
      </c>
      <c r="C106" s="496">
        <f>IF(A106="","",IFERROR(VLOOKUP(A106,DB_Customers!$A:$N,14,0),""))</f>
        <v/>
      </c>
      <c r="D106" s="497">
        <f>IF(A106="","",TODAY())</f>
        <v/>
      </c>
      <c r="E106" s="510" t="n"/>
      <c r="F106" s="382" t="n"/>
      <c r="G106" s="512">
        <f>IF(OR(A106="",E106=""),"",IF(C106="","",C106-E106))</f>
        <v/>
      </c>
      <c r="H106" s="384" t="inlineStr">
        <is>
          <t>Agent 09</t>
        </is>
      </c>
      <c r="I106" s="491" t="n"/>
      <c r="J106" s="499">
        <f>IF(AND(A106&lt;&gt;"",E106&lt;&gt;""),IF(I106="","⚠️ Enter Code",IF(IFERROR(VLOOKUP(H106,DB_Agents!$B:$I,8,0),"")=I106,IF(C106&gt;=E106,"Successful","Unsuccessful"),"🔒 BLOCKED — Wrong Code")),"—")</f>
        <v/>
      </c>
      <c r="K106" s="500">
        <f>IF(J106="Successful",TEXT(TODAY(),"YYYY-MM-DD")&amp;" Auto","—")</f>
        <v/>
      </c>
      <c r="L106" s="501" t="n"/>
    </row>
    <row r="107" ht="15" customHeight="1" s="341">
      <c r="A107" s="486" t="n"/>
      <c r="B107" s="378">
        <f>IF(A107="","",IFERROR(VLOOKUP(A107,DB_Customers!$A:$D,4,0),"❌ Account Not Found"))</f>
        <v/>
      </c>
      <c r="C107" s="487">
        <f>IF(A107="","",IFERROR(VLOOKUP(A107,DB_Customers!$A:$N,14,0),""))</f>
        <v/>
      </c>
      <c r="D107" s="488">
        <f>IF(A107="","",TODAY())</f>
        <v/>
      </c>
      <c r="E107" s="510" t="n"/>
      <c r="F107" s="378" t="n"/>
      <c r="G107" s="511">
        <f>IF(OR(A107="",E107=""),"",IF(C107="","",C107-E107))</f>
        <v/>
      </c>
      <c r="H107" s="380" t="inlineStr">
        <is>
          <t>Agent 09</t>
        </is>
      </c>
      <c r="I107" s="491" t="n"/>
      <c r="J107" s="492">
        <f>IF(AND(A107&lt;&gt;"",E107&lt;&gt;""),IF(I107="","⚠️ Enter Code",IF(IFERROR(VLOOKUP(H107,DB_Agents!$B:$I,8,0),"")=I107,IF(C107&gt;=E107,"Successful","Unsuccessful"),"🔒 BLOCKED — Wrong Code")),"—")</f>
        <v/>
      </c>
      <c r="K107" s="493">
        <f>IF(J107="Successful",TEXT(TODAY(),"YYYY-MM-DD")&amp;" Auto","—")</f>
        <v/>
      </c>
      <c r="L107" s="494" t="n"/>
    </row>
    <row r="108" ht="15" customHeight="1" s="341">
      <c r="A108" s="495" t="n"/>
      <c r="B108" s="382">
        <f>IF(A108="","",IFERROR(VLOOKUP(A108,DB_Customers!$A:$D,4,0),"❌ Account Not Found"))</f>
        <v/>
      </c>
      <c r="C108" s="496">
        <f>IF(A108="","",IFERROR(VLOOKUP(A108,DB_Customers!$A:$N,14,0),""))</f>
        <v/>
      </c>
      <c r="D108" s="497">
        <f>IF(A108="","",TODAY())</f>
        <v/>
      </c>
      <c r="E108" s="510" t="n"/>
      <c r="F108" s="382" t="n"/>
      <c r="G108" s="512">
        <f>IF(OR(A108="",E108=""),"",IF(C108="","",C108-E108))</f>
        <v/>
      </c>
      <c r="H108" s="384" t="inlineStr">
        <is>
          <t>Agent 09</t>
        </is>
      </c>
      <c r="I108" s="491" t="n"/>
      <c r="J108" s="499">
        <f>IF(AND(A108&lt;&gt;"",E108&lt;&gt;""),IF(I108="","⚠️ Enter Code",IF(IFERROR(VLOOKUP(H108,DB_Agents!$B:$I,8,0),"")=I108,IF(C108&gt;=E108,"Successful","Unsuccessful"),"🔒 BLOCKED — Wrong Code")),"—")</f>
        <v/>
      </c>
      <c r="K108" s="500">
        <f>IF(J108="Successful",TEXT(TODAY(),"YYYY-MM-DD")&amp;" Auto","—")</f>
        <v/>
      </c>
      <c r="L108" s="501" t="n"/>
    </row>
    <row r="109" ht="15" customHeight="1" s="341">
      <c r="A109" s="486" t="n"/>
      <c r="B109" s="378">
        <f>IF(A109="","",IFERROR(VLOOKUP(A109,DB_Customers!$A:$D,4,0),"❌ Account Not Found"))</f>
        <v/>
      </c>
      <c r="C109" s="487">
        <f>IF(A109="","",IFERROR(VLOOKUP(A109,DB_Customers!$A:$N,14,0),""))</f>
        <v/>
      </c>
      <c r="D109" s="488">
        <f>IF(A109="","",TODAY())</f>
        <v/>
      </c>
      <c r="E109" s="510" t="n"/>
      <c r="F109" s="378" t="n"/>
      <c r="G109" s="511">
        <f>IF(OR(A109="",E109=""),"",IF(C109="","",C109-E109))</f>
        <v/>
      </c>
      <c r="H109" s="380" t="inlineStr">
        <is>
          <t>Agent 09</t>
        </is>
      </c>
      <c r="I109" s="491" t="n"/>
      <c r="J109" s="492">
        <f>IF(AND(A109&lt;&gt;"",E109&lt;&gt;""),IF(I109="","⚠️ Enter Code",IF(IFERROR(VLOOKUP(H109,DB_Agents!$B:$I,8,0),"")=I109,IF(C109&gt;=E109,"Successful","Unsuccessful"),"🔒 BLOCKED — Wrong Code")),"—")</f>
        <v/>
      </c>
      <c r="K109" s="493">
        <f>IF(J109="Successful",TEXT(TODAY(),"YYYY-MM-DD")&amp;" Auto","—")</f>
        <v/>
      </c>
      <c r="L109" s="494" t="n"/>
    </row>
    <row r="110" ht="15" customHeight="1" s="341">
      <c r="A110" s="495" t="n"/>
      <c r="B110" s="382">
        <f>IF(A110="","",IFERROR(VLOOKUP(A110,DB_Customers!$A:$D,4,0),"❌ Account Not Found"))</f>
        <v/>
      </c>
      <c r="C110" s="496">
        <f>IF(A110="","",IFERROR(VLOOKUP(A110,DB_Customers!$A:$N,14,0),""))</f>
        <v/>
      </c>
      <c r="D110" s="497">
        <f>IF(A110="","",TODAY())</f>
        <v/>
      </c>
      <c r="E110" s="510" t="n"/>
      <c r="F110" s="382" t="n"/>
      <c r="G110" s="512">
        <f>IF(OR(A110="",E110=""),"",IF(C110="","",C110-E110))</f>
        <v/>
      </c>
      <c r="H110" s="384" t="inlineStr">
        <is>
          <t>Agent 09</t>
        </is>
      </c>
      <c r="I110" s="491" t="n"/>
      <c r="J110" s="499">
        <f>IF(AND(A110&lt;&gt;"",E110&lt;&gt;""),IF(I110="","⚠️ Enter Code",IF(IFERROR(VLOOKUP(H110,DB_Agents!$B:$I,8,0),"")=I110,IF(C110&gt;=E110,"Successful","Unsuccessful"),"🔒 BLOCKED — Wrong Code")),"—")</f>
        <v/>
      </c>
      <c r="K110" s="500">
        <f>IF(J110="Successful",TEXT(TODAY(),"YYYY-MM-DD")&amp;" Auto","—")</f>
        <v/>
      </c>
      <c r="L110" s="501" t="n"/>
    </row>
    <row r="111" ht="15" customHeight="1" s="341">
      <c r="A111" s="486" t="n"/>
      <c r="B111" s="378">
        <f>IF(A111="","",IFERROR(VLOOKUP(A111,DB_Customers!$A:$D,4,0),"❌ Account Not Found"))</f>
        <v/>
      </c>
      <c r="C111" s="487">
        <f>IF(A111="","",IFERROR(VLOOKUP(A111,DB_Customers!$A:$N,14,0),""))</f>
        <v/>
      </c>
      <c r="D111" s="488">
        <f>IF(A111="","",TODAY())</f>
        <v/>
      </c>
      <c r="E111" s="510" t="n"/>
      <c r="F111" s="378" t="n"/>
      <c r="G111" s="511">
        <f>IF(OR(A111="",E111=""),"",IF(C111="","",C111-E111))</f>
        <v/>
      </c>
      <c r="H111" s="380" t="inlineStr">
        <is>
          <t>Agent 09</t>
        </is>
      </c>
      <c r="I111" s="491" t="n"/>
      <c r="J111" s="492">
        <f>IF(AND(A111&lt;&gt;"",E111&lt;&gt;""),IF(I111="","⚠️ Enter Code",IF(IFERROR(VLOOKUP(H111,DB_Agents!$B:$I,8,0),"")=I111,IF(C111&gt;=E111,"Successful","Unsuccessful"),"🔒 BLOCKED — Wrong Code")),"—")</f>
        <v/>
      </c>
      <c r="K111" s="493">
        <f>IF(J111="Successful",TEXT(TODAY(),"YYYY-MM-DD")&amp;" Auto","—")</f>
        <v/>
      </c>
      <c r="L111" s="494" t="n"/>
    </row>
    <row r="112" ht="15" customHeight="1" s="341">
      <c r="A112" s="495" t="n"/>
      <c r="B112" s="382">
        <f>IF(A112="","",IFERROR(VLOOKUP(A112,DB_Customers!$A:$D,4,0),"❌ Account Not Found"))</f>
        <v/>
      </c>
      <c r="C112" s="496">
        <f>IF(A112="","",IFERROR(VLOOKUP(A112,DB_Customers!$A:$N,14,0),""))</f>
        <v/>
      </c>
      <c r="D112" s="497">
        <f>IF(A112="","",TODAY())</f>
        <v/>
      </c>
      <c r="E112" s="510" t="n"/>
      <c r="F112" s="382" t="n"/>
      <c r="G112" s="512">
        <f>IF(OR(A112="",E112=""),"",IF(C112="","",C112-E112))</f>
        <v/>
      </c>
      <c r="H112" s="384" t="inlineStr">
        <is>
          <t>Agent 09</t>
        </is>
      </c>
      <c r="I112" s="491" t="n"/>
      <c r="J112" s="499">
        <f>IF(AND(A112&lt;&gt;"",E112&lt;&gt;""),IF(I112="","⚠️ Enter Code",IF(IFERROR(VLOOKUP(H112,DB_Agents!$B:$I,8,0),"")=I112,IF(C112&gt;=E112,"Successful","Unsuccessful"),"🔒 BLOCKED — Wrong Code")),"—")</f>
        <v/>
      </c>
      <c r="K112" s="500">
        <f>IF(J112="Successful",TEXT(TODAY(),"YYYY-MM-DD")&amp;" Auto","—")</f>
        <v/>
      </c>
      <c r="L112" s="501" t="n"/>
    </row>
    <row r="113" ht="15" customHeight="1" s="341">
      <c r="A113" s="486" t="n"/>
      <c r="B113" s="378">
        <f>IF(A113="","",IFERROR(VLOOKUP(A113,DB_Customers!$A:$D,4,0),"❌ Account Not Found"))</f>
        <v/>
      </c>
      <c r="C113" s="487">
        <f>IF(A113="","",IFERROR(VLOOKUP(A113,DB_Customers!$A:$N,14,0),""))</f>
        <v/>
      </c>
      <c r="D113" s="488">
        <f>IF(A113="","",TODAY())</f>
        <v/>
      </c>
      <c r="E113" s="510" t="n"/>
      <c r="F113" s="378" t="n"/>
      <c r="G113" s="511">
        <f>IF(OR(A113="",E113=""),"",IF(C113="","",C113-E113))</f>
        <v/>
      </c>
      <c r="H113" s="380" t="inlineStr">
        <is>
          <t>Agent 09</t>
        </is>
      </c>
      <c r="I113" s="491" t="n"/>
      <c r="J113" s="492">
        <f>IF(AND(A113&lt;&gt;"",E113&lt;&gt;""),IF(I113="","⚠️ Enter Code",IF(IFERROR(VLOOKUP(H113,DB_Agents!$B:$I,8,0),"")=I113,IF(C113&gt;=E113,"Successful","Unsuccessful"),"🔒 BLOCKED — Wrong Code")),"—")</f>
        <v/>
      </c>
      <c r="K113" s="493">
        <f>IF(J113="Successful",TEXT(TODAY(),"YYYY-MM-DD")&amp;" Auto","—")</f>
        <v/>
      </c>
      <c r="L113" s="494" t="n"/>
    </row>
    <row r="114" ht="15" customHeight="1" s="341">
      <c r="A114" s="495" t="n"/>
      <c r="B114" s="382">
        <f>IF(A114="","",IFERROR(VLOOKUP(A114,DB_Customers!$A:$D,4,0),"❌ Account Not Found"))</f>
        <v/>
      </c>
      <c r="C114" s="496">
        <f>IF(A114="","",IFERROR(VLOOKUP(A114,DB_Customers!$A:$N,14,0),""))</f>
        <v/>
      </c>
      <c r="D114" s="497">
        <f>IF(A114="","",TODAY())</f>
        <v/>
      </c>
      <c r="E114" s="510" t="n"/>
      <c r="F114" s="382" t="n"/>
      <c r="G114" s="512">
        <f>IF(OR(A114="",E114=""),"",IF(C114="","",C114-E114))</f>
        <v/>
      </c>
      <c r="H114" s="384" t="inlineStr">
        <is>
          <t>Agent 09</t>
        </is>
      </c>
      <c r="I114" s="491" t="n"/>
      <c r="J114" s="499">
        <f>IF(AND(A114&lt;&gt;"",E114&lt;&gt;""),IF(I114="","⚠️ Enter Code",IF(IFERROR(VLOOKUP(H114,DB_Agents!$B:$I,8,0),"")=I114,IF(C114&gt;=E114,"Successful","Unsuccessful"),"🔒 BLOCKED — Wrong Code")),"—")</f>
        <v/>
      </c>
      <c r="K114" s="500">
        <f>IF(J114="Successful",TEXT(TODAY(),"YYYY-MM-DD")&amp;" Auto","—")</f>
        <v/>
      </c>
      <c r="L114" s="501" t="n"/>
    </row>
    <row r="115" ht="15" customHeight="1" s="341">
      <c r="A115" s="486" t="n"/>
      <c r="B115" s="378">
        <f>IF(A115="","",IFERROR(VLOOKUP(A115,DB_Customers!$A:$D,4,0),"❌ Account Not Found"))</f>
        <v/>
      </c>
      <c r="C115" s="487">
        <f>IF(A115="","",IFERROR(VLOOKUP(A115,DB_Customers!$A:$N,14,0),""))</f>
        <v/>
      </c>
      <c r="D115" s="488">
        <f>IF(A115="","",TODAY())</f>
        <v/>
      </c>
      <c r="E115" s="510" t="n"/>
      <c r="F115" s="378" t="n"/>
      <c r="G115" s="511">
        <f>IF(OR(A115="",E115=""),"",IF(C115="","",C115-E115))</f>
        <v/>
      </c>
      <c r="H115" s="380" t="inlineStr">
        <is>
          <t>Agent 09</t>
        </is>
      </c>
      <c r="I115" s="491" t="n"/>
      <c r="J115" s="492">
        <f>IF(AND(A115&lt;&gt;"",E115&lt;&gt;""),IF(I115="","⚠️ Enter Code",IF(IFERROR(VLOOKUP(H115,DB_Agents!$B:$I,8,0),"")=I115,IF(C115&gt;=E115,"Successful","Unsuccessful"),"🔒 BLOCKED — Wrong Code")),"—")</f>
        <v/>
      </c>
      <c r="K115" s="493">
        <f>IF(J115="Successful",TEXT(TODAY(),"YYYY-MM-DD")&amp;" Auto","—")</f>
        <v/>
      </c>
      <c r="L115" s="494" t="n"/>
    </row>
    <row r="116" ht="15" customHeight="1" s="341">
      <c r="A116" s="495" t="n"/>
      <c r="B116" s="382">
        <f>IF(A116="","",IFERROR(VLOOKUP(A116,DB_Customers!$A:$D,4,0),"❌ Account Not Found"))</f>
        <v/>
      </c>
      <c r="C116" s="496">
        <f>IF(A116="","",IFERROR(VLOOKUP(A116,DB_Customers!$A:$N,14,0),""))</f>
        <v/>
      </c>
      <c r="D116" s="497">
        <f>IF(A116="","",TODAY())</f>
        <v/>
      </c>
      <c r="E116" s="510" t="n"/>
      <c r="F116" s="382" t="n"/>
      <c r="G116" s="512">
        <f>IF(OR(A116="",E116=""),"",IF(C116="","",C116-E116))</f>
        <v/>
      </c>
      <c r="H116" s="384" t="inlineStr">
        <is>
          <t>Agent 09</t>
        </is>
      </c>
      <c r="I116" s="491" t="n"/>
      <c r="J116" s="499">
        <f>IF(AND(A116&lt;&gt;"",E116&lt;&gt;""),IF(I116="","⚠️ Enter Code",IF(IFERROR(VLOOKUP(H116,DB_Agents!$B:$I,8,0),"")=I116,IF(C116&gt;=E116,"Successful","Unsuccessful"),"🔒 BLOCKED — Wrong Code")),"—")</f>
        <v/>
      </c>
      <c r="K116" s="500">
        <f>IF(J116="Successful",TEXT(TODAY(),"YYYY-MM-DD")&amp;" Auto","—")</f>
        <v/>
      </c>
      <c r="L116" s="501" t="n"/>
    </row>
    <row r="117" ht="15" customHeight="1" s="341">
      <c r="A117" s="486" t="n"/>
      <c r="B117" s="378">
        <f>IF(A117="","",IFERROR(VLOOKUP(A117,DB_Customers!$A:$D,4,0),"❌ Account Not Found"))</f>
        <v/>
      </c>
      <c r="C117" s="487">
        <f>IF(A117="","",IFERROR(VLOOKUP(A117,DB_Customers!$A:$N,14,0),""))</f>
        <v/>
      </c>
      <c r="D117" s="488">
        <f>IF(A117="","",TODAY())</f>
        <v/>
      </c>
      <c r="E117" s="510" t="n"/>
      <c r="F117" s="378" t="n"/>
      <c r="G117" s="511">
        <f>IF(OR(A117="",E117=""),"",IF(C117="","",C117-E117))</f>
        <v/>
      </c>
      <c r="H117" s="380" t="inlineStr">
        <is>
          <t>Agent 09</t>
        </is>
      </c>
      <c r="I117" s="491" t="n"/>
      <c r="J117" s="492">
        <f>IF(AND(A117&lt;&gt;"",E117&lt;&gt;""),IF(I117="","⚠️ Enter Code",IF(IFERROR(VLOOKUP(H117,DB_Agents!$B:$I,8,0),"")=I117,IF(C117&gt;=E117,"Successful","Unsuccessful"),"🔒 BLOCKED — Wrong Code")),"—")</f>
        <v/>
      </c>
      <c r="K117" s="493">
        <f>IF(J117="Successful",TEXT(TODAY(),"YYYY-MM-DD")&amp;" Auto","—")</f>
        <v/>
      </c>
      <c r="L117" s="494" t="n"/>
    </row>
    <row r="118" ht="15" customHeight="1" s="341">
      <c r="A118" s="495" t="n"/>
      <c r="B118" s="382">
        <f>IF(A118="","",IFERROR(VLOOKUP(A118,DB_Customers!$A:$D,4,0),"❌ Account Not Found"))</f>
        <v/>
      </c>
      <c r="C118" s="496">
        <f>IF(A118="","",IFERROR(VLOOKUP(A118,DB_Customers!$A:$N,14,0),""))</f>
        <v/>
      </c>
      <c r="D118" s="497">
        <f>IF(A118="","",TODAY())</f>
        <v/>
      </c>
      <c r="E118" s="510" t="n"/>
      <c r="F118" s="382" t="n"/>
      <c r="G118" s="512">
        <f>IF(OR(A118="",E118=""),"",IF(C118="","",C118-E118))</f>
        <v/>
      </c>
      <c r="H118" s="384" t="inlineStr">
        <is>
          <t>Agent 09</t>
        </is>
      </c>
      <c r="I118" s="491" t="n"/>
      <c r="J118" s="499">
        <f>IF(AND(A118&lt;&gt;"",E118&lt;&gt;""),IF(I118="","⚠️ Enter Code",IF(IFERROR(VLOOKUP(H118,DB_Agents!$B:$I,8,0),"")=I118,IF(C118&gt;=E118,"Successful","Unsuccessful"),"🔒 BLOCKED — Wrong Code")),"—")</f>
        <v/>
      </c>
      <c r="K118" s="500">
        <f>IF(J118="Successful",TEXT(TODAY(),"YYYY-MM-DD")&amp;" Auto","—")</f>
        <v/>
      </c>
      <c r="L118" s="501" t="n"/>
    </row>
    <row r="119" ht="15" customHeight="1" s="341">
      <c r="A119" s="486" t="n"/>
      <c r="B119" s="378">
        <f>IF(A119="","",IFERROR(VLOOKUP(A119,DB_Customers!$A:$D,4,0),"❌ Account Not Found"))</f>
        <v/>
      </c>
      <c r="C119" s="487">
        <f>IF(A119="","",IFERROR(VLOOKUP(A119,DB_Customers!$A:$N,14,0),""))</f>
        <v/>
      </c>
      <c r="D119" s="488">
        <f>IF(A119="","",TODAY())</f>
        <v/>
      </c>
      <c r="E119" s="510" t="n"/>
      <c r="F119" s="378" t="n"/>
      <c r="G119" s="511">
        <f>IF(OR(A119="",E119=""),"",IF(C119="","",C119-E119))</f>
        <v/>
      </c>
      <c r="H119" s="380" t="inlineStr">
        <is>
          <t>Agent 09</t>
        </is>
      </c>
      <c r="I119" s="491" t="n"/>
      <c r="J119" s="492">
        <f>IF(AND(A119&lt;&gt;"",E119&lt;&gt;""),IF(I119="","⚠️ Enter Code",IF(IFERROR(VLOOKUP(H119,DB_Agents!$B:$I,8,0),"")=I119,IF(C119&gt;=E119,"Successful","Unsuccessful"),"🔒 BLOCKED — Wrong Code")),"—")</f>
        <v/>
      </c>
      <c r="K119" s="493">
        <f>IF(J119="Successful",TEXT(TODAY(),"YYYY-MM-DD")&amp;" Auto","—")</f>
        <v/>
      </c>
      <c r="L119" s="494" t="n"/>
    </row>
    <row r="120" ht="15" customHeight="1" s="341">
      <c r="A120" s="495" t="n"/>
      <c r="B120" s="382">
        <f>IF(A120="","",IFERROR(VLOOKUP(A120,DB_Customers!$A:$D,4,0),"❌ Account Not Found"))</f>
        <v/>
      </c>
      <c r="C120" s="496">
        <f>IF(A120="","",IFERROR(VLOOKUP(A120,DB_Customers!$A:$N,14,0),""))</f>
        <v/>
      </c>
      <c r="D120" s="497">
        <f>IF(A120="","",TODAY())</f>
        <v/>
      </c>
      <c r="E120" s="510" t="n"/>
      <c r="F120" s="382" t="n"/>
      <c r="G120" s="512">
        <f>IF(OR(A120="",E120=""),"",IF(C120="","",C120-E120))</f>
        <v/>
      </c>
      <c r="H120" s="384" t="inlineStr">
        <is>
          <t>Agent 09</t>
        </is>
      </c>
      <c r="I120" s="491" t="n"/>
      <c r="J120" s="499">
        <f>IF(AND(A120&lt;&gt;"",E120&lt;&gt;""),IF(I120="","⚠️ Enter Code",IF(IFERROR(VLOOKUP(H120,DB_Agents!$B:$I,8,0),"")=I120,IF(C120&gt;=E120,"Successful","Unsuccessful"),"🔒 BLOCKED — Wrong Code")),"—")</f>
        <v/>
      </c>
      <c r="K120" s="500">
        <f>IF(J120="Successful",TEXT(TODAY(),"YYYY-MM-DD")&amp;" Auto","—")</f>
        <v/>
      </c>
      <c r="L120" s="501" t="n"/>
    </row>
    <row r="121" ht="15" customHeight="1" s="341">
      <c r="A121" s="486" t="n"/>
      <c r="B121" s="378">
        <f>IF(A121="","",IFERROR(VLOOKUP(A121,DB_Customers!$A:$D,4,0),"❌ Account Not Found"))</f>
        <v/>
      </c>
      <c r="C121" s="487">
        <f>IF(A121="","",IFERROR(VLOOKUP(A121,DB_Customers!$A:$N,14,0),""))</f>
        <v/>
      </c>
      <c r="D121" s="488">
        <f>IF(A121="","",TODAY())</f>
        <v/>
      </c>
      <c r="E121" s="510" t="n"/>
      <c r="F121" s="378" t="n"/>
      <c r="G121" s="511">
        <f>IF(OR(A121="",E121=""),"",IF(C121="","",C121-E121))</f>
        <v/>
      </c>
      <c r="H121" s="380" t="inlineStr">
        <is>
          <t>Agent 09</t>
        </is>
      </c>
      <c r="I121" s="491" t="n"/>
      <c r="J121" s="492">
        <f>IF(AND(A121&lt;&gt;"",E121&lt;&gt;""),IF(I121="","⚠️ Enter Code",IF(IFERROR(VLOOKUP(H121,DB_Agents!$B:$I,8,0),"")=I121,IF(C121&gt;=E121,"Successful","Unsuccessful"),"🔒 BLOCKED — Wrong Code")),"—")</f>
        <v/>
      </c>
      <c r="K121" s="493">
        <f>IF(J121="Successful",TEXT(TODAY(),"YYYY-MM-DD")&amp;" Auto","—")</f>
        <v/>
      </c>
      <c r="L121" s="494" t="n"/>
    </row>
    <row r="122" ht="15" customHeight="1" s="341">
      <c r="A122" s="495" t="n"/>
      <c r="B122" s="382">
        <f>IF(A122="","",IFERROR(VLOOKUP(A122,DB_Customers!$A:$D,4,0),"❌ Account Not Found"))</f>
        <v/>
      </c>
      <c r="C122" s="496">
        <f>IF(A122="","",IFERROR(VLOOKUP(A122,DB_Customers!$A:$N,14,0),""))</f>
        <v/>
      </c>
      <c r="D122" s="497">
        <f>IF(A122="","",TODAY())</f>
        <v/>
      </c>
      <c r="E122" s="510" t="n"/>
      <c r="F122" s="382" t="n"/>
      <c r="G122" s="512">
        <f>IF(OR(A122="",E122=""),"",IF(C122="","",C122-E122))</f>
        <v/>
      </c>
      <c r="H122" s="384" t="inlineStr">
        <is>
          <t>Agent 09</t>
        </is>
      </c>
      <c r="I122" s="491" t="n"/>
      <c r="J122" s="499">
        <f>IF(AND(A122&lt;&gt;"",E122&lt;&gt;""),IF(I122="","⚠️ Enter Code",IF(IFERROR(VLOOKUP(H122,DB_Agents!$B:$I,8,0),"")=I122,IF(C122&gt;=E122,"Successful","Unsuccessful"),"🔒 BLOCKED — Wrong Code")),"—")</f>
        <v/>
      </c>
      <c r="K122" s="500">
        <f>IF(J122="Successful",TEXT(TODAY(),"YYYY-MM-DD")&amp;" Auto","—")</f>
        <v/>
      </c>
      <c r="L122" s="501" t="n"/>
    </row>
    <row r="123" ht="15" customHeight="1" s="341">
      <c r="A123" s="486" t="n"/>
      <c r="B123" s="378">
        <f>IF(A123="","",IFERROR(VLOOKUP(A123,DB_Customers!$A:$D,4,0),"❌ Account Not Found"))</f>
        <v/>
      </c>
      <c r="C123" s="487">
        <f>IF(A123="","",IFERROR(VLOOKUP(A123,DB_Customers!$A:$N,14,0),""))</f>
        <v/>
      </c>
      <c r="D123" s="488">
        <f>IF(A123="","",TODAY())</f>
        <v/>
      </c>
      <c r="E123" s="510" t="n"/>
      <c r="F123" s="378" t="n"/>
      <c r="G123" s="511">
        <f>IF(OR(A123="",E123=""),"",IF(C123="","",C123-E123))</f>
        <v/>
      </c>
      <c r="H123" s="380" t="inlineStr">
        <is>
          <t>Agent 09</t>
        </is>
      </c>
      <c r="I123" s="491" t="n"/>
      <c r="J123" s="492">
        <f>IF(AND(A123&lt;&gt;"",E123&lt;&gt;""),IF(I123="","⚠️ Enter Code",IF(IFERROR(VLOOKUP(H123,DB_Agents!$B:$I,8,0),"")=I123,IF(C123&gt;=E123,"Successful","Unsuccessful"),"🔒 BLOCKED — Wrong Code")),"—")</f>
        <v/>
      </c>
      <c r="K123" s="493">
        <f>IF(J123="Successful",TEXT(TODAY(),"YYYY-MM-DD")&amp;" Auto","—")</f>
        <v/>
      </c>
      <c r="L123" s="494" t="n"/>
    </row>
    <row r="124" ht="15" customHeight="1" s="341">
      <c r="A124" s="495" t="n"/>
      <c r="B124" s="382">
        <f>IF(A124="","",IFERROR(VLOOKUP(A124,DB_Customers!$A:$D,4,0),"❌ Account Not Found"))</f>
        <v/>
      </c>
      <c r="C124" s="496">
        <f>IF(A124="","",IFERROR(VLOOKUP(A124,DB_Customers!$A:$N,14,0),""))</f>
        <v/>
      </c>
      <c r="D124" s="497">
        <f>IF(A124="","",TODAY())</f>
        <v/>
      </c>
      <c r="E124" s="510" t="n"/>
      <c r="F124" s="382" t="n"/>
      <c r="G124" s="512">
        <f>IF(OR(A124="",E124=""),"",IF(C124="","",C124-E124))</f>
        <v/>
      </c>
      <c r="H124" s="384" t="inlineStr">
        <is>
          <t>Agent 09</t>
        </is>
      </c>
      <c r="I124" s="491" t="n"/>
      <c r="J124" s="499">
        <f>IF(AND(A124&lt;&gt;"",E124&lt;&gt;""),IF(I124="","⚠️ Enter Code",IF(IFERROR(VLOOKUP(H124,DB_Agents!$B:$I,8,0),"")=I124,IF(C124&gt;=E124,"Successful","Unsuccessful"),"🔒 BLOCKED — Wrong Code")),"—")</f>
        <v/>
      </c>
      <c r="K124" s="500">
        <f>IF(J124="Successful",TEXT(TODAY(),"YYYY-MM-DD")&amp;" Auto","—")</f>
        <v/>
      </c>
      <c r="L124" s="501" t="n"/>
    </row>
    <row r="125" ht="15" customHeight="1" s="341">
      <c r="A125" s="486" t="n"/>
      <c r="B125" s="378">
        <f>IF(A125="","",IFERROR(VLOOKUP(A125,DB_Customers!$A:$D,4,0),"❌ Account Not Found"))</f>
        <v/>
      </c>
      <c r="C125" s="487">
        <f>IF(A125="","",IFERROR(VLOOKUP(A125,DB_Customers!$A:$N,14,0),""))</f>
        <v/>
      </c>
      <c r="D125" s="488">
        <f>IF(A125="","",TODAY())</f>
        <v/>
      </c>
      <c r="E125" s="510" t="n"/>
      <c r="F125" s="378" t="n"/>
      <c r="G125" s="511">
        <f>IF(OR(A125="",E125=""),"",IF(C125="","",C125-E125))</f>
        <v/>
      </c>
      <c r="H125" s="380" t="inlineStr">
        <is>
          <t>Agent 09</t>
        </is>
      </c>
      <c r="I125" s="491" t="n"/>
      <c r="J125" s="492">
        <f>IF(AND(A125&lt;&gt;"",E125&lt;&gt;""),IF(I125="","⚠️ Enter Code",IF(IFERROR(VLOOKUP(H125,DB_Agents!$B:$I,8,0),"")=I125,IF(C125&gt;=E125,"Successful","Unsuccessful"),"🔒 BLOCKED — Wrong Code")),"—")</f>
        <v/>
      </c>
      <c r="K125" s="493">
        <f>IF(J125="Successful",TEXT(TODAY(),"YYYY-MM-DD")&amp;" Auto","—")</f>
        <v/>
      </c>
      <c r="L125" s="494" t="n"/>
    </row>
    <row r="126" ht="15" customHeight="1" s="341">
      <c r="A126" s="495" t="n"/>
      <c r="B126" s="382">
        <f>IF(A126="","",IFERROR(VLOOKUP(A126,DB_Customers!$A:$D,4,0),"❌ Account Not Found"))</f>
        <v/>
      </c>
      <c r="C126" s="496">
        <f>IF(A126="","",IFERROR(VLOOKUP(A126,DB_Customers!$A:$N,14,0),""))</f>
        <v/>
      </c>
      <c r="D126" s="497">
        <f>IF(A126="","",TODAY())</f>
        <v/>
      </c>
      <c r="E126" s="510" t="n"/>
      <c r="F126" s="382" t="n"/>
      <c r="G126" s="512">
        <f>IF(OR(A126="",E126=""),"",IF(C126="","",C126-E126))</f>
        <v/>
      </c>
      <c r="H126" s="384" t="inlineStr">
        <is>
          <t>Agent 09</t>
        </is>
      </c>
      <c r="I126" s="491" t="n"/>
      <c r="J126" s="499">
        <f>IF(AND(A126&lt;&gt;"",E126&lt;&gt;""),IF(I126="","⚠️ Enter Code",IF(IFERROR(VLOOKUP(H126,DB_Agents!$B:$I,8,0),"")=I126,IF(C126&gt;=E126,"Successful","Unsuccessful"),"🔒 BLOCKED — Wrong Code")),"—")</f>
        <v/>
      </c>
      <c r="K126" s="500">
        <f>IF(J126="Successful",TEXT(TODAY(),"YYYY-MM-DD")&amp;" Auto","—")</f>
        <v/>
      </c>
      <c r="L126" s="501" t="n"/>
    </row>
    <row r="127" ht="15" customHeight="1" s="341">
      <c r="A127" s="486" t="n"/>
      <c r="B127" s="378">
        <f>IF(A127="","",IFERROR(VLOOKUP(A127,DB_Customers!$A:$D,4,0),"❌ Account Not Found"))</f>
        <v/>
      </c>
      <c r="C127" s="487">
        <f>IF(A127="","",IFERROR(VLOOKUP(A127,DB_Customers!$A:$N,14,0),""))</f>
        <v/>
      </c>
      <c r="D127" s="488">
        <f>IF(A127="","",TODAY())</f>
        <v/>
      </c>
      <c r="E127" s="510" t="n"/>
      <c r="F127" s="378" t="n"/>
      <c r="G127" s="511">
        <f>IF(OR(A127="",E127=""),"",IF(C127="","",C127-E127))</f>
        <v/>
      </c>
      <c r="H127" s="380" t="inlineStr">
        <is>
          <t>Agent 09</t>
        </is>
      </c>
      <c r="I127" s="491" t="n"/>
      <c r="J127" s="492">
        <f>IF(AND(A127&lt;&gt;"",E127&lt;&gt;""),IF(I127="","⚠️ Enter Code",IF(IFERROR(VLOOKUP(H127,DB_Agents!$B:$I,8,0),"")=I127,IF(C127&gt;=E127,"Successful","Unsuccessful"),"🔒 BLOCKED — Wrong Code")),"—")</f>
        <v/>
      </c>
      <c r="K127" s="493">
        <f>IF(J127="Successful",TEXT(TODAY(),"YYYY-MM-DD")&amp;" Auto","—")</f>
        <v/>
      </c>
      <c r="L127" s="494" t="n"/>
    </row>
    <row r="128" ht="15" customHeight="1" s="341">
      <c r="A128" s="495" t="n"/>
      <c r="B128" s="382">
        <f>IF(A128="","",IFERROR(VLOOKUP(A128,DB_Customers!$A:$D,4,0),"❌ Account Not Found"))</f>
        <v/>
      </c>
      <c r="C128" s="496">
        <f>IF(A128="","",IFERROR(VLOOKUP(A128,DB_Customers!$A:$N,14,0),""))</f>
        <v/>
      </c>
      <c r="D128" s="497">
        <f>IF(A128="","",TODAY())</f>
        <v/>
      </c>
      <c r="E128" s="510" t="n"/>
      <c r="F128" s="382" t="n"/>
      <c r="G128" s="512">
        <f>IF(OR(A128="",E128=""),"",IF(C128="","",C128-E128))</f>
        <v/>
      </c>
      <c r="H128" s="384" t="inlineStr">
        <is>
          <t>Agent 09</t>
        </is>
      </c>
      <c r="I128" s="491" t="n"/>
      <c r="J128" s="499">
        <f>IF(AND(A128&lt;&gt;"",E128&lt;&gt;""),IF(I128="","⚠️ Enter Code",IF(IFERROR(VLOOKUP(H128,DB_Agents!$B:$I,8,0),"")=I128,IF(C128&gt;=E128,"Successful","Unsuccessful"),"🔒 BLOCKED — Wrong Code")),"—")</f>
        <v/>
      </c>
      <c r="K128" s="500">
        <f>IF(J128="Successful",TEXT(TODAY(),"YYYY-MM-DD")&amp;" Auto","—")</f>
        <v/>
      </c>
      <c r="L128" s="501" t="n"/>
    </row>
    <row r="129" ht="15" customHeight="1" s="341">
      <c r="A129" s="486" t="n"/>
      <c r="B129" s="378">
        <f>IF(A129="","",IFERROR(VLOOKUP(A129,DB_Customers!$A:$D,4,0),"❌ Account Not Found"))</f>
        <v/>
      </c>
      <c r="C129" s="487">
        <f>IF(A129="","",IFERROR(VLOOKUP(A129,DB_Customers!$A:$N,14,0),""))</f>
        <v/>
      </c>
      <c r="D129" s="488">
        <f>IF(A129="","",TODAY())</f>
        <v/>
      </c>
      <c r="E129" s="510" t="n"/>
      <c r="F129" s="378" t="n"/>
      <c r="G129" s="511">
        <f>IF(OR(A129="",E129=""),"",IF(C129="","",C129-E129))</f>
        <v/>
      </c>
      <c r="H129" s="380" t="inlineStr">
        <is>
          <t>Agent 09</t>
        </is>
      </c>
      <c r="I129" s="491" t="n"/>
      <c r="J129" s="492">
        <f>IF(AND(A129&lt;&gt;"",E129&lt;&gt;""),IF(I129="","⚠️ Enter Code",IF(IFERROR(VLOOKUP(H129,DB_Agents!$B:$I,8,0),"")=I129,IF(C129&gt;=E129,"Successful","Unsuccessful"),"🔒 BLOCKED — Wrong Code")),"—")</f>
        <v/>
      </c>
      <c r="K129" s="493">
        <f>IF(J129="Successful",TEXT(TODAY(),"YYYY-MM-DD")&amp;" Auto","—")</f>
        <v/>
      </c>
      <c r="L129" s="494" t="n"/>
    </row>
    <row r="130" ht="15" customHeight="1" s="341">
      <c r="A130" s="495" t="n"/>
      <c r="B130" s="382">
        <f>IF(A130="","",IFERROR(VLOOKUP(A130,DB_Customers!$A:$D,4,0),"❌ Account Not Found"))</f>
        <v/>
      </c>
      <c r="C130" s="496">
        <f>IF(A130="","",IFERROR(VLOOKUP(A130,DB_Customers!$A:$N,14,0),""))</f>
        <v/>
      </c>
      <c r="D130" s="497">
        <f>IF(A130="","",TODAY())</f>
        <v/>
      </c>
      <c r="E130" s="510" t="n"/>
      <c r="F130" s="382" t="n"/>
      <c r="G130" s="512">
        <f>IF(OR(A130="",E130=""),"",IF(C130="","",C130-E130))</f>
        <v/>
      </c>
      <c r="H130" s="384" t="inlineStr">
        <is>
          <t>Agent 09</t>
        </is>
      </c>
      <c r="I130" s="491" t="n"/>
      <c r="J130" s="499">
        <f>IF(AND(A130&lt;&gt;"",E130&lt;&gt;""),IF(I130="","⚠️ Enter Code",IF(IFERROR(VLOOKUP(H130,DB_Agents!$B:$I,8,0),"")=I130,IF(C130&gt;=E130,"Successful","Unsuccessful"),"🔒 BLOCKED — Wrong Code")),"—")</f>
        <v/>
      </c>
      <c r="K130" s="500">
        <f>IF(J130="Successful",TEXT(TODAY(),"YYYY-MM-DD")&amp;" Auto","—")</f>
        <v/>
      </c>
      <c r="L130" s="501" t="n"/>
    </row>
    <row r="131" ht="15" customHeight="1" s="341">
      <c r="A131" s="486" t="n"/>
      <c r="B131" s="378">
        <f>IF(A131="","",IFERROR(VLOOKUP(A131,DB_Customers!$A:$D,4,0),"❌ Account Not Found"))</f>
        <v/>
      </c>
      <c r="C131" s="487">
        <f>IF(A131="","",IFERROR(VLOOKUP(A131,DB_Customers!$A:$N,14,0),""))</f>
        <v/>
      </c>
      <c r="D131" s="488">
        <f>IF(A131="","",TODAY())</f>
        <v/>
      </c>
      <c r="E131" s="510" t="n"/>
      <c r="F131" s="378" t="n"/>
      <c r="G131" s="511">
        <f>IF(OR(A131="",E131=""),"",IF(C131="","",C131-E131))</f>
        <v/>
      </c>
      <c r="H131" s="380" t="inlineStr">
        <is>
          <t>Agent 09</t>
        </is>
      </c>
      <c r="I131" s="491" t="n"/>
      <c r="J131" s="492">
        <f>IF(AND(A131&lt;&gt;"",E131&lt;&gt;""),IF(I131="","⚠️ Enter Code",IF(IFERROR(VLOOKUP(H131,DB_Agents!$B:$I,8,0),"")=I131,IF(C131&gt;=E131,"Successful","Unsuccessful"),"🔒 BLOCKED — Wrong Code")),"—")</f>
        <v/>
      </c>
      <c r="K131" s="493">
        <f>IF(J131="Successful",TEXT(TODAY(),"YYYY-MM-DD")&amp;" Auto","—")</f>
        <v/>
      </c>
      <c r="L131" s="494" t="n"/>
    </row>
    <row r="132" ht="15" customHeight="1" s="341">
      <c r="A132" s="495" t="n"/>
      <c r="B132" s="382">
        <f>IF(A132="","",IFERROR(VLOOKUP(A132,DB_Customers!$A:$D,4,0),"❌ Account Not Found"))</f>
        <v/>
      </c>
      <c r="C132" s="496">
        <f>IF(A132="","",IFERROR(VLOOKUP(A132,DB_Customers!$A:$N,14,0),""))</f>
        <v/>
      </c>
      <c r="D132" s="497">
        <f>IF(A132="","",TODAY())</f>
        <v/>
      </c>
      <c r="E132" s="510" t="n"/>
      <c r="F132" s="382" t="n"/>
      <c r="G132" s="512">
        <f>IF(OR(A132="",E132=""),"",IF(C132="","",C132-E132))</f>
        <v/>
      </c>
      <c r="H132" s="384" t="inlineStr">
        <is>
          <t>Agent 09</t>
        </is>
      </c>
      <c r="I132" s="491" t="n"/>
      <c r="J132" s="499">
        <f>IF(AND(A132&lt;&gt;"",E132&lt;&gt;""),IF(I132="","⚠️ Enter Code",IF(IFERROR(VLOOKUP(H132,DB_Agents!$B:$I,8,0),"")=I132,IF(C132&gt;=E132,"Successful","Unsuccessful"),"🔒 BLOCKED — Wrong Code")),"—")</f>
        <v/>
      </c>
      <c r="K132" s="500">
        <f>IF(J132="Successful",TEXT(TODAY(),"YYYY-MM-DD")&amp;" Auto","—")</f>
        <v/>
      </c>
      <c r="L132" s="501" t="n"/>
    </row>
    <row r="133" ht="15" customHeight="1" s="341">
      <c r="A133" s="486" t="n"/>
      <c r="B133" s="378">
        <f>IF(A133="","",IFERROR(VLOOKUP(A133,DB_Customers!$A:$D,4,0),"❌ Account Not Found"))</f>
        <v/>
      </c>
      <c r="C133" s="487">
        <f>IF(A133="","",IFERROR(VLOOKUP(A133,DB_Customers!$A:$N,14,0),""))</f>
        <v/>
      </c>
      <c r="D133" s="488">
        <f>IF(A133="","",TODAY())</f>
        <v/>
      </c>
      <c r="E133" s="510" t="n"/>
      <c r="F133" s="378" t="n"/>
      <c r="G133" s="511">
        <f>IF(OR(A133="",E133=""),"",IF(C133="","",C133-E133))</f>
        <v/>
      </c>
      <c r="H133" s="380" t="inlineStr">
        <is>
          <t>Agent 09</t>
        </is>
      </c>
      <c r="I133" s="491" t="n"/>
      <c r="J133" s="492">
        <f>IF(AND(A133&lt;&gt;"",E133&lt;&gt;""),IF(I133="","⚠️ Enter Code",IF(IFERROR(VLOOKUP(H133,DB_Agents!$B:$I,8,0),"")=I133,IF(C133&gt;=E133,"Successful","Unsuccessful"),"🔒 BLOCKED — Wrong Code")),"—")</f>
        <v/>
      </c>
      <c r="K133" s="493">
        <f>IF(J133="Successful",TEXT(TODAY(),"YYYY-MM-DD")&amp;" Auto","—")</f>
        <v/>
      </c>
      <c r="L133" s="494" t="n"/>
    </row>
    <row r="134" ht="15" customHeight="1" s="341">
      <c r="A134" s="495" t="n"/>
      <c r="B134" s="382">
        <f>IF(A134="","",IFERROR(VLOOKUP(A134,DB_Customers!$A:$D,4,0),"❌ Account Not Found"))</f>
        <v/>
      </c>
      <c r="C134" s="496">
        <f>IF(A134="","",IFERROR(VLOOKUP(A134,DB_Customers!$A:$N,14,0),""))</f>
        <v/>
      </c>
      <c r="D134" s="497">
        <f>IF(A134="","",TODAY())</f>
        <v/>
      </c>
      <c r="E134" s="510" t="n"/>
      <c r="F134" s="382" t="n"/>
      <c r="G134" s="512">
        <f>IF(OR(A134="",E134=""),"",IF(C134="","",C134-E134))</f>
        <v/>
      </c>
      <c r="H134" s="384" t="inlineStr">
        <is>
          <t>Agent 09</t>
        </is>
      </c>
      <c r="I134" s="491" t="n"/>
      <c r="J134" s="499">
        <f>IF(AND(A134&lt;&gt;"",E134&lt;&gt;""),IF(I134="","⚠️ Enter Code",IF(IFERROR(VLOOKUP(H134,DB_Agents!$B:$I,8,0),"")=I134,IF(C134&gt;=E134,"Successful","Unsuccessful"),"🔒 BLOCKED — Wrong Code")),"—")</f>
        <v/>
      </c>
      <c r="K134" s="500">
        <f>IF(J134="Successful",TEXT(TODAY(),"YYYY-MM-DD")&amp;" Auto","—")</f>
        <v/>
      </c>
      <c r="L134" s="501" t="n"/>
    </row>
    <row r="135" ht="15" customHeight="1" s="341">
      <c r="A135" s="486" t="n"/>
      <c r="B135" s="378">
        <f>IF(A135="","",IFERROR(VLOOKUP(A135,DB_Customers!$A:$D,4,0),"❌ Account Not Found"))</f>
        <v/>
      </c>
      <c r="C135" s="487">
        <f>IF(A135="","",IFERROR(VLOOKUP(A135,DB_Customers!$A:$N,14,0),""))</f>
        <v/>
      </c>
      <c r="D135" s="488">
        <f>IF(A135="","",TODAY())</f>
        <v/>
      </c>
      <c r="E135" s="510" t="n"/>
      <c r="F135" s="378" t="n"/>
      <c r="G135" s="511">
        <f>IF(OR(A135="",E135=""),"",IF(C135="","",C135-E135))</f>
        <v/>
      </c>
      <c r="H135" s="380" t="inlineStr">
        <is>
          <t>Agent 09</t>
        </is>
      </c>
      <c r="I135" s="491" t="n"/>
      <c r="J135" s="492">
        <f>IF(AND(A135&lt;&gt;"",E135&lt;&gt;""),IF(I135="","⚠️ Enter Code",IF(IFERROR(VLOOKUP(H135,DB_Agents!$B:$I,8,0),"")=I135,IF(C135&gt;=E135,"Successful","Unsuccessful"),"🔒 BLOCKED — Wrong Code")),"—")</f>
        <v/>
      </c>
      <c r="K135" s="493">
        <f>IF(J135="Successful",TEXT(TODAY(),"YYYY-MM-DD")&amp;" Auto","—")</f>
        <v/>
      </c>
      <c r="L135" s="494" t="n"/>
    </row>
    <row r="136" ht="15" customHeight="1" s="341">
      <c r="A136" s="495" t="n"/>
      <c r="B136" s="382">
        <f>IF(A136="","",IFERROR(VLOOKUP(A136,DB_Customers!$A:$D,4,0),"❌ Account Not Found"))</f>
        <v/>
      </c>
      <c r="C136" s="496">
        <f>IF(A136="","",IFERROR(VLOOKUP(A136,DB_Customers!$A:$N,14,0),""))</f>
        <v/>
      </c>
      <c r="D136" s="497">
        <f>IF(A136="","",TODAY())</f>
        <v/>
      </c>
      <c r="E136" s="510" t="n"/>
      <c r="F136" s="382" t="n"/>
      <c r="G136" s="512">
        <f>IF(OR(A136="",E136=""),"",IF(C136="","",C136-E136))</f>
        <v/>
      </c>
      <c r="H136" s="384" t="inlineStr">
        <is>
          <t>Agent 09</t>
        </is>
      </c>
      <c r="I136" s="491" t="n"/>
      <c r="J136" s="499">
        <f>IF(AND(A136&lt;&gt;"",E136&lt;&gt;""),IF(I136="","⚠️ Enter Code",IF(IFERROR(VLOOKUP(H136,DB_Agents!$B:$I,8,0),"")=I136,IF(C136&gt;=E136,"Successful","Unsuccessful"),"🔒 BLOCKED — Wrong Code")),"—")</f>
        <v/>
      </c>
      <c r="K136" s="500">
        <f>IF(J136="Successful",TEXT(TODAY(),"YYYY-MM-DD")&amp;" Auto","—")</f>
        <v/>
      </c>
      <c r="L136" s="501" t="n"/>
    </row>
    <row r="137" ht="15" customHeight="1" s="341">
      <c r="A137" s="486" t="n"/>
      <c r="B137" s="378">
        <f>IF(A137="","",IFERROR(VLOOKUP(A137,DB_Customers!$A:$D,4,0),"❌ Account Not Found"))</f>
        <v/>
      </c>
      <c r="C137" s="487">
        <f>IF(A137="","",IFERROR(VLOOKUP(A137,DB_Customers!$A:$N,14,0),""))</f>
        <v/>
      </c>
      <c r="D137" s="488">
        <f>IF(A137="","",TODAY())</f>
        <v/>
      </c>
      <c r="E137" s="510" t="n"/>
      <c r="F137" s="378" t="n"/>
      <c r="G137" s="511">
        <f>IF(OR(A137="",E137=""),"",IF(C137="","",C137-E137))</f>
        <v/>
      </c>
      <c r="H137" s="380" t="inlineStr">
        <is>
          <t>Agent 09</t>
        </is>
      </c>
      <c r="I137" s="491" t="n"/>
      <c r="J137" s="492">
        <f>IF(AND(A137&lt;&gt;"",E137&lt;&gt;""),IF(I137="","⚠️ Enter Code",IF(IFERROR(VLOOKUP(H137,DB_Agents!$B:$I,8,0),"")=I137,IF(C137&gt;=E137,"Successful","Unsuccessful"),"🔒 BLOCKED — Wrong Code")),"—")</f>
        <v/>
      </c>
      <c r="K137" s="493">
        <f>IF(J137="Successful",TEXT(TODAY(),"YYYY-MM-DD")&amp;" Auto","—")</f>
        <v/>
      </c>
      <c r="L137" s="494" t="n"/>
    </row>
    <row r="138" ht="15" customHeight="1" s="341">
      <c r="A138" s="495" t="n"/>
      <c r="B138" s="382">
        <f>IF(A138="","",IFERROR(VLOOKUP(A138,DB_Customers!$A:$D,4,0),"❌ Account Not Found"))</f>
        <v/>
      </c>
      <c r="C138" s="496">
        <f>IF(A138="","",IFERROR(VLOOKUP(A138,DB_Customers!$A:$N,14,0),""))</f>
        <v/>
      </c>
      <c r="D138" s="497">
        <f>IF(A138="","",TODAY())</f>
        <v/>
      </c>
      <c r="E138" s="510" t="n"/>
      <c r="F138" s="382" t="n"/>
      <c r="G138" s="512">
        <f>IF(OR(A138="",E138=""),"",IF(C138="","",C138-E138))</f>
        <v/>
      </c>
      <c r="H138" s="384" t="inlineStr">
        <is>
          <t>Agent 09</t>
        </is>
      </c>
      <c r="I138" s="491" t="n"/>
      <c r="J138" s="499">
        <f>IF(AND(A138&lt;&gt;"",E138&lt;&gt;""),IF(I138="","⚠️ Enter Code",IF(IFERROR(VLOOKUP(H138,DB_Agents!$B:$I,8,0),"")=I138,IF(C138&gt;=E138,"Successful","Unsuccessful"),"🔒 BLOCKED — Wrong Code")),"—")</f>
        <v/>
      </c>
      <c r="K138" s="500">
        <f>IF(J138="Successful",TEXT(TODAY(),"YYYY-MM-DD")&amp;" Auto","—")</f>
        <v/>
      </c>
      <c r="L138" s="501" t="n"/>
    </row>
    <row r="139" ht="15" customHeight="1" s="341">
      <c r="A139" s="486" t="n"/>
      <c r="B139" s="378">
        <f>IF(A139="","",IFERROR(VLOOKUP(A139,DB_Customers!$A:$D,4,0),"❌ Account Not Found"))</f>
        <v/>
      </c>
      <c r="C139" s="487">
        <f>IF(A139="","",IFERROR(VLOOKUP(A139,DB_Customers!$A:$N,14,0),""))</f>
        <v/>
      </c>
      <c r="D139" s="488">
        <f>IF(A139="","",TODAY())</f>
        <v/>
      </c>
      <c r="E139" s="510" t="n"/>
      <c r="F139" s="378" t="n"/>
      <c r="G139" s="511">
        <f>IF(OR(A139="",E139=""),"",IF(C139="","",C139-E139))</f>
        <v/>
      </c>
      <c r="H139" s="380" t="inlineStr">
        <is>
          <t>Agent 09</t>
        </is>
      </c>
      <c r="I139" s="491" t="n"/>
      <c r="J139" s="492">
        <f>IF(AND(A139&lt;&gt;"",E139&lt;&gt;""),IF(I139="","⚠️ Enter Code",IF(IFERROR(VLOOKUP(H139,DB_Agents!$B:$I,8,0),"")=I139,IF(C139&gt;=E139,"Successful","Unsuccessful"),"🔒 BLOCKED — Wrong Code")),"—")</f>
        <v/>
      </c>
      <c r="K139" s="493">
        <f>IF(J139="Successful",TEXT(TODAY(),"YYYY-MM-DD")&amp;" Auto","—")</f>
        <v/>
      </c>
      <c r="L139" s="494" t="n"/>
    </row>
    <row r="140" ht="15" customHeight="1" s="341">
      <c r="A140" s="495" t="n"/>
      <c r="B140" s="382">
        <f>IF(A140="","",IFERROR(VLOOKUP(A140,DB_Customers!$A:$D,4,0),"❌ Account Not Found"))</f>
        <v/>
      </c>
      <c r="C140" s="496">
        <f>IF(A140="","",IFERROR(VLOOKUP(A140,DB_Customers!$A:$N,14,0),""))</f>
        <v/>
      </c>
      <c r="D140" s="497">
        <f>IF(A140="","",TODAY())</f>
        <v/>
      </c>
      <c r="E140" s="510" t="n"/>
      <c r="F140" s="382" t="n"/>
      <c r="G140" s="512">
        <f>IF(OR(A140="",E140=""),"",IF(C140="","",C140-E140))</f>
        <v/>
      </c>
      <c r="H140" s="384" t="inlineStr">
        <is>
          <t>Agent 09</t>
        </is>
      </c>
      <c r="I140" s="491" t="n"/>
      <c r="J140" s="499">
        <f>IF(AND(A140&lt;&gt;"",E140&lt;&gt;""),IF(I140="","⚠️ Enter Code",IF(IFERROR(VLOOKUP(H140,DB_Agents!$B:$I,8,0),"")=I140,IF(C140&gt;=E140,"Successful","Unsuccessful"),"🔒 BLOCKED — Wrong Code")),"—")</f>
        <v/>
      </c>
      <c r="K140" s="500">
        <f>IF(J140="Successful",TEXT(TODAY(),"YYYY-MM-DD")&amp;" Auto","—")</f>
        <v/>
      </c>
      <c r="L140" s="501" t="n"/>
    </row>
    <row r="141" ht="15" customHeight="1" s="341">
      <c r="A141" s="486" t="n"/>
      <c r="B141" s="378">
        <f>IF(A141="","",IFERROR(VLOOKUP(A141,DB_Customers!$A:$D,4,0),"❌ Account Not Found"))</f>
        <v/>
      </c>
      <c r="C141" s="487">
        <f>IF(A141="","",IFERROR(VLOOKUP(A141,DB_Customers!$A:$N,14,0),""))</f>
        <v/>
      </c>
      <c r="D141" s="488">
        <f>IF(A141="","",TODAY())</f>
        <v/>
      </c>
      <c r="E141" s="510" t="n"/>
      <c r="F141" s="378" t="n"/>
      <c r="G141" s="511">
        <f>IF(OR(A141="",E141=""),"",IF(C141="","",C141-E141))</f>
        <v/>
      </c>
      <c r="H141" s="380" t="inlineStr">
        <is>
          <t>Agent 09</t>
        </is>
      </c>
      <c r="I141" s="491" t="n"/>
      <c r="J141" s="492">
        <f>IF(AND(A141&lt;&gt;"",E141&lt;&gt;""),IF(I141="","⚠️ Enter Code",IF(IFERROR(VLOOKUP(H141,DB_Agents!$B:$I,8,0),"")=I141,IF(C141&gt;=E141,"Successful","Unsuccessful"),"🔒 BLOCKED — Wrong Code")),"—")</f>
        <v/>
      </c>
      <c r="K141" s="493">
        <f>IF(J141="Successful",TEXT(TODAY(),"YYYY-MM-DD")&amp;" Auto","—")</f>
        <v/>
      </c>
      <c r="L141" s="494" t="n"/>
    </row>
    <row r="142" ht="15" customHeight="1" s="341">
      <c r="A142" s="495" t="n"/>
      <c r="B142" s="382">
        <f>IF(A142="","",IFERROR(VLOOKUP(A142,DB_Customers!$A:$D,4,0),"❌ Account Not Found"))</f>
        <v/>
      </c>
      <c r="C142" s="496">
        <f>IF(A142="","",IFERROR(VLOOKUP(A142,DB_Customers!$A:$N,14,0),""))</f>
        <v/>
      </c>
      <c r="D142" s="497">
        <f>IF(A142="","",TODAY())</f>
        <v/>
      </c>
      <c r="E142" s="510" t="n"/>
      <c r="F142" s="382" t="n"/>
      <c r="G142" s="512">
        <f>IF(OR(A142="",E142=""),"",IF(C142="","",C142-E142))</f>
        <v/>
      </c>
      <c r="H142" s="384" t="inlineStr">
        <is>
          <t>Agent 09</t>
        </is>
      </c>
      <c r="I142" s="491" t="n"/>
      <c r="J142" s="499">
        <f>IF(AND(A142&lt;&gt;"",E142&lt;&gt;""),IF(I142="","⚠️ Enter Code",IF(IFERROR(VLOOKUP(H142,DB_Agents!$B:$I,8,0),"")=I142,IF(C142&gt;=E142,"Successful","Unsuccessful"),"🔒 BLOCKED — Wrong Code")),"—")</f>
        <v/>
      </c>
      <c r="K142" s="500">
        <f>IF(J142="Successful",TEXT(TODAY(),"YYYY-MM-DD")&amp;" Auto","—")</f>
        <v/>
      </c>
      <c r="L142" s="501" t="n"/>
    </row>
    <row r="143" ht="15" customHeight="1" s="341">
      <c r="A143" s="486" t="n"/>
      <c r="B143" s="378">
        <f>IF(A143="","",IFERROR(VLOOKUP(A143,DB_Customers!$A:$D,4,0),"❌ Account Not Found"))</f>
        <v/>
      </c>
      <c r="C143" s="487">
        <f>IF(A143="","",IFERROR(VLOOKUP(A143,DB_Customers!$A:$N,14,0),""))</f>
        <v/>
      </c>
      <c r="D143" s="488">
        <f>IF(A143="","",TODAY())</f>
        <v/>
      </c>
      <c r="E143" s="510" t="n"/>
      <c r="F143" s="378" t="n"/>
      <c r="G143" s="511">
        <f>IF(OR(A143="",E143=""),"",IF(C143="","",C143-E143))</f>
        <v/>
      </c>
      <c r="H143" s="380" t="inlineStr">
        <is>
          <t>Agent 09</t>
        </is>
      </c>
      <c r="I143" s="491" t="n"/>
      <c r="J143" s="492">
        <f>IF(AND(A143&lt;&gt;"",E143&lt;&gt;""),IF(I143="","⚠️ Enter Code",IF(IFERROR(VLOOKUP(H143,DB_Agents!$B:$I,8,0),"")=I143,IF(C143&gt;=E143,"Successful","Unsuccessful"),"🔒 BLOCKED — Wrong Code")),"—")</f>
        <v/>
      </c>
      <c r="K143" s="493">
        <f>IF(J143="Successful",TEXT(TODAY(),"YYYY-MM-DD")&amp;" Auto","—")</f>
        <v/>
      </c>
      <c r="L143" s="494" t="n"/>
    </row>
    <row r="144" ht="15" customHeight="1" s="341">
      <c r="A144" s="495" t="n"/>
      <c r="B144" s="382">
        <f>IF(A144="","",IFERROR(VLOOKUP(A144,DB_Customers!$A:$D,4,0),"❌ Account Not Found"))</f>
        <v/>
      </c>
      <c r="C144" s="496">
        <f>IF(A144="","",IFERROR(VLOOKUP(A144,DB_Customers!$A:$N,14,0),""))</f>
        <v/>
      </c>
      <c r="D144" s="497">
        <f>IF(A144="","",TODAY())</f>
        <v/>
      </c>
      <c r="E144" s="510" t="n"/>
      <c r="F144" s="382" t="n"/>
      <c r="G144" s="512">
        <f>IF(OR(A144="",E144=""),"",IF(C144="","",C144-E144))</f>
        <v/>
      </c>
      <c r="H144" s="384" t="inlineStr">
        <is>
          <t>Agent 09</t>
        </is>
      </c>
      <c r="I144" s="491" t="n"/>
      <c r="J144" s="499">
        <f>IF(AND(A144&lt;&gt;"",E144&lt;&gt;""),IF(I144="","⚠️ Enter Code",IF(IFERROR(VLOOKUP(H144,DB_Agents!$B:$I,8,0),"")=I144,IF(C144&gt;=E144,"Successful","Unsuccessful"),"🔒 BLOCKED — Wrong Code")),"—")</f>
        <v/>
      </c>
      <c r="K144" s="500">
        <f>IF(J144="Successful",TEXT(TODAY(),"YYYY-MM-DD")&amp;" Auto","—")</f>
        <v/>
      </c>
      <c r="L144" s="501" t="n"/>
    </row>
    <row r="145" ht="15" customHeight="1" s="341">
      <c r="A145" s="486" t="n"/>
      <c r="B145" s="378">
        <f>IF(A145="","",IFERROR(VLOOKUP(A145,DB_Customers!$A:$D,4,0),"❌ Account Not Found"))</f>
        <v/>
      </c>
      <c r="C145" s="487">
        <f>IF(A145="","",IFERROR(VLOOKUP(A145,DB_Customers!$A:$N,14,0),""))</f>
        <v/>
      </c>
      <c r="D145" s="488">
        <f>IF(A145="","",TODAY())</f>
        <v/>
      </c>
      <c r="E145" s="510" t="n"/>
      <c r="F145" s="378" t="n"/>
      <c r="G145" s="511">
        <f>IF(OR(A145="",E145=""),"",IF(C145="","",C145-E145))</f>
        <v/>
      </c>
      <c r="H145" s="380" t="inlineStr">
        <is>
          <t>Agent 09</t>
        </is>
      </c>
      <c r="I145" s="491" t="n"/>
      <c r="J145" s="492">
        <f>IF(AND(A145&lt;&gt;"",E145&lt;&gt;""),IF(I145="","⚠️ Enter Code",IF(IFERROR(VLOOKUP(H145,DB_Agents!$B:$I,8,0),"")=I145,IF(C145&gt;=E145,"Successful","Unsuccessful"),"🔒 BLOCKED — Wrong Code")),"—")</f>
        <v/>
      </c>
      <c r="K145" s="493">
        <f>IF(J145="Successful",TEXT(TODAY(),"YYYY-MM-DD")&amp;" Auto","—")</f>
        <v/>
      </c>
      <c r="L145" s="494" t="n"/>
    </row>
    <row r="146" ht="15" customHeight="1" s="341">
      <c r="A146" s="495" t="n"/>
      <c r="B146" s="382">
        <f>IF(A146="","",IFERROR(VLOOKUP(A146,DB_Customers!$A:$D,4,0),"❌ Account Not Found"))</f>
        <v/>
      </c>
      <c r="C146" s="496">
        <f>IF(A146="","",IFERROR(VLOOKUP(A146,DB_Customers!$A:$N,14,0),""))</f>
        <v/>
      </c>
      <c r="D146" s="497">
        <f>IF(A146="","",TODAY())</f>
        <v/>
      </c>
      <c r="E146" s="510" t="n"/>
      <c r="F146" s="382" t="n"/>
      <c r="G146" s="512">
        <f>IF(OR(A146="",E146=""),"",IF(C146="","",C146-E146))</f>
        <v/>
      </c>
      <c r="H146" s="384" t="inlineStr">
        <is>
          <t>Agent 09</t>
        </is>
      </c>
      <c r="I146" s="491" t="n"/>
      <c r="J146" s="499">
        <f>IF(AND(A146&lt;&gt;"",E146&lt;&gt;""),IF(I146="","⚠️ Enter Code",IF(IFERROR(VLOOKUP(H146,DB_Agents!$B:$I,8,0),"")=I146,IF(C146&gt;=E146,"Successful","Unsuccessful"),"🔒 BLOCKED — Wrong Code")),"—")</f>
        <v/>
      </c>
      <c r="K146" s="500">
        <f>IF(J146="Successful",TEXT(TODAY(),"YYYY-MM-DD")&amp;" Auto","—")</f>
        <v/>
      </c>
      <c r="L146" s="501" t="n"/>
    </row>
    <row r="147" ht="15" customHeight="1" s="341">
      <c r="A147" s="486" t="n"/>
      <c r="B147" s="378">
        <f>IF(A147="","",IFERROR(VLOOKUP(A147,DB_Customers!$A:$D,4,0),"❌ Account Not Found"))</f>
        <v/>
      </c>
      <c r="C147" s="487">
        <f>IF(A147="","",IFERROR(VLOOKUP(A147,DB_Customers!$A:$N,14,0),""))</f>
        <v/>
      </c>
      <c r="D147" s="488">
        <f>IF(A147="","",TODAY())</f>
        <v/>
      </c>
      <c r="E147" s="510" t="n"/>
      <c r="F147" s="378" t="n"/>
      <c r="G147" s="511">
        <f>IF(OR(A147="",E147=""),"",IF(C147="","",C147-E147))</f>
        <v/>
      </c>
      <c r="H147" s="380" t="inlineStr">
        <is>
          <t>Agent 09</t>
        </is>
      </c>
      <c r="I147" s="491" t="n"/>
      <c r="J147" s="492">
        <f>IF(AND(A147&lt;&gt;"",E147&lt;&gt;""),IF(I147="","⚠️ Enter Code",IF(IFERROR(VLOOKUP(H147,DB_Agents!$B:$I,8,0),"")=I147,IF(C147&gt;=E147,"Successful","Unsuccessful"),"🔒 BLOCKED — Wrong Code")),"—")</f>
        <v/>
      </c>
      <c r="K147" s="493">
        <f>IF(J147="Successful",TEXT(TODAY(),"YYYY-MM-DD")&amp;" Auto","—")</f>
        <v/>
      </c>
      <c r="L147" s="494" t="n"/>
    </row>
    <row r="148" ht="15" customHeight="1" s="341">
      <c r="A148" s="495" t="n"/>
      <c r="B148" s="382">
        <f>IF(A148="","",IFERROR(VLOOKUP(A148,DB_Customers!$A:$D,4,0),"❌ Account Not Found"))</f>
        <v/>
      </c>
      <c r="C148" s="496">
        <f>IF(A148="","",IFERROR(VLOOKUP(A148,DB_Customers!$A:$N,14,0),""))</f>
        <v/>
      </c>
      <c r="D148" s="497">
        <f>IF(A148="","",TODAY())</f>
        <v/>
      </c>
      <c r="E148" s="510" t="n"/>
      <c r="F148" s="382" t="n"/>
      <c r="G148" s="512">
        <f>IF(OR(A148="",E148=""),"",IF(C148="","",C148-E148))</f>
        <v/>
      </c>
      <c r="H148" s="384" t="inlineStr">
        <is>
          <t>Agent 09</t>
        </is>
      </c>
      <c r="I148" s="491" t="n"/>
      <c r="J148" s="499">
        <f>IF(AND(A148&lt;&gt;"",E148&lt;&gt;""),IF(I148="","⚠️ Enter Code",IF(IFERROR(VLOOKUP(H148,DB_Agents!$B:$I,8,0),"")=I148,IF(C148&gt;=E148,"Successful","Unsuccessful"),"🔒 BLOCKED — Wrong Code")),"—")</f>
        <v/>
      </c>
      <c r="K148" s="500">
        <f>IF(J148="Successful",TEXT(TODAY(),"YYYY-MM-DD")&amp;" Auto","—")</f>
        <v/>
      </c>
      <c r="L148" s="501" t="n"/>
    </row>
    <row r="149" ht="15" customHeight="1" s="341">
      <c r="A149" s="486" t="n"/>
      <c r="B149" s="378">
        <f>IF(A149="","",IFERROR(VLOOKUP(A149,DB_Customers!$A:$D,4,0),"❌ Account Not Found"))</f>
        <v/>
      </c>
      <c r="C149" s="487">
        <f>IF(A149="","",IFERROR(VLOOKUP(A149,DB_Customers!$A:$N,14,0),""))</f>
        <v/>
      </c>
      <c r="D149" s="488">
        <f>IF(A149="","",TODAY())</f>
        <v/>
      </c>
      <c r="E149" s="510" t="n"/>
      <c r="F149" s="378" t="n"/>
      <c r="G149" s="511">
        <f>IF(OR(A149="",E149=""),"",IF(C149="","",C149-E149))</f>
        <v/>
      </c>
      <c r="H149" s="380" t="inlineStr">
        <is>
          <t>Agent 09</t>
        </is>
      </c>
      <c r="I149" s="491" t="n"/>
      <c r="J149" s="492">
        <f>IF(AND(A149&lt;&gt;"",E149&lt;&gt;""),IF(I149="","⚠️ Enter Code",IF(IFERROR(VLOOKUP(H149,DB_Agents!$B:$I,8,0),"")=I149,IF(C149&gt;=E149,"Successful","Unsuccessful"),"🔒 BLOCKED — Wrong Code")),"—")</f>
        <v/>
      </c>
      <c r="K149" s="493">
        <f>IF(J149="Successful",TEXT(TODAY(),"YYYY-MM-DD")&amp;" Auto","—")</f>
        <v/>
      </c>
      <c r="L149" s="494" t="n"/>
    </row>
    <row r="150" ht="15" customHeight="1" s="341">
      <c r="A150" s="495" t="n"/>
      <c r="B150" s="382">
        <f>IF(A150="","",IFERROR(VLOOKUP(A150,DB_Customers!$A:$D,4,0),"❌ Account Not Found"))</f>
        <v/>
      </c>
      <c r="C150" s="496">
        <f>IF(A150="","",IFERROR(VLOOKUP(A150,DB_Customers!$A:$N,14,0),""))</f>
        <v/>
      </c>
      <c r="D150" s="497">
        <f>IF(A150="","",TODAY())</f>
        <v/>
      </c>
      <c r="E150" s="510" t="n"/>
      <c r="F150" s="382" t="n"/>
      <c r="G150" s="512">
        <f>IF(OR(A150="",E150=""),"",IF(C150="","",C150-E150))</f>
        <v/>
      </c>
      <c r="H150" s="384" t="inlineStr">
        <is>
          <t>Agent 09</t>
        </is>
      </c>
      <c r="I150" s="491" t="n"/>
      <c r="J150" s="499">
        <f>IF(AND(A150&lt;&gt;"",E150&lt;&gt;""),IF(I150="","⚠️ Enter Code",IF(IFERROR(VLOOKUP(H150,DB_Agents!$B:$I,8,0),"")=I150,IF(C150&gt;=E150,"Successful","Unsuccessful"),"🔒 BLOCKED — Wrong Code")),"—")</f>
        <v/>
      </c>
      <c r="K150" s="500">
        <f>IF(J150="Successful",TEXT(TODAY(),"YYYY-MM-DD")&amp;" Auto","—")</f>
        <v/>
      </c>
      <c r="L150" s="501" t="n"/>
    </row>
    <row r="151" ht="15" customHeight="1" s="341">
      <c r="A151" s="486" t="n"/>
      <c r="B151" s="378">
        <f>IF(A151="","",IFERROR(VLOOKUP(A151,DB_Customers!$A:$D,4,0),"❌ Account Not Found"))</f>
        <v/>
      </c>
      <c r="C151" s="487">
        <f>IF(A151="","",IFERROR(VLOOKUP(A151,DB_Customers!$A:$N,14,0),""))</f>
        <v/>
      </c>
      <c r="D151" s="488">
        <f>IF(A151="","",TODAY())</f>
        <v/>
      </c>
      <c r="E151" s="510" t="n"/>
      <c r="F151" s="378" t="n"/>
      <c r="G151" s="511">
        <f>IF(OR(A151="",E151=""),"",IF(C151="","",C151-E151))</f>
        <v/>
      </c>
      <c r="H151" s="380" t="inlineStr">
        <is>
          <t>Agent 09</t>
        </is>
      </c>
      <c r="I151" s="491" t="n"/>
      <c r="J151" s="492">
        <f>IF(AND(A151&lt;&gt;"",E151&lt;&gt;""),IF(I151="","⚠️ Enter Code",IF(IFERROR(VLOOKUP(H151,DB_Agents!$B:$I,8,0),"")=I151,IF(C151&gt;=E151,"Successful","Unsuccessful"),"🔒 BLOCKED — Wrong Code")),"—")</f>
        <v/>
      </c>
      <c r="K151" s="493">
        <f>IF(J151="Successful",TEXT(TODAY(),"YYYY-MM-DD")&amp;" Auto","—")</f>
        <v/>
      </c>
      <c r="L151" s="494" t="n"/>
    </row>
    <row r="152" ht="15" customHeight="1" s="341">
      <c r="A152" s="495" t="n"/>
      <c r="B152" s="382">
        <f>IF(A152="","",IFERROR(VLOOKUP(A152,DB_Customers!$A:$D,4,0),"❌ Account Not Found"))</f>
        <v/>
      </c>
      <c r="C152" s="496">
        <f>IF(A152="","",IFERROR(VLOOKUP(A152,DB_Customers!$A:$N,14,0),""))</f>
        <v/>
      </c>
      <c r="D152" s="497">
        <f>IF(A152="","",TODAY())</f>
        <v/>
      </c>
      <c r="E152" s="510" t="n"/>
      <c r="F152" s="382" t="n"/>
      <c r="G152" s="512">
        <f>IF(OR(A152="",E152=""),"",IF(C152="","",C152-E152))</f>
        <v/>
      </c>
      <c r="H152" s="384" t="inlineStr">
        <is>
          <t>Agent 09</t>
        </is>
      </c>
      <c r="I152" s="491" t="n"/>
      <c r="J152" s="499">
        <f>IF(AND(A152&lt;&gt;"",E152&lt;&gt;""),IF(I152="","⚠️ Enter Code",IF(IFERROR(VLOOKUP(H152,DB_Agents!$B:$I,8,0),"")=I152,IF(C152&gt;=E152,"Successful","Unsuccessful"),"🔒 BLOCKED — Wrong Code")),"—")</f>
        <v/>
      </c>
      <c r="K152" s="500">
        <f>IF(J152="Successful",TEXT(TODAY(),"YYYY-MM-DD")&amp;" Auto","—")</f>
        <v/>
      </c>
      <c r="L152" s="501" t="n"/>
    </row>
    <row r="153" ht="15" customHeight="1" s="341">
      <c r="A153" s="486" t="n"/>
      <c r="B153" s="378">
        <f>IF(A153="","",IFERROR(VLOOKUP(A153,DB_Customers!$A:$D,4,0),"❌ Account Not Found"))</f>
        <v/>
      </c>
      <c r="C153" s="487">
        <f>IF(A153="","",IFERROR(VLOOKUP(A153,DB_Customers!$A:$N,14,0),""))</f>
        <v/>
      </c>
      <c r="D153" s="488">
        <f>IF(A153="","",TODAY())</f>
        <v/>
      </c>
      <c r="E153" s="510" t="n"/>
      <c r="F153" s="378" t="n"/>
      <c r="G153" s="511">
        <f>IF(OR(A153="",E153=""),"",IF(C153="","",C153-E153))</f>
        <v/>
      </c>
      <c r="H153" s="380" t="inlineStr">
        <is>
          <t>Agent 09</t>
        </is>
      </c>
      <c r="I153" s="491" t="n"/>
      <c r="J153" s="492">
        <f>IF(AND(A153&lt;&gt;"",E153&lt;&gt;""),IF(I153="","⚠️ Enter Code",IF(IFERROR(VLOOKUP(H153,DB_Agents!$B:$I,8,0),"")=I153,IF(C153&gt;=E153,"Successful","Unsuccessful"),"🔒 BLOCKED — Wrong Code")),"—")</f>
        <v/>
      </c>
      <c r="K153" s="493">
        <f>IF(J153="Successful",TEXT(TODAY(),"YYYY-MM-DD")&amp;" Auto","—")</f>
        <v/>
      </c>
      <c r="L153" s="494" t="n"/>
    </row>
    <row r="154" ht="15" customHeight="1" s="341">
      <c r="A154" s="495" t="n"/>
      <c r="B154" s="382">
        <f>IF(A154="","",IFERROR(VLOOKUP(A154,DB_Customers!$A:$D,4,0),"❌ Account Not Found"))</f>
        <v/>
      </c>
      <c r="C154" s="496">
        <f>IF(A154="","",IFERROR(VLOOKUP(A154,DB_Customers!$A:$N,14,0),""))</f>
        <v/>
      </c>
      <c r="D154" s="497">
        <f>IF(A154="","",TODAY())</f>
        <v/>
      </c>
      <c r="E154" s="510" t="n"/>
      <c r="F154" s="382" t="n"/>
      <c r="G154" s="512">
        <f>IF(OR(A154="",E154=""),"",IF(C154="","",C154-E154))</f>
        <v/>
      </c>
      <c r="H154" s="384" t="inlineStr">
        <is>
          <t>Agent 09</t>
        </is>
      </c>
      <c r="I154" s="491" t="n"/>
      <c r="J154" s="499">
        <f>IF(AND(A154&lt;&gt;"",E154&lt;&gt;""),IF(I154="","⚠️ Enter Code",IF(IFERROR(VLOOKUP(H154,DB_Agents!$B:$I,8,0),"")=I154,IF(C154&gt;=E154,"Successful","Unsuccessful"),"🔒 BLOCKED — Wrong Code")),"—")</f>
        <v/>
      </c>
      <c r="K154" s="500">
        <f>IF(J154="Successful",TEXT(TODAY(),"YYYY-MM-DD")&amp;" Auto","—")</f>
        <v/>
      </c>
      <c r="L154" s="501" t="n"/>
    </row>
    <row r="155" ht="15" customHeight="1" s="341">
      <c r="A155" s="486" t="n"/>
      <c r="B155" s="378">
        <f>IF(A155="","",IFERROR(VLOOKUP(A155,DB_Customers!$A:$D,4,0),"❌ Account Not Found"))</f>
        <v/>
      </c>
      <c r="C155" s="487">
        <f>IF(A155="","",IFERROR(VLOOKUP(A155,DB_Customers!$A:$N,14,0),""))</f>
        <v/>
      </c>
      <c r="D155" s="488">
        <f>IF(A155="","",TODAY())</f>
        <v/>
      </c>
      <c r="E155" s="510" t="n"/>
      <c r="F155" s="378" t="n"/>
      <c r="G155" s="511">
        <f>IF(OR(A155="",E155=""),"",IF(C155="","",C155-E155))</f>
        <v/>
      </c>
      <c r="H155" s="380" t="inlineStr">
        <is>
          <t>Agent 09</t>
        </is>
      </c>
      <c r="I155" s="491" t="n"/>
      <c r="J155" s="492">
        <f>IF(AND(A155&lt;&gt;"",E155&lt;&gt;""),IF(I155="","⚠️ Enter Code",IF(IFERROR(VLOOKUP(H155,DB_Agents!$B:$I,8,0),"")=I155,IF(C155&gt;=E155,"Successful","Unsuccessful"),"🔒 BLOCKED — Wrong Code")),"—")</f>
        <v/>
      </c>
      <c r="K155" s="493">
        <f>IF(J155="Successful",TEXT(TODAY(),"YYYY-MM-DD")&amp;" Auto","—")</f>
        <v/>
      </c>
      <c r="L155" s="494" t="n"/>
    </row>
    <row r="156" ht="15" customHeight="1" s="341">
      <c r="A156" s="495" t="n"/>
      <c r="B156" s="382">
        <f>IF(A156="","",IFERROR(VLOOKUP(A156,DB_Customers!$A:$D,4,0),"❌ Account Not Found"))</f>
        <v/>
      </c>
      <c r="C156" s="496">
        <f>IF(A156="","",IFERROR(VLOOKUP(A156,DB_Customers!$A:$N,14,0),""))</f>
        <v/>
      </c>
      <c r="D156" s="497">
        <f>IF(A156="","",TODAY())</f>
        <v/>
      </c>
      <c r="E156" s="510" t="n"/>
      <c r="F156" s="382" t="n"/>
      <c r="G156" s="512">
        <f>IF(OR(A156="",E156=""),"",IF(C156="","",C156-E156))</f>
        <v/>
      </c>
      <c r="H156" s="384" t="inlineStr">
        <is>
          <t>Agent 09</t>
        </is>
      </c>
      <c r="I156" s="491" t="n"/>
      <c r="J156" s="499">
        <f>IF(AND(A156&lt;&gt;"",E156&lt;&gt;""),IF(I156="","⚠️ Enter Code",IF(IFERROR(VLOOKUP(H156,DB_Agents!$B:$I,8,0),"")=I156,IF(C156&gt;=E156,"Successful","Unsuccessful"),"🔒 BLOCKED — Wrong Code")),"—")</f>
        <v/>
      </c>
      <c r="K156" s="500">
        <f>IF(J156="Successful",TEXT(TODAY(),"YYYY-MM-DD")&amp;" Auto","—")</f>
        <v/>
      </c>
      <c r="L156" s="501" t="n"/>
    </row>
    <row r="157" ht="15" customHeight="1" s="341">
      <c r="A157" s="486" t="n"/>
      <c r="B157" s="378">
        <f>IF(A157="","",IFERROR(VLOOKUP(A157,DB_Customers!$A:$D,4,0),"❌ Account Not Found"))</f>
        <v/>
      </c>
      <c r="C157" s="487">
        <f>IF(A157="","",IFERROR(VLOOKUP(A157,DB_Customers!$A:$N,14,0),""))</f>
        <v/>
      </c>
      <c r="D157" s="488">
        <f>IF(A157="","",TODAY())</f>
        <v/>
      </c>
      <c r="E157" s="510" t="n"/>
      <c r="F157" s="378" t="n"/>
      <c r="G157" s="511">
        <f>IF(OR(A157="",E157=""),"",IF(C157="","",C157-E157))</f>
        <v/>
      </c>
      <c r="H157" s="380" t="inlineStr">
        <is>
          <t>Agent 09</t>
        </is>
      </c>
      <c r="I157" s="491" t="n"/>
      <c r="J157" s="492">
        <f>IF(AND(A157&lt;&gt;"",E157&lt;&gt;""),IF(I157="","⚠️ Enter Code",IF(IFERROR(VLOOKUP(H157,DB_Agents!$B:$I,8,0),"")=I157,IF(C157&gt;=E157,"Successful","Unsuccessful"),"🔒 BLOCKED — Wrong Code")),"—")</f>
        <v/>
      </c>
      <c r="K157" s="493">
        <f>IF(J157="Successful",TEXT(TODAY(),"YYYY-MM-DD")&amp;" Auto","—")</f>
        <v/>
      </c>
      <c r="L157" s="494" t="n"/>
    </row>
    <row r="158" ht="15" customHeight="1" s="341">
      <c r="A158" s="495" t="n"/>
      <c r="B158" s="382">
        <f>IF(A158="","",IFERROR(VLOOKUP(A158,DB_Customers!$A:$D,4,0),"❌ Account Not Found"))</f>
        <v/>
      </c>
      <c r="C158" s="496">
        <f>IF(A158="","",IFERROR(VLOOKUP(A158,DB_Customers!$A:$N,14,0),""))</f>
        <v/>
      </c>
      <c r="D158" s="497">
        <f>IF(A158="","",TODAY())</f>
        <v/>
      </c>
      <c r="E158" s="510" t="n"/>
      <c r="F158" s="382" t="n"/>
      <c r="G158" s="512">
        <f>IF(OR(A158="",E158=""),"",IF(C158="","",C158-E158))</f>
        <v/>
      </c>
      <c r="H158" s="384" t="inlineStr">
        <is>
          <t>Agent 09</t>
        </is>
      </c>
      <c r="I158" s="491" t="n"/>
      <c r="J158" s="499">
        <f>IF(AND(A158&lt;&gt;"",E158&lt;&gt;""),IF(I158="","⚠️ Enter Code",IF(IFERROR(VLOOKUP(H158,DB_Agents!$B:$I,8,0),"")=I158,IF(C158&gt;=E158,"Successful","Unsuccessful"),"🔒 BLOCKED — Wrong Code")),"—")</f>
        <v/>
      </c>
      <c r="K158" s="500">
        <f>IF(J158="Successful",TEXT(TODAY(),"YYYY-MM-DD")&amp;" Auto","—")</f>
        <v/>
      </c>
      <c r="L158" s="501" t="n"/>
    </row>
    <row r="159" ht="15" customHeight="1" s="341">
      <c r="A159" s="486" t="n"/>
      <c r="B159" s="378">
        <f>IF(A159="","",IFERROR(VLOOKUP(A159,DB_Customers!$A:$D,4,0),"❌ Account Not Found"))</f>
        <v/>
      </c>
      <c r="C159" s="487">
        <f>IF(A159="","",IFERROR(VLOOKUP(A159,DB_Customers!$A:$N,14,0),""))</f>
        <v/>
      </c>
      <c r="D159" s="488">
        <f>IF(A159="","",TODAY())</f>
        <v/>
      </c>
      <c r="E159" s="510" t="n"/>
      <c r="F159" s="378" t="n"/>
      <c r="G159" s="511">
        <f>IF(OR(A159="",E159=""),"",IF(C159="","",C159-E159))</f>
        <v/>
      </c>
      <c r="H159" s="380" t="inlineStr">
        <is>
          <t>Agent 09</t>
        </is>
      </c>
      <c r="I159" s="491" t="n"/>
      <c r="J159" s="492">
        <f>IF(AND(A159&lt;&gt;"",E159&lt;&gt;""),IF(I159="","⚠️ Enter Code",IF(IFERROR(VLOOKUP(H159,DB_Agents!$B:$I,8,0),"")=I159,IF(C159&gt;=E159,"Successful","Unsuccessful"),"🔒 BLOCKED — Wrong Code")),"—")</f>
        <v/>
      </c>
      <c r="K159" s="493">
        <f>IF(J159="Successful",TEXT(TODAY(),"YYYY-MM-DD")&amp;" Auto","—")</f>
        <v/>
      </c>
      <c r="L159" s="494" t="n"/>
    </row>
    <row r="160" ht="15" customHeight="1" s="341">
      <c r="A160" s="495" t="n"/>
      <c r="B160" s="382">
        <f>IF(A160="","",IFERROR(VLOOKUP(A160,DB_Customers!$A:$D,4,0),"❌ Account Not Found"))</f>
        <v/>
      </c>
      <c r="C160" s="496">
        <f>IF(A160="","",IFERROR(VLOOKUP(A160,DB_Customers!$A:$N,14,0),""))</f>
        <v/>
      </c>
      <c r="D160" s="497">
        <f>IF(A160="","",TODAY())</f>
        <v/>
      </c>
      <c r="E160" s="510" t="n"/>
      <c r="F160" s="382" t="n"/>
      <c r="G160" s="512">
        <f>IF(OR(A160="",E160=""),"",IF(C160="","",C160-E160))</f>
        <v/>
      </c>
      <c r="H160" s="384" t="inlineStr">
        <is>
          <t>Agent 09</t>
        </is>
      </c>
      <c r="I160" s="491" t="n"/>
      <c r="J160" s="499">
        <f>IF(AND(A160&lt;&gt;"",E160&lt;&gt;""),IF(I160="","⚠️ Enter Code",IF(IFERROR(VLOOKUP(H160,DB_Agents!$B:$I,8,0),"")=I160,IF(C160&gt;=E160,"Successful","Unsuccessful"),"🔒 BLOCKED — Wrong Code")),"—")</f>
        <v/>
      </c>
      <c r="K160" s="500">
        <f>IF(J160="Successful",TEXT(TODAY(),"YYYY-MM-DD")&amp;" Auto","—")</f>
        <v/>
      </c>
      <c r="L160" s="501" t="n"/>
    </row>
    <row r="161" ht="15" customHeight="1" s="341">
      <c r="A161" s="486" t="n"/>
      <c r="B161" s="378">
        <f>IF(A161="","",IFERROR(VLOOKUP(A161,DB_Customers!$A:$D,4,0),"❌ Account Not Found"))</f>
        <v/>
      </c>
      <c r="C161" s="487">
        <f>IF(A161="","",IFERROR(VLOOKUP(A161,DB_Customers!$A:$N,14,0),""))</f>
        <v/>
      </c>
      <c r="D161" s="488">
        <f>IF(A161="","",TODAY())</f>
        <v/>
      </c>
      <c r="E161" s="510" t="n"/>
      <c r="F161" s="378" t="n"/>
      <c r="G161" s="511">
        <f>IF(OR(A161="",E161=""),"",IF(C161="","",C161-E161))</f>
        <v/>
      </c>
      <c r="H161" s="380" t="inlineStr">
        <is>
          <t>Agent 09</t>
        </is>
      </c>
      <c r="I161" s="491" t="n"/>
      <c r="J161" s="492">
        <f>IF(AND(A161&lt;&gt;"",E161&lt;&gt;""),IF(I161="","⚠️ Enter Code",IF(IFERROR(VLOOKUP(H161,DB_Agents!$B:$I,8,0),"")=I161,IF(C161&gt;=E161,"Successful","Unsuccessful"),"🔒 BLOCKED — Wrong Code")),"—")</f>
        <v/>
      </c>
      <c r="K161" s="493">
        <f>IF(J161="Successful",TEXT(TODAY(),"YYYY-MM-DD")&amp;" Auto","—")</f>
        <v/>
      </c>
      <c r="L161" s="494" t="n"/>
    </row>
    <row r="162" ht="15" customHeight="1" s="341">
      <c r="A162" s="495" t="n"/>
      <c r="B162" s="382">
        <f>IF(A162="","",IFERROR(VLOOKUP(A162,DB_Customers!$A:$D,4,0),"❌ Account Not Found"))</f>
        <v/>
      </c>
      <c r="C162" s="496">
        <f>IF(A162="","",IFERROR(VLOOKUP(A162,DB_Customers!$A:$N,14,0),""))</f>
        <v/>
      </c>
      <c r="D162" s="497">
        <f>IF(A162="","",TODAY())</f>
        <v/>
      </c>
      <c r="E162" s="510" t="n"/>
      <c r="F162" s="382" t="n"/>
      <c r="G162" s="512">
        <f>IF(OR(A162="",E162=""),"",IF(C162="","",C162-E162))</f>
        <v/>
      </c>
      <c r="H162" s="384" t="inlineStr">
        <is>
          <t>Agent 09</t>
        </is>
      </c>
      <c r="I162" s="491" t="n"/>
      <c r="J162" s="499">
        <f>IF(AND(A162&lt;&gt;"",E162&lt;&gt;""),IF(I162="","⚠️ Enter Code",IF(IFERROR(VLOOKUP(H162,DB_Agents!$B:$I,8,0),"")=I162,IF(C162&gt;=E162,"Successful","Unsuccessful"),"🔒 BLOCKED — Wrong Code")),"—")</f>
        <v/>
      </c>
      <c r="K162" s="500">
        <f>IF(J162="Successful",TEXT(TODAY(),"YYYY-MM-DD")&amp;" Auto","—")</f>
        <v/>
      </c>
      <c r="L162" s="501" t="n"/>
    </row>
    <row r="163" ht="15" customHeight="1" s="341">
      <c r="A163" s="486" t="n"/>
      <c r="B163" s="378">
        <f>IF(A163="","",IFERROR(VLOOKUP(A163,DB_Customers!$A:$D,4,0),"❌ Account Not Found"))</f>
        <v/>
      </c>
      <c r="C163" s="487">
        <f>IF(A163="","",IFERROR(VLOOKUP(A163,DB_Customers!$A:$N,14,0),""))</f>
        <v/>
      </c>
      <c r="D163" s="488">
        <f>IF(A163="","",TODAY())</f>
        <v/>
      </c>
      <c r="E163" s="510" t="n"/>
      <c r="F163" s="378" t="n"/>
      <c r="G163" s="511">
        <f>IF(OR(A163="",E163=""),"",IF(C163="","",C163-E163))</f>
        <v/>
      </c>
      <c r="H163" s="380" t="inlineStr">
        <is>
          <t>Agent 09</t>
        </is>
      </c>
      <c r="I163" s="491" t="n"/>
      <c r="J163" s="492">
        <f>IF(AND(A163&lt;&gt;"",E163&lt;&gt;""),IF(I163="","⚠️ Enter Code",IF(IFERROR(VLOOKUP(H163,DB_Agents!$B:$I,8,0),"")=I163,IF(C163&gt;=E163,"Successful","Unsuccessful"),"🔒 BLOCKED — Wrong Code")),"—")</f>
        <v/>
      </c>
      <c r="K163" s="493">
        <f>IF(J163="Successful",TEXT(TODAY(),"YYYY-MM-DD")&amp;" Auto","—")</f>
        <v/>
      </c>
      <c r="L163" s="494" t="n"/>
    </row>
    <row r="164" ht="15" customHeight="1" s="341">
      <c r="A164" s="495" t="n"/>
      <c r="B164" s="382">
        <f>IF(A164="","",IFERROR(VLOOKUP(A164,DB_Customers!$A:$D,4,0),"❌ Account Not Found"))</f>
        <v/>
      </c>
      <c r="C164" s="496">
        <f>IF(A164="","",IFERROR(VLOOKUP(A164,DB_Customers!$A:$N,14,0),""))</f>
        <v/>
      </c>
      <c r="D164" s="497">
        <f>IF(A164="","",TODAY())</f>
        <v/>
      </c>
      <c r="E164" s="510" t="n"/>
      <c r="F164" s="382" t="n"/>
      <c r="G164" s="512">
        <f>IF(OR(A164="",E164=""),"",IF(C164="","",C164-E164))</f>
        <v/>
      </c>
      <c r="H164" s="384" t="inlineStr">
        <is>
          <t>Agent 09</t>
        </is>
      </c>
      <c r="I164" s="491" t="n"/>
      <c r="J164" s="499">
        <f>IF(AND(A164&lt;&gt;"",E164&lt;&gt;""),IF(I164="","⚠️ Enter Code",IF(IFERROR(VLOOKUP(H164,DB_Agents!$B:$I,8,0),"")=I164,IF(C164&gt;=E164,"Successful","Unsuccessful"),"🔒 BLOCKED — Wrong Code")),"—")</f>
        <v/>
      </c>
      <c r="K164" s="500">
        <f>IF(J164="Successful",TEXT(TODAY(),"YYYY-MM-DD")&amp;" Auto","—")</f>
        <v/>
      </c>
      <c r="L164" s="501" t="n"/>
    </row>
    <row r="165" ht="15" customHeight="1" s="341">
      <c r="A165" s="486" t="n"/>
      <c r="B165" s="378">
        <f>IF(A165="","",IFERROR(VLOOKUP(A165,DB_Customers!$A:$D,4,0),"❌ Account Not Found"))</f>
        <v/>
      </c>
      <c r="C165" s="487">
        <f>IF(A165="","",IFERROR(VLOOKUP(A165,DB_Customers!$A:$N,14,0),""))</f>
        <v/>
      </c>
      <c r="D165" s="488">
        <f>IF(A165="","",TODAY())</f>
        <v/>
      </c>
      <c r="E165" s="510" t="n"/>
      <c r="F165" s="378" t="n"/>
      <c r="G165" s="511">
        <f>IF(OR(A165="",E165=""),"",IF(C165="","",C165-E165))</f>
        <v/>
      </c>
      <c r="H165" s="380" t="inlineStr">
        <is>
          <t>Agent 09</t>
        </is>
      </c>
      <c r="I165" s="491" t="n"/>
      <c r="J165" s="492">
        <f>IF(AND(A165&lt;&gt;"",E165&lt;&gt;""),IF(I165="","⚠️ Enter Code",IF(IFERROR(VLOOKUP(H165,DB_Agents!$B:$I,8,0),"")=I165,IF(C165&gt;=E165,"Successful","Unsuccessful"),"🔒 BLOCKED — Wrong Code")),"—")</f>
        <v/>
      </c>
      <c r="K165" s="493">
        <f>IF(J165="Successful",TEXT(TODAY(),"YYYY-MM-DD")&amp;" Auto","—")</f>
        <v/>
      </c>
      <c r="L165" s="494" t="n"/>
    </row>
    <row r="166" ht="15" customHeight="1" s="341">
      <c r="A166" s="495" t="n"/>
      <c r="B166" s="382">
        <f>IF(A166="","",IFERROR(VLOOKUP(A166,DB_Customers!$A:$D,4,0),"❌ Account Not Found"))</f>
        <v/>
      </c>
      <c r="C166" s="496">
        <f>IF(A166="","",IFERROR(VLOOKUP(A166,DB_Customers!$A:$N,14,0),""))</f>
        <v/>
      </c>
      <c r="D166" s="497">
        <f>IF(A166="","",TODAY())</f>
        <v/>
      </c>
      <c r="E166" s="510" t="n"/>
      <c r="F166" s="382" t="n"/>
      <c r="G166" s="512">
        <f>IF(OR(A166="",E166=""),"",IF(C166="","",C166-E166))</f>
        <v/>
      </c>
      <c r="H166" s="384" t="inlineStr">
        <is>
          <t>Agent 09</t>
        </is>
      </c>
      <c r="I166" s="491" t="n"/>
      <c r="J166" s="499">
        <f>IF(AND(A166&lt;&gt;"",E166&lt;&gt;""),IF(I166="","⚠️ Enter Code",IF(IFERROR(VLOOKUP(H166,DB_Agents!$B:$I,8,0),"")=I166,IF(C166&gt;=E166,"Successful","Unsuccessful"),"🔒 BLOCKED — Wrong Code")),"—")</f>
        <v/>
      </c>
      <c r="K166" s="500">
        <f>IF(J166="Successful",TEXT(TODAY(),"YYYY-MM-DD")&amp;" Auto","—")</f>
        <v/>
      </c>
      <c r="L166" s="501" t="n"/>
    </row>
    <row r="167" ht="15" customHeight="1" s="341">
      <c r="A167" s="486" t="n"/>
      <c r="B167" s="378">
        <f>IF(A167="","",IFERROR(VLOOKUP(A167,DB_Customers!$A:$D,4,0),"❌ Account Not Found"))</f>
        <v/>
      </c>
      <c r="C167" s="487">
        <f>IF(A167="","",IFERROR(VLOOKUP(A167,DB_Customers!$A:$N,14,0),""))</f>
        <v/>
      </c>
      <c r="D167" s="488">
        <f>IF(A167="","",TODAY())</f>
        <v/>
      </c>
      <c r="E167" s="510" t="n"/>
      <c r="F167" s="378" t="n"/>
      <c r="G167" s="511">
        <f>IF(OR(A167="",E167=""),"",IF(C167="","",C167-E167))</f>
        <v/>
      </c>
      <c r="H167" s="380" t="inlineStr">
        <is>
          <t>Agent 09</t>
        </is>
      </c>
      <c r="I167" s="491" t="n"/>
      <c r="J167" s="492">
        <f>IF(AND(A167&lt;&gt;"",E167&lt;&gt;""),IF(I167="","⚠️ Enter Code",IF(IFERROR(VLOOKUP(H167,DB_Agents!$B:$I,8,0),"")=I167,IF(C167&gt;=E167,"Successful","Unsuccessful"),"🔒 BLOCKED — Wrong Code")),"—")</f>
        <v/>
      </c>
      <c r="K167" s="493">
        <f>IF(J167="Successful",TEXT(TODAY(),"YYYY-MM-DD")&amp;" Auto","—")</f>
        <v/>
      </c>
      <c r="L167" s="494" t="n"/>
    </row>
    <row r="168" ht="15" customHeight="1" s="341">
      <c r="A168" s="495" t="n"/>
      <c r="B168" s="382">
        <f>IF(A168="","",IFERROR(VLOOKUP(A168,DB_Customers!$A:$D,4,0),"❌ Account Not Found"))</f>
        <v/>
      </c>
      <c r="C168" s="496">
        <f>IF(A168="","",IFERROR(VLOOKUP(A168,DB_Customers!$A:$N,14,0),""))</f>
        <v/>
      </c>
      <c r="D168" s="497">
        <f>IF(A168="","",TODAY())</f>
        <v/>
      </c>
      <c r="E168" s="510" t="n"/>
      <c r="F168" s="382" t="n"/>
      <c r="G168" s="512">
        <f>IF(OR(A168="",E168=""),"",IF(C168="","",C168-E168))</f>
        <v/>
      </c>
      <c r="H168" s="384" t="inlineStr">
        <is>
          <t>Agent 09</t>
        </is>
      </c>
      <c r="I168" s="491" t="n"/>
      <c r="J168" s="499">
        <f>IF(AND(A168&lt;&gt;"",E168&lt;&gt;""),IF(I168="","⚠️ Enter Code",IF(IFERROR(VLOOKUP(H168,DB_Agents!$B:$I,8,0),"")=I168,IF(C168&gt;=E168,"Successful","Unsuccessful"),"🔒 BLOCKED — Wrong Code")),"—")</f>
        <v/>
      </c>
      <c r="K168" s="500">
        <f>IF(J168="Successful",TEXT(TODAY(),"YYYY-MM-DD")&amp;" Auto","—")</f>
        <v/>
      </c>
      <c r="L168" s="501" t="n"/>
    </row>
    <row r="169" ht="15" customHeight="1" s="341">
      <c r="A169" s="486" t="n"/>
      <c r="B169" s="378">
        <f>IF(A169="","",IFERROR(VLOOKUP(A169,DB_Customers!$A:$D,4,0),"❌ Account Not Found"))</f>
        <v/>
      </c>
      <c r="C169" s="487">
        <f>IF(A169="","",IFERROR(VLOOKUP(A169,DB_Customers!$A:$N,14,0),""))</f>
        <v/>
      </c>
      <c r="D169" s="488">
        <f>IF(A169="","",TODAY())</f>
        <v/>
      </c>
      <c r="E169" s="510" t="n"/>
      <c r="F169" s="378" t="n"/>
      <c r="G169" s="511">
        <f>IF(OR(A169="",E169=""),"",IF(C169="","",C169-E169))</f>
        <v/>
      </c>
      <c r="H169" s="380" t="inlineStr">
        <is>
          <t>Agent 09</t>
        </is>
      </c>
      <c r="I169" s="491" t="n"/>
      <c r="J169" s="492">
        <f>IF(AND(A169&lt;&gt;"",E169&lt;&gt;""),IF(I169="","⚠️ Enter Code",IF(IFERROR(VLOOKUP(H169,DB_Agents!$B:$I,8,0),"")=I169,IF(C169&gt;=E169,"Successful","Unsuccessful"),"🔒 BLOCKED — Wrong Code")),"—")</f>
        <v/>
      </c>
      <c r="K169" s="493">
        <f>IF(J169="Successful",TEXT(TODAY(),"YYYY-MM-DD")&amp;" Auto","—")</f>
        <v/>
      </c>
      <c r="L169" s="494" t="n"/>
    </row>
    <row r="170" ht="15" customHeight="1" s="341">
      <c r="A170" s="495" t="n"/>
      <c r="B170" s="382">
        <f>IF(A170="","",IFERROR(VLOOKUP(A170,DB_Customers!$A:$D,4,0),"❌ Account Not Found"))</f>
        <v/>
      </c>
      <c r="C170" s="496">
        <f>IF(A170="","",IFERROR(VLOOKUP(A170,DB_Customers!$A:$N,14,0),""))</f>
        <v/>
      </c>
      <c r="D170" s="497">
        <f>IF(A170="","",TODAY())</f>
        <v/>
      </c>
      <c r="E170" s="510" t="n"/>
      <c r="F170" s="382" t="n"/>
      <c r="G170" s="512">
        <f>IF(OR(A170="",E170=""),"",IF(C170="","",C170-E170))</f>
        <v/>
      </c>
      <c r="H170" s="384" t="inlineStr">
        <is>
          <t>Agent 09</t>
        </is>
      </c>
      <c r="I170" s="491" t="n"/>
      <c r="J170" s="499">
        <f>IF(AND(A170&lt;&gt;"",E170&lt;&gt;""),IF(I170="","⚠️ Enter Code",IF(IFERROR(VLOOKUP(H170,DB_Agents!$B:$I,8,0),"")=I170,IF(C170&gt;=E170,"Successful","Unsuccessful"),"🔒 BLOCKED — Wrong Code")),"—")</f>
        <v/>
      </c>
      <c r="K170" s="500">
        <f>IF(J170="Successful",TEXT(TODAY(),"YYYY-MM-DD")&amp;" Auto","—")</f>
        <v/>
      </c>
      <c r="L170" s="501" t="n"/>
    </row>
    <row r="171" ht="15" customHeight="1" s="341">
      <c r="A171" s="486" t="n"/>
      <c r="B171" s="378">
        <f>IF(A171="","",IFERROR(VLOOKUP(A171,DB_Customers!$A:$D,4,0),"❌ Account Not Found"))</f>
        <v/>
      </c>
      <c r="C171" s="487">
        <f>IF(A171="","",IFERROR(VLOOKUP(A171,DB_Customers!$A:$N,14,0),""))</f>
        <v/>
      </c>
      <c r="D171" s="488">
        <f>IF(A171="","",TODAY())</f>
        <v/>
      </c>
      <c r="E171" s="510" t="n"/>
      <c r="F171" s="378" t="n"/>
      <c r="G171" s="511">
        <f>IF(OR(A171="",E171=""),"",IF(C171="","",C171-E171))</f>
        <v/>
      </c>
      <c r="H171" s="380" t="inlineStr">
        <is>
          <t>Agent 09</t>
        </is>
      </c>
      <c r="I171" s="491" t="n"/>
      <c r="J171" s="492">
        <f>IF(AND(A171&lt;&gt;"",E171&lt;&gt;""),IF(I171="","⚠️ Enter Code",IF(IFERROR(VLOOKUP(H171,DB_Agents!$B:$I,8,0),"")=I171,IF(C171&gt;=E171,"Successful","Unsuccessful"),"🔒 BLOCKED — Wrong Code")),"—")</f>
        <v/>
      </c>
      <c r="K171" s="493">
        <f>IF(J171="Successful",TEXT(TODAY(),"YYYY-MM-DD")&amp;" Auto","—")</f>
        <v/>
      </c>
      <c r="L171" s="494" t="n"/>
    </row>
    <row r="172" ht="15" customHeight="1" s="341">
      <c r="A172" s="495" t="n"/>
      <c r="B172" s="382">
        <f>IF(A172="","",IFERROR(VLOOKUP(A172,DB_Customers!$A:$D,4,0),"❌ Account Not Found"))</f>
        <v/>
      </c>
      <c r="C172" s="496">
        <f>IF(A172="","",IFERROR(VLOOKUP(A172,DB_Customers!$A:$N,14,0),""))</f>
        <v/>
      </c>
      <c r="D172" s="497">
        <f>IF(A172="","",TODAY())</f>
        <v/>
      </c>
      <c r="E172" s="510" t="n"/>
      <c r="F172" s="382" t="n"/>
      <c r="G172" s="512">
        <f>IF(OR(A172="",E172=""),"",IF(C172="","",C172-E172))</f>
        <v/>
      </c>
      <c r="H172" s="384" t="inlineStr">
        <is>
          <t>Agent 09</t>
        </is>
      </c>
      <c r="I172" s="491" t="n"/>
      <c r="J172" s="499">
        <f>IF(AND(A172&lt;&gt;"",E172&lt;&gt;""),IF(I172="","⚠️ Enter Code",IF(IFERROR(VLOOKUP(H172,DB_Agents!$B:$I,8,0),"")=I172,IF(C172&gt;=E172,"Successful","Unsuccessful"),"🔒 BLOCKED — Wrong Code")),"—")</f>
        <v/>
      </c>
      <c r="K172" s="500">
        <f>IF(J172="Successful",TEXT(TODAY(),"YYYY-MM-DD")&amp;" Auto","—")</f>
        <v/>
      </c>
      <c r="L172" s="501" t="n"/>
    </row>
    <row r="173" ht="15" customHeight="1" s="341">
      <c r="A173" s="486" t="n"/>
      <c r="B173" s="378">
        <f>IF(A173="","",IFERROR(VLOOKUP(A173,DB_Customers!$A:$D,4,0),"❌ Account Not Found"))</f>
        <v/>
      </c>
      <c r="C173" s="487">
        <f>IF(A173="","",IFERROR(VLOOKUP(A173,DB_Customers!$A:$N,14,0),""))</f>
        <v/>
      </c>
      <c r="D173" s="488">
        <f>IF(A173="","",TODAY())</f>
        <v/>
      </c>
      <c r="E173" s="510" t="n"/>
      <c r="F173" s="378" t="n"/>
      <c r="G173" s="511">
        <f>IF(OR(A173="",E173=""),"",IF(C173="","",C173-E173))</f>
        <v/>
      </c>
      <c r="H173" s="380" t="inlineStr">
        <is>
          <t>Agent 09</t>
        </is>
      </c>
      <c r="I173" s="491" t="n"/>
      <c r="J173" s="492">
        <f>IF(AND(A173&lt;&gt;"",E173&lt;&gt;""),IF(I173="","⚠️ Enter Code",IF(IFERROR(VLOOKUP(H173,DB_Agents!$B:$I,8,0),"")=I173,IF(C173&gt;=E173,"Successful","Unsuccessful"),"🔒 BLOCKED — Wrong Code")),"—")</f>
        <v/>
      </c>
      <c r="K173" s="493">
        <f>IF(J173="Successful",TEXT(TODAY(),"YYYY-MM-DD")&amp;" Auto","—")</f>
        <v/>
      </c>
      <c r="L173" s="494" t="n"/>
    </row>
    <row r="174" ht="15" customHeight="1" s="341">
      <c r="A174" s="495" t="n"/>
      <c r="B174" s="382">
        <f>IF(A174="","",IFERROR(VLOOKUP(A174,DB_Customers!$A:$D,4,0),"❌ Account Not Found"))</f>
        <v/>
      </c>
      <c r="C174" s="496">
        <f>IF(A174="","",IFERROR(VLOOKUP(A174,DB_Customers!$A:$N,14,0),""))</f>
        <v/>
      </c>
      <c r="D174" s="497">
        <f>IF(A174="","",TODAY())</f>
        <v/>
      </c>
      <c r="E174" s="510" t="n"/>
      <c r="F174" s="382" t="n"/>
      <c r="G174" s="512">
        <f>IF(OR(A174="",E174=""),"",IF(C174="","",C174-E174))</f>
        <v/>
      </c>
      <c r="H174" s="384" t="inlineStr">
        <is>
          <t>Agent 09</t>
        </is>
      </c>
      <c r="I174" s="491" t="n"/>
      <c r="J174" s="499">
        <f>IF(AND(A174&lt;&gt;"",E174&lt;&gt;""),IF(I174="","⚠️ Enter Code",IF(IFERROR(VLOOKUP(H174,DB_Agents!$B:$I,8,0),"")=I174,IF(C174&gt;=E174,"Successful","Unsuccessful"),"🔒 BLOCKED — Wrong Code")),"—")</f>
        <v/>
      </c>
      <c r="K174" s="500">
        <f>IF(J174="Successful",TEXT(TODAY(),"YYYY-MM-DD")&amp;" Auto","—")</f>
        <v/>
      </c>
      <c r="L174" s="501" t="n"/>
    </row>
    <row r="175" ht="15" customHeight="1" s="341">
      <c r="A175" s="486" t="n"/>
      <c r="B175" s="378">
        <f>IF(A175="","",IFERROR(VLOOKUP(A175,DB_Customers!$A:$D,4,0),"❌ Account Not Found"))</f>
        <v/>
      </c>
      <c r="C175" s="487">
        <f>IF(A175="","",IFERROR(VLOOKUP(A175,DB_Customers!$A:$N,14,0),""))</f>
        <v/>
      </c>
      <c r="D175" s="488">
        <f>IF(A175="","",TODAY())</f>
        <v/>
      </c>
      <c r="E175" s="510" t="n"/>
      <c r="F175" s="378" t="n"/>
      <c r="G175" s="511">
        <f>IF(OR(A175="",E175=""),"",IF(C175="","",C175-E175))</f>
        <v/>
      </c>
      <c r="H175" s="380" t="inlineStr">
        <is>
          <t>Agent 09</t>
        </is>
      </c>
      <c r="I175" s="491" t="n"/>
      <c r="J175" s="492">
        <f>IF(AND(A175&lt;&gt;"",E175&lt;&gt;""),IF(I175="","⚠️ Enter Code",IF(IFERROR(VLOOKUP(H175,DB_Agents!$B:$I,8,0),"")=I175,IF(C175&gt;=E175,"Successful","Unsuccessful"),"🔒 BLOCKED — Wrong Code")),"—")</f>
        <v/>
      </c>
      <c r="K175" s="493">
        <f>IF(J175="Successful",TEXT(TODAY(),"YYYY-MM-DD")&amp;" Auto","—")</f>
        <v/>
      </c>
      <c r="L175" s="494" t="n"/>
    </row>
    <row r="176" ht="15" customHeight="1" s="341">
      <c r="A176" s="495" t="n"/>
      <c r="B176" s="382">
        <f>IF(A176="","",IFERROR(VLOOKUP(A176,DB_Customers!$A:$D,4,0),"❌ Account Not Found"))</f>
        <v/>
      </c>
      <c r="C176" s="496">
        <f>IF(A176="","",IFERROR(VLOOKUP(A176,DB_Customers!$A:$N,14,0),""))</f>
        <v/>
      </c>
      <c r="D176" s="497">
        <f>IF(A176="","",TODAY())</f>
        <v/>
      </c>
      <c r="E176" s="510" t="n"/>
      <c r="F176" s="382" t="n"/>
      <c r="G176" s="512">
        <f>IF(OR(A176="",E176=""),"",IF(C176="","",C176-E176))</f>
        <v/>
      </c>
      <c r="H176" s="384" t="inlineStr">
        <is>
          <t>Agent 09</t>
        </is>
      </c>
      <c r="I176" s="491" t="n"/>
      <c r="J176" s="499">
        <f>IF(AND(A176&lt;&gt;"",E176&lt;&gt;""),IF(I176="","⚠️ Enter Code",IF(IFERROR(VLOOKUP(H176,DB_Agents!$B:$I,8,0),"")=I176,IF(C176&gt;=E176,"Successful","Unsuccessful"),"🔒 BLOCKED — Wrong Code")),"—")</f>
        <v/>
      </c>
      <c r="K176" s="500">
        <f>IF(J176="Successful",TEXT(TODAY(),"YYYY-MM-DD")&amp;" Auto","—")</f>
        <v/>
      </c>
      <c r="L176" s="501" t="n"/>
    </row>
    <row r="177" ht="15" customHeight="1" s="341">
      <c r="A177" s="486" t="n"/>
      <c r="B177" s="378">
        <f>IF(A177="","",IFERROR(VLOOKUP(A177,DB_Customers!$A:$D,4,0),"❌ Account Not Found"))</f>
        <v/>
      </c>
      <c r="C177" s="487">
        <f>IF(A177="","",IFERROR(VLOOKUP(A177,DB_Customers!$A:$N,14,0),""))</f>
        <v/>
      </c>
      <c r="D177" s="488">
        <f>IF(A177="","",TODAY())</f>
        <v/>
      </c>
      <c r="E177" s="510" t="n"/>
      <c r="F177" s="378" t="n"/>
      <c r="G177" s="511">
        <f>IF(OR(A177="",E177=""),"",IF(C177="","",C177-E177))</f>
        <v/>
      </c>
      <c r="H177" s="380" t="inlineStr">
        <is>
          <t>Agent 09</t>
        </is>
      </c>
      <c r="I177" s="491" t="n"/>
      <c r="J177" s="492">
        <f>IF(AND(A177&lt;&gt;"",E177&lt;&gt;""),IF(I177="","⚠️ Enter Code",IF(IFERROR(VLOOKUP(H177,DB_Agents!$B:$I,8,0),"")=I177,IF(C177&gt;=E177,"Successful","Unsuccessful"),"🔒 BLOCKED — Wrong Code")),"—")</f>
        <v/>
      </c>
      <c r="K177" s="493">
        <f>IF(J177="Successful",TEXT(TODAY(),"YYYY-MM-DD")&amp;" Auto","—")</f>
        <v/>
      </c>
      <c r="L177" s="494" t="n"/>
    </row>
    <row r="178" ht="15" customHeight="1" s="341">
      <c r="A178" s="495" t="n"/>
      <c r="B178" s="382">
        <f>IF(A178="","",IFERROR(VLOOKUP(A178,DB_Customers!$A:$D,4,0),"❌ Account Not Found"))</f>
        <v/>
      </c>
      <c r="C178" s="496">
        <f>IF(A178="","",IFERROR(VLOOKUP(A178,DB_Customers!$A:$N,14,0),""))</f>
        <v/>
      </c>
      <c r="D178" s="497">
        <f>IF(A178="","",TODAY())</f>
        <v/>
      </c>
      <c r="E178" s="510" t="n"/>
      <c r="F178" s="382" t="n"/>
      <c r="G178" s="512">
        <f>IF(OR(A178="",E178=""),"",IF(C178="","",C178-E178))</f>
        <v/>
      </c>
      <c r="H178" s="384" t="inlineStr">
        <is>
          <t>Agent 09</t>
        </is>
      </c>
      <c r="I178" s="491" t="n"/>
      <c r="J178" s="499">
        <f>IF(AND(A178&lt;&gt;"",E178&lt;&gt;""),IF(I178="","⚠️ Enter Code",IF(IFERROR(VLOOKUP(H178,DB_Agents!$B:$I,8,0),"")=I178,IF(C178&gt;=E178,"Successful","Unsuccessful"),"🔒 BLOCKED — Wrong Code")),"—")</f>
        <v/>
      </c>
      <c r="K178" s="500">
        <f>IF(J178="Successful",TEXT(TODAY(),"YYYY-MM-DD")&amp;" Auto","—")</f>
        <v/>
      </c>
      <c r="L178" s="501" t="n"/>
    </row>
    <row r="179" ht="15" customHeight="1" s="341">
      <c r="A179" s="486" t="n"/>
      <c r="B179" s="378">
        <f>IF(A179="","",IFERROR(VLOOKUP(A179,DB_Customers!$A:$D,4,0),"❌ Account Not Found"))</f>
        <v/>
      </c>
      <c r="C179" s="487">
        <f>IF(A179="","",IFERROR(VLOOKUP(A179,DB_Customers!$A:$N,14,0),""))</f>
        <v/>
      </c>
      <c r="D179" s="488">
        <f>IF(A179="","",TODAY())</f>
        <v/>
      </c>
      <c r="E179" s="510" t="n"/>
      <c r="F179" s="378" t="n"/>
      <c r="G179" s="511">
        <f>IF(OR(A179="",E179=""),"",IF(C179="","",C179-E179))</f>
        <v/>
      </c>
      <c r="H179" s="380" t="inlineStr">
        <is>
          <t>Agent 09</t>
        </is>
      </c>
      <c r="I179" s="491" t="n"/>
      <c r="J179" s="492">
        <f>IF(AND(A179&lt;&gt;"",E179&lt;&gt;""),IF(I179="","⚠️ Enter Code",IF(IFERROR(VLOOKUP(H179,DB_Agents!$B:$I,8,0),"")=I179,IF(C179&gt;=E179,"Successful","Unsuccessful"),"🔒 BLOCKED — Wrong Code")),"—")</f>
        <v/>
      </c>
      <c r="K179" s="493">
        <f>IF(J179="Successful",TEXT(TODAY(),"YYYY-MM-DD")&amp;" Auto","—")</f>
        <v/>
      </c>
      <c r="L179" s="494" t="n"/>
    </row>
    <row r="180" ht="15" customHeight="1" s="341">
      <c r="A180" s="495" t="n"/>
      <c r="B180" s="382">
        <f>IF(A180="","",IFERROR(VLOOKUP(A180,DB_Customers!$A:$D,4,0),"❌ Account Not Found"))</f>
        <v/>
      </c>
      <c r="C180" s="496">
        <f>IF(A180="","",IFERROR(VLOOKUP(A180,DB_Customers!$A:$N,14,0),""))</f>
        <v/>
      </c>
      <c r="D180" s="497">
        <f>IF(A180="","",TODAY())</f>
        <v/>
      </c>
      <c r="E180" s="510" t="n"/>
      <c r="F180" s="382" t="n"/>
      <c r="G180" s="512">
        <f>IF(OR(A180="",E180=""),"",IF(C180="","",C180-E180))</f>
        <v/>
      </c>
      <c r="H180" s="384" t="inlineStr">
        <is>
          <t>Agent 09</t>
        </is>
      </c>
      <c r="I180" s="491" t="n"/>
      <c r="J180" s="499">
        <f>IF(AND(A180&lt;&gt;"",E180&lt;&gt;""),IF(I180="","⚠️ Enter Code",IF(IFERROR(VLOOKUP(H180,DB_Agents!$B:$I,8,0),"")=I180,IF(C180&gt;=E180,"Successful","Unsuccessful"),"🔒 BLOCKED — Wrong Code")),"—")</f>
        <v/>
      </c>
      <c r="K180" s="500">
        <f>IF(J180="Successful",TEXT(TODAY(),"YYYY-MM-DD")&amp;" Auto","—")</f>
        <v/>
      </c>
      <c r="L180" s="501" t="n"/>
    </row>
    <row r="181" ht="15" customHeight="1" s="341">
      <c r="A181" s="486" t="n"/>
      <c r="B181" s="378">
        <f>IF(A181="","",IFERROR(VLOOKUP(A181,DB_Customers!$A:$D,4,0),"❌ Account Not Found"))</f>
        <v/>
      </c>
      <c r="C181" s="487">
        <f>IF(A181="","",IFERROR(VLOOKUP(A181,DB_Customers!$A:$N,14,0),""))</f>
        <v/>
      </c>
      <c r="D181" s="488">
        <f>IF(A181="","",TODAY())</f>
        <v/>
      </c>
      <c r="E181" s="510" t="n"/>
      <c r="F181" s="378" t="n"/>
      <c r="G181" s="511">
        <f>IF(OR(A181="",E181=""),"",IF(C181="","",C181-E181))</f>
        <v/>
      </c>
      <c r="H181" s="380" t="inlineStr">
        <is>
          <t>Agent 09</t>
        </is>
      </c>
      <c r="I181" s="491" t="n"/>
      <c r="J181" s="492">
        <f>IF(AND(A181&lt;&gt;"",E181&lt;&gt;""),IF(I181="","⚠️ Enter Code",IF(IFERROR(VLOOKUP(H181,DB_Agents!$B:$I,8,0),"")=I181,IF(C181&gt;=E181,"Successful","Unsuccessful"),"🔒 BLOCKED — Wrong Code")),"—")</f>
        <v/>
      </c>
      <c r="K181" s="493">
        <f>IF(J181="Successful",TEXT(TODAY(),"YYYY-MM-DD")&amp;" Auto","—")</f>
        <v/>
      </c>
      <c r="L181" s="494" t="n"/>
    </row>
    <row r="182" ht="15" customHeight="1" s="341">
      <c r="A182" s="495" t="n"/>
      <c r="B182" s="382">
        <f>IF(A182="","",IFERROR(VLOOKUP(A182,DB_Customers!$A:$D,4,0),"❌ Account Not Found"))</f>
        <v/>
      </c>
      <c r="C182" s="496">
        <f>IF(A182="","",IFERROR(VLOOKUP(A182,DB_Customers!$A:$N,14,0),""))</f>
        <v/>
      </c>
      <c r="D182" s="497">
        <f>IF(A182="","",TODAY())</f>
        <v/>
      </c>
      <c r="E182" s="510" t="n"/>
      <c r="F182" s="382" t="n"/>
      <c r="G182" s="512">
        <f>IF(OR(A182="",E182=""),"",IF(C182="","",C182-E182))</f>
        <v/>
      </c>
      <c r="H182" s="384" t="inlineStr">
        <is>
          <t>Agent 09</t>
        </is>
      </c>
      <c r="I182" s="491" t="n"/>
      <c r="J182" s="499">
        <f>IF(AND(A182&lt;&gt;"",E182&lt;&gt;""),IF(I182="","⚠️ Enter Code",IF(IFERROR(VLOOKUP(H182,DB_Agents!$B:$I,8,0),"")=I182,IF(C182&gt;=E182,"Successful","Unsuccessful"),"🔒 BLOCKED — Wrong Code")),"—")</f>
        <v/>
      </c>
      <c r="K182" s="500">
        <f>IF(J182="Successful",TEXT(TODAY(),"YYYY-MM-DD")&amp;" Auto","—")</f>
        <v/>
      </c>
      <c r="L182" s="501" t="n"/>
    </row>
    <row r="183" ht="15" customHeight="1" s="341">
      <c r="A183" s="486" t="n"/>
      <c r="B183" s="378">
        <f>IF(A183="","",IFERROR(VLOOKUP(A183,DB_Customers!$A:$D,4,0),"❌ Account Not Found"))</f>
        <v/>
      </c>
      <c r="C183" s="487">
        <f>IF(A183="","",IFERROR(VLOOKUP(A183,DB_Customers!$A:$N,14,0),""))</f>
        <v/>
      </c>
      <c r="D183" s="488">
        <f>IF(A183="","",TODAY())</f>
        <v/>
      </c>
      <c r="E183" s="510" t="n"/>
      <c r="F183" s="378" t="n"/>
      <c r="G183" s="511">
        <f>IF(OR(A183="",E183=""),"",IF(C183="","",C183-E183))</f>
        <v/>
      </c>
      <c r="H183" s="380" t="inlineStr">
        <is>
          <t>Agent 09</t>
        </is>
      </c>
      <c r="I183" s="491" t="n"/>
      <c r="J183" s="492">
        <f>IF(AND(A183&lt;&gt;"",E183&lt;&gt;""),IF(I183="","⚠️ Enter Code",IF(IFERROR(VLOOKUP(H183,DB_Agents!$B:$I,8,0),"")=I183,IF(C183&gt;=E183,"Successful","Unsuccessful"),"🔒 BLOCKED — Wrong Code")),"—")</f>
        <v/>
      </c>
      <c r="K183" s="493">
        <f>IF(J183="Successful",TEXT(TODAY(),"YYYY-MM-DD")&amp;" Auto","—")</f>
        <v/>
      </c>
      <c r="L183" s="494" t="n"/>
    </row>
    <row r="184" ht="15" customHeight="1" s="341">
      <c r="A184" s="495" t="n"/>
      <c r="B184" s="382">
        <f>IF(A184="","",IFERROR(VLOOKUP(A184,DB_Customers!$A:$D,4,0),"❌ Account Not Found"))</f>
        <v/>
      </c>
      <c r="C184" s="496">
        <f>IF(A184="","",IFERROR(VLOOKUP(A184,DB_Customers!$A:$N,14,0),""))</f>
        <v/>
      </c>
      <c r="D184" s="497">
        <f>IF(A184="","",TODAY())</f>
        <v/>
      </c>
      <c r="E184" s="510" t="n"/>
      <c r="F184" s="382" t="n"/>
      <c r="G184" s="512">
        <f>IF(OR(A184="",E184=""),"",IF(C184="","",C184-E184))</f>
        <v/>
      </c>
      <c r="H184" s="384" t="inlineStr">
        <is>
          <t>Agent 09</t>
        </is>
      </c>
      <c r="I184" s="491" t="n"/>
      <c r="J184" s="499">
        <f>IF(AND(A184&lt;&gt;"",E184&lt;&gt;""),IF(I184="","⚠️ Enter Code",IF(IFERROR(VLOOKUP(H184,DB_Agents!$B:$I,8,0),"")=I184,IF(C184&gt;=E184,"Successful","Unsuccessful"),"🔒 BLOCKED — Wrong Code")),"—")</f>
        <v/>
      </c>
      <c r="K184" s="500">
        <f>IF(J184="Successful",TEXT(TODAY(),"YYYY-MM-DD")&amp;" Auto","—")</f>
        <v/>
      </c>
      <c r="L184" s="501" t="n"/>
    </row>
    <row r="185" ht="15" customHeight="1" s="341">
      <c r="A185" s="486" t="n"/>
      <c r="B185" s="378">
        <f>IF(A185="","",IFERROR(VLOOKUP(A185,DB_Customers!$A:$D,4,0),"❌ Account Not Found"))</f>
        <v/>
      </c>
      <c r="C185" s="487">
        <f>IF(A185="","",IFERROR(VLOOKUP(A185,DB_Customers!$A:$N,14,0),""))</f>
        <v/>
      </c>
      <c r="D185" s="488">
        <f>IF(A185="","",TODAY())</f>
        <v/>
      </c>
      <c r="E185" s="510" t="n"/>
      <c r="F185" s="378" t="n"/>
      <c r="G185" s="511">
        <f>IF(OR(A185="",E185=""),"",IF(C185="","",C185-E185))</f>
        <v/>
      </c>
      <c r="H185" s="380" t="inlineStr">
        <is>
          <t>Agent 09</t>
        </is>
      </c>
      <c r="I185" s="491" t="n"/>
      <c r="J185" s="492">
        <f>IF(AND(A185&lt;&gt;"",E185&lt;&gt;""),IF(I185="","⚠️ Enter Code",IF(IFERROR(VLOOKUP(H185,DB_Agents!$B:$I,8,0),"")=I185,IF(C185&gt;=E185,"Successful","Unsuccessful"),"🔒 BLOCKED — Wrong Code")),"—")</f>
        <v/>
      </c>
      <c r="K185" s="493">
        <f>IF(J185="Successful",TEXT(TODAY(),"YYYY-MM-DD")&amp;" Auto","—")</f>
        <v/>
      </c>
      <c r="L185" s="494" t="n"/>
    </row>
    <row r="186" ht="15" customHeight="1" s="341">
      <c r="A186" s="495" t="n"/>
      <c r="B186" s="382">
        <f>IF(A186="","",IFERROR(VLOOKUP(A186,DB_Customers!$A:$D,4,0),"❌ Account Not Found"))</f>
        <v/>
      </c>
      <c r="C186" s="496">
        <f>IF(A186="","",IFERROR(VLOOKUP(A186,DB_Customers!$A:$N,14,0),""))</f>
        <v/>
      </c>
      <c r="D186" s="497">
        <f>IF(A186="","",TODAY())</f>
        <v/>
      </c>
      <c r="E186" s="510" t="n"/>
      <c r="F186" s="382" t="n"/>
      <c r="G186" s="512">
        <f>IF(OR(A186="",E186=""),"",IF(C186="","",C186-E186))</f>
        <v/>
      </c>
      <c r="H186" s="384" t="inlineStr">
        <is>
          <t>Agent 09</t>
        </is>
      </c>
      <c r="I186" s="491" t="n"/>
      <c r="J186" s="499">
        <f>IF(AND(A186&lt;&gt;"",E186&lt;&gt;""),IF(I186="","⚠️ Enter Code",IF(IFERROR(VLOOKUP(H186,DB_Agents!$B:$I,8,0),"")=I186,IF(C186&gt;=E186,"Successful","Unsuccessful"),"🔒 BLOCKED — Wrong Code")),"—")</f>
        <v/>
      </c>
      <c r="K186" s="500">
        <f>IF(J186="Successful",TEXT(TODAY(),"YYYY-MM-DD")&amp;" Auto","—")</f>
        <v/>
      </c>
      <c r="L186" s="501" t="n"/>
    </row>
    <row r="187" ht="15" customHeight="1" s="341">
      <c r="A187" s="486" t="n"/>
      <c r="B187" s="378">
        <f>IF(A187="","",IFERROR(VLOOKUP(A187,DB_Customers!$A:$D,4,0),"❌ Account Not Found"))</f>
        <v/>
      </c>
      <c r="C187" s="487">
        <f>IF(A187="","",IFERROR(VLOOKUP(A187,DB_Customers!$A:$N,14,0),""))</f>
        <v/>
      </c>
      <c r="D187" s="488">
        <f>IF(A187="","",TODAY())</f>
        <v/>
      </c>
      <c r="E187" s="510" t="n"/>
      <c r="F187" s="378" t="n"/>
      <c r="G187" s="511">
        <f>IF(OR(A187="",E187=""),"",IF(C187="","",C187-E187))</f>
        <v/>
      </c>
      <c r="H187" s="380" t="inlineStr">
        <is>
          <t>Agent 09</t>
        </is>
      </c>
      <c r="I187" s="491" t="n"/>
      <c r="J187" s="492">
        <f>IF(AND(A187&lt;&gt;"",E187&lt;&gt;""),IF(I187="","⚠️ Enter Code",IF(IFERROR(VLOOKUP(H187,DB_Agents!$B:$I,8,0),"")=I187,IF(C187&gt;=E187,"Successful","Unsuccessful"),"🔒 BLOCKED — Wrong Code")),"—")</f>
        <v/>
      </c>
      <c r="K187" s="493">
        <f>IF(J187="Successful",TEXT(TODAY(),"YYYY-MM-DD")&amp;" Auto","—")</f>
        <v/>
      </c>
      <c r="L187" s="494" t="n"/>
    </row>
    <row r="188" ht="15" customHeight="1" s="341">
      <c r="A188" s="495" t="n"/>
      <c r="B188" s="382">
        <f>IF(A188="","",IFERROR(VLOOKUP(A188,DB_Customers!$A:$D,4,0),"❌ Account Not Found"))</f>
        <v/>
      </c>
      <c r="C188" s="496">
        <f>IF(A188="","",IFERROR(VLOOKUP(A188,DB_Customers!$A:$N,14,0),""))</f>
        <v/>
      </c>
      <c r="D188" s="497">
        <f>IF(A188="","",TODAY())</f>
        <v/>
      </c>
      <c r="E188" s="510" t="n"/>
      <c r="F188" s="382" t="n"/>
      <c r="G188" s="512">
        <f>IF(OR(A188="",E188=""),"",IF(C188="","",C188-E188))</f>
        <v/>
      </c>
      <c r="H188" s="384" t="inlineStr">
        <is>
          <t>Agent 09</t>
        </is>
      </c>
      <c r="I188" s="491" t="n"/>
      <c r="J188" s="499">
        <f>IF(AND(A188&lt;&gt;"",E188&lt;&gt;""),IF(I188="","⚠️ Enter Code",IF(IFERROR(VLOOKUP(H188,DB_Agents!$B:$I,8,0),"")=I188,IF(C188&gt;=E188,"Successful","Unsuccessful"),"🔒 BLOCKED — Wrong Code")),"—")</f>
        <v/>
      </c>
      <c r="K188" s="500">
        <f>IF(J188="Successful",TEXT(TODAY(),"YYYY-MM-DD")&amp;" Auto","—")</f>
        <v/>
      </c>
      <c r="L188" s="501" t="n"/>
    </row>
    <row r="189" ht="15" customHeight="1" s="341">
      <c r="A189" s="486" t="n"/>
      <c r="B189" s="378">
        <f>IF(A189="","",IFERROR(VLOOKUP(A189,DB_Customers!$A:$D,4,0),"❌ Account Not Found"))</f>
        <v/>
      </c>
      <c r="C189" s="487">
        <f>IF(A189="","",IFERROR(VLOOKUP(A189,DB_Customers!$A:$N,14,0),""))</f>
        <v/>
      </c>
      <c r="D189" s="488">
        <f>IF(A189="","",TODAY())</f>
        <v/>
      </c>
      <c r="E189" s="510" t="n"/>
      <c r="F189" s="378" t="n"/>
      <c r="G189" s="511">
        <f>IF(OR(A189="",E189=""),"",IF(C189="","",C189-E189))</f>
        <v/>
      </c>
      <c r="H189" s="380" t="inlineStr">
        <is>
          <t>Agent 09</t>
        </is>
      </c>
      <c r="I189" s="491" t="n"/>
      <c r="J189" s="492">
        <f>IF(AND(A189&lt;&gt;"",E189&lt;&gt;""),IF(I189="","⚠️ Enter Code",IF(IFERROR(VLOOKUP(H189,DB_Agents!$B:$I,8,0),"")=I189,IF(C189&gt;=E189,"Successful","Unsuccessful"),"🔒 BLOCKED — Wrong Code")),"—")</f>
        <v/>
      </c>
      <c r="K189" s="493">
        <f>IF(J189="Successful",TEXT(TODAY(),"YYYY-MM-DD")&amp;" Auto","—")</f>
        <v/>
      </c>
      <c r="L189" s="494" t="n"/>
    </row>
    <row r="190" ht="15" customHeight="1" s="341">
      <c r="A190" s="495" t="n"/>
      <c r="B190" s="382">
        <f>IF(A190="","",IFERROR(VLOOKUP(A190,DB_Customers!$A:$D,4,0),"❌ Account Not Found"))</f>
        <v/>
      </c>
      <c r="C190" s="496">
        <f>IF(A190="","",IFERROR(VLOOKUP(A190,DB_Customers!$A:$N,14,0),""))</f>
        <v/>
      </c>
      <c r="D190" s="497">
        <f>IF(A190="","",TODAY())</f>
        <v/>
      </c>
      <c r="E190" s="510" t="n"/>
      <c r="F190" s="382" t="n"/>
      <c r="G190" s="512">
        <f>IF(OR(A190="",E190=""),"",IF(C190="","",C190-E190))</f>
        <v/>
      </c>
      <c r="H190" s="384" t="inlineStr">
        <is>
          <t>Agent 09</t>
        </is>
      </c>
      <c r="I190" s="491" t="n"/>
      <c r="J190" s="499">
        <f>IF(AND(A190&lt;&gt;"",E190&lt;&gt;""),IF(I190="","⚠️ Enter Code",IF(IFERROR(VLOOKUP(H190,DB_Agents!$B:$I,8,0),"")=I190,IF(C190&gt;=E190,"Successful","Unsuccessful"),"🔒 BLOCKED — Wrong Code")),"—")</f>
        <v/>
      </c>
      <c r="K190" s="500">
        <f>IF(J190="Successful",TEXT(TODAY(),"YYYY-MM-DD")&amp;" Auto","—")</f>
        <v/>
      </c>
      <c r="L190" s="501" t="n"/>
    </row>
    <row r="191" ht="15" customHeight="1" s="341">
      <c r="A191" s="486" t="n"/>
      <c r="B191" s="378">
        <f>IF(A191="","",IFERROR(VLOOKUP(A191,DB_Customers!$A:$D,4,0),"❌ Account Not Found"))</f>
        <v/>
      </c>
      <c r="C191" s="487">
        <f>IF(A191="","",IFERROR(VLOOKUP(A191,DB_Customers!$A:$N,14,0),""))</f>
        <v/>
      </c>
      <c r="D191" s="488">
        <f>IF(A191="","",TODAY())</f>
        <v/>
      </c>
      <c r="E191" s="510" t="n"/>
      <c r="F191" s="378" t="n"/>
      <c r="G191" s="511">
        <f>IF(OR(A191="",E191=""),"",IF(C191="","",C191-E191))</f>
        <v/>
      </c>
      <c r="H191" s="380" t="inlineStr">
        <is>
          <t>Agent 09</t>
        </is>
      </c>
      <c r="I191" s="491" t="n"/>
      <c r="J191" s="492">
        <f>IF(AND(A191&lt;&gt;"",E191&lt;&gt;""),IF(I191="","⚠️ Enter Code",IF(IFERROR(VLOOKUP(H191,DB_Agents!$B:$I,8,0),"")=I191,IF(C191&gt;=E191,"Successful","Unsuccessful"),"🔒 BLOCKED — Wrong Code")),"—")</f>
        <v/>
      </c>
      <c r="K191" s="493">
        <f>IF(J191="Successful",TEXT(TODAY(),"YYYY-MM-DD")&amp;" Auto","—")</f>
        <v/>
      </c>
      <c r="L191" s="494" t="n"/>
    </row>
    <row r="192" ht="15" customHeight="1" s="341">
      <c r="A192" s="495" t="n"/>
      <c r="B192" s="382">
        <f>IF(A192="","",IFERROR(VLOOKUP(A192,DB_Customers!$A:$D,4,0),"❌ Account Not Found"))</f>
        <v/>
      </c>
      <c r="C192" s="496">
        <f>IF(A192="","",IFERROR(VLOOKUP(A192,DB_Customers!$A:$N,14,0),""))</f>
        <v/>
      </c>
      <c r="D192" s="497">
        <f>IF(A192="","",TODAY())</f>
        <v/>
      </c>
      <c r="E192" s="510" t="n"/>
      <c r="F192" s="382" t="n"/>
      <c r="G192" s="512">
        <f>IF(OR(A192="",E192=""),"",IF(C192="","",C192-E192))</f>
        <v/>
      </c>
      <c r="H192" s="384" t="inlineStr">
        <is>
          <t>Agent 09</t>
        </is>
      </c>
      <c r="I192" s="491" t="n"/>
      <c r="J192" s="499">
        <f>IF(AND(A192&lt;&gt;"",E192&lt;&gt;""),IF(I192="","⚠️ Enter Code",IF(IFERROR(VLOOKUP(H192,DB_Agents!$B:$I,8,0),"")=I192,IF(C192&gt;=E192,"Successful","Unsuccessful"),"🔒 BLOCKED — Wrong Code")),"—")</f>
        <v/>
      </c>
      <c r="K192" s="500">
        <f>IF(J192="Successful",TEXT(TODAY(),"YYYY-MM-DD")&amp;" Auto","—")</f>
        <v/>
      </c>
      <c r="L192" s="501" t="n"/>
    </row>
    <row r="193" ht="15" customHeight="1" s="341">
      <c r="A193" s="486" t="n"/>
      <c r="B193" s="378">
        <f>IF(A193="","",IFERROR(VLOOKUP(A193,DB_Customers!$A:$D,4,0),"❌ Account Not Found"))</f>
        <v/>
      </c>
      <c r="C193" s="487">
        <f>IF(A193="","",IFERROR(VLOOKUP(A193,DB_Customers!$A:$N,14,0),""))</f>
        <v/>
      </c>
      <c r="D193" s="488">
        <f>IF(A193="","",TODAY())</f>
        <v/>
      </c>
      <c r="E193" s="510" t="n"/>
      <c r="F193" s="378" t="n"/>
      <c r="G193" s="511">
        <f>IF(OR(A193="",E193=""),"",IF(C193="","",C193-E193))</f>
        <v/>
      </c>
      <c r="H193" s="380" t="inlineStr">
        <is>
          <t>Agent 09</t>
        </is>
      </c>
      <c r="I193" s="491" t="n"/>
      <c r="J193" s="492">
        <f>IF(AND(A193&lt;&gt;"",E193&lt;&gt;""),IF(I193="","⚠️ Enter Code",IF(IFERROR(VLOOKUP(H193,DB_Agents!$B:$I,8,0),"")=I193,IF(C193&gt;=E193,"Successful","Unsuccessful"),"🔒 BLOCKED — Wrong Code")),"—")</f>
        <v/>
      </c>
      <c r="K193" s="493">
        <f>IF(J193="Successful",TEXT(TODAY(),"YYYY-MM-DD")&amp;" Auto","—")</f>
        <v/>
      </c>
      <c r="L193" s="494" t="n"/>
    </row>
    <row r="194" ht="15" customHeight="1" s="341">
      <c r="A194" s="495" t="n"/>
      <c r="B194" s="382">
        <f>IF(A194="","",IFERROR(VLOOKUP(A194,DB_Customers!$A:$D,4,0),"❌ Account Not Found"))</f>
        <v/>
      </c>
      <c r="C194" s="496">
        <f>IF(A194="","",IFERROR(VLOOKUP(A194,DB_Customers!$A:$N,14,0),""))</f>
        <v/>
      </c>
      <c r="D194" s="497">
        <f>IF(A194="","",TODAY())</f>
        <v/>
      </c>
      <c r="E194" s="510" t="n"/>
      <c r="F194" s="382" t="n"/>
      <c r="G194" s="512">
        <f>IF(OR(A194="",E194=""),"",IF(C194="","",C194-E194))</f>
        <v/>
      </c>
      <c r="H194" s="384" t="inlineStr">
        <is>
          <t>Agent 09</t>
        </is>
      </c>
      <c r="I194" s="491" t="n"/>
      <c r="J194" s="499">
        <f>IF(AND(A194&lt;&gt;"",E194&lt;&gt;""),IF(I194="","⚠️ Enter Code",IF(IFERROR(VLOOKUP(H194,DB_Agents!$B:$I,8,0),"")=I194,IF(C194&gt;=E194,"Successful","Unsuccessful"),"🔒 BLOCKED — Wrong Code")),"—")</f>
        <v/>
      </c>
      <c r="K194" s="500">
        <f>IF(J194="Successful",TEXT(TODAY(),"YYYY-MM-DD")&amp;" Auto","—")</f>
        <v/>
      </c>
      <c r="L194" s="501" t="n"/>
    </row>
    <row r="195" ht="15" customHeight="1" s="341">
      <c r="A195" s="486" t="n"/>
      <c r="B195" s="378">
        <f>IF(A195="","",IFERROR(VLOOKUP(A195,DB_Customers!$A:$D,4,0),"❌ Account Not Found"))</f>
        <v/>
      </c>
      <c r="C195" s="487">
        <f>IF(A195="","",IFERROR(VLOOKUP(A195,DB_Customers!$A:$N,14,0),""))</f>
        <v/>
      </c>
      <c r="D195" s="488">
        <f>IF(A195="","",TODAY())</f>
        <v/>
      </c>
      <c r="E195" s="510" t="n"/>
      <c r="F195" s="378" t="n"/>
      <c r="G195" s="511">
        <f>IF(OR(A195="",E195=""),"",IF(C195="","",C195-E195))</f>
        <v/>
      </c>
      <c r="H195" s="380" t="inlineStr">
        <is>
          <t>Agent 09</t>
        </is>
      </c>
      <c r="I195" s="491" t="n"/>
      <c r="J195" s="492">
        <f>IF(AND(A195&lt;&gt;"",E195&lt;&gt;""),IF(I195="","⚠️ Enter Code",IF(IFERROR(VLOOKUP(H195,DB_Agents!$B:$I,8,0),"")=I195,IF(C195&gt;=E195,"Successful","Unsuccessful"),"🔒 BLOCKED — Wrong Code")),"—")</f>
        <v/>
      </c>
      <c r="K195" s="493">
        <f>IF(J195="Successful",TEXT(TODAY(),"YYYY-MM-DD")&amp;" Auto","—")</f>
        <v/>
      </c>
      <c r="L195" s="494" t="n"/>
    </row>
    <row r="196" ht="15" customHeight="1" s="341">
      <c r="A196" s="495" t="n"/>
      <c r="B196" s="382">
        <f>IF(A196="","",IFERROR(VLOOKUP(A196,DB_Customers!$A:$D,4,0),"❌ Account Not Found"))</f>
        <v/>
      </c>
      <c r="C196" s="496">
        <f>IF(A196="","",IFERROR(VLOOKUP(A196,DB_Customers!$A:$N,14,0),""))</f>
        <v/>
      </c>
      <c r="D196" s="497">
        <f>IF(A196="","",TODAY())</f>
        <v/>
      </c>
      <c r="E196" s="510" t="n"/>
      <c r="F196" s="382" t="n"/>
      <c r="G196" s="512">
        <f>IF(OR(A196="",E196=""),"",IF(C196="","",C196-E196))</f>
        <v/>
      </c>
      <c r="H196" s="384" t="inlineStr">
        <is>
          <t>Agent 09</t>
        </is>
      </c>
      <c r="I196" s="491" t="n"/>
      <c r="J196" s="499">
        <f>IF(AND(A196&lt;&gt;"",E196&lt;&gt;""),IF(I196="","⚠️ Enter Code",IF(IFERROR(VLOOKUP(H196,DB_Agents!$B:$I,8,0),"")=I196,IF(C196&gt;=E196,"Successful","Unsuccessful"),"🔒 BLOCKED — Wrong Code")),"—")</f>
        <v/>
      </c>
      <c r="K196" s="500">
        <f>IF(J196="Successful",TEXT(TODAY(),"YYYY-MM-DD")&amp;" Auto","—")</f>
        <v/>
      </c>
      <c r="L196" s="501" t="n"/>
    </row>
    <row r="197" ht="15" customHeight="1" s="341">
      <c r="A197" s="486" t="n"/>
      <c r="B197" s="378">
        <f>IF(A197="","",IFERROR(VLOOKUP(A197,DB_Customers!$A:$D,4,0),"❌ Account Not Found"))</f>
        <v/>
      </c>
      <c r="C197" s="487">
        <f>IF(A197="","",IFERROR(VLOOKUP(A197,DB_Customers!$A:$N,14,0),""))</f>
        <v/>
      </c>
      <c r="D197" s="488">
        <f>IF(A197="","",TODAY())</f>
        <v/>
      </c>
      <c r="E197" s="510" t="n"/>
      <c r="F197" s="378" t="n"/>
      <c r="G197" s="511">
        <f>IF(OR(A197="",E197=""),"",IF(C197="","",C197-E197))</f>
        <v/>
      </c>
      <c r="H197" s="380" t="inlineStr">
        <is>
          <t>Agent 09</t>
        </is>
      </c>
      <c r="I197" s="491" t="n"/>
      <c r="J197" s="492">
        <f>IF(AND(A197&lt;&gt;"",E197&lt;&gt;""),IF(I197="","⚠️ Enter Code",IF(IFERROR(VLOOKUP(H197,DB_Agents!$B:$I,8,0),"")=I197,IF(C197&gt;=E197,"Successful","Unsuccessful"),"🔒 BLOCKED — Wrong Code")),"—")</f>
        <v/>
      </c>
      <c r="K197" s="493">
        <f>IF(J197="Successful",TEXT(TODAY(),"YYYY-MM-DD")&amp;" Auto","—")</f>
        <v/>
      </c>
      <c r="L197" s="494" t="n"/>
    </row>
    <row r="198" ht="15" customHeight="1" s="341">
      <c r="A198" s="495" t="n"/>
      <c r="B198" s="382">
        <f>IF(A198="","",IFERROR(VLOOKUP(A198,DB_Customers!$A:$D,4,0),"❌ Account Not Found"))</f>
        <v/>
      </c>
      <c r="C198" s="496">
        <f>IF(A198="","",IFERROR(VLOOKUP(A198,DB_Customers!$A:$N,14,0),""))</f>
        <v/>
      </c>
      <c r="D198" s="497">
        <f>IF(A198="","",TODAY())</f>
        <v/>
      </c>
      <c r="E198" s="510" t="n"/>
      <c r="F198" s="382" t="n"/>
      <c r="G198" s="512">
        <f>IF(OR(A198="",E198=""),"",IF(C198="","",C198-E198))</f>
        <v/>
      </c>
      <c r="H198" s="384" t="inlineStr">
        <is>
          <t>Agent 09</t>
        </is>
      </c>
      <c r="I198" s="491" t="n"/>
      <c r="J198" s="499">
        <f>IF(AND(A198&lt;&gt;"",E198&lt;&gt;""),IF(I198="","⚠️ Enter Code",IF(IFERROR(VLOOKUP(H198,DB_Agents!$B:$I,8,0),"")=I198,IF(C198&gt;=E198,"Successful","Unsuccessful"),"🔒 BLOCKED — Wrong Code")),"—")</f>
        <v/>
      </c>
      <c r="K198" s="500">
        <f>IF(J198="Successful",TEXT(TODAY(),"YYYY-MM-DD")&amp;" Auto","—")</f>
        <v/>
      </c>
      <c r="L198" s="501" t="n"/>
    </row>
    <row r="199" ht="15" customHeight="1" s="341">
      <c r="A199" s="486" t="n"/>
      <c r="B199" s="378">
        <f>IF(A199="","",IFERROR(VLOOKUP(A199,DB_Customers!$A:$D,4,0),"❌ Account Not Found"))</f>
        <v/>
      </c>
      <c r="C199" s="487">
        <f>IF(A199="","",IFERROR(VLOOKUP(A199,DB_Customers!$A:$N,14,0),""))</f>
        <v/>
      </c>
      <c r="D199" s="488">
        <f>IF(A199="","",TODAY())</f>
        <v/>
      </c>
      <c r="E199" s="510" t="n"/>
      <c r="F199" s="378" t="n"/>
      <c r="G199" s="511">
        <f>IF(OR(A199="",E199=""),"",IF(C199="","",C199-E199))</f>
        <v/>
      </c>
      <c r="H199" s="380" t="inlineStr">
        <is>
          <t>Agent 09</t>
        </is>
      </c>
      <c r="I199" s="491" t="n"/>
      <c r="J199" s="492">
        <f>IF(AND(A199&lt;&gt;"",E199&lt;&gt;""),IF(I199="","⚠️ Enter Code",IF(IFERROR(VLOOKUP(H199,DB_Agents!$B:$I,8,0),"")=I199,IF(C199&gt;=E199,"Successful","Unsuccessful"),"🔒 BLOCKED — Wrong Code")),"—")</f>
        <v/>
      </c>
      <c r="K199" s="493">
        <f>IF(J199="Successful",TEXT(TODAY(),"YYYY-MM-DD")&amp;" Auto","—")</f>
        <v/>
      </c>
      <c r="L199" s="494" t="n"/>
    </row>
    <row r="200" ht="15" customHeight="1" s="341">
      <c r="A200" s="495" t="n"/>
      <c r="B200" s="382">
        <f>IF(A200="","",IFERROR(VLOOKUP(A200,DB_Customers!$A:$D,4,0),"❌ Account Not Found"))</f>
        <v/>
      </c>
      <c r="C200" s="496">
        <f>IF(A200="","",IFERROR(VLOOKUP(A200,DB_Customers!$A:$N,14,0),""))</f>
        <v/>
      </c>
      <c r="D200" s="497">
        <f>IF(A200="","",TODAY())</f>
        <v/>
      </c>
      <c r="E200" s="510" t="n"/>
      <c r="F200" s="382" t="n"/>
      <c r="G200" s="512">
        <f>IF(OR(A200="",E200=""),"",IF(C200="","",C200-E200))</f>
        <v/>
      </c>
      <c r="H200" s="384" t="inlineStr">
        <is>
          <t>Agent 09</t>
        </is>
      </c>
      <c r="I200" s="491" t="n"/>
      <c r="J200" s="499">
        <f>IF(AND(A200&lt;&gt;"",E200&lt;&gt;""),IF(I200="","⚠️ Enter Code",IF(IFERROR(VLOOKUP(H200,DB_Agents!$B:$I,8,0),"")=I200,IF(C200&gt;=E200,"Successful","Unsuccessful"),"🔒 BLOCKED — Wrong Code")),"—")</f>
        <v/>
      </c>
      <c r="K200" s="500">
        <f>IF(J200="Successful",TEXT(TODAY(),"YYYY-MM-DD")&amp;" Auto","—")</f>
        <v/>
      </c>
      <c r="L200" s="501" t="n"/>
    </row>
    <row r="201" ht="15" customHeight="1" s="341">
      <c r="A201" s="486" t="n"/>
      <c r="B201" s="378">
        <f>IF(A201="","",IFERROR(VLOOKUP(A201,DB_Customers!$A:$D,4,0),"❌ Account Not Found"))</f>
        <v/>
      </c>
      <c r="C201" s="487">
        <f>IF(A201="","",IFERROR(VLOOKUP(A201,DB_Customers!$A:$N,14,0),""))</f>
        <v/>
      </c>
      <c r="D201" s="488">
        <f>IF(A201="","",TODAY())</f>
        <v/>
      </c>
      <c r="E201" s="510" t="n"/>
      <c r="F201" s="378" t="n"/>
      <c r="G201" s="511">
        <f>IF(OR(A201="",E201=""),"",IF(C201="","",C201-E201))</f>
        <v/>
      </c>
      <c r="H201" s="380" t="inlineStr">
        <is>
          <t>Agent 09</t>
        </is>
      </c>
      <c r="I201" s="491" t="n"/>
      <c r="J201" s="492">
        <f>IF(AND(A201&lt;&gt;"",E201&lt;&gt;""),IF(I201="","⚠️ Enter Code",IF(IFERROR(VLOOKUP(H201,DB_Agents!$B:$I,8,0),"")=I201,IF(C201&gt;=E201,"Successful","Unsuccessful"),"🔒 BLOCKED — Wrong Code")),"—")</f>
        <v/>
      </c>
      <c r="K201" s="493">
        <f>IF(J201="Successful",TEXT(TODAY(),"YYYY-MM-DD")&amp;" Auto","—")</f>
        <v/>
      </c>
      <c r="L201" s="494" t="n"/>
    </row>
    <row r="202" ht="15" customHeight="1" s="341">
      <c r="A202" s="495" t="n"/>
      <c r="B202" s="382">
        <f>IF(A202="","",IFERROR(VLOOKUP(A202,DB_Customers!$A:$D,4,0),"❌ Account Not Found"))</f>
        <v/>
      </c>
      <c r="C202" s="496">
        <f>IF(A202="","",IFERROR(VLOOKUP(A202,DB_Customers!$A:$N,14,0),""))</f>
        <v/>
      </c>
      <c r="D202" s="497">
        <f>IF(A202="","",TODAY())</f>
        <v/>
      </c>
      <c r="E202" s="510" t="n"/>
      <c r="F202" s="382" t="n"/>
      <c r="G202" s="512">
        <f>IF(OR(A202="",E202=""),"",IF(C202="","",C202-E202))</f>
        <v/>
      </c>
      <c r="H202" s="384" t="inlineStr">
        <is>
          <t>Agent 09</t>
        </is>
      </c>
      <c r="I202" s="491" t="n"/>
      <c r="J202" s="499">
        <f>IF(AND(A202&lt;&gt;"",E202&lt;&gt;""),IF(I202="","⚠️ Enter Code",IF(IFERROR(VLOOKUP(H202,DB_Agents!$B:$I,8,0),"")=I202,IF(C202&gt;=E202,"Successful","Unsuccessful"),"🔒 BLOCKED — Wrong Code")),"—")</f>
        <v/>
      </c>
      <c r="K202" s="500">
        <f>IF(J202="Successful",TEXT(TODAY(),"YYYY-MM-DD")&amp;" Auto","—")</f>
        <v/>
      </c>
      <c r="L202" s="501" t="n"/>
    </row>
    <row r="203" ht="15" customHeight="1" s="341">
      <c r="A203" s="486" t="n"/>
      <c r="B203" s="378">
        <f>IF(A203="","",IFERROR(VLOOKUP(A203,DB_Customers!$A:$D,4,0),"❌ Account Not Found"))</f>
        <v/>
      </c>
      <c r="C203" s="487">
        <f>IF(A203="","",IFERROR(VLOOKUP(A203,DB_Customers!$A:$N,14,0),""))</f>
        <v/>
      </c>
      <c r="D203" s="488">
        <f>IF(A203="","",TODAY())</f>
        <v/>
      </c>
      <c r="E203" s="510" t="n"/>
      <c r="F203" s="378" t="n"/>
      <c r="G203" s="511">
        <f>IF(OR(A203="",E203=""),"",IF(C203="","",C203-E203))</f>
        <v/>
      </c>
      <c r="H203" s="380" t="inlineStr">
        <is>
          <t>Agent 09</t>
        </is>
      </c>
      <c r="I203" s="491" t="n"/>
      <c r="J203" s="492">
        <f>IF(AND(A203&lt;&gt;"",E203&lt;&gt;""),IF(I203="","⚠️ Enter Code",IF(IFERROR(VLOOKUP(H203,DB_Agents!$B:$I,8,0),"")=I203,IF(C203&gt;=E203,"Successful","Unsuccessful"),"🔒 BLOCKED — Wrong Code")),"—")</f>
        <v/>
      </c>
      <c r="K203" s="493">
        <f>IF(J203="Successful",TEXT(TODAY(),"YYYY-MM-DD")&amp;" Auto","—")</f>
        <v/>
      </c>
      <c r="L203" s="494" t="n"/>
    </row>
    <row r="204" ht="15" customHeight="1" s="341">
      <c r="A204" s="495" t="n"/>
      <c r="B204" s="382">
        <f>IF(A204="","",IFERROR(VLOOKUP(A204,DB_Customers!$A:$D,4,0),"❌ Account Not Found"))</f>
        <v/>
      </c>
      <c r="C204" s="496">
        <f>IF(A204="","",IFERROR(VLOOKUP(A204,DB_Customers!$A:$N,14,0),""))</f>
        <v/>
      </c>
      <c r="D204" s="497">
        <f>IF(A204="","",TODAY())</f>
        <v/>
      </c>
      <c r="E204" s="510" t="n"/>
      <c r="F204" s="382" t="n"/>
      <c r="G204" s="512">
        <f>IF(OR(A204="",E204=""),"",IF(C204="","",C204-E204))</f>
        <v/>
      </c>
      <c r="H204" s="384" t="inlineStr">
        <is>
          <t>Agent 09</t>
        </is>
      </c>
      <c r="I204" s="491" t="n"/>
      <c r="J204" s="499">
        <f>IF(AND(A204&lt;&gt;"",E204&lt;&gt;""),IF(I204="","⚠️ Enter Code",IF(IFERROR(VLOOKUP(H204,DB_Agents!$B:$I,8,0),"")=I204,IF(C204&gt;=E204,"Successful","Unsuccessful"),"🔒 BLOCKED — Wrong Code")),"—")</f>
        <v/>
      </c>
      <c r="K204" s="500">
        <f>IF(J204="Successful",TEXT(TODAY(),"YYYY-MM-DD")&amp;" Auto","—")</f>
        <v/>
      </c>
      <c r="L204" s="501" t="n"/>
    </row>
    <row r="205" ht="15" customHeight="1" s="341">
      <c r="A205" s="486" t="n"/>
      <c r="B205" s="378">
        <f>IF(A205="","",IFERROR(VLOOKUP(A205,DB_Customers!$A:$D,4,0),"❌ Account Not Found"))</f>
        <v/>
      </c>
      <c r="C205" s="487">
        <f>IF(A205="","",IFERROR(VLOOKUP(A205,DB_Customers!$A:$N,14,0),""))</f>
        <v/>
      </c>
      <c r="D205" s="488">
        <f>IF(A205="","",TODAY())</f>
        <v/>
      </c>
      <c r="E205" s="510" t="n"/>
      <c r="F205" s="378" t="n"/>
      <c r="G205" s="511">
        <f>IF(OR(A205="",E205=""),"",IF(C205="","",C205-E205))</f>
        <v/>
      </c>
      <c r="H205" s="380" t="inlineStr">
        <is>
          <t>Agent 09</t>
        </is>
      </c>
      <c r="I205" s="491" t="n"/>
      <c r="J205" s="492">
        <f>IF(AND(A205&lt;&gt;"",E205&lt;&gt;""),IF(I205="","⚠️ Enter Code",IF(IFERROR(VLOOKUP(H205,DB_Agents!$B:$I,8,0),"")=I205,IF(C205&gt;=E205,"Successful","Unsuccessful"),"🔒 BLOCKED — Wrong Code")),"—")</f>
        <v/>
      </c>
      <c r="K205" s="493">
        <f>IF(J205="Successful",TEXT(TODAY(),"YYYY-MM-DD")&amp;" Auto","—")</f>
        <v/>
      </c>
      <c r="L205" s="494" t="n"/>
    </row>
    <row r="206" ht="15" customHeight="1" s="341">
      <c r="A206" s="495" t="n"/>
      <c r="B206" s="382">
        <f>IF(A206="","",IFERROR(VLOOKUP(A206,DB_Customers!$A:$D,4,0),"❌ Account Not Found"))</f>
        <v/>
      </c>
      <c r="C206" s="496">
        <f>IF(A206="","",IFERROR(VLOOKUP(A206,DB_Customers!$A:$N,14,0),""))</f>
        <v/>
      </c>
      <c r="D206" s="497">
        <f>IF(A206="","",TODAY())</f>
        <v/>
      </c>
      <c r="E206" s="510" t="n"/>
      <c r="F206" s="382" t="n"/>
      <c r="G206" s="512">
        <f>IF(OR(A206="",E206=""),"",IF(C206="","",C206-E206))</f>
        <v/>
      </c>
      <c r="H206" s="384" t="inlineStr">
        <is>
          <t>Agent 09</t>
        </is>
      </c>
      <c r="I206" s="491" t="n"/>
      <c r="J206" s="499">
        <f>IF(AND(A206&lt;&gt;"",E206&lt;&gt;""),IF(I206="","⚠️ Enter Code",IF(IFERROR(VLOOKUP(H206,DB_Agents!$B:$I,8,0),"")=I206,IF(C206&gt;=E206,"Successful","Unsuccessful"),"🔒 BLOCKED — Wrong Code")),"—")</f>
        <v/>
      </c>
      <c r="K206" s="500">
        <f>IF(J206="Successful",TEXT(TODAY(),"YYYY-MM-DD")&amp;" Auto","—")</f>
        <v/>
      </c>
      <c r="L206" s="501" t="n"/>
    </row>
    <row r="207" ht="15" customHeight="1" s="341">
      <c r="A207" s="486" t="n"/>
      <c r="B207" s="378">
        <f>IF(A207="","",IFERROR(VLOOKUP(A207,DB_Customers!$A:$D,4,0),"❌ Account Not Found"))</f>
        <v/>
      </c>
      <c r="C207" s="487">
        <f>IF(A207="","",IFERROR(VLOOKUP(A207,DB_Customers!$A:$N,14,0),""))</f>
        <v/>
      </c>
      <c r="D207" s="488">
        <f>IF(A207="","",TODAY())</f>
        <v/>
      </c>
      <c r="E207" s="510" t="n"/>
      <c r="F207" s="378" t="n"/>
      <c r="G207" s="511">
        <f>IF(OR(A207="",E207=""),"",IF(C207="","",C207-E207))</f>
        <v/>
      </c>
      <c r="H207" s="380" t="inlineStr">
        <is>
          <t>Agent 09</t>
        </is>
      </c>
      <c r="I207" s="491" t="n"/>
      <c r="J207" s="492">
        <f>IF(AND(A207&lt;&gt;"",E207&lt;&gt;""),IF(I207="","⚠️ Enter Code",IF(IFERROR(VLOOKUP(H207,DB_Agents!$B:$I,8,0),"")=I207,IF(C207&gt;=E207,"Successful","Unsuccessful"),"🔒 BLOCKED — Wrong Code")),"—")</f>
        <v/>
      </c>
      <c r="K207" s="493">
        <f>IF(J207="Successful",TEXT(TODAY(),"YYYY-MM-DD")&amp;" Auto","—")</f>
        <v/>
      </c>
      <c r="L207" s="494" t="n"/>
    </row>
    <row r="208" ht="15" customHeight="1" s="341">
      <c r="A208" s="495" t="n"/>
      <c r="B208" s="382">
        <f>IF(A208="","",IFERROR(VLOOKUP(A208,DB_Customers!$A:$D,4,0),"❌ Account Not Found"))</f>
        <v/>
      </c>
      <c r="C208" s="496">
        <f>IF(A208="","",IFERROR(VLOOKUP(A208,DB_Customers!$A:$N,14,0),""))</f>
        <v/>
      </c>
      <c r="D208" s="497">
        <f>IF(A208="","",TODAY())</f>
        <v/>
      </c>
      <c r="E208" s="510" t="n"/>
      <c r="F208" s="382" t="n"/>
      <c r="G208" s="512">
        <f>IF(OR(A208="",E208=""),"",IF(C208="","",C208-E208))</f>
        <v/>
      </c>
      <c r="H208" s="384" t="inlineStr">
        <is>
          <t>Agent 09</t>
        </is>
      </c>
      <c r="I208" s="491" t="n"/>
      <c r="J208" s="499">
        <f>IF(AND(A208&lt;&gt;"",E208&lt;&gt;""),IF(I208="","⚠️ Enter Code",IF(IFERROR(VLOOKUP(H208,DB_Agents!$B:$I,8,0),"")=I208,IF(C208&gt;=E208,"Successful","Unsuccessful"),"🔒 BLOCKED — Wrong Code")),"—")</f>
        <v/>
      </c>
      <c r="K208" s="500">
        <f>IF(J208="Successful",TEXT(TODAY(),"YYYY-MM-DD")&amp;" Auto","—")</f>
        <v/>
      </c>
      <c r="L208" s="501" t="n"/>
    </row>
  </sheetData>
  <mergeCells count="8">
    <mergeCell ref="A1:M1"/>
    <mergeCell ref="A5:M5"/>
    <mergeCell ref="D4:F4"/>
    <mergeCell ref="D3:F3"/>
    <mergeCell ref="A3:C3"/>
    <mergeCell ref="A7:M7"/>
    <mergeCell ref="A4:C4"/>
    <mergeCell ref="A2:M2"/>
  </mergeCells>
  <conditionalFormatting sqref="I9:I208">
    <cfRule type="cellIs" rank="0" priority="2" equalAverage="0" operator="equal" aboveAverage="0" dxfId="0" text="" percent="0" bottom="0">
      <formula>"Successful"</formula>
    </cfRule>
    <cfRule type="cellIs" rank="0" priority="3" equalAverage="0" operator="equal" aboveAverage="0" dxfId="1" text="" percent="0" bottom="0">
      <formula>"Unsuccessful"</formula>
    </cfRule>
  </conditionalFormatting>
  <conditionalFormatting sqref="A9:K208">
    <cfRule type="expression" rank="0" priority="4" equalAverage="0" aboveAverage="0" dxfId="13" text="" percent="0" bottom="0">
      <formula>$I9="Unsuccessful"</formula>
    </cfRule>
  </conditionalFormatting>
  <conditionalFormatting sqref="G9:G208">
    <cfRule type="cellIs" rank="0" priority="5" equalAverage="0" operator="lessThan" aboveAverage="0" dxfId="1" text="" percent="0" bottom="0">
      <formula>0</formula>
    </cfRule>
  </conditionalFormatting>
  <dataValidations count="1">
    <dataValidation sqref="H9:H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2.xml><?xml version="1.0" encoding="utf-8"?>
<worksheet xmlns="http://schemas.openxmlformats.org/spreadsheetml/2006/main">
  <sheetPr filterMode="0">
    <tabColor rgb="FFE67E22"/>
    <outlinePr summaryBelow="1" summaryRight="1"/>
    <pageSetUpPr fitToPage="0"/>
  </sheetPr>
  <dimension ref="A1:N213"/>
  <sheetViews>
    <sheetView showFormulas="0" showGridLines="1" showRowColHeaders="1" showZeros="1" rightToLeft="0" tabSelected="0" showOutlineSymbols="1" defaultGridColor="1" view="normal" topLeftCell="A1" colorId="64" zoomScale="100" zoomScaleNormal="100" zoomScalePageLayoutView="100" workbookViewId="0">
      <pane xSplit="0" ySplit="13" topLeftCell="A1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22" customWidth="1" style="340" min="1" max="1"/>
    <col width="16" customWidth="1" style="340" min="2" max="2"/>
    <col width="22" customWidth="1" style="340" min="3" max="3"/>
    <col width="13" customWidth="1" style="340" min="4" max="4"/>
    <col width="14" customWidth="1" style="340" min="5" max="5"/>
    <col width="22" customWidth="1" style="340" min="6" max="6"/>
    <col width="9" customWidth="1" style="340" min="7" max="7"/>
    <col width="8" customWidth="1" style="340" min="8" max="8"/>
    <col width="16" customWidth="1" style="340" min="9" max="9"/>
    <col width="15" customWidth="1" style="340" min="10" max="10"/>
    <col width="14" customWidth="1" style="340" min="11" max="11"/>
    <col width="12" customWidth="1" style="340" min="12" max="12"/>
    <col width="14" customWidth="1" style="340" min="13" max="13"/>
  </cols>
  <sheetData>
    <row r="1" ht="31.5" customHeight="1" s="341">
      <c r="A1" s="513" t="inlineStr">
        <is>
          <t>🏦  SAMICIOUS MICROFINANCE — AGENT09 LOAN REQUESTS</t>
        </is>
      </c>
    </row>
    <row r="2" ht="19.5" customHeight="1" s="341">
      <c r="A2" s="514" t="inlineStr">
        <is>
          <t>Total Repayable = Loan Amount + (Loan Amount × Rate% × Months) | Status: Pending → Approved when credited</t>
        </is>
      </c>
    </row>
    <row r="4" ht="21.75" customHeight="1" s="341">
      <c r="A4" s="515" t="inlineStr">
        <is>
          <t>🔢  INSTANT LOAN CALCULATOR</t>
        </is>
      </c>
    </row>
    <row r="5" ht="19.5" customHeight="1" s="341">
      <c r="A5" s="516" t="inlineStr">
        <is>
          <t>Loan Amount (GHC):</t>
        </is>
      </c>
      <c r="B5" s="517" t="n"/>
      <c r="C5" s="453" t="n"/>
      <c r="D5" s="518" t="n"/>
    </row>
    <row r="6" ht="19.5" customHeight="1" s="341">
      <c r="A6" s="516" t="inlineStr">
        <is>
          <t>Duration (Months):</t>
        </is>
      </c>
      <c r="B6" s="517" t="n"/>
      <c r="C6" s="453" t="n"/>
      <c r="D6" s="518" t="n"/>
    </row>
    <row r="7" ht="19.5" customHeight="1" s="341">
      <c r="A7" s="519" t="inlineStr">
        <is>
          <t>Interest Rate (%/month):</t>
        </is>
      </c>
      <c r="B7" s="520" t="n">
        <v>2.5</v>
      </c>
      <c r="C7" s="393" t="n"/>
      <c r="D7" s="521" t="n"/>
    </row>
    <row r="8" ht="19.5" customHeight="1" s="341">
      <c r="A8" s="519" t="inlineStr">
        <is>
          <t>━ Total Interest:</t>
        </is>
      </c>
      <c r="B8" s="522">
        <f>IF(B5="","",B5*B7/100*B6)</f>
        <v/>
      </c>
      <c r="C8" s="393" t="n"/>
      <c r="D8" s="521" t="n"/>
    </row>
    <row r="9" ht="19.5" customHeight="1" s="341">
      <c r="A9" s="519" t="n"/>
      <c r="B9" s="523">
        <f>IF(B5="","",B5+(B5*B7/100*B6))</f>
        <v/>
      </c>
      <c r="C9" s="393" t="n"/>
      <c r="D9" s="521" t="n"/>
    </row>
    <row r="10" ht="19.5" customHeight="1" s="341">
      <c r="A10" s="519" t="n"/>
      <c r="B10" s="523">
        <f>IFERROR(B9/B6,"")</f>
        <v/>
      </c>
      <c r="C10" s="393" t="n"/>
      <c r="D10" s="521" t="n"/>
    </row>
    <row r="11" ht="7.5" customHeight="1" s="341"/>
    <row r="12" ht="21.75" customHeight="1" s="341">
      <c r="A12" s="524" t="n"/>
    </row>
    <row r="13" ht="19.5" customHeight="1" s="341">
      <c r="A13" s="525" t="n"/>
      <c r="B13" s="525" t="n"/>
      <c r="C13" s="525" t="n"/>
      <c r="D13" s="525" t="n"/>
      <c r="E13" s="525" t="n"/>
      <c r="F13" s="525" t="n"/>
      <c r="G13" s="525" t="n"/>
      <c r="H13" s="525" t="n"/>
      <c r="I13" s="525" t="n"/>
      <c r="J13" s="525" t="n"/>
      <c r="K13" s="525" t="n"/>
      <c r="L13" s="525" t="inlineStr">
        <is>
          <t>Agent</t>
        </is>
      </c>
      <c r="M13" s="485" t="n"/>
      <c r="N13" s="525" t="n"/>
    </row>
    <row r="14" ht="15" customHeight="1" s="341">
      <c r="A14" s="499">
        <f>IF(B14="","",IF(C14="❌ Account Not Found","INVALID","LN"&amp;TEXT(D14,"YYYYMMDD")&amp;TEXT(ROW()-13,"0000")))</f>
        <v/>
      </c>
      <c r="B14" s="495" t="n"/>
      <c r="C14" s="382">
        <f>IF(B14="","",IFERROR(VLOOKUP(B14,DB_Customers!$A:$D,4,0),"❌ Account Not Found"))</f>
        <v/>
      </c>
      <c r="D14" s="497">
        <f>IF(B14="","",TODAY())</f>
        <v/>
      </c>
      <c r="E14" s="526" t="n"/>
      <c r="F14" s="382" t="n"/>
      <c r="G14" s="527" t="n"/>
      <c r="H14" s="528" t="n"/>
      <c r="I14" s="529">
        <f>IF(E14="","",E14+(E14*H14/100*G14))</f>
        <v/>
      </c>
      <c r="J14" s="530">
        <f>IFERROR(I14/G14,"")</f>
        <v/>
      </c>
      <c r="K14" s="531">
        <f>IF(B14="","Pending",IF(M14="","⚠️ Enter Code",IF(IFERROR(VLOOKUP(L14,DB_Agents!$B:$I,8,0),"")=M14,"Pending","🔒 BLOCKED — Wrong Code")))</f>
        <v/>
      </c>
      <c r="L14" s="384" t="inlineStr">
        <is>
          <t>Agent 09</t>
        </is>
      </c>
      <c r="M14" s="491" t="n"/>
      <c r="N14" s="501" t="n"/>
    </row>
    <row r="15" ht="15" customHeight="1" s="341">
      <c r="A15" s="492">
        <f>IF(B15="","",IF(C15="❌ Account Not Found","INVALID","LN"&amp;TEXT(D15,"YYYYMMDD")&amp;TEXT(ROW()-13,"0000")))</f>
        <v/>
      </c>
      <c r="B15" s="486" t="n"/>
      <c r="C15" s="378">
        <f>IF(B15="","",IFERROR(VLOOKUP(B15,DB_Customers!$A:$D,4,0),"❌ Account Not Found"))</f>
        <v/>
      </c>
      <c r="D15" s="488">
        <f>IF(B15="","",TODAY())</f>
        <v/>
      </c>
      <c r="E15" s="526" t="n"/>
      <c r="F15" s="378" t="n"/>
      <c r="G15" s="532" t="n"/>
      <c r="H15" s="533" t="n"/>
      <c r="I15" s="529">
        <f>IF(E15="","",E15+(E15*H15/100*G15))</f>
        <v/>
      </c>
      <c r="J15" s="534">
        <f>IFERROR(I15/G15,"")</f>
        <v/>
      </c>
      <c r="K15" s="535">
        <f>IF(B15="","Pending",IF(M15="","⚠️ Enter Code",IF(IFERROR(VLOOKUP(L15,DB_Agents!$B:$I,8,0),"")=M15,"Pending","🔒 BLOCKED — Wrong Code")))</f>
        <v/>
      </c>
      <c r="L15" s="380" t="inlineStr">
        <is>
          <t>Agent 09</t>
        </is>
      </c>
      <c r="M15" s="491" t="n"/>
      <c r="N15" s="494" t="n"/>
    </row>
    <row r="16" ht="15" customHeight="1" s="341">
      <c r="A16" s="499">
        <f>IF(B16="","",IF(C16="❌ Account Not Found","INVALID","LN"&amp;TEXT(D16,"YYYYMMDD")&amp;TEXT(ROW()-13,"0000")))</f>
        <v/>
      </c>
      <c r="B16" s="495" t="n"/>
      <c r="C16" s="382">
        <f>IF(B16="","",IFERROR(VLOOKUP(B16,DB_Customers!$A:$D,4,0),"❌ Account Not Found"))</f>
        <v/>
      </c>
      <c r="D16" s="497">
        <f>IF(B16="","",TODAY())</f>
        <v/>
      </c>
      <c r="E16" s="526" t="n"/>
      <c r="F16" s="382" t="n"/>
      <c r="G16" s="527" t="n"/>
      <c r="H16" s="528" t="n"/>
      <c r="I16" s="529">
        <f>IF(E16="","",E16+(E16*H16/100*G16))</f>
        <v/>
      </c>
      <c r="J16" s="530">
        <f>IFERROR(I16/G16,"")</f>
        <v/>
      </c>
      <c r="K16" s="531">
        <f>IF(B16="","Pending",IF(M16="","⚠️ Enter Code",IF(IFERROR(VLOOKUP(L16,DB_Agents!$B:$I,8,0),"")=M16,"Pending","🔒 BLOCKED — Wrong Code")))</f>
        <v/>
      </c>
      <c r="L16" s="384" t="inlineStr">
        <is>
          <t>Agent 09</t>
        </is>
      </c>
      <c r="M16" s="491" t="n"/>
      <c r="N16" s="501" t="n"/>
    </row>
    <row r="17" ht="15" customHeight="1" s="341">
      <c r="A17" s="492">
        <f>IF(B17="","",IF(C17="❌ Account Not Found","INVALID","LN"&amp;TEXT(D17,"YYYYMMDD")&amp;TEXT(ROW()-13,"0000")))</f>
        <v/>
      </c>
      <c r="B17" s="486" t="n"/>
      <c r="C17" s="378">
        <f>IF(B17="","",IFERROR(VLOOKUP(B17,DB_Customers!$A:$D,4,0),"❌ Account Not Found"))</f>
        <v/>
      </c>
      <c r="D17" s="488">
        <f>IF(B17="","",TODAY())</f>
        <v/>
      </c>
      <c r="E17" s="526" t="n"/>
      <c r="F17" s="378" t="n"/>
      <c r="G17" s="532" t="n"/>
      <c r="H17" s="533" t="n"/>
      <c r="I17" s="529">
        <f>IF(E17="","",E17+(E17*H17/100*G17))</f>
        <v/>
      </c>
      <c r="J17" s="534">
        <f>IFERROR(I17/G17,"")</f>
        <v/>
      </c>
      <c r="K17" s="535">
        <f>IF(B17="","Pending",IF(M17="","⚠️ Enter Code",IF(IFERROR(VLOOKUP(L17,DB_Agents!$B:$I,8,0),"")=M17,"Pending","🔒 BLOCKED — Wrong Code")))</f>
        <v/>
      </c>
      <c r="L17" s="380" t="inlineStr">
        <is>
          <t>Agent 09</t>
        </is>
      </c>
      <c r="M17" s="491" t="n"/>
      <c r="N17" s="494" t="n"/>
    </row>
    <row r="18" ht="15" customHeight="1" s="341">
      <c r="A18" s="499">
        <f>IF(B18="","",IF(C18="❌ Account Not Found","INVALID","LN"&amp;TEXT(D18,"YYYYMMDD")&amp;TEXT(ROW()-13,"0000")))</f>
        <v/>
      </c>
      <c r="B18" s="495" t="n"/>
      <c r="C18" s="382">
        <f>IF(B18="","",IFERROR(VLOOKUP(B18,DB_Customers!$A:$D,4,0),"❌ Account Not Found"))</f>
        <v/>
      </c>
      <c r="D18" s="497">
        <f>IF(B18="","",TODAY())</f>
        <v/>
      </c>
      <c r="E18" s="526" t="n"/>
      <c r="F18" s="382" t="n"/>
      <c r="G18" s="527" t="n"/>
      <c r="H18" s="528" t="n"/>
      <c r="I18" s="529">
        <f>IF(E18="","",E18+(E18*H18/100*G18))</f>
        <v/>
      </c>
      <c r="J18" s="530">
        <f>IFERROR(I18/G18,"")</f>
        <v/>
      </c>
      <c r="K18" s="531">
        <f>IF(B18="","Pending",IF(M18="","⚠️ Enter Code",IF(IFERROR(VLOOKUP(L18,DB_Agents!$B:$I,8,0),"")=M18,"Pending","🔒 BLOCKED — Wrong Code")))</f>
        <v/>
      </c>
      <c r="L18" s="384" t="inlineStr">
        <is>
          <t>Agent 09</t>
        </is>
      </c>
      <c r="M18" s="491" t="n"/>
      <c r="N18" s="501" t="n"/>
    </row>
    <row r="19" ht="15" customHeight="1" s="341">
      <c r="A19" s="492">
        <f>IF(B19="","",IF(C19="❌ Account Not Found","INVALID","LN"&amp;TEXT(D19,"YYYYMMDD")&amp;TEXT(ROW()-13,"0000")))</f>
        <v/>
      </c>
      <c r="B19" s="486" t="n"/>
      <c r="C19" s="378">
        <f>IF(B19="","",IFERROR(VLOOKUP(B19,DB_Customers!$A:$D,4,0),"❌ Account Not Found"))</f>
        <v/>
      </c>
      <c r="D19" s="488">
        <f>IF(B19="","",TODAY())</f>
        <v/>
      </c>
      <c r="E19" s="526" t="n"/>
      <c r="F19" s="378" t="n"/>
      <c r="G19" s="532" t="n"/>
      <c r="H19" s="533" t="n"/>
      <c r="I19" s="529">
        <f>IF(E19="","",E19+(E19*H19/100*G19))</f>
        <v/>
      </c>
      <c r="J19" s="534">
        <f>IFERROR(I19/G19,"")</f>
        <v/>
      </c>
      <c r="K19" s="535">
        <f>IF(B19="","Pending",IF(M19="","⚠️ Enter Code",IF(IFERROR(VLOOKUP(L19,DB_Agents!$B:$I,8,0),"")=M19,"Pending","🔒 BLOCKED — Wrong Code")))</f>
        <v/>
      </c>
      <c r="L19" s="380" t="inlineStr">
        <is>
          <t>Agent 09</t>
        </is>
      </c>
      <c r="M19" s="491" t="n"/>
      <c r="N19" s="494" t="n"/>
    </row>
    <row r="20" ht="15" customHeight="1" s="341">
      <c r="A20" s="499">
        <f>IF(B20="","",IF(C20="❌ Account Not Found","INVALID","LN"&amp;TEXT(D20,"YYYYMMDD")&amp;TEXT(ROW()-13,"0000")))</f>
        <v/>
      </c>
      <c r="B20" s="495" t="n"/>
      <c r="C20" s="382">
        <f>IF(B20="","",IFERROR(VLOOKUP(B20,DB_Customers!$A:$D,4,0),"❌ Account Not Found"))</f>
        <v/>
      </c>
      <c r="D20" s="497">
        <f>IF(B20="","",TODAY())</f>
        <v/>
      </c>
      <c r="E20" s="526" t="n"/>
      <c r="F20" s="382" t="n"/>
      <c r="G20" s="527" t="n"/>
      <c r="H20" s="528" t="n"/>
      <c r="I20" s="529">
        <f>IF(E20="","",E20+(E20*H20/100*G20))</f>
        <v/>
      </c>
      <c r="J20" s="530">
        <f>IFERROR(I20/G20,"")</f>
        <v/>
      </c>
      <c r="K20" s="531">
        <f>IF(B20="","Pending",IF(M20="","⚠️ Enter Code",IF(IFERROR(VLOOKUP(L20,DB_Agents!$B:$I,8,0),"")=M20,"Pending","🔒 BLOCKED — Wrong Code")))</f>
        <v/>
      </c>
      <c r="L20" s="384" t="inlineStr">
        <is>
          <t>Agent 09</t>
        </is>
      </c>
      <c r="M20" s="491" t="n"/>
      <c r="N20" s="501" t="n"/>
    </row>
    <row r="21" ht="15" customHeight="1" s="341">
      <c r="A21" s="492">
        <f>IF(B21="","",IF(C21="❌ Account Not Found","INVALID","LN"&amp;TEXT(D21,"YYYYMMDD")&amp;TEXT(ROW()-13,"0000")))</f>
        <v/>
      </c>
      <c r="B21" s="486" t="n"/>
      <c r="C21" s="378">
        <f>IF(B21="","",IFERROR(VLOOKUP(B21,DB_Customers!$A:$D,4,0),"❌ Account Not Found"))</f>
        <v/>
      </c>
      <c r="D21" s="488">
        <f>IF(B21="","",TODAY())</f>
        <v/>
      </c>
      <c r="E21" s="526" t="n"/>
      <c r="F21" s="378" t="n"/>
      <c r="G21" s="532" t="n"/>
      <c r="H21" s="533" t="n"/>
      <c r="I21" s="529">
        <f>IF(E21="","",E21+(E21*H21/100*G21))</f>
        <v/>
      </c>
      <c r="J21" s="534">
        <f>IFERROR(I21/G21,"")</f>
        <v/>
      </c>
      <c r="K21" s="535">
        <f>IF(B21="","Pending",IF(M21="","⚠️ Enter Code",IF(IFERROR(VLOOKUP(L21,DB_Agents!$B:$I,8,0),"")=M21,"Pending","🔒 BLOCKED — Wrong Code")))</f>
        <v/>
      </c>
      <c r="L21" s="380" t="inlineStr">
        <is>
          <t>Agent 09</t>
        </is>
      </c>
      <c r="M21" s="491" t="n"/>
      <c r="N21" s="494" t="n"/>
    </row>
    <row r="22" ht="15" customHeight="1" s="341">
      <c r="A22" s="499">
        <f>IF(B22="","",IF(C22="❌ Account Not Found","INVALID","LN"&amp;TEXT(D22,"YYYYMMDD")&amp;TEXT(ROW()-13,"0000")))</f>
        <v/>
      </c>
      <c r="B22" s="495" t="n"/>
      <c r="C22" s="382">
        <f>IF(B22="","",IFERROR(VLOOKUP(B22,DB_Customers!$A:$D,4,0),"❌ Account Not Found"))</f>
        <v/>
      </c>
      <c r="D22" s="497">
        <f>IF(B22="","",TODAY())</f>
        <v/>
      </c>
      <c r="E22" s="526" t="n"/>
      <c r="F22" s="382" t="n"/>
      <c r="G22" s="527" t="n"/>
      <c r="H22" s="528" t="n"/>
      <c r="I22" s="529">
        <f>IF(E22="","",E22+(E22*H22/100*G22))</f>
        <v/>
      </c>
      <c r="J22" s="530">
        <f>IFERROR(I22/G22,"")</f>
        <v/>
      </c>
      <c r="K22" s="531">
        <f>IF(B22="","Pending",IF(M22="","⚠️ Enter Code",IF(IFERROR(VLOOKUP(L22,DB_Agents!$B:$I,8,0),"")=M22,"Pending","🔒 BLOCKED — Wrong Code")))</f>
        <v/>
      </c>
      <c r="L22" s="384" t="inlineStr">
        <is>
          <t>Agent 09</t>
        </is>
      </c>
      <c r="M22" s="491" t="n"/>
      <c r="N22" s="501" t="n"/>
    </row>
    <row r="23" ht="15" customHeight="1" s="341">
      <c r="A23" s="492">
        <f>IF(B23="","",IF(C23="❌ Account Not Found","INVALID","LN"&amp;TEXT(D23,"YYYYMMDD")&amp;TEXT(ROW()-13,"0000")))</f>
        <v/>
      </c>
      <c r="B23" s="486" t="n"/>
      <c r="C23" s="378">
        <f>IF(B23="","",IFERROR(VLOOKUP(B23,DB_Customers!$A:$D,4,0),"❌ Account Not Found"))</f>
        <v/>
      </c>
      <c r="D23" s="488">
        <f>IF(B23="","",TODAY())</f>
        <v/>
      </c>
      <c r="E23" s="526" t="n"/>
      <c r="F23" s="378" t="n"/>
      <c r="G23" s="532" t="n"/>
      <c r="H23" s="533" t="n"/>
      <c r="I23" s="529">
        <f>IF(E23="","",E23+(E23*H23/100*G23))</f>
        <v/>
      </c>
      <c r="J23" s="534">
        <f>IFERROR(I23/G23,"")</f>
        <v/>
      </c>
      <c r="K23" s="535">
        <f>IF(B23="","Pending",IF(M23="","⚠️ Enter Code",IF(IFERROR(VLOOKUP(L23,DB_Agents!$B:$I,8,0),"")=M23,"Pending","🔒 BLOCKED — Wrong Code")))</f>
        <v/>
      </c>
      <c r="L23" s="380" t="inlineStr">
        <is>
          <t>Agent 09</t>
        </is>
      </c>
      <c r="M23" s="491" t="n"/>
      <c r="N23" s="494" t="n"/>
    </row>
    <row r="24" ht="15" customHeight="1" s="341">
      <c r="A24" s="499">
        <f>IF(B24="","",IF(C24="❌ Account Not Found","INVALID","LN"&amp;TEXT(D24,"YYYYMMDD")&amp;TEXT(ROW()-13,"0000")))</f>
        <v/>
      </c>
      <c r="B24" s="495" t="n"/>
      <c r="C24" s="382">
        <f>IF(B24="","",IFERROR(VLOOKUP(B24,DB_Customers!$A:$D,4,0),"❌ Account Not Found"))</f>
        <v/>
      </c>
      <c r="D24" s="497">
        <f>IF(B24="","",TODAY())</f>
        <v/>
      </c>
      <c r="E24" s="526" t="n"/>
      <c r="F24" s="382" t="n"/>
      <c r="G24" s="527" t="n"/>
      <c r="H24" s="528" t="n"/>
      <c r="I24" s="529">
        <f>IF(E24="","",E24+(E24*H24/100*G24))</f>
        <v/>
      </c>
      <c r="J24" s="530">
        <f>IFERROR(I24/G24,"")</f>
        <v/>
      </c>
      <c r="K24" s="531">
        <f>IF(B24="","Pending",IF(M24="","⚠️ Enter Code",IF(IFERROR(VLOOKUP(L24,DB_Agents!$B:$I,8,0),"")=M24,"Pending","🔒 BLOCKED — Wrong Code")))</f>
        <v/>
      </c>
      <c r="L24" s="384" t="inlineStr">
        <is>
          <t>Agent 09</t>
        </is>
      </c>
      <c r="M24" s="491" t="n"/>
      <c r="N24" s="501" t="n"/>
    </row>
    <row r="25" ht="15" customHeight="1" s="341">
      <c r="A25" s="492">
        <f>IF(B25="","",IF(C25="❌ Account Not Found","INVALID","LN"&amp;TEXT(D25,"YYYYMMDD")&amp;TEXT(ROW()-13,"0000")))</f>
        <v/>
      </c>
      <c r="B25" s="486" t="n"/>
      <c r="C25" s="378">
        <f>IF(B25="","",IFERROR(VLOOKUP(B25,DB_Customers!$A:$D,4,0),"❌ Account Not Found"))</f>
        <v/>
      </c>
      <c r="D25" s="488">
        <f>IF(B25="","",TODAY())</f>
        <v/>
      </c>
      <c r="E25" s="526" t="n"/>
      <c r="F25" s="378" t="n"/>
      <c r="G25" s="532" t="n"/>
      <c r="H25" s="533" t="n"/>
      <c r="I25" s="529">
        <f>IF(E25="","",E25+(E25*H25/100*G25))</f>
        <v/>
      </c>
      <c r="J25" s="534">
        <f>IFERROR(I25/G25,"")</f>
        <v/>
      </c>
      <c r="K25" s="535">
        <f>IF(B25="","Pending",IF(M25="","⚠️ Enter Code",IF(IFERROR(VLOOKUP(L25,DB_Agents!$B:$I,8,0),"")=M25,"Pending","🔒 BLOCKED — Wrong Code")))</f>
        <v/>
      </c>
      <c r="L25" s="380" t="inlineStr">
        <is>
          <t>Agent 09</t>
        </is>
      </c>
      <c r="M25" s="491" t="n"/>
      <c r="N25" s="494" t="n"/>
    </row>
    <row r="26" ht="15" customHeight="1" s="341">
      <c r="A26" s="499">
        <f>IF(B26="","",IF(C26="❌ Account Not Found","INVALID","LN"&amp;TEXT(D26,"YYYYMMDD")&amp;TEXT(ROW()-13,"0000")))</f>
        <v/>
      </c>
      <c r="B26" s="495" t="n"/>
      <c r="C26" s="382">
        <f>IF(B26="","",IFERROR(VLOOKUP(B26,DB_Customers!$A:$D,4,0),"❌ Account Not Found"))</f>
        <v/>
      </c>
      <c r="D26" s="497">
        <f>IF(B26="","",TODAY())</f>
        <v/>
      </c>
      <c r="E26" s="526" t="n"/>
      <c r="F26" s="382" t="n"/>
      <c r="G26" s="527" t="n"/>
      <c r="H26" s="528" t="n"/>
      <c r="I26" s="529">
        <f>IF(E26="","",E26+(E26*H26/100*G26))</f>
        <v/>
      </c>
      <c r="J26" s="530">
        <f>IFERROR(I26/G26,"")</f>
        <v/>
      </c>
      <c r="K26" s="531">
        <f>IF(B26="","Pending",IF(M26="","⚠️ Enter Code",IF(IFERROR(VLOOKUP(L26,DB_Agents!$B:$I,8,0),"")=M26,"Pending","🔒 BLOCKED — Wrong Code")))</f>
        <v/>
      </c>
      <c r="L26" s="384" t="inlineStr">
        <is>
          <t>Agent 09</t>
        </is>
      </c>
      <c r="M26" s="491" t="n"/>
      <c r="N26" s="501" t="n"/>
    </row>
    <row r="27" ht="15" customHeight="1" s="341">
      <c r="A27" s="492">
        <f>IF(B27="","",IF(C27="❌ Account Not Found","INVALID","LN"&amp;TEXT(D27,"YYYYMMDD")&amp;TEXT(ROW()-13,"0000")))</f>
        <v/>
      </c>
      <c r="B27" s="486" t="n"/>
      <c r="C27" s="378">
        <f>IF(B27="","",IFERROR(VLOOKUP(B27,DB_Customers!$A:$D,4,0),"❌ Account Not Found"))</f>
        <v/>
      </c>
      <c r="D27" s="488">
        <f>IF(B27="","",TODAY())</f>
        <v/>
      </c>
      <c r="E27" s="526" t="n"/>
      <c r="F27" s="378" t="n"/>
      <c r="G27" s="532" t="n"/>
      <c r="H27" s="533" t="n"/>
      <c r="I27" s="529">
        <f>IF(E27="","",E27+(E27*H27/100*G27))</f>
        <v/>
      </c>
      <c r="J27" s="534">
        <f>IFERROR(I27/G27,"")</f>
        <v/>
      </c>
      <c r="K27" s="535">
        <f>IF(B27="","Pending",IF(M27="","⚠️ Enter Code",IF(IFERROR(VLOOKUP(L27,DB_Agents!$B:$I,8,0),"")=M27,"Pending","🔒 BLOCKED — Wrong Code")))</f>
        <v/>
      </c>
      <c r="L27" s="380" t="inlineStr">
        <is>
          <t>Agent 09</t>
        </is>
      </c>
      <c r="M27" s="491" t="n"/>
      <c r="N27" s="494" t="n"/>
    </row>
    <row r="28" ht="15" customHeight="1" s="341">
      <c r="A28" s="499">
        <f>IF(B28="","",IF(C28="❌ Account Not Found","INVALID","LN"&amp;TEXT(D28,"YYYYMMDD")&amp;TEXT(ROW()-13,"0000")))</f>
        <v/>
      </c>
      <c r="B28" s="495" t="n"/>
      <c r="C28" s="382">
        <f>IF(B28="","",IFERROR(VLOOKUP(B28,DB_Customers!$A:$D,4,0),"❌ Account Not Found"))</f>
        <v/>
      </c>
      <c r="D28" s="497">
        <f>IF(B28="","",TODAY())</f>
        <v/>
      </c>
      <c r="E28" s="526" t="n"/>
      <c r="F28" s="382" t="n"/>
      <c r="G28" s="527" t="n"/>
      <c r="H28" s="528" t="n"/>
      <c r="I28" s="529">
        <f>IF(E28="","",E28+(E28*H28/100*G28))</f>
        <v/>
      </c>
      <c r="J28" s="530">
        <f>IFERROR(I28/G28,"")</f>
        <v/>
      </c>
      <c r="K28" s="531">
        <f>IF(B28="","Pending",IF(M28="","⚠️ Enter Code",IF(IFERROR(VLOOKUP(L28,DB_Agents!$B:$I,8,0),"")=M28,"Pending","🔒 BLOCKED — Wrong Code")))</f>
        <v/>
      </c>
      <c r="L28" s="384" t="inlineStr">
        <is>
          <t>Agent 09</t>
        </is>
      </c>
      <c r="M28" s="491" t="n"/>
      <c r="N28" s="501" t="n"/>
    </row>
    <row r="29" ht="15" customHeight="1" s="341">
      <c r="A29" s="492">
        <f>IF(B29="","",IF(C29="❌ Account Not Found","INVALID","LN"&amp;TEXT(D29,"YYYYMMDD")&amp;TEXT(ROW()-13,"0000")))</f>
        <v/>
      </c>
      <c r="B29" s="486" t="n"/>
      <c r="C29" s="378">
        <f>IF(B29="","",IFERROR(VLOOKUP(B29,DB_Customers!$A:$D,4,0),"❌ Account Not Found"))</f>
        <v/>
      </c>
      <c r="D29" s="488">
        <f>IF(B29="","",TODAY())</f>
        <v/>
      </c>
      <c r="E29" s="526" t="n"/>
      <c r="F29" s="378" t="n"/>
      <c r="G29" s="532" t="n"/>
      <c r="H29" s="533" t="n"/>
      <c r="I29" s="529">
        <f>IF(E29="","",E29+(E29*H29/100*G29))</f>
        <v/>
      </c>
      <c r="J29" s="534">
        <f>IFERROR(I29/G29,"")</f>
        <v/>
      </c>
      <c r="K29" s="535">
        <f>IF(B29="","Pending",IF(M29="","⚠️ Enter Code",IF(IFERROR(VLOOKUP(L29,DB_Agents!$B:$I,8,0),"")=M29,"Pending","🔒 BLOCKED — Wrong Code")))</f>
        <v/>
      </c>
      <c r="L29" s="380" t="inlineStr">
        <is>
          <t>Agent 09</t>
        </is>
      </c>
      <c r="M29" s="491" t="n"/>
      <c r="N29" s="494" t="n"/>
    </row>
    <row r="30" ht="15" customHeight="1" s="341">
      <c r="A30" s="499">
        <f>IF(B30="","",IF(C30="❌ Account Not Found","INVALID","LN"&amp;TEXT(D30,"YYYYMMDD")&amp;TEXT(ROW()-13,"0000")))</f>
        <v/>
      </c>
      <c r="B30" s="495" t="n"/>
      <c r="C30" s="382">
        <f>IF(B30="","",IFERROR(VLOOKUP(B30,DB_Customers!$A:$D,4,0),"❌ Account Not Found"))</f>
        <v/>
      </c>
      <c r="D30" s="497">
        <f>IF(B30="","",TODAY())</f>
        <v/>
      </c>
      <c r="E30" s="526" t="n"/>
      <c r="F30" s="382" t="n"/>
      <c r="G30" s="527" t="n"/>
      <c r="H30" s="528" t="n"/>
      <c r="I30" s="529">
        <f>IF(E30="","",E30+(E30*H30/100*G30))</f>
        <v/>
      </c>
      <c r="J30" s="530">
        <f>IFERROR(I30/G30,"")</f>
        <v/>
      </c>
      <c r="K30" s="531">
        <f>IF(B30="","Pending",IF(M30="","⚠️ Enter Code",IF(IFERROR(VLOOKUP(L30,DB_Agents!$B:$I,8,0),"")=M30,"Pending","🔒 BLOCKED — Wrong Code")))</f>
        <v/>
      </c>
      <c r="L30" s="384" t="inlineStr">
        <is>
          <t>Agent 09</t>
        </is>
      </c>
      <c r="M30" s="491" t="n"/>
      <c r="N30" s="501" t="n"/>
    </row>
    <row r="31" ht="15" customHeight="1" s="341">
      <c r="A31" s="492">
        <f>IF(B31="","",IF(C31="❌ Account Not Found","INVALID","LN"&amp;TEXT(D31,"YYYYMMDD")&amp;TEXT(ROW()-13,"0000")))</f>
        <v/>
      </c>
      <c r="B31" s="486" t="n"/>
      <c r="C31" s="378">
        <f>IF(B31="","",IFERROR(VLOOKUP(B31,DB_Customers!$A:$D,4,0),"❌ Account Not Found"))</f>
        <v/>
      </c>
      <c r="D31" s="488">
        <f>IF(B31="","",TODAY())</f>
        <v/>
      </c>
      <c r="E31" s="526" t="n"/>
      <c r="F31" s="378" t="n"/>
      <c r="G31" s="532" t="n"/>
      <c r="H31" s="533" t="n"/>
      <c r="I31" s="529">
        <f>IF(E31="","",E31+(E31*H31/100*G31))</f>
        <v/>
      </c>
      <c r="J31" s="534">
        <f>IFERROR(I31/G31,"")</f>
        <v/>
      </c>
      <c r="K31" s="535">
        <f>IF(B31="","Pending",IF(M31="","⚠️ Enter Code",IF(IFERROR(VLOOKUP(L31,DB_Agents!$B:$I,8,0),"")=M31,"Pending","🔒 BLOCKED — Wrong Code")))</f>
        <v/>
      </c>
      <c r="L31" s="380" t="inlineStr">
        <is>
          <t>Agent 09</t>
        </is>
      </c>
      <c r="M31" s="491" t="n"/>
      <c r="N31" s="494" t="n"/>
    </row>
    <row r="32" ht="15" customHeight="1" s="341">
      <c r="A32" s="499">
        <f>IF(B32="","",IF(C32="❌ Account Not Found","INVALID","LN"&amp;TEXT(D32,"YYYYMMDD")&amp;TEXT(ROW()-13,"0000")))</f>
        <v/>
      </c>
      <c r="B32" s="495" t="n"/>
      <c r="C32" s="382">
        <f>IF(B32="","",IFERROR(VLOOKUP(B32,DB_Customers!$A:$D,4,0),"❌ Account Not Found"))</f>
        <v/>
      </c>
      <c r="D32" s="497">
        <f>IF(B32="","",TODAY())</f>
        <v/>
      </c>
      <c r="E32" s="526" t="n"/>
      <c r="F32" s="382" t="n"/>
      <c r="G32" s="527" t="n"/>
      <c r="H32" s="528" t="n"/>
      <c r="I32" s="529">
        <f>IF(E32="","",E32+(E32*H32/100*G32))</f>
        <v/>
      </c>
      <c r="J32" s="530">
        <f>IFERROR(I32/G32,"")</f>
        <v/>
      </c>
      <c r="K32" s="531">
        <f>IF(B32="","Pending",IF(M32="","⚠️ Enter Code",IF(IFERROR(VLOOKUP(L32,DB_Agents!$B:$I,8,0),"")=M32,"Pending","🔒 BLOCKED — Wrong Code")))</f>
        <v/>
      </c>
      <c r="L32" s="384" t="inlineStr">
        <is>
          <t>Agent 09</t>
        </is>
      </c>
      <c r="M32" s="491" t="n"/>
      <c r="N32" s="501" t="n"/>
    </row>
    <row r="33" ht="15" customHeight="1" s="341">
      <c r="A33" s="492">
        <f>IF(B33="","",IF(C33="❌ Account Not Found","INVALID","LN"&amp;TEXT(D33,"YYYYMMDD")&amp;TEXT(ROW()-13,"0000")))</f>
        <v/>
      </c>
      <c r="B33" s="486" t="n"/>
      <c r="C33" s="378">
        <f>IF(B33="","",IFERROR(VLOOKUP(B33,DB_Customers!$A:$D,4,0),"❌ Account Not Found"))</f>
        <v/>
      </c>
      <c r="D33" s="488">
        <f>IF(B33="","",TODAY())</f>
        <v/>
      </c>
      <c r="E33" s="526" t="n"/>
      <c r="F33" s="378" t="n"/>
      <c r="G33" s="532" t="n"/>
      <c r="H33" s="533" t="n"/>
      <c r="I33" s="529">
        <f>IF(E33="","",E33+(E33*H33/100*G33))</f>
        <v/>
      </c>
      <c r="J33" s="534">
        <f>IFERROR(I33/G33,"")</f>
        <v/>
      </c>
      <c r="K33" s="535">
        <f>IF(B33="","Pending",IF(M33="","⚠️ Enter Code",IF(IFERROR(VLOOKUP(L33,DB_Agents!$B:$I,8,0),"")=M33,"Pending","🔒 BLOCKED — Wrong Code")))</f>
        <v/>
      </c>
      <c r="L33" s="380" t="inlineStr">
        <is>
          <t>Agent 09</t>
        </is>
      </c>
      <c r="M33" s="491" t="n"/>
      <c r="N33" s="494" t="n"/>
    </row>
    <row r="34" ht="15" customHeight="1" s="341">
      <c r="A34" s="499">
        <f>IF(B34="","",IF(C34="❌ Account Not Found","INVALID","LN"&amp;TEXT(D34,"YYYYMMDD")&amp;TEXT(ROW()-13,"0000")))</f>
        <v/>
      </c>
      <c r="B34" s="495" t="n"/>
      <c r="C34" s="382">
        <f>IF(B34="","",IFERROR(VLOOKUP(B34,DB_Customers!$A:$D,4,0),"❌ Account Not Found"))</f>
        <v/>
      </c>
      <c r="D34" s="497">
        <f>IF(B34="","",TODAY())</f>
        <v/>
      </c>
      <c r="E34" s="526" t="n"/>
      <c r="F34" s="382" t="n"/>
      <c r="G34" s="527" t="n"/>
      <c r="H34" s="528" t="n"/>
      <c r="I34" s="529">
        <f>IF(E34="","",E34+(E34*H34/100*G34))</f>
        <v/>
      </c>
      <c r="J34" s="530">
        <f>IFERROR(I34/G34,"")</f>
        <v/>
      </c>
      <c r="K34" s="531">
        <f>IF(B34="","Pending",IF(M34="","⚠️ Enter Code",IF(IFERROR(VLOOKUP(L34,DB_Agents!$B:$I,8,0),"")=M34,"Pending","🔒 BLOCKED — Wrong Code")))</f>
        <v/>
      </c>
      <c r="L34" s="384" t="inlineStr">
        <is>
          <t>Agent 09</t>
        </is>
      </c>
      <c r="M34" s="491" t="n"/>
      <c r="N34" s="501" t="n"/>
    </row>
    <row r="35" ht="15" customHeight="1" s="341">
      <c r="A35" s="492">
        <f>IF(B35="","",IF(C35="❌ Account Not Found","INVALID","LN"&amp;TEXT(D35,"YYYYMMDD")&amp;TEXT(ROW()-13,"0000")))</f>
        <v/>
      </c>
      <c r="B35" s="486" t="n"/>
      <c r="C35" s="378">
        <f>IF(B35="","",IFERROR(VLOOKUP(B35,DB_Customers!$A:$D,4,0),"❌ Account Not Found"))</f>
        <v/>
      </c>
      <c r="D35" s="488">
        <f>IF(B35="","",TODAY())</f>
        <v/>
      </c>
      <c r="E35" s="526" t="n"/>
      <c r="F35" s="378" t="n"/>
      <c r="G35" s="532" t="n"/>
      <c r="H35" s="533" t="n"/>
      <c r="I35" s="529">
        <f>IF(E35="","",E35+(E35*H35/100*G35))</f>
        <v/>
      </c>
      <c r="J35" s="534">
        <f>IFERROR(I35/G35,"")</f>
        <v/>
      </c>
      <c r="K35" s="535">
        <f>IF(B35="","Pending",IF(M35="","⚠️ Enter Code",IF(IFERROR(VLOOKUP(L35,DB_Agents!$B:$I,8,0),"")=M35,"Pending","🔒 BLOCKED — Wrong Code")))</f>
        <v/>
      </c>
      <c r="L35" s="380" t="inlineStr">
        <is>
          <t>Agent 09</t>
        </is>
      </c>
      <c r="M35" s="491" t="n"/>
      <c r="N35" s="494" t="n"/>
    </row>
    <row r="36" ht="15" customHeight="1" s="341">
      <c r="A36" s="499">
        <f>IF(B36="","",IF(C36="❌ Account Not Found","INVALID","LN"&amp;TEXT(D36,"YYYYMMDD")&amp;TEXT(ROW()-13,"0000")))</f>
        <v/>
      </c>
      <c r="B36" s="495" t="n"/>
      <c r="C36" s="382">
        <f>IF(B36="","",IFERROR(VLOOKUP(B36,DB_Customers!$A:$D,4,0),"❌ Account Not Found"))</f>
        <v/>
      </c>
      <c r="D36" s="497">
        <f>IF(B36="","",TODAY())</f>
        <v/>
      </c>
      <c r="E36" s="526" t="n"/>
      <c r="F36" s="382" t="n"/>
      <c r="G36" s="527" t="n"/>
      <c r="H36" s="528" t="n"/>
      <c r="I36" s="529">
        <f>IF(E36="","",E36+(E36*H36/100*G36))</f>
        <v/>
      </c>
      <c r="J36" s="530">
        <f>IFERROR(I36/G36,"")</f>
        <v/>
      </c>
      <c r="K36" s="531">
        <f>IF(B36="","Pending",IF(M36="","⚠️ Enter Code",IF(IFERROR(VLOOKUP(L36,DB_Agents!$B:$I,8,0),"")=M36,"Pending","🔒 BLOCKED — Wrong Code")))</f>
        <v/>
      </c>
      <c r="L36" s="384" t="inlineStr">
        <is>
          <t>Agent 09</t>
        </is>
      </c>
      <c r="M36" s="491" t="n"/>
      <c r="N36" s="501" t="n"/>
    </row>
    <row r="37" ht="15" customHeight="1" s="341">
      <c r="A37" s="492">
        <f>IF(B37="","",IF(C37="❌ Account Not Found","INVALID","LN"&amp;TEXT(D37,"YYYYMMDD")&amp;TEXT(ROW()-13,"0000")))</f>
        <v/>
      </c>
      <c r="B37" s="486" t="n"/>
      <c r="C37" s="378">
        <f>IF(B37="","",IFERROR(VLOOKUP(B37,DB_Customers!$A:$D,4,0),"❌ Account Not Found"))</f>
        <v/>
      </c>
      <c r="D37" s="488">
        <f>IF(B37="","",TODAY())</f>
        <v/>
      </c>
      <c r="E37" s="526" t="n"/>
      <c r="F37" s="378" t="n"/>
      <c r="G37" s="532" t="n"/>
      <c r="H37" s="533" t="n"/>
      <c r="I37" s="529">
        <f>IF(E37="","",E37+(E37*H37/100*G37))</f>
        <v/>
      </c>
      <c r="J37" s="534">
        <f>IFERROR(I37/G37,"")</f>
        <v/>
      </c>
      <c r="K37" s="535">
        <f>IF(B37="","Pending",IF(M37="","⚠️ Enter Code",IF(IFERROR(VLOOKUP(L37,DB_Agents!$B:$I,8,0),"")=M37,"Pending","🔒 BLOCKED — Wrong Code")))</f>
        <v/>
      </c>
      <c r="L37" s="380" t="inlineStr">
        <is>
          <t>Agent 09</t>
        </is>
      </c>
      <c r="M37" s="491" t="n"/>
      <c r="N37" s="494" t="n"/>
    </row>
    <row r="38" ht="15" customHeight="1" s="341">
      <c r="A38" s="499">
        <f>IF(B38="","",IF(C38="❌ Account Not Found","INVALID","LN"&amp;TEXT(D38,"YYYYMMDD")&amp;TEXT(ROW()-13,"0000")))</f>
        <v/>
      </c>
      <c r="B38" s="495" t="n"/>
      <c r="C38" s="382">
        <f>IF(B38="","",IFERROR(VLOOKUP(B38,DB_Customers!$A:$D,4,0),"❌ Account Not Found"))</f>
        <v/>
      </c>
      <c r="D38" s="497">
        <f>IF(B38="","",TODAY())</f>
        <v/>
      </c>
      <c r="E38" s="526" t="n"/>
      <c r="F38" s="382" t="n"/>
      <c r="G38" s="527" t="n"/>
      <c r="H38" s="528" t="n"/>
      <c r="I38" s="529">
        <f>IF(E38="","",E38+(E38*H38/100*G38))</f>
        <v/>
      </c>
      <c r="J38" s="530">
        <f>IFERROR(I38/G38,"")</f>
        <v/>
      </c>
      <c r="K38" s="531">
        <f>IF(B38="","Pending",IF(M38="","⚠️ Enter Code",IF(IFERROR(VLOOKUP(L38,DB_Agents!$B:$I,8,0),"")=M38,"Pending","🔒 BLOCKED — Wrong Code")))</f>
        <v/>
      </c>
      <c r="L38" s="384" t="inlineStr">
        <is>
          <t>Agent 09</t>
        </is>
      </c>
      <c r="M38" s="491" t="n"/>
      <c r="N38" s="501" t="n"/>
    </row>
    <row r="39" ht="15" customHeight="1" s="341">
      <c r="A39" s="492">
        <f>IF(B39="","",IF(C39="❌ Account Not Found","INVALID","LN"&amp;TEXT(D39,"YYYYMMDD")&amp;TEXT(ROW()-13,"0000")))</f>
        <v/>
      </c>
      <c r="B39" s="486" t="n"/>
      <c r="C39" s="378">
        <f>IF(B39="","",IFERROR(VLOOKUP(B39,DB_Customers!$A:$D,4,0),"❌ Account Not Found"))</f>
        <v/>
      </c>
      <c r="D39" s="488">
        <f>IF(B39="","",TODAY())</f>
        <v/>
      </c>
      <c r="E39" s="526" t="n"/>
      <c r="F39" s="378" t="n"/>
      <c r="G39" s="532" t="n"/>
      <c r="H39" s="533" t="n"/>
      <c r="I39" s="529">
        <f>IF(E39="","",E39+(E39*H39/100*G39))</f>
        <v/>
      </c>
      <c r="J39" s="534">
        <f>IFERROR(I39/G39,"")</f>
        <v/>
      </c>
      <c r="K39" s="535">
        <f>IF(B39="","Pending",IF(M39="","⚠️ Enter Code",IF(IFERROR(VLOOKUP(L39,DB_Agents!$B:$I,8,0),"")=M39,"Pending","🔒 BLOCKED — Wrong Code")))</f>
        <v/>
      </c>
      <c r="L39" s="380" t="inlineStr">
        <is>
          <t>Agent 09</t>
        </is>
      </c>
      <c r="M39" s="491" t="n"/>
      <c r="N39" s="494" t="n"/>
    </row>
    <row r="40" ht="15" customHeight="1" s="341">
      <c r="A40" s="499">
        <f>IF(B40="","",IF(C40="❌ Account Not Found","INVALID","LN"&amp;TEXT(D40,"YYYYMMDD")&amp;TEXT(ROW()-13,"0000")))</f>
        <v/>
      </c>
      <c r="B40" s="495" t="n"/>
      <c r="C40" s="382">
        <f>IF(B40="","",IFERROR(VLOOKUP(B40,DB_Customers!$A:$D,4,0),"❌ Account Not Found"))</f>
        <v/>
      </c>
      <c r="D40" s="497">
        <f>IF(B40="","",TODAY())</f>
        <v/>
      </c>
      <c r="E40" s="526" t="n"/>
      <c r="F40" s="382" t="n"/>
      <c r="G40" s="527" t="n"/>
      <c r="H40" s="528" t="n"/>
      <c r="I40" s="529">
        <f>IF(E40="","",E40+(E40*H40/100*G40))</f>
        <v/>
      </c>
      <c r="J40" s="530">
        <f>IFERROR(I40/G40,"")</f>
        <v/>
      </c>
      <c r="K40" s="531">
        <f>IF(B40="","Pending",IF(M40="","⚠️ Enter Code",IF(IFERROR(VLOOKUP(L40,DB_Agents!$B:$I,8,0),"")=M40,"Pending","🔒 BLOCKED — Wrong Code")))</f>
        <v/>
      </c>
      <c r="L40" s="384" t="inlineStr">
        <is>
          <t>Agent 09</t>
        </is>
      </c>
      <c r="M40" s="491" t="n"/>
      <c r="N40" s="501" t="n"/>
    </row>
    <row r="41" ht="15" customHeight="1" s="341">
      <c r="A41" s="492">
        <f>IF(B41="","",IF(C41="❌ Account Not Found","INVALID","LN"&amp;TEXT(D41,"YYYYMMDD")&amp;TEXT(ROW()-13,"0000")))</f>
        <v/>
      </c>
      <c r="B41" s="486" t="n"/>
      <c r="C41" s="378">
        <f>IF(B41="","",IFERROR(VLOOKUP(B41,DB_Customers!$A:$D,4,0),"❌ Account Not Found"))</f>
        <v/>
      </c>
      <c r="D41" s="488">
        <f>IF(B41="","",TODAY())</f>
        <v/>
      </c>
      <c r="E41" s="526" t="n"/>
      <c r="F41" s="378" t="n"/>
      <c r="G41" s="532" t="n"/>
      <c r="H41" s="533" t="n"/>
      <c r="I41" s="529">
        <f>IF(E41="","",E41+(E41*H41/100*G41))</f>
        <v/>
      </c>
      <c r="J41" s="534">
        <f>IFERROR(I41/G41,"")</f>
        <v/>
      </c>
      <c r="K41" s="535">
        <f>IF(B41="","Pending",IF(M41="","⚠️ Enter Code",IF(IFERROR(VLOOKUP(L41,DB_Agents!$B:$I,8,0),"")=M41,"Pending","🔒 BLOCKED — Wrong Code")))</f>
        <v/>
      </c>
      <c r="L41" s="380" t="inlineStr">
        <is>
          <t>Agent 09</t>
        </is>
      </c>
      <c r="M41" s="491" t="n"/>
      <c r="N41" s="494" t="n"/>
    </row>
    <row r="42" ht="15" customHeight="1" s="341">
      <c r="A42" s="499">
        <f>IF(B42="","",IF(C42="❌ Account Not Found","INVALID","LN"&amp;TEXT(D42,"YYYYMMDD")&amp;TEXT(ROW()-13,"0000")))</f>
        <v/>
      </c>
      <c r="B42" s="495" t="n"/>
      <c r="C42" s="382">
        <f>IF(B42="","",IFERROR(VLOOKUP(B42,DB_Customers!$A:$D,4,0),"❌ Account Not Found"))</f>
        <v/>
      </c>
      <c r="D42" s="497">
        <f>IF(B42="","",TODAY())</f>
        <v/>
      </c>
      <c r="E42" s="526" t="n"/>
      <c r="F42" s="382" t="n"/>
      <c r="G42" s="527" t="n"/>
      <c r="H42" s="528" t="n"/>
      <c r="I42" s="529">
        <f>IF(E42="","",E42+(E42*H42/100*G42))</f>
        <v/>
      </c>
      <c r="J42" s="530">
        <f>IFERROR(I42/G42,"")</f>
        <v/>
      </c>
      <c r="K42" s="531">
        <f>IF(B42="","Pending",IF(M42="","⚠️ Enter Code",IF(IFERROR(VLOOKUP(L42,DB_Agents!$B:$I,8,0),"")=M42,"Pending","🔒 BLOCKED — Wrong Code")))</f>
        <v/>
      </c>
      <c r="L42" s="384" t="inlineStr">
        <is>
          <t>Agent 09</t>
        </is>
      </c>
      <c r="M42" s="491" t="n"/>
      <c r="N42" s="501" t="n"/>
    </row>
    <row r="43" ht="15" customHeight="1" s="341">
      <c r="A43" s="492">
        <f>IF(B43="","",IF(C43="❌ Account Not Found","INVALID","LN"&amp;TEXT(D43,"YYYYMMDD")&amp;TEXT(ROW()-13,"0000")))</f>
        <v/>
      </c>
      <c r="B43" s="486" t="n"/>
      <c r="C43" s="378">
        <f>IF(B43="","",IFERROR(VLOOKUP(B43,DB_Customers!$A:$D,4,0),"❌ Account Not Found"))</f>
        <v/>
      </c>
      <c r="D43" s="488">
        <f>IF(B43="","",TODAY())</f>
        <v/>
      </c>
      <c r="E43" s="526" t="n"/>
      <c r="F43" s="378" t="n"/>
      <c r="G43" s="532" t="n"/>
      <c r="H43" s="533" t="n"/>
      <c r="I43" s="529">
        <f>IF(E43="","",E43+(E43*H43/100*G43))</f>
        <v/>
      </c>
      <c r="J43" s="534">
        <f>IFERROR(I43/G43,"")</f>
        <v/>
      </c>
      <c r="K43" s="535">
        <f>IF(B43="","Pending",IF(M43="","⚠️ Enter Code",IF(IFERROR(VLOOKUP(L43,DB_Agents!$B:$I,8,0),"")=M43,"Pending","🔒 BLOCKED — Wrong Code")))</f>
        <v/>
      </c>
      <c r="L43" s="380" t="inlineStr">
        <is>
          <t>Agent 09</t>
        </is>
      </c>
      <c r="M43" s="491" t="n"/>
      <c r="N43" s="494" t="n"/>
    </row>
    <row r="44" ht="15" customHeight="1" s="341">
      <c r="A44" s="499">
        <f>IF(B44="","",IF(C44="❌ Account Not Found","INVALID","LN"&amp;TEXT(D44,"YYYYMMDD")&amp;TEXT(ROW()-13,"0000")))</f>
        <v/>
      </c>
      <c r="B44" s="495" t="n"/>
      <c r="C44" s="382">
        <f>IF(B44="","",IFERROR(VLOOKUP(B44,DB_Customers!$A:$D,4,0),"❌ Account Not Found"))</f>
        <v/>
      </c>
      <c r="D44" s="497">
        <f>IF(B44="","",TODAY())</f>
        <v/>
      </c>
      <c r="E44" s="526" t="n"/>
      <c r="F44" s="382" t="n"/>
      <c r="G44" s="527" t="n"/>
      <c r="H44" s="528" t="n"/>
      <c r="I44" s="529">
        <f>IF(E44="","",E44+(E44*H44/100*G44))</f>
        <v/>
      </c>
      <c r="J44" s="530">
        <f>IFERROR(I44/G44,"")</f>
        <v/>
      </c>
      <c r="K44" s="531">
        <f>IF(B44="","Pending",IF(M44="","⚠️ Enter Code",IF(IFERROR(VLOOKUP(L44,DB_Agents!$B:$I,8,0),"")=M44,"Pending","🔒 BLOCKED — Wrong Code")))</f>
        <v/>
      </c>
      <c r="L44" s="384" t="inlineStr">
        <is>
          <t>Agent 09</t>
        </is>
      </c>
      <c r="M44" s="491" t="n"/>
      <c r="N44" s="501" t="n"/>
    </row>
    <row r="45" ht="15" customHeight="1" s="341">
      <c r="A45" s="492">
        <f>IF(B45="","",IF(C45="❌ Account Not Found","INVALID","LN"&amp;TEXT(D45,"YYYYMMDD")&amp;TEXT(ROW()-13,"0000")))</f>
        <v/>
      </c>
      <c r="B45" s="486" t="n"/>
      <c r="C45" s="378">
        <f>IF(B45="","",IFERROR(VLOOKUP(B45,DB_Customers!$A:$D,4,0),"❌ Account Not Found"))</f>
        <v/>
      </c>
      <c r="D45" s="488">
        <f>IF(B45="","",TODAY())</f>
        <v/>
      </c>
      <c r="E45" s="526" t="n"/>
      <c r="F45" s="378" t="n"/>
      <c r="G45" s="532" t="n"/>
      <c r="H45" s="533" t="n"/>
      <c r="I45" s="529">
        <f>IF(E45="","",E45+(E45*H45/100*G45))</f>
        <v/>
      </c>
      <c r="J45" s="534">
        <f>IFERROR(I45/G45,"")</f>
        <v/>
      </c>
      <c r="K45" s="535">
        <f>IF(B45="","Pending",IF(M45="","⚠️ Enter Code",IF(IFERROR(VLOOKUP(L45,DB_Agents!$B:$I,8,0),"")=M45,"Pending","🔒 BLOCKED — Wrong Code")))</f>
        <v/>
      </c>
      <c r="L45" s="380" t="inlineStr">
        <is>
          <t>Agent 09</t>
        </is>
      </c>
      <c r="M45" s="491" t="n"/>
      <c r="N45" s="494" t="n"/>
    </row>
    <row r="46" ht="15" customHeight="1" s="341">
      <c r="A46" s="499">
        <f>IF(B46="","",IF(C46="❌ Account Not Found","INVALID","LN"&amp;TEXT(D46,"YYYYMMDD")&amp;TEXT(ROW()-13,"0000")))</f>
        <v/>
      </c>
      <c r="B46" s="495" t="n"/>
      <c r="C46" s="382">
        <f>IF(B46="","",IFERROR(VLOOKUP(B46,DB_Customers!$A:$D,4,0),"❌ Account Not Found"))</f>
        <v/>
      </c>
      <c r="D46" s="497">
        <f>IF(B46="","",TODAY())</f>
        <v/>
      </c>
      <c r="E46" s="526" t="n"/>
      <c r="F46" s="382" t="n"/>
      <c r="G46" s="527" t="n"/>
      <c r="H46" s="528" t="n"/>
      <c r="I46" s="529">
        <f>IF(E46="","",E46+(E46*H46/100*G46))</f>
        <v/>
      </c>
      <c r="J46" s="530">
        <f>IFERROR(I46/G46,"")</f>
        <v/>
      </c>
      <c r="K46" s="531">
        <f>IF(B46="","Pending",IF(M46="","⚠️ Enter Code",IF(IFERROR(VLOOKUP(L46,DB_Agents!$B:$I,8,0),"")=M46,"Pending","🔒 BLOCKED — Wrong Code")))</f>
        <v/>
      </c>
      <c r="L46" s="384" t="inlineStr">
        <is>
          <t>Agent 09</t>
        </is>
      </c>
      <c r="M46" s="491" t="n"/>
      <c r="N46" s="501" t="n"/>
    </row>
    <row r="47" ht="15" customHeight="1" s="341">
      <c r="A47" s="492">
        <f>IF(B47="","",IF(C47="❌ Account Not Found","INVALID","LN"&amp;TEXT(D47,"YYYYMMDD")&amp;TEXT(ROW()-13,"0000")))</f>
        <v/>
      </c>
      <c r="B47" s="486" t="n"/>
      <c r="C47" s="378">
        <f>IF(B47="","",IFERROR(VLOOKUP(B47,DB_Customers!$A:$D,4,0),"❌ Account Not Found"))</f>
        <v/>
      </c>
      <c r="D47" s="488">
        <f>IF(B47="","",TODAY())</f>
        <v/>
      </c>
      <c r="E47" s="526" t="n"/>
      <c r="F47" s="378" t="n"/>
      <c r="G47" s="532" t="n"/>
      <c r="H47" s="533" t="n"/>
      <c r="I47" s="529">
        <f>IF(E47="","",E47+(E47*H47/100*G47))</f>
        <v/>
      </c>
      <c r="J47" s="534">
        <f>IFERROR(I47/G47,"")</f>
        <v/>
      </c>
      <c r="K47" s="535">
        <f>IF(B47="","Pending",IF(M47="","⚠️ Enter Code",IF(IFERROR(VLOOKUP(L47,DB_Agents!$B:$I,8,0),"")=M47,"Pending","🔒 BLOCKED — Wrong Code")))</f>
        <v/>
      </c>
      <c r="L47" s="380" t="inlineStr">
        <is>
          <t>Agent 09</t>
        </is>
      </c>
      <c r="M47" s="491" t="n"/>
      <c r="N47" s="494" t="n"/>
    </row>
    <row r="48" ht="15" customHeight="1" s="341">
      <c r="A48" s="499">
        <f>IF(B48="","",IF(C48="❌ Account Not Found","INVALID","LN"&amp;TEXT(D48,"YYYYMMDD")&amp;TEXT(ROW()-13,"0000")))</f>
        <v/>
      </c>
      <c r="B48" s="495" t="n"/>
      <c r="C48" s="382">
        <f>IF(B48="","",IFERROR(VLOOKUP(B48,DB_Customers!$A:$D,4,0),"❌ Account Not Found"))</f>
        <v/>
      </c>
      <c r="D48" s="497">
        <f>IF(B48="","",TODAY())</f>
        <v/>
      </c>
      <c r="E48" s="526" t="n"/>
      <c r="F48" s="382" t="n"/>
      <c r="G48" s="527" t="n"/>
      <c r="H48" s="528" t="n"/>
      <c r="I48" s="529">
        <f>IF(E48="","",E48+(E48*H48/100*G48))</f>
        <v/>
      </c>
      <c r="J48" s="530">
        <f>IFERROR(I48/G48,"")</f>
        <v/>
      </c>
      <c r="K48" s="531">
        <f>IF(B48="","Pending",IF(M48="","⚠️ Enter Code",IF(IFERROR(VLOOKUP(L48,DB_Agents!$B:$I,8,0),"")=M48,"Pending","🔒 BLOCKED — Wrong Code")))</f>
        <v/>
      </c>
      <c r="L48" s="384" t="inlineStr">
        <is>
          <t>Agent 09</t>
        </is>
      </c>
      <c r="M48" s="491" t="n"/>
      <c r="N48" s="501" t="n"/>
    </row>
    <row r="49" ht="15" customHeight="1" s="341">
      <c r="A49" s="492">
        <f>IF(B49="","",IF(C49="❌ Account Not Found","INVALID","LN"&amp;TEXT(D49,"YYYYMMDD")&amp;TEXT(ROW()-13,"0000")))</f>
        <v/>
      </c>
      <c r="B49" s="486" t="n"/>
      <c r="C49" s="378">
        <f>IF(B49="","",IFERROR(VLOOKUP(B49,DB_Customers!$A:$D,4,0),"❌ Account Not Found"))</f>
        <v/>
      </c>
      <c r="D49" s="488">
        <f>IF(B49="","",TODAY())</f>
        <v/>
      </c>
      <c r="E49" s="526" t="n"/>
      <c r="F49" s="378" t="n"/>
      <c r="G49" s="532" t="n"/>
      <c r="H49" s="533" t="n"/>
      <c r="I49" s="529">
        <f>IF(E49="","",E49+(E49*H49/100*G49))</f>
        <v/>
      </c>
      <c r="J49" s="534">
        <f>IFERROR(I49/G49,"")</f>
        <v/>
      </c>
      <c r="K49" s="535">
        <f>IF(B49="","Pending",IF(M49="","⚠️ Enter Code",IF(IFERROR(VLOOKUP(L49,DB_Agents!$B:$I,8,0),"")=M49,"Pending","🔒 BLOCKED — Wrong Code")))</f>
        <v/>
      </c>
      <c r="L49" s="380" t="inlineStr">
        <is>
          <t>Agent 09</t>
        </is>
      </c>
      <c r="M49" s="491" t="n"/>
      <c r="N49" s="494" t="n"/>
    </row>
    <row r="50" ht="15" customHeight="1" s="341">
      <c r="A50" s="499">
        <f>IF(B50="","",IF(C50="❌ Account Not Found","INVALID","LN"&amp;TEXT(D50,"YYYYMMDD")&amp;TEXT(ROW()-13,"0000")))</f>
        <v/>
      </c>
      <c r="B50" s="495" t="n"/>
      <c r="C50" s="382">
        <f>IF(B50="","",IFERROR(VLOOKUP(B50,DB_Customers!$A:$D,4,0),"❌ Account Not Found"))</f>
        <v/>
      </c>
      <c r="D50" s="497">
        <f>IF(B50="","",TODAY())</f>
        <v/>
      </c>
      <c r="E50" s="526" t="n"/>
      <c r="F50" s="382" t="n"/>
      <c r="G50" s="527" t="n"/>
      <c r="H50" s="528" t="n"/>
      <c r="I50" s="529">
        <f>IF(E50="","",E50+(E50*H50/100*G50))</f>
        <v/>
      </c>
      <c r="J50" s="530">
        <f>IFERROR(I50/G50,"")</f>
        <v/>
      </c>
      <c r="K50" s="531">
        <f>IF(B50="","Pending",IF(M50="","⚠️ Enter Code",IF(IFERROR(VLOOKUP(L50,DB_Agents!$B:$I,8,0),"")=M50,"Pending","🔒 BLOCKED — Wrong Code")))</f>
        <v/>
      </c>
      <c r="L50" s="384" t="inlineStr">
        <is>
          <t>Agent 09</t>
        </is>
      </c>
      <c r="M50" s="491" t="n"/>
      <c r="N50" s="501" t="n"/>
    </row>
    <row r="51" ht="15" customHeight="1" s="341">
      <c r="A51" s="492">
        <f>IF(B51="","",IF(C51="❌ Account Not Found","INVALID","LN"&amp;TEXT(D51,"YYYYMMDD")&amp;TEXT(ROW()-13,"0000")))</f>
        <v/>
      </c>
      <c r="B51" s="486" t="n"/>
      <c r="C51" s="378">
        <f>IF(B51="","",IFERROR(VLOOKUP(B51,DB_Customers!$A:$D,4,0),"❌ Account Not Found"))</f>
        <v/>
      </c>
      <c r="D51" s="488">
        <f>IF(B51="","",TODAY())</f>
        <v/>
      </c>
      <c r="E51" s="526" t="n"/>
      <c r="F51" s="378" t="n"/>
      <c r="G51" s="532" t="n"/>
      <c r="H51" s="533" t="n"/>
      <c r="I51" s="529">
        <f>IF(E51="","",E51+(E51*H51/100*G51))</f>
        <v/>
      </c>
      <c r="J51" s="534">
        <f>IFERROR(I51/G51,"")</f>
        <v/>
      </c>
      <c r="K51" s="535">
        <f>IF(B51="","Pending",IF(M51="","⚠️ Enter Code",IF(IFERROR(VLOOKUP(L51,DB_Agents!$B:$I,8,0),"")=M51,"Pending","🔒 BLOCKED — Wrong Code")))</f>
        <v/>
      </c>
      <c r="L51" s="380" t="inlineStr">
        <is>
          <t>Agent 09</t>
        </is>
      </c>
      <c r="M51" s="491" t="n"/>
      <c r="N51" s="494" t="n"/>
    </row>
    <row r="52" ht="15" customHeight="1" s="341">
      <c r="A52" s="499">
        <f>IF(B52="","",IF(C52="❌ Account Not Found","INVALID","LN"&amp;TEXT(D52,"YYYYMMDD")&amp;TEXT(ROW()-13,"0000")))</f>
        <v/>
      </c>
      <c r="B52" s="495" t="n"/>
      <c r="C52" s="382">
        <f>IF(B52="","",IFERROR(VLOOKUP(B52,DB_Customers!$A:$D,4,0),"❌ Account Not Found"))</f>
        <v/>
      </c>
      <c r="D52" s="497">
        <f>IF(B52="","",TODAY())</f>
        <v/>
      </c>
      <c r="E52" s="526" t="n"/>
      <c r="F52" s="382" t="n"/>
      <c r="G52" s="527" t="n"/>
      <c r="H52" s="528" t="n"/>
      <c r="I52" s="529">
        <f>IF(E52="","",E52+(E52*H52/100*G52))</f>
        <v/>
      </c>
      <c r="J52" s="530">
        <f>IFERROR(I52/G52,"")</f>
        <v/>
      </c>
      <c r="K52" s="531">
        <f>IF(B52="","Pending",IF(M52="","⚠️ Enter Code",IF(IFERROR(VLOOKUP(L52,DB_Agents!$B:$I,8,0),"")=M52,"Pending","🔒 BLOCKED — Wrong Code")))</f>
        <v/>
      </c>
      <c r="L52" s="384" t="inlineStr">
        <is>
          <t>Agent 09</t>
        </is>
      </c>
      <c r="M52" s="491" t="n"/>
      <c r="N52" s="501" t="n"/>
    </row>
    <row r="53" ht="15" customHeight="1" s="341">
      <c r="A53" s="492">
        <f>IF(B53="","",IF(C53="❌ Account Not Found","INVALID","LN"&amp;TEXT(D53,"YYYYMMDD")&amp;TEXT(ROW()-13,"0000")))</f>
        <v/>
      </c>
      <c r="B53" s="486" t="n"/>
      <c r="C53" s="378">
        <f>IF(B53="","",IFERROR(VLOOKUP(B53,DB_Customers!$A:$D,4,0),"❌ Account Not Found"))</f>
        <v/>
      </c>
      <c r="D53" s="488">
        <f>IF(B53="","",TODAY())</f>
        <v/>
      </c>
      <c r="E53" s="526" t="n"/>
      <c r="F53" s="378" t="n"/>
      <c r="G53" s="532" t="n"/>
      <c r="H53" s="533" t="n"/>
      <c r="I53" s="529">
        <f>IF(E53="","",E53+(E53*H53/100*G53))</f>
        <v/>
      </c>
      <c r="J53" s="534">
        <f>IFERROR(I53/G53,"")</f>
        <v/>
      </c>
      <c r="K53" s="535">
        <f>IF(B53="","Pending",IF(M53="","⚠️ Enter Code",IF(IFERROR(VLOOKUP(L53,DB_Agents!$B:$I,8,0),"")=M53,"Pending","🔒 BLOCKED — Wrong Code")))</f>
        <v/>
      </c>
      <c r="L53" s="380" t="inlineStr">
        <is>
          <t>Agent 09</t>
        </is>
      </c>
      <c r="M53" s="491" t="n"/>
      <c r="N53" s="494" t="n"/>
    </row>
    <row r="54" ht="15" customHeight="1" s="341">
      <c r="A54" s="499">
        <f>IF(B54="","",IF(C54="❌ Account Not Found","INVALID","LN"&amp;TEXT(D54,"YYYYMMDD")&amp;TEXT(ROW()-13,"0000")))</f>
        <v/>
      </c>
      <c r="B54" s="495" t="n"/>
      <c r="C54" s="382">
        <f>IF(B54="","",IFERROR(VLOOKUP(B54,DB_Customers!$A:$D,4,0),"❌ Account Not Found"))</f>
        <v/>
      </c>
      <c r="D54" s="497">
        <f>IF(B54="","",TODAY())</f>
        <v/>
      </c>
      <c r="E54" s="526" t="n"/>
      <c r="F54" s="382" t="n"/>
      <c r="G54" s="527" t="n"/>
      <c r="H54" s="528" t="n"/>
      <c r="I54" s="529">
        <f>IF(E54="","",E54+(E54*H54/100*G54))</f>
        <v/>
      </c>
      <c r="J54" s="530">
        <f>IFERROR(I54/G54,"")</f>
        <v/>
      </c>
      <c r="K54" s="531">
        <f>IF(B54="","Pending",IF(M54="","⚠️ Enter Code",IF(IFERROR(VLOOKUP(L54,DB_Agents!$B:$I,8,0),"")=M54,"Pending","🔒 BLOCKED — Wrong Code")))</f>
        <v/>
      </c>
      <c r="L54" s="384" t="inlineStr">
        <is>
          <t>Agent 09</t>
        </is>
      </c>
      <c r="M54" s="491" t="n"/>
      <c r="N54" s="501" t="n"/>
    </row>
    <row r="55" ht="15" customHeight="1" s="341">
      <c r="A55" s="492">
        <f>IF(B55="","",IF(C55="❌ Account Not Found","INVALID","LN"&amp;TEXT(D55,"YYYYMMDD")&amp;TEXT(ROW()-13,"0000")))</f>
        <v/>
      </c>
      <c r="B55" s="486" t="n"/>
      <c r="C55" s="378">
        <f>IF(B55="","",IFERROR(VLOOKUP(B55,DB_Customers!$A:$D,4,0),"❌ Account Not Found"))</f>
        <v/>
      </c>
      <c r="D55" s="488">
        <f>IF(B55="","",TODAY())</f>
        <v/>
      </c>
      <c r="E55" s="526" t="n"/>
      <c r="F55" s="378" t="n"/>
      <c r="G55" s="532" t="n"/>
      <c r="H55" s="533" t="n"/>
      <c r="I55" s="529">
        <f>IF(E55="","",E55+(E55*H55/100*G55))</f>
        <v/>
      </c>
      <c r="J55" s="534">
        <f>IFERROR(I55/G55,"")</f>
        <v/>
      </c>
      <c r="K55" s="535">
        <f>IF(B55="","Pending",IF(M55="","⚠️ Enter Code",IF(IFERROR(VLOOKUP(L55,DB_Agents!$B:$I,8,0),"")=M55,"Pending","🔒 BLOCKED — Wrong Code")))</f>
        <v/>
      </c>
      <c r="L55" s="380" t="inlineStr">
        <is>
          <t>Agent 09</t>
        </is>
      </c>
      <c r="M55" s="491" t="n"/>
      <c r="N55" s="494" t="n"/>
    </row>
    <row r="56" ht="15" customHeight="1" s="341">
      <c r="A56" s="499">
        <f>IF(B56="","",IF(C56="❌ Account Not Found","INVALID","LN"&amp;TEXT(D56,"YYYYMMDD")&amp;TEXT(ROW()-13,"0000")))</f>
        <v/>
      </c>
      <c r="B56" s="495" t="n"/>
      <c r="C56" s="382">
        <f>IF(B56="","",IFERROR(VLOOKUP(B56,DB_Customers!$A:$D,4,0),"❌ Account Not Found"))</f>
        <v/>
      </c>
      <c r="D56" s="497">
        <f>IF(B56="","",TODAY())</f>
        <v/>
      </c>
      <c r="E56" s="526" t="n"/>
      <c r="F56" s="382" t="n"/>
      <c r="G56" s="527" t="n"/>
      <c r="H56" s="528" t="n"/>
      <c r="I56" s="529">
        <f>IF(E56="","",E56+(E56*H56/100*G56))</f>
        <v/>
      </c>
      <c r="J56" s="530">
        <f>IFERROR(I56/G56,"")</f>
        <v/>
      </c>
      <c r="K56" s="531">
        <f>IF(B56="","Pending",IF(M56="","⚠️ Enter Code",IF(IFERROR(VLOOKUP(L56,DB_Agents!$B:$I,8,0),"")=M56,"Pending","🔒 BLOCKED — Wrong Code")))</f>
        <v/>
      </c>
      <c r="L56" s="384" t="inlineStr">
        <is>
          <t>Agent 09</t>
        </is>
      </c>
      <c r="M56" s="491" t="n"/>
      <c r="N56" s="501" t="n"/>
    </row>
    <row r="57" ht="15" customHeight="1" s="341">
      <c r="A57" s="492">
        <f>IF(B57="","",IF(C57="❌ Account Not Found","INVALID","LN"&amp;TEXT(D57,"YYYYMMDD")&amp;TEXT(ROW()-13,"0000")))</f>
        <v/>
      </c>
      <c r="B57" s="486" t="n"/>
      <c r="C57" s="378">
        <f>IF(B57="","",IFERROR(VLOOKUP(B57,DB_Customers!$A:$D,4,0),"❌ Account Not Found"))</f>
        <v/>
      </c>
      <c r="D57" s="488">
        <f>IF(B57="","",TODAY())</f>
        <v/>
      </c>
      <c r="E57" s="526" t="n"/>
      <c r="F57" s="378" t="n"/>
      <c r="G57" s="532" t="n"/>
      <c r="H57" s="533" t="n"/>
      <c r="I57" s="529">
        <f>IF(E57="","",E57+(E57*H57/100*G57))</f>
        <v/>
      </c>
      <c r="J57" s="534">
        <f>IFERROR(I57/G57,"")</f>
        <v/>
      </c>
      <c r="K57" s="535">
        <f>IF(B57="","Pending",IF(M57="","⚠️ Enter Code",IF(IFERROR(VLOOKUP(L57,DB_Agents!$B:$I,8,0),"")=M57,"Pending","🔒 BLOCKED — Wrong Code")))</f>
        <v/>
      </c>
      <c r="L57" s="380" t="inlineStr">
        <is>
          <t>Agent 09</t>
        </is>
      </c>
      <c r="M57" s="491" t="n"/>
      <c r="N57" s="494" t="n"/>
    </row>
    <row r="58" ht="15" customHeight="1" s="341">
      <c r="A58" s="499">
        <f>IF(B58="","",IF(C58="❌ Account Not Found","INVALID","LN"&amp;TEXT(D58,"YYYYMMDD")&amp;TEXT(ROW()-13,"0000")))</f>
        <v/>
      </c>
      <c r="B58" s="495" t="n"/>
      <c r="C58" s="382">
        <f>IF(B58="","",IFERROR(VLOOKUP(B58,DB_Customers!$A:$D,4,0),"❌ Account Not Found"))</f>
        <v/>
      </c>
      <c r="D58" s="497">
        <f>IF(B58="","",TODAY())</f>
        <v/>
      </c>
      <c r="E58" s="526" t="n"/>
      <c r="F58" s="382" t="n"/>
      <c r="G58" s="527" t="n"/>
      <c r="H58" s="528" t="n"/>
      <c r="I58" s="529">
        <f>IF(E58="","",E58+(E58*H58/100*G58))</f>
        <v/>
      </c>
      <c r="J58" s="530">
        <f>IFERROR(I58/G58,"")</f>
        <v/>
      </c>
      <c r="K58" s="531">
        <f>IF(B58="","Pending",IF(M58="","⚠️ Enter Code",IF(IFERROR(VLOOKUP(L58,DB_Agents!$B:$I,8,0),"")=M58,"Pending","🔒 BLOCKED — Wrong Code")))</f>
        <v/>
      </c>
      <c r="L58" s="384" t="inlineStr">
        <is>
          <t>Agent 09</t>
        </is>
      </c>
      <c r="M58" s="491" t="n"/>
      <c r="N58" s="501" t="n"/>
    </row>
    <row r="59" ht="15" customHeight="1" s="341">
      <c r="A59" s="492">
        <f>IF(B59="","",IF(C59="❌ Account Not Found","INVALID","LN"&amp;TEXT(D59,"YYYYMMDD")&amp;TEXT(ROW()-13,"0000")))</f>
        <v/>
      </c>
      <c r="B59" s="486" t="n"/>
      <c r="C59" s="378">
        <f>IF(B59="","",IFERROR(VLOOKUP(B59,DB_Customers!$A:$D,4,0),"❌ Account Not Found"))</f>
        <v/>
      </c>
      <c r="D59" s="488">
        <f>IF(B59="","",TODAY())</f>
        <v/>
      </c>
      <c r="E59" s="526" t="n"/>
      <c r="F59" s="378" t="n"/>
      <c r="G59" s="532" t="n"/>
      <c r="H59" s="533" t="n"/>
      <c r="I59" s="529">
        <f>IF(E59="","",E59+(E59*H59/100*G59))</f>
        <v/>
      </c>
      <c r="J59" s="534">
        <f>IFERROR(I59/G59,"")</f>
        <v/>
      </c>
      <c r="K59" s="535">
        <f>IF(B59="","Pending",IF(M59="","⚠️ Enter Code",IF(IFERROR(VLOOKUP(L59,DB_Agents!$B:$I,8,0),"")=M59,"Pending","🔒 BLOCKED — Wrong Code")))</f>
        <v/>
      </c>
      <c r="L59" s="380" t="inlineStr">
        <is>
          <t>Agent 09</t>
        </is>
      </c>
      <c r="M59" s="491" t="n"/>
      <c r="N59" s="494" t="n"/>
    </row>
    <row r="60" ht="15" customHeight="1" s="341">
      <c r="A60" s="499">
        <f>IF(B60="","",IF(C60="❌ Account Not Found","INVALID","LN"&amp;TEXT(D60,"YYYYMMDD")&amp;TEXT(ROW()-13,"0000")))</f>
        <v/>
      </c>
      <c r="B60" s="495" t="n"/>
      <c r="C60" s="382">
        <f>IF(B60="","",IFERROR(VLOOKUP(B60,DB_Customers!$A:$D,4,0),"❌ Account Not Found"))</f>
        <v/>
      </c>
      <c r="D60" s="497">
        <f>IF(B60="","",TODAY())</f>
        <v/>
      </c>
      <c r="E60" s="526" t="n"/>
      <c r="F60" s="382" t="n"/>
      <c r="G60" s="527" t="n"/>
      <c r="H60" s="528" t="n"/>
      <c r="I60" s="529">
        <f>IF(E60="","",E60+(E60*H60/100*G60))</f>
        <v/>
      </c>
      <c r="J60" s="530">
        <f>IFERROR(I60/G60,"")</f>
        <v/>
      </c>
      <c r="K60" s="531">
        <f>IF(B60="","Pending",IF(M60="","⚠️ Enter Code",IF(IFERROR(VLOOKUP(L60,DB_Agents!$B:$I,8,0),"")=M60,"Pending","🔒 BLOCKED — Wrong Code")))</f>
        <v/>
      </c>
      <c r="L60" s="384" t="inlineStr">
        <is>
          <t>Agent 09</t>
        </is>
      </c>
      <c r="M60" s="491" t="n"/>
      <c r="N60" s="501" t="n"/>
    </row>
    <row r="61" ht="15" customHeight="1" s="341">
      <c r="A61" s="492">
        <f>IF(B61="","",IF(C61="❌ Account Not Found","INVALID","LN"&amp;TEXT(D61,"YYYYMMDD")&amp;TEXT(ROW()-13,"0000")))</f>
        <v/>
      </c>
      <c r="B61" s="486" t="n"/>
      <c r="C61" s="378">
        <f>IF(B61="","",IFERROR(VLOOKUP(B61,DB_Customers!$A:$D,4,0),"❌ Account Not Found"))</f>
        <v/>
      </c>
      <c r="D61" s="488">
        <f>IF(B61="","",TODAY())</f>
        <v/>
      </c>
      <c r="E61" s="526" t="n"/>
      <c r="F61" s="378" t="n"/>
      <c r="G61" s="532" t="n"/>
      <c r="H61" s="533" t="n"/>
      <c r="I61" s="529">
        <f>IF(E61="","",E61+(E61*H61/100*G61))</f>
        <v/>
      </c>
      <c r="J61" s="534">
        <f>IFERROR(I61/G61,"")</f>
        <v/>
      </c>
      <c r="K61" s="535">
        <f>IF(B61="","Pending",IF(M61="","⚠️ Enter Code",IF(IFERROR(VLOOKUP(L61,DB_Agents!$B:$I,8,0),"")=M61,"Pending","🔒 BLOCKED — Wrong Code")))</f>
        <v/>
      </c>
      <c r="L61" s="380" t="inlineStr">
        <is>
          <t>Agent 09</t>
        </is>
      </c>
      <c r="M61" s="491" t="n"/>
      <c r="N61" s="494" t="n"/>
    </row>
    <row r="62" ht="15" customHeight="1" s="341">
      <c r="A62" s="499">
        <f>IF(B62="","",IF(C62="❌ Account Not Found","INVALID","LN"&amp;TEXT(D62,"YYYYMMDD")&amp;TEXT(ROW()-13,"0000")))</f>
        <v/>
      </c>
      <c r="B62" s="495" t="n"/>
      <c r="C62" s="382">
        <f>IF(B62="","",IFERROR(VLOOKUP(B62,DB_Customers!$A:$D,4,0),"❌ Account Not Found"))</f>
        <v/>
      </c>
      <c r="D62" s="497">
        <f>IF(B62="","",TODAY())</f>
        <v/>
      </c>
      <c r="E62" s="526" t="n"/>
      <c r="F62" s="382" t="n"/>
      <c r="G62" s="527" t="n"/>
      <c r="H62" s="528" t="n"/>
      <c r="I62" s="529">
        <f>IF(E62="","",E62+(E62*H62/100*G62))</f>
        <v/>
      </c>
      <c r="J62" s="530">
        <f>IFERROR(I62/G62,"")</f>
        <v/>
      </c>
      <c r="K62" s="531">
        <f>IF(B62="","Pending",IF(M62="","⚠️ Enter Code",IF(IFERROR(VLOOKUP(L62,DB_Agents!$B:$I,8,0),"")=M62,"Pending","🔒 BLOCKED — Wrong Code")))</f>
        <v/>
      </c>
      <c r="L62" s="384" t="inlineStr">
        <is>
          <t>Agent 09</t>
        </is>
      </c>
      <c r="M62" s="491" t="n"/>
      <c r="N62" s="501" t="n"/>
    </row>
    <row r="63" ht="15" customHeight="1" s="341">
      <c r="A63" s="492">
        <f>IF(B63="","",IF(C63="❌ Account Not Found","INVALID","LN"&amp;TEXT(D63,"YYYYMMDD")&amp;TEXT(ROW()-13,"0000")))</f>
        <v/>
      </c>
      <c r="B63" s="486" t="n"/>
      <c r="C63" s="378">
        <f>IF(B63="","",IFERROR(VLOOKUP(B63,DB_Customers!$A:$D,4,0),"❌ Account Not Found"))</f>
        <v/>
      </c>
      <c r="D63" s="488">
        <f>IF(B63="","",TODAY())</f>
        <v/>
      </c>
      <c r="E63" s="526" t="n"/>
      <c r="F63" s="378" t="n"/>
      <c r="G63" s="532" t="n"/>
      <c r="H63" s="533" t="n"/>
      <c r="I63" s="529">
        <f>IF(E63="","",E63+(E63*H63/100*G63))</f>
        <v/>
      </c>
      <c r="J63" s="534">
        <f>IFERROR(I63/G63,"")</f>
        <v/>
      </c>
      <c r="K63" s="535">
        <f>IF(B63="","Pending",IF(M63="","⚠️ Enter Code",IF(IFERROR(VLOOKUP(L63,DB_Agents!$B:$I,8,0),"")=M63,"Pending","🔒 BLOCKED — Wrong Code")))</f>
        <v/>
      </c>
      <c r="L63" s="380" t="inlineStr">
        <is>
          <t>Agent 09</t>
        </is>
      </c>
      <c r="M63" s="491" t="n"/>
      <c r="N63" s="494" t="n"/>
    </row>
    <row r="64" ht="15" customHeight="1" s="341">
      <c r="A64" s="499">
        <f>IF(B64="","",IF(C64="❌ Account Not Found","INVALID","LN"&amp;TEXT(D64,"YYYYMMDD")&amp;TEXT(ROW()-13,"0000")))</f>
        <v/>
      </c>
      <c r="B64" s="495" t="n"/>
      <c r="C64" s="382">
        <f>IF(B64="","",IFERROR(VLOOKUP(B64,DB_Customers!$A:$D,4,0),"❌ Account Not Found"))</f>
        <v/>
      </c>
      <c r="D64" s="497">
        <f>IF(B64="","",TODAY())</f>
        <v/>
      </c>
      <c r="E64" s="526" t="n"/>
      <c r="F64" s="382" t="n"/>
      <c r="G64" s="527" t="n"/>
      <c r="H64" s="528" t="n"/>
      <c r="I64" s="529">
        <f>IF(E64="","",E64+(E64*H64/100*G64))</f>
        <v/>
      </c>
      <c r="J64" s="530">
        <f>IFERROR(I64/G64,"")</f>
        <v/>
      </c>
      <c r="K64" s="531">
        <f>IF(B64="","Pending",IF(M64="","⚠️ Enter Code",IF(IFERROR(VLOOKUP(L64,DB_Agents!$B:$I,8,0),"")=M64,"Pending","🔒 BLOCKED — Wrong Code")))</f>
        <v/>
      </c>
      <c r="L64" s="384" t="inlineStr">
        <is>
          <t>Agent 09</t>
        </is>
      </c>
      <c r="M64" s="491" t="n"/>
      <c r="N64" s="501" t="n"/>
    </row>
    <row r="65" ht="15" customHeight="1" s="341">
      <c r="A65" s="492">
        <f>IF(B65="","",IF(C65="❌ Account Not Found","INVALID","LN"&amp;TEXT(D65,"YYYYMMDD")&amp;TEXT(ROW()-13,"0000")))</f>
        <v/>
      </c>
      <c r="B65" s="486" t="n"/>
      <c r="C65" s="378">
        <f>IF(B65="","",IFERROR(VLOOKUP(B65,DB_Customers!$A:$D,4,0),"❌ Account Not Found"))</f>
        <v/>
      </c>
      <c r="D65" s="488">
        <f>IF(B65="","",TODAY())</f>
        <v/>
      </c>
      <c r="E65" s="526" t="n"/>
      <c r="F65" s="378" t="n"/>
      <c r="G65" s="532" t="n"/>
      <c r="H65" s="533" t="n"/>
      <c r="I65" s="529">
        <f>IF(E65="","",E65+(E65*H65/100*G65))</f>
        <v/>
      </c>
      <c r="J65" s="534">
        <f>IFERROR(I65/G65,"")</f>
        <v/>
      </c>
      <c r="K65" s="535">
        <f>IF(B65="","Pending",IF(M65="","⚠️ Enter Code",IF(IFERROR(VLOOKUP(L65,DB_Agents!$B:$I,8,0),"")=M65,"Pending","🔒 BLOCKED — Wrong Code")))</f>
        <v/>
      </c>
      <c r="L65" s="380" t="inlineStr">
        <is>
          <t>Agent 09</t>
        </is>
      </c>
      <c r="M65" s="491" t="n"/>
      <c r="N65" s="494" t="n"/>
    </row>
    <row r="66" ht="15" customHeight="1" s="341">
      <c r="A66" s="499">
        <f>IF(B66="","",IF(C66="❌ Account Not Found","INVALID","LN"&amp;TEXT(D66,"YYYYMMDD")&amp;TEXT(ROW()-13,"0000")))</f>
        <v/>
      </c>
      <c r="B66" s="495" t="n"/>
      <c r="C66" s="382">
        <f>IF(B66="","",IFERROR(VLOOKUP(B66,DB_Customers!$A:$D,4,0),"❌ Account Not Found"))</f>
        <v/>
      </c>
      <c r="D66" s="497">
        <f>IF(B66="","",TODAY())</f>
        <v/>
      </c>
      <c r="E66" s="526" t="n"/>
      <c r="F66" s="382" t="n"/>
      <c r="G66" s="527" t="n"/>
      <c r="H66" s="528" t="n"/>
      <c r="I66" s="529">
        <f>IF(E66="","",E66+(E66*H66/100*G66))</f>
        <v/>
      </c>
      <c r="J66" s="530">
        <f>IFERROR(I66/G66,"")</f>
        <v/>
      </c>
      <c r="K66" s="531">
        <f>IF(B66="","Pending",IF(M66="","⚠️ Enter Code",IF(IFERROR(VLOOKUP(L66,DB_Agents!$B:$I,8,0),"")=M66,"Pending","🔒 BLOCKED — Wrong Code")))</f>
        <v/>
      </c>
      <c r="L66" s="384" t="inlineStr">
        <is>
          <t>Agent 09</t>
        </is>
      </c>
      <c r="M66" s="491" t="n"/>
      <c r="N66" s="501" t="n"/>
    </row>
    <row r="67" ht="15" customHeight="1" s="341">
      <c r="A67" s="492">
        <f>IF(B67="","",IF(C67="❌ Account Not Found","INVALID","LN"&amp;TEXT(D67,"YYYYMMDD")&amp;TEXT(ROW()-13,"0000")))</f>
        <v/>
      </c>
      <c r="B67" s="486" t="n"/>
      <c r="C67" s="378">
        <f>IF(B67="","",IFERROR(VLOOKUP(B67,DB_Customers!$A:$D,4,0),"❌ Account Not Found"))</f>
        <v/>
      </c>
      <c r="D67" s="488">
        <f>IF(B67="","",TODAY())</f>
        <v/>
      </c>
      <c r="E67" s="526" t="n"/>
      <c r="F67" s="378" t="n"/>
      <c r="G67" s="532" t="n"/>
      <c r="H67" s="533" t="n"/>
      <c r="I67" s="529">
        <f>IF(E67="","",E67+(E67*H67/100*G67))</f>
        <v/>
      </c>
      <c r="J67" s="534">
        <f>IFERROR(I67/G67,"")</f>
        <v/>
      </c>
      <c r="K67" s="535">
        <f>IF(B67="","Pending",IF(M67="","⚠️ Enter Code",IF(IFERROR(VLOOKUP(L67,DB_Agents!$B:$I,8,0),"")=M67,"Pending","🔒 BLOCKED — Wrong Code")))</f>
        <v/>
      </c>
      <c r="L67" s="380" t="inlineStr">
        <is>
          <t>Agent 09</t>
        </is>
      </c>
      <c r="M67" s="491" t="n"/>
      <c r="N67" s="494" t="n"/>
    </row>
    <row r="68" ht="15" customHeight="1" s="341">
      <c r="A68" s="499">
        <f>IF(B68="","",IF(C68="❌ Account Not Found","INVALID","LN"&amp;TEXT(D68,"YYYYMMDD")&amp;TEXT(ROW()-13,"0000")))</f>
        <v/>
      </c>
      <c r="B68" s="495" t="n"/>
      <c r="C68" s="382">
        <f>IF(B68="","",IFERROR(VLOOKUP(B68,DB_Customers!$A:$D,4,0),"❌ Account Not Found"))</f>
        <v/>
      </c>
      <c r="D68" s="497">
        <f>IF(B68="","",TODAY())</f>
        <v/>
      </c>
      <c r="E68" s="526" t="n"/>
      <c r="F68" s="382" t="n"/>
      <c r="G68" s="527" t="n"/>
      <c r="H68" s="528" t="n"/>
      <c r="I68" s="529">
        <f>IF(E68="","",E68+(E68*H68/100*G68))</f>
        <v/>
      </c>
      <c r="J68" s="530">
        <f>IFERROR(I68/G68,"")</f>
        <v/>
      </c>
      <c r="K68" s="531">
        <f>IF(B68="","Pending",IF(M68="","⚠️ Enter Code",IF(IFERROR(VLOOKUP(L68,DB_Agents!$B:$I,8,0),"")=M68,"Pending","🔒 BLOCKED — Wrong Code")))</f>
        <v/>
      </c>
      <c r="L68" s="384" t="inlineStr">
        <is>
          <t>Agent 09</t>
        </is>
      </c>
      <c r="M68" s="491" t="n"/>
      <c r="N68" s="501" t="n"/>
    </row>
    <row r="69" ht="15" customHeight="1" s="341">
      <c r="A69" s="492">
        <f>IF(B69="","",IF(C69="❌ Account Not Found","INVALID","LN"&amp;TEXT(D69,"YYYYMMDD")&amp;TEXT(ROW()-13,"0000")))</f>
        <v/>
      </c>
      <c r="B69" s="486" t="n"/>
      <c r="C69" s="378">
        <f>IF(B69="","",IFERROR(VLOOKUP(B69,DB_Customers!$A:$D,4,0),"❌ Account Not Found"))</f>
        <v/>
      </c>
      <c r="D69" s="488">
        <f>IF(B69="","",TODAY())</f>
        <v/>
      </c>
      <c r="E69" s="526" t="n"/>
      <c r="F69" s="378" t="n"/>
      <c r="G69" s="532" t="n"/>
      <c r="H69" s="533" t="n"/>
      <c r="I69" s="529">
        <f>IF(E69="","",E69+(E69*H69/100*G69))</f>
        <v/>
      </c>
      <c r="J69" s="534">
        <f>IFERROR(I69/G69,"")</f>
        <v/>
      </c>
      <c r="K69" s="535">
        <f>IF(B69="","Pending",IF(M69="","⚠️ Enter Code",IF(IFERROR(VLOOKUP(L69,DB_Agents!$B:$I,8,0),"")=M69,"Pending","🔒 BLOCKED — Wrong Code")))</f>
        <v/>
      </c>
      <c r="L69" s="380" t="inlineStr">
        <is>
          <t>Agent 09</t>
        </is>
      </c>
      <c r="M69" s="491" t="n"/>
      <c r="N69" s="494" t="n"/>
    </row>
    <row r="70" ht="15" customHeight="1" s="341">
      <c r="A70" s="499">
        <f>IF(B70="","",IF(C70="❌ Account Not Found","INVALID","LN"&amp;TEXT(D70,"YYYYMMDD")&amp;TEXT(ROW()-13,"0000")))</f>
        <v/>
      </c>
      <c r="B70" s="495" t="n"/>
      <c r="C70" s="382">
        <f>IF(B70="","",IFERROR(VLOOKUP(B70,DB_Customers!$A:$D,4,0),"❌ Account Not Found"))</f>
        <v/>
      </c>
      <c r="D70" s="497">
        <f>IF(B70="","",TODAY())</f>
        <v/>
      </c>
      <c r="E70" s="526" t="n"/>
      <c r="F70" s="382" t="n"/>
      <c r="G70" s="527" t="n"/>
      <c r="H70" s="528" t="n"/>
      <c r="I70" s="529">
        <f>IF(E70="","",E70+(E70*H70/100*G70))</f>
        <v/>
      </c>
      <c r="J70" s="530">
        <f>IFERROR(I70/G70,"")</f>
        <v/>
      </c>
      <c r="K70" s="531">
        <f>IF(B70="","Pending",IF(M70="","⚠️ Enter Code",IF(IFERROR(VLOOKUP(L70,DB_Agents!$B:$I,8,0),"")=M70,"Pending","🔒 BLOCKED — Wrong Code")))</f>
        <v/>
      </c>
      <c r="L70" s="384" t="inlineStr">
        <is>
          <t>Agent 09</t>
        </is>
      </c>
      <c r="M70" s="491" t="n"/>
      <c r="N70" s="501" t="n"/>
    </row>
    <row r="71" ht="15" customHeight="1" s="341">
      <c r="A71" s="492">
        <f>IF(B71="","",IF(C71="❌ Account Not Found","INVALID","LN"&amp;TEXT(D71,"YYYYMMDD")&amp;TEXT(ROW()-13,"0000")))</f>
        <v/>
      </c>
      <c r="B71" s="486" t="n"/>
      <c r="C71" s="378">
        <f>IF(B71="","",IFERROR(VLOOKUP(B71,DB_Customers!$A:$D,4,0),"❌ Account Not Found"))</f>
        <v/>
      </c>
      <c r="D71" s="488">
        <f>IF(B71="","",TODAY())</f>
        <v/>
      </c>
      <c r="E71" s="526" t="n"/>
      <c r="F71" s="378" t="n"/>
      <c r="G71" s="532" t="n"/>
      <c r="H71" s="533" t="n"/>
      <c r="I71" s="529">
        <f>IF(E71="","",E71+(E71*H71/100*G71))</f>
        <v/>
      </c>
      <c r="J71" s="534">
        <f>IFERROR(I71/G71,"")</f>
        <v/>
      </c>
      <c r="K71" s="535">
        <f>IF(B71="","Pending",IF(M71="","⚠️ Enter Code",IF(IFERROR(VLOOKUP(L71,DB_Agents!$B:$I,8,0),"")=M71,"Pending","🔒 BLOCKED — Wrong Code")))</f>
        <v/>
      </c>
      <c r="L71" s="380" t="inlineStr">
        <is>
          <t>Agent 09</t>
        </is>
      </c>
      <c r="M71" s="491" t="n"/>
      <c r="N71" s="494" t="n"/>
    </row>
    <row r="72" ht="15" customHeight="1" s="341">
      <c r="A72" s="499">
        <f>IF(B72="","",IF(C72="❌ Account Not Found","INVALID","LN"&amp;TEXT(D72,"YYYYMMDD")&amp;TEXT(ROW()-13,"0000")))</f>
        <v/>
      </c>
      <c r="B72" s="495" t="n"/>
      <c r="C72" s="382">
        <f>IF(B72="","",IFERROR(VLOOKUP(B72,DB_Customers!$A:$D,4,0),"❌ Account Not Found"))</f>
        <v/>
      </c>
      <c r="D72" s="497">
        <f>IF(B72="","",TODAY())</f>
        <v/>
      </c>
      <c r="E72" s="526" t="n"/>
      <c r="F72" s="382" t="n"/>
      <c r="G72" s="527" t="n"/>
      <c r="H72" s="528" t="n"/>
      <c r="I72" s="529">
        <f>IF(E72="","",E72+(E72*H72/100*G72))</f>
        <v/>
      </c>
      <c r="J72" s="530">
        <f>IFERROR(I72/G72,"")</f>
        <v/>
      </c>
      <c r="K72" s="531">
        <f>IF(B72="","Pending",IF(M72="","⚠️ Enter Code",IF(IFERROR(VLOOKUP(L72,DB_Agents!$B:$I,8,0),"")=M72,"Pending","🔒 BLOCKED — Wrong Code")))</f>
        <v/>
      </c>
      <c r="L72" s="384" t="inlineStr">
        <is>
          <t>Agent 09</t>
        </is>
      </c>
      <c r="M72" s="491" t="n"/>
      <c r="N72" s="501" t="n"/>
    </row>
    <row r="73" ht="15" customHeight="1" s="341">
      <c r="A73" s="492">
        <f>IF(B73="","",IF(C73="❌ Account Not Found","INVALID","LN"&amp;TEXT(D73,"YYYYMMDD")&amp;TEXT(ROW()-13,"0000")))</f>
        <v/>
      </c>
      <c r="B73" s="486" t="n"/>
      <c r="C73" s="378">
        <f>IF(B73="","",IFERROR(VLOOKUP(B73,DB_Customers!$A:$D,4,0),"❌ Account Not Found"))</f>
        <v/>
      </c>
      <c r="D73" s="488">
        <f>IF(B73="","",TODAY())</f>
        <v/>
      </c>
      <c r="E73" s="526" t="n"/>
      <c r="F73" s="378" t="n"/>
      <c r="G73" s="532" t="n"/>
      <c r="H73" s="533" t="n"/>
      <c r="I73" s="529">
        <f>IF(E73="","",E73+(E73*H73/100*G73))</f>
        <v/>
      </c>
      <c r="J73" s="534">
        <f>IFERROR(I73/G73,"")</f>
        <v/>
      </c>
      <c r="K73" s="535">
        <f>IF(B73="","Pending",IF(M73="","⚠️ Enter Code",IF(IFERROR(VLOOKUP(L73,DB_Agents!$B:$I,8,0),"")=M73,"Pending","🔒 BLOCKED — Wrong Code")))</f>
        <v/>
      </c>
      <c r="L73" s="380" t="inlineStr">
        <is>
          <t>Agent 09</t>
        </is>
      </c>
      <c r="M73" s="491" t="n"/>
      <c r="N73" s="494" t="n"/>
    </row>
    <row r="74" ht="15" customHeight="1" s="341">
      <c r="A74" s="499">
        <f>IF(B74="","",IF(C74="❌ Account Not Found","INVALID","LN"&amp;TEXT(D74,"YYYYMMDD")&amp;TEXT(ROW()-13,"0000")))</f>
        <v/>
      </c>
      <c r="B74" s="495" t="n"/>
      <c r="C74" s="382">
        <f>IF(B74="","",IFERROR(VLOOKUP(B74,DB_Customers!$A:$D,4,0),"❌ Account Not Found"))</f>
        <v/>
      </c>
      <c r="D74" s="497">
        <f>IF(B74="","",TODAY())</f>
        <v/>
      </c>
      <c r="E74" s="526" t="n"/>
      <c r="F74" s="382" t="n"/>
      <c r="G74" s="527" t="n"/>
      <c r="H74" s="528" t="n"/>
      <c r="I74" s="529">
        <f>IF(E74="","",E74+(E74*H74/100*G74))</f>
        <v/>
      </c>
      <c r="J74" s="530">
        <f>IFERROR(I74/G74,"")</f>
        <v/>
      </c>
      <c r="K74" s="531">
        <f>IF(B74="","Pending",IF(M74="","⚠️ Enter Code",IF(IFERROR(VLOOKUP(L74,DB_Agents!$B:$I,8,0),"")=M74,"Pending","🔒 BLOCKED — Wrong Code")))</f>
        <v/>
      </c>
      <c r="L74" s="384" t="inlineStr">
        <is>
          <t>Agent 09</t>
        </is>
      </c>
      <c r="M74" s="491" t="n"/>
      <c r="N74" s="501" t="n"/>
    </row>
    <row r="75" ht="15" customHeight="1" s="341">
      <c r="A75" s="492">
        <f>IF(B75="","",IF(C75="❌ Account Not Found","INVALID","LN"&amp;TEXT(D75,"YYYYMMDD")&amp;TEXT(ROW()-13,"0000")))</f>
        <v/>
      </c>
      <c r="B75" s="486" t="n"/>
      <c r="C75" s="378">
        <f>IF(B75="","",IFERROR(VLOOKUP(B75,DB_Customers!$A:$D,4,0),"❌ Account Not Found"))</f>
        <v/>
      </c>
      <c r="D75" s="488">
        <f>IF(B75="","",TODAY())</f>
        <v/>
      </c>
      <c r="E75" s="526" t="n"/>
      <c r="F75" s="378" t="n"/>
      <c r="G75" s="532" t="n"/>
      <c r="H75" s="533" t="n"/>
      <c r="I75" s="529">
        <f>IF(E75="","",E75+(E75*H75/100*G75))</f>
        <v/>
      </c>
      <c r="J75" s="534">
        <f>IFERROR(I75/G75,"")</f>
        <v/>
      </c>
      <c r="K75" s="535">
        <f>IF(B75="","Pending",IF(M75="","⚠️ Enter Code",IF(IFERROR(VLOOKUP(L75,DB_Agents!$B:$I,8,0),"")=M75,"Pending","🔒 BLOCKED — Wrong Code")))</f>
        <v/>
      </c>
      <c r="L75" s="380" t="inlineStr">
        <is>
          <t>Agent 09</t>
        </is>
      </c>
      <c r="M75" s="491" t="n"/>
      <c r="N75" s="494" t="n"/>
    </row>
    <row r="76" ht="15" customHeight="1" s="341">
      <c r="A76" s="499">
        <f>IF(B76="","",IF(C76="❌ Account Not Found","INVALID","LN"&amp;TEXT(D76,"YYYYMMDD")&amp;TEXT(ROW()-13,"0000")))</f>
        <v/>
      </c>
      <c r="B76" s="495" t="n"/>
      <c r="C76" s="382">
        <f>IF(B76="","",IFERROR(VLOOKUP(B76,DB_Customers!$A:$D,4,0),"❌ Account Not Found"))</f>
        <v/>
      </c>
      <c r="D76" s="497">
        <f>IF(B76="","",TODAY())</f>
        <v/>
      </c>
      <c r="E76" s="526" t="n"/>
      <c r="F76" s="382" t="n"/>
      <c r="G76" s="527" t="n"/>
      <c r="H76" s="528" t="n"/>
      <c r="I76" s="529">
        <f>IF(E76="","",E76+(E76*H76/100*G76))</f>
        <v/>
      </c>
      <c r="J76" s="530">
        <f>IFERROR(I76/G76,"")</f>
        <v/>
      </c>
      <c r="K76" s="531">
        <f>IF(B76="","Pending",IF(M76="","⚠️ Enter Code",IF(IFERROR(VLOOKUP(L76,DB_Agents!$B:$I,8,0),"")=M76,"Pending","🔒 BLOCKED — Wrong Code")))</f>
        <v/>
      </c>
      <c r="L76" s="384" t="inlineStr">
        <is>
          <t>Agent 09</t>
        </is>
      </c>
      <c r="M76" s="491" t="n"/>
      <c r="N76" s="501" t="n"/>
    </row>
    <row r="77" ht="15" customHeight="1" s="341">
      <c r="A77" s="492">
        <f>IF(B77="","",IF(C77="❌ Account Not Found","INVALID","LN"&amp;TEXT(D77,"YYYYMMDD")&amp;TEXT(ROW()-13,"0000")))</f>
        <v/>
      </c>
      <c r="B77" s="486" t="n"/>
      <c r="C77" s="378">
        <f>IF(B77="","",IFERROR(VLOOKUP(B77,DB_Customers!$A:$D,4,0),"❌ Account Not Found"))</f>
        <v/>
      </c>
      <c r="D77" s="488">
        <f>IF(B77="","",TODAY())</f>
        <v/>
      </c>
      <c r="E77" s="526" t="n"/>
      <c r="F77" s="378" t="n"/>
      <c r="G77" s="532" t="n"/>
      <c r="H77" s="533" t="n"/>
      <c r="I77" s="529">
        <f>IF(E77="","",E77+(E77*H77/100*G77))</f>
        <v/>
      </c>
      <c r="J77" s="534">
        <f>IFERROR(I77/G77,"")</f>
        <v/>
      </c>
      <c r="K77" s="535">
        <f>IF(B77="","Pending",IF(M77="","⚠️ Enter Code",IF(IFERROR(VLOOKUP(L77,DB_Agents!$B:$I,8,0),"")=M77,"Pending","🔒 BLOCKED — Wrong Code")))</f>
        <v/>
      </c>
      <c r="L77" s="380" t="inlineStr">
        <is>
          <t>Agent 09</t>
        </is>
      </c>
      <c r="M77" s="491" t="n"/>
      <c r="N77" s="494" t="n"/>
    </row>
    <row r="78" ht="15" customHeight="1" s="341">
      <c r="A78" s="499">
        <f>IF(B78="","",IF(C78="❌ Account Not Found","INVALID","LN"&amp;TEXT(D78,"YYYYMMDD")&amp;TEXT(ROW()-13,"0000")))</f>
        <v/>
      </c>
      <c r="B78" s="495" t="n"/>
      <c r="C78" s="382">
        <f>IF(B78="","",IFERROR(VLOOKUP(B78,DB_Customers!$A:$D,4,0),"❌ Account Not Found"))</f>
        <v/>
      </c>
      <c r="D78" s="497">
        <f>IF(B78="","",TODAY())</f>
        <v/>
      </c>
      <c r="E78" s="526" t="n"/>
      <c r="F78" s="382" t="n"/>
      <c r="G78" s="527" t="n"/>
      <c r="H78" s="528" t="n"/>
      <c r="I78" s="529">
        <f>IF(E78="","",E78+(E78*H78/100*G78))</f>
        <v/>
      </c>
      <c r="J78" s="530">
        <f>IFERROR(I78/G78,"")</f>
        <v/>
      </c>
      <c r="K78" s="531">
        <f>IF(B78="","Pending",IF(M78="","⚠️ Enter Code",IF(IFERROR(VLOOKUP(L78,DB_Agents!$B:$I,8,0),"")=M78,"Pending","🔒 BLOCKED — Wrong Code")))</f>
        <v/>
      </c>
      <c r="L78" s="384" t="inlineStr">
        <is>
          <t>Agent 09</t>
        </is>
      </c>
      <c r="M78" s="491" t="n"/>
      <c r="N78" s="501" t="n"/>
    </row>
    <row r="79" ht="15" customHeight="1" s="341">
      <c r="A79" s="492">
        <f>IF(B79="","",IF(C79="❌ Account Not Found","INVALID","LN"&amp;TEXT(D79,"YYYYMMDD")&amp;TEXT(ROW()-13,"0000")))</f>
        <v/>
      </c>
      <c r="B79" s="486" t="n"/>
      <c r="C79" s="378">
        <f>IF(B79="","",IFERROR(VLOOKUP(B79,DB_Customers!$A:$D,4,0),"❌ Account Not Found"))</f>
        <v/>
      </c>
      <c r="D79" s="488">
        <f>IF(B79="","",TODAY())</f>
        <v/>
      </c>
      <c r="E79" s="526" t="n"/>
      <c r="F79" s="378" t="n"/>
      <c r="G79" s="532" t="n"/>
      <c r="H79" s="533" t="n"/>
      <c r="I79" s="529">
        <f>IF(E79="","",E79+(E79*H79/100*G79))</f>
        <v/>
      </c>
      <c r="J79" s="534">
        <f>IFERROR(I79/G79,"")</f>
        <v/>
      </c>
      <c r="K79" s="535">
        <f>IF(B79="","Pending",IF(M79="","⚠️ Enter Code",IF(IFERROR(VLOOKUP(L79,DB_Agents!$B:$I,8,0),"")=M79,"Pending","🔒 BLOCKED — Wrong Code")))</f>
        <v/>
      </c>
      <c r="L79" s="380" t="inlineStr">
        <is>
          <t>Agent 09</t>
        </is>
      </c>
      <c r="M79" s="491" t="n"/>
      <c r="N79" s="494" t="n"/>
    </row>
    <row r="80" ht="15" customHeight="1" s="341">
      <c r="A80" s="499">
        <f>IF(B80="","",IF(C80="❌ Account Not Found","INVALID","LN"&amp;TEXT(D80,"YYYYMMDD")&amp;TEXT(ROW()-13,"0000")))</f>
        <v/>
      </c>
      <c r="B80" s="495" t="n"/>
      <c r="C80" s="382">
        <f>IF(B80="","",IFERROR(VLOOKUP(B80,DB_Customers!$A:$D,4,0),"❌ Account Not Found"))</f>
        <v/>
      </c>
      <c r="D80" s="497">
        <f>IF(B80="","",TODAY())</f>
        <v/>
      </c>
      <c r="E80" s="526" t="n"/>
      <c r="F80" s="382" t="n"/>
      <c r="G80" s="527" t="n"/>
      <c r="H80" s="528" t="n"/>
      <c r="I80" s="529">
        <f>IF(E80="","",E80+(E80*H80/100*G80))</f>
        <v/>
      </c>
      <c r="J80" s="530">
        <f>IFERROR(I80/G80,"")</f>
        <v/>
      </c>
      <c r="K80" s="531">
        <f>IF(B80="","Pending",IF(M80="","⚠️ Enter Code",IF(IFERROR(VLOOKUP(L80,DB_Agents!$B:$I,8,0),"")=M80,"Pending","🔒 BLOCKED — Wrong Code")))</f>
        <v/>
      </c>
      <c r="L80" s="384" t="inlineStr">
        <is>
          <t>Agent 09</t>
        </is>
      </c>
      <c r="M80" s="491" t="n"/>
      <c r="N80" s="501" t="n"/>
    </row>
    <row r="81" ht="15" customHeight="1" s="341">
      <c r="A81" s="492">
        <f>IF(B81="","",IF(C81="❌ Account Not Found","INVALID","LN"&amp;TEXT(D81,"YYYYMMDD")&amp;TEXT(ROW()-13,"0000")))</f>
        <v/>
      </c>
      <c r="B81" s="486" t="n"/>
      <c r="C81" s="378">
        <f>IF(B81="","",IFERROR(VLOOKUP(B81,DB_Customers!$A:$D,4,0),"❌ Account Not Found"))</f>
        <v/>
      </c>
      <c r="D81" s="488">
        <f>IF(B81="","",TODAY())</f>
        <v/>
      </c>
      <c r="E81" s="526" t="n"/>
      <c r="F81" s="378" t="n"/>
      <c r="G81" s="532" t="n"/>
      <c r="H81" s="533" t="n"/>
      <c r="I81" s="529">
        <f>IF(E81="","",E81+(E81*H81/100*G81))</f>
        <v/>
      </c>
      <c r="J81" s="534">
        <f>IFERROR(I81/G81,"")</f>
        <v/>
      </c>
      <c r="K81" s="535">
        <f>IF(B81="","Pending",IF(M81="","⚠️ Enter Code",IF(IFERROR(VLOOKUP(L81,DB_Agents!$B:$I,8,0),"")=M81,"Pending","🔒 BLOCKED — Wrong Code")))</f>
        <v/>
      </c>
      <c r="L81" s="380" t="inlineStr">
        <is>
          <t>Agent 09</t>
        </is>
      </c>
      <c r="M81" s="491" t="n"/>
      <c r="N81" s="494" t="n"/>
    </row>
    <row r="82" ht="15" customHeight="1" s="341">
      <c r="A82" s="499">
        <f>IF(B82="","",IF(C82="❌ Account Not Found","INVALID","LN"&amp;TEXT(D82,"YYYYMMDD")&amp;TEXT(ROW()-13,"0000")))</f>
        <v/>
      </c>
      <c r="B82" s="495" t="n"/>
      <c r="C82" s="382">
        <f>IF(B82="","",IFERROR(VLOOKUP(B82,DB_Customers!$A:$D,4,0),"❌ Account Not Found"))</f>
        <v/>
      </c>
      <c r="D82" s="497">
        <f>IF(B82="","",TODAY())</f>
        <v/>
      </c>
      <c r="E82" s="526" t="n"/>
      <c r="F82" s="382" t="n"/>
      <c r="G82" s="527" t="n"/>
      <c r="H82" s="528" t="n"/>
      <c r="I82" s="529">
        <f>IF(E82="","",E82+(E82*H82/100*G82))</f>
        <v/>
      </c>
      <c r="J82" s="530">
        <f>IFERROR(I82/G82,"")</f>
        <v/>
      </c>
      <c r="K82" s="531">
        <f>IF(B82="","Pending",IF(M82="","⚠️ Enter Code",IF(IFERROR(VLOOKUP(L82,DB_Agents!$B:$I,8,0),"")=M82,"Pending","🔒 BLOCKED — Wrong Code")))</f>
        <v/>
      </c>
      <c r="L82" s="384" t="inlineStr">
        <is>
          <t>Agent 09</t>
        </is>
      </c>
      <c r="M82" s="491" t="n"/>
      <c r="N82" s="501" t="n"/>
    </row>
    <row r="83" ht="15" customHeight="1" s="341">
      <c r="A83" s="492">
        <f>IF(B83="","",IF(C83="❌ Account Not Found","INVALID","LN"&amp;TEXT(D83,"YYYYMMDD")&amp;TEXT(ROW()-13,"0000")))</f>
        <v/>
      </c>
      <c r="B83" s="486" t="n"/>
      <c r="C83" s="378">
        <f>IF(B83="","",IFERROR(VLOOKUP(B83,DB_Customers!$A:$D,4,0),"❌ Account Not Found"))</f>
        <v/>
      </c>
      <c r="D83" s="488">
        <f>IF(B83="","",TODAY())</f>
        <v/>
      </c>
      <c r="E83" s="526" t="n"/>
      <c r="F83" s="378" t="n"/>
      <c r="G83" s="532" t="n"/>
      <c r="H83" s="533" t="n"/>
      <c r="I83" s="529">
        <f>IF(E83="","",E83+(E83*H83/100*G83))</f>
        <v/>
      </c>
      <c r="J83" s="534">
        <f>IFERROR(I83/G83,"")</f>
        <v/>
      </c>
      <c r="K83" s="535">
        <f>IF(B83="","Pending",IF(M83="","⚠️ Enter Code",IF(IFERROR(VLOOKUP(L83,DB_Agents!$B:$I,8,0),"")=M83,"Pending","🔒 BLOCKED — Wrong Code")))</f>
        <v/>
      </c>
      <c r="L83" s="380" t="inlineStr">
        <is>
          <t>Agent 09</t>
        </is>
      </c>
      <c r="M83" s="491" t="n"/>
      <c r="N83" s="494" t="n"/>
    </row>
    <row r="84" ht="15" customHeight="1" s="341">
      <c r="A84" s="499">
        <f>IF(B84="","",IF(C84="❌ Account Not Found","INVALID","LN"&amp;TEXT(D84,"YYYYMMDD")&amp;TEXT(ROW()-13,"0000")))</f>
        <v/>
      </c>
      <c r="B84" s="495" t="n"/>
      <c r="C84" s="382">
        <f>IF(B84="","",IFERROR(VLOOKUP(B84,DB_Customers!$A:$D,4,0),"❌ Account Not Found"))</f>
        <v/>
      </c>
      <c r="D84" s="497">
        <f>IF(B84="","",TODAY())</f>
        <v/>
      </c>
      <c r="E84" s="526" t="n"/>
      <c r="F84" s="382" t="n"/>
      <c r="G84" s="527" t="n"/>
      <c r="H84" s="528" t="n"/>
      <c r="I84" s="529">
        <f>IF(E84="","",E84+(E84*H84/100*G84))</f>
        <v/>
      </c>
      <c r="J84" s="530">
        <f>IFERROR(I84/G84,"")</f>
        <v/>
      </c>
      <c r="K84" s="531">
        <f>IF(B84="","Pending",IF(M84="","⚠️ Enter Code",IF(IFERROR(VLOOKUP(L84,DB_Agents!$B:$I,8,0),"")=M84,"Pending","🔒 BLOCKED — Wrong Code")))</f>
        <v/>
      </c>
      <c r="L84" s="384" t="inlineStr">
        <is>
          <t>Agent 09</t>
        </is>
      </c>
      <c r="M84" s="491" t="n"/>
      <c r="N84" s="501" t="n"/>
    </row>
    <row r="85" ht="15" customHeight="1" s="341">
      <c r="A85" s="492">
        <f>IF(B85="","",IF(C85="❌ Account Not Found","INVALID","LN"&amp;TEXT(D85,"YYYYMMDD")&amp;TEXT(ROW()-13,"0000")))</f>
        <v/>
      </c>
      <c r="B85" s="486" t="n"/>
      <c r="C85" s="378">
        <f>IF(B85="","",IFERROR(VLOOKUP(B85,DB_Customers!$A:$D,4,0),"❌ Account Not Found"))</f>
        <v/>
      </c>
      <c r="D85" s="488">
        <f>IF(B85="","",TODAY())</f>
        <v/>
      </c>
      <c r="E85" s="526" t="n"/>
      <c r="F85" s="378" t="n"/>
      <c r="G85" s="532" t="n"/>
      <c r="H85" s="533" t="n"/>
      <c r="I85" s="529">
        <f>IF(E85="","",E85+(E85*H85/100*G85))</f>
        <v/>
      </c>
      <c r="J85" s="534">
        <f>IFERROR(I85/G85,"")</f>
        <v/>
      </c>
      <c r="K85" s="535">
        <f>IF(B85="","Pending",IF(M85="","⚠️ Enter Code",IF(IFERROR(VLOOKUP(L85,DB_Agents!$B:$I,8,0),"")=M85,"Pending","🔒 BLOCKED — Wrong Code")))</f>
        <v/>
      </c>
      <c r="L85" s="380" t="inlineStr">
        <is>
          <t>Agent 09</t>
        </is>
      </c>
      <c r="M85" s="491" t="n"/>
      <c r="N85" s="494" t="n"/>
    </row>
    <row r="86" ht="15" customHeight="1" s="341">
      <c r="A86" s="499">
        <f>IF(B86="","",IF(C86="❌ Account Not Found","INVALID","LN"&amp;TEXT(D86,"YYYYMMDD")&amp;TEXT(ROW()-13,"0000")))</f>
        <v/>
      </c>
      <c r="B86" s="495" t="n"/>
      <c r="C86" s="382">
        <f>IF(B86="","",IFERROR(VLOOKUP(B86,DB_Customers!$A:$D,4,0),"❌ Account Not Found"))</f>
        <v/>
      </c>
      <c r="D86" s="497">
        <f>IF(B86="","",TODAY())</f>
        <v/>
      </c>
      <c r="E86" s="526" t="n"/>
      <c r="F86" s="382" t="n"/>
      <c r="G86" s="527" t="n"/>
      <c r="H86" s="528" t="n"/>
      <c r="I86" s="529">
        <f>IF(E86="","",E86+(E86*H86/100*G86))</f>
        <v/>
      </c>
      <c r="J86" s="530">
        <f>IFERROR(I86/G86,"")</f>
        <v/>
      </c>
      <c r="K86" s="531">
        <f>IF(B86="","Pending",IF(M86="","⚠️ Enter Code",IF(IFERROR(VLOOKUP(L86,DB_Agents!$B:$I,8,0),"")=M86,"Pending","🔒 BLOCKED — Wrong Code")))</f>
        <v/>
      </c>
      <c r="L86" s="384" t="inlineStr">
        <is>
          <t>Agent 09</t>
        </is>
      </c>
      <c r="M86" s="491" t="n"/>
      <c r="N86" s="501" t="n"/>
    </row>
    <row r="87" ht="15" customHeight="1" s="341">
      <c r="A87" s="492">
        <f>IF(B87="","",IF(C87="❌ Account Not Found","INVALID","LN"&amp;TEXT(D87,"YYYYMMDD")&amp;TEXT(ROW()-13,"0000")))</f>
        <v/>
      </c>
      <c r="B87" s="486" t="n"/>
      <c r="C87" s="378">
        <f>IF(B87="","",IFERROR(VLOOKUP(B87,DB_Customers!$A:$D,4,0),"❌ Account Not Found"))</f>
        <v/>
      </c>
      <c r="D87" s="488">
        <f>IF(B87="","",TODAY())</f>
        <v/>
      </c>
      <c r="E87" s="526" t="n"/>
      <c r="F87" s="378" t="n"/>
      <c r="G87" s="532" t="n"/>
      <c r="H87" s="533" t="n"/>
      <c r="I87" s="529">
        <f>IF(E87="","",E87+(E87*H87/100*G87))</f>
        <v/>
      </c>
      <c r="J87" s="534">
        <f>IFERROR(I87/G87,"")</f>
        <v/>
      </c>
      <c r="K87" s="535">
        <f>IF(B87="","Pending",IF(M87="","⚠️ Enter Code",IF(IFERROR(VLOOKUP(L87,DB_Agents!$B:$I,8,0),"")=M87,"Pending","🔒 BLOCKED — Wrong Code")))</f>
        <v/>
      </c>
      <c r="L87" s="380" t="inlineStr">
        <is>
          <t>Agent 09</t>
        </is>
      </c>
      <c r="M87" s="491" t="n"/>
      <c r="N87" s="494" t="n"/>
    </row>
    <row r="88" ht="15" customHeight="1" s="341">
      <c r="A88" s="499">
        <f>IF(B88="","",IF(C88="❌ Account Not Found","INVALID","LN"&amp;TEXT(D88,"YYYYMMDD")&amp;TEXT(ROW()-13,"0000")))</f>
        <v/>
      </c>
      <c r="B88" s="495" t="n"/>
      <c r="C88" s="382">
        <f>IF(B88="","",IFERROR(VLOOKUP(B88,DB_Customers!$A:$D,4,0),"❌ Account Not Found"))</f>
        <v/>
      </c>
      <c r="D88" s="497">
        <f>IF(B88="","",TODAY())</f>
        <v/>
      </c>
      <c r="E88" s="526" t="n"/>
      <c r="F88" s="382" t="n"/>
      <c r="G88" s="527" t="n"/>
      <c r="H88" s="528" t="n"/>
      <c r="I88" s="529">
        <f>IF(E88="","",E88+(E88*H88/100*G88))</f>
        <v/>
      </c>
      <c r="J88" s="530">
        <f>IFERROR(I88/G88,"")</f>
        <v/>
      </c>
      <c r="K88" s="531">
        <f>IF(B88="","Pending",IF(M88="","⚠️ Enter Code",IF(IFERROR(VLOOKUP(L88,DB_Agents!$B:$I,8,0),"")=M88,"Pending","🔒 BLOCKED — Wrong Code")))</f>
        <v/>
      </c>
      <c r="L88" s="384" t="inlineStr">
        <is>
          <t>Agent 09</t>
        </is>
      </c>
      <c r="M88" s="491" t="n"/>
      <c r="N88" s="501" t="n"/>
    </row>
    <row r="89" ht="15" customHeight="1" s="341">
      <c r="A89" s="492">
        <f>IF(B89="","",IF(C89="❌ Account Not Found","INVALID","LN"&amp;TEXT(D89,"YYYYMMDD")&amp;TEXT(ROW()-13,"0000")))</f>
        <v/>
      </c>
      <c r="B89" s="486" t="n"/>
      <c r="C89" s="378">
        <f>IF(B89="","",IFERROR(VLOOKUP(B89,DB_Customers!$A:$D,4,0),"❌ Account Not Found"))</f>
        <v/>
      </c>
      <c r="D89" s="488">
        <f>IF(B89="","",TODAY())</f>
        <v/>
      </c>
      <c r="E89" s="526" t="n"/>
      <c r="F89" s="378" t="n"/>
      <c r="G89" s="532" t="n"/>
      <c r="H89" s="533" t="n"/>
      <c r="I89" s="529">
        <f>IF(E89="","",E89+(E89*H89/100*G89))</f>
        <v/>
      </c>
      <c r="J89" s="534">
        <f>IFERROR(I89/G89,"")</f>
        <v/>
      </c>
      <c r="K89" s="535">
        <f>IF(B89="","Pending",IF(M89="","⚠️ Enter Code",IF(IFERROR(VLOOKUP(L89,DB_Agents!$B:$I,8,0),"")=M89,"Pending","🔒 BLOCKED — Wrong Code")))</f>
        <v/>
      </c>
      <c r="L89" s="380" t="inlineStr">
        <is>
          <t>Agent 09</t>
        </is>
      </c>
      <c r="M89" s="491" t="n"/>
      <c r="N89" s="494" t="n"/>
    </row>
    <row r="90" ht="15" customHeight="1" s="341">
      <c r="A90" s="499">
        <f>IF(B90="","",IF(C90="❌ Account Not Found","INVALID","LN"&amp;TEXT(D90,"YYYYMMDD")&amp;TEXT(ROW()-13,"0000")))</f>
        <v/>
      </c>
      <c r="B90" s="495" t="n"/>
      <c r="C90" s="382">
        <f>IF(B90="","",IFERROR(VLOOKUP(B90,DB_Customers!$A:$D,4,0),"❌ Account Not Found"))</f>
        <v/>
      </c>
      <c r="D90" s="497">
        <f>IF(B90="","",TODAY())</f>
        <v/>
      </c>
      <c r="E90" s="526" t="n"/>
      <c r="F90" s="382" t="n"/>
      <c r="G90" s="527" t="n"/>
      <c r="H90" s="528" t="n"/>
      <c r="I90" s="529">
        <f>IF(E90="","",E90+(E90*H90/100*G90))</f>
        <v/>
      </c>
      <c r="J90" s="530">
        <f>IFERROR(I90/G90,"")</f>
        <v/>
      </c>
      <c r="K90" s="531">
        <f>IF(B90="","Pending",IF(M90="","⚠️ Enter Code",IF(IFERROR(VLOOKUP(L90,DB_Agents!$B:$I,8,0),"")=M90,"Pending","🔒 BLOCKED — Wrong Code")))</f>
        <v/>
      </c>
      <c r="L90" s="384" t="inlineStr">
        <is>
          <t>Agent 09</t>
        </is>
      </c>
      <c r="M90" s="491" t="n"/>
      <c r="N90" s="501" t="n"/>
    </row>
    <row r="91" ht="15" customHeight="1" s="341">
      <c r="A91" s="492">
        <f>IF(B91="","",IF(C91="❌ Account Not Found","INVALID","LN"&amp;TEXT(D91,"YYYYMMDD")&amp;TEXT(ROW()-13,"0000")))</f>
        <v/>
      </c>
      <c r="B91" s="486" t="n"/>
      <c r="C91" s="378">
        <f>IF(B91="","",IFERROR(VLOOKUP(B91,DB_Customers!$A:$D,4,0),"❌ Account Not Found"))</f>
        <v/>
      </c>
      <c r="D91" s="488">
        <f>IF(B91="","",TODAY())</f>
        <v/>
      </c>
      <c r="E91" s="526" t="n"/>
      <c r="F91" s="378" t="n"/>
      <c r="G91" s="532" t="n"/>
      <c r="H91" s="533" t="n"/>
      <c r="I91" s="529">
        <f>IF(E91="","",E91+(E91*H91/100*G91))</f>
        <v/>
      </c>
      <c r="J91" s="534">
        <f>IFERROR(I91/G91,"")</f>
        <v/>
      </c>
      <c r="K91" s="535">
        <f>IF(B91="","Pending",IF(M91="","⚠️ Enter Code",IF(IFERROR(VLOOKUP(L91,DB_Agents!$B:$I,8,0),"")=M91,"Pending","🔒 BLOCKED — Wrong Code")))</f>
        <v/>
      </c>
      <c r="L91" s="380" t="inlineStr">
        <is>
          <t>Agent 09</t>
        </is>
      </c>
      <c r="M91" s="491" t="n"/>
      <c r="N91" s="494" t="n"/>
    </row>
    <row r="92" ht="15" customHeight="1" s="341">
      <c r="A92" s="499">
        <f>IF(B92="","",IF(C92="❌ Account Not Found","INVALID","LN"&amp;TEXT(D92,"YYYYMMDD")&amp;TEXT(ROW()-13,"0000")))</f>
        <v/>
      </c>
      <c r="B92" s="495" t="n"/>
      <c r="C92" s="382">
        <f>IF(B92="","",IFERROR(VLOOKUP(B92,DB_Customers!$A:$D,4,0),"❌ Account Not Found"))</f>
        <v/>
      </c>
      <c r="D92" s="497">
        <f>IF(B92="","",TODAY())</f>
        <v/>
      </c>
      <c r="E92" s="526" t="n"/>
      <c r="F92" s="382" t="n"/>
      <c r="G92" s="527" t="n"/>
      <c r="H92" s="528" t="n"/>
      <c r="I92" s="529">
        <f>IF(E92="","",E92+(E92*H92/100*G92))</f>
        <v/>
      </c>
      <c r="J92" s="530">
        <f>IFERROR(I92/G92,"")</f>
        <v/>
      </c>
      <c r="K92" s="531">
        <f>IF(B92="","Pending",IF(M92="","⚠️ Enter Code",IF(IFERROR(VLOOKUP(L92,DB_Agents!$B:$I,8,0),"")=M92,"Pending","🔒 BLOCKED — Wrong Code")))</f>
        <v/>
      </c>
      <c r="L92" s="384" t="inlineStr">
        <is>
          <t>Agent 09</t>
        </is>
      </c>
      <c r="M92" s="491" t="n"/>
      <c r="N92" s="501" t="n"/>
    </row>
    <row r="93" ht="15" customHeight="1" s="341">
      <c r="A93" s="492">
        <f>IF(B93="","",IF(C93="❌ Account Not Found","INVALID","LN"&amp;TEXT(D93,"YYYYMMDD")&amp;TEXT(ROW()-13,"0000")))</f>
        <v/>
      </c>
      <c r="B93" s="486" t="n"/>
      <c r="C93" s="378">
        <f>IF(B93="","",IFERROR(VLOOKUP(B93,DB_Customers!$A:$D,4,0),"❌ Account Not Found"))</f>
        <v/>
      </c>
      <c r="D93" s="488">
        <f>IF(B93="","",TODAY())</f>
        <v/>
      </c>
      <c r="E93" s="526" t="n"/>
      <c r="F93" s="378" t="n"/>
      <c r="G93" s="532" t="n"/>
      <c r="H93" s="533" t="n"/>
      <c r="I93" s="529">
        <f>IF(E93="","",E93+(E93*H93/100*G93))</f>
        <v/>
      </c>
      <c r="J93" s="534">
        <f>IFERROR(I93/G93,"")</f>
        <v/>
      </c>
      <c r="K93" s="535">
        <f>IF(B93="","Pending",IF(M93="","⚠️ Enter Code",IF(IFERROR(VLOOKUP(L93,DB_Agents!$B:$I,8,0),"")=M93,"Pending","🔒 BLOCKED — Wrong Code")))</f>
        <v/>
      </c>
      <c r="L93" s="380" t="inlineStr">
        <is>
          <t>Agent 09</t>
        </is>
      </c>
      <c r="M93" s="491" t="n"/>
      <c r="N93" s="494" t="n"/>
    </row>
    <row r="94" ht="15" customHeight="1" s="341">
      <c r="A94" s="499">
        <f>IF(B94="","",IF(C94="❌ Account Not Found","INVALID","LN"&amp;TEXT(D94,"YYYYMMDD")&amp;TEXT(ROW()-13,"0000")))</f>
        <v/>
      </c>
      <c r="B94" s="495" t="n"/>
      <c r="C94" s="382">
        <f>IF(B94="","",IFERROR(VLOOKUP(B94,DB_Customers!$A:$D,4,0),"❌ Account Not Found"))</f>
        <v/>
      </c>
      <c r="D94" s="497">
        <f>IF(B94="","",TODAY())</f>
        <v/>
      </c>
      <c r="E94" s="526" t="n"/>
      <c r="F94" s="382" t="n"/>
      <c r="G94" s="527" t="n"/>
      <c r="H94" s="528" t="n"/>
      <c r="I94" s="529">
        <f>IF(E94="","",E94+(E94*H94/100*G94))</f>
        <v/>
      </c>
      <c r="J94" s="530">
        <f>IFERROR(I94/G94,"")</f>
        <v/>
      </c>
      <c r="K94" s="531">
        <f>IF(B94="","Pending",IF(M94="","⚠️ Enter Code",IF(IFERROR(VLOOKUP(L94,DB_Agents!$B:$I,8,0),"")=M94,"Pending","🔒 BLOCKED — Wrong Code")))</f>
        <v/>
      </c>
      <c r="L94" s="384" t="inlineStr">
        <is>
          <t>Agent 09</t>
        </is>
      </c>
      <c r="M94" s="491" t="n"/>
      <c r="N94" s="501" t="n"/>
    </row>
    <row r="95" ht="15" customHeight="1" s="341">
      <c r="A95" s="492">
        <f>IF(B95="","",IF(C95="❌ Account Not Found","INVALID","LN"&amp;TEXT(D95,"YYYYMMDD")&amp;TEXT(ROW()-13,"0000")))</f>
        <v/>
      </c>
      <c r="B95" s="486" t="n"/>
      <c r="C95" s="378">
        <f>IF(B95="","",IFERROR(VLOOKUP(B95,DB_Customers!$A:$D,4,0),"❌ Account Not Found"))</f>
        <v/>
      </c>
      <c r="D95" s="488">
        <f>IF(B95="","",TODAY())</f>
        <v/>
      </c>
      <c r="E95" s="526" t="n"/>
      <c r="F95" s="378" t="n"/>
      <c r="G95" s="532" t="n"/>
      <c r="H95" s="533" t="n"/>
      <c r="I95" s="529">
        <f>IF(E95="","",E95+(E95*H95/100*G95))</f>
        <v/>
      </c>
      <c r="J95" s="534">
        <f>IFERROR(I95/G95,"")</f>
        <v/>
      </c>
      <c r="K95" s="535">
        <f>IF(B95="","Pending",IF(M95="","⚠️ Enter Code",IF(IFERROR(VLOOKUP(L95,DB_Agents!$B:$I,8,0),"")=M95,"Pending","🔒 BLOCKED — Wrong Code")))</f>
        <v/>
      </c>
      <c r="L95" s="380" t="inlineStr">
        <is>
          <t>Agent 09</t>
        </is>
      </c>
      <c r="M95" s="491" t="n"/>
      <c r="N95" s="494" t="n"/>
    </row>
    <row r="96" ht="15" customHeight="1" s="341">
      <c r="A96" s="499">
        <f>IF(B96="","",IF(C96="❌ Account Not Found","INVALID","LN"&amp;TEXT(D96,"YYYYMMDD")&amp;TEXT(ROW()-13,"0000")))</f>
        <v/>
      </c>
      <c r="B96" s="495" t="n"/>
      <c r="C96" s="382">
        <f>IF(B96="","",IFERROR(VLOOKUP(B96,DB_Customers!$A:$D,4,0),"❌ Account Not Found"))</f>
        <v/>
      </c>
      <c r="D96" s="497">
        <f>IF(B96="","",TODAY())</f>
        <v/>
      </c>
      <c r="E96" s="526" t="n"/>
      <c r="F96" s="382" t="n"/>
      <c r="G96" s="527" t="n"/>
      <c r="H96" s="528" t="n"/>
      <c r="I96" s="529">
        <f>IF(E96="","",E96+(E96*H96/100*G96))</f>
        <v/>
      </c>
      <c r="J96" s="530">
        <f>IFERROR(I96/G96,"")</f>
        <v/>
      </c>
      <c r="K96" s="531">
        <f>IF(B96="","Pending",IF(M96="","⚠️ Enter Code",IF(IFERROR(VLOOKUP(L96,DB_Agents!$B:$I,8,0),"")=M96,"Pending","🔒 BLOCKED — Wrong Code")))</f>
        <v/>
      </c>
      <c r="L96" s="384" t="inlineStr">
        <is>
          <t>Agent 09</t>
        </is>
      </c>
      <c r="M96" s="491" t="n"/>
      <c r="N96" s="501" t="n"/>
    </row>
    <row r="97" ht="15" customHeight="1" s="341">
      <c r="A97" s="492">
        <f>IF(B97="","",IF(C97="❌ Account Not Found","INVALID","LN"&amp;TEXT(D97,"YYYYMMDD")&amp;TEXT(ROW()-13,"0000")))</f>
        <v/>
      </c>
      <c r="B97" s="486" t="n"/>
      <c r="C97" s="378">
        <f>IF(B97="","",IFERROR(VLOOKUP(B97,DB_Customers!$A:$D,4,0),"❌ Account Not Found"))</f>
        <v/>
      </c>
      <c r="D97" s="488">
        <f>IF(B97="","",TODAY())</f>
        <v/>
      </c>
      <c r="E97" s="526" t="n"/>
      <c r="F97" s="378" t="n"/>
      <c r="G97" s="532" t="n"/>
      <c r="H97" s="533" t="n"/>
      <c r="I97" s="529">
        <f>IF(E97="","",E97+(E97*H97/100*G97))</f>
        <v/>
      </c>
      <c r="J97" s="534">
        <f>IFERROR(I97/G97,"")</f>
        <v/>
      </c>
      <c r="K97" s="535">
        <f>IF(B97="","Pending",IF(M97="","⚠️ Enter Code",IF(IFERROR(VLOOKUP(L97,DB_Agents!$B:$I,8,0),"")=M97,"Pending","🔒 BLOCKED — Wrong Code")))</f>
        <v/>
      </c>
      <c r="L97" s="380" t="inlineStr">
        <is>
          <t>Agent 09</t>
        </is>
      </c>
      <c r="M97" s="491" t="n"/>
      <c r="N97" s="494" t="n"/>
    </row>
    <row r="98" ht="15" customHeight="1" s="341">
      <c r="A98" s="499">
        <f>IF(B98="","",IF(C98="❌ Account Not Found","INVALID","LN"&amp;TEXT(D98,"YYYYMMDD")&amp;TEXT(ROW()-13,"0000")))</f>
        <v/>
      </c>
      <c r="B98" s="495" t="n"/>
      <c r="C98" s="382">
        <f>IF(B98="","",IFERROR(VLOOKUP(B98,DB_Customers!$A:$D,4,0),"❌ Account Not Found"))</f>
        <v/>
      </c>
      <c r="D98" s="497">
        <f>IF(B98="","",TODAY())</f>
        <v/>
      </c>
      <c r="E98" s="526" t="n"/>
      <c r="F98" s="382" t="n"/>
      <c r="G98" s="527" t="n"/>
      <c r="H98" s="528" t="n"/>
      <c r="I98" s="529">
        <f>IF(E98="","",E98+(E98*H98/100*G98))</f>
        <v/>
      </c>
      <c r="J98" s="530">
        <f>IFERROR(I98/G98,"")</f>
        <v/>
      </c>
      <c r="K98" s="531">
        <f>IF(B98="","Pending",IF(M98="","⚠️ Enter Code",IF(IFERROR(VLOOKUP(L98,DB_Agents!$B:$I,8,0),"")=M98,"Pending","🔒 BLOCKED — Wrong Code")))</f>
        <v/>
      </c>
      <c r="L98" s="384" t="inlineStr">
        <is>
          <t>Agent 09</t>
        </is>
      </c>
      <c r="M98" s="491" t="n"/>
      <c r="N98" s="501" t="n"/>
    </row>
    <row r="99" ht="15" customHeight="1" s="341">
      <c r="A99" s="492">
        <f>IF(B99="","",IF(C99="❌ Account Not Found","INVALID","LN"&amp;TEXT(D99,"YYYYMMDD")&amp;TEXT(ROW()-13,"0000")))</f>
        <v/>
      </c>
      <c r="B99" s="486" t="n"/>
      <c r="C99" s="378">
        <f>IF(B99="","",IFERROR(VLOOKUP(B99,DB_Customers!$A:$D,4,0),"❌ Account Not Found"))</f>
        <v/>
      </c>
      <c r="D99" s="488">
        <f>IF(B99="","",TODAY())</f>
        <v/>
      </c>
      <c r="E99" s="526" t="n"/>
      <c r="F99" s="378" t="n"/>
      <c r="G99" s="532" t="n"/>
      <c r="H99" s="533" t="n"/>
      <c r="I99" s="529">
        <f>IF(E99="","",E99+(E99*H99/100*G99))</f>
        <v/>
      </c>
      <c r="J99" s="534">
        <f>IFERROR(I99/G99,"")</f>
        <v/>
      </c>
      <c r="K99" s="535">
        <f>IF(B99="","Pending",IF(M99="","⚠️ Enter Code",IF(IFERROR(VLOOKUP(L99,DB_Agents!$B:$I,8,0),"")=M99,"Pending","🔒 BLOCKED — Wrong Code")))</f>
        <v/>
      </c>
      <c r="L99" s="380" t="inlineStr">
        <is>
          <t>Agent 09</t>
        </is>
      </c>
      <c r="M99" s="491" t="n"/>
      <c r="N99" s="494" t="n"/>
    </row>
    <row r="100" ht="15" customHeight="1" s="341">
      <c r="A100" s="499">
        <f>IF(B100="","",IF(C100="❌ Account Not Found","INVALID","LN"&amp;TEXT(D100,"YYYYMMDD")&amp;TEXT(ROW()-13,"0000")))</f>
        <v/>
      </c>
      <c r="B100" s="495" t="n"/>
      <c r="C100" s="382">
        <f>IF(B100="","",IFERROR(VLOOKUP(B100,DB_Customers!$A:$D,4,0),"❌ Account Not Found"))</f>
        <v/>
      </c>
      <c r="D100" s="497">
        <f>IF(B100="","",TODAY())</f>
        <v/>
      </c>
      <c r="E100" s="526" t="n"/>
      <c r="F100" s="382" t="n"/>
      <c r="G100" s="527" t="n"/>
      <c r="H100" s="528" t="n"/>
      <c r="I100" s="529">
        <f>IF(E100="","",E100+(E100*H100/100*G100))</f>
        <v/>
      </c>
      <c r="J100" s="530">
        <f>IFERROR(I100/G100,"")</f>
        <v/>
      </c>
      <c r="K100" s="531">
        <f>IF(B100="","Pending",IF(M100="","⚠️ Enter Code",IF(IFERROR(VLOOKUP(L100,DB_Agents!$B:$I,8,0),"")=M100,"Pending","🔒 BLOCKED — Wrong Code")))</f>
        <v/>
      </c>
      <c r="L100" s="384" t="inlineStr">
        <is>
          <t>Agent 09</t>
        </is>
      </c>
      <c r="M100" s="491" t="n"/>
      <c r="N100" s="501" t="n"/>
    </row>
    <row r="101" ht="15" customHeight="1" s="341">
      <c r="A101" s="492">
        <f>IF(B101="","",IF(C101="❌ Account Not Found","INVALID","LN"&amp;TEXT(D101,"YYYYMMDD")&amp;TEXT(ROW()-13,"0000")))</f>
        <v/>
      </c>
      <c r="B101" s="486" t="n"/>
      <c r="C101" s="378">
        <f>IF(B101="","",IFERROR(VLOOKUP(B101,DB_Customers!$A:$D,4,0),"❌ Account Not Found"))</f>
        <v/>
      </c>
      <c r="D101" s="488">
        <f>IF(B101="","",TODAY())</f>
        <v/>
      </c>
      <c r="E101" s="526" t="n"/>
      <c r="F101" s="378" t="n"/>
      <c r="G101" s="532" t="n"/>
      <c r="H101" s="533" t="n"/>
      <c r="I101" s="529">
        <f>IF(E101="","",E101+(E101*H101/100*G101))</f>
        <v/>
      </c>
      <c r="J101" s="534">
        <f>IFERROR(I101/G101,"")</f>
        <v/>
      </c>
      <c r="K101" s="535">
        <f>IF(B101="","Pending",IF(M101="","⚠️ Enter Code",IF(IFERROR(VLOOKUP(L101,DB_Agents!$B:$I,8,0),"")=M101,"Pending","🔒 BLOCKED — Wrong Code")))</f>
        <v/>
      </c>
      <c r="L101" s="380" t="inlineStr">
        <is>
          <t>Agent 09</t>
        </is>
      </c>
      <c r="M101" s="491" t="n"/>
      <c r="N101" s="494" t="n"/>
    </row>
    <row r="102" ht="15" customHeight="1" s="341">
      <c r="A102" s="499">
        <f>IF(B102="","",IF(C102="❌ Account Not Found","INVALID","LN"&amp;TEXT(D102,"YYYYMMDD")&amp;TEXT(ROW()-13,"0000")))</f>
        <v/>
      </c>
      <c r="B102" s="495" t="n"/>
      <c r="C102" s="382">
        <f>IF(B102="","",IFERROR(VLOOKUP(B102,DB_Customers!$A:$D,4,0),"❌ Account Not Found"))</f>
        <v/>
      </c>
      <c r="D102" s="497">
        <f>IF(B102="","",TODAY())</f>
        <v/>
      </c>
      <c r="E102" s="526" t="n"/>
      <c r="F102" s="382" t="n"/>
      <c r="G102" s="527" t="n"/>
      <c r="H102" s="528" t="n"/>
      <c r="I102" s="529">
        <f>IF(E102="","",E102+(E102*H102/100*G102))</f>
        <v/>
      </c>
      <c r="J102" s="530">
        <f>IFERROR(I102/G102,"")</f>
        <v/>
      </c>
      <c r="K102" s="531">
        <f>IF(B102="","Pending",IF(M102="","⚠️ Enter Code",IF(IFERROR(VLOOKUP(L102,DB_Agents!$B:$I,8,0),"")=M102,"Pending","🔒 BLOCKED — Wrong Code")))</f>
        <v/>
      </c>
      <c r="L102" s="384" t="inlineStr">
        <is>
          <t>Agent 09</t>
        </is>
      </c>
      <c r="M102" s="491" t="n"/>
      <c r="N102" s="501" t="n"/>
    </row>
    <row r="103" ht="15" customHeight="1" s="341">
      <c r="A103" s="492">
        <f>IF(B103="","",IF(C103="❌ Account Not Found","INVALID","LN"&amp;TEXT(D103,"YYYYMMDD")&amp;TEXT(ROW()-13,"0000")))</f>
        <v/>
      </c>
      <c r="B103" s="486" t="n"/>
      <c r="C103" s="378">
        <f>IF(B103="","",IFERROR(VLOOKUP(B103,DB_Customers!$A:$D,4,0),"❌ Account Not Found"))</f>
        <v/>
      </c>
      <c r="D103" s="488">
        <f>IF(B103="","",TODAY())</f>
        <v/>
      </c>
      <c r="E103" s="526" t="n"/>
      <c r="F103" s="378" t="n"/>
      <c r="G103" s="532" t="n"/>
      <c r="H103" s="533" t="n"/>
      <c r="I103" s="529">
        <f>IF(E103="","",E103+(E103*H103/100*G103))</f>
        <v/>
      </c>
      <c r="J103" s="534">
        <f>IFERROR(I103/G103,"")</f>
        <v/>
      </c>
      <c r="K103" s="535">
        <f>IF(B103="","Pending",IF(M103="","⚠️ Enter Code",IF(IFERROR(VLOOKUP(L103,DB_Agents!$B:$I,8,0),"")=M103,"Pending","🔒 BLOCKED — Wrong Code")))</f>
        <v/>
      </c>
      <c r="L103" s="380" t="inlineStr">
        <is>
          <t>Agent 09</t>
        </is>
      </c>
      <c r="M103" s="491" t="n"/>
      <c r="N103" s="494" t="n"/>
    </row>
    <row r="104" ht="15" customHeight="1" s="341">
      <c r="A104" s="499">
        <f>IF(B104="","",IF(C104="❌ Account Not Found","INVALID","LN"&amp;TEXT(D104,"YYYYMMDD")&amp;TEXT(ROW()-13,"0000")))</f>
        <v/>
      </c>
      <c r="B104" s="495" t="n"/>
      <c r="C104" s="382">
        <f>IF(B104="","",IFERROR(VLOOKUP(B104,DB_Customers!$A:$D,4,0),"❌ Account Not Found"))</f>
        <v/>
      </c>
      <c r="D104" s="497">
        <f>IF(B104="","",TODAY())</f>
        <v/>
      </c>
      <c r="E104" s="526" t="n"/>
      <c r="F104" s="382" t="n"/>
      <c r="G104" s="527" t="n"/>
      <c r="H104" s="528" t="n"/>
      <c r="I104" s="529">
        <f>IF(E104="","",E104+(E104*H104/100*G104))</f>
        <v/>
      </c>
      <c r="J104" s="530">
        <f>IFERROR(I104/G104,"")</f>
        <v/>
      </c>
      <c r="K104" s="531">
        <f>IF(B104="","Pending",IF(M104="","⚠️ Enter Code",IF(IFERROR(VLOOKUP(L104,DB_Agents!$B:$I,8,0),"")=M104,"Pending","🔒 BLOCKED — Wrong Code")))</f>
        <v/>
      </c>
      <c r="L104" s="384" t="inlineStr">
        <is>
          <t>Agent 09</t>
        </is>
      </c>
      <c r="M104" s="491" t="n"/>
      <c r="N104" s="501" t="n"/>
    </row>
    <row r="105" ht="15" customHeight="1" s="341">
      <c r="A105" s="492">
        <f>IF(B105="","",IF(C105="❌ Account Not Found","INVALID","LN"&amp;TEXT(D105,"YYYYMMDD")&amp;TEXT(ROW()-13,"0000")))</f>
        <v/>
      </c>
      <c r="B105" s="486" t="n"/>
      <c r="C105" s="378">
        <f>IF(B105="","",IFERROR(VLOOKUP(B105,DB_Customers!$A:$D,4,0),"❌ Account Not Found"))</f>
        <v/>
      </c>
      <c r="D105" s="488">
        <f>IF(B105="","",TODAY())</f>
        <v/>
      </c>
      <c r="E105" s="526" t="n"/>
      <c r="F105" s="378" t="n"/>
      <c r="G105" s="532" t="n"/>
      <c r="H105" s="533" t="n"/>
      <c r="I105" s="529">
        <f>IF(E105="","",E105+(E105*H105/100*G105))</f>
        <v/>
      </c>
      <c r="J105" s="534">
        <f>IFERROR(I105/G105,"")</f>
        <v/>
      </c>
      <c r="K105" s="535">
        <f>IF(B105="","Pending",IF(M105="","⚠️ Enter Code",IF(IFERROR(VLOOKUP(L105,DB_Agents!$B:$I,8,0),"")=M105,"Pending","🔒 BLOCKED — Wrong Code")))</f>
        <v/>
      </c>
      <c r="L105" s="380" t="inlineStr">
        <is>
          <t>Agent 09</t>
        </is>
      </c>
      <c r="M105" s="491" t="n"/>
      <c r="N105" s="494" t="n"/>
    </row>
    <row r="106" ht="15" customHeight="1" s="341">
      <c r="A106" s="499">
        <f>IF(B106="","",IF(C106="❌ Account Not Found","INVALID","LN"&amp;TEXT(D106,"YYYYMMDD")&amp;TEXT(ROW()-13,"0000")))</f>
        <v/>
      </c>
      <c r="B106" s="495" t="n"/>
      <c r="C106" s="382">
        <f>IF(B106="","",IFERROR(VLOOKUP(B106,DB_Customers!$A:$D,4,0),"❌ Account Not Found"))</f>
        <v/>
      </c>
      <c r="D106" s="497">
        <f>IF(B106="","",TODAY())</f>
        <v/>
      </c>
      <c r="E106" s="526" t="n"/>
      <c r="F106" s="382" t="n"/>
      <c r="G106" s="527" t="n"/>
      <c r="H106" s="528" t="n"/>
      <c r="I106" s="529">
        <f>IF(E106="","",E106+(E106*H106/100*G106))</f>
        <v/>
      </c>
      <c r="J106" s="530">
        <f>IFERROR(I106/G106,"")</f>
        <v/>
      </c>
      <c r="K106" s="531">
        <f>IF(B106="","Pending",IF(M106="","⚠️ Enter Code",IF(IFERROR(VLOOKUP(L106,DB_Agents!$B:$I,8,0),"")=M106,"Pending","🔒 BLOCKED — Wrong Code")))</f>
        <v/>
      </c>
      <c r="L106" s="384" t="inlineStr">
        <is>
          <t>Agent 09</t>
        </is>
      </c>
      <c r="M106" s="491" t="n"/>
      <c r="N106" s="501" t="n"/>
    </row>
    <row r="107" ht="15" customHeight="1" s="341">
      <c r="A107" s="492">
        <f>IF(B107="","",IF(C107="❌ Account Not Found","INVALID","LN"&amp;TEXT(D107,"YYYYMMDD")&amp;TEXT(ROW()-13,"0000")))</f>
        <v/>
      </c>
      <c r="B107" s="486" t="n"/>
      <c r="C107" s="378">
        <f>IF(B107="","",IFERROR(VLOOKUP(B107,DB_Customers!$A:$D,4,0),"❌ Account Not Found"))</f>
        <v/>
      </c>
      <c r="D107" s="488">
        <f>IF(B107="","",TODAY())</f>
        <v/>
      </c>
      <c r="E107" s="526" t="n"/>
      <c r="F107" s="378" t="n"/>
      <c r="G107" s="532" t="n"/>
      <c r="H107" s="533" t="n"/>
      <c r="I107" s="529">
        <f>IF(E107="","",E107+(E107*H107/100*G107))</f>
        <v/>
      </c>
      <c r="J107" s="534">
        <f>IFERROR(I107/G107,"")</f>
        <v/>
      </c>
      <c r="K107" s="535">
        <f>IF(B107="","Pending",IF(M107="","⚠️ Enter Code",IF(IFERROR(VLOOKUP(L107,DB_Agents!$B:$I,8,0),"")=M107,"Pending","🔒 BLOCKED — Wrong Code")))</f>
        <v/>
      </c>
      <c r="L107" s="380" t="inlineStr">
        <is>
          <t>Agent 09</t>
        </is>
      </c>
      <c r="M107" s="491" t="n"/>
      <c r="N107" s="494" t="n"/>
    </row>
    <row r="108" ht="15" customHeight="1" s="341">
      <c r="A108" s="499">
        <f>IF(B108="","",IF(C108="❌ Account Not Found","INVALID","LN"&amp;TEXT(D108,"YYYYMMDD")&amp;TEXT(ROW()-13,"0000")))</f>
        <v/>
      </c>
      <c r="B108" s="495" t="n"/>
      <c r="C108" s="382">
        <f>IF(B108="","",IFERROR(VLOOKUP(B108,DB_Customers!$A:$D,4,0),"❌ Account Not Found"))</f>
        <v/>
      </c>
      <c r="D108" s="497">
        <f>IF(B108="","",TODAY())</f>
        <v/>
      </c>
      <c r="E108" s="526" t="n"/>
      <c r="F108" s="382" t="n"/>
      <c r="G108" s="527" t="n"/>
      <c r="H108" s="528" t="n"/>
      <c r="I108" s="529">
        <f>IF(E108="","",E108+(E108*H108/100*G108))</f>
        <v/>
      </c>
      <c r="J108" s="530">
        <f>IFERROR(I108/G108,"")</f>
        <v/>
      </c>
      <c r="K108" s="531">
        <f>IF(B108="","Pending",IF(M108="","⚠️ Enter Code",IF(IFERROR(VLOOKUP(L108,DB_Agents!$B:$I,8,0),"")=M108,"Pending","🔒 BLOCKED — Wrong Code")))</f>
        <v/>
      </c>
      <c r="L108" s="384" t="inlineStr">
        <is>
          <t>Agent 09</t>
        </is>
      </c>
      <c r="M108" s="491" t="n"/>
      <c r="N108" s="501" t="n"/>
    </row>
    <row r="109" ht="15" customHeight="1" s="341">
      <c r="A109" s="492">
        <f>IF(B109="","",IF(C109="❌ Account Not Found","INVALID","LN"&amp;TEXT(D109,"YYYYMMDD")&amp;TEXT(ROW()-13,"0000")))</f>
        <v/>
      </c>
      <c r="B109" s="486" t="n"/>
      <c r="C109" s="378">
        <f>IF(B109="","",IFERROR(VLOOKUP(B109,DB_Customers!$A:$D,4,0),"❌ Account Not Found"))</f>
        <v/>
      </c>
      <c r="D109" s="488">
        <f>IF(B109="","",TODAY())</f>
        <v/>
      </c>
      <c r="E109" s="526" t="n"/>
      <c r="F109" s="378" t="n"/>
      <c r="G109" s="532" t="n"/>
      <c r="H109" s="533" t="n"/>
      <c r="I109" s="529">
        <f>IF(E109="","",E109+(E109*H109/100*G109))</f>
        <v/>
      </c>
      <c r="J109" s="534">
        <f>IFERROR(I109/G109,"")</f>
        <v/>
      </c>
      <c r="K109" s="535">
        <f>IF(B109="","Pending",IF(M109="","⚠️ Enter Code",IF(IFERROR(VLOOKUP(L109,DB_Agents!$B:$I,8,0),"")=M109,"Pending","🔒 BLOCKED — Wrong Code")))</f>
        <v/>
      </c>
      <c r="L109" s="380" t="inlineStr">
        <is>
          <t>Agent 09</t>
        </is>
      </c>
      <c r="M109" s="491" t="n"/>
      <c r="N109" s="494" t="n"/>
    </row>
    <row r="110" ht="15" customHeight="1" s="341">
      <c r="A110" s="499">
        <f>IF(B110="","",IF(C110="❌ Account Not Found","INVALID","LN"&amp;TEXT(D110,"YYYYMMDD")&amp;TEXT(ROW()-13,"0000")))</f>
        <v/>
      </c>
      <c r="B110" s="495" t="n"/>
      <c r="C110" s="382">
        <f>IF(B110="","",IFERROR(VLOOKUP(B110,DB_Customers!$A:$D,4,0),"❌ Account Not Found"))</f>
        <v/>
      </c>
      <c r="D110" s="497">
        <f>IF(B110="","",TODAY())</f>
        <v/>
      </c>
      <c r="E110" s="526" t="n"/>
      <c r="F110" s="382" t="n"/>
      <c r="G110" s="527" t="n"/>
      <c r="H110" s="528" t="n"/>
      <c r="I110" s="529">
        <f>IF(E110="","",E110+(E110*H110/100*G110))</f>
        <v/>
      </c>
      <c r="J110" s="530">
        <f>IFERROR(I110/G110,"")</f>
        <v/>
      </c>
      <c r="K110" s="531">
        <f>IF(B110="","Pending",IF(M110="","⚠️ Enter Code",IF(IFERROR(VLOOKUP(L110,DB_Agents!$B:$I,8,0),"")=M110,"Pending","🔒 BLOCKED — Wrong Code")))</f>
        <v/>
      </c>
      <c r="L110" s="384" t="inlineStr">
        <is>
          <t>Agent 09</t>
        </is>
      </c>
      <c r="M110" s="491" t="n"/>
      <c r="N110" s="501" t="n"/>
    </row>
    <row r="111" ht="15" customHeight="1" s="341">
      <c r="A111" s="492">
        <f>IF(B111="","",IF(C111="❌ Account Not Found","INVALID","LN"&amp;TEXT(D111,"YYYYMMDD")&amp;TEXT(ROW()-13,"0000")))</f>
        <v/>
      </c>
      <c r="B111" s="486" t="n"/>
      <c r="C111" s="378">
        <f>IF(B111="","",IFERROR(VLOOKUP(B111,DB_Customers!$A:$D,4,0),"❌ Account Not Found"))</f>
        <v/>
      </c>
      <c r="D111" s="488">
        <f>IF(B111="","",TODAY())</f>
        <v/>
      </c>
      <c r="E111" s="526" t="n"/>
      <c r="F111" s="378" t="n"/>
      <c r="G111" s="532" t="n"/>
      <c r="H111" s="533" t="n"/>
      <c r="I111" s="529">
        <f>IF(E111="","",E111+(E111*H111/100*G111))</f>
        <v/>
      </c>
      <c r="J111" s="534">
        <f>IFERROR(I111/G111,"")</f>
        <v/>
      </c>
      <c r="K111" s="535">
        <f>IF(B111="","Pending",IF(M111="","⚠️ Enter Code",IF(IFERROR(VLOOKUP(L111,DB_Agents!$B:$I,8,0),"")=M111,"Pending","🔒 BLOCKED — Wrong Code")))</f>
        <v/>
      </c>
      <c r="L111" s="380" t="inlineStr">
        <is>
          <t>Agent 09</t>
        </is>
      </c>
      <c r="M111" s="491" t="n"/>
      <c r="N111" s="494" t="n"/>
    </row>
    <row r="112" ht="15" customHeight="1" s="341">
      <c r="A112" s="499">
        <f>IF(B112="","",IF(C112="❌ Account Not Found","INVALID","LN"&amp;TEXT(D112,"YYYYMMDD")&amp;TEXT(ROW()-13,"0000")))</f>
        <v/>
      </c>
      <c r="B112" s="495" t="n"/>
      <c r="C112" s="382">
        <f>IF(B112="","",IFERROR(VLOOKUP(B112,DB_Customers!$A:$D,4,0),"❌ Account Not Found"))</f>
        <v/>
      </c>
      <c r="D112" s="497">
        <f>IF(B112="","",TODAY())</f>
        <v/>
      </c>
      <c r="E112" s="526" t="n"/>
      <c r="F112" s="382" t="n"/>
      <c r="G112" s="527" t="n"/>
      <c r="H112" s="528" t="n"/>
      <c r="I112" s="529">
        <f>IF(E112="","",E112+(E112*H112/100*G112))</f>
        <v/>
      </c>
      <c r="J112" s="530">
        <f>IFERROR(I112/G112,"")</f>
        <v/>
      </c>
      <c r="K112" s="531">
        <f>IF(B112="","Pending",IF(M112="","⚠️ Enter Code",IF(IFERROR(VLOOKUP(L112,DB_Agents!$B:$I,8,0),"")=M112,"Pending","🔒 BLOCKED — Wrong Code")))</f>
        <v/>
      </c>
      <c r="L112" s="384" t="inlineStr">
        <is>
          <t>Agent 09</t>
        </is>
      </c>
      <c r="M112" s="491" t="n"/>
      <c r="N112" s="501" t="n"/>
    </row>
    <row r="113" ht="15" customHeight="1" s="341">
      <c r="A113" s="492">
        <f>IF(B113="","",IF(C113="❌ Account Not Found","INVALID","LN"&amp;TEXT(D113,"YYYYMMDD")&amp;TEXT(ROW()-13,"0000")))</f>
        <v/>
      </c>
      <c r="B113" s="486" t="n"/>
      <c r="C113" s="378">
        <f>IF(B113="","",IFERROR(VLOOKUP(B113,DB_Customers!$A:$D,4,0),"❌ Account Not Found"))</f>
        <v/>
      </c>
      <c r="D113" s="488">
        <f>IF(B113="","",TODAY())</f>
        <v/>
      </c>
      <c r="E113" s="526" t="n"/>
      <c r="F113" s="378" t="n"/>
      <c r="G113" s="532" t="n"/>
      <c r="H113" s="533" t="n"/>
      <c r="I113" s="529">
        <f>IF(E113="","",E113+(E113*H113/100*G113))</f>
        <v/>
      </c>
      <c r="J113" s="534">
        <f>IFERROR(I113/G113,"")</f>
        <v/>
      </c>
      <c r="K113" s="535">
        <f>IF(B113="","Pending",IF(M113="","⚠️ Enter Code",IF(IFERROR(VLOOKUP(L113,DB_Agents!$B:$I,8,0),"")=M113,"Pending","🔒 BLOCKED — Wrong Code")))</f>
        <v/>
      </c>
      <c r="L113" s="380" t="inlineStr">
        <is>
          <t>Agent 09</t>
        </is>
      </c>
      <c r="M113" s="491" t="n"/>
      <c r="N113" s="494" t="n"/>
    </row>
    <row r="114" ht="15" customHeight="1" s="341">
      <c r="H114" s="536" t="n"/>
      <c r="K114" s="537">
        <f>IF(B114="","Pending",IF(M114="","⚠️ Enter Code",IF(IFERROR(VLOOKUP(L114,DB_Agents!$B:$I,8,0),"")=M114,"Pending","🔒 BLOCKED — Wrong Code")))</f>
        <v/>
      </c>
      <c r="M114" s="491" t="n"/>
    </row>
    <row r="115" ht="15" customHeight="1" s="341">
      <c r="H115" s="536" t="n"/>
      <c r="K115" s="342">
        <f>IF(B115="","Pending",IF(M115="","⚠️ Enter Code",IF(IFERROR(VLOOKUP(L115,DB_Agents!$B:$I,8,0),"")=M115,"Pending","🔒 BLOCKED — Wrong Code")))</f>
        <v/>
      </c>
      <c r="M115" s="491" t="n"/>
    </row>
    <row r="116" ht="15" customHeight="1" s="341">
      <c r="H116" s="536" t="n"/>
      <c r="K116" s="537">
        <f>IF(B116="","Pending",IF(M116="","⚠️ Enter Code",IF(IFERROR(VLOOKUP(L116,DB_Agents!$B:$I,8,0),"")=M116,"Pending","🔒 BLOCKED — Wrong Code")))</f>
        <v/>
      </c>
      <c r="M116" s="491" t="n"/>
    </row>
    <row r="117" ht="15" customHeight="1" s="341">
      <c r="H117" s="536" t="n"/>
      <c r="K117" s="342">
        <f>IF(B117="","Pending",IF(M117="","⚠️ Enter Code",IF(IFERROR(VLOOKUP(L117,DB_Agents!$B:$I,8,0),"")=M117,"Pending","🔒 BLOCKED — Wrong Code")))</f>
        <v/>
      </c>
      <c r="M117" s="491" t="n"/>
    </row>
    <row r="118" ht="15" customHeight="1" s="341">
      <c r="H118" s="536" t="n"/>
      <c r="K118" s="537">
        <f>IF(B118="","Pending",IF(M118="","⚠️ Enter Code",IF(IFERROR(VLOOKUP(L118,DB_Agents!$B:$I,8,0),"")=M118,"Pending","🔒 BLOCKED — Wrong Code")))</f>
        <v/>
      </c>
      <c r="M118" s="491" t="n"/>
    </row>
    <row r="119" ht="15" customHeight="1" s="341">
      <c r="H119" s="536" t="n"/>
      <c r="K119" s="342">
        <f>IF(B119="","Pending",IF(M119="","⚠️ Enter Code",IF(IFERROR(VLOOKUP(L119,DB_Agents!$B:$I,8,0),"")=M119,"Pending","🔒 BLOCKED — Wrong Code")))</f>
        <v/>
      </c>
      <c r="M119" s="491" t="n"/>
    </row>
    <row r="120" ht="15" customHeight="1" s="341">
      <c r="H120" s="536" t="n"/>
      <c r="K120" s="537">
        <f>IF(B120="","Pending",IF(M120="","⚠️ Enter Code",IF(IFERROR(VLOOKUP(L120,DB_Agents!$B:$I,8,0),"")=M120,"Pending","🔒 BLOCKED — Wrong Code")))</f>
        <v/>
      </c>
      <c r="M120" s="491" t="n"/>
    </row>
    <row r="121" ht="15" customHeight="1" s="341">
      <c r="H121" s="536" t="n"/>
      <c r="K121" s="342">
        <f>IF(B121="","Pending",IF(M121="","⚠️ Enter Code",IF(IFERROR(VLOOKUP(L121,DB_Agents!$B:$I,8,0),"")=M121,"Pending","🔒 BLOCKED — Wrong Code")))</f>
        <v/>
      </c>
      <c r="M121" s="491" t="n"/>
    </row>
    <row r="122" ht="15" customHeight="1" s="341">
      <c r="H122" s="536" t="n"/>
      <c r="K122" s="537">
        <f>IF(B122="","Pending",IF(M122="","⚠️ Enter Code",IF(IFERROR(VLOOKUP(L122,DB_Agents!$B:$I,8,0),"")=M122,"Pending","🔒 BLOCKED — Wrong Code")))</f>
        <v/>
      </c>
      <c r="M122" s="491" t="n"/>
    </row>
    <row r="123" ht="15" customHeight="1" s="341">
      <c r="H123" s="536" t="n"/>
      <c r="K123" s="342">
        <f>IF(B123="","Pending",IF(M123="","⚠️ Enter Code",IF(IFERROR(VLOOKUP(L123,DB_Agents!$B:$I,8,0),"")=M123,"Pending","🔒 BLOCKED — Wrong Code")))</f>
        <v/>
      </c>
      <c r="M123" s="491" t="n"/>
    </row>
    <row r="124" ht="15" customHeight="1" s="341">
      <c r="H124" s="536" t="n"/>
      <c r="K124" s="537">
        <f>IF(B124="","Pending",IF(M124="","⚠️ Enter Code",IF(IFERROR(VLOOKUP(L124,DB_Agents!$B:$I,8,0),"")=M124,"Pending","🔒 BLOCKED — Wrong Code")))</f>
        <v/>
      </c>
      <c r="M124" s="491" t="n"/>
    </row>
    <row r="125" ht="15" customHeight="1" s="341">
      <c r="H125" s="536" t="n"/>
      <c r="K125" s="342">
        <f>IF(B125="","Pending",IF(M125="","⚠️ Enter Code",IF(IFERROR(VLOOKUP(L125,DB_Agents!$B:$I,8,0),"")=M125,"Pending","🔒 BLOCKED — Wrong Code")))</f>
        <v/>
      </c>
      <c r="M125" s="491" t="n"/>
    </row>
    <row r="126" ht="15" customHeight="1" s="341">
      <c r="H126" s="536" t="n"/>
      <c r="K126" s="537">
        <f>IF(B126="","Pending",IF(M126="","⚠️ Enter Code",IF(IFERROR(VLOOKUP(L126,DB_Agents!$B:$I,8,0),"")=M126,"Pending","🔒 BLOCKED — Wrong Code")))</f>
        <v/>
      </c>
      <c r="M126" s="491" t="n"/>
    </row>
    <row r="127" ht="15" customHeight="1" s="341">
      <c r="H127" s="536" t="n"/>
      <c r="K127" s="342">
        <f>IF(B127="","Pending",IF(M127="","⚠️ Enter Code",IF(IFERROR(VLOOKUP(L127,DB_Agents!$B:$I,8,0),"")=M127,"Pending","🔒 BLOCKED — Wrong Code")))</f>
        <v/>
      </c>
      <c r="M127" s="491" t="n"/>
    </row>
    <row r="128" ht="15" customHeight="1" s="341">
      <c r="H128" s="536" t="n"/>
      <c r="K128" s="537">
        <f>IF(B128="","Pending",IF(M128="","⚠️ Enter Code",IF(IFERROR(VLOOKUP(L128,DB_Agents!$B:$I,8,0),"")=M128,"Pending","🔒 BLOCKED — Wrong Code")))</f>
        <v/>
      </c>
      <c r="M128" s="491" t="n"/>
    </row>
    <row r="129" ht="15" customHeight="1" s="341">
      <c r="H129" s="536" t="n"/>
      <c r="K129" s="342">
        <f>IF(B129="","Pending",IF(M129="","⚠️ Enter Code",IF(IFERROR(VLOOKUP(L129,DB_Agents!$B:$I,8,0),"")=M129,"Pending","🔒 BLOCKED — Wrong Code")))</f>
        <v/>
      </c>
      <c r="M129" s="491" t="n"/>
    </row>
    <row r="130" ht="15" customHeight="1" s="341">
      <c r="H130" s="536" t="n"/>
      <c r="K130" s="537">
        <f>IF(B130="","Pending",IF(M130="","⚠️ Enter Code",IF(IFERROR(VLOOKUP(L130,DB_Agents!$B:$I,8,0),"")=M130,"Pending","🔒 BLOCKED — Wrong Code")))</f>
        <v/>
      </c>
      <c r="M130" s="491" t="n"/>
    </row>
    <row r="131" ht="15" customHeight="1" s="341">
      <c r="H131" s="536" t="n"/>
      <c r="K131" s="342">
        <f>IF(B131="","Pending",IF(M131="","⚠️ Enter Code",IF(IFERROR(VLOOKUP(L131,DB_Agents!$B:$I,8,0),"")=M131,"Pending","🔒 BLOCKED — Wrong Code")))</f>
        <v/>
      </c>
      <c r="M131" s="491" t="n"/>
    </row>
    <row r="132" ht="15" customHeight="1" s="341">
      <c r="H132" s="536" t="n"/>
      <c r="K132" s="537">
        <f>IF(B132="","Pending",IF(M132="","⚠️ Enter Code",IF(IFERROR(VLOOKUP(L132,DB_Agents!$B:$I,8,0),"")=M132,"Pending","🔒 BLOCKED — Wrong Code")))</f>
        <v/>
      </c>
      <c r="M132" s="491" t="n"/>
    </row>
    <row r="133" ht="15" customHeight="1" s="341">
      <c r="H133" s="536" t="n"/>
      <c r="K133" s="342">
        <f>IF(B133="","Pending",IF(M133="","⚠️ Enter Code",IF(IFERROR(VLOOKUP(L133,DB_Agents!$B:$I,8,0),"")=M133,"Pending","🔒 BLOCKED — Wrong Code")))</f>
        <v/>
      </c>
      <c r="M133" s="491" t="n"/>
    </row>
    <row r="134" ht="15" customHeight="1" s="341">
      <c r="H134" s="536" t="n"/>
      <c r="K134" s="537">
        <f>IF(B134="","Pending",IF(M134="","⚠️ Enter Code",IF(IFERROR(VLOOKUP(L134,DB_Agents!$B:$I,8,0),"")=M134,"Pending","🔒 BLOCKED — Wrong Code")))</f>
        <v/>
      </c>
      <c r="M134" s="491" t="n"/>
    </row>
    <row r="135" ht="15" customHeight="1" s="341">
      <c r="H135" s="536" t="n"/>
      <c r="K135" s="342">
        <f>IF(B135="","Pending",IF(M135="","⚠️ Enter Code",IF(IFERROR(VLOOKUP(L135,DB_Agents!$B:$I,8,0),"")=M135,"Pending","🔒 BLOCKED — Wrong Code")))</f>
        <v/>
      </c>
      <c r="M135" s="491" t="n"/>
    </row>
    <row r="136" ht="15" customHeight="1" s="341">
      <c r="H136" s="536" t="n"/>
      <c r="K136" s="537">
        <f>IF(B136="","Pending",IF(M136="","⚠️ Enter Code",IF(IFERROR(VLOOKUP(L136,DB_Agents!$B:$I,8,0),"")=M136,"Pending","🔒 BLOCKED — Wrong Code")))</f>
        <v/>
      </c>
      <c r="M136" s="491" t="n"/>
    </row>
    <row r="137" ht="15" customHeight="1" s="341">
      <c r="H137" s="536" t="n"/>
      <c r="K137" s="342">
        <f>IF(B137="","Pending",IF(M137="","⚠️ Enter Code",IF(IFERROR(VLOOKUP(L137,DB_Agents!$B:$I,8,0),"")=M137,"Pending","🔒 BLOCKED — Wrong Code")))</f>
        <v/>
      </c>
      <c r="M137" s="491" t="n"/>
    </row>
    <row r="138" ht="15" customHeight="1" s="341">
      <c r="H138" s="536" t="n"/>
      <c r="K138" s="537">
        <f>IF(B138="","Pending",IF(M138="","⚠️ Enter Code",IF(IFERROR(VLOOKUP(L138,DB_Agents!$B:$I,8,0),"")=M138,"Pending","🔒 BLOCKED — Wrong Code")))</f>
        <v/>
      </c>
      <c r="M138" s="491" t="n"/>
    </row>
    <row r="139" ht="15" customHeight="1" s="341">
      <c r="H139" s="536" t="n"/>
      <c r="K139" s="342">
        <f>IF(B139="","Pending",IF(M139="","⚠️ Enter Code",IF(IFERROR(VLOOKUP(L139,DB_Agents!$B:$I,8,0),"")=M139,"Pending","🔒 BLOCKED — Wrong Code")))</f>
        <v/>
      </c>
      <c r="M139" s="491" t="n"/>
    </row>
    <row r="140" ht="15" customHeight="1" s="341">
      <c r="H140" s="536" t="n"/>
      <c r="K140" s="537">
        <f>IF(B140="","Pending",IF(M140="","⚠️ Enter Code",IF(IFERROR(VLOOKUP(L140,DB_Agents!$B:$I,8,0),"")=M140,"Pending","🔒 BLOCKED — Wrong Code")))</f>
        <v/>
      </c>
      <c r="M140" s="491" t="n"/>
    </row>
    <row r="141" ht="15" customHeight="1" s="341">
      <c r="H141" s="536" t="n"/>
      <c r="K141" s="342">
        <f>IF(B141="","Pending",IF(M141="","⚠️ Enter Code",IF(IFERROR(VLOOKUP(L141,DB_Agents!$B:$I,8,0),"")=M141,"Pending","🔒 BLOCKED — Wrong Code")))</f>
        <v/>
      </c>
      <c r="M141" s="491" t="n"/>
    </row>
    <row r="142" ht="15" customHeight="1" s="341">
      <c r="H142" s="536" t="n"/>
      <c r="K142" s="537">
        <f>IF(B142="","Pending",IF(M142="","⚠️ Enter Code",IF(IFERROR(VLOOKUP(L142,DB_Agents!$B:$I,8,0),"")=M142,"Pending","🔒 BLOCKED — Wrong Code")))</f>
        <v/>
      </c>
      <c r="M142" s="491" t="n"/>
    </row>
    <row r="143" ht="15" customHeight="1" s="341">
      <c r="H143" s="536" t="n"/>
      <c r="K143" s="342">
        <f>IF(B143="","Pending",IF(M143="","⚠️ Enter Code",IF(IFERROR(VLOOKUP(L143,DB_Agents!$B:$I,8,0),"")=M143,"Pending","🔒 BLOCKED — Wrong Code")))</f>
        <v/>
      </c>
      <c r="M143" s="491" t="n"/>
    </row>
    <row r="144" ht="15" customHeight="1" s="341">
      <c r="H144" s="536" t="n"/>
      <c r="K144" s="537">
        <f>IF(B144="","Pending",IF(M144="","⚠️ Enter Code",IF(IFERROR(VLOOKUP(L144,DB_Agents!$B:$I,8,0),"")=M144,"Pending","🔒 BLOCKED — Wrong Code")))</f>
        <v/>
      </c>
      <c r="M144" s="491" t="n"/>
    </row>
    <row r="145" ht="15" customHeight="1" s="341">
      <c r="H145" s="536" t="n"/>
      <c r="K145" s="342">
        <f>IF(B145="","Pending",IF(M145="","⚠️ Enter Code",IF(IFERROR(VLOOKUP(L145,DB_Agents!$B:$I,8,0),"")=M145,"Pending","🔒 BLOCKED — Wrong Code")))</f>
        <v/>
      </c>
      <c r="M145" s="491" t="n"/>
    </row>
    <row r="146" ht="15" customHeight="1" s="341">
      <c r="H146" s="536" t="n"/>
      <c r="K146" s="537">
        <f>IF(B146="","Pending",IF(M146="","⚠️ Enter Code",IF(IFERROR(VLOOKUP(L146,DB_Agents!$B:$I,8,0),"")=M146,"Pending","🔒 BLOCKED — Wrong Code")))</f>
        <v/>
      </c>
      <c r="M146" s="491" t="n"/>
    </row>
    <row r="147" ht="15" customHeight="1" s="341">
      <c r="H147" s="536" t="n"/>
      <c r="K147" s="342">
        <f>IF(B147="","Pending",IF(M147="","⚠️ Enter Code",IF(IFERROR(VLOOKUP(L147,DB_Agents!$B:$I,8,0),"")=M147,"Pending","🔒 BLOCKED — Wrong Code")))</f>
        <v/>
      </c>
      <c r="M147" s="491" t="n"/>
    </row>
    <row r="148" ht="15" customHeight="1" s="341">
      <c r="H148" s="536" t="n"/>
      <c r="K148" s="537">
        <f>IF(B148="","Pending",IF(M148="","⚠️ Enter Code",IF(IFERROR(VLOOKUP(L148,DB_Agents!$B:$I,8,0),"")=M148,"Pending","🔒 BLOCKED — Wrong Code")))</f>
        <v/>
      </c>
      <c r="M148" s="491" t="n"/>
    </row>
    <row r="149" ht="15" customHeight="1" s="341">
      <c r="H149" s="536" t="n"/>
      <c r="K149" s="342">
        <f>IF(B149="","Pending",IF(M149="","⚠️ Enter Code",IF(IFERROR(VLOOKUP(L149,DB_Agents!$B:$I,8,0),"")=M149,"Pending","🔒 BLOCKED — Wrong Code")))</f>
        <v/>
      </c>
      <c r="M149" s="491" t="n"/>
    </row>
    <row r="150" ht="15" customHeight="1" s="341">
      <c r="H150" s="536" t="n"/>
      <c r="K150" s="537">
        <f>IF(B150="","Pending",IF(M150="","⚠️ Enter Code",IF(IFERROR(VLOOKUP(L150,DB_Agents!$B:$I,8,0),"")=M150,"Pending","🔒 BLOCKED — Wrong Code")))</f>
        <v/>
      </c>
      <c r="M150" s="491" t="n"/>
    </row>
    <row r="151" ht="15" customHeight="1" s="341">
      <c r="H151" s="536" t="n"/>
      <c r="K151" s="342">
        <f>IF(B151="","Pending",IF(M151="","⚠️ Enter Code",IF(IFERROR(VLOOKUP(L151,DB_Agents!$B:$I,8,0),"")=M151,"Pending","🔒 BLOCKED — Wrong Code")))</f>
        <v/>
      </c>
      <c r="M151" s="491" t="n"/>
    </row>
    <row r="152" ht="15" customHeight="1" s="341">
      <c r="H152" s="536" t="n"/>
      <c r="K152" s="537">
        <f>IF(B152="","Pending",IF(M152="","⚠️ Enter Code",IF(IFERROR(VLOOKUP(L152,DB_Agents!$B:$I,8,0),"")=M152,"Pending","🔒 BLOCKED — Wrong Code")))</f>
        <v/>
      </c>
      <c r="M152" s="491" t="n"/>
    </row>
    <row r="153" ht="15" customHeight="1" s="341">
      <c r="H153" s="536" t="n"/>
      <c r="K153" s="342">
        <f>IF(B153="","Pending",IF(M153="","⚠️ Enter Code",IF(IFERROR(VLOOKUP(L153,DB_Agents!$B:$I,8,0),"")=M153,"Pending","🔒 BLOCKED — Wrong Code")))</f>
        <v/>
      </c>
      <c r="M153" s="491" t="n"/>
    </row>
    <row r="154" ht="15" customHeight="1" s="341">
      <c r="H154" s="536" t="n"/>
      <c r="K154" s="537">
        <f>IF(B154="","Pending",IF(M154="","⚠️ Enter Code",IF(IFERROR(VLOOKUP(L154,DB_Agents!$B:$I,8,0),"")=M154,"Pending","🔒 BLOCKED — Wrong Code")))</f>
        <v/>
      </c>
      <c r="M154" s="491" t="n"/>
    </row>
    <row r="155" ht="15" customHeight="1" s="341">
      <c r="H155" s="536" t="n"/>
      <c r="K155" s="342">
        <f>IF(B155="","Pending",IF(M155="","⚠️ Enter Code",IF(IFERROR(VLOOKUP(L155,DB_Agents!$B:$I,8,0),"")=M155,"Pending","🔒 BLOCKED — Wrong Code")))</f>
        <v/>
      </c>
      <c r="M155" s="491" t="n"/>
    </row>
    <row r="156" ht="15" customHeight="1" s="341">
      <c r="H156" s="536" t="n"/>
      <c r="K156" s="537">
        <f>IF(B156="","Pending",IF(M156="","⚠️ Enter Code",IF(IFERROR(VLOOKUP(L156,DB_Agents!$B:$I,8,0),"")=M156,"Pending","🔒 BLOCKED — Wrong Code")))</f>
        <v/>
      </c>
      <c r="M156" s="491" t="n"/>
    </row>
    <row r="157" ht="15" customHeight="1" s="341">
      <c r="H157" s="536" t="n"/>
      <c r="K157" s="342">
        <f>IF(B157="","Pending",IF(M157="","⚠️ Enter Code",IF(IFERROR(VLOOKUP(L157,DB_Agents!$B:$I,8,0),"")=M157,"Pending","🔒 BLOCKED — Wrong Code")))</f>
        <v/>
      </c>
      <c r="M157" s="491" t="n"/>
    </row>
    <row r="158" ht="15" customHeight="1" s="341">
      <c r="H158" s="536" t="n"/>
      <c r="K158" s="537">
        <f>IF(B158="","Pending",IF(M158="","⚠️ Enter Code",IF(IFERROR(VLOOKUP(L158,DB_Agents!$B:$I,8,0),"")=M158,"Pending","🔒 BLOCKED — Wrong Code")))</f>
        <v/>
      </c>
      <c r="M158" s="491" t="n"/>
    </row>
    <row r="159" ht="15" customHeight="1" s="341">
      <c r="H159" s="536" t="n"/>
      <c r="K159" s="342">
        <f>IF(B159="","Pending",IF(M159="","⚠️ Enter Code",IF(IFERROR(VLOOKUP(L159,DB_Agents!$B:$I,8,0),"")=M159,"Pending","🔒 BLOCKED — Wrong Code")))</f>
        <v/>
      </c>
      <c r="M159" s="491" t="n"/>
    </row>
    <row r="160" ht="15" customHeight="1" s="341">
      <c r="H160" s="536" t="n"/>
      <c r="K160" s="537">
        <f>IF(B160="","Pending",IF(M160="","⚠️ Enter Code",IF(IFERROR(VLOOKUP(L160,DB_Agents!$B:$I,8,0),"")=M160,"Pending","🔒 BLOCKED — Wrong Code")))</f>
        <v/>
      </c>
      <c r="M160" s="491" t="n"/>
    </row>
    <row r="161" ht="15" customHeight="1" s="341">
      <c r="H161" s="536" t="n"/>
      <c r="K161" s="342">
        <f>IF(B161="","Pending",IF(M161="","⚠️ Enter Code",IF(IFERROR(VLOOKUP(L161,DB_Agents!$B:$I,8,0),"")=M161,"Pending","🔒 BLOCKED — Wrong Code")))</f>
        <v/>
      </c>
      <c r="M161" s="491" t="n"/>
    </row>
    <row r="162" ht="15" customHeight="1" s="341">
      <c r="H162" s="536" t="n"/>
      <c r="K162" s="537">
        <f>IF(B162="","Pending",IF(M162="","⚠️ Enter Code",IF(IFERROR(VLOOKUP(L162,DB_Agents!$B:$I,8,0),"")=M162,"Pending","🔒 BLOCKED — Wrong Code")))</f>
        <v/>
      </c>
      <c r="M162" s="491" t="n"/>
    </row>
    <row r="163" ht="15" customHeight="1" s="341">
      <c r="H163" s="536" t="n"/>
      <c r="K163" s="342">
        <f>IF(B163="","Pending",IF(M163="","⚠️ Enter Code",IF(IFERROR(VLOOKUP(L163,DB_Agents!$B:$I,8,0),"")=M163,"Pending","🔒 BLOCKED — Wrong Code")))</f>
        <v/>
      </c>
      <c r="M163" s="491" t="n"/>
    </row>
    <row r="164" ht="15" customHeight="1" s="341">
      <c r="H164" s="536" t="n"/>
      <c r="K164" s="537">
        <f>IF(B164="","Pending",IF(M164="","⚠️ Enter Code",IF(IFERROR(VLOOKUP(L164,DB_Agents!$B:$I,8,0),"")=M164,"Pending","🔒 BLOCKED — Wrong Code")))</f>
        <v/>
      </c>
      <c r="M164" s="491" t="n"/>
    </row>
    <row r="165" ht="15" customHeight="1" s="341">
      <c r="H165" s="536" t="n"/>
      <c r="K165" s="342">
        <f>IF(B165="","Pending",IF(M165="","⚠️ Enter Code",IF(IFERROR(VLOOKUP(L165,DB_Agents!$B:$I,8,0),"")=M165,"Pending","🔒 BLOCKED — Wrong Code")))</f>
        <v/>
      </c>
      <c r="M165" s="491" t="n"/>
    </row>
    <row r="166" ht="15" customHeight="1" s="341">
      <c r="H166" s="536" t="n"/>
      <c r="K166" s="537">
        <f>IF(B166="","Pending",IF(M166="","⚠️ Enter Code",IF(IFERROR(VLOOKUP(L166,DB_Agents!$B:$I,8,0),"")=M166,"Pending","🔒 BLOCKED — Wrong Code")))</f>
        <v/>
      </c>
      <c r="M166" s="491" t="n"/>
    </row>
    <row r="167" ht="15" customHeight="1" s="341">
      <c r="H167" s="536" t="n"/>
      <c r="K167" s="342">
        <f>IF(B167="","Pending",IF(M167="","⚠️ Enter Code",IF(IFERROR(VLOOKUP(L167,DB_Agents!$B:$I,8,0),"")=M167,"Pending","🔒 BLOCKED — Wrong Code")))</f>
        <v/>
      </c>
      <c r="M167" s="491" t="n"/>
    </row>
    <row r="168" ht="15" customHeight="1" s="341">
      <c r="H168" s="536" t="n"/>
      <c r="K168" s="537">
        <f>IF(B168="","Pending",IF(M168="","⚠️ Enter Code",IF(IFERROR(VLOOKUP(L168,DB_Agents!$B:$I,8,0),"")=M168,"Pending","🔒 BLOCKED — Wrong Code")))</f>
        <v/>
      </c>
      <c r="M168" s="491" t="n"/>
    </row>
    <row r="169" ht="15" customHeight="1" s="341">
      <c r="H169" s="536" t="n"/>
      <c r="K169" s="342">
        <f>IF(B169="","Pending",IF(M169="","⚠️ Enter Code",IF(IFERROR(VLOOKUP(L169,DB_Agents!$B:$I,8,0),"")=M169,"Pending","🔒 BLOCKED — Wrong Code")))</f>
        <v/>
      </c>
      <c r="M169" s="491" t="n"/>
    </row>
    <row r="170" ht="15" customHeight="1" s="341">
      <c r="H170" s="536" t="n"/>
      <c r="K170" s="537">
        <f>IF(B170="","Pending",IF(M170="","⚠️ Enter Code",IF(IFERROR(VLOOKUP(L170,DB_Agents!$B:$I,8,0),"")=M170,"Pending","🔒 BLOCKED — Wrong Code")))</f>
        <v/>
      </c>
      <c r="M170" s="491" t="n"/>
    </row>
    <row r="171" ht="15" customHeight="1" s="341">
      <c r="H171" s="536" t="n"/>
      <c r="K171" s="342">
        <f>IF(B171="","Pending",IF(M171="","⚠️ Enter Code",IF(IFERROR(VLOOKUP(L171,DB_Agents!$B:$I,8,0),"")=M171,"Pending","🔒 BLOCKED — Wrong Code")))</f>
        <v/>
      </c>
      <c r="M171" s="491" t="n"/>
    </row>
    <row r="172" ht="15" customHeight="1" s="341">
      <c r="H172" s="536" t="n"/>
      <c r="K172" s="537">
        <f>IF(B172="","Pending",IF(M172="","⚠️ Enter Code",IF(IFERROR(VLOOKUP(L172,DB_Agents!$B:$I,8,0),"")=M172,"Pending","🔒 BLOCKED — Wrong Code")))</f>
        <v/>
      </c>
      <c r="M172" s="491" t="n"/>
    </row>
    <row r="173" ht="15" customHeight="1" s="341">
      <c r="H173" s="536" t="n"/>
      <c r="K173" s="342">
        <f>IF(B173="","Pending",IF(M173="","⚠️ Enter Code",IF(IFERROR(VLOOKUP(L173,DB_Agents!$B:$I,8,0),"")=M173,"Pending","🔒 BLOCKED — Wrong Code")))</f>
        <v/>
      </c>
      <c r="M173" s="491" t="n"/>
    </row>
    <row r="174" ht="15" customHeight="1" s="341">
      <c r="H174" s="536" t="n"/>
      <c r="K174" s="537">
        <f>IF(B174="","Pending",IF(M174="","⚠️ Enter Code",IF(IFERROR(VLOOKUP(L174,DB_Agents!$B:$I,8,0),"")=M174,"Pending","🔒 BLOCKED — Wrong Code")))</f>
        <v/>
      </c>
      <c r="M174" s="491" t="n"/>
    </row>
    <row r="175" ht="15" customHeight="1" s="341">
      <c r="H175" s="536" t="n"/>
      <c r="K175" s="342">
        <f>IF(B175="","Pending",IF(M175="","⚠️ Enter Code",IF(IFERROR(VLOOKUP(L175,DB_Agents!$B:$I,8,0),"")=M175,"Pending","🔒 BLOCKED — Wrong Code")))</f>
        <v/>
      </c>
      <c r="M175" s="491" t="n"/>
    </row>
    <row r="176" ht="15" customHeight="1" s="341">
      <c r="H176" s="536" t="n"/>
      <c r="K176" s="537">
        <f>IF(B176="","Pending",IF(M176="","⚠️ Enter Code",IF(IFERROR(VLOOKUP(L176,DB_Agents!$B:$I,8,0),"")=M176,"Pending","🔒 BLOCKED — Wrong Code")))</f>
        <v/>
      </c>
      <c r="M176" s="491" t="n"/>
    </row>
    <row r="177" ht="15" customHeight="1" s="341">
      <c r="H177" s="536" t="n"/>
      <c r="K177" s="342">
        <f>IF(B177="","Pending",IF(M177="","⚠️ Enter Code",IF(IFERROR(VLOOKUP(L177,DB_Agents!$B:$I,8,0),"")=M177,"Pending","🔒 BLOCKED — Wrong Code")))</f>
        <v/>
      </c>
      <c r="M177" s="491" t="n"/>
    </row>
    <row r="178" ht="15" customHeight="1" s="341">
      <c r="H178" s="536" t="n"/>
      <c r="K178" s="537">
        <f>IF(B178="","Pending",IF(M178="","⚠️ Enter Code",IF(IFERROR(VLOOKUP(L178,DB_Agents!$B:$I,8,0),"")=M178,"Pending","🔒 BLOCKED — Wrong Code")))</f>
        <v/>
      </c>
      <c r="M178" s="491" t="n"/>
    </row>
    <row r="179" ht="15" customHeight="1" s="341">
      <c r="H179" s="536" t="n"/>
      <c r="K179" s="342">
        <f>IF(B179="","Pending",IF(M179="","⚠️ Enter Code",IF(IFERROR(VLOOKUP(L179,DB_Agents!$B:$I,8,0),"")=M179,"Pending","🔒 BLOCKED — Wrong Code")))</f>
        <v/>
      </c>
      <c r="M179" s="491" t="n"/>
    </row>
    <row r="180" ht="15" customHeight="1" s="341">
      <c r="H180" s="536" t="n"/>
      <c r="K180" s="537">
        <f>IF(B180="","Pending",IF(M180="","⚠️ Enter Code",IF(IFERROR(VLOOKUP(L180,DB_Agents!$B:$I,8,0),"")=M180,"Pending","🔒 BLOCKED — Wrong Code")))</f>
        <v/>
      </c>
      <c r="M180" s="491" t="n"/>
    </row>
    <row r="181" ht="15" customHeight="1" s="341">
      <c r="H181" s="536" t="n"/>
      <c r="K181" s="342">
        <f>IF(B181="","Pending",IF(M181="","⚠️ Enter Code",IF(IFERROR(VLOOKUP(L181,DB_Agents!$B:$I,8,0),"")=M181,"Pending","🔒 BLOCKED — Wrong Code")))</f>
        <v/>
      </c>
      <c r="M181" s="491" t="n"/>
    </row>
    <row r="182" ht="15" customHeight="1" s="341">
      <c r="H182" s="536" t="n"/>
      <c r="K182" s="537">
        <f>IF(B182="","Pending",IF(M182="","⚠️ Enter Code",IF(IFERROR(VLOOKUP(L182,DB_Agents!$B:$I,8,0),"")=M182,"Pending","🔒 BLOCKED — Wrong Code")))</f>
        <v/>
      </c>
      <c r="M182" s="491" t="n"/>
    </row>
    <row r="183" ht="15" customHeight="1" s="341">
      <c r="H183" s="536" t="n"/>
      <c r="K183" s="342">
        <f>IF(B183="","Pending",IF(M183="","⚠️ Enter Code",IF(IFERROR(VLOOKUP(L183,DB_Agents!$B:$I,8,0),"")=M183,"Pending","🔒 BLOCKED — Wrong Code")))</f>
        <v/>
      </c>
      <c r="M183" s="491" t="n"/>
    </row>
    <row r="184" ht="15" customHeight="1" s="341">
      <c r="H184" s="536" t="n"/>
      <c r="K184" s="537">
        <f>IF(B184="","Pending",IF(M184="","⚠️ Enter Code",IF(IFERROR(VLOOKUP(L184,DB_Agents!$B:$I,8,0),"")=M184,"Pending","🔒 BLOCKED — Wrong Code")))</f>
        <v/>
      </c>
      <c r="M184" s="491" t="n"/>
    </row>
    <row r="185" ht="15" customHeight="1" s="341">
      <c r="H185" s="536" t="n"/>
      <c r="K185" s="342">
        <f>IF(B185="","Pending",IF(M185="","⚠️ Enter Code",IF(IFERROR(VLOOKUP(L185,DB_Agents!$B:$I,8,0),"")=M185,"Pending","🔒 BLOCKED — Wrong Code")))</f>
        <v/>
      </c>
      <c r="M185" s="491" t="n"/>
    </row>
    <row r="186" ht="15" customHeight="1" s="341">
      <c r="H186" s="536" t="n"/>
      <c r="K186" s="537">
        <f>IF(B186="","Pending",IF(M186="","⚠️ Enter Code",IF(IFERROR(VLOOKUP(L186,DB_Agents!$B:$I,8,0),"")=M186,"Pending","🔒 BLOCKED — Wrong Code")))</f>
        <v/>
      </c>
      <c r="M186" s="491" t="n"/>
    </row>
    <row r="187" ht="15" customHeight="1" s="341">
      <c r="H187" s="536" t="n"/>
      <c r="K187" s="342">
        <f>IF(B187="","Pending",IF(M187="","⚠️ Enter Code",IF(IFERROR(VLOOKUP(L187,DB_Agents!$B:$I,8,0),"")=M187,"Pending","🔒 BLOCKED — Wrong Code")))</f>
        <v/>
      </c>
      <c r="M187" s="491" t="n"/>
    </row>
    <row r="188" ht="15" customHeight="1" s="341">
      <c r="H188" s="536" t="n"/>
      <c r="K188" s="537">
        <f>IF(B188="","Pending",IF(M188="","⚠️ Enter Code",IF(IFERROR(VLOOKUP(L188,DB_Agents!$B:$I,8,0),"")=M188,"Pending","🔒 BLOCKED — Wrong Code")))</f>
        <v/>
      </c>
      <c r="M188" s="491" t="n"/>
    </row>
    <row r="189" ht="15" customHeight="1" s="341">
      <c r="H189" s="536" t="n"/>
      <c r="K189" s="342">
        <f>IF(B189="","Pending",IF(M189="","⚠️ Enter Code",IF(IFERROR(VLOOKUP(L189,DB_Agents!$B:$I,8,0),"")=M189,"Pending","🔒 BLOCKED — Wrong Code")))</f>
        <v/>
      </c>
      <c r="M189" s="491" t="n"/>
    </row>
    <row r="190" ht="15" customHeight="1" s="341">
      <c r="H190" s="536" t="n"/>
      <c r="K190" s="537">
        <f>IF(B190="","Pending",IF(M190="","⚠️ Enter Code",IF(IFERROR(VLOOKUP(L190,DB_Agents!$B:$I,8,0),"")=M190,"Pending","🔒 BLOCKED — Wrong Code")))</f>
        <v/>
      </c>
      <c r="M190" s="491" t="n"/>
    </row>
    <row r="191" ht="15" customHeight="1" s="341">
      <c r="H191" s="536" t="n"/>
      <c r="K191" s="342">
        <f>IF(B191="","Pending",IF(M191="","⚠️ Enter Code",IF(IFERROR(VLOOKUP(L191,DB_Agents!$B:$I,8,0),"")=M191,"Pending","🔒 BLOCKED — Wrong Code")))</f>
        <v/>
      </c>
      <c r="M191" s="491" t="n"/>
    </row>
    <row r="192" ht="15" customHeight="1" s="341">
      <c r="H192" s="536" t="n"/>
      <c r="K192" s="537">
        <f>IF(B192="","Pending",IF(M192="","⚠️ Enter Code",IF(IFERROR(VLOOKUP(L192,DB_Agents!$B:$I,8,0),"")=M192,"Pending","🔒 BLOCKED — Wrong Code")))</f>
        <v/>
      </c>
      <c r="M192" s="491" t="n"/>
    </row>
    <row r="193" ht="15" customHeight="1" s="341">
      <c r="H193" s="536" t="n"/>
      <c r="K193" s="342">
        <f>IF(B193="","Pending",IF(M193="","⚠️ Enter Code",IF(IFERROR(VLOOKUP(L193,DB_Agents!$B:$I,8,0),"")=M193,"Pending","🔒 BLOCKED — Wrong Code")))</f>
        <v/>
      </c>
      <c r="M193" s="491" t="n"/>
    </row>
    <row r="194" ht="15" customHeight="1" s="341">
      <c r="H194" s="536" t="n"/>
      <c r="K194" s="537">
        <f>IF(B194="","Pending",IF(M194="","⚠️ Enter Code",IF(IFERROR(VLOOKUP(L194,DB_Agents!$B:$I,8,0),"")=M194,"Pending","🔒 BLOCKED — Wrong Code")))</f>
        <v/>
      </c>
      <c r="M194" s="491" t="n"/>
    </row>
    <row r="195" ht="15" customHeight="1" s="341">
      <c r="H195" s="536" t="n"/>
      <c r="K195" s="342">
        <f>IF(B195="","Pending",IF(M195="","⚠️ Enter Code",IF(IFERROR(VLOOKUP(L195,DB_Agents!$B:$I,8,0),"")=M195,"Pending","🔒 BLOCKED — Wrong Code")))</f>
        <v/>
      </c>
      <c r="M195" s="491" t="n"/>
    </row>
    <row r="196" ht="15" customHeight="1" s="341">
      <c r="H196" s="536" t="n"/>
      <c r="K196" s="537">
        <f>IF(B196="","Pending",IF(M196="","⚠️ Enter Code",IF(IFERROR(VLOOKUP(L196,DB_Agents!$B:$I,8,0),"")=M196,"Pending","🔒 BLOCKED — Wrong Code")))</f>
        <v/>
      </c>
      <c r="M196" s="491" t="n"/>
    </row>
    <row r="197" ht="15" customHeight="1" s="341">
      <c r="H197" s="536" t="n"/>
      <c r="K197" s="342">
        <f>IF(B197="","Pending",IF(M197="","⚠️ Enter Code",IF(IFERROR(VLOOKUP(L197,DB_Agents!$B:$I,8,0),"")=M197,"Pending","🔒 BLOCKED — Wrong Code")))</f>
        <v/>
      </c>
      <c r="M197" s="491" t="n"/>
    </row>
    <row r="198" ht="15" customHeight="1" s="341">
      <c r="H198" s="536" t="n"/>
      <c r="K198" s="537">
        <f>IF(B198="","Pending",IF(M198="","⚠️ Enter Code",IF(IFERROR(VLOOKUP(L198,DB_Agents!$B:$I,8,0),"")=M198,"Pending","🔒 BLOCKED — Wrong Code")))</f>
        <v/>
      </c>
      <c r="M198" s="491" t="n"/>
    </row>
    <row r="199" ht="15" customHeight="1" s="341">
      <c r="H199" s="536" t="n"/>
      <c r="K199" s="342">
        <f>IF(B199="","Pending",IF(M199="","⚠️ Enter Code",IF(IFERROR(VLOOKUP(L199,DB_Agents!$B:$I,8,0),"")=M199,"Pending","🔒 BLOCKED — Wrong Code")))</f>
        <v/>
      </c>
      <c r="M199" s="491" t="n"/>
    </row>
    <row r="200" ht="15" customHeight="1" s="341">
      <c r="H200" s="536" t="n"/>
      <c r="K200" s="537">
        <f>IF(B200="","Pending",IF(M200="","⚠️ Enter Code",IF(IFERROR(VLOOKUP(L200,DB_Agents!$B:$I,8,0),"")=M200,"Pending","🔒 BLOCKED — Wrong Code")))</f>
        <v/>
      </c>
      <c r="M200" s="491" t="n"/>
    </row>
    <row r="201" ht="15" customHeight="1" s="341">
      <c r="K201" s="342">
        <f>IF(B201="","Pending",IF(M201="","⚠️ Enter Code",IF(IFERROR(VLOOKUP(L201,DB_Agents!$B:$I,8,0),"")=M201,"Pending","🔒 BLOCKED — Wrong Code")))</f>
        <v/>
      </c>
      <c r="M201" s="491" t="n"/>
    </row>
    <row r="202" ht="15" customHeight="1" s="341">
      <c r="K202" s="537">
        <f>IF(B202="","Pending",IF(M202="","⚠️ Enter Code",IF(IFERROR(VLOOKUP(L202,DB_Agents!$B:$I,8,0),"")=M202,"Pending","🔒 BLOCKED — Wrong Code")))</f>
        <v/>
      </c>
      <c r="M202" s="491" t="n"/>
    </row>
    <row r="203" ht="15" customHeight="1" s="341">
      <c r="K203" s="342">
        <f>IF(B203="","Pending",IF(M203="","⚠️ Enter Code",IF(IFERROR(VLOOKUP(L203,DB_Agents!$B:$I,8,0),"")=M203,"Pending","🔒 BLOCKED — Wrong Code")))</f>
        <v/>
      </c>
      <c r="M203" s="491" t="n"/>
    </row>
    <row r="204" ht="15" customHeight="1" s="341">
      <c r="K204" s="537">
        <f>IF(B204="","Pending",IF(M204="","⚠️ Enter Code",IF(IFERROR(VLOOKUP(L204,DB_Agents!$B:$I,8,0),"")=M204,"Pending","🔒 BLOCKED — Wrong Code")))</f>
        <v/>
      </c>
      <c r="M204" s="491" t="n"/>
    </row>
    <row r="205" ht="15" customHeight="1" s="341">
      <c r="K205" s="342">
        <f>IF(B205="","Pending",IF(M205="","⚠️ Enter Code",IF(IFERROR(VLOOKUP(L205,DB_Agents!$B:$I,8,0),"")=M205,"Pending","🔒 BLOCKED — Wrong Code")))</f>
        <v/>
      </c>
      <c r="M205" s="491" t="n"/>
    </row>
    <row r="206" ht="15" customHeight="1" s="341">
      <c r="K206" s="537">
        <f>IF(B206="","Pending",IF(M206="","⚠️ Enter Code",IF(IFERROR(VLOOKUP(L206,DB_Agents!$B:$I,8,0),"")=M206,"Pending","🔒 BLOCKED — Wrong Code")))</f>
        <v/>
      </c>
      <c r="M206" s="491" t="n"/>
    </row>
    <row r="207" ht="15" customHeight="1" s="341">
      <c r="K207" s="342">
        <f>IF(B207="","Pending",IF(M207="","⚠️ Enter Code",IF(IFERROR(VLOOKUP(L207,DB_Agents!$B:$I,8,0),"")=M207,"Pending","🔒 BLOCKED — Wrong Code")))</f>
        <v/>
      </c>
      <c r="M207" s="491" t="n"/>
    </row>
    <row r="208" ht="15" customHeight="1" s="341">
      <c r="K208" s="537">
        <f>IF(B208="","Pending",IF(M208="","⚠️ Enter Code",IF(IFERROR(VLOOKUP(L208,DB_Agents!$B:$I,8,0),"")=M208,"Pending","🔒 BLOCKED — Wrong Code")))</f>
        <v/>
      </c>
      <c r="M208" s="491" t="n"/>
    </row>
    <row r="209" ht="15" customHeight="1" s="341">
      <c r="K209" s="342">
        <f>IF(B209="","Pending",IF(M209="","⚠️ Enter Code",IF(IFERROR(VLOOKUP(L209,DB_Agents!$B:$I,8,0),"")=M209,"Pending","🔒 BLOCKED — Wrong Code")))</f>
        <v/>
      </c>
      <c r="M209" s="491" t="n"/>
    </row>
    <row r="210" ht="15" customHeight="1" s="341">
      <c r="K210" s="537">
        <f>IF(B210="","Pending",IF(M210="","⚠️ Enter Code",IF(IFERROR(VLOOKUP(L210,DB_Agents!$B:$I,8,0),"")=M210,"Pending","🔒 BLOCKED — Wrong Code")))</f>
        <v/>
      </c>
      <c r="M210" s="491" t="n"/>
    </row>
    <row r="211" ht="15" customHeight="1" s="341">
      <c r="K211" s="342">
        <f>IF(B211="","Pending",IF(M211="","⚠️ Enter Code",IF(IFERROR(VLOOKUP(L211,DB_Agents!$B:$I,8,0),"")=M211,"Pending","🔒 BLOCKED — Wrong Code")))</f>
        <v/>
      </c>
      <c r="M211" s="491" t="n"/>
    </row>
    <row r="212" ht="15" customHeight="1" s="341">
      <c r="K212" s="537">
        <f>IF(B212="","Pending",IF(M212="","⚠️ Enter Code",IF(IFERROR(VLOOKUP(L212,DB_Agents!$B:$I,8,0),"")=M212,"Pending","🔒 BLOCKED — Wrong Code")))</f>
        <v/>
      </c>
      <c r="M212" s="491" t="n"/>
    </row>
    <row r="213" ht="15" customHeight="1" s="341">
      <c r="K213" s="342">
        <f>IF(B213="","Pending",IF(M213="","⚠️ Enter Code",IF(IFERROR(VLOOKUP(L213,DB_Agents!$B:$I,8,0),"")=M213,"Pending","🔒 BLOCKED — Wrong Code")))</f>
        <v/>
      </c>
      <c r="M213" s="491" t="n"/>
    </row>
  </sheetData>
  <mergeCells count="10">
    <mergeCell ref="B10:D10"/>
    <mergeCell ref="B5:D5"/>
    <mergeCell ref="A12:N12"/>
    <mergeCell ref="A4:D4"/>
    <mergeCell ref="B8:D8"/>
    <mergeCell ref="A2:N2"/>
    <mergeCell ref="B9:D9"/>
    <mergeCell ref="B7:D7"/>
    <mergeCell ref="B6:D6"/>
    <mergeCell ref="A1:N1"/>
  </mergeCells>
  <conditionalFormatting sqref="K14:K113">
    <cfRule type="cellIs" rank="0" priority="2" equalAverage="0" operator="equal" aboveAverage="0" dxfId="0" text="" percent="0" bottom="0">
      <formula>"Approved"</formula>
    </cfRule>
    <cfRule type="cellIs" rank="0" priority="3" equalAverage="0" operator="equal" aboveAverage="0" dxfId="11" text="" percent="0" bottom="0">
      <formula>"Pending"</formula>
    </cfRule>
    <cfRule type="cellIs" rank="0" priority="4" equalAverage="0" operator="equal" aboveAverage="0" dxfId="1" text="" percent="0" bottom="0">
      <formula>"Rejected"</formula>
    </cfRule>
  </conditionalFormatting>
  <dataValidations count="2">
    <dataValidation sqref="G14:G113" showDropDown="0" showInputMessage="0" showErrorMessage="1" allowBlank="0" error="Enter 1-36 months" type="whole" errorStyle="stop" operator="between">
      <formula1>1</formula1>
      <formula2>36</formula2>
    </dataValidation>
    <dataValidation sqref="L14:L113"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3.xml><?xml version="1.0" encoding="utf-8"?>
<worksheet xmlns="http://schemas.openxmlformats.org/spreadsheetml/2006/main">
  <sheetPr filterMode="0">
    <tabColor rgb="FF27AE60"/>
    <outlinePr summaryBelow="1" summaryRight="1"/>
    <pageSetUpPr fitToPage="0"/>
  </sheetPr>
  <dimension ref="A1:L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2" customWidth="1" style="340" min="7" max="7"/>
    <col width="14" customWidth="1" style="340" min="8" max="8"/>
    <col width="22" customWidth="1" style="340" min="9" max="10"/>
  </cols>
  <sheetData>
    <row r="1" ht="31.5" customHeight="1" s="341">
      <c r="A1" s="409" t="inlineStr">
        <is>
          <t>💰  SAMICIOUS MICROFINANCE — AGENT10 SAVINGS</t>
        </is>
      </c>
    </row>
    <row r="2" ht="19.5" customHeight="1" s="341">
      <c r="A2" s="479" t="inlineStr">
        <is>
          <t>Agent: Agent 10  |  Enter Account # → All fields auto-populate  |  Status auto-sets to "Saved"  |  🔑 Security: Enter your 4-digit Agent Code in each row</t>
        </is>
      </c>
    </row>
    <row r="3" ht="18" customHeight="1" s="341">
      <c r="A3" s="364" t="inlineStr">
        <is>
          <t>💰 Total Collected Today</t>
        </is>
      </c>
      <c r="D3" s="367" t="inlineStr">
        <is>
          <t>📊 Transactions Today</t>
        </is>
      </c>
      <c r="G3" s="439" t="inlineStr">
        <is>
          <t>📅 Date</t>
        </is>
      </c>
      <c r="J3" s="340" t="n"/>
    </row>
    <row r="4" ht="27.75" customHeight="1" s="341">
      <c r="A4" s="480">
        <f>SUMIFS(DB_Savings!$F:$F,DB_Savings!$G:$G,"Agent 10",DB_Savings!$E:$E,TODAY())</f>
        <v/>
      </c>
      <c r="D4" s="481">
        <f>COUNTIFS(DB_Savings!$G:$G,"Agent 10",DB_Savings!$E:$E,TODAY())</f>
        <v/>
      </c>
      <c r="G4" s="482">
        <f>TEXT(TODAY(),"DDDD, DD MMMM YYYY")</f>
        <v/>
      </c>
      <c r="J4" s="340" t="n"/>
    </row>
    <row r="5" ht="21.75" customHeight="1" s="341">
      <c r="A5" s="483">
        <f>IF(SUMIFS(DB_Savings!$F:$F,DB_Savings!$G:$G,"Agent 10",DB_Savings!$E:$E,TODAY())&gt;=J4,"✅ DAILY TARGET ACHIEVED! Well done Agent 10!","⏳ Collection in progress — Keep going! Remaining: GHC "&amp;TEXT(J4-SUMIFS(DB_Savings!$F:$F,DB_Savings!$G:$G,"Agent 10",DB_Savings!$E:$E,TODAY()),"#,##0.00"))</f>
        <v/>
      </c>
    </row>
    <row r="6" ht="7.5" customHeight="1" s="341"/>
    <row r="7" ht="19.5" customHeight="1" s="341">
      <c r="A7" s="484" t="inlineStr">
        <is>
          <t>📝  ENTRY FORM — Enter Account Number in column A. All other fields auto-populate. Enter Savings Amount in column E then Tab to complete. | Enter Agent Code in 🔑 column to authorize each transaction.</t>
        </is>
      </c>
    </row>
    <row r="8" ht="19.5" customHeight="1" s="341">
      <c r="A8" s="377" t="inlineStr">
        <is>
          <t>Account #</t>
        </is>
      </c>
      <c r="B8" s="377" t="inlineStr">
        <is>
          <t>Customer Name</t>
        </is>
      </c>
      <c r="C8" s="377" t="inlineStr">
        <is>
          <t>Current Balance</t>
        </is>
      </c>
      <c r="D8" s="377" t="inlineStr">
        <is>
          <t>Date</t>
        </is>
      </c>
      <c r="E8" s="377" t="inlineStr">
        <is>
          <t>Savings Amount</t>
        </is>
      </c>
      <c r="F8" s="377" t="inlineStr">
        <is>
          <t>New Balance</t>
        </is>
      </c>
      <c r="G8" s="377" t="inlineStr">
        <is>
          <t>Agent</t>
        </is>
      </c>
      <c r="H8" s="485" t="inlineStr">
        <is>
          <t>🔑 Agent Code</t>
        </is>
      </c>
      <c r="I8" s="377" t="inlineStr">
        <is>
          <t>Status</t>
        </is>
      </c>
      <c r="J8" s="377" t="inlineStr">
        <is>
          <t>Saved At</t>
        </is>
      </c>
      <c r="K8" s="377" t="inlineStr">
        <is>
          <t>Notes</t>
        </is>
      </c>
    </row>
    <row r="9" ht="15" customHeight="1" s="341">
      <c r="A9" s="486" t="n"/>
      <c r="B9" s="378">
        <f>IF(A9="","",IFERROR(VLOOKUP(A9,DB_Customers!$A:$D,4,0),"❌ Account Not Found"))</f>
        <v/>
      </c>
      <c r="C9" s="487">
        <f>IF(A9="","",IFERROR(VLOOKUP(A9,DB_Customers!$A:$N,14,0),""))</f>
        <v/>
      </c>
      <c r="D9" s="488">
        <f>IF(A9="","",TODAY())</f>
        <v/>
      </c>
      <c r="E9" s="489" t="n"/>
      <c r="F9" s="490">
        <f>IF(OR(A9="",E9=""),"",IF(C9="","",C9+E9))</f>
        <v/>
      </c>
      <c r="G9" s="380" t="inlineStr">
        <is>
          <t>Agent 10</t>
        </is>
      </c>
      <c r="H9" s="491" t="n"/>
      <c r="I9" s="492">
        <f>IF(A9="","Pending",IF(H9="","⚠️ Enter Code",IF(IFERROR(VLOOKUP(G9,DB_Agents!$B:$I,8,0),"")=H9,IF(AND(A9&lt;&gt;"",E9&lt;&gt;""),"Saved","Pending"),"🔒 BLOCKED — Wrong Code")))</f>
        <v/>
      </c>
      <c r="J9" s="493">
        <f>IF(I9="Saved",TEXT(TODAY(),"YYYY-MM-DD")&amp;" Auto","—")</f>
        <v/>
      </c>
      <c r="K9" s="494" t="n"/>
    </row>
    <row r="10" ht="15" customHeight="1" s="341">
      <c r="A10" s="495" t="n"/>
      <c r="B10" s="382">
        <f>IF(A10="","",IFERROR(VLOOKUP(A10,DB_Customers!$A:$D,4,0),"❌ Account Not Found"))</f>
        <v/>
      </c>
      <c r="C10" s="496">
        <f>IF(A10="","",IFERROR(VLOOKUP(A10,DB_Customers!$A:$N,14,0),""))</f>
        <v/>
      </c>
      <c r="D10" s="497">
        <f>IF(A10="","",TODAY())</f>
        <v/>
      </c>
      <c r="E10" s="489" t="n"/>
      <c r="F10" s="498">
        <f>IF(OR(A10="",E10=""),"",IF(C10="","",C10+E10))</f>
        <v/>
      </c>
      <c r="G10" s="384" t="inlineStr">
        <is>
          <t>Agent 10</t>
        </is>
      </c>
      <c r="H10" s="491" t="n"/>
      <c r="I10" s="499">
        <f>IF(A10="","Pending",IF(H10="","⚠️ Enter Code",IF(IFERROR(VLOOKUP(G10,DB_Agents!$B:$I,8,0),"")=H10,IF(AND(A10&lt;&gt;"",E10&lt;&gt;""),"Saved","Pending"),"🔒 BLOCKED — Wrong Code")))</f>
        <v/>
      </c>
      <c r="J10" s="500">
        <f>IF(I10="Saved",TEXT(TODAY(),"YYYY-MM-DD")&amp;" Auto","—")</f>
        <v/>
      </c>
      <c r="K10" s="501" t="n"/>
    </row>
    <row r="11" ht="15" customHeight="1" s="341">
      <c r="A11" s="486" t="n"/>
      <c r="B11" s="378">
        <f>IF(A11="","",IFERROR(VLOOKUP(A11,DB_Customers!$A:$D,4,0),"❌ Account Not Found"))</f>
        <v/>
      </c>
      <c r="C11" s="487">
        <f>IF(A11="","",IFERROR(VLOOKUP(A11,DB_Customers!$A:$N,14,0),""))</f>
        <v/>
      </c>
      <c r="D11" s="488">
        <f>IF(A11="","",TODAY())</f>
        <v/>
      </c>
      <c r="E11" s="489" t="n"/>
      <c r="F11" s="490">
        <f>IF(OR(A11="",E11=""),"",IF(C11="","",C11+E11))</f>
        <v/>
      </c>
      <c r="G11" s="380" t="inlineStr">
        <is>
          <t>Agent 10</t>
        </is>
      </c>
      <c r="H11" s="491" t="n"/>
      <c r="I11" s="492">
        <f>IF(A11="","Pending",IF(H11="","⚠️ Enter Code",IF(IFERROR(VLOOKUP(G11,DB_Agents!$B:$I,8,0),"")=H11,IF(AND(A11&lt;&gt;"",E11&lt;&gt;""),"Saved","Pending"),"🔒 BLOCKED — Wrong Code")))</f>
        <v/>
      </c>
      <c r="J11" s="493">
        <f>IF(I11="Saved",TEXT(TODAY(),"YYYY-MM-DD")&amp;" Auto","—")</f>
        <v/>
      </c>
      <c r="K11" s="494" t="n"/>
    </row>
    <row r="12" ht="15" customHeight="1" s="341">
      <c r="A12" s="495" t="n"/>
      <c r="B12" s="382">
        <f>IF(A12="","",IFERROR(VLOOKUP(A12,DB_Customers!$A:$D,4,0),"❌ Account Not Found"))</f>
        <v/>
      </c>
      <c r="C12" s="496">
        <f>IF(A12="","",IFERROR(VLOOKUP(A12,DB_Customers!$A:$N,14,0),""))</f>
        <v/>
      </c>
      <c r="D12" s="497">
        <f>IF(A12="","",TODAY())</f>
        <v/>
      </c>
      <c r="E12" s="489" t="n"/>
      <c r="F12" s="498">
        <f>IF(OR(A12="",E12=""),"",IF(C12="","",C12+E12))</f>
        <v/>
      </c>
      <c r="G12" s="384" t="inlineStr">
        <is>
          <t>Agent 10</t>
        </is>
      </c>
      <c r="H12" s="491" t="n"/>
      <c r="I12" s="499">
        <f>IF(A12="","Pending",IF(H12="","⚠️ Enter Code",IF(IFERROR(VLOOKUP(G12,DB_Agents!$B:$I,8,0),"")=H12,IF(AND(A12&lt;&gt;"",E12&lt;&gt;""),"Saved","Pending"),"🔒 BLOCKED — Wrong Code")))</f>
        <v/>
      </c>
      <c r="J12" s="500">
        <f>IF(I12="Saved",TEXT(TODAY(),"YYYY-MM-DD")&amp;" Auto","—")</f>
        <v/>
      </c>
      <c r="K12" s="501" t="n"/>
    </row>
    <row r="13" ht="15" customHeight="1" s="341">
      <c r="A13" s="486" t="n"/>
      <c r="B13" s="378">
        <f>IF(A13="","",IFERROR(VLOOKUP(A13,DB_Customers!$A:$D,4,0),"❌ Account Not Found"))</f>
        <v/>
      </c>
      <c r="C13" s="487">
        <f>IF(A13="","",IFERROR(VLOOKUP(A13,DB_Customers!$A:$N,14,0),""))</f>
        <v/>
      </c>
      <c r="D13" s="488">
        <f>IF(A13="","",TODAY())</f>
        <v/>
      </c>
      <c r="E13" s="489" t="n"/>
      <c r="F13" s="490">
        <f>IF(OR(A13="",E13=""),"",IF(C13="","",C13+E13))</f>
        <v/>
      </c>
      <c r="G13" s="380" t="inlineStr">
        <is>
          <t>Agent 10</t>
        </is>
      </c>
      <c r="H13" s="491" t="n"/>
      <c r="I13" s="492">
        <f>IF(A13="","Pending",IF(H13="","⚠️ Enter Code",IF(IFERROR(VLOOKUP(G13,DB_Agents!$B:$I,8,0),"")=H13,IF(AND(A13&lt;&gt;"",E13&lt;&gt;""),"Saved","Pending"),"🔒 BLOCKED — Wrong Code")))</f>
        <v/>
      </c>
      <c r="J13" s="493">
        <f>IF(I13="Saved",TEXT(TODAY(),"YYYY-MM-DD")&amp;" Auto","—")</f>
        <v/>
      </c>
      <c r="K13" s="494" t="n"/>
    </row>
    <row r="14" ht="15" customHeight="1" s="341">
      <c r="A14" s="495" t="n"/>
      <c r="B14" s="382">
        <f>IF(A14="","",IFERROR(VLOOKUP(A14,DB_Customers!$A:$D,4,0),"❌ Account Not Found"))</f>
        <v/>
      </c>
      <c r="C14" s="496">
        <f>IF(A14="","",IFERROR(VLOOKUP(A14,DB_Customers!$A:$N,14,0),""))</f>
        <v/>
      </c>
      <c r="D14" s="497">
        <f>IF(A14="","",TODAY())</f>
        <v/>
      </c>
      <c r="E14" s="489" t="n"/>
      <c r="F14" s="498">
        <f>IF(OR(A14="",E14=""),"",IF(C14="","",C14+E14))</f>
        <v/>
      </c>
      <c r="G14" s="384" t="inlineStr">
        <is>
          <t>Agent 10</t>
        </is>
      </c>
      <c r="H14" s="491" t="n"/>
      <c r="I14" s="499">
        <f>IF(A14="","Pending",IF(H14="","⚠️ Enter Code",IF(IFERROR(VLOOKUP(G14,DB_Agents!$B:$I,8,0),"")=H14,IF(AND(A14&lt;&gt;"",E14&lt;&gt;""),"Saved","Pending"),"🔒 BLOCKED — Wrong Code")))</f>
        <v/>
      </c>
      <c r="J14" s="500">
        <f>IF(I14="Saved",TEXT(TODAY(),"YYYY-MM-DD")&amp;" Auto","—")</f>
        <v/>
      </c>
      <c r="K14" s="501" t="n"/>
    </row>
    <row r="15" ht="15" customHeight="1" s="341">
      <c r="A15" s="486" t="n"/>
      <c r="B15" s="378">
        <f>IF(A15="","",IFERROR(VLOOKUP(A15,DB_Customers!$A:$D,4,0),"❌ Account Not Found"))</f>
        <v/>
      </c>
      <c r="C15" s="487">
        <f>IF(A15="","",IFERROR(VLOOKUP(A15,DB_Customers!$A:$N,14,0),""))</f>
        <v/>
      </c>
      <c r="D15" s="488">
        <f>IF(A15="","",TODAY())</f>
        <v/>
      </c>
      <c r="E15" s="489" t="n"/>
      <c r="F15" s="490">
        <f>IF(OR(A15="",E15=""),"",IF(C15="","",C15+E15))</f>
        <v/>
      </c>
      <c r="G15" s="380" t="inlineStr">
        <is>
          <t>Agent 10</t>
        </is>
      </c>
      <c r="H15" s="491" t="n"/>
      <c r="I15" s="492">
        <f>IF(A15="","Pending",IF(H15="","⚠️ Enter Code",IF(IFERROR(VLOOKUP(G15,DB_Agents!$B:$I,8,0),"")=H15,IF(AND(A15&lt;&gt;"",E15&lt;&gt;""),"Saved","Pending"),"🔒 BLOCKED — Wrong Code")))</f>
        <v/>
      </c>
      <c r="J15" s="493">
        <f>IF(I15="Saved",TEXT(TODAY(),"YYYY-MM-DD")&amp;" Auto","—")</f>
        <v/>
      </c>
      <c r="K15" s="494" t="n"/>
    </row>
    <row r="16" ht="15" customHeight="1" s="341">
      <c r="A16" s="495" t="n"/>
      <c r="B16" s="382">
        <f>IF(A16="","",IFERROR(VLOOKUP(A16,DB_Customers!$A:$D,4,0),"❌ Account Not Found"))</f>
        <v/>
      </c>
      <c r="C16" s="496">
        <f>IF(A16="","",IFERROR(VLOOKUP(A16,DB_Customers!$A:$N,14,0),""))</f>
        <v/>
      </c>
      <c r="D16" s="497">
        <f>IF(A16="","",TODAY())</f>
        <v/>
      </c>
      <c r="E16" s="489" t="n"/>
      <c r="F16" s="498">
        <f>IF(OR(A16="",E16=""),"",IF(C16="","",C16+E16))</f>
        <v/>
      </c>
      <c r="G16" s="384" t="inlineStr">
        <is>
          <t>Agent 10</t>
        </is>
      </c>
      <c r="H16" s="491" t="n"/>
      <c r="I16" s="499">
        <f>IF(A16="","Pending",IF(H16="","⚠️ Enter Code",IF(IFERROR(VLOOKUP(G16,DB_Agents!$B:$I,8,0),"")=H16,IF(AND(A16&lt;&gt;"",E16&lt;&gt;""),"Saved","Pending"),"🔒 BLOCKED — Wrong Code")))</f>
        <v/>
      </c>
      <c r="J16" s="500">
        <f>IF(I16="Saved",TEXT(TODAY(),"YYYY-MM-DD")&amp;" Auto","—")</f>
        <v/>
      </c>
      <c r="K16" s="501" t="n"/>
    </row>
    <row r="17" ht="15" customHeight="1" s="341">
      <c r="A17" s="486" t="n"/>
      <c r="B17" s="378">
        <f>IF(A17="","",IFERROR(VLOOKUP(A17,DB_Customers!$A:$D,4,0),"❌ Account Not Found"))</f>
        <v/>
      </c>
      <c r="C17" s="487">
        <f>IF(A17="","",IFERROR(VLOOKUP(A17,DB_Customers!$A:$N,14,0),""))</f>
        <v/>
      </c>
      <c r="D17" s="488">
        <f>IF(A17="","",TODAY())</f>
        <v/>
      </c>
      <c r="E17" s="489" t="n"/>
      <c r="F17" s="490">
        <f>IF(OR(A17="",E17=""),"",IF(C17="","",C17+E17))</f>
        <v/>
      </c>
      <c r="G17" s="380" t="inlineStr">
        <is>
          <t>Agent 10</t>
        </is>
      </c>
      <c r="H17" s="491" t="n"/>
      <c r="I17" s="492">
        <f>IF(A17="","Pending",IF(H17="","⚠️ Enter Code",IF(IFERROR(VLOOKUP(G17,DB_Agents!$B:$I,8,0),"")=H17,IF(AND(A17&lt;&gt;"",E17&lt;&gt;""),"Saved","Pending"),"🔒 BLOCKED — Wrong Code")))</f>
        <v/>
      </c>
      <c r="J17" s="493">
        <f>IF(I17="Saved",TEXT(TODAY(),"YYYY-MM-DD")&amp;" Auto","—")</f>
        <v/>
      </c>
      <c r="K17" s="494" t="n"/>
    </row>
    <row r="18" ht="15" customHeight="1" s="341">
      <c r="A18" s="495" t="n"/>
      <c r="B18" s="382">
        <f>IF(A18="","",IFERROR(VLOOKUP(A18,DB_Customers!$A:$D,4,0),"❌ Account Not Found"))</f>
        <v/>
      </c>
      <c r="C18" s="496">
        <f>IF(A18="","",IFERROR(VLOOKUP(A18,DB_Customers!$A:$N,14,0),""))</f>
        <v/>
      </c>
      <c r="D18" s="497">
        <f>IF(A18="","",TODAY())</f>
        <v/>
      </c>
      <c r="E18" s="489" t="n"/>
      <c r="F18" s="498">
        <f>IF(OR(A18="",E18=""),"",IF(C18="","",C18+E18))</f>
        <v/>
      </c>
      <c r="G18" s="384" t="inlineStr">
        <is>
          <t>Agent 10</t>
        </is>
      </c>
      <c r="H18" s="491" t="n"/>
      <c r="I18" s="499">
        <f>IF(A18="","Pending",IF(H18="","⚠️ Enter Code",IF(IFERROR(VLOOKUP(G18,DB_Agents!$B:$I,8,0),"")=H18,IF(AND(A18&lt;&gt;"",E18&lt;&gt;""),"Saved","Pending"),"🔒 BLOCKED — Wrong Code")))</f>
        <v/>
      </c>
      <c r="J18" s="500">
        <f>IF(I18="Saved",TEXT(TODAY(),"YYYY-MM-DD")&amp;" Auto","—")</f>
        <v/>
      </c>
      <c r="K18" s="501" t="n"/>
    </row>
    <row r="19" ht="15" customHeight="1" s="341">
      <c r="A19" s="486" t="n"/>
      <c r="B19" s="378">
        <f>IF(A19="","",IFERROR(VLOOKUP(A19,DB_Customers!$A:$D,4,0),"❌ Account Not Found"))</f>
        <v/>
      </c>
      <c r="C19" s="487">
        <f>IF(A19="","",IFERROR(VLOOKUP(A19,DB_Customers!$A:$N,14,0),""))</f>
        <v/>
      </c>
      <c r="D19" s="488">
        <f>IF(A19="","",TODAY())</f>
        <v/>
      </c>
      <c r="E19" s="489" t="n"/>
      <c r="F19" s="490">
        <f>IF(OR(A19="",E19=""),"",IF(C19="","",C19+E19))</f>
        <v/>
      </c>
      <c r="G19" s="380" t="inlineStr">
        <is>
          <t>Agent 10</t>
        </is>
      </c>
      <c r="H19" s="491" t="n"/>
      <c r="I19" s="492">
        <f>IF(A19="","Pending",IF(H19="","⚠️ Enter Code",IF(IFERROR(VLOOKUP(G19,DB_Agents!$B:$I,8,0),"")=H19,IF(AND(A19&lt;&gt;"",E19&lt;&gt;""),"Saved","Pending"),"🔒 BLOCKED — Wrong Code")))</f>
        <v/>
      </c>
      <c r="J19" s="493">
        <f>IF(I19="Saved",TEXT(TODAY(),"YYYY-MM-DD")&amp;" Auto","—")</f>
        <v/>
      </c>
      <c r="K19" s="494" t="n"/>
    </row>
    <row r="20" ht="15" customHeight="1" s="341">
      <c r="A20" s="495" t="n"/>
      <c r="B20" s="382">
        <f>IF(A20="","",IFERROR(VLOOKUP(A20,DB_Customers!$A:$D,4,0),"❌ Account Not Found"))</f>
        <v/>
      </c>
      <c r="C20" s="496">
        <f>IF(A20="","",IFERROR(VLOOKUP(A20,DB_Customers!$A:$N,14,0),""))</f>
        <v/>
      </c>
      <c r="D20" s="497">
        <f>IF(A20="","",TODAY())</f>
        <v/>
      </c>
      <c r="E20" s="489" t="n"/>
      <c r="F20" s="498">
        <f>IF(OR(A20="",E20=""),"",IF(C20="","",C20+E20))</f>
        <v/>
      </c>
      <c r="G20" s="384" t="inlineStr">
        <is>
          <t>Agent 10</t>
        </is>
      </c>
      <c r="H20" s="491" t="n"/>
      <c r="I20" s="499">
        <f>IF(A20="","Pending",IF(H20="","⚠️ Enter Code",IF(IFERROR(VLOOKUP(G20,DB_Agents!$B:$I,8,0),"")=H20,IF(AND(A20&lt;&gt;"",E20&lt;&gt;""),"Saved","Pending"),"🔒 BLOCKED — Wrong Code")))</f>
        <v/>
      </c>
      <c r="J20" s="500">
        <f>IF(I20="Saved",TEXT(TODAY(),"YYYY-MM-DD")&amp;" Auto","—")</f>
        <v/>
      </c>
      <c r="K20" s="501" t="n"/>
    </row>
    <row r="21" ht="15" customHeight="1" s="341">
      <c r="A21" s="486" t="n"/>
      <c r="B21" s="378">
        <f>IF(A21="","",IFERROR(VLOOKUP(A21,DB_Customers!$A:$D,4,0),"❌ Account Not Found"))</f>
        <v/>
      </c>
      <c r="C21" s="487">
        <f>IF(A21="","",IFERROR(VLOOKUP(A21,DB_Customers!$A:$N,14,0),""))</f>
        <v/>
      </c>
      <c r="D21" s="488">
        <f>IF(A21="","",TODAY())</f>
        <v/>
      </c>
      <c r="E21" s="489" t="n"/>
      <c r="F21" s="490">
        <f>IF(OR(A21="",E21=""),"",IF(C21="","",C21+E21))</f>
        <v/>
      </c>
      <c r="G21" s="380" t="inlineStr">
        <is>
          <t>Agent 10</t>
        </is>
      </c>
      <c r="H21" s="491" t="n"/>
      <c r="I21" s="492">
        <f>IF(A21="","Pending",IF(H21="","⚠️ Enter Code",IF(IFERROR(VLOOKUP(G21,DB_Agents!$B:$I,8,0),"")=H21,IF(AND(A21&lt;&gt;"",E21&lt;&gt;""),"Saved","Pending"),"🔒 BLOCKED — Wrong Code")))</f>
        <v/>
      </c>
      <c r="J21" s="493">
        <f>IF(I21="Saved",TEXT(TODAY(),"YYYY-MM-DD")&amp;" Auto","—")</f>
        <v/>
      </c>
      <c r="K21" s="494" t="n"/>
    </row>
    <row r="22" ht="15" customHeight="1" s="341">
      <c r="A22" s="495" t="n"/>
      <c r="B22" s="382">
        <f>IF(A22="","",IFERROR(VLOOKUP(A22,DB_Customers!$A:$D,4,0),"❌ Account Not Found"))</f>
        <v/>
      </c>
      <c r="C22" s="496">
        <f>IF(A22="","",IFERROR(VLOOKUP(A22,DB_Customers!$A:$N,14,0),""))</f>
        <v/>
      </c>
      <c r="D22" s="497">
        <f>IF(A22="","",TODAY())</f>
        <v/>
      </c>
      <c r="E22" s="489" t="n"/>
      <c r="F22" s="498">
        <f>IF(OR(A22="",E22=""),"",IF(C22="","",C22+E22))</f>
        <v/>
      </c>
      <c r="G22" s="384" t="inlineStr">
        <is>
          <t>Agent 10</t>
        </is>
      </c>
      <c r="H22" s="491" t="n"/>
      <c r="I22" s="499">
        <f>IF(A22="","Pending",IF(H22="","⚠️ Enter Code",IF(IFERROR(VLOOKUP(G22,DB_Agents!$B:$I,8,0),"")=H22,IF(AND(A22&lt;&gt;"",E22&lt;&gt;""),"Saved","Pending"),"🔒 BLOCKED — Wrong Code")))</f>
        <v/>
      </c>
      <c r="J22" s="500">
        <f>IF(I22="Saved",TEXT(TODAY(),"YYYY-MM-DD")&amp;" Auto","—")</f>
        <v/>
      </c>
      <c r="K22" s="501" t="n"/>
    </row>
    <row r="23" ht="15" customHeight="1" s="341">
      <c r="A23" s="486" t="n"/>
      <c r="B23" s="378">
        <f>IF(A23="","",IFERROR(VLOOKUP(A23,DB_Customers!$A:$D,4,0),"❌ Account Not Found"))</f>
        <v/>
      </c>
      <c r="C23" s="487">
        <f>IF(A23="","",IFERROR(VLOOKUP(A23,DB_Customers!$A:$N,14,0),""))</f>
        <v/>
      </c>
      <c r="D23" s="488">
        <f>IF(A23="","",TODAY())</f>
        <v/>
      </c>
      <c r="E23" s="489" t="n"/>
      <c r="F23" s="490">
        <f>IF(OR(A23="",E23=""),"",IF(C23="","",C23+E23))</f>
        <v/>
      </c>
      <c r="G23" s="380" t="inlineStr">
        <is>
          <t>Agent 10</t>
        </is>
      </c>
      <c r="H23" s="491" t="n"/>
      <c r="I23" s="492">
        <f>IF(A23="","Pending",IF(H23="","⚠️ Enter Code",IF(IFERROR(VLOOKUP(G23,DB_Agents!$B:$I,8,0),"")=H23,IF(AND(A23&lt;&gt;"",E23&lt;&gt;""),"Saved","Pending"),"🔒 BLOCKED — Wrong Code")))</f>
        <v/>
      </c>
      <c r="J23" s="493">
        <f>IF(I23="Saved",TEXT(TODAY(),"YYYY-MM-DD")&amp;" Auto","—")</f>
        <v/>
      </c>
      <c r="K23" s="494" t="n"/>
    </row>
    <row r="24" ht="15" customHeight="1" s="341">
      <c r="A24" s="495" t="n"/>
      <c r="B24" s="382">
        <f>IF(A24="","",IFERROR(VLOOKUP(A24,DB_Customers!$A:$D,4,0),"❌ Account Not Found"))</f>
        <v/>
      </c>
      <c r="C24" s="496">
        <f>IF(A24="","",IFERROR(VLOOKUP(A24,DB_Customers!$A:$N,14,0),""))</f>
        <v/>
      </c>
      <c r="D24" s="497">
        <f>IF(A24="","",TODAY())</f>
        <v/>
      </c>
      <c r="E24" s="489" t="n"/>
      <c r="F24" s="498">
        <f>IF(OR(A24="",E24=""),"",IF(C24="","",C24+E24))</f>
        <v/>
      </c>
      <c r="G24" s="384" t="inlineStr">
        <is>
          <t>Agent 10</t>
        </is>
      </c>
      <c r="H24" s="491" t="n"/>
      <c r="I24" s="499">
        <f>IF(A24="","Pending",IF(H24="","⚠️ Enter Code",IF(IFERROR(VLOOKUP(G24,DB_Agents!$B:$I,8,0),"")=H24,IF(AND(A24&lt;&gt;"",E24&lt;&gt;""),"Saved","Pending"),"🔒 BLOCKED — Wrong Code")))</f>
        <v/>
      </c>
      <c r="J24" s="500">
        <f>IF(I24="Saved",TEXT(TODAY(),"YYYY-MM-DD")&amp;" Auto","—")</f>
        <v/>
      </c>
      <c r="K24" s="501" t="n"/>
    </row>
    <row r="25" ht="15" customHeight="1" s="341">
      <c r="A25" s="486" t="n"/>
      <c r="B25" s="378">
        <f>IF(A25="","",IFERROR(VLOOKUP(A25,DB_Customers!$A:$D,4,0),"❌ Account Not Found"))</f>
        <v/>
      </c>
      <c r="C25" s="487">
        <f>IF(A25="","",IFERROR(VLOOKUP(A25,DB_Customers!$A:$N,14,0),""))</f>
        <v/>
      </c>
      <c r="D25" s="488">
        <f>IF(A25="","",TODAY())</f>
        <v/>
      </c>
      <c r="E25" s="489" t="n"/>
      <c r="F25" s="490">
        <f>IF(OR(A25="",E25=""),"",IF(C25="","",C25+E25))</f>
        <v/>
      </c>
      <c r="G25" s="380" t="inlineStr">
        <is>
          <t>Agent 10</t>
        </is>
      </c>
      <c r="H25" s="491" t="n"/>
      <c r="I25" s="492">
        <f>IF(A25="","Pending",IF(H25="","⚠️ Enter Code",IF(IFERROR(VLOOKUP(G25,DB_Agents!$B:$I,8,0),"")=H25,IF(AND(A25&lt;&gt;"",E25&lt;&gt;""),"Saved","Pending"),"🔒 BLOCKED — Wrong Code")))</f>
        <v/>
      </c>
      <c r="J25" s="493">
        <f>IF(I25="Saved",TEXT(TODAY(),"YYYY-MM-DD")&amp;" Auto","—")</f>
        <v/>
      </c>
      <c r="K25" s="494" t="n"/>
    </row>
    <row r="26" ht="15" customHeight="1" s="341">
      <c r="A26" s="495" t="n"/>
      <c r="B26" s="382">
        <f>IF(A26="","",IFERROR(VLOOKUP(A26,DB_Customers!$A:$D,4,0),"❌ Account Not Found"))</f>
        <v/>
      </c>
      <c r="C26" s="496">
        <f>IF(A26="","",IFERROR(VLOOKUP(A26,DB_Customers!$A:$N,14,0),""))</f>
        <v/>
      </c>
      <c r="D26" s="497">
        <f>IF(A26="","",TODAY())</f>
        <v/>
      </c>
      <c r="E26" s="489" t="n"/>
      <c r="F26" s="498">
        <f>IF(OR(A26="",E26=""),"",IF(C26="","",C26+E26))</f>
        <v/>
      </c>
      <c r="G26" s="384" t="inlineStr">
        <is>
          <t>Agent 10</t>
        </is>
      </c>
      <c r="H26" s="491" t="n"/>
      <c r="I26" s="499">
        <f>IF(A26="","Pending",IF(H26="","⚠️ Enter Code",IF(IFERROR(VLOOKUP(G26,DB_Agents!$B:$I,8,0),"")=H26,IF(AND(A26&lt;&gt;"",E26&lt;&gt;""),"Saved","Pending"),"🔒 BLOCKED — Wrong Code")))</f>
        <v/>
      </c>
      <c r="J26" s="500">
        <f>IF(I26="Saved",TEXT(TODAY(),"YYYY-MM-DD")&amp;" Auto","—")</f>
        <v/>
      </c>
      <c r="K26" s="501" t="n"/>
    </row>
    <row r="27" ht="15" customHeight="1" s="341">
      <c r="A27" s="486" t="n"/>
      <c r="B27" s="378">
        <f>IF(A27="","",IFERROR(VLOOKUP(A27,DB_Customers!$A:$D,4,0),"❌ Account Not Found"))</f>
        <v/>
      </c>
      <c r="C27" s="487">
        <f>IF(A27="","",IFERROR(VLOOKUP(A27,DB_Customers!$A:$N,14,0),""))</f>
        <v/>
      </c>
      <c r="D27" s="488">
        <f>IF(A27="","",TODAY())</f>
        <v/>
      </c>
      <c r="E27" s="489" t="n"/>
      <c r="F27" s="490">
        <f>IF(OR(A27="",E27=""),"",IF(C27="","",C27+E27))</f>
        <v/>
      </c>
      <c r="G27" s="380" t="inlineStr">
        <is>
          <t>Agent 10</t>
        </is>
      </c>
      <c r="H27" s="491" t="n"/>
      <c r="I27" s="492">
        <f>IF(A27="","Pending",IF(H27="","⚠️ Enter Code",IF(IFERROR(VLOOKUP(G27,DB_Agents!$B:$I,8,0),"")=H27,IF(AND(A27&lt;&gt;"",E27&lt;&gt;""),"Saved","Pending"),"🔒 BLOCKED — Wrong Code")))</f>
        <v/>
      </c>
      <c r="J27" s="493">
        <f>IF(I27="Saved",TEXT(TODAY(),"YYYY-MM-DD")&amp;" Auto","—")</f>
        <v/>
      </c>
      <c r="K27" s="494" t="n"/>
    </row>
    <row r="28" ht="15" customHeight="1" s="341">
      <c r="A28" s="495" t="n"/>
      <c r="B28" s="382">
        <f>IF(A28="","",IFERROR(VLOOKUP(A28,DB_Customers!$A:$D,4,0),"❌ Account Not Found"))</f>
        <v/>
      </c>
      <c r="C28" s="496">
        <f>IF(A28="","",IFERROR(VLOOKUP(A28,DB_Customers!$A:$N,14,0),""))</f>
        <v/>
      </c>
      <c r="D28" s="497">
        <f>IF(A28="","",TODAY())</f>
        <v/>
      </c>
      <c r="E28" s="489" t="n"/>
      <c r="F28" s="498">
        <f>IF(OR(A28="",E28=""),"",IF(C28="","",C28+E28))</f>
        <v/>
      </c>
      <c r="G28" s="384" t="inlineStr">
        <is>
          <t>Agent 10</t>
        </is>
      </c>
      <c r="H28" s="491" t="n"/>
      <c r="I28" s="499">
        <f>IF(A28="","Pending",IF(H28="","⚠️ Enter Code",IF(IFERROR(VLOOKUP(G28,DB_Agents!$B:$I,8,0),"")=H28,IF(AND(A28&lt;&gt;"",E28&lt;&gt;""),"Saved","Pending"),"🔒 BLOCKED — Wrong Code")))</f>
        <v/>
      </c>
      <c r="J28" s="500">
        <f>IF(I28="Saved",TEXT(TODAY(),"YYYY-MM-DD")&amp;" Auto","—")</f>
        <v/>
      </c>
      <c r="K28" s="501" t="n"/>
    </row>
    <row r="29" ht="15" customHeight="1" s="341">
      <c r="A29" s="486" t="n"/>
      <c r="B29" s="378">
        <f>IF(A29="","",IFERROR(VLOOKUP(A29,DB_Customers!$A:$D,4,0),"❌ Account Not Found"))</f>
        <v/>
      </c>
      <c r="C29" s="487">
        <f>IF(A29="","",IFERROR(VLOOKUP(A29,DB_Customers!$A:$N,14,0),""))</f>
        <v/>
      </c>
      <c r="D29" s="488">
        <f>IF(A29="","",TODAY())</f>
        <v/>
      </c>
      <c r="E29" s="489" t="n"/>
      <c r="F29" s="490">
        <f>IF(OR(A29="",E29=""),"",IF(C29="","",C29+E29))</f>
        <v/>
      </c>
      <c r="G29" s="380" t="inlineStr">
        <is>
          <t>Agent 10</t>
        </is>
      </c>
      <c r="H29" s="491" t="n"/>
      <c r="I29" s="492">
        <f>IF(A29="","Pending",IF(H29="","⚠️ Enter Code",IF(IFERROR(VLOOKUP(G29,DB_Agents!$B:$I,8,0),"")=H29,IF(AND(A29&lt;&gt;"",E29&lt;&gt;""),"Saved","Pending"),"🔒 BLOCKED — Wrong Code")))</f>
        <v/>
      </c>
      <c r="J29" s="493">
        <f>IF(I29="Saved",TEXT(TODAY(),"YYYY-MM-DD")&amp;" Auto","—")</f>
        <v/>
      </c>
      <c r="K29" s="494" t="n"/>
    </row>
    <row r="30" ht="15" customHeight="1" s="341">
      <c r="A30" s="495" t="n"/>
      <c r="B30" s="382">
        <f>IF(A30="","",IFERROR(VLOOKUP(A30,DB_Customers!$A:$D,4,0),"❌ Account Not Found"))</f>
        <v/>
      </c>
      <c r="C30" s="496">
        <f>IF(A30="","",IFERROR(VLOOKUP(A30,DB_Customers!$A:$N,14,0),""))</f>
        <v/>
      </c>
      <c r="D30" s="497">
        <f>IF(A30="","",TODAY())</f>
        <v/>
      </c>
      <c r="E30" s="489" t="n"/>
      <c r="F30" s="498">
        <f>IF(OR(A30="",E30=""),"",IF(C30="","",C30+E30))</f>
        <v/>
      </c>
      <c r="G30" s="384" t="inlineStr">
        <is>
          <t>Agent 10</t>
        </is>
      </c>
      <c r="H30" s="491" t="n"/>
      <c r="I30" s="499">
        <f>IF(A30="","Pending",IF(H30="","⚠️ Enter Code",IF(IFERROR(VLOOKUP(G30,DB_Agents!$B:$I,8,0),"")=H30,IF(AND(A30&lt;&gt;"",E30&lt;&gt;""),"Saved","Pending"),"🔒 BLOCKED — Wrong Code")))</f>
        <v/>
      </c>
      <c r="J30" s="500">
        <f>IF(I30="Saved",TEXT(TODAY(),"YYYY-MM-DD")&amp;" Auto","—")</f>
        <v/>
      </c>
      <c r="K30" s="501" t="n"/>
    </row>
    <row r="31" ht="15" customHeight="1" s="341">
      <c r="A31" s="486" t="n"/>
      <c r="B31" s="378">
        <f>IF(A31="","",IFERROR(VLOOKUP(A31,DB_Customers!$A:$D,4,0),"❌ Account Not Found"))</f>
        <v/>
      </c>
      <c r="C31" s="487">
        <f>IF(A31="","",IFERROR(VLOOKUP(A31,DB_Customers!$A:$N,14,0),""))</f>
        <v/>
      </c>
      <c r="D31" s="488">
        <f>IF(A31="","",TODAY())</f>
        <v/>
      </c>
      <c r="E31" s="489" t="n"/>
      <c r="F31" s="490">
        <f>IF(OR(A31="",E31=""),"",IF(C31="","",C31+E31))</f>
        <v/>
      </c>
      <c r="G31" s="380" t="inlineStr">
        <is>
          <t>Agent 10</t>
        </is>
      </c>
      <c r="H31" s="491" t="n"/>
      <c r="I31" s="492">
        <f>IF(A31="","Pending",IF(H31="","⚠️ Enter Code",IF(IFERROR(VLOOKUP(G31,DB_Agents!$B:$I,8,0),"")=H31,IF(AND(A31&lt;&gt;"",E31&lt;&gt;""),"Saved","Pending"),"🔒 BLOCKED — Wrong Code")))</f>
        <v/>
      </c>
      <c r="J31" s="493">
        <f>IF(I31="Saved",TEXT(TODAY(),"YYYY-MM-DD")&amp;" Auto","—")</f>
        <v/>
      </c>
      <c r="K31" s="494" t="n"/>
    </row>
    <row r="32" ht="15" customHeight="1" s="341">
      <c r="A32" s="495" t="n"/>
      <c r="B32" s="382">
        <f>IF(A32="","",IFERROR(VLOOKUP(A32,DB_Customers!$A:$D,4,0),"❌ Account Not Found"))</f>
        <v/>
      </c>
      <c r="C32" s="496">
        <f>IF(A32="","",IFERROR(VLOOKUP(A32,DB_Customers!$A:$N,14,0),""))</f>
        <v/>
      </c>
      <c r="D32" s="497">
        <f>IF(A32="","",TODAY())</f>
        <v/>
      </c>
      <c r="E32" s="489" t="n"/>
      <c r="F32" s="498">
        <f>IF(OR(A32="",E32=""),"",IF(C32="","",C32+E32))</f>
        <v/>
      </c>
      <c r="G32" s="384" t="inlineStr">
        <is>
          <t>Agent 10</t>
        </is>
      </c>
      <c r="H32" s="491" t="n"/>
      <c r="I32" s="499">
        <f>IF(A32="","Pending",IF(H32="","⚠️ Enter Code",IF(IFERROR(VLOOKUP(G32,DB_Agents!$B:$I,8,0),"")=H32,IF(AND(A32&lt;&gt;"",E32&lt;&gt;""),"Saved","Pending"),"🔒 BLOCKED — Wrong Code")))</f>
        <v/>
      </c>
      <c r="J32" s="500">
        <f>IF(I32="Saved",TEXT(TODAY(),"YYYY-MM-DD")&amp;" Auto","—")</f>
        <v/>
      </c>
      <c r="K32" s="501" t="n"/>
    </row>
    <row r="33" ht="15" customHeight="1" s="341">
      <c r="A33" s="486" t="n"/>
      <c r="B33" s="378">
        <f>IF(A33="","",IFERROR(VLOOKUP(A33,DB_Customers!$A:$D,4,0),"❌ Account Not Found"))</f>
        <v/>
      </c>
      <c r="C33" s="487">
        <f>IF(A33="","",IFERROR(VLOOKUP(A33,DB_Customers!$A:$N,14,0),""))</f>
        <v/>
      </c>
      <c r="D33" s="488">
        <f>IF(A33="","",TODAY())</f>
        <v/>
      </c>
      <c r="E33" s="489" t="n"/>
      <c r="F33" s="490">
        <f>IF(OR(A33="",E33=""),"",IF(C33="","",C33+E33))</f>
        <v/>
      </c>
      <c r="G33" s="380" t="inlineStr">
        <is>
          <t>Agent 10</t>
        </is>
      </c>
      <c r="H33" s="491" t="n"/>
      <c r="I33" s="492">
        <f>IF(A33="","Pending",IF(H33="","⚠️ Enter Code",IF(IFERROR(VLOOKUP(G33,DB_Agents!$B:$I,8,0),"")=H33,IF(AND(A33&lt;&gt;"",E33&lt;&gt;""),"Saved","Pending"),"🔒 BLOCKED — Wrong Code")))</f>
        <v/>
      </c>
      <c r="J33" s="493">
        <f>IF(I33="Saved",TEXT(TODAY(),"YYYY-MM-DD")&amp;" Auto","—")</f>
        <v/>
      </c>
      <c r="K33" s="494" t="n"/>
    </row>
    <row r="34" ht="15" customHeight="1" s="341">
      <c r="A34" s="495" t="n"/>
      <c r="B34" s="382">
        <f>IF(A34="","",IFERROR(VLOOKUP(A34,DB_Customers!$A:$D,4,0),"❌ Account Not Found"))</f>
        <v/>
      </c>
      <c r="C34" s="496">
        <f>IF(A34="","",IFERROR(VLOOKUP(A34,DB_Customers!$A:$N,14,0),""))</f>
        <v/>
      </c>
      <c r="D34" s="497">
        <f>IF(A34="","",TODAY())</f>
        <v/>
      </c>
      <c r="E34" s="489" t="n"/>
      <c r="F34" s="498">
        <f>IF(OR(A34="",E34=""),"",IF(C34="","",C34+E34))</f>
        <v/>
      </c>
      <c r="G34" s="384" t="inlineStr">
        <is>
          <t>Agent 10</t>
        </is>
      </c>
      <c r="H34" s="491" t="n"/>
      <c r="I34" s="499">
        <f>IF(A34="","Pending",IF(H34="","⚠️ Enter Code",IF(IFERROR(VLOOKUP(G34,DB_Agents!$B:$I,8,0),"")=H34,IF(AND(A34&lt;&gt;"",E34&lt;&gt;""),"Saved","Pending"),"🔒 BLOCKED — Wrong Code")))</f>
        <v/>
      </c>
      <c r="J34" s="500">
        <f>IF(I34="Saved",TEXT(TODAY(),"YYYY-MM-DD")&amp;" Auto","—")</f>
        <v/>
      </c>
      <c r="K34" s="501" t="n"/>
    </row>
    <row r="35" ht="15" customHeight="1" s="341">
      <c r="A35" s="486" t="n"/>
      <c r="B35" s="378">
        <f>IF(A35="","",IFERROR(VLOOKUP(A35,DB_Customers!$A:$D,4,0),"❌ Account Not Found"))</f>
        <v/>
      </c>
      <c r="C35" s="487">
        <f>IF(A35="","",IFERROR(VLOOKUP(A35,DB_Customers!$A:$N,14,0),""))</f>
        <v/>
      </c>
      <c r="D35" s="488">
        <f>IF(A35="","",TODAY())</f>
        <v/>
      </c>
      <c r="E35" s="489" t="n"/>
      <c r="F35" s="490">
        <f>IF(OR(A35="",E35=""),"",IF(C35="","",C35+E35))</f>
        <v/>
      </c>
      <c r="G35" s="380" t="inlineStr">
        <is>
          <t>Agent 10</t>
        </is>
      </c>
      <c r="H35" s="491" t="n"/>
      <c r="I35" s="492">
        <f>IF(A35="","Pending",IF(H35="","⚠️ Enter Code",IF(IFERROR(VLOOKUP(G35,DB_Agents!$B:$I,8,0),"")=H35,IF(AND(A35&lt;&gt;"",E35&lt;&gt;""),"Saved","Pending"),"🔒 BLOCKED — Wrong Code")))</f>
        <v/>
      </c>
      <c r="J35" s="493">
        <f>IF(I35="Saved",TEXT(TODAY(),"YYYY-MM-DD")&amp;" Auto","—")</f>
        <v/>
      </c>
      <c r="K35" s="494" t="n"/>
    </row>
    <row r="36" ht="15" customHeight="1" s="341">
      <c r="A36" s="495" t="n"/>
      <c r="B36" s="382">
        <f>IF(A36="","",IFERROR(VLOOKUP(A36,DB_Customers!$A:$D,4,0),"❌ Account Not Found"))</f>
        <v/>
      </c>
      <c r="C36" s="496">
        <f>IF(A36="","",IFERROR(VLOOKUP(A36,DB_Customers!$A:$N,14,0),""))</f>
        <v/>
      </c>
      <c r="D36" s="497">
        <f>IF(A36="","",TODAY())</f>
        <v/>
      </c>
      <c r="E36" s="489" t="n"/>
      <c r="F36" s="498">
        <f>IF(OR(A36="",E36=""),"",IF(C36="","",C36+E36))</f>
        <v/>
      </c>
      <c r="G36" s="384" t="inlineStr">
        <is>
          <t>Agent 10</t>
        </is>
      </c>
      <c r="H36" s="491" t="n"/>
      <c r="I36" s="499">
        <f>IF(A36="","Pending",IF(H36="","⚠️ Enter Code",IF(IFERROR(VLOOKUP(G36,DB_Agents!$B:$I,8,0),"")=H36,IF(AND(A36&lt;&gt;"",E36&lt;&gt;""),"Saved","Pending"),"🔒 BLOCKED — Wrong Code")))</f>
        <v/>
      </c>
      <c r="J36" s="500">
        <f>IF(I36="Saved",TEXT(TODAY(),"YYYY-MM-DD")&amp;" Auto","—")</f>
        <v/>
      </c>
      <c r="K36" s="501" t="n"/>
    </row>
    <row r="37" ht="15" customHeight="1" s="341">
      <c r="A37" s="486" t="n"/>
      <c r="B37" s="378">
        <f>IF(A37="","",IFERROR(VLOOKUP(A37,DB_Customers!$A:$D,4,0),"❌ Account Not Found"))</f>
        <v/>
      </c>
      <c r="C37" s="487">
        <f>IF(A37="","",IFERROR(VLOOKUP(A37,DB_Customers!$A:$N,14,0),""))</f>
        <v/>
      </c>
      <c r="D37" s="488">
        <f>IF(A37="","",TODAY())</f>
        <v/>
      </c>
      <c r="E37" s="489" t="n"/>
      <c r="F37" s="490">
        <f>IF(OR(A37="",E37=""),"",IF(C37="","",C37+E37))</f>
        <v/>
      </c>
      <c r="G37" s="380" t="inlineStr">
        <is>
          <t>Agent 10</t>
        </is>
      </c>
      <c r="H37" s="491" t="n"/>
      <c r="I37" s="492">
        <f>IF(A37="","Pending",IF(H37="","⚠️ Enter Code",IF(IFERROR(VLOOKUP(G37,DB_Agents!$B:$I,8,0),"")=H37,IF(AND(A37&lt;&gt;"",E37&lt;&gt;""),"Saved","Pending"),"🔒 BLOCKED — Wrong Code")))</f>
        <v/>
      </c>
      <c r="J37" s="493">
        <f>IF(I37="Saved",TEXT(TODAY(),"YYYY-MM-DD")&amp;" Auto","—")</f>
        <v/>
      </c>
      <c r="K37" s="494" t="n"/>
    </row>
    <row r="38" ht="15" customHeight="1" s="341">
      <c r="A38" s="495" t="n"/>
      <c r="B38" s="382">
        <f>IF(A38="","",IFERROR(VLOOKUP(A38,DB_Customers!$A:$D,4,0),"❌ Account Not Found"))</f>
        <v/>
      </c>
      <c r="C38" s="496">
        <f>IF(A38="","",IFERROR(VLOOKUP(A38,DB_Customers!$A:$N,14,0),""))</f>
        <v/>
      </c>
      <c r="D38" s="497">
        <f>IF(A38="","",TODAY())</f>
        <v/>
      </c>
      <c r="E38" s="489" t="n"/>
      <c r="F38" s="498">
        <f>IF(OR(A38="",E38=""),"",IF(C38="","",C38+E38))</f>
        <v/>
      </c>
      <c r="G38" s="384" t="inlineStr">
        <is>
          <t>Agent 10</t>
        </is>
      </c>
      <c r="H38" s="491" t="n"/>
      <c r="I38" s="499">
        <f>IF(A38="","Pending",IF(H38="","⚠️ Enter Code",IF(IFERROR(VLOOKUP(G38,DB_Agents!$B:$I,8,0),"")=H38,IF(AND(A38&lt;&gt;"",E38&lt;&gt;""),"Saved","Pending"),"🔒 BLOCKED — Wrong Code")))</f>
        <v/>
      </c>
      <c r="J38" s="500">
        <f>IF(I38="Saved",TEXT(TODAY(),"YYYY-MM-DD")&amp;" Auto","—")</f>
        <v/>
      </c>
      <c r="K38" s="501" t="n"/>
    </row>
    <row r="39" ht="15" customHeight="1" s="341">
      <c r="A39" s="486" t="n"/>
      <c r="B39" s="378">
        <f>IF(A39="","",IFERROR(VLOOKUP(A39,DB_Customers!$A:$D,4,0),"❌ Account Not Found"))</f>
        <v/>
      </c>
      <c r="C39" s="487">
        <f>IF(A39="","",IFERROR(VLOOKUP(A39,DB_Customers!$A:$N,14,0),""))</f>
        <v/>
      </c>
      <c r="D39" s="488">
        <f>IF(A39="","",TODAY())</f>
        <v/>
      </c>
      <c r="E39" s="489" t="n"/>
      <c r="F39" s="490">
        <f>IF(OR(A39="",E39=""),"",IF(C39="","",C39+E39))</f>
        <v/>
      </c>
      <c r="G39" s="380" t="inlineStr">
        <is>
          <t>Agent 10</t>
        </is>
      </c>
      <c r="H39" s="491" t="n"/>
      <c r="I39" s="492">
        <f>IF(A39="","Pending",IF(H39="","⚠️ Enter Code",IF(IFERROR(VLOOKUP(G39,DB_Agents!$B:$I,8,0),"")=H39,IF(AND(A39&lt;&gt;"",E39&lt;&gt;""),"Saved","Pending"),"🔒 BLOCKED — Wrong Code")))</f>
        <v/>
      </c>
      <c r="J39" s="493">
        <f>IF(I39="Saved",TEXT(TODAY(),"YYYY-MM-DD")&amp;" Auto","—")</f>
        <v/>
      </c>
      <c r="K39" s="494" t="n"/>
    </row>
    <row r="40" ht="15" customHeight="1" s="341">
      <c r="A40" s="495" t="n"/>
      <c r="B40" s="382">
        <f>IF(A40="","",IFERROR(VLOOKUP(A40,DB_Customers!$A:$D,4,0),"❌ Account Not Found"))</f>
        <v/>
      </c>
      <c r="C40" s="496">
        <f>IF(A40="","",IFERROR(VLOOKUP(A40,DB_Customers!$A:$N,14,0),""))</f>
        <v/>
      </c>
      <c r="D40" s="497">
        <f>IF(A40="","",TODAY())</f>
        <v/>
      </c>
      <c r="E40" s="489" t="n"/>
      <c r="F40" s="498">
        <f>IF(OR(A40="",E40=""),"",IF(C40="","",C40+E40))</f>
        <v/>
      </c>
      <c r="G40" s="384" t="inlineStr">
        <is>
          <t>Agent 10</t>
        </is>
      </c>
      <c r="H40" s="491" t="n"/>
      <c r="I40" s="499">
        <f>IF(A40="","Pending",IF(H40="","⚠️ Enter Code",IF(IFERROR(VLOOKUP(G40,DB_Agents!$B:$I,8,0),"")=H40,IF(AND(A40&lt;&gt;"",E40&lt;&gt;""),"Saved","Pending"),"🔒 BLOCKED — Wrong Code")))</f>
        <v/>
      </c>
      <c r="J40" s="500">
        <f>IF(I40="Saved",TEXT(TODAY(),"YYYY-MM-DD")&amp;" Auto","—")</f>
        <v/>
      </c>
      <c r="K40" s="501" t="n"/>
    </row>
    <row r="41" ht="15" customHeight="1" s="341">
      <c r="A41" s="486" t="n"/>
      <c r="B41" s="378">
        <f>IF(A41="","",IFERROR(VLOOKUP(A41,DB_Customers!$A:$D,4,0),"❌ Account Not Found"))</f>
        <v/>
      </c>
      <c r="C41" s="487">
        <f>IF(A41="","",IFERROR(VLOOKUP(A41,DB_Customers!$A:$N,14,0),""))</f>
        <v/>
      </c>
      <c r="D41" s="488">
        <f>IF(A41="","",TODAY())</f>
        <v/>
      </c>
      <c r="E41" s="489" t="n"/>
      <c r="F41" s="490">
        <f>IF(OR(A41="",E41=""),"",IF(C41="","",C41+E41))</f>
        <v/>
      </c>
      <c r="G41" s="380" t="inlineStr">
        <is>
          <t>Agent 10</t>
        </is>
      </c>
      <c r="H41" s="491" t="n"/>
      <c r="I41" s="492">
        <f>IF(A41="","Pending",IF(H41="","⚠️ Enter Code",IF(IFERROR(VLOOKUP(G41,DB_Agents!$B:$I,8,0),"")=H41,IF(AND(A41&lt;&gt;"",E41&lt;&gt;""),"Saved","Pending"),"🔒 BLOCKED — Wrong Code")))</f>
        <v/>
      </c>
      <c r="J41" s="493">
        <f>IF(I41="Saved",TEXT(TODAY(),"YYYY-MM-DD")&amp;" Auto","—")</f>
        <v/>
      </c>
      <c r="K41" s="494" t="n"/>
    </row>
    <row r="42" ht="15" customHeight="1" s="341">
      <c r="A42" s="495" t="n"/>
      <c r="B42" s="382">
        <f>IF(A42="","",IFERROR(VLOOKUP(A42,DB_Customers!$A:$D,4,0),"❌ Account Not Found"))</f>
        <v/>
      </c>
      <c r="C42" s="496">
        <f>IF(A42="","",IFERROR(VLOOKUP(A42,DB_Customers!$A:$N,14,0),""))</f>
        <v/>
      </c>
      <c r="D42" s="497">
        <f>IF(A42="","",TODAY())</f>
        <v/>
      </c>
      <c r="E42" s="489" t="n"/>
      <c r="F42" s="498">
        <f>IF(OR(A42="",E42=""),"",IF(C42="","",C42+E42))</f>
        <v/>
      </c>
      <c r="G42" s="384" t="inlineStr">
        <is>
          <t>Agent 10</t>
        </is>
      </c>
      <c r="H42" s="491" t="n"/>
      <c r="I42" s="499">
        <f>IF(A42="","Pending",IF(H42="","⚠️ Enter Code",IF(IFERROR(VLOOKUP(G42,DB_Agents!$B:$I,8,0),"")=H42,IF(AND(A42&lt;&gt;"",E42&lt;&gt;""),"Saved","Pending"),"🔒 BLOCKED — Wrong Code")))</f>
        <v/>
      </c>
      <c r="J42" s="500">
        <f>IF(I42="Saved",TEXT(TODAY(),"YYYY-MM-DD")&amp;" Auto","—")</f>
        <v/>
      </c>
      <c r="K42" s="501" t="n"/>
    </row>
    <row r="43" ht="15" customHeight="1" s="341">
      <c r="A43" s="486" t="n"/>
      <c r="B43" s="378">
        <f>IF(A43="","",IFERROR(VLOOKUP(A43,DB_Customers!$A:$D,4,0),"❌ Account Not Found"))</f>
        <v/>
      </c>
      <c r="C43" s="487">
        <f>IF(A43="","",IFERROR(VLOOKUP(A43,DB_Customers!$A:$N,14,0),""))</f>
        <v/>
      </c>
      <c r="D43" s="488">
        <f>IF(A43="","",TODAY())</f>
        <v/>
      </c>
      <c r="E43" s="489" t="n"/>
      <c r="F43" s="490">
        <f>IF(OR(A43="",E43=""),"",IF(C43="","",C43+E43))</f>
        <v/>
      </c>
      <c r="G43" s="380" t="inlineStr">
        <is>
          <t>Agent 10</t>
        </is>
      </c>
      <c r="H43" s="491" t="n"/>
      <c r="I43" s="492">
        <f>IF(A43="","Pending",IF(H43="","⚠️ Enter Code",IF(IFERROR(VLOOKUP(G43,DB_Agents!$B:$I,8,0),"")=H43,IF(AND(A43&lt;&gt;"",E43&lt;&gt;""),"Saved","Pending"),"🔒 BLOCKED — Wrong Code")))</f>
        <v/>
      </c>
      <c r="J43" s="493">
        <f>IF(I43="Saved",TEXT(TODAY(),"YYYY-MM-DD")&amp;" Auto","—")</f>
        <v/>
      </c>
      <c r="K43" s="494" t="n"/>
    </row>
    <row r="44" ht="15" customHeight="1" s="341">
      <c r="A44" s="495" t="n"/>
      <c r="B44" s="382">
        <f>IF(A44="","",IFERROR(VLOOKUP(A44,DB_Customers!$A:$D,4,0),"❌ Account Not Found"))</f>
        <v/>
      </c>
      <c r="C44" s="496">
        <f>IF(A44="","",IFERROR(VLOOKUP(A44,DB_Customers!$A:$N,14,0),""))</f>
        <v/>
      </c>
      <c r="D44" s="497">
        <f>IF(A44="","",TODAY())</f>
        <v/>
      </c>
      <c r="E44" s="489" t="n"/>
      <c r="F44" s="498">
        <f>IF(OR(A44="",E44=""),"",IF(C44="","",C44+E44))</f>
        <v/>
      </c>
      <c r="G44" s="384" t="inlineStr">
        <is>
          <t>Agent 10</t>
        </is>
      </c>
      <c r="H44" s="491" t="n"/>
      <c r="I44" s="499">
        <f>IF(A44="","Pending",IF(H44="","⚠️ Enter Code",IF(IFERROR(VLOOKUP(G44,DB_Agents!$B:$I,8,0),"")=H44,IF(AND(A44&lt;&gt;"",E44&lt;&gt;""),"Saved","Pending"),"🔒 BLOCKED — Wrong Code")))</f>
        <v/>
      </c>
      <c r="J44" s="500">
        <f>IF(I44="Saved",TEXT(TODAY(),"YYYY-MM-DD")&amp;" Auto","—")</f>
        <v/>
      </c>
      <c r="K44" s="501" t="n"/>
    </row>
    <row r="45" ht="15" customHeight="1" s="341">
      <c r="A45" s="486" t="n"/>
      <c r="B45" s="378">
        <f>IF(A45="","",IFERROR(VLOOKUP(A45,DB_Customers!$A:$D,4,0),"❌ Account Not Found"))</f>
        <v/>
      </c>
      <c r="C45" s="487">
        <f>IF(A45="","",IFERROR(VLOOKUP(A45,DB_Customers!$A:$N,14,0),""))</f>
        <v/>
      </c>
      <c r="D45" s="488">
        <f>IF(A45="","",TODAY())</f>
        <v/>
      </c>
      <c r="E45" s="489" t="n"/>
      <c r="F45" s="490">
        <f>IF(OR(A45="",E45=""),"",IF(C45="","",C45+E45))</f>
        <v/>
      </c>
      <c r="G45" s="380" t="inlineStr">
        <is>
          <t>Agent 10</t>
        </is>
      </c>
      <c r="H45" s="491" t="n"/>
      <c r="I45" s="492">
        <f>IF(A45="","Pending",IF(H45="","⚠️ Enter Code",IF(IFERROR(VLOOKUP(G45,DB_Agents!$B:$I,8,0),"")=H45,IF(AND(A45&lt;&gt;"",E45&lt;&gt;""),"Saved","Pending"),"🔒 BLOCKED — Wrong Code")))</f>
        <v/>
      </c>
      <c r="J45" s="493">
        <f>IF(I45="Saved",TEXT(TODAY(),"YYYY-MM-DD")&amp;" Auto","—")</f>
        <v/>
      </c>
      <c r="K45" s="494" t="n"/>
    </row>
    <row r="46" ht="15" customHeight="1" s="341">
      <c r="A46" s="495" t="n"/>
      <c r="B46" s="382">
        <f>IF(A46="","",IFERROR(VLOOKUP(A46,DB_Customers!$A:$D,4,0),"❌ Account Not Found"))</f>
        <v/>
      </c>
      <c r="C46" s="496">
        <f>IF(A46="","",IFERROR(VLOOKUP(A46,DB_Customers!$A:$N,14,0),""))</f>
        <v/>
      </c>
      <c r="D46" s="497">
        <f>IF(A46="","",TODAY())</f>
        <v/>
      </c>
      <c r="E46" s="489" t="n"/>
      <c r="F46" s="498">
        <f>IF(OR(A46="",E46=""),"",IF(C46="","",C46+E46))</f>
        <v/>
      </c>
      <c r="G46" s="384" t="inlineStr">
        <is>
          <t>Agent 10</t>
        </is>
      </c>
      <c r="H46" s="491" t="n"/>
      <c r="I46" s="499">
        <f>IF(A46="","Pending",IF(H46="","⚠️ Enter Code",IF(IFERROR(VLOOKUP(G46,DB_Agents!$B:$I,8,0),"")=H46,IF(AND(A46&lt;&gt;"",E46&lt;&gt;""),"Saved","Pending"),"🔒 BLOCKED — Wrong Code")))</f>
        <v/>
      </c>
      <c r="J46" s="500">
        <f>IF(I46="Saved",TEXT(TODAY(),"YYYY-MM-DD")&amp;" Auto","—")</f>
        <v/>
      </c>
      <c r="K46" s="501" t="n"/>
    </row>
    <row r="47" ht="15" customHeight="1" s="341">
      <c r="A47" s="486" t="n"/>
      <c r="B47" s="378">
        <f>IF(A47="","",IFERROR(VLOOKUP(A47,DB_Customers!$A:$D,4,0),"❌ Account Not Found"))</f>
        <v/>
      </c>
      <c r="C47" s="487">
        <f>IF(A47="","",IFERROR(VLOOKUP(A47,DB_Customers!$A:$N,14,0),""))</f>
        <v/>
      </c>
      <c r="D47" s="488">
        <f>IF(A47="","",TODAY())</f>
        <v/>
      </c>
      <c r="E47" s="489" t="n"/>
      <c r="F47" s="490">
        <f>IF(OR(A47="",E47=""),"",IF(C47="","",C47+E47))</f>
        <v/>
      </c>
      <c r="G47" s="380" t="inlineStr">
        <is>
          <t>Agent 10</t>
        </is>
      </c>
      <c r="H47" s="491" t="n"/>
      <c r="I47" s="492">
        <f>IF(A47="","Pending",IF(H47="","⚠️ Enter Code",IF(IFERROR(VLOOKUP(G47,DB_Agents!$B:$I,8,0),"")=H47,IF(AND(A47&lt;&gt;"",E47&lt;&gt;""),"Saved","Pending"),"🔒 BLOCKED — Wrong Code")))</f>
        <v/>
      </c>
      <c r="J47" s="493">
        <f>IF(I47="Saved",TEXT(TODAY(),"YYYY-MM-DD")&amp;" Auto","—")</f>
        <v/>
      </c>
      <c r="K47" s="494" t="n"/>
    </row>
    <row r="48" ht="15" customHeight="1" s="341">
      <c r="A48" s="495" t="n"/>
      <c r="B48" s="382">
        <f>IF(A48="","",IFERROR(VLOOKUP(A48,DB_Customers!$A:$D,4,0),"❌ Account Not Found"))</f>
        <v/>
      </c>
      <c r="C48" s="496">
        <f>IF(A48="","",IFERROR(VLOOKUP(A48,DB_Customers!$A:$N,14,0),""))</f>
        <v/>
      </c>
      <c r="D48" s="497">
        <f>IF(A48="","",TODAY())</f>
        <v/>
      </c>
      <c r="E48" s="489" t="n"/>
      <c r="F48" s="498">
        <f>IF(OR(A48="",E48=""),"",IF(C48="","",C48+E48))</f>
        <v/>
      </c>
      <c r="G48" s="384" t="inlineStr">
        <is>
          <t>Agent 10</t>
        </is>
      </c>
      <c r="H48" s="491" t="n"/>
      <c r="I48" s="499">
        <f>IF(A48="","Pending",IF(H48="","⚠️ Enter Code",IF(IFERROR(VLOOKUP(G48,DB_Agents!$B:$I,8,0),"")=H48,IF(AND(A48&lt;&gt;"",E48&lt;&gt;""),"Saved","Pending"),"🔒 BLOCKED — Wrong Code")))</f>
        <v/>
      </c>
      <c r="J48" s="500">
        <f>IF(I48="Saved",TEXT(TODAY(),"YYYY-MM-DD")&amp;" Auto","—")</f>
        <v/>
      </c>
      <c r="K48" s="501" t="n"/>
    </row>
    <row r="49" ht="15" customHeight="1" s="341">
      <c r="A49" s="486" t="n"/>
      <c r="B49" s="378">
        <f>IF(A49="","",IFERROR(VLOOKUP(A49,DB_Customers!$A:$D,4,0),"❌ Account Not Found"))</f>
        <v/>
      </c>
      <c r="C49" s="487">
        <f>IF(A49="","",IFERROR(VLOOKUP(A49,DB_Customers!$A:$N,14,0),""))</f>
        <v/>
      </c>
      <c r="D49" s="488">
        <f>IF(A49="","",TODAY())</f>
        <v/>
      </c>
      <c r="E49" s="489" t="n"/>
      <c r="F49" s="490">
        <f>IF(OR(A49="",E49=""),"",IF(C49="","",C49+E49))</f>
        <v/>
      </c>
      <c r="G49" s="380" t="inlineStr">
        <is>
          <t>Agent 10</t>
        </is>
      </c>
      <c r="H49" s="491" t="n"/>
      <c r="I49" s="492">
        <f>IF(A49="","Pending",IF(H49="","⚠️ Enter Code",IF(IFERROR(VLOOKUP(G49,DB_Agents!$B:$I,8,0),"")=H49,IF(AND(A49&lt;&gt;"",E49&lt;&gt;""),"Saved","Pending"),"🔒 BLOCKED — Wrong Code")))</f>
        <v/>
      </c>
      <c r="J49" s="493">
        <f>IF(I49="Saved",TEXT(TODAY(),"YYYY-MM-DD")&amp;" Auto","—")</f>
        <v/>
      </c>
      <c r="K49" s="494" t="n"/>
    </row>
    <row r="50" ht="15" customHeight="1" s="341">
      <c r="A50" s="495" t="n"/>
      <c r="B50" s="382">
        <f>IF(A50="","",IFERROR(VLOOKUP(A50,DB_Customers!$A:$D,4,0),"❌ Account Not Found"))</f>
        <v/>
      </c>
      <c r="C50" s="496">
        <f>IF(A50="","",IFERROR(VLOOKUP(A50,DB_Customers!$A:$N,14,0),""))</f>
        <v/>
      </c>
      <c r="D50" s="497">
        <f>IF(A50="","",TODAY())</f>
        <v/>
      </c>
      <c r="E50" s="489" t="n"/>
      <c r="F50" s="498">
        <f>IF(OR(A50="",E50=""),"",IF(C50="","",C50+E50))</f>
        <v/>
      </c>
      <c r="G50" s="384" t="inlineStr">
        <is>
          <t>Agent 10</t>
        </is>
      </c>
      <c r="H50" s="491" t="n"/>
      <c r="I50" s="499">
        <f>IF(A50="","Pending",IF(H50="","⚠️ Enter Code",IF(IFERROR(VLOOKUP(G50,DB_Agents!$B:$I,8,0),"")=H50,IF(AND(A50&lt;&gt;"",E50&lt;&gt;""),"Saved","Pending"),"🔒 BLOCKED — Wrong Code")))</f>
        <v/>
      </c>
      <c r="J50" s="500">
        <f>IF(I50="Saved",TEXT(TODAY(),"YYYY-MM-DD")&amp;" Auto","—")</f>
        <v/>
      </c>
      <c r="K50" s="501" t="n"/>
    </row>
    <row r="51" ht="15" customHeight="1" s="341">
      <c r="A51" s="486" t="n"/>
      <c r="B51" s="378">
        <f>IF(A51="","",IFERROR(VLOOKUP(A51,DB_Customers!$A:$D,4,0),"❌ Account Not Found"))</f>
        <v/>
      </c>
      <c r="C51" s="487">
        <f>IF(A51="","",IFERROR(VLOOKUP(A51,DB_Customers!$A:$N,14,0),""))</f>
        <v/>
      </c>
      <c r="D51" s="488">
        <f>IF(A51="","",TODAY())</f>
        <v/>
      </c>
      <c r="E51" s="489" t="n"/>
      <c r="F51" s="490">
        <f>IF(OR(A51="",E51=""),"",IF(C51="","",C51+E51))</f>
        <v/>
      </c>
      <c r="G51" s="380" t="inlineStr">
        <is>
          <t>Agent 10</t>
        </is>
      </c>
      <c r="H51" s="491" t="n"/>
      <c r="I51" s="492">
        <f>IF(A51="","Pending",IF(H51="","⚠️ Enter Code",IF(IFERROR(VLOOKUP(G51,DB_Agents!$B:$I,8,0),"")=H51,IF(AND(A51&lt;&gt;"",E51&lt;&gt;""),"Saved","Pending"),"🔒 BLOCKED — Wrong Code")))</f>
        <v/>
      </c>
      <c r="J51" s="493">
        <f>IF(I51="Saved",TEXT(TODAY(),"YYYY-MM-DD")&amp;" Auto","—")</f>
        <v/>
      </c>
      <c r="K51" s="494" t="n"/>
    </row>
    <row r="52" ht="15" customHeight="1" s="341">
      <c r="A52" s="495" t="n"/>
      <c r="B52" s="382">
        <f>IF(A52="","",IFERROR(VLOOKUP(A52,DB_Customers!$A:$D,4,0),"❌ Account Not Found"))</f>
        <v/>
      </c>
      <c r="C52" s="496">
        <f>IF(A52="","",IFERROR(VLOOKUP(A52,DB_Customers!$A:$N,14,0),""))</f>
        <v/>
      </c>
      <c r="D52" s="497">
        <f>IF(A52="","",TODAY())</f>
        <v/>
      </c>
      <c r="E52" s="489" t="n"/>
      <c r="F52" s="498">
        <f>IF(OR(A52="",E52=""),"",IF(C52="","",C52+E52))</f>
        <v/>
      </c>
      <c r="G52" s="384" t="inlineStr">
        <is>
          <t>Agent 10</t>
        </is>
      </c>
      <c r="H52" s="491" t="n"/>
      <c r="I52" s="499">
        <f>IF(A52="","Pending",IF(H52="","⚠️ Enter Code",IF(IFERROR(VLOOKUP(G52,DB_Agents!$B:$I,8,0),"")=H52,IF(AND(A52&lt;&gt;"",E52&lt;&gt;""),"Saved","Pending"),"🔒 BLOCKED — Wrong Code")))</f>
        <v/>
      </c>
      <c r="J52" s="500">
        <f>IF(I52="Saved",TEXT(TODAY(),"YYYY-MM-DD")&amp;" Auto","—")</f>
        <v/>
      </c>
      <c r="K52" s="501" t="n"/>
    </row>
    <row r="53" ht="15" customHeight="1" s="341">
      <c r="A53" s="486" t="n"/>
      <c r="B53" s="378">
        <f>IF(A53="","",IFERROR(VLOOKUP(A53,DB_Customers!$A:$D,4,0),"❌ Account Not Found"))</f>
        <v/>
      </c>
      <c r="C53" s="487">
        <f>IF(A53="","",IFERROR(VLOOKUP(A53,DB_Customers!$A:$N,14,0),""))</f>
        <v/>
      </c>
      <c r="D53" s="488">
        <f>IF(A53="","",TODAY())</f>
        <v/>
      </c>
      <c r="E53" s="489" t="n"/>
      <c r="F53" s="490">
        <f>IF(OR(A53="",E53=""),"",IF(C53="","",C53+E53))</f>
        <v/>
      </c>
      <c r="G53" s="380" t="inlineStr">
        <is>
          <t>Agent 10</t>
        </is>
      </c>
      <c r="H53" s="491" t="n"/>
      <c r="I53" s="492">
        <f>IF(A53="","Pending",IF(H53="","⚠️ Enter Code",IF(IFERROR(VLOOKUP(G53,DB_Agents!$B:$I,8,0),"")=H53,IF(AND(A53&lt;&gt;"",E53&lt;&gt;""),"Saved","Pending"),"🔒 BLOCKED — Wrong Code")))</f>
        <v/>
      </c>
      <c r="J53" s="493">
        <f>IF(I53="Saved",TEXT(TODAY(),"YYYY-MM-DD")&amp;" Auto","—")</f>
        <v/>
      </c>
      <c r="K53" s="494" t="n"/>
    </row>
    <row r="54" ht="15" customHeight="1" s="341">
      <c r="A54" s="495" t="n"/>
      <c r="B54" s="382">
        <f>IF(A54="","",IFERROR(VLOOKUP(A54,DB_Customers!$A:$D,4,0),"❌ Account Not Found"))</f>
        <v/>
      </c>
      <c r="C54" s="496">
        <f>IF(A54="","",IFERROR(VLOOKUP(A54,DB_Customers!$A:$N,14,0),""))</f>
        <v/>
      </c>
      <c r="D54" s="497">
        <f>IF(A54="","",TODAY())</f>
        <v/>
      </c>
      <c r="E54" s="489" t="n"/>
      <c r="F54" s="498">
        <f>IF(OR(A54="",E54=""),"",IF(C54="","",C54+E54))</f>
        <v/>
      </c>
      <c r="G54" s="384" t="inlineStr">
        <is>
          <t>Agent 10</t>
        </is>
      </c>
      <c r="H54" s="491" t="n"/>
      <c r="I54" s="499">
        <f>IF(A54="","Pending",IF(H54="","⚠️ Enter Code",IF(IFERROR(VLOOKUP(G54,DB_Agents!$B:$I,8,0),"")=H54,IF(AND(A54&lt;&gt;"",E54&lt;&gt;""),"Saved","Pending"),"🔒 BLOCKED — Wrong Code")))</f>
        <v/>
      </c>
      <c r="J54" s="500">
        <f>IF(I54="Saved",TEXT(TODAY(),"YYYY-MM-DD")&amp;" Auto","—")</f>
        <v/>
      </c>
      <c r="K54" s="501" t="n"/>
    </row>
    <row r="55" ht="15" customHeight="1" s="341">
      <c r="A55" s="486" t="n"/>
      <c r="B55" s="378">
        <f>IF(A55="","",IFERROR(VLOOKUP(A55,DB_Customers!$A:$D,4,0),"❌ Account Not Found"))</f>
        <v/>
      </c>
      <c r="C55" s="487">
        <f>IF(A55="","",IFERROR(VLOOKUP(A55,DB_Customers!$A:$N,14,0),""))</f>
        <v/>
      </c>
      <c r="D55" s="488">
        <f>IF(A55="","",TODAY())</f>
        <v/>
      </c>
      <c r="E55" s="489" t="n"/>
      <c r="F55" s="490">
        <f>IF(OR(A55="",E55=""),"",IF(C55="","",C55+E55))</f>
        <v/>
      </c>
      <c r="G55" s="380" t="inlineStr">
        <is>
          <t>Agent 10</t>
        </is>
      </c>
      <c r="H55" s="491" t="n"/>
      <c r="I55" s="492">
        <f>IF(A55="","Pending",IF(H55="","⚠️ Enter Code",IF(IFERROR(VLOOKUP(G55,DB_Agents!$B:$I,8,0),"")=H55,IF(AND(A55&lt;&gt;"",E55&lt;&gt;""),"Saved","Pending"),"🔒 BLOCKED — Wrong Code")))</f>
        <v/>
      </c>
      <c r="J55" s="493">
        <f>IF(I55="Saved",TEXT(TODAY(),"YYYY-MM-DD")&amp;" Auto","—")</f>
        <v/>
      </c>
      <c r="K55" s="494" t="n"/>
    </row>
    <row r="56" ht="15" customHeight="1" s="341">
      <c r="A56" s="495" t="n"/>
      <c r="B56" s="382">
        <f>IF(A56="","",IFERROR(VLOOKUP(A56,DB_Customers!$A:$D,4,0),"❌ Account Not Found"))</f>
        <v/>
      </c>
      <c r="C56" s="496">
        <f>IF(A56="","",IFERROR(VLOOKUP(A56,DB_Customers!$A:$N,14,0),""))</f>
        <v/>
      </c>
      <c r="D56" s="497">
        <f>IF(A56="","",TODAY())</f>
        <v/>
      </c>
      <c r="E56" s="489" t="n"/>
      <c r="F56" s="498">
        <f>IF(OR(A56="",E56=""),"",IF(C56="","",C56+E56))</f>
        <v/>
      </c>
      <c r="G56" s="384" t="inlineStr">
        <is>
          <t>Agent 10</t>
        </is>
      </c>
      <c r="H56" s="491" t="n"/>
      <c r="I56" s="499">
        <f>IF(A56="","Pending",IF(H56="","⚠️ Enter Code",IF(IFERROR(VLOOKUP(G56,DB_Agents!$B:$I,8,0),"")=H56,IF(AND(A56&lt;&gt;"",E56&lt;&gt;""),"Saved","Pending"),"🔒 BLOCKED — Wrong Code")))</f>
        <v/>
      </c>
      <c r="J56" s="500">
        <f>IF(I56="Saved",TEXT(TODAY(),"YYYY-MM-DD")&amp;" Auto","—")</f>
        <v/>
      </c>
      <c r="K56" s="501" t="n"/>
    </row>
    <row r="57" ht="15" customHeight="1" s="341">
      <c r="A57" s="486" t="n"/>
      <c r="B57" s="378">
        <f>IF(A57="","",IFERROR(VLOOKUP(A57,DB_Customers!$A:$D,4,0),"❌ Account Not Found"))</f>
        <v/>
      </c>
      <c r="C57" s="487">
        <f>IF(A57="","",IFERROR(VLOOKUP(A57,DB_Customers!$A:$N,14,0),""))</f>
        <v/>
      </c>
      <c r="D57" s="488">
        <f>IF(A57="","",TODAY())</f>
        <v/>
      </c>
      <c r="E57" s="489" t="n"/>
      <c r="F57" s="490">
        <f>IF(OR(A57="",E57=""),"",IF(C57="","",C57+E57))</f>
        <v/>
      </c>
      <c r="G57" s="380" t="inlineStr">
        <is>
          <t>Agent 10</t>
        </is>
      </c>
      <c r="H57" s="491" t="n"/>
      <c r="I57" s="492">
        <f>IF(A57="","Pending",IF(H57="","⚠️ Enter Code",IF(IFERROR(VLOOKUP(G57,DB_Agents!$B:$I,8,0),"")=H57,IF(AND(A57&lt;&gt;"",E57&lt;&gt;""),"Saved","Pending"),"🔒 BLOCKED — Wrong Code")))</f>
        <v/>
      </c>
      <c r="J57" s="493">
        <f>IF(I57="Saved",TEXT(TODAY(),"YYYY-MM-DD")&amp;" Auto","—")</f>
        <v/>
      </c>
      <c r="K57" s="494" t="n"/>
    </row>
    <row r="58" ht="15" customHeight="1" s="341">
      <c r="A58" s="495" t="n"/>
      <c r="B58" s="382">
        <f>IF(A58="","",IFERROR(VLOOKUP(A58,DB_Customers!$A:$D,4,0),"❌ Account Not Found"))</f>
        <v/>
      </c>
      <c r="C58" s="496">
        <f>IF(A58="","",IFERROR(VLOOKUP(A58,DB_Customers!$A:$N,14,0),""))</f>
        <v/>
      </c>
      <c r="D58" s="497">
        <f>IF(A58="","",TODAY())</f>
        <v/>
      </c>
      <c r="E58" s="489" t="n"/>
      <c r="F58" s="498">
        <f>IF(OR(A58="",E58=""),"",IF(C58="","",C58+E58))</f>
        <v/>
      </c>
      <c r="G58" s="384" t="inlineStr">
        <is>
          <t>Agent 10</t>
        </is>
      </c>
      <c r="H58" s="491" t="n"/>
      <c r="I58" s="499">
        <f>IF(A58="","Pending",IF(H58="","⚠️ Enter Code",IF(IFERROR(VLOOKUP(G58,DB_Agents!$B:$I,8,0),"")=H58,IF(AND(A58&lt;&gt;"",E58&lt;&gt;""),"Saved","Pending"),"🔒 BLOCKED — Wrong Code")))</f>
        <v/>
      </c>
      <c r="J58" s="500">
        <f>IF(I58="Saved",TEXT(TODAY(),"YYYY-MM-DD")&amp;" Auto","—")</f>
        <v/>
      </c>
      <c r="K58" s="501" t="n"/>
    </row>
    <row r="59" ht="15" customHeight="1" s="341">
      <c r="A59" s="486" t="n"/>
      <c r="B59" s="378">
        <f>IF(A59="","",IFERROR(VLOOKUP(A59,DB_Customers!$A:$D,4,0),"❌ Account Not Found"))</f>
        <v/>
      </c>
      <c r="C59" s="487">
        <f>IF(A59="","",IFERROR(VLOOKUP(A59,DB_Customers!$A:$N,14,0),""))</f>
        <v/>
      </c>
      <c r="D59" s="488">
        <f>IF(A59="","",TODAY())</f>
        <v/>
      </c>
      <c r="E59" s="489" t="n"/>
      <c r="F59" s="490">
        <f>IF(OR(A59="",E59=""),"",IF(C59="","",C59+E59))</f>
        <v/>
      </c>
      <c r="G59" s="380" t="inlineStr">
        <is>
          <t>Agent 10</t>
        </is>
      </c>
      <c r="H59" s="491" t="n"/>
      <c r="I59" s="492">
        <f>IF(A59="","Pending",IF(H59="","⚠️ Enter Code",IF(IFERROR(VLOOKUP(G59,DB_Agents!$B:$I,8,0),"")=H59,IF(AND(A59&lt;&gt;"",E59&lt;&gt;""),"Saved","Pending"),"🔒 BLOCKED — Wrong Code")))</f>
        <v/>
      </c>
      <c r="J59" s="493">
        <f>IF(I59="Saved",TEXT(TODAY(),"YYYY-MM-DD")&amp;" Auto","—")</f>
        <v/>
      </c>
      <c r="K59" s="494" t="n"/>
    </row>
    <row r="60" ht="15" customHeight="1" s="341">
      <c r="A60" s="495" t="n"/>
      <c r="B60" s="382">
        <f>IF(A60="","",IFERROR(VLOOKUP(A60,DB_Customers!$A:$D,4,0),"❌ Account Not Found"))</f>
        <v/>
      </c>
      <c r="C60" s="496">
        <f>IF(A60="","",IFERROR(VLOOKUP(A60,DB_Customers!$A:$N,14,0),""))</f>
        <v/>
      </c>
      <c r="D60" s="497">
        <f>IF(A60="","",TODAY())</f>
        <v/>
      </c>
      <c r="E60" s="489" t="n"/>
      <c r="F60" s="498">
        <f>IF(OR(A60="",E60=""),"",IF(C60="","",C60+E60))</f>
        <v/>
      </c>
      <c r="G60" s="384" t="inlineStr">
        <is>
          <t>Agent 10</t>
        </is>
      </c>
      <c r="H60" s="491" t="n"/>
      <c r="I60" s="499">
        <f>IF(A60="","Pending",IF(H60="","⚠️ Enter Code",IF(IFERROR(VLOOKUP(G60,DB_Agents!$B:$I,8,0),"")=H60,IF(AND(A60&lt;&gt;"",E60&lt;&gt;""),"Saved","Pending"),"🔒 BLOCKED — Wrong Code")))</f>
        <v/>
      </c>
      <c r="J60" s="500">
        <f>IF(I60="Saved",TEXT(TODAY(),"YYYY-MM-DD")&amp;" Auto","—")</f>
        <v/>
      </c>
      <c r="K60" s="501" t="n"/>
    </row>
    <row r="61" ht="15" customHeight="1" s="341">
      <c r="A61" s="486" t="n"/>
      <c r="B61" s="378">
        <f>IF(A61="","",IFERROR(VLOOKUP(A61,DB_Customers!$A:$D,4,0),"❌ Account Not Found"))</f>
        <v/>
      </c>
      <c r="C61" s="487">
        <f>IF(A61="","",IFERROR(VLOOKUP(A61,DB_Customers!$A:$N,14,0),""))</f>
        <v/>
      </c>
      <c r="D61" s="488">
        <f>IF(A61="","",TODAY())</f>
        <v/>
      </c>
      <c r="E61" s="489" t="n"/>
      <c r="F61" s="490">
        <f>IF(OR(A61="",E61=""),"",IF(C61="","",C61+E61))</f>
        <v/>
      </c>
      <c r="G61" s="380" t="inlineStr">
        <is>
          <t>Agent 10</t>
        </is>
      </c>
      <c r="H61" s="491" t="n"/>
      <c r="I61" s="492">
        <f>IF(A61="","Pending",IF(H61="","⚠️ Enter Code",IF(IFERROR(VLOOKUP(G61,DB_Agents!$B:$I,8,0),"")=H61,IF(AND(A61&lt;&gt;"",E61&lt;&gt;""),"Saved","Pending"),"🔒 BLOCKED — Wrong Code")))</f>
        <v/>
      </c>
      <c r="J61" s="493">
        <f>IF(I61="Saved",TEXT(TODAY(),"YYYY-MM-DD")&amp;" Auto","—")</f>
        <v/>
      </c>
      <c r="K61" s="494" t="n"/>
    </row>
    <row r="62" ht="15" customHeight="1" s="341">
      <c r="A62" s="495" t="n"/>
      <c r="B62" s="382">
        <f>IF(A62="","",IFERROR(VLOOKUP(A62,DB_Customers!$A:$D,4,0),"❌ Account Not Found"))</f>
        <v/>
      </c>
      <c r="C62" s="496">
        <f>IF(A62="","",IFERROR(VLOOKUP(A62,DB_Customers!$A:$N,14,0),""))</f>
        <v/>
      </c>
      <c r="D62" s="497">
        <f>IF(A62="","",TODAY())</f>
        <v/>
      </c>
      <c r="E62" s="489" t="n"/>
      <c r="F62" s="498">
        <f>IF(OR(A62="",E62=""),"",IF(C62="","",C62+E62))</f>
        <v/>
      </c>
      <c r="G62" s="384" t="inlineStr">
        <is>
          <t>Agent 10</t>
        </is>
      </c>
      <c r="H62" s="491" t="n"/>
      <c r="I62" s="499">
        <f>IF(A62="","Pending",IF(H62="","⚠️ Enter Code",IF(IFERROR(VLOOKUP(G62,DB_Agents!$B:$I,8,0),"")=H62,IF(AND(A62&lt;&gt;"",E62&lt;&gt;""),"Saved","Pending"),"🔒 BLOCKED — Wrong Code")))</f>
        <v/>
      </c>
      <c r="J62" s="500">
        <f>IF(I62="Saved",TEXT(TODAY(),"YYYY-MM-DD")&amp;" Auto","—")</f>
        <v/>
      </c>
      <c r="K62" s="501" t="n"/>
    </row>
    <row r="63" ht="15" customHeight="1" s="341">
      <c r="A63" s="486" t="n"/>
      <c r="B63" s="378">
        <f>IF(A63="","",IFERROR(VLOOKUP(A63,DB_Customers!$A:$D,4,0),"❌ Account Not Found"))</f>
        <v/>
      </c>
      <c r="C63" s="487">
        <f>IF(A63="","",IFERROR(VLOOKUP(A63,DB_Customers!$A:$N,14,0),""))</f>
        <v/>
      </c>
      <c r="D63" s="488">
        <f>IF(A63="","",TODAY())</f>
        <v/>
      </c>
      <c r="E63" s="489" t="n"/>
      <c r="F63" s="490">
        <f>IF(OR(A63="",E63=""),"",IF(C63="","",C63+E63))</f>
        <v/>
      </c>
      <c r="G63" s="380" t="inlineStr">
        <is>
          <t>Agent 10</t>
        </is>
      </c>
      <c r="H63" s="491" t="n"/>
      <c r="I63" s="492">
        <f>IF(A63="","Pending",IF(H63="","⚠️ Enter Code",IF(IFERROR(VLOOKUP(G63,DB_Agents!$B:$I,8,0),"")=H63,IF(AND(A63&lt;&gt;"",E63&lt;&gt;""),"Saved","Pending"),"🔒 BLOCKED — Wrong Code")))</f>
        <v/>
      </c>
      <c r="J63" s="493">
        <f>IF(I63="Saved",TEXT(TODAY(),"YYYY-MM-DD")&amp;" Auto","—")</f>
        <v/>
      </c>
      <c r="K63" s="494" t="n"/>
    </row>
    <row r="64" ht="15" customHeight="1" s="341">
      <c r="A64" s="495" t="n"/>
      <c r="B64" s="382">
        <f>IF(A64="","",IFERROR(VLOOKUP(A64,DB_Customers!$A:$D,4,0),"❌ Account Not Found"))</f>
        <v/>
      </c>
      <c r="C64" s="496">
        <f>IF(A64="","",IFERROR(VLOOKUP(A64,DB_Customers!$A:$N,14,0),""))</f>
        <v/>
      </c>
      <c r="D64" s="497">
        <f>IF(A64="","",TODAY())</f>
        <v/>
      </c>
      <c r="E64" s="489" t="n"/>
      <c r="F64" s="498">
        <f>IF(OR(A64="",E64=""),"",IF(C64="","",C64+E64))</f>
        <v/>
      </c>
      <c r="G64" s="384" t="inlineStr">
        <is>
          <t>Agent 10</t>
        </is>
      </c>
      <c r="H64" s="491" t="n"/>
      <c r="I64" s="499">
        <f>IF(A64="","Pending",IF(H64="","⚠️ Enter Code",IF(IFERROR(VLOOKUP(G64,DB_Agents!$B:$I,8,0),"")=H64,IF(AND(A64&lt;&gt;"",E64&lt;&gt;""),"Saved","Pending"),"🔒 BLOCKED — Wrong Code")))</f>
        <v/>
      </c>
      <c r="J64" s="500">
        <f>IF(I64="Saved",TEXT(TODAY(),"YYYY-MM-DD")&amp;" Auto","—")</f>
        <v/>
      </c>
      <c r="K64" s="501" t="n"/>
    </row>
    <row r="65" ht="15" customHeight="1" s="341">
      <c r="A65" s="486" t="n"/>
      <c r="B65" s="378">
        <f>IF(A65="","",IFERROR(VLOOKUP(A65,DB_Customers!$A:$D,4,0),"❌ Account Not Found"))</f>
        <v/>
      </c>
      <c r="C65" s="487">
        <f>IF(A65="","",IFERROR(VLOOKUP(A65,DB_Customers!$A:$N,14,0),""))</f>
        <v/>
      </c>
      <c r="D65" s="488">
        <f>IF(A65="","",TODAY())</f>
        <v/>
      </c>
      <c r="E65" s="489" t="n"/>
      <c r="F65" s="490">
        <f>IF(OR(A65="",E65=""),"",IF(C65="","",C65+E65))</f>
        <v/>
      </c>
      <c r="G65" s="380" t="inlineStr">
        <is>
          <t>Agent 10</t>
        </is>
      </c>
      <c r="H65" s="491" t="n"/>
      <c r="I65" s="492">
        <f>IF(A65="","Pending",IF(H65="","⚠️ Enter Code",IF(IFERROR(VLOOKUP(G65,DB_Agents!$B:$I,8,0),"")=H65,IF(AND(A65&lt;&gt;"",E65&lt;&gt;""),"Saved","Pending"),"🔒 BLOCKED — Wrong Code")))</f>
        <v/>
      </c>
      <c r="J65" s="493">
        <f>IF(I65="Saved",TEXT(TODAY(),"YYYY-MM-DD")&amp;" Auto","—")</f>
        <v/>
      </c>
      <c r="K65" s="494" t="n"/>
    </row>
    <row r="66" ht="15" customHeight="1" s="341">
      <c r="A66" s="495" t="n"/>
      <c r="B66" s="382">
        <f>IF(A66="","",IFERROR(VLOOKUP(A66,DB_Customers!$A:$D,4,0),"❌ Account Not Found"))</f>
        <v/>
      </c>
      <c r="C66" s="496">
        <f>IF(A66="","",IFERROR(VLOOKUP(A66,DB_Customers!$A:$N,14,0),""))</f>
        <v/>
      </c>
      <c r="D66" s="497">
        <f>IF(A66="","",TODAY())</f>
        <v/>
      </c>
      <c r="E66" s="489" t="n"/>
      <c r="F66" s="498">
        <f>IF(OR(A66="",E66=""),"",IF(C66="","",C66+E66))</f>
        <v/>
      </c>
      <c r="G66" s="384" t="inlineStr">
        <is>
          <t>Agent 10</t>
        </is>
      </c>
      <c r="H66" s="491" t="n"/>
      <c r="I66" s="499">
        <f>IF(A66="","Pending",IF(H66="","⚠️ Enter Code",IF(IFERROR(VLOOKUP(G66,DB_Agents!$B:$I,8,0),"")=H66,IF(AND(A66&lt;&gt;"",E66&lt;&gt;""),"Saved","Pending"),"🔒 BLOCKED — Wrong Code")))</f>
        <v/>
      </c>
      <c r="J66" s="500">
        <f>IF(I66="Saved",TEXT(TODAY(),"YYYY-MM-DD")&amp;" Auto","—")</f>
        <v/>
      </c>
      <c r="K66" s="501" t="n"/>
    </row>
    <row r="67" ht="15" customHeight="1" s="341">
      <c r="A67" s="486" t="n"/>
      <c r="B67" s="378">
        <f>IF(A67="","",IFERROR(VLOOKUP(A67,DB_Customers!$A:$D,4,0),"❌ Account Not Found"))</f>
        <v/>
      </c>
      <c r="C67" s="487">
        <f>IF(A67="","",IFERROR(VLOOKUP(A67,DB_Customers!$A:$N,14,0),""))</f>
        <v/>
      </c>
      <c r="D67" s="488">
        <f>IF(A67="","",TODAY())</f>
        <v/>
      </c>
      <c r="E67" s="489" t="n"/>
      <c r="F67" s="490">
        <f>IF(OR(A67="",E67=""),"",IF(C67="","",C67+E67))</f>
        <v/>
      </c>
      <c r="G67" s="380" t="inlineStr">
        <is>
          <t>Agent 10</t>
        </is>
      </c>
      <c r="H67" s="491" t="n"/>
      <c r="I67" s="492">
        <f>IF(A67="","Pending",IF(H67="","⚠️ Enter Code",IF(IFERROR(VLOOKUP(G67,DB_Agents!$B:$I,8,0),"")=H67,IF(AND(A67&lt;&gt;"",E67&lt;&gt;""),"Saved","Pending"),"🔒 BLOCKED — Wrong Code")))</f>
        <v/>
      </c>
      <c r="J67" s="493">
        <f>IF(I67="Saved",TEXT(TODAY(),"YYYY-MM-DD")&amp;" Auto","—")</f>
        <v/>
      </c>
      <c r="K67" s="494" t="n"/>
    </row>
    <row r="68" ht="15" customHeight="1" s="341">
      <c r="A68" s="495" t="n"/>
      <c r="B68" s="382">
        <f>IF(A68="","",IFERROR(VLOOKUP(A68,DB_Customers!$A:$D,4,0),"❌ Account Not Found"))</f>
        <v/>
      </c>
      <c r="C68" s="496">
        <f>IF(A68="","",IFERROR(VLOOKUP(A68,DB_Customers!$A:$N,14,0),""))</f>
        <v/>
      </c>
      <c r="D68" s="497">
        <f>IF(A68="","",TODAY())</f>
        <v/>
      </c>
      <c r="E68" s="489" t="n"/>
      <c r="F68" s="498">
        <f>IF(OR(A68="",E68=""),"",IF(C68="","",C68+E68))</f>
        <v/>
      </c>
      <c r="G68" s="384" t="inlineStr">
        <is>
          <t>Agent 10</t>
        </is>
      </c>
      <c r="H68" s="491" t="n"/>
      <c r="I68" s="499">
        <f>IF(A68="","Pending",IF(H68="","⚠️ Enter Code",IF(IFERROR(VLOOKUP(G68,DB_Agents!$B:$I,8,0),"")=H68,IF(AND(A68&lt;&gt;"",E68&lt;&gt;""),"Saved","Pending"),"🔒 BLOCKED — Wrong Code")))</f>
        <v/>
      </c>
      <c r="J68" s="500">
        <f>IF(I68="Saved",TEXT(TODAY(),"YYYY-MM-DD")&amp;" Auto","—")</f>
        <v/>
      </c>
      <c r="K68" s="501" t="n"/>
    </row>
    <row r="69" ht="15" customHeight="1" s="341">
      <c r="A69" s="486" t="n"/>
      <c r="B69" s="378">
        <f>IF(A69="","",IFERROR(VLOOKUP(A69,DB_Customers!$A:$D,4,0),"❌ Account Not Found"))</f>
        <v/>
      </c>
      <c r="C69" s="487">
        <f>IF(A69="","",IFERROR(VLOOKUP(A69,DB_Customers!$A:$N,14,0),""))</f>
        <v/>
      </c>
      <c r="D69" s="488">
        <f>IF(A69="","",TODAY())</f>
        <v/>
      </c>
      <c r="E69" s="489" t="n"/>
      <c r="F69" s="490">
        <f>IF(OR(A69="",E69=""),"",IF(C69="","",C69+E69))</f>
        <v/>
      </c>
      <c r="G69" s="380" t="inlineStr">
        <is>
          <t>Agent 10</t>
        </is>
      </c>
      <c r="H69" s="491" t="n"/>
      <c r="I69" s="492">
        <f>IF(A69="","Pending",IF(H69="","⚠️ Enter Code",IF(IFERROR(VLOOKUP(G69,DB_Agents!$B:$I,8,0),"")=H69,IF(AND(A69&lt;&gt;"",E69&lt;&gt;""),"Saved","Pending"),"🔒 BLOCKED — Wrong Code")))</f>
        <v/>
      </c>
      <c r="J69" s="493">
        <f>IF(I69="Saved",TEXT(TODAY(),"YYYY-MM-DD")&amp;" Auto","—")</f>
        <v/>
      </c>
      <c r="K69" s="494" t="n"/>
    </row>
    <row r="70" ht="15" customHeight="1" s="341">
      <c r="A70" s="495" t="n"/>
      <c r="B70" s="382">
        <f>IF(A70="","",IFERROR(VLOOKUP(A70,DB_Customers!$A:$D,4,0),"❌ Account Not Found"))</f>
        <v/>
      </c>
      <c r="C70" s="496">
        <f>IF(A70="","",IFERROR(VLOOKUP(A70,DB_Customers!$A:$N,14,0),""))</f>
        <v/>
      </c>
      <c r="D70" s="497">
        <f>IF(A70="","",TODAY())</f>
        <v/>
      </c>
      <c r="E70" s="489" t="n"/>
      <c r="F70" s="498">
        <f>IF(OR(A70="",E70=""),"",IF(C70="","",C70+E70))</f>
        <v/>
      </c>
      <c r="G70" s="384" t="inlineStr">
        <is>
          <t>Agent 10</t>
        </is>
      </c>
      <c r="H70" s="491" t="n"/>
      <c r="I70" s="499">
        <f>IF(A70="","Pending",IF(H70="","⚠️ Enter Code",IF(IFERROR(VLOOKUP(G70,DB_Agents!$B:$I,8,0),"")=H70,IF(AND(A70&lt;&gt;"",E70&lt;&gt;""),"Saved","Pending"),"🔒 BLOCKED — Wrong Code")))</f>
        <v/>
      </c>
      <c r="J70" s="500">
        <f>IF(I70="Saved",TEXT(TODAY(),"YYYY-MM-DD")&amp;" Auto","—")</f>
        <v/>
      </c>
      <c r="K70" s="501" t="n"/>
    </row>
    <row r="71" ht="15" customHeight="1" s="341">
      <c r="A71" s="486" t="n"/>
      <c r="B71" s="378">
        <f>IF(A71="","",IFERROR(VLOOKUP(A71,DB_Customers!$A:$D,4,0),"❌ Account Not Found"))</f>
        <v/>
      </c>
      <c r="C71" s="487">
        <f>IF(A71="","",IFERROR(VLOOKUP(A71,DB_Customers!$A:$N,14,0),""))</f>
        <v/>
      </c>
      <c r="D71" s="488">
        <f>IF(A71="","",TODAY())</f>
        <v/>
      </c>
      <c r="E71" s="489" t="n"/>
      <c r="F71" s="490">
        <f>IF(OR(A71="",E71=""),"",IF(C71="","",C71+E71))</f>
        <v/>
      </c>
      <c r="G71" s="380" t="inlineStr">
        <is>
          <t>Agent 10</t>
        </is>
      </c>
      <c r="H71" s="491" t="n"/>
      <c r="I71" s="492">
        <f>IF(A71="","Pending",IF(H71="","⚠️ Enter Code",IF(IFERROR(VLOOKUP(G71,DB_Agents!$B:$I,8,0),"")=H71,IF(AND(A71&lt;&gt;"",E71&lt;&gt;""),"Saved","Pending"),"🔒 BLOCKED — Wrong Code")))</f>
        <v/>
      </c>
      <c r="J71" s="493">
        <f>IF(I71="Saved",TEXT(TODAY(),"YYYY-MM-DD")&amp;" Auto","—")</f>
        <v/>
      </c>
      <c r="K71" s="494" t="n"/>
    </row>
    <row r="72" ht="15" customHeight="1" s="341">
      <c r="A72" s="495" t="n"/>
      <c r="B72" s="382">
        <f>IF(A72="","",IFERROR(VLOOKUP(A72,DB_Customers!$A:$D,4,0),"❌ Account Not Found"))</f>
        <v/>
      </c>
      <c r="C72" s="496">
        <f>IF(A72="","",IFERROR(VLOOKUP(A72,DB_Customers!$A:$N,14,0),""))</f>
        <v/>
      </c>
      <c r="D72" s="497">
        <f>IF(A72="","",TODAY())</f>
        <v/>
      </c>
      <c r="E72" s="489" t="n"/>
      <c r="F72" s="498">
        <f>IF(OR(A72="",E72=""),"",IF(C72="","",C72+E72))</f>
        <v/>
      </c>
      <c r="G72" s="384" t="inlineStr">
        <is>
          <t>Agent 10</t>
        </is>
      </c>
      <c r="H72" s="491" t="n"/>
      <c r="I72" s="499">
        <f>IF(A72="","Pending",IF(H72="","⚠️ Enter Code",IF(IFERROR(VLOOKUP(G72,DB_Agents!$B:$I,8,0),"")=H72,IF(AND(A72&lt;&gt;"",E72&lt;&gt;""),"Saved","Pending"),"🔒 BLOCKED — Wrong Code")))</f>
        <v/>
      </c>
      <c r="J72" s="500">
        <f>IF(I72="Saved",TEXT(TODAY(),"YYYY-MM-DD")&amp;" Auto","—")</f>
        <v/>
      </c>
      <c r="K72" s="501" t="n"/>
    </row>
    <row r="73" ht="15" customHeight="1" s="341">
      <c r="A73" s="486" t="n"/>
      <c r="B73" s="378">
        <f>IF(A73="","",IFERROR(VLOOKUP(A73,DB_Customers!$A:$D,4,0),"❌ Account Not Found"))</f>
        <v/>
      </c>
      <c r="C73" s="487">
        <f>IF(A73="","",IFERROR(VLOOKUP(A73,DB_Customers!$A:$N,14,0),""))</f>
        <v/>
      </c>
      <c r="D73" s="488">
        <f>IF(A73="","",TODAY())</f>
        <v/>
      </c>
      <c r="E73" s="489" t="n"/>
      <c r="F73" s="490">
        <f>IF(OR(A73="",E73=""),"",IF(C73="","",C73+E73))</f>
        <v/>
      </c>
      <c r="G73" s="380" t="inlineStr">
        <is>
          <t>Agent 10</t>
        </is>
      </c>
      <c r="H73" s="491" t="n"/>
      <c r="I73" s="492">
        <f>IF(A73="","Pending",IF(H73="","⚠️ Enter Code",IF(IFERROR(VLOOKUP(G73,DB_Agents!$B:$I,8,0),"")=H73,IF(AND(A73&lt;&gt;"",E73&lt;&gt;""),"Saved","Pending"),"🔒 BLOCKED — Wrong Code")))</f>
        <v/>
      </c>
      <c r="J73" s="493">
        <f>IF(I73="Saved",TEXT(TODAY(),"YYYY-MM-DD")&amp;" Auto","—")</f>
        <v/>
      </c>
      <c r="K73" s="494" t="n"/>
    </row>
    <row r="74" ht="15" customHeight="1" s="341">
      <c r="A74" s="495" t="n"/>
      <c r="B74" s="382">
        <f>IF(A74="","",IFERROR(VLOOKUP(A74,DB_Customers!$A:$D,4,0),"❌ Account Not Found"))</f>
        <v/>
      </c>
      <c r="C74" s="496">
        <f>IF(A74="","",IFERROR(VLOOKUP(A74,DB_Customers!$A:$N,14,0),""))</f>
        <v/>
      </c>
      <c r="D74" s="497">
        <f>IF(A74="","",TODAY())</f>
        <v/>
      </c>
      <c r="E74" s="489" t="n"/>
      <c r="F74" s="498">
        <f>IF(OR(A74="",E74=""),"",IF(C74="","",C74+E74))</f>
        <v/>
      </c>
      <c r="G74" s="384" t="inlineStr">
        <is>
          <t>Agent 10</t>
        </is>
      </c>
      <c r="H74" s="491" t="n"/>
      <c r="I74" s="499">
        <f>IF(A74="","Pending",IF(H74="","⚠️ Enter Code",IF(IFERROR(VLOOKUP(G74,DB_Agents!$B:$I,8,0),"")=H74,IF(AND(A74&lt;&gt;"",E74&lt;&gt;""),"Saved","Pending"),"🔒 BLOCKED — Wrong Code")))</f>
        <v/>
      </c>
      <c r="J74" s="500">
        <f>IF(I74="Saved",TEXT(TODAY(),"YYYY-MM-DD")&amp;" Auto","—")</f>
        <v/>
      </c>
      <c r="K74" s="501" t="n"/>
    </row>
    <row r="75" ht="15" customHeight="1" s="341">
      <c r="A75" s="486" t="n"/>
      <c r="B75" s="378">
        <f>IF(A75="","",IFERROR(VLOOKUP(A75,DB_Customers!$A:$D,4,0),"❌ Account Not Found"))</f>
        <v/>
      </c>
      <c r="C75" s="487">
        <f>IF(A75="","",IFERROR(VLOOKUP(A75,DB_Customers!$A:$N,14,0),""))</f>
        <v/>
      </c>
      <c r="D75" s="488">
        <f>IF(A75="","",TODAY())</f>
        <v/>
      </c>
      <c r="E75" s="489" t="n"/>
      <c r="F75" s="490">
        <f>IF(OR(A75="",E75=""),"",IF(C75="","",C75+E75))</f>
        <v/>
      </c>
      <c r="G75" s="380" t="inlineStr">
        <is>
          <t>Agent 10</t>
        </is>
      </c>
      <c r="H75" s="491" t="n"/>
      <c r="I75" s="492">
        <f>IF(A75="","Pending",IF(H75="","⚠️ Enter Code",IF(IFERROR(VLOOKUP(G75,DB_Agents!$B:$I,8,0),"")=H75,IF(AND(A75&lt;&gt;"",E75&lt;&gt;""),"Saved","Pending"),"🔒 BLOCKED — Wrong Code")))</f>
        <v/>
      </c>
      <c r="J75" s="493">
        <f>IF(I75="Saved",TEXT(TODAY(),"YYYY-MM-DD")&amp;" Auto","—")</f>
        <v/>
      </c>
      <c r="K75" s="494" t="n"/>
    </row>
    <row r="76" ht="15" customHeight="1" s="341">
      <c r="A76" s="495" t="n"/>
      <c r="B76" s="382">
        <f>IF(A76="","",IFERROR(VLOOKUP(A76,DB_Customers!$A:$D,4,0),"❌ Account Not Found"))</f>
        <v/>
      </c>
      <c r="C76" s="496">
        <f>IF(A76="","",IFERROR(VLOOKUP(A76,DB_Customers!$A:$N,14,0),""))</f>
        <v/>
      </c>
      <c r="D76" s="497">
        <f>IF(A76="","",TODAY())</f>
        <v/>
      </c>
      <c r="E76" s="489" t="n"/>
      <c r="F76" s="498">
        <f>IF(OR(A76="",E76=""),"",IF(C76="","",C76+E76))</f>
        <v/>
      </c>
      <c r="G76" s="384" t="inlineStr">
        <is>
          <t>Agent 10</t>
        </is>
      </c>
      <c r="H76" s="491" t="n"/>
      <c r="I76" s="499">
        <f>IF(A76="","Pending",IF(H76="","⚠️ Enter Code",IF(IFERROR(VLOOKUP(G76,DB_Agents!$B:$I,8,0),"")=H76,IF(AND(A76&lt;&gt;"",E76&lt;&gt;""),"Saved","Pending"),"🔒 BLOCKED — Wrong Code")))</f>
        <v/>
      </c>
      <c r="J76" s="500">
        <f>IF(I76="Saved",TEXT(TODAY(),"YYYY-MM-DD")&amp;" Auto","—")</f>
        <v/>
      </c>
      <c r="K76" s="501" t="n"/>
    </row>
    <row r="77" ht="15" customHeight="1" s="341">
      <c r="A77" s="486" t="n"/>
      <c r="B77" s="378">
        <f>IF(A77="","",IFERROR(VLOOKUP(A77,DB_Customers!$A:$D,4,0),"❌ Account Not Found"))</f>
        <v/>
      </c>
      <c r="C77" s="487">
        <f>IF(A77="","",IFERROR(VLOOKUP(A77,DB_Customers!$A:$N,14,0),""))</f>
        <v/>
      </c>
      <c r="D77" s="488">
        <f>IF(A77="","",TODAY())</f>
        <v/>
      </c>
      <c r="E77" s="489" t="n"/>
      <c r="F77" s="490">
        <f>IF(OR(A77="",E77=""),"",IF(C77="","",C77+E77))</f>
        <v/>
      </c>
      <c r="G77" s="380" t="inlineStr">
        <is>
          <t>Agent 10</t>
        </is>
      </c>
      <c r="H77" s="491" t="n"/>
      <c r="I77" s="492">
        <f>IF(A77="","Pending",IF(H77="","⚠️ Enter Code",IF(IFERROR(VLOOKUP(G77,DB_Agents!$B:$I,8,0),"")=H77,IF(AND(A77&lt;&gt;"",E77&lt;&gt;""),"Saved","Pending"),"🔒 BLOCKED — Wrong Code")))</f>
        <v/>
      </c>
      <c r="J77" s="493">
        <f>IF(I77="Saved",TEXT(TODAY(),"YYYY-MM-DD")&amp;" Auto","—")</f>
        <v/>
      </c>
      <c r="K77" s="494" t="n"/>
    </row>
    <row r="78" ht="15" customHeight="1" s="341">
      <c r="A78" s="495" t="n"/>
      <c r="B78" s="382">
        <f>IF(A78="","",IFERROR(VLOOKUP(A78,DB_Customers!$A:$D,4,0),"❌ Account Not Found"))</f>
        <v/>
      </c>
      <c r="C78" s="496">
        <f>IF(A78="","",IFERROR(VLOOKUP(A78,DB_Customers!$A:$N,14,0),""))</f>
        <v/>
      </c>
      <c r="D78" s="497">
        <f>IF(A78="","",TODAY())</f>
        <v/>
      </c>
      <c r="E78" s="489" t="n"/>
      <c r="F78" s="498">
        <f>IF(OR(A78="",E78=""),"",IF(C78="","",C78+E78))</f>
        <v/>
      </c>
      <c r="G78" s="384" t="inlineStr">
        <is>
          <t>Agent 10</t>
        </is>
      </c>
      <c r="H78" s="491" t="n"/>
      <c r="I78" s="499">
        <f>IF(A78="","Pending",IF(H78="","⚠️ Enter Code",IF(IFERROR(VLOOKUP(G78,DB_Agents!$B:$I,8,0),"")=H78,IF(AND(A78&lt;&gt;"",E78&lt;&gt;""),"Saved","Pending"),"🔒 BLOCKED — Wrong Code")))</f>
        <v/>
      </c>
      <c r="J78" s="500">
        <f>IF(I78="Saved",TEXT(TODAY(),"YYYY-MM-DD")&amp;" Auto","—")</f>
        <v/>
      </c>
      <c r="K78" s="501" t="n"/>
    </row>
    <row r="79" ht="15" customHeight="1" s="341">
      <c r="A79" s="486" t="n"/>
      <c r="B79" s="378">
        <f>IF(A79="","",IFERROR(VLOOKUP(A79,DB_Customers!$A:$D,4,0),"❌ Account Not Found"))</f>
        <v/>
      </c>
      <c r="C79" s="487">
        <f>IF(A79="","",IFERROR(VLOOKUP(A79,DB_Customers!$A:$N,14,0),""))</f>
        <v/>
      </c>
      <c r="D79" s="488">
        <f>IF(A79="","",TODAY())</f>
        <v/>
      </c>
      <c r="E79" s="489" t="n"/>
      <c r="F79" s="490">
        <f>IF(OR(A79="",E79=""),"",IF(C79="","",C79+E79))</f>
        <v/>
      </c>
      <c r="G79" s="380" t="inlineStr">
        <is>
          <t>Agent 10</t>
        </is>
      </c>
      <c r="H79" s="491" t="n"/>
      <c r="I79" s="492">
        <f>IF(A79="","Pending",IF(H79="","⚠️ Enter Code",IF(IFERROR(VLOOKUP(G79,DB_Agents!$B:$I,8,0),"")=H79,IF(AND(A79&lt;&gt;"",E79&lt;&gt;""),"Saved","Pending"),"🔒 BLOCKED — Wrong Code")))</f>
        <v/>
      </c>
      <c r="J79" s="493">
        <f>IF(I79="Saved",TEXT(TODAY(),"YYYY-MM-DD")&amp;" Auto","—")</f>
        <v/>
      </c>
      <c r="K79" s="494" t="n"/>
    </row>
    <row r="80" ht="15" customHeight="1" s="341">
      <c r="A80" s="495" t="n"/>
      <c r="B80" s="382">
        <f>IF(A80="","",IFERROR(VLOOKUP(A80,DB_Customers!$A:$D,4,0),"❌ Account Not Found"))</f>
        <v/>
      </c>
      <c r="C80" s="496">
        <f>IF(A80="","",IFERROR(VLOOKUP(A80,DB_Customers!$A:$N,14,0),""))</f>
        <v/>
      </c>
      <c r="D80" s="497">
        <f>IF(A80="","",TODAY())</f>
        <v/>
      </c>
      <c r="E80" s="489" t="n"/>
      <c r="F80" s="498">
        <f>IF(OR(A80="",E80=""),"",IF(C80="","",C80+E80))</f>
        <v/>
      </c>
      <c r="G80" s="384" t="inlineStr">
        <is>
          <t>Agent 10</t>
        </is>
      </c>
      <c r="H80" s="491" t="n"/>
      <c r="I80" s="499">
        <f>IF(A80="","Pending",IF(H80="","⚠️ Enter Code",IF(IFERROR(VLOOKUP(G80,DB_Agents!$B:$I,8,0),"")=H80,IF(AND(A80&lt;&gt;"",E80&lt;&gt;""),"Saved","Pending"),"🔒 BLOCKED — Wrong Code")))</f>
        <v/>
      </c>
      <c r="J80" s="500">
        <f>IF(I80="Saved",TEXT(TODAY(),"YYYY-MM-DD")&amp;" Auto","—")</f>
        <v/>
      </c>
      <c r="K80" s="501" t="n"/>
    </row>
    <row r="81" ht="15" customHeight="1" s="341">
      <c r="A81" s="486" t="n"/>
      <c r="B81" s="378">
        <f>IF(A81="","",IFERROR(VLOOKUP(A81,DB_Customers!$A:$D,4,0),"❌ Account Not Found"))</f>
        <v/>
      </c>
      <c r="C81" s="487">
        <f>IF(A81="","",IFERROR(VLOOKUP(A81,DB_Customers!$A:$N,14,0),""))</f>
        <v/>
      </c>
      <c r="D81" s="488">
        <f>IF(A81="","",TODAY())</f>
        <v/>
      </c>
      <c r="E81" s="489" t="n"/>
      <c r="F81" s="490">
        <f>IF(OR(A81="",E81=""),"",IF(C81="","",C81+E81))</f>
        <v/>
      </c>
      <c r="G81" s="380" t="inlineStr">
        <is>
          <t>Agent 10</t>
        </is>
      </c>
      <c r="H81" s="491" t="n"/>
      <c r="I81" s="492">
        <f>IF(A81="","Pending",IF(H81="","⚠️ Enter Code",IF(IFERROR(VLOOKUP(G81,DB_Agents!$B:$I,8,0),"")=H81,IF(AND(A81&lt;&gt;"",E81&lt;&gt;""),"Saved","Pending"),"🔒 BLOCKED — Wrong Code")))</f>
        <v/>
      </c>
      <c r="J81" s="493">
        <f>IF(I81="Saved",TEXT(TODAY(),"YYYY-MM-DD")&amp;" Auto","—")</f>
        <v/>
      </c>
      <c r="K81" s="494" t="n"/>
    </row>
    <row r="82" ht="15" customHeight="1" s="341">
      <c r="A82" s="495" t="n"/>
      <c r="B82" s="382">
        <f>IF(A82="","",IFERROR(VLOOKUP(A82,DB_Customers!$A:$D,4,0),"❌ Account Not Found"))</f>
        <v/>
      </c>
      <c r="C82" s="496">
        <f>IF(A82="","",IFERROR(VLOOKUP(A82,DB_Customers!$A:$N,14,0),""))</f>
        <v/>
      </c>
      <c r="D82" s="497">
        <f>IF(A82="","",TODAY())</f>
        <v/>
      </c>
      <c r="E82" s="489" t="n"/>
      <c r="F82" s="498">
        <f>IF(OR(A82="",E82=""),"",IF(C82="","",C82+E82))</f>
        <v/>
      </c>
      <c r="G82" s="384" t="inlineStr">
        <is>
          <t>Agent 10</t>
        </is>
      </c>
      <c r="H82" s="491" t="n"/>
      <c r="I82" s="499">
        <f>IF(A82="","Pending",IF(H82="","⚠️ Enter Code",IF(IFERROR(VLOOKUP(G82,DB_Agents!$B:$I,8,0),"")=H82,IF(AND(A82&lt;&gt;"",E82&lt;&gt;""),"Saved","Pending"),"🔒 BLOCKED — Wrong Code")))</f>
        <v/>
      </c>
      <c r="J82" s="500">
        <f>IF(I82="Saved",TEXT(TODAY(),"YYYY-MM-DD")&amp;" Auto","—")</f>
        <v/>
      </c>
      <c r="K82" s="501" t="n"/>
    </row>
    <row r="83" ht="15" customHeight="1" s="341">
      <c r="A83" s="486" t="n"/>
      <c r="B83" s="378">
        <f>IF(A83="","",IFERROR(VLOOKUP(A83,DB_Customers!$A:$D,4,0),"❌ Account Not Found"))</f>
        <v/>
      </c>
      <c r="C83" s="487">
        <f>IF(A83="","",IFERROR(VLOOKUP(A83,DB_Customers!$A:$N,14,0),""))</f>
        <v/>
      </c>
      <c r="D83" s="488">
        <f>IF(A83="","",TODAY())</f>
        <v/>
      </c>
      <c r="E83" s="489" t="n"/>
      <c r="F83" s="490">
        <f>IF(OR(A83="",E83=""),"",IF(C83="","",C83+E83))</f>
        <v/>
      </c>
      <c r="G83" s="380" t="inlineStr">
        <is>
          <t>Agent 10</t>
        </is>
      </c>
      <c r="H83" s="491" t="n"/>
      <c r="I83" s="492">
        <f>IF(A83="","Pending",IF(H83="","⚠️ Enter Code",IF(IFERROR(VLOOKUP(G83,DB_Agents!$B:$I,8,0),"")=H83,IF(AND(A83&lt;&gt;"",E83&lt;&gt;""),"Saved","Pending"),"🔒 BLOCKED — Wrong Code")))</f>
        <v/>
      </c>
      <c r="J83" s="493">
        <f>IF(I83="Saved",TEXT(TODAY(),"YYYY-MM-DD")&amp;" Auto","—")</f>
        <v/>
      </c>
      <c r="K83" s="494" t="n"/>
    </row>
    <row r="84" ht="15" customHeight="1" s="341">
      <c r="A84" s="495" t="n"/>
      <c r="B84" s="382">
        <f>IF(A84="","",IFERROR(VLOOKUP(A84,DB_Customers!$A:$D,4,0),"❌ Account Not Found"))</f>
        <v/>
      </c>
      <c r="C84" s="496">
        <f>IF(A84="","",IFERROR(VLOOKUP(A84,DB_Customers!$A:$N,14,0),""))</f>
        <v/>
      </c>
      <c r="D84" s="497">
        <f>IF(A84="","",TODAY())</f>
        <v/>
      </c>
      <c r="E84" s="489" t="n"/>
      <c r="F84" s="498">
        <f>IF(OR(A84="",E84=""),"",IF(C84="","",C84+E84))</f>
        <v/>
      </c>
      <c r="G84" s="384" t="inlineStr">
        <is>
          <t>Agent 10</t>
        </is>
      </c>
      <c r="H84" s="491" t="n"/>
      <c r="I84" s="499">
        <f>IF(A84="","Pending",IF(H84="","⚠️ Enter Code",IF(IFERROR(VLOOKUP(G84,DB_Agents!$B:$I,8,0),"")=H84,IF(AND(A84&lt;&gt;"",E84&lt;&gt;""),"Saved","Pending"),"🔒 BLOCKED — Wrong Code")))</f>
        <v/>
      </c>
      <c r="J84" s="500">
        <f>IF(I84="Saved",TEXT(TODAY(),"YYYY-MM-DD")&amp;" Auto","—")</f>
        <v/>
      </c>
      <c r="K84" s="501" t="n"/>
    </row>
    <row r="85" ht="15" customHeight="1" s="341">
      <c r="A85" s="486" t="n"/>
      <c r="B85" s="378">
        <f>IF(A85="","",IFERROR(VLOOKUP(A85,DB_Customers!$A:$D,4,0),"❌ Account Not Found"))</f>
        <v/>
      </c>
      <c r="C85" s="487">
        <f>IF(A85="","",IFERROR(VLOOKUP(A85,DB_Customers!$A:$N,14,0),""))</f>
        <v/>
      </c>
      <c r="D85" s="488">
        <f>IF(A85="","",TODAY())</f>
        <v/>
      </c>
      <c r="E85" s="489" t="n"/>
      <c r="F85" s="490">
        <f>IF(OR(A85="",E85=""),"",IF(C85="","",C85+E85))</f>
        <v/>
      </c>
      <c r="G85" s="380" t="inlineStr">
        <is>
          <t>Agent 10</t>
        </is>
      </c>
      <c r="H85" s="491" t="n"/>
      <c r="I85" s="492">
        <f>IF(A85="","Pending",IF(H85="","⚠️ Enter Code",IF(IFERROR(VLOOKUP(G85,DB_Agents!$B:$I,8,0),"")=H85,IF(AND(A85&lt;&gt;"",E85&lt;&gt;""),"Saved","Pending"),"🔒 BLOCKED — Wrong Code")))</f>
        <v/>
      </c>
      <c r="J85" s="493">
        <f>IF(I85="Saved",TEXT(TODAY(),"YYYY-MM-DD")&amp;" Auto","—")</f>
        <v/>
      </c>
      <c r="K85" s="494" t="n"/>
    </row>
    <row r="86" ht="15" customHeight="1" s="341">
      <c r="A86" s="495" t="n"/>
      <c r="B86" s="382">
        <f>IF(A86="","",IFERROR(VLOOKUP(A86,DB_Customers!$A:$D,4,0),"❌ Account Not Found"))</f>
        <v/>
      </c>
      <c r="C86" s="496">
        <f>IF(A86="","",IFERROR(VLOOKUP(A86,DB_Customers!$A:$N,14,0),""))</f>
        <v/>
      </c>
      <c r="D86" s="497">
        <f>IF(A86="","",TODAY())</f>
        <v/>
      </c>
      <c r="E86" s="489" t="n"/>
      <c r="F86" s="498">
        <f>IF(OR(A86="",E86=""),"",IF(C86="","",C86+E86))</f>
        <v/>
      </c>
      <c r="G86" s="384" t="inlineStr">
        <is>
          <t>Agent 10</t>
        </is>
      </c>
      <c r="H86" s="491" t="n"/>
      <c r="I86" s="499">
        <f>IF(A86="","Pending",IF(H86="","⚠️ Enter Code",IF(IFERROR(VLOOKUP(G86,DB_Agents!$B:$I,8,0),"")=H86,IF(AND(A86&lt;&gt;"",E86&lt;&gt;""),"Saved","Pending"),"🔒 BLOCKED — Wrong Code")))</f>
        <v/>
      </c>
      <c r="J86" s="500">
        <f>IF(I86="Saved",TEXT(TODAY(),"YYYY-MM-DD")&amp;" Auto","—")</f>
        <v/>
      </c>
      <c r="K86" s="501" t="n"/>
    </row>
    <row r="87" ht="15" customHeight="1" s="341">
      <c r="A87" s="486" t="n"/>
      <c r="B87" s="378">
        <f>IF(A87="","",IFERROR(VLOOKUP(A87,DB_Customers!$A:$D,4,0),"❌ Account Not Found"))</f>
        <v/>
      </c>
      <c r="C87" s="487">
        <f>IF(A87="","",IFERROR(VLOOKUP(A87,DB_Customers!$A:$N,14,0),""))</f>
        <v/>
      </c>
      <c r="D87" s="488">
        <f>IF(A87="","",TODAY())</f>
        <v/>
      </c>
      <c r="E87" s="489" t="n"/>
      <c r="F87" s="490">
        <f>IF(OR(A87="",E87=""),"",IF(C87="","",C87+E87))</f>
        <v/>
      </c>
      <c r="G87" s="380" t="inlineStr">
        <is>
          <t>Agent 10</t>
        </is>
      </c>
      <c r="H87" s="491" t="n"/>
      <c r="I87" s="492">
        <f>IF(A87="","Pending",IF(H87="","⚠️ Enter Code",IF(IFERROR(VLOOKUP(G87,DB_Agents!$B:$I,8,0),"")=H87,IF(AND(A87&lt;&gt;"",E87&lt;&gt;""),"Saved","Pending"),"🔒 BLOCKED — Wrong Code")))</f>
        <v/>
      </c>
      <c r="J87" s="493">
        <f>IF(I87="Saved",TEXT(TODAY(),"YYYY-MM-DD")&amp;" Auto","—")</f>
        <v/>
      </c>
      <c r="K87" s="494" t="n"/>
    </row>
    <row r="88" ht="15" customHeight="1" s="341">
      <c r="A88" s="495" t="n"/>
      <c r="B88" s="382">
        <f>IF(A88="","",IFERROR(VLOOKUP(A88,DB_Customers!$A:$D,4,0),"❌ Account Not Found"))</f>
        <v/>
      </c>
      <c r="C88" s="496">
        <f>IF(A88="","",IFERROR(VLOOKUP(A88,DB_Customers!$A:$N,14,0),""))</f>
        <v/>
      </c>
      <c r="D88" s="497">
        <f>IF(A88="","",TODAY())</f>
        <v/>
      </c>
      <c r="E88" s="489" t="n"/>
      <c r="F88" s="498">
        <f>IF(OR(A88="",E88=""),"",IF(C88="","",C88+E88))</f>
        <v/>
      </c>
      <c r="G88" s="384" t="inlineStr">
        <is>
          <t>Agent 10</t>
        </is>
      </c>
      <c r="H88" s="491" t="n"/>
      <c r="I88" s="499">
        <f>IF(A88="","Pending",IF(H88="","⚠️ Enter Code",IF(IFERROR(VLOOKUP(G88,DB_Agents!$B:$I,8,0),"")=H88,IF(AND(A88&lt;&gt;"",E88&lt;&gt;""),"Saved","Pending"),"🔒 BLOCKED — Wrong Code")))</f>
        <v/>
      </c>
      <c r="J88" s="500">
        <f>IF(I88="Saved",TEXT(TODAY(),"YYYY-MM-DD")&amp;" Auto","—")</f>
        <v/>
      </c>
      <c r="K88" s="501" t="n"/>
    </row>
    <row r="89" ht="15" customHeight="1" s="341">
      <c r="A89" s="486" t="n"/>
      <c r="B89" s="378">
        <f>IF(A89="","",IFERROR(VLOOKUP(A89,DB_Customers!$A:$D,4,0),"❌ Account Not Found"))</f>
        <v/>
      </c>
      <c r="C89" s="487">
        <f>IF(A89="","",IFERROR(VLOOKUP(A89,DB_Customers!$A:$N,14,0),""))</f>
        <v/>
      </c>
      <c r="D89" s="488">
        <f>IF(A89="","",TODAY())</f>
        <v/>
      </c>
      <c r="E89" s="489" t="n"/>
      <c r="F89" s="490">
        <f>IF(OR(A89="",E89=""),"",IF(C89="","",C89+E89))</f>
        <v/>
      </c>
      <c r="G89" s="380" t="inlineStr">
        <is>
          <t>Agent 10</t>
        </is>
      </c>
      <c r="H89" s="491" t="n"/>
      <c r="I89" s="492">
        <f>IF(A89="","Pending",IF(H89="","⚠️ Enter Code",IF(IFERROR(VLOOKUP(G89,DB_Agents!$B:$I,8,0),"")=H89,IF(AND(A89&lt;&gt;"",E89&lt;&gt;""),"Saved","Pending"),"🔒 BLOCKED — Wrong Code")))</f>
        <v/>
      </c>
      <c r="J89" s="493">
        <f>IF(I89="Saved",TEXT(TODAY(),"YYYY-MM-DD")&amp;" Auto","—")</f>
        <v/>
      </c>
      <c r="K89" s="494" t="n"/>
    </row>
    <row r="90" ht="15" customHeight="1" s="341">
      <c r="A90" s="495" t="n"/>
      <c r="B90" s="382">
        <f>IF(A90="","",IFERROR(VLOOKUP(A90,DB_Customers!$A:$D,4,0),"❌ Account Not Found"))</f>
        <v/>
      </c>
      <c r="C90" s="496">
        <f>IF(A90="","",IFERROR(VLOOKUP(A90,DB_Customers!$A:$N,14,0),""))</f>
        <v/>
      </c>
      <c r="D90" s="497">
        <f>IF(A90="","",TODAY())</f>
        <v/>
      </c>
      <c r="E90" s="489" t="n"/>
      <c r="F90" s="498">
        <f>IF(OR(A90="",E90=""),"",IF(C90="","",C90+E90))</f>
        <v/>
      </c>
      <c r="G90" s="384" t="inlineStr">
        <is>
          <t>Agent 10</t>
        </is>
      </c>
      <c r="H90" s="491" t="n"/>
      <c r="I90" s="499">
        <f>IF(A90="","Pending",IF(H90="","⚠️ Enter Code",IF(IFERROR(VLOOKUP(G90,DB_Agents!$B:$I,8,0),"")=H90,IF(AND(A90&lt;&gt;"",E90&lt;&gt;""),"Saved","Pending"),"🔒 BLOCKED — Wrong Code")))</f>
        <v/>
      </c>
      <c r="J90" s="500">
        <f>IF(I90="Saved",TEXT(TODAY(),"YYYY-MM-DD")&amp;" Auto","—")</f>
        <v/>
      </c>
      <c r="K90" s="501" t="n"/>
    </row>
    <row r="91" ht="15" customHeight="1" s="341">
      <c r="A91" s="486" t="n"/>
      <c r="B91" s="378">
        <f>IF(A91="","",IFERROR(VLOOKUP(A91,DB_Customers!$A:$D,4,0),"❌ Account Not Found"))</f>
        <v/>
      </c>
      <c r="C91" s="487">
        <f>IF(A91="","",IFERROR(VLOOKUP(A91,DB_Customers!$A:$N,14,0),""))</f>
        <v/>
      </c>
      <c r="D91" s="488">
        <f>IF(A91="","",TODAY())</f>
        <v/>
      </c>
      <c r="E91" s="489" t="n"/>
      <c r="F91" s="490">
        <f>IF(OR(A91="",E91=""),"",IF(C91="","",C91+E91))</f>
        <v/>
      </c>
      <c r="G91" s="380" t="inlineStr">
        <is>
          <t>Agent 10</t>
        </is>
      </c>
      <c r="H91" s="491" t="n"/>
      <c r="I91" s="492">
        <f>IF(A91="","Pending",IF(H91="","⚠️ Enter Code",IF(IFERROR(VLOOKUP(G91,DB_Agents!$B:$I,8,0),"")=H91,IF(AND(A91&lt;&gt;"",E91&lt;&gt;""),"Saved","Pending"),"🔒 BLOCKED — Wrong Code")))</f>
        <v/>
      </c>
      <c r="J91" s="493">
        <f>IF(I91="Saved",TEXT(TODAY(),"YYYY-MM-DD")&amp;" Auto","—")</f>
        <v/>
      </c>
      <c r="K91" s="494" t="n"/>
    </row>
    <row r="92" ht="15" customHeight="1" s="341">
      <c r="A92" s="495" t="n"/>
      <c r="B92" s="382">
        <f>IF(A92="","",IFERROR(VLOOKUP(A92,DB_Customers!$A:$D,4,0),"❌ Account Not Found"))</f>
        <v/>
      </c>
      <c r="C92" s="496">
        <f>IF(A92="","",IFERROR(VLOOKUP(A92,DB_Customers!$A:$N,14,0),""))</f>
        <v/>
      </c>
      <c r="D92" s="497">
        <f>IF(A92="","",TODAY())</f>
        <v/>
      </c>
      <c r="E92" s="489" t="n"/>
      <c r="F92" s="498">
        <f>IF(OR(A92="",E92=""),"",IF(C92="","",C92+E92))</f>
        <v/>
      </c>
      <c r="G92" s="384" t="inlineStr">
        <is>
          <t>Agent 10</t>
        </is>
      </c>
      <c r="H92" s="491" t="n"/>
      <c r="I92" s="499">
        <f>IF(A92="","Pending",IF(H92="","⚠️ Enter Code",IF(IFERROR(VLOOKUP(G92,DB_Agents!$B:$I,8,0),"")=H92,IF(AND(A92&lt;&gt;"",E92&lt;&gt;""),"Saved","Pending"),"🔒 BLOCKED — Wrong Code")))</f>
        <v/>
      </c>
      <c r="J92" s="500">
        <f>IF(I92="Saved",TEXT(TODAY(),"YYYY-MM-DD")&amp;" Auto","—")</f>
        <v/>
      </c>
      <c r="K92" s="501" t="n"/>
    </row>
    <row r="93" ht="15" customHeight="1" s="341">
      <c r="A93" s="486" t="n"/>
      <c r="B93" s="378">
        <f>IF(A93="","",IFERROR(VLOOKUP(A93,DB_Customers!$A:$D,4,0),"❌ Account Not Found"))</f>
        <v/>
      </c>
      <c r="C93" s="487">
        <f>IF(A93="","",IFERROR(VLOOKUP(A93,DB_Customers!$A:$N,14,0),""))</f>
        <v/>
      </c>
      <c r="D93" s="488">
        <f>IF(A93="","",TODAY())</f>
        <v/>
      </c>
      <c r="E93" s="489" t="n"/>
      <c r="F93" s="490">
        <f>IF(OR(A93="",E93=""),"",IF(C93="","",C93+E93))</f>
        <v/>
      </c>
      <c r="G93" s="380" t="inlineStr">
        <is>
          <t>Agent 10</t>
        </is>
      </c>
      <c r="H93" s="491" t="n"/>
      <c r="I93" s="492">
        <f>IF(A93="","Pending",IF(H93="","⚠️ Enter Code",IF(IFERROR(VLOOKUP(G93,DB_Agents!$B:$I,8,0),"")=H93,IF(AND(A93&lt;&gt;"",E93&lt;&gt;""),"Saved","Pending"),"🔒 BLOCKED — Wrong Code")))</f>
        <v/>
      </c>
      <c r="J93" s="493">
        <f>IF(I93="Saved",TEXT(TODAY(),"YYYY-MM-DD")&amp;" Auto","—")</f>
        <v/>
      </c>
      <c r="K93" s="494" t="n"/>
    </row>
    <row r="94" ht="15" customHeight="1" s="341">
      <c r="A94" s="495" t="n"/>
      <c r="B94" s="382">
        <f>IF(A94="","",IFERROR(VLOOKUP(A94,DB_Customers!$A:$D,4,0),"❌ Account Not Found"))</f>
        <v/>
      </c>
      <c r="C94" s="496">
        <f>IF(A94="","",IFERROR(VLOOKUP(A94,DB_Customers!$A:$N,14,0),""))</f>
        <v/>
      </c>
      <c r="D94" s="497">
        <f>IF(A94="","",TODAY())</f>
        <v/>
      </c>
      <c r="E94" s="489" t="n"/>
      <c r="F94" s="498">
        <f>IF(OR(A94="",E94=""),"",IF(C94="","",C94+E94))</f>
        <v/>
      </c>
      <c r="G94" s="384" t="inlineStr">
        <is>
          <t>Agent 10</t>
        </is>
      </c>
      <c r="H94" s="491" t="n"/>
      <c r="I94" s="499">
        <f>IF(A94="","Pending",IF(H94="","⚠️ Enter Code",IF(IFERROR(VLOOKUP(G94,DB_Agents!$B:$I,8,0),"")=H94,IF(AND(A94&lt;&gt;"",E94&lt;&gt;""),"Saved","Pending"),"🔒 BLOCKED — Wrong Code")))</f>
        <v/>
      </c>
      <c r="J94" s="500">
        <f>IF(I94="Saved",TEXT(TODAY(),"YYYY-MM-DD")&amp;" Auto","—")</f>
        <v/>
      </c>
      <c r="K94" s="501" t="n"/>
    </row>
    <row r="95" ht="15" customHeight="1" s="341">
      <c r="A95" s="486" t="n"/>
      <c r="B95" s="378">
        <f>IF(A95="","",IFERROR(VLOOKUP(A95,DB_Customers!$A:$D,4,0),"❌ Account Not Found"))</f>
        <v/>
      </c>
      <c r="C95" s="487">
        <f>IF(A95="","",IFERROR(VLOOKUP(A95,DB_Customers!$A:$N,14,0),""))</f>
        <v/>
      </c>
      <c r="D95" s="488">
        <f>IF(A95="","",TODAY())</f>
        <v/>
      </c>
      <c r="E95" s="489" t="n"/>
      <c r="F95" s="490">
        <f>IF(OR(A95="",E95=""),"",IF(C95="","",C95+E95))</f>
        <v/>
      </c>
      <c r="G95" s="380" t="inlineStr">
        <is>
          <t>Agent 10</t>
        </is>
      </c>
      <c r="H95" s="491" t="n"/>
      <c r="I95" s="492">
        <f>IF(A95="","Pending",IF(H95="","⚠️ Enter Code",IF(IFERROR(VLOOKUP(G95,DB_Agents!$B:$I,8,0),"")=H95,IF(AND(A95&lt;&gt;"",E95&lt;&gt;""),"Saved","Pending"),"🔒 BLOCKED — Wrong Code")))</f>
        <v/>
      </c>
      <c r="J95" s="493">
        <f>IF(I95="Saved",TEXT(TODAY(),"YYYY-MM-DD")&amp;" Auto","—")</f>
        <v/>
      </c>
      <c r="K95" s="494" t="n"/>
    </row>
    <row r="96" ht="15" customHeight="1" s="341">
      <c r="A96" s="495" t="n"/>
      <c r="B96" s="382">
        <f>IF(A96="","",IFERROR(VLOOKUP(A96,DB_Customers!$A:$D,4,0),"❌ Account Not Found"))</f>
        <v/>
      </c>
      <c r="C96" s="496">
        <f>IF(A96="","",IFERROR(VLOOKUP(A96,DB_Customers!$A:$N,14,0),""))</f>
        <v/>
      </c>
      <c r="D96" s="497">
        <f>IF(A96="","",TODAY())</f>
        <v/>
      </c>
      <c r="E96" s="489" t="n"/>
      <c r="F96" s="498">
        <f>IF(OR(A96="",E96=""),"",IF(C96="","",C96+E96))</f>
        <v/>
      </c>
      <c r="G96" s="384" t="inlineStr">
        <is>
          <t>Agent 10</t>
        </is>
      </c>
      <c r="H96" s="491" t="n"/>
      <c r="I96" s="499">
        <f>IF(A96="","Pending",IF(H96="","⚠️ Enter Code",IF(IFERROR(VLOOKUP(G96,DB_Agents!$B:$I,8,0),"")=H96,IF(AND(A96&lt;&gt;"",E96&lt;&gt;""),"Saved","Pending"),"🔒 BLOCKED — Wrong Code")))</f>
        <v/>
      </c>
      <c r="J96" s="500">
        <f>IF(I96="Saved",TEXT(TODAY(),"YYYY-MM-DD")&amp;" Auto","—")</f>
        <v/>
      </c>
      <c r="K96" s="501" t="n"/>
    </row>
    <row r="97" ht="15" customHeight="1" s="341">
      <c r="A97" s="486" t="n"/>
      <c r="B97" s="378">
        <f>IF(A97="","",IFERROR(VLOOKUP(A97,DB_Customers!$A:$D,4,0),"❌ Account Not Found"))</f>
        <v/>
      </c>
      <c r="C97" s="487">
        <f>IF(A97="","",IFERROR(VLOOKUP(A97,DB_Customers!$A:$N,14,0),""))</f>
        <v/>
      </c>
      <c r="D97" s="488">
        <f>IF(A97="","",TODAY())</f>
        <v/>
      </c>
      <c r="E97" s="489" t="n"/>
      <c r="F97" s="490">
        <f>IF(OR(A97="",E97=""),"",IF(C97="","",C97+E97))</f>
        <v/>
      </c>
      <c r="G97" s="380" t="inlineStr">
        <is>
          <t>Agent 10</t>
        </is>
      </c>
      <c r="H97" s="491" t="n"/>
      <c r="I97" s="492">
        <f>IF(A97="","Pending",IF(H97="","⚠️ Enter Code",IF(IFERROR(VLOOKUP(G97,DB_Agents!$B:$I,8,0),"")=H97,IF(AND(A97&lt;&gt;"",E97&lt;&gt;""),"Saved","Pending"),"🔒 BLOCKED — Wrong Code")))</f>
        <v/>
      </c>
      <c r="J97" s="493">
        <f>IF(I97="Saved",TEXT(TODAY(),"YYYY-MM-DD")&amp;" Auto","—")</f>
        <v/>
      </c>
      <c r="K97" s="494" t="n"/>
    </row>
    <row r="98" ht="15" customHeight="1" s="341">
      <c r="A98" s="495" t="n"/>
      <c r="B98" s="382">
        <f>IF(A98="","",IFERROR(VLOOKUP(A98,DB_Customers!$A:$D,4,0),"❌ Account Not Found"))</f>
        <v/>
      </c>
      <c r="C98" s="496">
        <f>IF(A98="","",IFERROR(VLOOKUP(A98,DB_Customers!$A:$N,14,0),""))</f>
        <v/>
      </c>
      <c r="D98" s="497">
        <f>IF(A98="","",TODAY())</f>
        <v/>
      </c>
      <c r="E98" s="489" t="n"/>
      <c r="F98" s="498">
        <f>IF(OR(A98="",E98=""),"",IF(C98="","",C98+E98))</f>
        <v/>
      </c>
      <c r="G98" s="384" t="inlineStr">
        <is>
          <t>Agent 10</t>
        </is>
      </c>
      <c r="H98" s="491" t="n"/>
      <c r="I98" s="499">
        <f>IF(A98="","Pending",IF(H98="","⚠️ Enter Code",IF(IFERROR(VLOOKUP(G98,DB_Agents!$B:$I,8,0),"")=H98,IF(AND(A98&lt;&gt;"",E98&lt;&gt;""),"Saved","Pending"),"🔒 BLOCKED — Wrong Code")))</f>
        <v/>
      </c>
      <c r="J98" s="500">
        <f>IF(I98="Saved",TEXT(TODAY(),"YYYY-MM-DD")&amp;" Auto","—")</f>
        <v/>
      </c>
      <c r="K98" s="501" t="n"/>
    </row>
    <row r="99" ht="15" customHeight="1" s="341">
      <c r="A99" s="486" t="n"/>
      <c r="B99" s="378">
        <f>IF(A99="","",IFERROR(VLOOKUP(A99,DB_Customers!$A:$D,4,0),"❌ Account Not Found"))</f>
        <v/>
      </c>
      <c r="C99" s="487">
        <f>IF(A99="","",IFERROR(VLOOKUP(A99,DB_Customers!$A:$N,14,0),""))</f>
        <v/>
      </c>
      <c r="D99" s="488">
        <f>IF(A99="","",TODAY())</f>
        <v/>
      </c>
      <c r="E99" s="489" t="n"/>
      <c r="F99" s="490">
        <f>IF(OR(A99="",E99=""),"",IF(C99="","",C99+E99))</f>
        <v/>
      </c>
      <c r="G99" s="380" t="inlineStr">
        <is>
          <t>Agent 10</t>
        </is>
      </c>
      <c r="H99" s="491" t="n"/>
      <c r="I99" s="492">
        <f>IF(A99="","Pending",IF(H99="","⚠️ Enter Code",IF(IFERROR(VLOOKUP(G99,DB_Agents!$B:$I,8,0),"")=H99,IF(AND(A99&lt;&gt;"",E99&lt;&gt;""),"Saved","Pending"),"🔒 BLOCKED — Wrong Code")))</f>
        <v/>
      </c>
      <c r="J99" s="493">
        <f>IF(I99="Saved",TEXT(TODAY(),"YYYY-MM-DD")&amp;" Auto","—")</f>
        <v/>
      </c>
      <c r="K99" s="494" t="n"/>
    </row>
    <row r="100" ht="15" customHeight="1" s="341">
      <c r="A100" s="495" t="n"/>
      <c r="B100" s="382">
        <f>IF(A100="","",IFERROR(VLOOKUP(A100,DB_Customers!$A:$D,4,0),"❌ Account Not Found"))</f>
        <v/>
      </c>
      <c r="C100" s="496">
        <f>IF(A100="","",IFERROR(VLOOKUP(A100,DB_Customers!$A:$N,14,0),""))</f>
        <v/>
      </c>
      <c r="D100" s="497">
        <f>IF(A100="","",TODAY())</f>
        <v/>
      </c>
      <c r="E100" s="489" t="n"/>
      <c r="F100" s="498">
        <f>IF(OR(A100="",E100=""),"",IF(C100="","",C100+E100))</f>
        <v/>
      </c>
      <c r="G100" s="384" t="inlineStr">
        <is>
          <t>Agent 10</t>
        </is>
      </c>
      <c r="H100" s="491" t="n"/>
      <c r="I100" s="499">
        <f>IF(A100="","Pending",IF(H100="","⚠️ Enter Code",IF(IFERROR(VLOOKUP(G100,DB_Agents!$B:$I,8,0),"")=H100,IF(AND(A100&lt;&gt;"",E100&lt;&gt;""),"Saved","Pending"),"🔒 BLOCKED — Wrong Code")))</f>
        <v/>
      </c>
      <c r="J100" s="500">
        <f>IF(I100="Saved",TEXT(TODAY(),"YYYY-MM-DD")&amp;" Auto","—")</f>
        <v/>
      </c>
      <c r="K100" s="501" t="n"/>
    </row>
    <row r="101" ht="15" customHeight="1" s="341">
      <c r="A101" s="486" t="n"/>
      <c r="B101" s="378">
        <f>IF(A101="","",IFERROR(VLOOKUP(A101,DB_Customers!$A:$D,4,0),"❌ Account Not Found"))</f>
        <v/>
      </c>
      <c r="C101" s="487">
        <f>IF(A101="","",IFERROR(VLOOKUP(A101,DB_Customers!$A:$N,14,0),""))</f>
        <v/>
      </c>
      <c r="D101" s="488">
        <f>IF(A101="","",TODAY())</f>
        <v/>
      </c>
      <c r="E101" s="489" t="n"/>
      <c r="F101" s="490">
        <f>IF(OR(A101="",E101=""),"",IF(C101="","",C101+E101))</f>
        <v/>
      </c>
      <c r="G101" s="380" t="inlineStr">
        <is>
          <t>Agent 10</t>
        </is>
      </c>
      <c r="H101" s="491" t="n"/>
      <c r="I101" s="492">
        <f>IF(A101="","Pending",IF(H101="","⚠️ Enter Code",IF(IFERROR(VLOOKUP(G101,DB_Agents!$B:$I,8,0),"")=H101,IF(AND(A101&lt;&gt;"",E101&lt;&gt;""),"Saved","Pending"),"🔒 BLOCKED — Wrong Code")))</f>
        <v/>
      </c>
      <c r="J101" s="493">
        <f>IF(I101="Saved",TEXT(TODAY(),"YYYY-MM-DD")&amp;" Auto","—")</f>
        <v/>
      </c>
      <c r="K101" s="494" t="n"/>
    </row>
    <row r="102" ht="15" customHeight="1" s="341">
      <c r="A102" s="495" t="n"/>
      <c r="B102" s="382">
        <f>IF(A102="","",IFERROR(VLOOKUP(A102,DB_Customers!$A:$D,4,0),"❌ Account Not Found"))</f>
        <v/>
      </c>
      <c r="C102" s="496">
        <f>IF(A102="","",IFERROR(VLOOKUP(A102,DB_Customers!$A:$N,14,0),""))</f>
        <v/>
      </c>
      <c r="D102" s="497">
        <f>IF(A102="","",TODAY())</f>
        <v/>
      </c>
      <c r="E102" s="489" t="n"/>
      <c r="F102" s="498">
        <f>IF(OR(A102="",E102=""),"",IF(C102="","",C102+E102))</f>
        <v/>
      </c>
      <c r="G102" s="384" t="inlineStr">
        <is>
          <t>Agent 10</t>
        </is>
      </c>
      <c r="H102" s="491" t="n"/>
      <c r="I102" s="499">
        <f>IF(A102="","Pending",IF(H102="","⚠️ Enter Code",IF(IFERROR(VLOOKUP(G102,DB_Agents!$B:$I,8,0),"")=H102,IF(AND(A102&lt;&gt;"",E102&lt;&gt;""),"Saved","Pending"),"🔒 BLOCKED — Wrong Code")))</f>
        <v/>
      </c>
      <c r="J102" s="500">
        <f>IF(I102="Saved",TEXT(TODAY(),"YYYY-MM-DD")&amp;" Auto","—")</f>
        <v/>
      </c>
      <c r="K102" s="501" t="n"/>
    </row>
    <row r="103" ht="15" customHeight="1" s="341">
      <c r="A103" s="486" t="n"/>
      <c r="B103" s="378">
        <f>IF(A103="","",IFERROR(VLOOKUP(A103,DB_Customers!$A:$D,4,0),"❌ Account Not Found"))</f>
        <v/>
      </c>
      <c r="C103" s="487">
        <f>IF(A103="","",IFERROR(VLOOKUP(A103,DB_Customers!$A:$N,14,0),""))</f>
        <v/>
      </c>
      <c r="D103" s="488">
        <f>IF(A103="","",TODAY())</f>
        <v/>
      </c>
      <c r="E103" s="489" t="n"/>
      <c r="F103" s="490">
        <f>IF(OR(A103="",E103=""),"",IF(C103="","",C103+E103))</f>
        <v/>
      </c>
      <c r="G103" s="380" t="inlineStr">
        <is>
          <t>Agent 10</t>
        </is>
      </c>
      <c r="H103" s="491" t="n"/>
      <c r="I103" s="492">
        <f>IF(A103="","Pending",IF(H103="","⚠️ Enter Code",IF(IFERROR(VLOOKUP(G103,DB_Agents!$B:$I,8,0),"")=H103,IF(AND(A103&lt;&gt;"",E103&lt;&gt;""),"Saved","Pending"),"🔒 BLOCKED — Wrong Code")))</f>
        <v/>
      </c>
      <c r="J103" s="493">
        <f>IF(I103="Saved",TEXT(TODAY(),"YYYY-MM-DD")&amp;" Auto","—")</f>
        <v/>
      </c>
      <c r="K103" s="494" t="n"/>
    </row>
    <row r="104" ht="15" customHeight="1" s="341">
      <c r="A104" s="495" t="n"/>
      <c r="B104" s="382">
        <f>IF(A104="","",IFERROR(VLOOKUP(A104,DB_Customers!$A:$D,4,0),"❌ Account Not Found"))</f>
        <v/>
      </c>
      <c r="C104" s="496">
        <f>IF(A104="","",IFERROR(VLOOKUP(A104,DB_Customers!$A:$N,14,0),""))</f>
        <v/>
      </c>
      <c r="D104" s="497">
        <f>IF(A104="","",TODAY())</f>
        <v/>
      </c>
      <c r="E104" s="489" t="n"/>
      <c r="F104" s="498">
        <f>IF(OR(A104="",E104=""),"",IF(C104="","",C104+E104))</f>
        <v/>
      </c>
      <c r="G104" s="384" t="inlineStr">
        <is>
          <t>Agent 10</t>
        </is>
      </c>
      <c r="H104" s="491" t="n"/>
      <c r="I104" s="499">
        <f>IF(A104="","Pending",IF(H104="","⚠️ Enter Code",IF(IFERROR(VLOOKUP(G104,DB_Agents!$B:$I,8,0),"")=H104,IF(AND(A104&lt;&gt;"",E104&lt;&gt;""),"Saved","Pending"),"🔒 BLOCKED — Wrong Code")))</f>
        <v/>
      </c>
      <c r="J104" s="500">
        <f>IF(I104="Saved",TEXT(TODAY(),"YYYY-MM-DD")&amp;" Auto","—")</f>
        <v/>
      </c>
      <c r="K104" s="501" t="n"/>
    </row>
    <row r="105" ht="15" customHeight="1" s="341">
      <c r="A105" s="486" t="n"/>
      <c r="B105" s="378">
        <f>IF(A105="","",IFERROR(VLOOKUP(A105,DB_Customers!$A:$D,4,0),"❌ Account Not Found"))</f>
        <v/>
      </c>
      <c r="C105" s="487">
        <f>IF(A105="","",IFERROR(VLOOKUP(A105,DB_Customers!$A:$N,14,0),""))</f>
        <v/>
      </c>
      <c r="D105" s="488">
        <f>IF(A105="","",TODAY())</f>
        <v/>
      </c>
      <c r="E105" s="489" t="n"/>
      <c r="F105" s="490">
        <f>IF(OR(A105="",E105=""),"",IF(C105="","",C105+E105))</f>
        <v/>
      </c>
      <c r="G105" s="380" t="inlineStr">
        <is>
          <t>Agent 10</t>
        </is>
      </c>
      <c r="H105" s="491" t="n"/>
      <c r="I105" s="492">
        <f>IF(A105="","Pending",IF(H105="","⚠️ Enter Code",IF(IFERROR(VLOOKUP(G105,DB_Agents!$B:$I,8,0),"")=H105,IF(AND(A105&lt;&gt;"",E105&lt;&gt;""),"Saved","Pending"),"🔒 BLOCKED — Wrong Code")))</f>
        <v/>
      </c>
      <c r="J105" s="493">
        <f>IF(I105="Saved",TEXT(TODAY(),"YYYY-MM-DD")&amp;" Auto","—")</f>
        <v/>
      </c>
      <c r="K105" s="494" t="n"/>
    </row>
    <row r="106" ht="15" customHeight="1" s="341">
      <c r="A106" s="495" t="n"/>
      <c r="B106" s="382">
        <f>IF(A106="","",IFERROR(VLOOKUP(A106,DB_Customers!$A:$D,4,0),"❌ Account Not Found"))</f>
        <v/>
      </c>
      <c r="C106" s="496">
        <f>IF(A106="","",IFERROR(VLOOKUP(A106,DB_Customers!$A:$N,14,0),""))</f>
        <v/>
      </c>
      <c r="D106" s="497">
        <f>IF(A106="","",TODAY())</f>
        <v/>
      </c>
      <c r="E106" s="489" t="n"/>
      <c r="F106" s="498">
        <f>IF(OR(A106="",E106=""),"",IF(C106="","",C106+E106))</f>
        <v/>
      </c>
      <c r="G106" s="384" t="inlineStr">
        <is>
          <t>Agent 10</t>
        </is>
      </c>
      <c r="H106" s="491" t="n"/>
      <c r="I106" s="499">
        <f>IF(A106="","Pending",IF(H106="","⚠️ Enter Code",IF(IFERROR(VLOOKUP(G106,DB_Agents!$B:$I,8,0),"")=H106,IF(AND(A106&lt;&gt;"",E106&lt;&gt;""),"Saved","Pending"),"🔒 BLOCKED — Wrong Code")))</f>
        <v/>
      </c>
      <c r="J106" s="500">
        <f>IF(I106="Saved",TEXT(TODAY(),"YYYY-MM-DD")&amp;" Auto","—")</f>
        <v/>
      </c>
      <c r="K106" s="501" t="n"/>
    </row>
    <row r="107" ht="15" customHeight="1" s="341">
      <c r="A107" s="486" t="n"/>
      <c r="B107" s="378">
        <f>IF(A107="","",IFERROR(VLOOKUP(A107,DB_Customers!$A:$D,4,0),"❌ Account Not Found"))</f>
        <v/>
      </c>
      <c r="C107" s="487">
        <f>IF(A107="","",IFERROR(VLOOKUP(A107,DB_Customers!$A:$N,14,0),""))</f>
        <v/>
      </c>
      <c r="D107" s="488">
        <f>IF(A107="","",TODAY())</f>
        <v/>
      </c>
      <c r="E107" s="489" t="n"/>
      <c r="F107" s="490">
        <f>IF(OR(A107="",E107=""),"",IF(C107="","",C107+E107))</f>
        <v/>
      </c>
      <c r="G107" s="380" t="inlineStr">
        <is>
          <t>Agent 10</t>
        </is>
      </c>
      <c r="H107" s="491" t="n"/>
      <c r="I107" s="492">
        <f>IF(A107="","Pending",IF(H107="","⚠️ Enter Code",IF(IFERROR(VLOOKUP(G107,DB_Agents!$B:$I,8,0),"")=H107,IF(AND(A107&lt;&gt;"",E107&lt;&gt;""),"Saved","Pending"),"🔒 BLOCKED — Wrong Code")))</f>
        <v/>
      </c>
      <c r="J107" s="493">
        <f>IF(I107="Saved",TEXT(TODAY(),"YYYY-MM-DD")&amp;" Auto","—")</f>
        <v/>
      </c>
      <c r="K107" s="494" t="n"/>
    </row>
    <row r="108" ht="15" customHeight="1" s="341">
      <c r="A108" s="495" t="n"/>
      <c r="B108" s="382">
        <f>IF(A108="","",IFERROR(VLOOKUP(A108,DB_Customers!$A:$D,4,0),"❌ Account Not Found"))</f>
        <v/>
      </c>
      <c r="C108" s="496">
        <f>IF(A108="","",IFERROR(VLOOKUP(A108,DB_Customers!$A:$N,14,0),""))</f>
        <v/>
      </c>
      <c r="D108" s="497">
        <f>IF(A108="","",TODAY())</f>
        <v/>
      </c>
      <c r="E108" s="489" t="n"/>
      <c r="F108" s="498">
        <f>IF(OR(A108="",E108=""),"",IF(C108="","",C108+E108))</f>
        <v/>
      </c>
      <c r="G108" s="384" t="inlineStr">
        <is>
          <t>Agent 10</t>
        </is>
      </c>
      <c r="H108" s="491" t="n"/>
      <c r="I108" s="499">
        <f>IF(A108="","Pending",IF(H108="","⚠️ Enter Code",IF(IFERROR(VLOOKUP(G108,DB_Agents!$B:$I,8,0),"")=H108,IF(AND(A108&lt;&gt;"",E108&lt;&gt;""),"Saved","Pending"),"🔒 BLOCKED — Wrong Code")))</f>
        <v/>
      </c>
      <c r="J108" s="500">
        <f>IF(I108="Saved",TEXT(TODAY(),"YYYY-MM-DD")&amp;" Auto","—")</f>
        <v/>
      </c>
      <c r="K108" s="501" t="n"/>
    </row>
    <row r="109" ht="15" customHeight="1" s="341">
      <c r="A109" s="486" t="n"/>
      <c r="B109" s="378">
        <f>IF(A109="","",IFERROR(VLOOKUP(A109,DB_Customers!$A:$D,4,0),"❌ Account Not Found"))</f>
        <v/>
      </c>
      <c r="C109" s="487">
        <f>IF(A109="","",IFERROR(VLOOKUP(A109,DB_Customers!$A:$N,14,0),""))</f>
        <v/>
      </c>
      <c r="D109" s="488">
        <f>IF(A109="","",TODAY())</f>
        <v/>
      </c>
      <c r="E109" s="489" t="n"/>
      <c r="F109" s="490">
        <f>IF(OR(A109="",E109=""),"",IF(C109="","",C109+E109))</f>
        <v/>
      </c>
      <c r="G109" s="380" t="inlineStr">
        <is>
          <t>Agent 10</t>
        </is>
      </c>
      <c r="H109" s="491" t="n"/>
      <c r="I109" s="492">
        <f>IF(A109="","Pending",IF(H109="","⚠️ Enter Code",IF(IFERROR(VLOOKUP(G109,DB_Agents!$B:$I,8,0),"")=H109,IF(AND(A109&lt;&gt;"",E109&lt;&gt;""),"Saved","Pending"),"🔒 BLOCKED — Wrong Code")))</f>
        <v/>
      </c>
      <c r="J109" s="493">
        <f>IF(I109="Saved",TEXT(TODAY(),"YYYY-MM-DD")&amp;" Auto","—")</f>
        <v/>
      </c>
      <c r="K109" s="494" t="n"/>
    </row>
    <row r="110" ht="15" customHeight="1" s="341">
      <c r="A110" s="495" t="n"/>
      <c r="B110" s="382">
        <f>IF(A110="","",IFERROR(VLOOKUP(A110,DB_Customers!$A:$D,4,0),"❌ Account Not Found"))</f>
        <v/>
      </c>
      <c r="C110" s="496">
        <f>IF(A110="","",IFERROR(VLOOKUP(A110,DB_Customers!$A:$N,14,0),""))</f>
        <v/>
      </c>
      <c r="D110" s="497">
        <f>IF(A110="","",TODAY())</f>
        <v/>
      </c>
      <c r="E110" s="489" t="n"/>
      <c r="F110" s="498">
        <f>IF(OR(A110="",E110=""),"",IF(C110="","",C110+E110))</f>
        <v/>
      </c>
      <c r="G110" s="384" t="inlineStr">
        <is>
          <t>Agent 10</t>
        </is>
      </c>
      <c r="H110" s="491" t="n"/>
      <c r="I110" s="499">
        <f>IF(A110="","Pending",IF(H110="","⚠️ Enter Code",IF(IFERROR(VLOOKUP(G110,DB_Agents!$B:$I,8,0),"")=H110,IF(AND(A110&lt;&gt;"",E110&lt;&gt;""),"Saved","Pending"),"🔒 BLOCKED — Wrong Code")))</f>
        <v/>
      </c>
      <c r="J110" s="500">
        <f>IF(I110="Saved",TEXT(TODAY(),"YYYY-MM-DD")&amp;" Auto","—")</f>
        <v/>
      </c>
      <c r="K110" s="501" t="n"/>
    </row>
    <row r="111" ht="15" customHeight="1" s="341">
      <c r="A111" s="486" t="n"/>
      <c r="B111" s="378">
        <f>IF(A111="","",IFERROR(VLOOKUP(A111,DB_Customers!$A:$D,4,0),"❌ Account Not Found"))</f>
        <v/>
      </c>
      <c r="C111" s="487">
        <f>IF(A111="","",IFERROR(VLOOKUP(A111,DB_Customers!$A:$N,14,0),""))</f>
        <v/>
      </c>
      <c r="D111" s="488">
        <f>IF(A111="","",TODAY())</f>
        <v/>
      </c>
      <c r="E111" s="489" t="n"/>
      <c r="F111" s="490">
        <f>IF(OR(A111="",E111=""),"",IF(C111="","",C111+E111))</f>
        <v/>
      </c>
      <c r="G111" s="380" t="inlineStr">
        <is>
          <t>Agent 10</t>
        </is>
      </c>
      <c r="H111" s="491" t="n"/>
      <c r="I111" s="492">
        <f>IF(A111="","Pending",IF(H111="","⚠️ Enter Code",IF(IFERROR(VLOOKUP(G111,DB_Agents!$B:$I,8,0),"")=H111,IF(AND(A111&lt;&gt;"",E111&lt;&gt;""),"Saved","Pending"),"🔒 BLOCKED — Wrong Code")))</f>
        <v/>
      </c>
      <c r="J111" s="493">
        <f>IF(I111="Saved",TEXT(TODAY(),"YYYY-MM-DD")&amp;" Auto","—")</f>
        <v/>
      </c>
      <c r="K111" s="494" t="n"/>
    </row>
    <row r="112" ht="15" customHeight="1" s="341">
      <c r="A112" s="495" t="n"/>
      <c r="B112" s="382">
        <f>IF(A112="","",IFERROR(VLOOKUP(A112,DB_Customers!$A:$D,4,0),"❌ Account Not Found"))</f>
        <v/>
      </c>
      <c r="C112" s="496">
        <f>IF(A112="","",IFERROR(VLOOKUP(A112,DB_Customers!$A:$N,14,0),""))</f>
        <v/>
      </c>
      <c r="D112" s="497">
        <f>IF(A112="","",TODAY())</f>
        <v/>
      </c>
      <c r="E112" s="489" t="n"/>
      <c r="F112" s="498">
        <f>IF(OR(A112="",E112=""),"",IF(C112="","",C112+E112))</f>
        <v/>
      </c>
      <c r="G112" s="384" t="inlineStr">
        <is>
          <t>Agent 10</t>
        </is>
      </c>
      <c r="H112" s="491" t="n"/>
      <c r="I112" s="499">
        <f>IF(A112="","Pending",IF(H112="","⚠️ Enter Code",IF(IFERROR(VLOOKUP(G112,DB_Agents!$B:$I,8,0),"")=H112,IF(AND(A112&lt;&gt;"",E112&lt;&gt;""),"Saved","Pending"),"🔒 BLOCKED — Wrong Code")))</f>
        <v/>
      </c>
      <c r="J112" s="500">
        <f>IF(I112="Saved",TEXT(TODAY(),"YYYY-MM-DD")&amp;" Auto","—")</f>
        <v/>
      </c>
      <c r="K112" s="501" t="n"/>
    </row>
    <row r="113" ht="15" customHeight="1" s="341">
      <c r="A113" s="486" t="n"/>
      <c r="B113" s="378">
        <f>IF(A113="","",IFERROR(VLOOKUP(A113,DB_Customers!$A:$D,4,0),"❌ Account Not Found"))</f>
        <v/>
      </c>
      <c r="C113" s="487">
        <f>IF(A113="","",IFERROR(VLOOKUP(A113,DB_Customers!$A:$N,14,0),""))</f>
        <v/>
      </c>
      <c r="D113" s="488">
        <f>IF(A113="","",TODAY())</f>
        <v/>
      </c>
      <c r="E113" s="489" t="n"/>
      <c r="F113" s="490">
        <f>IF(OR(A113="",E113=""),"",IF(C113="","",C113+E113))</f>
        <v/>
      </c>
      <c r="G113" s="380" t="inlineStr">
        <is>
          <t>Agent 10</t>
        </is>
      </c>
      <c r="H113" s="491" t="n"/>
      <c r="I113" s="492">
        <f>IF(A113="","Pending",IF(H113="","⚠️ Enter Code",IF(IFERROR(VLOOKUP(G113,DB_Agents!$B:$I,8,0),"")=H113,IF(AND(A113&lt;&gt;"",E113&lt;&gt;""),"Saved","Pending"),"🔒 BLOCKED — Wrong Code")))</f>
        <v/>
      </c>
      <c r="J113" s="493">
        <f>IF(I113="Saved",TEXT(TODAY(),"YYYY-MM-DD")&amp;" Auto","—")</f>
        <v/>
      </c>
      <c r="K113" s="494" t="n"/>
    </row>
    <row r="114" ht="15" customHeight="1" s="341">
      <c r="A114" s="495" t="n"/>
      <c r="B114" s="382">
        <f>IF(A114="","",IFERROR(VLOOKUP(A114,DB_Customers!$A:$D,4,0),"❌ Account Not Found"))</f>
        <v/>
      </c>
      <c r="C114" s="496">
        <f>IF(A114="","",IFERROR(VLOOKUP(A114,DB_Customers!$A:$N,14,0),""))</f>
        <v/>
      </c>
      <c r="D114" s="497">
        <f>IF(A114="","",TODAY())</f>
        <v/>
      </c>
      <c r="E114" s="489" t="n"/>
      <c r="F114" s="498">
        <f>IF(OR(A114="",E114=""),"",IF(C114="","",C114+E114))</f>
        <v/>
      </c>
      <c r="G114" s="384" t="inlineStr">
        <is>
          <t>Agent 10</t>
        </is>
      </c>
      <c r="H114" s="491" t="n"/>
      <c r="I114" s="499">
        <f>IF(A114="","Pending",IF(H114="","⚠️ Enter Code",IF(IFERROR(VLOOKUP(G114,DB_Agents!$B:$I,8,0),"")=H114,IF(AND(A114&lt;&gt;"",E114&lt;&gt;""),"Saved","Pending"),"🔒 BLOCKED — Wrong Code")))</f>
        <v/>
      </c>
      <c r="J114" s="500">
        <f>IF(I114="Saved",TEXT(TODAY(),"YYYY-MM-DD")&amp;" Auto","—")</f>
        <v/>
      </c>
      <c r="K114" s="501" t="n"/>
    </row>
    <row r="115" ht="15" customHeight="1" s="341">
      <c r="A115" s="486" t="n"/>
      <c r="B115" s="378">
        <f>IF(A115="","",IFERROR(VLOOKUP(A115,DB_Customers!$A:$D,4,0),"❌ Account Not Found"))</f>
        <v/>
      </c>
      <c r="C115" s="487">
        <f>IF(A115="","",IFERROR(VLOOKUP(A115,DB_Customers!$A:$N,14,0),""))</f>
        <v/>
      </c>
      <c r="D115" s="488">
        <f>IF(A115="","",TODAY())</f>
        <v/>
      </c>
      <c r="E115" s="489" t="n"/>
      <c r="F115" s="490">
        <f>IF(OR(A115="",E115=""),"",IF(C115="","",C115+E115))</f>
        <v/>
      </c>
      <c r="G115" s="380" t="inlineStr">
        <is>
          <t>Agent 10</t>
        </is>
      </c>
      <c r="H115" s="491" t="n"/>
      <c r="I115" s="492">
        <f>IF(A115="","Pending",IF(H115="","⚠️ Enter Code",IF(IFERROR(VLOOKUP(G115,DB_Agents!$B:$I,8,0),"")=H115,IF(AND(A115&lt;&gt;"",E115&lt;&gt;""),"Saved","Pending"),"🔒 BLOCKED — Wrong Code")))</f>
        <v/>
      </c>
      <c r="J115" s="493">
        <f>IF(I115="Saved",TEXT(TODAY(),"YYYY-MM-DD")&amp;" Auto","—")</f>
        <v/>
      </c>
      <c r="K115" s="494" t="n"/>
    </row>
    <row r="116" ht="15" customHeight="1" s="341">
      <c r="A116" s="495" t="n"/>
      <c r="B116" s="382">
        <f>IF(A116="","",IFERROR(VLOOKUP(A116,DB_Customers!$A:$D,4,0),"❌ Account Not Found"))</f>
        <v/>
      </c>
      <c r="C116" s="496">
        <f>IF(A116="","",IFERROR(VLOOKUP(A116,DB_Customers!$A:$N,14,0),""))</f>
        <v/>
      </c>
      <c r="D116" s="497">
        <f>IF(A116="","",TODAY())</f>
        <v/>
      </c>
      <c r="E116" s="489" t="n"/>
      <c r="F116" s="498">
        <f>IF(OR(A116="",E116=""),"",IF(C116="","",C116+E116))</f>
        <v/>
      </c>
      <c r="G116" s="384" t="inlineStr">
        <is>
          <t>Agent 10</t>
        </is>
      </c>
      <c r="H116" s="491" t="n"/>
      <c r="I116" s="499">
        <f>IF(A116="","Pending",IF(H116="","⚠️ Enter Code",IF(IFERROR(VLOOKUP(G116,DB_Agents!$B:$I,8,0),"")=H116,IF(AND(A116&lt;&gt;"",E116&lt;&gt;""),"Saved","Pending"),"🔒 BLOCKED — Wrong Code")))</f>
        <v/>
      </c>
      <c r="J116" s="500">
        <f>IF(I116="Saved",TEXT(TODAY(),"YYYY-MM-DD")&amp;" Auto","—")</f>
        <v/>
      </c>
      <c r="K116" s="501" t="n"/>
    </row>
    <row r="117" ht="15" customHeight="1" s="341">
      <c r="A117" s="486" t="n"/>
      <c r="B117" s="378">
        <f>IF(A117="","",IFERROR(VLOOKUP(A117,DB_Customers!$A:$D,4,0),"❌ Account Not Found"))</f>
        <v/>
      </c>
      <c r="C117" s="487">
        <f>IF(A117="","",IFERROR(VLOOKUP(A117,DB_Customers!$A:$N,14,0),""))</f>
        <v/>
      </c>
      <c r="D117" s="488">
        <f>IF(A117="","",TODAY())</f>
        <v/>
      </c>
      <c r="E117" s="489" t="n"/>
      <c r="F117" s="490">
        <f>IF(OR(A117="",E117=""),"",IF(C117="","",C117+E117))</f>
        <v/>
      </c>
      <c r="G117" s="380" t="inlineStr">
        <is>
          <t>Agent 10</t>
        </is>
      </c>
      <c r="H117" s="491" t="n"/>
      <c r="I117" s="492">
        <f>IF(A117="","Pending",IF(H117="","⚠️ Enter Code",IF(IFERROR(VLOOKUP(G117,DB_Agents!$B:$I,8,0),"")=H117,IF(AND(A117&lt;&gt;"",E117&lt;&gt;""),"Saved","Pending"),"🔒 BLOCKED — Wrong Code")))</f>
        <v/>
      </c>
      <c r="J117" s="493">
        <f>IF(I117="Saved",TEXT(TODAY(),"YYYY-MM-DD")&amp;" Auto","—")</f>
        <v/>
      </c>
      <c r="K117" s="494" t="n"/>
    </row>
    <row r="118" ht="15" customHeight="1" s="341">
      <c r="A118" s="495" t="n"/>
      <c r="B118" s="382">
        <f>IF(A118="","",IFERROR(VLOOKUP(A118,DB_Customers!$A:$D,4,0),"❌ Account Not Found"))</f>
        <v/>
      </c>
      <c r="C118" s="496">
        <f>IF(A118="","",IFERROR(VLOOKUP(A118,DB_Customers!$A:$N,14,0),""))</f>
        <v/>
      </c>
      <c r="D118" s="497">
        <f>IF(A118="","",TODAY())</f>
        <v/>
      </c>
      <c r="E118" s="489" t="n"/>
      <c r="F118" s="498">
        <f>IF(OR(A118="",E118=""),"",IF(C118="","",C118+E118))</f>
        <v/>
      </c>
      <c r="G118" s="384" t="inlineStr">
        <is>
          <t>Agent 10</t>
        </is>
      </c>
      <c r="H118" s="491" t="n"/>
      <c r="I118" s="499">
        <f>IF(A118="","Pending",IF(H118="","⚠️ Enter Code",IF(IFERROR(VLOOKUP(G118,DB_Agents!$B:$I,8,0),"")=H118,IF(AND(A118&lt;&gt;"",E118&lt;&gt;""),"Saved","Pending"),"🔒 BLOCKED — Wrong Code")))</f>
        <v/>
      </c>
      <c r="J118" s="500">
        <f>IF(I118="Saved",TEXT(TODAY(),"YYYY-MM-DD")&amp;" Auto","—")</f>
        <v/>
      </c>
      <c r="K118" s="501" t="n"/>
    </row>
    <row r="119" ht="15" customHeight="1" s="341">
      <c r="A119" s="486" t="n"/>
      <c r="B119" s="378">
        <f>IF(A119="","",IFERROR(VLOOKUP(A119,DB_Customers!$A:$D,4,0),"❌ Account Not Found"))</f>
        <v/>
      </c>
      <c r="C119" s="487">
        <f>IF(A119="","",IFERROR(VLOOKUP(A119,DB_Customers!$A:$N,14,0),""))</f>
        <v/>
      </c>
      <c r="D119" s="488">
        <f>IF(A119="","",TODAY())</f>
        <v/>
      </c>
      <c r="E119" s="489" t="n"/>
      <c r="F119" s="490">
        <f>IF(OR(A119="",E119=""),"",IF(C119="","",C119+E119))</f>
        <v/>
      </c>
      <c r="G119" s="380" t="inlineStr">
        <is>
          <t>Agent 10</t>
        </is>
      </c>
      <c r="H119" s="491" t="n"/>
      <c r="I119" s="492">
        <f>IF(A119="","Pending",IF(H119="","⚠️ Enter Code",IF(IFERROR(VLOOKUP(G119,DB_Agents!$B:$I,8,0),"")=H119,IF(AND(A119&lt;&gt;"",E119&lt;&gt;""),"Saved","Pending"),"🔒 BLOCKED — Wrong Code")))</f>
        <v/>
      </c>
      <c r="J119" s="493">
        <f>IF(I119="Saved",TEXT(TODAY(),"YYYY-MM-DD")&amp;" Auto","—")</f>
        <v/>
      </c>
      <c r="K119" s="494" t="n"/>
    </row>
    <row r="120" ht="15" customHeight="1" s="341">
      <c r="A120" s="495" t="n"/>
      <c r="B120" s="382">
        <f>IF(A120="","",IFERROR(VLOOKUP(A120,DB_Customers!$A:$D,4,0),"❌ Account Not Found"))</f>
        <v/>
      </c>
      <c r="C120" s="496">
        <f>IF(A120="","",IFERROR(VLOOKUP(A120,DB_Customers!$A:$N,14,0),""))</f>
        <v/>
      </c>
      <c r="D120" s="497">
        <f>IF(A120="","",TODAY())</f>
        <v/>
      </c>
      <c r="E120" s="489" t="n"/>
      <c r="F120" s="498">
        <f>IF(OR(A120="",E120=""),"",IF(C120="","",C120+E120))</f>
        <v/>
      </c>
      <c r="G120" s="384" t="inlineStr">
        <is>
          <t>Agent 10</t>
        </is>
      </c>
      <c r="H120" s="491" t="n"/>
      <c r="I120" s="499">
        <f>IF(A120="","Pending",IF(H120="","⚠️ Enter Code",IF(IFERROR(VLOOKUP(G120,DB_Agents!$B:$I,8,0),"")=H120,IF(AND(A120&lt;&gt;"",E120&lt;&gt;""),"Saved","Pending"),"🔒 BLOCKED — Wrong Code")))</f>
        <v/>
      </c>
      <c r="J120" s="500">
        <f>IF(I120="Saved",TEXT(TODAY(),"YYYY-MM-DD")&amp;" Auto","—")</f>
        <v/>
      </c>
      <c r="K120" s="501" t="n"/>
    </row>
    <row r="121" ht="15" customHeight="1" s="341">
      <c r="A121" s="486" t="n"/>
      <c r="B121" s="378">
        <f>IF(A121="","",IFERROR(VLOOKUP(A121,DB_Customers!$A:$D,4,0),"❌ Account Not Found"))</f>
        <v/>
      </c>
      <c r="C121" s="487">
        <f>IF(A121="","",IFERROR(VLOOKUP(A121,DB_Customers!$A:$N,14,0),""))</f>
        <v/>
      </c>
      <c r="D121" s="488">
        <f>IF(A121="","",TODAY())</f>
        <v/>
      </c>
      <c r="E121" s="489" t="n"/>
      <c r="F121" s="490">
        <f>IF(OR(A121="",E121=""),"",IF(C121="","",C121+E121))</f>
        <v/>
      </c>
      <c r="G121" s="380" t="inlineStr">
        <is>
          <t>Agent 10</t>
        </is>
      </c>
      <c r="H121" s="491" t="n"/>
      <c r="I121" s="492">
        <f>IF(A121="","Pending",IF(H121="","⚠️ Enter Code",IF(IFERROR(VLOOKUP(G121,DB_Agents!$B:$I,8,0),"")=H121,IF(AND(A121&lt;&gt;"",E121&lt;&gt;""),"Saved","Pending"),"🔒 BLOCKED — Wrong Code")))</f>
        <v/>
      </c>
      <c r="J121" s="493">
        <f>IF(I121="Saved",TEXT(TODAY(),"YYYY-MM-DD")&amp;" Auto","—")</f>
        <v/>
      </c>
      <c r="K121" s="494" t="n"/>
    </row>
    <row r="122" ht="15" customHeight="1" s="341">
      <c r="A122" s="495" t="n"/>
      <c r="B122" s="382">
        <f>IF(A122="","",IFERROR(VLOOKUP(A122,DB_Customers!$A:$D,4,0),"❌ Account Not Found"))</f>
        <v/>
      </c>
      <c r="C122" s="496">
        <f>IF(A122="","",IFERROR(VLOOKUP(A122,DB_Customers!$A:$N,14,0),""))</f>
        <v/>
      </c>
      <c r="D122" s="497">
        <f>IF(A122="","",TODAY())</f>
        <v/>
      </c>
      <c r="E122" s="489" t="n"/>
      <c r="F122" s="498">
        <f>IF(OR(A122="",E122=""),"",IF(C122="","",C122+E122))</f>
        <v/>
      </c>
      <c r="G122" s="384" t="inlineStr">
        <is>
          <t>Agent 10</t>
        </is>
      </c>
      <c r="H122" s="491" t="n"/>
      <c r="I122" s="499">
        <f>IF(A122="","Pending",IF(H122="","⚠️ Enter Code",IF(IFERROR(VLOOKUP(G122,DB_Agents!$B:$I,8,0),"")=H122,IF(AND(A122&lt;&gt;"",E122&lt;&gt;""),"Saved","Pending"),"🔒 BLOCKED — Wrong Code")))</f>
        <v/>
      </c>
      <c r="J122" s="500">
        <f>IF(I122="Saved",TEXT(TODAY(),"YYYY-MM-DD")&amp;" Auto","—")</f>
        <v/>
      </c>
      <c r="K122" s="501" t="n"/>
    </row>
    <row r="123" ht="15" customHeight="1" s="341">
      <c r="A123" s="486" t="n"/>
      <c r="B123" s="378">
        <f>IF(A123="","",IFERROR(VLOOKUP(A123,DB_Customers!$A:$D,4,0),"❌ Account Not Found"))</f>
        <v/>
      </c>
      <c r="C123" s="487">
        <f>IF(A123="","",IFERROR(VLOOKUP(A123,DB_Customers!$A:$N,14,0),""))</f>
        <v/>
      </c>
      <c r="D123" s="488">
        <f>IF(A123="","",TODAY())</f>
        <v/>
      </c>
      <c r="E123" s="489" t="n"/>
      <c r="F123" s="490">
        <f>IF(OR(A123="",E123=""),"",IF(C123="","",C123+E123))</f>
        <v/>
      </c>
      <c r="G123" s="380" t="inlineStr">
        <is>
          <t>Agent 10</t>
        </is>
      </c>
      <c r="H123" s="491" t="n"/>
      <c r="I123" s="492">
        <f>IF(A123="","Pending",IF(H123="","⚠️ Enter Code",IF(IFERROR(VLOOKUP(G123,DB_Agents!$B:$I,8,0),"")=H123,IF(AND(A123&lt;&gt;"",E123&lt;&gt;""),"Saved","Pending"),"🔒 BLOCKED — Wrong Code")))</f>
        <v/>
      </c>
      <c r="J123" s="493">
        <f>IF(I123="Saved",TEXT(TODAY(),"YYYY-MM-DD")&amp;" Auto","—")</f>
        <v/>
      </c>
      <c r="K123" s="494" t="n"/>
    </row>
    <row r="124" ht="15" customHeight="1" s="341">
      <c r="A124" s="495" t="n"/>
      <c r="B124" s="382">
        <f>IF(A124="","",IFERROR(VLOOKUP(A124,DB_Customers!$A:$D,4,0),"❌ Account Not Found"))</f>
        <v/>
      </c>
      <c r="C124" s="496">
        <f>IF(A124="","",IFERROR(VLOOKUP(A124,DB_Customers!$A:$N,14,0),""))</f>
        <v/>
      </c>
      <c r="D124" s="497">
        <f>IF(A124="","",TODAY())</f>
        <v/>
      </c>
      <c r="E124" s="489" t="n"/>
      <c r="F124" s="498">
        <f>IF(OR(A124="",E124=""),"",IF(C124="","",C124+E124))</f>
        <v/>
      </c>
      <c r="G124" s="384" t="inlineStr">
        <is>
          <t>Agent 10</t>
        </is>
      </c>
      <c r="H124" s="491" t="n"/>
      <c r="I124" s="499">
        <f>IF(A124="","Pending",IF(H124="","⚠️ Enter Code",IF(IFERROR(VLOOKUP(G124,DB_Agents!$B:$I,8,0),"")=H124,IF(AND(A124&lt;&gt;"",E124&lt;&gt;""),"Saved","Pending"),"🔒 BLOCKED — Wrong Code")))</f>
        <v/>
      </c>
      <c r="J124" s="500">
        <f>IF(I124="Saved",TEXT(TODAY(),"YYYY-MM-DD")&amp;" Auto","—")</f>
        <v/>
      </c>
      <c r="K124" s="501" t="n"/>
    </row>
    <row r="125" ht="15" customHeight="1" s="341">
      <c r="A125" s="486" t="n"/>
      <c r="B125" s="378">
        <f>IF(A125="","",IFERROR(VLOOKUP(A125,DB_Customers!$A:$D,4,0),"❌ Account Not Found"))</f>
        <v/>
      </c>
      <c r="C125" s="487">
        <f>IF(A125="","",IFERROR(VLOOKUP(A125,DB_Customers!$A:$N,14,0),""))</f>
        <v/>
      </c>
      <c r="D125" s="488">
        <f>IF(A125="","",TODAY())</f>
        <v/>
      </c>
      <c r="E125" s="489" t="n"/>
      <c r="F125" s="490">
        <f>IF(OR(A125="",E125=""),"",IF(C125="","",C125+E125))</f>
        <v/>
      </c>
      <c r="G125" s="380" t="inlineStr">
        <is>
          <t>Agent 10</t>
        </is>
      </c>
      <c r="H125" s="491" t="n"/>
      <c r="I125" s="492">
        <f>IF(A125="","Pending",IF(H125="","⚠️ Enter Code",IF(IFERROR(VLOOKUP(G125,DB_Agents!$B:$I,8,0),"")=H125,IF(AND(A125&lt;&gt;"",E125&lt;&gt;""),"Saved","Pending"),"🔒 BLOCKED — Wrong Code")))</f>
        <v/>
      </c>
      <c r="J125" s="493">
        <f>IF(I125="Saved",TEXT(TODAY(),"YYYY-MM-DD")&amp;" Auto","—")</f>
        <v/>
      </c>
      <c r="K125" s="494" t="n"/>
    </row>
    <row r="126" ht="15" customHeight="1" s="341">
      <c r="A126" s="495" t="n"/>
      <c r="B126" s="382">
        <f>IF(A126="","",IFERROR(VLOOKUP(A126,DB_Customers!$A:$D,4,0),"❌ Account Not Found"))</f>
        <v/>
      </c>
      <c r="C126" s="496">
        <f>IF(A126="","",IFERROR(VLOOKUP(A126,DB_Customers!$A:$N,14,0),""))</f>
        <v/>
      </c>
      <c r="D126" s="497">
        <f>IF(A126="","",TODAY())</f>
        <v/>
      </c>
      <c r="E126" s="489" t="n"/>
      <c r="F126" s="498">
        <f>IF(OR(A126="",E126=""),"",IF(C126="","",C126+E126))</f>
        <v/>
      </c>
      <c r="G126" s="384" t="inlineStr">
        <is>
          <t>Agent 10</t>
        </is>
      </c>
      <c r="H126" s="491" t="n"/>
      <c r="I126" s="499">
        <f>IF(A126="","Pending",IF(H126="","⚠️ Enter Code",IF(IFERROR(VLOOKUP(G126,DB_Agents!$B:$I,8,0),"")=H126,IF(AND(A126&lt;&gt;"",E126&lt;&gt;""),"Saved","Pending"),"🔒 BLOCKED — Wrong Code")))</f>
        <v/>
      </c>
      <c r="J126" s="500">
        <f>IF(I126="Saved",TEXT(TODAY(),"YYYY-MM-DD")&amp;" Auto","—")</f>
        <v/>
      </c>
      <c r="K126" s="501" t="n"/>
    </row>
    <row r="127" ht="15" customHeight="1" s="341">
      <c r="A127" s="486" t="n"/>
      <c r="B127" s="378">
        <f>IF(A127="","",IFERROR(VLOOKUP(A127,DB_Customers!$A:$D,4,0),"❌ Account Not Found"))</f>
        <v/>
      </c>
      <c r="C127" s="487">
        <f>IF(A127="","",IFERROR(VLOOKUP(A127,DB_Customers!$A:$N,14,0),""))</f>
        <v/>
      </c>
      <c r="D127" s="488">
        <f>IF(A127="","",TODAY())</f>
        <v/>
      </c>
      <c r="E127" s="489" t="n"/>
      <c r="F127" s="490">
        <f>IF(OR(A127="",E127=""),"",IF(C127="","",C127+E127))</f>
        <v/>
      </c>
      <c r="G127" s="380" t="inlineStr">
        <is>
          <t>Agent 10</t>
        </is>
      </c>
      <c r="H127" s="491" t="n"/>
      <c r="I127" s="492">
        <f>IF(A127="","Pending",IF(H127="","⚠️ Enter Code",IF(IFERROR(VLOOKUP(G127,DB_Agents!$B:$I,8,0),"")=H127,IF(AND(A127&lt;&gt;"",E127&lt;&gt;""),"Saved","Pending"),"🔒 BLOCKED — Wrong Code")))</f>
        <v/>
      </c>
      <c r="J127" s="493">
        <f>IF(I127="Saved",TEXT(TODAY(),"YYYY-MM-DD")&amp;" Auto","—")</f>
        <v/>
      </c>
      <c r="K127" s="494" t="n"/>
    </row>
    <row r="128" ht="15" customHeight="1" s="341">
      <c r="A128" s="495" t="n"/>
      <c r="B128" s="382">
        <f>IF(A128="","",IFERROR(VLOOKUP(A128,DB_Customers!$A:$D,4,0),"❌ Account Not Found"))</f>
        <v/>
      </c>
      <c r="C128" s="496">
        <f>IF(A128="","",IFERROR(VLOOKUP(A128,DB_Customers!$A:$N,14,0),""))</f>
        <v/>
      </c>
      <c r="D128" s="497">
        <f>IF(A128="","",TODAY())</f>
        <v/>
      </c>
      <c r="E128" s="489" t="n"/>
      <c r="F128" s="498">
        <f>IF(OR(A128="",E128=""),"",IF(C128="","",C128+E128))</f>
        <v/>
      </c>
      <c r="G128" s="384" t="inlineStr">
        <is>
          <t>Agent 10</t>
        </is>
      </c>
      <c r="H128" s="491" t="n"/>
      <c r="I128" s="499">
        <f>IF(A128="","Pending",IF(H128="","⚠️ Enter Code",IF(IFERROR(VLOOKUP(G128,DB_Agents!$B:$I,8,0),"")=H128,IF(AND(A128&lt;&gt;"",E128&lt;&gt;""),"Saved","Pending"),"🔒 BLOCKED — Wrong Code")))</f>
        <v/>
      </c>
      <c r="J128" s="500">
        <f>IF(I128="Saved",TEXT(TODAY(),"YYYY-MM-DD")&amp;" Auto","—")</f>
        <v/>
      </c>
      <c r="K128" s="501" t="n"/>
    </row>
    <row r="129" ht="15" customHeight="1" s="341">
      <c r="A129" s="486" t="n"/>
      <c r="B129" s="378">
        <f>IF(A129="","",IFERROR(VLOOKUP(A129,DB_Customers!$A:$D,4,0),"❌ Account Not Found"))</f>
        <v/>
      </c>
      <c r="C129" s="487">
        <f>IF(A129="","",IFERROR(VLOOKUP(A129,DB_Customers!$A:$N,14,0),""))</f>
        <v/>
      </c>
      <c r="D129" s="488">
        <f>IF(A129="","",TODAY())</f>
        <v/>
      </c>
      <c r="E129" s="489" t="n"/>
      <c r="F129" s="490">
        <f>IF(OR(A129="",E129=""),"",IF(C129="","",C129+E129))</f>
        <v/>
      </c>
      <c r="G129" s="380" t="inlineStr">
        <is>
          <t>Agent 10</t>
        </is>
      </c>
      <c r="H129" s="491" t="n"/>
      <c r="I129" s="492">
        <f>IF(A129="","Pending",IF(H129="","⚠️ Enter Code",IF(IFERROR(VLOOKUP(G129,DB_Agents!$B:$I,8,0),"")=H129,IF(AND(A129&lt;&gt;"",E129&lt;&gt;""),"Saved","Pending"),"🔒 BLOCKED — Wrong Code")))</f>
        <v/>
      </c>
      <c r="J129" s="493">
        <f>IF(I129="Saved",TEXT(TODAY(),"YYYY-MM-DD")&amp;" Auto","—")</f>
        <v/>
      </c>
      <c r="K129" s="494" t="n"/>
    </row>
    <row r="130" ht="15" customHeight="1" s="341">
      <c r="A130" s="495" t="n"/>
      <c r="B130" s="382">
        <f>IF(A130="","",IFERROR(VLOOKUP(A130,DB_Customers!$A:$D,4,0),"❌ Account Not Found"))</f>
        <v/>
      </c>
      <c r="C130" s="496">
        <f>IF(A130="","",IFERROR(VLOOKUP(A130,DB_Customers!$A:$N,14,0),""))</f>
        <v/>
      </c>
      <c r="D130" s="497">
        <f>IF(A130="","",TODAY())</f>
        <v/>
      </c>
      <c r="E130" s="489" t="n"/>
      <c r="F130" s="498">
        <f>IF(OR(A130="",E130=""),"",IF(C130="","",C130+E130))</f>
        <v/>
      </c>
      <c r="G130" s="384" t="inlineStr">
        <is>
          <t>Agent 10</t>
        </is>
      </c>
      <c r="H130" s="491" t="n"/>
      <c r="I130" s="499">
        <f>IF(A130="","Pending",IF(H130="","⚠️ Enter Code",IF(IFERROR(VLOOKUP(G130,DB_Agents!$B:$I,8,0),"")=H130,IF(AND(A130&lt;&gt;"",E130&lt;&gt;""),"Saved","Pending"),"🔒 BLOCKED — Wrong Code")))</f>
        <v/>
      </c>
      <c r="J130" s="500">
        <f>IF(I130="Saved",TEXT(TODAY(),"YYYY-MM-DD")&amp;" Auto","—")</f>
        <v/>
      </c>
      <c r="K130" s="501" t="n"/>
    </row>
    <row r="131" ht="15" customHeight="1" s="341">
      <c r="A131" s="486" t="n"/>
      <c r="B131" s="378">
        <f>IF(A131="","",IFERROR(VLOOKUP(A131,DB_Customers!$A:$D,4,0),"❌ Account Not Found"))</f>
        <v/>
      </c>
      <c r="C131" s="487">
        <f>IF(A131="","",IFERROR(VLOOKUP(A131,DB_Customers!$A:$N,14,0),""))</f>
        <v/>
      </c>
      <c r="D131" s="488">
        <f>IF(A131="","",TODAY())</f>
        <v/>
      </c>
      <c r="E131" s="489" t="n"/>
      <c r="F131" s="490">
        <f>IF(OR(A131="",E131=""),"",IF(C131="","",C131+E131))</f>
        <v/>
      </c>
      <c r="G131" s="380" t="inlineStr">
        <is>
          <t>Agent 10</t>
        </is>
      </c>
      <c r="H131" s="491" t="n"/>
      <c r="I131" s="492">
        <f>IF(A131="","Pending",IF(H131="","⚠️ Enter Code",IF(IFERROR(VLOOKUP(G131,DB_Agents!$B:$I,8,0),"")=H131,IF(AND(A131&lt;&gt;"",E131&lt;&gt;""),"Saved","Pending"),"🔒 BLOCKED — Wrong Code")))</f>
        <v/>
      </c>
      <c r="J131" s="493">
        <f>IF(I131="Saved",TEXT(TODAY(),"YYYY-MM-DD")&amp;" Auto","—")</f>
        <v/>
      </c>
      <c r="K131" s="494" t="n"/>
    </row>
    <row r="132" ht="15" customHeight="1" s="341">
      <c r="A132" s="495" t="n"/>
      <c r="B132" s="382">
        <f>IF(A132="","",IFERROR(VLOOKUP(A132,DB_Customers!$A:$D,4,0),"❌ Account Not Found"))</f>
        <v/>
      </c>
      <c r="C132" s="496">
        <f>IF(A132="","",IFERROR(VLOOKUP(A132,DB_Customers!$A:$N,14,0),""))</f>
        <v/>
      </c>
      <c r="D132" s="497">
        <f>IF(A132="","",TODAY())</f>
        <v/>
      </c>
      <c r="E132" s="489" t="n"/>
      <c r="F132" s="498">
        <f>IF(OR(A132="",E132=""),"",IF(C132="","",C132+E132))</f>
        <v/>
      </c>
      <c r="G132" s="384" t="inlineStr">
        <is>
          <t>Agent 10</t>
        </is>
      </c>
      <c r="H132" s="491" t="n"/>
      <c r="I132" s="499">
        <f>IF(A132="","Pending",IF(H132="","⚠️ Enter Code",IF(IFERROR(VLOOKUP(G132,DB_Agents!$B:$I,8,0),"")=H132,IF(AND(A132&lt;&gt;"",E132&lt;&gt;""),"Saved","Pending"),"🔒 BLOCKED — Wrong Code")))</f>
        <v/>
      </c>
      <c r="J132" s="500">
        <f>IF(I132="Saved",TEXT(TODAY(),"YYYY-MM-DD")&amp;" Auto","—")</f>
        <v/>
      </c>
      <c r="K132" s="501" t="n"/>
    </row>
    <row r="133" ht="15" customHeight="1" s="341">
      <c r="A133" s="486" t="n"/>
      <c r="B133" s="378">
        <f>IF(A133="","",IFERROR(VLOOKUP(A133,DB_Customers!$A:$D,4,0),"❌ Account Not Found"))</f>
        <v/>
      </c>
      <c r="C133" s="487">
        <f>IF(A133="","",IFERROR(VLOOKUP(A133,DB_Customers!$A:$N,14,0),""))</f>
        <v/>
      </c>
      <c r="D133" s="488">
        <f>IF(A133="","",TODAY())</f>
        <v/>
      </c>
      <c r="E133" s="489" t="n"/>
      <c r="F133" s="490">
        <f>IF(OR(A133="",E133=""),"",IF(C133="","",C133+E133))</f>
        <v/>
      </c>
      <c r="G133" s="380" t="inlineStr">
        <is>
          <t>Agent 10</t>
        </is>
      </c>
      <c r="H133" s="491" t="n"/>
      <c r="I133" s="492">
        <f>IF(A133="","Pending",IF(H133="","⚠️ Enter Code",IF(IFERROR(VLOOKUP(G133,DB_Agents!$B:$I,8,0),"")=H133,IF(AND(A133&lt;&gt;"",E133&lt;&gt;""),"Saved","Pending"),"🔒 BLOCKED — Wrong Code")))</f>
        <v/>
      </c>
      <c r="J133" s="493">
        <f>IF(I133="Saved",TEXT(TODAY(),"YYYY-MM-DD")&amp;" Auto","—")</f>
        <v/>
      </c>
      <c r="K133" s="494" t="n"/>
    </row>
    <row r="134" ht="15" customHeight="1" s="341">
      <c r="A134" s="495" t="n"/>
      <c r="B134" s="382">
        <f>IF(A134="","",IFERROR(VLOOKUP(A134,DB_Customers!$A:$D,4,0),"❌ Account Not Found"))</f>
        <v/>
      </c>
      <c r="C134" s="496">
        <f>IF(A134="","",IFERROR(VLOOKUP(A134,DB_Customers!$A:$N,14,0),""))</f>
        <v/>
      </c>
      <c r="D134" s="497">
        <f>IF(A134="","",TODAY())</f>
        <v/>
      </c>
      <c r="E134" s="489" t="n"/>
      <c r="F134" s="498">
        <f>IF(OR(A134="",E134=""),"",IF(C134="","",C134+E134))</f>
        <v/>
      </c>
      <c r="G134" s="384" t="inlineStr">
        <is>
          <t>Agent 10</t>
        </is>
      </c>
      <c r="H134" s="491" t="n"/>
      <c r="I134" s="499">
        <f>IF(A134="","Pending",IF(H134="","⚠️ Enter Code",IF(IFERROR(VLOOKUP(G134,DB_Agents!$B:$I,8,0),"")=H134,IF(AND(A134&lt;&gt;"",E134&lt;&gt;""),"Saved","Pending"),"🔒 BLOCKED — Wrong Code")))</f>
        <v/>
      </c>
      <c r="J134" s="500">
        <f>IF(I134="Saved",TEXT(TODAY(),"YYYY-MM-DD")&amp;" Auto","—")</f>
        <v/>
      </c>
      <c r="K134" s="501" t="n"/>
    </row>
    <row r="135" ht="15" customHeight="1" s="341">
      <c r="A135" s="486" t="n"/>
      <c r="B135" s="378">
        <f>IF(A135="","",IFERROR(VLOOKUP(A135,DB_Customers!$A:$D,4,0),"❌ Account Not Found"))</f>
        <v/>
      </c>
      <c r="C135" s="487">
        <f>IF(A135="","",IFERROR(VLOOKUP(A135,DB_Customers!$A:$N,14,0),""))</f>
        <v/>
      </c>
      <c r="D135" s="488">
        <f>IF(A135="","",TODAY())</f>
        <v/>
      </c>
      <c r="E135" s="489" t="n"/>
      <c r="F135" s="490">
        <f>IF(OR(A135="",E135=""),"",IF(C135="","",C135+E135))</f>
        <v/>
      </c>
      <c r="G135" s="380" t="inlineStr">
        <is>
          <t>Agent 10</t>
        </is>
      </c>
      <c r="H135" s="491" t="n"/>
      <c r="I135" s="492">
        <f>IF(A135="","Pending",IF(H135="","⚠️ Enter Code",IF(IFERROR(VLOOKUP(G135,DB_Agents!$B:$I,8,0),"")=H135,IF(AND(A135&lt;&gt;"",E135&lt;&gt;""),"Saved","Pending"),"🔒 BLOCKED — Wrong Code")))</f>
        <v/>
      </c>
      <c r="J135" s="493">
        <f>IF(I135="Saved",TEXT(TODAY(),"YYYY-MM-DD")&amp;" Auto","—")</f>
        <v/>
      </c>
      <c r="K135" s="494" t="n"/>
    </row>
    <row r="136" ht="15" customHeight="1" s="341">
      <c r="A136" s="495" t="n"/>
      <c r="B136" s="382">
        <f>IF(A136="","",IFERROR(VLOOKUP(A136,DB_Customers!$A:$D,4,0),"❌ Account Not Found"))</f>
        <v/>
      </c>
      <c r="C136" s="496">
        <f>IF(A136="","",IFERROR(VLOOKUP(A136,DB_Customers!$A:$N,14,0),""))</f>
        <v/>
      </c>
      <c r="D136" s="497">
        <f>IF(A136="","",TODAY())</f>
        <v/>
      </c>
      <c r="E136" s="489" t="n"/>
      <c r="F136" s="498">
        <f>IF(OR(A136="",E136=""),"",IF(C136="","",C136+E136))</f>
        <v/>
      </c>
      <c r="G136" s="384" t="inlineStr">
        <is>
          <t>Agent 10</t>
        </is>
      </c>
      <c r="H136" s="491" t="n"/>
      <c r="I136" s="499">
        <f>IF(A136="","Pending",IF(H136="","⚠️ Enter Code",IF(IFERROR(VLOOKUP(G136,DB_Agents!$B:$I,8,0),"")=H136,IF(AND(A136&lt;&gt;"",E136&lt;&gt;""),"Saved","Pending"),"🔒 BLOCKED — Wrong Code")))</f>
        <v/>
      </c>
      <c r="J136" s="500">
        <f>IF(I136="Saved",TEXT(TODAY(),"YYYY-MM-DD")&amp;" Auto","—")</f>
        <v/>
      </c>
      <c r="K136" s="501" t="n"/>
    </row>
    <row r="137" ht="15" customHeight="1" s="341">
      <c r="A137" s="486" t="n"/>
      <c r="B137" s="378">
        <f>IF(A137="","",IFERROR(VLOOKUP(A137,DB_Customers!$A:$D,4,0),"❌ Account Not Found"))</f>
        <v/>
      </c>
      <c r="C137" s="487">
        <f>IF(A137="","",IFERROR(VLOOKUP(A137,DB_Customers!$A:$N,14,0),""))</f>
        <v/>
      </c>
      <c r="D137" s="488">
        <f>IF(A137="","",TODAY())</f>
        <v/>
      </c>
      <c r="E137" s="489" t="n"/>
      <c r="F137" s="490">
        <f>IF(OR(A137="",E137=""),"",IF(C137="","",C137+E137))</f>
        <v/>
      </c>
      <c r="G137" s="380" t="inlineStr">
        <is>
          <t>Agent 10</t>
        </is>
      </c>
      <c r="H137" s="491" t="n"/>
      <c r="I137" s="492">
        <f>IF(A137="","Pending",IF(H137="","⚠️ Enter Code",IF(IFERROR(VLOOKUP(G137,DB_Agents!$B:$I,8,0),"")=H137,IF(AND(A137&lt;&gt;"",E137&lt;&gt;""),"Saved","Pending"),"🔒 BLOCKED — Wrong Code")))</f>
        <v/>
      </c>
      <c r="J137" s="493">
        <f>IF(I137="Saved",TEXT(TODAY(),"YYYY-MM-DD")&amp;" Auto","—")</f>
        <v/>
      </c>
      <c r="K137" s="494" t="n"/>
    </row>
    <row r="138" ht="15" customHeight="1" s="341">
      <c r="A138" s="495" t="n"/>
      <c r="B138" s="382">
        <f>IF(A138="","",IFERROR(VLOOKUP(A138,DB_Customers!$A:$D,4,0),"❌ Account Not Found"))</f>
        <v/>
      </c>
      <c r="C138" s="496">
        <f>IF(A138="","",IFERROR(VLOOKUP(A138,DB_Customers!$A:$N,14,0),""))</f>
        <v/>
      </c>
      <c r="D138" s="497">
        <f>IF(A138="","",TODAY())</f>
        <v/>
      </c>
      <c r="E138" s="489" t="n"/>
      <c r="F138" s="498">
        <f>IF(OR(A138="",E138=""),"",IF(C138="","",C138+E138))</f>
        <v/>
      </c>
      <c r="G138" s="384" t="inlineStr">
        <is>
          <t>Agent 10</t>
        </is>
      </c>
      <c r="H138" s="491" t="n"/>
      <c r="I138" s="499">
        <f>IF(A138="","Pending",IF(H138="","⚠️ Enter Code",IF(IFERROR(VLOOKUP(G138,DB_Agents!$B:$I,8,0),"")=H138,IF(AND(A138&lt;&gt;"",E138&lt;&gt;""),"Saved","Pending"),"🔒 BLOCKED — Wrong Code")))</f>
        <v/>
      </c>
      <c r="J138" s="500">
        <f>IF(I138="Saved",TEXT(TODAY(),"YYYY-MM-DD")&amp;" Auto","—")</f>
        <v/>
      </c>
      <c r="K138" s="501" t="n"/>
    </row>
    <row r="139" ht="15" customHeight="1" s="341">
      <c r="A139" s="486" t="n"/>
      <c r="B139" s="378">
        <f>IF(A139="","",IFERROR(VLOOKUP(A139,DB_Customers!$A:$D,4,0),"❌ Account Not Found"))</f>
        <v/>
      </c>
      <c r="C139" s="487">
        <f>IF(A139="","",IFERROR(VLOOKUP(A139,DB_Customers!$A:$N,14,0),""))</f>
        <v/>
      </c>
      <c r="D139" s="488">
        <f>IF(A139="","",TODAY())</f>
        <v/>
      </c>
      <c r="E139" s="489" t="n"/>
      <c r="F139" s="490">
        <f>IF(OR(A139="",E139=""),"",IF(C139="","",C139+E139))</f>
        <v/>
      </c>
      <c r="G139" s="380" t="inlineStr">
        <is>
          <t>Agent 10</t>
        </is>
      </c>
      <c r="H139" s="491" t="n"/>
      <c r="I139" s="492">
        <f>IF(A139="","Pending",IF(H139="","⚠️ Enter Code",IF(IFERROR(VLOOKUP(G139,DB_Agents!$B:$I,8,0),"")=H139,IF(AND(A139&lt;&gt;"",E139&lt;&gt;""),"Saved","Pending"),"🔒 BLOCKED — Wrong Code")))</f>
        <v/>
      </c>
      <c r="J139" s="493">
        <f>IF(I139="Saved",TEXT(TODAY(),"YYYY-MM-DD")&amp;" Auto","—")</f>
        <v/>
      </c>
      <c r="K139" s="494" t="n"/>
    </row>
    <row r="140" ht="15" customHeight="1" s="341">
      <c r="A140" s="495" t="n"/>
      <c r="B140" s="382">
        <f>IF(A140="","",IFERROR(VLOOKUP(A140,DB_Customers!$A:$D,4,0),"❌ Account Not Found"))</f>
        <v/>
      </c>
      <c r="C140" s="496">
        <f>IF(A140="","",IFERROR(VLOOKUP(A140,DB_Customers!$A:$N,14,0),""))</f>
        <v/>
      </c>
      <c r="D140" s="497">
        <f>IF(A140="","",TODAY())</f>
        <v/>
      </c>
      <c r="E140" s="489" t="n"/>
      <c r="F140" s="498">
        <f>IF(OR(A140="",E140=""),"",IF(C140="","",C140+E140))</f>
        <v/>
      </c>
      <c r="G140" s="384" t="inlineStr">
        <is>
          <t>Agent 10</t>
        </is>
      </c>
      <c r="H140" s="491" t="n"/>
      <c r="I140" s="499">
        <f>IF(A140="","Pending",IF(H140="","⚠️ Enter Code",IF(IFERROR(VLOOKUP(G140,DB_Agents!$B:$I,8,0),"")=H140,IF(AND(A140&lt;&gt;"",E140&lt;&gt;""),"Saved","Pending"),"🔒 BLOCKED — Wrong Code")))</f>
        <v/>
      </c>
      <c r="J140" s="500">
        <f>IF(I140="Saved",TEXT(TODAY(),"YYYY-MM-DD")&amp;" Auto","—")</f>
        <v/>
      </c>
      <c r="K140" s="501" t="n"/>
    </row>
    <row r="141" ht="15" customHeight="1" s="341">
      <c r="A141" s="486" t="n"/>
      <c r="B141" s="378">
        <f>IF(A141="","",IFERROR(VLOOKUP(A141,DB_Customers!$A:$D,4,0),"❌ Account Not Found"))</f>
        <v/>
      </c>
      <c r="C141" s="487">
        <f>IF(A141="","",IFERROR(VLOOKUP(A141,DB_Customers!$A:$N,14,0),""))</f>
        <v/>
      </c>
      <c r="D141" s="488">
        <f>IF(A141="","",TODAY())</f>
        <v/>
      </c>
      <c r="E141" s="489" t="n"/>
      <c r="F141" s="490">
        <f>IF(OR(A141="",E141=""),"",IF(C141="","",C141+E141))</f>
        <v/>
      </c>
      <c r="G141" s="380" t="inlineStr">
        <is>
          <t>Agent 10</t>
        </is>
      </c>
      <c r="H141" s="491" t="n"/>
      <c r="I141" s="492">
        <f>IF(A141="","Pending",IF(H141="","⚠️ Enter Code",IF(IFERROR(VLOOKUP(G141,DB_Agents!$B:$I,8,0),"")=H141,IF(AND(A141&lt;&gt;"",E141&lt;&gt;""),"Saved","Pending"),"🔒 BLOCKED — Wrong Code")))</f>
        <v/>
      </c>
      <c r="J141" s="493">
        <f>IF(I141="Saved",TEXT(TODAY(),"YYYY-MM-DD")&amp;" Auto","—")</f>
        <v/>
      </c>
      <c r="K141" s="494" t="n"/>
    </row>
    <row r="142" ht="15" customHeight="1" s="341">
      <c r="A142" s="495" t="n"/>
      <c r="B142" s="382">
        <f>IF(A142="","",IFERROR(VLOOKUP(A142,DB_Customers!$A:$D,4,0),"❌ Account Not Found"))</f>
        <v/>
      </c>
      <c r="C142" s="496">
        <f>IF(A142="","",IFERROR(VLOOKUP(A142,DB_Customers!$A:$N,14,0),""))</f>
        <v/>
      </c>
      <c r="D142" s="497">
        <f>IF(A142="","",TODAY())</f>
        <v/>
      </c>
      <c r="E142" s="489" t="n"/>
      <c r="F142" s="498">
        <f>IF(OR(A142="",E142=""),"",IF(C142="","",C142+E142))</f>
        <v/>
      </c>
      <c r="G142" s="384" t="inlineStr">
        <is>
          <t>Agent 10</t>
        </is>
      </c>
      <c r="H142" s="491" t="n"/>
      <c r="I142" s="499">
        <f>IF(A142="","Pending",IF(H142="","⚠️ Enter Code",IF(IFERROR(VLOOKUP(G142,DB_Agents!$B:$I,8,0),"")=H142,IF(AND(A142&lt;&gt;"",E142&lt;&gt;""),"Saved","Pending"),"🔒 BLOCKED — Wrong Code")))</f>
        <v/>
      </c>
      <c r="J142" s="500">
        <f>IF(I142="Saved",TEXT(TODAY(),"YYYY-MM-DD")&amp;" Auto","—")</f>
        <v/>
      </c>
      <c r="K142" s="501" t="n"/>
    </row>
    <row r="143" ht="15" customHeight="1" s="341">
      <c r="A143" s="486" t="n"/>
      <c r="B143" s="378">
        <f>IF(A143="","",IFERROR(VLOOKUP(A143,DB_Customers!$A:$D,4,0),"❌ Account Not Found"))</f>
        <v/>
      </c>
      <c r="C143" s="487">
        <f>IF(A143="","",IFERROR(VLOOKUP(A143,DB_Customers!$A:$N,14,0),""))</f>
        <v/>
      </c>
      <c r="D143" s="488">
        <f>IF(A143="","",TODAY())</f>
        <v/>
      </c>
      <c r="E143" s="489" t="n"/>
      <c r="F143" s="490">
        <f>IF(OR(A143="",E143=""),"",IF(C143="","",C143+E143))</f>
        <v/>
      </c>
      <c r="G143" s="380" t="inlineStr">
        <is>
          <t>Agent 10</t>
        </is>
      </c>
      <c r="H143" s="491" t="n"/>
      <c r="I143" s="492">
        <f>IF(A143="","Pending",IF(H143="","⚠️ Enter Code",IF(IFERROR(VLOOKUP(G143,DB_Agents!$B:$I,8,0),"")=H143,IF(AND(A143&lt;&gt;"",E143&lt;&gt;""),"Saved","Pending"),"🔒 BLOCKED — Wrong Code")))</f>
        <v/>
      </c>
      <c r="J143" s="493">
        <f>IF(I143="Saved",TEXT(TODAY(),"YYYY-MM-DD")&amp;" Auto","—")</f>
        <v/>
      </c>
      <c r="K143" s="494" t="n"/>
    </row>
    <row r="144" ht="15" customHeight="1" s="341">
      <c r="A144" s="495" t="n"/>
      <c r="B144" s="382">
        <f>IF(A144="","",IFERROR(VLOOKUP(A144,DB_Customers!$A:$D,4,0),"❌ Account Not Found"))</f>
        <v/>
      </c>
      <c r="C144" s="496">
        <f>IF(A144="","",IFERROR(VLOOKUP(A144,DB_Customers!$A:$N,14,0),""))</f>
        <v/>
      </c>
      <c r="D144" s="497">
        <f>IF(A144="","",TODAY())</f>
        <v/>
      </c>
      <c r="E144" s="489" t="n"/>
      <c r="F144" s="498">
        <f>IF(OR(A144="",E144=""),"",IF(C144="","",C144+E144))</f>
        <v/>
      </c>
      <c r="G144" s="384" t="inlineStr">
        <is>
          <t>Agent 10</t>
        </is>
      </c>
      <c r="H144" s="491" t="n"/>
      <c r="I144" s="499">
        <f>IF(A144="","Pending",IF(H144="","⚠️ Enter Code",IF(IFERROR(VLOOKUP(G144,DB_Agents!$B:$I,8,0),"")=H144,IF(AND(A144&lt;&gt;"",E144&lt;&gt;""),"Saved","Pending"),"🔒 BLOCKED — Wrong Code")))</f>
        <v/>
      </c>
      <c r="J144" s="500">
        <f>IF(I144="Saved",TEXT(TODAY(),"YYYY-MM-DD")&amp;" Auto","—")</f>
        <v/>
      </c>
      <c r="K144" s="501" t="n"/>
    </row>
    <row r="145" ht="15" customHeight="1" s="341">
      <c r="A145" s="486" t="n"/>
      <c r="B145" s="378">
        <f>IF(A145="","",IFERROR(VLOOKUP(A145,DB_Customers!$A:$D,4,0),"❌ Account Not Found"))</f>
        <v/>
      </c>
      <c r="C145" s="487">
        <f>IF(A145="","",IFERROR(VLOOKUP(A145,DB_Customers!$A:$N,14,0),""))</f>
        <v/>
      </c>
      <c r="D145" s="488">
        <f>IF(A145="","",TODAY())</f>
        <v/>
      </c>
      <c r="E145" s="489" t="n"/>
      <c r="F145" s="490">
        <f>IF(OR(A145="",E145=""),"",IF(C145="","",C145+E145))</f>
        <v/>
      </c>
      <c r="G145" s="380" t="inlineStr">
        <is>
          <t>Agent 10</t>
        </is>
      </c>
      <c r="H145" s="491" t="n"/>
      <c r="I145" s="492">
        <f>IF(A145="","Pending",IF(H145="","⚠️ Enter Code",IF(IFERROR(VLOOKUP(G145,DB_Agents!$B:$I,8,0),"")=H145,IF(AND(A145&lt;&gt;"",E145&lt;&gt;""),"Saved","Pending"),"🔒 BLOCKED — Wrong Code")))</f>
        <v/>
      </c>
      <c r="J145" s="493">
        <f>IF(I145="Saved",TEXT(TODAY(),"YYYY-MM-DD")&amp;" Auto","—")</f>
        <v/>
      </c>
      <c r="K145" s="494" t="n"/>
    </row>
    <row r="146" ht="15" customHeight="1" s="341">
      <c r="A146" s="495" t="n"/>
      <c r="B146" s="382">
        <f>IF(A146="","",IFERROR(VLOOKUP(A146,DB_Customers!$A:$D,4,0),"❌ Account Not Found"))</f>
        <v/>
      </c>
      <c r="C146" s="496">
        <f>IF(A146="","",IFERROR(VLOOKUP(A146,DB_Customers!$A:$N,14,0),""))</f>
        <v/>
      </c>
      <c r="D146" s="497">
        <f>IF(A146="","",TODAY())</f>
        <v/>
      </c>
      <c r="E146" s="489" t="n"/>
      <c r="F146" s="498">
        <f>IF(OR(A146="",E146=""),"",IF(C146="","",C146+E146))</f>
        <v/>
      </c>
      <c r="G146" s="384" t="inlineStr">
        <is>
          <t>Agent 10</t>
        </is>
      </c>
      <c r="H146" s="491" t="n"/>
      <c r="I146" s="499">
        <f>IF(A146="","Pending",IF(H146="","⚠️ Enter Code",IF(IFERROR(VLOOKUP(G146,DB_Agents!$B:$I,8,0),"")=H146,IF(AND(A146&lt;&gt;"",E146&lt;&gt;""),"Saved","Pending"),"🔒 BLOCKED — Wrong Code")))</f>
        <v/>
      </c>
      <c r="J146" s="500">
        <f>IF(I146="Saved",TEXT(TODAY(),"YYYY-MM-DD")&amp;" Auto","—")</f>
        <v/>
      </c>
      <c r="K146" s="501" t="n"/>
    </row>
    <row r="147" ht="15" customHeight="1" s="341">
      <c r="A147" s="486" t="n"/>
      <c r="B147" s="378">
        <f>IF(A147="","",IFERROR(VLOOKUP(A147,DB_Customers!$A:$D,4,0),"❌ Account Not Found"))</f>
        <v/>
      </c>
      <c r="C147" s="487">
        <f>IF(A147="","",IFERROR(VLOOKUP(A147,DB_Customers!$A:$N,14,0),""))</f>
        <v/>
      </c>
      <c r="D147" s="488">
        <f>IF(A147="","",TODAY())</f>
        <v/>
      </c>
      <c r="E147" s="489" t="n"/>
      <c r="F147" s="490">
        <f>IF(OR(A147="",E147=""),"",IF(C147="","",C147+E147))</f>
        <v/>
      </c>
      <c r="G147" s="380" t="inlineStr">
        <is>
          <t>Agent 10</t>
        </is>
      </c>
      <c r="H147" s="491" t="n"/>
      <c r="I147" s="492">
        <f>IF(A147="","Pending",IF(H147="","⚠️ Enter Code",IF(IFERROR(VLOOKUP(G147,DB_Agents!$B:$I,8,0),"")=H147,IF(AND(A147&lt;&gt;"",E147&lt;&gt;""),"Saved","Pending"),"🔒 BLOCKED — Wrong Code")))</f>
        <v/>
      </c>
      <c r="J147" s="493">
        <f>IF(I147="Saved",TEXT(TODAY(),"YYYY-MM-DD")&amp;" Auto","—")</f>
        <v/>
      </c>
      <c r="K147" s="494" t="n"/>
    </row>
    <row r="148" ht="15" customHeight="1" s="341">
      <c r="A148" s="495" t="n"/>
      <c r="B148" s="382">
        <f>IF(A148="","",IFERROR(VLOOKUP(A148,DB_Customers!$A:$D,4,0),"❌ Account Not Found"))</f>
        <v/>
      </c>
      <c r="C148" s="496">
        <f>IF(A148="","",IFERROR(VLOOKUP(A148,DB_Customers!$A:$N,14,0),""))</f>
        <v/>
      </c>
      <c r="D148" s="497">
        <f>IF(A148="","",TODAY())</f>
        <v/>
      </c>
      <c r="E148" s="489" t="n"/>
      <c r="F148" s="498">
        <f>IF(OR(A148="",E148=""),"",IF(C148="","",C148+E148))</f>
        <v/>
      </c>
      <c r="G148" s="384" t="inlineStr">
        <is>
          <t>Agent 10</t>
        </is>
      </c>
      <c r="H148" s="491" t="n"/>
      <c r="I148" s="499">
        <f>IF(A148="","Pending",IF(H148="","⚠️ Enter Code",IF(IFERROR(VLOOKUP(G148,DB_Agents!$B:$I,8,0),"")=H148,IF(AND(A148&lt;&gt;"",E148&lt;&gt;""),"Saved","Pending"),"🔒 BLOCKED — Wrong Code")))</f>
        <v/>
      </c>
      <c r="J148" s="500">
        <f>IF(I148="Saved",TEXT(TODAY(),"YYYY-MM-DD")&amp;" Auto","—")</f>
        <v/>
      </c>
      <c r="K148" s="501" t="n"/>
    </row>
    <row r="149" ht="15" customHeight="1" s="341">
      <c r="A149" s="486" t="n"/>
      <c r="B149" s="378">
        <f>IF(A149="","",IFERROR(VLOOKUP(A149,DB_Customers!$A:$D,4,0),"❌ Account Not Found"))</f>
        <v/>
      </c>
      <c r="C149" s="487">
        <f>IF(A149="","",IFERROR(VLOOKUP(A149,DB_Customers!$A:$N,14,0),""))</f>
        <v/>
      </c>
      <c r="D149" s="488">
        <f>IF(A149="","",TODAY())</f>
        <v/>
      </c>
      <c r="E149" s="489" t="n"/>
      <c r="F149" s="490">
        <f>IF(OR(A149="",E149=""),"",IF(C149="","",C149+E149))</f>
        <v/>
      </c>
      <c r="G149" s="380" t="inlineStr">
        <is>
          <t>Agent 10</t>
        </is>
      </c>
      <c r="H149" s="491" t="n"/>
      <c r="I149" s="492">
        <f>IF(A149="","Pending",IF(H149="","⚠️ Enter Code",IF(IFERROR(VLOOKUP(G149,DB_Agents!$B:$I,8,0),"")=H149,IF(AND(A149&lt;&gt;"",E149&lt;&gt;""),"Saved","Pending"),"🔒 BLOCKED — Wrong Code")))</f>
        <v/>
      </c>
      <c r="J149" s="493">
        <f>IF(I149="Saved",TEXT(TODAY(),"YYYY-MM-DD")&amp;" Auto","—")</f>
        <v/>
      </c>
      <c r="K149" s="494" t="n"/>
    </row>
    <row r="150" ht="15" customHeight="1" s="341">
      <c r="A150" s="495" t="n"/>
      <c r="B150" s="382">
        <f>IF(A150="","",IFERROR(VLOOKUP(A150,DB_Customers!$A:$D,4,0),"❌ Account Not Found"))</f>
        <v/>
      </c>
      <c r="C150" s="496">
        <f>IF(A150="","",IFERROR(VLOOKUP(A150,DB_Customers!$A:$N,14,0),""))</f>
        <v/>
      </c>
      <c r="D150" s="497">
        <f>IF(A150="","",TODAY())</f>
        <v/>
      </c>
      <c r="E150" s="489" t="n"/>
      <c r="F150" s="498">
        <f>IF(OR(A150="",E150=""),"",IF(C150="","",C150+E150))</f>
        <v/>
      </c>
      <c r="G150" s="384" t="inlineStr">
        <is>
          <t>Agent 10</t>
        </is>
      </c>
      <c r="H150" s="491" t="n"/>
      <c r="I150" s="499">
        <f>IF(A150="","Pending",IF(H150="","⚠️ Enter Code",IF(IFERROR(VLOOKUP(G150,DB_Agents!$B:$I,8,0),"")=H150,IF(AND(A150&lt;&gt;"",E150&lt;&gt;""),"Saved","Pending"),"🔒 BLOCKED — Wrong Code")))</f>
        <v/>
      </c>
      <c r="J150" s="500">
        <f>IF(I150="Saved",TEXT(TODAY(),"YYYY-MM-DD")&amp;" Auto","—")</f>
        <v/>
      </c>
      <c r="K150" s="501" t="n"/>
    </row>
    <row r="151" ht="15" customHeight="1" s="341">
      <c r="A151" s="486" t="n"/>
      <c r="B151" s="378">
        <f>IF(A151="","",IFERROR(VLOOKUP(A151,DB_Customers!$A:$D,4,0),"❌ Account Not Found"))</f>
        <v/>
      </c>
      <c r="C151" s="487">
        <f>IF(A151="","",IFERROR(VLOOKUP(A151,DB_Customers!$A:$N,14,0),""))</f>
        <v/>
      </c>
      <c r="D151" s="488">
        <f>IF(A151="","",TODAY())</f>
        <v/>
      </c>
      <c r="E151" s="489" t="n"/>
      <c r="F151" s="490">
        <f>IF(OR(A151="",E151=""),"",IF(C151="","",C151+E151))</f>
        <v/>
      </c>
      <c r="G151" s="380" t="inlineStr">
        <is>
          <t>Agent 10</t>
        </is>
      </c>
      <c r="H151" s="491" t="n"/>
      <c r="I151" s="492">
        <f>IF(A151="","Pending",IF(H151="","⚠️ Enter Code",IF(IFERROR(VLOOKUP(G151,DB_Agents!$B:$I,8,0),"")=H151,IF(AND(A151&lt;&gt;"",E151&lt;&gt;""),"Saved","Pending"),"🔒 BLOCKED — Wrong Code")))</f>
        <v/>
      </c>
      <c r="J151" s="493">
        <f>IF(I151="Saved",TEXT(TODAY(),"YYYY-MM-DD")&amp;" Auto","—")</f>
        <v/>
      </c>
      <c r="K151" s="494" t="n"/>
    </row>
    <row r="152" ht="15" customHeight="1" s="341">
      <c r="A152" s="495" t="n"/>
      <c r="B152" s="382">
        <f>IF(A152="","",IFERROR(VLOOKUP(A152,DB_Customers!$A:$D,4,0),"❌ Account Not Found"))</f>
        <v/>
      </c>
      <c r="C152" s="496">
        <f>IF(A152="","",IFERROR(VLOOKUP(A152,DB_Customers!$A:$N,14,0),""))</f>
        <v/>
      </c>
      <c r="D152" s="497">
        <f>IF(A152="","",TODAY())</f>
        <v/>
      </c>
      <c r="E152" s="489" t="n"/>
      <c r="F152" s="498">
        <f>IF(OR(A152="",E152=""),"",IF(C152="","",C152+E152))</f>
        <v/>
      </c>
      <c r="G152" s="384" t="inlineStr">
        <is>
          <t>Agent 10</t>
        </is>
      </c>
      <c r="H152" s="491" t="n"/>
      <c r="I152" s="499">
        <f>IF(A152="","Pending",IF(H152="","⚠️ Enter Code",IF(IFERROR(VLOOKUP(G152,DB_Agents!$B:$I,8,0),"")=H152,IF(AND(A152&lt;&gt;"",E152&lt;&gt;""),"Saved","Pending"),"🔒 BLOCKED — Wrong Code")))</f>
        <v/>
      </c>
      <c r="J152" s="500">
        <f>IF(I152="Saved",TEXT(TODAY(),"YYYY-MM-DD")&amp;" Auto","—")</f>
        <v/>
      </c>
      <c r="K152" s="501" t="n"/>
    </row>
    <row r="153" ht="15" customHeight="1" s="341">
      <c r="A153" s="486" t="n"/>
      <c r="B153" s="378">
        <f>IF(A153="","",IFERROR(VLOOKUP(A153,DB_Customers!$A:$D,4,0),"❌ Account Not Found"))</f>
        <v/>
      </c>
      <c r="C153" s="487">
        <f>IF(A153="","",IFERROR(VLOOKUP(A153,DB_Customers!$A:$N,14,0),""))</f>
        <v/>
      </c>
      <c r="D153" s="488">
        <f>IF(A153="","",TODAY())</f>
        <v/>
      </c>
      <c r="E153" s="489" t="n"/>
      <c r="F153" s="490">
        <f>IF(OR(A153="",E153=""),"",IF(C153="","",C153+E153))</f>
        <v/>
      </c>
      <c r="G153" s="380" t="inlineStr">
        <is>
          <t>Agent 10</t>
        </is>
      </c>
      <c r="H153" s="491" t="n"/>
      <c r="I153" s="492">
        <f>IF(A153="","Pending",IF(H153="","⚠️ Enter Code",IF(IFERROR(VLOOKUP(G153,DB_Agents!$B:$I,8,0),"")=H153,IF(AND(A153&lt;&gt;"",E153&lt;&gt;""),"Saved","Pending"),"🔒 BLOCKED — Wrong Code")))</f>
        <v/>
      </c>
      <c r="J153" s="493">
        <f>IF(I153="Saved",TEXT(TODAY(),"YYYY-MM-DD")&amp;" Auto","—")</f>
        <v/>
      </c>
      <c r="K153" s="494" t="n"/>
    </row>
    <row r="154" ht="15" customHeight="1" s="341">
      <c r="A154" s="495" t="n"/>
      <c r="B154" s="382">
        <f>IF(A154="","",IFERROR(VLOOKUP(A154,DB_Customers!$A:$D,4,0),"❌ Account Not Found"))</f>
        <v/>
      </c>
      <c r="C154" s="496">
        <f>IF(A154="","",IFERROR(VLOOKUP(A154,DB_Customers!$A:$N,14,0),""))</f>
        <v/>
      </c>
      <c r="D154" s="497">
        <f>IF(A154="","",TODAY())</f>
        <v/>
      </c>
      <c r="E154" s="489" t="n"/>
      <c r="F154" s="498">
        <f>IF(OR(A154="",E154=""),"",IF(C154="","",C154+E154))</f>
        <v/>
      </c>
      <c r="G154" s="384" t="inlineStr">
        <is>
          <t>Agent 10</t>
        </is>
      </c>
      <c r="H154" s="491" t="n"/>
      <c r="I154" s="499">
        <f>IF(A154="","Pending",IF(H154="","⚠️ Enter Code",IF(IFERROR(VLOOKUP(G154,DB_Agents!$B:$I,8,0),"")=H154,IF(AND(A154&lt;&gt;"",E154&lt;&gt;""),"Saved","Pending"),"🔒 BLOCKED — Wrong Code")))</f>
        <v/>
      </c>
      <c r="J154" s="500">
        <f>IF(I154="Saved",TEXT(TODAY(),"YYYY-MM-DD")&amp;" Auto","—")</f>
        <v/>
      </c>
      <c r="K154" s="501" t="n"/>
    </row>
    <row r="155" ht="15" customHeight="1" s="341">
      <c r="A155" s="486" t="n"/>
      <c r="B155" s="378">
        <f>IF(A155="","",IFERROR(VLOOKUP(A155,DB_Customers!$A:$D,4,0),"❌ Account Not Found"))</f>
        <v/>
      </c>
      <c r="C155" s="487">
        <f>IF(A155="","",IFERROR(VLOOKUP(A155,DB_Customers!$A:$N,14,0),""))</f>
        <v/>
      </c>
      <c r="D155" s="488">
        <f>IF(A155="","",TODAY())</f>
        <v/>
      </c>
      <c r="E155" s="489" t="n"/>
      <c r="F155" s="490">
        <f>IF(OR(A155="",E155=""),"",IF(C155="","",C155+E155))</f>
        <v/>
      </c>
      <c r="G155" s="380" t="inlineStr">
        <is>
          <t>Agent 10</t>
        </is>
      </c>
      <c r="H155" s="491" t="n"/>
      <c r="I155" s="492">
        <f>IF(A155="","Pending",IF(H155="","⚠️ Enter Code",IF(IFERROR(VLOOKUP(G155,DB_Agents!$B:$I,8,0),"")=H155,IF(AND(A155&lt;&gt;"",E155&lt;&gt;""),"Saved","Pending"),"🔒 BLOCKED — Wrong Code")))</f>
        <v/>
      </c>
      <c r="J155" s="493">
        <f>IF(I155="Saved",TEXT(TODAY(),"YYYY-MM-DD")&amp;" Auto","—")</f>
        <v/>
      </c>
      <c r="K155" s="494" t="n"/>
    </row>
    <row r="156" ht="15" customHeight="1" s="341">
      <c r="A156" s="495" t="n"/>
      <c r="B156" s="382">
        <f>IF(A156="","",IFERROR(VLOOKUP(A156,DB_Customers!$A:$D,4,0),"❌ Account Not Found"))</f>
        <v/>
      </c>
      <c r="C156" s="496">
        <f>IF(A156="","",IFERROR(VLOOKUP(A156,DB_Customers!$A:$N,14,0),""))</f>
        <v/>
      </c>
      <c r="D156" s="497">
        <f>IF(A156="","",TODAY())</f>
        <v/>
      </c>
      <c r="E156" s="489" t="n"/>
      <c r="F156" s="498">
        <f>IF(OR(A156="",E156=""),"",IF(C156="","",C156+E156))</f>
        <v/>
      </c>
      <c r="G156" s="384" t="inlineStr">
        <is>
          <t>Agent 10</t>
        </is>
      </c>
      <c r="H156" s="491" t="n"/>
      <c r="I156" s="499">
        <f>IF(A156="","Pending",IF(H156="","⚠️ Enter Code",IF(IFERROR(VLOOKUP(G156,DB_Agents!$B:$I,8,0),"")=H156,IF(AND(A156&lt;&gt;"",E156&lt;&gt;""),"Saved","Pending"),"🔒 BLOCKED — Wrong Code")))</f>
        <v/>
      </c>
      <c r="J156" s="500">
        <f>IF(I156="Saved",TEXT(TODAY(),"YYYY-MM-DD")&amp;" Auto","—")</f>
        <v/>
      </c>
      <c r="K156" s="501" t="n"/>
    </row>
    <row r="157" ht="15" customHeight="1" s="341">
      <c r="A157" s="486" t="n"/>
      <c r="B157" s="378">
        <f>IF(A157="","",IFERROR(VLOOKUP(A157,DB_Customers!$A:$D,4,0),"❌ Account Not Found"))</f>
        <v/>
      </c>
      <c r="C157" s="487">
        <f>IF(A157="","",IFERROR(VLOOKUP(A157,DB_Customers!$A:$N,14,0),""))</f>
        <v/>
      </c>
      <c r="D157" s="488">
        <f>IF(A157="","",TODAY())</f>
        <v/>
      </c>
      <c r="E157" s="489" t="n"/>
      <c r="F157" s="490">
        <f>IF(OR(A157="",E157=""),"",IF(C157="","",C157+E157))</f>
        <v/>
      </c>
      <c r="G157" s="380" t="inlineStr">
        <is>
          <t>Agent 10</t>
        </is>
      </c>
      <c r="H157" s="491" t="n"/>
      <c r="I157" s="492">
        <f>IF(A157="","Pending",IF(H157="","⚠️ Enter Code",IF(IFERROR(VLOOKUP(G157,DB_Agents!$B:$I,8,0),"")=H157,IF(AND(A157&lt;&gt;"",E157&lt;&gt;""),"Saved","Pending"),"🔒 BLOCKED — Wrong Code")))</f>
        <v/>
      </c>
      <c r="J157" s="493">
        <f>IF(I157="Saved",TEXT(TODAY(),"YYYY-MM-DD")&amp;" Auto","—")</f>
        <v/>
      </c>
      <c r="K157" s="494" t="n"/>
    </row>
    <row r="158" ht="15" customHeight="1" s="341">
      <c r="A158" s="495" t="n"/>
      <c r="B158" s="382">
        <f>IF(A158="","",IFERROR(VLOOKUP(A158,DB_Customers!$A:$D,4,0),"❌ Account Not Found"))</f>
        <v/>
      </c>
      <c r="C158" s="496">
        <f>IF(A158="","",IFERROR(VLOOKUP(A158,DB_Customers!$A:$N,14,0),""))</f>
        <v/>
      </c>
      <c r="D158" s="497">
        <f>IF(A158="","",TODAY())</f>
        <v/>
      </c>
      <c r="E158" s="489" t="n"/>
      <c r="F158" s="498">
        <f>IF(OR(A158="",E158=""),"",IF(C158="","",C158+E158))</f>
        <v/>
      </c>
      <c r="G158" s="384" t="inlineStr">
        <is>
          <t>Agent 10</t>
        </is>
      </c>
      <c r="H158" s="491" t="n"/>
      <c r="I158" s="499">
        <f>IF(A158="","Pending",IF(H158="","⚠️ Enter Code",IF(IFERROR(VLOOKUP(G158,DB_Agents!$B:$I,8,0),"")=H158,IF(AND(A158&lt;&gt;"",E158&lt;&gt;""),"Saved","Pending"),"🔒 BLOCKED — Wrong Code")))</f>
        <v/>
      </c>
      <c r="J158" s="500">
        <f>IF(I158="Saved",TEXT(TODAY(),"YYYY-MM-DD")&amp;" Auto","—")</f>
        <v/>
      </c>
      <c r="K158" s="501" t="n"/>
    </row>
    <row r="159" ht="15" customHeight="1" s="341">
      <c r="A159" s="486" t="n"/>
      <c r="B159" s="378">
        <f>IF(A159="","",IFERROR(VLOOKUP(A159,DB_Customers!$A:$D,4,0),"❌ Account Not Found"))</f>
        <v/>
      </c>
      <c r="C159" s="487">
        <f>IF(A159="","",IFERROR(VLOOKUP(A159,DB_Customers!$A:$N,14,0),""))</f>
        <v/>
      </c>
      <c r="D159" s="488">
        <f>IF(A159="","",TODAY())</f>
        <v/>
      </c>
      <c r="E159" s="489" t="n"/>
      <c r="F159" s="490">
        <f>IF(OR(A159="",E159=""),"",IF(C159="","",C159+E159))</f>
        <v/>
      </c>
      <c r="G159" s="380" t="inlineStr">
        <is>
          <t>Agent 10</t>
        </is>
      </c>
      <c r="H159" s="491" t="n"/>
      <c r="I159" s="492">
        <f>IF(A159="","Pending",IF(H159="","⚠️ Enter Code",IF(IFERROR(VLOOKUP(G159,DB_Agents!$B:$I,8,0),"")=H159,IF(AND(A159&lt;&gt;"",E159&lt;&gt;""),"Saved","Pending"),"🔒 BLOCKED — Wrong Code")))</f>
        <v/>
      </c>
      <c r="J159" s="493">
        <f>IF(I159="Saved",TEXT(TODAY(),"YYYY-MM-DD")&amp;" Auto","—")</f>
        <v/>
      </c>
      <c r="K159" s="494" t="n"/>
    </row>
    <row r="160" ht="15" customHeight="1" s="341">
      <c r="A160" s="495" t="n"/>
      <c r="B160" s="382">
        <f>IF(A160="","",IFERROR(VLOOKUP(A160,DB_Customers!$A:$D,4,0),"❌ Account Not Found"))</f>
        <v/>
      </c>
      <c r="C160" s="496">
        <f>IF(A160="","",IFERROR(VLOOKUP(A160,DB_Customers!$A:$N,14,0),""))</f>
        <v/>
      </c>
      <c r="D160" s="497">
        <f>IF(A160="","",TODAY())</f>
        <v/>
      </c>
      <c r="E160" s="489" t="n"/>
      <c r="F160" s="498">
        <f>IF(OR(A160="",E160=""),"",IF(C160="","",C160+E160))</f>
        <v/>
      </c>
      <c r="G160" s="384" t="inlineStr">
        <is>
          <t>Agent 10</t>
        </is>
      </c>
      <c r="H160" s="491" t="n"/>
      <c r="I160" s="499">
        <f>IF(A160="","Pending",IF(H160="","⚠️ Enter Code",IF(IFERROR(VLOOKUP(G160,DB_Agents!$B:$I,8,0),"")=H160,IF(AND(A160&lt;&gt;"",E160&lt;&gt;""),"Saved","Pending"),"🔒 BLOCKED — Wrong Code")))</f>
        <v/>
      </c>
      <c r="J160" s="500">
        <f>IF(I160="Saved",TEXT(TODAY(),"YYYY-MM-DD")&amp;" Auto","—")</f>
        <v/>
      </c>
      <c r="K160" s="501" t="n"/>
    </row>
    <row r="161" ht="15" customHeight="1" s="341">
      <c r="A161" s="486" t="n"/>
      <c r="B161" s="378">
        <f>IF(A161="","",IFERROR(VLOOKUP(A161,DB_Customers!$A:$D,4,0),"❌ Account Not Found"))</f>
        <v/>
      </c>
      <c r="C161" s="487">
        <f>IF(A161="","",IFERROR(VLOOKUP(A161,DB_Customers!$A:$N,14,0),""))</f>
        <v/>
      </c>
      <c r="D161" s="488">
        <f>IF(A161="","",TODAY())</f>
        <v/>
      </c>
      <c r="E161" s="489" t="n"/>
      <c r="F161" s="490">
        <f>IF(OR(A161="",E161=""),"",IF(C161="","",C161+E161))</f>
        <v/>
      </c>
      <c r="G161" s="380" t="inlineStr">
        <is>
          <t>Agent 10</t>
        </is>
      </c>
      <c r="H161" s="491" t="n"/>
      <c r="I161" s="492">
        <f>IF(A161="","Pending",IF(H161="","⚠️ Enter Code",IF(IFERROR(VLOOKUP(G161,DB_Agents!$B:$I,8,0),"")=H161,IF(AND(A161&lt;&gt;"",E161&lt;&gt;""),"Saved","Pending"),"🔒 BLOCKED — Wrong Code")))</f>
        <v/>
      </c>
      <c r="J161" s="493">
        <f>IF(I161="Saved",TEXT(TODAY(),"YYYY-MM-DD")&amp;" Auto","—")</f>
        <v/>
      </c>
      <c r="K161" s="494" t="n"/>
    </row>
    <row r="162" ht="15" customHeight="1" s="341">
      <c r="A162" s="495" t="n"/>
      <c r="B162" s="382">
        <f>IF(A162="","",IFERROR(VLOOKUP(A162,DB_Customers!$A:$D,4,0),"❌ Account Not Found"))</f>
        <v/>
      </c>
      <c r="C162" s="496">
        <f>IF(A162="","",IFERROR(VLOOKUP(A162,DB_Customers!$A:$N,14,0),""))</f>
        <v/>
      </c>
      <c r="D162" s="497">
        <f>IF(A162="","",TODAY())</f>
        <v/>
      </c>
      <c r="E162" s="489" t="n"/>
      <c r="F162" s="498">
        <f>IF(OR(A162="",E162=""),"",IF(C162="","",C162+E162))</f>
        <v/>
      </c>
      <c r="G162" s="384" t="inlineStr">
        <is>
          <t>Agent 10</t>
        </is>
      </c>
      <c r="H162" s="491" t="n"/>
      <c r="I162" s="499">
        <f>IF(A162="","Pending",IF(H162="","⚠️ Enter Code",IF(IFERROR(VLOOKUP(G162,DB_Agents!$B:$I,8,0),"")=H162,IF(AND(A162&lt;&gt;"",E162&lt;&gt;""),"Saved","Pending"),"🔒 BLOCKED — Wrong Code")))</f>
        <v/>
      </c>
      <c r="J162" s="500">
        <f>IF(I162="Saved",TEXT(TODAY(),"YYYY-MM-DD")&amp;" Auto","—")</f>
        <v/>
      </c>
      <c r="K162" s="501" t="n"/>
    </row>
    <row r="163" ht="15" customHeight="1" s="341">
      <c r="A163" s="486" t="n"/>
      <c r="B163" s="378">
        <f>IF(A163="","",IFERROR(VLOOKUP(A163,DB_Customers!$A:$D,4,0),"❌ Account Not Found"))</f>
        <v/>
      </c>
      <c r="C163" s="487">
        <f>IF(A163="","",IFERROR(VLOOKUP(A163,DB_Customers!$A:$N,14,0),""))</f>
        <v/>
      </c>
      <c r="D163" s="488">
        <f>IF(A163="","",TODAY())</f>
        <v/>
      </c>
      <c r="E163" s="489" t="n"/>
      <c r="F163" s="490">
        <f>IF(OR(A163="",E163=""),"",IF(C163="","",C163+E163))</f>
        <v/>
      </c>
      <c r="G163" s="380" t="inlineStr">
        <is>
          <t>Agent 10</t>
        </is>
      </c>
      <c r="H163" s="491" t="n"/>
      <c r="I163" s="492">
        <f>IF(A163="","Pending",IF(H163="","⚠️ Enter Code",IF(IFERROR(VLOOKUP(G163,DB_Agents!$B:$I,8,0),"")=H163,IF(AND(A163&lt;&gt;"",E163&lt;&gt;""),"Saved","Pending"),"🔒 BLOCKED — Wrong Code")))</f>
        <v/>
      </c>
      <c r="J163" s="493">
        <f>IF(I163="Saved",TEXT(TODAY(),"YYYY-MM-DD")&amp;" Auto","—")</f>
        <v/>
      </c>
      <c r="K163" s="494" t="n"/>
    </row>
    <row r="164" ht="15" customHeight="1" s="341">
      <c r="A164" s="495" t="n"/>
      <c r="B164" s="382">
        <f>IF(A164="","",IFERROR(VLOOKUP(A164,DB_Customers!$A:$D,4,0),"❌ Account Not Found"))</f>
        <v/>
      </c>
      <c r="C164" s="496">
        <f>IF(A164="","",IFERROR(VLOOKUP(A164,DB_Customers!$A:$N,14,0),""))</f>
        <v/>
      </c>
      <c r="D164" s="497">
        <f>IF(A164="","",TODAY())</f>
        <v/>
      </c>
      <c r="E164" s="489" t="n"/>
      <c r="F164" s="498">
        <f>IF(OR(A164="",E164=""),"",IF(C164="","",C164+E164))</f>
        <v/>
      </c>
      <c r="G164" s="384" t="inlineStr">
        <is>
          <t>Agent 10</t>
        </is>
      </c>
      <c r="H164" s="491" t="n"/>
      <c r="I164" s="499">
        <f>IF(A164="","Pending",IF(H164="","⚠️ Enter Code",IF(IFERROR(VLOOKUP(G164,DB_Agents!$B:$I,8,0),"")=H164,IF(AND(A164&lt;&gt;"",E164&lt;&gt;""),"Saved","Pending"),"🔒 BLOCKED — Wrong Code")))</f>
        <v/>
      </c>
      <c r="J164" s="500">
        <f>IF(I164="Saved",TEXT(TODAY(),"YYYY-MM-DD")&amp;" Auto","—")</f>
        <v/>
      </c>
      <c r="K164" s="501" t="n"/>
    </row>
    <row r="165" ht="15" customHeight="1" s="341">
      <c r="A165" s="486" t="n"/>
      <c r="B165" s="378">
        <f>IF(A165="","",IFERROR(VLOOKUP(A165,DB_Customers!$A:$D,4,0),"❌ Account Not Found"))</f>
        <v/>
      </c>
      <c r="C165" s="487">
        <f>IF(A165="","",IFERROR(VLOOKUP(A165,DB_Customers!$A:$N,14,0),""))</f>
        <v/>
      </c>
      <c r="D165" s="488">
        <f>IF(A165="","",TODAY())</f>
        <v/>
      </c>
      <c r="E165" s="489" t="n"/>
      <c r="F165" s="490">
        <f>IF(OR(A165="",E165=""),"",IF(C165="","",C165+E165))</f>
        <v/>
      </c>
      <c r="G165" s="380" t="inlineStr">
        <is>
          <t>Agent 10</t>
        </is>
      </c>
      <c r="H165" s="491" t="n"/>
      <c r="I165" s="492">
        <f>IF(A165="","Pending",IF(H165="","⚠️ Enter Code",IF(IFERROR(VLOOKUP(G165,DB_Agents!$B:$I,8,0),"")=H165,IF(AND(A165&lt;&gt;"",E165&lt;&gt;""),"Saved","Pending"),"🔒 BLOCKED — Wrong Code")))</f>
        <v/>
      </c>
      <c r="J165" s="493">
        <f>IF(I165="Saved",TEXT(TODAY(),"YYYY-MM-DD")&amp;" Auto","—")</f>
        <v/>
      </c>
      <c r="K165" s="494" t="n"/>
    </row>
    <row r="166" ht="15" customHeight="1" s="341">
      <c r="A166" s="495" t="n"/>
      <c r="B166" s="382">
        <f>IF(A166="","",IFERROR(VLOOKUP(A166,DB_Customers!$A:$D,4,0),"❌ Account Not Found"))</f>
        <v/>
      </c>
      <c r="C166" s="496">
        <f>IF(A166="","",IFERROR(VLOOKUP(A166,DB_Customers!$A:$N,14,0),""))</f>
        <v/>
      </c>
      <c r="D166" s="497">
        <f>IF(A166="","",TODAY())</f>
        <v/>
      </c>
      <c r="E166" s="489" t="n"/>
      <c r="F166" s="498">
        <f>IF(OR(A166="",E166=""),"",IF(C166="","",C166+E166))</f>
        <v/>
      </c>
      <c r="G166" s="384" t="inlineStr">
        <is>
          <t>Agent 10</t>
        </is>
      </c>
      <c r="H166" s="491" t="n"/>
      <c r="I166" s="499">
        <f>IF(A166="","Pending",IF(H166="","⚠️ Enter Code",IF(IFERROR(VLOOKUP(G166,DB_Agents!$B:$I,8,0),"")=H166,IF(AND(A166&lt;&gt;"",E166&lt;&gt;""),"Saved","Pending"),"🔒 BLOCKED — Wrong Code")))</f>
        <v/>
      </c>
      <c r="J166" s="500">
        <f>IF(I166="Saved",TEXT(TODAY(),"YYYY-MM-DD")&amp;" Auto","—")</f>
        <v/>
      </c>
      <c r="K166" s="501" t="n"/>
    </row>
    <row r="167" ht="15" customHeight="1" s="341">
      <c r="A167" s="486" t="n"/>
      <c r="B167" s="378">
        <f>IF(A167="","",IFERROR(VLOOKUP(A167,DB_Customers!$A:$D,4,0),"❌ Account Not Found"))</f>
        <v/>
      </c>
      <c r="C167" s="487">
        <f>IF(A167="","",IFERROR(VLOOKUP(A167,DB_Customers!$A:$N,14,0),""))</f>
        <v/>
      </c>
      <c r="D167" s="488">
        <f>IF(A167="","",TODAY())</f>
        <v/>
      </c>
      <c r="E167" s="489" t="n"/>
      <c r="F167" s="490">
        <f>IF(OR(A167="",E167=""),"",IF(C167="","",C167+E167))</f>
        <v/>
      </c>
      <c r="G167" s="380" t="inlineStr">
        <is>
          <t>Agent 10</t>
        </is>
      </c>
      <c r="H167" s="491" t="n"/>
      <c r="I167" s="492">
        <f>IF(A167="","Pending",IF(H167="","⚠️ Enter Code",IF(IFERROR(VLOOKUP(G167,DB_Agents!$B:$I,8,0),"")=H167,IF(AND(A167&lt;&gt;"",E167&lt;&gt;""),"Saved","Pending"),"🔒 BLOCKED — Wrong Code")))</f>
        <v/>
      </c>
      <c r="J167" s="493">
        <f>IF(I167="Saved",TEXT(TODAY(),"YYYY-MM-DD")&amp;" Auto","—")</f>
        <v/>
      </c>
      <c r="K167" s="494" t="n"/>
    </row>
    <row r="168" ht="15" customHeight="1" s="341">
      <c r="A168" s="495" t="n"/>
      <c r="B168" s="382">
        <f>IF(A168="","",IFERROR(VLOOKUP(A168,DB_Customers!$A:$D,4,0),"❌ Account Not Found"))</f>
        <v/>
      </c>
      <c r="C168" s="496">
        <f>IF(A168="","",IFERROR(VLOOKUP(A168,DB_Customers!$A:$N,14,0),""))</f>
        <v/>
      </c>
      <c r="D168" s="497">
        <f>IF(A168="","",TODAY())</f>
        <v/>
      </c>
      <c r="E168" s="489" t="n"/>
      <c r="F168" s="498">
        <f>IF(OR(A168="",E168=""),"",IF(C168="","",C168+E168))</f>
        <v/>
      </c>
      <c r="G168" s="384" t="inlineStr">
        <is>
          <t>Agent 10</t>
        </is>
      </c>
      <c r="H168" s="491" t="n"/>
      <c r="I168" s="499">
        <f>IF(A168="","Pending",IF(H168="","⚠️ Enter Code",IF(IFERROR(VLOOKUP(G168,DB_Agents!$B:$I,8,0),"")=H168,IF(AND(A168&lt;&gt;"",E168&lt;&gt;""),"Saved","Pending"),"🔒 BLOCKED — Wrong Code")))</f>
        <v/>
      </c>
      <c r="J168" s="500">
        <f>IF(I168="Saved",TEXT(TODAY(),"YYYY-MM-DD")&amp;" Auto","—")</f>
        <v/>
      </c>
      <c r="K168" s="501" t="n"/>
    </row>
    <row r="169" ht="15" customHeight="1" s="341">
      <c r="A169" s="486" t="n"/>
      <c r="B169" s="378">
        <f>IF(A169="","",IFERROR(VLOOKUP(A169,DB_Customers!$A:$D,4,0),"❌ Account Not Found"))</f>
        <v/>
      </c>
      <c r="C169" s="487">
        <f>IF(A169="","",IFERROR(VLOOKUP(A169,DB_Customers!$A:$N,14,0),""))</f>
        <v/>
      </c>
      <c r="D169" s="488">
        <f>IF(A169="","",TODAY())</f>
        <v/>
      </c>
      <c r="E169" s="489" t="n"/>
      <c r="F169" s="490">
        <f>IF(OR(A169="",E169=""),"",IF(C169="","",C169+E169))</f>
        <v/>
      </c>
      <c r="G169" s="380" t="inlineStr">
        <is>
          <t>Agent 10</t>
        </is>
      </c>
      <c r="H169" s="491" t="n"/>
      <c r="I169" s="492">
        <f>IF(A169="","Pending",IF(H169="","⚠️ Enter Code",IF(IFERROR(VLOOKUP(G169,DB_Agents!$B:$I,8,0),"")=H169,IF(AND(A169&lt;&gt;"",E169&lt;&gt;""),"Saved","Pending"),"🔒 BLOCKED — Wrong Code")))</f>
        <v/>
      </c>
      <c r="J169" s="493">
        <f>IF(I169="Saved",TEXT(TODAY(),"YYYY-MM-DD")&amp;" Auto","—")</f>
        <v/>
      </c>
      <c r="K169" s="494" t="n"/>
    </row>
    <row r="170" ht="15" customHeight="1" s="341">
      <c r="A170" s="495" t="n"/>
      <c r="B170" s="382">
        <f>IF(A170="","",IFERROR(VLOOKUP(A170,DB_Customers!$A:$D,4,0),"❌ Account Not Found"))</f>
        <v/>
      </c>
      <c r="C170" s="496">
        <f>IF(A170="","",IFERROR(VLOOKUP(A170,DB_Customers!$A:$N,14,0),""))</f>
        <v/>
      </c>
      <c r="D170" s="497">
        <f>IF(A170="","",TODAY())</f>
        <v/>
      </c>
      <c r="E170" s="489" t="n"/>
      <c r="F170" s="498">
        <f>IF(OR(A170="",E170=""),"",IF(C170="","",C170+E170))</f>
        <v/>
      </c>
      <c r="G170" s="384" t="inlineStr">
        <is>
          <t>Agent 10</t>
        </is>
      </c>
      <c r="H170" s="491" t="n"/>
      <c r="I170" s="499">
        <f>IF(A170="","Pending",IF(H170="","⚠️ Enter Code",IF(IFERROR(VLOOKUP(G170,DB_Agents!$B:$I,8,0),"")=H170,IF(AND(A170&lt;&gt;"",E170&lt;&gt;""),"Saved","Pending"),"🔒 BLOCKED — Wrong Code")))</f>
        <v/>
      </c>
      <c r="J170" s="500">
        <f>IF(I170="Saved",TEXT(TODAY(),"YYYY-MM-DD")&amp;" Auto","—")</f>
        <v/>
      </c>
      <c r="K170" s="501" t="n"/>
    </row>
    <row r="171" ht="15" customHeight="1" s="341">
      <c r="A171" s="486" t="n"/>
      <c r="B171" s="378">
        <f>IF(A171="","",IFERROR(VLOOKUP(A171,DB_Customers!$A:$D,4,0),"❌ Account Not Found"))</f>
        <v/>
      </c>
      <c r="C171" s="487">
        <f>IF(A171="","",IFERROR(VLOOKUP(A171,DB_Customers!$A:$N,14,0),""))</f>
        <v/>
      </c>
      <c r="D171" s="488">
        <f>IF(A171="","",TODAY())</f>
        <v/>
      </c>
      <c r="E171" s="489" t="n"/>
      <c r="F171" s="490">
        <f>IF(OR(A171="",E171=""),"",IF(C171="","",C171+E171))</f>
        <v/>
      </c>
      <c r="G171" s="380" t="inlineStr">
        <is>
          <t>Agent 10</t>
        </is>
      </c>
      <c r="H171" s="491" t="n"/>
      <c r="I171" s="492">
        <f>IF(A171="","Pending",IF(H171="","⚠️ Enter Code",IF(IFERROR(VLOOKUP(G171,DB_Agents!$B:$I,8,0),"")=H171,IF(AND(A171&lt;&gt;"",E171&lt;&gt;""),"Saved","Pending"),"🔒 BLOCKED — Wrong Code")))</f>
        <v/>
      </c>
      <c r="J171" s="493">
        <f>IF(I171="Saved",TEXT(TODAY(),"YYYY-MM-DD")&amp;" Auto","—")</f>
        <v/>
      </c>
      <c r="K171" s="494" t="n"/>
    </row>
    <row r="172" ht="15" customHeight="1" s="341">
      <c r="A172" s="495" t="n"/>
      <c r="B172" s="382">
        <f>IF(A172="","",IFERROR(VLOOKUP(A172,DB_Customers!$A:$D,4,0),"❌ Account Not Found"))</f>
        <v/>
      </c>
      <c r="C172" s="496">
        <f>IF(A172="","",IFERROR(VLOOKUP(A172,DB_Customers!$A:$N,14,0),""))</f>
        <v/>
      </c>
      <c r="D172" s="497">
        <f>IF(A172="","",TODAY())</f>
        <v/>
      </c>
      <c r="E172" s="489" t="n"/>
      <c r="F172" s="498">
        <f>IF(OR(A172="",E172=""),"",IF(C172="","",C172+E172))</f>
        <v/>
      </c>
      <c r="G172" s="384" t="inlineStr">
        <is>
          <t>Agent 10</t>
        </is>
      </c>
      <c r="H172" s="491" t="n"/>
      <c r="I172" s="499">
        <f>IF(A172="","Pending",IF(H172="","⚠️ Enter Code",IF(IFERROR(VLOOKUP(G172,DB_Agents!$B:$I,8,0),"")=H172,IF(AND(A172&lt;&gt;"",E172&lt;&gt;""),"Saved","Pending"),"🔒 BLOCKED — Wrong Code")))</f>
        <v/>
      </c>
      <c r="J172" s="500">
        <f>IF(I172="Saved",TEXT(TODAY(),"YYYY-MM-DD")&amp;" Auto","—")</f>
        <v/>
      </c>
      <c r="K172" s="501" t="n"/>
    </row>
    <row r="173" ht="15" customHeight="1" s="341">
      <c r="A173" s="486" t="n"/>
      <c r="B173" s="378">
        <f>IF(A173="","",IFERROR(VLOOKUP(A173,DB_Customers!$A:$D,4,0),"❌ Account Not Found"))</f>
        <v/>
      </c>
      <c r="C173" s="487">
        <f>IF(A173="","",IFERROR(VLOOKUP(A173,DB_Customers!$A:$N,14,0),""))</f>
        <v/>
      </c>
      <c r="D173" s="488">
        <f>IF(A173="","",TODAY())</f>
        <v/>
      </c>
      <c r="E173" s="489" t="n"/>
      <c r="F173" s="490">
        <f>IF(OR(A173="",E173=""),"",IF(C173="","",C173+E173))</f>
        <v/>
      </c>
      <c r="G173" s="380" t="inlineStr">
        <is>
          <t>Agent 10</t>
        </is>
      </c>
      <c r="H173" s="491" t="n"/>
      <c r="I173" s="492">
        <f>IF(A173="","Pending",IF(H173="","⚠️ Enter Code",IF(IFERROR(VLOOKUP(G173,DB_Agents!$B:$I,8,0),"")=H173,IF(AND(A173&lt;&gt;"",E173&lt;&gt;""),"Saved","Pending"),"🔒 BLOCKED — Wrong Code")))</f>
        <v/>
      </c>
      <c r="J173" s="493">
        <f>IF(I173="Saved",TEXT(TODAY(),"YYYY-MM-DD")&amp;" Auto","—")</f>
        <v/>
      </c>
      <c r="K173" s="494" t="n"/>
    </row>
    <row r="174" ht="15" customHeight="1" s="341">
      <c r="A174" s="495" t="n"/>
      <c r="B174" s="382">
        <f>IF(A174="","",IFERROR(VLOOKUP(A174,DB_Customers!$A:$D,4,0),"❌ Account Not Found"))</f>
        <v/>
      </c>
      <c r="C174" s="496">
        <f>IF(A174="","",IFERROR(VLOOKUP(A174,DB_Customers!$A:$N,14,0),""))</f>
        <v/>
      </c>
      <c r="D174" s="497">
        <f>IF(A174="","",TODAY())</f>
        <v/>
      </c>
      <c r="E174" s="489" t="n"/>
      <c r="F174" s="498">
        <f>IF(OR(A174="",E174=""),"",IF(C174="","",C174+E174))</f>
        <v/>
      </c>
      <c r="G174" s="384" t="inlineStr">
        <is>
          <t>Agent 10</t>
        </is>
      </c>
      <c r="H174" s="491" t="n"/>
      <c r="I174" s="499">
        <f>IF(A174="","Pending",IF(H174="","⚠️ Enter Code",IF(IFERROR(VLOOKUP(G174,DB_Agents!$B:$I,8,0),"")=H174,IF(AND(A174&lt;&gt;"",E174&lt;&gt;""),"Saved","Pending"),"🔒 BLOCKED — Wrong Code")))</f>
        <v/>
      </c>
      <c r="J174" s="500">
        <f>IF(I174="Saved",TEXT(TODAY(),"YYYY-MM-DD")&amp;" Auto","—")</f>
        <v/>
      </c>
      <c r="K174" s="501" t="n"/>
    </row>
    <row r="175" ht="15" customHeight="1" s="341">
      <c r="A175" s="486" t="n"/>
      <c r="B175" s="378">
        <f>IF(A175="","",IFERROR(VLOOKUP(A175,DB_Customers!$A:$D,4,0),"❌ Account Not Found"))</f>
        <v/>
      </c>
      <c r="C175" s="487">
        <f>IF(A175="","",IFERROR(VLOOKUP(A175,DB_Customers!$A:$N,14,0),""))</f>
        <v/>
      </c>
      <c r="D175" s="488">
        <f>IF(A175="","",TODAY())</f>
        <v/>
      </c>
      <c r="E175" s="489" t="n"/>
      <c r="F175" s="490">
        <f>IF(OR(A175="",E175=""),"",IF(C175="","",C175+E175))</f>
        <v/>
      </c>
      <c r="G175" s="380" t="inlineStr">
        <is>
          <t>Agent 10</t>
        </is>
      </c>
      <c r="H175" s="491" t="n"/>
      <c r="I175" s="492">
        <f>IF(A175="","Pending",IF(H175="","⚠️ Enter Code",IF(IFERROR(VLOOKUP(G175,DB_Agents!$B:$I,8,0),"")=H175,IF(AND(A175&lt;&gt;"",E175&lt;&gt;""),"Saved","Pending"),"🔒 BLOCKED — Wrong Code")))</f>
        <v/>
      </c>
      <c r="J175" s="493">
        <f>IF(I175="Saved",TEXT(TODAY(),"YYYY-MM-DD")&amp;" Auto","—")</f>
        <v/>
      </c>
      <c r="K175" s="494" t="n"/>
    </row>
    <row r="176" ht="15" customHeight="1" s="341">
      <c r="A176" s="495" t="n"/>
      <c r="B176" s="382">
        <f>IF(A176="","",IFERROR(VLOOKUP(A176,DB_Customers!$A:$D,4,0),"❌ Account Not Found"))</f>
        <v/>
      </c>
      <c r="C176" s="496">
        <f>IF(A176="","",IFERROR(VLOOKUP(A176,DB_Customers!$A:$N,14,0),""))</f>
        <v/>
      </c>
      <c r="D176" s="497">
        <f>IF(A176="","",TODAY())</f>
        <v/>
      </c>
      <c r="E176" s="489" t="n"/>
      <c r="F176" s="498">
        <f>IF(OR(A176="",E176=""),"",IF(C176="","",C176+E176))</f>
        <v/>
      </c>
      <c r="G176" s="384" t="inlineStr">
        <is>
          <t>Agent 10</t>
        </is>
      </c>
      <c r="H176" s="491" t="n"/>
      <c r="I176" s="499">
        <f>IF(A176="","Pending",IF(H176="","⚠️ Enter Code",IF(IFERROR(VLOOKUP(G176,DB_Agents!$B:$I,8,0),"")=H176,IF(AND(A176&lt;&gt;"",E176&lt;&gt;""),"Saved","Pending"),"🔒 BLOCKED — Wrong Code")))</f>
        <v/>
      </c>
      <c r="J176" s="500">
        <f>IF(I176="Saved",TEXT(TODAY(),"YYYY-MM-DD")&amp;" Auto","—")</f>
        <v/>
      </c>
      <c r="K176" s="501" t="n"/>
    </row>
    <row r="177" ht="15" customHeight="1" s="341">
      <c r="A177" s="486" t="n"/>
      <c r="B177" s="378">
        <f>IF(A177="","",IFERROR(VLOOKUP(A177,DB_Customers!$A:$D,4,0),"❌ Account Not Found"))</f>
        <v/>
      </c>
      <c r="C177" s="487">
        <f>IF(A177="","",IFERROR(VLOOKUP(A177,DB_Customers!$A:$N,14,0),""))</f>
        <v/>
      </c>
      <c r="D177" s="488">
        <f>IF(A177="","",TODAY())</f>
        <v/>
      </c>
      <c r="E177" s="489" t="n"/>
      <c r="F177" s="490">
        <f>IF(OR(A177="",E177=""),"",IF(C177="","",C177+E177))</f>
        <v/>
      </c>
      <c r="G177" s="380" t="inlineStr">
        <is>
          <t>Agent 10</t>
        </is>
      </c>
      <c r="H177" s="491" t="n"/>
      <c r="I177" s="492">
        <f>IF(A177="","Pending",IF(H177="","⚠️ Enter Code",IF(IFERROR(VLOOKUP(G177,DB_Agents!$B:$I,8,0),"")=H177,IF(AND(A177&lt;&gt;"",E177&lt;&gt;""),"Saved","Pending"),"🔒 BLOCKED — Wrong Code")))</f>
        <v/>
      </c>
      <c r="J177" s="493">
        <f>IF(I177="Saved",TEXT(TODAY(),"YYYY-MM-DD")&amp;" Auto","—")</f>
        <v/>
      </c>
      <c r="K177" s="494" t="n"/>
    </row>
    <row r="178" ht="15" customHeight="1" s="341">
      <c r="A178" s="495" t="n"/>
      <c r="B178" s="382">
        <f>IF(A178="","",IFERROR(VLOOKUP(A178,DB_Customers!$A:$D,4,0),"❌ Account Not Found"))</f>
        <v/>
      </c>
      <c r="C178" s="496">
        <f>IF(A178="","",IFERROR(VLOOKUP(A178,DB_Customers!$A:$N,14,0),""))</f>
        <v/>
      </c>
      <c r="D178" s="497">
        <f>IF(A178="","",TODAY())</f>
        <v/>
      </c>
      <c r="E178" s="489" t="n"/>
      <c r="F178" s="498">
        <f>IF(OR(A178="",E178=""),"",IF(C178="","",C178+E178))</f>
        <v/>
      </c>
      <c r="G178" s="384" t="inlineStr">
        <is>
          <t>Agent 10</t>
        </is>
      </c>
      <c r="H178" s="491" t="n"/>
      <c r="I178" s="499">
        <f>IF(A178="","Pending",IF(H178="","⚠️ Enter Code",IF(IFERROR(VLOOKUP(G178,DB_Agents!$B:$I,8,0),"")=H178,IF(AND(A178&lt;&gt;"",E178&lt;&gt;""),"Saved","Pending"),"🔒 BLOCKED — Wrong Code")))</f>
        <v/>
      </c>
      <c r="J178" s="500">
        <f>IF(I178="Saved",TEXT(TODAY(),"YYYY-MM-DD")&amp;" Auto","—")</f>
        <v/>
      </c>
      <c r="K178" s="501" t="n"/>
    </row>
    <row r="179" ht="15" customHeight="1" s="341">
      <c r="A179" s="486" t="n"/>
      <c r="B179" s="378">
        <f>IF(A179="","",IFERROR(VLOOKUP(A179,DB_Customers!$A:$D,4,0),"❌ Account Not Found"))</f>
        <v/>
      </c>
      <c r="C179" s="487">
        <f>IF(A179="","",IFERROR(VLOOKUP(A179,DB_Customers!$A:$N,14,0),""))</f>
        <v/>
      </c>
      <c r="D179" s="488">
        <f>IF(A179="","",TODAY())</f>
        <v/>
      </c>
      <c r="E179" s="489" t="n"/>
      <c r="F179" s="490">
        <f>IF(OR(A179="",E179=""),"",IF(C179="","",C179+E179))</f>
        <v/>
      </c>
      <c r="G179" s="380" t="inlineStr">
        <is>
          <t>Agent 10</t>
        </is>
      </c>
      <c r="H179" s="491" t="n"/>
      <c r="I179" s="492">
        <f>IF(A179="","Pending",IF(H179="","⚠️ Enter Code",IF(IFERROR(VLOOKUP(G179,DB_Agents!$B:$I,8,0),"")=H179,IF(AND(A179&lt;&gt;"",E179&lt;&gt;""),"Saved","Pending"),"🔒 BLOCKED — Wrong Code")))</f>
        <v/>
      </c>
      <c r="J179" s="493">
        <f>IF(I179="Saved",TEXT(TODAY(),"YYYY-MM-DD")&amp;" Auto","—")</f>
        <v/>
      </c>
      <c r="K179" s="494" t="n"/>
    </row>
    <row r="180" ht="15" customHeight="1" s="341">
      <c r="A180" s="495" t="n"/>
      <c r="B180" s="382">
        <f>IF(A180="","",IFERROR(VLOOKUP(A180,DB_Customers!$A:$D,4,0),"❌ Account Not Found"))</f>
        <v/>
      </c>
      <c r="C180" s="496">
        <f>IF(A180="","",IFERROR(VLOOKUP(A180,DB_Customers!$A:$N,14,0),""))</f>
        <v/>
      </c>
      <c r="D180" s="497">
        <f>IF(A180="","",TODAY())</f>
        <v/>
      </c>
      <c r="E180" s="489" t="n"/>
      <c r="F180" s="498">
        <f>IF(OR(A180="",E180=""),"",IF(C180="","",C180+E180))</f>
        <v/>
      </c>
      <c r="G180" s="384" t="inlineStr">
        <is>
          <t>Agent 10</t>
        </is>
      </c>
      <c r="H180" s="491" t="n"/>
      <c r="I180" s="499">
        <f>IF(A180="","Pending",IF(H180="","⚠️ Enter Code",IF(IFERROR(VLOOKUP(G180,DB_Agents!$B:$I,8,0),"")=H180,IF(AND(A180&lt;&gt;"",E180&lt;&gt;""),"Saved","Pending"),"🔒 BLOCKED — Wrong Code")))</f>
        <v/>
      </c>
      <c r="J180" s="500">
        <f>IF(I180="Saved",TEXT(TODAY(),"YYYY-MM-DD")&amp;" Auto","—")</f>
        <v/>
      </c>
      <c r="K180" s="501" t="n"/>
    </row>
    <row r="181" ht="15" customHeight="1" s="341">
      <c r="A181" s="486" t="n"/>
      <c r="B181" s="378">
        <f>IF(A181="","",IFERROR(VLOOKUP(A181,DB_Customers!$A:$D,4,0),"❌ Account Not Found"))</f>
        <v/>
      </c>
      <c r="C181" s="487">
        <f>IF(A181="","",IFERROR(VLOOKUP(A181,DB_Customers!$A:$N,14,0),""))</f>
        <v/>
      </c>
      <c r="D181" s="488">
        <f>IF(A181="","",TODAY())</f>
        <v/>
      </c>
      <c r="E181" s="489" t="n"/>
      <c r="F181" s="490">
        <f>IF(OR(A181="",E181=""),"",IF(C181="","",C181+E181))</f>
        <v/>
      </c>
      <c r="G181" s="380" t="inlineStr">
        <is>
          <t>Agent 10</t>
        </is>
      </c>
      <c r="H181" s="491" t="n"/>
      <c r="I181" s="492">
        <f>IF(A181="","Pending",IF(H181="","⚠️ Enter Code",IF(IFERROR(VLOOKUP(G181,DB_Agents!$B:$I,8,0),"")=H181,IF(AND(A181&lt;&gt;"",E181&lt;&gt;""),"Saved","Pending"),"🔒 BLOCKED — Wrong Code")))</f>
        <v/>
      </c>
      <c r="J181" s="493">
        <f>IF(I181="Saved",TEXT(TODAY(),"YYYY-MM-DD")&amp;" Auto","—")</f>
        <v/>
      </c>
      <c r="K181" s="494" t="n"/>
    </row>
    <row r="182" ht="15" customHeight="1" s="341">
      <c r="A182" s="495" t="n"/>
      <c r="B182" s="382">
        <f>IF(A182="","",IFERROR(VLOOKUP(A182,DB_Customers!$A:$D,4,0),"❌ Account Not Found"))</f>
        <v/>
      </c>
      <c r="C182" s="496">
        <f>IF(A182="","",IFERROR(VLOOKUP(A182,DB_Customers!$A:$N,14,0),""))</f>
        <v/>
      </c>
      <c r="D182" s="497">
        <f>IF(A182="","",TODAY())</f>
        <v/>
      </c>
      <c r="E182" s="489" t="n"/>
      <c r="F182" s="498">
        <f>IF(OR(A182="",E182=""),"",IF(C182="","",C182+E182))</f>
        <v/>
      </c>
      <c r="G182" s="384" t="inlineStr">
        <is>
          <t>Agent 10</t>
        </is>
      </c>
      <c r="H182" s="491" t="n"/>
      <c r="I182" s="499">
        <f>IF(A182="","Pending",IF(H182="","⚠️ Enter Code",IF(IFERROR(VLOOKUP(G182,DB_Agents!$B:$I,8,0),"")=H182,IF(AND(A182&lt;&gt;"",E182&lt;&gt;""),"Saved","Pending"),"🔒 BLOCKED — Wrong Code")))</f>
        <v/>
      </c>
      <c r="J182" s="500">
        <f>IF(I182="Saved",TEXT(TODAY(),"YYYY-MM-DD")&amp;" Auto","—")</f>
        <v/>
      </c>
      <c r="K182" s="501" t="n"/>
    </row>
    <row r="183" ht="15" customHeight="1" s="341">
      <c r="A183" s="486" t="n"/>
      <c r="B183" s="378">
        <f>IF(A183="","",IFERROR(VLOOKUP(A183,DB_Customers!$A:$D,4,0),"❌ Account Not Found"))</f>
        <v/>
      </c>
      <c r="C183" s="487">
        <f>IF(A183="","",IFERROR(VLOOKUP(A183,DB_Customers!$A:$N,14,0),""))</f>
        <v/>
      </c>
      <c r="D183" s="488">
        <f>IF(A183="","",TODAY())</f>
        <v/>
      </c>
      <c r="E183" s="489" t="n"/>
      <c r="F183" s="490">
        <f>IF(OR(A183="",E183=""),"",IF(C183="","",C183+E183))</f>
        <v/>
      </c>
      <c r="G183" s="380" t="inlineStr">
        <is>
          <t>Agent 10</t>
        </is>
      </c>
      <c r="H183" s="491" t="n"/>
      <c r="I183" s="492">
        <f>IF(A183="","Pending",IF(H183="","⚠️ Enter Code",IF(IFERROR(VLOOKUP(G183,DB_Agents!$B:$I,8,0),"")=H183,IF(AND(A183&lt;&gt;"",E183&lt;&gt;""),"Saved","Pending"),"🔒 BLOCKED — Wrong Code")))</f>
        <v/>
      </c>
      <c r="J183" s="493">
        <f>IF(I183="Saved",TEXT(TODAY(),"YYYY-MM-DD")&amp;" Auto","—")</f>
        <v/>
      </c>
      <c r="K183" s="494" t="n"/>
    </row>
    <row r="184" ht="15" customHeight="1" s="341">
      <c r="A184" s="495" t="n"/>
      <c r="B184" s="382">
        <f>IF(A184="","",IFERROR(VLOOKUP(A184,DB_Customers!$A:$D,4,0),"❌ Account Not Found"))</f>
        <v/>
      </c>
      <c r="C184" s="496">
        <f>IF(A184="","",IFERROR(VLOOKUP(A184,DB_Customers!$A:$N,14,0),""))</f>
        <v/>
      </c>
      <c r="D184" s="497">
        <f>IF(A184="","",TODAY())</f>
        <v/>
      </c>
      <c r="E184" s="489" t="n"/>
      <c r="F184" s="498">
        <f>IF(OR(A184="",E184=""),"",IF(C184="","",C184+E184))</f>
        <v/>
      </c>
      <c r="G184" s="384" t="inlineStr">
        <is>
          <t>Agent 10</t>
        </is>
      </c>
      <c r="H184" s="491" t="n"/>
      <c r="I184" s="499">
        <f>IF(A184="","Pending",IF(H184="","⚠️ Enter Code",IF(IFERROR(VLOOKUP(G184,DB_Agents!$B:$I,8,0),"")=H184,IF(AND(A184&lt;&gt;"",E184&lt;&gt;""),"Saved","Pending"),"🔒 BLOCKED — Wrong Code")))</f>
        <v/>
      </c>
      <c r="J184" s="500">
        <f>IF(I184="Saved",TEXT(TODAY(),"YYYY-MM-DD")&amp;" Auto","—")</f>
        <v/>
      </c>
      <c r="K184" s="501" t="n"/>
    </row>
    <row r="185" ht="15" customHeight="1" s="341">
      <c r="A185" s="486" t="n"/>
      <c r="B185" s="378">
        <f>IF(A185="","",IFERROR(VLOOKUP(A185,DB_Customers!$A:$D,4,0),"❌ Account Not Found"))</f>
        <v/>
      </c>
      <c r="C185" s="487">
        <f>IF(A185="","",IFERROR(VLOOKUP(A185,DB_Customers!$A:$N,14,0),""))</f>
        <v/>
      </c>
      <c r="D185" s="488">
        <f>IF(A185="","",TODAY())</f>
        <v/>
      </c>
      <c r="E185" s="489" t="n"/>
      <c r="F185" s="490">
        <f>IF(OR(A185="",E185=""),"",IF(C185="","",C185+E185))</f>
        <v/>
      </c>
      <c r="G185" s="380" t="inlineStr">
        <is>
          <t>Agent 10</t>
        </is>
      </c>
      <c r="H185" s="491" t="n"/>
      <c r="I185" s="492">
        <f>IF(A185="","Pending",IF(H185="","⚠️ Enter Code",IF(IFERROR(VLOOKUP(G185,DB_Agents!$B:$I,8,0),"")=H185,IF(AND(A185&lt;&gt;"",E185&lt;&gt;""),"Saved","Pending"),"🔒 BLOCKED — Wrong Code")))</f>
        <v/>
      </c>
      <c r="J185" s="493">
        <f>IF(I185="Saved",TEXT(TODAY(),"YYYY-MM-DD")&amp;" Auto","—")</f>
        <v/>
      </c>
      <c r="K185" s="494" t="n"/>
    </row>
    <row r="186" ht="15" customHeight="1" s="341">
      <c r="A186" s="495" t="n"/>
      <c r="B186" s="382">
        <f>IF(A186="","",IFERROR(VLOOKUP(A186,DB_Customers!$A:$D,4,0),"❌ Account Not Found"))</f>
        <v/>
      </c>
      <c r="C186" s="496">
        <f>IF(A186="","",IFERROR(VLOOKUP(A186,DB_Customers!$A:$N,14,0),""))</f>
        <v/>
      </c>
      <c r="D186" s="497">
        <f>IF(A186="","",TODAY())</f>
        <v/>
      </c>
      <c r="E186" s="489" t="n"/>
      <c r="F186" s="498">
        <f>IF(OR(A186="",E186=""),"",IF(C186="","",C186+E186))</f>
        <v/>
      </c>
      <c r="G186" s="384" t="inlineStr">
        <is>
          <t>Agent 10</t>
        </is>
      </c>
      <c r="H186" s="491" t="n"/>
      <c r="I186" s="499">
        <f>IF(A186="","Pending",IF(H186="","⚠️ Enter Code",IF(IFERROR(VLOOKUP(G186,DB_Agents!$B:$I,8,0),"")=H186,IF(AND(A186&lt;&gt;"",E186&lt;&gt;""),"Saved","Pending"),"🔒 BLOCKED — Wrong Code")))</f>
        <v/>
      </c>
      <c r="J186" s="500">
        <f>IF(I186="Saved",TEXT(TODAY(),"YYYY-MM-DD")&amp;" Auto","—")</f>
        <v/>
      </c>
      <c r="K186" s="501" t="n"/>
    </row>
    <row r="187" ht="15" customHeight="1" s="341">
      <c r="A187" s="486" t="n"/>
      <c r="B187" s="378">
        <f>IF(A187="","",IFERROR(VLOOKUP(A187,DB_Customers!$A:$D,4,0),"❌ Account Not Found"))</f>
        <v/>
      </c>
      <c r="C187" s="487">
        <f>IF(A187="","",IFERROR(VLOOKUP(A187,DB_Customers!$A:$N,14,0),""))</f>
        <v/>
      </c>
      <c r="D187" s="488">
        <f>IF(A187="","",TODAY())</f>
        <v/>
      </c>
      <c r="E187" s="489" t="n"/>
      <c r="F187" s="490">
        <f>IF(OR(A187="",E187=""),"",IF(C187="","",C187+E187))</f>
        <v/>
      </c>
      <c r="G187" s="380" t="inlineStr">
        <is>
          <t>Agent 10</t>
        </is>
      </c>
      <c r="H187" s="491" t="n"/>
      <c r="I187" s="492">
        <f>IF(A187="","Pending",IF(H187="","⚠️ Enter Code",IF(IFERROR(VLOOKUP(G187,DB_Agents!$B:$I,8,0),"")=H187,IF(AND(A187&lt;&gt;"",E187&lt;&gt;""),"Saved","Pending"),"🔒 BLOCKED — Wrong Code")))</f>
        <v/>
      </c>
      <c r="J187" s="493">
        <f>IF(I187="Saved",TEXT(TODAY(),"YYYY-MM-DD")&amp;" Auto","—")</f>
        <v/>
      </c>
      <c r="K187" s="494" t="n"/>
    </row>
    <row r="188" ht="15" customHeight="1" s="341">
      <c r="A188" s="495" t="n"/>
      <c r="B188" s="382">
        <f>IF(A188="","",IFERROR(VLOOKUP(A188,DB_Customers!$A:$D,4,0),"❌ Account Not Found"))</f>
        <v/>
      </c>
      <c r="C188" s="496">
        <f>IF(A188="","",IFERROR(VLOOKUP(A188,DB_Customers!$A:$N,14,0),""))</f>
        <v/>
      </c>
      <c r="D188" s="497">
        <f>IF(A188="","",TODAY())</f>
        <v/>
      </c>
      <c r="E188" s="489" t="n"/>
      <c r="F188" s="498">
        <f>IF(OR(A188="",E188=""),"",IF(C188="","",C188+E188))</f>
        <v/>
      </c>
      <c r="G188" s="384" t="inlineStr">
        <is>
          <t>Agent 10</t>
        </is>
      </c>
      <c r="H188" s="491" t="n"/>
      <c r="I188" s="499">
        <f>IF(A188="","Pending",IF(H188="","⚠️ Enter Code",IF(IFERROR(VLOOKUP(G188,DB_Agents!$B:$I,8,0),"")=H188,IF(AND(A188&lt;&gt;"",E188&lt;&gt;""),"Saved","Pending"),"🔒 BLOCKED — Wrong Code")))</f>
        <v/>
      </c>
      <c r="J188" s="500">
        <f>IF(I188="Saved",TEXT(TODAY(),"YYYY-MM-DD")&amp;" Auto","—")</f>
        <v/>
      </c>
      <c r="K188" s="501" t="n"/>
    </row>
    <row r="189" ht="15" customHeight="1" s="341">
      <c r="A189" s="486" t="n"/>
      <c r="B189" s="378">
        <f>IF(A189="","",IFERROR(VLOOKUP(A189,DB_Customers!$A:$D,4,0),"❌ Account Not Found"))</f>
        <v/>
      </c>
      <c r="C189" s="487">
        <f>IF(A189="","",IFERROR(VLOOKUP(A189,DB_Customers!$A:$N,14,0),""))</f>
        <v/>
      </c>
      <c r="D189" s="488">
        <f>IF(A189="","",TODAY())</f>
        <v/>
      </c>
      <c r="E189" s="489" t="n"/>
      <c r="F189" s="490">
        <f>IF(OR(A189="",E189=""),"",IF(C189="","",C189+E189))</f>
        <v/>
      </c>
      <c r="G189" s="380" t="inlineStr">
        <is>
          <t>Agent 10</t>
        </is>
      </c>
      <c r="H189" s="491" t="n"/>
      <c r="I189" s="492">
        <f>IF(A189="","Pending",IF(H189="","⚠️ Enter Code",IF(IFERROR(VLOOKUP(G189,DB_Agents!$B:$I,8,0),"")=H189,IF(AND(A189&lt;&gt;"",E189&lt;&gt;""),"Saved","Pending"),"🔒 BLOCKED — Wrong Code")))</f>
        <v/>
      </c>
      <c r="J189" s="493">
        <f>IF(I189="Saved",TEXT(TODAY(),"YYYY-MM-DD")&amp;" Auto","—")</f>
        <v/>
      </c>
      <c r="K189" s="494" t="n"/>
    </row>
    <row r="190" ht="15" customHeight="1" s="341">
      <c r="A190" s="495" t="n"/>
      <c r="B190" s="382">
        <f>IF(A190="","",IFERROR(VLOOKUP(A190,DB_Customers!$A:$D,4,0),"❌ Account Not Found"))</f>
        <v/>
      </c>
      <c r="C190" s="496">
        <f>IF(A190="","",IFERROR(VLOOKUP(A190,DB_Customers!$A:$N,14,0),""))</f>
        <v/>
      </c>
      <c r="D190" s="497">
        <f>IF(A190="","",TODAY())</f>
        <v/>
      </c>
      <c r="E190" s="489" t="n"/>
      <c r="F190" s="498">
        <f>IF(OR(A190="",E190=""),"",IF(C190="","",C190+E190))</f>
        <v/>
      </c>
      <c r="G190" s="384" t="inlineStr">
        <is>
          <t>Agent 10</t>
        </is>
      </c>
      <c r="H190" s="491" t="n"/>
      <c r="I190" s="499">
        <f>IF(A190="","Pending",IF(H190="","⚠️ Enter Code",IF(IFERROR(VLOOKUP(G190,DB_Agents!$B:$I,8,0),"")=H190,IF(AND(A190&lt;&gt;"",E190&lt;&gt;""),"Saved","Pending"),"🔒 BLOCKED — Wrong Code")))</f>
        <v/>
      </c>
      <c r="J190" s="500">
        <f>IF(I190="Saved",TEXT(TODAY(),"YYYY-MM-DD")&amp;" Auto","—")</f>
        <v/>
      </c>
      <c r="K190" s="501" t="n"/>
    </row>
    <row r="191" ht="15" customHeight="1" s="341">
      <c r="A191" s="486" t="n"/>
      <c r="B191" s="378">
        <f>IF(A191="","",IFERROR(VLOOKUP(A191,DB_Customers!$A:$D,4,0),"❌ Account Not Found"))</f>
        <v/>
      </c>
      <c r="C191" s="487">
        <f>IF(A191="","",IFERROR(VLOOKUP(A191,DB_Customers!$A:$N,14,0),""))</f>
        <v/>
      </c>
      <c r="D191" s="488">
        <f>IF(A191="","",TODAY())</f>
        <v/>
      </c>
      <c r="E191" s="489" t="n"/>
      <c r="F191" s="490">
        <f>IF(OR(A191="",E191=""),"",IF(C191="","",C191+E191))</f>
        <v/>
      </c>
      <c r="G191" s="380" t="inlineStr">
        <is>
          <t>Agent 10</t>
        </is>
      </c>
      <c r="H191" s="491" t="n"/>
      <c r="I191" s="492">
        <f>IF(A191="","Pending",IF(H191="","⚠️ Enter Code",IF(IFERROR(VLOOKUP(G191,DB_Agents!$B:$I,8,0),"")=H191,IF(AND(A191&lt;&gt;"",E191&lt;&gt;""),"Saved","Pending"),"🔒 BLOCKED — Wrong Code")))</f>
        <v/>
      </c>
      <c r="J191" s="493">
        <f>IF(I191="Saved",TEXT(TODAY(),"YYYY-MM-DD")&amp;" Auto","—")</f>
        <v/>
      </c>
      <c r="K191" s="494" t="n"/>
    </row>
    <row r="192" ht="15" customHeight="1" s="341">
      <c r="A192" s="495" t="n"/>
      <c r="B192" s="382">
        <f>IF(A192="","",IFERROR(VLOOKUP(A192,DB_Customers!$A:$D,4,0),"❌ Account Not Found"))</f>
        <v/>
      </c>
      <c r="C192" s="496">
        <f>IF(A192="","",IFERROR(VLOOKUP(A192,DB_Customers!$A:$N,14,0),""))</f>
        <v/>
      </c>
      <c r="D192" s="497">
        <f>IF(A192="","",TODAY())</f>
        <v/>
      </c>
      <c r="E192" s="489" t="n"/>
      <c r="F192" s="498">
        <f>IF(OR(A192="",E192=""),"",IF(C192="","",C192+E192))</f>
        <v/>
      </c>
      <c r="G192" s="384" t="inlineStr">
        <is>
          <t>Agent 10</t>
        </is>
      </c>
      <c r="H192" s="491" t="n"/>
      <c r="I192" s="499">
        <f>IF(A192="","Pending",IF(H192="","⚠️ Enter Code",IF(IFERROR(VLOOKUP(G192,DB_Agents!$B:$I,8,0),"")=H192,IF(AND(A192&lt;&gt;"",E192&lt;&gt;""),"Saved","Pending"),"🔒 BLOCKED — Wrong Code")))</f>
        <v/>
      </c>
      <c r="J192" s="500">
        <f>IF(I192="Saved",TEXT(TODAY(),"YYYY-MM-DD")&amp;" Auto","—")</f>
        <v/>
      </c>
      <c r="K192" s="501" t="n"/>
    </row>
    <row r="193" ht="15" customHeight="1" s="341">
      <c r="A193" s="486" t="n"/>
      <c r="B193" s="378">
        <f>IF(A193="","",IFERROR(VLOOKUP(A193,DB_Customers!$A:$D,4,0),"❌ Account Not Found"))</f>
        <v/>
      </c>
      <c r="C193" s="487">
        <f>IF(A193="","",IFERROR(VLOOKUP(A193,DB_Customers!$A:$N,14,0),""))</f>
        <v/>
      </c>
      <c r="D193" s="488">
        <f>IF(A193="","",TODAY())</f>
        <v/>
      </c>
      <c r="E193" s="489" t="n"/>
      <c r="F193" s="490">
        <f>IF(OR(A193="",E193=""),"",IF(C193="","",C193+E193))</f>
        <v/>
      </c>
      <c r="G193" s="380" t="inlineStr">
        <is>
          <t>Agent 10</t>
        </is>
      </c>
      <c r="H193" s="491" t="n"/>
      <c r="I193" s="492">
        <f>IF(A193="","Pending",IF(H193="","⚠️ Enter Code",IF(IFERROR(VLOOKUP(G193,DB_Agents!$B:$I,8,0),"")=H193,IF(AND(A193&lt;&gt;"",E193&lt;&gt;""),"Saved","Pending"),"🔒 BLOCKED — Wrong Code")))</f>
        <v/>
      </c>
      <c r="J193" s="493">
        <f>IF(I193="Saved",TEXT(TODAY(),"YYYY-MM-DD")&amp;" Auto","—")</f>
        <v/>
      </c>
      <c r="K193" s="494" t="n"/>
    </row>
    <row r="194" ht="15" customHeight="1" s="341">
      <c r="A194" s="495" t="n"/>
      <c r="B194" s="382">
        <f>IF(A194="","",IFERROR(VLOOKUP(A194,DB_Customers!$A:$D,4,0),"❌ Account Not Found"))</f>
        <v/>
      </c>
      <c r="C194" s="496">
        <f>IF(A194="","",IFERROR(VLOOKUP(A194,DB_Customers!$A:$N,14,0),""))</f>
        <v/>
      </c>
      <c r="D194" s="497">
        <f>IF(A194="","",TODAY())</f>
        <v/>
      </c>
      <c r="E194" s="489" t="n"/>
      <c r="F194" s="498">
        <f>IF(OR(A194="",E194=""),"",IF(C194="","",C194+E194))</f>
        <v/>
      </c>
      <c r="G194" s="384" t="inlineStr">
        <is>
          <t>Agent 10</t>
        </is>
      </c>
      <c r="H194" s="491" t="n"/>
      <c r="I194" s="499">
        <f>IF(A194="","Pending",IF(H194="","⚠️ Enter Code",IF(IFERROR(VLOOKUP(G194,DB_Agents!$B:$I,8,0),"")=H194,IF(AND(A194&lt;&gt;"",E194&lt;&gt;""),"Saved","Pending"),"🔒 BLOCKED — Wrong Code")))</f>
        <v/>
      </c>
      <c r="J194" s="500">
        <f>IF(I194="Saved",TEXT(TODAY(),"YYYY-MM-DD")&amp;" Auto","—")</f>
        <v/>
      </c>
      <c r="K194" s="501" t="n"/>
    </row>
    <row r="195" ht="15" customHeight="1" s="341">
      <c r="A195" s="486" t="n"/>
      <c r="B195" s="378">
        <f>IF(A195="","",IFERROR(VLOOKUP(A195,DB_Customers!$A:$D,4,0),"❌ Account Not Found"))</f>
        <v/>
      </c>
      <c r="C195" s="487">
        <f>IF(A195="","",IFERROR(VLOOKUP(A195,DB_Customers!$A:$N,14,0),""))</f>
        <v/>
      </c>
      <c r="D195" s="488">
        <f>IF(A195="","",TODAY())</f>
        <v/>
      </c>
      <c r="E195" s="489" t="n"/>
      <c r="F195" s="490">
        <f>IF(OR(A195="",E195=""),"",IF(C195="","",C195+E195))</f>
        <v/>
      </c>
      <c r="G195" s="380" t="inlineStr">
        <is>
          <t>Agent 10</t>
        </is>
      </c>
      <c r="H195" s="491" t="n"/>
      <c r="I195" s="492">
        <f>IF(A195="","Pending",IF(H195="","⚠️ Enter Code",IF(IFERROR(VLOOKUP(G195,DB_Agents!$B:$I,8,0),"")=H195,IF(AND(A195&lt;&gt;"",E195&lt;&gt;""),"Saved","Pending"),"🔒 BLOCKED — Wrong Code")))</f>
        <v/>
      </c>
      <c r="J195" s="493">
        <f>IF(I195="Saved",TEXT(TODAY(),"YYYY-MM-DD")&amp;" Auto","—")</f>
        <v/>
      </c>
      <c r="K195" s="494" t="n"/>
    </row>
    <row r="196" ht="15" customHeight="1" s="341">
      <c r="A196" s="495" t="n"/>
      <c r="B196" s="382">
        <f>IF(A196="","",IFERROR(VLOOKUP(A196,DB_Customers!$A:$D,4,0),"❌ Account Not Found"))</f>
        <v/>
      </c>
      <c r="C196" s="496">
        <f>IF(A196="","",IFERROR(VLOOKUP(A196,DB_Customers!$A:$N,14,0),""))</f>
        <v/>
      </c>
      <c r="D196" s="497">
        <f>IF(A196="","",TODAY())</f>
        <v/>
      </c>
      <c r="E196" s="489" t="n"/>
      <c r="F196" s="498">
        <f>IF(OR(A196="",E196=""),"",IF(C196="","",C196+E196))</f>
        <v/>
      </c>
      <c r="G196" s="384" t="inlineStr">
        <is>
          <t>Agent 10</t>
        </is>
      </c>
      <c r="H196" s="491" t="n"/>
      <c r="I196" s="499">
        <f>IF(A196="","Pending",IF(H196="","⚠️ Enter Code",IF(IFERROR(VLOOKUP(G196,DB_Agents!$B:$I,8,0),"")=H196,IF(AND(A196&lt;&gt;"",E196&lt;&gt;""),"Saved","Pending"),"🔒 BLOCKED — Wrong Code")))</f>
        <v/>
      </c>
      <c r="J196" s="500">
        <f>IF(I196="Saved",TEXT(TODAY(),"YYYY-MM-DD")&amp;" Auto","—")</f>
        <v/>
      </c>
      <c r="K196" s="501" t="n"/>
    </row>
    <row r="197" ht="15" customHeight="1" s="341">
      <c r="A197" s="486" t="n"/>
      <c r="B197" s="378">
        <f>IF(A197="","",IFERROR(VLOOKUP(A197,DB_Customers!$A:$D,4,0),"❌ Account Not Found"))</f>
        <v/>
      </c>
      <c r="C197" s="487">
        <f>IF(A197="","",IFERROR(VLOOKUP(A197,DB_Customers!$A:$N,14,0),""))</f>
        <v/>
      </c>
      <c r="D197" s="488">
        <f>IF(A197="","",TODAY())</f>
        <v/>
      </c>
      <c r="E197" s="489" t="n"/>
      <c r="F197" s="490">
        <f>IF(OR(A197="",E197=""),"",IF(C197="","",C197+E197))</f>
        <v/>
      </c>
      <c r="G197" s="380" t="inlineStr">
        <is>
          <t>Agent 10</t>
        </is>
      </c>
      <c r="H197" s="491" t="n"/>
      <c r="I197" s="492">
        <f>IF(A197="","Pending",IF(H197="","⚠️ Enter Code",IF(IFERROR(VLOOKUP(G197,DB_Agents!$B:$I,8,0),"")=H197,IF(AND(A197&lt;&gt;"",E197&lt;&gt;""),"Saved","Pending"),"🔒 BLOCKED — Wrong Code")))</f>
        <v/>
      </c>
      <c r="J197" s="493">
        <f>IF(I197="Saved",TEXT(TODAY(),"YYYY-MM-DD")&amp;" Auto","—")</f>
        <v/>
      </c>
      <c r="K197" s="494" t="n"/>
    </row>
    <row r="198" ht="15" customHeight="1" s="341">
      <c r="A198" s="495" t="n"/>
      <c r="B198" s="382">
        <f>IF(A198="","",IFERROR(VLOOKUP(A198,DB_Customers!$A:$D,4,0),"❌ Account Not Found"))</f>
        <v/>
      </c>
      <c r="C198" s="496">
        <f>IF(A198="","",IFERROR(VLOOKUP(A198,DB_Customers!$A:$N,14,0),""))</f>
        <v/>
      </c>
      <c r="D198" s="497">
        <f>IF(A198="","",TODAY())</f>
        <v/>
      </c>
      <c r="E198" s="489" t="n"/>
      <c r="F198" s="498">
        <f>IF(OR(A198="",E198=""),"",IF(C198="","",C198+E198))</f>
        <v/>
      </c>
      <c r="G198" s="384" t="inlineStr">
        <is>
          <t>Agent 10</t>
        </is>
      </c>
      <c r="H198" s="491" t="n"/>
      <c r="I198" s="499">
        <f>IF(A198="","Pending",IF(H198="","⚠️ Enter Code",IF(IFERROR(VLOOKUP(G198,DB_Agents!$B:$I,8,0),"")=H198,IF(AND(A198&lt;&gt;"",E198&lt;&gt;""),"Saved","Pending"),"🔒 BLOCKED — Wrong Code")))</f>
        <v/>
      </c>
      <c r="J198" s="500">
        <f>IF(I198="Saved",TEXT(TODAY(),"YYYY-MM-DD")&amp;" Auto","—")</f>
        <v/>
      </c>
      <c r="K198" s="501" t="n"/>
    </row>
    <row r="199" ht="15" customHeight="1" s="341">
      <c r="A199" s="486" t="n"/>
      <c r="B199" s="378">
        <f>IF(A199="","",IFERROR(VLOOKUP(A199,DB_Customers!$A:$D,4,0),"❌ Account Not Found"))</f>
        <v/>
      </c>
      <c r="C199" s="487">
        <f>IF(A199="","",IFERROR(VLOOKUP(A199,DB_Customers!$A:$N,14,0),""))</f>
        <v/>
      </c>
      <c r="D199" s="488">
        <f>IF(A199="","",TODAY())</f>
        <v/>
      </c>
      <c r="E199" s="489" t="n"/>
      <c r="F199" s="490">
        <f>IF(OR(A199="",E199=""),"",IF(C199="","",C199+E199))</f>
        <v/>
      </c>
      <c r="G199" s="380" t="inlineStr">
        <is>
          <t>Agent 10</t>
        </is>
      </c>
      <c r="H199" s="491" t="n"/>
      <c r="I199" s="492">
        <f>IF(A199="","Pending",IF(H199="","⚠️ Enter Code",IF(IFERROR(VLOOKUP(G199,DB_Agents!$B:$I,8,0),"")=H199,IF(AND(A199&lt;&gt;"",E199&lt;&gt;""),"Saved","Pending"),"🔒 BLOCKED — Wrong Code")))</f>
        <v/>
      </c>
      <c r="J199" s="493">
        <f>IF(I199="Saved",TEXT(TODAY(),"YYYY-MM-DD")&amp;" Auto","—")</f>
        <v/>
      </c>
      <c r="K199" s="494" t="n"/>
    </row>
    <row r="200" ht="15" customHeight="1" s="341">
      <c r="A200" s="495" t="n"/>
      <c r="B200" s="382">
        <f>IF(A200="","",IFERROR(VLOOKUP(A200,DB_Customers!$A:$D,4,0),"❌ Account Not Found"))</f>
        <v/>
      </c>
      <c r="C200" s="496">
        <f>IF(A200="","",IFERROR(VLOOKUP(A200,DB_Customers!$A:$N,14,0),""))</f>
        <v/>
      </c>
      <c r="D200" s="497">
        <f>IF(A200="","",TODAY())</f>
        <v/>
      </c>
      <c r="E200" s="489" t="n"/>
      <c r="F200" s="498">
        <f>IF(OR(A200="",E200=""),"",IF(C200="","",C200+E200))</f>
        <v/>
      </c>
      <c r="G200" s="384" t="inlineStr">
        <is>
          <t>Agent 10</t>
        </is>
      </c>
      <c r="H200" s="491" t="n"/>
      <c r="I200" s="499">
        <f>IF(A200="","Pending",IF(H200="","⚠️ Enter Code",IF(IFERROR(VLOOKUP(G200,DB_Agents!$B:$I,8,0),"")=H200,IF(AND(A200&lt;&gt;"",E200&lt;&gt;""),"Saved","Pending"),"🔒 BLOCKED — Wrong Code")))</f>
        <v/>
      </c>
      <c r="J200" s="500">
        <f>IF(I200="Saved",TEXT(TODAY(),"YYYY-MM-DD")&amp;" Auto","—")</f>
        <v/>
      </c>
      <c r="K200" s="501" t="n"/>
    </row>
    <row r="201" ht="15" customHeight="1" s="341">
      <c r="A201" s="486" t="n"/>
      <c r="B201" s="378">
        <f>IF(A201="","",IFERROR(VLOOKUP(A201,DB_Customers!$A:$D,4,0),"❌ Account Not Found"))</f>
        <v/>
      </c>
      <c r="C201" s="487">
        <f>IF(A201="","",IFERROR(VLOOKUP(A201,DB_Customers!$A:$N,14,0),""))</f>
        <v/>
      </c>
      <c r="D201" s="488">
        <f>IF(A201="","",TODAY())</f>
        <v/>
      </c>
      <c r="E201" s="489" t="n"/>
      <c r="F201" s="490">
        <f>IF(OR(A201="",E201=""),"",IF(C201="","",C201+E201))</f>
        <v/>
      </c>
      <c r="G201" s="380" t="inlineStr">
        <is>
          <t>Agent 10</t>
        </is>
      </c>
      <c r="H201" s="491" t="n"/>
      <c r="I201" s="492">
        <f>IF(A201="","Pending",IF(H201="","⚠️ Enter Code",IF(IFERROR(VLOOKUP(G201,DB_Agents!$B:$I,8,0),"")=H201,IF(AND(A201&lt;&gt;"",E201&lt;&gt;""),"Saved","Pending"),"🔒 BLOCKED — Wrong Code")))</f>
        <v/>
      </c>
      <c r="J201" s="493">
        <f>IF(I201="Saved",TEXT(TODAY(),"YYYY-MM-DD")&amp;" Auto","—")</f>
        <v/>
      </c>
      <c r="K201" s="494" t="n"/>
    </row>
    <row r="202" ht="15" customHeight="1" s="341">
      <c r="A202" s="495" t="n"/>
      <c r="B202" s="382">
        <f>IF(A202="","",IFERROR(VLOOKUP(A202,DB_Customers!$A:$D,4,0),"❌ Account Not Found"))</f>
        <v/>
      </c>
      <c r="C202" s="496">
        <f>IF(A202="","",IFERROR(VLOOKUP(A202,DB_Customers!$A:$N,14,0),""))</f>
        <v/>
      </c>
      <c r="D202" s="497">
        <f>IF(A202="","",TODAY())</f>
        <v/>
      </c>
      <c r="E202" s="489" t="n"/>
      <c r="F202" s="498">
        <f>IF(OR(A202="",E202=""),"",IF(C202="","",C202+E202))</f>
        <v/>
      </c>
      <c r="G202" s="384" t="inlineStr">
        <is>
          <t>Agent 10</t>
        </is>
      </c>
      <c r="H202" s="491" t="n"/>
      <c r="I202" s="499">
        <f>IF(A202="","Pending",IF(H202="","⚠️ Enter Code",IF(IFERROR(VLOOKUP(G202,DB_Agents!$B:$I,8,0),"")=H202,IF(AND(A202&lt;&gt;"",E202&lt;&gt;""),"Saved","Pending"),"🔒 BLOCKED — Wrong Code")))</f>
        <v/>
      </c>
      <c r="J202" s="500">
        <f>IF(I202="Saved",TEXT(TODAY(),"YYYY-MM-DD")&amp;" Auto","—")</f>
        <v/>
      </c>
      <c r="K202" s="501" t="n"/>
    </row>
    <row r="203" ht="15" customHeight="1" s="341">
      <c r="A203" s="486" t="n"/>
      <c r="B203" s="378">
        <f>IF(A203="","",IFERROR(VLOOKUP(A203,DB_Customers!$A:$D,4,0),"❌ Account Not Found"))</f>
        <v/>
      </c>
      <c r="C203" s="487">
        <f>IF(A203="","",IFERROR(VLOOKUP(A203,DB_Customers!$A:$N,14,0),""))</f>
        <v/>
      </c>
      <c r="D203" s="488">
        <f>IF(A203="","",TODAY())</f>
        <v/>
      </c>
      <c r="E203" s="489" t="n"/>
      <c r="F203" s="490">
        <f>IF(OR(A203="",E203=""),"",IF(C203="","",C203+E203))</f>
        <v/>
      </c>
      <c r="G203" s="380" t="inlineStr">
        <is>
          <t>Agent 10</t>
        </is>
      </c>
      <c r="H203" s="491" t="n"/>
      <c r="I203" s="492">
        <f>IF(A203="","Pending",IF(H203="","⚠️ Enter Code",IF(IFERROR(VLOOKUP(G203,DB_Agents!$B:$I,8,0),"")=H203,IF(AND(A203&lt;&gt;"",E203&lt;&gt;""),"Saved","Pending"),"🔒 BLOCKED — Wrong Code")))</f>
        <v/>
      </c>
      <c r="J203" s="493">
        <f>IF(I203="Saved",TEXT(TODAY(),"YYYY-MM-DD")&amp;" Auto","—")</f>
        <v/>
      </c>
      <c r="K203" s="494" t="n"/>
    </row>
    <row r="204" ht="15" customHeight="1" s="341">
      <c r="A204" s="495" t="n"/>
      <c r="B204" s="382">
        <f>IF(A204="","",IFERROR(VLOOKUP(A204,DB_Customers!$A:$D,4,0),"❌ Account Not Found"))</f>
        <v/>
      </c>
      <c r="C204" s="496">
        <f>IF(A204="","",IFERROR(VLOOKUP(A204,DB_Customers!$A:$N,14,0),""))</f>
        <v/>
      </c>
      <c r="D204" s="497">
        <f>IF(A204="","",TODAY())</f>
        <v/>
      </c>
      <c r="E204" s="489" t="n"/>
      <c r="F204" s="498">
        <f>IF(OR(A204="",E204=""),"",IF(C204="","",C204+E204))</f>
        <v/>
      </c>
      <c r="G204" s="384" t="inlineStr">
        <is>
          <t>Agent 10</t>
        </is>
      </c>
      <c r="H204" s="491" t="n"/>
      <c r="I204" s="499">
        <f>IF(A204="","Pending",IF(H204="","⚠️ Enter Code",IF(IFERROR(VLOOKUP(G204,DB_Agents!$B:$I,8,0),"")=H204,IF(AND(A204&lt;&gt;"",E204&lt;&gt;""),"Saved","Pending"),"🔒 BLOCKED — Wrong Code")))</f>
        <v/>
      </c>
      <c r="J204" s="500">
        <f>IF(I204="Saved",TEXT(TODAY(),"YYYY-MM-DD")&amp;" Auto","—")</f>
        <v/>
      </c>
      <c r="K204" s="501" t="n"/>
    </row>
    <row r="205" ht="15" customHeight="1" s="341">
      <c r="A205" s="486" t="n"/>
      <c r="B205" s="378">
        <f>IF(A205="","",IFERROR(VLOOKUP(A205,DB_Customers!$A:$D,4,0),"❌ Account Not Found"))</f>
        <v/>
      </c>
      <c r="C205" s="487">
        <f>IF(A205="","",IFERROR(VLOOKUP(A205,DB_Customers!$A:$N,14,0),""))</f>
        <v/>
      </c>
      <c r="D205" s="488">
        <f>IF(A205="","",TODAY())</f>
        <v/>
      </c>
      <c r="E205" s="489" t="n"/>
      <c r="F205" s="490">
        <f>IF(OR(A205="",E205=""),"",IF(C205="","",C205+E205))</f>
        <v/>
      </c>
      <c r="G205" s="380" t="inlineStr">
        <is>
          <t>Agent 10</t>
        </is>
      </c>
      <c r="H205" s="491" t="n"/>
      <c r="I205" s="492">
        <f>IF(A205="","Pending",IF(H205="","⚠️ Enter Code",IF(IFERROR(VLOOKUP(G205,DB_Agents!$B:$I,8,0),"")=H205,IF(AND(A205&lt;&gt;"",E205&lt;&gt;""),"Saved","Pending"),"🔒 BLOCKED — Wrong Code")))</f>
        <v/>
      </c>
      <c r="J205" s="493">
        <f>IF(I205="Saved",TEXT(TODAY(),"YYYY-MM-DD")&amp;" Auto","—")</f>
        <v/>
      </c>
      <c r="K205" s="494" t="n"/>
    </row>
    <row r="206" ht="15" customHeight="1" s="341">
      <c r="A206" s="495" t="n"/>
      <c r="B206" s="382">
        <f>IF(A206="","",IFERROR(VLOOKUP(A206,DB_Customers!$A:$D,4,0),"❌ Account Not Found"))</f>
        <v/>
      </c>
      <c r="C206" s="496">
        <f>IF(A206="","",IFERROR(VLOOKUP(A206,DB_Customers!$A:$N,14,0),""))</f>
        <v/>
      </c>
      <c r="D206" s="497">
        <f>IF(A206="","",TODAY())</f>
        <v/>
      </c>
      <c r="E206" s="489" t="n"/>
      <c r="F206" s="498">
        <f>IF(OR(A206="",E206=""),"",IF(C206="","",C206+E206))</f>
        <v/>
      </c>
      <c r="G206" s="384" t="inlineStr">
        <is>
          <t>Agent 10</t>
        </is>
      </c>
      <c r="H206" s="491" t="n"/>
      <c r="I206" s="499">
        <f>IF(A206="","Pending",IF(H206="","⚠️ Enter Code",IF(IFERROR(VLOOKUP(G206,DB_Agents!$B:$I,8,0),"")=H206,IF(AND(A206&lt;&gt;"",E206&lt;&gt;""),"Saved","Pending"),"🔒 BLOCKED — Wrong Code")))</f>
        <v/>
      </c>
      <c r="J206" s="500">
        <f>IF(I206="Saved",TEXT(TODAY(),"YYYY-MM-DD")&amp;" Auto","—")</f>
        <v/>
      </c>
      <c r="K206" s="501" t="n"/>
    </row>
    <row r="207" ht="15" customHeight="1" s="341">
      <c r="A207" s="486" t="n"/>
      <c r="B207" s="378">
        <f>IF(A207="","",IFERROR(VLOOKUP(A207,DB_Customers!$A:$D,4,0),"❌ Account Not Found"))</f>
        <v/>
      </c>
      <c r="C207" s="487">
        <f>IF(A207="","",IFERROR(VLOOKUP(A207,DB_Customers!$A:$N,14,0),""))</f>
        <v/>
      </c>
      <c r="D207" s="488">
        <f>IF(A207="","",TODAY())</f>
        <v/>
      </c>
      <c r="E207" s="489" t="n"/>
      <c r="F207" s="490">
        <f>IF(OR(A207="",E207=""),"",IF(C207="","",C207+E207))</f>
        <v/>
      </c>
      <c r="G207" s="380" t="inlineStr">
        <is>
          <t>Agent 10</t>
        </is>
      </c>
      <c r="H207" s="491" t="n"/>
      <c r="I207" s="492">
        <f>IF(A207="","Pending",IF(H207="","⚠️ Enter Code",IF(IFERROR(VLOOKUP(G207,DB_Agents!$B:$I,8,0),"")=H207,IF(AND(A207&lt;&gt;"",E207&lt;&gt;""),"Saved","Pending"),"🔒 BLOCKED — Wrong Code")))</f>
        <v/>
      </c>
      <c r="J207" s="493">
        <f>IF(I207="Saved",TEXT(TODAY(),"YYYY-MM-DD")&amp;" Auto","—")</f>
        <v/>
      </c>
      <c r="K207" s="494" t="n"/>
    </row>
    <row r="208" ht="15" customHeight="1" s="341">
      <c r="A208" s="495" t="n"/>
      <c r="B208" s="382">
        <f>IF(A208="","",IFERROR(VLOOKUP(A208,DB_Customers!$A:$D,4,0),"❌ Account Not Found"))</f>
        <v/>
      </c>
      <c r="C208" s="496">
        <f>IF(A208="","",IFERROR(VLOOKUP(A208,DB_Customers!$A:$N,14,0),""))</f>
        <v/>
      </c>
      <c r="D208" s="497">
        <f>IF(A208="","",TODAY())</f>
        <v/>
      </c>
      <c r="E208" s="489" t="n"/>
      <c r="F208" s="498">
        <f>IF(OR(A208="",E208=""),"",IF(C208="","",C208+E208))</f>
        <v/>
      </c>
      <c r="G208" s="384" t="inlineStr">
        <is>
          <t>Agent 10</t>
        </is>
      </c>
      <c r="H208" s="491" t="n"/>
      <c r="I208" s="499">
        <f>IF(A208="","Pending",IF(H208="","⚠️ Enter Code",IF(IFERROR(VLOOKUP(G208,DB_Agents!$B:$I,8,0),"")=H208,IF(AND(A208&lt;&gt;"",E208&lt;&gt;""),"Saved","Pending"),"🔒 BLOCKED — Wrong Code")))</f>
        <v/>
      </c>
      <c r="J208" s="500">
        <f>IF(I208="Saved",TEXT(TODAY(),"YYYY-MM-DD")&amp;" Auto","—")</f>
        <v/>
      </c>
      <c r="K208" s="501" t="n"/>
    </row>
  </sheetData>
  <mergeCells count="12">
    <mergeCell ref="A2:L2"/>
    <mergeCell ref="A7:L7"/>
    <mergeCell ref="A1:L1"/>
    <mergeCell ref="A5:L5"/>
    <mergeCell ref="D4:F4"/>
    <mergeCell ref="D3:F3"/>
    <mergeCell ref="A3:C3"/>
    <mergeCell ref="G3:I3"/>
    <mergeCell ref="G4:I4"/>
    <mergeCell ref="J4:L4"/>
    <mergeCell ref="A4:C4"/>
    <mergeCell ref="J3:L3"/>
  </mergeCells>
  <conditionalFormatting sqref="H9:H208">
    <cfRule type="cellIs" rank="0" priority="2" equalAverage="0" operator="equal" aboveAverage="0" dxfId="0" text="" percent="0" bottom="0">
      <formula>"Saved"</formula>
    </cfRule>
    <cfRule type="cellIs" rank="0" priority="3" equalAverage="0" operator="equal" aboveAverage="0" dxfId="11" text="" percent="0" bottom="0">
      <formula>"Pending"</formula>
    </cfRule>
  </conditionalFormatting>
  <conditionalFormatting sqref="A9:J208">
    <cfRule type="expression" rank="0" priority="4" equalAverage="0" aboveAverage="0" dxfId="12" text="" percent="0" bottom="0">
      <formula>$H9="Saved"</formula>
    </cfRule>
  </conditionalFormatting>
  <dataValidations count="2">
    <dataValidation sqref="E9:E208" showDropDown="0" showInputMessage="0" showErrorMessage="1" allowBlank="0" error="Must be &gt; 0" type="decimal" errorStyle="stop" operator="greaterThan">
      <formula1>0</formula1>
      <formula2>0</formula2>
    </dataValidation>
    <dataValidation sqref="G9:G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4.xml><?xml version="1.0" encoding="utf-8"?>
<worksheet xmlns="http://schemas.openxmlformats.org/spreadsheetml/2006/main">
  <sheetPr filterMode="0">
    <tabColor rgb="FFC0392B"/>
    <outlinePr summaryBelow="1" summaryRight="1"/>
    <pageSetUpPr fitToPage="0"/>
  </sheetPr>
  <dimension ref="A1:M208"/>
  <sheetViews>
    <sheetView showFormulas="0" showGridLines="1" showRowColHeaders="1" showZeros="1" rightToLeft="0" tabSelected="0" showOutlineSymbols="1" defaultGridColor="1"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6" customWidth="1" style="340" min="1" max="1"/>
    <col width="24" customWidth="1" style="340" min="2" max="2"/>
    <col width="16" customWidth="1" style="340" min="3" max="3"/>
    <col width="13" customWidth="1" style="340" min="4" max="4"/>
    <col width="15" customWidth="1" style="340" min="5" max="5"/>
    <col width="16" customWidth="1" style="340" min="6" max="6"/>
    <col width="15" customWidth="1" style="340" min="7" max="7"/>
    <col width="12" customWidth="1" style="340" min="8" max="8"/>
    <col width="14" customWidth="1" style="340" min="9" max="9"/>
    <col width="22" customWidth="1" style="340" min="10" max="10"/>
    <col width="20" customWidth="1" style="340" min="11" max="11"/>
  </cols>
  <sheetData>
    <row r="1" ht="31.5" customHeight="1" s="341">
      <c r="A1" s="502" t="inlineStr">
        <is>
          <t>🏧  SAMICIOUS MICROFINANCE — AGENT10 WITHDRAWALS</t>
        </is>
      </c>
    </row>
    <row r="2" ht="19.5" customHeight="1" s="341">
      <c r="A2" s="503" t="inlineStr">
        <is>
          <t>Agent: Agent 10  |  Status auto: "Successful" or "Unsuccessful" based on balance check  |  🔑 Security: Enter your 4-digit Agent Code in each row</t>
        </is>
      </c>
    </row>
    <row r="3" ht="18" customHeight="1" s="341">
      <c r="A3" s="365" t="inlineStr">
        <is>
          <t>🏧 Total Withdrawn Today</t>
        </is>
      </c>
      <c r="D3" s="364" t="inlineStr">
        <is>
          <t>✅ Successful</t>
        </is>
      </c>
      <c r="G3" s="368" t="inlineStr">
        <is>
          <t>❌ Unsuccessful</t>
        </is>
      </c>
      <c r="K3" s="439" t="inlineStr">
        <is>
          <t>📅 Date</t>
        </is>
      </c>
    </row>
    <row r="4" ht="27.75" customHeight="1" s="341">
      <c r="A4" s="504">
        <f>SUMIFS(DB_Withdrawals!$G:$G,DB_Withdrawals!$J:$J,"Agent 10",DB_Withdrawals!$F:$F,TODAY())</f>
        <v/>
      </c>
      <c r="D4" s="505">
        <f>COUNTIFS(DB_Withdrawals!$J:$J,"Agent 10",DB_Withdrawals!$K:$K,"Successful",DB_Withdrawals!$F:$F,TODAY())</f>
        <v/>
      </c>
      <c r="G4" s="506">
        <f>COUNTIFS(DB_Withdrawals!$J:$J,"Agent 10",DB_Withdrawals!$K:$K,"Unsuccessful",DB_Withdrawals!$F:$F,TODAY())</f>
        <v/>
      </c>
      <c r="K4" s="482">
        <f>TEXT(TODAY(),"DD MMM YYYY")</f>
        <v/>
      </c>
    </row>
    <row r="5" ht="19.5" customHeight="1" s="341">
      <c r="A5" s="507" t="inlineStr">
        <is>
          <t>⚠️  WITHDRAWALS — System auto-validates balance. Insufficient funds will show "Unsuccessful" status.</t>
        </is>
      </c>
    </row>
    <row r="6" ht="7.5" customHeight="1" s="341"/>
    <row r="7" ht="19.5" customHeight="1" s="341">
      <c r="A7" s="508" t="inlineStr">
        <is>
          <t>📝  ENTRY FORM — Enter Account # → Name, Balance, Date auto-populate. Enter Withdrawal Amount &amp; Authorized By. | Enter Agent Code in 🔑 column to authorize each transaction.</t>
        </is>
      </c>
    </row>
    <row r="8" ht="19.5" customHeight="1" s="341">
      <c r="A8" s="509" t="inlineStr">
        <is>
          <t>Account #</t>
        </is>
      </c>
      <c r="B8" s="509" t="inlineStr">
        <is>
          <t>Customer Name</t>
        </is>
      </c>
      <c r="C8" s="509" t="inlineStr">
        <is>
          <t>Available Balance</t>
        </is>
      </c>
      <c r="D8" s="509" t="inlineStr">
        <is>
          <t>Date</t>
        </is>
      </c>
      <c r="E8" s="509" t="inlineStr">
        <is>
          <t>Withdrawal Amt</t>
        </is>
      </c>
      <c r="F8" s="509" t="inlineStr">
        <is>
          <t>Authorized By</t>
        </is>
      </c>
      <c r="G8" s="509" t="inlineStr">
        <is>
          <t>New Balance</t>
        </is>
      </c>
      <c r="H8" s="509" t="inlineStr">
        <is>
          <t>Agent</t>
        </is>
      </c>
      <c r="I8" s="485" t="inlineStr">
        <is>
          <t>🔑 Agent Code</t>
        </is>
      </c>
      <c r="J8" s="509" t="inlineStr">
        <is>
          <t>Status</t>
        </is>
      </c>
      <c r="K8" s="509" t="inlineStr">
        <is>
          <t>Saved At</t>
        </is>
      </c>
      <c r="L8" s="509" t="inlineStr">
        <is>
          <t>Notes</t>
        </is>
      </c>
    </row>
    <row r="9" ht="15" customHeight="1" s="341">
      <c r="A9" s="486" t="n"/>
      <c r="B9" s="378">
        <f>IF(A9="","",IFERROR(VLOOKUP(A9,DB_Customers!$A:$D,4,0),"❌ Account Not Found"))</f>
        <v/>
      </c>
      <c r="C9" s="487">
        <f>IF(A9="","",IFERROR(VLOOKUP(A9,DB_Customers!$A:$N,14,0),""))</f>
        <v/>
      </c>
      <c r="D9" s="488">
        <f>IF(A9="","",TODAY())</f>
        <v/>
      </c>
      <c r="E9" s="510" t="n"/>
      <c r="F9" s="378" t="n"/>
      <c r="G9" s="511">
        <f>IF(OR(A9="",E9=""),"",IF(C9="","",C9-E9))</f>
        <v/>
      </c>
      <c r="H9" s="380" t="inlineStr">
        <is>
          <t>Agent 10</t>
        </is>
      </c>
      <c r="I9" s="491" t="n"/>
      <c r="J9" s="492">
        <f>IF(AND(A9&lt;&gt;"",E9&lt;&gt;""),IF(I9="","⚠️ Enter Code",IF(IFERROR(VLOOKUP(H9,DB_Agents!$B:$I,8,0),"")=I9,IF(C9&gt;=E9,"Successful","Unsuccessful"),"🔒 BLOCKED — Wrong Code")),"—")</f>
        <v/>
      </c>
      <c r="K9" s="493">
        <f>IF(J9="Successful",TEXT(TODAY(),"YYYY-MM-DD")&amp;" Auto","—")</f>
        <v/>
      </c>
      <c r="L9" s="494" t="n"/>
    </row>
    <row r="10" ht="15" customHeight="1" s="341">
      <c r="A10" s="495" t="n"/>
      <c r="B10" s="382">
        <f>IF(A10="","",IFERROR(VLOOKUP(A10,DB_Customers!$A:$D,4,0),"❌ Account Not Found"))</f>
        <v/>
      </c>
      <c r="C10" s="496">
        <f>IF(A10="","",IFERROR(VLOOKUP(A10,DB_Customers!$A:$N,14,0),""))</f>
        <v/>
      </c>
      <c r="D10" s="497">
        <f>IF(A10="","",TODAY())</f>
        <v/>
      </c>
      <c r="E10" s="510" t="n"/>
      <c r="F10" s="382" t="n"/>
      <c r="G10" s="512">
        <f>IF(OR(A10="",E10=""),"",IF(C10="","",C10-E10))</f>
        <v/>
      </c>
      <c r="H10" s="384" t="inlineStr">
        <is>
          <t>Agent 10</t>
        </is>
      </c>
      <c r="I10" s="491" t="n"/>
      <c r="J10" s="499">
        <f>IF(AND(A10&lt;&gt;"",E10&lt;&gt;""),IF(I10="","⚠️ Enter Code",IF(IFERROR(VLOOKUP(H10,DB_Agents!$B:$I,8,0),"")=I10,IF(C10&gt;=E10,"Successful","Unsuccessful"),"🔒 BLOCKED — Wrong Code")),"—")</f>
        <v/>
      </c>
      <c r="K10" s="500">
        <f>IF(J10="Successful",TEXT(TODAY(),"YYYY-MM-DD")&amp;" Auto","—")</f>
        <v/>
      </c>
      <c r="L10" s="501" t="n"/>
    </row>
    <row r="11" ht="15" customHeight="1" s="341">
      <c r="A11" s="486" t="n"/>
      <c r="B11" s="378">
        <f>IF(A11="","",IFERROR(VLOOKUP(A11,DB_Customers!$A:$D,4,0),"❌ Account Not Found"))</f>
        <v/>
      </c>
      <c r="C11" s="487">
        <f>IF(A11="","",IFERROR(VLOOKUP(A11,DB_Customers!$A:$N,14,0),""))</f>
        <v/>
      </c>
      <c r="D11" s="488">
        <f>IF(A11="","",TODAY())</f>
        <v/>
      </c>
      <c r="E11" s="510" t="n"/>
      <c r="F11" s="378" t="n"/>
      <c r="G11" s="511">
        <f>IF(OR(A11="",E11=""),"",IF(C11="","",C11-E11))</f>
        <v/>
      </c>
      <c r="H11" s="380" t="inlineStr">
        <is>
          <t>Agent 10</t>
        </is>
      </c>
      <c r="I11" s="491" t="n"/>
      <c r="J11" s="492">
        <f>IF(AND(A11&lt;&gt;"",E11&lt;&gt;""),IF(I11="","⚠️ Enter Code",IF(IFERROR(VLOOKUP(H11,DB_Agents!$B:$I,8,0),"")=I11,IF(C11&gt;=E11,"Successful","Unsuccessful"),"🔒 BLOCKED — Wrong Code")),"—")</f>
        <v/>
      </c>
      <c r="K11" s="493">
        <f>IF(J11="Successful",TEXT(TODAY(),"YYYY-MM-DD")&amp;" Auto","—")</f>
        <v/>
      </c>
      <c r="L11" s="494" t="n"/>
    </row>
    <row r="12" ht="15" customHeight="1" s="341">
      <c r="A12" s="495" t="n"/>
      <c r="B12" s="382">
        <f>IF(A12="","",IFERROR(VLOOKUP(A12,DB_Customers!$A:$D,4,0),"❌ Account Not Found"))</f>
        <v/>
      </c>
      <c r="C12" s="496">
        <f>IF(A12="","",IFERROR(VLOOKUP(A12,DB_Customers!$A:$N,14,0),""))</f>
        <v/>
      </c>
      <c r="D12" s="497">
        <f>IF(A12="","",TODAY())</f>
        <v/>
      </c>
      <c r="E12" s="510" t="n"/>
      <c r="F12" s="382" t="n"/>
      <c r="G12" s="512">
        <f>IF(OR(A12="",E12=""),"",IF(C12="","",C12-E12))</f>
        <v/>
      </c>
      <c r="H12" s="384" t="inlineStr">
        <is>
          <t>Agent 10</t>
        </is>
      </c>
      <c r="I12" s="491" t="n"/>
      <c r="J12" s="499">
        <f>IF(AND(A12&lt;&gt;"",E12&lt;&gt;""),IF(I12="","⚠️ Enter Code",IF(IFERROR(VLOOKUP(H12,DB_Agents!$B:$I,8,0),"")=I12,IF(C12&gt;=E12,"Successful","Unsuccessful"),"🔒 BLOCKED — Wrong Code")),"—")</f>
        <v/>
      </c>
      <c r="K12" s="500">
        <f>IF(J12="Successful",TEXT(TODAY(),"YYYY-MM-DD")&amp;" Auto","—")</f>
        <v/>
      </c>
      <c r="L12" s="501" t="n"/>
    </row>
    <row r="13" ht="15" customHeight="1" s="341">
      <c r="A13" s="486" t="n"/>
      <c r="B13" s="378">
        <f>IF(A13="","",IFERROR(VLOOKUP(A13,DB_Customers!$A:$D,4,0),"❌ Account Not Found"))</f>
        <v/>
      </c>
      <c r="C13" s="487">
        <f>IF(A13="","",IFERROR(VLOOKUP(A13,DB_Customers!$A:$N,14,0),""))</f>
        <v/>
      </c>
      <c r="D13" s="488">
        <f>IF(A13="","",TODAY())</f>
        <v/>
      </c>
      <c r="E13" s="510" t="n"/>
      <c r="F13" s="378" t="n"/>
      <c r="G13" s="511">
        <f>IF(OR(A13="",E13=""),"",IF(C13="","",C13-E13))</f>
        <v/>
      </c>
      <c r="H13" s="380" t="inlineStr">
        <is>
          <t>Agent 10</t>
        </is>
      </c>
      <c r="I13" s="491" t="n"/>
      <c r="J13" s="492">
        <f>IF(AND(A13&lt;&gt;"",E13&lt;&gt;""),IF(I13="","⚠️ Enter Code",IF(IFERROR(VLOOKUP(H13,DB_Agents!$B:$I,8,0),"")=I13,IF(C13&gt;=E13,"Successful","Unsuccessful"),"🔒 BLOCKED — Wrong Code")),"—")</f>
        <v/>
      </c>
      <c r="K13" s="493">
        <f>IF(J13="Successful",TEXT(TODAY(),"YYYY-MM-DD")&amp;" Auto","—")</f>
        <v/>
      </c>
      <c r="L13" s="494" t="n"/>
    </row>
    <row r="14" ht="15" customHeight="1" s="341">
      <c r="A14" s="495" t="n"/>
      <c r="B14" s="382">
        <f>IF(A14="","",IFERROR(VLOOKUP(A14,DB_Customers!$A:$D,4,0),"❌ Account Not Found"))</f>
        <v/>
      </c>
      <c r="C14" s="496">
        <f>IF(A14="","",IFERROR(VLOOKUP(A14,DB_Customers!$A:$N,14,0),""))</f>
        <v/>
      </c>
      <c r="D14" s="497">
        <f>IF(A14="","",TODAY())</f>
        <v/>
      </c>
      <c r="E14" s="510" t="n"/>
      <c r="F14" s="382" t="n"/>
      <c r="G14" s="512">
        <f>IF(OR(A14="",E14=""),"",IF(C14="","",C14-E14))</f>
        <v/>
      </c>
      <c r="H14" s="384" t="inlineStr">
        <is>
          <t>Agent 10</t>
        </is>
      </c>
      <c r="I14" s="491" t="n"/>
      <c r="J14" s="499">
        <f>IF(AND(A14&lt;&gt;"",E14&lt;&gt;""),IF(I14="","⚠️ Enter Code",IF(IFERROR(VLOOKUP(H14,DB_Agents!$B:$I,8,0),"")=I14,IF(C14&gt;=E14,"Successful","Unsuccessful"),"🔒 BLOCKED — Wrong Code")),"—")</f>
        <v/>
      </c>
      <c r="K14" s="500">
        <f>IF(J14="Successful",TEXT(TODAY(),"YYYY-MM-DD")&amp;" Auto","—")</f>
        <v/>
      </c>
      <c r="L14" s="501" t="n"/>
    </row>
    <row r="15" ht="15" customHeight="1" s="341">
      <c r="A15" s="486" t="n"/>
      <c r="B15" s="378">
        <f>IF(A15="","",IFERROR(VLOOKUP(A15,DB_Customers!$A:$D,4,0),"❌ Account Not Found"))</f>
        <v/>
      </c>
      <c r="C15" s="487">
        <f>IF(A15="","",IFERROR(VLOOKUP(A15,DB_Customers!$A:$N,14,0),""))</f>
        <v/>
      </c>
      <c r="D15" s="488">
        <f>IF(A15="","",TODAY())</f>
        <v/>
      </c>
      <c r="E15" s="510" t="n"/>
      <c r="F15" s="378" t="n"/>
      <c r="G15" s="511">
        <f>IF(OR(A15="",E15=""),"",IF(C15="","",C15-E15))</f>
        <v/>
      </c>
      <c r="H15" s="380" t="inlineStr">
        <is>
          <t>Agent 10</t>
        </is>
      </c>
      <c r="I15" s="491" t="n"/>
      <c r="J15" s="492">
        <f>IF(AND(A15&lt;&gt;"",E15&lt;&gt;""),IF(I15="","⚠️ Enter Code",IF(IFERROR(VLOOKUP(H15,DB_Agents!$B:$I,8,0),"")=I15,IF(C15&gt;=E15,"Successful","Unsuccessful"),"🔒 BLOCKED — Wrong Code")),"—")</f>
        <v/>
      </c>
      <c r="K15" s="493">
        <f>IF(J15="Successful",TEXT(TODAY(),"YYYY-MM-DD")&amp;" Auto","—")</f>
        <v/>
      </c>
      <c r="L15" s="494" t="n"/>
    </row>
    <row r="16" ht="15" customHeight="1" s="341">
      <c r="A16" s="495" t="n"/>
      <c r="B16" s="382">
        <f>IF(A16="","",IFERROR(VLOOKUP(A16,DB_Customers!$A:$D,4,0),"❌ Account Not Found"))</f>
        <v/>
      </c>
      <c r="C16" s="496">
        <f>IF(A16="","",IFERROR(VLOOKUP(A16,DB_Customers!$A:$N,14,0),""))</f>
        <v/>
      </c>
      <c r="D16" s="497">
        <f>IF(A16="","",TODAY())</f>
        <v/>
      </c>
      <c r="E16" s="510" t="n"/>
      <c r="F16" s="382" t="n"/>
      <c r="G16" s="512">
        <f>IF(OR(A16="",E16=""),"",IF(C16="","",C16-E16))</f>
        <v/>
      </c>
      <c r="H16" s="384" t="inlineStr">
        <is>
          <t>Agent 10</t>
        </is>
      </c>
      <c r="I16" s="491" t="n"/>
      <c r="J16" s="499">
        <f>IF(AND(A16&lt;&gt;"",E16&lt;&gt;""),IF(I16="","⚠️ Enter Code",IF(IFERROR(VLOOKUP(H16,DB_Agents!$B:$I,8,0),"")=I16,IF(C16&gt;=E16,"Successful","Unsuccessful"),"🔒 BLOCKED — Wrong Code")),"—")</f>
        <v/>
      </c>
      <c r="K16" s="500">
        <f>IF(J16="Successful",TEXT(TODAY(),"YYYY-MM-DD")&amp;" Auto","—")</f>
        <v/>
      </c>
      <c r="L16" s="501" t="n"/>
    </row>
    <row r="17" ht="15" customHeight="1" s="341">
      <c r="A17" s="486" t="n"/>
      <c r="B17" s="378">
        <f>IF(A17="","",IFERROR(VLOOKUP(A17,DB_Customers!$A:$D,4,0),"❌ Account Not Found"))</f>
        <v/>
      </c>
      <c r="C17" s="487">
        <f>IF(A17="","",IFERROR(VLOOKUP(A17,DB_Customers!$A:$N,14,0),""))</f>
        <v/>
      </c>
      <c r="D17" s="488">
        <f>IF(A17="","",TODAY())</f>
        <v/>
      </c>
      <c r="E17" s="510" t="n"/>
      <c r="F17" s="378" t="n"/>
      <c r="G17" s="511">
        <f>IF(OR(A17="",E17=""),"",IF(C17="","",C17-E17))</f>
        <v/>
      </c>
      <c r="H17" s="380" t="inlineStr">
        <is>
          <t>Agent 10</t>
        </is>
      </c>
      <c r="I17" s="491" t="n"/>
      <c r="J17" s="492">
        <f>IF(AND(A17&lt;&gt;"",E17&lt;&gt;""),IF(I17="","⚠️ Enter Code",IF(IFERROR(VLOOKUP(H17,DB_Agents!$B:$I,8,0),"")=I17,IF(C17&gt;=E17,"Successful","Unsuccessful"),"🔒 BLOCKED — Wrong Code")),"—")</f>
        <v/>
      </c>
      <c r="K17" s="493">
        <f>IF(J17="Successful",TEXT(TODAY(),"YYYY-MM-DD")&amp;" Auto","—")</f>
        <v/>
      </c>
      <c r="L17" s="494" t="n"/>
    </row>
    <row r="18" ht="15" customHeight="1" s="341">
      <c r="A18" s="495" t="n"/>
      <c r="B18" s="382">
        <f>IF(A18="","",IFERROR(VLOOKUP(A18,DB_Customers!$A:$D,4,0),"❌ Account Not Found"))</f>
        <v/>
      </c>
      <c r="C18" s="496">
        <f>IF(A18="","",IFERROR(VLOOKUP(A18,DB_Customers!$A:$N,14,0),""))</f>
        <v/>
      </c>
      <c r="D18" s="497">
        <f>IF(A18="","",TODAY())</f>
        <v/>
      </c>
      <c r="E18" s="510" t="n"/>
      <c r="F18" s="382" t="n"/>
      <c r="G18" s="512">
        <f>IF(OR(A18="",E18=""),"",IF(C18="","",C18-E18))</f>
        <v/>
      </c>
      <c r="H18" s="384" t="inlineStr">
        <is>
          <t>Agent 10</t>
        </is>
      </c>
      <c r="I18" s="491" t="n"/>
      <c r="J18" s="499">
        <f>IF(AND(A18&lt;&gt;"",E18&lt;&gt;""),IF(I18="","⚠️ Enter Code",IF(IFERROR(VLOOKUP(H18,DB_Agents!$B:$I,8,0),"")=I18,IF(C18&gt;=E18,"Successful","Unsuccessful"),"🔒 BLOCKED — Wrong Code")),"—")</f>
        <v/>
      </c>
      <c r="K18" s="500">
        <f>IF(J18="Successful",TEXT(TODAY(),"YYYY-MM-DD")&amp;" Auto","—")</f>
        <v/>
      </c>
      <c r="L18" s="501" t="n"/>
    </row>
    <row r="19" ht="15" customHeight="1" s="341">
      <c r="A19" s="486" t="n"/>
      <c r="B19" s="378">
        <f>IF(A19="","",IFERROR(VLOOKUP(A19,DB_Customers!$A:$D,4,0),"❌ Account Not Found"))</f>
        <v/>
      </c>
      <c r="C19" s="487">
        <f>IF(A19="","",IFERROR(VLOOKUP(A19,DB_Customers!$A:$N,14,0),""))</f>
        <v/>
      </c>
      <c r="D19" s="488">
        <f>IF(A19="","",TODAY())</f>
        <v/>
      </c>
      <c r="E19" s="510" t="n"/>
      <c r="F19" s="378" t="n"/>
      <c r="G19" s="511">
        <f>IF(OR(A19="",E19=""),"",IF(C19="","",C19-E19))</f>
        <v/>
      </c>
      <c r="H19" s="380" t="inlineStr">
        <is>
          <t>Agent 10</t>
        </is>
      </c>
      <c r="I19" s="491" t="n"/>
      <c r="J19" s="492">
        <f>IF(AND(A19&lt;&gt;"",E19&lt;&gt;""),IF(I19="","⚠️ Enter Code",IF(IFERROR(VLOOKUP(H19,DB_Agents!$B:$I,8,0),"")=I19,IF(C19&gt;=E19,"Successful","Unsuccessful"),"🔒 BLOCKED — Wrong Code")),"—")</f>
        <v/>
      </c>
      <c r="K19" s="493">
        <f>IF(J19="Successful",TEXT(TODAY(),"YYYY-MM-DD")&amp;" Auto","—")</f>
        <v/>
      </c>
      <c r="L19" s="494" t="n"/>
    </row>
    <row r="20" ht="15" customHeight="1" s="341">
      <c r="A20" s="495" t="n"/>
      <c r="B20" s="382">
        <f>IF(A20="","",IFERROR(VLOOKUP(A20,DB_Customers!$A:$D,4,0),"❌ Account Not Found"))</f>
        <v/>
      </c>
      <c r="C20" s="496">
        <f>IF(A20="","",IFERROR(VLOOKUP(A20,DB_Customers!$A:$N,14,0),""))</f>
        <v/>
      </c>
      <c r="D20" s="497">
        <f>IF(A20="","",TODAY())</f>
        <v/>
      </c>
      <c r="E20" s="510" t="n"/>
      <c r="F20" s="382" t="n"/>
      <c r="G20" s="512">
        <f>IF(OR(A20="",E20=""),"",IF(C20="","",C20-E20))</f>
        <v/>
      </c>
      <c r="H20" s="384" t="inlineStr">
        <is>
          <t>Agent 10</t>
        </is>
      </c>
      <c r="I20" s="491" t="n"/>
      <c r="J20" s="499">
        <f>IF(AND(A20&lt;&gt;"",E20&lt;&gt;""),IF(I20="","⚠️ Enter Code",IF(IFERROR(VLOOKUP(H20,DB_Agents!$B:$I,8,0),"")=I20,IF(C20&gt;=E20,"Successful","Unsuccessful"),"🔒 BLOCKED — Wrong Code")),"—")</f>
        <v/>
      </c>
      <c r="K20" s="500">
        <f>IF(J20="Successful",TEXT(TODAY(),"YYYY-MM-DD")&amp;" Auto","—")</f>
        <v/>
      </c>
      <c r="L20" s="501" t="n"/>
    </row>
    <row r="21" ht="15" customHeight="1" s="341">
      <c r="A21" s="486" t="n"/>
      <c r="B21" s="378">
        <f>IF(A21="","",IFERROR(VLOOKUP(A21,DB_Customers!$A:$D,4,0),"❌ Account Not Found"))</f>
        <v/>
      </c>
      <c r="C21" s="487">
        <f>IF(A21="","",IFERROR(VLOOKUP(A21,DB_Customers!$A:$N,14,0),""))</f>
        <v/>
      </c>
      <c r="D21" s="488">
        <f>IF(A21="","",TODAY())</f>
        <v/>
      </c>
      <c r="E21" s="510" t="n"/>
      <c r="F21" s="378" t="n"/>
      <c r="G21" s="511">
        <f>IF(OR(A21="",E21=""),"",IF(C21="","",C21-E21))</f>
        <v/>
      </c>
      <c r="H21" s="380" t="inlineStr">
        <is>
          <t>Agent 10</t>
        </is>
      </c>
      <c r="I21" s="491" t="n"/>
      <c r="J21" s="492">
        <f>IF(AND(A21&lt;&gt;"",E21&lt;&gt;""),IF(I21="","⚠️ Enter Code",IF(IFERROR(VLOOKUP(H21,DB_Agents!$B:$I,8,0),"")=I21,IF(C21&gt;=E21,"Successful","Unsuccessful"),"🔒 BLOCKED — Wrong Code")),"—")</f>
        <v/>
      </c>
      <c r="K21" s="493">
        <f>IF(J21="Successful",TEXT(TODAY(),"YYYY-MM-DD")&amp;" Auto","—")</f>
        <v/>
      </c>
      <c r="L21" s="494" t="n"/>
    </row>
    <row r="22" ht="15" customHeight="1" s="341">
      <c r="A22" s="495" t="n"/>
      <c r="B22" s="382">
        <f>IF(A22="","",IFERROR(VLOOKUP(A22,DB_Customers!$A:$D,4,0),"❌ Account Not Found"))</f>
        <v/>
      </c>
      <c r="C22" s="496">
        <f>IF(A22="","",IFERROR(VLOOKUP(A22,DB_Customers!$A:$N,14,0),""))</f>
        <v/>
      </c>
      <c r="D22" s="497">
        <f>IF(A22="","",TODAY())</f>
        <v/>
      </c>
      <c r="E22" s="510" t="n"/>
      <c r="F22" s="382" t="n"/>
      <c r="G22" s="512">
        <f>IF(OR(A22="",E22=""),"",IF(C22="","",C22-E22))</f>
        <v/>
      </c>
      <c r="H22" s="384" t="inlineStr">
        <is>
          <t>Agent 10</t>
        </is>
      </c>
      <c r="I22" s="491" t="n"/>
      <c r="J22" s="499">
        <f>IF(AND(A22&lt;&gt;"",E22&lt;&gt;""),IF(I22="","⚠️ Enter Code",IF(IFERROR(VLOOKUP(H22,DB_Agents!$B:$I,8,0),"")=I22,IF(C22&gt;=E22,"Successful","Unsuccessful"),"🔒 BLOCKED — Wrong Code")),"—")</f>
        <v/>
      </c>
      <c r="K22" s="500">
        <f>IF(J22="Successful",TEXT(TODAY(),"YYYY-MM-DD")&amp;" Auto","—")</f>
        <v/>
      </c>
      <c r="L22" s="501" t="n"/>
    </row>
    <row r="23" ht="15" customHeight="1" s="341">
      <c r="A23" s="486" t="n"/>
      <c r="B23" s="378">
        <f>IF(A23="","",IFERROR(VLOOKUP(A23,DB_Customers!$A:$D,4,0),"❌ Account Not Found"))</f>
        <v/>
      </c>
      <c r="C23" s="487">
        <f>IF(A23="","",IFERROR(VLOOKUP(A23,DB_Customers!$A:$N,14,0),""))</f>
        <v/>
      </c>
      <c r="D23" s="488">
        <f>IF(A23="","",TODAY())</f>
        <v/>
      </c>
      <c r="E23" s="510" t="n"/>
      <c r="F23" s="378" t="n"/>
      <c r="G23" s="511">
        <f>IF(OR(A23="",E23=""),"",IF(C23="","",C23-E23))</f>
        <v/>
      </c>
      <c r="H23" s="380" t="inlineStr">
        <is>
          <t>Agent 10</t>
        </is>
      </c>
      <c r="I23" s="491" t="n"/>
      <c r="J23" s="492">
        <f>IF(AND(A23&lt;&gt;"",E23&lt;&gt;""),IF(I23="","⚠️ Enter Code",IF(IFERROR(VLOOKUP(H23,DB_Agents!$B:$I,8,0),"")=I23,IF(C23&gt;=E23,"Successful","Unsuccessful"),"🔒 BLOCKED — Wrong Code")),"—")</f>
        <v/>
      </c>
      <c r="K23" s="493">
        <f>IF(J23="Successful",TEXT(TODAY(),"YYYY-MM-DD")&amp;" Auto","—")</f>
        <v/>
      </c>
      <c r="L23" s="494" t="n"/>
    </row>
    <row r="24" ht="15" customHeight="1" s="341">
      <c r="A24" s="495" t="n"/>
      <c r="B24" s="382">
        <f>IF(A24="","",IFERROR(VLOOKUP(A24,DB_Customers!$A:$D,4,0),"❌ Account Not Found"))</f>
        <v/>
      </c>
      <c r="C24" s="496">
        <f>IF(A24="","",IFERROR(VLOOKUP(A24,DB_Customers!$A:$N,14,0),""))</f>
        <v/>
      </c>
      <c r="D24" s="497">
        <f>IF(A24="","",TODAY())</f>
        <v/>
      </c>
      <c r="E24" s="510" t="n"/>
      <c r="F24" s="382" t="n"/>
      <c r="G24" s="512">
        <f>IF(OR(A24="",E24=""),"",IF(C24="","",C24-E24))</f>
        <v/>
      </c>
      <c r="H24" s="384" t="inlineStr">
        <is>
          <t>Agent 10</t>
        </is>
      </c>
      <c r="I24" s="491" t="n"/>
      <c r="J24" s="499">
        <f>IF(AND(A24&lt;&gt;"",E24&lt;&gt;""),IF(I24="","⚠️ Enter Code",IF(IFERROR(VLOOKUP(H24,DB_Agents!$B:$I,8,0),"")=I24,IF(C24&gt;=E24,"Successful","Unsuccessful"),"🔒 BLOCKED — Wrong Code")),"—")</f>
        <v/>
      </c>
      <c r="K24" s="500">
        <f>IF(J24="Successful",TEXT(TODAY(),"YYYY-MM-DD")&amp;" Auto","—")</f>
        <v/>
      </c>
      <c r="L24" s="501" t="n"/>
    </row>
    <row r="25" ht="15" customHeight="1" s="341">
      <c r="A25" s="486" t="n"/>
      <c r="B25" s="378">
        <f>IF(A25="","",IFERROR(VLOOKUP(A25,DB_Customers!$A:$D,4,0),"❌ Account Not Found"))</f>
        <v/>
      </c>
      <c r="C25" s="487">
        <f>IF(A25="","",IFERROR(VLOOKUP(A25,DB_Customers!$A:$N,14,0),""))</f>
        <v/>
      </c>
      <c r="D25" s="488">
        <f>IF(A25="","",TODAY())</f>
        <v/>
      </c>
      <c r="E25" s="510" t="n"/>
      <c r="F25" s="378" t="n"/>
      <c r="G25" s="511">
        <f>IF(OR(A25="",E25=""),"",IF(C25="","",C25-E25))</f>
        <v/>
      </c>
      <c r="H25" s="380" t="inlineStr">
        <is>
          <t>Agent 10</t>
        </is>
      </c>
      <c r="I25" s="491" t="n"/>
      <c r="J25" s="492">
        <f>IF(AND(A25&lt;&gt;"",E25&lt;&gt;""),IF(I25="","⚠️ Enter Code",IF(IFERROR(VLOOKUP(H25,DB_Agents!$B:$I,8,0),"")=I25,IF(C25&gt;=E25,"Successful","Unsuccessful"),"🔒 BLOCKED — Wrong Code")),"—")</f>
        <v/>
      </c>
      <c r="K25" s="493">
        <f>IF(J25="Successful",TEXT(TODAY(),"YYYY-MM-DD")&amp;" Auto","—")</f>
        <v/>
      </c>
      <c r="L25" s="494" t="n"/>
    </row>
    <row r="26" ht="15" customHeight="1" s="341">
      <c r="A26" s="495" t="n"/>
      <c r="B26" s="382">
        <f>IF(A26="","",IFERROR(VLOOKUP(A26,DB_Customers!$A:$D,4,0),"❌ Account Not Found"))</f>
        <v/>
      </c>
      <c r="C26" s="496">
        <f>IF(A26="","",IFERROR(VLOOKUP(A26,DB_Customers!$A:$N,14,0),""))</f>
        <v/>
      </c>
      <c r="D26" s="497">
        <f>IF(A26="","",TODAY())</f>
        <v/>
      </c>
      <c r="E26" s="510" t="n"/>
      <c r="F26" s="382" t="n"/>
      <c r="G26" s="512">
        <f>IF(OR(A26="",E26=""),"",IF(C26="","",C26-E26))</f>
        <v/>
      </c>
      <c r="H26" s="384" t="inlineStr">
        <is>
          <t>Agent 10</t>
        </is>
      </c>
      <c r="I26" s="491" t="n"/>
      <c r="J26" s="499">
        <f>IF(AND(A26&lt;&gt;"",E26&lt;&gt;""),IF(I26="","⚠️ Enter Code",IF(IFERROR(VLOOKUP(H26,DB_Agents!$B:$I,8,0),"")=I26,IF(C26&gt;=E26,"Successful","Unsuccessful"),"🔒 BLOCKED — Wrong Code")),"—")</f>
        <v/>
      </c>
      <c r="K26" s="500">
        <f>IF(J26="Successful",TEXT(TODAY(),"YYYY-MM-DD")&amp;" Auto","—")</f>
        <v/>
      </c>
      <c r="L26" s="501" t="n"/>
    </row>
    <row r="27" ht="15" customHeight="1" s="341">
      <c r="A27" s="486" t="n"/>
      <c r="B27" s="378">
        <f>IF(A27="","",IFERROR(VLOOKUP(A27,DB_Customers!$A:$D,4,0),"❌ Account Not Found"))</f>
        <v/>
      </c>
      <c r="C27" s="487">
        <f>IF(A27="","",IFERROR(VLOOKUP(A27,DB_Customers!$A:$N,14,0),""))</f>
        <v/>
      </c>
      <c r="D27" s="488">
        <f>IF(A27="","",TODAY())</f>
        <v/>
      </c>
      <c r="E27" s="510" t="n"/>
      <c r="F27" s="378" t="n"/>
      <c r="G27" s="511">
        <f>IF(OR(A27="",E27=""),"",IF(C27="","",C27-E27))</f>
        <v/>
      </c>
      <c r="H27" s="380" t="inlineStr">
        <is>
          <t>Agent 10</t>
        </is>
      </c>
      <c r="I27" s="491" t="n"/>
      <c r="J27" s="492">
        <f>IF(AND(A27&lt;&gt;"",E27&lt;&gt;""),IF(I27="","⚠️ Enter Code",IF(IFERROR(VLOOKUP(H27,DB_Agents!$B:$I,8,0),"")=I27,IF(C27&gt;=E27,"Successful","Unsuccessful"),"🔒 BLOCKED — Wrong Code")),"—")</f>
        <v/>
      </c>
      <c r="K27" s="493">
        <f>IF(J27="Successful",TEXT(TODAY(),"YYYY-MM-DD")&amp;" Auto","—")</f>
        <v/>
      </c>
      <c r="L27" s="494" t="n"/>
    </row>
    <row r="28" ht="15" customHeight="1" s="341">
      <c r="A28" s="495" t="n"/>
      <c r="B28" s="382">
        <f>IF(A28="","",IFERROR(VLOOKUP(A28,DB_Customers!$A:$D,4,0),"❌ Account Not Found"))</f>
        <v/>
      </c>
      <c r="C28" s="496">
        <f>IF(A28="","",IFERROR(VLOOKUP(A28,DB_Customers!$A:$N,14,0),""))</f>
        <v/>
      </c>
      <c r="D28" s="497">
        <f>IF(A28="","",TODAY())</f>
        <v/>
      </c>
      <c r="E28" s="510" t="n"/>
      <c r="F28" s="382" t="n"/>
      <c r="G28" s="512">
        <f>IF(OR(A28="",E28=""),"",IF(C28="","",C28-E28))</f>
        <v/>
      </c>
      <c r="H28" s="384" t="inlineStr">
        <is>
          <t>Agent 10</t>
        </is>
      </c>
      <c r="I28" s="491" t="n"/>
      <c r="J28" s="499">
        <f>IF(AND(A28&lt;&gt;"",E28&lt;&gt;""),IF(I28="","⚠️ Enter Code",IF(IFERROR(VLOOKUP(H28,DB_Agents!$B:$I,8,0),"")=I28,IF(C28&gt;=E28,"Successful","Unsuccessful"),"🔒 BLOCKED — Wrong Code")),"—")</f>
        <v/>
      </c>
      <c r="K28" s="500">
        <f>IF(J28="Successful",TEXT(TODAY(),"YYYY-MM-DD")&amp;" Auto","—")</f>
        <v/>
      </c>
      <c r="L28" s="501" t="n"/>
    </row>
    <row r="29" ht="15" customHeight="1" s="341">
      <c r="A29" s="486" t="n"/>
      <c r="B29" s="378">
        <f>IF(A29="","",IFERROR(VLOOKUP(A29,DB_Customers!$A:$D,4,0),"❌ Account Not Found"))</f>
        <v/>
      </c>
      <c r="C29" s="487">
        <f>IF(A29="","",IFERROR(VLOOKUP(A29,DB_Customers!$A:$N,14,0),""))</f>
        <v/>
      </c>
      <c r="D29" s="488">
        <f>IF(A29="","",TODAY())</f>
        <v/>
      </c>
      <c r="E29" s="510" t="n"/>
      <c r="F29" s="378" t="n"/>
      <c r="G29" s="511">
        <f>IF(OR(A29="",E29=""),"",IF(C29="","",C29-E29))</f>
        <v/>
      </c>
      <c r="H29" s="380" t="inlineStr">
        <is>
          <t>Agent 10</t>
        </is>
      </c>
      <c r="I29" s="491" t="n"/>
      <c r="J29" s="492">
        <f>IF(AND(A29&lt;&gt;"",E29&lt;&gt;""),IF(I29="","⚠️ Enter Code",IF(IFERROR(VLOOKUP(H29,DB_Agents!$B:$I,8,0),"")=I29,IF(C29&gt;=E29,"Successful","Unsuccessful"),"🔒 BLOCKED — Wrong Code")),"—")</f>
        <v/>
      </c>
      <c r="K29" s="493">
        <f>IF(J29="Successful",TEXT(TODAY(),"YYYY-MM-DD")&amp;" Auto","—")</f>
        <v/>
      </c>
      <c r="L29" s="494" t="n"/>
    </row>
    <row r="30" ht="15" customHeight="1" s="341">
      <c r="A30" s="495" t="n"/>
      <c r="B30" s="382">
        <f>IF(A30="","",IFERROR(VLOOKUP(A30,DB_Customers!$A:$D,4,0),"❌ Account Not Found"))</f>
        <v/>
      </c>
      <c r="C30" s="496">
        <f>IF(A30="","",IFERROR(VLOOKUP(A30,DB_Customers!$A:$N,14,0),""))</f>
        <v/>
      </c>
      <c r="D30" s="497">
        <f>IF(A30="","",TODAY())</f>
        <v/>
      </c>
      <c r="E30" s="510" t="n"/>
      <c r="F30" s="382" t="n"/>
      <c r="G30" s="512">
        <f>IF(OR(A30="",E30=""),"",IF(C30="","",C30-E30))</f>
        <v/>
      </c>
      <c r="H30" s="384" t="inlineStr">
        <is>
          <t>Agent 10</t>
        </is>
      </c>
      <c r="I30" s="491" t="n"/>
      <c r="J30" s="499">
        <f>IF(AND(A30&lt;&gt;"",E30&lt;&gt;""),IF(I30="","⚠️ Enter Code",IF(IFERROR(VLOOKUP(H30,DB_Agents!$B:$I,8,0),"")=I30,IF(C30&gt;=E30,"Successful","Unsuccessful"),"🔒 BLOCKED — Wrong Code")),"—")</f>
        <v/>
      </c>
      <c r="K30" s="500">
        <f>IF(J30="Successful",TEXT(TODAY(),"YYYY-MM-DD")&amp;" Auto","—")</f>
        <v/>
      </c>
      <c r="L30" s="501" t="n"/>
    </row>
    <row r="31" ht="15" customHeight="1" s="341">
      <c r="A31" s="486" t="n"/>
      <c r="B31" s="378">
        <f>IF(A31="","",IFERROR(VLOOKUP(A31,DB_Customers!$A:$D,4,0),"❌ Account Not Found"))</f>
        <v/>
      </c>
      <c r="C31" s="487">
        <f>IF(A31="","",IFERROR(VLOOKUP(A31,DB_Customers!$A:$N,14,0),""))</f>
        <v/>
      </c>
      <c r="D31" s="488">
        <f>IF(A31="","",TODAY())</f>
        <v/>
      </c>
      <c r="E31" s="510" t="n"/>
      <c r="F31" s="378" t="n"/>
      <c r="G31" s="511">
        <f>IF(OR(A31="",E31=""),"",IF(C31="","",C31-E31))</f>
        <v/>
      </c>
      <c r="H31" s="380" t="inlineStr">
        <is>
          <t>Agent 10</t>
        </is>
      </c>
      <c r="I31" s="491" t="n"/>
      <c r="J31" s="492">
        <f>IF(AND(A31&lt;&gt;"",E31&lt;&gt;""),IF(I31="","⚠️ Enter Code",IF(IFERROR(VLOOKUP(H31,DB_Agents!$B:$I,8,0),"")=I31,IF(C31&gt;=E31,"Successful","Unsuccessful"),"🔒 BLOCKED — Wrong Code")),"—")</f>
        <v/>
      </c>
      <c r="K31" s="493">
        <f>IF(J31="Successful",TEXT(TODAY(),"YYYY-MM-DD")&amp;" Auto","—")</f>
        <v/>
      </c>
      <c r="L31" s="494" t="n"/>
    </row>
    <row r="32" ht="15" customHeight="1" s="341">
      <c r="A32" s="495" t="n"/>
      <c r="B32" s="382">
        <f>IF(A32="","",IFERROR(VLOOKUP(A32,DB_Customers!$A:$D,4,0),"❌ Account Not Found"))</f>
        <v/>
      </c>
      <c r="C32" s="496">
        <f>IF(A32="","",IFERROR(VLOOKUP(A32,DB_Customers!$A:$N,14,0),""))</f>
        <v/>
      </c>
      <c r="D32" s="497">
        <f>IF(A32="","",TODAY())</f>
        <v/>
      </c>
      <c r="E32" s="510" t="n"/>
      <c r="F32" s="382" t="n"/>
      <c r="G32" s="512">
        <f>IF(OR(A32="",E32=""),"",IF(C32="","",C32-E32))</f>
        <v/>
      </c>
      <c r="H32" s="384" t="inlineStr">
        <is>
          <t>Agent 10</t>
        </is>
      </c>
      <c r="I32" s="491" t="n"/>
      <c r="J32" s="499">
        <f>IF(AND(A32&lt;&gt;"",E32&lt;&gt;""),IF(I32="","⚠️ Enter Code",IF(IFERROR(VLOOKUP(H32,DB_Agents!$B:$I,8,0),"")=I32,IF(C32&gt;=E32,"Successful","Unsuccessful"),"🔒 BLOCKED — Wrong Code")),"—")</f>
        <v/>
      </c>
      <c r="K32" s="500">
        <f>IF(J32="Successful",TEXT(TODAY(),"YYYY-MM-DD")&amp;" Auto","—")</f>
        <v/>
      </c>
      <c r="L32" s="501" t="n"/>
    </row>
    <row r="33" ht="15" customHeight="1" s="341">
      <c r="A33" s="486" t="n"/>
      <c r="B33" s="378">
        <f>IF(A33="","",IFERROR(VLOOKUP(A33,DB_Customers!$A:$D,4,0),"❌ Account Not Found"))</f>
        <v/>
      </c>
      <c r="C33" s="487">
        <f>IF(A33="","",IFERROR(VLOOKUP(A33,DB_Customers!$A:$N,14,0),""))</f>
        <v/>
      </c>
      <c r="D33" s="488">
        <f>IF(A33="","",TODAY())</f>
        <v/>
      </c>
      <c r="E33" s="510" t="n"/>
      <c r="F33" s="378" t="n"/>
      <c r="G33" s="511">
        <f>IF(OR(A33="",E33=""),"",IF(C33="","",C33-E33))</f>
        <v/>
      </c>
      <c r="H33" s="380" t="inlineStr">
        <is>
          <t>Agent 10</t>
        </is>
      </c>
      <c r="I33" s="491" t="n"/>
      <c r="J33" s="492">
        <f>IF(AND(A33&lt;&gt;"",E33&lt;&gt;""),IF(I33="","⚠️ Enter Code",IF(IFERROR(VLOOKUP(H33,DB_Agents!$B:$I,8,0),"")=I33,IF(C33&gt;=E33,"Successful","Unsuccessful"),"🔒 BLOCKED — Wrong Code")),"—")</f>
        <v/>
      </c>
      <c r="K33" s="493">
        <f>IF(J33="Successful",TEXT(TODAY(),"YYYY-MM-DD")&amp;" Auto","—")</f>
        <v/>
      </c>
      <c r="L33" s="494" t="n"/>
    </row>
    <row r="34" ht="15" customHeight="1" s="341">
      <c r="A34" s="495" t="n"/>
      <c r="B34" s="382">
        <f>IF(A34="","",IFERROR(VLOOKUP(A34,DB_Customers!$A:$D,4,0),"❌ Account Not Found"))</f>
        <v/>
      </c>
      <c r="C34" s="496">
        <f>IF(A34="","",IFERROR(VLOOKUP(A34,DB_Customers!$A:$N,14,0),""))</f>
        <v/>
      </c>
      <c r="D34" s="497">
        <f>IF(A34="","",TODAY())</f>
        <v/>
      </c>
      <c r="E34" s="510" t="n"/>
      <c r="F34" s="382" t="n"/>
      <c r="G34" s="512">
        <f>IF(OR(A34="",E34=""),"",IF(C34="","",C34-E34))</f>
        <v/>
      </c>
      <c r="H34" s="384" t="inlineStr">
        <is>
          <t>Agent 10</t>
        </is>
      </c>
      <c r="I34" s="491" t="n"/>
      <c r="J34" s="499">
        <f>IF(AND(A34&lt;&gt;"",E34&lt;&gt;""),IF(I34="","⚠️ Enter Code",IF(IFERROR(VLOOKUP(H34,DB_Agents!$B:$I,8,0),"")=I34,IF(C34&gt;=E34,"Successful","Unsuccessful"),"🔒 BLOCKED — Wrong Code")),"—")</f>
        <v/>
      </c>
      <c r="K34" s="500">
        <f>IF(J34="Successful",TEXT(TODAY(),"YYYY-MM-DD")&amp;" Auto","—")</f>
        <v/>
      </c>
      <c r="L34" s="501" t="n"/>
    </row>
    <row r="35" ht="15" customHeight="1" s="341">
      <c r="A35" s="486" t="n"/>
      <c r="B35" s="378">
        <f>IF(A35="","",IFERROR(VLOOKUP(A35,DB_Customers!$A:$D,4,0),"❌ Account Not Found"))</f>
        <v/>
      </c>
      <c r="C35" s="487">
        <f>IF(A35="","",IFERROR(VLOOKUP(A35,DB_Customers!$A:$N,14,0),""))</f>
        <v/>
      </c>
      <c r="D35" s="488">
        <f>IF(A35="","",TODAY())</f>
        <v/>
      </c>
      <c r="E35" s="510" t="n"/>
      <c r="F35" s="378" t="n"/>
      <c r="G35" s="511">
        <f>IF(OR(A35="",E35=""),"",IF(C35="","",C35-E35))</f>
        <v/>
      </c>
      <c r="H35" s="380" t="inlineStr">
        <is>
          <t>Agent 10</t>
        </is>
      </c>
      <c r="I35" s="491" t="n"/>
      <c r="J35" s="492">
        <f>IF(AND(A35&lt;&gt;"",E35&lt;&gt;""),IF(I35="","⚠️ Enter Code",IF(IFERROR(VLOOKUP(H35,DB_Agents!$B:$I,8,0),"")=I35,IF(C35&gt;=E35,"Successful","Unsuccessful"),"🔒 BLOCKED — Wrong Code")),"—")</f>
        <v/>
      </c>
      <c r="K35" s="493">
        <f>IF(J35="Successful",TEXT(TODAY(),"YYYY-MM-DD")&amp;" Auto","—")</f>
        <v/>
      </c>
      <c r="L35" s="494" t="n"/>
    </row>
    <row r="36" ht="15" customHeight="1" s="341">
      <c r="A36" s="495" t="n"/>
      <c r="B36" s="382">
        <f>IF(A36="","",IFERROR(VLOOKUP(A36,DB_Customers!$A:$D,4,0),"❌ Account Not Found"))</f>
        <v/>
      </c>
      <c r="C36" s="496">
        <f>IF(A36="","",IFERROR(VLOOKUP(A36,DB_Customers!$A:$N,14,0),""))</f>
        <v/>
      </c>
      <c r="D36" s="497">
        <f>IF(A36="","",TODAY())</f>
        <v/>
      </c>
      <c r="E36" s="510" t="n"/>
      <c r="F36" s="382" t="n"/>
      <c r="G36" s="512">
        <f>IF(OR(A36="",E36=""),"",IF(C36="","",C36-E36))</f>
        <v/>
      </c>
      <c r="H36" s="384" t="inlineStr">
        <is>
          <t>Agent 10</t>
        </is>
      </c>
      <c r="I36" s="491" t="n"/>
      <c r="J36" s="499">
        <f>IF(AND(A36&lt;&gt;"",E36&lt;&gt;""),IF(I36="","⚠️ Enter Code",IF(IFERROR(VLOOKUP(H36,DB_Agents!$B:$I,8,0),"")=I36,IF(C36&gt;=E36,"Successful","Unsuccessful"),"🔒 BLOCKED — Wrong Code")),"—")</f>
        <v/>
      </c>
      <c r="K36" s="500">
        <f>IF(J36="Successful",TEXT(TODAY(),"YYYY-MM-DD")&amp;" Auto","—")</f>
        <v/>
      </c>
      <c r="L36" s="501" t="n"/>
    </row>
    <row r="37" ht="15" customHeight="1" s="341">
      <c r="A37" s="486" t="n"/>
      <c r="B37" s="378">
        <f>IF(A37="","",IFERROR(VLOOKUP(A37,DB_Customers!$A:$D,4,0),"❌ Account Not Found"))</f>
        <v/>
      </c>
      <c r="C37" s="487">
        <f>IF(A37="","",IFERROR(VLOOKUP(A37,DB_Customers!$A:$N,14,0),""))</f>
        <v/>
      </c>
      <c r="D37" s="488">
        <f>IF(A37="","",TODAY())</f>
        <v/>
      </c>
      <c r="E37" s="510" t="n"/>
      <c r="F37" s="378" t="n"/>
      <c r="G37" s="511">
        <f>IF(OR(A37="",E37=""),"",IF(C37="","",C37-E37))</f>
        <v/>
      </c>
      <c r="H37" s="380" t="inlineStr">
        <is>
          <t>Agent 10</t>
        </is>
      </c>
      <c r="I37" s="491" t="n"/>
      <c r="J37" s="492">
        <f>IF(AND(A37&lt;&gt;"",E37&lt;&gt;""),IF(I37="","⚠️ Enter Code",IF(IFERROR(VLOOKUP(H37,DB_Agents!$B:$I,8,0),"")=I37,IF(C37&gt;=E37,"Successful","Unsuccessful"),"🔒 BLOCKED — Wrong Code")),"—")</f>
        <v/>
      </c>
      <c r="K37" s="493">
        <f>IF(J37="Successful",TEXT(TODAY(),"YYYY-MM-DD")&amp;" Auto","—")</f>
        <v/>
      </c>
      <c r="L37" s="494" t="n"/>
    </row>
    <row r="38" ht="15" customHeight="1" s="341">
      <c r="A38" s="495" t="n"/>
      <c r="B38" s="382">
        <f>IF(A38="","",IFERROR(VLOOKUP(A38,DB_Customers!$A:$D,4,0),"❌ Account Not Found"))</f>
        <v/>
      </c>
      <c r="C38" s="496">
        <f>IF(A38="","",IFERROR(VLOOKUP(A38,DB_Customers!$A:$N,14,0),""))</f>
        <v/>
      </c>
      <c r="D38" s="497">
        <f>IF(A38="","",TODAY())</f>
        <v/>
      </c>
      <c r="E38" s="510" t="n"/>
      <c r="F38" s="382" t="n"/>
      <c r="G38" s="512">
        <f>IF(OR(A38="",E38=""),"",IF(C38="","",C38-E38))</f>
        <v/>
      </c>
      <c r="H38" s="384" t="inlineStr">
        <is>
          <t>Agent 10</t>
        </is>
      </c>
      <c r="I38" s="491" t="n"/>
      <c r="J38" s="499">
        <f>IF(AND(A38&lt;&gt;"",E38&lt;&gt;""),IF(I38="","⚠️ Enter Code",IF(IFERROR(VLOOKUP(H38,DB_Agents!$B:$I,8,0),"")=I38,IF(C38&gt;=E38,"Successful","Unsuccessful"),"🔒 BLOCKED — Wrong Code")),"—")</f>
        <v/>
      </c>
      <c r="K38" s="500">
        <f>IF(J38="Successful",TEXT(TODAY(),"YYYY-MM-DD")&amp;" Auto","—")</f>
        <v/>
      </c>
      <c r="L38" s="501" t="n"/>
    </row>
    <row r="39" ht="15" customHeight="1" s="341">
      <c r="A39" s="486" t="n"/>
      <c r="B39" s="378">
        <f>IF(A39="","",IFERROR(VLOOKUP(A39,DB_Customers!$A:$D,4,0),"❌ Account Not Found"))</f>
        <v/>
      </c>
      <c r="C39" s="487">
        <f>IF(A39="","",IFERROR(VLOOKUP(A39,DB_Customers!$A:$N,14,0),""))</f>
        <v/>
      </c>
      <c r="D39" s="488">
        <f>IF(A39="","",TODAY())</f>
        <v/>
      </c>
      <c r="E39" s="510" t="n"/>
      <c r="F39" s="378" t="n"/>
      <c r="G39" s="511">
        <f>IF(OR(A39="",E39=""),"",IF(C39="","",C39-E39))</f>
        <v/>
      </c>
      <c r="H39" s="380" t="inlineStr">
        <is>
          <t>Agent 10</t>
        </is>
      </c>
      <c r="I39" s="491" t="n"/>
      <c r="J39" s="492">
        <f>IF(AND(A39&lt;&gt;"",E39&lt;&gt;""),IF(I39="","⚠️ Enter Code",IF(IFERROR(VLOOKUP(H39,DB_Agents!$B:$I,8,0),"")=I39,IF(C39&gt;=E39,"Successful","Unsuccessful"),"🔒 BLOCKED — Wrong Code")),"—")</f>
        <v/>
      </c>
      <c r="K39" s="493">
        <f>IF(J39="Successful",TEXT(TODAY(),"YYYY-MM-DD")&amp;" Auto","—")</f>
        <v/>
      </c>
      <c r="L39" s="494" t="n"/>
    </row>
    <row r="40" ht="15" customHeight="1" s="341">
      <c r="A40" s="495" t="n"/>
      <c r="B40" s="382">
        <f>IF(A40="","",IFERROR(VLOOKUP(A40,DB_Customers!$A:$D,4,0),"❌ Account Not Found"))</f>
        <v/>
      </c>
      <c r="C40" s="496">
        <f>IF(A40="","",IFERROR(VLOOKUP(A40,DB_Customers!$A:$N,14,0),""))</f>
        <v/>
      </c>
      <c r="D40" s="497">
        <f>IF(A40="","",TODAY())</f>
        <v/>
      </c>
      <c r="E40" s="510" t="n"/>
      <c r="F40" s="382" t="n"/>
      <c r="G40" s="512">
        <f>IF(OR(A40="",E40=""),"",IF(C40="","",C40-E40))</f>
        <v/>
      </c>
      <c r="H40" s="384" t="inlineStr">
        <is>
          <t>Agent 10</t>
        </is>
      </c>
      <c r="I40" s="491" t="n"/>
      <c r="J40" s="499">
        <f>IF(AND(A40&lt;&gt;"",E40&lt;&gt;""),IF(I40="","⚠️ Enter Code",IF(IFERROR(VLOOKUP(H40,DB_Agents!$B:$I,8,0),"")=I40,IF(C40&gt;=E40,"Successful","Unsuccessful"),"🔒 BLOCKED — Wrong Code")),"—")</f>
        <v/>
      </c>
      <c r="K40" s="500">
        <f>IF(J40="Successful",TEXT(TODAY(),"YYYY-MM-DD")&amp;" Auto","—")</f>
        <v/>
      </c>
      <c r="L40" s="501" t="n"/>
    </row>
    <row r="41" ht="15" customHeight="1" s="341">
      <c r="A41" s="486" t="n"/>
      <c r="B41" s="378">
        <f>IF(A41="","",IFERROR(VLOOKUP(A41,DB_Customers!$A:$D,4,0),"❌ Account Not Found"))</f>
        <v/>
      </c>
      <c r="C41" s="487">
        <f>IF(A41="","",IFERROR(VLOOKUP(A41,DB_Customers!$A:$N,14,0),""))</f>
        <v/>
      </c>
      <c r="D41" s="488">
        <f>IF(A41="","",TODAY())</f>
        <v/>
      </c>
      <c r="E41" s="510" t="n"/>
      <c r="F41" s="378" t="n"/>
      <c r="G41" s="511">
        <f>IF(OR(A41="",E41=""),"",IF(C41="","",C41-E41))</f>
        <v/>
      </c>
      <c r="H41" s="380" t="inlineStr">
        <is>
          <t>Agent 10</t>
        </is>
      </c>
      <c r="I41" s="491" t="n"/>
      <c r="J41" s="492">
        <f>IF(AND(A41&lt;&gt;"",E41&lt;&gt;""),IF(I41="","⚠️ Enter Code",IF(IFERROR(VLOOKUP(H41,DB_Agents!$B:$I,8,0),"")=I41,IF(C41&gt;=E41,"Successful","Unsuccessful"),"🔒 BLOCKED — Wrong Code")),"—")</f>
        <v/>
      </c>
      <c r="K41" s="493">
        <f>IF(J41="Successful",TEXT(TODAY(),"YYYY-MM-DD")&amp;" Auto","—")</f>
        <v/>
      </c>
      <c r="L41" s="494" t="n"/>
    </row>
    <row r="42" ht="15" customHeight="1" s="341">
      <c r="A42" s="495" t="n"/>
      <c r="B42" s="382">
        <f>IF(A42="","",IFERROR(VLOOKUP(A42,DB_Customers!$A:$D,4,0),"❌ Account Not Found"))</f>
        <v/>
      </c>
      <c r="C42" s="496">
        <f>IF(A42="","",IFERROR(VLOOKUP(A42,DB_Customers!$A:$N,14,0),""))</f>
        <v/>
      </c>
      <c r="D42" s="497">
        <f>IF(A42="","",TODAY())</f>
        <v/>
      </c>
      <c r="E42" s="510" t="n"/>
      <c r="F42" s="382" t="n"/>
      <c r="G42" s="512">
        <f>IF(OR(A42="",E42=""),"",IF(C42="","",C42-E42))</f>
        <v/>
      </c>
      <c r="H42" s="384" t="inlineStr">
        <is>
          <t>Agent 10</t>
        </is>
      </c>
      <c r="I42" s="491" t="n"/>
      <c r="J42" s="499">
        <f>IF(AND(A42&lt;&gt;"",E42&lt;&gt;""),IF(I42="","⚠️ Enter Code",IF(IFERROR(VLOOKUP(H42,DB_Agents!$B:$I,8,0),"")=I42,IF(C42&gt;=E42,"Successful","Unsuccessful"),"🔒 BLOCKED — Wrong Code")),"—")</f>
        <v/>
      </c>
      <c r="K42" s="500">
        <f>IF(J42="Successful",TEXT(TODAY(),"YYYY-MM-DD")&amp;" Auto","—")</f>
        <v/>
      </c>
      <c r="L42" s="501" t="n"/>
    </row>
    <row r="43" ht="15" customHeight="1" s="341">
      <c r="A43" s="486" t="n"/>
      <c r="B43" s="378">
        <f>IF(A43="","",IFERROR(VLOOKUP(A43,DB_Customers!$A:$D,4,0),"❌ Account Not Found"))</f>
        <v/>
      </c>
      <c r="C43" s="487">
        <f>IF(A43="","",IFERROR(VLOOKUP(A43,DB_Customers!$A:$N,14,0),""))</f>
        <v/>
      </c>
      <c r="D43" s="488">
        <f>IF(A43="","",TODAY())</f>
        <v/>
      </c>
      <c r="E43" s="510" t="n"/>
      <c r="F43" s="378" t="n"/>
      <c r="G43" s="511">
        <f>IF(OR(A43="",E43=""),"",IF(C43="","",C43-E43))</f>
        <v/>
      </c>
      <c r="H43" s="380" t="inlineStr">
        <is>
          <t>Agent 10</t>
        </is>
      </c>
      <c r="I43" s="491" t="n"/>
      <c r="J43" s="492">
        <f>IF(AND(A43&lt;&gt;"",E43&lt;&gt;""),IF(I43="","⚠️ Enter Code",IF(IFERROR(VLOOKUP(H43,DB_Agents!$B:$I,8,0),"")=I43,IF(C43&gt;=E43,"Successful","Unsuccessful"),"🔒 BLOCKED — Wrong Code")),"—")</f>
        <v/>
      </c>
      <c r="K43" s="493">
        <f>IF(J43="Successful",TEXT(TODAY(),"YYYY-MM-DD")&amp;" Auto","—")</f>
        <v/>
      </c>
      <c r="L43" s="494" t="n"/>
    </row>
    <row r="44" ht="15" customHeight="1" s="341">
      <c r="A44" s="495" t="n"/>
      <c r="B44" s="382">
        <f>IF(A44="","",IFERROR(VLOOKUP(A44,DB_Customers!$A:$D,4,0),"❌ Account Not Found"))</f>
        <v/>
      </c>
      <c r="C44" s="496">
        <f>IF(A44="","",IFERROR(VLOOKUP(A44,DB_Customers!$A:$N,14,0),""))</f>
        <v/>
      </c>
      <c r="D44" s="497">
        <f>IF(A44="","",TODAY())</f>
        <v/>
      </c>
      <c r="E44" s="510" t="n"/>
      <c r="F44" s="382" t="n"/>
      <c r="G44" s="512">
        <f>IF(OR(A44="",E44=""),"",IF(C44="","",C44-E44))</f>
        <v/>
      </c>
      <c r="H44" s="384" t="inlineStr">
        <is>
          <t>Agent 10</t>
        </is>
      </c>
      <c r="I44" s="491" t="n"/>
      <c r="J44" s="499">
        <f>IF(AND(A44&lt;&gt;"",E44&lt;&gt;""),IF(I44="","⚠️ Enter Code",IF(IFERROR(VLOOKUP(H44,DB_Agents!$B:$I,8,0),"")=I44,IF(C44&gt;=E44,"Successful","Unsuccessful"),"🔒 BLOCKED — Wrong Code")),"—")</f>
        <v/>
      </c>
      <c r="K44" s="500">
        <f>IF(J44="Successful",TEXT(TODAY(),"YYYY-MM-DD")&amp;" Auto","—")</f>
        <v/>
      </c>
      <c r="L44" s="501" t="n"/>
    </row>
    <row r="45" ht="15" customHeight="1" s="341">
      <c r="A45" s="486" t="n"/>
      <c r="B45" s="378">
        <f>IF(A45="","",IFERROR(VLOOKUP(A45,DB_Customers!$A:$D,4,0),"❌ Account Not Found"))</f>
        <v/>
      </c>
      <c r="C45" s="487">
        <f>IF(A45="","",IFERROR(VLOOKUP(A45,DB_Customers!$A:$N,14,0),""))</f>
        <v/>
      </c>
      <c r="D45" s="488">
        <f>IF(A45="","",TODAY())</f>
        <v/>
      </c>
      <c r="E45" s="510" t="n"/>
      <c r="F45" s="378" t="n"/>
      <c r="G45" s="511">
        <f>IF(OR(A45="",E45=""),"",IF(C45="","",C45-E45))</f>
        <v/>
      </c>
      <c r="H45" s="380" t="inlineStr">
        <is>
          <t>Agent 10</t>
        </is>
      </c>
      <c r="I45" s="491" t="n"/>
      <c r="J45" s="492">
        <f>IF(AND(A45&lt;&gt;"",E45&lt;&gt;""),IF(I45="","⚠️ Enter Code",IF(IFERROR(VLOOKUP(H45,DB_Agents!$B:$I,8,0),"")=I45,IF(C45&gt;=E45,"Successful","Unsuccessful"),"🔒 BLOCKED — Wrong Code")),"—")</f>
        <v/>
      </c>
      <c r="K45" s="493">
        <f>IF(J45="Successful",TEXT(TODAY(),"YYYY-MM-DD")&amp;" Auto","—")</f>
        <v/>
      </c>
      <c r="L45" s="494" t="n"/>
    </row>
    <row r="46" ht="15" customHeight="1" s="341">
      <c r="A46" s="495" t="n"/>
      <c r="B46" s="382">
        <f>IF(A46="","",IFERROR(VLOOKUP(A46,DB_Customers!$A:$D,4,0),"❌ Account Not Found"))</f>
        <v/>
      </c>
      <c r="C46" s="496">
        <f>IF(A46="","",IFERROR(VLOOKUP(A46,DB_Customers!$A:$N,14,0),""))</f>
        <v/>
      </c>
      <c r="D46" s="497">
        <f>IF(A46="","",TODAY())</f>
        <v/>
      </c>
      <c r="E46" s="510" t="n"/>
      <c r="F46" s="382" t="n"/>
      <c r="G46" s="512">
        <f>IF(OR(A46="",E46=""),"",IF(C46="","",C46-E46))</f>
        <v/>
      </c>
      <c r="H46" s="384" t="inlineStr">
        <is>
          <t>Agent 10</t>
        </is>
      </c>
      <c r="I46" s="491" t="n"/>
      <c r="J46" s="499">
        <f>IF(AND(A46&lt;&gt;"",E46&lt;&gt;""),IF(I46="","⚠️ Enter Code",IF(IFERROR(VLOOKUP(H46,DB_Agents!$B:$I,8,0),"")=I46,IF(C46&gt;=E46,"Successful","Unsuccessful"),"🔒 BLOCKED — Wrong Code")),"—")</f>
        <v/>
      </c>
      <c r="K46" s="500">
        <f>IF(J46="Successful",TEXT(TODAY(),"YYYY-MM-DD")&amp;" Auto","—")</f>
        <v/>
      </c>
      <c r="L46" s="501" t="n"/>
    </row>
    <row r="47" ht="15" customHeight="1" s="341">
      <c r="A47" s="486" t="n"/>
      <c r="B47" s="378">
        <f>IF(A47="","",IFERROR(VLOOKUP(A47,DB_Customers!$A:$D,4,0),"❌ Account Not Found"))</f>
        <v/>
      </c>
      <c r="C47" s="487">
        <f>IF(A47="","",IFERROR(VLOOKUP(A47,DB_Customers!$A:$N,14,0),""))</f>
        <v/>
      </c>
      <c r="D47" s="488">
        <f>IF(A47="","",TODAY())</f>
        <v/>
      </c>
      <c r="E47" s="510" t="n"/>
      <c r="F47" s="378" t="n"/>
      <c r="G47" s="511">
        <f>IF(OR(A47="",E47=""),"",IF(C47="","",C47-E47))</f>
        <v/>
      </c>
      <c r="H47" s="380" t="inlineStr">
        <is>
          <t>Agent 10</t>
        </is>
      </c>
      <c r="I47" s="491" t="n"/>
      <c r="J47" s="492">
        <f>IF(AND(A47&lt;&gt;"",E47&lt;&gt;""),IF(I47="","⚠️ Enter Code",IF(IFERROR(VLOOKUP(H47,DB_Agents!$B:$I,8,0),"")=I47,IF(C47&gt;=E47,"Successful","Unsuccessful"),"🔒 BLOCKED — Wrong Code")),"—")</f>
        <v/>
      </c>
      <c r="K47" s="493">
        <f>IF(J47="Successful",TEXT(TODAY(),"YYYY-MM-DD")&amp;" Auto","—")</f>
        <v/>
      </c>
      <c r="L47" s="494" t="n"/>
    </row>
    <row r="48" ht="15" customHeight="1" s="341">
      <c r="A48" s="495" t="n"/>
      <c r="B48" s="382">
        <f>IF(A48="","",IFERROR(VLOOKUP(A48,DB_Customers!$A:$D,4,0),"❌ Account Not Found"))</f>
        <v/>
      </c>
      <c r="C48" s="496">
        <f>IF(A48="","",IFERROR(VLOOKUP(A48,DB_Customers!$A:$N,14,0),""))</f>
        <v/>
      </c>
      <c r="D48" s="497">
        <f>IF(A48="","",TODAY())</f>
        <v/>
      </c>
      <c r="E48" s="510" t="n"/>
      <c r="F48" s="382" t="n"/>
      <c r="G48" s="512">
        <f>IF(OR(A48="",E48=""),"",IF(C48="","",C48-E48))</f>
        <v/>
      </c>
      <c r="H48" s="384" t="inlineStr">
        <is>
          <t>Agent 10</t>
        </is>
      </c>
      <c r="I48" s="491" t="n"/>
      <c r="J48" s="499">
        <f>IF(AND(A48&lt;&gt;"",E48&lt;&gt;""),IF(I48="","⚠️ Enter Code",IF(IFERROR(VLOOKUP(H48,DB_Agents!$B:$I,8,0),"")=I48,IF(C48&gt;=E48,"Successful","Unsuccessful"),"🔒 BLOCKED — Wrong Code")),"—")</f>
        <v/>
      </c>
      <c r="K48" s="500">
        <f>IF(J48="Successful",TEXT(TODAY(),"YYYY-MM-DD")&amp;" Auto","—")</f>
        <v/>
      </c>
      <c r="L48" s="501" t="n"/>
    </row>
    <row r="49" ht="15" customHeight="1" s="341">
      <c r="A49" s="486" t="n"/>
      <c r="B49" s="378">
        <f>IF(A49="","",IFERROR(VLOOKUP(A49,DB_Customers!$A:$D,4,0),"❌ Account Not Found"))</f>
        <v/>
      </c>
      <c r="C49" s="487">
        <f>IF(A49="","",IFERROR(VLOOKUP(A49,DB_Customers!$A:$N,14,0),""))</f>
        <v/>
      </c>
      <c r="D49" s="488">
        <f>IF(A49="","",TODAY())</f>
        <v/>
      </c>
      <c r="E49" s="510" t="n"/>
      <c r="F49" s="378" t="n"/>
      <c r="G49" s="511">
        <f>IF(OR(A49="",E49=""),"",IF(C49="","",C49-E49))</f>
        <v/>
      </c>
      <c r="H49" s="380" t="inlineStr">
        <is>
          <t>Agent 10</t>
        </is>
      </c>
      <c r="I49" s="491" t="n"/>
      <c r="J49" s="492">
        <f>IF(AND(A49&lt;&gt;"",E49&lt;&gt;""),IF(I49="","⚠️ Enter Code",IF(IFERROR(VLOOKUP(H49,DB_Agents!$B:$I,8,0),"")=I49,IF(C49&gt;=E49,"Successful","Unsuccessful"),"🔒 BLOCKED — Wrong Code")),"—")</f>
        <v/>
      </c>
      <c r="K49" s="493">
        <f>IF(J49="Successful",TEXT(TODAY(),"YYYY-MM-DD")&amp;" Auto","—")</f>
        <v/>
      </c>
      <c r="L49" s="494" t="n"/>
    </row>
    <row r="50" ht="15" customHeight="1" s="341">
      <c r="A50" s="495" t="n"/>
      <c r="B50" s="382">
        <f>IF(A50="","",IFERROR(VLOOKUP(A50,DB_Customers!$A:$D,4,0),"❌ Account Not Found"))</f>
        <v/>
      </c>
      <c r="C50" s="496">
        <f>IF(A50="","",IFERROR(VLOOKUP(A50,DB_Customers!$A:$N,14,0),""))</f>
        <v/>
      </c>
      <c r="D50" s="497">
        <f>IF(A50="","",TODAY())</f>
        <v/>
      </c>
      <c r="E50" s="510" t="n"/>
      <c r="F50" s="382" t="n"/>
      <c r="G50" s="512">
        <f>IF(OR(A50="",E50=""),"",IF(C50="","",C50-E50))</f>
        <v/>
      </c>
      <c r="H50" s="384" t="inlineStr">
        <is>
          <t>Agent 10</t>
        </is>
      </c>
      <c r="I50" s="491" t="n"/>
      <c r="J50" s="499">
        <f>IF(AND(A50&lt;&gt;"",E50&lt;&gt;""),IF(I50="","⚠️ Enter Code",IF(IFERROR(VLOOKUP(H50,DB_Agents!$B:$I,8,0),"")=I50,IF(C50&gt;=E50,"Successful","Unsuccessful"),"🔒 BLOCKED — Wrong Code")),"—")</f>
        <v/>
      </c>
      <c r="K50" s="500">
        <f>IF(J50="Successful",TEXT(TODAY(),"YYYY-MM-DD")&amp;" Auto","—")</f>
        <v/>
      </c>
      <c r="L50" s="501" t="n"/>
    </row>
    <row r="51" ht="15" customHeight="1" s="341">
      <c r="A51" s="486" t="n"/>
      <c r="B51" s="378">
        <f>IF(A51="","",IFERROR(VLOOKUP(A51,DB_Customers!$A:$D,4,0),"❌ Account Not Found"))</f>
        <v/>
      </c>
      <c r="C51" s="487">
        <f>IF(A51="","",IFERROR(VLOOKUP(A51,DB_Customers!$A:$N,14,0),""))</f>
        <v/>
      </c>
      <c r="D51" s="488">
        <f>IF(A51="","",TODAY())</f>
        <v/>
      </c>
      <c r="E51" s="510" t="n"/>
      <c r="F51" s="378" t="n"/>
      <c r="G51" s="511">
        <f>IF(OR(A51="",E51=""),"",IF(C51="","",C51-E51))</f>
        <v/>
      </c>
      <c r="H51" s="380" t="inlineStr">
        <is>
          <t>Agent 10</t>
        </is>
      </c>
      <c r="I51" s="491" t="n"/>
      <c r="J51" s="492">
        <f>IF(AND(A51&lt;&gt;"",E51&lt;&gt;""),IF(I51="","⚠️ Enter Code",IF(IFERROR(VLOOKUP(H51,DB_Agents!$B:$I,8,0),"")=I51,IF(C51&gt;=E51,"Successful","Unsuccessful"),"🔒 BLOCKED — Wrong Code")),"—")</f>
        <v/>
      </c>
      <c r="K51" s="493">
        <f>IF(J51="Successful",TEXT(TODAY(),"YYYY-MM-DD")&amp;" Auto","—")</f>
        <v/>
      </c>
      <c r="L51" s="494" t="n"/>
    </row>
    <row r="52" ht="15" customHeight="1" s="341">
      <c r="A52" s="495" t="n"/>
      <c r="B52" s="382">
        <f>IF(A52="","",IFERROR(VLOOKUP(A52,DB_Customers!$A:$D,4,0),"❌ Account Not Found"))</f>
        <v/>
      </c>
      <c r="C52" s="496">
        <f>IF(A52="","",IFERROR(VLOOKUP(A52,DB_Customers!$A:$N,14,0),""))</f>
        <v/>
      </c>
      <c r="D52" s="497">
        <f>IF(A52="","",TODAY())</f>
        <v/>
      </c>
      <c r="E52" s="510" t="n"/>
      <c r="F52" s="382" t="n"/>
      <c r="G52" s="512">
        <f>IF(OR(A52="",E52=""),"",IF(C52="","",C52-E52))</f>
        <v/>
      </c>
      <c r="H52" s="384" t="inlineStr">
        <is>
          <t>Agent 10</t>
        </is>
      </c>
      <c r="I52" s="491" t="n"/>
      <c r="J52" s="499">
        <f>IF(AND(A52&lt;&gt;"",E52&lt;&gt;""),IF(I52="","⚠️ Enter Code",IF(IFERROR(VLOOKUP(H52,DB_Agents!$B:$I,8,0),"")=I52,IF(C52&gt;=E52,"Successful","Unsuccessful"),"🔒 BLOCKED — Wrong Code")),"—")</f>
        <v/>
      </c>
      <c r="K52" s="500">
        <f>IF(J52="Successful",TEXT(TODAY(),"YYYY-MM-DD")&amp;" Auto","—")</f>
        <v/>
      </c>
      <c r="L52" s="501" t="n"/>
    </row>
    <row r="53" ht="15" customHeight="1" s="341">
      <c r="A53" s="486" t="n"/>
      <c r="B53" s="378">
        <f>IF(A53="","",IFERROR(VLOOKUP(A53,DB_Customers!$A:$D,4,0),"❌ Account Not Found"))</f>
        <v/>
      </c>
      <c r="C53" s="487">
        <f>IF(A53="","",IFERROR(VLOOKUP(A53,DB_Customers!$A:$N,14,0),""))</f>
        <v/>
      </c>
      <c r="D53" s="488">
        <f>IF(A53="","",TODAY())</f>
        <v/>
      </c>
      <c r="E53" s="510" t="n"/>
      <c r="F53" s="378" t="n"/>
      <c r="G53" s="511">
        <f>IF(OR(A53="",E53=""),"",IF(C53="","",C53-E53))</f>
        <v/>
      </c>
      <c r="H53" s="380" t="inlineStr">
        <is>
          <t>Agent 10</t>
        </is>
      </c>
      <c r="I53" s="491" t="n"/>
      <c r="J53" s="492">
        <f>IF(AND(A53&lt;&gt;"",E53&lt;&gt;""),IF(I53="","⚠️ Enter Code",IF(IFERROR(VLOOKUP(H53,DB_Agents!$B:$I,8,0),"")=I53,IF(C53&gt;=E53,"Successful","Unsuccessful"),"🔒 BLOCKED — Wrong Code")),"—")</f>
        <v/>
      </c>
      <c r="K53" s="493">
        <f>IF(J53="Successful",TEXT(TODAY(),"YYYY-MM-DD")&amp;" Auto","—")</f>
        <v/>
      </c>
      <c r="L53" s="494" t="n"/>
    </row>
    <row r="54" ht="15" customHeight="1" s="341">
      <c r="A54" s="495" t="n"/>
      <c r="B54" s="382">
        <f>IF(A54="","",IFERROR(VLOOKUP(A54,DB_Customers!$A:$D,4,0),"❌ Account Not Found"))</f>
        <v/>
      </c>
      <c r="C54" s="496">
        <f>IF(A54="","",IFERROR(VLOOKUP(A54,DB_Customers!$A:$N,14,0),""))</f>
        <v/>
      </c>
      <c r="D54" s="497">
        <f>IF(A54="","",TODAY())</f>
        <v/>
      </c>
      <c r="E54" s="510" t="n"/>
      <c r="F54" s="382" t="n"/>
      <c r="G54" s="512">
        <f>IF(OR(A54="",E54=""),"",IF(C54="","",C54-E54))</f>
        <v/>
      </c>
      <c r="H54" s="384" t="inlineStr">
        <is>
          <t>Agent 10</t>
        </is>
      </c>
      <c r="I54" s="491" t="n"/>
      <c r="J54" s="499">
        <f>IF(AND(A54&lt;&gt;"",E54&lt;&gt;""),IF(I54="","⚠️ Enter Code",IF(IFERROR(VLOOKUP(H54,DB_Agents!$B:$I,8,0),"")=I54,IF(C54&gt;=E54,"Successful","Unsuccessful"),"🔒 BLOCKED — Wrong Code")),"—")</f>
        <v/>
      </c>
      <c r="K54" s="500">
        <f>IF(J54="Successful",TEXT(TODAY(),"YYYY-MM-DD")&amp;" Auto","—")</f>
        <v/>
      </c>
      <c r="L54" s="501" t="n"/>
    </row>
    <row r="55" ht="15" customHeight="1" s="341">
      <c r="A55" s="486" t="n"/>
      <c r="B55" s="378">
        <f>IF(A55="","",IFERROR(VLOOKUP(A55,DB_Customers!$A:$D,4,0),"❌ Account Not Found"))</f>
        <v/>
      </c>
      <c r="C55" s="487">
        <f>IF(A55="","",IFERROR(VLOOKUP(A55,DB_Customers!$A:$N,14,0),""))</f>
        <v/>
      </c>
      <c r="D55" s="488">
        <f>IF(A55="","",TODAY())</f>
        <v/>
      </c>
      <c r="E55" s="510" t="n"/>
      <c r="F55" s="378" t="n"/>
      <c r="G55" s="511">
        <f>IF(OR(A55="",E55=""),"",IF(C55="","",C55-E55))</f>
        <v/>
      </c>
      <c r="H55" s="380" t="inlineStr">
        <is>
          <t>Agent 10</t>
        </is>
      </c>
      <c r="I55" s="491" t="n"/>
      <c r="J55" s="492">
        <f>IF(AND(A55&lt;&gt;"",E55&lt;&gt;""),IF(I55="","⚠️ Enter Code",IF(IFERROR(VLOOKUP(H55,DB_Agents!$B:$I,8,0),"")=I55,IF(C55&gt;=E55,"Successful","Unsuccessful"),"🔒 BLOCKED — Wrong Code")),"—")</f>
        <v/>
      </c>
      <c r="K55" s="493">
        <f>IF(J55="Successful",TEXT(TODAY(),"YYYY-MM-DD")&amp;" Auto","—")</f>
        <v/>
      </c>
      <c r="L55" s="494" t="n"/>
    </row>
    <row r="56" ht="15" customHeight="1" s="341">
      <c r="A56" s="495" t="n"/>
      <c r="B56" s="382">
        <f>IF(A56="","",IFERROR(VLOOKUP(A56,DB_Customers!$A:$D,4,0),"❌ Account Not Found"))</f>
        <v/>
      </c>
      <c r="C56" s="496">
        <f>IF(A56="","",IFERROR(VLOOKUP(A56,DB_Customers!$A:$N,14,0),""))</f>
        <v/>
      </c>
      <c r="D56" s="497">
        <f>IF(A56="","",TODAY())</f>
        <v/>
      </c>
      <c r="E56" s="510" t="n"/>
      <c r="F56" s="382" t="n"/>
      <c r="G56" s="512">
        <f>IF(OR(A56="",E56=""),"",IF(C56="","",C56-E56))</f>
        <v/>
      </c>
      <c r="H56" s="384" t="inlineStr">
        <is>
          <t>Agent 10</t>
        </is>
      </c>
      <c r="I56" s="491" t="n"/>
      <c r="J56" s="499">
        <f>IF(AND(A56&lt;&gt;"",E56&lt;&gt;""),IF(I56="","⚠️ Enter Code",IF(IFERROR(VLOOKUP(H56,DB_Agents!$B:$I,8,0),"")=I56,IF(C56&gt;=E56,"Successful","Unsuccessful"),"🔒 BLOCKED — Wrong Code")),"—")</f>
        <v/>
      </c>
      <c r="K56" s="500">
        <f>IF(J56="Successful",TEXT(TODAY(),"YYYY-MM-DD")&amp;" Auto","—")</f>
        <v/>
      </c>
      <c r="L56" s="501" t="n"/>
    </row>
    <row r="57" ht="15" customHeight="1" s="341">
      <c r="A57" s="486" t="n"/>
      <c r="B57" s="378">
        <f>IF(A57="","",IFERROR(VLOOKUP(A57,DB_Customers!$A:$D,4,0),"❌ Account Not Found"))</f>
        <v/>
      </c>
      <c r="C57" s="487">
        <f>IF(A57="","",IFERROR(VLOOKUP(A57,DB_Customers!$A:$N,14,0),""))</f>
        <v/>
      </c>
      <c r="D57" s="488">
        <f>IF(A57="","",TODAY())</f>
        <v/>
      </c>
      <c r="E57" s="510" t="n"/>
      <c r="F57" s="378" t="n"/>
      <c r="G57" s="511">
        <f>IF(OR(A57="",E57=""),"",IF(C57="","",C57-E57))</f>
        <v/>
      </c>
      <c r="H57" s="380" t="inlineStr">
        <is>
          <t>Agent 10</t>
        </is>
      </c>
      <c r="I57" s="491" t="n"/>
      <c r="J57" s="492">
        <f>IF(AND(A57&lt;&gt;"",E57&lt;&gt;""),IF(I57="","⚠️ Enter Code",IF(IFERROR(VLOOKUP(H57,DB_Agents!$B:$I,8,0),"")=I57,IF(C57&gt;=E57,"Successful","Unsuccessful"),"🔒 BLOCKED — Wrong Code")),"—")</f>
        <v/>
      </c>
      <c r="K57" s="493">
        <f>IF(J57="Successful",TEXT(TODAY(),"YYYY-MM-DD")&amp;" Auto","—")</f>
        <v/>
      </c>
      <c r="L57" s="494" t="n"/>
    </row>
    <row r="58" ht="15" customHeight="1" s="341">
      <c r="A58" s="495" t="n"/>
      <c r="B58" s="382">
        <f>IF(A58="","",IFERROR(VLOOKUP(A58,DB_Customers!$A:$D,4,0),"❌ Account Not Found"))</f>
        <v/>
      </c>
      <c r="C58" s="496">
        <f>IF(A58="","",IFERROR(VLOOKUP(A58,DB_Customers!$A:$N,14,0),""))</f>
        <v/>
      </c>
      <c r="D58" s="497">
        <f>IF(A58="","",TODAY())</f>
        <v/>
      </c>
      <c r="E58" s="510" t="n"/>
      <c r="F58" s="382" t="n"/>
      <c r="G58" s="512">
        <f>IF(OR(A58="",E58=""),"",IF(C58="","",C58-E58))</f>
        <v/>
      </c>
      <c r="H58" s="384" t="inlineStr">
        <is>
          <t>Agent 10</t>
        </is>
      </c>
      <c r="I58" s="491" t="n"/>
      <c r="J58" s="499">
        <f>IF(AND(A58&lt;&gt;"",E58&lt;&gt;""),IF(I58="","⚠️ Enter Code",IF(IFERROR(VLOOKUP(H58,DB_Agents!$B:$I,8,0),"")=I58,IF(C58&gt;=E58,"Successful","Unsuccessful"),"🔒 BLOCKED — Wrong Code")),"—")</f>
        <v/>
      </c>
      <c r="K58" s="500">
        <f>IF(J58="Successful",TEXT(TODAY(),"YYYY-MM-DD")&amp;" Auto","—")</f>
        <v/>
      </c>
      <c r="L58" s="501" t="n"/>
    </row>
    <row r="59" ht="15" customHeight="1" s="341">
      <c r="A59" s="486" t="n"/>
      <c r="B59" s="378">
        <f>IF(A59="","",IFERROR(VLOOKUP(A59,DB_Customers!$A:$D,4,0),"❌ Account Not Found"))</f>
        <v/>
      </c>
      <c r="C59" s="487">
        <f>IF(A59="","",IFERROR(VLOOKUP(A59,DB_Customers!$A:$N,14,0),""))</f>
        <v/>
      </c>
      <c r="D59" s="488">
        <f>IF(A59="","",TODAY())</f>
        <v/>
      </c>
      <c r="E59" s="510" t="n"/>
      <c r="F59" s="378" t="n"/>
      <c r="G59" s="511">
        <f>IF(OR(A59="",E59=""),"",IF(C59="","",C59-E59))</f>
        <v/>
      </c>
      <c r="H59" s="380" t="inlineStr">
        <is>
          <t>Agent 10</t>
        </is>
      </c>
      <c r="I59" s="491" t="n"/>
      <c r="J59" s="492">
        <f>IF(AND(A59&lt;&gt;"",E59&lt;&gt;""),IF(I59="","⚠️ Enter Code",IF(IFERROR(VLOOKUP(H59,DB_Agents!$B:$I,8,0),"")=I59,IF(C59&gt;=E59,"Successful","Unsuccessful"),"🔒 BLOCKED — Wrong Code")),"—")</f>
        <v/>
      </c>
      <c r="K59" s="493">
        <f>IF(J59="Successful",TEXT(TODAY(),"YYYY-MM-DD")&amp;" Auto","—")</f>
        <v/>
      </c>
      <c r="L59" s="494" t="n"/>
    </row>
    <row r="60" ht="15" customHeight="1" s="341">
      <c r="A60" s="495" t="n"/>
      <c r="B60" s="382">
        <f>IF(A60="","",IFERROR(VLOOKUP(A60,DB_Customers!$A:$D,4,0),"❌ Account Not Found"))</f>
        <v/>
      </c>
      <c r="C60" s="496">
        <f>IF(A60="","",IFERROR(VLOOKUP(A60,DB_Customers!$A:$N,14,0),""))</f>
        <v/>
      </c>
      <c r="D60" s="497">
        <f>IF(A60="","",TODAY())</f>
        <v/>
      </c>
      <c r="E60" s="510" t="n"/>
      <c r="F60" s="382" t="n"/>
      <c r="G60" s="512">
        <f>IF(OR(A60="",E60=""),"",IF(C60="","",C60-E60))</f>
        <v/>
      </c>
      <c r="H60" s="384" t="inlineStr">
        <is>
          <t>Agent 10</t>
        </is>
      </c>
      <c r="I60" s="491" t="n"/>
      <c r="J60" s="499">
        <f>IF(AND(A60&lt;&gt;"",E60&lt;&gt;""),IF(I60="","⚠️ Enter Code",IF(IFERROR(VLOOKUP(H60,DB_Agents!$B:$I,8,0),"")=I60,IF(C60&gt;=E60,"Successful","Unsuccessful"),"🔒 BLOCKED — Wrong Code")),"—")</f>
        <v/>
      </c>
      <c r="K60" s="500">
        <f>IF(J60="Successful",TEXT(TODAY(),"YYYY-MM-DD")&amp;" Auto","—")</f>
        <v/>
      </c>
      <c r="L60" s="501" t="n"/>
    </row>
    <row r="61" ht="15" customHeight="1" s="341">
      <c r="A61" s="486" t="n"/>
      <c r="B61" s="378">
        <f>IF(A61="","",IFERROR(VLOOKUP(A61,DB_Customers!$A:$D,4,0),"❌ Account Not Found"))</f>
        <v/>
      </c>
      <c r="C61" s="487">
        <f>IF(A61="","",IFERROR(VLOOKUP(A61,DB_Customers!$A:$N,14,0),""))</f>
        <v/>
      </c>
      <c r="D61" s="488">
        <f>IF(A61="","",TODAY())</f>
        <v/>
      </c>
      <c r="E61" s="510" t="n"/>
      <c r="F61" s="378" t="n"/>
      <c r="G61" s="511">
        <f>IF(OR(A61="",E61=""),"",IF(C61="","",C61-E61))</f>
        <v/>
      </c>
      <c r="H61" s="380" t="inlineStr">
        <is>
          <t>Agent 10</t>
        </is>
      </c>
      <c r="I61" s="491" t="n"/>
      <c r="J61" s="492">
        <f>IF(AND(A61&lt;&gt;"",E61&lt;&gt;""),IF(I61="","⚠️ Enter Code",IF(IFERROR(VLOOKUP(H61,DB_Agents!$B:$I,8,0),"")=I61,IF(C61&gt;=E61,"Successful","Unsuccessful"),"🔒 BLOCKED — Wrong Code")),"—")</f>
        <v/>
      </c>
      <c r="K61" s="493">
        <f>IF(J61="Successful",TEXT(TODAY(),"YYYY-MM-DD")&amp;" Auto","—")</f>
        <v/>
      </c>
      <c r="L61" s="494" t="n"/>
    </row>
    <row r="62" ht="15" customHeight="1" s="341">
      <c r="A62" s="495" t="n"/>
      <c r="B62" s="382">
        <f>IF(A62="","",IFERROR(VLOOKUP(A62,DB_Customers!$A:$D,4,0),"❌ Account Not Found"))</f>
        <v/>
      </c>
      <c r="C62" s="496">
        <f>IF(A62="","",IFERROR(VLOOKUP(A62,DB_Customers!$A:$N,14,0),""))</f>
        <v/>
      </c>
      <c r="D62" s="497">
        <f>IF(A62="","",TODAY())</f>
        <v/>
      </c>
      <c r="E62" s="510" t="n"/>
      <c r="F62" s="382" t="n"/>
      <c r="G62" s="512">
        <f>IF(OR(A62="",E62=""),"",IF(C62="","",C62-E62))</f>
        <v/>
      </c>
      <c r="H62" s="384" t="inlineStr">
        <is>
          <t>Agent 10</t>
        </is>
      </c>
      <c r="I62" s="491" t="n"/>
      <c r="J62" s="499">
        <f>IF(AND(A62&lt;&gt;"",E62&lt;&gt;""),IF(I62="","⚠️ Enter Code",IF(IFERROR(VLOOKUP(H62,DB_Agents!$B:$I,8,0),"")=I62,IF(C62&gt;=E62,"Successful","Unsuccessful"),"🔒 BLOCKED — Wrong Code")),"—")</f>
        <v/>
      </c>
      <c r="K62" s="500">
        <f>IF(J62="Successful",TEXT(TODAY(),"YYYY-MM-DD")&amp;" Auto","—")</f>
        <v/>
      </c>
      <c r="L62" s="501" t="n"/>
    </row>
    <row r="63" ht="15" customHeight="1" s="341">
      <c r="A63" s="486" t="n"/>
      <c r="B63" s="378">
        <f>IF(A63="","",IFERROR(VLOOKUP(A63,DB_Customers!$A:$D,4,0),"❌ Account Not Found"))</f>
        <v/>
      </c>
      <c r="C63" s="487">
        <f>IF(A63="","",IFERROR(VLOOKUP(A63,DB_Customers!$A:$N,14,0),""))</f>
        <v/>
      </c>
      <c r="D63" s="488">
        <f>IF(A63="","",TODAY())</f>
        <v/>
      </c>
      <c r="E63" s="510" t="n"/>
      <c r="F63" s="378" t="n"/>
      <c r="G63" s="511">
        <f>IF(OR(A63="",E63=""),"",IF(C63="","",C63-E63))</f>
        <v/>
      </c>
      <c r="H63" s="380" t="inlineStr">
        <is>
          <t>Agent 10</t>
        </is>
      </c>
      <c r="I63" s="491" t="n"/>
      <c r="J63" s="492">
        <f>IF(AND(A63&lt;&gt;"",E63&lt;&gt;""),IF(I63="","⚠️ Enter Code",IF(IFERROR(VLOOKUP(H63,DB_Agents!$B:$I,8,0),"")=I63,IF(C63&gt;=E63,"Successful","Unsuccessful"),"🔒 BLOCKED — Wrong Code")),"—")</f>
        <v/>
      </c>
      <c r="K63" s="493">
        <f>IF(J63="Successful",TEXT(TODAY(),"YYYY-MM-DD")&amp;" Auto","—")</f>
        <v/>
      </c>
      <c r="L63" s="494" t="n"/>
    </row>
    <row r="64" ht="15" customHeight="1" s="341">
      <c r="A64" s="495" t="n"/>
      <c r="B64" s="382">
        <f>IF(A64="","",IFERROR(VLOOKUP(A64,DB_Customers!$A:$D,4,0),"❌ Account Not Found"))</f>
        <v/>
      </c>
      <c r="C64" s="496">
        <f>IF(A64="","",IFERROR(VLOOKUP(A64,DB_Customers!$A:$N,14,0),""))</f>
        <v/>
      </c>
      <c r="D64" s="497">
        <f>IF(A64="","",TODAY())</f>
        <v/>
      </c>
      <c r="E64" s="510" t="n"/>
      <c r="F64" s="382" t="n"/>
      <c r="G64" s="512">
        <f>IF(OR(A64="",E64=""),"",IF(C64="","",C64-E64))</f>
        <v/>
      </c>
      <c r="H64" s="384" t="inlineStr">
        <is>
          <t>Agent 10</t>
        </is>
      </c>
      <c r="I64" s="491" t="n"/>
      <c r="J64" s="499">
        <f>IF(AND(A64&lt;&gt;"",E64&lt;&gt;""),IF(I64="","⚠️ Enter Code",IF(IFERROR(VLOOKUP(H64,DB_Agents!$B:$I,8,0),"")=I64,IF(C64&gt;=E64,"Successful","Unsuccessful"),"🔒 BLOCKED — Wrong Code")),"—")</f>
        <v/>
      </c>
      <c r="K64" s="500">
        <f>IF(J64="Successful",TEXT(TODAY(),"YYYY-MM-DD")&amp;" Auto","—")</f>
        <v/>
      </c>
      <c r="L64" s="501" t="n"/>
    </row>
    <row r="65" ht="15" customHeight="1" s="341">
      <c r="A65" s="486" t="n"/>
      <c r="B65" s="378">
        <f>IF(A65="","",IFERROR(VLOOKUP(A65,DB_Customers!$A:$D,4,0),"❌ Account Not Found"))</f>
        <v/>
      </c>
      <c r="C65" s="487">
        <f>IF(A65="","",IFERROR(VLOOKUP(A65,DB_Customers!$A:$N,14,0),""))</f>
        <v/>
      </c>
      <c r="D65" s="488">
        <f>IF(A65="","",TODAY())</f>
        <v/>
      </c>
      <c r="E65" s="510" t="n"/>
      <c r="F65" s="378" t="n"/>
      <c r="G65" s="511">
        <f>IF(OR(A65="",E65=""),"",IF(C65="","",C65-E65))</f>
        <v/>
      </c>
      <c r="H65" s="380" t="inlineStr">
        <is>
          <t>Agent 10</t>
        </is>
      </c>
      <c r="I65" s="491" t="n"/>
      <c r="J65" s="492">
        <f>IF(AND(A65&lt;&gt;"",E65&lt;&gt;""),IF(I65="","⚠️ Enter Code",IF(IFERROR(VLOOKUP(H65,DB_Agents!$B:$I,8,0),"")=I65,IF(C65&gt;=E65,"Successful","Unsuccessful"),"🔒 BLOCKED — Wrong Code")),"—")</f>
        <v/>
      </c>
      <c r="K65" s="493">
        <f>IF(J65="Successful",TEXT(TODAY(),"YYYY-MM-DD")&amp;" Auto","—")</f>
        <v/>
      </c>
      <c r="L65" s="494" t="n"/>
    </row>
    <row r="66" ht="15" customHeight="1" s="341">
      <c r="A66" s="495" t="n"/>
      <c r="B66" s="382">
        <f>IF(A66="","",IFERROR(VLOOKUP(A66,DB_Customers!$A:$D,4,0),"❌ Account Not Found"))</f>
        <v/>
      </c>
      <c r="C66" s="496">
        <f>IF(A66="","",IFERROR(VLOOKUP(A66,DB_Customers!$A:$N,14,0),""))</f>
        <v/>
      </c>
      <c r="D66" s="497">
        <f>IF(A66="","",TODAY())</f>
        <v/>
      </c>
      <c r="E66" s="510" t="n"/>
      <c r="F66" s="382" t="n"/>
      <c r="G66" s="512">
        <f>IF(OR(A66="",E66=""),"",IF(C66="","",C66-E66))</f>
        <v/>
      </c>
      <c r="H66" s="384" t="inlineStr">
        <is>
          <t>Agent 10</t>
        </is>
      </c>
      <c r="I66" s="491" t="n"/>
      <c r="J66" s="499">
        <f>IF(AND(A66&lt;&gt;"",E66&lt;&gt;""),IF(I66="","⚠️ Enter Code",IF(IFERROR(VLOOKUP(H66,DB_Agents!$B:$I,8,0),"")=I66,IF(C66&gt;=E66,"Successful","Unsuccessful"),"🔒 BLOCKED — Wrong Code")),"—")</f>
        <v/>
      </c>
      <c r="K66" s="500">
        <f>IF(J66="Successful",TEXT(TODAY(),"YYYY-MM-DD")&amp;" Auto","—")</f>
        <v/>
      </c>
      <c r="L66" s="501" t="n"/>
    </row>
    <row r="67" ht="15" customHeight="1" s="341">
      <c r="A67" s="486" t="n"/>
      <c r="B67" s="378">
        <f>IF(A67="","",IFERROR(VLOOKUP(A67,DB_Customers!$A:$D,4,0),"❌ Account Not Found"))</f>
        <v/>
      </c>
      <c r="C67" s="487">
        <f>IF(A67="","",IFERROR(VLOOKUP(A67,DB_Customers!$A:$N,14,0),""))</f>
        <v/>
      </c>
      <c r="D67" s="488">
        <f>IF(A67="","",TODAY())</f>
        <v/>
      </c>
      <c r="E67" s="510" t="n"/>
      <c r="F67" s="378" t="n"/>
      <c r="G67" s="511">
        <f>IF(OR(A67="",E67=""),"",IF(C67="","",C67-E67))</f>
        <v/>
      </c>
      <c r="H67" s="380" t="inlineStr">
        <is>
          <t>Agent 10</t>
        </is>
      </c>
      <c r="I67" s="491" t="n"/>
      <c r="J67" s="492">
        <f>IF(AND(A67&lt;&gt;"",E67&lt;&gt;""),IF(I67="","⚠️ Enter Code",IF(IFERROR(VLOOKUP(H67,DB_Agents!$B:$I,8,0),"")=I67,IF(C67&gt;=E67,"Successful","Unsuccessful"),"🔒 BLOCKED — Wrong Code")),"—")</f>
        <v/>
      </c>
      <c r="K67" s="493">
        <f>IF(J67="Successful",TEXT(TODAY(),"YYYY-MM-DD")&amp;" Auto","—")</f>
        <v/>
      </c>
      <c r="L67" s="494" t="n"/>
    </row>
    <row r="68" ht="15" customHeight="1" s="341">
      <c r="A68" s="495" t="n"/>
      <c r="B68" s="382">
        <f>IF(A68="","",IFERROR(VLOOKUP(A68,DB_Customers!$A:$D,4,0),"❌ Account Not Found"))</f>
        <v/>
      </c>
      <c r="C68" s="496">
        <f>IF(A68="","",IFERROR(VLOOKUP(A68,DB_Customers!$A:$N,14,0),""))</f>
        <v/>
      </c>
      <c r="D68" s="497">
        <f>IF(A68="","",TODAY())</f>
        <v/>
      </c>
      <c r="E68" s="510" t="n"/>
      <c r="F68" s="382" t="n"/>
      <c r="G68" s="512">
        <f>IF(OR(A68="",E68=""),"",IF(C68="","",C68-E68))</f>
        <v/>
      </c>
      <c r="H68" s="384" t="inlineStr">
        <is>
          <t>Agent 10</t>
        </is>
      </c>
      <c r="I68" s="491" t="n"/>
      <c r="J68" s="499">
        <f>IF(AND(A68&lt;&gt;"",E68&lt;&gt;""),IF(I68="","⚠️ Enter Code",IF(IFERROR(VLOOKUP(H68,DB_Agents!$B:$I,8,0),"")=I68,IF(C68&gt;=E68,"Successful","Unsuccessful"),"🔒 BLOCKED — Wrong Code")),"—")</f>
        <v/>
      </c>
      <c r="K68" s="500">
        <f>IF(J68="Successful",TEXT(TODAY(),"YYYY-MM-DD")&amp;" Auto","—")</f>
        <v/>
      </c>
      <c r="L68" s="501" t="n"/>
    </row>
    <row r="69" ht="15" customHeight="1" s="341">
      <c r="A69" s="486" t="n"/>
      <c r="B69" s="378">
        <f>IF(A69="","",IFERROR(VLOOKUP(A69,DB_Customers!$A:$D,4,0),"❌ Account Not Found"))</f>
        <v/>
      </c>
      <c r="C69" s="487">
        <f>IF(A69="","",IFERROR(VLOOKUP(A69,DB_Customers!$A:$N,14,0),""))</f>
        <v/>
      </c>
      <c r="D69" s="488">
        <f>IF(A69="","",TODAY())</f>
        <v/>
      </c>
      <c r="E69" s="510" t="n"/>
      <c r="F69" s="378" t="n"/>
      <c r="G69" s="511">
        <f>IF(OR(A69="",E69=""),"",IF(C69="","",C69-E69))</f>
        <v/>
      </c>
      <c r="H69" s="380" t="inlineStr">
        <is>
          <t>Agent 10</t>
        </is>
      </c>
      <c r="I69" s="491" t="n"/>
      <c r="J69" s="492">
        <f>IF(AND(A69&lt;&gt;"",E69&lt;&gt;""),IF(I69="","⚠️ Enter Code",IF(IFERROR(VLOOKUP(H69,DB_Agents!$B:$I,8,0),"")=I69,IF(C69&gt;=E69,"Successful","Unsuccessful"),"🔒 BLOCKED — Wrong Code")),"—")</f>
        <v/>
      </c>
      <c r="K69" s="493">
        <f>IF(J69="Successful",TEXT(TODAY(),"YYYY-MM-DD")&amp;" Auto","—")</f>
        <v/>
      </c>
      <c r="L69" s="494" t="n"/>
    </row>
    <row r="70" ht="15" customHeight="1" s="341">
      <c r="A70" s="495" t="n"/>
      <c r="B70" s="382">
        <f>IF(A70="","",IFERROR(VLOOKUP(A70,DB_Customers!$A:$D,4,0),"❌ Account Not Found"))</f>
        <v/>
      </c>
      <c r="C70" s="496">
        <f>IF(A70="","",IFERROR(VLOOKUP(A70,DB_Customers!$A:$N,14,0),""))</f>
        <v/>
      </c>
      <c r="D70" s="497">
        <f>IF(A70="","",TODAY())</f>
        <v/>
      </c>
      <c r="E70" s="510" t="n"/>
      <c r="F70" s="382" t="n"/>
      <c r="G70" s="512">
        <f>IF(OR(A70="",E70=""),"",IF(C70="","",C70-E70))</f>
        <v/>
      </c>
      <c r="H70" s="384" t="inlineStr">
        <is>
          <t>Agent 10</t>
        </is>
      </c>
      <c r="I70" s="491" t="n"/>
      <c r="J70" s="499">
        <f>IF(AND(A70&lt;&gt;"",E70&lt;&gt;""),IF(I70="","⚠️ Enter Code",IF(IFERROR(VLOOKUP(H70,DB_Agents!$B:$I,8,0),"")=I70,IF(C70&gt;=E70,"Successful","Unsuccessful"),"🔒 BLOCKED — Wrong Code")),"—")</f>
        <v/>
      </c>
      <c r="K70" s="500">
        <f>IF(J70="Successful",TEXT(TODAY(),"YYYY-MM-DD")&amp;" Auto","—")</f>
        <v/>
      </c>
      <c r="L70" s="501" t="n"/>
    </row>
    <row r="71" ht="15" customHeight="1" s="341">
      <c r="A71" s="486" t="n"/>
      <c r="B71" s="378">
        <f>IF(A71="","",IFERROR(VLOOKUP(A71,DB_Customers!$A:$D,4,0),"❌ Account Not Found"))</f>
        <v/>
      </c>
      <c r="C71" s="487">
        <f>IF(A71="","",IFERROR(VLOOKUP(A71,DB_Customers!$A:$N,14,0),""))</f>
        <v/>
      </c>
      <c r="D71" s="488">
        <f>IF(A71="","",TODAY())</f>
        <v/>
      </c>
      <c r="E71" s="510" t="n"/>
      <c r="F71" s="378" t="n"/>
      <c r="G71" s="511">
        <f>IF(OR(A71="",E71=""),"",IF(C71="","",C71-E71))</f>
        <v/>
      </c>
      <c r="H71" s="380" t="inlineStr">
        <is>
          <t>Agent 10</t>
        </is>
      </c>
      <c r="I71" s="491" t="n"/>
      <c r="J71" s="492">
        <f>IF(AND(A71&lt;&gt;"",E71&lt;&gt;""),IF(I71="","⚠️ Enter Code",IF(IFERROR(VLOOKUP(H71,DB_Agents!$B:$I,8,0),"")=I71,IF(C71&gt;=E71,"Successful","Unsuccessful"),"🔒 BLOCKED — Wrong Code")),"—")</f>
        <v/>
      </c>
      <c r="K71" s="493">
        <f>IF(J71="Successful",TEXT(TODAY(),"YYYY-MM-DD")&amp;" Auto","—")</f>
        <v/>
      </c>
      <c r="L71" s="494" t="n"/>
    </row>
    <row r="72" ht="15" customHeight="1" s="341">
      <c r="A72" s="495" t="n"/>
      <c r="B72" s="382">
        <f>IF(A72="","",IFERROR(VLOOKUP(A72,DB_Customers!$A:$D,4,0),"❌ Account Not Found"))</f>
        <v/>
      </c>
      <c r="C72" s="496">
        <f>IF(A72="","",IFERROR(VLOOKUP(A72,DB_Customers!$A:$N,14,0),""))</f>
        <v/>
      </c>
      <c r="D72" s="497">
        <f>IF(A72="","",TODAY())</f>
        <v/>
      </c>
      <c r="E72" s="510" t="n"/>
      <c r="F72" s="382" t="n"/>
      <c r="G72" s="512">
        <f>IF(OR(A72="",E72=""),"",IF(C72="","",C72-E72))</f>
        <v/>
      </c>
      <c r="H72" s="384" t="inlineStr">
        <is>
          <t>Agent 10</t>
        </is>
      </c>
      <c r="I72" s="491" t="n"/>
      <c r="J72" s="499">
        <f>IF(AND(A72&lt;&gt;"",E72&lt;&gt;""),IF(I72="","⚠️ Enter Code",IF(IFERROR(VLOOKUP(H72,DB_Agents!$B:$I,8,0),"")=I72,IF(C72&gt;=E72,"Successful","Unsuccessful"),"🔒 BLOCKED — Wrong Code")),"—")</f>
        <v/>
      </c>
      <c r="K72" s="500">
        <f>IF(J72="Successful",TEXT(TODAY(),"YYYY-MM-DD")&amp;" Auto","—")</f>
        <v/>
      </c>
      <c r="L72" s="501" t="n"/>
    </row>
    <row r="73" ht="15" customHeight="1" s="341">
      <c r="A73" s="486" t="n"/>
      <c r="B73" s="378">
        <f>IF(A73="","",IFERROR(VLOOKUP(A73,DB_Customers!$A:$D,4,0),"❌ Account Not Found"))</f>
        <v/>
      </c>
      <c r="C73" s="487">
        <f>IF(A73="","",IFERROR(VLOOKUP(A73,DB_Customers!$A:$N,14,0),""))</f>
        <v/>
      </c>
      <c r="D73" s="488">
        <f>IF(A73="","",TODAY())</f>
        <v/>
      </c>
      <c r="E73" s="510" t="n"/>
      <c r="F73" s="378" t="n"/>
      <c r="G73" s="511">
        <f>IF(OR(A73="",E73=""),"",IF(C73="","",C73-E73))</f>
        <v/>
      </c>
      <c r="H73" s="380" t="inlineStr">
        <is>
          <t>Agent 10</t>
        </is>
      </c>
      <c r="I73" s="491" t="n"/>
      <c r="J73" s="492">
        <f>IF(AND(A73&lt;&gt;"",E73&lt;&gt;""),IF(I73="","⚠️ Enter Code",IF(IFERROR(VLOOKUP(H73,DB_Agents!$B:$I,8,0),"")=I73,IF(C73&gt;=E73,"Successful","Unsuccessful"),"🔒 BLOCKED — Wrong Code")),"—")</f>
        <v/>
      </c>
      <c r="K73" s="493">
        <f>IF(J73="Successful",TEXT(TODAY(),"YYYY-MM-DD")&amp;" Auto","—")</f>
        <v/>
      </c>
      <c r="L73" s="494" t="n"/>
    </row>
    <row r="74" ht="15" customHeight="1" s="341">
      <c r="A74" s="495" t="n"/>
      <c r="B74" s="382">
        <f>IF(A74="","",IFERROR(VLOOKUP(A74,DB_Customers!$A:$D,4,0),"❌ Account Not Found"))</f>
        <v/>
      </c>
      <c r="C74" s="496">
        <f>IF(A74="","",IFERROR(VLOOKUP(A74,DB_Customers!$A:$N,14,0),""))</f>
        <v/>
      </c>
      <c r="D74" s="497">
        <f>IF(A74="","",TODAY())</f>
        <v/>
      </c>
      <c r="E74" s="510" t="n"/>
      <c r="F74" s="382" t="n"/>
      <c r="G74" s="512">
        <f>IF(OR(A74="",E74=""),"",IF(C74="","",C74-E74))</f>
        <v/>
      </c>
      <c r="H74" s="384" t="inlineStr">
        <is>
          <t>Agent 10</t>
        </is>
      </c>
      <c r="I74" s="491" t="n"/>
      <c r="J74" s="499">
        <f>IF(AND(A74&lt;&gt;"",E74&lt;&gt;""),IF(I74="","⚠️ Enter Code",IF(IFERROR(VLOOKUP(H74,DB_Agents!$B:$I,8,0),"")=I74,IF(C74&gt;=E74,"Successful","Unsuccessful"),"🔒 BLOCKED — Wrong Code")),"—")</f>
        <v/>
      </c>
      <c r="K74" s="500">
        <f>IF(J74="Successful",TEXT(TODAY(),"YYYY-MM-DD")&amp;" Auto","—")</f>
        <v/>
      </c>
      <c r="L74" s="501" t="n"/>
    </row>
    <row r="75" ht="15" customHeight="1" s="341">
      <c r="A75" s="486" t="n"/>
      <c r="B75" s="378">
        <f>IF(A75="","",IFERROR(VLOOKUP(A75,DB_Customers!$A:$D,4,0),"❌ Account Not Found"))</f>
        <v/>
      </c>
      <c r="C75" s="487">
        <f>IF(A75="","",IFERROR(VLOOKUP(A75,DB_Customers!$A:$N,14,0),""))</f>
        <v/>
      </c>
      <c r="D75" s="488">
        <f>IF(A75="","",TODAY())</f>
        <v/>
      </c>
      <c r="E75" s="510" t="n"/>
      <c r="F75" s="378" t="n"/>
      <c r="G75" s="511">
        <f>IF(OR(A75="",E75=""),"",IF(C75="","",C75-E75))</f>
        <v/>
      </c>
      <c r="H75" s="380" t="inlineStr">
        <is>
          <t>Agent 10</t>
        </is>
      </c>
      <c r="I75" s="491" t="n"/>
      <c r="J75" s="492">
        <f>IF(AND(A75&lt;&gt;"",E75&lt;&gt;""),IF(I75="","⚠️ Enter Code",IF(IFERROR(VLOOKUP(H75,DB_Agents!$B:$I,8,0),"")=I75,IF(C75&gt;=E75,"Successful","Unsuccessful"),"🔒 BLOCKED — Wrong Code")),"—")</f>
        <v/>
      </c>
      <c r="K75" s="493">
        <f>IF(J75="Successful",TEXT(TODAY(),"YYYY-MM-DD")&amp;" Auto","—")</f>
        <v/>
      </c>
      <c r="L75" s="494" t="n"/>
    </row>
    <row r="76" ht="15" customHeight="1" s="341">
      <c r="A76" s="495" t="n"/>
      <c r="B76" s="382">
        <f>IF(A76="","",IFERROR(VLOOKUP(A76,DB_Customers!$A:$D,4,0),"❌ Account Not Found"))</f>
        <v/>
      </c>
      <c r="C76" s="496">
        <f>IF(A76="","",IFERROR(VLOOKUP(A76,DB_Customers!$A:$N,14,0),""))</f>
        <v/>
      </c>
      <c r="D76" s="497">
        <f>IF(A76="","",TODAY())</f>
        <v/>
      </c>
      <c r="E76" s="510" t="n"/>
      <c r="F76" s="382" t="n"/>
      <c r="G76" s="512">
        <f>IF(OR(A76="",E76=""),"",IF(C76="","",C76-E76))</f>
        <v/>
      </c>
      <c r="H76" s="384" t="inlineStr">
        <is>
          <t>Agent 10</t>
        </is>
      </c>
      <c r="I76" s="491" t="n"/>
      <c r="J76" s="499">
        <f>IF(AND(A76&lt;&gt;"",E76&lt;&gt;""),IF(I76="","⚠️ Enter Code",IF(IFERROR(VLOOKUP(H76,DB_Agents!$B:$I,8,0),"")=I76,IF(C76&gt;=E76,"Successful","Unsuccessful"),"🔒 BLOCKED — Wrong Code")),"—")</f>
        <v/>
      </c>
      <c r="K76" s="500">
        <f>IF(J76="Successful",TEXT(TODAY(),"YYYY-MM-DD")&amp;" Auto","—")</f>
        <v/>
      </c>
      <c r="L76" s="501" t="n"/>
    </row>
    <row r="77" ht="15" customHeight="1" s="341">
      <c r="A77" s="486" t="n"/>
      <c r="B77" s="378">
        <f>IF(A77="","",IFERROR(VLOOKUP(A77,DB_Customers!$A:$D,4,0),"❌ Account Not Found"))</f>
        <v/>
      </c>
      <c r="C77" s="487">
        <f>IF(A77="","",IFERROR(VLOOKUP(A77,DB_Customers!$A:$N,14,0),""))</f>
        <v/>
      </c>
      <c r="D77" s="488">
        <f>IF(A77="","",TODAY())</f>
        <v/>
      </c>
      <c r="E77" s="510" t="n"/>
      <c r="F77" s="378" t="n"/>
      <c r="G77" s="511">
        <f>IF(OR(A77="",E77=""),"",IF(C77="","",C77-E77))</f>
        <v/>
      </c>
      <c r="H77" s="380" t="inlineStr">
        <is>
          <t>Agent 10</t>
        </is>
      </c>
      <c r="I77" s="491" t="n"/>
      <c r="J77" s="492">
        <f>IF(AND(A77&lt;&gt;"",E77&lt;&gt;""),IF(I77="","⚠️ Enter Code",IF(IFERROR(VLOOKUP(H77,DB_Agents!$B:$I,8,0),"")=I77,IF(C77&gt;=E77,"Successful","Unsuccessful"),"🔒 BLOCKED — Wrong Code")),"—")</f>
        <v/>
      </c>
      <c r="K77" s="493">
        <f>IF(J77="Successful",TEXT(TODAY(),"YYYY-MM-DD")&amp;" Auto","—")</f>
        <v/>
      </c>
      <c r="L77" s="494" t="n"/>
    </row>
    <row r="78" ht="15" customHeight="1" s="341">
      <c r="A78" s="495" t="n"/>
      <c r="B78" s="382">
        <f>IF(A78="","",IFERROR(VLOOKUP(A78,DB_Customers!$A:$D,4,0),"❌ Account Not Found"))</f>
        <v/>
      </c>
      <c r="C78" s="496">
        <f>IF(A78="","",IFERROR(VLOOKUP(A78,DB_Customers!$A:$N,14,0),""))</f>
        <v/>
      </c>
      <c r="D78" s="497">
        <f>IF(A78="","",TODAY())</f>
        <v/>
      </c>
      <c r="E78" s="510" t="n"/>
      <c r="F78" s="382" t="n"/>
      <c r="G78" s="512">
        <f>IF(OR(A78="",E78=""),"",IF(C78="","",C78-E78))</f>
        <v/>
      </c>
      <c r="H78" s="384" t="inlineStr">
        <is>
          <t>Agent 10</t>
        </is>
      </c>
      <c r="I78" s="491" t="n"/>
      <c r="J78" s="499">
        <f>IF(AND(A78&lt;&gt;"",E78&lt;&gt;""),IF(I78="","⚠️ Enter Code",IF(IFERROR(VLOOKUP(H78,DB_Agents!$B:$I,8,0),"")=I78,IF(C78&gt;=E78,"Successful","Unsuccessful"),"🔒 BLOCKED — Wrong Code")),"—")</f>
        <v/>
      </c>
      <c r="K78" s="500">
        <f>IF(J78="Successful",TEXT(TODAY(),"YYYY-MM-DD")&amp;" Auto","—")</f>
        <v/>
      </c>
      <c r="L78" s="501" t="n"/>
    </row>
    <row r="79" ht="15" customHeight="1" s="341">
      <c r="A79" s="486" t="n"/>
      <c r="B79" s="378">
        <f>IF(A79="","",IFERROR(VLOOKUP(A79,DB_Customers!$A:$D,4,0),"❌ Account Not Found"))</f>
        <v/>
      </c>
      <c r="C79" s="487">
        <f>IF(A79="","",IFERROR(VLOOKUP(A79,DB_Customers!$A:$N,14,0),""))</f>
        <v/>
      </c>
      <c r="D79" s="488">
        <f>IF(A79="","",TODAY())</f>
        <v/>
      </c>
      <c r="E79" s="510" t="n"/>
      <c r="F79" s="378" t="n"/>
      <c r="G79" s="511">
        <f>IF(OR(A79="",E79=""),"",IF(C79="","",C79-E79))</f>
        <v/>
      </c>
      <c r="H79" s="380" t="inlineStr">
        <is>
          <t>Agent 10</t>
        </is>
      </c>
      <c r="I79" s="491" t="n"/>
      <c r="J79" s="492">
        <f>IF(AND(A79&lt;&gt;"",E79&lt;&gt;""),IF(I79="","⚠️ Enter Code",IF(IFERROR(VLOOKUP(H79,DB_Agents!$B:$I,8,0),"")=I79,IF(C79&gt;=E79,"Successful","Unsuccessful"),"🔒 BLOCKED — Wrong Code")),"—")</f>
        <v/>
      </c>
      <c r="K79" s="493">
        <f>IF(J79="Successful",TEXT(TODAY(),"YYYY-MM-DD")&amp;" Auto","—")</f>
        <v/>
      </c>
      <c r="L79" s="494" t="n"/>
    </row>
    <row r="80" ht="15" customHeight="1" s="341">
      <c r="A80" s="495" t="n"/>
      <c r="B80" s="382">
        <f>IF(A80="","",IFERROR(VLOOKUP(A80,DB_Customers!$A:$D,4,0),"❌ Account Not Found"))</f>
        <v/>
      </c>
      <c r="C80" s="496">
        <f>IF(A80="","",IFERROR(VLOOKUP(A80,DB_Customers!$A:$N,14,0),""))</f>
        <v/>
      </c>
      <c r="D80" s="497">
        <f>IF(A80="","",TODAY())</f>
        <v/>
      </c>
      <c r="E80" s="510" t="n"/>
      <c r="F80" s="382" t="n"/>
      <c r="G80" s="512">
        <f>IF(OR(A80="",E80=""),"",IF(C80="","",C80-E80))</f>
        <v/>
      </c>
      <c r="H80" s="384" t="inlineStr">
        <is>
          <t>Agent 10</t>
        </is>
      </c>
      <c r="I80" s="491" t="n"/>
      <c r="J80" s="499">
        <f>IF(AND(A80&lt;&gt;"",E80&lt;&gt;""),IF(I80="","⚠️ Enter Code",IF(IFERROR(VLOOKUP(H80,DB_Agents!$B:$I,8,0),"")=I80,IF(C80&gt;=E80,"Successful","Unsuccessful"),"🔒 BLOCKED — Wrong Code")),"—")</f>
        <v/>
      </c>
      <c r="K80" s="500">
        <f>IF(J80="Successful",TEXT(TODAY(),"YYYY-MM-DD")&amp;" Auto","—")</f>
        <v/>
      </c>
      <c r="L80" s="501" t="n"/>
    </row>
    <row r="81" ht="15" customHeight="1" s="341">
      <c r="A81" s="486" t="n"/>
      <c r="B81" s="378">
        <f>IF(A81="","",IFERROR(VLOOKUP(A81,DB_Customers!$A:$D,4,0),"❌ Account Not Found"))</f>
        <v/>
      </c>
      <c r="C81" s="487">
        <f>IF(A81="","",IFERROR(VLOOKUP(A81,DB_Customers!$A:$N,14,0),""))</f>
        <v/>
      </c>
      <c r="D81" s="488">
        <f>IF(A81="","",TODAY())</f>
        <v/>
      </c>
      <c r="E81" s="510" t="n"/>
      <c r="F81" s="378" t="n"/>
      <c r="G81" s="511">
        <f>IF(OR(A81="",E81=""),"",IF(C81="","",C81-E81))</f>
        <v/>
      </c>
      <c r="H81" s="380" t="inlineStr">
        <is>
          <t>Agent 10</t>
        </is>
      </c>
      <c r="I81" s="491" t="n"/>
      <c r="J81" s="492">
        <f>IF(AND(A81&lt;&gt;"",E81&lt;&gt;""),IF(I81="","⚠️ Enter Code",IF(IFERROR(VLOOKUP(H81,DB_Agents!$B:$I,8,0),"")=I81,IF(C81&gt;=E81,"Successful","Unsuccessful"),"🔒 BLOCKED — Wrong Code")),"—")</f>
        <v/>
      </c>
      <c r="K81" s="493">
        <f>IF(J81="Successful",TEXT(TODAY(),"YYYY-MM-DD")&amp;" Auto","—")</f>
        <v/>
      </c>
      <c r="L81" s="494" t="n"/>
    </row>
    <row r="82" ht="15" customHeight="1" s="341">
      <c r="A82" s="495" t="n"/>
      <c r="B82" s="382">
        <f>IF(A82="","",IFERROR(VLOOKUP(A82,DB_Customers!$A:$D,4,0),"❌ Account Not Found"))</f>
        <v/>
      </c>
      <c r="C82" s="496">
        <f>IF(A82="","",IFERROR(VLOOKUP(A82,DB_Customers!$A:$N,14,0),""))</f>
        <v/>
      </c>
      <c r="D82" s="497">
        <f>IF(A82="","",TODAY())</f>
        <v/>
      </c>
      <c r="E82" s="510" t="n"/>
      <c r="F82" s="382" t="n"/>
      <c r="G82" s="512">
        <f>IF(OR(A82="",E82=""),"",IF(C82="","",C82-E82))</f>
        <v/>
      </c>
      <c r="H82" s="384" t="inlineStr">
        <is>
          <t>Agent 10</t>
        </is>
      </c>
      <c r="I82" s="491" t="n"/>
      <c r="J82" s="499">
        <f>IF(AND(A82&lt;&gt;"",E82&lt;&gt;""),IF(I82="","⚠️ Enter Code",IF(IFERROR(VLOOKUP(H82,DB_Agents!$B:$I,8,0),"")=I82,IF(C82&gt;=E82,"Successful","Unsuccessful"),"🔒 BLOCKED — Wrong Code")),"—")</f>
        <v/>
      </c>
      <c r="K82" s="500">
        <f>IF(J82="Successful",TEXT(TODAY(),"YYYY-MM-DD")&amp;" Auto","—")</f>
        <v/>
      </c>
      <c r="L82" s="501" t="n"/>
    </row>
    <row r="83" ht="15" customHeight="1" s="341">
      <c r="A83" s="486" t="n"/>
      <c r="B83" s="378">
        <f>IF(A83="","",IFERROR(VLOOKUP(A83,DB_Customers!$A:$D,4,0),"❌ Account Not Found"))</f>
        <v/>
      </c>
      <c r="C83" s="487">
        <f>IF(A83="","",IFERROR(VLOOKUP(A83,DB_Customers!$A:$N,14,0),""))</f>
        <v/>
      </c>
      <c r="D83" s="488">
        <f>IF(A83="","",TODAY())</f>
        <v/>
      </c>
      <c r="E83" s="510" t="n"/>
      <c r="F83" s="378" t="n"/>
      <c r="G83" s="511">
        <f>IF(OR(A83="",E83=""),"",IF(C83="","",C83-E83))</f>
        <v/>
      </c>
      <c r="H83" s="380" t="inlineStr">
        <is>
          <t>Agent 10</t>
        </is>
      </c>
      <c r="I83" s="491" t="n"/>
      <c r="J83" s="492">
        <f>IF(AND(A83&lt;&gt;"",E83&lt;&gt;""),IF(I83="","⚠️ Enter Code",IF(IFERROR(VLOOKUP(H83,DB_Agents!$B:$I,8,0),"")=I83,IF(C83&gt;=E83,"Successful","Unsuccessful"),"🔒 BLOCKED — Wrong Code")),"—")</f>
        <v/>
      </c>
      <c r="K83" s="493">
        <f>IF(J83="Successful",TEXT(TODAY(),"YYYY-MM-DD")&amp;" Auto","—")</f>
        <v/>
      </c>
      <c r="L83" s="494" t="n"/>
    </row>
    <row r="84" ht="15" customHeight="1" s="341">
      <c r="A84" s="495" t="n"/>
      <c r="B84" s="382">
        <f>IF(A84="","",IFERROR(VLOOKUP(A84,DB_Customers!$A:$D,4,0),"❌ Account Not Found"))</f>
        <v/>
      </c>
      <c r="C84" s="496">
        <f>IF(A84="","",IFERROR(VLOOKUP(A84,DB_Customers!$A:$N,14,0),""))</f>
        <v/>
      </c>
      <c r="D84" s="497">
        <f>IF(A84="","",TODAY())</f>
        <v/>
      </c>
      <c r="E84" s="510" t="n"/>
      <c r="F84" s="382" t="n"/>
      <c r="G84" s="512">
        <f>IF(OR(A84="",E84=""),"",IF(C84="","",C84-E84))</f>
        <v/>
      </c>
      <c r="H84" s="384" t="inlineStr">
        <is>
          <t>Agent 10</t>
        </is>
      </c>
      <c r="I84" s="491" t="n"/>
      <c r="J84" s="499">
        <f>IF(AND(A84&lt;&gt;"",E84&lt;&gt;""),IF(I84="","⚠️ Enter Code",IF(IFERROR(VLOOKUP(H84,DB_Agents!$B:$I,8,0),"")=I84,IF(C84&gt;=E84,"Successful","Unsuccessful"),"🔒 BLOCKED — Wrong Code")),"—")</f>
        <v/>
      </c>
      <c r="K84" s="500">
        <f>IF(J84="Successful",TEXT(TODAY(),"YYYY-MM-DD")&amp;" Auto","—")</f>
        <v/>
      </c>
      <c r="L84" s="501" t="n"/>
    </row>
    <row r="85" ht="15" customHeight="1" s="341">
      <c r="A85" s="486" t="n"/>
      <c r="B85" s="378">
        <f>IF(A85="","",IFERROR(VLOOKUP(A85,DB_Customers!$A:$D,4,0),"❌ Account Not Found"))</f>
        <v/>
      </c>
      <c r="C85" s="487">
        <f>IF(A85="","",IFERROR(VLOOKUP(A85,DB_Customers!$A:$N,14,0),""))</f>
        <v/>
      </c>
      <c r="D85" s="488">
        <f>IF(A85="","",TODAY())</f>
        <v/>
      </c>
      <c r="E85" s="510" t="n"/>
      <c r="F85" s="378" t="n"/>
      <c r="G85" s="511">
        <f>IF(OR(A85="",E85=""),"",IF(C85="","",C85-E85))</f>
        <v/>
      </c>
      <c r="H85" s="380" t="inlineStr">
        <is>
          <t>Agent 10</t>
        </is>
      </c>
      <c r="I85" s="491" t="n"/>
      <c r="J85" s="492">
        <f>IF(AND(A85&lt;&gt;"",E85&lt;&gt;""),IF(I85="","⚠️ Enter Code",IF(IFERROR(VLOOKUP(H85,DB_Agents!$B:$I,8,0),"")=I85,IF(C85&gt;=E85,"Successful","Unsuccessful"),"🔒 BLOCKED — Wrong Code")),"—")</f>
        <v/>
      </c>
      <c r="K85" s="493">
        <f>IF(J85="Successful",TEXT(TODAY(),"YYYY-MM-DD")&amp;" Auto","—")</f>
        <v/>
      </c>
      <c r="L85" s="494" t="n"/>
    </row>
    <row r="86" ht="15" customHeight="1" s="341">
      <c r="A86" s="495" t="n"/>
      <c r="B86" s="382">
        <f>IF(A86="","",IFERROR(VLOOKUP(A86,DB_Customers!$A:$D,4,0),"❌ Account Not Found"))</f>
        <v/>
      </c>
      <c r="C86" s="496">
        <f>IF(A86="","",IFERROR(VLOOKUP(A86,DB_Customers!$A:$N,14,0),""))</f>
        <v/>
      </c>
      <c r="D86" s="497">
        <f>IF(A86="","",TODAY())</f>
        <v/>
      </c>
      <c r="E86" s="510" t="n"/>
      <c r="F86" s="382" t="n"/>
      <c r="G86" s="512">
        <f>IF(OR(A86="",E86=""),"",IF(C86="","",C86-E86))</f>
        <v/>
      </c>
      <c r="H86" s="384" t="inlineStr">
        <is>
          <t>Agent 10</t>
        </is>
      </c>
      <c r="I86" s="491" t="n"/>
      <c r="J86" s="499">
        <f>IF(AND(A86&lt;&gt;"",E86&lt;&gt;""),IF(I86="","⚠️ Enter Code",IF(IFERROR(VLOOKUP(H86,DB_Agents!$B:$I,8,0),"")=I86,IF(C86&gt;=E86,"Successful","Unsuccessful"),"🔒 BLOCKED — Wrong Code")),"—")</f>
        <v/>
      </c>
      <c r="K86" s="500">
        <f>IF(J86="Successful",TEXT(TODAY(),"YYYY-MM-DD")&amp;" Auto","—")</f>
        <v/>
      </c>
      <c r="L86" s="501" t="n"/>
    </row>
    <row r="87" ht="15" customHeight="1" s="341">
      <c r="A87" s="486" t="n"/>
      <c r="B87" s="378">
        <f>IF(A87="","",IFERROR(VLOOKUP(A87,DB_Customers!$A:$D,4,0),"❌ Account Not Found"))</f>
        <v/>
      </c>
      <c r="C87" s="487">
        <f>IF(A87="","",IFERROR(VLOOKUP(A87,DB_Customers!$A:$N,14,0),""))</f>
        <v/>
      </c>
      <c r="D87" s="488">
        <f>IF(A87="","",TODAY())</f>
        <v/>
      </c>
      <c r="E87" s="510" t="n"/>
      <c r="F87" s="378" t="n"/>
      <c r="G87" s="511">
        <f>IF(OR(A87="",E87=""),"",IF(C87="","",C87-E87))</f>
        <v/>
      </c>
      <c r="H87" s="380" t="inlineStr">
        <is>
          <t>Agent 10</t>
        </is>
      </c>
      <c r="I87" s="491" t="n"/>
      <c r="J87" s="492">
        <f>IF(AND(A87&lt;&gt;"",E87&lt;&gt;""),IF(I87="","⚠️ Enter Code",IF(IFERROR(VLOOKUP(H87,DB_Agents!$B:$I,8,0),"")=I87,IF(C87&gt;=E87,"Successful","Unsuccessful"),"🔒 BLOCKED — Wrong Code")),"—")</f>
        <v/>
      </c>
      <c r="K87" s="493">
        <f>IF(J87="Successful",TEXT(TODAY(),"YYYY-MM-DD")&amp;" Auto","—")</f>
        <v/>
      </c>
      <c r="L87" s="494" t="n"/>
    </row>
    <row r="88" ht="15" customHeight="1" s="341">
      <c r="A88" s="495" t="n"/>
      <c r="B88" s="382">
        <f>IF(A88="","",IFERROR(VLOOKUP(A88,DB_Customers!$A:$D,4,0),"❌ Account Not Found"))</f>
        <v/>
      </c>
      <c r="C88" s="496">
        <f>IF(A88="","",IFERROR(VLOOKUP(A88,DB_Customers!$A:$N,14,0),""))</f>
        <v/>
      </c>
      <c r="D88" s="497">
        <f>IF(A88="","",TODAY())</f>
        <v/>
      </c>
      <c r="E88" s="510" t="n"/>
      <c r="F88" s="382" t="n"/>
      <c r="G88" s="512">
        <f>IF(OR(A88="",E88=""),"",IF(C88="","",C88-E88))</f>
        <v/>
      </c>
      <c r="H88" s="384" t="inlineStr">
        <is>
          <t>Agent 10</t>
        </is>
      </c>
      <c r="I88" s="491" t="n"/>
      <c r="J88" s="499">
        <f>IF(AND(A88&lt;&gt;"",E88&lt;&gt;""),IF(I88="","⚠️ Enter Code",IF(IFERROR(VLOOKUP(H88,DB_Agents!$B:$I,8,0),"")=I88,IF(C88&gt;=E88,"Successful","Unsuccessful"),"🔒 BLOCKED — Wrong Code")),"—")</f>
        <v/>
      </c>
      <c r="K88" s="500">
        <f>IF(J88="Successful",TEXT(TODAY(),"YYYY-MM-DD")&amp;" Auto","—")</f>
        <v/>
      </c>
      <c r="L88" s="501" t="n"/>
    </row>
    <row r="89" ht="15" customHeight="1" s="341">
      <c r="A89" s="486" t="n"/>
      <c r="B89" s="378">
        <f>IF(A89="","",IFERROR(VLOOKUP(A89,DB_Customers!$A:$D,4,0),"❌ Account Not Found"))</f>
        <v/>
      </c>
      <c r="C89" s="487">
        <f>IF(A89="","",IFERROR(VLOOKUP(A89,DB_Customers!$A:$N,14,0),""))</f>
        <v/>
      </c>
      <c r="D89" s="488">
        <f>IF(A89="","",TODAY())</f>
        <v/>
      </c>
      <c r="E89" s="510" t="n"/>
      <c r="F89" s="378" t="n"/>
      <c r="G89" s="511">
        <f>IF(OR(A89="",E89=""),"",IF(C89="","",C89-E89))</f>
        <v/>
      </c>
      <c r="H89" s="380" t="inlineStr">
        <is>
          <t>Agent 10</t>
        </is>
      </c>
      <c r="I89" s="491" t="n"/>
      <c r="J89" s="492">
        <f>IF(AND(A89&lt;&gt;"",E89&lt;&gt;""),IF(I89="","⚠️ Enter Code",IF(IFERROR(VLOOKUP(H89,DB_Agents!$B:$I,8,0),"")=I89,IF(C89&gt;=E89,"Successful","Unsuccessful"),"🔒 BLOCKED — Wrong Code")),"—")</f>
        <v/>
      </c>
      <c r="K89" s="493">
        <f>IF(J89="Successful",TEXT(TODAY(),"YYYY-MM-DD")&amp;" Auto","—")</f>
        <v/>
      </c>
      <c r="L89" s="494" t="n"/>
    </row>
    <row r="90" ht="15" customHeight="1" s="341">
      <c r="A90" s="495" t="n"/>
      <c r="B90" s="382">
        <f>IF(A90="","",IFERROR(VLOOKUP(A90,DB_Customers!$A:$D,4,0),"❌ Account Not Found"))</f>
        <v/>
      </c>
      <c r="C90" s="496">
        <f>IF(A90="","",IFERROR(VLOOKUP(A90,DB_Customers!$A:$N,14,0),""))</f>
        <v/>
      </c>
      <c r="D90" s="497">
        <f>IF(A90="","",TODAY())</f>
        <v/>
      </c>
      <c r="E90" s="510" t="n"/>
      <c r="F90" s="382" t="n"/>
      <c r="G90" s="512">
        <f>IF(OR(A90="",E90=""),"",IF(C90="","",C90-E90))</f>
        <v/>
      </c>
      <c r="H90" s="384" t="inlineStr">
        <is>
          <t>Agent 10</t>
        </is>
      </c>
      <c r="I90" s="491" t="n"/>
      <c r="J90" s="499">
        <f>IF(AND(A90&lt;&gt;"",E90&lt;&gt;""),IF(I90="","⚠️ Enter Code",IF(IFERROR(VLOOKUP(H90,DB_Agents!$B:$I,8,0),"")=I90,IF(C90&gt;=E90,"Successful","Unsuccessful"),"🔒 BLOCKED — Wrong Code")),"—")</f>
        <v/>
      </c>
      <c r="K90" s="500">
        <f>IF(J90="Successful",TEXT(TODAY(),"YYYY-MM-DD")&amp;" Auto","—")</f>
        <v/>
      </c>
      <c r="L90" s="501" t="n"/>
    </row>
    <row r="91" ht="15" customHeight="1" s="341">
      <c r="A91" s="486" t="n"/>
      <c r="B91" s="378">
        <f>IF(A91="","",IFERROR(VLOOKUP(A91,DB_Customers!$A:$D,4,0),"❌ Account Not Found"))</f>
        <v/>
      </c>
      <c r="C91" s="487">
        <f>IF(A91="","",IFERROR(VLOOKUP(A91,DB_Customers!$A:$N,14,0),""))</f>
        <v/>
      </c>
      <c r="D91" s="488">
        <f>IF(A91="","",TODAY())</f>
        <v/>
      </c>
      <c r="E91" s="510" t="n"/>
      <c r="F91" s="378" t="n"/>
      <c r="G91" s="511">
        <f>IF(OR(A91="",E91=""),"",IF(C91="","",C91-E91))</f>
        <v/>
      </c>
      <c r="H91" s="380" t="inlineStr">
        <is>
          <t>Agent 10</t>
        </is>
      </c>
      <c r="I91" s="491" t="n"/>
      <c r="J91" s="492">
        <f>IF(AND(A91&lt;&gt;"",E91&lt;&gt;""),IF(I91="","⚠️ Enter Code",IF(IFERROR(VLOOKUP(H91,DB_Agents!$B:$I,8,0),"")=I91,IF(C91&gt;=E91,"Successful","Unsuccessful"),"🔒 BLOCKED — Wrong Code")),"—")</f>
        <v/>
      </c>
      <c r="K91" s="493">
        <f>IF(J91="Successful",TEXT(TODAY(),"YYYY-MM-DD")&amp;" Auto","—")</f>
        <v/>
      </c>
      <c r="L91" s="494" t="n"/>
    </row>
    <row r="92" ht="15" customHeight="1" s="341">
      <c r="A92" s="495" t="n"/>
      <c r="B92" s="382">
        <f>IF(A92="","",IFERROR(VLOOKUP(A92,DB_Customers!$A:$D,4,0),"❌ Account Not Found"))</f>
        <v/>
      </c>
      <c r="C92" s="496">
        <f>IF(A92="","",IFERROR(VLOOKUP(A92,DB_Customers!$A:$N,14,0),""))</f>
        <v/>
      </c>
      <c r="D92" s="497">
        <f>IF(A92="","",TODAY())</f>
        <v/>
      </c>
      <c r="E92" s="510" t="n"/>
      <c r="F92" s="382" t="n"/>
      <c r="G92" s="512">
        <f>IF(OR(A92="",E92=""),"",IF(C92="","",C92-E92))</f>
        <v/>
      </c>
      <c r="H92" s="384" t="inlineStr">
        <is>
          <t>Agent 10</t>
        </is>
      </c>
      <c r="I92" s="491" t="n"/>
      <c r="J92" s="499">
        <f>IF(AND(A92&lt;&gt;"",E92&lt;&gt;""),IF(I92="","⚠️ Enter Code",IF(IFERROR(VLOOKUP(H92,DB_Agents!$B:$I,8,0),"")=I92,IF(C92&gt;=E92,"Successful","Unsuccessful"),"🔒 BLOCKED — Wrong Code")),"—")</f>
        <v/>
      </c>
      <c r="K92" s="500">
        <f>IF(J92="Successful",TEXT(TODAY(),"YYYY-MM-DD")&amp;" Auto","—")</f>
        <v/>
      </c>
      <c r="L92" s="501" t="n"/>
    </row>
    <row r="93" ht="15" customHeight="1" s="341">
      <c r="A93" s="486" t="n"/>
      <c r="B93" s="378">
        <f>IF(A93="","",IFERROR(VLOOKUP(A93,DB_Customers!$A:$D,4,0),"❌ Account Not Found"))</f>
        <v/>
      </c>
      <c r="C93" s="487">
        <f>IF(A93="","",IFERROR(VLOOKUP(A93,DB_Customers!$A:$N,14,0),""))</f>
        <v/>
      </c>
      <c r="D93" s="488">
        <f>IF(A93="","",TODAY())</f>
        <v/>
      </c>
      <c r="E93" s="510" t="n"/>
      <c r="F93" s="378" t="n"/>
      <c r="G93" s="511">
        <f>IF(OR(A93="",E93=""),"",IF(C93="","",C93-E93))</f>
        <v/>
      </c>
      <c r="H93" s="380" t="inlineStr">
        <is>
          <t>Agent 10</t>
        </is>
      </c>
      <c r="I93" s="491" t="n"/>
      <c r="J93" s="492">
        <f>IF(AND(A93&lt;&gt;"",E93&lt;&gt;""),IF(I93="","⚠️ Enter Code",IF(IFERROR(VLOOKUP(H93,DB_Agents!$B:$I,8,0),"")=I93,IF(C93&gt;=E93,"Successful","Unsuccessful"),"🔒 BLOCKED — Wrong Code")),"—")</f>
        <v/>
      </c>
      <c r="K93" s="493">
        <f>IF(J93="Successful",TEXT(TODAY(),"YYYY-MM-DD")&amp;" Auto","—")</f>
        <v/>
      </c>
      <c r="L93" s="494" t="n"/>
    </row>
    <row r="94" ht="15" customHeight="1" s="341">
      <c r="A94" s="495" t="n"/>
      <c r="B94" s="382">
        <f>IF(A94="","",IFERROR(VLOOKUP(A94,DB_Customers!$A:$D,4,0),"❌ Account Not Found"))</f>
        <v/>
      </c>
      <c r="C94" s="496">
        <f>IF(A94="","",IFERROR(VLOOKUP(A94,DB_Customers!$A:$N,14,0),""))</f>
        <v/>
      </c>
      <c r="D94" s="497">
        <f>IF(A94="","",TODAY())</f>
        <v/>
      </c>
      <c r="E94" s="510" t="n"/>
      <c r="F94" s="382" t="n"/>
      <c r="G94" s="512">
        <f>IF(OR(A94="",E94=""),"",IF(C94="","",C94-E94))</f>
        <v/>
      </c>
      <c r="H94" s="384" t="inlineStr">
        <is>
          <t>Agent 10</t>
        </is>
      </c>
      <c r="I94" s="491" t="n"/>
      <c r="J94" s="499">
        <f>IF(AND(A94&lt;&gt;"",E94&lt;&gt;""),IF(I94="","⚠️ Enter Code",IF(IFERROR(VLOOKUP(H94,DB_Agents!$B:$I,8,0),"")=I94,IF(C94&gt;=E94,"Successful","Unsuccessful"),"🔒 BLOCKED — Wrong Code")),"—")</f>
        <v/>
      </c>
      <c r="K94" s="500">
        <f>IF(J94="Successful",TEXT(TODAY(),"YYYY-MM-DD")&amp;" Auto","—")</f>
        <v/>
      </c>
      <c r="L94" s="501" t="n"/>
    </row>
    <row r="95" ht="15" customHeight="1" s="341">
      <c r="A95" s="486" t="n"/>
      <c r="B95" s="378">
        <f>IF(A95="","",IFERROR(VLOOKUP(A95,DB_Customers!$A:$D,4,0),"❌ Account Not Found"))</f>
        <v/>
      </c>
      <c r="C95" s="487">
        <f>IF(A95="","",IFERROR(VLOOKUP(A95,DB_Customers!$A:$N,14,0),""))</f>
        <v/>
      </c>
      <c r="D95" s="488">
        <f>IF(A95="","",TODAY())</f>
        <v/>
      </c>
      <c r="E95" s="510" t="n"/>
      <c r="F95" s="378" t="n"/>
      <c r="G95" s="511">
        <f>IF(OR(A95="",E95=""),"",IF(C95="","",C95-E95))</f>
        <v/>
      </c>
      <c r="H95" s="380" t="inlineStr">
        <is>
          <t>Agent 10</t>
        </is>
      </c>
      <c r="I95" s="491" t="n"/>
      <c r="J95" s="492">
        <f>IF(AND(A95&lt;&gt;"",E95&lt;&gt;""),IF(I95="","⚠️ Enter Code",IF(IFERROR(VLOOKUP(H95,DB_Agents!$B:$I,8,0),"")=I95,IF(C95&gt;=E95,"Successful","Unsuccessful"),"🔒 BLOCKED — Wrong Code")),"—")</f>
        <v/>
      </c>
      <c r="K95" s="493">
        <f>IF(J95="Successful",TEXT(TODAY(),"YYYY-MM-DD")&amp;" Auto","—")</f>
        <v/>
      </c>
      <c r="L95" s="494" t="n"/>
    </row>
    <row r="96" ht="15" customHeight="1" s="341">
      <c r="A96" s="495" t="n"/>
      <c r="B96" s="382">
        <f>IF(A96="","",IFERROR(VLOOKUP(A96,DB_Customers!$A:$D,4,0),"❌ Account Not Found"))</f>
        <v/>
      </c>
      <c r="C96" s="496">
        <f>IF(A96="","",IFERROR(VLOOKUP(A96,DB_Customers!$A:$N,14,0),""))</f>
        <v/>
      </c>
      <c r="D96" s="497">
        <f>IF(A96="","",TODAY())</f>
        <v/>
      </c>
      <c r="E96" s="510" t="n"/>
      <c r="F96" s="382" t="n"/>
      <c r="G96" s="512">
        <f>IF(OR(A96="",E96=""),"",IF(C96="","",C96-E96))</f>
        <v/>
      </c>
      <c r="H96" s="384" t="inlineStr">
        <is>
          <t>Agent 10</t>
        </is>
      </c>
      <c r="I96" s="491" t="n"/>
      <c r="J96" s="499">
        <f>IF(AND(A96&lt;&gt;"",E96&lt;&gt;""),IF(I96="","⚠️ Enter Code",IF(IFERROR(VLOOKUP(H96,DB_Agents!$B:$I,8,0),"")=I96,IF(C96&gt;=E96,"Successful","Unsuccessful"),"🔒 BLOCKED — Wrong Code")),"—")</f>
        <v/>
      </c>
      <c r="K96" s="500">
        <f>IF(J96="Successful",TEXT(TODAY(),"YYYY-MM-DD")&amp;" Auto","—")</f>
        <v/>
      </c>
      <c r="L96" s="501" t="n"/>
    </row>
    <row r="97" ht="15" customHeight="1" s="341">
      <c r="A97" s="486" t="n"/>
      <c r="B97" s="378">
        <f>IF(A97="","",IFERROR(VLOOKUP(A97,DB_Customers!$A:$D,4,0),"❌ Account Not Found"))</f>
        <v/>
      </c>
      <c r="C97" s="487">
        <f>IF(A97="","",IFERROR(VLOOKUP(A97,DB_Customers!$A:$N,14,0),""))</f>
        <v/>
      </c>
      <c r="D97" s="488">
        <f>IF(A97="","",TODAY())</f>
        <v/>
      </c>
      <c r="E97" s="510" t="n"/>
      <c r="F97" s="378" t="n"/>
      <c r="G97" s="511">
        <f>IF(OR(A97="",E97=""),"",IF(C97="","",C97-E97))</f>
        <v/>
      </c>
      <c r="H97" s="380" t="inlineStr">
        <is>
          <t>Agent 10</t>
        </is>
      </c>
      <c r="I97" s="491" t="n"/>
      <c r="J97" s="492">
        <f>IF(AND(A97&lt;&gt;"",E97&lt;&gt;""),IF(I97="","⚠️ Enter Code",IF(IFERROR(VLOOKUP(H97,DB_Agents!$B:$I,8,0),"")=I97,IF(C97&gt;=E97,"Successful","Unsuccessful"),"🔒 BLOCKED — Wrong Code")),"—")</f>
        <v/>
      </c>
      <c r="K97" s="493">
        <f>IF(J97="Successful",TEXT(TODAY(),"YYYY-MM-DD")&amp;" Auto","—")</f>
        <v/>
      </c>
      <c r="L97" s="494" t="n"/>
    </row>
    <row r="98" ht="15" customHeight="1" s="341">
      <c r="A98" s="495" t="n"/>
      <c r="B98" s="382">
        <f>IF(A98="","",IFERROR(VLOOKUP(A98,DB_Customers!$A:$D,4,0),"❌ Account Not Found"))</f>
        <v/>
      </c>
      <c r="C98" s="496">
        <f>IF(A98="","",IFERROR(VLOOKUP(A98,DB_Customers!$A:$N,14,0),""))</f>
        <v/>
      </c>
      <c r="D98" s="497">
        <f>IF(A98="","",TODAY())</f>
        <v/>
      </c>
      <c r="E98" s="510" t="n"/>
      <c r="F98" s="382" t="n"/>
      <c r="G98" s="512">
        <f>IF(OR(A98="",E98=""),"",IF(C98="","",C98-E98))</f>
        <v/>
      </c>
      <c r="H98" s="384" t="inlineStr">
        <is>
          <t>Agent 10</t>
        </is>
      </c>
      <c r="I98" s="491" t="n"/>
      <c r="J98" s="499">
        <f>IF(AND(A98&lt;&gt;"",E98&lt;&gt;""),IF(I98="","⚠️ Enter Code",IF(IFERROR(VLOOKUP(H98,DB_Agents!$B:$I,8,0),"")=I98,IF(C98&gt;=E98,"Successful","Unsuccessful"),"🔒 BLOCKED — Wrong Code")),"—")</f>
        <v/>
      </c>
      <c r="K98" s="500">
        <f>IF(J98="Successful",TEXT(TODAY(),"YYYY-MM-DD")&amp;" Auto","—")</f>
        <v/>
      </c>
      <c r="L98" s="501" t="n"/>
    </row>
    <row r="99" ht="15" customHeight="1" s="341">
      <c r="A99" s="486" t="n"/>
      <c r="B99" s="378">
        <f>IF(A99="","",IFERROR(VLOOKUP(A99,DB_Customers!$A:$D,4,0),"❌ Account Not Found"))</f>
        <v/>
      </c>
      <c r="C99" s="487">
        <f>IF(A99="","",IFERROR(VLOOKUP(A99,DB_Customers!$A:$N,14,0),""))</f>
        <v/>
      </c>
      <c r="D99" s="488">
        <f>IF(A99="","",TODAY())</f>
        <v/>
      </c>
      <c r="E99" s="510" t="n"/>
      <c r="F99" s="378" t="n"/>
      <c r="G99" s="511">
        <f>IF(OR(A99="",E99=""),"",IF(C99="","",C99-E99))</f>
        <v/>
      </c>
      <c r="H99" s="380" t="inlineStr">
        <is>
          <t>Agent 10</t>
        </is>
      </c>
      <c r="I99" s="491" t="n"/>
      <c r="J99" s="492">
        <f>IF(AND(A99&lt;&gt;"",E99&lt;&gt;""),IF(I99="","⚠️ Enter Code",IF(IFERROR(VLOOKUP(H99,DB_Agents!$B:$I,8,0),"")=I99,IF(C99&gt;=E99,"Successful","Unsuccessful"),"🔒 BLOCKED — Wrong Code")),"—")</f>
        <v/>
      </c>
      <c r="K99" s="493">
        <f>IF(J99="Successful",TEXT(TODAY(),"YYYY-MM-DD")&amp;" Auto","—")</f>
        <v/>
      </c>
      <c r="L99" s="494" t="n"/>
    </row>
    <row r="100" ht="15" customHeight="1" s="341">
      <c r="A100" s="495" t="n"/>
      <c r="B100" s="382">
        <f>IF(A100="","",IFERROR(VLOOKUP(A100,DB_Customers!$A:$D,4,0),"❌ Account Not Found"))</f>
        <v/>
      </c>
      <c r="C100" s="496">
        <f>IF(A100="","",IFERROR(VLOOKUP(A100,DB_Customers!$A:$N,14,0),""))</f>
        <v/>
      </c>
      <c r="D100" s="497">
        <f>IF(A100="","",TODAY())</f>
        <v/>
      </c>
      <c r="E100" s="510" t="n"/>
      <c r="F100" s="382" t="n"/>
      <c r="G100" s="512">
        <f>IF(OR(A100="",E100=""),"",IF(C100="","",C100-E100))</f>
        <v/>
      </c>
      <c r="H100" s="384" t="inlineStr">
        <is>
          <t>Agent 10</t>
        </is>
      </c>
      <c r="I100" s="491" t="n"/>
      <c r="J100" s="499">
        <f>IF(AND(A100&lt;&gt;"",E100&lt;&gt;""),IF(I100="","⚠️ Enter Code",IF(IFERROR(VLOOKUP(H100,DB_Agents!$B:$I,8,0),"")=I100,IF(C100&gt;=E100,"Successful","Unsuccessful"),"🔒 BLOCKED — Wrong Code")),"—")</f>
        <v/>
      </c>
      <c r="K100" s="500">
        <f>IF(J100="Successful",TEXT(TODAY(),"YYYY-MM-DD")&amp;" Auto","—")</f>
        <v/>
      </c>
      <c r="L100" s="501" t="n"/>
    </row>
    <row r="101" ht="15" customHeight="1" s="341">
      <c r="A101" s="486" t="n"/>
      <c r="B101" s="378">
        <f>IF(A101="","",IFERROR(VLOOKUP(A101,DB_Customers!$A:$D,4,0),"❌ Account Not Found"))</f>
        <v/>
      </c>
      <c r="C101" s="487">
        <f>IF(A101="","",IFERROR(VLOOKUP(A101,DB_Customers!$A:$N,14,0),""))</f>
        <v/>
      </c>
      <c r="D101" s="488">
        <f>IF(A101="","",TODAY())</f>
        <v/>
      </c>
      <c r="E101" s="510" t="n"/>
      <c r="F101" s="378" t="n"/>
      <c r="G101" s="511">
        <f>IF(OR(A101="",E101=""),"",IF(C101="","",C101-E101))</f>
        <v/>
      </c>
      <c r="H101" s="380" t="inlineStr">
        <is>
          <t>Agent 10</t>
        </is>
      </c>
      <c r="I101" s="491" t="n"/>
      <c r="J101" s="492">
        <f>IF(AND(A101&lt;&gt;"",E101&lt;&gt;""),IF(I101="","⚠️ Enter Code",IF(IFERROR(VLOOKUP(H101,DB_Agents!$B:$I,8,0),"")=I101,IF(C101&gt;=E101,"Successful","Unsuccessful"),"🔒 BLOCKED — Wrong Code")),"—")</f>
        <v/>
      </c>
      <c r="K101" s="493">
        <f>IF(J101="Successful",TEXT(TODAY(),"YYYY-MM-DD")&amp;" Auto","—")</f>
        <v/>
      </c>
      <c r="L101" s="494" t="n"/>
    </row>
    <row r="102" ht="15" customHeight="1" s="341">
      <c r="A102" s="495" t="n"/>
      <c r="B102" s="382">
        <f>IF(A102="","",IFERROR(VLOOKUP(A102,DB_Customers!$A:$D,4,0),"❌ Account Not Found"))</f>
        <v/>
      </c>
      <c r="C102" s="496">
        <f>IF(A102="","",IFERROR(VLOOKUP(A102,DB_Customers!$A:$N,14,0),""))</f>
        <v/>
      </c>
      <c r="D102" s="497">
        <f>IF(A102="","",TODAY())</f>
        <v/>
      </c>
      <c r="E102" s="510" t="n"/>
      <c r="F102" s="382" t="n"/>
      <c r="G102" s="512">
        <f>IF(OR(A102="",E102=""),"",IF(C102="","",C102-E102))</f>
        <v/>
      </c>
      <c r="H102" s="384" t="inlineStr">
        <is>
          <t>Agent 10</t>
        </is>
      </c>
      <c r="I102" s="491" t="n"/>
      <c r="J102" s="499">
        <f>IF(AND(A102&lt;&gt;"",E102&lt;&gt;""),IF(I102="","⚠️ Enter Code",IF(IFERROR(VLOOKUP(H102,DB_Agents!$B:$I,8,0),"")=I102,IF(C102&gt;=E102,"Successful","Unsuccessful"),"🔒 BLOCKED — Wrong Code")),"—")</f>
        <v/>
      </c>
      <c r="K102" s="500">
        <f>IF(J102="Successful",TEXT(TODAY(),"YYYY-MM-DD")&amp;" Auto","—")</f>
        <v/>
      </c>
      <c r="L102" s="501" t="n"/>
    </row>
    <row r="103" ht="15" customHeight="1" s="341">
      <c r="A103" s="486" t="n"/>
      <c r="B103" s="378">
        <f>IF(A103="","",IFERROR(VLOOKUP(A103,DB_Customers!$A:$D,4,0),"❌ Account Not Found"))</f>
        <v/>
      </c>
      <c r="C103" s="487">
        <f>IF(A103="","",IFERROR(VLOOKUP(A103,DB_Customers!$A:$N,14,0),""))</f>
        <v/>
      </c>
      <c r="D103" s="488">
        <f>IF(A103="","",TODAY())</f>
        <v/>
      </c>
      <c r="E103" s="510" t="n"/>
      <c r="F103" s="378" t="n"/>
      <c r="G103" s="511">
        <f>IF(OR(A103="",E103=""),"",IF(C103="","",C103-E103))</f>
        <v/>
      </c>
      <c r="H103" s="380" t="inlineStr">
        <is>
          <t>Agent 10</t>
        </is>
      </c>
      <c r="I103" s="491" t="n"/>
      <c r="J103" s="492">
        <f>IF(AND(A103&lt;&gt;"",E103&lt;&gt;""),IF(I103="","⚠️ Enter Code",IF(IFERROR(VLOOKUP(H103,DB_Agents!$B:$I,8,0),"")=I103,IF(C103&gt;=E103,"Successful","Unsuccessful"),"🔒 BLOCKED — Wrong Code")),"—")</f>
        <v/>
      </c>
      <c r="K103" s="493">
        <f>IF(J103="Successful",TEXT(TODAY(),"YYYY-MM-DD")&amp;" Auto","—")</f>
        <v/>
      </c>
      <c r="L103" s="494" t="n"/>
    </row>
    <row r="104" ht="15" customHeight="1" s="341">
      <c r="A104" s="495" t="n"/>
      <c r="B104" s="382">
        <f>IF(A104="","",IFERROR(VLOOKUP(A104,DB_Customers!$A:$D,4,0),"❌ Account Not Found"))</f>
        <v/>
      </c>
      <c r="C104" s="496">
        <f>IF(A104="","",IFERROR(VLOOKUP(A104,DB_Customers!$A:$N,14,0),""))</f>
        <v/>
      </c>
      <c r="D104" s="497">
        <f>IF(A104="","",TODAY())</f>
        <v/>
      </c>
      <c r="E104" s="510" t="n"/>
      <c r="F104" s="382" t="n"/>
      <c r="G104" s="512">
        <f>IF(OR(A104="",E104=""),"",IF(C104="","",C104-E104))</f>
        <v/>
      </c>
      <c r="H104" s="384" t="inlineStr">
        <is>
          <t>Agent 10</t>
        </is>
      </c>
      <c r="I104" s="491" t="n"/>
      <c r="J104" s="499">
        <f>IF(AND(A104&lt;&gt;"",E104&lt;&gt;""),IF(I104="","⚠️ Enter Code",IF(IFERROR(VLOOKUP(H104,DB_Agents!$B:$I,8,0),"")=I104,IF(C104&gt;=E104,"Successful","Unsuccessful"),"🔒 BLOCKED — Wrong Code")),"—")</f>
        <v/>
      </c>
      <c r="K104" s="500">
        <f>IF(J104="Successful",TEXT(TODAY(),"YYYY-MM-DD")&amp;" Auto","—")</f>
        <v/>
      </c>
      <c r="L104" s="501" t="n"/>
    </row>
    <row r="105" ht="15" customHeight="1" s="341">
      <c r="A105" s="486" t="n"/>
      <c r="B105" s="378">
        <f>IF(A105="","",IFERROR(VLOOKUP(A105,DB_Customers!$A:$D,4,0),"❌ Account Not Found"))</f>
        <v/>
      </c>
      <c r="C105" s="487">
        <f>IF(A105="","",IFERROR(VLOOKUP(A105,DB_Customers!$A:$N,14,0),""))</f>
        <v/>
      </c>
      <c r="D105" s="488">
        <f>IF(A105="","",TODAY())</f>
        <v/>
      </c>
      <c r="E105" s="510" t="n"/>
      <c r="F105" s="378" t="n"/>
      <c r="G105" s="511">
        <f>IF(OR(A105="",E105=""),"",IF(C105="","",C105-E105))</f>
        <v/>
      </c>
      <c r="H105" s="380" t="inlineStr">
        <is>
          <t>Agent 10</t>
        </is>
      </c>
      <c r="I105" s="491" t="n"/>
      <c r="J105" s="492">
        <f>IF(AND(A105&lt;&gt;"",E105&lt;&gt;""),IF(I105="","⚠️ Enter Code",IF(IFERROR(VLOOKUP(H105,DB_Agents!$B:$I,8,0),"")=I105,IF(C105&gt;=E105,"Successful","Unsuccessful"),"🔒 BLOCKED — Wrong Code")),"—")</f>
        <v/>
      </c>
      <c r="K105" s="493">
        <f>IF(J105="Successful",TEXT(TODAY(),"YYYY-MM-DD")&amp;" Auto","—")</f>
        <v/>
      </c>
      <c r="L105" s="494" t="n"/>
    </row>
    <row r="106" ht="15" customHeight="1" s="341">
      <c r="A106" s="495" t="n"/>
      <c r="B106" s="382">
        <f>IF(A106="","",IFERROR(VLOOKUP(A106,DB_Customers!$A:$D,4,0),"❌ Account Not Found"))</f>
        <v/>
      </c>
      <c r="C106" s="496">
        <f>IF(A106="","",IFERROR(VLOOKUP(A106,DB_Customers!$A:$N,14,0),""))</f>
        <v/>
      </c>
      <c r="D106" s="497">
        <f>IF(A106="","",TODAY())</f>
        <v/>
      </c>
      <c r="E106" s="510" t="n"/>
      <c r="F106" s="382" t="n"/>
      <c r="G106" s="512">
        <f>IF(OR(A106="",E106=""),"",IF(C106="","",C106-E106))</f>
        <v/>
      </c>
      <c r="H106" s="384" t="inlineStr">
        <is>
          <t>Agent 10</t>
        </is>
      </c>
      <c r="I106" s="491" t="n"/>
      <c r="J106" s="499">
        <f>IF(AND(A106&lt;&gt;"",E106&lt;&gt;""),IF(I106="","⚠️ Enter Code",IF(IFERROR(VLOOKUP(H106,DB_Agents!$B:$I,8,0),"")=I106,IF(C106&gt;=E106,"Successful","Unsuccessful"),"🔒 BLOCKED — Wrong Code")),"—")</f>
        <v/>
      </c>
      <c r="K106" s="500">
        <f>IF(J106="Successful",TEXT(TODAY(),"YYYY-MM-DD")&amp;" Auto","—")</f>
        <v/>
      </c>
      <c r="L106" s="501" t="n"/>
    </row>
    <row r="107" ht="15" customHeight="1" s="341">
      <c r="A107" s="486" t="n"/>
      <c r="B107" s="378">
        <f>IF(A107="","",IFERROR(VLOOKUP(A107,DB_Customers!$A:$D,4,0),"❌ Account Not Found"))</f>
        <v/>
      </c>
      <c r="C107" s="487">
        <f>IF(A107="","",IFERROR(VLOOKUP(A107,DB_Customers!$A:$N,14,0),""))</f>
        <v/>
      </c>
      <c r="D107" s="488">
        <f>IF(A107="","",TODAY())</f>
        <v/>
      </c>
      <c r="E107" s="510" t="n"/>
      <c r="F107" s="378" t="n"/>
      <c r="G107" s="511">
        <f>IF(OR(A107="",E107=""),"",IF(C107="","",C107-E107))</f>
        <v/>
      </c>
      <c r="H107" s="380" t="inlineStr">
        <is>
          <t>Agent 10</t>
        </is>
      </c>
      <c r="I107" s="491" t="n"/>
      <c r="J107" s="492">
        <f>IF(AND(A107&lt;&gt;"",E107&lt;&gt;""),IF(I107="","⚠️ Enter Code",IF(IFERROR(VLOOKUP(H107,DB_Agents!$B:$I,8,0),"")=I107,IF(C107&gt;=E107,"Successful","Unsuccessful"),"🔒 BLOCKED — Wrong Code")),"—")</f>
        <v/>
      </c>
      <c r="K107" s="493">
        <f>IF(J107="Successful",TEXT(TODAY(),"YYYY-MM-DD")&amp;" Auto","—")</f>
        <v/>
      </c>
      <c r="L107" s="494" t="n"/>
    </row>
    <row r="108" ht="15" customHeight="1" s="341">
      <c r="A108" s="495" t="n"/>
      <c r="B108" s="382">
        <f>IF(A108="","",IFERROR(VLOOKUP(A108,DB_Customers!$A:$D,4,0),"❌ Account Not Found"))</f>
        <v/>
      </c>
      <c r="C108" s="496">
        <f>IF(A108="","",IFERROR(VLOOKUP(A108,DB_Customers!$A:$N,14,0),""))</f>
        <v/>
      </c>
      <c r="D108" s="497">
        <f>IF(A108="","",TODAY())</f>
        <v/>
      </c>
      <c r="E108" s="510" t="n"/>
      <c r="F108" s="382" t="n"/>
      <c r="G108" s="512">
        <f>IF(OR(A108="",E108=""),"",IF(C108="","",C108-E108))</f>
        <v/>
      </c>
      <c r="H108" s="384" t="inlineStr">
        <is>
          <t>Agent 10</t>
        </is>
      </c>
      <c r="I108" s="491" t="n"/>
      <c r="J108" s="499">
        <f>IF(AND(A108&lt;&gt;"",E108&lt;&gt;""),IF(I108="","⚠️ Enter Code",IF(IFERROR(VLOOKUP(H108,DB_Agents!$B:$I,8,0),"")=I108,IF(C108&gt;=E108,"Successful","Unsuccessful"),"🔒 BLOCKED — Wrong Code")),"—")</f>
        <v/>
      </c>
      <c r="K108" s="500">
        <f>IF(J108="Successful",TEXT(TODAY(),"YYYY-MM-DD")&amp;" Auto","—")</f>
        <v/>
      </c>
      <c r="L108" s="501" t="n"/>
    </row>
    <row r="109" ht="15" customHeight="1" s="341">
      <c r="A109" s="486" t="n"/>
      <c r="B109" s="378">
        <f>IF(A109="","",IFERROR(VLOOKUP(A109,DB_Customers!$A:$D,4,0),"❌ Account Not Found"))</f>
        <v/>
      </c>
      <c r="C109" s="487">
        <f>IF(A109="","",IFERROR(VLOOKUP(A109,DB_Customers!$A:$N,14,0),""))</f>
        <v/>
      </c>
      <c r="D109" s="488">
        <f>IF(A109="","",TODAY())</f>
        <v/>
      </c>
      <c r="E109" s="510" t="n"/>
      <c r="F109" s="378" t="n"/>
      <c r="G109" s="511">
        <f>IF(OR(A109="",E109=""),"",IF(C109="","",C109-E109))</f>
        <v/>
      </c>
      <c r="H109" s="380" t="inlineStr">
        <is>
          <t>Agent 10</t>
        </is>
      </c>
      <c r="I109" s="491" t="n"/>
      <c r="J109" s="492">
        <f>IF(AND(A109&lt;&gt;"",E109&lt;&gt;""),IF(I109="","⚠️ Enter Code",IF(IFERROR(VLOOKUP(H109,DB_Agents!$B:$I,8,0),"")=I109,IF(C109&gt;=E109,"Successful","Unsuccessful"),"🔒 BLOCKED — Wrong Code")),"—")</f>
        <v/>
      </c>
      <c r="K109" s="493">
        <f>IF(J109="Successful",TEXT(TODAY(),"YYYY-MM-DD")&amp;" Auto","—")</f>
        <v/>
      </c>
      <c r="L109" s="494" t="n"/>
    </row>
    <row r="110" ht="15" customHeight="1" s="341">
      <c r="A110" s="495" t="n"/>
      <c r="B110" s="382">
        <f>IF(A110="","",IFERROR(VLOOKUP(A110,DB_Customers!$A:$D,4,0),"❌ Account Not Found"))</f>
        <v/>
      </c>
      <c r="C110" s="496">
        <f>IF(A110="","",IFERROR(VLOOKUP(A110,DB_Customers!$A:$N,14,0),""))</f>
        <v/>
      </c>
      <c r="D110" s="497">
        <f>IF(A110="","",TODAY())</f>
        <v/>
      </c>
      <c r="E110" s="510" t="n"/>
      <c r="F110" s="382" t="n"/>
      <c r="G110" s="512">
        <f>IF(OR(A110="",E110=""),"",IF(C110="","",C110-E110))</f>
        <v/>
      </c>
      <c r="H110" s="384" t="inlineStr">
        <is>
          <t>Agent 10</t>
        </is>
      </c>
      <c r="I110" s="491" t="n"/>
      <c r="J110" s="499">
        <f>IF(AND(A110&lt;&gt;"",E110&lt;&gt;""),IF(I110="","⚠️ Enter Code",IF(IFERROR(VLOOKUP(H110,DB_Agents!$B:$I,8,0),"")=I110,IF(C110&gt;=E110,"Successful","Unsuccessful"),"🔒 BLOCKED — Wrong Code")),"—")</f>
        <v/>
      </c>
      <c r="K110" s="500">
        <f>IF(J110="Successful",TEXT(TODAY(),"YYYY-MM-DD")&amp;" Auto","—")</f>
        <v/>
      </c>
      <c r="L110" s="501" t="n"/>
    </row>
    <row r="111" ht="15" customHeight="1" s="341">
      <c r="A111" s="486" t="n"/>
      <c r="B111" s="378">
        <f>IF(A111="","",IFERROR(VLOOKUP(A111,DB_Customers!$A:$D,4,0),"❌ Account Not Found"))</f>
        <v/>
      </c>
      <c r="C111" s="487">
        <f>IF(A111="","",IFERROR(VLOOKUP(A111,DB_Customers!$A:$N,14,0),""))</f>
        <v/>
      </c>
      <c r="D111" s="488">
        <f>IF(A111="","",TODAY())</f>
        <v/>
      </c>
      <c r="E111" s="510" t="n"/>
      <c r="F111" s="378" t="n"/>
      <c r="G111" s="511">
        <f>IF(OR(A111="",E111=""),"",IF(C111="","",C111-E111))</f>
        <v/>
      </c>
      <c r="H111" s="380" t="inlineStr">
        <is>
          <t>Agent 10</t>
        </is>
      </c>
      <c r="I111" s="491" t="n"/>
      <c r="J111" s="492">
        <f>IF(AND(A111&lt;&gt;"",E111&lt;&gt;""),IF(I111="","⚠️ Enter Code",IF(IFERROR(VLOOKUP(H111,DB_Agents!$B:$I,8,0),"")=I111,IF(C111&gt;=E111,"Successful","Unsuccessful"),"🔒 BLOCKED — Wrong Code")),"—")</f>
        <v/>
      </c>
      <c r="K111" s="493">
        <f>IF(J111="Successful",TEXT(TODAY(),"YYYY-MM-DD")&amp;" Auto","—")</f>
        <v/>
      </c>
      <c r="L111" s="494" t="n"/>
    </row>
    <row r="112" ht="15" customHeight="1" s="341">
      <c r="A112" s="495" t="n"/>
      <c r="B112" s="382">
        <f>IF(A112="","",IFERROR(VLOOKUP(A112,DB_Customers!$A:$D,4,0),"❌ Account Not Found"))</f>
        <v/>
      </c>
      <c r="C112" s="496">
        <f>IF(A112="","",IFERROR(VLOOKUP(A112,DB_Customers!$A:$N,14,0),""))</f>
        <v/>
      </c>
      <c r="D112" s="497">
        <f>IF(A112="","",TODAY())</f>
        <v/>
      </c>
      <c r="E112" s="510" t="n"/>
      <c r="F112" s="382" t="n"/>
      <c r="G112" s="512">
        <f>IF(OR(A112="",E112=""),"",IF(C112="","",C112-E112))</f>
        <v/>
      </c>
      <c r="H112" s="384" t="inlineStr">
        <is>
          <t>Agent 10</t>
        </is>
      </c>
      <c r="I112" s="491" t="n"/>
      <c r="J112" s="499">
        <f>IF(AND(A112&lt;&gt;"",E112&lt;&gt;""),IF(I112="","⚠️ Enter Code",IF(IFERROR(VLOOKUP(H112,DB_Agents!$B:$I,8,0),"")=I112,IF(C112&gt;=E112,"Successful","Unsuccessful"),"🔒 BLOCKED — Wrong Code")),"—")</f>
        <v/>
      </c>
      <c r="K112" s="500">
        <f>IF(J112="Successful",TEXT(TODAY(),"YYYY-MM-DD")&amp;" Auto","—")</f>
        <v/>
      </c>
      <c r="L112" s="501" t="n"/>
    </row>
    <row r="113" ht="15" customHeight="1" s="341">
      <c r="A113" s="486" t="n"/>
      <c r="B113" s="378">
        <f>IF(A113="","",IFERROR(VLOOKUP(A113,DB_Customers!$A:$D,4,0),"❌ Account Not Found"))</f>
        <v/>
      </c>
      <c r="C113" s="487">
        <f>IF(A113="","",IFERROR(VLOOKUP(A113,DB_Customers!$A:$N,14,0),""))</f>
        <v/>
      </c>
      <c r="D113" s="488">
        <f>IF(A113="","",TODAY())</f>
        <v/>
      </c>
      <c r="E113" s="510" t="n"/>
      <c r="F113" s="378" t="n"/>
      <c r="G113" s="511">
        <f>IF(OR(A113="",E113=""),"",IF(C113="","",C113-E113))</f>
        <v/>
      </c>
      <c r="H113" s="380" t="inlineStr">
        <is>
          <t>Agent 10</t>
        </is>
      </c>
      <c r="I113" s="491" t="n"/>
      <c r="J113" s="492">
        <f>IF(AND(A113&lt;&gt;"",E113&lt;&gt;""),IF(I113="","⚠️ Enter Code",IF(IFERROR(VLOOKUP(H113,DB_Agents!$B:$I,8,0),"")=I113,IF(C113&gt;=E113,"Successful","Unsuccessful"),"🔒 BLOCKED — Wrong Code")),"—")</f>
        <v/>
      </c>
      <c r="K113" s="493">
        <f>IF(J113="Successful",TEXT(TODAY(),"YYYY-MM-DD")&amp;" Auto","—")</f>
        <v/>
      </c>
      <c r="L113" s="494" t="n"/>
    </row>
    <row r="114" ht="15" customHeight="1" s="341">
      <c r="A114" s="495" t="n"/>
      <c r="B114" s="382">
        <f>IF(A114="","",IFERROR(VLOOKUP(A114,DB_Customers!$A:$D,4,0),"❌ Account Not Found"))</f>
        <v/>
      </c>
      <c r="C114" s="496">
        <f>IF(A114="","",IFERROR(VLOOKUP(A114,DB_Customers!$A:$N,14,0),""))</f>
        <v/>
      </c>
      <c r="D114" s="497">
        <f>IF(A114="","",TODAY())</f>
        <v/>
      </c>
      <c r="E114" s="510" t="n"/>
      <c r="F114" s="382" t="n"/>
      <c r="G114" s="512">
        <f>IF(OR(A114="",E114=""),"",IF(C114="","",C114-E114))</f>
        <v/>
      </c>
      <c r="H114" s="384" t="inlineStr">
        <is>
          <t>Agent 10</t>
        </is>
      </c>
      <c r="I114" s="491" t="n"/>
      <c r="J114" s="499">
        <f>IF(AND(A114&lt;&gt;"",E114&lt;&gt;""),IF(I114="","⚠️ Enter Code",IF(IFERROR(VLOOKUP(H114,DB_Agents!$B:$I,8,0),"")=I114,IF(C114&gt;=E114,"Successful","Unsuccessful"),"🔒 BLOCKED — Wrong Code")),"—")</f>
        <v/>
      </c>
      <c r="K114" s="500">
        <f>IF(J114="Successful",TEXT(TODAY(),"YYYY-MM-DD")&amp;" Auto","—")</f>
        <v/>
      </c>
      <c r="L114" s="501" t="n"/>
    </row>
    <row r="115" ht="15" customHeight="1" s="341">
      <c r="A115" s="486" t="n"/>
      <c r="B115" s="378">
        <f>IF(A115="","",IFERROR(VLOOKUP(A115,DB_Customers!$A:$D,4,0),"❌ Account Not Found"))</f>
        <v/>
      </c>
      <c r="C115" s="487">
        <f>IF(A115="","",IFERROR(VLOOKUP(A115,DB_Customers!$A:$N,14,0),""))</f>
        <v/>
      </c>
      <c r="D115" s="488">
        <f>IF(A115="","",TODAY())</f>
        <v/>
      </c>
      <c r="E115" s="510" t="n"/>
      <c r="F115" s="378" t="n"/>
      <c r="G115" s="511">
        <f>IF(OR(A115="",E115=""),"",IF(C115="","",C115-E115))</f>
        <v/>
      </c>
      <c r="H115" s="380" t="inlineStr">
        <is>
          <t>Agent 10</t>
        </is>
      </c>
      <c r="I115" s="491" t="n"/>
      <c r="J115" s="492">
        <f>IF(AND(A115&lt;&gt;"",E115&lt;&gt;""),IF(I115="","⚠️ Enter Code",IF(IFERROR(VLOOKUP(H115,DB_Agents!$B:$I,8,0),"")=I115,IF(C115&gt;=E115,"Successful","Unsuccessful"),"🔒 BLOCKED — Wrong Code")),"—")</f>
        <v/>
      </c>
      <c r="K115" s="493">
        <f>IF(J115="Successful",TEXT(TODAY(),"YYYY-MM-DD")&amp;" Auto","—")</f>
        <v/>
      </c>
      <c r="L115" s="494" t="n"/>
    </row>
    <row r="116" ht="15" customHeight="1" s="341">
      <c r="A116" s="495" t="n"/>
      <c r="B116" s="382">
        <f>IF(A116="","",IFERROR(VLOOKUP(A116,DB_Customers!$A:$D,4,0),"❌ Account Not Found"))</f>
        <v/>
      </c>
      <c r="C116" s="496">
        <f>IF(A116="","",IFERROR(VLOOKUP(A116,DB_Customers!$A:$N,14,0),""))</f>
        <v/>
      </c>
      <c r="D116" s="497">
        <f>IF(A116="","",TODAY())</f>
        <v/>
      </c>
      <c r="E116" s="510" t="n"/>
      <c r="F116" s="382" t="n"/>
      <c r="G116" s="512">
        <f>IF(OR(A116="",E116=""),"",IF(C116="","",C116-E116))</f>
        <v/>
      </c>
      <c r="H116" s="384" t="inlineStr">
        <is>
          <t>Agent 10</t>
        </is>
      </c>
      <c r="I116" s="491" t="n"/>
      <c r="J116" s="499">
        <f>IF(AND(A116&lt;&gt;"",E116&lt;&gt;""),IF(I116="","⚠️ Enter Code",IF(IFERROR(VLOOKUP(H116,DB_Agents!$B:$I,8,0),"")=I116,IF(C116&gt;=E116,"Successful","Unsuccessful"),"🔒 BLOCKED — Wrong Code")),"—")</f>
        <v/>
      </c>
      <c r="K116" s="500">
        <f>IF(J116="Successful",TEXT(TODAY(),"YYYY-MM-DD")&amp;" Auto","—")</f>
        <v/>
      </c>
      <c r="L116" s="501" t="n"/>
    </row>
    <row r="117" ht="15" customHeight="1" s="341">
      <c r="A117" s="486" t="n"/>
      <c r="B117" s="378">
        <f>IF(A117="","",IFERROR(VLOOKUP(A117,DB_Customers!$A:$D,4,0),"❌ Account Not Found"))</f>
        <v/>
      </c>
      <c r="C117" s="487">
        <f>IF(A117="","",IFERROR(VLOOKUP(A117,DB_Customers!$A:$N,14,0),""))</f>
        <v/>
      </c>
      <c r="D117" s="488">
        <f>IF(A117="","",TODAY())</f>
        <v/>
      </c>
      <c r="E117" s="510" t="n"/>
      <c r="F117" s="378" t="n"/>
      <c r="G117" s="511">
        <f>IF(OR(A117="",E117=""),"",IF(C117="","",C117-E117))</f>
        <v/>
      </c>
      <c r="H117" s="380" t="inlineStr">
        <is>
          <t>Agent 10</t>
        </is>
      </c>
      <c r="I117" s="491" t="n"/>
      <c r="J117" s="492">
        <f>IF(AND(A117&lt;&gt;"",E117&lt;&gt;""),IF(I117="","⚠️ Enter Code",IF(IFERROR(VLOOKUP(H117,DB_Agents!$B:$I,8,0),"")=I117,IF(C117&gt;=E117,"Successful","Unsuccessful"),"🔒 BLOCKED — Wrong Code")),"—")</f>
        <v/>
      </c>
      <c r="K117" s="493">
        <f>IF(J117="Successful",TEXT(TODAY(),"YYYY-MM-DD")&amp;" Auto","—")</f>
        <v/>
      </c>
      <c r="L117" s="494" t="n"/>
    </row>
    <row r="118" ht="15" customHeight="1" s="341">
      <c r="A118" s="495" t="n"/>
      <c r="B118" s="382">
        <f>IF(A118="","",IFERROR(VLOOKUP(A118,DB_Customers!$A:$D,4,0),"❌ Account Not Found"))</f>
        <v/>
      </c>
      <c r="C118" s="496">
        <f>IF(A118="","",IFERROR(VLOOKUP(A118,DB_Customers!$A:$N,14,0),""))</f>
        <v/>
      </c>
      <c r="D118" s="497">
        <f>IF(A118="","",TODAY())</f>
        <v/>
      </c>
      <c r="E118" s="510" t="n"/>
      <c r="F118" s="382" t="n"/>
      <c r="G118" s="512">
        <f>IF(OR(A118="",E118=""),"",IF(C118="","",C118-E118))</f>
        <v/>
      </c>
      <c r="H118" s="384" t="inlineStr">
        <is>
          <t>Agent 10</t>
        </is>
      </c>
      <c r="I118" s="491" t="n"/>
      <c r="J118" s="499">
        <f>IF(AND(A118&lt;&gt;"",E118&lt;&gt;""),IF(I118="","⚠️ Enter Code",IF(IFERROR(VLOOKUP(H118,DB_Agents!$B:$I,8,0),"")=I118,IF(C118&gt;=E118,"Successful","Unsuccessful"),"🔒 BLOCKED — Wrong Code")),"—")</f>
        <v/>
      </c>
      <c r="K118" s="500">
        <f>IF(J118="Successful",TEXT(TODAY(),"YYYY-MM-DD")&amp;" Auto","—")</f>
        <v/>
      </c>
      <c r="L118" s="501" t="n"/>
    </row>
    <row r="119" ht="15" customHeight="1" s="341">
      <c r="A119" s="486" t="n"/>
      <c r="B119" s="378">
        <f>IF(A119="","",IFERROR(VLOOKUP(A119,DB_Customers!$A:$D,4,0),"❌ Account Not Found"))</f>
        <v/>
      </c>
      <c r="C119" s="487">
        <f>IF(A119="","",IFERROR(VLOOKUP(A119,DB_Customers!$A:$N,14,0),""))</f>
        <v/>
      </c>
      <c r="D119" s="488">
        <f>IF(A119="","",TODAY())</f>
        <v/>
      </c>
      <c r="E119" s="510" t="n"/>
      <c r="F119" s="378" t="n"/>
      <c r="G119" s="511">
        <f>IF(OR(A119="",E119=""),"",IF(C119="","",C119-E119))</f>
        <v/>
      </c>
      <c r="H119" s="380" t="inlineStr">
        <is>
          <t>Agent 10</t>
        </is>
      </c>
      <c r="I119" s="491" t="n"/>
      <c r="J119" s="492">
        <f>IF(AND(A119&lt;&gt;"",E119&lt;&gt;""),IF(I119="","⚠️ Enter Code",IF(IFERROR(VLOOKUP(H119,DB_Agents!$B:$I,8,0),"")=I119,IF(C119&gt;=E119,"Successful","Unsuccessful"),"🔒 BLOCKED — Wrong Code")),"—")</f>
        <v/>
      </c>
      <c r="K119" s="493">
        <f>IF(J119="Successful",TEXT(TODAY(),"YYYY-MM-DD")&amp;" Auto","—")</f>
        <v/>
      </c>
      <c r="L119" s="494" t="n"/>
    </row>
    <row r="120" ht="15" customHeight="1" s="341">
      <c r="A120" s="495" t="n"/>
      <c r="B120" s="382">
        <f>IF(A120="","",IFERROR(VLOOKUP(A120,DB_Customers!$A:$D,4,0),"❌ Account Not Found"))</f>
        <v/>
      </c>
      <c r="C120" s="496">
        <f>IF(A120="","",IFERROR(VLOOKUP(A120,DB_Customers!$A:$N,14,0),""))</f>
        <v/>
      </c>
      <c r="D120" s="497">
        <f>IF(A120="","",TODAY())</f>
        <v/>
      </c>
      <c r="E120" s="510" t="n"/>
      <c r="F120" s="382" t="n"/>
      <c r="G120" s="512">
        <f>IF(OR(A120="",E120=""),"",IF(C120="","",C120-E120))</f>
        <v/>
      </c>
      <c r="H120" s="384" t="inlineStr">
        <is>
          <t>Agent 10</t>
        </is>
      </c>
      <c r="I120" s="491" t="n"/>
      <c r="J120" s="499">
        <f>IF(AND(A120&lt;&gt;"",E120&lt;&gt;""),IF(I120="","⚠️ Enter Code",IF(IFERROR(VLOOKUP(H120,DB_Agents!$B:$I,8,0),"")=I120,IF(C120&gt;=E120,"Successful","Unsuccessful"),"🔒 BLOCKED — Wrong Code")),"—")</f>
        <v/>
      </c>
      <c r="K120" s="500">
        <f>IF(J120="Successful",TEXT(TODAY(),"YYYY-MM-DD")&amp;" Auto","—")</f>
        <v/>
      </c>
      <c r="L120" s="501" t="n"/>
    </row>
    <row r="121" ht="15" customHeight="1" s="341">
      <c r="A121" s="486" t="n"/>
      <c r="B121" s="378">
        <f>IF(A121="","",IFERROR(VLOOKUP(A121,DB_Customers!$A:$D,4,0),"❌ Account Not Found"))</f>
        <v/>
      </c>
      <c r="C121" s="487">
        <f>IF(A121="","",IFERROR(VLOOKUP(A121,DB_Customers!$A:$N,14,0),""))</f>
        <v/>
      </c>
      <c r="D121" s="488">
        <f>IF(A121="","",TODAY())</f>
        <v/>
      </c>
      <c r="E121" s="510" t="n"/>
      <c r="F121" s="378" t="n"/>
      <c r="G121" s="511">
        <f>IF(OR(A121="",E121=""),"",IF(C121="","",C121-E121))</f>
        <v/>
      </c>
      <c r="H121" s="380" t="inlineStr">
        <is>
          <t>Agent 10</t>
        </is>
      </c>
      <c r="I121" s="491" t="n"/>
      <c r="J121" s="492">
        <f>IF(AND(A121&lt;&gt;"",E121&lt;&gt;""),IF(I121="","⚠️ Enter Code",IF(IFERROR(VLOOKUP(H121,DB_Agents!$B:$I,8,0),"")=I121,IF(C121&gt;=E121,"Successful","Unsuccessful"),"🔒 BLOCKED — Wrong Code")),"—")</f>
        <v/>
      </c>
      <c r="K121" s="493">
        <f>IF(J121="Successful",TEXT(TODAY(),"YYYY-MM-DD")&amp;" Auto","—")</f>
        <v/>
      </c>
      <c r="L121" s="494" t="n"/>
    </row>
    <row r="122" ht="15" customHeight="1" s="341">
      <c r="A122" s="495" t="n"/>
      <c r="B122" s="382">
        <f>IF(A122="","",IFERROR(VLOOKUP(A122,DB_Customers!$A:$D,4,0),"❌ Account Not Found"))</f>
        <v/>
      </c>
      <c r="C122" s="496">
        <f>IF(A122="","",IFERROR(VLOOKUP(A122,DB_Customers!$A:$N,14,0),""))</f>
        <v/>
      </c>
      <c r="D122" s="497">
        <f>IF(A122="","",TODAY())</f>
        <v/>
      </c>
      <c r="E122" s="510" t="n"/>
      <c r="F122" s="382" t="n"/>
      <c r="G122" s="512">
        <f>IF(OR(A122="",E122=""),"",IF(C122="","",C122-E122))</f>
        <v/>
      </c>
      <c r="H122" s="384" t="inlineStr">
        <is>
          <t>Agent 10</t>
        </is>
      </c>
      <c r="I122" s="491" t="n"/>
      <c r="J122" s="499">
        <f>IF(AND(A122&lt;&gt;"",E122&lt;&gt;""),IF(I122="","⚠️ Enter Code",IF(IFERROR(VLOOKUP(H122,DB_Agents!$B:$I,8,0),"")=I122,IF(C122&gt;=E122,"Successful","Unsuccessful"),"🔒 BLOCKED — Wrong Code")),"—")</f>
        <v/>
      </c>
      <c r="K122" s="500">
        <f>IF(J122="Successful",TEXT(TODAY(),"YYYY-MM-DD")&amp;" Auto","—")</f>
        <v/>
      </c>
      <c r="L122" s="501" t="n"/>
    </row>
    <row r="123" ht="15" customHeight="1" s="341">
      <c r="A123" s="486" t="n"/>
      <c r="B123" s="378">
        <f>IF(A123="","",IFERROR(VLOOKUP(A123,DB_Customers!$A:$D,4,0),"❌ Account Not Found"))</f>
        <v/>
      </c>
      <c r="C123" s="487">
        <f>IF(A123="","",IFERROR(VLOOKUP(A123,DB_Customers!$A:$N,14,0),""))</f>
        <v/>
      </c>
      <c r="D123" s="488">
        <f>IF(A123="","",TODAY())</f>
        <v/>
      </c>
      <c r="E123" s="510" t="n"/>
      <c r="F123" s="378" t="n"/>
      <c r="G123" s="511">
        <f>IF(OR(A123="",E123=""),"",IF(C123="","",C123-E123))</f>
        <v/>
      </c>
      <c r="H123" s="380" t="inlineStr">
        <is>
          <t>Agent 10</t>
        </is>
      </c>
      <c r="I123" s="491" t="n"/>
      <c r="J123" s="492">
        <f>IF(AND(A123&lt;&gt;"",E123&lt;&gt;""),IF(I123="","⚠️ Enter Code",IF(IFERROR(VLOOKUP(H123,DB_Agents!$B:$I,8,0),"")=I123,IF(C123&gt;=E123,"Successful","Unsuccessful"),"🔒 BLOCKED — Wrong Code")),"—")</f>
        <v/>
      </c>
      <c r="K123" s="493">
        <f>IF(J123="Successful",TEXT(TODAY(),"YYYY-MM-DD")&amp;" Auto","—")</f>
        <v/>
      </c>
      <c r="L123" s="494" t="n"/>
    </row>
    <row r="124" ht="15" customHeight="1" s="341">
      <c r="A124" s="495" t="n"/>
      <c r="B124" s="382">
        <f>IF(A124="","",IFERROR(VLOOKUP(A124,DB_Customers!$A:$D,4,0),"❌ Account Not Found"))</f>
        <v/>
      </c>
      <c r="C124" s="496">
        <f>IF(A124="","",IFERROR(VLOOKUP(A124,DB_Customers!$A:$N,14,0),""))</f>
        <v/>
      </c>
      <c r="D124" s="497">
        <f>IF(A124="","",TODAY())</f>
        <v/>
      </c>
      <c r="E124" s="510" t="n"/>
      <c r="F124" s="382" t="n"/>
      <c r="G124" s="512">
        <f>IF(OR(A124="",E124=""),"",IF(C124="","",C124-E124))</f>
        <v/>
      </c>
      <c r="H124" s="384" t="inlineStr">
        <is>
          <t>Agent 10</t>
        </is>
      </c>
      <c r="I124" s="491" t="n"/>
      <c r="J124" s="499">
        <f>IF(AND(A124&lt;&gt;"",E124&lt;&gt;""),IF(I124="","⚠️ Enter Code",IF(IFERROR(VLOOKUP(H124,DB_Agents!$B:$I,8,0),"")=I124,IF(C124&gt;=E124,"Successful","Unsuccessful"),"🔒 BLOCKED — Wrong Code")),"—")</f>
        <v/>
      </c>
      <c r="K124" s="500">
        <f>IF(J124="Successful",TEXT(TODAY(),"YYYY-MM-DD")&amp;" Auto","—")</f>
        <v/>
      </c>
      <c r="L124" s="501" t="n"/>
    </row>
    <row r="125" ht="15" customHeight="1" s="341">
      <c r="A125" s="486" t="n"/>
      <c r="B125" s="378">
        <f>IF(A125="","",IFERROR(VLOOKUP(A125,DB_Customers!$A:$D,4,0),"❌ Account Not Found"))</f>
        <v/>
      </c>
      <c r="C125" s="487">
        <f>IF(A125="","",IFERROR(VLOOKUP(A125,DB_Customers!$A:$N,14,0),""))</f>
        <v/>
      </c>
      <c r="D125" s="488">
        <f>IF(A125="","",TODAY())</f>
        <v/>
      </c>
      <c r="E125" s="510" t="n"/>
      <c r="F125" s="378" t="n"/>
      <c r="G125" s="511">
        <f>IF(OR(A125="",E125=""),"",IF(C125="","",C125-E125))</f>
        <v/>
      </c>
      <c r="H125" s="380" t="inlineStr">
        <is>
          <t>Agent 10</t>
        </is>
      </c>
      <c r="I125" s="491" t="n"/>
      <c r="J125" s="492">
        <f>IF(AND(A125&lt;&gt;"",E125&lt;&gt;""),IF(I125="","⚠️ Enter Code",IF(IFERROR(VLOOKUP(H125,DB_Agents!$B:$I,8,0),"")=I125,IF(C125&gt;=E125,"Successful","Unsuccessful"),"🔒 BLOCKED — Wrong Code")),"—")</f>
        <v/>
      </c>
      <c r="K125" s="493">
        <f>IF(J125="Successful",TEXT(TODAY(),"YYYY-MM-DD")&amp;" Auto","—")</f>
        <v/>
      </c>
      <c r="L125" s="494" t="n"/>
    </row>
    <row r="126" ht="15" customHeight="1" s="341">
      <c r="A126" s="495" t="n"/>
      <c r="B126" s="382">
        <f>IF(A126="","",IFERROR(VLOOKUP(A126,DB_Customers!$A:$D,4,0),"❌ Account Not Found"))</f>
        <v/>
      </c>
      <c r="C126" s="496">
        <f>IF(A126="","",IFERROR(VLOOKUP(A126,DB_Customers!$A:$N,14,0),""))</f>
        <v/>
      </c>
      <c r="D126" s="497">
        <f>IF(A126="","",TODAY())</f>
        <v/>
      </c>
      <c r="E126" s="510" t="n"/>
      <c r="F126" s="382" t="n"/>
      <c r="G126" s="512">
        <f>IF(OR(A126="",E126=""),"",IF(C126="","",C126-E126))</f>
        <v/>
      </c>
      <c r="H126" s="384" t="inlineStr">
        <is>
          <t>Agent 10</t>
        </is>
      </c>
      <c r="I126" s="491" t="n"/>
      <c r="J126" s="499">
        <f>IF(AND(A126&lt;&gt;"",E126&lt;&gt;""),IF(I126="","⚠️ Enter Code",IF(IFERROR(VLOOKUP(H126,DB_Agents!$B:$I,8,0),"")=I126,IF(C126&gt;=E126,"Successful","Unsuccessful"),"🔒 BLOCKED — Wrong Code")),"—")</f>
        <v/>
      </c>
      <c r="K126" s="500">
        <f>IF(J126="Successful",TEXT(TODAY(),"YYYY-MM-DD")&amp;" Auto","—")</f>
        <v/>
      </c>
      <c r="L126" s="501" t="n"/>
    </row>
    <row r="127" ht="15" customHeight="1" s="341">
      <c r="A127" s="486" t="n"/>
      <c r="B127" s="378">
        <f>IF(A127="","",IFERROR(VLOOKUP(A127,DB_Customers!$A:$D,4,0),"❌ Account Not Found"))</f>
        <v/>
      </c>
      <c r="C127" s="487">
        <f>IF(A127="","",IFERROR(VLOOKUP(A127,DB_Customers!$A:$N,14,0),""))</f>
        <v/>
      </c>
      <c r="D127" s="488">
        <f>IF(A127="","",TODAY())</f>
        <v/>
      </c>
      <c r="E127" s="510" t="n"/>
      <c r="F127" s="378" t="n"/>
      <c r="G127" s="511">
        <f>IF(OR(A127="",E127=""),"",IF(C127="","",C127-E127))</f>
        <v/>
      </c>
      <c r="H127" s="380" t="inlineStr">
        <is>
          <t>Agent 10</t>
        </is>
      </c>
      <c r="I127" s="491" t="n"/>
      <c r="J127" s="492">
        <f>IF(AND(A127&lt;&gt;"",E127&lt;&gt;""),IF(I127="","⚠️ Enter Code",IF(IFERROR(VLOOKUP(H127,DB_Agents!$B:$I,8,0),"")=I127,IF(C127&gt;=E127,"Successful","Unsuccessful"),"🔒 BLOCKED — Wrong Code")),"—")</f>
        <v/>
      </c>
      <c r="K127" s="493">
        <f>IF(J127="Successful",TEXT(TODAY(),"YYYY-MM-DD")&amp;" Auto","—")</f>
        <v/>
      </c>
      <c r="L127" s="494" t="n"/>
    </row>
    <row r="128" ht="15" customHeight="1" s="341">
      <c r="A128" s="495" t="n"/>
      <c r="B128" s="382">
        <f>IF(A128="","",IFERROR(VLOOKUP(A128,DB_Customers!$A:$D,4,0),"❌ Account Not Found"))</f>
        <v/>
      </c>
      <c r="C128" s="496">
        <f>IF(A128="","",IFERROR(VLOOKUP(A128,DB_Customers!$A:$N,14,0),""))</f>
        <v/>
      </c>
      <c r="D128" s="497">
        <f>IF(A128="","",TODAY())</f>
        <v/>
      </c>
      <c r="E128" s="510" t="n"/>
      <c r="F128" s="382" t="n"/>
      <c r="G128" s="512">
        <f>IF(OR(A128="",E128=""),"",IF(C128="","",C128-E128))</f>
        <v/>
      </c>
      <c r="H128" s="384" t="inlineStr">
        <is>
          <t>Agent 10</t>
        </is>
      </c>
      <c r="I128" s="491" t="n"/>
      <c r="J128" s="499">
        <f>IF(AND(A128&lt;&gt;"",E128&lt;&gt;""),IF(I128="","⚠️ Enter Code",IF(IFERROR(VLOOKUP(H128,DB_Agents!$B:$I,8,0),"")=I128,IF(C128&gt;=E128,"Successful","Unsuccessful"),"🔒 BLOCKED — Wrong Code")),"—")</f>
        <v/>
      </c>
      <c r="K128" s="500">
        <f>IF(J128="Successful",TEXT(TODAY(),"YYYY-MM-DD")&amp;" Auto","—")</f>
        <v/>
      </c>
      <c r="L128" s="501" t="n"/>
    </row>
    <row r="129" ht="15" customHeight="1" s="341">
      <c r="A129" s="486" t="n"/>
      <c r="B129" s="378">
        <f>IF(A129="","",IFERROR(VLOOKUP(A129,DB_Customers!$A:$D,4,0),"❌ Account Not Found"))</f>
        <v/>
      </c>
      <c r="C129" s="487">
        <f>IF(A129="","",IFERROR(VLOOKUP(A129,DB_Customers!$A:$N,14,0),""))</f>
        <v/>
      </c>
      <c r="D129" s="488">
        <f>IF(A129="","",TODAY())</f>
        <v/>
      </c>
      <c r="E129" s="510" t="n"/>
      <c r="F129" s="378" t="n"/>
      <c r="G129" s="511">
        <f>IF(OR(A129="",E129=""),"",IF(C129="","",C129-E129))</f>
        <v/>
      </c>
      <c r="H129" s="380" t="inlineStr">
        <is>
          <t>Agent 10</t>
        </is>
      </c>
      <c r="I129" s="491" t="n"/>
      <c r="J129" s="492">
        <f>IF(AND(A129&lt;&gt;"",E129&lt;&gt;""),IF(I129="","⚠️ Enter Code",IF(IFERROR(VLOOKUP(H129,DB_Agents!$B:$I,8,0),"")=I129,IF(C129&gt;=E129,"Successful","Unsuccessful"),"🔒 BLOCKED — Wrong Code")),"—")</f>
        <v/>
      </c>
      <c r="K129" s="493">
        <f>IF(J129="Successful",TEXT(TODAY(),"YYYY-MM-DD")&amp;" Auto","—")</f>
        <v/>
      </c>
      <c r="L129" s="494" t="n"/>
    </row>
    <row r="130" ht="15" customHeight="1" s="341">
      <c r="A130" s="495" t="n"/>
      <c r="B130" s="382">
        <f>IF(A130="","",IFERROR(VLOOKUP(A130,DB_Customers!$A:$D,4,0),"❌ Account Not Found"))</f>
        <v/>
      </c>
      <c r="C130" s="496">
        <f>IF(A130="","",IFERROR(VLOOKUP(A130,DB_Customers!$A:$N,14,0),""))</f>
        <v/>
      </c>
      <c r="D130" s="497">
        <f>IF(A130="","",TODAY())</f>
        <v/>
      </c>
      <c r="E130" s="510" t="n"/>
      <c r="F130" s="382" t="n"/>
      <c r="G130" s="512">
        <f>IF(OR(A130="",E130=""),"",IF(C130="","",C130-E130))</f>
        <v/>
      </c>
      <c r="H130" s="384" t="inlineStr">
        <is>
          <t>Agent 10</t>
        </is>
      </c>
      <c r="I130" s="491" t="n"/>
      <c r="J130" s="499">
        <f>IF(AND(A130&lt;&gt;"",E130&lt;&gt;""),IF(I130="","⚠️ Enter Code",IF(IFERROR(VLOOKUP(H130,DB_Agents!$B:$I,8,0),"")=I130,IF(C130&gt;=E130,"Successful","Unsuccessful"),"🔒 BLOCKED — Wrong Code")),"—")</f>
        <v/>
      </c>
      <c r="K130" s="500">
        <f>IF(J130="Successful",TEXT(TODAY(),"YYYY-MM-DD")&amp;" Auto","—")</f>
        <v/>
      </c>
      <c r="L130" s="501" t="n"/>
    </row>
    <row r="131" ht="15" customHeight="1" s="341">
      <c r="A131" s="486" t="n"/>
      <c r="B131" s="378">
        <f>IF(A131="","",IFERROR(VLOOKUP(A131,DB_Customers!$A:$D,4,0),"❌ Account Not Found"))</f>
        <v/>
      </c>
      <c r="C131" s="487">
        <f>IF(A131="","",IFERROR(VLOOKUP(A131,DB_Customers!$A:$N,14,0),""))</f>
        <v/>
      </c>
      <c r="D131" s="488">
        <f>IF(A131="","",TODAY())</f>
        <v/>
      </c>
      <c r="E131" s="510" t="n"/>
      <c r="F131" s="378" t="n"/>
      <c r="G131" s="511">
        <f>IF(OR(A131="",E131=""),"",IF(C131="","",C131-E131))</f>
        <v/>
      </c>
      <c r="H131" s="380" t="inlineStr">
        <is>
          <t>Agent 10</t>
        </is>
      </c>
      <c r="I131" s="491" t="n"/>
      <c r="J131" s="492">
        <f>IF(AND(A131&lt;&gt;"",E131&lt;&gt;""),IF(I131="","⚠️ Enter Code",IF(IFERROR(VLOOKUP(H131,DB_Agents!$B:$I,8,0),"")=I131,IF(C131&gt;=E131,"Successful","Unsuccessful"),"🔒 BLOCKED — Wrong Code")),"—")</f>
        <v/>
      </c>
      <c r="K131" s="493">
        <f>IF(J131="Successful",TEXT(TODAY(),"YYYY-MM-DD")&amp;" Auto","—")</f>
        <v/>
      </c>
      <c r="L131" s="494" t="n"/>
    </row>
    <row r="132" ht="15" customHeight="1" s="341">
      <c r="A132" s="495" t="n"/>
      <c r="B132" s="382">
        <f>IF(A132="","",IFERROR(VLOOKUP(A132,DB_Customers!$A:$D,4,0),"❌ Account Not Found"))</f>
        <v/>
      </c>
      <c r="C132" s="496">
        <f>IF(A132="","",IFERROR(VLOOKUP(A132,DB_Customers!$A:$N,14,0),""))</f>
        <v/>
      </c>
      <c r="D132" s="497">
        <f>IF(A132="","",TODAY())</f>
        <v/>
      </c>
      <c r="E132" s="510" t="n"/>
      <c r="F132" s="382" t="n"/>
      <c r="G132" s="512">
        <f>IF(OR(A132="",E132=""),"",IF(C132="","",C132-E132))</f>
        <v/>
      </c>
      <c r="H132" s="384" t="inlineStr">
        <is>
          <t>Agent 10</t>
        </is>
      </c>
      <c r="I132" s="491" t="n"/>
      <c r="J132" s="499">
        <f>IF(AND(A132&lt;&gt;"",E132&lt;&gt;""),IF(I132="","⚠️ Enter Code",IF(IFERROR(VLOOKUP(H132,DB_Agents!$B:$I,8,0),"")=I132,IF(C132&gt;=E132,"Successful","Unsuccessful"),"🔒 BLOCKED — Wrong Code")),"—")</f>
        <v/>
      </c>
      <c r="K132" s="500">
        <f>IF(J132="Successful",TEXT(TODAY(),"YYYY-MM-DD")&amp;" Auto","—")</f>
        <v/>
      </c>
      <c r="L132" s="501" t="n"/>
    </row>
    <row r="133" ht="15" customHeight="1" s="341">
      <c r="A133" s="486" t="n"/>
      <c r="B133" s="378">
        <f>IF(A133="","",IFERROR(VLOOKUP(A133,DB_Customers!$A:$D,4,0),"❌ Account Not Found"))</f>
        <v/>
      </c>
      <c r="C133" s="487">
        <f>IF(A133="","",IFERROR(VLOOKUP(A133,DB_Customers!$A:$N,14,0),""))</f>
        <v/>
      </c>
      <c r="D133" s="488">
        <f>IF(A133="","",TODAY())</f>
        <v/>
      </c>
      <c r="E133" s="510" t="n"/>
      <c r="F133" s="378" t="n"/>
      <c r="G133" s="511">
        <f>IF(OR(A133="",E133=""),"",IF(C133="","",C133-E133))</f>
        <v/>
      </c>
      <c r="H133" s="380" t="inlineStr">
        <is>
          <t>Agent 10</t>
        </is>
      </c>
      <c r="I133" s="491" t="n"/>
      <c r="J133" s="492">
        <f>IF(AND(A133&lt;&gt;"",E133&lt;&gt;""),IF(I133="","⚠️ Enter Code",IF(IFERROR(VLOOKUP(H133,DB_Agents!$B:$I,8,0),"")=I133,IF(C133&gt;=E133,"Successful","Unsuccessful"),"🔒 BLOCKED — Wrong Code")),"—")</f>
        <v/>
      </c>
      <c r="K133" s="493">
        <f>IF(J133="Successful",TEXT(TODAY(),"YYYY-MM-DD")&amp;" Auto","—")</f>
        <v/>
      </c>
      <c r="L133" s="494" t="n"/>
    </row>
    <row r="134" ht="15" customHeight="1" s="341">
      <c r="A134" s="495" t="n"/>
      <c r="B134" s="382">
        <f>IF(A134="","",IFERROR(VLOOKUP(A134,DB_Customers!$A:$D,4,0),"❌ Account Not Found"))</f>
        <v/>
      </c>
      <c r="C134" s="496">
        <f>IF(A134="","",IFERROR(VLOOKUP(A134,DB_Customers!$A:$N,14,0),""))</f>
        <v/>
      </c>
      <c r="D134" s="497">
        <f>IF(A134="","",TODAY())</f>
        <v/>
      </c>
      <c r="E134" s="510" t="n"/>
      <c r="F134" s="382" t="n"/>
      <c r="G134" s="512">
        <f>IF(OR(A134="",E134=""),"",IF(C134="","",C134-E134))</f>
        <v/>
      </c>
      <c r="H134" s="384" t="inlineStr">
        <is>
          <t>Agent 10</t>
        </is>
      </c>
      <c r="I134" s="491" t="n"/>
      <c r="J134" s="499">
        <f>IF(AND(A134&lt;&gt;"",E134&lt;&gt;""),IF(I134="","⚠️ Enter Code",IF(IFERROR(VLOOKUP(H134,DB_Agents!$B:$I,8,0),"")=I134,IF(C134&gt;=E134,"Successful","Unsuccessful"),"🔒 BLOCKED — Wrong Code")),"—")</f>
        <v/>
      </c>
      <c r="K134" s="500">
        <f>IF(J134="Successful",TEXT(TODAY(),"YYYY-MM-DD")&amp;" Auto","—")</f>
        <v/>
      </c>
      <c r="L134" s="501" t="n"/>
    </row>
    <row r="135" ht="15" customHeight="1" s="341">
      <c r="A135" s="486" t="n"/>
      <c r="B135" s="378">
        <f>IF(A135="","",IFERROR(VLOOKUP(A135,DB_Customers!$A:$D,4,0),"❌ Account Not Found"))</f>
        <v/>
      </c>
      <c r="C135" s="487">
        <f>IF(A135="","",IFERROR(VLOOKUP(A135,DB_Customers!$A:$N,14,0),""))</f>
        <v/>
      </c>
      <c r="D135" s="488">
        <f>IF(A135="","",TODAY())</f>
        <v/>
      </c>
      <c r="E135" s="510" t="n"/>
      <c r="F135" s="378" t="n"/>
      <c r="G135" s="511">
        <f>IF(OR(A135="",E135=""),"",IF(C135="","",C135-E135))</f>
        <v/>
      </c>
      <c r="H135" s="380" t="inlineStr">
        <is>
          <t>Agent 10</t>
        </is>
      </c>
      <c r="I135" s="491" t="n"/>
      <c r="J135" s="492">
        <f>IF(AND(A135&lt;&gt;"",E135&lt;&gt;""),IF(I135="","⚠️ Enter Code",IF(IFERROR(VLOOKUP(H135,DB_Agents!$B:$I,8,0),"")=I135,IF(C135&gt;=E135,"Successful","Unsuccessful"),"🔒 BLOCKED — Wrong Code")),"—")</f>
        <v/>
      </c>
      <c r="K135" s="493">
        <f>IF(J135="Successful",TEXT(TODAY(),"YYYY-MM-DD")&amp;" Auto","—")</f>
        <v/>
      </c>
      <c r="L135" s="494" t="n"/>
    </row>
    <row r="136" ht="15" customHeight="1" s="341">
      <c r="A136" s="495" t="n"/>
      <c r="B136" s="382">
        <f>IF(A136="","",IFERROR(VLOOKUP(A136,DB_Customers!$A:$D,4,0),"❌ Account Not Found"))</f>
        <v/>
      </c>
      <c r="C136" s="496">
        <f>IF(A136="","",IFERROR(VLOOKUP(A136,DB_Customers!$A:$N,14,0),""))</f>
        <v/>
      </c>
      <c r="D136" s="497">
        <f>IF(A136="","",TODAY())</f>
        <v/>
      </c>
      <c r="E136" s="510" t="n"/>
      <c r="F136" s="382" t="n"/>
      <c r="G136" s="512">
        <f>IF(OR(A136="",E136=""),"",IF(C136="","",C136-E136))</f>
        <v/>
      </c>
      <c r="H136" s="384" t="inlineStr">
        <is>
          <t>Agent 10</t>
        </is>
      </c>
      <c r="I136" s="491" t="n"/>
      <c r="J136" s="499">
        <f>IF(AND(A136&lt;&gt;"",E136&lt;&gt;""),IF(I136="","⚠️ Enter Code",IF(IFERROR(VLOOKUP(H136,DB_Agents!$B:$I,8,0),"")=I136,IF(C136&gt;=E136,"Successful","Unsuccessful"),"🔒 BLOCKED — Wrong Code")),"—")</f>
        <v/>
      </c>
      <c r="K136" s="500">
        <f>IF(J136="Successful",TEXT(TODAY(),"YYYY-MM-DD")&amp;" Auto","—")</f>
        <v/>
      </c>
      <c r="L136" s="501" t="n"/>
    </row>
    <row r="137" ht="15" customHeight="1" s="341">
      <c r="A137" s="486" t="n"/>
      <c r="B137" s="378">
        <f>IF(A137="","",IFERROR(VLOOKUP(A137,DB_Customers!$A:$D,4,0),"❌ Account Not Found"))</f>
        <v/>
      </c>
      <c r="C137" s="487">
        <f>IF(A137="","",IFERROR(VLOOKUP(A137,DB_Customers!$A:$N,14,0),""))</f>
        <v/>
      </c>
      <c r="D137" s="488">
        <f>IF(A137="","",TODAY())</f>
        <v/>
      </c>
      <c r="E137" s="510" t="n"/>
      <c r="F137" s="378" t="n"/>
      <c r="G137" s="511">
        <f>IF(OR(A137="",E137=""),"",IF(C137="","",C137-E137))</f>
        <v/>
      </c>
      <c r="H137" s="380" t="inlineStr">
        <is>
          <t>Agent 10</t>
        </is>
      </c>
      <c r="I137" s="491" t="n"/>
      <c r="J137" s="492">
        <f>IF(AND(A137&lt;&gt;"",E137&lt;&gt;""),IF(I137="","⚠️ Enter Code",IF(IFERROR(VLOOKUP(H137,DB_Agents!$B:$I,8,0),"")=I137,IF(C137&gt;=E137,"Successful","Unsuccessful"),"🔒 BLOCKED — Wrong Code")),"—")</f>
        <v/>
      </c>
      <c r="K137" s="493">
        <f>IF(J137="Successful",TEXT(TODAY(),"YYYY-MM-DD")&amp;" Auto","—")</f>
        <v/>
      </c>
      <c r="L137" s="494" t="n"/>
    </row>
    <row r="138" ht="15" customHeight="1" s="341">
      <c r="A138" s="495" t="n"/>
      <c r="B138" s="382">
        <f>IF(A138="","",IFERROR(VLOOKUP(A138,DB_Customers!$A:$D,4,0),"❌ Account Not Found"))</f>
        <v/>
      </c>
      <c r="C138" s="496">
        <f>IF(A138="","",IFERROR(VLOOKUP(A138,DB_Customers!$A:$N,14,0),""))</f>
        <v/>
      </c>
      <c r="D138" s="497">
        <f>IF(A138="","",TODAY())</f>
        <v/>
      </c>
      <c r="E138" s="510" t="n"/>
      <c r="F138" s="382" t="n"/>
      <c r="G138" s="512">
        <f>IF(OR(A138="",E138=""),"",IF(C138="","",C138-E138))</f>
        <v/>
      </c>
      <c r="H138" s="384" t="inlineStr">
        <is>
          <t>Agent 10</t>
        </is>
      </c>
      <c r="I138" s="491" t="n"/>
      <c r="J138" s="499">
        <f>IF(AND(A138&lt;&gt;"",E138&lt;&gt;""),IF(I138="","⚠️ Enter Code",IF(IFERROR(VLOOKUP(H138,DB_Agents!$B:$I,8,0),"")=I138,IF(C138&gt;=E138,"Successful","Unsuccessful"),"🔒 BLOCKED — Wrong Code")),"—")</f>
        <v/>
      </c>
      <c r="K138" s="500">
        <f>IF(J138="Successful",TEXT(TODAY(),"YYYY-MM-DD")&amp;" Auto","—")</f>
        <v/>
      </c>
      <c r="L138" s="501" t="n"/>
    </row>
    <row r="139" ht="15" customHeight="1" s="341">
      <c r="A139" s="486" t="n"/>
      <c r="B139" s="378">
        <f>IF(A139="","",IFERROR(VLOOKUP(A139,DB_Customers!$A:$D,4,0),"❌ Account Not Found"))</f>
        <v/>
      </c>
      <c r="C139" s="487">
        <f>IF(A139="","",IFERROR(VLOOKUP(A139,DB_Customers!$A:$N,14,0),""))</f>
        <v/>
      </c>
      <c r="D139" s="488">
        <f>IF(A139="","",TODAY())</f>
        <v/>
      </c>
      <c r="E139" s="510" t="n"/>
      <c r="F139" s="378" t="n"/>
      <c r="G139" s="511">
        <f>IF(OR(A139="",E139=""),"",IF(C139="","",C139-E139))</f>
        <v/>
      </c>
      <c r="H139" s="380" t="inlineStr">
        <is>
          <t>Agent 10</t>
        </is>
      </c>
      <c r="I139" s="491" t="n"/>
      <c r="J139" s="492">
        <f>IF(AND(A139&lt;&gt;"",E139&lt;&gt;""),IF(I139="","⚠️ Enter Code",IF(IFERROR(VLOOKUP(H139,DB_Agents!$B:$I,8,0),"")=I139,IF(C139&gt;=E139,"Successful","Unsuccessful"),"🔒 BLOCKED — Wrong Code")),"—")</f>
        <v/>
      </c>
      <c r="K139" s="493">
        <f>IF(J139="Successful",TEXT(TODAY(),"YYYY-MM-DD")&amp;" Auto","—")</f>
        <v/>
      </c>
      <c r="L139" s="494" t="n"/>
    </row>
    <row r="140" ht="15" customHeight="1" s="341">
      <c r="A140" s="495" t="n"/>
      <c r="B140" s="382">
        <f>IF(A140="","",IFERROR(VLOOKUP(A140,DB_Customers!$A:$D,4,0),"❌ Account Not Found"))</f>
        <v/>
      </c>
      <c r="C140" s="496">
        <f>IF(A140="","",IFERROR(VLOOKUP(A140,DB_Customers!$A:$N,14,0),""))</f>
        <v/>
      </c>
      <c r="D140" s="497">
        <f>IF(A140="","",TODAY())</f>
        <v/>
      </c>
      <c r="E140" s="510" t="n"/>
      <c r="F140" s="382" t="n"/>
      <c r="G140" s="512">
        <f>IF(OR(A140="",E140=""),"",IF(C140="","",C140-E140))</f>
        <v/>
      </c>
      <c r="H140" s="384" t="inlineStr">
        <is>
          <t>Agent 10</t>
        </is>
      </c>
      <c r="I140" s="491" t="n"/>
      <c r="J140" s="499">
        <f>IF(AND(A140&lt;&gt;"",E140&lt;&gt;""),IF(I140="","⚠️ Enter Code",IF(IFERROR(VLOOKUP(H140,DB_Agents!$B:$I,8,0),"")=I140,IF(C140&gt;=E140,"Successful","Unsuccessful"),"🔒 BLOCKED — Wrong Code")),"—")</f>
        <v/>
      </c>
      <c r="K140" s="500">
        <f>IF(J140="Successful",TEXT(TODAY(),"YYYY-MM-DD")&amp;" Auto","—")</f>
        <v/>
      </c>
      <c r="L140" s="501" t="n"/>
    </row>
    <row r="141" ht="15" customHeight="1" s="341">
      <c r="A141" s="486" t="n"/>
      <c r="B141" s="378">
        <f>IF(A141="","",IFERROR(VLOOKUP(A141,DB_Customers!$A:$D,4,0),"❌ Account Not Found"))</f>
        <v/>
      </c>
      <c r="C141" s="487">
        <f>IF(A141="","",IFERROR(VLOOKUP(A141,DB_Customers!$A:$N,14,0),""))</f>
        <v/>
      </c>
      <c r="D141" s="488">
        <f>IF(A141="","",TODAY())</f>
        <v/>
      </c>
      <c r="E141" s="510" t="n"/>
      <c r="F141" s="378" t="n"/>
      <c r="G141" s="511">
        <f>IF(OR(A141="",E141=""),"",IF(C141="","",C141-E141))</f>
        <v/>
      </c>
      <c r="H141" s="380" t="inlineStr">
        <is>
          <t>Agent 10</t>
        </is>
      </c>
      <c r="I141" s="491" t="n"/>
      <c r="J141" s="492">
        <f>IF(AND(A141&lt;&gt;"",E141&lt;&gt;""),IF(I141="","⚠️ Enter Code",IF(IFERROR(VLOOKUP(H141,DB_Agents!$B:$I,8,0),"")=I141,IF(C141&gt;=E141,"Successful","Unsuccessful"),"🔒 BLOCKED — Wrong Code")),"—")</f>
        <v/>
      </c>
      <c r="K141" s="493">
        <f>IF(J141="Successful",TEXT(TODAY(),"YYYY-MM-DD")&amp;" Auto","—")</f>
        <v/>
      </c>
      <c r="L141" s="494" t="n"/>
    </row>
    <row r="142" ht="15" customHeight="1" s="341">
      <c r="A142" s="495" t="n"/>
      <c r="B142" s="382">
        <f>IF(A142="","",IFERROR(VLOOKUP(A142,DB_Customers!$A:$D,4,0),"❌ Account Not Found"))</f>
        <v/>
      </c>
      <c r="C142" s="496">
        <f>IF(A142="","",IFERROR(VLOOKUP(A142,DB_Customers!$A:$N,14,0),""))</f>
        <v/>
      </c>
      <c r="D142" s="497">
        <f>IF(A142="","",TODAY())</f>
        <v/>
      </c>
      <c r="E142" s="510" t="n"/>
      <c r="F142" s="382" t="n"/>
      <c r="G142" s="512">
        <f>IF(OR(A142="",E142=""),"",IF(C142="","",C142-E142))</f>
        <v/>
      </c>
      <c r="H142" s="384" t="inlineStr">
        <is>
          <t>Agent 10</t>
        </is>
      </c>
      <c r="I142" s="491" t="n"/>
      <c r="J142" s="499">
        <f>IF(AND(A142&lt;&gt;"",E142&lt;&gt;""),IF(I142="","⚠️ Enter Code",IF(IFERROR(VLOOKUP(H142,DB_Agents!$B:$I,8,0),"")=I142,IF(C142&gt;=E142,"Successful","Unsuccessful"),"🔒 BLOCKED — Wrong Code")),"—")</f>
        <v/>
      </c>
      <c r="K142" s="500">
        <f>IF(J142="Successful",TEXT(TODAY(),"YYYY-MM-DD")&amp;" Auto","—")</f>
        <v/>
      </c>
      <c r="L142" s="501" t="n"/>
    </row>
    <row r="143" ht="15" customHeight="1" s="341">
      <c r="A143" s="486" t="n"/>
      <c r="B143" s="378">
        <f>IF(A143="","",IFERROR(VLOOKUP(A143,DB_Customers!$A:$D,4,0),"❌ Account Not Found"))</f>
        <v/>
      </c>
      <c r="C143" s="487">
        <f>IF(A143="","",IFERROR(VLOOKUP(A143,DB_Customers!$A:$N,14,0),""))</f>
        <v/>
      </c>
      <c r="D143" s="488">
        <f>IF(A143="","",TODAY())</f>
        <v/>
      </c>
      <c r="E143" s="510" t="n"/>
      <c r="F143" s="378" t="n"/>
      <c r="G143" s="511">
        <f>IF(OR(A143="",E143=""),"",IF(C143="","",C143-E143))</f>
        <v/>
      </c>
      <c r="H143" s="380" t="inlineStr">
        <is>
          <t>Agent 10</t>
        </is>
      </c>
      <c r="I143" s="491" t="n"/>
      <c r="J143" s="492">
        <f>IF(AND(A143&lt;&gt;"",E143&lt;&gt;""),IF(I143="","⚠️ Enter Code",IF(IFERROR(VLOOKUP(H143,DB_Agents!$B:$I,8,0),"")=I143,IF(C143&gt;=E143,"Successful","Unsuccessful"),"🔒 BLOCKED — Wrong Code")),"—")</f>
        <v/>
      </c>
      <c r="K143" s="493">
        <f>IF(J143="Successful",TEXT(TODAY(),"YYYY-MM-DD")&amp;" Auto","—")</f>
        <v/>
      </c>
      <c r="L143" s="494" t="n"/>
    </row>
    <row r="144" ht="15" customHeight="1" s="341">
      <c r="A144" s="495" t="n"/>
      <c r="B144" s="382">
        <f>IF(A144="","",IFERROR(VLOOKUP(A144,DB_Customers!$A:$D,4,0),"❌ Account Not Found"))</f>
        <v/>
      </c>
      <c r="C144" s="496">
        <f>IF(A144="","",IFERROR(VLOOKUP(A144,DB_Customers!$A:$N,14,0),""))</f>
        <v/>
      </c>
      <c r="D144" s="497">
        <f>IF(A144="","",TODAY())</f>
        <v/>
      </c>
      <c r="E144" s="510" t="n"/>
      <c r="F144" s="382" t="n"/>
      <c r="G144" s="512">
        <f>IF(OR(A144="",E144=""),"",IF(C144="","",C144-E144))</f>
        <v/>
      </c>
      <c r="H144" s="384" t="inlineStr">
        <is>
          <t>Agent 10</t>
        </is>
      </c>
      <c r="I144" s="491" t="n"/>
      <c r="J144" s="499">
        <f>IF(AND(A144&lt;&gt;"",E144&lt;&gt;""),IF(I144="","⚠️ Enter Code",IF(IFERROR(VLOOKUP(H144,DB_Agents!$B:$I,8,0),"")=I144,IF(C144&gt;=E144,"Successful","Unsuccessful"),"🔒 BLOCKED — Wrong Code")),"—")</f>
        <v/>
      </c>
      <c r="K144" s="500">
        <f>IF(J144="Successful",TEXT(TODAY(),"YYYY-MM-DD")&amp;" Auto","—")</f>
        <v/>
      </c>
      <c r="L144" s="501" t="n"/>
    </row>
    <row r="145" ht="15" customHeight="1" s="341">
      <c r="A145" s="486" t="n"/>
      <c r="B145" s="378">
        <f>IF(A145="","",IFERROR(VLOOKUP(A145,DB_Customers!$A:$D,4,0),"❌ Account Not Found"))</f>
        <v/>
      </c>
      <c r="C145" s="487">
        <f>IF(A145="","",IFERROR(VLOOKUP(A145,DB_Customers!$A:$N,14,0),""))</f>
        <v/>
      </c>
      <c r="D145" s="488">
        <f>IF(A145="","",TODAY())</f>
        <v/>
      </c>
      <c r="E145" s="510" t="n"/>
      <c r="F145" s="378" t="n"/>
      <c r="G145" s="511">
        <f>IF(OR(A145="",E145=""),"",IF(C145="","",C145-E145))</f>
        <v/>
      </c>
      <c r="H145" s="380" t="inlineStr">
        <is>
          <t>Agent 10</t>
        </is>
      </c>
      <c r="I145" s="491" t="n"/>
      <c r="J145" s="492">
        <f>IF(AND(A145&lt;&gt;"",E145&lt;&gt;""),IF(I145="","⚠️ Enter Code",IF(IFERROR(VLOOKUP(H145,DB_Agents!$B:$I,8,0),"")=I145,IF(C145&gt;=E145,"Successful","Unsuccessful"),"🔒 BLOCKED — Wrong Code")),"—")</f>
        <v/>
      </c>
      <c r="K145" s="493">
        <f>IF(J145="Successful",TEXT(TODAY(),"YYYY-MM-DD")&amp;" Auto","—")</f>
        <v/>
      </c>
      <c r="L145" s="494" t="n"/>
    </row>
    <row r="146" ht="15" customHeight="1" s="341">
      <c r="A146" s="495" t="n"/>
      <c r="B146" s="382">
        <f>IF(A146="","",IFERROR(VLOOKUP(A146,DB_Customers!$A:$D,4,0),"❌ Account Not Found"))</f>
        <v/>
      </c>
      <c r="C146" s="496">
        <f>IF(A146="","",IFERROR(VLOOKUP(A146,DB_Customers!$A:$N,14,0),""))</f>
        <v/>
      </c>
      <c r="D146" s="497">
        <f>IF(A146="","",TODAY())</f>
        <v/>
      </c>
      <c r="E146" s="510" t="n"/>
      <c r="F146" s="382" t="n"/>
      <c r="G146" s="512">
        <f>IF(OR(A146="",E146=""),"",IF(C146="","",C146-E146))</f>
        <v/>
      </c>
      <c r="H146" s="384" t="inlineStr">
        <is>
          <t>Agent 10</t>
        </is>
      </c>
      <c r="I146" s="491" t="n"/>
      <c r="J146" s="499">
        <f>IF(AND(A146&lt;&gt;"",E146&lt;&gt;""),IF(I146="","⚠️ Enter Code",IF(IFERROR(VLOOKUP(H146,DB_Agents!$B:$I,8,0),"")=I146,IF(C146&gt;=E146,"Successful","Unsuccessful"),"🔒 BLOCKED — Wrong Code")),"—")</f>
        <v/>
      </c>
      <c r="K146" s="500">
        <f>IF(J146="Successful",TEXT(TODAY(),"YYYY-MM-DD")&amp;" Auto","—")</f>
        <v/>
      </c>
      <c r="L146" s="501" t="n"/>
    </row>
    <row r="147" ht="15" customHeight="1" s="341">
      <c r="A147" s="486" t="n"/>
      <c r="B147" s="378">
        <f>IF(A147="","",IFERROR(VLOOKUP(A147,DB_Customers!$A:$D,4,0),"❌ Account Not Found"))</f>
        <v/>
      </c>
      <c r="C147" s="487">
        <f>IF(A147="","",IFERROR(VLOOKUP(A147,DB_Customers!$A:$N,14,0),""))</f>
        <v/>
      </c>
      <c r="D147" s="488">
        <f>IF(A147="","",TODAY())</f>
        <v/>
      </c>
      <c r="E147" s="510" t="n"/>
      <c r="F147" s="378" t="n"/>
      <c r="G147" s="511">
        <f>IF(OR(A147="",E147=""),"",IF(C147="","",C147-E147))</f>
        <v/>
      </c>
      <c r="H147" s="380" t="inlineStr">
        <is>
          <t>Agent 10</t>
        </is>
      </c>
      <c r="I147" s="491" t="n"/>
      <c r="J147" s="492">
        <f>IF(AND(A147&lt;&gt;"",E147&lt;&gt;""),IF(I147="","⚠️ Enter Code",IF(IFERROR(VLOOKUP(H147,DB_Agents!$B:$I,8,0),"")=I147,IF(C147&gt;=E147,"Successful","Unsuccessful"),"🔒 BLOCKED — Wrong Code")),"—")</f>
        <v/>
      </c>
      <c r="K147" s="493">
        <f>IF(J147="Successful",TEXT(TODAY(),"YYYY-MM-DD")&amp;" Auto","—")</f>
        <v/>
      </c>
      <c r="L147" s="494" t="n"/>
    </row>
    <row r="148" ht="15" customHeight="1" s="341">
      <c r="A148" s="495" t="n"/>
      <c r="B148" s="382">
        <f>IF(A148="","",IFERROR(VLOOKUP(A148,DB_Customers!$A:$D,4,0),"❌ Account Not Found"))</f>
        <v/>
      </c>
      <c r="C148" s="496">
        <f>IF(A148="","",IFERROR(VLOOKUP(A148,DB_Customers!$A:$N,14,0),""))</f>
        <v/>
      </c>
      <c r="D148" s="497">
        <f>IF(A148="","",TODAY())</f>
        <v/>
      </c>
      <c r="E148" s="510" t="n"/>
      <c r="F148" s="382" t="n"/>
      <c r="G148" s="512">
        <f>IF(OR(A148="",E148=""),"",IF(C148="","",C148-E148))</f>
        <v/>
      </c>
      <c r="H148" s="384" t="inlineStr">
        <is>
          <t>Agent 10</t>
        </is>
      </c>
      <c r="I148" s="491" t="n"/>
      <c r="J148" s="499">
        <f>IF(AND(A148&lt;&gt;"",E148&lt;&gt;""),IF(I148="","⚠️ Enter Code",IF(IFERROR(VLOOKUP(H148,DB_Agents!$B:$I,8,0),"")=I148,IF(C148&gt;=E148,"Successful","Unsuccessful"),"🔒 BLOCKED — Wrong Code")),"—")</f>
        <v/>
      </c>
      <c r="K148" s="500">
        <f>IF(J148="Successful",TEXT(TODAY(),"YYYY-MM-DD")&amp;" Auto","—")</f>
        <v/>
      </c>
      <c r="L148" s="501" t="n"/>
    </row>
    <row r="149" ht="15" customHeight="1" s="341">
      <c r="A149" s="486" t="n"/>
      <c r="B149" s="378">
        <f>IF(A149="","",IFERROR(VLOOKUP(A149,DB_Customers!$A:$D,4,0),"❌ Account Not Found"))</f>
        <v/>
      </c>
      <c r="C149" s="487">
        <f>IF(A149="","",IFERROR(VLOOKUP(A149,DB_Customers!$A:$N,14,0),""))</f>
        <v/>
      </c>
      <c r="D149" s="488">
        <f>IF(A149="","",TODAY())</f>
        <v/>
      </c>
      <c r="E149" s="510" t="n"/>
      <c r="F149" s="378" t="n"/>
      <c r="G149" s="511">
        <f>IF(OR(A149="",E149=""),"",IF(C149="","",C149-E149))</f>
        <v/>
      </c>
      <c r="H149" s="380" t="inlineStr">
        <is>
          <t>Agent 10</t>
        </is>
      </c>
      <c r="I149" s="491" t="n"/>
      <c r="J149" s="492">
        <f>IF(AND(A149&lt;&gt;"",E149&lt;&gt;""),IF(I149="","⚠️ Enter Code",IF(IFERROR(VLOOKUP(H149,DB_Agents!$B:$I,8,0),"")=I149,IF(C149&gt;=E149,"Successful","Unsuccessful"),"🔒 BLOCKED — Wrong Code")),"—")</f>
        <v/>
      </c>
      <c r="K149" s="493">
        <f>IF(J149="Successful",TEXT(TODAY(),"YYYY-MM-DD")&amp;" Auto","—")</f>
        <v/>
      </c>
      <c r="L149" s="494" t="n"/>
    </row>
    <row r="150" ht="15" customHeight="1" s="341">
      <c r="A150" s="495" t="n"/>
      <c r="B150" s="382">
        <f>IF(A150="","",IFERROR(VLOOKUP(A150,DB_Customers!$A:$D,4,0),"❌ Account Not Found"))</f>
        <v/>
      </c>
      <c r="C150" s="496">
        <f>IF(A150="","",IFERROR(VLOOKUP(A150,DB_Customers!$A:$N,14,0),""))</f>
        <v/>
      </c>
      <c r="D150" s="497">
        <f>IF(A150="","",TODAY())</f>
        <v/>
      </c>
      <c r="E150" s="510" t="n"/>
      <c r="F150" s="382" t="n"/>
      <c r="G150" s="512">
        <f>IF(OR(A150="",E150=""),"",IF(C150="","",C150-E150))</f>
        <v/>
      </c>
      <c r="H150" s="384" t="inlineStr">
        <is>
          <t>Agent 10</t>
        </is>
      </c>
      <c r="I150" s="491" t="n"/>
      <c r="J150" s="499">
        <f>IF(AND(A150&lt;&gt;"",E150&lt;&gt;""),IF(I150="","⚠️ Enter Code",IF(IFERROR(VLOOKUP(H150,DB_Agents!$B:$I,8,0),"")=I150,IF(C150&gt;=E150,"Successful","Unsuccessful"),"🔒 BLOCKED — Wrong Code")),"—")</f>
        <v/>
      </c>
      <c r="K150" s="500">
        <f>IF(J150="Successful",TEXT(TODAY(),"YYYY-MM-DD")&amp;" Auto","—")</f>
        <v/>
      </c>
      <c r="L150" s="501" t="n"/>
    </row>
    <row r="151" ht="15" customHeight="1" s="341">
      <c r="A151" s="486" t="n"/>
      <c r="B151" s="378">
        <f>IF(A151="","",IFERROR(VLOOKUP(A151,DB_Customers!$A:$D,4,0),"❌ Account Not Found"))</f>
        <v/>
      </c>
      <c r="C151" s="487">
        <f>IF(A151="","",IFERROR(VLOOKUP(A151,DB_Customers!$A:$N,14,0),""))</f>
        <v/>
      </c>
      <c r="D151" s="488">
        <f>IF(A151="","",TODAY())</f>
        <v/>
      </c>
      <c r="E151" s="510" t="n"/>
      <c r="F151" s="378" t="n"/>
      <c r="G151" s="511">
        <f>IF(OR(A151="",E151=""),"",IF(C151="","",C151-E151))</f>
        <v/>
      </c>
      <c r="H151" s="380" t="inlineStr">
        <is>
          <t>Agent 10</t>
        </is>
      </c>
      <c r="I151" s="491" t="n"/>
      <c r="J151" s="492">
        <f>IF(AND(A151&lt;&gt;"",E151&lt;&gt;""),IF(I151="","⚠️ Enter Code",IF(IFERROR(VLOOKUP(H151,DB_Agents!$B:$I,8,0),"")=I151,IF(C151&gt;=E151,"Successful","Unsuccessful"),"🔒 BLOCKED — Wrong Code")),"—")</f>
        <v/>
      </c>
      <c r="K151" s="493">
        <f>IF(J151="Successful",TEXT(TODAY(),"YYYY-MM-DD")&amp;" Auto","—")</f>
        <v/>
      </c>
      <c r="L151" s="494" t="n"/>
    </row>
    <row r="152" ht="15" customHeight="1" s="341">
      <c r="A152" s="495" t="n"/>
      <c r="B152" s="382">
        <f>IF(A152="","",IFERROR(VLOOKUP(A152,DB_Customers!$A:$D,4,0),"❌ Account Not Found"))</f>
        <v/>
      </c>
      <c r="C152" s="496">
        <f>IF(A152="","",IFERROR(VLOOKUP(A152,DB_Customers!$A:$N,14,0),""))</f>
        <v/>
      </c>
      <c r="D152" s="497">
        <f>IF(A152="","",TODAY())</f>
        <v/>
      </c>
      <c r="E152" s="510" t="n"/>
      <c r="F152" s="382" t="n"/>
      <c r="G152" s="512">
        <f>IF(OR(A152="",E152=""),"",IF(C152="","",C152-E152))</f>
        <v/>
      </c>
      <c r="H152" s="384" t="inlineStr">
        <is>
          <t>Agent 10</t>
        </is>
      </c>
      <c r="I152" s="491" t="n"/>
      <c r="J152" s="499">
        <f>IF(AND(A152&lt;&gt;"",E152&lt;&gt;""),IF(I152="","⚠️ Enter Code",IF(IFERROR(VLOOKUP(H152,DB_Agents!$B:$I,8,0),"")=I152,IF(C152&gt;=E152,"Successful","Unsuccessful"),"🔒 BLOCKED — Wrong Code")),"—")</f>
        <v/>
      </c>
      <c r="K152" s="500">
        <f>IF(J152="Successful",TEXT(TODAY(),"YYYY-MM-DD")&amp;" Auto","—")</f>
        <v/>
      </c>
      <c r="L152" s="501" t="n"/>
    </row>
    <row r="153" ht="15" customHeight="1" s="341">
      <c r="A153" s="486" t="n"/>
      <c r="B153" s="378">
        <f>IF(A153="","",IFERROR(VLOOKUP(A153,DB_Customers!$A:$D,4,0),"❌ Account Not Found"))</f>
        <v/>
      </c>
      <c r="C153" s="487">
        <f>IF(A153="","",IFERROR(VLOOKUP(A153,DB_Customers!$A:$N,14,0),""))</f>
        <v/>
      </c>
      <c r="D153" s="488">
        <f>IF(A153="","",TODAY())</f>
        <v/>
      </c>
      <c r="E153" s="510" t="n"/>
      <c r="F153" s="378" t="n"/>
      <c r="G153" s="511">
        <f>IF(OR(A153="",E153=""),"",IF(C153="","",C153-E153))</f>
        <v/>
      </c>
      <c r="H153" s="380" t="inlineStr">
        <is>
          <t>Agent 10</t>
        </is>
      </c>
      <c r="I153" s="491" t="n"/>
      <c r="J153" s="492">
        <f>IF(AND(A153&lt;&gt;"",E153&lt;&gt;""),IF(I153="","⚠️ Enter Code",IF(IFERROR(VLOOKUP(H153,DB_Agents!$B:$I,8,0),"")=I153,IF(C153&gt;=E153,"Successful","Unsuccessful"),"🔒 BLOCKED — Wrong Code")),"—")</f>
        <v/>
      </c>
      <c r="K153" s="493">
        <f>IF(J153="Successful",TEXT(TODAY(),"YYYY-MM-DD")&amp;" Auto","—")</f>
        <v/>
      </c>
      <c r="L153" s="494" t="n"/>
    </row>
    <row r="154" ht="15" customHeight="1" s="341">
      <c r="A154" s="495" t="n"/>
      <c r="B154" s="382">
        <f>IF(A154="","",IFERROR(VLOOKUP(A154,DB_Customers!$A:$D,4,0),"❌ Account Not Found"))</f>
        <v/>
      </c>
      <c r="C154" s="496">
        <f>IF(A154="","",IFERROR(VLOOKUP(A154,DB_Customers!$A:$N,14,0),""))</f>
        <v/>
      </c>
      <c r="D154" s="497">
        <f>IF(A154="","",TODAY())</f>
        <v/>
      </c>
      <c r="E154" s="510" t="n"/>
      <c r="F154" s="382" t="n"/>
      <c r="G154" s="512">
        <f>IF(OR(A154="",E154=""),"",IF(C154="","",C154-E154))</f>
        <v/>
      </c>
      <c r="H154" s="384" t="inlineStr">
        <is>
          <t>Agent 10</t>
        </is>
      </c>
      <c r="I154" s="491" t="n"/>
      <c r="J154" s="499">
        <f>IF(AND(A154&lt;&gt;"",E154&lt;&gt;""),IF(I154="","⚠️ Enter Code",IF(IFERROR(VLOOKUP(H154,DB_Agents!$B:$I,8,0),"")=I154,IF(C154&gt;=E154,"Successful","Unsuccessful"),"🔒 BLOCKED — Wrong Code")),"—")</f>
        <v/>
      </c>
      <c r="K154" s="500">
        <f>IF(J154="Successful",TEXT(TODAY(),"YYYY-MM-DD")&amp;" Auto","—")</f>
        <v/>
      </c>
      <c r="L154" s="501" t="n"/>
    </row>
    <row r="155" ht="15" customHeight="1" s="341">
      <c r="A155" s="486" t="n"/>
      <c r="B155" s="378">
        <f>IF(A155="","",IFERROR(VLOOKUP(A155,DB_Customers!$A:$D,4,0),"❌ Account Not Found"))</f>
        <v/>
      </c>
      <c r="C155" s="487">
        <f>IF(A155="","",IFERROR(VLOOKUP(A155,DB_Customers!$A:$N,14,0),""))</f>
        <v/>
      </c>
      <c r="D155" s="488">
        <f>IF(A155="","",TODAY())</f>
        <v/>
      </c>
      <c r="E155" s="510" t="n"/>
      <c r="F155" s="378" t="n"/>
      <c r="G155" s="511">
        <f>IF(OR(A155="",E155=""),"",IF(C155="","",C155-E155))</f>
        <v/>
      </c>
      <c r="H155" s="380" t="inlineStr">
        <is>
          <t>Agent 10</t>
        </is>
      </c>
      <c r="I155" s="491" t="n"/>
      <c r="J155" s="492">
        <f>IF(AND(A155&lt;&gt;"",E155&lt;&gt;""),IF(I155="","⚠️ Enter Code",IF(IFERROR(VLOOKUP(H155,DB_Agents!$B:$I,8,0),"")=I155,IF(C155&gt;=E155,"Successful","Unsuccessful"),"🔒 BLOCKED — Wrong Code")),"—")</f>
        <v/>
      </c>
      <c r="K155" s="493">
        <f>IF(J155="Successful",TEXT(TODAY(),"YYYY-MM-DD")&amp;" Auto","—")</f>
        <v/>
      </c>
      <c r="L155" s="494" t="n"/>
    </row>
    <row r="156" ht="15" customHeight="1" s="341">
      <c r="A156" s="495" t="n"/>
      <c r="B156" s="382">
        <f>IF(A156="","",IFERROR(VLOOKUP(A156,DB_Customers!$A:$D,4,0),"❌ Account Not Found"))</f>
        <v/>
      </c>
      <c r="C156" s="496">
        <f>IF(A156="","",IFERROR(VLOOKUP(A156,DB_Customers!$A:$N,14,0),""))</f>
        <v/>
      </c>
      <c r="D156" s="497">
        <f>IF(A156="","",TODAY())</f>
        <v/>
      </c>
      <c r="E156" s="510" t="n"/>
      <c r="F156" s="382" t="n"/>
      <c r="G156" s="512">
        <f>IF(OR(A156="",E156=""),"",IF(C156="","",C156-E156))</f>
        <v/>
      </c>
      <c r="H156" s="384" t="inlineStr">
        <is>
          <t>Agent 10</t>
        </is>
      </c>
      <c r="I156" s="491" t="n"/>
      <c r="J156" s="499">
        <f>IF(AND(A156&lt;&gt;"",E156&lt;&gt;""),IF(I156="","⚠️ Enter Code",IF(IFERROR(VLOOKUP(H156,DB_Agents!$B:$I,8,0),"")=I156,IF(C156&gt;=E156,"Successful","Unsuccessful"),"🔒 BLOCKED — Wrong Code")),"—")</f>
        <v/>
      </c>
      <c r="K156" s="500">
        <f>IF(J156="Successful",TEXT(TODAY(),"YYYY-MM-DD")&amp;" Auto","—")</f>
        <v/>
      </c>
      <c r="L156" s="501" t="n"/>
    </row>
    <row r="157" ht="15" customHeight="1" s="341">
      <c r="A157" s="486" t="n"/>
      <c r="B157" s="378">
        <f>IF(A157="","",IFERROR(VLOOKUP(A157,DB_Customers!$A:$D,4,0),"❌ Account Not Found"))</f>
        <v/>
      </c>
      <c r="C157" s="487">
        <f>IF(A157="","",IFERROR(VLOOKUP(A157,DB_Customers!$A:$N,14,0),""))</f>
        <v/>
      </c>
      <c r="D157" s="488">
        <f>IF(A157="","",TODAY())</f>
        <v/>
      </c>
      <c r="E157" s="510" t="n"/>
      <c r="F157" s="378" t="n"/>
      <c r="G157" s="511">
        <f>IF(OR(A157="",E157=""),"",IF(C157="","",C157-E157))</f>
        <v/>
      </c>
      <c r="H157" s="380" t="inlineStr">
        <is>
          <t>Agent 10</t>
        </is>
      </c>
      <c r="I157" s="491" t="n"/>
      <c r="J157" s="492">
        <f>IF(AND(A157&lt;&gt;"",E157&lt;&gt;""),IF(I157="","⚠️ Enter Code",IF(IFERROR(VLOOKUP(H157,DB_Agents!$B:$I,8,0),"")=I157,IF(C157&gt;=E157,"Successful","Unsuccessful"),"🔒 BLOCKED — Wrong Code")),"—")</f>
        <v/>
      </c>
      <c r="K157" s="493">
        <f>IF(J157="Successful",TEXT(TODAY(),"YYYY-MM-DD")&amp;" Auto","—")</f>
        <v/>
      </c>
      <c r="L157" s="494" t="n"/>
    </row>
    <row r="158" ht="15" customHeight="1" s="341">
      <c r="A158" s="495" t="n"/>
      <c r="B158" s="382">
        <f>IF(A158="","",IFERROR(VLOOKUP(A158,DB_Customers!$A:$D,4,0),"❌ Account Not Found"))</f>
        <v/>
      </c>
      <c r="C158" s="496">
        <f>IF(A158="","",IFERROR(VLOOKUP(A158,DB_Customers!$A:$N,14,0),""))</f>
        <v/>
      </c>
      <c r="D158" s="497">
        <f>IF(A158="","",TODAY())</f>
        <v/>
      </c>
      <c r="E158" s="510" t="n"/>
      <c r="F158" s="382" t="n"/>
      <c r="G158" s="512">
        <f>IF(OR(A158="",E158=""),"",IF(C158="","",C158-E158))</f>
        <v/>
      </c>
      <c r="H158" s="384" t="inlineStr">
        <is>
          <t>Agent 10</t>
        </is>
      </c>
      <c r="I158" s="491" t="n"/>
      <c r="J158" s="499">
        <f>IF(AND(A158&lt;&gt;"",E158&lt;&gt;""),IF(I158="","⚠️ Enter Code",IF(IFERROR(VLOOKUP(H158,DB_Agents!$B:$I,8,0),"")=I158,IF(C158&gt;=E158,"Successful","Unsuccessful"),"🔒 BLOCKED — Wrong Code")),"—")</f>
        <v/>
      </c>
      <c r="K158" s="500">
        <f>IF(J158="Successful",TEXT(TODAY(),"YYYY-MM-DD")&amp;" Auto","—")</f>
        <v/>
      </c>
      <c r="L158" s="501" t="n"/>
    </row>
    <row r="159" ht="15" customHeight="1" s="341">
      <c r="A159" s="486" t="n"/>
      <c r="B159" s="378">
        <f>IF(A159="","",IFERROR(VLOOKUP(A159,DB_Customers!$A:$D,4,0),"❌ Account Not Found"))</f>
        <v/>
      </c>
      <c r="C159" s="487">
        <f>IF(A159="","",IFERROR(VLOOKUP(A159,DB_Customers!$A:$N,14,0),""))</f>
        <v/>
      </c>
      <c r="D159" s="488">
        <f>IF(A159="","",TODAY())</f>
        <v/>
      </c>
      <c r="E159" s="510" t="n"/>
      <c r="F159" s="378" t="n"/>
      <c r="G159" s="511">
        <f>IF(OR(A159="",E159=""),"",IF(C159="","",C159-E159))</f>
        <v/>
      </c>
      <c r="H159" s="380" t="inlineStr">
        <is>
          <t>Agent 10</t>
        </is>
      </c>
      <c r="I159" s="491" t="n"/>
      <c r="J159" s="492">
        <f>IF(AND(A159&lt;&gt;"",E159&lt;&gt;""),IF(I159="","⚠️ Enter Code",IF(IFERROR(VLOOKUP(H159,DB_Agents!$B:$I,8,0),"")=I159,IF(C159&gt;=E159,"Successful","Unsuccessful"),"🔒 BLOCKED — Wrong Code")),"—")</f>
        <v/>
      </c>
      <c r="K159" s="493">
        <f>IF(J159="Successful",TEXT(TODAY(),"YYYY-MM-DD")&amp;" Auto","—")</f>
        <v/>
      </c>
      <c r="L159" s="494" t="n"/>
    </row>
    <row r="160" ht="15" customHeight="1" s="341">
      <c r="A160" s="495" t="n"/>
      <c r="B160" s="382">
        <f>IF(A160="","",IFERROR(VLOOKUP(A160,DB_Customers!$A:$D,4,0),"❌ Account Not Found"))</f>
        <v/>
      </c>
      <c r="C160" s="496">
        <f>IF(A160="","",IFERROR(VLOOKUP(A160,DB_Customers!$A:$N,14,0),""))</f>
        <v/>
      </c>
      <c r="D160" s="497">
        <f>IF(A160="","",TODAY())</f>
        <v/>
      </c>
      <c r="E160" s="510" t="n"/>
      <c r="F160" s="382" t="n"/>
      <c r="G160" s="512">
        <f>IF(OR(A160="",E160=""),"",IF(C160="","",C160-E160))</f>
        <v/>
      </c>
      <c r="H160" s="384" t="inlineStr">
        <is>
          <t>Agent 10</t>
        </is>
      </c>
      <c r="I160" s="491" t="n"/>
      <c r="J160" s="499">
        <f>IF(AND(A160&lt;&gt;"",E160&lt;&gt;""),IF(I160="","⚠️ Enter Code",IF(IFERROR(VLOOKUP(H160,DB_Agents!$B:$I,8,0),"")=I160,IF(C160&gt;=E160,"Successful","Unsuccessful"),"🔒 BLOCKED — Wrong Code")),"—")</f>
        <v/>
      </c>
      <c r="K160" s="500">
        <f>IF(J160="Successful",TEXT(TODAY(),"YYYY-MM-DD")&amp;" Auto","—")</f>
        <v/>
      </c>
      <c r="L160" s="501" t="n"/>
    </row>
    <row r="161" ht="15" customHeight="1" s="341">
      <c r="A161" s="486" t="n"/>
      <c r="B161" s="378">
        <f>IF(A161="","",IFERROR(VLOOKUP(A161,DB_Customers!$A:$D,4,0),"❌ Account Not Found"))</f>
        <v/>
      </c>
      <c r="C161" s="487">
        <f>IF(A161="","",IFERROR(VLOOKUP(A161,DB_Customers!$A:$N,14,0),""))</f>
        <v/>
      </c>
      <c r="D161" s="488">
        <f>IF(A161="","",TODAY())</f>
        <v/>
      </c>
      <c r="E161" s="510" t="n"/>
      <c r="F161" s="378" t="n"/>
      <c r="G161" s="511">
        <f>IF(OR(A161="",E161=""),"",IF(C161="","",C161-E161))</f>
        <v/>
      </c>
      <c r="H161" s="380" t="inlineStr">
        <is>
          <t>Agent 10</t>
        </is>
      </c>
      <c r="I161" s="491" t="n"/>
      <c r="J161" s="492">
        <f>IF(AND(A161&lt;&gt;"",E161&lt;&gt;""),IF(I161="","⚠️ Enter Code",IF(IFERROR(VLOOKUP(H161,DB_Agents!$B:$I,8,0),"")=I161,IF(C161&gt;=E161,"Successful","Unsuccessful"),"🔒 BLOCKED — Wrong Code")),"—")</f>
        <v/>
      </c>
      <c r="K161" s="493">
        <f>IF(J161="Successful",TEXT(TODAY(),"YYYY-MM-DD")&amp;" Auto","—")</f>
        <v/>
      </c>
      <c r="L161" s="494" t="n"/>
    </row>
    <row r="162" ht="15" customHeight="1" s="341">
      <c r="A162" s="495" t="n"/>
      <c r="B162" s="382">
        <f>IF(A162="","",IFERROR(VLOOKUP(A162,DB_Customers!$A:$D,4,0),"❌ Account Not Found"))</f>
        <v/>
      </c>
      <c r="C162" s="496">
        <f>IF(A162="","",IFERROR(VLOOKUP(A162,DB_Customers!$A:$N,14,0),""))</f>
        <v/>
      </c>
      <c r="D162" s="497">
        <f>IF(A162="","",TODAY())</f>
        <v/>
      </c>
      <c r="E162" s="510" t="n"/>
      <c r="F162" s="382" t="n"/>
      <c r="G162" s="512">
        <f>IF(OR(A162="",E162=""),"",IF(C162="","",C162-E162))</f>
        <v/>
      </c>
      <c r="H162" s="384" t="inlineStr">
        <is>
          <t>Agent 10</t>
        </is>
      </c>
      <c r="I162" s="491" t="n"/>
      <c r="J162" s="499">
        <f>IF(AND(A162&lt;&gt;"",E162&lt;&gt;""),IF(I162="","⚠️ Enter Code",IF(IFERROR(VLOOKUP(H162,DB_Agents!$B:$I,8,0),"")=I162,IF(C162&gt;=E162,"Successful","Unsuccessful"),"🔒 BLOCKED — Wrong Code")),"—")</f>
        <v/>
      </c>
      <c r="K162" s="500">
        <f>IF(J162="Successful",TEXT(TODAY(),"YYYY-MM-DD")&amp;" Auto","—")</f>
        <v/>
      </c>
      <c r="L162" s="501" t="n"/>
    </row>
    <row r="163" ht="15" customHeight="1" s="341">
      <c r="A163" s="486" t="n"/>
      <c r="B163" s="378">
        <f>IF(A163="","",IFERROR(VLOOKUP(A163,DB_Customers!$A:$D,4,0),"❌ Account Not Found"))</f>
        <v/>
      </c>
      <c r="C163" s="487">
        <f>IF(A163="","",IFERROR(VLOOKUP(A163,DB_Customers!$A:$N,14,0),""))</f>
        <v/>
      </c>
      <c r="D163" s="488">
        <f>IF(A163="","",TODAY())</f>
        <v/>
      </c>
      <c r="E163" s="510" t="n"/>
      <c r="F163" s="378" t="n"/>
      <c r="G163" s="511">
        <f>IF(OR(A163="",E163=""),"",IF(C163="","",C163-E163))</f>
        <v/>
      </c>
      <c r="H163" s="380" t="inlineStr">
        <is>
          <t>Agent 10</t>
        </is>
      </c>
      <c r="I163" s="491" t="n"/>
      <c r="J163" s="492">
        <f>IF(AND(A163&lt;&gt;"",E163&lt;&gt;""),IF(I163="","⚠️ Enter Code",IF(IFERROR(VLOOKUP(H163,DB_Agents!$B:$I,8,0),"")=I163,IF(C163&gt;=E163,"Successful","Unsuccessful"),"🔒 BLOCKED — Wrong Code")),"—")</f>
        <v/>
      </c>
      <c r="K163" s="493">
        <f>IF(J163="Successful",TEXT(TODAY(),"YYYY-MM-DD")&amp;" Auto","—")</f>
        <v/>
      </c>
      <c r="L163" s="494" t="n"/>
    </row>
    <row r="164" ht="15" customHeight="1" s="341">
      <c r="A164" s="495" t="n"/>
      <c r="B164" s="382">
        <f>IF(A164="","",IFERROR(VLOOKUP(A164,DB_Customers!$A:$D,4,0),"❌ Account Not Found"))</f>
        <v/>
      </c>
      <c r="C164" s="496">
        <f>IF(A164="","",IFERROR(VLOOKUP(A164,DB_Customers!$A:$N,14,0),""))</f>
        <v/>
      </c>
      <c r="D164" s="497">
        <f>IF(A164="","",TODAY())</f>
        <v/>
      </c>
      <c r="E164" s="510" t="n"/>
      <c r="F164" s="382" t="n"/>
      <c r="G164" s="512">
        <f>IF(OR(A164="",E164=""),"",IF(C164="","",C164-E164))</f>
        <v/>
      </c>
      <c r="H164" s="384" t="inlineStr">
        <is>
          <t>Agent 10</t>
        </is>
      </c>
      <c r="I164" s="491" t="n"/>
      <c r="J164" s="499">
        <f>IF(AND(A164&lt;&gt;"",E164&lt;&gt;""),IF(I164="","⚠️ Enter Code",IF(IFERROR(VLOOKUP(H164,DB_Agents!$B:$I,8,0),"")=I164,IF(C164&gt;=E164,"Successful","Unsuccessful"),"🔒 BLOCKED — Wrong Code")),"—")</f>
        <v/>
      </c>
      <c r="K164" s="500">
        <f>IF(J164="Successful",TEXT(TODAY(),"YYYY-MM-DD")&amp;" Auto","—")</f>
        <v/>
      </c>
      <c r="L164" s="501" t="n"/>
    </row>
    <row r="165" ht="15" customHeight="1" s="341">
      <c r="A165" s="486" t="n"/>
      <c r="B165" s="378">
        <f>IF(A165="","",IFERROR(VLOOKUP(A165,DB_Customers!$A:$D,4,0),"❌ Account Not Found"))</f>
        <v/>
      </c>
      <c r="C165" s="487">
        <f>IF(A165="","",IFERROR(VLOOKUP(A165,DB_Customers!$A:$N,14,0),""))</f>
        <v/>
      </c>
      <c r="D165" s="488">
        <f>IF(A165="","",TODAY())</f>
        <v/>
      </c>
      <c r="E165" s="510" t="n"/>
      <c r="F165" s="378" t="n"/>
      <c r="G165" s="511">
        <f>IF(OR(A165="",E165=""),"",IF(C165="","",C165-E165))</f>
        <v/>
      </c>
      <c r="H165" s="380" t="inlineStr">
        <is>
          <t>Agent 10</t>
        </is>
      </c>
      <c r="I165" s="491" t="n"/>
      <c r="J165" s="492">
        <f>IF(AND(A165&lt;&gt;"",E165&lt;&gt;""),IF(I165="","⚠️ Enter Code",IF(IFERROR(VLOOKUP(H165,DB_Agents!$B:$I,8,0),"")=I165,IF(C165&gt;=E165,"Successful","Unsuccessful"),"🔒 BLOCKED — Wrong Code")),"—")</f>
        <v/>
      </c>
      <c r="K165" s="493">
        <f>IF(J165="Successful",TEXT(TODAY(),"YYYY-MM-DD")&amp;" Auto","—")</f>
        <v/>
      </c>
      <c r="L165" s="494" t="n"/>
    </row>
    <row r="166" ht="15" customHeight="1" s="341">
      <c r="A166" s="495" t="n"/>
      <c r="B166" s="382">
        <f>IF(A166="","",IFERROR(VLOOKUP(A166,DB_Customers!$A:$D,4,0),"❌ Account Not Found"))</f>
        <v/>
      </c>
      <c r="C166" s="496">
        <f>IF(A166="","",IFERROR(VLOOKUP(A166,DB_Customers!$A:$N,14,0),""))</f>
        <v/>
      </c>
      <c r="D166" s="497">
        <f>IF(A166="","",TODAY())</f>
        <v/>
      </c>
      <c r="E166" s="510" t="n"/>
      <c r="F166" s="382" t="n"/>
      <c r="G166" s="512">
        <f>IF(OR(A166="",E166=""),"",IF(C166="","",C166-E166))</f>
        <v/>
      </c>
      <c r="H166" s="384" t="inlineStr">
        <is>
          <t>Agent 10</t>
        </is>
      </c>
      <c r="I166" s="491" t="n"/>
      <c r="J166" s="499">
        <f>IF(AND(A166&lt;&gt;"",E166&lt;&gt;""),IF(I166="","⚠️ Enter Code",IF(IFERROR(VLOOKUP(H166,DB_Agents!$B:$I,8,0),"")=I166,IF(C166&gt;=E166,"Successful","Unsuccessful"),"🔒 BLOCKED — Wrong Code")),"—")</f>
        <v/>
      </c>
      <c r="K166" s="500">
        <f>IF(J166="Successful",TEXT(TODAY(),"YYYY-MM-DD")&amp;" Auto","—")</f>
        <v/>
      </c>
      <c r="L166" s="501" t="n"/>
    </row>
    <row r="167" ht="15" customHeight="1" s="341">
      <c r="A167" s="486" t="n"/>
      <c r="B167" s="378">
        <f>IF(A167="","",IFERROR(VLOOKUP(A167,DB_Customers!$A:$D,4,0),"❌ Account Not Found"))</f>
        <v/>
      </c>
      <c r="C167" s="487">
        <f>IF(A167="","",IFERROR(VLOOKUP(A167,DB_Customers!$A:$N,14,0),""))</f>
        <v/>
      </c>
      <c r="D167" s="488">
        <f>IF(A167="","",TODAY())</f>
        <v/>
      </c>
      <c r="E167" s="510" t="n"/>
      <c r="F167" s="378" t="n"/>
      <c r="G167" s="511">
        <f>IF(OR(A167="",E167=""),"",IF(C167="","",C167-E167))</f>
        <v/>
      </c>
      <c r="H167" s="380" t="inlineStr">
        <is>
          <t>Agent 10</t>
        </is>
      </c>
      <c r="I167" s="491" t="n"/>
      <c r="J167" s="492">
        <f>IF(AND(A167&lt;&gt;"",E167&lt;&gt;""),IF(I167="","⚠️ Enter Code",IF(IFERROR(VLOOKUP(H167,DB_Agents!$B:$I,8,0),"")=I167,IF(C167&gt;=E167,"Successful","Unsuccessful"),"🔒 BLOCKED — Wrong Code")),"—")</f>
        <v/>
      </c>
      <c r="K167" s="493">
        <f>IF(J167="Successful",TEXT(TODAY(),"YYYY-MM-DD")&amp;" Auto","—")</f>
        <v/>
      </c>
      <c r="L167" s="494" t="n"/>
    </row>
    <row r="168" ht="15" customHeight="1" s="341">
      <c r="A168" s="495" t="n"/>
      <c r="B168" s="382">
        <f>IF(A168="","",IFERROR(VLOOKUP(A168,DB_Customers!$A:$D,4,0),"❌ Account Not Found"))</f>
        <v/>
      </c>
      <c r="C168" s="496">
        <f>IF(A168="","",IFERROR(VLOOKUP(A168,DB_Customers!$A:$N,14,0),""))</f>
        <v/>
      </c>
      <c r="D168" s="497">
        <f>IF(A168="","",TODAY())</f>
        <v/>
      </c>
      <c r="E168" s="510" t="n"/>
      <c r="F168" s="382" t="n"/>
      <c r="G168" s="512">
        <f>IF(OR(A168="",E168=""),"",IF(C168="","",C168-E168))</f>
        <v/>
      </c>
      <c r="H168" s="384" t="inlineStr">
        <is>
          <t>Agent 10</t>
        </is>
      </c>
      <c r="I168" s="491" t="n"/>
      <c r="J168" s="499">
        <f>IF(AND(A168&lt;&gt;"",E168&lt;&gt;""),IF(I168="","⚠️ Enter Code",IF(IFERROR(VLOOKUP(H168,DB_Agents!$B:$I,8,0),"")=I168,IF(C168&gt;=E168,"Successful","Unsuccessful"),"🔒 BLOCKED — Wrong Code")),"—")</f>
        <v/>
      </c>
      <c r="K168" s="500">
        <f>IF(J168="Successful",TEXT(TODAY(),"YYYY-MM-DD")&amp;" Auto","—")</f>
        <v/>
      </c>
      <c r="L168" s="501" t="n"/>
    </row>
    <row r="169" ht="15" customHeight="1" s="341">
      <c r="A169" s="486" t="n"/>
      <c r="B169" s="378">
        <f>IF(A169="","",IFERROR(VLOOKUP(A169,DB_Customers!$A:$D,4,0),"❌ Account Not Found"))</f>
        <v/>
      </c>
      <c r="C169" s="487">
        <f>IF(A169="","",IFERROR(VLOOKUP(A169,DB_Customers!$A:$N,14,0),""))</f>
        <v/>
      </c>
      <c r="D169" s="488">
        <f>IF(A169="","",TODAY())</f>
        <v/>
      </c>
      <c r="E169" s="510" t="n"/>
      <c r="F169" s="378" t="n"/>
      <c r="G169" s="511">
        <f>IF(OR(A169="",E169=""),"",IF(C169="","",C169-E169))</f>
        <v/>
      </c>
      <c r="H169" s="380" t="inlineStr">
        <is>
          <t>Agent 10</t>
        </is>
      </c>
      <c r="I169" s="491" t="n"/>
      <c r="J169" s="492">
        <f>IF(AND(A169&lt;&gt;"",E169&lt;&gt;""),IF(I169="","⚠️ Enter Code",IF(IFERROR(VLOOKUP(H169,DB_Agents!$B:$I,8,0),"")=I169,IF(C169&gt;=E169,"Successful","Unsuccessful"),"🔒 BLOCKED — Wrong Code")),"—")</f>
        <v/>
      </c>
      <c r="K169" s="493">
        <f>IF(J169="Successful",TEXT(TODAY(),"YYYY-MM-DD")&amp;" Auto","—")</f>
        <v/>
      </c>
      <c r="L169" s="494" t="n"/>
    </row>
    <row r="170" ht="15" customHeight="1" s="341">
      <c r="A170" s="495" t="n"/>
      <c r="B170" s="382">
        <f>IF(A170="","",IFERROR(VLOOKUP(A170,DB_Customers!$A:$D,4,0),"❌ Account Not Found"))</f>
        <v/>
      </c>
      <c r="C170" s="496">
        <f>IF(A170="","",IFERROR(VLOOKUP(A170,DB_Customers!$A:$N,14,0),""))</f>
        <v/>
      </c>
      <c r="D170" s="497">
        <f>IF(A170="","",TODAY())</f>
        <v/>
      </c>
      <c r="E170" s="510" t="n"/>
      <c r="F170" s="382" t="n"/>
      <c r="G170" s="512">
        <f>IF(OR(A170="",E170=""),"",IF(C170="","",C170-E170))</f>
        <v/>
      </c>
      <c r="H170" s="384" t="inlineStr">
        <is>
          <t>Agent 10</t>
        </is>
      </c>
      <c r="I170" s="491" t="n"/>
      <c r="J170" s="499">
        <f>IF(AND(A170&lt;&gt;"",E170&lt;&gt;""),IF(I170="","⚠️ Enter Code",IF(IFERROR(VLOOKUP(H170,DB_Agents!$B:$I,8,0),"")=I170,IF(C170&gt;=E170,"Successful","Unsuccessful"),"🔒 BLOCKED — Wrong Code")),"—")</f>
        <v/>
      </c>
      <c r="K170" s="500">
        <f>IF(J170="Successful",TEXT(TODAY(),"YYYY-MM-DD")&amp;" Auto","—")</f>
        <v/>
      </c>
      <c r="L170" s="501" t="n"/>
    </row>
    <row r="171" ht="15" customHeight="1" s="341">
      <c r="A171" s="486" t="n"/>
      <c r="B171" s="378">
        <f>IF(A171="","",IFERROR(VLOOKUP(A171,DB_Customers!$A:$D,4,0),"❌ Account Not Found"))</f>
        <v/>
      </c>
      <c r="C171" s="487">
        <f>IF(A171="","",IFERROR(VLOOKUP(A171,DB_Customers!$A:$N,14,0),""))</f>
        <v/>
      </c>
      <c r="D171" s="488">
        <f>IF(A171="","",TODAY())</f>
        <v/>
      </c>
      <c r="E171" s="510" t="n"/>
      <c r="F171" s="378" t="n"/>
      <c r="G171" s="511">
        <f>IF(OR(A171="",E171=""),"",IF(C171="","",C171-E171))</f>
        <v/>
      </c>
      <c r="H171" s="380" t="inlineStr">
        <is>
          <t>Agent 10</t>
        </is>
      </c>
      <c r="I171" s="491" t="n"/>
      <c r="J171" s="492">
        <f>IF(AND(A171&lt;&gt;"",E171&lt;&gt;""),IF(I171="","⚠️ Enter Code",IF(IFERROR(VLOOKUP(H171,DB_Agents!$B:$I,8,0),"")=I171,IF(C171&gt;=E171,"Successful","Unsuccessful"),"🔒 BLOCKED — Wrong Code")),"—")</f>
        <v/>
      </c>
      <c r="K171" s="493">
        <f>IF(J171="Successful",TEXT(TODAY(),"YYYY-MM-DD")&amp;" Auto","—")</f>
        <v/>
      </c>
      <c r="L171" s="494" t="n"/>
    </row>
    <row r="172" ht="15" customHeight="1" s="341">
      <c r="A172" s="495" t="n"/>
      <c r="B172" s="382">
        <f>IF(A172="","",IFERROR(VLOOKUP(A172,DB_Customers!$A:$D,4,0),"❌ Account Not Found"))</f>
        <v/>
      </c>
      <c r="C172" s="496">
        <f>IF(A172="","",IFERROR(VLOOKUP(A172,DB_Customers!$A:$N,14,0),""))</f>
        <v/>
      </c>
      <c r="D172" s="497">
        <f>IF(A172="","",TODAY())</f>
        <v/>
      </c>
      <c r="E172" s="510" t="n"/>
      <c r="F172" s="382" t="n"/>
      <c r="G172" s="512">
        <f>IF(OR(A172="",E172=""),"",IF(C172="","",C172-E172))</f>
        <v/>
      </c>
      <c r="H172" s="384" t="inlineStr">
        <is>
          <t>Agent 10</t>
        </is>
      </c>
      <c r="I172" s="491" t="n"/>
      <c r="J172" s="499">
        <f>IF(AND(A172&lt;&gt;"",E172&lt;&gt;""),IF(I172="","⚠️ Enter Code",IF(IFERROR(VLOOKUP(H172,DB_Agents!$B:$I,8,0),"")=I172,IF(C172&gt;=E172,"Successful","Unsuccessful"),"🔒 BLOCKED — Wrong Code")),"—")</f>
        <v/>
      </c>
      <c r="K172" s="500">
        <f>IF(J172="Successful",TEXT(TODAY(),"YYYY-MM-DD")&amp;" Auto","—")</f>
        <v/>
      </c>
      <c r="L172" s="501" t="n"/>
    </row>
    <row r="173" ht="15" customHeight="1" s="341">
      <c r="A173" s="486" t="n"/>
      <c r="B173" s="378">
        <f>IF(A173="","",IFERROR(VLOOKUP(A173,DB_Customers!$A:$D,4,0),"❌ Account Not Found"))</f>
        <v/>
      </c>
      <c r="C173" s="487">
        <f>IF(A173="","",IFERROR(VLOOKUP(A173,DB_Customers!$A:$N,14,0),""))</f>
        <v/>
      </c>
      <c r="D173" s="488">
        <f>IF(A173="","",TODAY())</f>
        <v/>
      </c>
      <c r="E173" s="510" t="n"/>
      <c r="F173" s="378" t="n"/>
      <c r="G173" s="511">
        <f>IF(OR(A173="",E173=""),"",IF(C173="","",C173-E173))</f>
        <v/>
      </c>
      <c r="H173" s="380" t="inlineStr">
        <is>
          <t>Agent 10</t>
        </is>
      </c>
      <c r="I173" s="491" t="n"/>
      <c r="J173" s="492">
        <f>IF(AND(A173&lt;&gt;"",E173&lt;&gt;""),IF(I173="","⚠️ Enter Code",IF(IFERROR(VLOOKUP(H173,DB_Agents!$B:$I,8,0),"")=I173,IF(C173&gt;=E173,"Successful","Unsuccessful"),"🔒 BLOCKED — Wrong Code")),"—")</f>
        <v/>
      </c>
      <c r="K173" s="493">
        <f>IF(J173="Successful",TEXT(TODAY(),"YYYY-MM-DD")&amp;" Auto","—")</f>
        <v/>
      </c>
      <c r="L173" s="494" t="n"/>
    </row>
    <row r="174" ht="15" customHeight="1" s="341">
      <c r="A174" s="495" t="n"/>
      <c r="B174" s="382">
        <f>IF(A174="","",IFERROR(VLOOKUP(A174,DB_Customers!$A:$D,4,0),"❌ Account Not Found"))</f>
        <v/>
      </c>
      <c r="C174" s="496">
        <f>IF(A174="","",IFERROR(VLOOKUP(A174,DB_Customers!$A:$N,14,0),""))</f>
        <v/>
      </c>
      <c r="D174" s="497">
        <f>IF(A174="","",TODAY())</f>
        <v/>
      </c>
      <c r="E174" s="510" t="n"/>
      <c r="F174" s="382" t="n"/>
      <c r="G174" s="512">
        <f>IF(OR(A174="",E174=""),"",IF(C174="","",C174-E174))</f>
        <v/>
      </c>
      <c r="H174" s="384" t="inlineStr">
        <is>
          <t>Agent 10</t>
        </is>
      </c>
      <c r="I174" s="491" t="n"/>
      <c r="J174" s="499">
        <f>IF(AND(A174&lt;&gt;"",E174&lt;&gt;""),IF(I174="","⚠️ Enter Code",IF(IFERROR(VLOOKUP(H174,DB_Agents!$B:$I,8,0),"")=I174,IF(C174&gt;=E174,"Successful","Unsuccessful"),"🔒 BLOCKED — Wrong Code")),"—")</f>
        <v/>
      </c>
      <c r="K174" s="500">
        <f>IF(J174="Successful",TEXT(TODAY(),"YYYY-MM-DD")&amp;" Auto","—")</f>
        <v/>
      </c>
      <c r="L174" s="501" t="n"/>
    </row>
    <row r="175" ht="15" customHeight="1" s="341">
      <c r="A175" s="486" t="n"/>
      <c r="B175" s="378">
        <f>IF(A175="","",IFERROR(VLOOKUP(A175,DB_Customers!$A:$D,4,0),"❌ Account Not Found"))</f>
        <v/>
      </c>
      <c r="C175" s="487">
        <f>IF(A175="","",IFERROR(VLOOKUP(A175,DB_Customers!$A:$N,14,0),""))</f>
        <v/>
      </c>
      <c r="D175" s="488">
        <f>IF(A175="","",TODAY())</f>
        <v/>
      </c>
      <c r="E175" s="510" t="n"/>
      <c r="F175" s="378" t="n"/>
      <c r="G175" s="511">
        <f>IF(OR(A175="",E175=""),"",IF(C175="","",C175-E175))</f>
        <v/>
      </c>
      <c r="H175" s="380" t="inlineStr">
        <is>
          <t>Agent 10</t>
        </is>
      </c>
      <c r="I175" s="491" t="n"/>
      <c r="J175" s="492">
        <f>IF(AND(A175&lt;&gt;"",E175&lt;&gt;""),IF(I175="","⚠️ Enter Code",IF(IFERROR(VLOOKUP(H175,DB_Agents!$B:$I,8,0),"")=I175,IF(C175&gt;=E175,"Successful","Unsuccessful"),"🔒 BLOCKED — Wrong Code")),"—")</f>
        <v/>
      </c>
      <c r="K175" s="493">
        <f>IF(J175="Successful",TEXT(TODAY(),"YYYY-MM-DD")&amp;" Auto","—")</f>
        <v/>
      </c>
      <c r="L175" s="494" t="n"/>
    </row>
    <row r="176" ht="15" customHeight="1" s="341">
      <c r="A176" s="495" t="n"/>
      <c r="B176" s="382">
        <f>IF(A176="","",IFERROR(VLOOKUP(A176,DB_Customers!$A:$D,4,0),"❌ Account Not Found"))</f>
        <v/>
      </c>
      <c r="C176" s="496">
        <f>IF(A176="","",IFERROR(VLOOKUP(A176,DB_Customers!$A:$N,14,0),""))</f>
        <v/>
      </c>
      <c r="D176" s="497">
        <f>IF(A176="","",TODAY())</f>
        <v/>
      </c>
      <c r="E176" s="510" t="n"/>
      <c r="F176" s="382" t="n"/>
      <c r="G176" s="512">
        <f>IF(OR(A176="",E176=""),"",IF(C176="","",C176-E176))</f>
        <v/>
      </c>
      <c r="H176" s="384" t="inlineStr">
        <is>
          <t>Agent 10</t>
        </is>
      </c>
      <c r="I176" s="491" t="n"/>
      <c r="J176" s="499">
        <f>IF(AND(A176&lt;&gt;"",E176&lt;&gt;""),IF(I176="","⚠️ Enter Code",IF(IFERROR(VLOOKUP(H176,DB_Agents!$B:$I,8,0),"")=I176,IF(C176&gt;=E176,"Successful","Unsuccessful"),"🔒 BLOCKED — Wrong Code")),"—")</f>
        <v/>
      </c>
      <c r="K176" s="500">
        <f>IF(J176="Successful",TEXT(TODAY(),"YYYY-MM-DD")&amp;" Auto","—")</f>
        <v/>
      </c>
      <c r="L176" s="501" t="n"/>
    </row>
    <row r="177" ht="15" customHeight="1" s="341">
      <c r="A177" s="486" t="n"/>
      <c r="B177" s="378">
        <f>IF(A177="","",IFERROR(VLOOKUP(A177,DB_Customers!$A:$D,4,0),"❌ Account Not Found"))</f>
        <v/>
      </c>
      <c r="C177" s="487">
        <f>IF(A177="","",IFERROR(VLOOKUP(A177,DB_Customers!$A:$N,14,0),""))</f>
        <v/>
      </c>
      <c r="D177" s="488">
        <f>IF(A177="","",TODAY())</f>
        <v/>
      </c>
      <c r="E177" s="510" t="n"/>
      <c r="F177" s="378" t="n"/>
      <c r="G177" s="511">
        <f>IF(OR(A177="",E177=""),"",IF(C177="","",C177-E177))</f>
        <v/>
      </c>
      <c r="H177" s="380" t="inlineStr">
        <is>
          <t>Agent 10</t>
        </is>
      </c>
      <c r="I177" s="491" t="n"/>
      <c r="J177" s="492">
        <f>IF(AND(A177&lt;&gt;"",E177&lt;&gt;""),IF(I177="","⚠️ Enter Code",IF(IFERROR(VLOOKUP(H177,DB_Agents!$B:$I,8,0),"")=I177,IF(C177&gt;=E177,"Successful","Unsuccessful"),"🔒 BLOCKED — Wrong Code")),"—")</f>
        <v/>
      </c>
      <c r="K177" s="493">
        <f>IF(J177="Successful",TEXT(TODAY(),"YYYY-MM-DD")&amp;" Auto","—")</f>
        <v/>
      </c>
      <c r="L177" s="494" t="n"/>
    </row>
    <row r="178" ht="15" customHeight="1" s="341">
      <c r="A178" s="495" t="n"/>
      <c r="B178" s="382">
        <f>IF(A178="","",IFERROR(VLOOKUP(A178,DB_Customers!$A:$D,4,0),"❌ Account Not Found"))</f>
        <v/>
      </c>
      <c r="C178" s="496">
        <f>IF(A178="","",IFERROR(VLOOKUP(A178,DB_Customers!$A:$N,14,0),""))</f>
        <v/>
      </c>
      <c r="D178" s="497">
        <f>IF(A178="","",TODAY())</f>
        <v/>
      </c>
      <c r="E178" s="510" t="n"/>
      <c r="F178" s="382" t="n"/>
      <c r="G178" s="512">
        <f>IF(OR(A178="",E178=""),"",IF(C178="","",C178-E178))</f>
        <v/>
      </c>
      <c r="H178" s="384" t="inlineStr">
        <is>
          <t>Agent 10</t>
        </is>
      </c>
      <c r="I178" s="491" t="n"/>
      <c r="J178" s="499">
        <f>IF(AND(A178&lt;&gt;"",E178&lt;&gt;""),IF(I178="","⚠️ Enter Code",IF(IFERROR(VLOOKUP(H178,DB_Agents!$B:$I,8,0),"")=I178,IF(C178&gt;=E178,"Successful","Unsuccessful"),"🔒 BLOCKED — Wrong Code")),"—")</f>
        <v/>
      </c>
      <c r="K178" s="500">
        <f>IF(J178="Successful",TEXT(TODAY(),"YYYY-MM-DD")&amp;" Auto","—")</f>
        <v/>
      </c>
      <c r="L178" s="501" t="n"/>
    </row>
    <row r="179" ht="15" customHeight="1" s="341">
      <c r="A179" s="486" t="n"/>
      <c r="B179" s="378">
        <f>IF(A179="","",IFERROR(VLOOKUP(A179,DB_Customers!$A:$D,4,0),"❌ Account Not Found"))</f>
        <v/>
      </c>
      <c r="C179" s="487">
        <f>IF(A179="","",IFERROR(VLOOKUP(A179,DB_Customers!$A:$N,14,0),""))</f>
        <v/>
      </c>
      <c r="D179" s="488">
        <f>IF(A179="","",TODAY())</f>
        <v/>
      </c>
      <c r="E179" s="510" t="n"/>
      <c r="F179" s="378" t="n"/>
      <c r="G179" s="511">
        <f>IF(OR(A179="",E179=""),"",IF(C179="","",C179-E179))</f>
        <v/>
      </c>
      <c r="H179" s="380" t="inlineStr">
        <is>
          <t>Agent 10</t>
        </is>
      </c>
      <c r="I179" s="491" t="n"/>
      <c r="J179" s="492">
        <f>IF(AND(A179&lt;&gt;"",E179&lt;&gt;""),IF(I179="","⚠️ Enter Code",IF(IFERROR(VLOOKUP(H179,DB_Agents!$B:$I,8,0),"")=I179,IF(C179&gt;=E179,"Successful","Unsuccessful"),"🔒 BLOCKED — Wrong Code")),"—")</f>
        <v/>
      </c>
      <c r="K179" s="493">
        <f>IF(J179="Successful",TEXT(TODAY(),"YYYY-MM-DD")&amp;" Auto","—")</f>
        <v/>
      </c>
      <c r="L179" s="494" t="n"/>
    </row>
    <row r="180" ht="15" customHeight="1" s="341">
      <c r="A180" s="495" t="n"/>
      <c r="B180" s="382">
        <f>IF(A180="","",IFERROR(VLOOKUP(A180,DB_Customers!$A:$D,4,0),"❌ Account Not Found"))</f>
        <v/>
      </c>
      <c r="C180" s="496">
        <f>IF(A180="","",IFERROR(VLOOKUP(A180,DB_Customers!$A:$N,14,0),""))</f>
        <v/>
      </c>
      <c r="D180" s="497">
        <f>IF(A180="","",TODAY())</f>
        <v/>
      </c>
      <c r="E180" s="510" t="n"/>
      <c r="F180" s="382" t="n"/>
      <c r="G180" s="512">
        <f>IF(OR(A180="",E180=""),"",IF(C180="","",C180-E180))</f>
        <v/>
      </c>
      <c r="H180" s="384" t="inlineStr">
        <is>
          <t>Agent 10</t>
        </is>
      </c>
      <c r="I180" s="491" t="n"/>
      <c r="J180" s="499">
        <f>IF(AND(A180&lt;&gt;"",E180&lt;&gt;""),IF(I180="","⚠️ Enter Code",IF(IFERROR(VLOOKUP(H180,DB_Agents!$B:$I,8,0),"")=I180,IF(C180&gt;=E180,"Successful","Unsuccessful"),"🔒 BLOCKED — Wrong Code")),"—")</f>
        <v/>
      </c>
      <c r="K180" s="500">
        <f>IF(J180="Successful",TEXT(TODAY(),"YYYY-MM-DD")&amp;" Auto","—")</f>
        <v/>
      </c>
      <c r="L180" s="501" t="n"/>
    </row>
    <row r="181" ht="15" customHeight="1" s="341">
      <c r="A181" s="486" t="n"/>
      <c r="B181" s="378">
        <f>IF(A181="","",IFERROR(VLOOKUP(A181,DB_Customers!$A:$D,4,0),"❌ Account Not Found"))</f>
        <v/>
      </c>
      <c r="C181" s="487">
        <f>IF(A181="","",IFERROR(VLOOKUP(A181,DB_Customers!$A:$N,14,0),""))</f>
        <v/>
      </c>
      <c r="D181" s="488">
        <f>IF(A181="","",TODAY())</f>
        <v/>
      </c>
      <c r="E181" s="510" t="n"/>
      <c r="F181" s="378" t="n"/>
      <c r="G181" s="511">
        <f>IF(OR(A181="",E181=""),"",IF(C181="","",C181-E181))</f>
        <v/>
      </c>
      <c r="H181" s="380" t="inlineStr">
        <is>
          <t>Agent 10</t>
        </is>
      </c>
      <c r="I181" s="491" t="n"/>
      <c r="J181" s="492">
        <f>IF(AND(A181&lt;&gt;"",E181&lt;&gt;""),IF(I181="","⚠️ Enter Code",IF(IFERROR(VLOOKUP(H181,DB_Agents!$B:$I,8,0),"")=I181,IF(C181&gt;=E181,"Successful","Unsuccessful"),"🔒 BLOCKED — Wrong Code")),"—")</f>
        <v/>
      </c>
      <c r="K181" s="493">
        <f>IF(J181="Successful",TEXT(TODAY(),"YYYY-MM-DD")&amp;" Auto","—")</f>
        <v/>
      </c>
      <c r="L181" s="494" t="n"/>
    </row>
    <row r="182" ht="15" customHeight="1" s="341">
      <c r="A182" s="495" t="n"/>
      <c r="B182" s="382">
        <f>IF(A182="","",IFERROR(VLOOKUP(A182,DB_Customers!$A:$D,4,0),"❌ Account Not Found"))</f>
        <v/>
      </c>
      <c r="C182" s="496">
        <f>IF(A182="","",IFERROR(VLOOKUP(A182,DB_Customers!$A:$N,14,0),""))</f>
        <v/>
      </c>
      <c r="D182" s="497">
        <f>IF(A182="","",TODAY())</f>
        <v/>
      </c>
      <c r="E182" s="510" t="n"/>
      <c r="F182" s="382" t="n"/>
      <c r="G182" s="512">
        <f>IF(OR(A182="",E182=""),"",IF(C182="","",C182-E182))</f>
        <v/>
      </c>
      <c r="H182" s="384" t="inlineStr">
        <is>
          <t>Agent 10</t>
        </is>
      </c>
      <c r="I182" s="491" t="n"/>
      <c r="J182" s="499">
        <f>IF(AND(A182&lt;&gt;"",E182&lt;&gt;""),IF(I182="","⚠️ Enter Code",IF(IFERROR(VLOOKUP(H182,DB_Agents!$B:$I,8,0),"")=I182,IF(C182&gt;=E182,"Successful","Unsuccessful"),"🔒 BLOCKED — Wrong Code")),"—")</f>
        <v/>
      </c>
      <c r="K182" s="500">
        <f>IF(J182="Successful",TEXT(TODAY(),"YYYY-MM-DD")&amp;" Auto","—")</f>
        <v/>
      </c>
      <c r="L182" s="501" t="n"/>
    </row>
    <row r="183" ht="15" customHeight="1" s="341">
      <c r="A183" s="486" t="n"/>
      <c r="B183" s="378">
        <f>IF(A183="","",IFERROR(VLOOKUP(A183,DB_Customers!$A:$D,4,0),"❌ Account Not Found"))</f>
        <v/>
      </c>
      <c r="C183" s="487">
        <f>IF(A183="","",IFERROR(VLOOKUP(A183,DB_Customers!$A:$N,14,0),""))</f>
        <v/>
      </c>
      <c r="D183" s="488">
        <f>IF(A183="","",TODAY())</f>
        <v/>
      </c>
      <c r="E183" s="510" t="n"/>
      <c r="F183" s="378" t="n"/>
      <c r="G183" s="511">
        <f>IF(OR(A183="",E183=""),"",IF(C183="","",C183-E183))</f>
        <v/>
      </c>
      <c r="H183" s="380" t="inlineStr">
        <is>
          <t>Agent 10</t>
        </is>
      </c>
      <c r="I183" s="491" t="n"/>
      <c r="J183" s="492">
        <f>IF(AND(A183&lt;&gt;"",E183&lt;&gt;""),IF(I183="","⚠️ Enter Code",IF(IFERROR(VLOOKUP(H183,DB_Agents!$B:$I,8,0),"")=I183,IF(C183&gt;=E183,"Successful","Unsuccessful"),"🔒 BLOCKED — Wrong Code")),"—")</f>
        <v/>
      </c>
      <c r="K183" s="493">
        <f>IF(J183="Successful",TEXT(TODAY(),"YYYY-MM-DD")&amp;" Auto","—")</f>
        <v/>
      </c>
      <c r="L183" s="494" t="n"/>
    </row>
    <row r="184" ht="15" customHeight="1" s="341">
      <c r="A184" s="495" t="n"/>
      <c r="B184" s="382">
        <f>IF(A184="","",IFERROR(VLOOKUP(A184,DB_Customers!$A:$D,4,0),"❌ Account Not Found"))</f>
        <v/>
      </c>
      <c r="C184" s="496">
        <f>IF(A184="","",IFERROR(VLOOKUP(A184,DB_Customers!$A:$N,14,0),""))</f>
        <v/>
      </c>
      <c r="D184" s="497">
        <f>IF(A184="","",TODAY())</f>
        <v/>
      </c>
      <c r="E184" s="510" t="n"/>
      <c r="F184" s="382" t="n"/>
      <c r="G184" s="512">
        <f>IF(OR(A184="",E184=""),"",IF(C184="","",C184-E184))</f>
        <v/>
      </c>
      <c r="H184" s="384" t="inlineStr">
        <is>
          <t>Agent 10</t>
        </is>
      </c>
      <c r="I184" s="491" t="n"/>
      <c r="J184" s="499">
        <f>IF(AND(A184&lt;&gt;"",E184&lt;&gt;""),IF(I184="","⚠️ Enter Code",IF(IFERROR(VLOOKUP(H184,DB_Agents!$B:$I,8,0),"")=I184,IF(C184&gt;=E184,"Successful","Unsuccessful"),"🔒 BLOCKED — Wrong Code")),"—")</f>
        <v/>
      </c>
      <c r="K184" s="500">
        <f>IF(J184="Successful",TEXT(TODAY(),"YYYY-MM-DD")&amp;" Auto","—")</f>
        <v/>
      </c>
      <c r="L184" s="501" t="n"/>
    </row>
    <row r="185" ht="15" customHeight="1" s="341">
      <c r="A185" s="486" t="n"/>
      <c r="B185" s="378">
        <f>IF(A185="","",IFERROR(VLOOKUP(A185,DB_Customers!$A:$D,4,0),"❌ Account Not Found"))</f>
        <v/>
      </c>
      <c r="C185" s="487">
        <f>IF(A185="","",IFERROR(VLOOKUP(A185,DB_Customers!$A:$N,14,0),""))</f>
        <v/>
      </c>
      <c r="D185" s="488">
        <f>IF(A185="","",TODAY())</f>
        <v/>
      </c>
      <c r="E185" s="510" t="n"/>
      <c r="F185" s="378" t="n"/>
      <c r="G185" s="511">
        <f>IF(OR(A185="",E185=""),"",IF(C185="","",C185-E185))</f>
        <v/>
      </c>
      <c r="H185" s="380" t="inlineStr">
        <is>
          <t>Agent 10</t>
        </is>
      </c>
      <c r="I185" s="491" t="n"/>
      <c r="J185" s="492">
        <f>IF(AND(A185&lt;&gt;"",E185&lt;&gt;""),IF(I185="","⚠️ Enter Code",IF(IFERROR(VLOOKUP(H185,DB_Agents!$B:$I,8,0),"")=I185,IF(C185&gt;=E185,"Successful","Unsuccessful"),"🔒 BLOCKED — Wrong Code")),"—")</f>
        <v/>
      </c>
      <c r="K185" s="493">
        <f>IF(J185="Successful",TEXT(TODAY(),"YYYY-MM-DD")&amp;" Auto","—")</f>
        <v/>
      </c>
      <c r="L185" s="494" t="n"/>
    </row>
    <row r="186" ht="15" customHeight="1" s="341">
      <c r="A186" s="495" t="n"/>
      <c r="B186" s="382">
        <f>IF(A186="","",IFERROR(VLOOKUP(A186,DB_Customers!$A:$D,4,0),"❌ Account Not Found"))</f>
        <v/>
      </c>
      <c r="C186" s="496">
        <f>IF(A186="","",IFERROR(VLOOKUP(A186,DB_Customers!$A:$N,14,0),""))</f>
        <v/>
      </c>
      <c r="D186" s="497">
        <f>IF(A186="","",TODAY())</f>
        <v/>
      </c>
      <c r="E186" s="510" t="n"/>
      <c r="F186" s="382" t="n"/>
      <c r="G186" s="512">
        <f>IF(OR(A186="",E186=""),"",IF(C186="","",C186-E186))</f>
        <v/>
      </c>
      <c r="H186" s="384" t="inlineStr">
        <is>
          <t>Agent 10</t>
        </is>
      </c>
      <c r="I186" s="491" t="n"/>
      <c r="J186" s="499">
        <f>IF(AND(A186&lt;&gt;"",E186&lt;&gt;""),IF(I186="","⚠️ Enter Code",IF(IFERROR(VLOOKUP(H186,DB_Agents!$B:$I,8,0),"")=I186,IF(C186&gt;=E186,"Successful","Unsuccessful"),"🔒 BLOCKED — Wrong Code")),"—")</f>
        <v/>
      </c>
      <c r="K186" s="500">
        <f>IF(J186="Successful",TEXT(TODAY(),"YYYY-MM-DD")&amp;" Auto","—")</f>
        <v/>
      </c>
      <c r="L186" s="501" t="n"/>
    </row>
    <row r="187" ht="15" customHeight="1" s="341">
      <c r="A187" s="486" t="n"/>
      <c r="B187" s="378">
        <f>IF(A187="","",IFERROR(VLOOKUP(A187,DB_Customers!$A:$D,4,0),"❌ Account Not Found"))</f>
        <v/>
      </c>
      <c r="C187" s="487">
        <f>IF(A187="","",IFERROR(VLOOKUP(A187,DB_Customers!$A:$N,14,0),""))</f>
        <v/>
      </c>
      <c r="D187" s="488">
        <f>IF(A187="","",TODAY())</f>
        <v/>
      </c>
      <c r="E187" s="510" t="n"/>
      <c r="F187" s="378" t="n"/>
      <c r="G187" s="511">
        <f>IF(OR(A187="",E187=""),"",IF(C187="","",C187-E187))</f>
        <v/>
      </c>
      <c r="H187" s="380" t="inlineStr">
        <is>
          <t>Agent 10</t>
        </is>
      </c>
      <c r="I187" s="491" t="n"/>
      <c r="J187" s="492">
        <f>IF(AND(A187&lt;&gt;"",E187&lt;&gt;""),IF(I187="","⚠️ Enter Code",IF(IFERROR(VLOOKUP(H187,DB_Agents!$B:$I,8,0),"")=I187,IF(C187&gt;=E187,"Successful","Unsuccessful"),"🔒 BLOCKED — Wrong Code")),"—")</f>
        <v/>
      </c>
      <c r="K187" s="493">
        <f>IF(J187="Successful",TEXT(TODAY(),"YYYY-MM-DD")&amp;" Auto","—")</f>
        <v/>
      </c>
      <c r="L187" s="494" t="n"/>
    </row>
    <row r="188" ht="15" customHeight="1" s="341">
      <c r="A188" s="495" t="n"/>
      <c r="B188" s="382">
        <f>IF(A188="","",IFERROR(VLOOKUP(A188,DB_Customers!$A:$D,4,0),"❌ Account Not Found"))</f>
        <v/>
      </c>
      <c r="C188" s="496">
        <f>IF(A188="","",IFERROR(VLOOKUP(A188,DB_Customers!$A:$N,14,0),""))</f>
        <v/>
      </c>
      <c r="D188" s="497">
        <f>IF(A188="","",TODAY())</f>
        <v/>
      </c>
      <c r="E188" s="510" t="n"/>
      <c r="F188" s="382" t="n"/>
      <c r="G188" s="512">
        <f>IF(OR(A188="",E188=""),"",IF(C188="","",C188-E188))</f>
        <v/>
      </c>
      <c r="H188" s="384" t="inlineStr">
        <is>
          <t>Agent 10</t>
        </is>
      </c>
      <c r="I188" s="491" t="n"/>
      <c r="J188" s="499">
        <f>IF(AND(A188&lt;&gt;"",E188&lt;&gt;""),IF(I188="","⚠️ Enter Code",IF(IFERROR(VLOOKUP(H188,DB_Agents!$B:$I,8,0),"")=I188,IF(C188&gt;=E188,"Successful","Unsuccessful"),"🔒 BLOCKED — Wrong Code")),"—")</f>
        <v/>
      </c>
      <c r="K188" s="500">
        <f>IF(J188="Successful",TEXT(TODAY(),"YYYY-MM-DD")&amp;" Auto","—")</f>
        <v/>
      </c>
      <c r="L188" s="501" t="n"/>
    </row>
    <row r="189" ht="15" customHeight="1" s="341">
      <c r="A189" s="486" t="n"/>
      <c r="B189" s="378">
        <f>IF(A189="","",IFERROR(VLOOKUP(A189,DB_Customers!$A:$D,4,0),"❌ Account Not Found"))</f>
        <v/>
      </c>
      <c r="C189" s="487">
        <f>IF(A189="","",IFERROR(VLOOKUP(A189,DB_Customers!$A:$N,14,0),""))</f>
        <v/>
      </c>
      <c r="D189" s="488">
        <f>IF(A189="","",TODAY())</f>
        <v/>
      </c>
      <c r="E189" s="510" t="n"/>
      <c r="F189" s="378" t="n"/>
      <c r="G189" s="511">
        <f>IF(OR(A189="",E189=""),"",IF(C189="","",C189-E189))</f>
        <v/>
      </c>
      <c r="H189" s="380" t="inlineStr">
        <is>
          <t>Agent 10</t>
        </is>
      </c>
      <c r="I189" s="491" t="n"/>
      <c r="J189" s="492">
        <f>IF(AND(A189&lt;&gt;"",E189&lt;&gt;""),IF(I189="","⚠️ Enter Code",IF(IFERROR(VLOOKUP(H189,DB_Agents!$B:$I,8,0),"")=I189,IF(C189&gt;=E189,"Successful","Unsuccessful"),"🔒 BLOCKED — Wrong Code")),"—")</f>
        <v/>
      </c>
      <c r="K189" s="493">
        <f>IF(J189="Successful",TEXT(TODAY(),"YYYY-MM-DD")&amp;" Auto","—")</f>
        <v/>
      </c>
      <c r="L189" s="494" t="n"/>
    </row>
    <row r="190" ht="15" customHeight="1" s="341">
      <c r="A190" s="495" t="n"/>
      <c r="B190" s="382">
        <f>IF(A190="","",IFERROR(VLOOKUP(A190,DB_Customers!$A:$D,4,0),"❌ Account Not Found"))</f>
        <v/>
      </c>
      <c r="C190" s="496">
        <f>IF(A190="","",IFERROR(VLOOKUP(A190,DB_Customers!$A:$N,14,0),""))</f>
        <v/>
      </c>
      <c r="D190" s="497">
        <f>IF(A190="","",TODAY())</f>
        <v/>
      </c>
      <c r="E190" s="510" t="n"/>
      <c r="F190" s="382" t="n"/>
      <c r="G190" s="512">
        <f>IF(OR(A190="",E190=""),"",IF(C190="","",C190-E190))</f>
        <v/>
      </c>
      <c r="H190" s="384" t="inlineStr">
        <is>
          <t>Agent 10</t>
        </is>
      </c>
      <c r="I190" s="491" t="n"/>
      <c r="J190" s="499">
        <f>IF(AND(A190&lt;&gt;"",E190&lt;&gt;""),IF(I190="","⚠️ Enter Code",IF(IFERROR(VLOOKUP(H190,DB_Agents!$B:$I,8,0),"")=I190,IF(C190&gt;=E190,"Successful","Unsuccessful"),"🔒 BLOCKED — Wrong Code")),"—")</f>
        <v/>
      </c>
      <c r="K190" s="500">
        <f>IF(J190="Successful",TEXT(TODAY(),"YYYY-MM-DD")&amp;" Auto","—")</f>
        <v/>
      </c>
      <c r="L190" s="501" t="n"/>
    </row>
    <row r="191" ht="15" customHeight="1" s="341">
      <c r="A191" s="486" t="n"/>
      <c r="B191" s="378">
        <f>IF(A191="","",IFERROR(VLOOKUP(A191,DB_Customers!$A:$D,4,0),"❌ Account Not Found"))</f>
        <v/>
      </c>
      <c r="C191" s="487">
        <f>IF(A191="","",IFERROR(VLOOKUP(A191,DB_Customers!$A:$N,14,0),""))</f>
        <v/>
      </c>
      <c r="D191" s="488">
        <f>IF(A191="","",TODAY())</f>
        <v/>
      </c>
      <c r="E191" s="510" t="n"/>
      <c r="F191" s="378" t="n"/>
      <c r="G191" s="511">
        <f>IF(OR(A191="",E191=""),"",IF(C191="","",C191-E191))</f>
        <v/>
      </c>
      <c r="H191" s="380" t="inlineStr">
        <is>
          <t>Agent 10</t>
        </is>
      </c>
      <c r="I191" s="491" t="n"/>
      <c r="J191" s="492">
        <f>IF(AND(A191&lt;&gt;"",E191&lt;&gt;""),IF(I191="","⚠️ Enter Code",IF(IFERROR(VLOOKUP(H191,DB_Agents!$B:$I,8,0),"")=I191,IF(C191&gt;=E191,"Successful","Unsuccessful"),"🔒 BLOCKED — Wrong Code")),"—")</f>
        <v/>
      </c>
      <c r="K191" s="493">
        <f>IF(J191="Successful",TEXT(TODAY(),"YYYY-MM-DD")&amp;" Auto","—")</f>
        <v/>
      </c>
      <c r="L191" s="494" t="n"/>
    </row>
    <row r="192" ht="15" customHeight="1" s="341">
      <c r="A192" s="495" t="n"/>
      <c r="B192" s="382">
        <f>IF(A192="","",IFERROR(VLOOKUP(A192,DB_Customers!$A:$D,4,0),"❌ Account Not Found"))</f>
        <v/>
      </c>
      <c r="C192" s="496">
        <f>IF(A192="","",IFERROR(VLOOKUP(A192,DB_Customers!$A:$N,14,0),""))</f>
        <v/>
      </c>
      <c r="D192" s="497">
        <f>IF(A192="","",TODAY())</f>
        <v/>
      </c>
      <c r="E192" s="510" t="n"/>
      <c r="F192" s="382" t="n"/>
      <c r="G192" s="512">
        <f>IF(OR(A192="",E192=""),"",IF(C192="","",C192-E192))</f>
        <v/>
      </c>
      <c r="H192" s="384" t="inlineStr">
        <is>
          <t>Agent 10</t>
        </is>
      </c>
      <c r="I192" s="491" t="n"/>
      <c r="J192" s="499">
        <f>IF(AND(A192&lt;&gt;"",E192&lt;&gt;""),IF(I192="","⚠️ Enter Code",IF(IFERROR(VLOOKUP(H192,DB_Agents!$B:$I,8,0),"")=I192,IF(C192&gt;=E192,"Successful","Unsuccessful"),"🔒 BLOCKED — Wrong Code")),"—")</f>
        <v/>
      </c>
      <c r="K192" s="500">
        <f>IF(J192="Successful",TEXT(TODAY(),"YYYY-MM-DD")&amp;" Auto","—")</f>
        <v/>
      </c>
      <c r="L192" s="501" t="n"/>
    </row>
    <row r="193" ht="15" customHeight="1" s="341">
      <c r="A193" s="486" t="n"/>
      <c r="B193" s="378">
        <f>IF(A193="","",IFERROR(VLOOKUP(A193,DB_Customers!$A:$D,4,0),"❌ Account Not Found"))</f>
        <v/>
      </c>
      <c r="C193" s="487">
        <f>IF(A193="","",IFERROR(VLOOKUP(A193,DB_Customers!$A:$N,14,0),""))</f>
        <v/>
      </c>
      <c r="D193" s="488">
        <f>IF(A193="","",TODAY())</f>
        <v/>
      </c>
      <c r="E193" s="510" t="n"/>
      <c r="F193" s="378" t="n"/>
      <c r="G193" s="511">
        <f>IF(OR(A193="",E193=""),"",IF(C193="","",C193-E193))</f>
        <v/>
      </c>
      <c r="H193" s="380" t="inlineStr">
        <is>
          <t>Agent 10</t>
        </is>
      </c>
      <c r="I193" s="491" t="n"/>
      <c r="J193" s="492">
        <f>IF(AND(A193&lt;&gt;"",E193&lt;&gt;""),IF(I193="","⚠️ Enter Code",IF(IFERROR(VLOOKUP(H193,DB_Agents!$B:$I,8,0),"")=I193,IF(C193&gt;=E193,"Successful","Unsuccessful"),"🔒 BLOCKED — Wrong Code")),"—")</f>
        <v/>
      </c>
      <c r="K193" s="493">
        <f>IF(J193="Successful",TEXT(TODAY(),"YYYY-MM-DD")&amp;" Auto","—")</f>
        <v/>
      </c>
      <c r="L193" s="494" t="n"/>
    </row>
    <row r="194" ht="15" customHeight="1" s="341">
      <c r="A194" s="495" t="n"/>
      <c r="B194" s="382">
        <f>IF(A194="","",IFERROR(VLOOKUP(A194,DB_Customers!$A:$D,4,0),"❌ Account Not Found"))</f>
        <v/>
      </c>
      <c r="C194" s="496">
        <f>IF(A194="","",IFERROR(VLOOKUP(A194,DB_Customers!$A:$N,14,0),""))</f>
        <v/>
      </c>
      <c r="D194" s="497">
        <f>IF(A194="","",TODAY())</f>
        <v/>
      </c>
      <c r="E194" s="510" t="n"/>
      <c r="F194" s="382" t="n"/>
      <c r="G194" s="512">
        <f>IF(OR(A194="",E194=""),"",IF(C194="","",C194-E194))</f>
        <v/>
      </c>
      <c r="H194" s="384" t="inlineStr">
        <is>
          <t>Agent 10</t>
        </is>
      </c>
      <c r="I194" s="491" t="n"/>
      <c r="J194" s="499">
        <f>IF(AND(A194&lt;&gt;"",E194&lt;&gt;""),IF(I194="","⚠️ Enter Code",IF(IFERROR(VLOOKUP(H194,DB_Agents!$B:$I,8,0),"")=I194,IF(C194&gt;=E194,"Successful","Unsuccessful"),"🔒 BLOCKED — Wrong Code")),"—")</f>
        <v/>
      </c>
      <c r="K194" s="500">
        <f>IF(J194="Successful",TEXT(TODAY(),"YYYY-MM-DD")&amp;" Auto","—")</f>
        <v/>
      </c>
      <c r="L194" s="501" t="n"/>
    </row>
    <row r="195" ht="15" customHeight="1" s="341">
      <c r="A195" s="486" t="n"/>
      <c r="B195" s="378">
        <f>IF(A195="","",IFERROR(VLOOKUP(A195,DB_Customers!$A:$D,4,0),"❌ Account Not Found"))</f>
        <v/>
      </c>
      <c r="C195" s="487">
        <f>IF(A195="","",IFERROR(VLOOKUP(A195,DB_Customers!$A:$N,14,0),""))</f>
        <v/>
      </c>
      <c r="D195" s="488">
        <f>IF(A195="","",TODAY())</f>
        <v/>
      </c>
      <c r="E195" s="510" t="n"/>
      <c r="F195" s="378" t="n"/>
      <c r="G195" s="511">
        <f>IF(OR(A195="",E195=""),"",IF(C195="","",C195-E195))</f>
        <v/>
      </c>
      <c r="H195" s="380" t="inlineStr">
        <is>
          <t>Agent 10</t>
        </is>
      </c>
      <c r="I195" s="491" t="n"/>
      <c r="J195" s="492">
        <f>IF(AND(A195&lt;&gt;"",E195&lt;&gt;""),IF(I195="","⚠️ Enter Code",IF(IFERROR(VLOOKUP(H195,DB_Agents!$B:$I,8,0),"")=I195,IF(C195&gt;=E195,"Successful","Unsuccessful"),"🔒 BLOCKED — Wrong Code")),"—")</f>
        <v/>
      </c>
      <c r="K195" s="493">
        <f>IF(J195="Successful",TEXT(TODAY(),"YYYY-MM-DD")&amp;" Auto","—")</f>
        <v/>
      </c>
      <c r="L195" s="494" t="n"/>
    </row>
    <row r="196" ht="15" customHeight="1" s="341">
      <c r="A196" s="495" t="n"/>
      <c r="B196" s="382">
        <f>IF(A196="","",IFERROR(VLOOKUP(A196,DB_Customers!$A:$D,4,0),"❌ Account Not Found"))</f>
        <v/>
      </c>
      <c r="C196" s="496">
        <f>IF(A196="","",IFERROR(VLOOKUP(A196,DB_Customers!$A:$N,14,0),""))</f>
        <v/>
      </c>
      <c r="D196" s="497">
        <f>IF(A196="","",TODAY())</f>
        <v/>
      </c>
      <c r="E196" s="510" t="n"/>
      <c r="F196" s="382" t="n"/>
      <c r="G196" s="512">
        <f>IF(OR(A196="",E196=""),"",IF(C196="","",C196-E196))</f>
        <v/>
      </c>
      <c r="H196" s="384" t="inlineStr">
        <is>
          <t>Agent 10</t>
        </is>
      </c>
      <c r="I196" s="491" t="n"/>
      <c r="J196" s="499">
        <f>IF(AND(A196&lt;&gt;"",E196&lt;&gt;""),IF(I196="","⚠️ Enter Code",IF(IFERROR(VLOOKUP(H196,DB_Agents!$B:$I,8,0),"")=I196,IF(C196&gt;=E196,"Successful","Unsuccessful"),"🔒 BLOCKED — Wrong Code")),"—")</f>
        <v/>
      </c>
      <c r="K196" s="500">
        <f>IF(J196="Successful",TEXT(TODAY(),"YYYY-MM-DD")&amp;" Auto","—")</f>
        <v/>
      </c>
      <c r="L196" s="501" t="n"/>
    </row>
    <row r="197" ht="15" customHeight="1" s="341">
      <c r="A197" s="486" t="n"/>
      <c r="B197" s="378">
        <f>IF(A197="","",IFERROR(VLOOKUP(A197,DB_Customers!$A:$D,4,0),"❌ Account Not Found"))</f>
        <v/>
      </c>
      <c r="C197" s="487">
        <f>IF(A197="","",IFERROR(VLOOKUP(A197,DB_Customers!$A:$N,14,0),""))</f>
        <v/>
      </c>
      <c r="D197" s="488">
        <f>IF(A197="","",TODAY())</f>
        <v/>
      </c>
      <c r="E197" s="510" t="n"/>
      <c r="F197" s="378" t="n"/>
      <c r="G197" s="511">
        <f>IF(OR(A197="",E197=""),"",IF(C197="","",C197-E197))</f>
        <v/>
      </c>
      <c r="H197" s="380" t="inlineStr">
        <is>
          <t>Agent 10</t>
        </is>
      </c>
      <c r="I197" s="491" t="n"/>
      <c r="J197" s="492">
        <f>IF(AND(A197&lt;&gt;"",E197&lt;&gt;""),IF(I197="","⚠️ Enter Code",IF(IFERROR(VLOOKUP(H197,DB_Agents!$B:$I,8,0),"")=I197,IF(C197&gt;=E197,"Successful","Unsuccessful"),"🔒 BLOCKED — Wrong Code")),"—")</f>
        <v/>
      </c>
      <c r="K197" s="493">
        <f>IF(J197="Successful",TEXT(TODAY(),"YYYY-MM-DD")&amp;" Auto","—")</f>
        <v/>
      </c>
      <c r="L197" s="494" t="n"/>
    </row>
    <row r="198" ht="15" customHeight="1" s="341">
      <c r="A198" s="495" t="n"/>
      <c r="B198" s="382">
        <f>IF(A198="","",IFERROR(VLOOKUP(A198,DB_Customers!$A:$D,4,0),"❌ Account Not Found"))</f>
        <v/>
      </c>
      <c r="C198" s="496">
        <f>IF(A198="","",IFERROR(VLOOKUP(A198,DB_Customers!$A:$N,14,0),""))</f>
        <v/>
      </c>
      <c r="D198" s="497">
        <f>IF(A198="","",TODAY())</f>
        <v/>
      </c>
      <c r="E198" s="510" t="n"/>
      <c r="F198" s="382" t="n"/>
      <c r="G198" s="512">
        <f>IF(OR(A198="",E198=""),"",IF(C198="","",C198-E198))</f>
        <v/>
      </c>
      <c r="H198" s="384" t="inlineStr">
        <is>
          <t>Agent 10</t>
        </is>
      </c>
      <c r="I198" s="491" t="n"/>
      <c r="J198" s="499">
        <f>IF(AND(A198&lt;&gt;"",E198&lt;&gt;""),IF(I198="","⚠️ Enter Code",IF(IFERROR(VLOOKUP(H198,DB_Agents!$B:$I,8,0),"")=I198,IF(C198&gt;=E198,"Successful","Unsuccessful"),"🔒 BLOCKED — Wrong Code")),"—")</f>
        <v/>
      </c>
      <c r="K198" s="500">
        <f>IF(J198="Successful",TEXT(TODAY(),"YYYY-MM-DD")&amp;" Auto","—")</f>
        <v/>
      </c>
      <c r="L198" s="501" t="n"/>
    </row>
    <row r="199" ht="15" customHeight="1" s="341">
      <c r="A199" s="486" t="n"/>
      <c r="B199" s="378">
        <f>IF(A199="","",IFERROR(VLOOKUP(A199,DB_Customers!$A:$D,4,0),"❌ Account Not Found"))</f>
        <v/>
      </c>
      <c r="C199" s="487">
        <f>IF(A199="","",IFERROR(VLOOKUP(A199,DB_Customers!$A:$N,14,0),""))</f>
        <v/>
      </c>
      <c r="D199" s="488">
        <f>IF(A199="","",TODAY())</f>
        <v/>
      </c>
      <c r="E199" s="510" t="n"/>
      <c r="F199" s="378" t="n"/>
      <c r="G199" s="511">
        <f>IF(OR(A199="",E199=""),"",IF(C199="","",C199-E199))</f>
        <v/>
      </c>
      <c r="H199" s="380" t="inlineStr">
        <is>
          <t>Agent 10</t>
        </is>
      </c>
      <c r="I199" s="491" t="n"/>
      <c r="J199" s="492">
        <f>IF(AND(A199&lt;&gt;"",E199&lt;&gt;""),IF(I199="","⚠️ Enter Code",IF(IFERROR(VLOOKUP(H199,DB_Agents!$B:$I,8,0),"")=I199,IF(C199&gt;=E199,"Successful","Unsuccessful"),"🔒 BLOCKED — Wrong Code")),"—")</f>
        <v/>
      </c>
      <c r="K199" s="493">
        <f>IF(J199="Successful",TEXT(TODAY(),"YYYY-MM-DD")&amp;" Auto","—")</f>
        <v/>
      </c>
      <c r="L199" s="494" t="n"/>
    </row>
    <row r="200" ht="15" customHeight="1" s="341">
      <c r="A200" s="495" t="n"/>
      <c r="B200" s="382">
        <f>IF(A200="","",IFERROR(VLOOKUP(A200,DB_Customers!$A:$D,4,0),"❌ Account Not Found"))</f>
        <v/>
      </c>
      <c r="C200" s="496">
        <f>IF(A200="","",IFERROR(VLOOKUP(A200,DB_Customers!$A:$N,14,0),""))</f>
        <v/>
      </c>
      <c r="D200" s="497">
        <f>IF(A200="","",TODAY())</f>
        <v/>
      </c>
      <c r="E200" s="510" t="n"/>
      <c r="F200" s="382" t="n"/>
      <c r="G200" s="512">
        <f>IF(OR(A200="",E200=""),"",IF(C200="","",C200-E200))</f>
        <v/>
      </c>
      <c r="H200" s="384" t="inlineStr">
        <is>
          <t>Agent 10</t>
        </is>
      </c>
      <c r="I200" s="491" t="n"/>
      <c r="J200" s="499">
        <f>IF(AND(A200&lt;&gt;"",E200&lt;&gt;""),IF(I200="","⚠️ Enter Code",IF(IFERROR(VLOOKUP(H200,DB_Agents!$B:$I,8,0),"")=I200,IF(C200&gt;=E200,"Successful","Unsuccessful"),"🔒 BLOCKED — Wrong Code")),"—")</f>
        <v/>
      </c>
      <c r="K200" s="500">
        <f>IF(J200="Successful",TEXT(TODAY(),"YYYY-MM-DD")&amp;" Auto","—")</f>
        <v/>
      </c>
      <c r="L200" s="501" t="n"/>
    </row>
    <row r="201" ht="15" customHeight="1" s="341">
      <c r="A201" s="486" t="n"/>
      <c r="B201" s="378">
        <f>IF(A201="","",IFERROR(VLOOKUP(A201,DB_Customers!$A:$D,4,0),"❌ Account Not Found"))</f>
        <v/>
      </c>
      <c r="C201" s="487">
        <f>IF(A201="","",IFERROR(VLOOKUP(A201,DB_Customers!$A:$N,14,0),""))</f>
        <v/>
      </c>
      <c r="D201" s="488">
        <f>IF(A201="","",TODAY())</f>
        <v/>
      </c>
      <c r="E201" s="510" t="n"/>
      <c r="F201" s="378" t="n"/>
      <c r="G201" s="511">
        <f>IF(OR(A201="",E201=""),"",IF(C201="","",C201-E201))</f>
        <v/>
      </c>
      <c r="H201" s="380" t="inlineStr">
        <is>
          <t>Agent 10</t>
        </is>
      </c>
      <c r="I201" s="491" t="n"/>
      <c r="J201" s="492">
        <f>IF(AND(A201&lt;&gt;"",E201&lt;&gt;""),IF(I201="","⚠️ Enter Code",IF(IFERROR(VLOOKUP(H201,DB_Agents!$B:$I,8,0),"")=I201,IF(C201&gt;=E201,"Successful","Unsuccessful"),"🔒 BLOCKED — Wrong Code")),"—")</f>
        <v/>
      </c>
      <c r="K201" s="493">
        <f>IF(J201="Successful",TEXT(TODAY(),"YYYY-MM-DD")&amp;" Auto","—")</f>
        <v/>
      </c>
      <c r="L201" s="494" t="n"/>
    </row>
    <row r="202" ht="15" customHeight="1" s="341">
      <c r="A202" s="495" t="n"/>
      <c r="B202" s="382">
        <f>IF(A202="","",IFERROR(VLOOKUP(A202,DB_Customers!$A:$D,4,0),"❌ Account Not Found"))</f>
        <v/>
      </c>
      <c r="C202" s="496">
        <f>IF(A202="","",IFERROR(VLOOKUP(A202,DB_Customers!$A:$N,14,0),""))</f>
        <v/>
      </c>
      <c r="D202" s="497">
        <f>IF(A202="","",TODAY())</f>
        <v/>
      </c>
      <c r="E202" s="510" t="n"/>
      <c r="F202" s="382" t="n"/>
      <c r="G202" s="512">
        <f>IF(OR(A202="",E202=""),"",IF(C202="","",C202-E202))</f>
        <v/>
      </c>
      <c r="H202" s="384" t="inlineStr">
        <is>
          <t>Agent 10</t>
        </is>
      </c>
      <c r="I202" s="491" t="n"/>
      <c r="J202" s="499">
        <f>IF(AND(A202&lt;&gt;"",E202&lt;&gt;""),IF(I202="","⚠️ Enter Code",IF(IFERROR(VLOOKUP(H202,DB_Agents!$B:$I,8,0),"")=I202,IF(C202&gt;=E202,"Successful","Unsuccessful"),"🔒 BLOCKED — Wrong Code")),"—")</f>
        <v/>
      </c>
      <c r="K202" s="500">
        <f>IF(J202="Successful",TEXT(TODAY(),"YYYY-MM-DD")&amp;" Auto","—")</f>
        <v/>
      </c>
      <c r="L202" s="501" t="n"/>
    </row>
    <row r="203" ht="15" customHeight="1" s="341">
      <c r="A203" s="486" t="n"/>
      <c r="B203" s="378">
        <f>IF(A203="","",IFERROR(VLOOKUP(A203,DB_Customers!$A:$D,4,0),"❌ Account Not Found"))</f>
        <v/>
      </c>
      <c r="C203" s="487">
        <f>IF(A203="","",IFERROR(VLOOKUP(A203,DB_Customers!$A:$N,14,0),""))</f>
        <v/>
      </c>
      <c r="D203" s="488">
        <f>IF(A203="","",TODAY())</f>
        <v/>
      </c>
      <c r="E203" s="510" t="n"/>
      <c r="F203" s="378" t="n"/>
      <c r="G203" s="511">
        <f>IF(OR(A203="",E203=""),"",IF(C203="","",C203-E203))</f>
        <v/>
      </c>
      <c r="H203" s="380" t="inlineStr">
        <is>
          <t>Agent 10</t>
        </is>
      </c>
      <c r="I203" s="491" t="n"/>
      <c r="J203" s="492">
        <f>IF(AND(A203&lt;&gt;"",E203&lt;&gt;""),IF(I203="","⚠️ Enter Code",IF(IFERROR(VLOOKUP(H203,DB_Agents!$B:$I,8,0),"")=I203,IF(C203&gt;=E203,"Successful","Unsuccessful"),"🔒 BLOCKED — Wrong Code")),"—")</f>
        <v/>
      </c>
      <c r="K203" s="493">
        <f>IF(J203="Successful",TEXT(TODAY(),"YYYY-MM-DD")&amp;" Auto","—")</f>
        <v/>
      </c>
      <c r="L203" s="494" t="n"/>
    </row>
    <row r="204" ht="15" customHeight="1" s="341">
      <c r="A204" s="495" t="n"/>
      <c r="B204" s="382">
        <f>IF(A204="","",IFERROR(VLOOKUP(A204,DB_Customers!$A:$D,4,0),"❌ Account Not Found"))</f>
        <v/>
      </c>
      <c r="C204" s="496">
        <f>IF(A204="","",IFERROR(VLOOKUP(A204,DB_Customers!$A:$N,14,0),""))</f>
        <v/>
      </c>
      <c r="D204" s="497">
        <f>IF(A204="","",TODAY())</f>
        <v/>
      </c>
      <c r="E204" s="510" t="n"/>
      <c r="F204" s="382" t="n"/>
      <c r="G204" s="512">
        <f>IF(OR(A204="",E204=""),"",IF(C204="","",C204-E204))</f>
        <v/>
      </c>
      <c r="H204" s="384" t="inlineStr">
        <is>
          <t>Agent 10</t>
        </is>
      </c>
      <c r="I204" s="491" t="n"/>
      <c r="J204" s="499">
        <f>IF(AND(A204&lt;&gt;"",E204&lt;&gt;""),IF(I204="","⚠️ Enter Code",IF(IFERROR(VLOOKUP(H204,DB_Agents!$B:$I,8,0),"")=I204,IF(C204&gt;=E204,"Successful","Unsuccessful"),"🔒 BLOCKED — Wrong Code")),"—")</f>
        <v/>
      </c>
      <c r="K204" s="500">
        <f>IF(J204="Successful",TEXT(TODAY(),"YYYY-MM-DD")&amp;" Auto","—")</f>
        <v/>
      </c>
      <c r="L204" s="501" t="n"/>
    </row>
    <row r="205" ht="15" customHeight="1" s="341">
      <c r="A205" s="486" t="n"/>
      <c r="B205" s="378">
        <f>IF(A205="","",IFERROR(VLOOKUP(A205,DB_Customers!$A:$D,4,0),"❌ Account Not Found"))</f>
        <v/>
      </c>
      <c r="C205" s="487">
        <f>IF(A205="","",IFERROR(VLOOKUP(A205,DB_Customers!$A:$N,14,0),""))</f>
        <v/>
      </c>
      <c r="D205" s="488">
        <f>IF(A205="","",TODAY())</f>
        <v/>
      </c>
      <c r="E205" s="510" t="n"/>
      <c r="F205" s="378" t="n"/>
      <c r="G205" s="511">
        <f>IF(OR(A205="",E205=""),"",IF(C205="","",C205-E205))</f>
        <v/>
      </c>
      <c r="H205" s="380" t="inlineStr">
        <is>
          <t>Agent 10</t>
        </is>
      </c>
      <c r="I205" s="491" t="n"/>
      <c r="J205" s="492">
        <f>IF(AND(A205&lt;&gt;"",E205&lt;&gt;""),IF(I205="","⚠️ Enter Code",IF(IFERROR(VLOOKUP(H205,DB_Agents!$B:$I,8,0),"")=I205,IF(C205&gt;=E205,"Successful","Unsuccessful"),"🔒 BLOCKED — Wrong Code")),"—")</f>
        <v/>
      </c>
      <c r="K205" s="493">
        <f>IF(J205="Successful",TEXT(TODAY(),"YYYY-MM-DD")&amp;" Auto","—")</f>
        <v/>
      </c>
      <c r="L205" s="494" t="n"/>
    </row>
    <row r="206" ht="15" customHeight="1" s="341">
      <c r="A206" s="495" t="n"/>
      <c r="B206" s="382">
        <f>IF(A206="","",IFERROR(VLOOKUP(A206,DB_Customers!$A:$D,4,0),"❌ Account Not Found"))</f>
        <v/>
      </c>
      <c r="C206" s="496">
        <f>IF(A206="","",IFERROR(VLOOKUP(A206,DB_Customers!$A:$N,14,0),""))</f>
        <v/>
      </c>
      <c r="D206" s="497">
        <f>IF(A206="","",TODAY())</f>
        <v/>
      </c>
      <c r="E206" s="510" t="n"/>
      <c r="F206" s="382" t="n"/>
      <c r="G206" s="512">
        <f>IF(OR(A206="",E206=""),"",IF(C206="","",C206-E206))</f>
        <v/>
      </c>
      <c r="H206" s="384" t="inlineStr">
        <is>
          <t>Agent 10</t>
        </is>
      </c>
      <c r="I206" s="491" t="n"/>
      <c r="J206" s="499">
        <f>IF(AND(A206&lt;&gt;"",E206&lt;&gt;""),IF(I206="","⚠️ Enter Code",IF(IFERROR(VLOOKUP(H206,DB_Agents!$B:$I,8,0),"")=I206,IF(C206&gt;=E206,"Successful","Unsuccessful"),"🔒 BLOCKED — Wrong Code")),"—")</f>
        <v/>
      </c>
      <c r="K206" s="500">
        <f>IF(J206="Successful",TEXT(TODAY(),"YYYY-MM-DD")&amp;" Auto","—")</f>
        <v/>
      </c>
      <c r="L206" s="501" t="n"/>
    </row>
    <row r="207" ht="15" customHeight="1" s="341">
      <c r="A207" s="486" t="n"/>
      <c r="B207" s="378">
        <f>IF(A207="","",IFERROR(VLOOKUP(A207,DB_Customers!$A:$D,4,0),"❌ Account Not Found"))</f>
        <v/>
      </c>
      <c r="C207" s="487">
        <f>IF(A207="","",IFERROR(VLOOKUP(A207,DB_Customers!$A:$N,14,0),""))</f>
        <v/>
      </c>
      <c r="D207" s="488">
        <f>IF(A207="","",TODAY())</f>
        <v/>
      </c>
      <c r="E207" s="510" t="n"/>
      <c r="F207" s="378" t="n"/>
      <c r="G207" s="511">
        <f>IF(OR(A207="",E207=""),"",IF(C207="","",C207-E207))</f>
        <v/>
      </c>
      <c r="H207" s="380" t="inlineStr">
        <is>
          <t>Agent 10</t>
        </is>
      </c>
      <c r="I207" s="491" t="n"/>
      <c r="J207" s="492">
        <f>IF(AND(A207&lt;&gt;"",E207&lt;&gt;""),IF(I207="","⚠️ Enter Code",IF(IFERROR(VLOOKUP(H207,DB_Agents!$B:$I,8,0),"")=I207,IF(C207&gt;=E207,"Successful","Unsuccessful"),"🔒 BLOCKED — Wrong Code")),"—")</f>
        <v/>
      </c>
      <c r="K207" s="493">
        <f>IF(J207="Successful",TEXT(TODAY(),"YYYY-MM-DD")&amp;" Auto","—")</f>
        <v/>
      </c>
      <c r="L207" s="494" t="n"/>
    </row>
    <row r="208" ht="15" customHeight="1" s="341">
      <c r="A208" s="495" t="n"/>
      <c r="B208" s="382">
        <f>IF(A208="","",IFERROR(VLOOKUP(A208,DB_Customers!$A:$D,4,0),"❌ Account Not Found"))</f>
        <v/>
      </c>
      <c r="C208" s="496">
        <f>IF(A208="","",IFERROR(VLOOKUP(A208,DB_Customers!$A:$N,14,0),""))</f>
        <v/>
      </c>
      <c r="D208" s="497">
        <f>IF(A208="","",TODAY())</f>
        <v/>
      </c>
      <c r="E208" s="510" t="n"/>
      <c r="F208" s="382" t="n"/>
      <c r="G208" s="512">
        <f>IF(OR(A208="",E208=""),"",IF(C208="","",C208-E208))</f>
        <v/>
      </c>
      <c r="H208" s="384" t="inlineStr">
        <is>
          <t>Agent 10</t>
        </is>
      </c>
      <c r="I208" s="491" t="n"/>
      <c r="J208" s="499">
        <f>IF(AND(A208&lt;&gt;"",E208&lt;&gt;""),IF(I208="","⚠️ Enter Code",IF(IFERROR(VLOOKUP(H208,DB_Agents!$B:$I,8,0),"")=I208,IF(C208&gt;=E208,"Successful","Unsuccessful"),"🔒 BLOCKED — Wrong Code")),"—")</f>
        <v/>
      </c>
      <c r="K208" s="500">
        <f>IF(J208="Successful",TEXT(TODAY(),"YYYY-MM-DD")&amp;" Auto","—")</f>
        <v/>
      </c>
      <c r="L208" s="501" t="n"/>
    </row>
  </sheetData>
  <mergeCells count="8">
    <mergeCell ref="A1:M1"/>
    <mergeCell ref="A5:M5"/>
    <mergeCell ref="D4:F4"/>
    <mergeCell ref="D3:F3"/>
    <mergeCell ref="A3:C3"/>
    <mergeCell ref="A7:M7"/>
    <mergeCell ref="A4:C4"/>
    <mergeCell ref="A2:M2"/>
  </mergeCells>
  <conditionalFormatting sqref="I9:I208">
    <cfRule type="cellIs" rank="0" priority="2" equalAverage="0" operator="equal" aboveAverage="0" dxfId="0" text="" percent="0" bottom="0">
      <formula>"Successful"</formula>
    </cfRule>
    <cfRule type="cellIs" rank="0" priority="3" equalAverage="0" operator="equal" aboveAverage="0" dxfId="1" text="" percent="0" bottom="0">
      <formula>"Unsuccessful"</formula>
    </cfRule>
  </conditionalFormatting>
  <conditionalFormatting sqref="A9:K208">
    <cfRule type="expression" rank="0" priority="4" equalAverage="0" aboveAverage="0" dxfId="13" text="" percent="0" bottom="0">
      <formula>$I9="Unsuccessful"</formula>
    </cfRule>
  </conditionalFormatting>
  <conditionalFormatting sqref="G9:G208">
    <cfRule type="cellIs" rank="0" priority="5" equalAverage="0" operator="lessThan" aboveAverage="0" dxfId="1" text="" percent="0" bottom="0">
      <formula>0</formula>
    </cfRule>
  </conditionalFormatting>
  <dataValidations count="1">
    <dataValidation sqref="H9:H208"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5.xml><?xml version="1.0" encoding="utf-8"?>
<worksheet xmlns="http://schemas.openxmlformats.org/spreadsheetml/2006/main">
  <sheetPr filterMode="0">
    <tabColor rgb="FFE67E22"/>
    <outlinePr summaryBelow="1" summaryRight="1"/>
    <pageSetUpPr fitToPage="0"/>
  </sheetPr>
  <dimension ref="A1:N213"/>
  <sheetViews>
    <sheetView showFormulas="0" showGridLines="1" showRowColHeaders="1" showZeros="1" rightToLeft="0" tabSelected="0" showOutlineSymbols="1" defaultGridColor="1" view="normal" topLeftCell="A1" colorId="64" zoomScale="100" zoomScaleNormal="100" zoomScalePageLayoutView="100" workbookViewId="0">
      <pane xSplit="0" ySplit="13" topLeftCell="A1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22" customWidth="1" style="340" min="1" max="1"/>
    <col width="16" customWidth="1" style="340" min="2" max="2"/>
    <col width="22" customWidth="1" style="340" min="3" max="3"/>
    <col width="13" customWidth="1" style="340" min="4" max="4"/>
    <col width="14" customWidth="1" style="340" min="5" max="5"/>
    <col width="22" customWidth="1" style="340" min="6" max="6"/>
    <col width="9" customWidth="1" style="340" min="7" max="7"/>
    <col width="8" customWidth="1" style="340" min="8" max="8"/>
    <col width="16" customWidth="1" style="340" min="9" max="9"/>
    <col width="15" customWidth="1" style="340" min="10" max="10"/>
    <col width="14" customWidth="1" style="340" min="11" max="11"/>
    <col width="12" customWidth="1" style="340" min="12" max="12"/>
    <col width="14" customWidth="1" style="340" min="13" max="13"/>
  </cols>
  <sheetData>
    <row r="1" ht="31.5" customHeight="1" s="341">
      <c r="A1" s="513" t="inlineStr">
        <is>
          <t>🏦  SAMICIOUS MICROFINANCE — AGENT10 LOAN REQUESTS</t>
        </is>
      </c>
    </row>
    <row r="2" ht="19.5" customHeight="1" s="341">
      <c r="A2" s="514" t="inlineStr">
        <is>
          <t>Total Repayable = Loan Amount + (Loan Amount × Rate% × Months) | Status: Pending → Approved when credited</t>
        </is>
      </c>
    </row>
    <row r="4" ht="21.75" customHeight="1" s="341">
      <c r="A4" s="515" t="inlineStr">
        <is>
          <t>🔢  INSTANT LOAN CALCULATOR</t>
        </is>
      </c>
    </row>
    <row r="5" ht="19.5" customHeight="1" s="341">
      <c r="A5" s="516" t="inlineStr">
        <is>
          <t>Loan Amount (GHC):</t>
        </is>
      </c>
      <c r="B5" s="517" t="n"/>
      <c r="C5" s="453" t="n"/>
      <c r="D5" s="518" t="n"/>
    </row>
    <row r="6" ht="19.5" customHeight="1" s="341">
      <c r="A6" s="516" t="inlineStr">
        <is>
          <t>Duration (Months):</t>
        </is>
      </c>
      <c r="B6" s="517" t="n"/>
      <c r="C6" s="453" t="n"/>
      <c r="D6" s="518" t="n"/>
    </row>
    <row r="7" ht="19.5" customHeight="1" s="341">
      <c r="A7" s="519" t="inlineStr">
        <is>
          <t>Interest Rate (%/month):</t>
        </is>
      </c>
      <c r="B7" s="520" t="n">
        <v>2.5</v>
      </c>
      <c r="C7" s="393" t="n"/>
      <c r="D7" s="521" t="n"/>
    </row>
    <row r="8" ht="19.5" customHeight="1" s="341">
      <c r="A8" s="519" t="inlineStr">
        <is>
          <t>━ Total Interest:</t>
        </is>
      </c>
      <c r="B8" s="522">
        <f>IF(B5="","",B5*B7/100*B6)</f>
        <v/>
      </c>
      <c r="C8" s="393" t="n"/>
      <c r="D8" s="521" t="n"/>
    </row>
    <row r="9" ht="19.5" customHeight="1" s="341">
      <c r="A9" s="519" t="n"/>
      <c r="B9" s="523">
        <f>IF(B5="","",B5+(B5*B7/100*B6))</f>
        <v/>
      </c>
      <c r="C9" s="393" t="n"/>
      <c r="D9" s="521" t="n"/>
    </row>
    <row r="10" ht="19.5" customHeight="1" s="341">
      <c r="A10" s="519" t="n"/>
      <c r="B10" s="523">
        <f>IFERROR(B9/B6,"")</f>
        <v/>
      </c>
      <c r="C10" s="393" t="n"/>
      <c r="D10" s="521" t="n"/>
    </row>
    <row r="11" ht="7.5" customHeight="1" s="341"/>
    <row r="12" ht="21.75" customHeight="1" s="341">
      <c r="A12" s="524" t="n"/>
    </row>
    <row r="13" ht="19.5" customHeight="1" s="341">
      <c r="A13" s="525" t="n"/>
      <c r="B13" s="525" t="n"/>
      <c r="C13" s="525" t="n"/>
      <c r="D13" s="525" t="n"/>
      <c r="E13" s="525" t="n"/>
      <c r="F13" s="525" t="n"/>
      <c r="G13" s="525" t="n"/>
      <c r="H13" s="525" t="n"/>
      <c r="I13" s="525" t="n"/>
      <c r="J13" s="525" t="n"/>
      <c r="K13" s="525" t="n"/>
      <c r="L13" s="525" t="inlineStr">
        <is>
          <t>Agent</t>
        </is>
      </c>
      <c r="M13" s="485" t="n"/>
      <c r="N13" s="525" t="n"/>
    </row>
    <row r="14" ht="15" customHeight="1" s="341">
      <c r="A14" s="499">
        <f>IF(B14="","",IF(C14="❌ Account Not Found","INVALID","LN"&amp;TEXT(D14,"YYYYMMDD")&amp;TEXT(ROW()-13,"0000")))</f>
        <v/>
      </c>
      <c r="B14" s="495" t="n"/>
      <c r="C14" s="382">
        <f>IF(B14="","",IFERROR(VLOOKUP(B14,DB_Customers!$A:$D,4,0),"❌ Account Not Found"))</f>
        <v/>
      </c>
      <c r="D14" s="497">
        <f>IF(B14="","",TODAY())</f>
        <v/>
      </c>
      <c r="E14" s="526" t="n"/>
      <c r="F14" s="382" t="n"/>
      <c r="G14" s="527" t="n"/>
      <c r="H14" s="528" t="n"/>
      <c r="I14" s="529">
        <f>IF(E14="","",E14+(E14*H14/100*G14))</f>
        <v/>
      </c>
      <c r="J14" s="530">
        <f>IFERROR(I14/G14,"")</f>
        <v/>
      </c>
      <c r="K14" s="531">
        <f>IF(B14="","Pending",IF(M14="","⚠️ Enter Code",IF(IFERROR(VLOOKUP(L14,DB_Agents!$B:$I,8,0),"")=M14,"Pending","🔒 BLOCKED — Wrong Code")))</f>
        <v/>
      </c>
      <c r="L14" s="384" t="inlineStr">
        <is>
          <t>Agent 10</t>
        </is>
      </c>
      <c r="M14" s="491" t="n"/>
      <c r="N14" s="501" t="n"/>
    </row>
    <row r="15" ht="15" customHeight="1" s="341">
      <c r="A15" s="492">
        <f>IF(B15="","",IF(C15="❌ Account Not Found","INVALID","LN"&amp;TEXT(D15,"YYYYMMDD")&amp;TEXT(ROW()-13,"0000")))</f>
        <v/>
      </c>
      <c r="B15" s="486" t="n"/>
      <c r="C15" s="378">
        <f>IF(B15="","",IFERROR(VLOOKUP(B15,DB_Customers!$A:$D,4,0),"❌ Account Not Found"))</f>
        <v/>
      </c>
      <c r="D15" s="488">
        <f>IF(B15="","",TODAY())</f>
        <v/>
      </c>
      <c r="E15" s="526" t="n"/>
      <c r="F15" s="378" t="n"/>
      <c r="G15" s="532" t="n"/>
      <c r="H15" s="533" t="n"/>
      <c r="I15" s="529">
        <f>IF(E15="","",E15+(E15*H15/100*G15))</f>
        <v/>
      </c>
      <c r="J15" s="534">
        <f>IFERROR(I15/G15,"")</f>
        <v/>
      </c>
      <c r="K15" s="535">
        <f>IF(B15="","Pending",IF(M15="","⚠️ Enter Code",IF(IFERROR(VLOOKUP(L15,DB_Agents!$B:$I,8,0),"")=M15,"Pending","🔒 BLOCKED — Wrong Code")))</f>
        <v/>
      </c>
      <c r="L15" s="380" t="inlineStr">
        <is>
          <t>Agent 10</t>
        </is>
      </c>
      <c r="M15" s="491" t="n"/>
      <c r="N15" s="494" t="n"/>
    </row>
    <row r="16" ht="15" customHeight="1" s="341">
      <c r="A16" s="499">
        <f>IF(B16="","",IF(C16="❌ Account Not Found","INVALID","LN"&amp;TEXT(D16,"YYYYMMDD")&amp;TEXT(ROW()-13,"0000")))</f>
        <v/>
      </c>
      <c r="B16" s="495" t="n"/>
      <c r="C16" s="382">
        <f>IF(B16="","",IFERROR(VLOOKUP(B16,DB_Customers!$A:$D,4,0),"❌ Account Not Found"))</f>
        <v/>
      </c>
      <c r="D16" s="497">
        <f>IF(B16="","",TODAY())</f>
        <v/>
      </c>
      <c r="E16" s="526" t="n"/>
      <c r="F16" s="382" t="n"/>
      <c r="G16" s="527" t="n"/>
      <c r="H16" s="528" t="n"/>
      <c r="I16" s="529">
        <f>IF(E16="","",E16+(E16*H16/100*G16))</f>
        <v/>
      </c>
      <c r="J16" s="530">
        <f>IFERROR(I16/G16,"")</f>
        <v/>
      </c>
      <c r="K16" s="531">
        <f>IF(B16="","Pending",IF(M16="","⚠️ Enter Code",IF(IFERROR(VLOOKUP(L16,DB_Agents!$B:$I,8,0),"")=M16,"Pending","🔒 BLOCKED — Wrong Code")))</f>
        <v/>
      </c>
      <c r="L16" s="384" t="inlineStr">
        <is>
          <t>Agent 10</t>
        </is>
      </c>
      <c r="M16" s="491" t="n"/>
      <c r="N16" s="501" t="n"/>
    </row>
    <row r="17" ht="15" customHeight="1" s="341">
      <c r="A17" s="492">
        <f>IF(B17="","",IF(C17="❌ Account Not Found","INVALID","LN"&amp;TEXT(D17,"YYYYMMDD")&amp;TEXT(ROW()-13,"0000")))</f>
        <v/>
      </c>
      <c r="B17" s="486" t="n"/>
      <c r="C17" s="378">
        <f>IF(B17="","",IFERROR(VLOOKUP(B17,DB_Customers!$A:$D,4,0),"❌ Account Not Found"))</f>
        <v/>
      </c>
      <c r="D17" s="488">
        <f>IF(B17="","",TODAY())</f>
        <v/>
      </c>
      <c r="E17" s="526" t="n"/>
      <c r="F17" s="378" t="n"/>
      <c r="G17" s="532" t="n"/>
      <c r="H17" s="533" t="n"/>
      <c r="I17" s="529">
        <f>IF(E17="","",E17+(E17*H17/100*G17))</f>
        <v/>
      </c>
      <c r="J17" s="534">
        <f>IFERROR(I17/G17,"")</f>
        <v/>
      </c>
      <c r="K17" s="535">
        <f>IF(B17="","Pending",IF(M17="","⚠️ Enter Code",IF(IFERROR(VLOOKUP(L17,DB_Agents!$B:$I,8,0),"")=M17,"Pending","🔒 BLOCKED — Wrong Code")))</f>
        <v/>
      </c>
      <c r="L17" s="380" t="inlineStr">
        <is>
          <t>Agent 10</t>
        </is>
      </c>
      <c r="M17" s="491" t="n"/>
      <c r="N17" s="494" t="n"/>
    </row>
    <row r="18" ht="15" customHeight="1" s="341">
      <c r="A18" s="499">
        <f>IF(B18="","",IF(C18="❌ Account Not Found","INVALID","LN"&amp;TEXT(D18,"YYYYMMDD")&amp;TEXT(ROW()-13,"0000")))</f>
        <v/>
      </c>
      <c r="B18" s="495" t="n"/>
      <c r="C18" s="382">
        <f>IF(B18="","",IFERROR(VLOOKUP(B18,DB_Customers!$A:$D,4,0),"❌ Account Not Found"))</f>
        <v/>
      </c>
      <c r="D18" s="497">
        <f>IF(B18="","",TODAY())</f>
        <v/>
      </c>
      <c r="E18" s="526" t="n"/>
      <c r="F18" s="382" t="n"/>
      <c r="G18" s="527" t="n"/>
      <c r="H18" s="528" t="n"/>
      <c r="I18" s="529">
        <f>IF(E18="","",E18+(E18*H18/100*G18))</f>
        <v/>
      </c>
      <c r="J18" s="530">
        <f>IFERROR(I18/G18,"")</f>
        <v/>
      </c>
      <c r="K18" s="531">
        <f>IF(B18="","Pending",IF(M18="","⚠️ Enter Code",IF(IFERROR(VLOOKUP(L18,DB_Agents!$B:$I,8,0),"")=M18,"Pending","🔒 BLOCKED — Wrong Code")))</f>
        <v/>
      </c>
      <c r="L18" s="384" t="inlineStr">
        <is>
          <t>Agent 10</t>
        </is>
      </c>
      <c r="M18" s="491" t="n"/>
      <c r="N18" s="501" t="n"/>
    </row>
    <row r="19" ht="15" customHeight="1" s="341">
      <c r="A19" s="492">
        <f>IF(B19="","",IF(C19="❌ Account Not Found","INVALID","LN"&amp;TEXT(D19,"YYYYMMDD")&amp;TEXT(ROW()-13,"0000")))</f>
        <v/>
      </c>
      <c r="B19" s="486" t="n"/>
      <c r="C19" s="378">
        <f>IF(B19="","",IFERROR(VLOOKUP(B19,DB_Customers!$A:$D,4,0),"❌ Account Not Found"))</f>
        <v/>
      </c>
      <c r="D19" s="488">
        <f>IF(B19="","",TODAY())</f>
        <v/>
      </c>
      <c r="E19" s="526" t="n"/>
      <c r="F19" s="378" t="n"/>
      <c r="G19" s="532" t="n"/>
      <c r="H19" s="533" t="n"/>
      <c r="I19" s="529">
        <f>IF(E19="","",E19+(E19*H19/100*G19))</f>
        <v/>
      </c>
      <c r="J19" s="534">
        <f>IFERROR(I19/G19,"")</f>
        <v/>
      </c>
      <c r="K19" s="535">
        <f>IF(B19="","Pending",IF(M19="","⚠️ Enter Code",IF(IFERROR(VLOOKUP(L19,DB_Agents!$B:$I,8,0),"")=M19,"Pending","🔒 BLOCKED — Wrong Code")))</f>
        <v/>
      </c>
      <c r="L19" s="380" t="inlineStr">
        <is>
          <t>Agent 10</t>
        </is>
      </c>
      <c r="M19" s="491" t="n"/>
      <c r="N19" s="494" t="n"/>
    </row>
    <row r="20" ht="15" customHeight="1" s="341">
      <c r="A20" s="499">
        <f>IF(B20="","",IF(C20="❌ Account Not Found","INVALID","LN"&amp;TEXT(D20,"YYYYMMDD")&amp;TEXT(ROW()-13,"0000")))</f>
        <v/>
      </c>
      <c r="B20" s="495" t="n"/>
      <c r="C20" s="382">
        <f>IF(B20="","",IFERROR(VLOOKUP(B20,DB_Customers!$A:$D,4,0),"❌ Account Not Found"))</f>
        <v/>
      </c>
      <c r="D20" s="497">
        <f>IF(B20="","",TODAY())</f>
        <v/>
      </c>
      <c r="E20" s="526" t="n"/>
      <c r="F20" s="382" t="n"/>
      <c r="G20" s="527" t="n"/>
      <c r="H20" s="528" t="n"/>
      <c r="I20" s="529">
        <f>IF(E20="","",E20+(E20*H20/100*G20))</f>
        <v/>
      </c>
      <c r="J20" s="530">
        <f>IFERROR(I20/G20,"")</f>
        <v/>
      </c>
      <c r="K20" s="531">
        <f>IF(B20="","Pending",IF(M20="","⚠️ Enter Code",IF(IFERROR(VLOOKUP(L20,DB_Agents!$B:$I,8,0),"")=M20,"Pending","🔒 BLOCKED — Wrong Code")))</f>
        <v/>
      </c>
      <c r="L20" s="384" t="inlineStr">
        <is>
          <t>Agent 10</t>
        </is>
      </c>
      <c r="M20" s="491" t="n"/>
      <c r="N20" s="501" t="n"/>
    </row>
    <row r="21" ht="15" customHeight="1" s="341">
      <c r="A21" s="492">
        <f>IF(B21="","",IF(C21="❌ Account Not Found","INVALID","LN"&amp;TEXT(D21,"YYYYMMDD")&amp;TEXT(ROW()-13,"0000")))</f>
        <v/>
      </c>
      <c r="B21" s="486" t="n"/>
      <c r="C21" s="378">
        <f>IF(B21="","",IFERROR(VLOOKUP(B21,DB_Customers!$A:$D,4,0),"❌ Account Not Found"))</f>
        <v/>
      </c>
      <c r="D21" s="488">
        <f>IF(B21="","",TODAY())</f>
        <v/>
      </c>
      <c r="E21" s="526" t="n"/>
      <c r="F21" s="378" t="n"/>
      <c r="G21" s="532" t="n"/>
      <c r="H21" s="533" t="n"/>
      <c r="I21" s="529">
        <f>IF(E21="","",E21+(E21*H21/100*G21))</f>
        <v/>
      </c>
      <c r="J21" s="534">
        <f>IFERROR(I21/G21,"")</f>
        <v/>
      </c>
      <c r="K21" s="535">
        <f>IF(B21="","Pending",IF(M21="","⚠️ Enter Code",IF(IFERROR(VLOOKUP(L21,DB_Agents!$B:$I,8,0),"")=M21,"Pending","🔒 BLOCKED — Wrong Code")))</f>
        <v/>
      </c>
      <c r="L21" s="380" t="inlineStr">
        <is>
          <t>Agent 10</t>
        </is>
      </c>
      <c r="M21" s="491" t="n"/>
      <c r="N21" s="494" t="n"/>
    </row>
    <row r="22" ht="15" customHeight="1" s="341">
      <c r="A22" s="499">
        <f>IF(B22="","",IF(C22="❌ Account Not Found","INVALID","LN"&amp;TEXT(D22,"YYYYMMDD")&amp;TEXT(ROW()-13,"0000")))</f>
        <v/>
      </c>
      <c r="B22" s="495" t="n"/>
      <c r="C22" s="382">
        <f>IF(B22="","",IFERROR(VLOOKUP(B22,DB_Customers!$A:$D,4,0),"❌ Account Not Found"))</f>
        <v/>
      </c>
      <c r="D22" s="497">
        <f>IF(B22="","",TODAY())</f>
        <v/>
      </c>
      <c r="E22" s="526" t="n"/>
      <c r="F22" s="382" t="n"/>
      <c r="G22" s="527" t="n"/>
      <c r="H22" s="528" t="n"/>
      <c r="I22" s="529">
        <f>IF(E22="","",E22+(E22*H22/100*G22))</f>
        <v/>
      </c>
      <c r="J22" s="530">
        <f>IFERROR(I22/G22,"")</f>
        <v/>
      </c>
      <c r="K22" s="531">
        <f>IF(B22="","Pending",IF(M22="","⚠️ Enter Code",IF(IFERROR(VLOOKUP(L22,DB_Agents!$B:$I,8,0),"")=M22,"Pending","🔒 BLOCKED — Wrong Code")))</f>
        <v/>
      </c>
      <c r="L22" s="384" t="inlineStr">
        <is>
          <t>Agent 10</t>
        </is>
      </c>
      <c r="M22" s="491" t="n"/>
      <c r="N22" s="501" t="n"/>
    </row>
    <row r="23" ht="15" customHeight="1" s="341">
      <c r="A23" s="492">
        <f>IF(B23="","",IF(C23="❌ Account Not Found","INVALID","LN"&amp;TEXT(D23,"YYYYMMDD")&amp;TEXT(ROW()-13,"0000")))</f>
        <v/>
      </c>
      <c r="B23" s="486" t="n"/>
      <c r="C23" s="378">
        <f>IF(B23="","",IFERROR(VLOOKUP(B23,DB_Customers!$A:$D,4,0),"❌ Account Not Found"))</f>
        <v/>
      </c>
      <c r="D23" s="488">
        <f>IF(B23="","",TODAY())</f>
        <v/>
      </c>
      <c r="E23" s="526" t="n"/>
      <c r="F23" s="378" t="n"/>
      <c r="G23" s="532" t="n"/>
      <c r="H23" s="533" t="n"/>
      <c r="I23" s="529">
        <f>IF(E23="","",E23+(E23*H23/100*G23))</f>
        <v/>
      </c>
      <c r="J23" s="534">
        <f>IFERROR(I23/G23,"")</f>
        <v/>
      </c>
      <c r="K23" s="535">
        <f>IF(B23="","Pending",IF(M23="","⚠️ Enter Code",IF(IFERROR(VLOOKUP(L23,DB_Agents!$B:$I,8,0),"")=M23,"Pending","🔒 BLOCKED — Wrong Code")))</f>
        <v/>
      </c>
      <c r="L23" s="380" t="inlineStr">
        <is>
          <t>Agent 10</t>
        </is>
      </c>
      <c r="M23" s="491" t="n"/>
      <c r="N23" s="494" t="n"/>
    </row>
    <row r="24" ht="15" customHeight="1" s="341">
      <c r="A24" s="499">
        <f>IF(B24="","",IF(C24="❌ Account Not Found","INVALID","LN"&amp;TEXT(D24,"YYYYMMDD")&amp;TEXT(ROW()-13,"0000")))</f>
        <v/>
      </c>
      <c r="B24" s="495" t="n"/>
      <c r="C24" s="382">
        <f>IF(B24="","",IFERROR(VLOOKUP(B24,DB_Customers!$A:$D,4,0),"❌ Account Not Found"))</f>
        <v/>
      </c>
      <c r="D24" s="497">
        <f>IF(B24="","",TODAY())</f>
        <v/>
      </c>
      <c r="E24" s="526" t="n"/>
      <c r="F24" s="382" t="n"/>
      <c r="G24" s="527" t="n"/>
      <c r="H24" s="528" t="n"/>
      <c r="I24" s="529">
        <f>IF(E24="","",E24+(E24*H24/100*G24))</f>
        <v/>
      </c>
      <c r="J24" s="530">
        <f>IFERROR(I24/G24,"")</f>
        <v/>
      </c>
      <c r="K24" s="531">
        <f>IF(B24="","Pending",IF(M24="","⚠️ Enter Code",IF(IFERROR(VLOOKUP(L24,DB_Agents!$B:$I,8,0),"")=M24,"Pending","🔒 BLOCKED — Wrong Code")))</f>
        <v/>
      </c>
      <c r="L24" s="384" t="inlineStr">
        <is>
          <t>Agent 10</t>
        </is>
      </c>
      <c r="M24" s="491" t="n"/>
      <c r="N24" s="501" t="n"/>
    </row>
    <row r="25" ht="15" customHeight="1" s="341">
      <c r="A25" s="492">
        <f>IF(B25="","",IF(C25="❌ Account Not Found","INVALID","LN"&amp;TEXT(D25,"YYYYMMDD")&amp;TEXT(ROW()-13,"0000")))</f>
        <v/>
      </c>
      <c r="B25" s="486" t="n"/>
      <c r="C25" s="378">
        <f>IF(B25="","",IFERROR(VLOOKUP(B25,DB_Customers!$A:$D,4,0),"❌ Account Not Found"))</f>
        <v/>
      </c>
      <c r="D25" s="488">
        <f>IF(B25="","",TODAY())</f>
        <v/>
      </c>
      <c r="E25" s="526" t="n"/>
      <c r="F25" s="378" t="n"/>
      <c r="G25" s="532" t="n"/>
      <c r="H25" s="533" t="n"/>
      <c r="I25" s="529">
        <f>IF(E25="","",E25+(E25*H25/100*G25))</f>
        <v/>
      </c>
      <c r="J25" s="534">
        <f>IFERROR(I25/G25,"")</f>
        <v/>
      </c>
      <c r="K25" s="535">
        <f>IF(B25="","Pending",IF(M25="","⚠️ Enter Code",IF(IFERROR(VLOOKUP(L25,DB_Agents!$B:$I,8,0),"")=M25,"Pending","🔒 BLOCKED — Wrong Code")))</f>
        <v/>
      </c>
      <c r="L25" s="380" t="inlineStr">
        <is>
          <t>Agent 10</t>
        </is>
      </c>
      <c r="M25" s="491" t="n"/>
      <c r="N25" s="494" t="n"/>
    </row>
    <row r="26" ht="15" customHeight="1" s="341">
      <c r="A26" s="499">
        <f>IF(B26="","",IF(C26="❌ Account Not Found","INVALID","LN"&amp;TEXT(D26,"YYYYMMDD")&amp;TEXT(ROW()-13,"0000")))</f>
        <v/>
      </c>
      <c r="B26" s="495" t="n"/>
      <c r="C26" s="382">
        <f>IF(B26="","",IFERROR(VLOOKUP(B26,DB_Customers!$A:$D,4,0),"❌ Account Not Found"))</f>
        <v/>
      </c>
      <c r="D26" s="497">
        <f>IF(B26="","",TODAY())</f>
        <v/>
      </c>
      <c r="E26" s="526" t="n"/>
      <c r="F26" s="382" t="n"/>
      <c r="G26" s="527" t="n"/>
      <c r="H26" s="528" t="n"/>
      <c r="I26" s="529">
        <f>IF(E26="","",E26+(E26*H26/100*G26))</f>
        <v/>
      </c>
      <c r="J26" s="530">
        <f>IFERROR(I26/G26,"")</f>
        <v/>
      </c>
      <c r="K26" s="531">
        <f>IF(B26="","Pending",IF(M26="","⚠️ Enter Code",IF(IFERROR(VLOOKUP(L26,DB_Agents!$B:$I,8,0),"")=M26,"Pending","🔒 BLOCKED — Wrong Code")))</f>
        <v/>
      </c>
      <c r="L26" s="384" t="inlineStr">
        <is>
          <t>Agent 10</t>
        </is>
      </c>
      <c r="M26" s="491" t="n"/>
      <c r="N26" s="501" t="n"/>
    </row>
    <row r="27" ht="15" customHeight="1" s="341">
      <c r="A27" s="492">
        <f>IF(B27="","",IF(C27="❌ Account Not Found","INVALID","LN"&amp;TEXT(D27,"YYYYMMDD")&amp;TEXT(ROW()-13,"0000")))</f>
        <v/>
      </c>
      <c r="B27" s="486" t="n"/>
      <c r="C27" s="378">
        <f>IF(B27="","",IFERROR(VLOOKUP(B27,DB_Customers!$A:$D,4,0),"❌ Account Not Found"))</f>
        <v/>
      </c>
      <c r="D27" s="488">
        <f>IF(B27="","",TODAY())</f>
        <v/>
      </c>
      <c r="E27" s="526" t="n"/>
      <c r="F27" s="378" t="n"/>
      <c r="G27" s="532" t="n"/>
      <c r="H27" s="533" t="n"/>
      <c r="I27" s="529">
        <f>IF(E27="","",E27+(E27*H27/100*G27))</f>
        <v/>
      </c>
      <c r="J27" s="534">
        <f>IFERROR(I27/G27,"")</f>
        <v/>
      </c>
      <c r="K27" s="535">
        <f>IF(B27="","Pending",IF(M27="","⚠️ Enter Code",IF(IFERROR(VLOOKUP(L27,DB_Agents!$B:$I,8,0),"")=M27,"Pending","🔒 BLOCKED — Wrong Code")))</f>
        <v/>
      </c>
      <c r="L27" s="380" t="inlineStr">
        <is>
          <t>Agent 10</t>
        </is>
      </c>
      <c r="M27" s="491" t="n"/>
      <c r="N27" s="494" t="n"/>
    </row>
    <row r="28" ht="15" customHeight="1" s="341">
      <c r="A28" s="499">
        <f>IF(B28="","",IF(C28="❌ Account Not Found","INVALID","LN"&amp;TEXT(D28,"YYYYMMDD")&amp;TEXT(ROW()-13,"0000")))</f>
        <v/>
      </c>
      <c r="B28" s="495" t="n"/>
      <c r="C28" s="382">
        <f>IF(B28="","",IFERROR(VLOOKUP(B28,DB_Customers!$A:$D,4,0),"❌ Account Not Found"))</f>
        <v/>
      </c>
      <c r="D28" s="497">
        <f>IF(B28="","",TODAY())</f>
        <v/>
      </c>
      <c r="E28" s="526" t="n"/>
      <c r="F28" s="382" t="n"/>
      <c r="G28" s="527" t="n"/>
      <c r="H28" s="528" t="n"/>
      <c r="I28" s="529">
        <f>IF(E28="","",E28+(E28*H28/100*G28))</f>
        <v/>
      </c>
      <c r="J28" s="530">
        <f>IFERROR(I28/G28,"")</f>
        <v/>
      </c>
      <c r="K28" s="531">
        <f>IF(B28="","Pending",IF(M28="","⚠️ Enter Code",IF(IFERROR(VLOOKUP(L28,DB_Agents!$B:$I,8,0),"")=M28,"Pending","🔒 BLOCKED — Wrong Code")))</f>
        <v/>
      </c>
      <c r="L28" s="384" t="inlineStr">
        <is>
          <t>Agent 10</t>
        </is>
      </c>
      <c r="M28" s="491" t="n"/>
      <c r="N28" s="501" t="n"/>
    </row>
    <row r="29" ht="15" customHeight="1" s="341">
      <c r="A29" s="492">
        <f>IF(B29="","",IF(C29="❌ Account Not Found","INVALID","LN"&amp;TEXT(D29,"YYYYMMDD")&amp;TEXT(ROW()-13,"0000")))</f>
        <v/>
      </c>
      <c r="B29" s="486" t="n"/>
      <c r="C29" s="378">
        <f>IF(B29="","",IFERROR(VLOOKUP(B29,DB_Customers!$A:$D,4,0),"❌ Account Not Found"))</f>
        <v/>
      </c>
      <c r="D29" s="488">
        <f>IF(B29="","",TODAY())</f>
        <v/>
      </c>
      <c r="E29" s="526" t="n"/>
      <c r="F29" s="378" t="n"/>
      <c r="G29" s="532" t="n"/>
      <c r="H29" s="533" t="n"/>
      <c r="I29" s="529">
        <f>IF(E29="","",E29+(E29*H29/100*G29))</f>
        <v/>
      </c>
      <c r="J29" s="534">
        <f>IFERROR(I29/G29,"")</f>
        <v/>
      </c>
      <c r="K29" s="535">
        <f>IF(B29="","Pending",IF(M29="","⚠️ Enter Code",IF(IFERROR(VLOOKUP(L29,DB_Agents!$B:$I,8,0),"")=M29,"Pending","🔒 BLOCKED — Wrong Code")))</f>
        <v/>
      </c>
      <c r="L29" s="380" t="inlineStr">
        <is>
          <t>Agent 10</t>
        </is>
      </c>
      <c r="M29" s="491" t="n"/>
      <c r="N29" s="494" t="n"/>
    </row>
    <row r="30" ht="15" customHeight="1" s="341">
      <c r="A30" s="499">
        <f>IF(B30="","",IF(C30="❌ Account Not Found","INVALID","LN"&amp;TEXT(D30,"YYYYMMDD")&amp;TEXT(ROW()-13,"0000")))</f>
        <v/>
      </c>
      <c r="B30" s="495" t="n"/>
      <c r="C30" s="382">
        <f>IF(B30="","",IFERROR(VLOOKUP(B30,DB_Customers!$A:$D,4,0),"❌ Account Not Found"))</f>
        <v/>
      </c>
      <c r="D30" s="497">
        <f>IF(B30="","",TODAY())</f>
        <v/>
      </c>
      <c r="E30" s="526" t="n"/>
      <c r="F30" s="382" t="n"/>
      <c r="G30" s="527" t="n"/>
      <c r="H30" s="528" t="n"/>
      <c r="I30" s="529">
        <f>IF(E30="","",E30+(E30*H30/100*G30))</f>
        <v/>
      </c>
      <c r="J30" s="530">
        <f>IFERROR(I30/G30,"")</f>
        <v/>
      </c>
      <c r="K30" s="531">
        <f>IF(B30="","Pending",IF(M30="","⚠️ Enter Code",IF(IFERROR(VLOOKUP(L30,DB_Agents!$B:$I,8,0),"")=M30,"Pending","🔒 BLOCKED — Wrong Code")))</f>
        <v/>
      </c>
      <c r="L30" s="384" t="inlineStr">
        <is>
          <t>Agent 10</t>
        </is>
      </c>
      <c r="M30" s="491" t="n"/>
      <c r="N30" s="501" t="n"/>
    </row>
    <row r="31" ht="15" customHeight="1" s="341">
      <c r="A31" s="492">
        <f>IF(B31="","",IF(C31="❌ Account Not Found","INVALID","LN"&amp;TEXT(D31,"YYYYMMDD")&amp;TEXT(ROW()-13,"0000")))</f>
        <v/>
      </c>
      <c r="B31" s="486" t="n"/>
      <c r="C31" s="378">
        <f>IF(B31="","",IFERROR(VLOOKUP(B31,DB_Customers!$A:$D,4,0),"❌ Account Not Found"))</f>
        <v/>
      </c>
      <c r="D31" s="488">
        <f>IF(B31="","",TODAY())</f>
        <v/>
      </c>
      <c r="E31" s="526" t="n"/>
      <c r="F31" s="378" t="n"/>
      <c r="G31" s="532" t="n"/>
      <c r="H31" s="533" t="n"/>
      <c r="I31" s="529">
        <f>IF(E31="","",E31+(E31*H31/100*G31))</f>
        <v/>
      </c>
      <c r="J31" s="534">
        <f>IFERROR(I31/G31,"")</f>
        <v/>
      </c>
      <c r="K31" s="535">
        <f>IF(B31="","Pending",IF(M31="","⚠️ Enter Code",IF(IFERROR(VLOOKUP(L31,DB_Agents!$B:$I,8,0),"")=M31,"Pending","🔒 BLOCKED — Wrong Code")))</f>
        <v/>
      </c>
      <c r="L31" s="380" t="inlineStr">
        <is>
          <t>Agent 10</t>
        </is>
      </c>
      <c r="M31" s="491" t="n"/>
      <c r="N31" s="494" t="n"/>
    </row>
    <row r="32" ht="15" customHeight="1" s="341">
      <c r="A32" s="499">
        <f>IF(B32="","",IF(C32="❌ Account Not Found","INVALID","LN"&amp;TEXT(D32,"YYYYMMDD")&amp;TEXT(ROW()-13,"0000")))</f>
        <v/>
      </c>
      <c r="B32" s="495" t="n"/>
      <c r="C32" s="382">
        <f>IF(B32="","",IFERROR(VLOOKUP(B32,DB_Customers!$A:$D,4,0),"❌ Account Not Found"))</f>
        <v/>
      </c>
      <c r="D32" s="497">
        <f>IF(B32="","",TODAY())</f>
        <v/>
      </c>
      <c r="E32" s="526" t="n"/>
      <c r="F32" s="382" t="n"/>
      <c r="G32" s="527" t="n"/>
      <c r="H32" s="528" t="n"/>
      <c r="I32" s="529">
        <f>IF(E32="","",E32+(E32*H32/100*G32))</f>
        <v/>
      </c>
      <c r="J32" s="530">
        <f>IFERROR(I32/G32,"")</f>
        <v/>
      </c>
      <c r="K32" s="531">
        <f>IF(B32="","Pending",IF(M32="","⚠️ Enter Code",IF(IFERROR(VLOOKUP(L32,DB_Agents!$B:$I,8,0),"")=M32,"Pending","🔒 BLOCKED — Wrong Code")))</f>
        <v/>
      </c>
      <c r="L32" s="384" t="inlineStr">
        <is>
          <t>Agent 10</t>
        </is>
      </c>
      <c r="M32" s="491" t="n"/>
      <c r="N32" s="501" t="n"/>
    </row>
    <row r="33" ht="15" customHeight="1" s="341">
      <c r="A33" s="492">
        <f>IF(B33="","",IF(C33="❌ Account Not Found","INVALID","LN"&amp;TEXT(D33,"YYYYMMDD")&amp;TEXT(ROW()-13,"0000")))</f>
        <v/>
      </c>
      <c r="B33" s="486" t="n"/>
      <c r="C33" s="378">
        <f>IF(B33="","",IFERROR(VLOOKUP(B33,DB_Customers!$A:$D,4,0),"❌ Account Not Found"))</f>
        <v/>
      </c>
      <c r="D33" s="488">
        <f>IF(B33="","",TODAY())</f>
        <v/>
      </c>
      <c r="E33" s="526" t="n"/>
      <c r="F33" s="378" t="n"/>
      <c r="G33" s="532" t="n"/>
      <c r="H33" s="533" t="n"/>
      <c r="I33" s="529">
        <f>IF(E33="","",E33+(E33*H33/100*G33))</f>
        <v/>
      </c>
      <c r="J33" s="534">
        <f>IFERROR(I33/G33,"")</f>
        <v/>
      </c>
      <c r="K33" s="535">
        <f>IF(B33="","Pending",IF(M33="","⚠️ Enter Code",IF(IFERROR(VLOOKUP(L33,DB_Agents!$B:$I,8,0),"")=M33,"Pending","🔒 BLOCKED — Wrong Code")))</f>
        <v/>
      </c>
      <c r="L33" s="380" t="inlineStr">
        <is>
          <t>Agent 10</t>
        </is>
      </c>
      <c r="M33" s="491" t="n"/>
      <c r="N33" s="494" t="n"/>
    </row>
    <row r="34" ht="15" customHeight="1" s="341">
      <c r="A34" s="499">
        <f>IF(B34="","",IF(C34="❌ Account Not Found","INVALID","LN"&amp;TEXT(D34,"YYYYMMDD")&amp;TEXT(ROW()-13,"0000")))</f>
        <v/>
      </c>
      <c r="B34" s="495" t="n"/>
      <c r="C34" s="382">
        <f>IF(B34="","",IFERROR(VLOOKUP(B34,DB_Customers!$A:$D,4,0),"❌ Account Not Found"))</f>
        <v/>
      </c>
      <c r="D34" s="497">
        <f>IF(B34="","",TODAY())</f>
        <v/>
      </c>
      <c r="E34" s="526" t="n"/>
      <c r="F34" s="382" t="n"/>
      <c r="G34" s="527" t="n"/>
      <c r="H34" s="528" t="n"/>
      <c r="I34" s="529">
        <f>IF(E34="","",E34+(E34*H34/100*G34))</f>
        <v/>
      </c>
      <c r="J34" s="530">
        <f>IFERROR(I34/G34,"")</f>
        <v/>
      </c>
      <c r="K34" s="531">
        <f>IF(B34="","Pending",IF(M34="","⚠️ Enter Code",IF(IFERROR(VLOOKUP(L34,DB_Agents!$B:$I,8,0),"")=M34,"Pending","🔒 BLOCKED — Wrong Code")))</f>
        <v/>
      </c>
      <c r="L34" s="384" t="inlineStr">
        <is>
          <t>Agent 10</t>
        </is>
      </c>
      <c r="M34" s="491" t="n"/>
      <c r="N34" s="501" t="n"/>
    </row>
    <row r="35" ht="15" customHeight="1" s="341">
      <c r="A35" s="492">
        <f>IF(B35="","",IF(C35="❌ Account Not Found","INVALID","LN"&amp;TEXT(D35,"YYYYMMDD")&amp;TEXT(ROW()-13,"0000")))</f>
        <v/>
      </c>
      <c r="B35" s="486" t="n"/>
      <c r="C35" s="378">
        <f>IF(B35="","",IFERROR(VLOOKUP(B35,DB_Customers!$A:$D,4,0),"❌ Account Not Found"))</f>
        <v/>
      </c>
      <c r="D35" s="488">
        <f>IF(B35="","",TODAY())</f>
        <v/>
      </c>
      <c r="E35" s="526" t="n"/>
      <c r="F35" s="378" t="n"/>
      <c r="G35" s="532" t="n"/>
      <c r="H35" s="533" t="n"/>
      <c r="I35" s="529">
        <f>IF(E35="","",E35+(E35*H35/100*G35))</f>
        <v/>
      </c>
      <c r="J35" s="534">
        <f>IFERROR(I35/G35,"")</f>
        <v/>
      </c>
      <c r="K35" s="535">
        <f>IF(B35="","Pending",IF(M35="","⚠️ Enter Code",IF(IFERROR(VLOOKUP(L35,DB_Agents!$B:$I,8,0),"")=M35,"Pending","🔒 BLOCKED — Wrong Code")))</f>
        <v/>
      </c>
      <c r="L35" s="380" t="inlineStr">
        <is>
          <t>Agent 10</t>
        </is>
      </c>
      <c r="M35" s="491" t="n"/>
      <c r="N35" s="494" t="n"/>
    </row>
    <row r="36" ht="15" customHeight="1" s="341">
      <c r="A36" s="499">
        <f>IF(B36="","",IF(C36="❌ Account Not Found","INVALID","LN"&amp;TEXT(D36,"YYYYMMDD")&amp;TEXT(ROW()-13,"0000")))</f>
        <v/>
      </c>
      <c r="B36" s="495" t="n"/>
      <c r="C36" s="382">
        <f>IF(B36="","",IFERROR(VLOOKUP(B36,DB_Customers!$A:$D,4,0),"❌ Account Not Found"))</f>
        <v/>
      </c>
      <c r="D36" s="497">
        <f>IF(B36="","",TODAY())</f>
        <v/>
      </c>
      <c r="E36" s="526" t="n"/>
      <c r="F36" s="382" t="n"/>
      <c r="G36" s="527" t="n"/>
      <c r="H36" s="528" t="n"/>
      <c r="I36" s="529">
        <f>IF(E36="","",E36+(E36*H36/100*G36))</f>
        <v/>
      </c>
      <c r="J36" s="530">
        <f>IFERROR(I36/G36,"")</f>
        <v/>
      </c>
      <c r="K36" s="531">
        <f>IF(B36="","Pending",IF(M36="","⚠️ Enter Code",IF(IFERROR(VLOOKUP(L36,DB_Agents!$B:$I,8,0),"")=M36,"Pending","🔒 BLOCKED — Wrong Code")))</f>
        <v/>
      </c>
      <c r="L36" s="384" t="inlineStr">
        <is>
          <t>Agent 10</t>
        </is>
      </c>
      <c r="M36" s="491" t="n"/>
      <c r="N36" s="501" t="n"/>
    </row>
    <row r="37" ht="15" customHeight="1" s="341">
      <c r="A37" s="492">
        <f>IF(B37="","",IF(C37="❌ Account Not Found","INVALID","LN"&amp;TEXT(D37,"YYYYMMDD")&amp;TEXT(ROW()-13,"0000")))</f>
        <v/>
      </c>
      <c r="B37" s="486" t="n"/>
      <c r="C37" s="378">
        <f>IF(B37="","",IFERROR(VLOOKUP(B37,DB_Customers!$A:$D,4,0),"❌ Account Not Found"))</f>
        <v/>
      </c>
      <c r="D37" s="488">
        <f>IF(B37="","",TODAY())</f>
        <v/>
      </c>
      <c r="E37" s="526" t="n"/>
      <c r="F37" s="378" t="n"/>
      <c r="G37" s="532" t="n"/>
      <c r="H37" s="533" t="n"/>
      <c r="I37" s="529">
        <f>IF(E37="","",E37+(E37*H37/100*G37))</f>
        <v/>
      </c>
      <c r="J37" s="534">
        <f>IFERROR(I37/G37,"")</f>
        <v/>
      </c>
      <c r="K37" s="535">
        <f>IF(B37="","Pending",IF(M37="","⚠️ Enter Code",IF(IFERROR(VLOOKUP(L37,DB_Agents!$B:$I,8,0),"")=M37,"Pending","🔒 BLOCKED — Wrong Code")))</f>
        <v/>
      </c>
      <c r="L37" s="380" t="inlineStr">
        <is>
          <t>Agent 10</t>
        </is>
      </c>
      <c r="M37" s="491" t="n"/>
      <c r="N37" s="494" t="n"/>
    </row>
    <row r="38" ht="15" customHeight="1" s="341">
      <c r="A38" s="499">
        <f>IF(B38="","",IF(C38="❌ Account Not Found","INVALID","LN"&amp;TEXT(D38,"YYYYMMDD")&amp;TEXT(ROW()-13,"0000")))</f>
        <v/>
      </c>
      <c r="B38" s="495" t="n"/>
      <c r="C38" s="382">
        <f>IF(B38="","",IFERROR(VLOOKUP(B38,DB_Customers!$A:$D,4,0),"❌ Account Not Found"))</f>
        <v/>
      </c>
      <c r="D38" s="497">
        <f>IF(B38="","",TODAY())</f>
        <v/>
      </c>
      <c r="E38" s="526" t="n"/>
      <c r="F38" s="382" t="n"/>
      <c r="G38" s="527" t="n"/>
      <c r="H38" s="528" t="n"/>
      <c r="I38" s="529">
        <f>IF(E38="","",E38+(E38*H38/100*G38))</f>
        <v/>
      </c>
      <c r="J38" s="530">
        <f>IFERROR(I38/G38,"")</f>
        <v/>
      </c>
      <c r="K38" s="531">
        <f>IF(B38="","Pending",IF(M38="","⚠️ Enter Code",IF(IFERROR(VLOOKUP(L38,DB_Agents!$B:$I,8,0),"")=M38,"Pending","🔒 BLOCKED — Wrong Code")))</f>
        <v/>
      </c>
      <c r="L38" s="384" t="inlineStr">
        <is>
          <t>Agent 10</t>
        </is>
      </c>
      <c r="M38" s="491" t="n"/>
      <c r="N38" s="501" t="n"/>
    </row>
    <row r="39" ht="15" customHeight="1" s="341">
      <c r="A39" s="492">
        <f>IF(B39="","",IF(C39="❌ Account Not Found","INVALID","LN"&amp;TEXT(D39,"YYYYMMDD")&amp;TEXT(ROW()-13,"0000")))</f>
        <v/>
      </c>
      <c r="B39" s="486" t="n"/>
      <c r="C39" s="378">
        <f>IF(B39="","",IFERROR(VLOOKUP(B39,DB_Customers!$A:$D,4,0),"❌ Account Not Found"))</f>
        <v/>
      </c>
      <c r="D39" s="488">
        <f>IF(B39="","",TODAY())</f>
        <v/>
      </c>
      <c r="E39" s="526" t="n"/>
      <c r="F39" s="378" t="n"/>
      <c r="G39" s="532" t="n"/>
      <c r="H39" s="533" t="n"/>
      <c r="I39" s="529">
        <f>IF(E39="","",E39+(E39*H39/100*G39))</f>
        <v/>
      </c>
      <c r="J39" s="534">
        <f>IFERROR(I39/G39,"")</f>
        <v/>
      </c>
      <c r="K39" s="535">
        <f>IF(B39="","Pending",IF(M39="","⚠️ Enter Code",IF(IFERROR(VLOOKUP(L39,DB_Agents!$B:$I,8,0),"")=M39,"Pending","🔒 BLOCKED — Wrong Code")))</f>
        <v/>
      </c>
      <c r="L39" s="380" t="inlineStr">
        <is>
          <t>Agent 10</t>
        </is>
      </c>
      <c r="M39" s="491" t="n"/>
      <c r="N39" s="494" t="n"/>
    </row>
    <row r="40" ht="15" customHeight="1" s="341">
      <c r="A40" s="499">
        <f>IF(B40="","",IF(C40="❌ Account Not Found","INVALID","LN"&amp;TEXT(D40,"YYYYMMDD")&amp;TEXT(ROW()-13,"0000")))</f>
        <v/>
      </c>
      <c r="B40" s="495" t="n"/>
      <c r="C40" s="382">
        <f>IF(B40="","",IFERROR(VLOOKUP(B40,DB_Customers!$A:$D,4,0),"❌ Account Not Found"))</f>
        <v/>
      </c>
      <c r="D40" s="497">
        <f>IF(B40="","",TODAY())</f>
        <v/>
      </c>
      <c r="E40" s="526" t="n"/>
      <c r="F40" s="382" t="n"/>
      <c r="G40" s="527" t="n"/>
      <c r="H40" s="528" t="n"/>
      <c r="I40" s="529">
        <f>IF(E40="","",E40+(E40*H40/100*G40))</f>
        <v/>
      </c>
      <c r="J40" s="530">
        <f>IFERROR(I40/G40,"")</f>
        <v/>
      </c>
      <c r="K40" s="531">
        <f>IF(B40="","Pending",IF(M40="","⚠️ Enter Code",IF(IFERROR(VLOOKUP(L40,DB_Agents!$B:$I,8,0),"")=M40,"Pending","🔒 BLOCKED — Wrong Code")))</f>
        <v/>
      </c>
      <c r="L40" s="384" t="inlineStr">
        <is>
          <t>Agent 10</t>
        </is>
      </c>
      <c r="M40" s="491" t="n"/>
      <c r="N40" s="501" t="n"/>
    </row>
    <row r="41" ht="15" customHeight="1" s="341">
      <c r="A41" s="492">
        <f>IF(B41="","",IF(C41="❌ Account Not Found","INVALID","LN"&amp;TEXT(D41,"YYYYMMDD")&amp;TEXT(ROW()-13,"0000")))</f>
        <v/>
      </c>
      <c r="B41" s="486" t="n"/>
      <c r="C41" s="378">
        <f>IF(B41="","",IFERROR(VLOOKUP(B41,DB_Customers!$A:$D,4,0),"❌ Account Not Found"))</f>
        <v/>
      </c>
      <c r="D41" s="488">
        <f>IF(B41="","",TODAY())</f>
        <v/>
      </c>
      <c r="E41" s="526" t="n"/>
      <c r="F41" s="378" t="n"/>
      <c r="G41" s="532" t="n"/>
      <c r="H41" s="533" t="n"/>
      <c r="I41" s="529">
        <f>IF(E41="","",E41+(E41*H41/100*G41))</f>
        <v/>
      </c>
      <c r="J41" s="534">
        <f>IFERROR(I41/G41,"")</f>
        <v/>
      </c>
      <c r="K41" s="535">
        <f>IF(B41="","Pending",IF(M41="","⚠️ Enter Code",IF(IFERROR(VLOOKUP(L41,DB_Agents!$B:$I,8,0),"")=M41,"Pending","🔒 BLOCKED — Wrong Code")))</f>
        <v/>
      </c>
      <c r="L41" s="380" t="inlineStr">
        <is>
          <t>Agent 10</t>
        </is>
      </c>
      <c r="M41" s="491" t="n"/>
      <c r="N41" s="494" t="n"/>
    </row>
    <row r="42" ht="15" customHeight="1" s="341">
      <c r="A42" s="499">
        <f>IF(B42="","",IF(C42="❌ Account Not Found","INVALID","LN"&amp;TEXT(D42,"YYYYMMDD")&amp;TEXT(ROW()-13,"0000")))</f>
        <v/>
      </c>
      <c r="B42" s="495" t="n"/>
      <c r="C42" s="382">
        <f>IF(B42="","",IFERROR(VLOOKUP(B42,DB_Customers!$A:$D,4,0),"❌ Account Not Found"))</f>
        <v/>
      </c>
      <c r="D42" s="497">
        <f>IF(B42="","",TODAY())</f>
        <v/>
      </c>
      <c r="E42" s="526" t="n"/>
      <c r="F42" s="382" t="n"/>
      <c r="G42" s="527" t="n"/>
      <c r="H42" s="528" t="n"/>
      <c r="I42" s="529">
        <f>IF(E42="","",E42+(E42*H42/100*G42))</f>
        <v/>
      </c>
      <c r="J42" s="530">
        <f>IFERROR(I42/G42,"")</f>
        <v/>
      </c>
      <c r="K42" s="531">
        <f>IF(B42="","Pending",IF(M42="","⚠️ Enter Code",IF(IFERROR(VLOOKUP(L42,DB_Agents!$B:$I,8,0),"")=M42,"Pending","🔒 BLOCKED — Wrong Code")))</f>
        <v/>
      </c>
      <c r="L42" s="384" t="inlineStr">
        <is>
          <t>Agent 10</t>
        </is>
      </c>
      <c r="M42" s="491" t="n"/>
      <c r="N42" s="501" t="n"/>
    </row>
    <row r="43" ht="15" customHeight="1" s="341">
      <c r="A43" s="492">
        <f>IF(B43="","",IF(C43="❌ Account Not Found","INVALID","LN"&amp;TEXT(D43,"YYYYMMDD")&amp;TEXT(ROW()-13,"0000")))</f>
        <v/>
      </c>
      <c r="B43" s="486" t="n"/>
      <c r="C43" s="378">
        <f>IF(B43="","",IFERROR(VLOOKUP(B43,DB_Customers!$A:$D,4,0),"❌ Account Not Found"))</f>
        <v/>
      </c>
      <c r="D43" s="488">
        <f>IF(B43="","",TODAY())</f>
        <v/>
      </c>
      <c r="E43" s="526" t="n"/>
      <c r="F43" s="378" t="n"/>
      <c r="G43" s="532" t="n"/>
      <c r="H43" s="533" t="n"/>
      <c r="I43" s="529">
        <f>IF(E43="","",E43+(E43*H43/100*G43))</f>
        <v/>
      </c>
      <c r="J43" s="534">
        <f>IFERROR(I43/G43,"")</f>
        <v/>
      </c>
      <c r="K43" s="535">
        <f>IF(B43="","Pending",IF(M43="","⚠️ Enter Code",IF(IFERROR(VLOOKUP(L43,DB_Agents!$B:$I,8,0),"")=M43,"Pending","🔒 BLOCKED — Wrong Code")))</f>
        <v/>
      </c>
      <c r="L43" s="380" t="inlineStr">
        <is>
          <t>Agent 10</t>
        </is>
      </c>
      <c r="M43" s="491" t="n"/>
      <c r="N43" s="494" t="n"/>
    </row>
    <row r="44" ht="15" customHeight="1" s="341">
      <c r="A44" s="499">
        <f>IF(B44="","",IF(C44="❌ Account Not Found","INVALID","LN"&amp;TEXT(D44,"YYYYMMDD")&amp;TEXT(ROW()-13,"0000")))</f>
        <v/>
      </c>
      <c r="B44" s="495" t="n"/>
      <c r="C44" s="382">
        <f>IF(B44="","",IFERROR(VLOOKUP(B44,DB_Customers!$A:$D,4,0),"❌ Account Not Found"))</f>
        <v/>
      </c>
      <c r="D44" s="497">
        <f>IF(B44="","",TODAY())</f>
        <v/>
      </c>
      <c r="E44" s="526" t="n"/>
      <c r="F44" s="382" t="n"/>
      <c r="G44" s="527" t="n"/>
      <c r="H44" s="528" t="n"/>
      <c r="I44" s="529">
        <f>IF(E44="","",E44+(E44*H44/100*G44))</f>
        <v/>
      </c>
      <c r="J44" s="530">
        <f>IFERROR(I44/G44,"")</f>
        <v/>
      </c>
      <c r="K44" s="531">
        <f>IF(B44="","Pending",IF(M44="","⚠️ Enter Code",IF(IFERROR(VLOOKUP(L44,DB_Agents!$B:$I,8,0),"")=M44,"Pending","🔒 BLOCKED — Wrong Code")))</f>
        <v/>
      </c>
      <c r="L44" s="384" t="inlineStr">
        <is>
          <t>Agent 10</t>
        </is>
      </c>
      <c r="M44" s="491" t="n"/>
      <c r="N44" s="501" t="n"/>
    </row>
    <row r="45" ht="15" customHeight="1" s="341">
      <c r="A45" s="492">
        <f>IF(B45="","",IF(C45="❌ Account Not Found","INVALID","LN"&amp;TEXT(D45,"YYYYMMDD")&amp;TEXT(ROW()-13,"0000")))</f>
        <v/>
      </c>
      <c r="B45" s="486" t="n"/>
      <c r="C45" s="378">
        <f>IF(B45="","",IFERROR(VLOOKUP(B45,DB_Customers!$A:$D,4,0),"❌ Account Not Found"))</f>
        <v/>
      </c>
      <c r="D45" s="488">
        <f>IF(B45="","",TODAY())</f>
        <v/>
      </c>
      <c r="E45" s="526" t="n"/>
      <c r="F45" s="378" t="n"/>
      <c r="G45" s="532" t="n"/>
      <c r="H45" s="533" t="n"/>
      <c r="I45" s="529">
        <f>IF(E45="","",E45+(E45*H45/100*G45))</f>
        <v/>
      </c>
      <c r="J45" s="534">
        <f>IFERROR(I45/G45,"")</f>
        <v/>
      </c>
      <c r="K45" s="535">
        <f>IF(B45="","Pending",IF(M45="","⚠️ Enter Code",IF(IFERROR(VLOOKUP(L45,DB_Agents!$B:$I,8,0),"")=M45,"Pending","🔒 BLOCKED — Wrong Code")))</f>
        <v/>
      </c>
      <c r="L45" s="380" t="inlineStr">
        <is>
          <t>Agent 10</t>
        </is>
      </c>
      <c r="M45" s="491" t="n"/>
      <c r="N45" s="494" t="n"/>
    </row>
    <row r="46" ht="15" customHeight="1" s="341">
      <c r="A46" s="499">
        <f>IF(B46="","",IF(C46="❌ Account Not Found","INVALID","LN"&amp;TEXT(D46,"YYYYMMDD")&amp;TEXT(ROW()-13,"0000")))</f>
        <v/>
      </c>
      <c r="B46" s="495" t="n"/>
      <c r="C46" s="382">
        <f>IF(B46="","",IFERROR(VLOOKUP(B46,DB_Customers!$A:$D,4,0),"❌ Account Not Found"))</f>
        <v/>
      </c>
      <c r="D46" s="497">
        <f>IF(B46="","",TODAY())</f>
        <v/>
      </c>
      <c r="E46" s="526" t="n"/>
      <c r="F46" s="382" t="n"/>
      <c r="G46" s="527" t="n"/>
      <c r="H46" s="528" t="n"/>
      <c r="I46" s="529">
        <f>IF(E46="","",E46+(E46*H46/100*G46))</f>
        <v/>
      </c>
      <c r="J46" s="530">
        <f>IFERROR(I46/G46,"")</f>
        <v/>
      </c>
      <c r="K46" s="531">
        <f>IF(B46="","Pending",IF(M46="","⚠️ Enter Code",IF(IFERROR(VLOOKUP(L46,DB_Agents!$B:$I,8,0),"")=M46,"Pending","🔒 BLOCKED — Wrong Code")))</f>
        <v/>
      </c>
      <c r="L46" s="384" t="inlineStr">
        <is>
          <t>Agent 10</t>
        </is>
      </c>
      <c r="M46" s="491" t="n"/>
      <c r="N46" s="501" t="n"/>
    </row>
    <row r="47" ht="15" customHeight="1" s="341">
      <c r="A47" s="492">
        <f>IF(B47="","",IF(C47="❌ Account Not Found","INVALID","LN"&amp;TEXT(D47,"YYYYMMDD")&amp;TEXT(ROW()-13,"0000")))</f>
        <v/>
      </c>
      <c r="B47" s="486" t="n"/>
      <c r="C47" s="378">
        <f>IF(B47="","",IFERROR(VLOOKUP(B47,DB_Customers!$A:$D,4,0),"❌ Account Not Found"))</f>
        <v/>
      </c>
      <c r="D47" s="488">
        <f>IF(B47="","",TODAY())</f>
        <v/>
      </c>
      <c r="E47" s="526" t="n"/>
      <c r="F47" s="378" t="n"/>
      <c r="G47" s="532" t="n"/>
      <c r="H47" s="533" t="n"/>
      <c r="I47" s="529">
        <f>IF(E47="","",E47+(E47*H47/100*G47))</f>
        <v/>
      </c>
      <c r="J47" s="534">
        <f>IFERROR(I47/G47,"")</f>
        <v/>
      </c>
      <c r="K47" s="535">
        <f>IF(B47="","Pending",IF(M47="","⚠️ Enter Code",IF(IFERROR(VLOOKUP(L47,DB_Agents!$B:$I,8,0),"")=M47,"Pending","🔒 BLOCKED — Wrong Code")))</f>
        <v/>
      </c>
      <c r="L47" s="380" t="inlineStr">
        <is>
          <t>Agent 10</t>
        </is>
      </c>
      <c r="M47" s="491" t="n"/>
      <c r="N47" s="494" t="n"/>
    </row>
    <row r="48" ht="15" customHeight="1" s="341">
      <c r="A48" s="499">
        <f>IF(B48="","",IF(C48="❌ Account Not Found","INVALID","LN"&amp;TEXT(D48,"YYYYMMDD")&amp;TEXT(ROW()-13,"0000")))</f>
        <v/>
      </c>
      <c r="B48" s="495" t="n"/>
      <c r="C48" s="382">
        <f>IF(B48="","",IFERROR(VLOOKUP(B48,DB_Customers!$A:$D,4,0),"❌ Account Not Found"))</f>
        <v/>
      </c>
      <c r="D48" s="497">
        <f>IF(B48="","",TODAY())</f>
        <v/>
      </c>
      <c r="E48" s="526" t="n"/>
      <c r="F48" s="382" t="n"/>
      <c r="G48" s="527" t="n"/>
      <c r="H48" s="528" t="n"/>
      <c r="I48" s="529">
        <f>IF(E48="","",E48+(E48*H48/100*G48))</f>
        <v/>
      </c>
      <c r="J48" s="530">
        <f>IFERROR(I48/G48,"")</f>
        <v/>
      </c>
      <c r="K48" s="531">
        <f>IF(B48="","Pending",IF(M48="","⚠️ Enter Code",IF(IFERROR(VLOOKUP(L48,DB_Agents!$B:$I,8,0),"")=M48,"Pending","🔒 BLOCKED — Wrong Code")))</f>
        <v/>
      </c>
      <c r="L48" s="384" t="inlineStr">
        <is>
          <t>Agent 10</t>
        </is>
      </c>
      <c r="M48" s="491" t="n"/>
      <c r="N48" s="501" t="n"/>
    </row>
    <row r="49" ht="15" customHeight="1" s="341">
      <c r="A49" s="492">
        <f>IF(B49="","",IF(C49="❌ Account Not Found","INVALID","LN"&amp;TEXT(D49,"YYYYMMDD")&amp;TEXT(ROW()-13,"0000")))</f>
        <v/>
      </c>
      <c r="B49" s="486" t="n"/>
      <c r="C49" s="378">
        <f>IF(B49="","",IFERROR(VLOOKUP(B49,DB_Customers!$A:$D,4,0),"❌ Account Not Found"))</f>
        <v/>
      </c>
      <c r="D49" s="488">
        <f>IF(B49="","",TODAY())</f>
        <v/>
      </c>
      <c r="E49" s="526" t="n"/>
      <c r="F49" s="378" t="n"/>
      <c r="G49" s="532" t="n"/>
      <c r="H49" s="533" t="n"/>
      <c r="I49" s="529">
        <f>IF(E49="","",E49+(E49*H49/100*G49))</f>
        <v/>
      </c>
      <c r="J49" s="534">
        <f>IFERROR(I49/G49,"")</f>
        <v/>
      </c>
      <c r="K49" s="535">
        <f>IF(B49="","Pending",IF(M49="","⚠️ Enter Code",IF(IFERROR(VLOOKUP(L49,DB_Agents!$B:$I,8,0),"")=M49,"Pending","🔒 BLOCKED — Wrong Code")))</f>
        <v/>
      </c>
      <c r="L49" s="380" t="inlineStr">
        <is>
          <t>Agent 10</t>
        </is>
      </c>
      <c r="M49" s="491" t="n"/>
      <c r="N49" s="494" t="n"/>
    </row>
    <row r="50" ht="15" customHeight="1" s="341">
      <c r="A50" s="499">
        <f>IF(B50="","",IF(C50="❌ Account Not Found","INVALID","LN"&amp;TEXT(D50,"YYYYMMDD")&amp;TEXT(ROW()-13,"0000")))</f>
        <v/>
      </c>
      <c r="B50" s="495" t="n"/>
      <c r="C50" s="382">
        <f>IF(B50="","",IFERROR(VLOOKUP(B50,DB_Customers!$A:$D,4,0),"❌ Account Not Found"))</f>
        <v/>
      </c>
      <c r="D50" s="497">
        <f>IF(B50="","",TODAY())</f>
        <v/>
      </c>
      <c r="E50" s="526" t="n"/>
      <c r="F50" s="382" t="n"/>
      <c r="G50" s="527" t="n"/>
      <c r="H50" s="528" t="n"/>
      <c r="I50" s="529">
        <f>IF(E50="","",E50+(E50*H50/100*G50))</f>
        <v/>
      </c>
      <c r="J50" s="530">
        <f>IFERROR(I50/G50,"")</f>
        <v/>
      </c>
      <c r="K50" s="531">
        <f>IF(B50="","Pending",IF(M50="","⚠️ Enter Code",IF(IFERROR(VLOOKUP(L50,DB_Agents!$B:$I,8,0),"")=M50,"Pending","🔒 BLOCKED — Wrong Code")))</f>
        <v/>
      </c>
      <c r="L50" s="384" t="inlineStr">
        <is>
          <t>Agent 10</t>
        </is>
      </c>
      <c r="M50" s="491" t="n"/>
      <c r="N50" s="501" t="n"/>
    </row>
    <row r="51" ht="15" customHeight="1" s="341">
      <c r="A51" s="492">
        <f>IF(B51="","",IF(C51="❌ Account Not Found","INVALID","LN"&amp;TEXT(D51,"YYYYMMDD")&amp;TEXT(ROW()-13,"0000")))</f>
        <v/>
      </c>
      <c r="B51" s="486" t="n"/>
      <c r="C51" s="378">
        <f>IF(B51="","",IFERROR(VLOOKUP(B51,DB_Customers!$A:$D,4,0),"❌ Account Not Found"))</f>
        <v/>
      </c>
      <c r="D51" s="488">
        <f>IF(B51="","",TODAY())</f>
        <v/>
      </c>
      <c r="E51" s="526" t="n"/>
      <c r="F51" s="378" t="n"/>
      <c r="G51" s="532" t="n"/>
      <c r="H51" s="533" t="n"/>
      <c r="I51" s="529">
        <f>IF(E51="","",E51+(E51*H51/100*G51))</f>
        <v/>
      </c>
      <c r="J51" s="534">
        <f>IFERROR(I51/G51,"")</f>
        <v/>
      </c>
      <c r="K51" s="535">
        <f>IF(B51="","Pending",IF(M51="","⚠️ Enter Code",IF(IFERROR(VLOOKUP(L51,DB_Agents!$B:$I,8,0),"")=M51,"Pending","🔒 BLOCKED — Wrong Code")))</f>
        <v/>
      </c>
      <c r="L51" s="380" t="inlineStr">
        <is>
          <t>Agent 10</t>
        </is>
      </c>
      <c r="M51" s="491" t="n"/>
      <c r="N51" s="494" t="n"/>
    </row>
    <row r="52" ht="15" customHeight="1" s="341">
      <c r="A52" s="499">
        <f>IF(B52="","",IF(C52="❌ Account Not Found","INVALID","LN"&amp;TEXT(D52,"YYYYMMDD")&amp;TEXT(ROW()-13,"0000")))</f>
        <v/>
      </c>
      <c r="B52" s="495" t="n"/>
      <c r="C52" s="382">
        <f>IF(B52="","",IFERROR(VLOOKUP(B52,DB_Customers!$A:$D,4,0),"❌ Account Not Found"))</f>
        <v/>
      </c>
      <c r="D52" s="497">
        <f>IF(B52="","",TODAY())</f>
        <v/>
      </c>
      <c r="E52" s="526" t="n"/>
      <c r="F52" s="382" t="n"/>
      <c r="G52" s="527" t="n"/>
      <c r="H52" s="528" t="n"/>
      <c r="I52" s="529">
        <f>IF(E52="","",E52+(E52*H52/100*G52))</f>
        <v/>
      </c>
      <c r="J52" s="530">
        <f>IFERROR(I52/G52,"")</f>
        <v/>
      </c>
      <c r="K52" s="531">
        <f>IF(B52="","Pending",IF(M52="","⚠️ Enter Code",IF(IFERROR(VLOOKUP(L52,DB_Agents!$B:$I,8,0),"")=M52,"Pending","🔒 BLOCKED — Wrong Code")))</f>
        <v/>
      </c>
      <c r="L52" s="384" t="inlineStr">
        <is>
          <t>Agent 10</t>
        </is>
      </c>
      <c r="M52" s="491" t="n"/>
      <c r="N52" s="501" t="n"/>
    </row>
    <row r="53" ht="15" customHeight="1" s="341">
      <c r="A53" s="492">
        <f>IF(B53="","",IF(C53="❌ Account Not Found","INVALID","LN"&amp;TEXT(D53,"YYYYMMDD")&amp;TEXT(ROW()-13,"0000")))</f>
        <v/>
      </c>
      <c r="B53" s="486" t="n"/>
      <c r="C53" s="378">
        <f>IF(B53="","",IFERROR(VLOOKUP(B53,DB_Customers!$A:$D,4,0),"❌ Account Not Found"))</f>
        <v/>
      </c>
      <c r="D53" s="488">
        <f>IF(B53="","",TODAY())</f>
        <v/>
      </c>
      <c r="E53" s="526" t="n"/>
      <c r="F53" s="378" t="n"/>
      <c r="G53" s="532" t="n"/>
      <c r="H53" s="533" t="n"/>
      <c r="I53" s="529">
        <f>IF(E53="","",E53+(E53*H53/100*G53))</f>
        <v/>
      </c>
      <c r="J53" s="534">
        <f>IFERROR(I53/G53,"")</f>
        <v/>
      </c>
      <c r="K53" s="535">
        <f>IF(B53="","Pending",IF(M53="","⚠️ Enter Code",IF(IFERROR(VLOOKUP(L53,DB_Agents!$B:$I,8,0),"")=M53,"Pending","🔒 BLOCKED — Wrong Code")))</f>
        <v/>
      </c>
      <c r="L53" s="380" t="inlineStr">
        <is>
          <t>Agent 10</t>
        </is>
      </c>
      <c r="M53" s="491" t="n"/>
      <c r="N53" s="494" t="n"/>
    </row>
    <row r="54" ht="15" customHeight="1" s="341">
      <c r="A54" s="499">
        <f>IF(B54="","",IF(C54="❌ Account Not Found","INVALID","LN"&amp;TEXT(D54,"YYYYMMDD")&amp;TEXT(ROW()-13,"0000")))</f>
        <v/>
      </c>
      <c r="B54" s="495" t="n"/>
      <c r="C54" s="382">
        <f>IF(B54="","",IFERROR(VLOOKUP(B54,DB_Customers!$A:$D,4,0),"❌ Account Not Found"))</f>
        <v/>
      </c>
      <c r="D54" s="497">
        <f>IF(B54="","",TODAY())</f>
        <v/>
      </c>
      <c r="E54" s="526" t="n"/>
      <c r="F54" s="382" t="n"/>
      <c r="G54" s="527" t="n"/>
      <c r="H54" s="528" t="n"/>
      <c r="I54" s="529">
        <f>IF(E54="","",E54+(E54*H54/100*G54))</f>
        <v/>
      </c>
      <c r="J54" s="530">
        <f>IFERROR(I54/G54,"")</f>
        <v/>
      </c>
      <c r="K54" s="531">
        <f>IF(B54="","Pending",IF(M54="","⚠️ Enter Code",IF(IFERROR(VLOOKUP(L54,DB_Agents!$B:$I,8,0),"")=M54,"Pending","🔒 BLOCKED — Wrong Code")))</f>
        <v/>
      </c>
      <c r="L54" s="384" t="inlineStr">
        <is>
          <t>Agent 10</t>
        </is>
      </c>
      <c r="M54" s="491" t="n"/>
      <c r="N54" s="501" t="n"/>
    </row>
    <row r="55" ht="15" customHeight="1" s="341">
      <c r="A55" s="492">
        <f>IF(B55="","",IF(C55="❌ Account Not Found","INVALID","LN"&amp;TEXT(D55,"YYYYMMDD")&amp;TEXT(ROW()-13,"0000")))</f>
        <v/>
      </c>
      <c r="B55" s="486" t="n"/>
      <c r="C55" s="378">
        <f>IF(B55="","",IFERROR(VLOOKUP(B55,DB_Customers!$A:$D,4,0),"❌ Account Not Found"))</f>
        <v/>
      </c>
      <c r="D55" s="488">
        <f>IF(B55="","",TODAY())</f>
        <v/>
      </c>
      <c r="E55" s="526" t="n"/>
      <c r="F55" s="378" t="n"/>
      <c r="G55" s="532" t="n"/>
      <c r="H55" s="533" t="n"/>
      <c r="I55" s="529">
        <f>IF(E55="","",E55+(E55*H55/100*G55))</f>
        <v/>
      </c>
      <c r="J55" s="534">
        <f>IFERROR(I55/G55,"")</f>
        <v/>
      </c>
      <c r="K55" s="535">
        <f>IF(B55="","Pending",IF(M55="","⚠️ Enter Code",IF(IFERROR(VLOOKUP(L55,DB_Agents!$B:$I,8,0),"")=M55,"Pending","🔒 BLOCKED — Wrong Code")))</f>
        <v/>
      </c>
      <c r="L55" s="380" t="inlineStr">
        <is>
          <t>Agent 10</t>
        </is>
      </c>
      <c r="M55" s="491" t="n"/>
      <c r="N55" s="494" t="n"/>
    </row>
    <row r="56" ht="15" customHeight="1" s="341">
      <c r="A56" s="499">
        <f>IF(B56="","",IF(C56="❌ Account Not Found","INVALID","LN"&amp;TEXT(D56,"YYYYMMDD")&amp;TEXT(ROW()-13,"0000")))</f>
        <v/>
      </c>
      <c r="B56" s="495" t="n"/>
      <c r="C56" s="382">
        <f>IF(B56="","",IFERROR(VLOOKUP(B56,DB_Customers!$A:$D,4,0),"❌ Account Not Found"))</f>
        <v/>
      </c>
      <c r="D56" s="497">
        <f>IF(B56="","",TODAY())</f>
        <v/>
      </c>
      <c r="E56" s="526" t="n"/>
      <c r="F56" s="382" t="n"/>
      <c r="G56" s="527" t="n"/>
      <c r="H56" s="528" t="n"/>
      <c r="I56" s="529">
        <f>IF(E56="","",E56+(E56*H56/100*G56))</f>
        <v/>
      </c>
      <c r="J56" s="530">
        <f>IFERROR(I56/G56,"")</f>
        <v/>
      </c>
      <c r="K56" s="531">
        <f>IF(B56="","Pending",IF(M56="","⚠️ Enter Code",IF(IFERROR(VLOOKUP(L56,DB_Agents!$B:$I,8,0),"")=M56,"Pending","🔒 BLOCKED — Wrong Code")))</f>
        <v/>
      </c>
      <c r="L56" s="384" t="inlineStr">
        <is>
          <t>Agent 10</t>
        </is>
      </c>
      <c r="M56" s="491" t="n"/>
      <c r="N56" s="501" t="n"/>
    </row>
    <row r="57" ht="15" customHeight="1" s="341">
      <c r="A57" s="492">
        <f>IF(B57="","",IF(C57="❌ Account Not Found","INVALID","LN"&amp;TEXT(D57,"YYYYMMDD")&amp;TEXT(ROW()-13,"0000")))</f>
        <v/>
      </c>
      <c r="B57" s="486" t="n"/>
      <c r="C57" s="378">
        <f>IF(B57="","",IFERROR(VLOOKUP(B57,DB_Customers!$A:$D,4,0),"❌ Account Not Found"))</f>
        <v/>
      </c>
      <c r="D57" s="488">
        <f>IF(B57="","",TODAY())</f>
        <v/>
      </c>
      <c r="E57" s="526" t="n"/>
      <c r="F57" s="378" t="n"/>
      <c r="G57" s="532" t="n"/>
      <c r="H57" s="533" t="n"/>
      <c r="I57" s="529">
        <f>IF(E57="","",E57+(E57*H57/100*G57))</f>
        <v/>
      </c>
      <c r="J57" s="534">
        <f>IFERROR(I57/G57,"")</f>
        <v/>
      </c>
      <c r="K57" s="535">
        <f>IF(B57="","Pending",IF(M57="","⚠️ Enter Code",IF(IFERROR(VLOOKUP(L57,DB_Agents!$B:$I,8,0),"")=M57,"Pending","🔒 BLOCKED — Wrong Code")))</f>
        <v/>
      </c>
      <c r="L57" s="380" t="inlineStr">
        <is>
          <t>Agent 10</t>
        </is>
      </c>
      <c r="M57" s="491" t="n"/>
      <c r="N57" s="494" t="n"/>
    </row>
    <row r="58" ht="15" customHeight="1" s="341">
      <c r="A58" s="499">
        <f>IF(B58="","",IF(C58="❌ Account Not Found","INVALID","LN"&amp;TEXT(D58,"YYYYMMDD")&amp;TEXT(ROW()-13,"0000")))</f>
        <v/>
      </c>
      <c r="B58" s="495" t="n"/>
      <c r="C58" s="382">
        <f>IF(B58="","",IFERROR(VLOOKUP(B58,DB_Customers!$A:$D,4,0),"❌ Account Not Found"))</f>
        <v/>
      </c>
      <c r="D58" s="497">
        <f>IF(B58="","",TODAY())</f>
        <v/>
      </c>
      <c r="E58" s="526" t="n"/>
      <c r="F58" s="382" t="n"/>
      <c r="G58" s="527" t="n"/>
      <c r="H58" s="528" t="n"/>
      <c r="I58" s="529">
        <f>IF(E58="","",E58+(E58*H58/100*G58))</f>
        <v/>
      </c>
      <c r="J58" s="530">
        <f>IFERROR(I58/G58,"")</f>
        <v/>
      </c>
      <c r="K58" s="531">
        <f>IF(B58="","Pending",IF(M58="","⚠️ Enter Code",IF(IFERROR(VLOOKUP(L58,DB_Agents!$B:$I,8,0),"")=M58,"Pending","🔒 BLOCKED — Wrong Code")))</f>
        <v/>
      </c>
      <c r="L58" s="384" t="inlineStr">
        <is>
          <t>Agent 10</t>
        </is>
      </c>
      <c r="M58" s="491" t="n"/>
      <c r="N58" s="501" t="n"/>
    </row>
    <row r="59" ht="15" customHeight="1" s="341">
      <c r="A59" s="492">
        <f>IF(B59="","",IF(C59="❌ Account Not Found","INVALID","LN"&amp;TEXT(D59,"YYYYMMDD")&amp;TEXT(ROW()-13,"0000")))</f>
        <v/>
      </c>
      <c r="B59" s="486" t="n"/>
      <c r="C59" s="378">
        <f>IF(B59="","",IFERROR(VLOOKUP(B59,DB_Customers!$A:$D,4,0),"❌ Account Not Found"))</f>
        <v/>
      </c>
      <c r="D59" s="488">
        <f>IF(B59="","",TODAY())</f>
        <v/>
      </c>
      <c r="E59" s="526" t="n"/>
      <c r="F59" s="378" t="n"/>
      <c r="G59" s="532" t="n"/>
      <c r="H59" s="533" t="n"/>
      <c r="I59" s="529">
        <f>IF(E59="","",E59+(E59*H59/100*G59))</f>
        <v/>
      </c>
      <c r="J59" s="534">
        <f>IFERROR(I59/G59,"")</f>
        <v/>
      </c>
      <c r="K59" s="535">
        <f>IF(B59="","Pending",IF(M59="","⚠️ Enter Code",IF(IFERROR(VLOOKUP(L59,DB_Agents!$B:$I,8,0),"")=M59,"Pending","🔒 BLOCKED — Wrong Code")))</f>
        <v/>
      </c>
      <c r="L59" s="380" t="inlineStr">
        <is>
          <t>Agent 10</t>
        </is>
      </c>
      <c r="M59" s="491" t="n"/>
      <c r="N59" s="494" t="n"/>
    </row>
    <row r="60" ht="15" customHeight="1" s="341">
      <c r="A60" s="499">
        <f>IF(B60="","",IF(C60="❌ Account Not Found","INVALID","LN"&amp;TEXT(D60,"YYYYMMDD")&amp;TEXT(ROW()-13,"0000")))</f>
        <v/>
      </c>
      <c r="B60" s="495" t="n"/>
      <c r="C60" s="382">
        <f>IF(B60="","",IFERROR(VLOOKUP(B60,DB_Customers!$A:$D,4,0),"❌ Account Not Found"))</f>
        <v/>
      </c>
      <c r="D60" s="497">
        <f>IF(B60="","",TODAY())</f>
        <v/>
      </c>
      <c r="E60" s="526" t="n"/>
      <c r="F60" s="382" t="n"/>
      <c r="G60" s="527" t="n"/>
      <c r="H60" s="528" t="n"/>
      <c r="I60" s="529">
        <f>IF(E60="","",E60+(E60*H60/100*G60))</f>
        <v/>
      </c>
      <c r="J60" s="530">
        <f>IFERROR(I60/G60,"")</f>
        <v/>
      </c>
      <c r="K60" s="531">
        <f>IF(B60="","Pending",IF(M60="","⚠️ Enter Code",IF(IFERROR(VLOOKUP(L60,DB_Agents!$B:$I,8,0),"")=M60,"Pending","🔒 BLOCKED — Wrong Code")))</f>
        <v/>
      </c>
      <c r="L60" s="384" t="inlineStr">
        <is>
          <t>Agent 10</t>
        </is>
      </c>
      <c r="M60" s="491" t="n"/>
      <c r="N60" s="501" t="n"/>
    </row>
    <row r="61" ht="15" customHeight="1" s="341">
      <c r="A61" s="492">
        <f>IF(B61="","",IF(C61="❌ Account Not Found","INVALID","LN"&amp;TEXT(D61,"YYYYMMDD")&amp;TEXT(ROW()-13,"0000")))</f>
        <v/>
      </c>
      <c r="B61" s="486" t="n"/>
      <c r="C61" s="378">
        <f>IF(B61="","",IFERROR(VLOOKUP(B61,DB_Customers!$A:$D,4,0),"❌ Account Not Found"))</f>
        <v/>
      </c>
      <c r="D61" s="488">
        <f>IF(B61="","",TODAY())</f>
        <v/>
      </c>
      <c r="E61" s="526" t="n"/>
      <c r="F61" s="378" t="n"/>
      <c r="G61" s="532" t="n"/>
      <c r="H61" s="533" t="n"/>
      <c r="I61" s="529">
        <f>IF(E61="","",E61+(E61*H61/100*G61))</f>
        <v/>
      </c>
      <c r="J61" s="534">
        <f>IFERROR(I61/G61,"")</f>
        <v/>
      </c>
      <c r="K61" s="535">
        <f>IF(B61="","Pending",IF(M61="","⚠️ Enter Code",IF(IFERROR(VLOOKUP(L61,DB_Agents!$B:$I,8,0),"")=M61,"Pending","🔒 BLOCKED — Wrong Code")))</f>
        <v/>
      </c>
      <c r="L61" s="380" t="inlineStr">
        <is>
          <t>Agent 10</t>
        </is>
      </c>
      <c r="M61" s="491" t="n"/>
      <c r="N61" s="494" t="n"/>
    </row>
    <row r="62" ht="15" customHeight="1" s="341">
      <c r="A62" s="499">
        <f>IF(B62="","",IF(C62="❌ Account Not Found","INVALID","LN"&amp;TEXT(D62,"YYYYMMDD")&amp;TEXT(ROW()-13,"0000")))</f>
        <v/>
      </c>
      <c r="B62" s="495" t="n"/>
      <c r="C62" s="382">
        <f>IF(B62="","",IFERROR(VLOOKUP(B62,DB_Customers!$A:$D,4,0),"❌ Account Not Found"))</f>
        <v/>
      </c>
      <c r="D62" s="497">
        <f>IF(B62="","",TODAY())</f>
        <v/>
      </c>
      <c r="E62" s="526" t="n"/>
      <c r="F62" s="382" t="n"/>
      <c r="G62" s="527" t="n"/>
      <c r="H62" s="528" t="n"/>
      <c r="I62" s="529">
        <f>IF(E62="","",E62+(E62*H62/100*G62))</f>
        <v/>
      </c>
      <c r="J62" s="530">
        <f>IFERROR(I62/G62,"")</f>
        <v/>
      </c>
      <c r="K62" s="531">
        <f>IF(B62="","Pending",IF(M62="","⚠️ Enter Code",IF(IFERROR(VLOOKUP(L62,DB_Agents!$B:$I,8,0),"")=M62,"Pending","🔒 BLOCKED — Wrong Code")))</f>
        <v/>
      </c>
      <c r="L62" s="384" t="inlineStr">
        <is>
          <t>Agent 10</t>
        </is>
      </c>
      <c r="M62" s="491" t="n"/>
      <c r="N62" s="501" t="n"/>
    </row>
    <row r="63" ht="15" customHeight="1" s="341">
      <c r="A63" s="492">
        <f>IF(B63="","",IF(C63="❌ Account Not Found","INVALID","LN"&amp;TEXT(D63,"YYYYMMDD")&amp;TEXT(ROW()-13,"0000")))</f>
        <v/>
      </c>
      <c r="B63" s="486" t="n"/>
      <c r="C63" s="378">
        <f>IF(B63="","",IFERROR(VLOOKUP(B63,DB_Customers!$A:$D,4,0),"❌ Account Not Found"))</f>
        <v/>
      </c>
      <c r="D63" s="488">
        <f>IF(B63="","",TODAY())</f>
        <v/>
      </c>
      <c r="E63" s="526" t="n"/>
      <c r="F63" s="378" t="n"/>
      <c r="G63" s="532" t="n"/>
      <c r="H63" s="533" t="n"/>
      <c r="I63" s="529">
        <f>IF(E63="","",E63+(E63*H63/100*G63))</f>
        <v/>
      </c>
      <c r="J63" s="534">
        <f>IFERROR(I63/G63,"")</f>
        <v/>
      </c>
      <c r="K63" s="535">
        <f>IF(B63="","Pending",IF(M63="","⚠️ Enter Code",IF(IFERROR(VLOOKUP(L63,DB_Agents!$B:$I,8,0),"")=M63,"Pending","🔒 BLOCKED — Wrong Code")))</f>
        <v/>
      </c>
      <c r="L63" s="380" t="inlineStr">
        <is>
          <t>Agent 10</t>
        </is>
      </c>
      <c r="M63" s="491" t="n"/>
      <c r="N63" s="494" t="n"/>
    </row>
    <row r="64" ht="15" customHeight="1" s="341">
      <c r="A64" s="499">
        <f>IF(B64="","",IF(C64="❌ Account Not Found","INVALID","LN"&amp;TEXT(D64,"YYYYMMDD")&amp;TEXT(ROW()-13,"0000")))</f>
        <v/>
      </c>
      <c r="B64" s="495" t="n"/>
      <c r="C64" s="382">
        <f>IF(B64="","",IFERROR(VLOOKUP(B64,DB_Customers!$A:$D,4,0),"❌ Account Not Found"))</f>
        <v/>
      </c>
      <c r="D64" s="497">
        <f>IF(B64="","",TODAY())</f>
        <v/>
      </c>
      <c r="E64" s="526" t="n"/>
      <c r="F64" s="382" t="n"/>
      <c r="G64" s="527" t="n"/>
      <c r="H64" s="528" t="n"/>
      <c r="I64" s="529">
        <f>IF(E64="","",E64+(E64*H64/100*G64))</f>
        <v/>
      </c>
      <c r="J64" s="530">
        <f>IFERROR(I64/G64,"")</f>
        <v/>
      </c>
      <c r="K64" s="531">
        <f>IF(B64="","Pending",IF(M64="","⚠️ Enter Code",IF(IFERROR(VLOOKUP(L64,DB_Agents!$B:$I,8,0),"")=M64,"Pending","🔒 BLOCKED — Wrong Code")))</f>
        <v/>
      </c>
      <c r="L64" s="384" t="inlineStr">
        <is>
          <t>Agent 10</t>
        </is>
      </c>
      <c r="M64" s="491" t="n"/>
      <c r="N64" s="501" t="n"/>
    </row>
    <row r="65" ht="15" customHeight="1" s="341">
      <c r="A65" s="492">
        <f>IF(B65="","",IF(C65="❌ Account Not Found","INVALID","LN"&amp;TEXT(D65,"YYYYMMDD")&amp;TEXT(ROW()-13,"0000")))</f>
        <v/>
      </c>
      <c r="B65" s="486" t="n"/>
      <c r="C65" s="378">
        <f>IF(B65="","",IFERROR(VLOOKUP(B65,DB_Customers!$A:$D,4,0),"❌ Account Not Found"))</f>
        <v/>
      </c>
      <c r="D65" s="488">
        <f>IF(B65="","",TODAY())</f>
        <v/>
      </c>
      <c r="E65" s="526" t="n"/>
      <c r="F65" s="378" t="n"/>
      <c r="G65" s="532" t="n"/>
      <c r="H65" s="533" t="n"/>
      <c r="I65" s="529">
        <f>IF(E65="","",E65+(E65*H65/100*G65))</f>
        <v/>
      </c>
      <c r="J65" s="534">
        <f>IFERROR(I65/G65,"")</f>
        <v/>
      </c>
      <c r="K65" s="535">
        <f>IF(B65="","Pending",IF(M65="","⚠️ Enter Code",IF(IFERROR(VLOOKUP(L65,DB_Agents!$B:$I,8,0),"")=M65,"Pending","🔒 BLOCKED — Wrong Code")))</f>
        <v/>
      </c>
      <c r="L65" s="380" t="inlineStr">
        <is>
          <t>Agent 10</t>
        </is>
      </c>
      <c r="M65" s="491" t="n"/>
      <c r="N65" s="494" t="n"/>
    </row>
    <row r="66" ht="15" customHeight="1" s="341">
      <c r="A66" s="499">
        <f>IF(B66="","",IF(C66="❌ Account Not Found","INVALID","LN"&amp;TEXT(D66,"YYYYMMDD")&amp;TEXT(ROW()-13,"0000")))</f>
        <v/>
      </c>
      <c r="B66" s="495" t="n"/>
      <c r="C66" s="382">
        <f>IF(B66="","",IFERROR(VLOOKUP(B66,DB_Customers!$A:$D,4,0),"❌ Account Not Found"))</f>
        <v/>
      </c>
      <c r="D66" s="497">
        <f>IF(B66="","",TODAY())</f>
        <v/>
      </c>
      <c r="E66" s="526" t="n"/>
      <c r="F66" s="382" t="n"/>
      <c r="G66" s="527" t="n"/>
      <c r="H66" s="528" t="n"/>
      <c r="I66" s="529">
        <f>IF(E66="","",E66+(E66*H66/100*G66))</f>
        <v/>
      </c>
      <c r="J66" s="530">
        <f>IFERROR(I66/G66,"")</f>
        <v/>
      </c>
      <c r="K66" s="531">
        <f>IF(B66="","Pending",IF(M66="","⚠️ Enter Code",IF(IFERROR(VLOOKUP(L66,DB_Agents!$B:$I,8,0),"")=M66,"Pending","🔒 BLOCKED — Wrong Code")))</f>
        <v/>
      </c>
      <c r="L66" s="384" t="inlineStr">
        <is>
          <t>Agent 10</t>
        </is>
      </c>
      <c r="M66" s="491" t="n"/>
      <c r="N66" s="501" t="n"/>
    </row>
    <row r="67" ht="15" customHeight="1" s="341">
      <c r="A67" s="492">
        <f>IF(B67="","",IF(C67="❌ Account Not Found","INVALID","LN"&amp;TEXT(D67,"YYYYMMDD")&amp;TEXT(ROW()-13,"0000")))</f>
        <v/>
      </c>
      <c r="B67" s="486" t="n"/>
      <c r="C67" s="378">
        <f>IF(B67="","",IFERROR(VLOOKUP(B67,DB_Customers!$A:$D,4,0),"❌ Account Not Found"))</f>
        <v/>
      </c>
      <c r="D67" s="488">
        <f>IF(B67="","",TODAY())</f>
        <v/>
      </c>
      <c r="E67" s="526" t="n"/>
      <c r="F67" s="378" t="n"/>
      <c r="G67" s="532" t="n"/>
      <c r="H67" s="533" t="n"/>
      <c r="I67" s="529">
        <f>IF(E67="","",E67+(E67*H67/100*G67))</f>
        <v/>
      </c>
      <c r="J67" s="534">
        <f>IFERROR(I67/G67,"")</f>
        <v/>
      </c>
      <c r="K67" s="535">
        <f>IF(B67="","Pending",IF(M67="","⚠️ Enter Code",IF(IFERROR(VLOOKUP(L67,DB_Agents!$B:$I,8,0),"")=M67,"Pending","🔒 BLOCKED — Wrong Code")))</f>
        <v/>
      </c>
      <c r="L67" s="380" t="inlineStr">
        <is>
          <t>Agent 10</t>
        </is>
      </c>
      <c r="M67" s="491" t="n"/>
      <c r="N67" s="494" t="n"/>
    </row>
    <row r="68" ht="15" customHeight="1" s="341">
      <c r="A68" s="499">
        <f>IF(B68="","",IF(C68="❌ Account Not Found","INVALID","LN"&amp;TEXT(D68,"YYYYMMDD")&amp;TEXT(ROW()-13,"0000")))</f>
        <v/>
      </c>
      <c r="B68" s="495" t="n"/>
      <c r="C68" s="382">
        <f>IF(B68="","",IFERROR(VLOOKUP(B68,DB_Customers!$A:$D,4,0),"❌ Account Not Found"))</f>
        <v/>
      </c>
      <c r="D68" s="497">
        <f>IF(B68="","",TODAY())</f>
        <v/>
      </c>
      <c r="E68" s="526" t="n"/>
      <c r="F68" s="382" t="n"/>
      <c r="G68" s="527" t="n"/>
      <c r="H68" s="528" t="n"/>
      <c r="I68" s="529">
        <f>IF(E68="","",E68+(E68*H68/100*G68))</f>
        <v/>
      </c>
      <c r="J68" s="530">
        <f>IFERROR(I68/G68,"")</f>
        <v/>
      </c>
      <c r="K68" s="531">
        <f>IF(B68="","Pending",IF(M68="","⚠️ Enter Code",IF(IFERROR(VLOOKUP(L68,DB_Agents!$B:$I,8,0),"")=M68,"Pending","🔒 BLOCKED — Wrong Code")))</f>
        <v/>
      </c>
      <c r="L68" s="384" t="inlineStr">
        <is>
          <t>Agent 10</t>
        </is>
      </c>
      <c r="M68" s="491" t="n"/>
      <c r="N68" s="501" t="n"/>
    </row>
    <row r="69" ht="15" customHeight="1" s="341">
      <c r="A69" s="492">
        <f>IF(B69="","",IF(C69="❌ Account Not Found","INVALID","LN"&amp;TEXT(D69,"YYYYMMDD")&amp;TEXT(ROW()-13,"0000")))</f>
        <v/>
      </c>
      <c r="B69" s="486" t="n"/>
      <c r="C69" s="378">
        <f>IF(B69="","",IFERROR(VLOOKUP(B69,DB_Customers!$A:$D,4,0),"❌ Account Not Found"))</f>
        <v/>
      </c>
      <c r="D69" s="488">
        <f>IF(B69="","",TODAY())</f>
        <v/>
      </c>
      <c r="E69" s="526" t="n"/>
      <c r="F69" s="378" t="n"/>
      <c r="G69" s="532" t="n"/>
      <c r="H69" s="533" t="n"/>
      <c r="I69" s="529">
        <f>IF(E69="","",E69+(E69*H69/100*G69))</f>
        <v/>
      </c>
      <c r="J69" s="534">
        <f>IFERROR(I69/G69,"")</f>
        <v/>
      </c>
      <c r="K69" s="535">
        <f>IF(B69="","Pending",IF(M69="","⚠️ Enter Code",IF(IFERROR(VLOOKUP(L69,DB_Agents!$B:$I,8,0),"")=M69,"Pending","🔒 BLOCKED — Wrong Code")))</f>
        <v/>
      </c>
      <c r="L69" s="380" t="inlineStr">
        <is>
          <t>Agent 10</t>
        </is>
      </c>
      <c r="M69" s="491" t="n"/>
      <c r="N69" s="494" t="n"/>
    </row>
    <row r="70" ht="15" customHeight="1" s="341">
      <c r="A70" s="499">
        <f>IF(B70="","",IF(C70="❌ Account Not Found","INVALID","LN"&amp;TEXT(D70,"YYYYMMDD")&amp;TEXT(ROW()-13,"0000")))</f>
        <v/>
      </c>
      <c r="B70" s="495" t="n"/>
      <c r="C70" s="382">
        <f>IF(B70="","",IFERROR(VLOOKUP(B70,DB_Customers!$A:$D,4,0),"❌ Account Not Found"))</f>
        <v/>
      </c>
      <c r="D70" s="497">
        <f>IF(B70="","",TODAY())</f>
        <v/>
      </c>
      <c r="E70" s="526" t="n"/>
      <c r="F70" s="382" t="n"/>
      <c r="G70" s="527" t="n"/>
      <c r="H70" s="528" t="n"/>
      <c r="I70" s="529">
        <f>IF(E70="","",E70+(E70*H70/100*G70))</f>
        <v/>
      </c>
      <c r="J70" s="530">
        <f>IFERROR(I70/G70,"")</f>
        <v/>
      </c>
      <c r="K70" s="531">
        <f>IF(B70="","Pending",IF(M70="","⚠️ Enter Code",IF(IFERROR(VLOOKUP(L70,DB_Agents!$B:$I,8,0),"")=M70,"Pending","🔒 BLOCKED — Wrong Code")))</f>
        <v/>
      </c>
      <c r="L70" s="384" t="inlineStr">
        <is>
          <t>Agent 10</t>
        </is>
      </c>
      <c r="M70" s="491" t="n"/>
      <c r="N70" s="501" t="n"/>
    </row>
    <row r="71" ht="15" customHeight="1" s="341">
      <c r="A71" s="492">
        <f>IF(B71="","",IF(C71="❌ Account Not Found","INVALID","LN"&amp;TEXT(D71,"YYYYMMDD")&amp;TEXT(ROW()-13,"0000")))</f>
        <v/>
      </c>
      <c r="B71" s="486" t="n"/>
      <c r="C71" s="378">
        <f>IF(B71="","",IFERROR(VLOOKUP(B71,DB_Customers!$A:$D,4,0),"❌ Account Not Found"))</f>
        <v/>
      </c>
      <c r="D71" s="488">
        <f>IF(B71="","",TODAY())</f>
        <v/>
      </c>
      <c r="E71" s="526" t="n"/>
      <c r="F71" s="378" t="n"/>
      <c r="G71" s="532" t="n"/>
      <c r="H71" s="533" t="n"/>
      <c r="I71" s="529">
        <f>IF(E71="","",E71+(E71*H71/100*G71))</f>
        <v/>
      </c>
      <c r="J71" s="534">
        <f>IFERROR(I71/G71,"")</f>
        <v/>
      </c>
      <c r="K71" s="535">
        <f>IF(B71="","Pending",IF(M71="","⚠️ Enter Code",IF(IFERROR(VLOOKUP(L71,DB_Agents!$B:$I,8,0),"")=M71,"Pending","🔒 BLOCKED — Wrong Code")))</f>
        <v/>
      </c>
      <c r="L71" s="380" t="inlineStr">
        <is>
          <t>Agent 10</t>
        </is>
      </c>
      <c r="M71" s="491" t="n"/>
      <c r="N71" s="494" t="n"/>
    </row>
    <row r="72" ht="15" customHeight="1" s="341">
      <c r="A72" s="499">
        <f>IF(B72="","",IF(C72="❌ Account Not Found","INVALID","LN"&amp;TEXT(D72,"YYYYMMDD")&amp;TEXT(ROW()-13,"0000")))</f>
        <v/>
      </c>
      <c r="B72" s="495" t="n"/>
      <c r="C72" s="382">
        <f>IF(B72="","",IFERROR(VLOOKUP(B72,DB_Customers!$A:$D,4,0),"❌ Account Not Found"))</f>
        <v/>
      </c>
      <c r="D72" s="497">
        <f>IF(B72="","",TODAY())</f>
        <v/>
      </c>
      <c r="E72" s="526" t="n"/>
      <c r="F72" s="382" t="n"/>
      <c r="G72" s="527" t="n"/>
      <c r="H72" s="528" t="n"/>
      <c r="I72" s="529">
        <f>IF(E72="","",E72+(E72*H72/100*G72))</f>
        <v/>
      </c>
      <c r="J72" s="530">
        <f>IFERROR(I72/G72,"")</f>
        <v/>
      </c>
      <c r="K72" s="531">
        <f>IF(B72="","Pending",IF(M72="","⚠️ Enter Code",IF(IFERROR(VLOOKUP(L72,DB_Agents!$B:$I,8,0),"")=M72,"Pending","🔒 BLOCKED — Wrong Code")))</f>
        <v/>
      </c>
      <c r="L72" s="384" t="inlineStr">
        <is>
          <t>Agent 10</t>
        </is>
      </c>
      <c r="M72" s="491" t="n"/>
      <c r="N72" s="501" t="n"/>
    </row>
    <row r="73" ht="15" customHeight="1" s="341">
      <c r="A73" s="492">
        <f>IF(B73="","",IF(C73="❌ Account Not Found","INVALID","LN"&amp;TEXT(D73,"YYYYMMDD")&amp;TEXT(ROW()-13,"0000")))</f>
        <v/>
      </c>
      <c r="B73" s="486" t="n"/>
      <c r="C73" s="378">
        <f>IF(B73="","",IFERROR(VLOOKUP(B73,DB_Customers!$A:$D,4,0),"❌ Account Not Found"))</f>
        <v/>
      </c>
      <c r="D73" s="488">
        <f>IF(B73="","",TODAY())</f>
        <v/>
      </c>
      <c r="E73" s="526" t="n"/>
      <c r="F73" s="378" t="n"/>
      <c r="G73" s="532" t="n"/>
      <c r="H73" s="533" t="n"/>
      <c r="I73" s="529">
        <f>IF(E73="","",E73+(E73*H73/100*G73))</f>
        <v/>
      </c>
      <c r="J73" s="534">
        <f>IFERROR(I73/G73,"")</f>
        <v/>
      </c>
      <c r="K73" s="535">
        <f>IF(B73="","Pending",IF(M73="","⚠️ Enter Code",IF(IFERROR(VLOOKUP(L73,DB_Agents!$B:$I,8,0),"")=M73,"Pending","🔒 BLOCKED — Wrong Code")))</f>
        <v/>
      </c>
      <c r="L73" s="380" t="inlineStr">
        <is>
          <t>Agent 10</t>
        </is>
      </c>
      <c r="M73" s="491" t="n"/>
      <c r="N73" s="494" t="n"/>
    </row>
    <row r="74" ht="15" customHeight="1" s="341">
      <c r="A74" s="499">
        <f>IF(B74="","",IF(C74="❌ Account Not Found","INVALID","LN"&amp;TEXT(D74,"YYYYMMDD")&amp;TEXT(ROW()-13,"0000")))</f>
        <v/>
      </c>
      <c r="B74" s="495" t="n"/>
      <c r="C74" s="382">
        <f>IF(B74="","",IFERROR(VLOOKUP(B74,DB_Customers!$A:$D,4,0),"❌ Account Not Found"))</f>
        <v/>
      </c>
      <c r="D74" s="497">
        <f>IF(B74="","",TODAY())</f>
        <v/>
      </c>
      <c r="E74" s="526" t="n"/>
      <c r="F74" s="382" t="n"/>
      <c r="G74" s="527" t="n"/>
      <c r="H74" s="528" t="n"/>
      <c r="I74" s="529">
        <f>IF(E74="","",E74+(E74*H74/100*G74))</f>
        <v/>
      </c>
      <c r="J74" s="530">
        <f>IFERROR(I74/G74,"")</f>
        <v/>
      </c>
      <c r="K74" s="531">
        <f>IF(B74="","Pending",IF(M74="","⚠️ Enter Code",IF(IFERROR(VLOOKUP(L74,DB_Agents!$B:$I,8,0),"")=M74,"Pending","🔒 BLOCKED — Wrong Code")))</f>
        <v/>
      </c>
      <c r="L74" s="384" t="inlineStr">
        <is>
          <t>Agent 10</t>
        </is>
      </c>
      <c r="M74" s="491" t="n"/>
      <c r="N74" s="501" t="n"/>
    </row>
    <row r="75" ht="15" customHeight="1" s="341">
      <c r="A75" s="492">
        <f>IF(B75="","",IF(C75="❌ Account Not Found","INVALID","LN"&amp;TEXT(D75,"YYYYMMDD")&amp;TEXT(ROW()-13,"0000")))</f>
        <v/>
      </c>
      <c r="B75" s="486" t="n"/>
      <c r="C75" s="378">
        <f>IF(B75="","",IFERROR(VLOOKUP(B75,DB_Customers!$A:$D,4,0),"❌ Account Not Found"))</f>
        <v/>
      </c>
      <c r="D75" s="488">
        <f>IF(B75="","",TODAY())</f>
        <v/>
      </c>
      <c r="E75" s="526" t="n"/>
      <c r="F75" s="378" t="n"/>
      <c r="G75" s="532" t="n"/>
      <c r="H75" s="533" t="n"/>
      <c r="I75" s="529">
        <f>IF(E75="","",E75+(E75*H75/100*G75))</f>
        <v/>
      </c>
      <c r="J75" s="534">
        <f>IFERROR(I75/G75,"")</f>
        <v/>
      </c>
      <c r="K75" s="535">
        <f>IF(B75="","Pending",IF(M75="","⚠️ Enter Code",IF(IFERROR(VLOOKUP(L75,DB_Agents!$B:$I,8,0),"")=M75,"Pending","🔒 BLOCKED — Wrong Code")))</f>
        <v/>
      </c>
      <c r="L75" s="380" t="inlineStr">
        <is>
          <t>Agent 10</t>
        </is>
      </c>
      <c r="M75" s="491" t="n"/>
      <c r="N75" s="494" t="n"/>
    </row>
    <row r="76" ht="15" customHeight="1" s="341">
      <c r="A76" s="499">
        <f>IF(B76="","",IF(C76="❌ Account Not Found","INVALID","LN"&amp;TEXT(D76,"YYYYMMDD")&amp;TEXT(ROW()-13,"0000")))</f>
        <v/>
      </c>
      <c r="B76" s="495" t="n"/>
      <c r="C76" s="382">
        <f>IF(B76="","",IFERROR(VLOOKUP(B76,DB_Customers!$A:$D,4,0),"❌ Account Not Found"))</f>
        <v/>
      </c>
      <c r="D76" s="497">
        <f>IF(B76="","",TODAY())</f>
        <v/>
      </c>
      <c r="E76" s="526" t="n"/>
      <c r="F76" s="382" t="n"/>
      <c r="G76" s="527" t="n"/>
      <c r="H76" s="528" t="n"/>
      <c r="I76" s="529">
        <f>IF(E76="","",E76+(E76*H76/100*G76))</f>
        <v/>
      </c>
      <c r="J76" s="530">
        <f>IFERROR(I76/G76,"")</f>
        <v/>
      </c>
      <c r="K76" s="531">
        <f>IF(B76="","Pending",IF(M76="","⚠️ Enter Code",IF(IFERROR(VLOOKUP(L76,DB_Agents!$B:$I,8,0),"")=M76,"Pending","🔒 BLOCKED — Wrong Code")))</f>
        <v/>
      </c>
      <c r="L76" s="384" t="inlineStr">
        <is>
          <t>Agent 10</t>
        </is>
      </c>
      <c r="M76" s="491" t="n"/>
      <c r="N76" s="501" t="n"/>
    </row>
    <row r="77" ht="15" customHeight="1" s="341">
      <c r="A77" s="492">
        <f>IF(B77="","",IF(C77="❌ Account Not Found","INVALID","LN"&amp;TEXT(D77,"YYYYMMDD")&amp;TEXT(ROW()-13,"0000")))</f>
        <v/>
      </c>
      <c r="B77" s="486" t="n"/>
      <c r="C77" s="378">
        <f>IF(B77="","",IFERROR(VLOOKUP(B77,DB_Customers!$A:$D,4,0),"❌ Account Not Found"))</f>
        <v/>
      </c>
      <c r="D77" s="488">
        <f>IF(B77="","",TODAY())</f>
        <v/>
      </c>
      <c r="E77" s="526" t="n"/>
      <c r="F77" s="378" t="n"/>
      <c r="G77" s="532" t="n"/>
      <c r="H77" s="533" t="n"/>
      <c r="I77" s="529">
        <f>IF(E77="","",E77+(E77*H77/100*G77))</f>
        <v/>
      </c>
      <c r="J77" s="534">
        <f>IFERROR(I77/G77,"")</f>
        <v/>
      </c>
      <c r="K77" s="535">
        <f>IF(B77="","Pending",IF(M77="","⚠️ Enter Code",IF(IFERROR(VLOOKUP(L77,DB_Agents!$B:$I,8,0),"")=M77,"Pending","🔒 BLOCKED — Wrong Code")))</f>
        <v/>
      </c>
      <c r="L77" s="380" t="inlineStr">
        <is>
          <t>Agent 10</t>
        </is>
      </c>
      <c r="M77" s="491" t="n"/>
      <c r="N77" s="494" t="n"/>
    </row>
    <row r="78" ht="15" customHeight="1" s="341">
      <c r="A78" s="499">
        <f>IF(B78="","",IF(C78="❌ Account Not Found","INVALID","LN"&amp;TEXT(D78,"YYYYMMDD")&amp;TEXT(ROW()-13,"0000")))</f>
        <v/>
      </c>
      <c r="B78" s="495" t="n"/>
      <c r="C78" s="382">
        <f>IF(B78="","",IFERROR(VLOOKUP(B78,DB_Customers!$A:$D,4,0),"❌ Account Not Found"))</f>
        <v/>
      </c>
      <c r="D78" s="497">
        <f>IF(B78="","",TODAY())</f>
        <v/>
      </c>
      <c r="E78" s="526" t="n"/>
      <c r="F78" s="382" t="n"/>
      <c r="G78" s="527" t="n"/>
      <c r="H78" s="528" t="n"/>
      <c r="I78" s="529">
        <f>IF(E78="","",E78+(E78*H78/100*G78))</f>
        <v/>
      </c>
      <c r="J78" s="530">
        <f>IFERROR(I78/G78,"")</f>
        <v/>
      </c>
      <c r="K78" s="531">
        <f>IF(B78="","Pending",IF(M78="","⚠️ Enter Code",IF(IFERROR(VLOOKUP(L78,DB_Agents!$B:$I,8,0),"")=M78,"Pending","🔒 BLOCKED — Wrong Code")))</f>
        <v/>
      </c>
      <c r="L78" s="384" t="inlineStr">
        <is>
          <t>Agent 10</t>
        </is>
      </c>
      <c r="M78" s="491" t="n"/>
      <c r="N78" s="501" t="n"/>
    </row>
    <row r="79" ht="15" customHeight="1" s="341">
      <c r="A79" s="492">
        <f>IF(B79="","",IF(C79="❌ Account Not Found","INVALID","LN"&amp;TEXT(D79,"YYYYMMDD")&amp;TEXT(ROW()-13,"0000")))</f>
        <v/>
      </c>
      <c r="B79" s="486" t="n"/>
      <c r="C79" s="378">
        <f>IF(B79="","",IFERROR(VLOOKUP(B79,DB_Customers!$A:$D,4,0),"❌ Account Not Found"))</f>
        <v/>
      </c>
      <c r="D79" s="488">
        <f>IF(B79="","",TODAY())</f>
        <v/>
      </c>
      <c r="E79" s="526" t="n"/>
      <c r="F79" s="378" t="n"/>
      <c r="G79" s="532" t="n"/>
      <c r="H79" s="533" t="n"/>
      <c r="I79" s="529">
        <f>IF(E79="","",E79+(E79*H79/100*G79))</f>
        <v/>
      </c>
      <c r="J79" s="534">
        <f>IFERROR(I79/G79,"")</f>
        <v/>
      </c>
      <c r="K79" s="535">
        <f>IF(B79="","Pending",IF(M79="","⚠️ Enter Code",IF(IFERROR(VLOOKUP(L79,DB_Agents!$B:$I,8,0),"")=M79,"Pending","🔒 BLOCKED — Wrong Code")))</f>
        <v/>
      </c>
      <c r="L79" s="380" t="inlineStr">
        <is>
          <t>Agent 10</t>
        </is>
      </c>
      <c r="M79" s="491" t="n"/>
      <c r="N79" s="494" t="n"/>
    </row>
    <row r="80" ht="15" customHeight="1" s="341">
      <c r="A80" s="499">
        <f>IF(B80="","",IF(C80="❌ Account Not Found","INVALID","LN"&amp;TEXT(D80,"YYYYMMDD")&amp;TEXT(ROW()-13,"0000")))</f>
        <v/>
      </c>
      <c r="B80" s="495" t="n"/>
      <c r="C80" s="382">
        <f>IF(B80="","",IFERROR(VLOOKUP(B80,DB_Customers!$A:$D,4,0),"❌ Account Not Found"))</f>
        <v/>
      </c>
      <c r="D80" s="497">
        <f>IF(B80="","",TODAY())</f>
        <v/>
      </c>
      <c r="E80" s="526" t="n"/>
      <c r="F80" s="382" t="n"/>
      <c r="G80" s="527" t="n"/>
      <c r="H80" s="528" t="n"/>
      <c r="I80" s="529">
        <f>IF(E80="","",E80+(E80*H80/100*G80))</f>
        <v/>
      </c>
      <c r="J80" s="530">
        <f>IFERROR(I80/G80,"")</f>
        <v/>
      </c>
      <c r="K80" s="531">
        <f>IF(B80="","Pending",IF(M80="","⚠️ Enter Code",IF(IFERROR(VLOOKUP(L80,DB_Agents!$B:$I,8,0),"")=M80,"Pending","🔒 BLOCKED — Wrong Code")))</f>
        <v/>
      </c>
      <c r="L80" s="384" t="inlineStr">
        <is>
          <t>Agent 10</t>
        </is>
      </c>
      <c r="M80" s="491" t="n"/>
      <c r="N80" s="501" t="n"/>
    </row>
    <row r="81" ht="15" customHeight="1" s="341">
      <c r="A81" s="492">
        <f>IF(B81="","",IF(C81="❌ Account Not Found","INVALID","LN"&amp;TEXT(D81,"YYYYMMDD")&amp;TEXT(ROW()-13,"0000")))</f>
        <v/>
      </c>
      <c r="B81" s="486" t="n"/>
      <c r="C81" s="378">
        <f>IF(B81="","",IFERROR(VLOOKUP(B81,DB_Customers!$A:$D,4,0),"❌ Account Not Found"))</f>
        <v/>
      </c>
      <c r="D81" s="488">
        <f>IF(B81="","",TODAY())</f>
        <v/>
      </c>
      <c r="E81" s="526" t="n"/>
      <c r="F81" s="378" t="n"/>
      <c r="G81" s="532" t="n"/>
      <c r="H81" s="533" t="n"/>
      <c r="I81" s="529">
        <f>IF(E81="","",E81+(E81*H81/100*G81))</f>
        <v/>
      </c>
      <c r="J81" s="534">
        <f>IFERROR(I81/G81,"")</f>
        <v/>
      </c>
      <c r="K81" s="535">
        <f>IF(B81="","Pending",IF(M81="","⚠️ Enter Code",IF(IFERROR(VLOOKUP(L81,DB_Agents!$B:$I,8,0),"")=M81,"Pending","🔒 BLOCKED — Wrong Code")))</f>
        <v/>
      </c>
      <c r="L81" s="380" t="inlineStr">
        <is>
          <t>Agent 10</t>
        </is>
      </c>
      <c r="M81" s="491" t="n"/>
      <c r="N81" s="494" t="n"/>
    </row>
    <row r="82" ht="15" customHeight="1" s="341">
      <c r="A82" s="499">
        <f>IF(B82="","",IF(C82="❌ Account Not Found","INVALID","LN"&amp;TEXT(D82,"YYYYMMDD")&amp;TEXT(ROW()-13,"0000")))</f>
        <v/>
      </c>
      <c r="B82" s="495" t="n"/>
      <c r="C82" s="382">
        <f>IF(B82="","",IFERROR(VLOOKUP(B82,DB_Customers!$A:$D,4,0),"❌ Account Not Found"))</f>
        <v/>
      </c>
      <c r="D82" s="497">
        <f>IF(B82="","",TODAY())</f>
        <v/>
      </c>
      <c r="E82" s="526" t="n"/>
      <c r="F82" s="382" t="n"/>
      <c r="G82" s="527" t="n"/>
      <c r="H82" s="528" t="n"/>
      <c r="I82" s="529">
        <f>IF(E82="","",E82+(E82*H82/100*G82))</f>
        <v/>
      </c>
      <c r="J82" s="530">
        <f>IFERROR(I82/G82,"")</f>
        <v/>
      </c>
      <c r="K82" s="531">
        <f>IF(B82="","Pending",IF(M82="","⚠️ Enter Code",IF(IFERROR(VLOOKUP(L82,DB_Agents!$B:$I,8,0),"")=M82,"Pending","🔒 BLOCKED — Wrong Code")))</f>
        <v/>
      </c>
      <c r="L82" s="384" t="inlineStr">
        <is>
          <t>Agent 10</t>
        </is>
      </c>
      <c r="M82" s="491" t="n"/>
      <c r="N82" s="501" t="n"/>
    </row>
    <row r="83" ht="15" customHeight="1" s="341">
      <c r="A83" s="492">
        <f>IF(B83="","",IF(C83="❌ Account Not Found","INVALID","LN"&amp;TEXT(D83,"YYYYMMDD")&amp;TEXT(ROW()-13,"0000")))</f>
        <v/>
      </c>
      <c r="B83" s="486" t="n"/>
      <c r="C83" s="378">
        <f>IF(B83="","",IFERROR(VLOOKUP(B83,DB_Customers!$A:$D,4,0),"❌ Account Not Found"))</f>
        <v/>
      </c>
      <c r="D83" s="488">
        <f>IF(B83="","",TODAY())</f>
        <v/>
      </c>
      <c r="E83" s="526" t="n"/>
      <c r="F83" s="378" t="n"/>
      <c r="G83" s="532" t="n"/>
      <c r="H83" s="533" t="n"/>
      <c r="I83" s="529">
        <f>IF(E83="","",E83+(E83*H83/100*G83))</f>
        <v/>
      </c>
      <c r="J83" s="534">
        <f>IFERROR(I83/G83,"")</f>
        <v/>
      </c>
      <c r="K83" s="535">
        <f>IF(B83="","Pending",IF(M83="","⚠️ Enter Code",IF(IFERROR(VLOOKUP(L83,DB_Agents!$B:$I,8,0),"")=M83,"Pending","🔒 BLOCKED — Wrong Code")))</f>
        <v/>
      </c>
      <c r="L83" s="380" t="inlineStr">
        <is>
          <t>Agent 10</t>
        </is>
      </c>
      <c r="M83" s="491" t="n"/>
      <c r="N83" s="494" t="n"/>
    </row>
    <row r="84" ht="15" customHeight="1" s="341">
      <c r="A84" s="499">
        <f>IF(B84="","",IF(C84="❌ Account Not Found","INVALID","LN"&amp;TEXT(D84,"YYYYMMDD")&amp;TEXT(ROW()-13,"0000")))</f>
        <v/>
      </c>
      <c r="B84" s="495" t="n"/>
      <c r="C84" s="382">
        <f>IF(B84="","",IFERROR(VLOOKUP(B84,DB_Customers!$A:$D,4,0),"❌ Account Not Found"))</f>
        <v/>
      </c>
      <c r="D84" s="497">
        <f>IF(B84="","",TODAY())</f>
        <v/>
      </c>
      <c r="E84" s="526" t="n"/>
      <c r="F84" s="382" t="n"/>
      <c r="G84" s="527" t="n"/>
      <c r="H84" s="528" t="n"/>
      <c r="I84" s="529">
        <f>IF(E84="","",E84+(E84*H84/100*G84))</f>
        <v/>
      </c>
      <c r="J84" s="530">
        <f>IFERROR(I84/G84,"")</f>
        <v/>
      </c>
      <c r="K84" s="531">
        <f>IF(B84="","Pending",IF(M84="","⚠️ Enter Code",IF(IFERROR(VLOOKUP(L84,DB_Agents!$B:$I,8,0),"")=M84,"Pending","🔒 BLOCKED — Wrong Code")))</f>
        <v/>
      </c>
      <c r="L84" s="384" t="inlineStr">
        <is>
          <t>Agent 10</t>
        </is>
      </c>
      <c r="M84" s="491" t="n"/>
      <c r="N84" s="501" t="n"/>
    </row>
    <row r="85" ht="15" customHeight="1" s="341">
      <c r="A85" s="492">
        <f>IF(B85="","",IF(C85="❌ Account Not Found","INVALID","LN"&amp;TEXT(D85,"YYYYMMDD")&amp;TEXT(ROW()-13,"0000")))</f>
        <v/>
      </c>
      <c r="B85" s="486" t="n"/>
      <c r="C85" s="378">
        <f>IF(B85="","",IFERROR(VLOOKUP(B85,DB_Customers!$A:$D,4,0),"❌ Account Not Found"))</f>
        <v/>
      </c>
      <c r="D85" s="488">
        <f>IF(B85="","",TODAY())</f>
        <v/>
      </c>
      <c r="E85" s="526" t="n"/>
      <c r="F85" s="378" t="n"/>
      <c r="G85" s="532" t="n"/>
      <c r="H85" s="533" t="n"/>
      <c r="I85" s="529">
        <f>IF(E85="","",E85+(E85*H85/100*G85))</f>
        <v/>
      </c>
      <c r="J85" s="534">
        <f>IFERROR(I85/G85,"")</f>
        <v/>
      </c>
      <c r="K85" s="535">
        <f>IF(B85="","Pending",IF(M85="","⚠️ Enter Code",IF(IFERROR(VLOOKUP(L85,DB_Agents!$B:$I,8,0),"")=M85,"Pending","🔒 BLOCKED — Wrong Code")))</f>
        <v/>
      </c>
      <c r="L85" s="380" t="inlineStr">
        <is>
          <t>Agent 10</t>
        </is>
      </c>
      <c r="M85" s="491" t="n"/>
      <c r="N85" s="494" t="n"/>
    </row>
    <row r="86" ht="15" customHeight="1" s="341">
      <c r="A86" s="499">
        <f>IF(B86="","",IF(C86="❌ Account Not Found","INVALID","LN"&amp;TEXT(D86,"YYYYMMDD")&amp;TEXT(ROW()-13,"0000")))</f>
        <v/>
      </c>
      <c r="B86" s="495" t="n"/>
      <c r="C86" s="382">
        <f>IF(B86="","",IFERROR(VLOOKUP(B86,DB_Customers!$A:$D,4,0),"❌ Account Not Found"))</f>
        <v/>
      </c>
      <c r="D86" s="497">
        <f>IF(B86="","",TODAY())</f>
        <v/>
      </c>
      <c r="E86" s="526" t="n"/>
      <c r="F86" s="382" t="n"/>
      <c r="G86" s="527" t="n"/>
      <c r="H86" s="528" t="n"/>
      <c r="I86" s="529">
        <f>IF(E86="","",E86+(E86*H86/100*G86))</f>
        <v/>
      </c>
      <c r="J86" s="530">
        <f>IFERROR(I86/G86,"")</f>
        <v/>
      </c>
      <c r="K86" s="531">
        <f>IF(B86="","Pending",IF(M86="","⚠️ Enter Code",IF(IFERROR(VLOOKUP(L86,DB_Agents!$B:$I,8,0),"")=M86,"Pending","🔒 BLOCKED — Wrong Code")))</f>
        <v/>
      </c>
      <c r="L86" s="384" t="inlineStr">
        <is>
          <t>Agent 10</t>
        </is>
      </c>
      <c r="M86" s="491" t="n"/>
      <c r="N86" s="501" t="n"/>
    </row>
    <row r="87" ht="15" customHeight="1" s="341">
      <c r="A87" s="492">
        <f>IF(B87="","",IF(C87="❌ Account Not Found","INVALID","LN"&amp;TEXT(D87,"YYYYMMDD")&amp;TEXT(ROW()-13,"0000")))</f>
        <v/>
      </c>
      <c r="B87" s="486" t="n"/>
      <c r="C87" s="378">
        <f>IF(B87="","",IFERROR(VLOOKUP(B87,DB_Customers!$A:$D,4,0),"❌ Account Not Found"))</f>
        <v/>
      </c>
      <c r="D87" s="488">
        <f>IF(B87="","",TODAY())</f>
        <v/>
      </c>
      <c r="E87" s="526" t="n"/>
      <c r="F87" s="378" t="n"/>
      <c r="G87" s="532" t="n"/>
      <c r="H87" s="533" t="n"/>
      <c r="I87" s="529">
        <f>IF(E87="","",E87+(E87*H87/100*G87))</f>
        <v/>
      </c>
      <c r="J87" s="534">
        <f>IFERROR(I87/G87,"")</f>
        <v/>
      </c>
      <c r="K87" s="535">
        <f>IF(B87="","Pending",IF(M87="","⚠️ Enter Code",IF(IFERROR(VLOOKUP(L87,DB_Agents!$B:$I,8,0),"")=M87,"Pending","🔒 BLOCKED — Wrong Code")))</f>
        <v/>
      </c>
      <c r="L87" s="380" t="inlineStr">
        <is>
          <t>Agent 10</t>
        </is>
      </c>
      <c r="M87" s="491" t="n"/>
      <c r="N87" s="494" t="n"/>
    </row>
    <row r="88" ht="15" customHeight="1" s="341">
      <c r="A88" s="499">
        <f>IF(B88="","",IF(C88="❌ Account Not Found","INVALID","LN"&amp;TEXT(D88,"YYYYMMDD")&amp;TEXT(ROW()-13,"0000")))</f>
        <v/>
      </c>
      <c r="B88" s="495" t="n"/>
      <c r="C88" s="382">
        <f>IF(B88="","",IFERROR(VLOOKUP(B88,DB_Customers!$A:$D,4,0),"❌ Account Not Found"))</f>
        <v/>
      </c>
      <c r="D88" s="497">
        <f>IF(B88="","",TODAY())</f>
        <v/>
      </c>
      <c r="E88" s="526" t="n"/>
      <c r="F88" s="382" t="n"/>
      <c r="G88" s="527" t="n"/>
      <c r="H88" s="528" t="n"/>
      <c r="I88" s="529">
        <f>IF(E88="","",E88+(E88*H88/100*G88))</f>
        <v/>
      </c>
      <c r="J88" s="530">
        <f>IFERROR(I88/G88,"")</f>
        <v/>
      </c>
      <c r="K88" s="531">
        <f>IF(B88="","Pending",IF(M88="","⚠️ Enter Code",IF(IFERROR(VLOOKUP(L88,DB_Agents!$B:$I,8,0),"")=M88,"Pending","🔒 BLOCKED — Wrong Code")))</f>
        <v/>
      </c>
      <c r="L88" s="384" t="inlineStr">
        <is>
          <t>Agent 10</t>
        </is>
      </c>
      <c r="M88" s="491" t="n"/>
      <c r="N88" s="501" t="n"/>
    </row>
    <row r="89" ht="15" customHeight="1" s="341">
      <c r="A89" s="492">
        <f>IF(B89="","",IF(C89="❌ Account Not Found","INVALID","LN"&amp;TEXT(D89,"YYYYMMDD")&amp;TEXT(ROW()-13,"0000")))</f>
        <v/>
      </c>
      <c r="B89" s="486" t="n"/>
      <c r="C89" s="378">
        <f>IF(B89="","",IFERROR(VLOOKUP(B89,DB_Customers!$A:$D,4,0),"❌ Account Not Found"))</f>
        <v/>
      </c>
      <c r="D89" s="488">
        <f>IF(B89="","",TODAY())</f>
        <v/>
      </c>
      <c r="E89" s="526" t="n"/>
      <c r="F89" s="378" t="n"/>
      <c r="G89" s="532" t="n"/>
      <c r="H89" s="533" t="n"/>
      <c r="I89" s="529">
        <f>IF(E89="","",E89+(E89*H89/100*G89))</f>
        <v/>
      </c>
      <c r="J89" s="534">
        <f>IFERROR(I89/G89,"")</f>
        <v/>
      </c>
      <c r="K89" s="535">
        <f>IF(B89="","Pending",IF(M89="","⚠️ Enter Code",IF(IFERROR(VLOOKUP(L89,DB_Agents!$B:$I,8,0),"")=M89,"Pending","🔒 BLOCKED — Wrong Code")))</f>
        <v/>
      </c>
      <c r="L89" s="380" t="inlineStr">
        <is>
          <t>Agent 10</t>
        </is>
      </c>
      <c r="M89" s="491" t="n"/>
      <c r="N89" s="494" t="n"/>
    </row>
    <row r="90" ht="15" customHeight="1" s="341">
      <c r="A90" s="499">
        <f>IF(B90="","",IF(C90="❌ Account Not Found","INVALID","LN"&amp;TEXT(D90,"YYYYMMDD")&amp;TEXT(ROW()-13,"0000")))</f>
        <v/>
      </c>
      <c r="B90" s="495" t="n"/>
      <c r="C90" s="382">
        <f>IF(B90="","",IFERROR(VLOOKUP(B90,DB_Customers!$A:$D,4,0),"❌ Account Not Found"))</f>
        <v/>
      </c>
      <c r="D90" s="497">
        <f>IF(B90="","",TODAY())</f>
        <v/>
      </c>
      <c r="E90" s="526" t="n"/>
      <c r="F90" s="382" t="n"/>
      <c r="G90" s="527" t="n"/>
      <c r="H90" s="528" t="n"/>
      <c r="I90" s="529">
        <f>IF(E90="","",E90+(E90*H90/100*G90))</f>
        <v/>
      </c>
      <c r="J90" s="530">
        <f>IFERROR(I90/G90,"")</f>
        <v/>
      </c>
      <c r="K90" s="531">
        <f>IF(B90="","Pending",IF(M90="","⚠️ Enter Code",IF(IFERROR(VLOOKUP(L90,DB_Agents!$B:$I,8,0),"")=M90,"Pending","🔒 BLOCKED — Wrong Code")))</f>
        <v/>
      </c>
      <c r="L90" s="384" t="inlineStr">
        <is>
          <t>Agent 10</t>
        </is>
      </c>
      <c r="M90" s="491" t="n"/>
      <c r="N90" s="501" t="n"/>
    </row>
    <row r="91" ht="15" customHeight="1" s="341">
      <c r="A91" s="492">
        <f>IF(B91="","",IF(C91="❌ Account Not Found","INVALID","LN"&amp;TEXT(D91,"YYYYMMDD")&amp;TEXT(ROW()-13,"0000")))</f>
        <v/>
      </c>
      <c r="B91" s="486" t="n"/>
      <c r="C91" s="378">
        <f>IF(B91="","",IFERROR(VLOOKUP(B91,DB_Customers!$A:$D,4,0),"❌ Account Not Found"))</f>
        <v/>
      </c>
      <c r="D91" s="488">
        <f>IF(B91="","",TODAY())</f>
        <v/>
      </c>
      <c r="E91" s="526" t="n"/>
      <c r="F91" s="378" t="n"/>
      <c r="G91" s="532" t="n"/>
      <c r="H91" s="533" t="n"/>
      <c r="I91" s="529">
        <f>IF(E91="","",E91+(E91*H91/100*G91))</f>
        <v/>
      </c>
      <c r="J91" s="534">
        <f>IFERROR(I91/G91,"")</f>
        <v/>
      </c>
      <c r="K91" s="535">
        <f>IF(B91="","Pending",IF(M91="","⚠️ Enter Code",IF(IFERROR(VLOOKUP(L91,DB_Agents!$B:$I,8,0),"")=M91,"Pending","🔒 BLOCKED — Wrong Code")))</f>
        <v/>
      </c>
      <c r="L91" s="380" t="inlineStr">
        <is>
          <t>Agent 10</t>
        </is>
      </c>
      <c r="M91" s="491" t="n"/>
      <c r="N91" s="494" t="n"/>
    </row>
    <row r="92" ht="15" customHeight="1" s="341">
      <c r="A92" s="499">
        <f>IF(B92="","",IF(C92="❌ Account Not Found","INVALID","LN"&amp;TEXT(D92,"YYYYMMDD")&amp;TEXT(ROW()-13,"0000")))</f>
        <v/>
      </c>
      <c r="B92" s="495" t="n"/>
      <c r="C92" s="382">
        <f>IF(B92="","",IFERROR(VLOOKUP(B92,DB_Customers!$A:$D,4,0),"❌ Account Not Found"))</f>
        <v/>
      </c>
      <c r="D92" s="497">
        <f>IF(B92="","",TODAY())</f>
        <v/>
      </c>
      <c r="E92" s="526" t="n"/>
      <c r="F92" s="382" t="n"/>
      <c r="G92" s="527" t="n"/>
      <c r="H92" s="528" t="n"/>
      <c r="I92" s="529">
        <f>IF(E92="","",E92+(E92*H92/100*G92))</f>
        <v/>
      </c>
      <c r="J92" s="530">
        <f>IFERROR(I92/G92,"")</f>
        <v/>
      </c>
      <c r="K92" s="531">
        <f>IF(B92="","Pending",IF(M92="","⚠️ Enter Code",IF(IFERROR(VLOOKUP(L92,DB_Agents!$B:$I,8,0),"")=M92,"Pending","🔒 BLOCKED — Wrong Code")))</f>
        <v/>
      </c>
      <c r="L92" s="384" t="inlineStr">
        <is>
          <t>Agent 10</t>
        </is>
      </c>
      <c r="M92" s="491" t="n"/>
      <c r="N92" s="501" t="n"/>
    </row>
    <row r="93" ht="15" customHeight="1" s="341">
      <c r="A93" s="492">
        <f>IF(B93="","",IF(C93="❌ Account Not Found","INVALID","LN"&amp;TEXT(D93,"YYYYMMDD")&amp;TEXT(ROW()-13,"0000")))</f>
        <v/>
      </c>
      <c r="B93" s="486" t="n"/>
      <c r="C93" s="378">
        <f>IF(B93="","",IFERROR(VLOOKUP(B93,DB_Customers!$A:$D,4,0),"❌ Account Not Found"))</f>
        <v/>
      </c>
      <c r="D93" s="488">
        <f>IF(B93="","",TODAY())</f>
        <v/>
      </c>
      <c r="E93" s="526" t="n"/>
      <c r="F93" s="378" t="n"/>
      <c r="G93" s="532" t="n"/>
      <c r="H93" s="533" t="n"/>
      <c r="I93" s="529">
        <f>IF(E93="","",E93+(E93*H93/100*G93))</f>
        <v/>
      </c>
      <c r="J93" s="534">
        <f>IFERROR(I93/G93,"")</f>
        <v/>
      </c>
      <c r="K93" s="535">
        <f>IF(B93="","Pending",IF(M93="","⚠️ Enter Code",IF(IFERROR(VLOOKUP(L93,DB_Agents!$B:$I,8,0),"")=M93,"Pending","🔒 BLOCKED — Wrong Code")))</f>
        <v/>
      </c>
      <c r="L93" s="380" t="inlineStr">
        <is>
          <t>Agent 10</t>
        </is>
      </c>
      <c r="M93" s="491" t="n"/>
      <c r="N93" s="494" t="n"/>
    </row>
    <row r="94" ht="15" customHeight="1" s="341">
      <c r="A94" s="499">
        <f>IF(B94="","",IF(C94="❌ Account Not Found","INVALID","LN"&amp;TEXT(D94,"YYYYMMDD")&amp;TEXT(ROW()-13,"0000")))</f>
        <v/>
      </c>
      <c r="B94" s="495" t="n"/>
      <c r="C94" s="382">
        <f>IF(B94="","",IFERROR(VLOOKUP(B94,DB_Customers!$A:$D,4,0),"❌ Account Not Found"))</f>
        <v/>
      </c>
      <c r="D94" s="497">
        <f>IF(B94="","",TODAY())</f>
        <v/>
      </c>
      <c r="E94" s="526" t="n"/>
      <c r="F94" s="382" t="n"/>
      <c r="G94" s="527" t="n"/>
      <c r="H94" s="528" t="n"/>
      <c r="I94" s="529">
        <f>IF(E94="","",E94+(E94*H94/100*G94))</f>
        <v/>
      </c>
      <c r="J94" s="530">
        <f>IFERROR(I94/G94,"")</f>
        <v/>
      </c>
      <c r="K94" s="531">
        <f>IF(B94="","Pending",IF(M94="","⚠️ Enter Code",IF(IFERROR(VLOOKUP(L94,DB_Agents!$B:$I,8,0),"")=M94,"Pending","🔒 BLOCKED — Wrong Code")))</f>
        <v/>
      </c>
      <c r="L94" s="384" t="inlineStr">
        <is>
          <t>Agent 10</t>
        </is>
      </c>
      <c r="M94" s="491" t="n"/>
      <c r="N94" s="501" t="n"/>
    </row>
    <row r="95" ht="15" customHeight="1" s="341">
      <c r="A95" s="492">
        <f>IF(B95="","",IF(C95="❌ Account Not Found","INVALID","LN"&amp;TEXT(D95,"YYYYMMDD")&amp;TEXT(ROW()-13,"0000")))</f>
        <v/>
      </c>
      <c r="B95" s="486" t="n"/>
      <c r="C95" s="378">
        <f>IF(B95="","",IFERROR(VLOOKUP(B95,DB_Customers!$A:$D,4,0),"❌ Account Not Found"))</f>
        <v/>
      </c>
      <c r="D95" s="488">
        <f>IF(B95="","",TODAY())</f>
        <v/>
      </c>
      <c r="E95" s="526" t="n"/>
      <c r="F95" s="378" t="n"/>
      <c r="G95" s="532" t="n"/>
      <c r="H95" s="533" t="n"/>
      <c r="I95" s="529">
        <f>IF(E95="","",E95+(E95*H95/100*G95))</f>
        <v/>
      </c>
      <c r="J95" s="534">
        <f>IFERROR(I95/G95,"")</f>
        <v/>
      </c>
      <c r="K95" s="535">
        <f>IF(B95="","Pending",IF(M95="","⚠️ Enter Code",IF(IFERROR(VLOOKUP(L95,DB_Agents!$B:$I,8,0),"")=M95,"Pending","🔒 BLOCKED — Wrong Code")))</f>
        <v/>
      </c>
      <c r="L95" s="380" t="inlineStr">
        <is>
          <t>Agent 10</t>
        </is>
      </c>
      <c r="M95" s="491" t="n"/>
      <c r="N95" s="494" t="n"/>
    </row>
    <row r="96" ht="15" customHeight="1" s="341">
      <c r="A96" s="499">
        <f>IF(B96="","",IF(C96="❌ Account Not Found","INVALID","LN"&amp;TEXT(D96,"YYYYMMDD")&amp;TEXT(ROW()-13,"0000")))</f>
        <v/>
      </c>
      <c r="B96" s="495" t="n"/>
      <c r="C96" s="382">
        <f>IF(B96="","",IFERROR(VLOOKUP(B96,DB_Customers!$A:$D,4,0),"❌ Account Not Found"))</f>
        <v/>
      </c>
      <c r="D96" s="497">
        <f>IF(B96="","",TODAY())</f>
        <v/>
      </c>
      <c r="E96" s="526" t="n"/>
      <c r="F96" s="382" t="n"/>
      <c r="G96" s="527" t="n"/>
      <c r="H96" s="528" t="n"/>
      <c r="I96" s="529">
        <f>IF(E96="","",E96+(E96*H96/100*G96))</f>
        <v/>
      </c>
      <c r="J96" s="530">
        <f>IFERROR(I96/G96,"")</f>
        <v/>
      </c>
      <c r="K96" s="531">
        <f>IF(B96="","Pending",IF(M96="","⚠️ Enter Code",IF(IFERROR(VLOOKUP(L96,DB_Agents!$B:$I,8,0),"")=M96,"Pending","🔒 BLOCKED — Wrong Code")))</f>
        <v/>
      </c>
      <c r="L96" s="384" t="inlineStr">
        <is>
          <t>Agent 10</t>
        </is>
      </c>
      <c r="M96" s="491" t="n"/>
      <c r="N96" s="501" t="n"/>
    </row>
    <row r="97" ht="15" customHeight="1" s="341">
      <c r="A97" s="492">
        <f>IF(B97="","",IF(C97="❌ Account Not Found","INVALID","LN"&amp;TEXT(D97,"YYYYMMDD")&amp;TEXT(ROW()-13,"0000")))</f>
        <v/>
      </c>
      <c r="B97" s="486" t="n"/>
      <c r="C97" s="378">
        <f>IF(B97="","",IFERROR(VLOOKUP(B97,DB_Customers!$A:$D,4,0),"❌ Account Not Found"))</f>
        <v/>
      </c>
      <c r="D97" s="488">
        <f>IF(B97="","",TODAY())</f>
        <v/>
      </c>
      <c r="E97" s="526" t="n"/>
      <c r="F97" s="378" t="n"/>
      <c r="G97" s="532" t="n"/>
      <c r="H97" s="533" t="n"/>
      <c r="I97" s="529">
        <f>IF(E97="","",E97+(E97*H97/100*G97))</f>
        <v/>
      </c>
      <c r="J97" s="534">
        <f>IFERROR(I97/G97,"")</f>
        <v/>
      </c>
      <c r="K97" s="535">
        <f>IF(B97="","Pending",IF(M97="","⚠️ Enter Code",IF(IFERROR(VLOOKUP(L97,DB_Agents!$B:$I,8,0),"")=M97,"Pending","🔒 BLOCKED — Wrong Code")))</f>
        <v/>
      </c>
      <c r="L97" s="380" t="inlineStr">
        <is>
          <t>Agent 10</t>
        </is>
      </c>
      <c r="M97" s="491" t="n"/>
      <c r="N97" s="494" t="n"/>
    </row>
    <row r="98" ht="15" customHeight="1" s="341">
      <c r="A98" s="499">
        <f>IF(B98="","",IF(C98="❌ Account Not Found","INVALID","LN"&amp;TEXT(D98,"YYYYMMDD")&amp;TEXT(ROW()-13,"0000")))</f>
        <v/>
      </c>
      <c r="B98" s="495" t="n"/>
      <c r="C98" s="382">
        <f>IF(B98="","",IFERROR(VLOOKUP(B98,DB_Customers!$A:$D,4,0),"❌ Account Not Found"))</f>
        <v/>
      </c>
      <c r="D98" s="497">
        <f>IF(B98="","",TODAY())</f>
        <v/>
      </c>
      <c r="E98" s="526" t="n"/>
      <c r="F98" s="382" t="n"/>
      <c r="G98" s="527" t="n"/>
      <c r="H98" s="528" t="n"/>
      <c r="I98" s="529">
        <f>IF(E98="","",E98+(E98*H98/100*G98))</f>
        <v/>
      </c>
      <c r="J98" s="530">
        <f>IFERROR(I98/G98,"")</f>
        <v/>
      </c>
      <c r="K98" s="531">
        <f>IF(B98="","Pending",IF(M98="","⚠️ Enter Code",IF(IFERROR(VLOOKUP(L98,DB_Agents!$B:$I,8,0),"")=M98,"Pending","🔒 BLOCKED — Wrong Code")))</f>
        <v/>
      </c>
      <c r="L98" s="384" t="inlineStr">
        <is>
          <t>Agent 10</t>
        </is>
      </c>
      <c r="M98" s="491" t="n"/>
      <c r="N98" s="501" t="n"/>
    </row>
    <row r="99" ht="15" customHeight="1" s="341">
      <c r="A99" s="492">
        <f>IF(B99="","",IF(C99="❌ Account Not Found","INVALID","LN"&amp;TEXT(D99,"YYYYMMDD")&amp;TEXT(ROW()-13,"0000")))</f>
        <v/>
      </c>
      <c r="B99" s="486" t="n"/>
      <c r="C99" s="378">
        <f>IF(B99="","",IFERROR(VLOOKUP(B99,DB_Customers!$A:$D,4,0),"❌ Account Not Found"))</f>
        <v/>
      </c>
      <c r="D99" s="488">
        <f>IF(B99="","",TODAY())</f>
        <v/>
      </c>
      <c r="E99" s="526" t="n"/>
      <c r="F99" s="378" t="n"/>
      <c r="G99" s="532" t="n"/>
      <c r="H99" s="533" t="n"/>
      <c r="I99" s="529">
        <f>IF(E99="","",E99+(E99*H99/100*G99))</f>
        <v/>
      </c>
      <c r="J99" s="534">
        <f>IFERROR(I99/G99,"")</f>
        <v/>
      </c>
      <c r="K99" s="535">
        <f>IF(B99="","Pending",IF(M99="","⚠️ Enter Code",IF(IFERROR(VLOOKUP(L99,DB_Agents!$B:$I,8,0),"")=M99,"Pending","🔒 BLOCKED — Wrong Code")))</f>
        <v/>
      </c>
      <c r="L99" s="380" t="inlineStr">
        <is>
          <t>Agent 10</t>
        </is>
      </c>
      <c r="M99" s="491" t="n"/>
      <c r="N99" s="494" t="n"/>
    </row>
    <row r="100" ht="15" customHeight="1" s="341">
      <c r="A100" s="499">
        <f>IF(B100="","",IF(C100="❌ Account Not Found","INVALID","LN"&amp;TEXT(D100,"YYYYMMDD")&amp;TEXT(ROW()-13,"0000")))</f>
        <v/>
      </c>
      <c r="B100" s="495" t="n"/>
      <c r="C100" s="382">
        <f>IF(B100="","",IFERROR(VLOOKUP(B100,DB_Customers!$A:$D,4,0),"❌ Account Not Found"))</f>
        <v/>
      </c>
      <c r="D100" s="497">
        <f>IF(B100="","",TODAY())</f>
        <v/>
      </c>
      <c r="E100" s="526" t="n"/>
      <c r="F100" s="382" t="n"/>
      <c r="G100" s="527" t="n"/>
      <c r="H100" s="528" t="n"/>
      <c r="I100" s="529">
        <f>IF(E100="","",E100+(E100*H100/100*G100))</f>
        <v/>
      </c>
      <c r="J100" s="530">
        <f>IFERROR(I100/G100,"")</f>
        <v/>
      </c>
      <c r="K100" s="531">
        <f>IF(B100="","Pending",IF(M100="","⚠️ Enter Code",IF(IFERROR(VLOOKUP(L100,DB_Agents!$B:$I,8,0),"")=M100,"Pending","🔒 BLOCKED — Wrong Code")))</f>
        <v/>
      </c>
      <c r="L100" s="384" t="inlineStr">
        <is>
          <t>Agent 10</t>
        </is>
      </c>
      <c r="M100" s="491" t="n"/>
      <c r="N100" s="501" t="n"/>
    </row>
    <row r="101" ht="15" customHeight="1" s="341">
      <c r="A101" s="492">
        <f>IF(B101="","",IF(C101="❌ Account Not Found","INVALID","LN"&amp;TEXT(D101,"YYYYMMDD")&amp;TEXT(ROW()-13,"0000")))</f>
        <v/>
      </c>
      <c r="B101" s="486" t="n"/>
      <c r="C101" s="378">
        <f>IF(B101="","",IFERROR(VLOOKUP(B101,DB_Customers!$A:$D,4,0),"❌ Account Not Found"))</f>
        <v/>
      </c>
      <c r="D101" s="488">
        <f>IF(B101="","",TODAY())</f>
        <v/>
      </c>
      <c r="E101" s="526" t="n"/>
      <c r="F101" s="378" t="n"/>
      <c r="G101" s="532" t="n"/>
      <c r="H101" s="533" t="n"/>
      <c r="I101" s="529">
        <f>IF(E101="","",E101+(E101*H101/100*G101))</f>
        <v/>
      </c>
      <c r="J101" s="534">
        <f>IFERROR(I101/G101,"")</f>
        <v/>
      </c>
      <c r="K101" s="535">
        <f>IF(B101="","Pending",IF(M101="","⚠️ Enter Code",IF(IFERROR(VLOOKUP(L101,DB_Agents!$B:$I,8,0),"")=M101,"Pending","🔒 BLOCKED — Wrong Code")))</f>
        <v/>
      </c>
      <c r="L101" s="380" t="inlineStr">
        <is>
          <t>Agent 10</t>
        </is>
      </c>
      <c r="M101" s="491" t="n"/>
      <c r="N101" s="494" t="n"/>
    </row>
    <row r="102" ht="15" customHeight="1" s="341">
      <c r="A102" s="499">
        <f>IF(B102="","",IF(C102="❌ Account Not Found","INVALID","LN"&amp;TEXT(D102,"YYYYMMDD")&amp;TEXT(ROW()-13,"0000")))</f>
        <v/>
      </c>
      <c r="B102" s="495" t="n"/>
      <c r="C102" s="382">
        <f>IF(B102="","",IFERROR(VLOOKUP(B102,DB_Customers!$A:$D,4,0),"❌ Account Not Found"))</f>
        <v/>
      </c>
      <c r="D102" s="497">
        <f>IF(B102="","",TODAY())</f>
        <v/>
      </c>
      <c r="E102" s="526" t="n"/>
      <c r="F102" s="382" t="n"/>
      <c r="G102" s="527" t="n"/>
      <c r="H102" s="528" t="n"/>
      <c r="I102" s="529">
        <f>IF(E102="","",E102+(E102*H102/100*G102))</f>
        <v/>
      </c>
      <c r="J102" s="530">
        <f>IFERROR(I102/G102,"")</f>
        <v/>
      </c>
      <c r="K102" s="531">
        <f>IF(B102="","Pending",IF(M102="","⚠️ Enter Code",IF(IFERROR(VLOOKUP(L102,DB_Agents!$B:$I,8,0),"")=M102,"Pending","🔒 BLOCKED — Wrong Code")))</f>
        <v/>
      </c>
      <c r="L102" s="384" t="inlineStr">
        <is>
          <t>Agent 10</t>
        </is>
      </c>
      <c r="M102" s="491" t="n"/>
      <c r="N102" s="501" t="n"/>
    </row>
    <row r="103" ht="15" customHeight="1" s="341">
      <c r="A103" s="492">
        <f>IF(B103="","",IF(C103="❌ Account Not Found","INVALID","LN"&amp;TEXT(D103,"YYYYMMDD")&amp;TEXT(ROW()-13,"0000")))</f>
        <v/>
      </c>
      <c r="B103" s="486" t="n"/>
      <c r="C103" s="378">
        <f>IF(B103="","",IFERROR(VLOOKUP(B103,DB_Customers!$A:$D,4,0),"❌ Account Not Found"))</f>
        <v/>
      </c>
      <c r="D103" s="488">
        <f>IF(B103="","",TODAY())</f>
        <v/>
      </c>
      <c r="E103" s="526" t="n"/>
      <c r="F103" s="378" t="n"/>
      <c r="G103" s="532" t="n"/>
      <c r="H103" s="533" t="n"/>
      <c r="I103" s="529">
        <f>IF(E103="","",E103+(E103*H103/100*G103))</f>
        <v/>
      </c>
      <c r="J103" s="534">
        <f>IFERROR(I103/G103,"")</f>
        <v/>
      </c>
      <c r="K103" s="535">
        <f>IF(B103="","Pending",IF(M103="","⚠️ Enter Code",IF(IFERROR(VLOOKUP(L103,DB_Agents!$B:$I,8,0),"")=M103,"Pending","🔒 BLOCKED — Wrong Code")))</f>
        <v/>
      </c>
      <c r="L103" s="380" t="inlineStr">
        <is>
          <t>Agent 10</t>
        </is>
      </c>
      <c r="M103" s="491" t="n"/>
      <c r="N103" s="494" t="n"/>
    </row>
    <row r="104" ht="15" customHeight="1" s="341">
      <c r="A104" s="499">
        <f>IF(B104="","",IF(C104="❌ Account Not Found","INVALID","LN"&amp;TEXT(D104,"YYYYMMDD")&amp;TEXT(ROW()-13,"0000")))</f>
        <v/>
      </c>
      <c r="B104" s="495" t="n"/>
      <c r="C104" s="382">
        <f>IF(B104="","",IFERROR(VLOOKUP(B104,DB_Customers!$A:$D,4,0),"❌ Account Not Found"))</f>
        <v/>
      </c>
      <c r="D104" s="497">
        <f>IF(B104="","",TODAY())</f>
        <v/>
      </c>
      <c r="E104" s="526" t="n"/>
      <c r="F104" s="382" t="n"/>
      <c r="G104" s="527" t="n"/>
      <c r="H104" s="528" t="n"/>
      <c r="I104" s="529">
        <f>IF(E104="","",E104+(E104*H104/100*G104))</f>
        <v/>
      </c>
      <c r="J104" s="530">
        <f>IFERROR(I104/G104,"")</f>
        <v/>
      </c>
      <c r="K104" s="531">
        <f>IF(B104="","Pending",IF(M104="","⚠️ Enter Code",IF(IFERROR(VLOOKUP(L104,DB_Agents!$B:$I,8,0),"")=M104,"Pending","🔒 BLOCKED — Wrong Code")))</f>
        <v/>
      </c>
      <c r="L104" s="384" t="inlineStr">
        <is>
          <t>Agent 10</t>
        </is>
      </c>
      <c r="M104" s="491" t="n"/>
      <c r="N104" s="501" t="n"/>
    </row>
    <row r="105" ht="15" customHeight="1" s="341">
      <c r="A105" s="492">
        <f>IF(B105="","",IF(C105="❌ Account Not Found","INVALID","LN"&amp;TEXT(D105,"YYYYMMDD")&amp;TEXT(ROW()-13,"0000")))</f>
        <v/>
      </c>
      <c r="B105" s="486" t="n"/>
      <c r="C105" s="378">
        <f>IF(B105="","",IFERROR(VLOOKUP(B105,DB_Customers!$A:$D,4,0),"❌ Account Not Found"))</f>
        <v/>
      </c>
      <c r="D105" s="488">
        <f>IF(B105="","",TODAY())</f>
        <v/>
      </c>
      <c r="E105" s="526" t="n"/>
      <c r="F105" s="378" t="n"/>
      <c r="G105" s="532" t="n"/>
      <c r="H105" s="533" t="n"/>
      <c r="I105" s="529">
        <f>IF(E105="","",E105+(E105*H105/100*G105))</f>
        <v/>
      </c>
      <c r="J105" s="534">
        <f>IFERROR(I105/G105,"")</f>
        <v/>
      </c>
      <c r="K105" s="535">
        <f>IF(B105="","Pending",IF(M105="","⚠️ Enter Code",IF(IFERROR(VLOOKUP(L105,DB_Agents!$B:$I,8,0),"")=M105,"Pending","🔒 BLOCKED — Wrong Code")))</f>
        <v/>
      </c>
      <c r="L105" s="380" t="inlineStr">
        <is>
          <t>Agent 10</t>
        </is>
      </c>
      <c r="M105" s="491" t="n"/>
      <c r="N105" s="494" t="n"/>
    </row>
    <row r="106" ht="15" customHeight="1" s="341">
      <c r="A106" s="499">
        <f>IF(B106="","",IF(C106="❌ Account Not Found","INVALID","LN"&amp;TEXT(D106,"YYYYMMDD")&amp;TEXT(ROW()-13,"0000")))</f>
        <v/>
      </c>
      <c r="B106" s="495" t="n"/>
      <c r="C106" s="382">
        <f>IF(B106="","",IFERROR(VLOOKUP(B106,DB_Customers!$A:$D,4,0),"❌ Account Not Found"))</f>
        <v/>
      </c>
      <c r="D106" s="497">
        <f>IF(B106="","",TODAY())</f>
        <v/>
      </c>
      <c r="E106" s="526" t="n"/>
      <c r="F106" s="382" t="n"/>
      <c r="G106" s="527" t="n"/>
      <c r="H106" s="528" t="n"/>
      <c r="I106" s="529">
        <f>IF(E106="","",E106+(E106*H106/100*G106))</f>
        <v/>
      </c>
      <c r="J106" s="530">
        <f>IFERROR(I106/G106,"")</f>
        <v/>
      </c>
      <c r="K106" s="531">
        <f>IF(B106="","Pending",IF(M106="","⚠️ Enter Code",IF(IFERROR(VLOOKUP(L106,DB_Agents!$B:$I,8,0),"")=M106,"Pending","🔒 BLOCKED — Wrong Code")))</f>
        <v/>
      </c>
      <c r="L106" s="384" t="inlineStr">
        <is>
          <t>Agent 10</t>
        </is>
      </c>
      <c r="M106" s="491" t="n"/>
      <c r="N106" s="501" t="n"/>
    </row>
    <row r="107" ht="15" customHeight="1" s="341">
      <c r="A107" s="492">
        <f>IF(B107="","",IF(C107="❌ Account Not Found","INVALID","LN"&amp;TEXT(D107,"YYYYMMDD")&amp;TEXT(ROW()-13,"0000")))</f>
        <v/>
      </c>
      <c r="B107" s="486" t="n"/>
      <c r="C107" s="378">
        <f>IF(B107="","",IFERROR(VLOOKUP(B107,DB_Customers!$A:$D,4,0),"❌ Account Not Found"))</f>
        <v/>
      </c>
      <c r="D107" s="488">
        <f>IF(B107="","",TODAY())</f>
        <v/>
      </c>
      <c r="E107" s="526" t="n"/>
      <c r="F107" s="378" t="n"/>
      <c r="G107" s="532" t="n"/>
      <c r="H107" s="533" t="n"/>
      <c r="I107" s="529">
        <f>IF(E107="","",E107+(E107*H107/100*G107))</f>
        <v/>
      </c>
      <c r="J107" s="534">
        <f>IFERROR(I107/G107,"")</f>
        <v/>
      </c>
      <c r="K107" s="535">
        <f>IF(B107="","Pending",IF(M107="","⚠️ Enter Code",IF(IFERROR(VLOOKUP(L107,DB_Agents!$B:$I,8,0),"")=M107,"Pending","🔒 BLOCKED — Wrong Code")))</f>
        <v/>
      </c>
      <c r="L107" s="380" t="inlineStr">
        <is>
          <t>Agent 10</t>
        </is>
      </c>
      <c r="M107" s="491" t="n"/>
      <c r="N107" s="494" t="n"/>
    </row>
    <row r="108" ht="15" customHeight="1" s="341">
      <c r="A108" s="499">
        <f>IF(B108="","",IF(C108="❌ Account Not Found","INVALID","LN"&amp;TEXT(D108,"YYYYMMDD")&amp;TEXT(ROW()-13,"0000")))</f>
        <v/>
      </c>
      <c r="B108" s="495" t="n"/>
      <c r="C108" s="382">
        <f>IF(B108="","",IFERROR(VLOOKUP(B108,DB_Customers!$A:$D,4,0),"❌ Account Not Found"))</f>
        <v/>
      </c>
      <c r="D108" s="497">
        <f>IF(B108="","",TODAY())</f>
        <v/>
      </c>
      <c r="E108" s="526" t="n"/>
      <c r="F108" s="382" t="n"/>
      <c r="G108" s="527" t="n"/>
      <c r="H108" s="528" t="n"/>
      <c r="I108" s="529">
        <f>IF(E108="","",E108+(E108*H108/100*G108))</f>
        <v/>
      </c>
      <c r="J108" s="530">
        <f>IFERROR(I108/G108,"")</f>
        <v/>
      </c>
      <c r="K108" s="531">
        <f>IF(B108="","Pending",IF(M108="","⚠️ Enter Code",IF(IFERROR(VLOOKUP(L108,DB_Agents!$B:$I,8,0),"")=M108,"Pending","🔒 BLOCKED — Wrong Code")))</f>
        <v/>
      </c>
      <c r="L108" s="384" t="inlineStr">
        <is>
          <t>Agent 10</t>
        </is>
      </c>
      <c r="M108" s="491" t="n"/>
      <c r="N108" s="501" t="n"/>
    </row>
    <row r="109" ht="15" customHeight="1" s="341">
      <c r="A109" s="492">
        <f>IF(B109="","",IF(C109="❌ Account Not Found","INVALID","LN"&amp;TEXT(D109,"YYYYMMDD")&amp;TEXT(ROW()-13,"0000")))</f>
        <v/>
      </c>
      <c r="B109" s="486" t="n"/>
      <c r="C109" s="378">
        <f>IF(B109="","",IFERROR(VLOOKUP(B109,DB_Customers!$A:$D,4,0),"❌ Account Not Found"))</f>
        <v/>
      </c>
      <c r="D109" s="488">
        <f>IF(B109="","",TODAY())</f>
        <v/>
      </c>
      <c r="E109" s="526" t="n"/>
      <c r="F109" s="378" t="n"/>
      <c r="G109" s="532" t="n"/>
      <c r="H109" s="533" t="n"/>
      <c r="I109" s="529">
        <f>IF(E109="","",E109+(E109*H109/100*G109))</f>
        <v/>
      </c>
      <c r="J109" s="534">
        <f>IFERROR(I109/G109,"")</f>
        <v/>
      </c>
      <c r="K109" s="535">
        <f>IF(B109="","Pending",IF(M109="","⚠️ Enter Code",IF(IFERROR(VLOOKUP(L109,DB_Agents!$B:$I,8,0),"")=M109,"Pending","🔒 BLOCKED — Wrong Code")))</f>
        <v/>
      </c>
      <c r="L109" s="380" t="inlineStr">
        <is>
          <t>Agent 10</t>
        </is>
      </c>
      <c r="M109" s="491" t="n"/>
      <c r="N109" s="494" t="n"/>
    </row>
    <row r="110" ht="15" customHeight="1" s="341">
      <c r="A110" s="499">
        <f>IF(B110="","",IF(C110="❌ Account Not Found","INVALID","LN"&amp;TEXT(D110,"YYYYMMDD")&amp;TEXT(ROW()-13,"0000")))</f>
        <v/>
      </c>
      <c r="B110" s="495" t="n"/>
      <c r="C110" s="382">
        <f>IF(B110="","",IFERROR(VLOOKUP(B110,DB_Customers!$A:$D,4,0),"❌ Account Not Found"))</f>
        <v/>
      </c>
      <c r="D110" s="497">
        <f>IF(B110="","",TODAY())</f>
        <v/>
      </c>
      <c r="E110" s="526" t="n"/>
      <c r="F110" s="382" t="n"/>
      <c r="G110" s="527" t="n"/>
      <c r="H110" s="528" t="n"/>
      <c r="I110" s="529">
        <f>IF(E110="","",E110+(E110*H110/100*G110))</f>
        <v/>
      </c>
      <c r="J110" s="530">
        <f>IFERROR(I110/G110,"")</f>
        <v/>
      </c>
      <c r="K110" s="531">
        <f>IF(B110="","Pending",IF(M110="","⚠️ Enter Code",IF(IFERROR(VLOOKUP(L110,DB_Agents!$B:$I,8,0),"")=M110,"Pending","🔒 BLOCKED — Wrong Code")))</f>
        <v/>
      </c>
      <c r="L110" s="384" t="inlineStr">
        <is>
          <t>Agent 10</t>
        </is>
      </c>
      <c r="M110" s="491" t="n"/>
      <c r="N110" s="501" t="n"/>
    </row>
    <row r="111" ht="15" customHeight="1" s="341">
      <c r="A111" s="492">
        <f>IF(B111="","",IF(C111="❌ Account Not Found","INVALID","LN"&amp;TEXT(D111,"YYYYMMDD")&amp;TEXT(ROW()-13,"0000")))</f>
        <v/>
      </c>
      <c r="B111" s="486" t="n"/>
      <c r="C111" s="378">
        <f>IF(B111="","",IFERROR(VLOOKUP(B111,DB_Customers!$A:$D,4,0),"❌ Account Not Found"))</f>
        <v/>
      </c>
      <c r="D111" s="488">
        <f>IF(B111="","",TODAY())</f>
        <v/>
      </c>
      <c r="E111" s="526" t="n"/>
      <c r="F111" s="378" t="n"/>
      <c r="G111" s="532" t="n"/>
      <c r="H111" s="533" t="n"/>
      <c r="I111" s="529">
        <f>IF(E111="","",E111+(E111*H111/100*G111))</f>
        <v/>
      </c>
      <c r="J111" s="534">
        <f>IFERROR(I111/G111,"")</f>
        <v/>
      </c>
      <c r="K111" s="535">
        <f>IF(B111="","Pending",IF(M111="","⚠️ Enter Code",IF(IFERROR(VLOOKUP(L111,DB_Agents!$B:$I,8,0),"")=M111,"Pending","🔒 BLOCKED — Wrong Code")))</f>
        <v/>
      </c>
      <c r="L111" s="380" t="inlineStr">
        <is>
          <t>Agent 10</t>
        </is>
      </c>
      <c r="M111" s="491" t="n"/>
      <c r="N111" s="494" t="n"/>
    </row>
    <row r="112" ht="15" customHeight="1" s="341">
      <c r="A112" s="499">
        <f>IF(B112="","",IF(C112="❌ Account Not Found","INVALID","LN"&amp;TEXT(D112,"YYYYMMDD")&amp;TEXT(ROW()-13,"0000")))</f>
        <v/>
      </c>
      <c r="B112" s="495" t="n"/>
      <c r="C112" s="382">
        <f>IF(B112="","",IFERROR(VLOOKUP(B112,DB_Customers!$A:$D,4,0),"❌ Account Not Found"))</f>
        <v/>
      </c>
      <c r="D112" s="497">
        <f>IF(B112="","",TODAY())</f>
        <v/>
      </c>
      <c r="E112" s="526" t="n"/>
      <c r="F112" s="382" t="n"/>
      <c r="G112" s="527" t="n"/>
      <c r="H112" s="528" t="n"/>
      <c r="I112" s="529">
        <f>IF(E112="","",E112+(E112*H112/100*G112))</f>
        <v/>
      </c>
      <c r="J112" s="530">
        <f>IFERROR(I112/G112,"")</f>
        <v/>
      </c>
      <c r="K112" s="531">
        <f>IF(B112="","Pending",IF(M112="","⚠️ Enter Code",IF(IFERROR(VLOOKUP(L112,DB_Agents!$B:$I,8,0),"")=M112,"Pending","🔒 BLOCKED — Wrong Code")))</f>
        <v/>
      </c>
      <c r="L112" s="384" t="inlineStr">
        <is>
          <t>Agent 10</t>
        </is>
      </c>
      <c r="M112" s="491" t="n"/>
      <c r="N112" s="501" t="n"/>
    </row>
    <row r="113" ht="15" customHeight="1" s="341">
      <c r="A113" s="492">
        <f>IF(B113="","",IF(C113="❌ Account Not Found","INVALID","LN"&amp;TEXT(D113,"YYYYMMDD")&amp;TEXT(ROW()-13,"0000")))</f>
        <v/>
      </c>
      <c r="B113" s="486" t="n"/>
      <c r="C113" s="378">
        <f>IF(B113="","",IFERROR(VLOOKUP(B113,DB_Customers!$A:$D,4,0),"❌ Account Not Found"))</f>
        <v/>
      </c>
      <c r="D113" s="488">
        <f>IF(B113="","",TODAY())</f>
        <v/>
      </c>
      <c r="E113" s="526" t="n"/>
      <c r="F113" s="378" t="n"/>
      <c r="G113" s="532" t="n"/>
      <c r="H113" s="533" t="n"/>
      <c r="I113" s="529">
        <f>IF(E113="","",E113+(E113*H113/100*G113))</f>
        <v/>
      </c>
      <c r="J113" s="534">
        <f>IFERROR(I113/G113,"")</f>
        <v/>
      </c>
      <c r="K113" s="535">
        <f>IF(B113="","Pending",IF(M113="","⚠️ Enter Code",IF(IFERROR(VLOOKUP(L113,DB_Agents!$B:$I,8,0),"")=M113,"Pending","🔒 BLOCKED — Wrong Code")))</f>
        <v/>
      </c>
      <c r="L113" s="380" t="inlineStr">
        <is>
          <t>Agent 10</t>
        </is>
      </c>
      <c r="M113" s="491" t="n"/>
      <c r="N113" s="494" t="n"/>
    </row>
    <row r="114" ht="15" customHeight="1" s="341">
      <c r="H114" s="536" t="n"/>
      <c r="K114" s="537">
        <f>IF(B114="","Pending",IF(M114="","⚠️ Enter Code",IF(IFERROR(VLOOKUP(L114,DB_Agents!$B:$I,8,0),"")=M114,"Pending","🔒 BLOCKED — Wrong Code")))</f>
        <v/>
      </c>
      <c r="M114" s="491" t="n"/>
    </row>
    <row r="115" ht="15" customHeight="1" s="341">
      <c r="H115" s="536" t="n"/>
      <c r="K115" s="342">
        <f>IF(B115="","Pending",IF(M115="","⚠️ Enter Code",IF(IFERROR(VLOOKUP(L115,DB_Agents!$B:$I,8,0),"")=M115,"Pending","🔒 BLOCKED — Wrong Code")))</f>
        <v/>
      </c>
      <c r="M115" s="491" t="n"/>
    </row>
    <row r="116" ht="15" customHeight="1" s="341">
      <c r="H116" s="536" t="n"/>
      <c r="K116" s="537">
        <f>IF(B116="","Pending",IF(M116="","⚠️ Enter Code",IF(IFERROR(VLOOKUP(L116,DB_Agents!$B:$I,8,0),"")=M116,"Pending","🔒 BLOCKED — Wrong Code")))</f>
        <v/>
      </c>
      <c r="M116" s="491" t="n"/>
    </row>
    <row r="117" ht="15" customHeight="1" s="341">
      <c r="H117" s="536" t="n"/>
      <c r="K117" s="342">
        <f>IF(B117="","Pending",IF(M117="","⚠️ Enter Code",IF(IFERROR(VLOOKUP(L117,DB_Agents!$B:$I,8,0),"")=M117,"Pending","🔒 BLOCKED — Wrong Code")))</f>
        <v/>
      </c>
      <c r="M117" s="491" t="n"/>
    </row>
    <row r="118" ht="15" customHeight="1" s="341">
      <c r="H118" s="536" t="n"/>
      <c r="K118" s="537">
        <f>IF(B118="","Pending",IF(M118="","⚠️ Enter Code",IF(IFERROR(VLOOKUP(L118,DB_Agents!$B:$I,8,0),"")=M118,"Pending","🔒 BLOCKED — Wrong Code")))</f>
        <v/>
      </c>
      <c r="M118" s="491" t="n"/>
    </row>
    <row r="119" ht="15" customHeight="1" s="341">
      <c r="H119" s="536" t="n"/>
      <c r="K119" s="342">
        <f>IF(B119="","Pending",IF(M119="","⚠️ Enter Code",IF(IFERROR(VLOOKUP(L119,DB_Agents!$B:$I,8,0),"")=M119,"Pending","🔒 BLOCKED — Wrong Code")))</f>
        <v/>
      </c>
      <c r="M119" s="491" t="n"/>
    </row>
    <row r="120" ht="15" customHeight="1" s="341">
      <c r="H120" s="536" t="n"/>
      <c r="K120" s="537">
        <f>IF(B120="","Pending",IF(M120="","⚠️ Enter Code",IF(IFERROR(VLOOKUP(L120,DB_Agents!$B:$I,8,0),"")=M120,"Pending","🔒 BLOCKED — Wrong Code")))</f>
        <v/>
      </c>
      <c r="M120" s="491" t="n"/>
    </row>
    <row r="121" ht="15" customHeight="1" s="341">
      <c r="H121" s="536" t="n"/>
      <c r="K121" s="342">
        <f>IF(B121="","Pending",IF(M121="","⚠️ Enter Code",IF(IFERROR(VLOOKUP(L121,DB_Agents!$B:$I,8,0),"")=M121,"Pending","🔒 BLOCKED — Wrong Code")))</f>
        <v/>
      </c>
      <c r="M121" s="491" t="n"/>
    </row>
    <row r="122" ht="15" customHeight="1" s="341">
      <c r="H122" s="536" t="n"/>
      <c r="K122" s="537">
        <f>IF(B122="","Pending",IF(M122="","⚠️ Enter Code",IF(IFERROR(VLOOKUP(L122,DB_Agents!$B:$I,8,0),"")=M122,"Pending","🔒 BLOCKED — Wrong Code")))</f>
        <v/>
      </c>
      <c r="M122" s="491" t="n"/>
    </row>
    <row r="123" ht="15" customHeight="1" s="341">
      <c r="H123" s="536" t="n"/>
      <c r="K123" s="342">
        <f>IF(B123="","Pending",IF(M123="","⚠️ Enter Code",IF(IFERROR(VLOOKUP(L123,DB_Agents!$B:$I,8,0),"")=M123,"Pending","🔒 BLOCKED — Wrong Code")))</f>
        <v/>
      </c>
      <c r="M123" s="491" t="n"/>
    </row>
    <row r="124" ht="15" customHeight="1" s="341">
      <c r="H124" s="536" t="n"/>
      <c r="K124" s="537">
        <f>IF(B124="","Pending",IF(M124="","⚠️ Enter Code",IF(IFERROR(VLOOKUP(L124,DB_Agents!$B:$I,8,0),"")=M124,"Pending","🔒 BLOCKED — Wrong Code")))</f>
        <v/>
      </c>
      <c r="M124" s="491" t="n"/>
    </row>
    <row r="125" ht="15" customHeight="1" s="341">
      <c r="H125" s="536" t="n"/>
      <c r="K125" s="342">
        <f>IF(B125="","Pending",IF(M125="","⚠️ Enter Code",IF(IFERROR(VLOOKUP(L125,DB_Agents!$B:$I,8,0),"")=M125,"Pending","🔒 BLOCKED — Wrong Code")))</f>
        <v/>
      </c>
      <c r="M125" s="491" t="n"/>
    </row>
    <row r="126" ht="15" customHeight="1" s="341">
      <c r="H126" s="536" t="n"/>
      <c r="K126" s="537">
        <f>IF(B126="","Pending",IF(M126="","⚠️ Enter Code",IF(IFERROR(VLOOKUP(L126,DB_Agents!$B:$I,8,0),"")=M126,"Pending","🔒 BLOCKED — Wrong Code")))</f>
        <v/>
      </c>
      <c r="M126" s="491" t="n"/>
    </row>
    <row r="127" ht="15" customHeight="1" s="341">
      <c r="H127" s="536" t="n"/>
      <c r="K127" s="342">
        <f>IF(B127="","Pending",IF(M127="","⚠️ Enter Code",IF(IFERROR(VLOOKUP(L127,DB_Agents!$B:$I,8,0),"")=M127,"Pending","🔒 BLOCKED — Wrong Code")))</f>
        <v/>
      </c>
      <c r="M127" s="491" t="n"/>
    </row>
    <row r="128" ht="15" customHeight="1" s="341">
      <c r="H128" s="536" t="n"/>
      <c r="K128" s="537">
        <f>IF(B128="","Pending",IF(M128="","⚠️ Enter Code",IF(IFERROR(VLOOKUP(L128,DB_Agents!$B:$I,8,0),"")=M128,"Pending","🔒 BLOCKED — Wrong Code")))</f>
        <v/>
      </c>
      <c r="M128" s="491" t="n"/>
    </row>
    <row r="129" ht="15" customHeight="1" s="341">
      <c r="H129" s="536" t="n"/>
      <c r="K129" s="342">
        <f>IF(B129="","Pending",IF(M129="","⚠️ Enter Code",IF(IFERROR(VLOOKUP(L129,DB_Agents!$B:$I,8,0),"")=M129,"Pending","🔒 BLOCKED — Wrong Code")))</f>
        <v/>
      </c>
      <c r="M129" s="491" t="n"/>
    </row>
    <row r="130" ht="15" customHeight="1" s="341">
      <c r="H130" s="536" t="n"/>
      <c r="K130" s="537">
        <f>IF(B130="","Pending",IF(M130="","⚠️ Enter Code",IF(IFERROR(VLOOKUP(L130,DB_Agents!$B:$I,8,0),"")=M130,"Pending","🔒 BLOCKED — Wrong Code")))</f>
        <v/>
      </c>
      <c r="M130" s="491" t="n"/>
    </row>
    <row r="131" ht="15" customHeight="1" s="341">
      <c r="H131" s="536" t="n"/>
      <c r="K131" s="342">
        <f>IF(B131="","Pending",IF(M131="","⚠️ Enter Code",IF(IFERROR(VLOOKUP(L131,DB_Agents!$B:$I,8,0),"")=M131,"Pending","🔒 BLOCKED — Wrong Code")))</f>
        <v/>
      </c>
      <c r="M131" s="491" t="n"/>
    </row>
    <row r="132" ht="15" customHeight="1" s="341">
      <c r="H132" s="536" t="n"/>
      <c r="K132" s="537">
        <f>IF(B132="","Pending",IF(M132="","⚠️ Enter Code",IF(IFERROR(VLOOKUP(L132,DB_Agents!$B:$I,8,0),"")=M132,"Pending","🔒 BLOCKED — Wrong Code")))</f>
        <v/>
      </c>
      <c r="M132" s="491" t="n"/>
    </row>
    <row r="133" ht="15" customHeight="1" s="341">
      <c r="H133" s="536" t="n"/>
      <c r="K133" s="342">
        <f>IF(B133="","Pending",IF(M133="","⚠️ Enter Code",IF(IFERROR(VLOOKUP(L133,DB_Agents!$B:$I,8,0),"")=M133,"Pending","🔒 BLOCKED — Wrong Code")))</f>
        <v/>
      </c>
      <c r="M133" s="491" t="n"/>
    </row>
    <row r="134" ht="15" customHeight="1" s="341">
      <c r="H134" s="536" t="n"/>
      <c r="K134" s="537">
        <f>IF(B134="","Pending",IF(M134="","⚠️ Enter Code",IF(IFERROR(VLOOKUP(L134,DB_Agents!$B:$I,8,0),"")=M134,"Pending","🔒 BLOCKED — Wrong Code")))</f>
        <v/>
      </c>
      <c r="M134" s="491" t="n"/>
    </row>
    <row r="135" ht="15" customHeight="1" s="341">
      <c r="H135" s="536" t="n"/>
      <c r="K135" s="342">
        <f>IF(B135="","Pending",IF(M135="","⚠️ Enter Code",IF(IFERROR(VLOOKUP(L135,DB_Agents!$B:$I,8,0),"")=M135,"Pending","🔒 BLOCKED — Wrong Code")))</f>
        <v/>
      </c>
      <c r="M135" s="491" t="n"/>
    </row>
    <row r="136" ht="15" customHeight="1" s="341">
      <c r="H136" s="536" t="n"/>
      <c r="K136" s="537">
        <f>IF(B136="","Pending",IF(M136="","⚠️ Enter Code",IF(IFERROR(VLOOKUP(L136,DB_Agents!$B:$I,8,0),"")=M136,"Pending","🔒 BLOCKED — Wrong Code")))</f>
        <v/>
      </c>
      <c r="M136" s="491" t="n"/>
    </row>
    <row r="137" ht="15" customHeight="1" s="341">
      <c r="H137" s="536" t="n"/>
      <c r="K137" s="342">
        <f>IF(B137="","Pending",IF(M137="","⚠️ Enter Code",IF(IFERROR(VLOOKUP(L137,DB_Agents!$B:$I,8,0),"")=M137,"Pending","🔒 BLOCKED — Wrong Code")))</f>
        <v/>
      </c>
      <c r="M137" s="491" t="n"/>
    </row>
    <row r="138" ht="15" customHeight="1" s="341">
      <c r="H138" s="536" t="n"/>
      <c r="K138" s="537">
        <f>IF(B138="","Pending",IF(M138="","⚠️ Enter Code",IF(IFERROR(VLOOKUP(L138,DB_Agents!$B:$I,8,0),"")=M138,"Pending","🔒 BLOCKED — Wrong Code")))</f>
        <v/>
      </c>
      <c r="M138" s="491" t="n"/>
    </row>
    <row r="139" ht="15" customHeight="1" s="341">
      <c r="H139" s="536" t="n"/>
      <c r="K139" s="342">
        <f>IF(B139="","Pending",IF(M139="","⚠️ Enter Code",IF(IFERROR(VLOOKUP(L139,DB_Agents!$B:$I,8,0),"")=M139,"Pending","🔒 BLOCKED — Wrong Code")))</f>
        <v/>
      </c>
      <c r="M139" s="491" t="n"/>
    </row>
    <row r="140" ht="15" customHeight="1" s="341">
      <c r="H140" s="536" t="n"/>
      <c r="K140" s="537">
        <f>IF(B140="","Pending",IF(M140="","⚠️ Enter Code",IF(IFERROR(VLOOKUP(L140,DB_Agents!$B:$I,8,0),"")=M140,"Pending","🔒 BLOCKED — Wrong Code")))</f>
        <v/>
      </c>
      <c r="M140" s="491" t="n"/>
    </row>
    <row r="141" ht="15" customHeight="1" s="341">
      <c r="H141" s="536" t="n"/>
      <c r="K141" s="342">
        <f>IF(B141="","Pending",IF(M141="","⚠️ Enter Code",IF(IFERROR(VLOOKUP(L141,DB_Agents!$B:$I,8,0),"")=M141,"Pending","🔒 BLOCKED — Wrong Code")))</f>
        <v/>
      </c>
      <c r="M141" s="491" t="n"/>
    </row>
    <row r="142" ht="15" customHeight="1" s="341">
      <c r="H142" s="536" t="n"/>
      <c r="K142" s="537">
        <f>IF(B142="","Pending",IF(M142="","⚠️ Enter Code",IF(IFERROR(VLOOKUP(L142,DB_Agents!$B:$I,8,0),"")=M142,"Pending","🔒 BLOCKED — Wrong Code")))</f>
        <v/>
      </c>
      <c r="M142" s="491" t="n"/>
    </row>
    <row r="143" ht="15" customHeight="1" s="341">
      <c r="H143" s="536" t="n"/>
      <c r="K143" s="342">
        <f>IF(B143="","Pending",IF(M143="","⚠️ Enter Code",IF(IFERROR(VLOOKUP(L143,DB_Agents!$B:$I,8,0),"")=M143,"Pending","🔒 BLOCKED — Wrong Code")))</f>
        <v/>
      </c>
      <c r="M143" s="491" t="n"/>
    </row>
    <row r="144" ht="15" customHeight="1" s="341">
      <c r="H144" s="536" t="n"/>
      <c r="K144" s="537">
        <f>IF(B144="","Pending",IF(M144="","⚠️ Enter Code",IF(IFERROR(VLOOKUP(L144,DB_Agents!$B:$I,8,0),"")=M144,"Pending","🔒 BLOCKED — Wrong Code")))</f>
        <v/>
      </c>
      <c r="M144" s="491" t="n"/>
    </row>
    <row r="145" ht="15" customHeight="1" s="341">
      <c r="H145" s="536" t="n"/>
      <c r="K145" s="342">
        <f>IF(B145="","Pending",IF(M145="","⚠️ Enter Code",IF(IFERROR(VLOOKUP(L145,DB_Agents!$B:$I,8,0),"")=M145,"Pending","🔒 BLOCKED — Wrong Code")))</f>
        <v/>
      </c>
      <c r="M145" s="491" t="n"/>
    </row>
    <row r="146" ht="15" customHeight="1" s="341">
      <c r="H146" s="536" t="n"/>
      <c r="K146" s="537">
        <f>IF(B146="","Pending",IF(M146="","⚠️ Enter Code",IF(IFERROR(VLOOKUP(L146,DB_Agents!$B:$I,8,0),"")=M146,"Pending","🔒 BLOCKED — Wrong Code")))</f>
        <v/>
      </c>
      <c r="M146" s="491" t="n"/>
    </row>
    <row r="147" ht="15" customHeight="1" s="341">
      <c r="H147" s="536" t="n"/>
      <c r="K147" s="342">
        <f>IF(B147="","Pending",IF(M147="","⚠️ Enter Code",IF(IFERROR(VLOOKUP(L147,DB_Agents!$B:$I,8,0),"")=M147,"Pending","🔒 BLOCKED — Wrong Code")))</f>
        <v/>
      </c>
      <c r="M147" s="491" t="n"/>
    </row>
    <row r="148" ht="15" customHeight="1" s="341">
      <c r="H148" s="536" t="n"/>
      <c r="K148" s="537">
        <f>IF(B148="","Pending",IF(M148="","⚠️ Enter Code",IF(IFERROR(VLOOKUP(L148,DB_Agents!$B:$I,8,0),"")=M148,"Pending","🔒 BLOCKED — Wrong Code")))</f>
        <v/>
      </c>
      <c r="M148" s="491" t="n"/>
    </row>
    <row r="149" ht="15" customHeight="1" s="341">
      <c r="H149" s="536" t="n"/>
      <c r="K149" s="342">
        <f>IF(B149="","Pending",IF(M149="","⚠️ Enter Code",IF(IFERROR(VLOOKUP(L149,DB_Agents!$B:$I,8,0),"")=M149,"Pending","🔒 BLOCKED — Wrong Code")))</f>
        <v/>
      </c>
      <c r="M149" s="491" t="n"/>
    </row>
    <row r="150" ht="15" customHeight="1" s="341">
      <c r="H150" s="536" t="n"/>
      <c r="K150" s="537">
        <f>IF(B150="","Pending",IF(M150="","⚠️ Enter Code",IF(IFERROR(VLOOKUP(L150,DB_Agents!$B:$I,8,0),"")=M150,"Pending","🔒 BLOCKED — Wrong Code")))</f>
        <v/>
      </c>
      <c r="M150" s="491" t="n"/>
    </row>
    <row r="151" ht="15" customHeight="1" s="341">
      <c r="H151" s="536" t="n"/>
      <c r="K151" s="342">
        <f>IF(B151="","Pending",IF(M151="","⚠️ Enter Code",IF(IFERROR(VLOOKUP(L151,DB_Agents!$B:$I,8,0),"")=M151,"Pending","🔒 BLOCKED — Wrong Code")))</f>
        <v/>
      </c>
      <c r="M151" s="491" t="n"/>
    </row>
    <row r="152" ht="15" customHeight="1" s="341">
      <c r="H152" s="536" t="n"/>
      <c r="K152" s="537">
        <f>IF(B152="","Pending",IF(M152="","⚠️ Enter Code",IF(IFERROR(VLOOKUP(L152,DB_Agents!$B:$I,8,0),"")=M152,"Pending","🔒 BLOCKED — Wrong Code")))</f>
        <v/>
      </c>
      <c r="M152" s="491" t="n"/>
    </row>
    <row r="153" ht="15" customHeight="1" s="341">
      <c r="H153" s="536" t="n"/>
      <c r="K153" s="342">
        <f>IF(B153="","Pending",IF(M153="","⚠️ Enter Code",IF(IFERROR(VLOOKUP(L153,DB_Agents!$B:$I,8,0),"")=M153,"Pending","🔒 BLOCKED — Wrong Code")))</f>
        <v/>
      </c>
      <c r="M153" s="491" t="n"/>
    </row>
    <row r="154" ht="15" customHeight="1" s="341">
      <c r="H154" s="536" t="n"/>
      <c r="K154" s="537">
        <f>IF(B154="","Pending",IF(M154="","⚠️ Enter Code",IF(IFERROR(VLOOKUP(L154,DB_Agents!$B:$I,8,0),"")=M154,"Pending","🔒 BLOCKED — Wrong Code")))</f>
        <v/>
      </c>
      <c r="M154" s="491" t="n"/>
    </row>
    <row r="155" ht="15" customHeight="1" s="341">
      <c r="H155" s="536" t="n"/>
      <c r="K155" s="342">
        <f>IF(B155="","Pending",IF(M155="","⚠️ Enter Code",IF(IFERROR(VLOOKUP(L155,DB_Agents!$B:$I,8,0),"")=M155,"Pending","🔒 BLOCKED — Wrong Code")))</f>
        <v/>
      </c>
      <c r="M155" s="491" t="n"/>
    </row>
    <row r="156" ht="15" customHeight="1" s="341">
      <c r="H156" s="536" t="n"/>
      <c r="K156" s="537">
        <f>IF(B156="","Pending",IF(M156="","⚠️ Enter Code",IF(IFERROR(VLOOKUP(L156,DB_Agents!$B:$I,8,0),"")=M156,"Pending","🔒 BLOCKED — Wrong Code")))</f>
        <v/>
      </c>
      <c r="M156" s="491" t="n"/>
    </row>
    <row r="157" ht="15" customHeight="1" s="341">
      <c r="H157" s="536" t="n"/>
      <c r="K157" s="342">
        <f>IF(B157="","Pending",IF(M157="","⚠️ Enter Code",IF(IFERROR(VLOOKUP(L157,DB_Agents!$B:$I,8,0),"")=M157,"Pending","🔒 BLOCKED — Wrong Code")))</f>
        <v/>
      </c>
      <c r="M157" s="491" t="n"/>
    </row>
    <row r="158" ht="15" customHeight="1" s="341">
      <c r="H158" s="536" t="n"/>
      <c r="K158" s="537">
        <f>IF(B158="","Pending",IF(M158="","⚠️ Enter Code",IF(IFERROR(VLOOKUP(L158,DB_Agents!$B:$I,8,0),"")=M158,"Pending","🔒 BLOCKED — Wrong Code")))</f>
        <v/>
      </c>
      <c r="M158" s="491" t="n"/>
    </row>
    <row r="159" ht="15" customHeight="1" s="341">
      <c r="H159" s="536" t="n"/>
      <c r="K159" s="342">
        <f>IF(B159="","Pending",IF(M159="","⚠️ Enter Code",IF(IFERROR(VLOOKUP(L159,DB_Agents!$B:$I,8,0),"")=M159,"Pending","🔒 BLOCKED — Wrong Code")))</f>
        <v/>
      </c>
      <c r="M159" s="491" t="n"/>
    </row>
    <row r="160" ht="15" customHeight="1" s="341">
      <c r="H160" s="536" t="n"/>
      <c r="K160" s="537">
        <f>IF(B160="","Pending",IF(M160="","⚠️ Enter Code",IF(IFERROR(VLOOKUP(L160,DB_Agents!$B:$I,8,0),"")=M160,"Pending","🔒 BLOCKED — Wrong Code")))</f>
        <v/>
      </c>
      <c r="M160" s="491" t="n"/>
    </row>
    <row r="161" ht="15" customHeight="1" s="341">
      <c r="H161" s="536" t="n"/>
      <c r="K161" s="342">
        <f>IF(B161="","Pending",IF(M161="","⚠️ Enter Code",IF(IFERROR(VLOOKUP(L161,DB_Agents!$B:$I,8,0),"")=M161,"Pending","🔒 BLOCKED — Wrong Code")))</f>
        <v/>
      </c>
      <c r="M161" s="491" t="n"/>
    </row>
    <row r="162" ht="15" customHeight="1" s="341">
      <c r="H162" s="536" t="n"/>
      <c r="K162" s="537">
        <f>IF(B162="","Pending",IF(M162="","⚠️ Enter Code",IF(IFERROR(VLOOKUP(L162,DB_Agents!$B:$I,8,0),"")=M162,"Pending","🔒 BLOCKED — Wrong Code")))</f>
        <v/>
      </c>
      <c r="M162" s="491" t="n"/>
    </row>
    <row r="163" ht="15" customHeight="1" s="341">
      <c r="H163" s="536" t="n"/>
      <c r="K163" s="342">
        <f>IF(B163="","Pending",IF(M163="","⚠️ Enter Code",IF(IFERROR(VLOOKUP(L163,DB_Agents!$B:$I,8,0),"")=M163,"Pending","🔒 BLOCKED — Wrong Code")))</f>
        <v/>
      </c>
      <c r="M163" s="491" t="n"/>
    </row>
    <row r="164" ht="15" customHeight="1" s="341">
      <c r="H164" s="536" t="n"/>
      <c r="K164" s="537">
        <f>IF(B164="","Pending",IF(M164="","⚠️ Enter Code",IF(IFERROR(VLOOKUP(L164,DB_Agents!$B:$I,8,0),"")=M164,"Pending","🔒 BLOCKED — Wrong Code")))</f>
        <v/>
      </c>
      <c r="M164" s="491" t="n"/>
    </row>
    <row r="165" ht="15" customHeight="1" s="341">
      <c r="H165" s="536" t="n"/>
      <c r="K165" s="342">
        <f>IF(B165="","Pending",IF(M165="","⚠️ Enter Code",IF(IFERROR(VLOOKUP(L165,DB_Agents!$B:$I,8,0),"")=M165,"Pending","🔒 BLOCKED — Wrong Code")))</f>
        <v/>
      </c>
      <c r="M165" s="491" t="n"/>
    </row>
    <row r="166" ht="15" customHeight="1" s="341">
      <c r="H166" s="536" t="n"/>
      <c r="K166" s="537">
        <f>IF(B166="","Pending",IF(M166="","⚠️ Enter Code",IF(IFERROR(VLOOKUP(L166,DB_Agents!$B:$I,8,0),"")=M166,"Pending","🔒 BLOCKED — Wrong Code")))</f>
        <v/>
      </c>
      <c r="M166" s="491" t="n"/>
    </row>
    <row r="167" ht="15" customHeight="1" s="341">
      <c r="H167" s="536" t="n"/>
      <c r="K167" s="342">
        <f>IF(B167="","Pending",IF(M167="","⚠️ Enter Code",IF(IFERROR(VLOOKUP(L167,DB_Agents!$B:$I,8,0),"")=M167,"Pending","🔒 BLOCKED — Wrong Code")))</f>
        <v/>
      </c>
      <c r="M167" s="491" t="n"/>
    </row>
    <row r="168" ht="15" customHeight="1" s="341">
      <c r="H168" s="536" t="n"/>
      <c r="K168" s="537">
        <f>IF(B168="","Pending",IF(M168="","⚠️ Enter Code",IF(IFERROR(VLOOKUP(L168,DB_Agents!$B:$I,8,0),"")=M168,"Pending","🔒 BLOCKED — Wrong Code")))</f>
        <v/>
      </c>
      <c r="M168" s="491" t="n"/>
    </row>
    <row r="169" ht="15" customHeight="1" s="341">
      <c r="H169" s="536" t="n"/>
      <c r="K169" s="342">
        <f>IF(B169="","Pending",IF(M169="","⚠️ Enter Code",IF(IFERROR(VLOOKUP(L169,DB_Agents!$B:$I,8,0),"")=M169,"Pending","🔒 BLOCKED — Wrong Code")))</f>
        <v/>
      </c>
      <c r="M169" s="491" t="n"/>
    </row>
    <row r="170" ht="15" customHeight="1" s="341">
      <c r="H170" s="536" t="n"/>
      <c r="K170" s="537">
        <f>IF(B170="","Pending",IF(M170="","⚠️ Enter Code",IF(IFERROR(VLOOKUP(L170,DB_Agents!$B:$I,8,0),"")=M170,"Pending","🔒 BLOCKED — Wrong Code")))</f>
        <v/>
      </c>
      <c r="M170" s="491" t="n"/>
    </row>
    <row r="171" ht="15" customHeight="1" s="341">
      <c r="H171" s="536" t="n"/>
      <c r="K171" s="342">
        <f>IF(B171="","Pending",IF(M171="","⚠️ Enter Code",IF(IFERROR(VLOOKUP(L171,DB_Agents!$B:$I,8,0),"")=M171,"Pending","🔒 BLOCKED — Wrong Code")))</f>
        <v/>
      </c>
      <c r="M171" s="491" t="n"/>
    </row>
    <row r="172" ht="15" customHeight="1" s="341">
      <c r="H172" s="536" t="n"/>
      <c r="K172" s="537">
        <f>IF(B172="","Pending",IF(M172="","⚠️ Enter Code",IF(IFERROR(VLOOKUP(L172,DB_Agents!$B:$I,8,0),"")=M172,"Pending","🔒 BLOCKED — Wrong Code")))</f>
        <v/>
      </c>
      <c r="M172" s="491" t="n"/>
    </row>
    <row r="173" ht="15" customHeight="1" s="341">
      <c r="H173" s="536" t="n"/>
      <c r="K173" s="342">
        <f>IF(B173="","Pending",IF(M173="","⚠️ Enter Code",IF(IFERROR(VLOOKUP(L173,DB_Agents!$B:$I,8,0),"")=M173,"Pending","🔒 BLOCKED — Wrong Code")))</f>
        <v/>
      </c>
      <c r="M173" s="491" t="n"/>
    </row>
    <row r="174" ht="15" customHeight="1" s="341">
      <c r="H174" s="536" t="n"/>
      <c r="K174" s="537">
        <f>IF(B174="","Pending",IF(M174="","⚠️ Enter Code",IF(IFERROR(VLOOKUP(L174,DB_Agents!$B:$I,8,0),"")=M174,"Pending","🔒 BLOCKED — Wrong Code")))</f>
        <v/>
      </c>
      <c r="M174" s="491" t="n"/>
    </row>
    <row r="175" ht="15" customHeight="1" s="341">
      <c r="H175" s="536" t="n"/>
      <c r="K175" s="342">
        <f>IF(B175="","Pending",IF(M175="","⚠️ Enter Code",IF(IFERROR(VLOOKUP(L175,DB_Agents!$B:$I,8,0),"")=M175,"Pending","🔒 BLOCKED — Wrong Code")))</f>
        <v/>
      </c>
      <c r="M175" s="491" t="n"/>
    </row>
    <row r="176" ht="15" customHeight="1" s="341">
      <c r="H176" s="536" t="n"/>
      <c r="K176" s="537">
        <f>IF(B176="","Pending",IF(M176="","⚠️ Enter Code",IF(IFERROR(VLOOKUP(L176,DB_Agents!$B:$I,8,0),"")=M176,"Pending","🔒 BLOCKED — Wrong Code")))</f>
        <v/>
      </c>
      <c r="M176" s="491" t="n"/>
    </row>
    <row r="177" ht="15" customHeight="1" s="341">
      <c r="H177" s="536" t="n"/>
      <c r="K177" s="342">
        <f>IF(B177="","Pending",IF(M177="","⚠️ Enter Code",IF(IFERROR(VLOOKUP(L177,DB_Agents!$B:$I,8,0),"")=M177,"Pending","🔒 BLOCKED — Wrong Code")))</f>
        <v/>
      </c>
      <c r="M177" s="491" t="n"/>
    </row>
    <row r="178" ht="15" customHeight="1" s="341">
      <c r="H178" s="536" t="n"/>
      <c r="K178" s="537">
        <f>IF(B178="","Pending",IF(M178="","⚠️ Enter Code",IF(IFERROR(VLOOKUP(L178,DB_Agents!$B:$I,8,0),"")=M178,"Pending","🔒 BLOCKED — Wrong Code")))</f>
        <v/>
      </c>
      <c r="M178" s="491" t="n"/>
    </row>
    <row r="179" ht="15" customHeight="1" s="341">
      <c r="H179" s="536" t="n"/>
      <c r="K179" s="342">
        <f>IF(B179="","Pending",IF(M179="","⚠️ Enter Code",IF(IFERROR(VLOOKUP(L179,DB_Agents!$B:$I,8,0),"")=M179,"Pending","🔒 BLOCKED — Wrong Code")))</f>
        <v/>
      </c>
      <c r="M179" s="491" t="n"/>
    </row>
    <row r="180" ht="15" customHeight="1" s="341">
      <c r="H180" s="536" t="n"/>
      <c r="K180" s="537">
        <f>IF(B180="","Pending",IF(M180="","⚠️ Enter Code",IF(IFERROR(VLOOKUP(L180,DB_Agents!$B:$I,8,0),"")=M180,"Pending","🔒 BLOCKED — Wrong Code")))</f>
        <v/>
      </c>
      <c r="M180" s="491" t="n"/>
    </row>
    <row r="181" ht="15" customHeight="1" s="341">
      <c r="H181" s="536" t="n"/>
      <c r="K181" s="342">
        <f>IF(B181="","Pending",IF(M181="","⚠️ Enter Code",IF(IFERROR(VLOOKUP(L181,DB_Agents!$B:$I,8,0),"")=M181,"Pending","🔒 BLOCKED — Wrong Code")))</f>
        <v/>
      </c>
      <c r="M181" s="491" t="n"/>
    </row>
    <row r="182" ht="15" customHeight="1" s="341">
      <c r="H182" s="536" t="n"/>
      <c r="K182" s="537">
        <f>IF(B182="","Pending",IF(M182="","⚠️ Enter Code",IF(IFERROR(VLOOKUP(L182,DB_Agents!$B:$I,8,0),"")=M182,"Pending","🔒 BLOCKED — Wrong Code")))</f>
        <v/>
      </c>
      <c r="M182" s="491" t="n"/>
    </row>
    <row r="183" ht="15" customHeight="1" s="341">
      <c r="H183" s="536" t="n"/>
      <c r="K183" s="342">
        <f>IF(B183="","Pending",IF(M183="","⚠️ Enter Code",IF(IFERROR(VLOOKUP(L183,DB_Agents!$B:$I,8,0),"")=M183,"Pending","🔒 BLOCKED — Wrong Code")))</f>
        <v/>
      </c>
      <c r="M183" s="491" t="n"/>
    </row>
    <row r="184" ht="15" customHeight="1" s="341">
      <c r="H184" s="536" t="n"/>
      <c r="K184" s="537">
        <f>IF(B184="","Pending",IF(M184="","⚠️ Enter Code",IF(IFERROR(VLOOKUP(L184,DB_Agents!$B:$I,8,0),"")=M184,"Pending","🔒 BLOCKED — Wrong Code")))</f>
        <v/>
      </c>
      <c r="M184" s="491" t="n"/>
    </row>
    <row r="185" ht="15" customHeight="1" s="341">
      <c r="H185" s="536" t="n"/>
      <c r="K185" s="342">
        <f>IF(B185="","Pending",IF(M185="","⚠️ Enter Code",IF(IFERROR(VLOOKUP(L185,DB_Agents!$B:$I,8,0),"")=M185,"Pending","🔒 BLOCKED — Wrong Code")))</f>
        <v/>
      </c>
      <c r="M185" s="491" t="n"/>
    </row>
    <row r="186" ht="15" customHeight="1" s="341">
      <c r="H186" s="536" t="n"/>
      <c r="K186" s="537">
        <f>IF(B186="","Pending",IF(M186="","⚠️ Enter Code",IF(IFERROR(VLOOKUP(L186,DB_Agents!$B:$I,8,0),"")=M186,"Pending","🔒 BLOCKED — Wrong Code")))</f>
        <v/>
      </c>
      <c r="M186" s="491" t="n"/>
    </row>
    <row r="187" ht="15" customHeight="1" s="341">
      <c r="H187" s="536" t="n"/>
      <c r="K187" s="342">
        <f>IF(B187="","Pending",IF(M187="","⚠️ Enter Code",IF(IFERROR(VLOOKUP(L187,DB_Agents!$B:$I,8,0),"")=M187,"Pending","🔒 BLOCKED — Wrong Code")))</f>
        <v/>
      </c>
      <c r="M187" s="491" t="n"/>
    </row>
    <row r="188" ht="15" customHeight="1" s="341">
      <c r="H188" s="536" t="n"/>
      <c r="K188" s="537">
        <f>IF(B188="","Pending",IF(M188="","⚠️ Enter Code",IF(IFERROR(VLOOKUP(L188,DB_Agents!$B:$I,8,0),"")=M188,"Pending","🔒 BLOCKED — Wrong Code")))</f>
        <v/>
      </c>
      <c r="M188" s="491" t="n"/>
    </row>
    <row r="189" ht="15" customHeight="1" s="341">
      <c r="H189" s="536" t="n"/>
      <c r="K189" s="342">
        <f>IF(B189="","Pending",IF(M189="","⚠️ Enter Code",IF(IFERROR(VLOOKUP(L189,DB_Agents!$B:$I,8,0),"")=M189,"Pending","🔒 BLOCKED — Wrong Code")))</f>
        <v/>
      </c>
      <c r="M189" s="491" t="n"/>
    </row>
    <row r="190" ht="15" customHeight="1" s="341">
      <c r="H190" s="536" t="n"/>
      <c r="K190" s="537">
        <f>IF(B190="","Pending",IF(M190="","⚠️ Enter Code",IF(IFERROR(VLOOKUP(L190,DB_Agents!$B:$I,8,0),"")=M190,"Pending","🔒 BLOCKED — Wrong Code")))</f>
        <v/>
      </c>
      <c r="M190" s="491" t="n"/>
    </row>
    <row r="191" ht="15" customHeight="1" s="341">
      <c r="H191" s="536" t="n"/>
      <c r="K191" s="342">
        <f>IF(B191="","Pending",IF(M191="","⚠️ Enter Code",IF(IFERROR(VLOOKUP(L191,DB_Agents!$B:$I,8,0),"")=M191,"Pending","🔒 BLOCKED — Wrong Code")))</f>
        <v/>
      </c>
      <c r="M191" s="491" t="n"/>
    </row>
    <row r="192" ht="15" customHeight="1" s="341">
      <c r="H192" s="536" t="n"/>
      <c r="K192" s="537">
        <f>IF(B192="","Pending",IF(M192="","⚠️ Enter Code",IF(IFERROR(VLOOKUP(L192,DB_Agents!$B:$I,8,0),"")=M192,"Pending","🔒 BLOCKED — Wrong Code")))</f>
        <v/>
      </c>
      <c r="M192" s="491" t="n"/>
    </row>
    <row r="193" ht="15" customHeight="1" s="341">
      <c r="H193" s="536" t="n"/>
      <c r="K193" s="342">
        <f>IF(B193="","Pending",IF(M193="","⚠️ Enter Code",IF(IFERROR(VLOOKUP(L193,DB_Agents!$B:$I,8,0),"")=M193,"Pending","🔒 BLOCKED — Wrong Code")))</f>
        <v/>
      </c>
      <c r="M193" s="491" t="n"/>
    </row>
    <row r="194" ht="15" customHeight="1" s="341">
      <c r="H194" s="536" t="n"/>
      <c r="K194" s="537">
        <f>IF(B194="","Pending",IF(M194="","⚠️ Enter Code",IF(IFERROR(VLOOKUP(L194,DB_Agents!$B:$I,8,0),"")=M194,"Pending","🔒 BLOCKED — Wrong Code")))</f>
        <v/>
      </c>
      <c r="M194" s="491" t="n"/>
    </row>
    <row r="195" ht="15" customHeight="1" s="341">
      <c r="H195" s="536" t="n"/>
      <c r="K195" s="342">
        <f>IF(B195="","Pending",IF(M195="","⚠️ Enter Code",IF(IFERROR(VLOOKUP(L195,DB_Agents!$B:$I,8,0),"")=M195,"Pending","🔒 BLOCKED — Wrong Code")))</f>
        <v/>
      </c>
      <c r="M195" s="491" t="n"/>
    </row>
    <row r="196" ht="15" customHeight="1" s="341">
      <c r="H196" s="536" t="n"/>
      <c r="K196" s="537">
        <f>IF(B196="","Pending",IF(M196="","⚠️ Enter Code",IF(IFERROR(VLOOKUP(L196,DB_Agents!$B:$I,8,0),"")=M196,"Pending","🔒 BLOCKED — Wrong Code")))</f>
        <v/>
      </c>
      <c r="M196" s="491" t="n"/>
    </row>
    <row r="197" ht="15" customHeight="1" s="341">
      <c r="H197" s="536" t="n"/>
      <c r="K197" s="342">
        <f>IF(B197="","Pending",IF(M197="","⚠️ Enter Code",IF(IFERROR(VLOOKUP(L197,DB_Agents!$B:$I,8,0),"")=M197,"Pending","🔒 BLOCKED — Wrong Code")))</f>
        <v/>
      </c>
      <c r="M197" s="491" t="n"/>
    </row>
    <row r="198" ht="15" customHeight="1" s="341">
      <c r="H198" s="536" t="n"/>
      <c r="K198" s="537">
        <f>IF(B198="","Pending",IF(M198="","⚠️ Enter Code",IF(IFERROR(VLOOKUP(L198,DB_Agents!$B:$I,8,0),"")=M198,"Pending","🔒 BLOCKED — Wrong Code")))</f>
        <v/>
      </c>
      <c r="M198" s="491" t="n"/>
    </row>
    <row r="199" ht="15" customHeight="1" s="341">
      <c r="H199" s="536" t="n"/>
      <c r="K199" s="342">
        <f>IF(B199="","Pending",IF(M199="","⚠️ Enter Code",IF(IFERROR(VLOOKUP(L199,DB_Agents!$B:$I,8,0),"")=M199,"Pending","🔒 BLOCKED — Wrong Code")))</f>
        <v/>
      </c>
      <c r="M199" s="491" t="n"/>
    </row>
    <row r="200" ht="15" customHeight="1" s="341">
      <c r="H200" s="536" t="n"/>
      <c r="K200" s="537">
        <f>IF(B200="","Pending",IF(M200="","⚠️ Enter Code",IF(IFERROR(VLOOKUP(L200,DB_Agents!$B:$I,8,0),"")=M200,"Pending","🔒 BLOCKED — Wrong Code")))</f>
        <v/>
      </c>
      <c r="M200" s="491" t="n"/>
    </row>
    <row r="201" ht="15" customHeight="1" s="341">
      <c r="K201" s="342">
        <f>IF(B201="","Pending",IF(M201="","⚠️ Enter Code",IF(IFERROR(VLOOKUP(L201,DB_Agents!$B:$I,8,0),"")=M201,"Pending","🔒 BLOCKED — Wrong Code")))</f>
        <v/>
      </c>
      <c r="M201" s="491" t="n"/>
    </row>
    <row r="202" ht="15" customHeight="1" s="341">
      <c r="K202" s="537">
        <f>IF(B202="","Pending",IF(M202="","⚠️ Enter Code",IF(IFERROR(VLOOKUP(L202,DB_Agents!$B:$I,8,0),"")=M202,"Pending","🔒 BLOCKED — Wrong Code")))</f>
        <v/>
      </c>
      <c r="M202" s="491" t="n"/>
    </row>
    <row r="203" ht="15" customHeight="1" s="341">
      <c r="K203" s="342">
        <f>IF(B203="","Pending",IF(M203="","⚠️ Enter Code",IF(IFERROR(VLOOKUP(L203,DB_Agents!$B:$I,8,0),"")=M203,"Pending","🔒 BLOCKED — Wrong Code")))</f>
        <v/>
      </c>
      <c r="M203" s="491" t="n"/>
    </row>
    <row r="204" ht="15" customHeight="1" s="341">
      <c r="K204" s="537">
        <f>IF(B204="","Pending",IF(M204="","⚠️ Enter Code",IF(IFERROR(VLOOKUP(L204,DB_Agents!$B:$I,8,0),"")=M204,"Pending","🔒 BLOCKED — Wrong Code")))</f>
        <v/>
      </c>
      <c r="M204" s="491" t="n"/>
    </row>
    <row r="205" ht="15" customHeight="1" s="341">
      <c r="K205" s="342">
        <f>IF(B205="","Pending",IF(M205="","⚠️ Enter Code",IF(IFERROR(VLOOKUP(L205,DB_Agents!$B:$I,8,0),"")=M205,"Pending","🔒 BLOCKED — Wrong Code")))</f>
        <v/>
      </c>
      <c r="M205" s="491" t="n"/>
    </row>
    <row r="206" ht="15" customHeight="1" s="341">
      <c r="K206" s="537">
        <f>IF(B206="","Pending",IF(M206="","⚠️ Enter Code",IF(IFERROR(VLOOKUP(L206,DB_Agents!$B:$I,8,0),"")=M206,"Pending","🔒 BLOCKED — Wrong Code")))</f>
        <v/>
      </c>
      <c r="M206" s="491" t="n"/>
    </row>
    <row r="207" ht="15" customHeight="1" s="341">
      <c r="K207" s="342">
        <f>IF(B207="","Pending",IF(M207="","⚠️ Enter Code",IF(IFERROR(VLOOKUP(L207,DB_Agents!$B:$I,8,0),"")=M207,"Pending","🔒 BLOCKED — Wrong Code")))</f>
        <v/>
      </c>
      <c r="M207" s="491" t="n"/>
    </row>
    <row r="208" ht="15" customHeight="1" s="341">
      <c r="K208" s="537">
        <f>IF(B208="","Pending",IF(M208="","⚠️ Enter Code",IF(IFERROR(VLOOKUP(L208,DB_Agents!$B:$I,8,0),"")=M208,"Pending","🔒 BLOCKED — Wrong Code")))</f>
        <v/>
      </c>
      <c r="M208" s="491" t="n"/>
    </row>
    <row r="209" ht="15" customHeight="1" s="341">
      <c r="K209" s="342">
        <f>IF(B209="","Pending",IF(M209="","⚠️ Enter Code",IF(IFERROR(VLOOKUP(L209,DB_Agents!$B:$I,8,0),"")=M209,"Pending","🔒 BLOCKED — Wrong Code")))</f>
        <v/>
      </c>
      <c r="M209" s="491" t="n"/>
    </row>
    <row r="210" ht="15" customHeight="1" s="341">
      <c r="K210" s="537">
        <f>IF(B210="","Pending",IF(M210="","⚠️ Enter Code",IF(IFERROR(VLOOKUP(L210,DB_Agents!$B:$I,8,0),"")=M210,"Pending","🔒 BLOCKED — Wrong Code")))</f>
        <v/>
      </c>
      <c r="M210" s="491" t="n"/>
    </row>
    <row r="211" ht="15" customHeight="1" s="341">
      <c r="K211" s="342">
        <f>IF(B211="","Pending",IF(M211="","⚠️ Enter Code",IF(IFERROR(VLOOKUP(L211,DB_Agents!$B:$I,8,0),"")=M211,"Pending","🔒 BLOCKED — Wrong Code")))</f>
        <v/>
      </c>
      <c r="M211" s="491" t="n"/>
    </row>
    <row r="212" ht="15" customHeight="1" s="341">
      <c r="K212" s="537">
        <f>IF(B212="","Pending",IF(M212="","⚠️ Enter Code",IF(IFERROR(VLOOKUP(L212,DB_Agents!$B:$I,8,0),"")=M212,"Pending","🔒 BLOCKED — Wrong Code")))</f>
        <v/>
      </c>
      <c r="M212" s="491" t="n"/>
    </row>
    <row r="213" ht="15" customHeight="1" s="341">
      <c r="K213" s="342">
        <f>IF(B213="","Pending",IF(M213="","⚠️ Enter Code",IF(IFERROR(VLOOKUP(L213,DB_Agents!$B:$I,8,0),"")=M213,"Pending","🔒 BLOCKED — Wrong Code")))</f>
        <v/>
      </c>
      <c r="M213" s="491" t="n"/>
    </row>
  </sheetData>
  <mergeCells count="10">
    <mergeCell ref="B10:D10"/>
    <mergeCell ref="B5:D5"/>
    <mergeCell ref="A12:N12"/>
    <mergeCell ref="A4:D4"/>
    <mergeCell ref="B8:D8"/>
    <mergeCell ref="A2:N2"/>
    <mergeCell ref="B9:D9"/>
    <mergeCell ref="B7:D7"/>
    <mergeCell ref="B6:D6"/>
    <mergeCell ref="A1:N1"/>
  </mergeCells>
  <conditionalFormatting sqref="K14:K113">
    <cfRule type="cellIs" rank="0" priority="2" equalAverage="0" operator="equal" aboveAverage="0" dxfId="0" text="" percent="0" bottom="0">
      <formula>"Approved"</formula>
    </cfRule>
    <cfRule type="cellIs" rank="0" priority="3" equalAverage="0" operator="equal" aboveAverage="0" dxfId="11" text="" percent="0" bottom="0">
      <formula>"Pending"</formula>
    </cfRule>
    <cfRule type="cellIs" rank="0" priority="4" equalAverage="0" operator="equal" aboveAverage="0" dxfId="1" text="" percent="0" bottom="0">
      <formula>"Rejected"</formula>
    </cfRule>
  </conditionalFormatting>
  <dataValidations count="2">
    <dataValidation sqref="G14:G113" showDropDown="0" showInputMessage="0" showErrorMessage="1" allowBlank="0" error="Enter 1-36 months" type="whole" errorStyle="stop" operator="between">
      <formula1>1</formula1>
      <formula2>36</formula2>
    </dataValidation>
    <dataValidation sqref="L14:L113" showDropDown="0" showInputMessage="0" showErrorMessage="0" allowBlank="0" type="list" errorStyle="stop" operator="between">
      <formula1>"Agent 01,Agent 02,Agent 03,Agent 04,Agent 05,Agent 06,Agent 07,Agent 08,Agent 09,Agent 10"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6.xml><?xml version="1.0" encoding="utf-8"?>
<worksheet xmlns="http://schemas.openxmlformats.org/spreadsheetml/2006/main">
  <sheetPr filterMode="0">
    <tabColor rgb="FFC0392B"/>
    <outlinePr summaryBelow="1" summaryRight="1"/>
    <pageSetUpPr fitToPage="0"/>
  </sheetPr>
  <dimension ref="A1:T1002"/>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8" customWidth="1" style="340" min="1" max="1"/>
    <col width="14" customWidth="1" style="340" min="2" max="3"/>
    <col width="22" customWidth="1" style="340" min="4" max="4"/>
    <col width="14" customWidth="1" style="340" min="5" max="5"/>
    <col width="18" customWidth="1" style="340" min="6" max="6"/>
    <col width="16" customWidth="1" style="340" min="7" max="7"/>
    <col width="12" customWidth="1" style="340" min="8" max="8"/>
    <col width="16" customWidth="1" style="340" min="9" max="9"/>
    <col width="14" customWidth="1" style="340" min="10" max="10"/>
    <col width="10" customWidth="1" style="340" min="11" max="11"/>
    <col width="16" customWidth="1" style="340" min="12" max="12"/>
    <col width="18" customWidth="1" style="340" min="13" max="13"/>
    <col width="16" customWidth="1" style="340" min="14" max="14"/>
    <col width="14" customWidth="1" style="340" min="15" max="15"/>
    <col width="22" customWidth="1" style="340" min="16" max="16"/>
    <col width="18" customWidth="1" style="340" min="17" max="20"/>
  </cols>
  <sheetData>
    <row r="1" ht="31.5" customHeight="1" s="341">
      <c r="A1" s="502" t="inlineStr">
        <is>
          <t>🗄️  CUSTOMERS DATABASE — Centralized Master Table</t>
        </is>
      </c>
    </row>
    <row r="2" ht="19.5" customHeight="1" s="341">
      <c r="A2" s="503" t="inlineStr">
        <is>
          <t>22 customers (20 pre-loaded + 2 recent) | Enhanced with DOB, Phone, Location, Next of Kin</t>
        </is>
      </c>
    </row>
    <row r="3" ht="15" customHeight="1" s="341">
      <c r="A3" s="377" t="inlineStr">
        <is>
          <t>Account_No</t>
        </is>
      </c>
      <c r="B3" s="377" t="inlineStr">
        <is>
          <t>First_Name</t>
        </is>
      </c>
      <c r="C3" s="377" t="inlineStr">
        <is>
          <t>Last_Name</t>
        </is>
      </c>
      <c r="D3" s="377" t="inlineStr">
        <is>
          <t>Full_Name</t>
        </is>
      </c>
      <c r="E3" s="377" t="inlineStr">
        <is>
          <t>ID_Card_Type</t>
        </is>
      </c>
      <c r="F3" s="377" t="inlineStr">
        <is>
          <t>ID_Number</t>
        </is>
      </c>
      <c r="G3" s="377" t="inlineStr">
        <is>
          <t>Occupation</t>
        </is>
      </c>
      <c r="H3" s="377" t="inlineStr">
        <is>
          <t>Agent_Assigned</t>
        </is>
      </c>
      <c r="I3" s="377" t="inlineStr">
        <is>
          <t>Opening_Balance</t>
        </is>
      </c>
      <c r="J3" s="377" t="inlineStr">
        <is>
          <t>Account_Date</t>
        </is>
      </c>
      <c r="K3" s="377" t="inlineStr">
        <is>
          <t>Status</t>
        </is>
      </c>
      <c r="L3" s="377" t="inlineStr">
        <is>
          <t>Total_Savings</t>
        </is>
      </c>
      <c r="M3" s="377" t="inlineStr">
        <is>
          <t>Total_Withdrawals</t>
        </is>
      </c>
      <c r="N3" s="377" t="inlineStr">
        <is>
          <t>Current_Balance</t>
        </is>
      </c>
      <c r="O3" s="538" t="inlineStr">
        <is>
          <t>Min_Bal_Flag</t>
        </is>
      </c>
      <c r="P3" s="538" t="inlineStr">
        <is>
          <t>Withdrawable_Balance</t>
        </is>
      </c>
      <c r="Q3" s="515" t="inlineStr">
        <is>
          <t>Date_of_Birth</t>
        </is>
      </c>
      <c r="R3" s="515" t="inlineStr">
        <is>
          <t>Phone</t>
        </is>
      </c>
      <c r="S3" s="515" t="inlineStr">
        <is>
          <t>Location</t>
        </is>
      </c>
      <c r="T3" s="515" t="inlineStr">
        <is>
          <t>Next_of_Kin</t>
        </is>
      </c>
    </row>
    <row r="4" ht="15" customHeight="1" s="341">
      <c r="A4" s="384" t="n"/>
      <c r="B4" s="384" t="n"/>
      <c r="C4" s="384" t="n"/>
      <c r="D4" s="382" t="n"/>
      <c r="E4" s="384" t="n"/>
      <c r="F4" s="384" t="n"/>
      <c r="G4" s="382" t="n"/>
      <c r="H4" s="384" t="n"/>
      <c r="I4" s="383" t="n"/>
      <c r="J4" s="539" t="n"/>
      <c r="K4" s="384" t="n"/>
      <c r="L4" s="383">
        <f>SUMIF(DB_Savings!$C:$C,A4,DB_Savings!$F:$F)</f>
        <v/>
      </c>
      <c r="M4" s="383">
        <f>SUMIF(DB_Withdrawals!$C:$C,A4,DB_Withdrawals!$G:$G)</f>
        <v/>
      </c>
      <c r="N4" s="383">
        <f>I4+L4-M4</f>
        <v/>
      </c>
      <c r="O4" s="340">
        <f>TRUE()</f>
        <v/>
      </c>
      <c r="P4" s="340">
        <f>MAX(0,N4-System_Config!$B$9)</f>
        <v/>
      </c>
    </row>
    <row r="5" ht="15" customHeight="1" s="341">
      <c r="A5" s="380" t="n"/>
      <c r="B5" s="380" t="n"/>
      <c r="C5" s="380" t="n"/>
      <c r="D5" s="378" t="n"/>
      <c r="E5" s="380" t="n"/>
      <c r="F5" s="380" t="n"/>
      <c r="G5" s="378" t="n"/>
      <c r="H5" s="380" t="n"/>
      <c r="I5" s="379" t="n"/>
      <c r="J5" s="540" t="n"/>
      <c r="K5" s="380" t="n"/>
      <c r="L5" s="379">
        <f>SUMIF(DB_Savings!$C:$C,A5,DB_Savings!$F:$F)</f>
        <v/>
      </c>
      <c r="M5" s="379">
        <f>SUMIF(DB_Withdrawals!$C:$C,A5,DB_Withdrawals!$G:$G)</f>
        <v/>
      </c>
      <c r="N5" s="379">
        <f>I5+L5-M5</f>
        <v/>
      </c>
      <c r="O5" s="340">
        <f>TRUE()</f>
        <v/>
      </c>
      <c r="P5" s="340">
        <f>MAX(0,N5-System_Config!$B$9)</f>
        <v/>
      </c>
    </row>
    <row r="6" ht="15" customHeight="1" s="341">
      <c r="A6" s="384" t="n"/>
      <c r="B6" s="384" t="n"/>
      <c r="C6" s="384" t="n"/>
      <c r="D6" s="382" t="n"/>
      <c r="E6" s="384" t="n"/>
      <c r="F6" s="384" t="n"/>
      <c r="G6" s="382" t="n"/>
      <c r="H6" s="384" t="n"/>
      <c r="I6" s="383" t="n"/>
      <c r="J6" s="539" t="n"/>
      <c r="K6" s="384" t="n"/>
      <c r="L6" s="383">
        <f>SUMIF(DB_Savings!$C:$C,A6,DB_Savings!$F:$F)</f>
        <v/>
      </c>
      <c r="M6" s="383">
        <f>SUMIF(DB_Withdrawals!$C:$C,A6,DB_Withdrawals!$G:$G)</f>
        <v/>
      </c>
      <c r="N6" s="383">
        <f>I6+L6-M6</f>
        <v/>
      </c>
      <c r="O6" s="340">
        <f>TRUE()</f>
        <v/>
      </c>
      <c r="P6" s="340">
        <f>MAX(0,N6-System_Config!$B$9)</f>
        <v/>
      </c>
    </row>
    <row r="7" ht="15" customHeight="1" s="341">
      <c r="A7" s="380" t="n"/>
      <c r="B7" s="380" t="n"/>
      <c r="C7" s="380" t="n"/>
      <c r="D7" s="378" t="n"/>
      <c r="E7" s="380" t="n"/>
      <c r="F7" s="380" t="n"/>
      <c r="G7" s="378" t="n"/>
      <c r="H7" s="380" t="n"/>
      <c r="I7" s="379" t="n"/>
      <c r="J7" s="540" t="n"/>
      <c r="K7" s="380" t="n"/>
      <c r="L7" s="379">
        <f>SUMIF(DB_Savings!$C:$C,A7,DB_Savings!$F:$F)</f>
        <v/>
      </c>
      <c r="M7" s="379">
        <f>SUMIF(DB_Withdrawals!$C:$C,A7,DB_Withdrawals!$G:$G)</f>
        <v/>
      </c>
      <c r="N7" s="379">
        <f>I7+L7-M7</f>
        <v/>
      </c>
      <c r="O7" s="340">
        <f>TRUE()</f>
        <v/>
      </c>
      <c r="P7" s="340">
        <f>MAX(0,N7-System_Config!$B$9)</f>
        <v/>
      </c>
    </row>
    <row r="8" ht="15" customHeight="1" s="341">
      <c r="A8" s="384" t="n"/>
      <c r="B8" s="384" t="n"/>
      <c r="C8" s="384" t="n"/>
      <c r="D8" s="382" t="n"/>
      <c r="E8" s="384" t="n"/>
      <c r="F8" s="384" t="n"/>
      <c r="G8" s="382" t="n"/>
      <c r="H8" s="384" t="n"/>
      <c r="I8" s="383" t="n"/>
      <c r="J8" s="539" t="n"/>
      <c r="K8" s="384" t="n"/>
      <c r="L8" s="383">
        <f>SUMIF(DB_Savings!$C:$C,A8,DB_Savings!$F:$F)</f>
        <v/>
      </c>
      <c r="M8" s="383">
        <f>SUMIF(DB_Withdrawals!$C:$C,A8,DB_Withdrawals!$G:$G)</f>
        <v/>
      </c>
      <c r="N8" s="383">
        <f>I8+L8-M8</f>
        <v/>
      </c>
      <c r="O8" s="340">
        <f>TRUE()</f>
        <v/>
      </c>
      <c r="P8" s="340">
        <f>MAX(0,N8-System_Config!$B$9)</f>
        <v/>
      </c>
    </row>
    <row r="9" ht="15" customHeight="1" s="341">
      <c r="A9" s="380" t="n"/>
      <c r="B9" s="380" t="n"/>
      <c r="C9" s="380" t="n"/>
      <c r="D9" s="378" t="n"/>
      <c r="E9" s="380" t="n"/>
      <c r="F9" s="380" t="n"/>
      <c r="G9" s="378" t="n"/>
      <c r="H9" s="380" t="n"/>
      <c r="I9" s="379" t="n"/>
      <c r="J9" s="540" t="n"/>
      <c r="K9" s="380" t="n"/>
      <c r="L9" s="379">
        <f>SUMIF(DB_Savings!$C:$C,A9,DB_Savings!$F:$F)</f>
        <v/>
      </c>
      <c r="M9" s="379">
        <f>SUMIF(DB_Withdrawals!$C:$C,A9,DB_Withdrawals!$G:$G)</f>
        <v/>
      </c>
      <c r="N9" s="379">
        <f>I9+L9-M9</f>
        <v/>
      </c>
      <c r="O9" s="340">
        <f>TRUE()</f>
        <v/>
      </c>
      <c r="P9" s="340">
        <f>MAX(0,N9-System_Config!$B$9)</f>
        <v/>
      </c>
    </row>
    <row r="10" ht="15" customHeight="1" s="341">
      <c r="A10" s="384" t="n"/>
      <c r="B10" s="384" t="n"/>
      <c r="C10" s="384" t="n"/>
      <c r="D10" s="382" t="n"/>
      <c r="E10" s="384" t="n"/>
      <c r="F10" s="384" t="n"/>
      <c r="G10" s="382" t="n"/>
      <c r="H10" s="384" t="n"/>
      <c r="I10" s="383" t="n"/>
      <c r="J10" s="539" t="n"/>
      <c r="K10" s="384" t="n"/>
      <c r="L10" s="383">
        <f>SUMIF(DB_Savings!$C:$C,A10,DB_Savings!$F:$F)</f>
        <v/>
      </c>
      <c r="M10" s="383">
        <f>SUMIF(DB_Withdrawals!$C:$C,A10,DB_Withdrawals!$G:$G)</f>
        <v/>
      </c>
      <c r="N10" s="383">
        <f>I10+L10-M10</f>
        <v/>
      </c>
      <c r="O10" s="340">
        <f>TRUE()</f>
        <v/>
      </c>
      <c r="P10" s="340">
        <f>MAX(0,N10-System_Config!$B$9)</f>
        <v/>
      </c>
    </row>
    <row r="11" ht="15" customHeight="1" s="341">
      <c r="A11" s="380" t="n"/>
      <c r="B11" s="380" t="n"/>
      <c r="C11" s="380" t="n"/>
      <c r="D11" s="378" t="n"/>
      <c r="E11" s="380" t="n"/>
      <c r="F11" s="380" t="n"/>
      <c r="G11" s="378" t="n"/>
      <c r="H11" s="380" t="n"/>
      <c r="I11" s="379" t="n"/>
      <c r="J11" s="540" t="n"/>
      <c r="K11" s="380" t="n"/>
      <c r="L11" s="379">
        <f>SUMIF(DB_Savings!$C:$C,A11,DB_Savings!$F:$F)</f>
        <v/>
      </c>
      <c r="M11" s="379">
        <f>SUMIF(DB_Withdrawals!$C:$C,A11,DB_Withdrawals!$G:$G)</f>
        <v/>
      </c>
      <c r="N11" s="379">
        <f>I11+L11-M11</f>
        <v/>
      </c>
      <c r="O11" s="340">
        <f>TRUE()</f>
        <v/>
      </c>
      <c r="P11" s="340">
        <f>MAX(0,N11-System_Config!$B$9)</f>
        <v/>
      </c>
    </row>
    <row r="12" ht="15" customHeight="1" s="341">
      <c r="A12" s="384" t="n"/>
      <c r="B12" s="384" t="n"/>
      <c r="C12" s="384" t="n"/>
      <c r="D12" s="382" t="n"/>
      <c r="E12" s="384" t="n"/>
      <c r="F12" s="384" t="n"/>
      <c r="G12" s="382" t="n"/>
      <c r="H12" s="384" t="n"/>
      <c r="I12" s="383" t="n"/>
      <c r="J12" s="539" t="n"/>
      <c r="K12" s="384" t="n"/>
      <c r="L12" s="383">
        <f>SUMIF(DB_Savings!$C:$C,A12,DB_Savings!$F:$F)</f>
        <v/>
      </c>
      <c r="M12" s="383">
        <f>SUMIF(DB_Withdrawals!$C:$C,A12,DB_Withdrawals!$G:$G)</f>
        <v/>
      </c>
      <c r="N12" s="383">
        <f>I12+L12-M12</f>
        <v/>
      </c>
      <c r="O12" s="340">
        <f>TRUE()</f>
        <v/>
      </c>
      <c r="P12" s="340">
        <f>MAX(0,N12-System_Config!$B$9)</f>
        <v/>
      </c>
    </row>
    <row r="13" ht="15" customHeight="1" s="341">
      <c r="A13" s="380" t="n"/>
      <c r="B13" s="380" t="n"/>
      <c r="C13" s="380" t="n"/>
      <c r="D13" s="378" t="n"/>
      <c r="E13" s="380" t="n"/>
      <c r="F13" s="380" t="n"/>
      <c r="G13" s="378" t="n"/>
      <c r="H13" s="380" t="n"/>
      <c r="I13" s="379" t="n"/>
      <c r="J13" s="540" t="n"/>
      <c r="K13" s="380" t="n"/>
      <c r="L13" s="379">
        <f>SUMIF(DB_Savings!$C:$C,A13,DB_Savings!$F:$F)</f>
        <v/>
      </c>
      <c r="M13" s="379">
        <f>SUMIF(DB_Withdrawals!$C:$C,A13,DB_Withdrawals!$G:$G)</f>
        <v/>
      </c>
      <c r="N13" s="379">
        <f>I13+L13-M13</f>
        <v/>
      </c>
      <c r="O13" s="340">
        <f>TRUE()</f>
        <v/>
      </c>
      <c r="P13" s="340">
        <f>MAX(0,N13-System_Config!$B$9)</f>
        <v/>
      </c>
    </row>
    <row r="14" ht="15" customHeight="1" s="341">
      <c r="A14" s="384" t="n"/>
      <c r="B14" s="384" t="n"/>
      <c r="C14" s="384" t="n"/>
      <c r="D14" s="382" t="n"/>
      <c r="E14" s="384" t="n"/>
      <c r="F14" s="384" t="n"/>
      <c r="G14" s="382" t="n"/>
      <c r="H14" s="384" t="n"/>
      <c r="I14" s="383" t="n"/>
      <c r="J14" s="539" t="n"/>
      <c r="K14" s="384" t="n"/>
      <c r="L14" s="383">
        <f>SUMIF(DB_Savings!$C:$C,A14,DB_Savings!$F:$F)</f>
        <v/>
      </c>
      <c r="M14" s="383">
        <f>SUMIF(DB_Withdrawals!$C:$C,A14,DB_Withdrawals!$G:$G)</f>
        <v/>
      </c>
      <c r="N14" s="383">
        <f>I14+L14-M14</f>
        <v/>
      </c>
      <c r="O14" s="340">
        <f>TRUE()</f>
        <v/>
      </c>
      <c r="P14" s="340">
        <f>MAX(0,N14-System_Config!$B$9)</f>
        <v/>
      </c>
    </row>
    <row r="15" ht="15" customHeight="1" s="341">
      <c r="A15" s="380" t="n"/>
      <c r="B15" s="380" t="n"/>
      <c r="C15" s="380" t="n"/>
      <c r="D15" s="378" t="n"/>
      <c r="E15" s="380" t="n"/>
      <c r="F15" s="380" t="n"/>
      <c r="G15" s="378" t="n"/>
      <c r="H15" s="380" t="n"/>
      <c r="I15" s="379" t="n"/>
      <c r="J15" s="540" t="n"/>
      <c r="K15" s="380" t="n"/>
      <c r="L15" s="379">
        <f>SUMIF(DB_Savings!$C:$C,A15,DB_Savings!$F:$F)</f>
        <v/>
      </c>
      <c r="M15" s="379">
        <f>SUMIF(DB_Withdrawals!$C:$C,A15,DB_Withdrawals!$G:$G)</f>
        <v/>
      </c>
      <c r="N15" s="379">
        <f>I15+L15-M15</f>
        <v/>
      </c>
      <c r="O15" s="340">
        <f>TRUE()</f>
        <v/>
      </c>
      <c r="P15" s="340">
        <f>MAX(0,N15-System_Config!$B$9)</f>
        <v/>
      </c>
    </row>
    <row r="16" ht="15" customHeight="1" s="341">
      <c r="A16" s="384" t="n"/>
      <c r="B16" s="384" t="n"/>
      <c r="C16" s="384" t="n"/>
      <c r="D16" s="382" t="n"/>
      <c r="E16" s="384" t="n"/>
      <c r="F16" s="384" t="n"/>
      <c r="G16" s="382" t="n"/>
      <c r="H16" s="384" t="n"/>
      <c r="I16" s="383" t="n"/>
      <c r="J16" s="539" t="n"/>
      <c r="K16" s="384" t="n"/>
      <c r="L16" s="383">
        <f>SUMIF(DB_Savings!$C:$C,A16,DB_Savings!$F:$F)</f>
        <v/>
      </c>
      <c r="M16" s="383">
        <f>SUMIF(DB_Withdrawals!$C:$C,A16,DB_Withdrawals!$G:$G)</f>
        <v/>
      </c>
      <c r="N16" s="383">
        <f>I16+L16-M16</f>
        <v/>
      </c>
      <c r="O16" s="340">
        <f>TRUE()</f>
        <v/>
      </c>
      <c r="P16" s="340">
        <f>MAX(0,N16-System_Config!$B$9)</f>
        <v/>
      </c>
    </row>
    <row r="17" ht="15" customHeight="1" s="341">
      <c r="A17" s="380" t="n"/>
      <c r="B17" s="380" t="n"/>
      <c r="C17" s="380" t="n"/>
      <c r="D17" s="378" t="n"/>
      <c r="E17" s="380" t="n"/>
      <c r="F17" s="380" t="n"/>
      <c r="G17" s="378" t="n"/>
      <c r="H17" s="380" t="n"/>
      <c r="I17" s="379" t="n"/>
      <c r="J17" s="540" t="n"/>
      <c r="K17" s="380" t="n"/>
      <c r="L17" s="379">
        <f>SUMIF(DB_Savings!$C:$C,A17,DB_Savings!$F:$F)</f>
        <v/>
      </c>
      <c r="M17" s="379">
        <f>SUMIF(DB_Withdrawals!$C:$C,A17,DB_Withdrawals!$G:$G)</f>
        <v/>
      </c>
      <c r="N17" s="379">
        <f>I17+L17-M17</f>
        <v/>
      </c>
      <c r="O17" s="340">
        <f>TRUE()</f>
        <v/>
      </c>
      <c r="P17" s="340">
        <f>MAX(0,N17-System_Config!$B$9)</f>
        <v/>
      </c>
    </row>
    <row r="18" ht="15" customHeight="1" s="341">
      <c r="A18" s="384" t="n"/>
      <c r="B18" s="384" t="n"/>
      <c r="C18" s="384" t="n"/>
      <c r="D18" s="382" t="n"/>
      <c r="E18" s="384" t="n"/>
      <c r="F18" s="384" t="n"/>
      <c r="G18" s="382" t="n"/>
      <c r="H18" s="384" t="n"/>
      <c r="I18" s="383" t="n"/>
      <c r="J18" s="539" t="n"/>
      <c r="K18" s="384" t="n"/>
      <c r="L18" s="383">
        <f>SUMIF(DB_Savings!$C:$C,A18,DB_Savings!$F:$F)</f>
        <v/>
      </c>
      <c r="M18" s="383">
        <f>SUMIF(DB_Withdrawals!$C:$C,A18,DB_Withdrawals!$G:$G)</f>
        <v/>
      </c>
      <c r="N18" s="383">
        <f>I18+L18-M18</f>
        <v/>
      </c>
      <c r="O18" s="340">
        <f>TRUE()</f>
        <v/>
      </c>
      <c r="P18" s="340">
        <f>MAX(0,N18-System_Config!$B$9)</f>
        <v/>
      </c>
    </row>
    <row r="19" ht="15" customHeight="1" s="341">
      <c r="A19" s="380" t="n"/>
      <c r="B19" s="380" t="n"/>
      <c r="C19" s="380" t="n"/>
      <c r="D19" s="378" t="n"/>
      <c r="E19" s="380" t="n"/>
      <c r="F19" s="380" t="n"/>
      <c r="G19" s="378" t="n"/>
      <c r="H19" s="380" t="n"/>
      <c r="I19" s="379" t="n"/>
      <c r="J19" s="540" t="n"/>
      <c r="K19" s="380" t="n"/>
      <c r="L19" s="379">
        <f>SUMIF(DB_Savings!$C:$C,A19,DB_Savings!$F:$F)</f>
        <v/>
      </c>
      <c r="M19" s="379">
        <f>SUMIF(DB_Withdrawals!$C:$C,A19,DB_Withdrawals!$G:$G)</f>
        <v/>
      </c>
      <c r="N19" s="379">
        <f>I19+L19-M19</f>
        <v/>
      </c>
      <c r="O19" s="340">
        <f>TRUE()</f>
        <v/>
      </c>
      <c r="P19" s="340">
        <f>MAX(0,N19-System_Config!$B$9)</f>
        <v/>
      </c>
    </row>
    <row r="20" ht="15" customHeight="1" s="341">
      <c r="A20" s="384" t="n"/>
      <c r="B20" s="384" t="n"/>
      <c r="C20" s="384" t="n"/>
      <c r="D20" s="382" t="n"/>
      <c r="E20" s="384" t="n"/>
      <c r="F20" s="384" t="n"/>
      <c r="G20" s="382" t="n"/>
      <c r="H20" s="384" t="n"/>
      <c r="I20" s="383" t="n"/>
      <c r="J20" s="539" t="n"/>
      <c r="K20" s="384" t="n"/>
      <c r="L20" s="383">
        <f>SUMIF(DB_Savings!$C:$C,A20,DB_Savings!$F:$F)</f>
        <v/>
      </c>
      <c r="M20" s="383">
        <f>SUMIF(DB_Withdrawals!$C:$C,A20,DB_Withdrawals!$G:$G)</f>
        <v/>
      </c>
      <c r="N20" s="383">
        <f>I20+L20-M20</f>
        <v/>
      </c>
      <c r="O20" s="340">
        <f>TRUE()</f>
        <v/>
      </c>
      <c r="P20" s="340">
        <f>MAX(0,N20-System_Config!$B$9)</f>
        <v/>
      </c>
    </row>
    <row r="21" ht="15" customHeight="1" s="341">
      <c r="A21" s="380" t="n"/>
      <c r="B21" s="380" t="n"/>
      <c r="C21" s="380" t="n"/>
      <c r="D21" s="378" t="n"/>
      <c r="E21" s="380" t="n"/>
      <c r="F21" s="380" t="n"/>
      <c r="G21" s="378" t="n"/>
      <c r="H21" s="380" t="n"/>
      <c r="I21" s="379" t="n"/>
      <c r="J21" s="540" t="n"/>
      <c r="K21" s="380" t="n"/>
      <c r="L21" s="379">
        <f>SUMIF(DB_Savings!$C:$C,A21,DB_Savings!$F:$F)</f>
        <v/>
      </c>
      <c r="M21" s="379">
        <f>SUMIF(DB_Withdrawals!$C:$C,A21,DB_Withdrawals!$G:$G)</f>
        <v/>
      </c>
      <c r="N21" s="379">
        <f>I21+L21-M21</f>
        <v/>
      </c>
      <c r="O21" s="340">
        <f>TRUE()</f>
        <v/>
      </c>
      <c r="P21" s="340">
        <f>MAX(0,N21-System_Config!$B$9)</f>
        <v/>
      </c>
    </row>
    <row r="22" ht="15" customHeight="1" s="341">
      <c r="A22" s="384" t="n"/>
      <c r="B22" s="384" t="n"/>
      <c r="C22" s="384" t="n"/>
      <c r="D22" s="382" t="n"/>
      <c r="E22" s="384" t="n"/>
      <c r="F22" s="384" t="n"/>
      <c r="G22" s="382" t="n"/>
      <c r="H22" s="384" t="n"/>
      <c r="I22" s="383" t="n"/>
      <c r="J22" s="539" t="n"/>
      <c r="K22" s="384" t="n"/>
      <c r="L22" s="383">
        <f>SUMIF(DB_Savings!$C:$C,A22,DB_Savings!$F:$F)</f>
        <v/>
      </c>
      <c r="M22" s="383">
        <f>SUMIF(DB_Withdrawals!$C:$C,A22,DB_Withdrawals!$G:$G)</f>
        <v/>
      </c>
      <c r="N22" s="383">
        <f>I22+L22-M22</f>
        <v/>
      </c>
      <c r="O22" s="340">
        <f>TRUE()</f>
        <v/>
      </c>
      <c r="P22" s="340">
        <f>MAX(0,N22-System_Config!$B$9)</f>
        <v/>
      </c>
    </row>
    <row r="23" ht="15" customHeight="1" s="341">
      <c r="A23" s="380" t="n"/>
      <c r="B23" s="380" t="n"/>
      <c r="C23" s="380" t="n"/>
      <c r="D23" s="378" t="n"/>
      <c r="E23" s="380" t="n"/>
      <c r="F23" s="380" t="n"/>
      <c r="G23" s="378" t="n"/>
      <c r="H23" s="380" t="n"/>
      <c r="I23" s="379" t="n"/>
      <c r="J23" s="540" t="n"/>
      <c r="K23" s="380" t="n"/>
      <c r="L23" s="379">
        <f>SUMIF(DB_Savings!$C:$C,A23,DB_Savings!$F:$F)</f>
        <v/>
      </c>
      <c r="M23" s="379">
        <f>SUMIF(DB_Withdrawals!$C:$C,A23,DB_Withdrawals!$G:$G)</f>
        <v/>
      </c>
      <c r="N23" s="379">
        <f>I23+L23-M23</f>
        <v/>
      </c>
      <c r="O23" s="340">
        <f>TRUE()</f>
        <v/>
      </c>
      <c r="P23" s="340">
        <f>MAX(0,N23-System_Config!$B$9)</f>
        <v/>
      </c>
    </row>
    <row r="24" ht="15" customHeight="1" s="341">
      <c r="L24" s="340">
        <f>IF(A24="","",SUMIF(DB_Savings!$C:$C,A24,DB_Savings!$F:$F))</f>
        <v/>
      </c>
      <c r="M24" s="340">
        <f>IF(A24="","",SUMIF(DB_Withdrawals!$C:$C,A24,DB_Withdrawals!$G:$G))</f>
        <v/>
      </c>
      <c r="N24" s="340">
        <f>IF(A24="","",I24+L24-M24)</f>
        <v/>
      </c>
      <c r="O24" s="340">
        <f>IF(A24="","",TRUE())</f>
        <v/>
      </c>
      <c r="P24" s="340">
        <f>IF(A24="","",MAX(0,N24-System_Config!$B$9))</f>
        <v/>
      </c>
    </row>
    <row r="25" ht="15" customHeight="1" s="341">
      <c r="L25" s="340">
        <f>IF(A25="","",SUMIF(DB_Savings!$C:$C,A25,DB_Savings!$F:$F))</f>
        <v/>
      </c>
      <c r="M25" s="340">
        <f>IF(A25="","",SUMIF(DB_Withdrawals!$C:$C,A25,DB_Withdrawals!$G:$G))</f>
        <v/>
      </c>
      <c r="N25" s="340">
        <f>IF(A25="","",I25+L25-M25)</f>
        <v/>
      </c>
      <c r="O25" s="340">
        <f>IF(A25="","",TRUE())</f>
        <v/>
      </c>
      <c r="P25" s="340">
        <f>IF(A25="","",MAX(0,N25-System_Config!$B$9))</f>
        <v/>
      </c>
    </row>
    <row r="26" ht="15" customHeight="1" s="341">
      <c r="L26" s="340">
        <f>IF(A26="","",SUMIF(DB_Savings!$C:$C,A26,DB_Savings!$F:$F))</f>
        <v/>
      </c>
      <c r="M26" s="340">
        <f>IF(A26="","",SUMIF(DB_Withdrawals!$C:$C,A26,DB_Withdrawals!$G:$G))</f>
        <v/>
      </c>
      <c r="N26" s="340">
        <f>IF(A26="","",I26+L26-M26)</f>
        <v/>
      </c>
      <c r="O26" s="340">
        <f>IF(A26="","",TRUE())</f>
        <v/>
      </c>
      <c r="P26" s="340">
        <f>IF(A26="","",MAX(0,N26-System_Config!$B$9))</f>
        <v/>
      </c>
    </row>
    <row r="27" ht="15" customHeight="1" s="341">
      <c r="L27" s="340">
        <f>IF(A27="","",SUMIF(DB_Savings!$C:$C,A27,DB_Savings!$F:$F))</f>
        <v/>
      </c>
      <c r="M27" s="340">
        <f>IF(A27="","",SUMIF(DB_Withdrawals!$C:$C,A27,DB_Withdrawals!$G:$G))</f>
        <v/>
      </c>
      <c r="N27" s="340">
        <f>IF(A27="","",I27+L27-M27)</f>
        <v/>
      </c>
      <c r="O27" s="340">
        <f>IF(A27="","",TRUE())</f>
        <v/>
      </c>
      <c r="P27" s="340">
        <f>IF(A27="","",MAX(0,N27-System_Config!$B$9))</f>
        <v/>
      </c>
    </row>
    <row r="28" ht="15" customHeight="1" s="341">
      <c r="L28" s="340">
        <f>IF(A28="","",SUMIF(DB_Savings!$C:$C,A28,DB_Savings!$F:$F))</f>
        <v/>
      </c>
      <c r="M28" s="340">
        <f>IF(A28="","",SUMIF(DB_Withdrawals!$C:$C,A28,DB_Withdrawals!$G:$G))</f>
        <v/>
      </c>
      <c r="N28" s="340">
        <f>IF(A28="","",I28+L28-M28)</f>
        <v/>
      </c>
      <c r="O28" s="340">
        <f>IF(A28="","",TRUE())</f>
        <v/>
      </c>
      <c r="P28" s="340">
        <f>IF(A28="","",MAX(0,N28-System_Config!$B$9))</f>
        <v/>
      </c>
    </row>
    <row r="29" ht="15" customHeight="1" s="341">
      <c r="L29" s="340">
        <f>IF(A29="","",SUMIF(DB_Savings!$C:$C,A29,DB_Savings!$F:$F))</f>
        <v/>
      </c>
      <c r="M29" s="340">
        <f>IF(A29="","",SUMIF(DB_Withdrawals!$C:$C,A29,DB_Withdrawals!$G:$G))</f>
        <v/>
      </c>
      <c r="N29" s="340">
        <f>IF(A29="","",I29+L29-M29)</f>
        <v/>
      </c>
      <c r="O29" s="340">
        <f>IF(A29="","",TRUE())</f>
        <v/>
      </c>
      <c r="P29" s="340">
        <f>IF(A29="","",MAX(0,N29-System_Config!$B$9))</f>
        <v/>
      </c>
    </row>
    <row r="30" ht="15" customHeight="1" s="341">
      <c r="L30" s="340">
        <f>IF(A30="","",SUMIF(DB_Savings!$C:$C,A30,DB_Savings!$F:$F))</f>
        <v/>
      </c>
      <c r="M30" s="340">
        <f>IF(A30="","",SUMIF(DB_Withdrawals!$C:$C,A30,DB_Withdrawals!$G:$G))</f>
        <v/>
      </c>
      <c r="N30" s="340">
        <f>IF(A30="","",I30+L30-M30)</f>
        <v/>
      </c>
      <c r="O30" s="340">
        <f>IF(A30="","",TRUE())</f>
        <v/>
      </c>
      <c r="P30" s="340">
        <f>IF(A30="","",MAX(0,N30-System_Config!$B$9))</f>
        <v/>
      </c>
    </row>
    <row r="31" ht="15" customHeight="1" s="341">
      <c r="L31" s="340">
        <f>IF(A31="","",SUMIF(DB_Savings!$C:$C,A31,DB_Savings!$F:$F))</f>
        <v/>
      </c>
      <c r="M31" s="340">
        <f>IF(A31="","",SUMIF(DB_Withdrawals!$C:$C,A31,DB_Withdrawals!$G:$G))</f>
        <v/>
      </c>
      <c r="N31" s="340">
        <f>IF(A31="","",I31+L31-M31)</f>
        <v/>
      </c>
      <c r="O31" s="340">
        <f>IF(A31="","",TRUE())</f>
        <v/>
      </c>
      <c r="P31" s="340">
        <f>IF(A31="","",MAX(0,N31-System_Config!$B$9))</f>
        <v/>
      </c>
    </row>
    <row r="32" ht="15" customHeight="1" s="341">
      <c r="L32" s="340">
        <f>IF(A32="","",SUMIF(DB_Savings!$C:$C,A32,DB_Savings!$F:$F))</f>
        <v/>
      </c>
      <c r="M32" s="340">
        <f>IF(A32="","",SUMIF(DB_Withdrawals!$C:$C,A32,DB_Withdrawals!$G:$G))</f>
        <v/>
      </c>
      <c r="N32" s="340">
        <f>IF(A32="","",I32+L32-M32)</f>
        <v/>
      </c>
      <c r="O32" s="340">
        <f>IF(A32="","",TRUE())</f>
        <v/>
      </c>
      <c r="P32" s="340">
        <f>IF(A32="","",MAX(0,N32-System_Config!$B$9))</f>
        <v/>
      </c>
    </row>
    <row r="33" ht="15" customHeight="1" s="341">
      <c r="L33" s="340">
        <f>IF(A33="","",SUMIF(DB_Savings!$C:$C,A33,DB_Savings!$F:$F))</f>
        <v/>
      </c>
      <c r="M33" s="340">
        <f>IF(A33="","",SUMIF(DB_Withdrawals!$C:$C,A33,DB_Withdrawals!$G:$G))</f>
        <v/>
      </c>
      <c r="N33" s="340">
        <f>IF(A33="","",I33+L33-M33)</f>
        <v/>
      </c>
      <c r="O33" s="340">
        <f>IF(A33="","",TRUE())</f>
        <v/>
      </c>
      <c r="P33" s="340">
        <f>IF(A33="","",MAX(0,N33-System_Config!$B$9))</f>
        <v/>
      </c>
    </row>
    <row r="34" ht="15" customHeight="1" s="341">
      <c r="L34" s="340">
        <f>IF(A34="","",SUMIF(DB_Savings!$C:$C,A34,DB_Savings!$F:$F))</f>
        <v/>
      </c>
      <c r="M34" s="340">
        <f>IF(A34="","",SUMIF(DB_Withdrawals!$C:$C,A34,DB_Withdrawals!$G:$G))</f>
        <v/>
      </c>
      <c r="N34" s="340">
        <f>IF(A34="","",I34+L34-M34)</f>
        <v/>
      </c>
      <c r="O34" s="340">
        <f>IF(A34="","",TRUE())</f>
        <v/>
      </c>
      <c r="P34" s="340">
        <f>IF(A34="","",MAX(0,N34-System_Config!$B$9))</f>
        <v/>
      </c>
    </row>
    <row r="35" ht="15" customHeight="1" s="341">
      <c r="L35" s="340">
        <f>IF(A35="","",SUMIF(DB_Savings!$C:$C,A35,DB_Savings!$F:$F))</f>
        <v/>
      </c>
      <c r="M35" s="340">
        <f>IF(A35="","",SUMIF(DB_Withdrawals!$C:$C,A35,DB_Withdrawals!$G:$G))</f>
        <v/>
      </c>
      <c r="N35" s="340">
        <f>IF(A35="","",I35+L35-M35)</f>
        <v/>
      </c>
      <c r="O35" s="340">
        <f>IF(A35="","",TRUE())</f>
        <v/>
      </c>
      <c r="P35" s="340">
        <f>IF(A35="","",MAX(0,N35-System_Config!$B$9))</f>
        <v/>
      </c>
    </row>
    <row r="36" ht="15" customHeight="1" s="341">
      <c r="L36" s="340">
        <f>IF(A36="","",SUMIF(DB_Savings!$C:$C,A36,DB_Savings!$F:$F))</f>
        <v/>
      </c>
      <c r="M36" s="340">
        <f>IF(A36="","",SUMIF(DB_Withdrawals!$C:$C,A36,DB_Withdrawals!$G:$G))</f>
        <v/>
      </c>
      <c r="N36" s="340">
        <f>IF(A36="","",I36+L36-M36)</f>
        <v/>
      </c>
      <c r="O36" s="340">
        <f>IF(A36="","",TRUE())</f>
        <v/>
      </c>
      <c r="P36" s="340">
        <f>IF(A36="","",MAX(0,N36-System_Config!$B$9))</f>
        <v/>
      </c>
    </row>
    <row r="37" ht="15" customHeight="1" s="341">
      <c r="L37" s="340">
        <f>IF(A37="","",SUMIF(DB_Savings!$C:$C,A37,DB_Savings!$F:$F))</f>
        <v/>
      </c>
      <c r="M37" s="340">
        <f>IF(A37="","",SUMIF(DB_Withdrawals!$C:$C,A37,DB_Withdrawals!$G:$G))</f>
        <v/>
      </c>
      <c r="N37" s="340">
        <f>IF(A37="","",I37+L37-M37)</f>
        <v/>
      </c>
      <c r="O37" s="340">
        <f>IF(A37="","",TRUE())</f>
        <v/>
      </c>
      <c r="P37" s="340">
        <f>IF(A37="","",MAX(0,N37-System_Config!$B$9))</f>
        <v/>
      </c>
    </row>
    <row r="38" ht="15" customHeight="1" s="341">
      <c r="L38" s="340">
        <f>IF(A38="","",SUMIF(DB_Savings!$C:$C,A38,DB_Savings!$F:$F))</f>
        <v/>
      </c>
      <c r="M38" s="340">
        <f>IF(A38="","",SUMIF(DB_Withdrawals!$C:$C,A38,DB_Withdrawals!$G:$G))</f>
        <v/>
      </c>
      <c r="N38" s="340">
        <f>IF(A38="","",I38+L38-M38)</f>
        <v/>
      </c>
      <c r="O38" s="340">
        <f>IF(A38="","",TRUE())</f>
        <v/>
      </c>
      <c r="P38" s="340">
        <f>IF(A38="","",MAX(0,N38-System_Config!$B$9))</f>
        <v/>
      </c>
    </row>
    <row r="39" ht="15" customHeight="1" s="341">
      <c r="L39" s="340">
        <f>IF(A39="","",SUMIF(DB_Savings!$C:$C,A39,DB_Savings!$F:$F))</f>
        <v/>
      </c>
      <c r="M39" s="340">
        <f>IF(A39="","",SUMIF(DB_Withdrawals!$C:$C,A39,DB_Withdrawals!$G:$G))</f>
        <v/>
      </c>
      <c r="N39" s="340">
        <f>IF(A39="","",I39+L39-M39)</f>
        <v/>
      </c>
      <c r="O39" s="340">
        <f>IF(A39="","",TRUE())</f>
        <v/>
      </c>
      <c r="P39" s="340">
        <f>IF(A39="","",MAX(0,N39-System_Config!$B$9))</f>
        <v/>
      </c>
    </row>
    <row r="40" ht="15" customHeight="1" s="341">
      <c r="L40" s="340">
        <f>IF(A40="","",SUMIF(DB_Savings!$C:$C,A40,DB_Savings!$F:$F))</f>
        <v/>
      </c>
      <c r="M40" s="340">
        <f>IF(A40="","",SUMIF(DB_Withdrawals!$C:$C,A40,DB_Withdrawals!$G:$G))</f>
        <v/>
      </c>
      <c r="N40" s="340">
        <f>IF(A40="","",I40+L40-M40)</f>
        <v/>
      </c>
      <c r="O40" s="340">
        <f>IF(A40="","",TRUE())</f>
        <v/>
      </c>
      <c r="P40" s="340">
        <f>IF(A40="","",MAX(0,N40-System_Config!$B$9))</f>
        <v/>
      </c>
    </row>
    <row r="41" ht="15" customHeight="1" s="341">
      <c r="L41" s="340">
        <f>IF(A41="","",SUMIF(DB_Savings!$C:$C,A41,DB_Savings!$F:$F))</f>
        <v/>
      </c>
      <c r="M41" s="340">
        <f>IF(A41="","",SUMIF(DB_Withdrawals!$C:$C,A41,DB_Withdrawals!$G:$G))</f>
        <v/>
      </c>
      <c r="N41" s="340">
        <f>IF(A41="","",I41+L41-M41)</f>
        <v/>
      </c>
      <c r="O41" s="340">
        <f>IF(A41="","",TRUE())</f>
        <v/>
      </c>
      <c r="P41" s="340">
        <f>IF(A41="","",MAX(0,N41-System_Config!$B$9))</f>
        <v/>
      </c>
    </row>
    <row r="42" ht="15" customHeight="1" s="341">
      <c r="L42" s="340">
        <f>IF(A42="","",SUMIF(DB_Savings!$C:$C,A42,DB_Savings!$F:$F))</f>
        <v/>
      </c>
      <c r="M42" s="340">
        <f>IF(A42="","",SUMIF(DB_Withdrawals!$C:$C,A42,DB_Withdrawals!$G:$G))</f>
        <v/>
      </c>
      <c r="N42" s="340">
        <f>IF(A42="","",I42+L42-M42)</f>
        <v/>
      </c>
      <c r="O42" s="340">
        <f>IF(A42="","",TRUE())</f>
        <v/>
      </c>
      <c r="P42" s="340">
        <f>IF(A42="","",MAX(0,N42-System_Config!$B$9))</f>
        <v/>
      </c>
    </row>
    <row r="43" ht="15" customHeight="1" s="341">
      <c r="L43" s="340">
        <f>IF(A43="","",SUMIF(DB_Savings!$C:$C,A43,DB_Savings!$F:$F))</f>
        <v/>
      </c>
      <c r="M43" s="340">
        <f>IF(A43="","",SUMIF(DB_Withdrawals!$C:$C,A43,DB_Withdrawals!$G:$G))</f>
        <v/>
      </c>
      <c r="N43" s="340">
        <f>IF(A43="","",I43+L43-M43)</f>
        <v/>
      </c>
      <c r="O43" s="340">
        <f>IF(A43="","",TRUE())</f>
        <v/>
      </c>
      <c r="P43" s="340">
        <f>IF(A43="","",MAX(0,N43-System_Config!$B$9))</f>
        <v/>
      </c>
    </row>
    <row r="44" ht="15" customHeight="1" s="341">
      <c r="L44" s="340">
        <f>IF(A44="","",SUMIF(DB_Savings!$C:$C,A44,DB_Savings!$F:$F))</f>
        <v/>
      </c>
      <c r="M44" s="340">
        <f>IF(A44="","",SUMIF(DB_Withdrawals!$C:$C,A44,DB_Withdrawals!$G:$G))</f>
        <v/>
      </c>
      <c r="N44" s="340">
        <f>IF(A44="","",I44+L44-M44)</f>
        <v/>
      </c>
      <c r="O44" s="340">
        <f>IF(A44="","",TRUE())</f>
        <v/>
      </c>
      <c r="P44" s="340">
        <f>IF(A44="","",MAX(0,N44-System_Config!$B$9))</f>
        <v/>
      </c>
    </row>
    <row r="45" ht="15" customHeight="1" s="341">
      <c r="L45" s="340">
        <f>IF(A45="","",SUMIF(DB_Savings!$C:$C,A45,DB_Savings!$F:$F))</f>
        <v/>
      </c>
      <c r="M45" s="340">
        <f>IF(A45="","",SUMIF(DB_Withdrawals!$C:$C,A45,DB_Withdrawals!$G:$G))</f>
        <v/>
      </c>
      <c r="N45" s="340">
        <f>IF(A45="","",I45+L45-M45)</f>
        <v/>
      </c>
      <c r="O45" s="340">
        <f>IF(A45="","",TRUE())</f>
        <v/>
      </c>
      <c r="P45" s="340">
        <f>IF(A45="","",MAX(0,N45-System_Config!$B$9))</f>
        <v/>
      </c>
    </row>
    <row r="46" ht="15" customHeight="1" s="341">
      <c r="L46" s="340">
        <f>IF(A46="","",SUMIF(DB_Savings!$C:$C,A46,DB_Savings!$F:$F))</f>
        <v/>
      </c>
      <c r="M46" s="340">
        <f>IF(A46="","",SUMIF(DB_Withdrawals!$C:$C,A46,DB_Withdrawals!$G:$G))</f>
        <v/>
      </c>
      <c r="N46" s="340">
        <f>IF(A46="","",I46+L46-M46)</f>
        <v/>
      </c>
      <c r="O46" s="340">
        <f>IF(A46="","",TRUE())</f>
        <v/>
      </c>
      <c r="P46" s="340">
        <f>IF(A46="","",MAX(0,N46-System_Config!$B$9))</f>
        <v/>
      </c>
    </row>
    <row r="47" ht="15" customHeight="1" s="341">
      <c r="L47" s="340">
        <f>IF(A47="","",SUMIF(DB_Savings!$C:$C,A47,DB_Savings!$F:$F))</f>
        <v/>
      </c>
      <c r="M47" s="340">
        <f>IF(A47="","",SUMIF(DB_Withdrawals!$C:$C,A47,DB_Withdrawals!$G:$G))</f>
        <v/>
      </c>
      <c r="N47" s="340">
        <f>IF(A47="","",I47+L47-M47)</f>
        <v/>
      </c>
      <c r="O47" s="340">
        <f>IF(A47="","",TRUE())</f>
        <v/>
      </c>
      <c r="P47" s="340">
        <f>IF(A47="","",MAX(0,N47-System_Config!$B$9))</f>
        <v/>
      </c>
    </row>
    <row r="48" ht="15" customHeight="1" s="341">
      <c r="L48" s="340">
        <f>IF(A48="","",SUMIF(DB_Savings!$C:$C,A48,DB_Savings!$F:$F))</f>
        <v/>
      </c>
      <c r="M48" s="340">
        <f>IF(A48="","",SUMIF(DB_Withdrawals!$C:$C,A48,DB_Withdrawals!$G:$G))</f>
        <v/>
      </c>
      <c r="N48" s="340">
        <f>IF(A48="","",I48+L48-M48)</f>
        <v/>
      </c>
      <c r="O48" s="340">
        <f>IF(A48="","",TRUE())</f>
        <v/>
      </c>
      <c r="P48" s="340">
        <f>IF(A48="","",MAX(0,N48-System_Config!$B$9))</f>
        <v/>
      </c>
    </row>
    <row r="49" ht="15" customHeight="1" s="341">
      <c r="L49" s="340">
        <f>IF(A49="","",SUMIF(DB_Savings!$C:$C,A49,DB_Savings!$F:$F))</f>
        <v/>
      </c>
      <c r="M49" s="340">
        <f>IF(A49="","",SUMIF(DB_Withdrawals!$C:$C,A49,DB_Withdrawals!$G:$G))</f>
        <v/>
      </c>
      <c r="N49" s="340">
        <f>IF(A49="","",I49+L49-M49)</f>
        <v/>
      </c>
      <c r="O49" s="340">
        <f>IF(A49="","",TRUE())</f>
        <v/>
      </c>
      <c r="P49" s="340">
        <f>IF(A49="","",MAX(0,N49-System_Config!$B$9))</f>
        <v/>
      </c>
    </row>
    <row r="50" ht="15" customHeight="1" s="341">
      <c r="L50" s="340">
        <f>IF(A50="","",SUMIF(DB_Savings!$C:$C,A50,DB_Savings!$F:$F))</f>
        <v/>
      </c>
      <c r="M50" s="340">
        <f>IF(A50="","",SUMIF(DB_Withdrawals!$C:$C,A50,DB_Withdrawals!$G:$G))</f>
        <v/>
      </c>
      <c r="N50" s="340">
        <f>IF(A50="","",I50+L50-M50)</f>
        <v/>
      </c>
      <c r="O50" s="340">
        <f>IF(A50="","",TRUE())</f>
        <v/>
      </c>
      <c r="P50" s="340">
        <f>IF(A50="","",MAX(0,N50-System_Config!$B$9))</f>
        <v/>
      </c>
    </row>
    <row r="51" ht="15" customHeight="1" s="341">
      <c r="L51" s="340">
        <f>IF(A51="","",SUMIF(DB_Savings!$C:$C,A51,DB_Savings!$F:$F))</f>
        <v/>
      </c>
      <c r="M51" s="340">
        <f>IF(A51="","",SUMIF(DB_Withdrawals!$C:$C,A51,DB_Withdrawals!$G:$G))</f>
        <v/>
      </c>
      <c r="N51" s="340">
        <f>IF(A51="","",I51+L51-M51)</f>
        <v/>
      </c>
      <c r="O51" s="340">
        <f>IF(A51="","",TRUE())</f>
        <v/>
      </c>
      <c r="P51" s="340">
        <f>IF(A51="","",MAX(0,N51-System_Config!$B$9))</f>
        <v/>
      </c>
    </row>
    <row r="52" ht="15" customHeight="1" s="341">
      <c r="L52" s="340">
        <f>IF(A52="","",SUMIF(DB_Savings!$C:$C,A52,DB_Savings!$F:$F))</f>
        <v/>
      </c>
      <c r="M52" s="340">
        <f>IF(A52="","",SUMIF(DB_Withdrawals!$C:$C,A52,DB_Withdrawals!$G:$G))</f>
        <v/>
      </c>
      <c r="N52" s="340">
        <f>IF(A52="","",I52+L52-M52)</f>
        <v/>
      </c>
      <c r="O52" s="340">
        <f>IF(A52="","",TRUE())</f>
        <v/>
      </c>
      <c r="P52" s="340">
        <f>IF(A52="","",MAX(0,N52-System_Config!$B$9))</f>
        <v/>
      </c>
    </row>
    <row r="53" ht="15" customHeight="1" s="341">
      <c r="L53" s="340">
        <f>IF(A53="","",SUMIF(DB_Savings!$C:$C,A53,DB_Savings!$F:$F))</f>
        <v/>
      </c>
      <c r="M53" s="340">
        <f>IF(A53="","",SUMIF(DB_Withdrawals!$C:$C,A53,DB_Withdrawals!$G:$G))</f>
        <v/>
      </c>
      <c r="N53" s="340">
        <f>IF(A53="","",I53+L53-M53)</f>
        <v/>
      </c>
      <c r="O53" s="340">
        <f>IF(A53="","",TRUE())</f>
        <v/>
      </c>
      <c r="P53" s="340">
        <f>IF(A53="","",MAX(0,N53-System_Config!$B$9))</f>
        <v/>
      </c>
    </row>
    <row r="54" ht="15" customHeight="1" s="341">
      <c r="L54" s="340">
        <f>IF(A54="","",SUMIF(DB_Savings!$C:$C,A54,DB_Savings!$F:$F))</f>
        <v/>
      </c>
      <c r="M54" s="340">
        <f>IF(A54="","",SUMIF(DB_Withdrawals!$C:$C,A54,DB_Withdrawals!$G:$G))</f>
        <v/>
      </c>
      <c r="N54" s="340">
        <f>IF(A54="","",I54+L54-M54)</f>
        <v/>
      </c>
      <c r="O54" s="340">
        <f>IF(A54="","",TRUE())</f>
        <v/>
      </c>
      <c r="P54" s="340">
        <f>IF(A54="","",MAX(0,N54-System_Config!$B$9))</f>
        <v/>
      </c>
    </row>
    <row r="55" ht="15" customHeight="1" s="341">
      <c r="L55" s="340">
        <f>IF(A55="","",SUMIF(DB_Savings!$C:$C,A55,DB_Savings!$F:$F))</f>
        <v/>
      </c>
      <c r="M55" s="340">
        <f>IF(A55="","",SUMIF(DB_Withdrawals!$C:$C,A55,DB_Withdrawals!$G:$G))</f>
        <v/>
      </c>
      <c r="N55" s="340">
        <f>IF(A55="","",I55+L55-M55)</f>
        <v/>
      </c>
      <c r="O55" s="340">
        <f>IF(A55="","",TRUE())</f>
        <v/>
      </c>
      <c r="P55" s="340">
        <f>IF(A55="","",MAX(0,N55-System_Config!$B$9))</f>
        <v/>
      </c>
    </row>
    <row r="56" ht="15" customHeight="1" s="341">
      <c r="L56" s="340">
        <f>IF(A56="","",SUMIF(DB_Savings!$C:$C,A56,DB_Savings!$F:$F))</f>
        <v/>
      </c>
      <c r="M56" s="340">
        <f>IF(A56="","",SUMIF(DB_Withdrawals!$C:$C,A56,DB_Withdrawals!$G:$G))</f>
        <v/>
      </c>
      <c r="N56" s="340">
        <f>IF(A56="","",I56+L56-M56)</f>
        <v/>
      </c>
      <c r="O56" s="340">
        <f>IF(A56="","",TRUE())</f>
        <v/>
      </c>
      <c r="P56" s="340">
        <f>IF(A56="","",MAX(0,N56-System_Config!$B$9))</f>
        <v/>
      </c>
    </row>
    <row r="57" ht="15" customHeight="1" s="341">
      <c r="L57" s="340">
        <f>IF(A57="","",SUMIF(DB_Savings!$C:$C,A57,DB_Savings!$F:$F))</f>
        <v/>
      </c>
      <c r="M57" s="340">
        <f>IF(A57="","",SUMIF(DB_Withdrawals!$C:$C,A57,DB_Withdrawals!$G:$G))</f>
        <v/>
      </c>
      <c r="N57" s="340">
        <f>IF(A57="","",I57+L57-M57)</f>
        <v/>
      </c>
      <c r="O57" s="340">
        <f>IF(A57="","",TRUE())</f>
        <v/>
      </c>
      <c r="P57" s="340">
        <f>IF(A57="","",MAX(0,N57-System_Config!$B$9))</f>
        <v/>
      </c>
    </row>
    <row r="58" ht="15" customHeight="1" s="341">
      <c r="L58" s="340">
        <f>IF(A58="","",SUMIF(DB_Savings!$C:$C,A58,DB_Savings!$F:$F))</f>
        <v/>
      </c>
      <c r="M58" s="340">
        <f>IF(A58="","",SUMIF(DB_Withdrawals!$C:$C,A58,DB_Withdrawals!$G:$G))</f>
        <v/>
      </c>
      <c r="N58" s="340">
        <f>IF(A58="","",I58+L58-M58)</f>
        <v/>
      </c>
      <c r="O58" s="340">
        <f>IF(A58="","",TRUE())</f>
        <v/>
      </c>
      <c r="P58" s="340">
        <f>IF(A58="","",MAX(0,N58-System_Config!$B$9))</f>
        <v/>
      </c>
    </row>
    <row r="59" ht="15" customHeight="1" s="341">
      <c r="L59" s="340">
        <f>IF(A59="","",SUMIF(DB_Savings!$C:$C,A59,DB_Savings!$F:$F))</f>
        <v/>
      </c>
      <c r="M59" s="340">
        <f>IF(A59="","",SUMIF(DB_Withdrawals!$C:$C,A59,DB_Withdrawals!$G:$G))</f>
        <v/>
      </c>
      <c r="N59" s="340">
        <f>IF(A59="","",I59+L59-M59)</f>
        <v/>
      </c>
      <c r="O59" s="340">
        <f>IF(A59="","",TRUE())</f>
        <v/>
      </c>
      <c r="P59" s="340">
        <f>IF(A59="","",MAX(0,N59-System_Config!$B$9))</f>
        <v/>
      </c>
    </row>
    <row r="60" ht="15" customHeight="1" s="341">
      <c r="L60" s="340">
        <f>IF(A60="","",SUMIF(DB_Savings!$C:$C,A60,DB_Savings!$F:$F))</f>
        <v/>
      </c>
      <c r="M60" s="340">
        <f>IF(A60="","",SUMIF(DB_Withdrawals!$C:$C,A60,DB_Withdrawals!$G:$G))</f>
        <v/>
      </c>
      <c r="N60" s="340">
        <f>IF(A60="","",I60+L60-M60)</f>
        <v/>
      </c>
      <c r="O60" s="340">
        <f>IF(A60="","",TRUE())</f>
        <v/>
      </c>
      <c r="P60" s="340">
        <f>IF(A60="","",MAX(0,N60-System_Config!$B$9))</f>
        <v/>
      </c>
    </row>
    <row r="61" ht="15" customHeight="1" s="341">
      <c r="L61" s="340">
        <f>IF(A61="","",SUMIF(DB_Savings!$C:$C,A61,DB_Savings!$F:$F))</f>
        <v/>
      </c>
      <c r="M61" s="340">
        <f>IF(A61="","",SUMIF(DB_Withdrawals!$C:$C,A61,DB_Withdrawals!$G:$G))</f>
        <v/>
      </c>
      <c r="N61" s="340">
        <f>IF(A61="","",I61+L61-M61)</f>
        <v/>
      </c>
      <c r="O61" s="340">
        <f>IF(A61="","",TRUE())</f>
        <v/>
      </c>
      <c r="P61" s="340">
        <f>IF(A61="","",MAX(0,N61-System_Config!$B$9))</f>
        <v/>
      </c>
    </row>
    <row r="62" ht="15" customHeight="1" s="341">
      <c r="L62" s="340">
        <f>IF(A62="","",SUMIF(DB_Savings!$C:$C,A62,DB_Savings!$F:$F))</f>
        <v/>
      </c>
      <c r="M62" s="340">
        <f>IF(A62="","",SUMIF(DB_Withdrawals!$C:$C,A62,DB_Withdrawals!$G:$G))</f>
        <v/>
      </c>
      <c r="N62" s="340">
        <f>IF(A62="","",I62+L62-M62)</f>
        <v/>
      </c>
      <c r="O62" s="340">
        <f>IF(A62="","",TRUE())</f>
        <v/>
      </c>
      <c r="P62" s="340">
        <f>IF(A62="","",MAX(0,N62-System_Config!$B$9))</f>
        <v/>
      </c>
    </row>
    <row r="63" ht="15" customHeight="1" s="341">
      <c r="L63" s="340">
        <f>IF(A63="","",SUMIF(DB_Savings!$C:$C,A63,DB_Savings!$F:$F))</f>
        <v/>
      </c>
      <c r="M63" s="340">
        <f>IF(A63="","",SUMIF(DB_Withdrawals!$C:$C,A63,DB_Withdrawals!$G:$G))</f>
        <v/>
      </c>
      <c r="N63" s="340">
        <f>IF(A63="","",I63+L63-M63)</f>
        <v/>
      </c>
      <c r="O63" s="340">
        <f>IF(A63="","",TRUE())</f>
        <v/>
      </c>
      <c r="P63" s="340">
        <f>IF(A63="","",MAX(0,N63-System_Config!$B$9))</f>
        <v/>
      </c>
    </row>
    <row r="64" ht="15" customHeight="1" s="341">
      <c r="L64" s="340">
        <f>IF(A64="","",SUMIF(DB_Savings!$C:$C,A64,DB_Savings!$F:$F))</f>
        <v/>
      </c>
      <c r="M64" s="340">
        <f>IF(A64="","",SUMIF(DB_Withdrawals!$C:$C,A64,DB_Withdrawals!$G:$G))</f>
        <v/>
      </c>
      <c r="N64" s="340">
        <f>IF(A64="","",I64+L64-M64)</f>
        <v/>
      </c>
      <c r="O64" s="340">
        <f>IF(A64="","",TRUE())</f>
        <v/>
      </c>
      <c r="P64" s="340">
        <f>IF(A64="","",MAX(0,N64-System_Config!$B$9))</f>
        <v/>
      </c>
    </row>
    <row r="65" ht="15" customHeight="1" s="341">
      <c r="L65" s="340">
        <f>IF(A65="","",SUMIF(DB_Savings!$C:$C,A65,DB_Savings!$F:$F))</f>
        <v/>
      </c>
      <c r="M65" s="340">
        <f>IF(A65="","",SUMIF(DB_Withdrawals!$C:$C,A65,DB_Withdrawals!$G:$G))</f>
        <v/>
      </c>
      <c r="N65" s="340">
        <f>IF(A65="","",I65+L65-M65)</f>
        <v/>
      </c>
      <c r="O65" s="340">
        <f>IF(A65="","",TRUE())</f>
        <v/>
      </c>
      <c r="P65" s="340">
        <f>IF(A65="","",MAX(0,N65-System_Config!$B$9))</f>
        <v/>
      </c>
    </row>
    <row r="66" ht="15" customHeight="1" s="341">
      <c r="L66" s="340">
        <f>IF(A66="","",SUMIF(DB_Savings!$C:$C,A66,DB_Savings!$F:$F))</f>
        <v/>
      </c>
      <c r="M66" s="340">
        <f>IF(A66="","",SUMIF(DB_Withdrawals!$C:$C,A66,DB_Withdrawals!$G:$G))</f>
        <v/>
      </c>
      <c r="N66" s="340">
        <f>IF(A66="","",I66+L66-M66)</f>
        <v/>
      </c>
      <c r="O66" s="340">
        <f>IF(A66="","",TRUE())</f>
        <v/>
      </c>
      <c r="P66" s="340">
        <f>IF(A66="","",MAX(0,N66-System_Config!$B$9))</f>
        <v/>
      </c>
    </row>
    <row r="67" ht="15" customHeight="1" s="341">
      <c r="L67" s="340">
        <f>IF(A67="","",SUMIF(DB_Savings!$C:$C,A67,DB_Savings!$F:$F))</f>
        <v/>
      </c>
      <c r="M67" s="340">
        <f>IF(A67="","",SUMIF(DB_Withdrawals!$C:$C,A67,DB_Withdrawals!$G:$G))</f>
        <v/>
      </c>
      <c r="N67" s="340">
        <f>IF(A67="","",I67+L67-M67)</f>
        <v/>
      </c>
      <c r="O67" s="340">
        <f>IF(A67="","",TRUE())</f>
        <v/>
      </c>
      <c r="P67" s="340">
        <f>IF(A67="","",MAX(0,N67-System_Config!$B$9))</f>
        <v/>
      </c>
    </row>
    <row r="68" ht="15" customHeight="1" s="341">
      <c r="L68" s="340">
        <f>IF(A68="","",SUMIF(DB_Savings!$C:$C,A68,DB_Savings!$F:$F))</f>
        <v/>
      </c>
      <c r="M68" s="340">
        <f>IF(A68="","",SUMIF(DB_Withdrawals!$C:$C,A68,DB_Withdrawals!$G:$G))</f>
        <v/>
      </c>
      <c r="N68" s="340">
        <f>IF(A68="","",I68+L68-M68)</f>
        <v/>
      </c>
      <c r="O68" s="340">
        <f>IF(A68="","",TRUE())</f>
        <v/>
      </c>
      <c r="P68" s="340">
        <f>IF(A68="","",MAX(0,N68-System_Config!$B$9))</f>
        <v/>
      </c>
    </row>
    <row r="69" ht="15" customHeight="1" s="341">
      <c r="L69" s="340">
        <f>IF(A69="","",SUMIF(DB_Savings!$C:$C,A69,DB_Savings!$F:$F))</f>
        <v/>
      </c>
      <c r="M69" s="340">
        <f>IF(A69="","",SUMIF(DB_Withdrawals!$C:$C,A69,DB_Withdrawals!$G:$G))</f>
        <v/>
      </c>
      <c r="N69" s="340">
        <f>IF(A69="","",I69+L69-M69)</f>
        <v/>
      </c>
      <c r="O69" s="340">
        <f>IF(A69="","",TRUE())</f>
        <v/>
      </c>
      <c r="P69" s="340">
        <f>IF(A69="","",MAX(0,N69-System_Config!$B$9))</f>
        <v/>
      </c>
    </row>
    <row r="70" ht="15" customHeight="1" s="341">
      <c r="L70" s="340">
        <f>IF(A70="","",SUMIF(DB_Savings!$C:$C,A70,DB_Savings!$F:$F))</f>
        <v/>
      </c>
      <c r="M70" s="340">
        <f>IF(A70="","",SUMIF(DB_Withdrawals!$C:$C,A70,DB_Withdrawals!$G:$G))</f>
        <v/>
      </c>
      <c r="N70" s="340">
        <f>IF(A70="","",I70+L70-M70)</f>
        <v/>
      </c>
      <c r="O70" s="340">
        <f>IF(A70="","",TRUE())</f>
        <v/>
      </c>
      <c r="P70" s="340">
        <f>IF(A70="","",MAX(0,N70-System_Config!$B$9))</f>
        <v/>
      </c>
    </row>
    <row r="71" ht="15" customHeight="1" s="341">
      <c r="L71" s="340">
        <f>IF(A71="","",SUMIF(DB_Savings!$C:$C,A71,DB_Savings!$F:$F))</f>
        <v/>
      </c>
      <c r="M71" s="340">
        <f>IF(A71="","",SUMIF(DB_Withdrawals!$C:$C,A71,DB_Withdrawals!$G:$G))</f>
        <v/>
      </c>
      <c r="N71" s="340">
        <f>IF(A71="","",I71+L71-M71)</f>
        <v/>
      </c>
      <c r="O71" s="340">
        <f>IF(A71="","",TRUE())</f>
        <v/>
      </c>
      <c r="P71" s="340">
        <f>IF(A71="","",MAX(0,N71-System_Config!$B$9))</f>
        <v/>
      </c>
    </row>
    <row r="72" ht="15" customHeight="1" s="341">
      <c r="L72" s="340">
        <f>IF(A72="","",SUMIF(DB_Savings!$C:$C,A72,DB_Savings!$F:$F))</f>
        <v/>
      </c>
      <c r="M72" s="340">
        <f>IF(A72="","",SUMIF(DB_Withdrawals!$C:$C,A72,DB_Withdrawals!$G:$G))</f>
        <v/>
      </c>
      <c r="N72" s="340">
        <f>IF(A72="","",I72+L72-M72)</f>
        <v/>
      </c>
      <c r="O72" s="340">
        <f>IF(A72="","",TRUE())</f>
        <v/>
      </c>
      <c r="P72" s="340">
        <f>IF(A72="","",MAX(0,N72-System_Config!$B$9))</f>
        <v/>
      </c>
    </row>
    <row r="73" ht="15" customHeight="1" s="341">
      <c r="L73" s="340">
        <f>IF(A73="","",SUMIF(DB_Savings!$C:$C,A73,DB_Savings!$F:$F))</f>
        <v/>
      </c>
      <c r="M73" s="340">
        <f>IF(A73="","",SUMIF(DB_Withdrawals!$C:$C,A73,DB_Withdrawals!$G:$G))</f>
        <v/>
      </c>
      <c r="N73" s="340">
        <f>IF(A73="","",I73+L73-M73)</f>
        <v/>
      </c>
      <c r="O73" s="340">
        <f>IF(A73="","",TRUE())</f>
        <v/>
      </c>
      <c r="P73" s="340">
        <f>IF(A73="","",MAX(0,N73-System_Config!$B$9))</f>
        <v/>
      </c>
    </row>
    <row r="74" ht="15" customHeight="1" s="341">
      <c r="L74" s="340">
        <f>IF(A74="","",SUMIF(DB_Savings!$C:$C,A74,DB_Savings!$F:$F))</f>
        <v/>
      </c>
      <c r="M74" s="340">
        <f>IF(A74="","",SUMIF(DB_Withdrawals!$C:$C,A74,DB_Withdrawals!$G:$G))</f>
        <v/>
      </c>
      <c r="N74" s="340">
        <f>IF(A74="","",I74+L74-M74)</f>
        <v/>
      </c>
      <c r="O74" s="340">
        <f>IF(A74="","",TRUE())</f>
        <v/>
      </c>
      <c r="P74" s="340">
        <f>IF(A74="","",MAX(0,N74-System_Config!$B$9))</f>
        <v/>
      </c>
    </row>
    <row r="75" ht="15" customHeight="1" s="341">
      <c r="L75" s="340">
        <f>IF(A75="","",SUMIF(DB_Savings!$C:$C,A75,DB_Savings!$F:$F))</f>
        <v/>
      </c>
      <c r="M75" s="340">
        <f>IF(A75="","",SUMIF(DB_Withdrawals!$C:$C,A75,DB_Withdrawals!$G:$G))</f>
        <v/>
      </c>
      <c r="N75" s="340">
        <f>IF(A75="","",I75+L75-M75)</f>
        <v/>
      </c>
      <c r="O75" s="340">
        <f>IF(A75="","",TRUE())</f>
        <v/>
      </c>
      <c r="P75" s="340">
        <f>IF(A75="","",MAX(0,N75-System_Config!$B$9))</f>
        <v/>
      </c>
    </row>
    <row r="76" ht="15" customHeight="1" s="341">
      <c r="L76" s="340">
        <f>IF(A76="","",SUMIF(DB_Savings!$C:$C,A76,DB_Savings!$F:$F))</f>
        <v/>
      </c>
      <c r="M76" s="340">
        <f>IF(A76="","",SUMIF(DB_Withdrawals!$C:$C,A76,DB_Withdrawals!$G:$G))</f>
        <v/>
      </c>
      <c r="N76" s="340">
        <f>IF(A76="","",I76+L76-M76)</f>
        <v/>
      </c>
      <c r="O76" s="340">
        <f>IF(A76="","",TRUE())</f>
        <v/>
      </c>
      <c r="P76" s="340">
        <f>IF(A76="","",MAX(0,N76-System_Config!$B$9))</f>
        <v/>
      </c>
    </row>
    <row r="77" ht="15" customHeight="1" s="341">
      <c r="L77" s="340">
        <f>IF(A77="","",SUMIF(DB_Savings!$C:$C,A77,DB_Savings!$F:$F))</f>
        <v/>
      </c>
      <c r="M77" s="340">
        <f>IF(A77="","",SUMIF(DB_Withdrawals!$C:$C,A77,DB_Withdrawals!$G:$G))</f>
        <v/>
      </c>
      <c r="N77" s="340">
        <f>IF(A77="","",I77+L77-M77)</f>
        <v/>
      </c>
      <c r="O77" s="340">
        <f>IF(A77="","",TRUE())</f>
        <v/>
      </c>
      <c r="P77" s="340">
        <f>IF(A77="","",MAX(0,N77-System_Config!$B$9))</f>
        <v/>
      </c>
    </row>
    <row r="78" ht="15" customHeight="1" s="341">
      <c r="L78" s="340">
        <f>IF(A78="","",SUMIF(DB_Savings!$C:$C,A78,DB_Savings!$F:$F))</f>
        <v/>
      </c>
      <c r="M78" s="340">
        <f>IF(A78="","",SUMIF(DB_Withdrawals!$C:$C,A78,DB_Withdrawals!$G:$G))</f>
        <v/>
      </c>
      <c r="N78" s="340">
        <f>IF(A78="","",I78+L78-M78)</f>
        <v/>
      </c>
      <c r="O78" s="340">
        <f>IF(A78="","",TRUE())</f>
        <v/>
      </c>
      <c r="P78" s="340">
        <f>IF(A78="","",MAX(0,N78-System_Config!$B$9))</f>
        <v/>
      </c>
    </row>
    <row r="79" ht="15" customHeight="1" s="341">
      <c r="L79" s="340">
        <f>IF(A79="","",SUMIF(DB_Savings!$C:$C,A79,DB_Savings!$F:$F))</f>
        <v/>
      </c>
      <c r="M79" s="340">
        <f>IF(A79="","",SUMIF(DB_Withdrawals!$C:$C,A79,DB_Withdrawals!$G:$G))</f>
        <v/>
      </c>
      <c r="N79" s="340">
        <f>IF(A79="","",I79+L79-M79)</f>
        <v/>
      </c>
      <c r="O79" s="340">
        <f>IF(A79="","",TRUE())</f>
        <v/>
      </c>
      <c r="P79" s="340">
        <f>IF(A79="","",MAX(0,N79-System_Config!$B$9))</f>
        <v/>
      </c>
    </row>
    <row r="80" ht="15" customHeight="1" s="341">
      <c r="L80" s="340">
        <f>IF(A80="","",SUMIF(DB_Savings!$C:$C,A80,DB_Savings!$F:$F))</f>
        <v/>
      </c>
      <c r="M80" s="340">
        <f>IF(A80="","",SUMIF(DB_Withdrawals!$C:$C,A80,DB_Withdrawals!$G:$G))</f>
        <v/>
      </c>
      <c r="N80" s="340">
        <f>IF(A80="","",I80+L80-M80)</f>
        <v/>
      </c>
      <c r="O80" s="340">
        <f>IF(A80="","",TRUE())</f>
        <v/>
      </c>
      <c r="P80" s="340">
        <f>IF(A80="","",MAX(0,N80-System_Config!$B$9))</f>
        <v/>
      </c>
    </row>
    <row r="81" ht="15" customHeight="1" s="341">
      <c r="L81" s="340">
        <f>IF(A81="","",SUMIF(DB_Savings!$C:$C,A81,DB_Savings!$F:$F))</f>
        <v/>
      </c>
      <c r="M81" s="340">
        <f>IF(A81="","",SUMIF(DB_Withdrawals!$C:$C,A81,DB_Withdrawals!$G:$G))</f>
        <v/>
      </c>
      <c r="N81" s="340">
        <f>IF(A81="","",I81+L81-M81)</f>
        <v/>
      </c>
      <c r="O81" s="340">
        <f>IF(A81="","",TRUE())</f>
        <v/>
      </c>
      <c r="P81" s="340">
        <f>IF(A81="","",MAX(0,N81-System_Config!$B$9))</f>
        <v/>
      </c>
    </row>
    <row r="82" ht="15" customHeight="1" s="341">
      <c r="L82" s="340">
        <f>IF(A82="","",SUMIF(DB_Savings!$C:$C,A82,DB_Savings!$F:$F))</f>
        <v/>
      </c>
      <c r="M82" s="340">
        <f>IF(A82="","",SUMIF(DB_Withdrawals!$C:$C,A82,DB_Withdrawals!$G:$G))</f>
        <v/>
      </c>
      <c r="N82" s="340">
        <f>IF(A82="","",I82+L82-M82)</f>
        <v/>
      </c>
      <c r="O82" s="340">
        <f>IF(A82="","",TRUE())</f>
        <v/>
      </c>
      <c r="P82" s="340">
        <f>IF(A82="","",MAX(0,N82-System_Config!$B$9))</f>
        <v/>
      </c>
    </row>
    <row r="83" ht="15" customHeight="1" s="341">
      <c r="L83" s="340">
        <f>IF(A83="","",SUMIF(DB_Savings!$C:$C,A83,DB_Savings!$F:$F))</f>
        <v/>
      </c>
      <c r="M83" s="340">
        <f>IF(A83="","",SUMIF(DB_Withdrawals!$C:$C,A83,DB_Withdrawals!$G:$G))</f>
        <v/>
      </c>
      <c r="N83" s="340">
        <f>IF(A83="","",I83+L83-M83)</f>
        <v/>
      </c>
      <c r="O83" s="340">
        <f>IF(A83="","",TRUE())</f>
        <v/>
      </c>
      <c r="P83" s="340">
        <f>IF(A83="","",MAX(0,N83-System_Config!$B$9))</f>
        <v/>
      </c>
    </row>
    <row r="84" ht="15" customHeight="1" s="341">
      <c r="L84" s="340">
        <f>IF(A84="","",SUMIF(DB_Savings!$C:$C,A84,DB_Savings!$F:$F))</f>
        <v/>
      </c>
      <c r="M84" s="340">
        <f>IF(A84="","",SUMIF(DB_Withdrawals!$C:$C,A84,DB_Withdrawals!$G:$G))</f>
        <v/>
      </c>
      <c r="N84" s="340">
        <f>IF(A84="","",I84+L84-M84)</f>
        <v/>
      </c>
      <c r="O84" s="340">
        <f>IF(A84="","",TRUE())</f>
        <v/>
      </c>
      <c r="P84" s="340">
        <f>IF(A84="","",MAX(0,N84-System_Config!$B$9))</f>
        <v/>
      </c>
    </row>
    <row r="85" ht="15" customHeight="1" s="341">
      <c r="L85" s="340">
        <f>IF(A85="","",SUMIF(DB_Savings!$C:$C,A85,DB_Savings!$F:$F))</f>
        <v/>
      </c>
      <c r="M85" s="340">
        <f>IF(A85="","",SUMIF(DB_Withdrawals!$C:$C,A85,DB_Withdrawals!$G:$G))</f>
        <v/>
      </c>
      <c r="N85" s="340">
        <f>IF(A85="","",I85+L85-M85)</f>
        <v/>
      </c>
      <c r="O85" s="340">
        <f>IF(A85="","",TRUE())</f>
        <v/>
      </c>
      <c r="P85" s="340">
        <f>IF(A85="","",MAX(0,N85-System_Config!$B$9))</f>
        <v/>
      </c>
    </row>
    <row r="86" ht="15" customHeight="1" s="341">
      <c r="L86" s="340">
        <f>IF(A86="","",SUMIF(DB_Savings!$C:$C,A86,DB_Savings!$F:$F))</f>
        <v/>
      </c>
      <c r="M86" s="340">
        <f>IF(A86="","",SUMIF(DB_Withdrawals!$C:$C,A86,DB_Withdrawals!$G:$G))</f>
        <v/>
      </c>
      <c r="N86" s="340">
        <f>IF(A86="","",I86+L86-M86)</f>
        <v/>
      </c>
      <c r="O86" s="340">
        <f>IF(A86="","",TRUE())</f>
        <v/>
      </c>
      <c r="P86" s="340">
        <f>IF(A86="","",MAX(0,N86-System_Config!$B$9))</f>
        <v/>
      </c>
    </row>
    <row r="87" ht="15" customHeight="1" s="341">
      <c r="L87" s="340">
        <f>IF(A87="","",SUMIF(DB_Savings!$C:$C,A87,DB_Savings!$F:$F))</f>
        <v/>
      </c>
      <c r="M87" s="340">
        <f>IF(A87="","",SUMIF(DB_Withdrawals!$C:$C,A87,DB_Withdrawals!$G:$G))</f>
        <v/>
      </c>
      <c r="N87" s="340">
        <f>IF(A87="","",I87+L87-M87)</f>
        <v/>
      </c>
      <c r="O87" s="340">
        <f>IF(A87="","",TRUE())</f>
        <v/>
      </c>
      <c r="P87" s="340">
        <f>IF(A87="","",MAX(0,N87-System_Config!$B$9))</f>
        <v/>
      </c>
    </row>
    <row r="88" ht="15" customHeight="1" s="341">
      <c r="L88" s="340">
        <f>IF(A88="","",SUMIF(DB_Savings!$C:$C,A88,DB_Savings!$F:$F))</f>
        <v/>
      </c>
      <c r="M88" s="340">
        <f>IF(A88="","",SUMIF(DB_Withdrawals!$C:$C,A88,DB_Withdrawals!$G:$G))</f>
        <v/>
      </c>
      <c r="N88" s="340">
        <f>IF(A88="","",I88+L88-M88)</f>
        <v/>
      </c>
      <c r="O88" s="340">
        <f>IF(A88="","",TRUE())</f>
        <v/>
      </c>
      <c r="P88" s="340">
        <f>IF(A88="","",MAX(0,N88-System_Config!$B$9))</f>
        <v/>
      </c>
    </row>
    <row r="89" ht="15" customHeight="1" s="341">
      <c r="L89" s="340">
        <f>IF(A89="","",SUMIF(DB_Savings!$C:$C,A89,DB_Savings!$F:$F))</f>
        <v/>
      </c>
      <c r="M89" s="340">
        <f>IF(A89="","",SUMIF(DB_Withdrawals!$C:$C,A89,DB_Withdrawals!$G:$G))</f>
        <v/>
      </c>
      <c r="N89" s="340">
        <f>IF(A89="","",I89+L89-M89)</f>
        <v/>
      </c>
      <c r="O89" s="340">
        <f>IF(A89="","",TRUE())</f>
        <v/>
      </c>
      <c r="P89" s="340">
        <f>IF(A89="","",MAX(0,N89-System_Config!$B$9))</f>
        <v/>
      </c>
    </row>
    <row r="90" ht="15" customHeight="1" s="341">
      <c r="L90" s="340">
        <f>IF(A90="","",SUMIF(DB_Savings!$C:$C,A90,DB_Savings!$F:$F))</f>
        <v/>
      </c>
      <c r="M90" s="340">
        <f>IF(A90="","",SUMIF(DB_Withdrawals!$C:$C,A90,DB_Withdrawals!$G:$G))</f>
        <v/>
      </c>
      <c r="N90" s="340">
        <f>IF(A90="","",I90+L90-M90)</f>
        <v/>
      </c>
      <c r="O90" s="340">
        <f>IF(A90="","",TRUE())</f>
        <v/>
      </c>
      <c r="P90" s="340">
        <f>IF(A90="","",MAX(0,N90-System_Config!$B$9))</f>
        <v/>
      </c>
    </row>
    <row r="91" ht="15" customHeight="1" s="341">
      <c r="L91" s="340">
        <f>IF(A91="","",SUMIF(DB_Savings!$C:$C,A91,DB_Savings!$F:$F))</f>
        <v/>
      </c>
      <c r="M91" s="340">
        <f>IF(A91="","",SUMIF(DB_Withdrawals!$C:$C,A91,DB_Withdrawals!$G:$G))</f>
        <v/>
      </c>
      <c r="N91" s="340">
        <f>IF(A91="","",I91+L91-M91)</f>
        <v/>
      </c>
      <c r="O91" s="340">
        <f>IF(A91="","",TRUE())</f>
        <v/>
      </c>
      <c r="P91" s="340">
        <f>IF(A91="","",MAX(0,N91-System_Config!$B$9))</f>
        <v/>
      </c>
    </row>
    <row r="92" ht="15" customHeight="1" s="341">
      <c r="L92" s="340">
        <f>IF(A92="","",SUMIF(DB_Savings!$C:$C,A92,DB_Savings!$F:$F))</f>
        <v/>
      </c>
      <c r="M92" s="340">
        <f>IF(A92="","",SUMIF(DB_Withdrawals!$C:$C,A92,DB_Withdrawals!$G:$G))</f>
        <v/>
      </c>
      <c r="N92" s="340">
        <f>IF(A92="","",I92+L92-M92)</f>
        <v/>
      </c>
      <c r="O92" s="340">
        <f>IF(A92="","",TRUE())</f>
        <v/>
      </c>
      <c r="P92" s="340">
        <f>IF(A92="","",MAX(0,N92-System_Config!$B$9))</f>
        <v/>
      </c>
    </row>
    <row r="93" ht="15" customHeight="1" s="341">
      <c r="L93" s="340">
        <f>IF(A93="","",SUMIF(DB_Savings!$C:$C,A93,DB_Savings!$F:$F))</f>
        <v/>
      </c>
      <c r="M93" s="340">
        <f>IF(A93="","",SUMIF(DB_Withdrawals!$C:$C,A93,DB_Withdrawals!$G:$G))</f>
        <v/>
      </c>
      <c r="N93" s="340">
        <f>IF(A93="","",I93+L93-M93)</f>
        <v/>
      </c>
      <c r="O93" s="340">
        <f>IF(A93="","",TRUE())</f>
        <v/>
      </c>
      <c r="P93" s="340">
        <f>IF(A93="","",MAX(0,N93-System_Config!$B$9))</f>
        <v/>
      </c>
    </row>
    <row r="94" ht="15" customHeight="1" s="341">
      <c r="L94" s="340">
        <f>IF(A94="","",SUMIF(DB_Savings!$C:$C,A94,DB_Savings!$F:$F))</f>
        <v/>
      </c>
      <c r="M94" s="340">
        <f>IF(A94="","",SUMIF(DB_Withdrawals!$C:$C,A94,DB_Withdrawals!$G:$G))</f>
        <v/>
      </c>
      <c r="N94" s="340">
        <f>IF(A94="","",I94+L94-M94)</f>
        <v/>
      </c>
      <c r="O94" s="340">
        <f>IF(A94="","",TRUE())</f>
        <v/>
      </c>
      <c r="P94" s="340">
        <f>IF(A94="","",MAX(0,N94-System_Config!$B$9))</f>
        <v/>
      </c>
    </row>
    <row r="95" ht="15" customHeight="1" s="341">
      <c r="L95" s="340">
        <f>IF(A95="","",SUMIF(DB_Savings!$C:$C,A95,DB_Savings!$F:$F))</f>
        <v/>
      </c>
      <c r="M95" s="340">
        <f>IF(A95="","",SUMIF(DB_Withdrawals!$C:$C,A95,DB_Withdrawals!$G:$G))</f>
        <v/>
      </c>
      <c r="N95" s="340">
        <f>IF(A95="","",I95+L95-M95)</f>
        <v/>
      </c>
      <c r="O95" s="340">
        <f>IF(A95="","",TRUE())</f>
        <v/>
      </c>
      <c r="P95" s="340">
        <f>IF(A95="","",MAX(0,N95-System_Config!$B$9))</f>
        <v/>
      </c>
    </row>
    <row r="96" ht="15" customHeight="1" s="341">
      <c r="L96" s="340">
        <f>IF(A96="","",SUMIF(DB_Savings!$C:$C,A96,DB_Savings!$F:$F))</f>
        <v/>
      </c>
      <c r="M96" s="340">
        <f>IF(A96="","",SUMIF(DB_Withdrawals!$C:$C,A96,DB_Withdrawals!$G:$G))</f>
        <v/>
      </c>
      <c r="N96" s="340">
        <f>IF(A96="","",I96+L96-M96)</f>
        <v/>
      </c>
      <c r="O96" s="340">
        <f>IF(A96="","",TRUE())</f>
        <v/>
      </c>
      <c r="P96" s="340">
        <f>IF(A96="","",MAX(0,N96-System_Config!$B$9))</f>
        <v/>
      </c>
    </row>
    <row r="97" ht="15" customHeight="1" s="341">
      <c r="L97" s="340">
        <f>IF(A97="","",SUMIF(DB_Savings!$C:$C,A97,DB_Savings!$F:$F))</f>
        <v/>
      </c>
      <c r="M97" s="340">
        <f>IF(A97="","",SUMIF(DB_Withdrawals!$C:$C,A97,DB_Withdrawals!$G:$G))</f>
        <v/>
      </c>
      <c r="N97" s="340">
        <f>IF(A97="","",I97+L97-M97)</f>
        <v/>
      </c>
      <c r="O97" s="340">
        <f>IF(A97="","",TRUE())</f>
        <v/>
      </c>
      <c r="P97" s="340">
        <f>IF(A97="","",MAX(0,N97-System_Config!$B$9))</f>
        <v/>
      </c>
    </row>
    <row r="98" ht="15" customHeight="1" s="341">
      <c r="L98" s="340">
        <f>IF(A98="","",SUMIF(DB_Savings!$C:$C,A98,DB_Savings!$F:$F))</f>
        <v/>
      </c>
      <c r="M98" s="340">
        <f>IF(A98="","",SUMIF(DB_Withdrawals!$C:$C,A98,DB_Withdrawals!$G:$G))</f>
        <v/>
      </c>
      <c r="N98" s="340">
        <f>IF(A98="","",I98+L98-M98)</f>
        <v/>
      </c>
      <c r="O98" s="340">
        <f>IF(A98="","",TRUE())</f>
        <v/>
      </c>
      <c r="P98" s="340">
        <f>IF(A98="","",MAX(0,N98-System_Config!$B$9))</f>
        <v/>
      </c>
    </row>
    <row r="99" ht="15" customHeight="1" s="341">
      <c r="L99" s="340">
        <f>IF(A99="","",SUMIF(DB_Savings!$C:$C,A99,DB_Savings!$F:$F))</f>
        <v/>
      </c>
      <c r="M99" s="340">
        <f>IF(A99="","",SUMIF(DB_Withdrawals!$C:$C,A99,DB_Withdrawals!$G:$G))</f>
        <v/>
      </c>
      <c r="N99" s="340">
        <f>IF(A99="","",I99+L99-M99)</f>
        <v/>
      </c>
      <c r="O99" s="340">
        <f>IF(A99="","",TRUE())</f>
        <v/>
      </c>
      <c r="P99" s="340">
        <f>IF(A99="","",MAX(0,N99-System_Config!$B$9))</f>
        <v/>
      </c>
    </row>
    <row r="100" ht="15" customHeight="1" s="341">
      <c r="L100" s="340">
        <f>IF(A100="","",SUMIF(DB_Savings!$C:$C,A100,DB_Savings!$F:$F))</f>
        <v/>
      </c>
      <c r="M100" s="340">
        <f>IF(A100="","",SUMIF(DB_Withdrawals!$C:$C,A100,DB_Withdrawals!$G:$G))</f>
        <v/>
      </c>
      <c r="N100" s="340">
        <f>IF(A100="","",I100+L100-M100)</f>
        <v/>
      </c>
      <c r="O100" s="340">
        <f>IF(A100="","",TRUE())</f>
        <v/>
      </c>
      <c r="P100" s="340">
        <f>IF(A100="","",MAX(0,N100-System_Config!$B$9))</f>
        <v/>
      </c>
    </row>
    <row r="101" ht="15" customHeight="1" s="341">
      <c r="L101" s="340">
        <f>IF(A101="","",SUMIF(DB_Savings!$C:$C,A101,DB_Savings!$F:$F))</f>
        <v/>
      </c>
      <c r="M101" s="340">
        <f>IF(A101="","",SUMIF(DB_Withdrawals!$C:$C,A101,DB_Withdrawals!$G:$G))</f>
        <v/>
      </c>
      <c r="N101" s="340">
        <f>IF(A101="","",I101+L101-M101)</f>
        <v/>
      </c>
      <c r="O101" s="340">
        <f>IF(A101="","",TRUE())</f>
        <v/>
      </c>
      <c r="P101" s="340">
        <f>IF(A101="","",MAX(0,N101-System_Config!$B$9))</f>
        <v/>
      </c>
    </row>
    <row r="102" ht="15" customHeight="1" s="341">
      <c r="L102" s="340">
        <f>IF(A102="","",SUMIF(DB_Savings!$C:$C,A102,DB_Savings!$F:$F))</f>
        <v/>
      </c>
      <c r="M102" s="340">
        <f>IF(A102="","",SUMIF(DB_Withdrawals!$C:$C,A102,DB_Withdrawals!$G:$G))</f>
        <v/>
      </c>
      <c r="N102" s="340">
        <f>IF(A102="","",I102+L102-M102)</f>
        <v/>
      </c>
      <c r="O102" s="340">
        <f>IF(A102="","",TRUE())</f>
        <v/>
      </c>
      <c r="P102" s="340">
        <f>IF(A102="","",MAX(0,N102-System_Config!$B$9))</f>
        <v/>
      </c>
    </row>
    <row r="103" ht="15" customHeight="1" s="341">
      <c r="L103" s="340">
        <f>IF(A103="","",SUMIF(DB_Savings!$C:$C,A103,DB_Savings!$F:$F))</f>
        <v/>
      </c>
      <c r="M103" s="340">
        <f>IF(A103="","",SUMIF(DB_Withdrawals!$C:$C,A103,DB_Withdrawals!$G:$G))</f>
        <v/>
      </c>
      <c r="N103" s="340">
        <f>IF(A103="","",I103+L103-M103)</f>
        <v/>
      </c>
      <c r="O103" s="340">
        <f>IF(A103="","",TRUE())</f>
        <v/>
      </c>
      <c r="P103" s="340">
        <f>IF(A103="","",MAX(0,N103-System_Config!$B$9))</f>
        <v/>
      </c>
    </row>
    <row r="104" ht="15" customHeight="1" s="341">
      <c r="L104" s="340">
        <f>IF(A104="","",SUMIF(DB_Savings!$C:$C,A104,DB_Savings!$F:$F))</f>
        <v/>
      </c>
      <c r="M104" s="340">
        <f>IF(A104="","",SUMIF(DB_Withdrawals!$C:$C,A104,DB_Withdrawals!$G:$G))</f>
        <v/>
      </c>
      <c r="N104" s="340">
        <f>IF(A104="","",I104+L104-M104)</f>
        <v/>
      </c>
      <c r="O104" s="340">
        <f>IF(A104="","",TRUE())</f>
        <v/>
      </c>
      <c r="P104" s="340">
        <f>IF(A104="","",MAX(0,N104-System_Config!$B$9))</f>
        <v/>
      </c>
    </row>
    <row r="105" ht="15" customHeight="1" s="341">
      <c r="L105" s="340">
        <f>IF(A105="","",SUMIF(DB_Savings!$C:$C,A105,DB_Savings!$F:$F))</f>
        <v/>
      </c>
      <c r="M105" s="340">
        <f>IF(A105="","",SUMIF(DB_Withdrawals!$C:$C,A105,DB_Withdrawals!$G:$G))</f>
        <v/>
      </c>
      <c r="N105" s="340">
        <f>IF(A105="","",I105+L105-M105)</f>
        <v/>
      </c>
      <c r="O105" s="340">
        <f>IF(A105="","",TRUE())</f>
        <v/>
      </c>
      <c r="P105" s="340">
        <f>IF(A105="","",MAX(0,N105-System_Config!$B$9))</f>
        <v/>
      </c>
    </row>
    <row r="106" ht="15" customHeight="1" s="341">
      <c r="L106" s="340">
        <f>IF(A106="","",SUMIF(DB_Savings!$C:$C,A106,DB_Savings!$F:$F))</f>
        <v/>
      </c>
      <c r="M106" s="340">
        <f>IF(A106="","",SUMIF(DB_Withdrawals!$C:$C,A106,DB_Withdrawals!$G:$G))</f>
        <v/>
      </c>
      <c r="N106" s="340">
        <f>IF(A106="","",I106+L106-M106)</f>
        <v/>
      </c>
      <c r="O106" s="340">
        <f>IF(A106="","",TRUE())</f>
        <v/>
      </c>
      <c r="P106" s="340">
        <f>IF(A106="","",MAX(0,N106-System_Config!$B$9))</f>
        <v/>
      </c>
    </row>
    <row r="107" ht="15" customHeight="1" s="341">
      <c r="L107" s="340">
        <f>IF(A107="","",SUMIF(DB_Savings!$C:$C,A107,DB_Savings!$F:$F))</f>
        <v/>
      </c>
      <c r="M107" s="340">
        <f>IF(A107="","",SUMIF(DB_Withdrawals!$C:$C,A107,DB_Withdrawals!$G:$G))</f>
        <v/>
      </c>
      <c r="N107" s="340">
        <f>IF(A107="","",I107+L107-M107)</f>
        <v/>
      </c>
      <c r="O107" s="340">
        <f>IF(A107="","",TRUE())</f>
        <v/>
      </c>
      <c r="P107" s="340">
        <f>IF(A107="","",MAX(0,N107-System_Config!$B$9))</f>
        <v/>
      </c>
    </row>
    <row r="108" ht="15" customHeight="1" s="341">
      <c r="L108" s="340">
        <f>IF(A108="","",SUMIF(DB_Savings!$C:$C,A108,DB_Savings!$F:$F))</f>
        <v/>
      </c>
      <c r="M108" s="340">
        <f>IF(A108="","",SUMIF(DB_Withdrawals!$C:$C,A108,DB_Withdrawals!$G:$G))</f>
        <v/>
      </c>
      <c r="N108" s="340">
        <f>IF(A108="","",I108+L108-M108)</f>
        <v/>
      </c>
      <c r="O108" s="340">
        <f>IF(A108="","",TRUE())</f>
        <v/>
      </c>
      <c r="P108" s="340">
        <f>IF(A108="","",MAX(0,N108-System_Config!$B$9))</f>
        <v/>
      </c>
    </row>
    <row r="109" ht="15" customHeight="1" s="341">
      <c r="L109" s="340">
        <f>IF(A109="","",SUMIF(DB_Savings!$C:$C,A109,DB_Savings!$F:$F))</f>
        <v/>
      </c>
      <c r="M109" s="340">
        <f>IF(A109="","",SUMIF(DB_Withdrawals!$C:$C,A109,DB_Withdrawals!$G:$G))</f>
        <v/>
      </c>
      <c r="N109" s="340">
        <f>IF(A109="","",I109+L109-M109)</f>
        <v/>
      </c>
      <c r="O109" s="340">
        <f>IF(A109="","",TRUE())</f>
        <v/>
      </c>
      <c r="P109" s="340">
        <f>IF(A109="","",MAX(0,N109-System_Config!$B$9))</f>
        <v/>
      </c>
    </row>
    <row r="110" ht="15" customHeight="1" s="341">
      <c r="L110" s="340">
        <f>IF(A110="","",SUMIF(DB_Savings!$C:$C,A110,DB_Savings!$F:$F))</f>
        <v/>
      </c>
      <c r="M110" s="340">
        <f>IF(A110="","",SUMIF(DB_Withdrawals!$C:$C,A110,DB_Withdrawals!$G:$G))</f>
        <v/>
      </c>
      <c r="N110" s="340">
        <f>IF(A110="","",I110+L110-M110)</f>
        <v/>
      </c>
      <c r="O110" s="340">
        <f>IF(A110="","",TRUE())</f>
        <v/>
      </c>
      <c r="P110" s="340">
        <f>IF(A110="","",MAX(0,N110-System_Config!$B$9))</f>
        <v/>
      </c>
    </row>
    <row r="111" ht="15" customHeight="1" s="341">
      <c r="L111" s="340">
        <f>IF(A111="","",SUMIF(DB_Savings!$C:$C,A111,DB_Savings!$F:$F))</f>
        <v/>
      </c>
      <c r="M111" s="340">
        <f>IF(A111="","",SUMIF(DB_Withdrawals!$C:$C,A111,DB_Withdrawals!$G:$G))</f>
        <v/>
      </c>
      <c r="N111" s="340">
        <f>IF(A111="","",I111+L111-M111)</f>
        <v/>
      </c>
      <c r="O111" s="340">
        <f>IF(A111="","",TRUE())</f>
        <v/>
      </c>
      <c r="P111" s="340">
        <f>IF(A111="","",MAX(0,N111-System_Config!$B$9))</f>
        <v/>
      </c>
    </row>
    <row r="112" ht="15" customHeight="1" s="341">
      <c r="L112" s="340">
        <f>IF(A112="","",SUMIF(DB_Savings!$C:$C,A112,DB_Savings!$F:$F))</f>
        <v/>
      </c>
      <c r="M112" s="340">
        <f>IF(A112="","",SUMIF(DB_Withdrawals!$C:$C,A112,DB_Withdrawals!$G:$G))</f>
        <v/>
      </c>
      <c r="N112" s="340">
        <f>IF(A112="","",I112+L112-M112)</f>
        <v/>
      </c>
      <c r="O112" s="340">
        <f>IF(A112="","",TRUE())</f>
        <v/>
      </c>
      <c r="P112" s="340">
        <f>IF(A112="","",MAX(0,N112-System_Config!$B$9))</f>
        <v/>
      </c>
    </row>
    <row r="113" ht="15" customHeight="1" s="341">
      <c r="L113" s="340">
        <f>IF(A113="","",SUMIF(DB_Savings!$C:$C,A113,DB_Savings!$F:$F))</f>
        <v/>
      </c>
      <c r="M113" s="340">
        <f>IF(A113="","",SUMIF(DB_Withdrawals!$C:$C,A113,DB_Withdrawals!$G:$G))</f>
        <v/>
      </c>
      <c r="N113" s="340">
        <f>IF(A113="","",I113+L113-M113)</f>
        <v/>
      </c>
      <c r="O113" s="340">
        <f>IF(A113="","",TRUE())</f>
        <v/>
      </c>
      <c r="P113" s="340">
        <f>IF(A113="","",MAX(0,N113-System_Config!$B$9))</f>
        <v/>
      </c>
    </row>
    <row r="114" ht="15" customHeight="1" s="341">
      <c r="L114" s="340">
        <f>IF(A114="","",SUMIF(DB_Savings!$C:$C,A114,DB_Savings!$F:$F))</f>
        <v/>
      </c>
      <c r="M114" s="340">
        <f>IF(A114="","",SUMIF(DB_Withdrawals!$C:$C,A114,DB_Withdrawals!$G:$G))</f>
        <v/>
      </c>
      <c r="N114" s="340">
        <f>IF(A114="","",I114+L114-M114)</f>
        <v/>
      </c>
      <c r="O114" s="340">
        <f>IF(A114="","",TRUE())</f>
        <v/>
      </c>
      <c r="P114" s="340">
        <f>IF(A114="","",MAX(0,N114-System_Config!$B$9))</f>
        <v/>
      </c>
    </row>
    <row r="115" ht="15" customHeight="1" s="341">
      <c r="L115" s="340">
        <f>IF(A115="","",SUMIF(DB_Savings!$C:$C,A115,DB_Savings!$F:$F))</f>
        <v/>
      </c>
      <c r="M115" s="340">
        <f>IF(A115="","",SUMIF(DB_Withdrawals!$C:$C,A115,DB_Withdrawals!$G:$G))</f>
        <v/>
      </c>
      <c r="N115" s="340">
        <f>IF(A115="","",I115+L115-M115)</f>
        <v/>
      </c>
      <c r="O115" s="340">
        <f>IF(A115="","",TRUE())</f>
        <v/>
      </c>
      <c r="P115" s="340">
        <f>IF(A115="","",MAX(0,N115-System_Config!$B$9))</f>
        <v/>
      </c>
    </row>
    <row r="116" ht="15" customHeight="1" s="341">
      <c r="L116" s="340">
        <f>IF(A116="","",SUMIF(DB_Savings!$C:$C,A116,DB_Savings!$F:$F))</f>
        <v/>
      </c>
      <c r="M116" s="340">
        <f>IF(A116="","",SUMIF(DB_Withdrawals!$C:$C,A116,DB_Withdrawals!$G:$G))</f>
        <v/>
      </c>
      <c r="N116" s="340">
        <f>IF(A116="","",I116+L116-M116)</f>
        <v/>
      </c>
      <c r="O116" s="340">
        <f>IF(A116="","",TRUE())</f>
        <v/>
      </c>
      <c r="P116" s="340">
        <f>IF(A116="","",MAX(0,N116-System_Config!$B$9))</f>
        <v/>
      </c>
    </row>
    <row r="117" ht="15" customHeight="1" s="341">
      <c r="L117" s="340">
        <f>IF(A117="","",SUMIF(DB_Savings!$C:$C,A117,DB_Savings!$F:$F))</f>
        <v/>
      </c>
      <c r="M117" s="340">
        <f>IF(A117="","",SUMIF(DB_Withdrawals!$C:$C,A117,DB_Withdrawals!$G:$G))</f>
        <v/>
      </c>
      <c r="N117" s="340">
        <f>IF(A117="","",I117+L117-M117)</f>
        <v/>
      </c>
      <c r="O117" s="340">
        <f>IF(A117="","",TRUE())</f>
        <v/>
      </c>
      <c r="P117" s="340">
        <f>IF(A117="","",MAX(0,N117-System_Config!$B$9))</f>
        <v/>
      </c>
    </row>
    <row r="118" ht="15" customHeight="1" s="341">
      <c r="L118" s="340">
        <f>IF(A118="","",SUMIF(DB_Savings!$C:$C,A118,DB_Savings!$F:$F))</f>
        <v/>
      </c>
      <c r="M118" s="340">
        <f>IF(A118="","",SUMIF(DB_Withdrawals!$C:$C,A118,DB_Withdrawals!$G:$G))</f>
        <v/>
      </c>
      <c r="N118" s="340">
        <f>IF(A118="","",I118+L118-M118)</f>
        <v/>
      </c>
      <c r="O118" s="340">
        <f>IF(A118="","",TRUE())</f>
        <v/>
      </c>
      <c r="P118" s="340">
        <f>IF(A118="","",MAX(0,N118-System_Config!$B$9))</f>
        <v/>
      </c>
    </row>
    <row r="119" ht="15" customHeight="1" s="341">
      <c r="L119" s="340">
        <f>IF(A119="","",SUMIF(DB_Savings!$C:$C,A119,DB_Savings!$F:$F))</f>
        <v/>
      </c>
      <c r="M119" s="340">
        <f>IF(A119="","",SUMIF(DB_Withdrawals!$C:$C,A119,DB_Withdrawals!$G:$G))</f>
        <v/>
      </c>
      <c r="N119" s="340">
        <f>IF(A119="","",I119+L119-M119)</f>
        <v/>
      </c>
      <c r="O119" s="340">
        <f>IF(A119="","",TRUE())</f>
        <v/>
      </c>
      <c r="P119" s="340">
        <f>IF(A119="","",MAX(0,N119-System_Config!$B$9))</f>
        <v/>
      </c>
    </row>
    <row r="120" ht="15" customHeight="1" s="341">
      <c r="L120" s="340">
        <f>IF(A120="","",SUMIF(DB_Savings!$C:$C,A120,DB_Savings!$F:$F))</f>
        <v/>
      </c>
      <c r="M120" s="340">
        <f>IF(A120="","",SUMIF(DB_Withdrawals!$C:$C,A120,DB_Withdrawals!$G:$G))</f>
        <v/>
      </c>
      <c r="N120" s="340">
        <f>IF(A120="","",I120+L120-M120)</f>
        <v/>
      </c>
      <c r="O120" s="340">
        <f>IF(A120="","",TRUE())</f>
        <v/>
      </c>
      <c r="P120" s="340">
        <f>IF(A120="","",MAX(0,N120-System_Config!$B$9))</f>
        <v/>
      </c>
    </row>
    <row r="121" ht="15" customHeight="1" s="341">
      <c r="L121" s="340">
        <f>IF(A121="","",SUMIF(DB_Savings!$C:$C,A121,DB_Savings!$F:$F))</f>
        <v/>
      </c>
      <c r="M121" s="340">
        <f>IF(A121="","",SUMIF(DB_Withdrawals!$C:$C,A121,DB_Withdrawals!$G:$G))</f>
        <v/>
      </c>
      <c r="N121" s="340">
        <f>IF(A121="","",I121+L121-M121)</f>
        <v/>
      </c>
      <c r="O121" s="340">
        <f>IF(A121="","",TRUE())</f>
        <v/>
      </c>
      <c r="P121" s="340">
        <f>IF(A121="","",MAX(0,N121-System_Config!$B$9))</f>
        <v/>
      </c>
    </row>
    <row r="122" ht="15" customHeight="1" s="341">
      <c r="L122" s="340">
        <f>IF(A122="","",SUMIF(DB_Savings!$C:$C,A122,DB_Savings!$F:$F))</f>
        <v/>
      </c>
      <c r="M122" s="340">
        <f>IF(A122="","",SUMIF(DB_Withdrawals!$C:$C,A122,DB_Withdrawals!$G:$G))</f>
        <v/>
      </c>
      <c r="N122" s="340">
        <f>IF(A122="","",I122+L122-M122)</f>
        <v/>
      </c>
      <c r="O122" s="340">
        <f>IF(A122="","",TRUE())</f>
        <v/>
      </c>
      <c r="P122" s="340">
        <f>IF(A122="","",MAX(0,N122-System_Config!$B$9))</f>
        <v/>
      </c>
    </row>
    <row r="123" ht="15" customHeight="1" s="341">
      <c r="L123" s="340">
        <f>IF(A123="","",SUMIF(DB_Savings!$C:$C,A123,DB_Savings!$F:$F))</f>
        <v/>
      </c>
      <c r="M123" s="340">
        <f>IF(A123="","",SUMIF(DB_Withdrawals!$C:$C,A123,DB_Withdrawals!$G:$G))</f>
        <v/>
      </c>
      <c r="N123" s="340">
        <f>IF(A123="","",I123+L123-M123)</f>
        <v/>
      </c>
      <c r="O123" s="340">
        <f>IF(A123="","",TRUE())</f>
        <v/>
      </c>
      <c r="P123" s="340">
        <f>IF(A123="","",MAX(0,N123-System_Config!$B$9))</f>
        <v/>
      </c>
    </row>
    <row r="124" ht="15" customHeight="1" s="341">
      <c r="L124" s="340">
        <f>IF(A124="","",SUMIF(DB_Savings!$C:$C,A124,DB_Savings!$F:$F))</f>
        <v/>
      </c>
      <c r="M124" s="340">
        <f>IF(A124="","",SUMIF(DB_Withdrawals!$C:$C,A124,DB_Withdrawals!$G:$G))</f>
        <v/>
      </c>
      <c r="N124" s="340">
        <f>IF(A124="","",I124+L124-M124)</f>
        <v/>
      </c>
      <c r="O124" s="340">
        <f>IF(A124="","",TRUE())</f>
        <v/>
      </c>
      <c r="P124" s="340">
        <f>IF(A124="","",MAX(0,N124-System_Config!$B$9))</f>
        <v/>
      </c>
    </row>
    <row r="125" ht="15" customHeight="1" s="341">
      <c r="L125" s="340">
        <f>IF(A125="","",SUMIF(DB_Savings!$C:$C,A125,DB_Savings!$F:$F))</f>
        <v/>
      </c>
      <c r="M125" s="340">
        <f>IF(A125="","",SUMIF(DB_Withdrawals!$C:$C,A125,DB_Withdrawals!$G:$G))</f>
        <v/>
      </c>
      <c r="N125" s="340">
        <f>IF(A125="","",I125+L125-M125)</f>
        <v/>
      </c>
      <c r="O125" s="340">
        <f>IF(A125="","",TRUE())</f>
        <v/>
      </c>
      <c r="P125" s="340">
        <f>IF(A125="","",MAX(0,N125-System_Config!$B$9))</f>
        <v/>
      </c>
    </row>
    <row r="126" ht="15" customHeight="1" s="341">
      <c r="L126" s="340">
        <f>IF(A126="","",SUMIF(DB_Savings!$C:$C,A126,DB_Savings!$F:$F))</f>
        <v/>
      </c>
      <c r="M126" s="340">
        <f>IF(A126="","",SUMIF(DB_Withdrawals!$C:$C,A126,DB_Withdrawals!$G:$G))</f>
        <v/>
      </c>
      <c r="N126" s="340">
        <f>IF(A126="","",I126+L126-M126)</f>
        <v/>
      </c>
      <c r="O126" s="340">
        <f>IF(A126="","",TRUE())</f>
        <v/>
      </c>
      <c r="P126" s="340">
        <f>IF(A126="","",MAX(0,N126-System_Config!$B$9))</f>
        <v/>
      </c>
    </row>
    <row r="127" ht="15" customHeight="1" s="341">
      <c r="L127" s="340">
        <f>IF(A127="","",SUMIF(DB_Savings!$C:$C,A127,DB_Savings!$F:$F))</f>
        <v/>
      </c>
      <c r="M127" s="340">
        <f>IF(A127="","",SUMIF(DB_Withdrawals!$C:$C,A127,DB_Withdrawals!$G:$G))</f>
        <v/>
      </c>
      <c r="N127" s="340">
        <f>IF(A127="","",I127+L127-M127)</f>
        <v/>
      </c>
      <c r="O127" s="340">
        <f>IF(A127="","",TRUE())</f>
        <v/>
      </c>
      <c r="P127" s="340">
        <f>IF(A127="","",MAX(0,N127-System_Config!$B$9))</f>
        <v/>
      </c>
    </row>
    <row r="128" ht="15" customHeight="1" s="341">
      <c r="L128" s="340">
        <f>IF(A128="","",SUMIF(DB_Savings!$C:$C,A128,DB_Savings!$F:$F))</f>
        <v/>
      </c>
      <c r="M128" s="340">
        <f>IF(A128="","",SUMIF(DB_Withdrawals!$C:$C,A128,DB_Withdrawals!$G:$G))</f>
        <v/>
      </c>
      <c r="N128" s="340">
        <f>IF(A128="","",I128+L128-M128)</f>
        <v/>
      </c>
      <c r="O128" s="340">
        <f>IF(A128="","",TRUE())</f>
        <v/>
      </c>
      <c r="P128" s="340">
        <f>IF(A128="","",MAX(0,N128-System_Config!$B$9))</f>
        <v/>
      </c>
    </row>
    <row r="129" ht="15" customHeight="1" s="341">
      <c r="L129" s="340">
        <f>IF(A129="","",SUMIF(DB_Savings!$C:$C,A129,DB_Savings!$F:$F))</f>
        <v/>
      </c>
      <c r="M129" s="340">
        <f>IF(A129="","",SUMIF(DB_Withdrawals!$C:$C,A129,DB_Withdrawals!$G:$G))</f>
        <v/>
      </c>
      <c r="N129" s="340">
        <f>IF(A129="","",I129+L129-M129)</f>
        <v/>
      </c>
      <c r="O129" s="340">
        <f>IF(A129="","",TRUE())</f>
        <v/>
      </c>
      <c r="P129" s="340">
        <f>IF(A129="","",MAX(0,N129-System_Config!$B$9))</f>
        <v/>
      </c>
    </row>
    <row r="130" ht="15" customHeight="1" s="341">
      <c r="L130" s="340">
        <f>IF(A130="","",SUMIF(DB_Savings!$C:$C,A130,DB_Savings!$F:$F))</f>
        <v/>
      </c>
      <c r="M130" s="340">
        <f>IF(A130="","",SUMIF(DB_Withdrawals!$C:$C,A130,DB_Withdrawals!$G:$G))</f>
        <v/>
      </c>
      <c r="N130" s="340">
        <f>IF(A130="","",I130+L130-M130)</f>
        <v/>
      </c>
      <c r="O130" s="340">
        <f>IF(A130="","",TRUE())</f>
        <v/>
      </c>
      <c r="P130" s="340">
        <f>IF(A130="","",MAX(0,N130-System_Config!$B$9))</f>
        <v/>
      </c>
    </row>
    <row r="131" ht="15" customHeight="1" s="341">
      <c r="L131" s="340">
        <f>IF(A131="","",SUMIF(DB_Savings!$C:$C,A131,DB_Savings!$F:$F))</f>
        <v/>
      </c>
      <c r="M131" s="340">
        <f>IF(A131="","",SUMIF(DB_Withdrawals!$C:$C,A131,DB_Withdrawals!$G:$G))</f>
        <v/>
      </c>
      <c r="N131" s="340">
        <f>IF(A131="","",I131+L131-M131)</f>
        <v/>
      </c>
      <c r="O131" s="340">
        <f>IF(A131="","",TRUE())</f>
        <v/>
      </c>
      <c r="P131" s="340">
        <f>IF(A131="","",MAX(0,N131-System_Config!$B$9))</f>
        <v/>
      </c>
    </row>
    <row r="132" ht="15" customHeight="1" s="341">
      <c r="L132" s="340">
        <f>IF(A132="","",SUMIF(DB_Savings!$C:$C,A132,DB_Savings!$F:$F))</f>
        <v/>
      </c>
      <c r="M132" s="340">
        <f>IF(A132="","",SUMIF(DB_Withdrawals!$C:$C,A132,DB_Withdrawals!$G:$G))</f>
        <v/>
      </c>
      <c r="N132" s="340">
        <f>IF(A132="","",I132+L132-M132)</f>
        <v/>
      </c>
      <c r="O132" s="340">
        <f>IF(A132="","",TRUE())</f>
        <v/>
      </c>
      <c r="P132" s="340">
        <f>IF(A132="","",MAX(0,N132-System_Config!$B$9))</f>
        <v/>
      </c>
    </row>
    <row r="133" ht="15" customHeight="1" s="341">
      <c r="L133" s="340">
        <f>IF(A133="","",SUMIF(DB_Savings!$C:$C,A133,DB_Savings!$F:$F))</f>
        <v/>
      </c>
      <c r="M133" s="340">
        <f>IF(A133="","",SUMIF(DB_Withdrawals!$C:$C,A133,DB_Withdrawals!$G:$G))</f>
        <v/>
      </c>
      <c r="N133" s="340">
        <f>IF(A133="","",I133+L133-M133)</f>
        <v/>
      </c>
      <c r="O133" s="340">
        <f>IF(A133="","",TRUE())</f>
        <v/>
      </c>
      <c r="P133" s="340">
        <f>IF(A133="","",MAX(0,N133-System_Config!$B$9))</f>
        <v/>
      </c>
    </row>
    <row r="134" ht="15" customHeight="1" s="341">
      <c r="L134" s="340">
        <f>IF(A134="","",SUMIF(DB_Savings!$C:$C,A134,DB_Savings!$F:$F))</f>
        <v/>
      </c>
      <c r="M134" s="340">
        <f>IF(A134="","",SUMIF(DB_Withdrawals!$C:$C,A134,DB_Withdrawals!$G:$G))</f>
        <v/>
      </c>
      <c r="N134" s="340">
        <f>IF(A134="","",I134+L134-M134)</f>
        <v/>
      </c>
      <c r="O134" s="340">
        <f>IF(A134="","",TRUE())</f>
        <v/>
      </c>
      <c r="P134" s="340">
        <f>IF(A134="","",MAX(0,N134-System_Config!$B$9))</f>
        <v/>
      </c>
    </row>
    <row r="135" ht="15" customHeight="1" s="341">
      <c r="L135" s="340">
        <f>IF(A135="","",SUMIF(DB_Savings!$C:$C,A135,DB_Savings!$F:$F))</f>
        <v/>
      </c>
      <c r="M135" s="340">
        <f>IF(A135="","",SUMIF(DB_Withdrawals!$C:$C,A135,DB_Withdrawals!$G:$G))</f>
        <v/>
      </c>
      <c r="N135" s="340">
        <f>IF(A135="","",I135+L135-M135)</f>
        <v/>
      </c>
      <c r="O135" s="340">
        <f>IF(A135="","",TRUE())</f>
        <v/>
      </c>
      <c r="P135" s="340">
        <f>IF(A135="","",MAX(0,N135-System_Config!$B$9))</f>
        <v/>
      </c>
    </row>
    <row r="136" ht="15" customHeight="1" s="341">
      <c r="L136" s="340">
        <f>IF(A136="","",SUMIF(DB_Savings!$C:$C,A136,DB_Savings!$F:$F))</f>
        <v/>
      </c>
      <c r="M136" s="340">
        <f>IF(A136="","",SUMIF(DB_Withdrawals!$C:$C,A136,DB_Withdrawals!$G:$G))</f>
        <v/>
      </c>
      <c r="N136" s="340">
        <f>IF(A136="","",I136+L136-M136)</f>
        <v/>
      </c>
      <c r="O136" s="340">
        <f>IF(A136="","",TRUE())</f>
        <v/>
      </c>
      <c r="P136" s="340">
        <f>IF(A136="","",MAX(0,N136-System_Config!$B$9))</f>
        <v/>
      </c>
    </row>
    <row r="137" ht="15" customHeight="1" s="341">
      <c r="L137" s="340">
        <f>IF(A137="","",SUMIF(DB_Savings!$C:$C,A137,DB_Savings!$F:$F))</f>
        <v/>
      </c>
      <c r="M137" s="340">
        <f>IF(A137="","",SUMIF(DB_Withdrawals!$C:$C,A137,DB_Withdrawals!$G:$G))</f>
        <v/>
      </c>
      <c r="N137" s="340">
        <f>IF(A137="","",I137+L137-M137)</f>
        <v/>
      </c>
      <c r="O137" s="340">
        <f>IF(A137="","",TRUE())</f>
        <v/>
      </c>
      <c r="P137" s="340">
        <f>IF(A137="","",MAX(0,N137-System_Config!$B$9))</f>
        <v/>
      </c>
    </row>
    <row r="138" ht="15" customHeight="1" s="341">
      <c r="L138" s="340">
        <f>IF(A138="","",SUMIF(DB_Savings!$C:$C,A138,DB_Savings!$F:$F))</f>
        <v/>
      </c>
      <c r="M138" s="340">
        <f>IF(A138="","",SUMIF(DB_Withdrawals!$C:$C,A138,DB_Withdrawals!$G:$G))</f>
        <v/>
      </c>
      <c r="N138" s="340">
        <f>IF(A138="","",I138+L138-M138)</f>
        <v/>
      </c>
      <c r="O138" s="340">
        <f>IF(A138="","",TRUE())</f>
        <v/>
      </c>
      <c r="P138" s="340">
        <f>IF(A138="","",MAX(0,N138-System_Config!$B$9))</f>
        <v/>
      </c>
    </row>
    <row r="139" ht="15" customHeight="1" s="341">
      <c r="L139" s="340">
        <f>IF(A139="","",SUMIF(DB_Savings!$C:$C,A139,DB_Savings!$F:$F))</f>
        <v/>
      </c>
      <c r="M139" s="340">
        <f>IF(A139="","",SUMIF(DB_Withdrawals!$C:$C,A139,DB_Withdrawals!$G:$G))</f>
        <v/>
      </c>
      <c r="N139" s="340">
        <f>IF(A139="","",I139+L139-M139)</f>
        <v/>
      </c>
      <c r="O139" s="340">
        <f>IF(A139="","",TRUE())</f>
        <v/>
      </c>
      <c r="P139" s="340">
        <f>IF(A139="","",MAX(0,N139-System_Config!$B$9))</f>
        <v/>
      </c>
    </row>
    <row r="140" ht="15" customHeight="1" s="341">
      <c r="L140" s="340">
        <f>IF(A140="","",SUMIF(DB_Savings!$C:$C,A140,DB_Savings!$F:$F))</f>
        <v/>
      </c>
      <c r="M140" s="340">
        <f>IF(A140="","",SUMIF(DB_Withdrawals!$C:$C,A140,DB_Withdrawals!$G:$G))</f>
        <v/>
      </c>
      <c r="N140" s="340">
        <f>IF(A140="","",I140+L140-M140)</f>
        <v/>
      </c>
      <c r="O140" s="340">
        <f>IF(A140="","",TRUE())</f>
        <v/>
      </c>
      <c r="P140" s="340">
        <f>IF(A140="","",MAX(0,N140-System_Config!$B$9))</f>
        <v/>
      </c>
    </row>
    <row r="141" ht="15" customHeight="1" s="341">
      <c r="L141" s="340">
        <f>IF(A141="","",SUMIF(DB_Savings!$C:$C,A141,DB_Savings!$F:$F))</f>
        <v/>
      </c>
      <c r="M141" s="340">
        <f>IF(A141="","",SUMIF(DB_Withdrawals!$C:$C,A141,DB_Withdrawals!$G:$G))</f>
        <v/>
      </c>
      <c r="N141" s="340">
        <f>IF(A141="","",I141+L141-M141)</f>
        <v/>
      </c>
      <c r="O141" s="340">
        <f>IF(A141="","",TRUE())</f>
        <v/>
      </c>
      <c r="P141" s="340">
        <f>IF(A141="","",MAX(0,N141-System_Config!$B$9))</f>
        <v/>
      </c>
    </row>
    <row r="142" ht="15" customHeight="1" s="341">
      <c r="L142" s="340">
        <f>IF(A142="","",SUMIF(DB_Savings!$C:$C,A142,DB_Savings!$F:$F))</f>
        <v/>
      </c>
      <c r="M142" s="340">
        <f>IF(A142="","",SUMIF(DB_Withdrawals!$C:$C,A142,DB_Withdrawals!$G:$G))</f>
        <v/>
      </c>
      <c r="N142" s="340">
        <f>IF(A142="","",I142+L142-M142)</f>
        <v/>
      </c>
      <c r="O142" s="340">
        <f>IF(A142="","",TRUE())</f>
        <v/>
      </c>
      <c r="P142" s="340">
        <f>IF(A142="","",MAX(0,N142-System_Config!$B$9))</f>
        <v/>
      </c>
    </row>
    <row r="143" ht="15" customHeight="1" s="341">
      <c r="L143" s="340">
        <f>IF(A143="","",SUMIF(DB_Savings!$C:$C,A143,DB_Savings!$F:$F))</f>
        <v/>
      </c>
      <c r="M143" s="340">
        <f>IF(A143="","",SUMIF(DB_Withdrawals!$C:$C,A143,DB_Withdrawals!$G:$G))</f>
        <v/>
      </c>
      <c r="N143" s="340">
        <f>IF(A143="","",I143+L143-M143)</f>
        <v/>
      </c>
      <c r="O143" s="340">
        <f>IF(A143="","",TRUE())</f>
        <v/>
      </c>
      <c r="P143" s="340">
        <f>IF(A143="","",MAX(0,N143-System_Config!$B$9))</f>
        <v/>
      </c>
    </row>
    <row r="144" ht="15" customHeight="1" s="341">
      <c r="L144" s="340">
        <f>IF(A144="","",SUMIF(DB_Savings!$C:$C,A144,DB_Savings!$F:$F))</f>
        <v/>
      </c>
      <c r="M144" s="340">
        <f>IF(A144="","",SUMIF(DB_Withdrawals!$C:$C,A144,DB_Withdrawals!$G:$G))</f>
        <v/>
      </c>
      <c r="N144" s="340">
        <f>IF(A144="","",I144+L144-M144)</f>
        <v/>
      </c>
      <c r="O144" s="340">
        <f>IF(A144="","",TRUE())</f>
        <v/>
      </c>
      <c r="P144" s="340">
        <f>IF(A144="","",MAX(0,N144-System_Config!$B$9))</f>
        <v/>
      </c>
    </row>
    <row r="145" ht="15" customHeight="1" s="341">
      <c r="L145" s="340">
        <f>IF(A145="","",SUMIF(DB_Savings!$C:$C,A145,DB_Savings!$F:$F))</f>
        <v/>
      </c>
      <c r="M145" s="340">
        <f>IF(A145="","",SUMIF(DB_Withdrawals!$C:$C,A145,DB_Withdrawals!$G:$G))</f>
        <v/>
      </c>
      <c r="N145" s="340">
        <f>IF(A145="","",I145+L145-M145)</f>
        <v/>
      </c>
      <c r="O145" s="340">
        <f>IF(A145="","",TRUE())</f>
        <v/>
      </c>
      <c r="P145" s="340">
        <f>IF(A145="","",MAX(0,N145-System_Config!$B$9))</f>
        <v/>
      </c>
    </row>
    <row r="146" ht="15" customHeight="1" s="341">
      <c r="L146" s="340">
        <f>IF(A146="","",SUMIF(DB_Savings!$C:$C,A146,DB_Savings!$F:$F))</f>
        <v/>
      </c>
      <c r="M146" s="340">
        <f>IF(A146="","",SUMIF(DB_Withdrawals!$C:$C,A146,DB_Withdrawals!$G:$G))</f>
        <v/>
      </c>
      <c r="N146" s="340">
        <f>IF(A146="","",I146+L146-M146)</f>
        <v/>
      </c>
      <c r="O146" s="340">
        <f>IF(A146="","",TRUE())</f>
        <v/>
      </c>
      <c r="P146" s="340">
        <f>IF(A146="","",MAX(0,N146-System_Config!$B$9))</f>
        <v/>
      </c>
    </row>
    <row r="147" ht="15" customHeight="1" s="341">
      <c r="L147" s="340">
        <f>IF(A147="","",SUMIF(DB_Savings!$C:$C,A147,DB_Savings!$F:$F))</f>
        <v/>
      </c>
      <c r="M147" s="340">
        <f>IF(A147="","",SUMIF(DB_Withdrawals!$C:$C,A147,DB_Withdrawals!$G:$G))</f>
        <v/>
      </c>
      <c r="N147" s="340">
        <f>IF(A147="","",I147+L147-M147)</f>
        <v/>
      </c>
      <c r="O147" s="340">
        <f>IF(A147="","",TRUE())</f>
        <v/>
      </c>
      <c r="P147" s="340">
        <f>IF(A147="","",MAX(0,N147-System_Config!$B$9))</f>
        <v/>
      </c>
    </row>
    <row r="148" ht="15" customHeight="1" s="341">
      <c r="L148" s="340">
        <f>IF(A148="","",SUMIF(DB_Savings!$C:$C,A148,DB_Savings!$F:$F))</f>
        <v/>
      </c>
      <c r="M148" s="340">
        <f>IF(A148="","",SUMIF(DB_Withdrawals!$C:$C,A148,DB_Withdrawals!$G:$G))</f>
        <v/>
      </c>
      <c r="N148" s="340">
        <f>IF(A148="","",I148+L148-M148)</f>
        <v/>
      </c>
      <c r="O148" s="340">
        <f>IF(A148="","",TRUE())</f>
        <v/>
      </c>
      <c r="P148" s="340">
        <f>IF(A148="","",MAX(0,N148-System_Config!$B$9))</f>
        <v/>
      </c>
    </row>
    <row r="149" ht="15" customHeight="1" s="341">
      <c r="L149" s="340">
        <f>IF(A149="","",SUMIF(DB_Savings!$C:$C,A149,DB_Savings!$F:$F))</f>
        <v/>
      </c>
      <c r="M149" s="340">
        <f>IF(A149="","",SUMIF(DB_Withdrawals!$C:$C,A149,DB_Withdrawals!$G:$G))</f>
        <v/>
      </c>
      <c r="N149" s="340">
        <f>IF(A149="","",I149+L149-M149)</f>
        <v/>
      </c>
      <c r="O149" s="340">
        <f>IF(A149="","",TRUE())</f>
        <v/>
      </c>
      <c r="P149" s="340">
        <f>IF(A149="","",MAX(0,N149-System_Config!$B$9))</f>
        <v/>
      </c>
    </row>
    <row r="150" ht="15" customHeight="1" s="341">
      <c r="L150" s="340">
        <f>IF(A150="","",SUMIF(DB_Savings!$C:$C,A150,DB_Savings!$F:$F))</f>
        <v/>
      </c>
      <c r="M150" s="340">
        <f>IF(A150="","",SUMIF(DB_Withdrawals!$C:$C,A150,DB_Withdrawals!$G:$G))</f>
        <v/>
      </c>
      <c r="N150" s="340">
        <f>IF(A150="","",I150+L150-M150)</f>
        <v/>
      </c>
      <c r="O150" s="340">
        <f>IF(A150="","",TRUE())</f>
        <v/>
      </c>
      <c r="P150" s="340">
        <f>IF(A150="","",MAX(0,N150-System_Config!$B$9))</f>
        <v/>
      </c>
    </row>
    <row r="151" ht="15" customHeight="1" s="341">
      <c r="L151" s="340">
        <f>IF(A151="","",SUMIF(DB_Savings!$C:$C,A151,DB_Savings!$F:$F))</f>
        <v/>
      </c>
      <c r="M151" s="340">
        <f>IF(A151="","",SUMIF(DB_Withdrawals!$C:$C,A151,DB_Withdrawals!$G:$G))</f>
        <v/>
      </c>
      <c r="N151" s="340">
        <f>IF(A151="","",I151+L151-M151)</f>
        <v/>
      </c>
      <c r="O151" s="340">
        <f>IF(A151="","",TRUE())</f>
        <v/>
      </c>
      <c r="P151" s="340">
        <f>IF(A151="","",MAX(0,N151-System_Config!$B$9))</f>
        <v/>
      </c>
    </row>
    <row r="152" ht="15" customHeight="1" s="341">
      <c r="L152" s="340">
        <f>IF(A152="","",SUMIF(DB_Savings!$C:$C,A152,DB_Savings!$F:$F))</f>
        <v/>
      </c>
      <c r="M152" s="340">
        <f>IF(A152="","",SUMIF(DB_Withdrawals!$C:$C,A152,DB_Withdrawals!$G:$G))</f>
        <v/>
      </c>
      <c r="N152" s="340">
        <f>IF(A152="","",I152+L152-M152)</f>
        <v/>
      </c>
      <c r="O152" s="340">
        <f>IF(A152="","",TRUE())</f>
        <v/>
      </c>
      <c r="P152" s="340">
        <f>IF(A152="","",MAX(0,N152-System_Config!$B$9))</f>
        <v/>
      </c>
    </row>
    <row r="153" ht="15" customHeight="1" s="341">
      <c r="L153" s="340">
        <f>IF(A153="","",SUMIF(DB_Savings!$C:$C,A153,DB_Savings!$F:$F))</f>
        <v/>
      </c>
      <c r="M153" s="340">
        <f>IF(A153="","",SUMIF(DB_Withdrawals!$C:$C,A153,DB_Withdrawals!$G:$G))</f>
        <v/>
      </c>
      <c r="N153" s="340">
        <f>IF(A153="","",I153+L153-M153)</f>
        <v/>
      </c>
      <c r="O153" s="340">
        <f>IF(A153="","",TRUE())</f>
        <v/>
      </c>
      <c r="P153" s="340">
        <f>IF(A153="","",MAX(0,N153-System_Config!$B$9))</f>
        <v/>
      </c>
    </row>
    <row r="154" ht="15" customHeight="1" s="341">
      <c r="L154" s="340">
        <f>IF(A154="","",SUMIF(DB_Savings!$C:$C,A154,DB_Savings!$F:$F))</f>
        <v/>
      </c>
      <c r="M154" s="340">
        <f>IF(A154="","",SUMIF(DB_Withdrawals!$C:$C,A154,DB_Withdrawals!$G:$G))</f>
        <v/>
      </c>
      <c r="N154" s="340">
        <f>IF(A154="","",I154+L154-M154)</f>
        <v/>
      </c>
      <c r="O154" s="340">
        <f>IF(A154="","",TRUE())</f>
        <v/>
      </c>
      <c r="P154" s="340">
        <f>IF(A154="","",MAX(0,N154-System_Config!$B$9))</f>
        <v/>
      </c>
    </row>
    <row r="155" ht="15" customHeight="1" s="341">
      <c r="L155" s="340">
        <f>IF(A155="","",SUMIF(DB_Savings!$C:$C,A155,DB_Savings!$F:$F))</f>
        <v/>
      </c>
      <c r="M155" s="340">
        <f>IF(A155="","",SUMIF(DB_Withdrawals!$C:$C,A155,DB_Withdrawals!$G:$G))</f>
        <v/>
      </c>
      <c r="N155" s="340">
        <f>IF(A155="","",I155+L155-M155)</f>
        <v/>
      </c>
      <c r="O155" s="340">
        <f>IF(A155="","",TRUE())</f>
        <v/>
      </c>
      <c r="P155" s="340">
        <f>IF(A155="","",MAX(0,N155-System_Config!$B$9))</f>
        <v/>
      </c>
    </row>
    <row r="156" ht="15" customHeight="1" s="341">
      <c r="L156" s="340">
        <f>IF(A156="","",SUMIF(DB_Savings!$C:$C,A156,DB_Savings!$F:$F))</f>
        <v/>
      </c>
      <c r="M156" s="340">
        <f>IF(A156="","",SUMIF(DB_Withdrawals!$C:$C,A156,DB_Withdrawals!$G:$G))</f>
        <v/>
      </c>
      <c r="N156" s="340">
        <f>IF(A156="","",I156+L156-M156)</f>
        <v/>
      </c>
      <c r="O156" s="340">
        <f>IF(A156="","",TRUE())</f>
        <v/>
      </c>
      <c r="P156" s="340">
        <f>IF(A156="","",MAX(0,N156-System_Config!$B$9))</f>
        <v/>
      </c>
    </row>
    <row r="157" ht="15" customHeight="1" s="341">
      <c r="L157" s="340">
        <f>IF(A157="","",SUMIF(DB_Savings!$C:$C,A157,DB_Savings!$F:$F))</f>
        <v/>
      </c>
      <c r="M157" s="340">
        <f>IF(A157="","",SUMIF(DB_Withdrawals!$C:$C,A157,DB_Withdrawals!$G:$G))</f>
        <v/>
      </c>
      <c r="N157" s="340">
        <f>IF(A157="","",I157+L157-M157)</f>
        <v/>
      </c>
      <c r="O157" s="340">
        <f>IF(A157="","",TRUE())</f>
        <v/>
      </c>
      <c r="P157" s="340">
        <f>IF(A157="","",MAX(0,N157-System_Config!$B$9))</f>
        <v/>
      </c>
    </row>
    <row r="158" ht="15" customHeight="1" s="341">
      <c r="L158" s="340">
        <f>IF(A158="","",SUMIF(DB_Savings!$C:$C,A158,DB_Savings!$F:$F))</f>
        <v/>
      </c>
      <c r="M158" s="340">
        <f>IF(A158="","",SUMIF(DB_Withdrawals!$C:$C,A158,DB_Withdrawals!$G:$G))</f>
        <v/>
      </c>
      <c r="N158" s="340">
        <f>IF(A158="","",I158+L158-M158)</f>
        <v/>
      </c>
      <c r="O158" s="340">
        <f>IF(A158="","",TRUE())</f>
        <v/>
      </c>
      <c r="P158" s="340">
        <f>IF(A158="","",MAX(0,N158-System_Config!$B$9))</f>
        <v/>
      </c>
    </row>
    <row r="159" ht="15" customHeight="1" s="341">
      <c r="L159" s="340">
        <f>IF(A159="","",SUMIF(DB_Savings!$C:$C,A159,DB_Savings!$F:$F))</f>
        <v/>
      </c>
      <c r="M159" s="340">
        <f>IF(A159="","",SUMIF(DB_Withdrawals!$C:$C,A159,DB_Withdrawals!$G:$G))</f>
        <v/>
      </c>
      <c r="N159" s="340">
        <f>IF(A159="","",I159+L159-M159)</f>
        <v/>
      </c>
      <c r="O159" s="340">
        <f>IF(A159="","",TRUE())</f>
        <v/>
      </c>
      <c r="P159" s="340">
        <f>IF(A159="","",MAX(0,N159-System_Config!$B$9))</f>
        <v/>
      </c>
    </row>
    <row r="160" ht="15" customHeight="1" s="341">
      <c r="L160" s="340">
        <f>IF(A160="","",SUMIF(DB_Savings!$C:$C,A160,DB_Savings!$F:$F))</f>
        <v/>
      </c>
      <c r="M160" s="340">
        <f>IF(A160="","",SUMIF(DB_Withdrawals!$C:$C,A160,DB_Withdrawals!$G:$G))</f>
        <v/>
      </c>
      <c r="N160" s="340">
        <f>IF(A160="","",I160+L160-M160)</f>
        <v/>
      </c>
      <c r="O160" s="340">
        <f>IF(A160="","",TRUE())</f>
        <v/>
      </c>
      <c r="P160" s="340">
        <f>IF(A160="","",MAX(0,N160-System_Config!$B$9))</f>
        <v/>
      </c>
    </row>
    <row r="161" ht="15" customHeight="1" s="341">
      <c r="L161" s="340">
        <f>IF(A161="","",SUMIF(DB_Savings!$C:$C,A161,DB_Savings!$F:$F))</f>
        <v/>
      </c>
      <c r="M161" s="340">
        <f>IF(A161="","",SUMIF(DB_Withdrawals!$C:$C,A161,DB_Withdrawals!$G:$G))</f>
        <v/>
      </c>
      <c r="N161" s="340">
        <f>IF(A161="","",I161+L161-M161)</f>
        <v/>
      </c>
      <c r="O161" s="340">
        <f>IF(A161="","",TRUE())</f>
        <v/>
      </c>
      <c r="P161" s="340">
        <f>IF(A161="","",MAX(0,N161-System_Config!$B$9))</f>
        <v/>
      </c>
    </row>
    <row r="162" ht="15" customHeight="1" s="341">
      <c r="L162" s="340">
        <f>IF(A162="","",SUMIF(DB_Savings!$C:$C,A162,DB_Savings!$F:$F))</f>
        <v/>
      </c>
      <c r="M162" s="340">
        <f>IF(A162="","",SUMIF(DB_Withdrawals!$C:$C,A162,DB_Withdrawals!$G:$G))</f>
        <v/>
      </c>
      <c r="N162" s="340">
        <f>IF(A162="","",I162+L162-M162)</f>
        <v/>
      </c>
      <c r="O162" s="340">
        <f>IF(A162="","",TRUE())</f>
        <v/>
      </c>
      <c r="P162" s="340">
        <f>IF(A162="","",MAX(0,N162-System_Config!$B$9))</f>
        <v/>
      </c>
    </row>
    <row r="163" ht="15" customHeight="1" s="341">
      <c r="L163" s="340">
        <f>IF(A163="","",SUMIF(DB_Savings!$C:$C,A163,DB_Savings!$F:$F))</f>
        <v/>
      </c>
      <c r="M163" s="340">
        <f>IF(A163="","",SUMIF(DB_Withdrawals!$C:$C,A163,DB_Withdrawals!$G:$G))</f>
        <v/>
      </c>
      <c r="N163" s="340">
        <f>IF(A163="","",I163+L163-M163)</f>
        <v/>
      </c>
      <c r="O163" s="340">
        <f>IF(A163="","",TRUE())</f>
        <v/>
      </c>
      <c r="P163" s="340">
        <f>IF(A163="","",MAX(0,N163-System_Config!$B$9))</f>
        <v/>
      </c>
    </row>
    <row r="164" ht="15" customHeight="1" s="341">
      <c r="L164" s="340">
        <f>IF(A164="","",SUMIF(DB_Savings!$C:$C,A164,DB_Savings!$F:$F))</f>
        <v/>
      </c>
      <c r="M164" s="340">
        <f>IF(A164="","",SUMIF(DB_Withdrawals!$C:$C,A164,DB_Withdrawals!$G:$G))</f>
        <v/>
      </c>
      <c r="N164" s="340">
        <f>IF(A164="","",I164+L164-M164)</f>
        <v/>
      </c>
      <c r="O164" s="340">
        <f>IF(A164="","",TRUE())</f>
        <v/>
      </c>
      <c r="P164" s="340">
        <f>IF(A164="","",MAX(0,N164-System_Config!$B$9))</f>
        <v/>
      </c>
    </row>
    <row r="165" ht="15" customHeight="1" s="341">
      <c r="L165" s="340">
        <f>IF(A165="","",SUMIF(DB_Savings!$C:$C,A165,DB_Savings!$F:$F))</f>
        <v/>
      </c>
      <c r="M165" s="340">
        <f>IF(A165="","",SUMIF(DB_Withdrawals!$C:$C,A165,DB_Withdrawals!$G:$G))</f>
        <v/>
      </c>
      <c r="N165" s="340">
        <f>IF(A165="","",I165+L165-M165)</f>
        <v/>
      </c>
      <c r="O165" s="340">
        <f>IF(A165="","",TRUE())</f>
        <v/>
      </c>
      <c r="P165" s="340">
        <f>IF(A165="","",MAX(0,N165-System_Config!$B$9))</f>
        <v/>
      </c>
    </row>
    <row r="166" ht="15" customHeight="1" s="341">
      <c r="L166" s="340">
        <f>IF(A166="","",SUMIF(DB_Savings!$C:$C,A166,DB_Savings!$F:$F))</f>
        <v/>
      </c>
      <c r="M166" s="340">
        <f>IF(A166="","",SUMIF(DB_Withdrawals!$C:$C,A166,DB_Withdrawals!$G:$G))</f>
        <v/>
      </c>
      <c r="N166" s="340">
        <f>IF(A166="","",I166+L166-M166)</f>
        <v/>
      </c>
      <c r="O166" s="340">
        <f>IF(A166="","",TRUE())</f>
        <v/>
      </c>
      <c r="P166" s="340">
        <f>IF(A166="","",MAX(0,N166-System_Config!$B$9))</f>
        <v/>
      </c>
    </row>
    <row r="167" ht="15" customHeight="1" s="341">
      <c r="L167" s="340">
        <f>IF(A167="","",SUMIF(DB_Savings!$C:$C,A167,DB_Savings!$F:$F))</f>
        <v/>
      </c>
      <c r="M167" s="340">
        <f>IF(A167="","",SUMIF(DB_Withdrawals!$C:$C,A167,DB_Withdrawals!$G:$G))</f>
        <v/>
      </c>
      <c r="N167" s="340">
        <f>IF(A167="","",I167+L167-M167)</f>
        <v/>
      </c>
      <c r="O167" s="340">
        <f>IF(A167="","",TRUE())</f>
        <v/>
      </c>
      <c r="P167" s="340">
        <f>IF(A167="","",MAX(0,N167-System_Config!$B$9))</f>
        <v/>
      </c>
    </row>
    <row r="168" ht="15" customHeight="1" s="341">
      <c r="L168" s="340">
        <f>IF(A168="","",SUMIF(DB_Savings!$C:$C,A168,DB_Savings!$F:$F))</f>
        <v/>
      </c>
      <c r="M168" s="340">
        <f>IF(A168="","",SUMIF(DB_Withdrawals!$C:$C,A168,DB_Withdrawals!$G:$G))</f>
        <v/>
      </c>
      <c r="N168" s="340">
        <f>IF(A168="","",I168+L168-M168)</f>
        <v/>
      </c>
      <c r="O168" s="340">
        <f>IF(A168="","",TRUE())</f>
        <v/>
      </c>
      <c r="P168" s="340">
        <f>IF(A168="","",MAX(0,N168-System_Config!$B$9))</f>
        <v/>
      </c>
    </row>
    <row r="169" ht="15" customHeight="1" s="341">
      <c r="L169" s="340">
        <f>IF(A169="","",SUMIF(DB_Savings!$C:$C,A169,DB_Savings!$F:$F))</f>
        <v/>
      </c>
      <c r="M169" s="340">
        <f>IF(A169="","",SUMIF(DB_Withdrawals!$C:$C,A169,DB_Withdrawals!$G:$G))</f>
        <v/>
      </c>
      <c r="N169" s="340">
        <f>IF(A169="","",I169+L169-M169)</f>
        <v/>
      </c>
      <c r="O169" s="340">
        <f>IF(A169="","",TRUE())</f>
        <v/>
      </c>
      <c r="P169" s="340">
        <f>IF(A169="","",MAX(0,N169-System_Config!$B$9))</f>
        <v/>
      </c>
    </row>
    <row r="170" ht="15" customHeight="1" s="341">
      <c r="L170" s="340">
        <f>IF(A170="","",SUMIF(DB_Savings!$C:$C,A170,DB_Savings!$F:$F))</f>
        <v/>
      </c>
      <c r="M170" s="340">
        <f>IF(A170="","",SUMIF(DB_Withdrawals!$C:$C,A170,DB_Withdrawals!$G:$G))</f>
        <v/>
      </c>
      <c r="N170" s="340">
        <f>IF(A170="","",I170+L170-M170)</f>
        <v/>
      </c>
      <c r="O170" s="340">
        <f>IF(A170="","",TRUE())</f>
        <v/>
      </c>
      <c r="P170" s="340">
        <f>IF(A170="","",MAX(0,N170-System_Config!$B$9))</f>
        <v/>
      </c>
    </row>
    <row r="171" ht="15" customHeight="1" s="341">
      <c r="L171" s="340">
        <f>IF(A171="","",SUMIF(DB_Savings!$C:$C,A171,DB_Savings!$F:$F))</f>
        <v/>
      </c>
      <c r="M171" s="340">
        <f>IF(A171="","",SUMIF(DB_Withdrawals!$C:$C,A171,DB_Withdrawals!$G:$G))</f>
        <v/>
      </c>
      <c r="N171" s="340">
        <f>IF(A171="","",I171+L171-M171)</f>
        <v/>
      </c>
      <c r="O171" s="340">
        <f>IF(A171="","",TRUE())</f>
        <v/>
      </c>
      <c r="P171" s="340">
        <f>IF(A171="","",MAX(0,N171-System_Config!$B$9))</f>
        <v/>
      </c>
    </row>
    <row r="172" ht="15" customHeight="1" s="341">
      <c r="L172" s="340">
        <f>IF(A172="","",SUMIF(DB_Savings!$C:$C,A172,DB_Savings!$F:$F))</f>
        <v/>
      </c>
      <c r="M172" s="340">
        <f>IF(A172="","",SUMIF(DB_Withdrawals!$C:$C,A172,DB_Withdrawals!$G:$G))</f>
        <v/>
      </c>
      <c r="N172" s="340">
        <f>IF(A172="","",I172+L172-M172)</f>
        <v/>
      </c>
      <c r="O172" s="340">
        <f>IF(A172="","",TRUE())</f>
        <v/>
      </c>
      <c r="P172" s="340">
        <f>IF(A172="","",MAX(0,N172-System_Config!$B$9))</f>
        <v/>
      </c>
    </row>
    <row r="173" ht="15" customHeight="1" s="341">
      <c r="L173" s="340">
        <f>IF(A173="","",SUMIF(DB_Savings!$C:$C,A173,DB_Savings!$F:$F))</f>
        <v/>
      </c>
      <c r="M173" s="340">
        <f>IF(A173="","",SUMIF(DB_Withdrawals!$C:$C,A173,DB_Withdrawals!$G:$G))</f>
        <v/>
      </c>
      <c r="N173" s="340">
        <f>IF(A173="","",I173+L173-M173)</f>
        <v/>
      </c>
      <c r="O173" s="340">
        <f>IF(A173="","",TRUE())</f>
        <v/>
      </c>
      <c r="P173" s="340">
        <f>IF(A173="","",MAX(0,N173-System_Config!$B$9))</f>
        <v/>
      </c>
    </row>
    <row r="174" ht="15" customHeight="1" s="341">
      <c r="L174" s="340">
        <f>IF(A174="","",SUMIF(DB_Savings!$C:$C,A174,DB_Savings!$F:$F))</f>
        <v/>
      </c>
      <c r="M174" s="340">
        <f>IF(A174="","",SUMIF(DB_Withdrawals!$C:$C,A174,DB_Withdrawals!$G:$G))</f>
        <v/>
      </c>
      <c r="N174" s="340">
        <f>IF(A174="","",I174+L174-M174)</f>
        <v/>
      </c>
      <c r="O174" s="340">
        <f>IF(A174="","",TRUE())</f>
        <v/>
      </c>
      <c r="P174" s="340">
        <f>IF(A174="","",MAX(0,N174-System_Config!$B$9))</f>
        <v/>
      </c>
    </row>
    <row r="175" ht="15" customHeight="1" s="341">
      <c r="L175" s="340">
        <f>IF(A175="","",SUMIF(DB_Savings!$C:$C,A175,DB_Savings!$F:$F))</f>
        <v/>
      </c>
      <c r="M175" s="340">
        <f>IF(A175="","",SUMIF(DB_Withdrawals!$C:$C,A175,DB_Withdrawals!$G:$G))</f>
        <v/>
      </c>
      <c r="N175" s="340">
        <f>IF(A175="","",I175+L175-M175)</f>
        <v/>
      </c>
      <c r="O175" s="340">
        <f>IF(A175="","",TRUE())</f>
        <v/>
      </c>
      <c r="P175" s="340">
        <f>IF(A175="","",MAX(0,N175-System_Config!$B$9))</f>
        <v/>
      </c>
    </row>
    <row r="176" ht="15" customHeight="1" s="341">
      <c r="L176" s="340">
        <f>IF(A176="","",SUMIF(DB_Savings!$C:$C,A176,DB_Savings!$F:$F))</f>
        <v/>
      </c>
      <c r="M176" s="340">
        <f>IF(A176="","",SUMIF(DB_Withdrawals!$C:$C,A176,DB_Withdrawals!$G:$G))</f>
        <v/>
      </c>
      <c r="N176" s="340">
        <f>IF(A176="","",I176+L176-M176)</f>
        <v/>
      </c>
      <c r="O176" s="340">
        <f>IF(A176="","",TRUE())</f>
        <v/>
      </c>
      <c r="P176" s="340">
        <f>IF(A176="","",MAX(0,N176-System_Config!$B$9))</f>
        <v/>
      </c>
    </row>
    <row r="177" ht="15" customHeight="1" s="341">
      <c r="L177" s="340">
        <f>IF(A177="","",SUMIF(DB_Savings!$C:$C,A177,DB_Savings!$F:$F))</f>
        <v/>
      </c>
      <c r="M177" s="340">
        <f>IF(A177="","",SUMIF(DB_Withdrawals!$C:$C,A177,DB_Withdrawals!$G:$G))</f>
        <v/>
      </c>
      <c r="N177" s="340">
        <f>IF(A177="","",I177+L177-M177)</f>
        <v/>
      </c>
      <c r="O177" s="340">
        <f>IF(A177="","",TRUE())</f>
        <v/>
      </c>
      <c r="P177" s="340">
        <f>IF(A177="","",MAX(0,N177-System_Config!$B$9))</f>
        <v/>
      </c>
    </row>
    <row r="178" ht="15" customHeight="1" s="341">
      <c r="L178" s="340">
        <f>IF(A178="","",SUMIF(DB_Savings!$C:$C,A178,DB_Savings!$F:$F))</f>
        <v/>
      </c>
      <c r="M178" s="340">
        <f>IF(A178="","",SUMIF(DB_Withdrawals!$C:$C,A178,DB_Withdrawals!$G:$G))</f>
        <v/>
      </c>
      <c r="N178" s="340">
        <f>IF(A178="","",I178+L178-M178)</f>
        <v/>
      </c>
      <c r="O178" s="340">
        <f>IF(A178="","",TRUE())</f>
        <v/>
      </c>
      <c r="P178" s="340">
        <f>IF(A178="","",MAX(0,N178-System_Config!$B$9))</f>
        <v/>
      </c>
    </row>
    <row r="179" ht="15" customHeight="1" s="341">
      <c r="L179" s="340">
        <f>IF(A179="","",SUMIF(DB_Savings!$C:$C,A179,DB_Savings!$F:$F))</f>
        <v/>
      </c>
      <c r="M179" s="340">
        <f>IF(A179="","",SUMIF(DB_Withdrawals!$C:$C,A179,DB_Withdrawals!$G:$G))</f>
        <v/>
      </c>
      <c r="N179" s="340">
        <f>IF(A179="","",I179+L179-M179)</f>
        <v/>
      </c>
      <c r="O179" s="340">
        <f>IF(A179="","",TRUE())</f>
        <v/>
      </c>
      <c r="P179" s="340">
        <f>IF(A179="","",MAX(0,N179-System_Config!$B$9))</f>
        <v/>
      </c>
    </row>
    <row r="180" ht="15" customHeight="1" s="341">
      <c r="L180" s="340">
        <f>IF(A180="","",SUMIF(DB_Savings!$C:$C,A180,DB_Savings!$F:$F))</f>
        <v/>
      </c>
      <c r="M180" s="340">
        <f>IF(A180="","",SUMIF(DB_Withdrawals!$C:$C,A180,DB_Withdrawals!$G:$G))</f>
        <v/>
      </c>
      <c r="N180" s="340">
        <f>IF(A180="","",I180+L180-M180)</f>
        <v/>
      </c>
      <c r="O180" s="340">
        <f>IF(A180="","",TRUE())</f>
        <v/>
      </c>
      <c r="P180" s="340">
        <f>IF(A180="","",MAX(0,N180-System_Config!$B$9))</f>
        <v/>
      </c>
    </row>
    <row r="181" ht="15" customHeight="1" s="341">
      <c r="L181" s="340">
        <f>IF(A181="","",SUMIF(DB_Savings!$C:$C,A181,DB_Savings!$F:$F))</f>
        <v/>
      </c>
      <c r="M181" s="340">
        <f>IF(A181="","",SUMIF(DB_Withdrawals!$C:$C,A181,DB_Withdrawals!$G:$G))</f>
        <v/>
      </c>
      <c r="N181" s="340">
        <f>IF(A181="","",I181+L181-M181)</f>
        <v/>
      </c>
      <c r="O181" s="340">
        <f>IF(A181="","",TRUE())</f>
        <v/>
      </c>
      <c r="P181" s="340">
        <f>IF(A181="","",MAX(0,N181-System_Config!$B$9))</f>
        <v/>
      </c>
    </row>
    <row r="182" ht="15" customHeight="1" s="341">
      <c r="L182" s="340">
        <f>IF(A182="","",SUMIF(DB_Savings!$C:$C,A182,DB_Savings!$F:$F))</f>
        <v/>
      </c>
      <c r="M182" s="340">
        <f>IF(A182="","",SUMIF(DB_Withdrawals!$C:$C,A182,DB_Withdrawals!$G:$G))</f>
        <v/>
      </c>
      <c r="N182" s="340">
        <f>IF(A182="","",I182+L182-M182)</f>
        <v/>
      </c>
      <c r="O182" s="340">
        <f>IF(A182="","",TRUE())</f>
        <v/>
      </c>
      <c r="P182" s="340">
        <f>IF(A182="","",MAX(0,N182-System_Config!$B$9))</f>
        <v/>
      </c>
    </row>
    <row r="183" ht="15" customHeight="1" s="341">
      <c r="L183" s="340">
        <f>IF(A183="","",SUMIF(DB_Savings!$C:$C,A183,DB_Savings!$F:$F))</f>
        <v/>
      </c>
      <c r="M183" s="340">
        <f>IF(A183="","",SUMIF(DB_Withdrawals!$C:$C,A183,DB_Withdrawals!$G:$G))</f>
        <v/>
      </c>
      <c r="N183" s="340">
        <f>IF(A183="","",I183+L183-M183)</f>
        <v/>
      </c>
      <c r="O183" s="340">
        <f>IF(A183="","",TRUE())</f>
        <v/>
      </c>
      <c r="P183" s="340">
        <f>IF(A183="","",MAX(0,N183-System_Config!$B$9))</f>
        <v/>
      </c>
    </row>
    <row r="184" ht="15" customHeight="1" s="341">
      <c r="L184" s="340">
        <f>IF(A184="","",SUMIF(DB_Savings!$C:$C,A184,DB_Savings!$F:$F))</f>
        <v/>
      </c>
      <c r="M184" s="340">
        <f>IF(A184="","",SUMIF(DB_Withdrawals!$C:$C,A184,DB_Withdrawals!$G:$G))</f>
        <v/>
      </c>
      <c r="N184" s="340">
        <f>IF(A184="","",I184+L184-M184)</f>
        <v/>
      </c>
      <c r="O184" s="340">
        <f>IF(A184="","",TRUE())</f>
        <v/>
      </c>
      <c r="P184" s="340">
        <f>IF(A184="","",MAX(0,N184-System_Config!$B$9))</f>
        <v/>
      </c>
    </row>
    <row r="185" ht="15" customHeight="1" s="341">
      <c r="L185" s="340">
        <f>IF(A185="","",SUMIF(DB_Savings!$C:$C,A185,DB_Savings!$F:$F))</f>
        <v/>
      </c>
      <c r="M185" s="340">
        <f>IF(A185="","",SUMIF(DB_Withdrawals!$C:$C,A185,DB_Withdrawals!$G:$G))</f>
        <v/>
      </c>
      <c r="N185" s="340">
        <f>IF(A185="","",I185+L185-M185)</f>
        <v/>
      </c>
      <c r="O185" s="340">
        <f>IF(A185="","",TRUE())</f>
        <v/>
      </c>
      <c r="P185" s="340">
        <f>IF(A185="","",MAX(0,N185-System_Config!$B$9))</f>
        <v/>
      </c>
    </row>
    <row r="186" ht="15" customHeight="1" s="341">
      <c r="L186" s="340">
        <f>IF(A186="","",SUMIF(DB_Savings!$C:$C,A186,DB_Savings!$F:$F))</f>
        <v/>
      </c>
      <c r="M186" s="340">
        <f>IF(A186="","",SUMIF(DB_Withdrawals!$C:$C,A186,DB_Withdrawals!$G:$G))</f>
        <v/>
      </c>
      <c r="N186" s="340">
        <f>IF(A186="","",I186+L186-M186)</f>
        <v/>
      </c>
      <c r="O186" s="340">
        <f>IF(A186="","",TRUE())</f>
        <v/>
      </c>
      <c r="P186" s="340">
        <f>IF(A186="","",MAX(0,N186-System_Config!$B$9))</f>
        <v/>
      </c>
    </row>
    <row r="187" ht="15" customHeight="1" s="341">
      <c r="L187" s="340">
        <f>IF(A187="","",SUMIF(DB_Savings!$C:$C,A187,DB_Savings!$F:$F))</f>
        <v/>
      </c>
      <c r="M187" s="340">
        <f>IF(A187="","",SUMIF(DB_Withdrawals!$C:$C,A187,DB_Withdrawals!$G:$G))</f>
        <v/>
      </c>
      <c r="N187" s="340">
        <f>IF(A187="","",I187+L187-M187)</f>
        <v/>
      </c>
      <c r="O187" s="340">
        <f>IF(A187="","",TRUE())</f>
        <v/>
      </c>
      <c r="P187" s="340">
        <f>IF(A187="","",MAX(0,N187-System_Config!$B$9))</f>
        <v/>
      </c>
    </row>
    <row r="188" ht="15" customHeight="1" s="341">
      <c r="L188" s="340">
        <f>IF(A188="","",SUMIF(DB_Savings!$C:$C,A188,DB_Savings!$F:$F))</f>
        <v/>
      </c>
      <c r="M188" s="340">
        <f>IF(A188="","",SUMIF(DB_Withdrawals!$C:$C,A188,DB_Withdrawals!$G:$G))</f>
        <v/>
      </c>
      <c r="N188" s="340">
        <f>IF(A188="","",I188+L188-M188)</f>
        <v/>
      </c>
      <c r="O188" s="340">
        <f>IF(A188="","",TRUE())</f>
        <v/>
      </c>
      <c r="P188" s="340">
        <f>IF(A188="","",MAX(0,N188-System_Config!$B$9))</f>
        <v/>
      </c>
    </row>
    <row r="189" ht="15" customHeight="1" s="341">
      <c r="L189" s="340">
        <f>IF(A189="","",SUMIF(DB_Savings!$C:$C,A189,DB_Savings!$F:$F))</f>
        <v/>
      </c>
      <c r="M189" s="340">
        <f>IF(A189="","",SUMIF(DB_Withdrawals!$C:$C,A189,DB_Withdrawals!$G:$G))</f>
        <v/>
      </c>
      <c r="N189" s="340">
        <f>IF(A189="","",I189+L189-M189)</f>
        <v/>
      </c>
      <c r="O189" s="340">
        <f>IF(A189="","",TRUE())</f>
        <v/>
      </c>
      <c r="P189" s="340">
        <f>IF(A189="","",MAX(0,N189-System_Config!$B$9))</f>
        <v/>
      </c>
    </row>
    <row r="190" ht="15" customHeight="1" s="341">
      <c r="L190" s="340">
        <f>IF(A190="","",SUMIF(DB_Savings!$C:$C,A190,DB_Savings!$F:$F))</f>
        <v/>
      </c>
      <c r="M190" s="340">
        <f>IF(A190="","",SUMIF(DB_Withdrawals!$C:$C,A190,DB_Withdrawals!$G:$G))</f>
        <v/>
      </c>
      <c r="N190" s="340">
        <f>IF(A190="","",I190+L190-M190)</f>
        <v/>
      </c>
      <c r="O190" s="340">
        <f>IF(A190="","",TRUE())</f>
        <v/>
      </c>
      <c r="P190" s="340">
        <f>IF(A190="","",MAX(0,N190-System_Config!$B$9))</f>
        <v/>
      </c>
    </row>
    <row r="191" ht="15" customHeight="1" s="341">
      <c r="L191" s="340">
        <f>IF(A191="","",SUMIF(DB_Savings!$C:$C,A191,DB_Savings!$F:$F))</f>
        <v/>
      </c>
      <c r="M191" s="340">
        <f>IF(A191="","",SUMIF(DB_Withdrawals!$C:$C,A191,DB_Withdrawals!$G:$G))</f>
        <v/>
      </c>
      <c r="N191" s="340">
        <f>IF(A191="","",I191+L191-M191)</f>
        <v/>
      </c>
      <c r="O191" s="340">
        <f>IF(A191="","",TRUE())</f>
        <v/>
      </c>
      <c r="P191" s="340">
        <f>IF(A191="","",MAX(0,N191-System_Config!$B$9))</f>
        <v/>
      </c>
    </row>
    <row r="192" ht="15" customHeight="1" s="341">
      <c r="L192" s="340">
        <f>IF(A192="","",SUMIF(DB_Savings!$C:$C,A192,DB_Savings!$F:$F))</f>
        <v/>
      </c>
      <c r="M192" s="340">
        <f>IF(A192="","",SUMIF(DB_Withdrawals!$C:$C,A192,DB_Withdrawals!$G:$G))</f>
        <v/>
      </c>
      <c r="N192" s="340">
        <f>IF(A192="","",I192+L192-M192)</f>
        <v/>
      </c>
      <c r="O192" s="340">
        <f>IF(A192="","",TRUE())</f>
        <v/>
      </c>
      <c r="P192" s="340">
        <f>IF(A192="","",MAX(0,N192-System_Config!$B$9))</f>
        <v/>
      </c>
    </row>
    <row r="193" ht="15" customHeight="1" s="341">
      <c r="L193" s="340">
        <f>IF(A193="","",SUMIF(DB_Savings!$C:$C,A193,DB_Savings!$F:$F))</f>
        <v/>
      </c>
      <c r="M193" s="340">
        <f>IF(A193="","",SUMIF(DB_Withdrawals!$C:$C,A193,DB_Withdrawals!$G:$G))</f>
        <v/>
      </c>
      <c r="N193" s="340">
        <f>IF(A193="","",I193+L193-M193)</f>
        <v/>
      </c>
      <c r="O193" s="340">
        <f>IF(A193="","",TRUE())</f>
        <v/>
      </c>
      <c r="P193" s="340">
        <f>IF(A193="","",MAX(0,N193-System_Config!$B$9))</f>
        <v/>
      </c>
    </row>
    <row r="194" ht="15" customHeight="1" s="341">
      <c r="L194" s="340">
        <f>IF(A194="","",SUMIF(DB_Savings!$C:$C,A194,DB_Savings!$F:$F))</f>
        <v/>
      </c>
      <c r="M194" s="340">
        <f>IF(A194="","",SUMIF(DB_Withdrawals!$C:$C,A194,DB_Withdrawals!$G:$G))</f>
        <v/>
      </c>
      <c r="N194" s="340">
        <f>IF(A194="","",I194+L194-M194)</f>
        <v/>
      </c>
      <c r="O194" s="340">
        <f>IF(A194="","",TRUE())</f>
        <v/>
      </c>
      <c r="P194" s="340">
        <f>IF(A194="","",MAX(0,N194-System_Config!$B$9))</f>
        <v/>
      </c>
    </row>
    <row r="195" ht="15" customHeight="1" s="341">
      <c r="L195" s="340">
        <f>IF(A195="","",SUMIF(DB_Savings!$C:$C,A195,DB_Savings!$F:$F))</f>
        <v/>
      </c>
      <c r="M195" s="340">
        <f>IF(A195="","",SUMIF(DB_Withdrawals!$C:$C,A195,DB_Withdrawals!$G:$G))</f>
        <v/>
      </c>
      <c r="N195" s="340">
        <f>IF(A195="","",I195+L195-M195)</f>
        <v/>
      </c>
      <c r="O195" s="340">
        <f>IF(A195="","",TRUE())</f>
        <v/>
      </c>
      <c r="P195" s="340">
        <f>IF(A195="","",MAX(0,N195-System_Config!$B$9))</f>
        <v/>
      </c>
    </row>
    <row r="196" ht="15" customHeight="1" s="341">
      <c r="L196" s="340">
        <f>IF(A196="","",SUMIF(DB_Savings!$C:$C,A196,DB_Savings!$F:$F))</f>
        <v/>
      </c>
      <c r="M196" s="340">
        <f>IF(A196="","",SUMIF(DB_Withdrawals!$C:$C,A196,DB_Withdrawals!$G:$G))</f>
        <v/>
      </c>
      <c r="N196" s="340">
        <f>IF(A196="","",I196+L196-M196)</f>
        <v/>
      </c>
      <c r="O196" s="340">
        <f>IF(A196="","",TRUE())</f>
        <v/>
      </c>
      <c r="P196" s="340">
        <f>IF(A196="","",MAX(0,N196-System_Config!$B$9))</f>
        <v/>
      </c>
    </row>
    <row r="197" ht="15" customHeight="1" s="341">
      <c r="L197" s="340">
        <f>IF(A197="","",SUMIF(DB_Savings!$C:$C,A197,DB_Savings!$F:$F))</f>
        <v/>
      </c>
      <c r="M197" s="340">
        <f>IF(A197="","",SUMIF(DB_Withdrawals!$C:$C,A197,DB_Withdrawals!$G:$G))</f>
        <v/>
      </c>
      <c r="N197" s="340">
        <f>IF(A197="","",I197+L197-M197)</f>
        <v/>
      </c>
      <c r="O197" s="340">
        <f>IF(A197="","",TRUE())</f>
        <v/>
      </c>
      <c r="P197" s="340">
        <f>IF(A197="","",MAX(0,N197-System_Config!$B$9))</f>
        <v/>
      </c>
    </row>
    <row r="198" ht="15" customHeight="1" s="341">
      <c r="L198" s="340">
        <f>IF(A198="","",SUMIF(DB_Savings!$C:$C,A198,DB_Savings!$F:$F))</f>
        <v/>
      </c>
      <c r="M198" s="340">
        <f>IF(A198="","",SUMIF(DB_Withdrawals!$C:$C,A198,DB_Withdrawals!$G:$G))</f>
        <v/>
      </c>
      <c r="N198" s="340">
        <f>IF(A198="","",I198+L198-M198)</f>
        <v/>
      </c>
      <c r="O198" s="340">
        <f>IF(A198="","",TRUE())</f>
        <v/>
      </c>
      <c r="P198" s="340">
        <f>IF(A198="","",MAX(0,N198-System_Config!$B$9))</f>
        <v/>
      </c>
    </row>
    <row r="199" ht="15" customHeight="1" s="341">
      <c r="L199" s="340">
        <f>IF(A199="","",SUMIF(DB_Savings!$C:$C,A199,DB_Savings!$F:$F))</f>
        <v/>
      </c>
      <c r="M199" s="340">
        <f>IF(A199="","",SUMIF(DB_Withdrawals!$C:$C,A199,DB_Withdrawals!$G:$G))</f>
        <v/>
      </c>
      <c r="N199" s="340">
        <f>IF(A199="","",I199+L199-M199)</f>
        <v/>
      </c>
      <c r="O199" s="340">
        <f>IF(A199="","",TRUE())</f>
        <v/>
      </c>
      <c r="P199" s="340">
        <f>IF(A199="","",MAX(0,N199-System_Config!$B$9))</f>
        <v/>
      </c>
    </row>
    <row r="200" ht="15" customHeight="1" s="341">
      <c r="L200" s="340">
        <f>IF(A200="","",SUMIF(DB_Savings!$C:$C,A200,DB_Savings!$F:$F))</f>
        <v/>
      </c>
      <c r="M200" s="340">
        <f>IF(A200="","",SUMIF(DB_Withdrawals!$C:$C,A200,DB_Withdrawals!$G:$G))</f>
        <v/>
      </c>
      <c r="N200" s="340">
        <f>IF(A200="","",I200+L200-M200)</f>
        <v/>
      </c>
      <c r="O200" s="340">
        <f>IF(A200="","",TRUE())</f>
        <v/>
      </c>
      <c r="P200" s="340">
        <f>IF(A200="","",MAX(0,N200-System_Config!$B$9))</f>
        <v/>
      </c>
    </row>
    <row r="201" ht="15" customHeight="1" s="341">
      <c r="L201" s="340">
        <f>IF(A201="","",SUMIF(DB_Savings!$C:$C,A201,DB_Savings!$F:$F))</f>
        <v/>
      </c>
      <c r="M201" s="340">
        <f>IF(A201="","",SUMIF(DB_Withdrawals!$C:$C,A201,DB_Withdrawals!$G:$G))</f>
        <v/>
      </c>
      <c r="N201" s="340">
        <f>IF(A201="","",I201+L201-M201)</f>
        <v/>
      </c>
      <c r="O201" s="340">
        <f>IF(A201="","",TRUE())</f>
        <v/>
      </c>
      <c r="P201" s="340">
        <f>IF(A201="","",MAX(0,N201-System_Config!$B$9))</f>
        <v/>
      </c>
    </row>
    <row r="202" ht="15" customHeight="1" s="341">
      <c r="L202" s="340">
        <f>IF(A202="","",SUMIF(DB_Savings!$C:$C,A202,DB_Savings!$F:$F))</f>
        <v/>
      </c>
      <c r="M202" s="340">
        <f>IF(A202="","",SUMIF(DB_Withdrawals!$C:$C,A202,DB_Withdrawals!$G:$G))</f>
        <v/>
      </c>
      <c r="N202" s="340">
        <f>IF(A202="","",I202+L202-M202)</f>
        <v/>
      </c>
      <c r="O202" s="340">
        <f>IF(A202="","",TRUE())</f>
        <v/>
      </c>
      <c r="P202" s="340">
        <f>IF(A202="","",MAX(0,N202-System_Config!$B$9))</f>
        <v/>
      </c>
    </row>
    <row r="203" ht="15" customHeight="1" s="341">
      <c r="L203" s="340">
        <f>IF(A203="","",SUMIF(DB_Savings!$C:$C,A203,DB_Savings!$F:$F))</f>
        <v/>
      </c>
      <c r="M203" s="340">
        <f>IF(A203="","",SUMIF(DB_Withdrawals!$C:$C,A203,DB_Withdrawals!$G:$G))</f>
        <v/>
      </c>
      <c r="N203" s="340">
        <f>IF(A203="","",I203+L203-M203)</f>
        <v/>
      </c>
      <c r="O203" s="340">
        <f>IF(A203="","",TRUE())</f>
        <v/>
      </c>
      <c r="P203" s="340">
        <f>IF(A203="","",MAX(0,N203-System_Config!$B$9))</f>
        <v/>
      </c>
    </row>
    <row r="204" ht="15" customHeight="1" s="341">
      <c r="L204" s="340">
        <f>IF(A204="","",SUMIF(DB_Savings!$C:$C,A204,DB_Savings!$F:$F))</f>
        <v/>
      </c>
      <c r="M204" s="340">
        <f>IF(A204="","",SUMIF(DB_Withdrawals!$C:$C,A204,DB_Withdrawals!$G:$G))</f>
        <v/>
      </c>
      <c r="N204" s="340">
        <f>IF(A204="","",I204+L204-M204)</f>
        <v/>
      </c>
      <c r="O204" s="340">
        <f>IF(A204="","",TRUE())</f>
        <v/>
      </c>
      <c r="P204" s="340">
        <f>IF(A204="","",MAX(0,N204-System_Config!$B$9))</f>
        <v/>
      </c>
    </row>
    <row r="205" ht="15" customHeight="1" s="341">
      <c r="L205" s="340">
        <f>IF(A205="","",SUMIF(DB_Savings!$C:$C,A205,DB_Savings!$F:$F))</f>
        <v/>
      </c>
      <c r="M205" s="340">
        <f>IF(A205="","",SUMIF(DB_Withdrawals!$C:$C,A205,DB_Withdrawals!$G:$G))</f>
        <v/>
      </c>
      <c r="N205" s="340">
        <f>IF(A205="","",I205+L205-M205)</f>
        <v/>
      </c>
      <c r="O205" s="340">
        <f>IF(A205="","",TRUE())</f>
        <v/>
      </c>
      <c r="P205" s="340">
        <f>IF(A205="","",MAX(0,N205-System_Config!$B$9))</f>
        <v/>
      </c>
    </row>
    <row r="206" ht="15" customHeight="1" s="341">
      <c r="L206" s="340">
        <f>IF(A206="","",SUMIF(DB_Savings!$C:$C,A206,DB_Savings!$F:$F))</f>
        <v/>
      </c>
      <c r="M206" s="340">
        <f>IF(A206="","",SUMIF(DB_Withdrawals!$C:$C,A206,DB_Withdrawals!$G:$G))</f>
        <v/>
      </c>
      <c r="N206" s="340">
        <f>IF(A206="","",I206+L206-M206)</f>
        <v/>
      </c>
      <c r="O206" s="340">
        <f>IF(A206="","",TRUE())</f>
        <v/>
      </c>
      <c r="P206" s="340">
        <f>IF(A206="","",MAX(0,N206-System_Config!$B$9))</f>
        <v/>
      </c>
    </row>
    <row r="207" ht="15" customHeight="1" s="341">
      <c r="L207" s="340">
        <f>IF(A207="","",SUMIF(DB_Savings!$C:$C,A207,DB_Savings!$F:$F))</f>
        <v/>
      </c>
      <c r="M207" s="340">
        <f>IF(A207="","",SUMIF(DB_Withdrawals!$C:$C,A207,DB_Withdrawals!$G:$G))</f>
        <v/>
      </c>
      <c r="N207" s="340">
        <f>IF(A207="","",I207+L207-M207)</f>
        <v/>
      </c>
      <c r="O207" s="340">
        <f>IF(A207="","",TRUE())</f>
        <v/>
      </c>
      <c r="P207" s="340">
        <f>IF(A207="","",MAX(0,N207-System_Config!$B$9))</f>
        <v/>
      </c>
    </row>
    <row r="208" ht="15" customHeight="1" s="341">
      <c r="L208" s="340">
        <f>IF(A208="","",SUMIF(DB_Savings!$C:$C,A208,DB_Savings!$F:$F))</f>
        <v/>
      </c>
      <c r="M208" s="340">
        <f>IF(A208="","",SUMIF(DB_Withdrawals!$C:$C,A208,DB_Withdrawals!$G:$G))</f>
        <v/>
      </c>
      <c r="N208" s="340">
        <f>IF(A208="","",I208+L208-M208)</f>
        <v/>
      </c>
      <c r="O208" s="340">
        <f>IF(A208="","",TRUE())</f>
        <v/>
      </c>
      <c r="P208" s="340">
        <f>IF(A208="","",MAX(0,N208-System_Config!$B$9))</f>
        <v/>
      </c>
    </row>
    <row r="209" ht="15" customHeight="1" s="341">
      <c r="L209" s="340">
        <f>IF(A209="","",SUMIF(DB_Savings!$C:$C,A209,DB_Savings!$F:$F))</f>
        <v/>
      </c>
      <c r="M209" s="340">
        <f>IF(A209="","",SUMIF(DB_Withdrawals!$C:$C,A209,DB_Withdrawals!$G:$G))</f>
        <v/>
      </c>
      <c r="N209" s="340">
        <f>IF(A209="","",I209+L209-M209)</f>
        <v/>
      </c>
      <c r="O209" s="340">
        <f>IF(A209="","",TRUE())</f>
        <v/>
      </c>
      <c r="P209" s="340">
        <f>IF(A209="","",MAX(0,N209-System_Config!$B$9))</f>
        <v/>
      </c>
    </row>
    <row r="210" ht="15" customHeight="1" s="341">
      <c r="L210" s="340">
        <f>IF(A210="","",SUMIF(DB_Savings!$C:$C,A210,DB_Savings!$F:$F))</f>
        <v/>
      </c>
      <c r="M210" s="340">
        <f>IF(A210="","",SUMIF(DB_Withdrawals!$C:$C,A210,DB_Withdrawals!$G:$G))</f>
        <v/>
      </c>
      <c r="N210" s="340">
        <f>IF(A210="","",I210+L210-M210)</f>
        <v/>
      </c>
      <c r="O210" s="340">
        <f>IF(A210="","",TRUE())</f>
        <v/>
      </c>
      <c r="P210" s="340">
        <f>IF(A210="","",MAX(0,N210-System_Config!$B$9))</f>
        <v/>
      </c>
    </row>
    <row r="211" ht="15" customHeight="1" s="341">
      <c r="L211" s="340">
        <f>IF(A211="","",SUMIF(DB_Savings!$C:$C,A211,DB_Savings!$F:$F))</f>
        <v/>
      </c>
      <c r="M211" s="340">
        <f>IF(A211="","",SUMIF(DB_Withdrawals!$C:$C,A211,DB_Withdrawals!$G:$G))</f>
        <v/>
      </c>
      <c r="N211" s="340">
        <f>IF(A211="","",I211+L211-M211)</f>
        <v/>
      </c>
      <c r="O211" s="340">
        <f>IF(A211="","",TRUE())</f>
        <v/>
      </c>
      <c r="P211" s="340">
        <f>IF(A211="","",MAX(0,N211-System_Config!$B$9))</f>
        <v/>
      </c>
    </row>
    <row r="212" ht="15" customHeight="1" s="341">
      <c r="L212" s="340">
        <f>IF(A212="","",SUMIF(DB_Savings!$C:$C,A212,DB_Savings!$F:$F))</f>
        <v/>
      </c>
      <c r="M212" s="340">
        <f>IF(A212="","",SUMIF(DB_Withdrawals!$C:$C,A212,DB_Withdrawals!$G:$G))</f>
        <v/>
      </c>
      <c r="N212" s="340">
        <f>IF(A212="","",I212+L212-M212)</f>
        <v/>
      </c>
      <c r="O212" s="340">
        <f>IF(A212="","",TRUE())</f>
        <v/>
      </c>
      <c r="P212" s="340">
        <f>IF(A212="","",MAX(0,N212-System_Config!$B$9))</f>
        <v/>
      </c>
    </row>
    <row r="213" ht="15" customHeight="1" s="341">
      <c r="L213" s="340">
        <f>IF(A213="","",SUMIF(DB_Savings!$C:$C,A213,DB_Savings!$F:$F))</f>
        <v/>
      </c>
      <c r="M213" s="340">
        <f>IF(A213="","",SUMIF(DB_Withdrawals!$C:$C,A213,DB_Withdrawals!$G:$G))</f>
        <v/>
      </c>
      <c r="N213" s="340">
        <f>IF(A213="","",I213+L213-M213)</f>
        <v/>
      </c>
      <c r="O213" s="340">
        <f>IF(A213="","",TRUE())</f>
        <v/>
      </c>
      <c r="P213" s="340">
        <f>IF(A213="","",MAX(0,N213-System_Config!$B$9))</f>
        <v/>
      </c>
    </row>
    <row r="214" ht="15" customHeight="1" s="341">
      <c r="L214" s="340">
        <f>IF(A214="","",SUMIF(DB_Savings!$C:$C,A214,DB_Savings!$F:$F))</f>
        <v/>
      </c>
      <c r="M214" s="340">
        <f>IF(A214="","",SUMIF(DB_Withdrawals!$C:$C,A214,DB_Withdrawals!$G:$G))</f>
        <v/>
      </c>
      <c r="N214" s="340">
        <f>IF(A214="","",I214+L214-M214)</f>
        <v/>
      </c>
      <c r="O214" s="340">
        <f>IF(A214="","",TRUE())</f>
        <v/>
      </c>
      <c r="P214" s="340">
        <f>IF(A214="","",MAX(0,N214-System_Config!$B$9))</f>
        <v/>
      </c>
    </row>
    <row r="215" ht="15" customHeight="1" s="341">
      <c r="L215" s="340">
        <f>IF(A215="","",SUMIF(DB_Savings!$C:$C,A215,DB_Savings!$F:$F))</f>
        <v/>
      </c>
      <c r="M215" s="340">
        <f>IF(A215="","",SUMIF(DB_Withdrawals!$C:$C,A215,DB_Withdrawals!$G:$G))</f>
        <v/>
      </c>
      <c r="N215" s="340">
        <f>IF(A215="","",I215+L215-M215)</f>
        <v/>
      </c>
      <c r="O215" s="340">
        <f>IF(A215="","",TRUE())</f>
        <v/>
      </c>
      <c r="P215" s="340">
        <f>IF(A215="","",MAX(0,N215-System_Config!$B$9))</f>
        <v/>
      </c>
    </row>
    <row r="216" ht="15" customHeight="1" s="341">
      <c r="L216" s="340">
        <f>IF(A216="","",SUMIF(DB_Savings!$C:$C,A216,DB_Savings!$F:$F))</f>
        <v/>
      </c>
      <c r="M216" s="340">
        <f>IF(A216="","",SUMIF(DB_Withdrawals!$C:$C,A216,DB_Withdrawals!$G:$G))</f>
        <v/>
      </c>
      <c r="N216" s="340">
        <f>IF(A216="","",I216+L216-M216)</f>
        <v/>
      </c>
      <c r="O216" s="340">
        <f>IF(A216="","",TRUE())</f>
        <v/>
      </c>
      <c r="P216" s="340">
        <f>IF(A216="","",MAX(0,N216-System_Config!$B$9))</f>
        <v/>
      </c>
    </row>
    <row r="217" ht="15" customHeight="1" s="341">
      <c r="L217" s="340">
        <f>IF(A217="","",SUMIF(DB_Savings!$C:$C,A217,DB_Savings!$F:$F))</f>
        <v/>
      </c>
      <c r="M217" s="340">
        <f>IF(A217="","",SUMIF(DB_Withdrawals!$C:$C,A217,DB_Withdrawals!$G:$G))</f>
        <v/>
      </c>
      <c r="N217" s="340">
        <f>IF(A217="","",I217+L217-M217)</f>
        <v/>
      </c>
      <c r="O217" s="340">
        <f>IF(A217="","",TRUE())</f>
        <v/>
      </c>
      <c r="P217" s="340">
        <f>IF(A217="","",MAX(0,N217-System_Config!$B$9))</f>
        <v/>
      </c>
    </row>
    <row r="218" ht="15" customHeight="1" s="341">
      <c r="L218" s="340">
        <f>IF(A218="","",SUMIF(DB_Savings!$C:$C,A218,DB_Savings!$F:$F))</f>
        <v/>
      </c>
      <c r="M218" s="340">
        <f>IF(A218="","",SUMIF(DB_Withdrawals!$C:$C,A218,DB_Withdrawals!$G:$G))</f>
        <v/>
      </c>
      <c r="N218" s="340">
        <f>IF(A218="","",I218+L218-M218)</f>
        <v/>
      </c>
      <c r="O218" s="340">
        <f>IF(A218="","",TRUE())</f>
        <v/>
      </c>
      <c r="P218" s="340">
        <f>IF(A218="","",MAX(0,N218-System_Config!$B$9))</f>
        <v/>
      </c>
    </row>
    <row r="219" ht="15" customHeight="1" s="341">
      <c r="L219" s="340">
        <f>IF(A219="","",SUMIF(DB_Savings!$C:$C,A219,DB_Savings!$F:$F))</f>
        <v/>
      </c>
      <c r="M219" s="340">
        <f>IF(A219="","",SUMIF(DB_Withdrawals!$C:$C,A219,DB_Withdrawals!$G:$G))</f>
        <v/>
      </c>
      <c r="N219" s="340">
        <f>IF(A219="","",I219+L219-M219)</f>
        <v/>
      </c>
      <c r="O219" s="340">
        <f>IF(A219="","",TRUE())</f>
        <v/>
      </c>
      <c r="P219" s="340">
        <f>IF(A219="","",MAX(0,N219-System_Config!$B$9))</f>
        <v/>
      </c>
    </row>
    <row r="220" ht="15" customHeight="1" s="341">
      <c r="L220" s="340">
        <f>IF(A220="","",SUMIF(DB_Savings!$C:$C,A220,DB_Savings!$F:$F))</f>
        <v/>
      </c>
      <c r="M220" s="340">
        <f>IF(A220="","",SUMIF(DB_Withdrawals!$C:$C,A220,DB_Withdrawals!$G:$G))</f>
        <v/>
      </c>
      <c r="N220" s="340">
        <f>IF(A220="","",I220+L220-M220)</f>
        <v/>
      </c>
      <c r="O220" s="340">
        <f>IF(A220="","",TRUE())</f>
        <v/>
      </c>
      <c r="P220" s="340">
        <f>IF(A220="","",MAX(0,N220-System_Config!$B$9))</f>
        <v/>
      </c>
    </row>
    <row r="221" ht="15" customHeight="1" s="341">
      <c r="L221" s="340">
        <f>IF(A221="","",SUMIF(DB_Savings!$C:$C,A221,DB_Savings!$F:$F))</f>
        <v/>
      </c>
      <c r="M221" s="340">
        <f>IF(A221="","",SUMIF(DB_Withdrawals!$C:$C,A221,DB_Withdrawals!$G:$G))</f>
        <v/>
      </c>
      <c r="N221" s="340">
        <f>IF(A221="","",I221+L221-M221)</f>
        <v/>
      </c>
      <c r="O221" s="340">
        <f>IF(A221="","",TRUE())</f>
        <v/>
      </c>
      <c r="P221" s="340">
        <f>IF(A221="","",MAX(0,N221-System_Config!$B$9))</f>
        <v/>
      </c>
    </row>
    <row r="222" ht="15" customHeight="1" s="341">
      <c r="L222" s="340">
        <f>IF(A222="","",SUMIF(DB_Savings!$C:$C,A222,DB_Savings!$F:$F))</f>
        <v/>
      </c>
      <c r="M222" s="340">
        <f>IF(A222="","",SUMIF(DB_Withdrawals!$C:$C,A222,DB_Withdrawals!$G:$G))</f>
        <v/>
      </c>
      <c r="N222" s="340">
        <f>IF(A222="","",I222+L222-M222)</f>
        <v/>
      </c>
      <c r="O222" s="340">
        <f>IF(A222="","",TRUE())</f>
        <v/>
      </c>
      <c r="P222" s="340">
        <f>IF(A222="","",MAX(0,N222-System_Config!$B$9))</f>
        <v/>
      </c>
    </row>
    <row r="223" ht="15" customHeight="1" s="341">
      <c r="L223" s="340">
        <f>IF(A223="","",SUMIF(DB_Savings!$C:$C,A223,DB_Savings!$F:$F))</f>
        <v/>
      </c>
      <c r="M223" s="340">
        <f>IF(A223="","",SUMIF(DB_Withdrawals!$C:$C,A223,DB_Withdrawals!$G:$G))</f>
        <v/>
      </c>
      <c r="N223" s="340">
        <f>IF(A223="","",I223+L223-M223)</f>
        <v/>
      </c>
      <c r="O223" s="340">
        <f>IF(A223="","",TRUE())</f>
        <v/>
      </c>
      <c r="P223" s="340">
        <f>IF(A223="","",MAX(0,N223-System_Config!$B$9))</f>
        <v/>
      </c>
    </row>
    <row r="224" ht="15" customHeight="1" s="341">
      <c r="L224" s="340">
        <f>IF(A224="","",SUMIF(DB_Savings!$C:$C,A224,DB_Savings!$F:$F))</f>
        <v/>
      </c>
      <c r="M224" s="340">
        <f>IF(A224="","",SUMIF(DB_Withdrawals!$C:$C,A224,DB_Withdrawals!$G:$G))</f>
        <v/>
      </c>
      <c r="N224" s="340">
        <f>IF(A224="","",I224+L224-M224)</f>
        <v/>
      </c>
      <c r="O224" s="340">
        <f>IF(A224="","",TRUE())</f>
        <v/>
      </c>
      <c r="P224" s="340">
        <f>IF(A224="","",MAX(0,N224-System_Config!$B$9))</f>
        <v/>
      </c>
    </row>
    <row r="225" ht="15" customHeight="1" s="341">
      <c r="L225" s="340">
        <f>IF(A225="","",SUMIF(DB_Savings!$C:$C,A225,DB_Savings!$F:$F))</f>
        <v/>
      </c>
      <c r="M225" s="340">
        <f>IF(A225="","",SUMIF(DB_Withdrawals!$C:$C,A225,DB_Withdrawals!$G:$G))</f>
        <v/>
      </c>
      <c r="N225" s="340">
        <f>IF(A225="","",I225+L225-M225)</f>
        <v/>
      </c>
      <c r="O225" s="340">
        <f>IF(A225="","",TRUE())</f>
        <v/>
      </c>
      <c r="P225" s="340">
        <f>IF(A225="","",MAX(0,N225-System_Config!$B$9))</f>
        <v/>
      </c>
    </row>
    <row r="226" ht="15" customHeight="1" s="341">
      <c r="L226" s="340">
        <f>IF(A226="","",SUMIF(DB_Savings!$C:$C,A226,DB_Savings!$F:$F))</f>
        <v/>
      </c>
      <c r="M226" s="340">
        <f>IF(A226="","",SUMIF(DB_Withdrawals!$C:$C,A226,DB_Withdrawals!$G:$G))</f>
        <v/>
      </c>
      <c r="N226" s="340">
        <f>IF(A226="","",I226+L226-M226)</f>
        <v/>
      </c>
      <c r="O226" s="340">
        <f>IF(A226="","",TRUE())</f>
        <v/>
      </c>
      <c r="P226" s="340">
        <f>IF(A226="","",MAX(0,N226-System_Config!$B$9))</f>
        <v/>
      </c>
    </row>
    <row r="227" ht="15" customHeight="1" s="341">
      <c r="L227" s="340">
        <f>IF(A227="","",SUMIF(DB_Savings!$C:$C,A227,DB_Savings!$F:$F))</f>
        <v/>
      </c>
      <c r="M227" s="340">
        <f>IF(A227="","",SUMIF(DB_Withdrawals!$C:$C,A227,DB_Withdrawals!$G:$G))</f>
        <v/>
      </c>
      <c r="N227" s="340">
        <f>IF(A227="","",I227+L227-M227)</f>
        <v/>
      </c>
      <c r="O227" s="340">
        <f>IF(A227="","",TRUE())</f>
        <v/>
      </c>
      <c r="P227" s="340">
        <f>IF(A227="","",MAX(0,N227-System_Config!$B$9))</f>
        <v/>
      </c>
    </row>
    <row r="228" ht="15" customHeight="1" s="341">
      <c r="L228" s="340">
        <f>IF(A228="","",SUMIF(DB_Savings!$C:$C,A228,DB_Savings!$F:$F))</f>
        <v/>
      </c>
      <c r="M228" s="340">
        <f>IF(A228="","",SUMIF(DB_Withdrawals!$C:$C,A228,DB_Withdrawals!$G:$G))</f>
        <v/>
      </c>
      <c r="N228" s="340">
        <f>IF(A228="","",I228+L228-M228)</f>
        <v/>
      </c>
      <c r="O228" s="340">
        <f>IF(A228="","",TRUE())</f>
        <v/>
      </c>
      <c r="P228" s="340">
        <f>IF(A228="","",MAX(0,N228-System_Config!$B$9))</f>
        <v/>
      </c>
    </row>
    <row r="229" ht="15" customHeight="1" s="341">
      <c r="L229" s="340">
        <f>IF(A229="","",SUMIF(DB_Savings!$C:$C,A229,DB_Savings!$F:$F))</f>
        <v/>
      </c>
      <c r="M229" s="340">
        <f>IF(A229="","",SUMIF(DB_Withdrawals!$C:$C,A229,DB_Withdrawals!$G:$G))</f>
        <v/>
      </c>
      <c r="N229" s="340">
        <f>IF(A229="","",I229+L229-M229)</f>
        <v/>
      </c>
      <c r="O229" s="340">
        <f>IF(A229="","",TRUE())</f>
        <v/>
      </c>
      <c r="P229" s="340">
        <f>IF(A229="","",MAX(0,N229-System_Config!$B$9))</f>
        <v/>
      </c>
    </row>
    <row r="230" ht="15" customHeight="1" s="341">
      <c r="L230" s="340">
        <f>IF(A230="","",SUMIF(DB_Savings!$C:$C,A230,DB_Savings!$F:$F))</f>
        <v/>
      </c>
      <c r="M230" s="340">
        <f>IF(A230="","",SUMIF(DB_Withdrawals!$C:$C,A230,DB_Withdrawals!$G:$G))</f>
        <v/>
      </c>
      <c r="N230" s="340">
        <f>IF(A230="","",I230+L230-M230)</f>
        <v/>
      </c>
      <c r="O230" s="340">
        <f>IF(A230="","",TRUE())</f>
        <v/>
      </c>
      <c r="P230" s="340">
        <f>IF(A230="","",MAX(0,N230-System_Config!$B$9))</f>
        <v/>
      </c>
    </row>
    <row r="231" ht="15" customHeight="1" s="341">
      <c r="L231" s="340">
        <f>IF(A231="","",SUMIF(DB_Savings!$C:$C,A231,DB_Savings!$F:$F))</f>
        <v/>
      </c>
      <c r="M231" s="340">
        <f>IF(A231="","",SUMIF(DB_Withdrawals!$C:$C,A231,DB_Withdrawals!$G:$G))</f>
        <v/>
      </c>
      <c r="N231" s="340">
        <f>IF(A231="","",I231+L231-M231)</f>
        <v/>
      </c>
      <c r="O231" s="340">
        <f>IF(A231="","",TRUE())</f>
        <v/>
      </c>
      <c r="P231" s="340">
        <f>IF(A231="","",MAX(0,N231-System_Config!$B$9))</f>
        <v/>
      </c>
    </row>
    <row r="232" ht="15" customHeight="1" s="341">
      <c r="L232" s="340">
        <f>IF(A232="","",SUMIF(DB_Savings!$C:$C,A232,DB_Savings!$F:$F))</f>
        <v/>
      </c>
      <c r="M232" s="340">
        <f>IF(A232="","",SUMIF(DB_Withdrawals!$C:$C,A232,DB_Withdrawals!$G:$G))</f>
        <v/>
      </c>
      <c r="N232" s="340">
        <f>IF(A232="","",I232+L232-M232)</f>
        <v/>
      </c>
      <c r="O232" s="340">
        <f>IF(A232="","",TRUE())</f>
        <v/>
      </c>
      <c r="P232" s="340">
        <f>IF(A232="","",MAX(0,N232-System_Config!$B$9))</f>
        <v/>
      </c>
    </row>
    <row r="233" ht="15" customHeight="1" s="341">
      <c r="L233" s="340">
        <f>IF(A233="","",SUMIF(DB_Savings!$C:$C,A233,DB_Savings!$F:$F))</f>
        <v/>
      </c>
      <c r="M233" s="340">
        <f>IF(A233="","",SUMIF(DB_Withdrawals!$C:$C,A233,DB_Withdrawals!$G:$G))</f>
        <v/>
      </c>
      <c r="N233" s="340">
        <f>IF(A233="","",I233+L233-M233)</f>
        <v/>
      </c>
      <c r="O233" s="340">
        <f>IF(A233="","",TRUE())</f>
        <v/>
      </c>
      <c r="P233" s="340">
        <f>IF(A233="","",MAX(0,N233-System_Config!$B$9))</f>
        <v/>
      </c>
    </row>
    <row r="234" ht="15" customHeight="1" s="341">
      <c r="L234" s="340">
        <f>IF(A234="","",SUMIF(DB_Savings!$C:$C,A234,DB_Savings!$F:$F))</f>
        <v/>
      </c>
      <c r="M234" s="340">
        <f>IF(A234="","",SUMIF(DB_Withdrawals!$C:$C,A234,DB_Withdrawals!$G:$G))</f>
        <v/>
      </c>
      <c r="N234" s="340">
        <f>IF(A234="","",I234+L234-M234)</f>
        <v/>
      </c>
      <c r="O234" s="340">
        <f>IF(A234="","",TRUE())</f>
        <v/>
      </c>
      <c r="P234" s="340">
        <f>IF(A234="","",MAX(0,N234-System_Config!$B$9))</f>
        <v/>
      </c>
    </row>
    <row r="235" ht="15" customHeight="1" s="341">
      <c r="L235" s="340">
        <f>IF(A235="","",SUMIF(DB_Savings!$C:$C,A235,DB_Savings!$F:$F))</f>
        <v/>
      </c>
      <c r="M235" s="340">
        <f>IF(A235="","",SUMIF(DB_Withdrawals!$C:$C,A235,DB_Withdrawals!$G:$G))</f>
        <v/>
      </c>
      <c r="N235" s="340">
        <f>IF(A235="","",I235+L235-M235)</f>
        <v/>
      </c>
      <c r="O235" s="340">
        <f>IF(A235="","",TRUE())</f>
        <v/>
      </c>
      <c r="P235" s="340">
        <f>IF(A235="","",MAX(0,N235-System_Config!$B$9))</f>
        <v/>
      </c>
    </row>
    <row r="236" ht="15" customHeight="1" s="341">
      <c r="L236" s="340">
        <f>IF(A236="","",SUMIF(DB_Savings!$C:$C,A236,DB_Savings!$F:$F))</f>
        <v/>
      </c>
      <c r="M236" s="340">
        <f>IF(A236="","",SUMIF(DB_Withdrawals!$C:$C,A236,DB_Withdrawals!$G:$G))</f>
        <v/>
      </c>
      <c r="N236" s="340">
        <f>IF(A236="","",I236+L236-M236)</f>
        <v/>
      </c>
      <c r="O236" s="340">
        <f>IF(A236="","",TRUE())</f>
        <v/>
      </c>
      <c r="P236" s="340">
        <f>IF(A236="","",MAX(0,N236-System_Config!$B$9))</f>
        <v/>
      </c>
    </row>
    <row r="237" ht="15" customHeight="1" s="341">
      <c r="L237" s="340">
        <f>IF(A237="","",SUMIF(DB_Savings!$C:$C,A237,DB_Savings!$F:$F))</f>
        <v/>
      </c>
      <c r="M237" s="340">
        <f>IF(A237="","",SUMIF(DB_Withdrawals!$C:$C,A237,DB_Withdrawals!$G:$G))</f>
        <v/>
      </c>
      <c r="N237" s="340">
        <f>IF(A237="","",I237+L237-M237)</f>
        <v/>
      </c>
      <c r="O237" s="340">
        <f>IF(A237="","",TRUE())</f>
        <v/>
      </c>
      <c r="P237" s="340">
        <f>IF(A237="","",MAX(0,N237-System_Config!$B$9))</f>
        <v/>
      </c>
    </row>
    <row r="238" ht="15" customHeight="1" s="341">
      <c r="L238" s="340">
        <f>IF(A238="","",SUMIF(DB_Savings!$C:$C,A238,DB_Savings!$F:$F))</f>
        <v/>
      </c>
      <c r="M238" s="340">
        <f>IF(A238="","",SUMIF(DB_Withdrawals!$C:$C,A238,DB_Withdrawals!$G:$G))</f>
        <v/>
      </c>
      <c r="N238" s="340">
        <f>IF(A238="","",I238+L238-M238)</f>
        <v/>
      </c>
      <c r="O238" s="340">
        <f>IF(A238="","",TRUE())</f>
        <v/>
      </c>
      <c r="P238" s="340">
        <f>IF(A238="","",MAX(0,N238-System_Config!$B$9))</f>
        <v/>
      </c>
    </row>
    <row r="239" ht="15" customHeight="1" s="341">
      <c r="L239" s="340">
        <f>IF(A239="","",SUMIF(DB_Savings!$C:$C,A239,DB_Savings!$F:$F))</f>
        <v/>
      </c>
      <c r="M239" s="340">
        <f>IF(A239="","",SUMIF(DB_Withdrawals!$C:$C,A239,DB_Withdrawals!$G:$G))</f>
        <v/>
      </c>
      <c r="N239" s="340">
        <f>IF(A239="","",I239+L239-M239)</f>
        <v/>
      </c>
      <c r="O239" s="340">
        <f>IF(A239="","",TRUE())</f>
        <v/>
      </c>
      <c r="P239" s="340">
        <f>IF(A239="","",MAX(0,N239-System_Config!$B$9))</f>
        <v/>
      </c>
    </row>
    <row r="240" ht="15" customHeight="1" s="341">
      <c r="L240" s="340">
        <f>IF(A240="","",SUMIF(DB_Savings!$C:$C,A240,DB_Savings!$F:$F))</f>
        <v/>
      </c>
      <c r="M240" s="340">
        <f>IF(A240="","",SUMIF(DB_Withdrawals!$C:$C,A240,DB_Withdrawals!$G:$G))</f>
        <v/>
      </c>
      <c r="N240" s="340">
        <f>IF(A240="","",I240+L240-M240)</f>
        <v/>
      </c>
      <c r="O240" s="340">
        <f>IF(A240="","",TRUE())</f>
        <v/>
      </c>
      <c r="P240" s="340">
        <f>IF(A240="","",MAX(0,N240-System_Config!$B$9))</f>
        <v/>
      </c>
    </row>
    <row r="241" ht="15" customHeight="1" s="341">
      <c r="L241" s="340">
        <f>IF(A241="","",SUMIF(DB_Savings!$C:$C,A241,DB_Savings!$F:$F))</f>
        <v/>
      </c>
      <c r="M241" s="340">
        <f>IF(A241="","",SUMIF(DB_Withdrawals!$C:$C,A241,DB_Withdrawals!$G:$G))</f>
        <v/>
      </c>
      <c r="N241" s="340">
        <f>IF(A241="","",I241+L241-M241)</f>
        <v/>
      </c>
      <c r="O241" s="340">
        <f>IF(A241="","",TRUE())</f>
        <v/>
      </c>
      <c r="P241" s="340">
        <f>IF(A241="","",MAX(0,N241-System_Config!$B$9))</f>
        <v/>
      </c>
    </row>
    <row r="242" ht="15" customHeight="1" s="341">
      <c r="L242" s="340">
        <f>IF(A242="","",SUMIF(DB_Savings!$C:$C,A242,DB_Savings!$F:$F))</f>
        <v/>
      </c>
      <c r="M242" s="340">
        <f>IF(A242="","",SUMIF(DB_Withdrawals!$C:$C,A242,DB_Withdrawals!$G:$G))</f>
        <v/>
      </c>
      <c r="N242" s="340">
        <f>IF(A242="","",I242+L242-M242)</f>
        <v/>
      </c>
      <c r="O242" s="340">
        <f>IF(A242="","",TRUE())</f>
        <v/>
      </c>
      <c r="P242" s="340">
        <f>IF(A242="","",MAX(0,N242-System_Config!$B$9))</f>
        <v/>
      </c>
    </row>
    <row r="243" ht="15" customHeight="1" s="341">
      <c r="L243" s="340">
        <f>IF(A243="","",SUMIF(DB_Savings!$C:$C,A243,DB_Savings!$F:$F))</f>
        <v/>
      </c>
      <c r="M243" s="340">
        <f>IF(A243="","",SUMIF(DB_Withdrawals!$C:$C,A243,DB_Withdrawals!$G:$G))</f>
        <v/>
      </c>
      <c r="N243" s="340">
        <f>IF(A243="","",I243+L243-M243)</f>
        <v/>
      </c>
      <c r="O243" s="340">
        <f>IF(A243="","",TRUE())</f>
        <v/>
      </c>
      <c r="P243" s="340">
        <f>IF(A243="","",MAX(0,N243-System_Config!$B$9))</f>
        <v/>
      </c>
    </row>
    <row r="244" ht="15" customHeight="1" s="341">
      <c r="L244" s="340">
        <f>IF(A244="","",SUMIF(DB_Savings!$C:$C,A244,DB_Savings!$F:$F))</f>
        <v/>
      </c>
      <c r="M244" s="340">
        <f>IF(A244="","",SUMIF(DB_Withdrawals!$C:$C,A244,DB_Withdrawals!$G:$G))</f>
        <v/>
      </c>
      <c r="N244" s="340">
        <f>IF(A244="","",I244+L244-M244)</f>
        <v/>
      </c>
      <c r="O244" s="340">
        <f>IF(A244="","",TRUE())</f>
        <v/>
      </c>
      <c r="P244" s="340">
        <f>IF(A244="","",MAX(0,N244-System_Config!$B$9))</f>
        <v/>
      </c>
    </row>
    <row r="245" ht="15" customHeight="1" s="341">
      <c r="L245" s="340">
        <f>IF(A245="","",SUMIF(DB_Savings!$C:$C,A245,DB_Savings!$F:$F))</f>
        <v/>
      </c>
      <c r="M245" s="340">
        <f>IF(A245="","",SUMIF(DB_Withdrawals!$C:$C,A245,DB_Withdrawals!$G:$G))</f>
        <v/>
      </c>
      <c r="N245" s="340">
        <f>IF(A245="","",I245+L245-M245)</f>
        <v/>
      </c>
      <c r="O245" s="340">
        <f>IF(A245="","",TRUE())</f>
        <v/>
      </c>
      <c r="P245" s="340">
        <f>IF(A245="","",MAX(0,N245-System_Config!$B$9))</f>
        <v/>
      </c>
    </row>
    <row r="246" ht="15" customHeight="1" s="341">
      <c r="L246" s="340">
        <f>IF(A246="","",SUMIF(DB_Savings!$C:$C,A246,DB_Savings!$F:$F))</f>
        <v/>
      </c>
      <c r="M246" s="340">
        <f>IF(A246="","",SUMIF(DB_Withdrawals!$C:$C,A246,DB_Withdrawals!$G:$G))</f>
        <v/>
      </c>
      <c r="N246" s="340">
        <f>IF(A246="","",I246+L246-M246)</f>
        <v/>
      </c>
      <c r="O246" s="340">
        <f>IF(A246="","",TRUE())</f>
        <v/>
      </c>
      <c r="P246" s="340">
        <f>IF(A246="","",MAX(0,N246-System_Config!$B$9))</f>
        <v/>
      </c>
    </row>
    <row r="247" ht="15" customHeight="1" s="341">
      <c r="L247" s="340">
        <f>IF(A247="","",SUMIF(DB_Savings!$C:$C,A247,DB_Savings!$F:$F))</f>
        <v/>
      </c>
      <c r="M247" s="340">
        <f>IF(A247="","",SUMIF(DB_Withdrawals!$C:$C,A247,DB_Withdrawals!$G:$G))</f>
        <v/>
      </c>
      <c r="N247" s="340">
        <f>IF(A247="","",I247+L247-M247)</f>
        <v/>
      </c>
      <c r="O247" s="340">
        <f>IF(A247="","",TRUE())</f>
        <v/>
      </c>
      <c r="P247" s="340">
        <f>IF(A247="","",MAX(0,N247-System_Config!$B$9))</f>
        <v/>
      </c>
    </row>
    <row r="248" ht="15" customHeight="1" s="341">
      <c r="L248" s="340">
        <f>IF(A248="","",SUMIF(DB_Savings!$C:$C,A248,DB_Savings!$F:$F))</f>
        <v/>
      </c>
      <c r="M248" s="340">
        <f>IF(A248="","",SUMIF(DB_Withdrawals!$C:$C,A248,DB_Withdrawals!$G:$G))</f>
        <v/>
      </c>
      <c r="N248" s="340">
        <f>IF(A248="","",I248+L248-M248)</f>
        <v/>
      </c>
      <c r="O248" s="340">
        <f>IF(A248="","",TRUE())</f>
        <v/>
      </c>
      <c r="P248" s="340">
        <f>IF(A248="","",MAX(0,N248-System_Config!$B$9))</f>
        <v/>
      </c>
    </row>
    <row r="249" ht="15" customHeight="1" s="341">
      <c r="L249" s="340">
        <f>IF(A249="","",SUMIF(DB_Savings!$C:$C,A249,DB_Savings!$F:$F))</f>
        <v/>
      </c>
      <c r="M249" s="340">
        <f>IF(A249="","",SUMIF(DB_Withdrawals!$C:$C,A249,DB_Withdrawals!$G:$G))</f>
        <v/>
      </c>
      <c r="N249" s="340">
        <f>IF(A249="","",I249+L249-M249)</f>
        <v/>
      </c>
      <c r="O249" s="340">
        <f>IF(A249="","",TRUE())</f>
        <v/>
      </c>
      <c r="P249" s="340">
        <f>IF(A249="","",MAX(0,N249-System_Config!$B$9))</f>
        <v/>
      </c>
    </row>
    <row r="250" ht="15" customHeight="1" s="341">
      <c r="L250" s="340">
        <f>IF(A250="","",SUMIF(DB_Savings!$C:$C,A250,DB_Savings!$F:$F))</f>
        <v/>
      </c>
      <c r="M250" s="340">
        <f>IF(A250="","",SUMIF(DB_Withdrawals!$C:$C,A250,DB_Withdrawals!$G:$G))</f>
        <v/>
      </c>
      <c r="N250" s="340">
        <f>IF(A250="","",I250+L250-M250)</f>
        <v/>
      </c>
      <c r="O250" s="340">
        <f>IF(A250="","",TRUE())</f>
        <v/>
      </c>
      <c r="P250" s="340">
        <f>IF(A250="","",MAX(0,N250-System_Config!$B$9))</f>
        <v/>
      </c>
    </row>
    <row r="251" ht="15" customHeight="1" s="341">
      <c r="L251" s="340">
        <f>IF(A251="","",SUMIF(DB_Savings!$C:$C,A251,DB_Savings!$F:$F))</f>
        <v/>
      </c>
      <c r="M251" s="340">
        <f>IF(A251="","",SUMIF(DB_Withdrawals!$C:$C,A251,DB_Withdrawals!$G:$G))</f>
        <v/>
      </c>
      <c r="N251" s="340">
        <f>IF(A251="","",I251+L251-M251)</f>
        <v/>
      </c>
      <c r="O251" s="340">
        <f>IF(A251="","",TRUE())</f>
        <v/>
      </c>
      <c r="P251" s="340">
        <f>IF(A251="","",MAX(0,N251-System_Config!$B$9))</f>
        <v/>
      </c>
    </row>
    <row r="252" ht="15" customHeight="1" s="341">
      <c r="L252" s="340">
        <f>IF(A252="","",SUMIF(DB_Savings!$C:$C,A252,DB_Savings!$F:$F))</f>
        <v/>
      </c>
      <c r="M252" s="340">
        <f>IF(A252="","",SUMIF(DB_Withdrawals!$C:$C,A252,DB_Withdrawals!$G:$G))</f>
        <v/>
      </c>
      <c r="N252" s="340">
        <f>IF(A252="","",I252+L252-M252)</f>
        <v/>
      </c>
      <c r="O252" s="340">
        <f>IF(A252="","",TRUE())</f>
        <v/>
      </c>
      <c r="P252" s="340">
        <f>IF(A252="","",MAX(0,N252-System_Config!$B$9))</f>
        <v/>
      </c>
    </row>
    <row r="253" ht="15" customHeight="1" s="341">
      <c r="L253" s="340">
        <f>IF(A253="","",SUMIF(DB_Savings!$C:$C,A253,DB_Savings!$F:$F))</f>
        <v/>
      </c>
      <c r="M253" s="340">
        <f>IF(A253="","",SUMIF(DB_Withdrawals!$C:$C,A253,DB_Withdrawals!$G:$G))</f>
        <v/>
      </c>
      <c r="N253" s="340">
        <f>IF(A253="","",I253+L253-M253)</f>
        <v/>
      </c>
      <c r="O253" s="340">
        <f>IF(A253="","",TRUE())</f>
        <v/>
      </c>
      <c r="P253" s="340">
        <f>IF(A253="","",MAX(0,N253-System_Config!$B$9))</f>
        <v/>
      </c>
    </row>
    <row r="254" ht="15" customHeight="1" s="341">
      <c r="L254" s="340">
        <f>IF(A254="","",SUMIF(DB_Savings!$C:$C,A254,DB_Savings!$F:$F))</f>
        <v/>
      </c>
      <c r="M254" s="340">
        <f>IF(A254="","",SUMIF(DB_Withdrawals!$C:$C,A254,DB_Withdrawals!$G:$G))</f>
        <v/>
      </c>
      <c r="N254" s="340">
        <f>IF(A254="","",I254+L254-M254)</f>
        <v/>
      </c>
      <c r="O254" s="340">
        <f>IF(A254="","",TRUE())</f>
        <v/>
      </c>
      <c r="P254" s="340">
        <f>IF(A254="","",MAX(0,N254-System_Config!$B$9))</f>
        <v/>
      </c>
    </row>
    <row r="255" ht="15" customHeight="1" s="341">
      <c r="L255" s="340">
        <f>IF(A255="","",SUMIF(DB_Savings!$C:$C,A255,DB_Savings!$F:$F))</f>
        <v/>
      </c>
      <c r="M255" s="340">
        <f>IF(A255="","",SUMIF(DB_Withdrawals!$C:$C,A255,DB_Withdrawals!$G:$G))</f>
        <v/>
      </c>
      <c r="N255" s="340">
        <f>IF(A255="","",I255+L255-M255)</f>
        <v/>
      </c>
      <c r="O255" s="340">
        <f>IF(A255="","",TRUE())</f>
        <v/>
      </c>
      <c r="P255" s="340">
        <f>IF(A255="","",MAX(0,N255-System_Config!$B$9))</f>
        <v/>
      </c>
    </row>
    <row r="256" ht="15" customHeight="1" s="341">
      <c r="L256" s="340">
        <f>IF(A256="","",SUMIF(DB_Savings!$C:$C,A256,DB_Savings!$F:$F))</f>
        <v/>
      </c>
      <c r="M256" s="340">
        <f>IF(A256="","",SUMIF(DB_Withdrawals!$C:$C,A256,DB_Withdrawals!$G:$G))</f>
        <v/>
      </c>
      <c r="N256" s="340">
        <f>IF(A256="","",I256+L256-M256)</f>
        <v/>
      </c>
      <c r="O256" s="340">
        <f>IF(A256="","",TRUE())</f>
        <v/>
      </c>
      <c r="P256" s="340">
        <f>IF(A256="","",MAX(0,N256-System_Config!$B$9))</f>
        <v/>
      </c>
    </row>
    <row r="257" ht="15" customHeight="1" s="341">
      <c r="L257" s="340">
        <f>IF(A257="","",SUMIF(DB_Savings!$C:$C,A257,DB_Savings!$F:$F))</f>
        <v/>
      </c>
      <c r="M257" s="340">
        <f>IF(A257="","",SUMIF(DB_Withdrawals!$C:$C,A257,DB_Withdrawals!$G:$G))</f>
        <v/>
      </c>
      <c r="N257" s="340">
        <f>IF(A257="","",I257+L257-M257)</f>
        <v/>
      </c>
      <c r="O257" s="340">
        <f>IF(A257="","",TRUE())</f>
        <v/>
      </c>
      <c r="P257" s="340">
        <f>IF(A257="","",MAX(0,N257-System_Config!$B$9))</f>
        <v/>
      </c>
    </row>
    <row r="258" ht="15" customHeight="1" s="341">
      <c r="L258" s="340">
        <f>IF(A258="","",SUMIF(DB_Savings!$C:$C,A258,DB_Savings!$F:$F))</f>
        <v/>
      </c>
      <c r="M258" s="340">
        <f>IF(A258="","",SUMIF(DB_Withdrawals!$C:$C,A258,DB_Withdrawals!$G:$G))</f>
        <v/>
      </c>
      <c r="N258" s="340">
        <f>IF(A258="","",I258+L258-M258)</f>
        <v/>
      </c>
      <c r="O258" s="340">
        <f>IF(A258="","",TRUE())</f>
        <v/>
      </c>
      <c r="P258" s="340">
        <f>IF(A258="","",MAX(0,N258-System_Config!$B$9))</f>
        <v/>
      </c>
    </row>
    <row r="259" ht="15" customHeight="1" s="341">
      <c r="L259" s="340">
        <f>IF(A259="","",SUMIF(DB_Savings!$C:$C,A259,DB_Savings!$F:$F))</f>
        <v/>
      </c>
      <c r="M259" s="340">
        <f>IF(A259="","",SUMIF(DB_Withdrawals!$C:$C,A259,DB_Withdrawals!$G:$G))</f>
        <v/>
      </c>
      <c r="N259" s="340">
        <f>IF(A259="","",I259+L259-M259)</f>
        <v/>
      </c>
      <c r="O259" s="340">
        <f>IF(A259="","",TRUE())</f>
        <v/>
      </c>
      <c r="P259" s="340">
        <f>IF(A259="","",MAX(0,N259-System_Config!$B$9))</f>
        <v/>
      </c>
    </row>
    <row r="260" ht="15" customHeight="1" s="341">
      <c r="L260" s="340">
        <f>IF(A260="","",SUMIF(DB_Savings!$C:$C,A260,DB_Savings!$F:$F))</f>
        <v/>
      </c>
      <c r="M260" s="340">
        <f>IF(A260="","",SUMIF(DB_Withdrawals!$C:$C,A260,DB_Withdrawals!$G:$G))</f>
        <v/>
      </c>
      <c r="N260" s="340">
        <f>IF(A260="","",I260+L260-M260)</f>
        <v/>
      </c>
      <c r="O260" s="340">
        <f>IF(A260="","",TRUE())</f>
        <v/>
      </c>
      <c r="P260" s="340">
        <f>IF(A260="","",MAX(0,N260-System_Config!$B$9))</f>
        <v/>
      </c>
    </row>
    <row r="261" ht="15" customHeight="1" s="341">
      <c r="L261" s="340">
        <f>IF(A261="","",SUMIF(DB_Savings!$C:$C,A261,DB_Savings!$F:$F))</f>
        <v/>
      </c>
      <c r="M261" s="340">
        <f>IF(A261="","",SUMIF(DB_Withdrawals!$C:$C,A261,DB_Withdrawals!$G:$G))</f>
        <v/>
      </c>
      <c r="N261" s="340">
        <f>IF(A261="","",I261+L261-M261)</f>
        <v/>
      </c>
      <c r="O261" s="340">
        <f>IF(A261="","",TRUE())</f>
        <v/>
      </c>
      <c r="P261" s="340">
        <f>IF(A261="","",MAX(0,N261-System_Config!$B$9))</f>
        <v/>
      </c>
    </row>
    <row r="262" ht="15" customHeight="1" s="341">
      <c r="L262" s="340">
        <f>IF(A262="","",SUMIF(DB_Savings!$C:$C,A262,DB_Savings!$F:$F))</f>
        <v/>
      </c>
      <c r="M262" s="340">
        <f>IF(A262="","",SUMIF(DB_Withdrawals!$C:$C,A262,DB_Withdrawals!$G:$G))</f>
        <v/>
      </c>
      <c r="N262" s="340">
        <f>IF(A262="","",I262+L262-M262)</f>
        <v/>
      </c>
      <c r="O262" s="340">
        <f>IF(A262="","",TRUE())</f>
        <v/>
      </c>
      <c r="P262" s="340">
        <f>IF(A262="","",MAX(0,N262-System_Config!$B$9))</f>
        <v/>
      </c>
    </row>
    <row r="263" ht="15" customHeight="1" s="341">
      <c r="L263" s="340">
        <f>IF(A263="","",SUMIF(DB_Savings!$C:$C,A263,DB_Savings!$F:$F))</f>
        <v/>
      </c>
      <c r="M263" s="340">
        <f>IF(A263="","",SUMIF(DB_Withdrawals!$C:$C,A263,DB_Withdrawals!$G:$G))</f>
        <v/>
      </c>
      <c r="N263" s="340">
        <f>IF(A263="","",I263+L263-M263)</f>
        <v/>
      </c>
      <c r="O263" s="340">
        <f>IF(A263="","",TRUE())</f>
        <v/>
      </c>
      <c r="P263" s="340">
        <f>IF(A263="","",MAX(0,N263-System_Config!$B$9))</f>
        <v/>
      </c>
    </row>
    <row r="264" ht="15" customHeight="1" s="341">
      <c r="L264" s="340">
        <f>IF(A264="","",SUMIF(DB_Savings!$C:$C,A264,DB_Savings!$F:$F))</f>
        <v/>
      </c>
      <c r="M264" s="340">
        <f>IF(A264="","",SUMIF(DB_Withdrawals!$C:$C,A264,DB_Withdrawals!$G:$G))</f>
        <v/>
      </c>
      <c r="N264" s="340">
        <f>IF(A264="","",I264+L264-M264)</f>
        <v/>
      </c>
      <c r="O264" s="340">
        <f>IF(A264="","",TRUE())</f>
        <v/>
      </c>
      <c r="P264" s="340">
        <f>IF(A264="","",MAX(0,N264-System_Config!$B$9))</f>
        <v/>
      </c>
    </row>
    <row r="265" ht="15" customHeight="1" s="341">
      <c r="L265" s="340">
        <f>IF(A265="","",SUMIF(DB_Savings!$C:$C,A265,DB_Savings!$F:$F))</f>
        <v/>
      </c>
      <c r="M265" s="340">
        <f>IF(A265="","",SUMIF(DB_Withdrawals!$C:$C,A265,DB_Withdrawals!$G:$G))</f>
        <v/>
      </c>
      <c r="N265" s="340">
        <f>IF(A265="","",I265+L265-M265)</f>
        <v/>
      </c>
      <c r="O265" s="340">
        <f>IF(A265="","",TRUE())</f>
        <v/>
      </c>
      <c r="P265" s="340">
        <f>IF(A265="","",MAX(0,N265-System_Config!$B$9))</f>
        <v/>
      </c>
    </row>
    <row r="266" ht="15" customHeight="1" s="341">
      <c r="L266" s="340">
        <f>IF(A266="","",SUMIF(DB_Savings!$C:$C,A266,DB_Savings!$F:$F))</f>
        <v/>
      </c>
      <c r="M266" s="340">
        <f>IF(A266="","",SUMIF(DB_Withdrawals!$C:$C,A266,DB_Withdrawals!$G:$G))</f>
        <v/>
      </c>
      <c r="N266" s="340">
        <f>IF(A266="","",I266+L266-M266)</f>
        <v/>
      </c>
      <c r="O266" s="340">
        <f>IF(A266="","",TRUE())</f>
        <v/>
      </c>
      <c r="P266" s="340">
        <f>IF(A266="","",MAX(0,N266-System_Config!$B$9))</f>
        <v/>
      </c>
    </row>
    <row r="267" ht="15" customHeight="1" s="341">
      <c r="L267" s="340">
        <f>IF(A267="","",SUMIF(DB_Savings!$C:$C,A267,DB_Savings!$F:$F))</f>
        <v/>
      </c>
      <c r="M267" s="340">
        <f>IF(A267="","",SUMIF(DB_Withdrawals!$C:$C,A267,DB_Withdrawals!$G:$G))</f>
        <v/>
      </c>
      <c r="N267" s="340">
        <f>IF(A267="","",I267+L267-M267)</f>
        <v/>
      </c>
      <c r="O267" s="340">
        <f>IF(A267="","",TRUE())</f>
        <v/>
      </c>
      <c r="P267" s="340">
        <f>IF(A267="","",MAX(0,N267-System_Config!$B$9))</f>
        <v/>
      </c>
    </row>
    <row r="268" ht="15" customHeight="1" s="341">
      <c r="L268" s="340">
        <f>IF(A268="","",SUMIF(DB_Savings!$C:$C,A268,DB_Savings!$F:$F))</f>
        <v/>
      </c>
      <c r="M268" s="340">
        <f>IF(A268="","",SUMIF(DB_Withdrawals!$C:$C,A268,DB_Withdrawals!$G:$G))</f>
        <v/>
      </c>
      <c r="N268" s="340">
        <f>IF(A268="","",I268+L268-M268)</f>
        <v/>
      </c>
      <c r="O268" s="340">
        <f>IF(A268="","",TRUE())</f>
        <v/>
      </c>
      <c r="P268" s="340">
        <f>IF(A268="","",MAX(0,N268-System_Config!$B$9))</f>
        <v/>
      </c>
    </row>
    <row r="269" ht="15" customHeight="1" s="341">
      <c r="L269" s="340">
        <f>IF(A269="","",SUMIF(DB_Savings!$C:$C,A269,DB_Savings!$F:$F))</f>
        <v/>
      </c>
      <c r="M269" s="340">
        <f>IF(A269="","",SUMIF(DB_Withdrawals!$C:$C,A269,DB_Withdrawals!$G:$G))</f>
        <v/>
      </c>
      <c r="N269" s="340">
        <f>IF(A269="","",I269+L269-M269)</f>
        <v/>
      </c>
      <c r="O269" s="340">
        <f>IF(A269="","",TRUE())</f>
        <v/>
      </c>
      <c r="P269" s="340">
        <f>IF(A269="","",MAX(0,N269-System_Config!$B$9))</f>
        <v/>
      </c>
    </row>
    <row r="270" ht="15" customHeight="1" s="341">
      <c r="L270" s="340">
        <f>IF(A270="","",SUMIF(DB_Savings!$C:$C,A270,DB_Savings!$F:$F))</f>
        <v/>
      </c>
      <c r="M270" s="340">
        <f>IF(A270="","",SUMIF(DB_Withdrawals!$C:$C,A270,DB_Withdrawals!$G:$G))</f>
        <v/>
      </c>
      <c r="N270" s="340">
        <f>IF(A270="","",I270+L270-M270)</f>
        <v/>
      </c>
      <c r="O270" s="340">
        <f>IF(A270="","",TRUE())</f>
        <v/>
      </c>
      <c r="P270" s="340">
        <f>IF(A270="","",MAX(0,N270-System_Config!$B$9))</f>
        <v/>
      </c>
    </row>
    <row r="271" ht="15" customHeight="1" s="341">
      <c r="L271" s="340">
        <f>IF(A271="","",SUMIF(DB_Savings!$C:$C,A271,DB_Savings!$F:$F))</f>
        <v/>
      </c>
      <c r="M271" s="340">
        <f>IF(A271="","",SUMIF(DB_Withdrawals!$C:$C,A271,DB_Withdrawals!$G:$G))</f>
        <v/>
      </c>
      <c r="N271" s="340">
        <f>IF(A271="","",I271+L271-M271)</f>
        <v/>
      </c>
      <c r="O271" s="340">
        <f>IF(A271="","",TRUE())</f>
        <v/>
      </c>
      <c r="P271" s="340">
        <f>IF(A271="","",MAX(0,N271-System_Config!$B$9))</f>
        <v/>
      </c>
    </row>
    <row r="272" ht="15" customHeight="1" s="341">
      <c r="L272" s="340">
        <f>IF(A272="","",SUMIF(DB_Savings!$C:$C,A272,DB_Savings!$F:$F))</f>
        <v/>
      </c>
      <c r="M272" s="340">
        <f>IF(A272="","",SUMIF(DB_Withdrawals!$C:$C,A272,DB_Withdrawals!$G:$G))</f>
        <v/>
      </c>
      <c r="N272" s="340">
        <f>IF(A272="","",I272+L272-M272)</f>
        <v/>
      </c>
      <c r="O272" s="340">
        <f>IF(A272="","",TRUE())</f>
        <v/>
      </c>
      <c r="P272" s="340">
        <f>IF(A272="","",MAX(0,N272-System_Config!$B$9))</f>
        <v/>
      </c>
    </row>
    <row r="273" ht="15" customHeight="1" s="341">
      <c r="L273" s="340">
        <f>IF(A273="","",SUMIF(DB_Savings!$C:$C,A273,DB_Savings!$F:$F))</f>
        <v/>
      </c>
      <c r="M273" s="340">
        <f>IF(A273="","",SUMIF(DB_Withdrawals!$C:$C,A273,DB_Withdrawals!$G:$G))</f>
        <v/>
      </c>
      <c r="N273" s="340">
        <f>IF(A273="","",I273+L273-M273)</f>
        <v/>
      </c>
      <c r="O273" s="340">
        <f>IF(A273="","",TRUE())</f>
        <v/>
      </c>
      <c r="P273" s="340">
        <f>IF(A273="","",MAX(0,N273-System_Config!$B$9))</f>
        <v/>
      </c>
    </row>
    <row r="274" ht="15" customHeight="1" s="341">
      <c r="L274" s="340">
        <f>IF(A274="","",SUMIF(DB_Savings!$C:$C,A274,DB_Savings!$F:$F))</f>
        <v/>
      </c>
      <c r="M274" s="340">
        <f>IF(A274="","",SUMIF(DB_Withdrawals!$C:$C,A274,DB_Withdrawals!$G:$G))</f>
        <v/>
      </c>
      <c r="N274" s="340">
        <f>IF(A274="","",I274+L274-M274)</f>
        <v/>
      </c>
      <c r="O274" s="340">
        <f>IF(A274="","",TRUE())</f>
        <v/>
      </c>
      <c r="P274" s="340">
        <f>IF(A274="","",MAX(0,N274-System_Config!$B$9))</f>
        <v/>
      </c>
    </row>
    <row r="275" ht="15" customHeight="1" s="341">
      <c r="L275" s="340">
        <f>IF(A275="","",SUMIF(DB_Savings!$C:$C,A275,DB_Savings!$F:$F))</f>
        <v/>
      </c>
      <c r="M275" s="340">
        <f>IF(A275="","",SUMIF(DB_Withdrawals!$C:$C,A275,DB_Withdrawals!$G:$G))</f>
        <v/>
      </c>
      <c r="N275" s="340">
        <f>IF(A275="","",I275+L275-M275)</f>
        <v/>
      </c>
      <c r="O275" s="340">
        <f>IF(A275="","",TRUE())</f>
        <v/>
      </c>
      <c r="P275" s="340">
        <f>IF(A275="","",MAX(0,N275-System_Config!$B$9))</f>
        <v/>
      </c>
    </row>
    <row r="276" ht="15" customHeight="1" s="341">
      <c r="L276" s="340">
        <f>IF(A276="","",SUMIF(DB_Savings!$C:$C,A276,DB_Savings!$F:$F))</f>
        <v/>
      </c>
      <c r="M276" s="340">
        <f>IF(A276="","",SUMIF(DB_Withdrawals!$C:$C,A276,DB_Withdrawals!$G:$G))</f>
        <v/>
      </c>
      <c r="N276" s="340">
        <f>IF(A276="","",I276+L276-M276)</f>
        <v/>
      </c>
      <c r="O276" s="340">
        <f>IF(A276="","",TRUE())</f>
        <v/>
      </c>
      <c r="P276" s="340">
        <f>IF(A276="","",MAX(0,N276-System_Config!$B$9))</f>
        <v/>
      </c>
    </row>
    <row r="277" ht="15" customHeight="1" s="341">
      <c r="L277" s="340">
        <f>IF(A277="","",SUMIF(DB_Savings!$C:$C,A277,DB_Savings!$F:$F))</f>
        <v/>
      </c>
      <c r="M277" s="340">
        <f>IF(A277="","",SUMIF(DB_Withdrawals!$C:$C,A277,DB_Withdrawals!$G:$G))</f>
        <v/>
      </c>
      <c r="N277" s="340">
        <f>IF(A277="","",I277+L277-M277)</f>
        <v/>
      </c>
      <c r="O277" s="340">
        <f>IF(A277="","",TRUE())</f>
        <v/>
      </c>
      <c r="P277" s="340">
        <f>IF(A277="","",MAX(0,N277-System_Config!$B$9))</f>
        <v/>
      </c>
    </row>
    <row r="278" ht="15" customHeight="1" s="341">
      <c r="L278" s="340">
        <f>IF(A278="","",SUMIF(DB_Savings!$C:$C,A278,DB_Savings!$F:$F))</f>
        <v/>
      </c>
      <c r="M278" s="340">
        <f>IF(A278="","",SUMIF(DB_Withdrawals!$C:$C,A278,DB_Withdrawals!$G:$G))</f>
        <v/>
      </c>
      <c r="N278" s="340">
        <f>IF(A278="","",I278+L278-M278)</f>
        <v/>
      </c>
      <c r="O278" s="340">
        <f>IF(A278="","",TRUE())</f>
        <v/>
      </c>
      <c r="P278" s="340">
        <f>IF(A278="","",MAX(0,N278-System_Config!$B$9))</f>
        <v/>
      </c>
    </row>
    <row r="279" ht="15" customHeight="1" s="341">
      <c r="L279" s="340">
        <f>IF(A279="","",SUMIF(DB_Savings!$C:$C,A279,DB_Savings!$F:$F))</f>
        <v/>
      </c>
      <c r="M279" s="340">
        <f>IF(A279="","",SUMIF(DB_Withdrawals!$C:$C,A279,DB_Withdrawals!$G:$G))</f>
        <v/>
      </c>
      <c r="N279" s="340">
        <f>IF(A279="","",I279+L279-M279)</f>
        <v/>
      </c>
      <c r="O279" s="340">
        <f>IF(A279="","",TRUE())</f>
        <v/>
      </c>
      <c r="P279" s="340">
        <f>IF(A279="","",MAX(0,N279-System_Config!$B$9))</f>
        <v/>
      </c>
    </row>
    <row r="280" ht="15" customHeight="1" s="341">
      <c r="L280" s="340">
        <f>IF(A280="","",SUMIF(DB_Savings!$C:$C,A280,DB_Savings!$F:$F))</f>
        <v/>
      </c>
      <c r="M280" s="340">
        <f>IF(A280="","",SUMIF(DB_Withdrawals!$C:$C,A280,DB_Withdrawals!$G:$G))</f>
        <v/>
      </c>
      <c r="N280" s="340">
        <f>IF(A280="","",I280+L280-M280)</f>
        <v/>
      </c>
      <c r="O280" s="340">
        <f>IF(A280="","",TRUE())</f>
        <v/>
      </c>
      <c r="P280" s="340">
        <f>IF(A280="","",MAX(0,N280-System_Config!$B$9))</f>
        <v/>
      </c>
    </row>
    <row r="281" ht="15" customHeight="1" s="341">
      <c r="L281" s="340">
        <f>IF(A281="","",SUMIF(DB_Savings!$C:$C,A281,DB_Savings!$F:$F))</f>
        <v/>
      </c>
      <c r="M281" s="340">
        <f>IF(A281="","",SUMIF(DB_Withdrawals!$C:$C,A281,DB_Withdrawals!$G:$G))</f>
        <v/>
      </c>
      <c r="N281" s="340">
        <f>IF(A281="","",I281+L281-M281)</f>
        <v/>
      </c>
      <c r="O281" s="340">
        <f>IF(A281="","",TRUE())</f>
        <v/>
      </c>
      <c r="P281" s="340">
        <f>IF(A281="","",MAX(0,N281-System_Config!$B$9))</f>
        <v/>
      </c>
    </row>
    <row r="282" ht="15" customHeight="1" s="341">
      <c r="L282" s="340">
        <f>IF(A282="","",SUMIF(DB_Savings!$C:$C,A282,DB_Savings!$F:$F))</f>
        <v/>
      </c>
      <c r="M282" s="340">
        <f>IF(A282="","",SUMIF(DB_Withdrawals!$C:$C,A282,DB_Withdrawals!$G:$G))</f>
        <v/>
      </c>
      <c r="N282" s="340">
        <f>IF(A282="","",I282+L282-M282)</f>
        <v/>
      </c>
      <c r="O282" s="340">
        <f>IF(A282="","",TRUE())</f>
        <v/>
      </c>
      <c r="P282" s="340">
        <f>IF(A282="","",MAX(0,N282-System_Config!$B$9))</f>
        <v/>
      </c>
    </row>
    <row r="283" ht="15" customHeight="1" s="341">
      <c r="L283" s="340">
        <f>IF(A283="","",SUMIF(DB_Savings!$C:$C,A283,DB_Savings!$F:$F))</f>
        <v/>
      </c>
      <c r="M283" s="340">
        <f>IF(A283="","",SUMIF(DB_Withdrawals!$C:$C,A283,DB_Withdrawals!$G:$G))</f>
        <v/>
      </c>
      <c r="N283" s="340">
        <f>IF(A283="","",I283+L283-M283)</f>
        <v/>
      </c>
      <c r="O283" s="340">
        <f>IF(A283="","",TRUE())</f>
        <v/>
      </c>
      <c r="P283" s="340">
        <f>IF(A283="","",MAX(0,N283-System_Config!$B$9))</f>
        <v/>
      </c>
    </row>
    <row r="284" ht="15" customHeight="1" s="341">
      <c r="L284" s="340">
        <f>IF(A284="","",SUMIF(DB_Savings!$C:$C,A284,DB_Savings!$F:$F))</f>
        <v/>
      </c>
      <c r="M284" s="340">
        <f>IF(A284="","",SUMIF(DB_Withdrawals!$C:$C,A284,DB_Withdrawals!$G:$G))</f>
        <v/>
      </c>
      <c r="N284" s="340">
        <f>IF(A284="","",I284+L284-M284)</f>
        <v/>
      </c>
      <c r="O284" s="340">
        <f>IF(A284="","",TRUE())</f>
        <v/>
      </c>
      <c r="P284" s="340">
        <f>IF(A284="","",MAX(0,N284-System_Config!$B$9))</f>
        <v/>
      </c>
    </row>
    <row r="285" ht="15" customHeight="1" s="341">
      <c r="L285" s="340">
        <f>IF(A285="","",SUMIF(DB_Savings!$C:$C,A285,DB_Savings!$F:$F))</f>
        <v/>
      </c>
      <c r="M285" s="340">
        <f>IF(A285="","",SUMIF(DB_Withdrawals!$C:$C,A285,DB_Withdrawals!$G:$G))</f>
        <v/>
      </c>
      <c r="N285" s="340">
        <f>IF(A285="","",I285+L285-M285)</f>
        <v/>
      </c>
      <c r="O285" s="340">
        <f>IF(A285="","",TRUE())</f>
        <v/>
      </c>
      <c r="P285" s="340">
        <f>IF(A285="","",MAX(0,N285-System_Config!$B$9))</f>
        <v/>
      </c>
    </row>
    <row r="286" ht="15" customHeight="1" s="341">
      <c r="L286" s="340">
        <f>IF(A286="","",SUMIF(DB_Savings!$C:$C,A286,DB_Savings!$F:$F))</f>
        <v/>
      </c>
      <c r="M286" s="340">
        <f>IF(A286="","",SUMIF(DB_Withdrawals!$C:$C,A286,DB_Withdrawals!$G:$G))</f>
        <v/>
      </c>
      <c r="N286" s="340">
        <f>IF(A286="","",I286+L286-M286)</f>
        <v/>
      </c>
      <c r="O286" s="340">
        <f>IF(A286="","",TRUE())</f>
        <v/>
      </c>
      <c r="P286" s="340">
        <f>IF(A286="","",MAX(0,N286-System_Config!$B$9))</f>
        <v/>
      </c>
    </row>
    <row r="287" ht="15" customHeight="1" s="341">
      <c r="L287" s="340">
        <f>IF(A287="","",SUMIF(DB_Savings!$C:$C,A287,DB_Savings!$F:$F))</f>
        <v/>
      </c>
      <c r="M287" s="340">
        <f>IF(A287="","",SUMIF(DB_Withdrawals!$C:$C,A287,DB_Withdrawals!$G:$G))</f>
        <v/>
      </c>
      <c r="N287" s="340">
        <f>IF(A287="","",I287+L287-M287)</f>
        <v/>
      </c>
      <c r="O287" s="340">
        <f>IF(A287="","",TRUE())</f>
        <v/>
      </c>
      <c r="P287" s="340">
        <f>IF(A287="","",MAX(0,N287-System_Config!$B$9))</f>
        <v/>
      </c>
    </row>
    <row r="288" ht="15" customHeight="1" s="341">
      <c r="L288" s="340">
        <f>IF(A288="","",SUMIF(DB_Savings!$C:$C,A288,DB_Savings!$F:$F))</f>
        <v/>
      </c>
      <c r="M288" s="340">
        <f>IF(A288="","",SUMIF(DB_Withdrawals!$C:$C,A288,DB_Withdrawals!$G:$G))</f>
        <v/>
      </c>
      <c r="N288" s="340">
        <f>IF(A288="","",I288+L288-M288)</f>
        <v/>
      </c>
      <c r="O288" s="340">
        <f>IF(A288="","",TRUE())</f>
        <v/>
      </c>
      <c r="P288" s="340">
        <f>IF(A288="","",MAX(0,N288-System_Config!$B$9))</f>
        <v/>
      </c>
    </row>
    <row r="289" ht="15" customHeight="1" s="341">
      <c r="L289" s="340">
        <f>IF(A289="","",SUMIF(DB_Savings!$C:$C,A289,DB_Savings!$F:$F))</f>
        <v/>
      </c>
      <c r="M289" s="340">
        <f>IF(A289="","",SUMIF(DB_Withdrawals!$C:$C,A289,DB_Withdrawals!$G:$G))</f>
        <v/>
      </c>
      <c r="N289" s="340">
        <f>IF(A289="","",I289+L289-M289)</f>
        <v/>
      </c>
      <c r="O289" s="340">
        <f>IF(A289="","",TRUE())</f>
        <v/>
      </c>
      <c r="P289" s="340">
        <f>IF(A289="","",MAX(0,N289-System_Config!$B$9))</f>
        <v/>
      </c>
    </row>
    <row r="290" ht="15" customHeight="1" s="341">
      <c r="L290" s="340">
        <f>IF(A290="","",SUMIF(DB_Savings!$C:$C,A290,DB_Savings!$F:$F))</f>
        <v/>
      </c>
      <c r="M290" s="340">
        <f>IF(A290="","",SUMIF(DB_Withdrawals!$C:$C,A290,DB_Withdrawals!$G:$G))</f>
        <v/>
      </c>
      <c r="N290" s="340">
        <f>IF(A290="","",I290+L290-M290)</f>
        <v/>
      </c>
      <c r="O290" s="340">
        <f>IF(A290="","",TRUE())</f>
        <v/>
      </c>
      <c r="P290" s="340">
        <f>IF(A290="","",MAX(0,N290-System_Config!$B$9))</f>
        <v/>
      </c>
    </row>
    <row r="291" ht="15" customHeight="1" s="341">
      <c r="L291" s="340">
        <f>IF(A291="","",SUMIF(DB_Savings!$C:$C,A291,DB_Savings!$F:$F))</f>
        <v/>
      </c>
      <c r="M291" s="340">
        <f>IF(A291="","",SUMIF(DB_Withdrawals!$C:$C,A291,DB_Withdrawals!$G:$G))</f>
        <v/>
      </c>
      <c r="N291" s="340">
        <f>IF(A291="","",I291+L291-M291)</f>
        <v/>
      </c>
      <c r="O291" s="340">
        <f>IF(A291="","",TRUE())</f>
        <v/>
      </c>
      <c r="P291" s="340">
        <f>IF(A291="","",MAX(0,N291-System_Config!$B$9))</f>
        <v/>
      </c>
    </row>
    <row r="292" ht="15" customHeight="1" s="341">
      <c r="L292" s="340">
        <f>IF(A292="","",SUMIF(DB_Savings!$C:$C,A292,DB_Savings!$F:$F))</f>
        <v/>
      </c>
      <c r="M292" s="340">
        <f>IF(A292="","",SUMIF(DB_Withdrawals!$C:$C,A292,DB_Withdrawals!$G:$G))</f>
        <v/>
      </c>
      <c r="N292" s="340">
        <f>IF(A292="","",I292+L292-M292)</f>
        <v/>
      </c>
      <c r="O292" s="340">
        <f>IF(A292="","",TRUE())</f>
        <v/>
      </c>
      <c r="P292" s="340">
        <f>IF(A292="","",MAX(0,N292-System_Config!$B$9))</f>
        <v/>
      </c>
    </row>
    <row r="293" ht="15" customHeight="1" s="341">
      <c r="L293" s="340">
        <f>IF(A293="","",SUMIF(DB_Savings!$C:$C,A293,DB_Savings!$F:$F))</f>
        <v/>
      </c>
      <c r="M293" s="340">
        <f>IF(A293="","",SUMIF(DB_Withdrawals!$C:$C,A293,DB_Withdrawals!$G:$G))</f>
        <v/>
      </c>
      <c r="N293" s="340">
        <f>IF(A293="","",I293+L293-M293)</f>
        <v/>
      </c>
      <c r="O293" s="340">
        <f>IF(A293="","",TRUE())</f>
        <v/>
      </c>
      <c r="P293" s="340">
        <f>IF(A293="","",MAX(0,N293-System_Config!$B$9))</f>
        <v/>
      </c>
    </row>
    <row r="294" ht="15" customHeight="1" s="341">
      <c r="L294" s="340">
        <f>IF(A294="","",SUMIF(DB_Savings!$C:$C,A294,DB_Savings!$F:$F))</f>
        <v/>
      </c>
      <c r="M294" s="340">
        <f>IF(A294="","",SUMIF(DB_Withdrawals!$C:$C,A294,DB_Withdrawals!$G:$G))</f>
        <v/>
      </c>
      <c r="N294" s="340">
        <f>IF(A294="","",I294+L294-M294)</f>
        <v/>
      </c>
      <c r="O294" s="340">
        <f>IF(A294="","",TRUE())</f>
        <v/>
      </c>
      <c r="P294" s="340">
        <f>IF(A294="","",MAX(0,N294-System_Config!$B$9))</f>
        <v/>
      </c>
    </row>
    <row r="295" ht="15" customHeight="1" s="341">
      <c r="L295" s="340">
        <f>IF(A295="","",SUMIF(DB_Savings!$C:$C,A295,DB_Savings!$F:$F))</f>
        <v/>
      </c>
      <c r="M295" s="340">
        <f>IF(A295="","",SUMIF(DB_Withdrawals!$C:$C,A295,DB_Withdrawals!$G:$G))</f>
        <v/>
      </c>
      <c r="N295" s="340">
        <f>IF(A295="","",I295+L295-M295)</f>
        <v/>
      </c>
      <c r="O295" s="340">
        <f>IF(A295="","",TRUE())</f>
        <v/>
      </c>
      <c r="P295" s="340">
        <f>IF(A295="","",MAX(0,N295-System_Config!$B$9))</f>
        <v/>
      </c>
    </row>
    <row r="296" ht="15" customHeight="1" s="341">
      <c r="L296" s="340">
        <f>IF(A296="","",SUMIF(DB_Savings!$C:$C,A296,DB_Savings!$F:$F))</f>
        <v/>
      </c>
      <c r="M296" s="340">
        <f>IF(A296="","",SUMIF(DB_Withdrawals!$C:$C,A296,DB_Withdrawals!$G:$G))</f>
        <v/>
      </c>
      <c r="N296" s="340">
        <f>IF(A296="","",I296+L296-M296)</f>
        <v/>
      </c>
      <c r="O296" s="340">
        <f>IF(A296="","",TRUE())</f>
        <v/>
      </c>
      <c r="P296" s="340">
        <f>IF(A296="","",MAX(0,N296-System_Config!$B$9))</f>
        <v/>
      </c>
    </row>
    <row r="297" ht="15" customHeight="1" s="341">
      <c r="L297" s="340">
        <f>IF(A297="","",SUMIF(DB_Savings!$C:$C,A297,DB_Savings!$F:$F))</f>
        <v/>
      </c>
      <c r="M297" s="340">
        <f>IF(A297="","",SUMIF(DB_Withdrawals!$C:$C,A297,DB_Withdrawals!$G:$G))</f>
        <v/>
      </c>
      <c r="N297" s="340">
        <f>IF(A297="","",I297+L297-M297)</f>
        <v/>
      </c>
      <c r="O297" s="340">
        <f>IF(A297="","",TRUE())</f>
        <v/>
      </c>
      <c r="P297" s="340">
        <f>IF(A297="","",MAX(0,N297-System_Config!$B$9))</f>
        <v/>
      </c>
    </row>
    <row r="298" ht="15" customHeight="1" s="341">
      <c r="L298" s="340">
        <f>IF(A298="","",SUMIF(DB_Savings!$C:$C,A298,DB_Savings!$F:$F))</f>
        <v/>
      </c>
      <c r="M298" s="340">
        <f>IF(A298="","",SUMIF(DB_Withdrawals!$C:$C,A298,DB_Withdrawals!$G:$G))</f>
        <v/>
      </c>
      <c r="N298" s="340">
        <f>IF(A298="","",I298+L298-M298)</f>
        <v/>
      </c>
      <c r="O298" s="340">
        <f>IF(A298="","",TRUE())</f>
        <v/>
      </c>
      <c r="P298" s="340">
        <f>IF(A298="","",MAX(0,N298-System_Config!$B$9))</f>
        <v/>
      </c>
    </row>
    <row r="299" ht="15" customHeight="1" s="341">
      <c r="L299" s="340">
        <f>IF(A299="","",SUMIF(DB_Savings!$C:$C,A299,DB_Savings!$F:$F))</f>
        <v/>
      </c>
      <c r="M299" s="340">
        <f>IF(A299="","",SUMIF(DB_Withdrawals!$C:$C,A299,DB_Withdrawals!$G:$G))</f>
        <v/>
      </c>
      <c r="N299" s="340">
        <f>IF(A299="","",I299+L299-M299)</f>
        <v/>
      </c>
      <c r="O299" s="340">
        <f>IF(A299="","",TRUE())</f>
        <v/>
      </c>
      <c r="P299" s="340">
        <f>IF(A299="","",MAX(0,N299-System_Config!$B$9))</f>
        <v/>
      </c>
    </row>
    <row r="300" ht="15" customHeight="1" s="341">
      <c r="L300" s="340">
        <f>IF(A300="","",SUMIF(DB_Savings!$C:$C,A300,DB_Savings!$F:$F))</f>
        <v/>
      </c>
      <c r="M300" s="340">
        <f>IF(A300="","",SUMIF(DB_Withdrawals!$C:$C,A300,DB_Withdrawals!$G:$G))</f>
        <v/>
      </c>
      <c r="N300" s="340">
        <f>IF(A300="","",I300+L300-M300)</f>
        <v/>
      </c>
      <c r="O300" s="340">
        <f>IF(A300="","",TRUE())</f>
        <v/>
      </c>
      <c r="P300" s="340">
        <f>IF(A300="","",MAX(0,N300-System_Config!$B$9))</f>
        <v/>
      </c>
    </row>
    <row r="301" ht="15" customHeight="1" s="341">
      <c r="L301" s="340">
        <f>IF(A301="","",SUMIF(DB_Savings!$C:$C,A301,DB_Savings!$F:$F))</f>
        <v/>
      </c>
      <c r="M301" s="340">
        <f>IF(A301="","",SUMIF(DB_Withdrawals!$C:$C,A301,DB_Withdrawals!$G:$G))</f>
        <v/>
      </c>
      <c r="N301" s="340">
        <f>IF(A301="","",I301+L301-M301)</f>
        <v/>
      </c>
      <c r="O301" s="340">
        <f>IF(A301="","",TRUE())</f>
        <v/>
      </c>
      <c r="P301" s="340">
        <f>IF(A301="","",MAX(0,N301-System_Config!$B$9))</f>
        <v/>
      </c>
    </row>
    <row r="302" ht="15" customHeight="1" s="341">
      <c r="L302" s="340">
        <f>IF(A302="","",SUMIF(DB_Savings!$C:$C,A302,DB_Savings!$F:$F))</f>
        <v/>
      </c>
      <c r="M302" s="340">
        <f>IF(A302="","",SUMIF(DB_Withdrawals!$C:$C,A302,DB_Withdrawals!$G:$G))</f>
        <v/>
      </c>
      <c r="N302" s="340">
        <f>IF(A302="","",I302+L302-M302)</f>
        <v/>
      </c>
      <c r="O302" s="340">
        <f>IF(A302="","",TRUE())</f>
        <v/>
      </c>
      <c r="P302" s="340">
        <f>IF(A302="","",MAX(0,N302-System_Config!$B$9))</f>
        <v/>
      </c>
    </row>
    <row r="303" ht="15" customHeight="1" s="341">
      <c r="L303" s="340">
        <f>IF(A303="","",SUMIF(DB_Savings!$C:$C,A303,DB_Savings!$F:$F))</f>
        <v/>
      </c>
      <c r="M303" s="340">
        <f>IF(A303="","",SUMIF(DB_Withdrawals!$C:$C,A303,DB_Withdrawals!$G:$G))</f>
        <v/>
      </c>
      <c r="N303" s="340">
        <f>IF(A303="","",I303+L303-M303)</f>
        <v/>
      </c>
      <c r="O303" s="340">
        <f>IF(A303="","",TRUE())</f>
        <v/>
      </c>
      <c r="P303" s="340">
        <f>IF(A303="","",MAX(0,N303-System_Config!$B$9))</f>
        <v/>
      </c>
    </row>
    <row r="304" ht="15" customHeight="1" s="341">
      <c r="L304" s="340">
        <f>IF(A304="","",SUMIF(DB_Savings!$C:$C,A304,DB_Savings!$F:$F))</f>
        <v/>
      </c>
      <c r="M304" s="340">
        <f>IF(A304="","",SUMIF(DB_Withdrawals!$C:$C,A304,DB_Withdrawals!$G:$G))</f>
        <v/>
      </c>
      <c r="N304" s="340">
        <f>IF(A304="","",I304+L304-M304)</f>
        <v/>
      </c>
      <c r="O304" s="340">
        <f>IF(A304="","",TRUE())</f>
        <v/>
      </c>
      <c r="P304" s="340">
        <f>IF(A304="","",MAX(0,N304-System_Config!$B$9))</f>
        <v/>
      </c>
    </row>
    <row r="305" ht="15" customHeight="1" s="341">
      <c r="L305" s="340">
        <f>IF(A305="","",SUMIF(DB_Savings!$C:$C,A305,DB_Savings!$F:$F))</f>
        <v/>
      </c>
      <c r="M305" s="340">
        <f>IF(A305="","",SUMIF(DB_Withdrawals!$C:$C,A305,DB_Withdrawals!$G:$G))</f>
        <v/>
      </c>
      <c r="N305" s="340">
        <f>IF(A305="","",I305+L305-M305)</f>
        <v/>
      </c>
      <c r="O305" s="340">
        <f>IF(A305="","",TRUE())</f>
        <v/>
      </c>
      <c r="P305" s="340">
        <f>IF(A305="","",MAX(0,N305-System_Config!$B$9))</f>
        <v/>
      </c>
    </row>
    <row r="306" ht="15" customHeight="1" s="341">
      <c r="L306" s="340">
        <f>IF(A306="","",SUMIF(DB_Savings!$C:$C,A306,DB_Savings!$F:$F))</f>
        <v/>
      </c>
      <c r="M306" s="340">
        <f>IF(A306="","",SUMIF(DB_Withdrawals!$C:$C,A306,DB_Withdrawals!$G:$G))</f>
        <v/>
      </c>
      <c r="N306" s="340">
        <f>IF(A306="","",I306+L306-M306)</f>
        <v/>
      </c>
      <c r="O306" s="340">
        <f>IF(A306="","",TRUE())</f>
        <v/>
      </c>
      <c r="P306" s="340">
        <f>IF(A306="","",MAX(0,N306-System_Config!$B$9))</f>
        <v/>
      </c>
    </row>
    <row r="307" ht="15" customHeight="1" s="341">
      <c r="L307" s="340">
        <f>IF(A307="","",SUMIF(DB_Savings!$C:$C,A307,DB_Savings!$F:$F))</f>
        <v/>
      </c>
      <c r="M307" s="340">
        <f>IF(A307="","",SUMIF(DB_Withdrawals!$C:$C,A307,DB_Withdrawals!$G:$G))</f>
        <v/>
      </c>
      <c r="N307" s="340">
        <f>IF(A307="","",I307+L307-M307)</f>
        <v/>
      </c>
      <c r="O307" s="340">
        <f>IF(A307="","",TRUE())</f>
        <v/>
      </c>
      <c r="P307" s="340">
        <f>IF(A307="","",MAX(0,N307-System_Config!$B$9))</f>
        <v/>
      </c>
    </row>
    <row r="308" ht="15" customHeight="1" s="341">
      <c r="L308" s="340">
        <f>IF(A308="","",SUMIF(DB_Savings!$C:$C,A308,DB_Savings!$F:$F))</f>
        <v/>
      </c>
      <c r="M308" s="340">
        <f>IF(A308="","",SUMIF(DB_Withdrawals!$C:$C,A308,DB_Withdrawals!$G:$G))</f>
        <v/>
      </c>
      <c r="N308" s="340">
        <f>IF(A308="","",I308+L308-M308)</f>
        <v/>
      </c>
      <c r="O308" s="340">
        <f>IF(A308="","",TRUE())</f>
        <v/>
      </c>
      <c r="P308" s="340">
        <f>IF(A308="","",MAX(0,N308-System_Config!$B$9))</f>
        <v/>
      </c>
    </row>
    <row r="309" ht="15" customHeight="1" s="341">
      <c r="L309" s="340">
        <f>IF(A309="","",SUMIF(DB_Savings!$C:$C,A309,DB_Savings!$F:$F))</f>
        <v/>
      </c>
      <c r="M309" s="340">
        <f>IF(A309="","",SUMIF(DB_Withdrawals!$C:$C,A309,DB_Withdrawals!$G:$G))</f>
        <v/>
      </c>
      <c r="N309" s="340">
        <f>IF(A309="","",I309+L309-M309)</f>
        <v/>
      </c>
      <c r="O309" s="340">
        <f>IF(A309="","",TRUE())</f>
        <v/>
      </c>
      <c r="P309" s="340">
        <f>IF(A309="","",MAX(0,N309-System_Config!$B$9))</f>
        <v/>
      </c>
    </row>
    <row r="310" ht="15" customHeight="1" s="341">
      <c r="L310" s="340">
        <f>IF(A310="","",SUMIF(DB_Savings!$C:$C,A310,DB_Savings!$F:$F))</f>
        <v/>
      </c>
      <c r="M310" s="340">
        <f>IF(A310="","",SUMIF(DB_Withdrawals!$C:$C,A310,DB_Withdrawals!$G:$G))</f>
        <v/>
      </c>
      <c r="N310" s="340">
        <f>IF(A310="","",I310+L310-M310)</f>
        <v/>
      </c>
      <c r="O310" s="340">
        <f>IF(A310="","",TRUE())</f>
        <v/>
      </c>
      <c r="P310" s="340">
        <f>IF(A310="","",MAX(0,N310-System_Config!$B$9))</f>
        <v/>
      </c>
    </row>
    <row r="311" ht="15" customHeight="1" s="341">
      <c r="L311" s="340">
        <f>IF(A311="","",SUMIF(DB_Savings!$C:$C,A311,DB_Savings!$F:$F))</f>
        <v/>
      </c>
      <c r="M311" s="340">
        <f>IF(A311="","",SUMIF(DB_Withdrawals!$C:$C,A311,DB_Withdrawals!$G:$G))</f>
        <v/>
      </c>
      <c r="N311" s="340">
        <f>IF(A311="","",I311+L311-M311)</f>
        <v/>
      </c>
      <c r="O311" s="340">
        <f>IF(A311="","",TRUE())</f>
        <v/>
      </c>
      <c r="P311" s="340">
        <f>IF(A311="","",MAX(0,N311-System_Config!$B$9))</f>
        <v/>
      </c>
    </row>
    <row r="312" ht="15" customHeight="1" s="341">
      <c r="L312" s="340">
        <f>IF(A312="","",SUMIF(DB_Savings!$C:$C,A312,DB_Savings!$F:$F))</f>
        <v/>
      </c>
      <c r="M312" s="340">
        <f>IF(A312="","",SUMIF(DB_Withdrawals!$C:$C,A312,DB_Withdrawals!$G:$G))</f>
        <v/>
      </c>
      <c r="N312" s="340">
        <f>IF(A312="","",I312+L312-M312)</f>
        <v/>
      </c>
      <c r="O312" s="340">
        <f>IF(A312="","",TRUE())</f>
        <v/>
      </c>
      <c r="P312" s="340">
        <f>IF(A312="","",MAX(0,N312-System_Config!$B$9))</f>
        <v/>
      </c>
    </row>
    <row r="313" ht="15" customHeight="1" s="341">
      <c r="L313" s="340">
        <f>IF(A313="","",SUMIF(DB_Savings!$C:$C,A313,DB_Savings!$F:$F))</f>
        <v/>
      </c>
      <c r="M313" s="340">
        <f>IF(A313="","",SUMIF(DB_Withdrawals!$C:$C,A313,DB_Withdrawals!$G:$G))</f>
        <v/>
      </c>
      <c r="N313" s="340">
        <f>IF(A313="","",I313+L313-M313)</f>
        <v/>
      </c>
      <c r="O313" s="340">
        <f>IF(A313="","",TRUE())</f>
        <v/>
      </c>
      <c r="P313" s="340">
        <f>IF(A313="","",MAX(0,N313-System_Config!$B$9))</f>
        <v/>
      </c>
    </row>
    <row r="314" ht="15" customHeight="1" s="341">
      <c r="L314" s="340">
        <f>IF(A314="","",SUMIF(DB_Savings!$C:$C,A314,DB_Savings!$F:$F))</f>
        <v/>
      </c>
      <c r="M314" s="340">
        <f>IF(A314="","",SUMIF(DB_Withdrawals!$C:$C,A314,DB_Withdrawals!$G:$G))</f>
        <v/>
      </c>
      <c r="N314" s="340">
        <f>IF(A314="","",I314+L314-M314)</f>
        <v/>
      </c>
      <c r="O314" s="340">
        <f>IF(A314="","",TRUE())</f>
        <v/>
      </c>
      <c r="P314" s="340">
        <f>IF(A314="","",MAX(0,N314-System_Config!$B$9))</f>
        <v/>
      </c>
    </row>
    <row r="315" ht="15" customHeight="1" s="341">
      <c r="L315" s="340">
        <f>IF(A315="","",SUMIF(DB_Savings!$C:$C,A315,DB_Savings!$F:$F))</f>
        <v/>
      </c>
      <c r="M315" s="340">
        <f>IF(A315="","",SUMIF(DB_Withdrawals!$C:$C,A315,DB_Withdrawals!$G:$G))</f>
        <v/>
      </c>
      <c r="N315" s="340">
        <f>IF(A315="","",I315+L315-M315)</f>
        <v/>
      </c>
      <c r="O315" s="340">
        <f>IF(A315="","",TRUE())</f>
        <v/>
      </c>
      <c r="P315" s="340">
        <f>IF(A315="","",MAX(0,N315-System_Config!$B$9))</f>
        <v/>
      </c>
    </row>
    <row r="316" ht="15" customHeight="1" s="341">
      <c r="L316" s="340">
        <f>IF(A316="","",SUMIF(DB_Savings!$C:$C,A316,DB_Savings!$F:$F))</f>
        <v/>
      </c>
      <c r="M316" s="340">
        <f>IF(A316="","",SUMIF(DB_Withdrawals!$C:$C,A316,DB_Withdrawals!$G:$G))</f>
        <v/>
      </c>
      <c r="N316" s="340">
        <f>IF(A316="","",I316+L316-M316)</f>
        <v/>
      </c>
      <c r="O316" s="340">
        <f>IF(A316="","",TRUE())</f>
        <v/>
      </c>
      <c r="P316" s="340">
        <f>IF(A316="","",MAX(0,N316-System_Config!$B$9))</f>
        <v/>
      </c>
    </row>
    <row r="317" ht="15" customHeight="1" s="341">
      <c r="L317" s="340">
        <f>IF(A317="","",SUMIF(DB_Savings!$C:$C,A317,DB_Savings!$F:$F))</f>
        <v/>
      </c>
      <c r="M317" s="340">
        <f>IF(A317="","",SUMIF(DB_Withdrawals!$C:$C,A317,DB_Withdrawals!$G:$G))</f>
        <v/>
      </c>
      <c r="N317" s="340">
        <f>IF(A317="","",I317+L317-M317)</f>
        <v/>
      </c>
      <c r="O317" s="340">
        <f>IF(A317="","",TRUE())</f>
        <v/>
      </c>
      <c r="P317" s="340">
        <f>IF(A317="","",MAX(0,N317-System_Config!$B$9))</f>
        <v/>
      </c>
    </row>
    <row r="318" ht="15" customHeight="1" s="341">
      <c r="L318" s="340">
        <f>IF(A318="","",SUMIF(DB_Savings!$C:$C,A318,DB_Savings!$F:$F))</f>
        <v/>
      </c>
      <c r="M318" s="340">
        <f>IF(A318="","",SUMIF(DB_Withdrawals!$C:$C,A318,DB_Withdrawals!$G:$G))</f>
        <v/>
      </c>
      <c r="N318" s="340">
        <f>IF(A318="","",I318+L318-M318)</f>
        <v/>
      </c>
      <c r="O318" s="340">
        <f>IF(A318="","",TRUE())</f>
        <v/>
      </c>
      <c r="P318" s="340">
        <f>IF(A318="","",MAX(0,N318-System_Config!$B$9))</f>
        <v/>
      </c>
    </row>
    <row r="319" ht="15" customHeight="1" s="341">
      <c r="L319" s="340">
        <f>IF(A319="","",SUMIF(DB_Savings!$C:$C,A319,DB_Savings!$F:$F))</f>
        <v/>
      </c>
      <c r="M319" s="340">
        <f>IF(A319="","",SUMIF(DB_Withdrawals!$C:$C,A319,DB_Withdrawals!$G:$G))</f>
        <v/>
      </c>
      <c r="N319" s="340">
        <f>IF(A319="","",I319+L319-M319)</f>
        <v/>
      </c>
      <c r="O319" s="340">
        <f>IF(A319="","",TRUE())</f>
        <v/>
      </c>
      <c r="P319" s="340">
        <f>IF(A319="","",MAX(0,N319-System_Config!$B$9))</f>
        <v/>
      </c>
    </row>
    <row r="320" ht="15" customHeight="1" s="341">
      <c r="L320" s="340">
        <f>IF(A320="","",SUMIF(DB_Savings!$C:$C,A320,DB_Savings!$F:$F))</f>
        <v/>
      </c>
      <c r="M320" s="340">
        <f>IF(A320="","",SUMIF(DB_Withdrawals!$C:$C,A320,DB_Withdrawals!$G:$G))</f>
        <v/>
      </c>
      <c r="N320" s="340">
        <f>IF(A320="","",I320+L320-M320)</f>
        <v/>
      </c>
      <c r="O320" s="340">
        <f>IF(A320="","",TRUE())</f>
        <v/>
      </c>
      <c r="P320" s="340">
        <f>IF(A320="","",MAX(0,N320-System_Config!$B$9))</f>
        <v/>
      </c>
    </row>
    <row r="321" ht="15" customHeight="1" s="341">
      <c r="L321" s="340">
        <f>IF(A321="","",SUMIF(DB_Savings!$C:$C,A321,DB_Savings!$F:$F))</f>
        <v/>
      </c>
      <c r="M321" s="340">
        <f>IF(A321="","",SUMIF(DB_Withdrawals!$C:$C,A321,DB_Withdrawals!$G:$G))</f>
        <v/>
      </c>
      <c r="N321" s="340">
        <f>IF(A321="","",I321+L321-M321)</f>
        <v/>
      </c>
      <c r="O321" s="340">
        <f>IF(A321="","",TRUE())</f>
        <v/>
      </c>
      <c r="P321" s="340">
        <f>IF(A321="","",MAX(0,N321-System_Config!$B$9))</f>
        <v/>
      </c>
    </row>
    <row r="322" ht="15" customHeight="1" s="341">
      <c r="L322" s="340">
        <f>IF(A322="","",SUMIF(DB_Savings!$C:$C,A322,DB_Savings!$F:$F))</f>
        <v/>
      </c>
      <c r="M322" s="340">
        <f>IF(A322="","",SUMIF(DB_Withdrawals!$C:$C,A322,DB_Withdrawals!$G:$G))</f>
        <v/>
      </c>
      <c r="N322" s="340">
        <f>IF(A322="","",I322+L322-M322)</f>
        <v/>
      </c>
      <c r="O322" s="340">
        <f>IF(A322="","",TRUE())</f>
        <v/>
      </c>
      <c r="P322" s="340">
        <f>IF(A322="","",MAX(0,N322-System_Config!$B$9))</f>
        <v/>
      </c>
    </row>
    <row r="323" ht="15" customHeight="1" s="341">
      <c r="L323" s="340">
        <f>IF(A323="","",SUMIF(DB_Savings!$C:$C,A323,DB_Savings!$F:$F))</f>
        <v/>
      </c>
      <c r="M323" s="340">
        <f>IF(A323="","",SUMIF(DB_Withdrawals!$C:$C,A323,DB_Withdrawals!$G:$G))</f>
        <v/>
      </c>
      <c r="N323" s="340">
        <f>IF(A323="","",I323+L323-M323)</f>
        <v/>
      </c>
      <c r="O323" s="340">
        <f>IF(A323="","",TRUE())</f>
        <v/>
      </c>
      <c r="P323" s="340">
        <f>IF(A323="","",MAX(0,N323-System_Config!$B$9))</f>
        <v/>
      </c>
    </row>
    <row r="324" ht="15" customHeight="1" s="341">
      <c r="L324" s="340">
        <f>IF(A324="","",SUMIF(DB_Savings!$C:$C,A324,DB_Savings!$F:$F))</f>
        <v/>
      </c>
      <c r="M324" s="340">
        <f>IF(A324="","",SUMIF(DB_Withdrawals!$C:$C,A324,DB_Withdrawals!$G:$G))</f>
        <v/>
      </c>
      <c r="N324" s="340">
        <f>IF(A324="","",I324+L324-M324)</f>
        <v/>
      </c>
      <c r="O324" s="340">
        <f>IF(A324="","",TRUE())</f>
        <v/>
      </c>
      <c r="P324" s="340">
        <f>IF(A324="","",MAX(0,N324-System_Config!$B$9))</f>
        <v/>
      </c>
    </row>
    <row r="325" ht="15" customHeight="1" s="341">
      <c r="L325" s="340">
        <f>IF(A325="","",SUMIF(DB_Savings!$C:$C,A325,DB_Savings!$F:$F))</f>
        <v/>
      </c>
      <c r="M325" s="340">
        <f>IF(A325="","",SUMIF(DB_Withdrawals!$C:$C,A325,DB_Withdrawals!$G:$G))</f>
        <v/>
      </c>
      <c r="N325" s="340">
        <f>IF(A325="","",I325+L325-M325)</f>
        <v/>
      </c>
      <c r="O325" s="340">
        <f>IF(A325="","",TRUE())</f>
        <v/>
      </c>
      <c r="P325" s="340">
        <f>IF(A325="","",MAX(0,N325-System_Config!$B$9))</f>
        <v/>
      </c>
    </row>
    <row r="326" ht="15" customHeight="1" s="341">
      <c r="L326" s="340">
        <f>IF(A326="","",SUMIF(DB_Savings!$C:$C,A326,DB_Savings!$F:$F))</f>
        <v/>
      </c>
      <c r="M326" s="340">
        <f>IF(A326="","",SUMIF(DB_Withdrawals!$C:$C,A326,DB_Withdrawals!$G:$G))</f>
        <v/>
      </c>
      <c r="N326" s="340">
        <f>IF(A326="","",I326+L326-M326)</f>
        <v/>
      </c>
      <c r="O326" s="340">
        <f>IF(A326="","",TRUE())</f>
        <v/>
      </c>
      <c r="P326" s="340">
        <f>IF(A326="","",MAX(0,N326-System_Config!$B$9))</f>
        <v/>
      </c>
    </row>
    <row r="327" ht="15" customHeight="1" s="341">
      <c r="L327" s="340">
        <f>IF(A327="","",SUMIF(DB_Savings!$C:$C,A327,DB_Savings!$F:$F))</f>
        <v/>
      </c>
      <c r="M327" s="340">
        <f>IF(A327="","",SUMIF(DB_Withdrawals!$C:$C,A327,DB_Withdrawals!$G:$G))</f>
        <v/>
      </c>
      <c r="N327" s="340">
        <f>IF(A327="","",I327+L327-M327)</f>
        <v/>
      </c>
      <c r="O327" s="340">
        <f>IF(A327="","",TRUE())</f>
        <v/>
      </c>
      <c r="P327" s="340">
        <f>IF(A327="","",MAX(0,N327-System_Config!$B$9))</f>
        <v/>
      </c>
    </row>
    <row r="328" ht="15" customHeight="1" s="341">
      <c r="L328" s="340">
        <f>IF(A328="","",SUMIF(DB_Savings!$C:$C,A328,DB_Savings!$F:$F))</f>
        <v/>
      </c>
      <c r="M328" s="340">
        <f>IF(A328="","",SUMIF(DB_Withdrawals!$C:$C,A328,DB_Withdrawals!$G:$G))</f>
        <v/>
      </c>
      <c r="N328" s="340">
        <f>IF(A328="","",I328+L328-M328)</f>
        <v/>
      </c>
      <c r="O328" s="340">
        <f>IF(A328="","",TRUE())</f>
        <v/>
      </c>
      <c r="P328" s="340">
        <f>IF(A328="","",MAX(0,N328-System_Config!$B$9))</f>
        <v/>
      </c>
    </row>
    <row r="329" ht="15" customHeight="1" s="341">
      <c r="L329" s="340">
        <f>IF(A329="","",SUMIF(DB_Savings!$C:$C,A329,DB_Savings!$F:$F))</f>
        <v/>
      </c>
      <c r="M329" s="340">
        <f>IF(A329="","",SUMIF(DB_Withdrawals!$C:$C,A329,DB_Withdrawals!$G:$G))</f>
        <v/>
      </c>
      <c r="N329" s="340">
        <f>IF(A329="","",I329+L329-M329)</f>
        <v/>
      </c>
      <c r="O329" s="340">
        <f>IF(A329="","",TRUE())</f>
        <v/>
      </c>
      <c r="P329" s="340">
        <f>IF(A329="","",MAX(0,N329-System_Config!$B$9))</f>
        <v/>
      </c>
    </row>
    <row r="330" ht="15" customHeight="1" s="341">
      <c r="L330" s="340">
        <f>IF(A330="","",SUMIF(DB_Savings!$C:$C,A330,DB_Savings!$F:$F))</f>
        <v/>
      </c>
      <c r="M330" s="340">
        <f>IF(A330="","",SUMIF(DB_Withdrawals!$C:$C,A330,DB_Withdrawals!$G:$G))</f>
        <v/>
      </c>
      <c r="N330" s="340">
        <f>IF(A330="","",I330+L330-M330)</f>
        <v/>
      </c>
      <c r="O330" s="340">
        <f>IF(A330="","",TRUE())</f>
        <v/>
      </c>
      <c r="P330" s="340">
        <f>IF(A330="","",MAX(0,N330-System_Config!$B$9))</f>
        <v/>
      </c>
    </row>
    <row r="331" ht="15" customHeight="1" s="341">
      <c r="L331" s="340">
        <f>IF(A331="","",SUMIF(DB_Savings!$C:$C,A331,DB_Savings!$F:$F))</f>
        <v/>
      </c>
      <c r="M331" s="340">
        <f>IF(A331="","",SUMIF(DB_Withdrawals!$C:$C,A331,DB_Withdrawals!$G:$G))</f>
        <v/>
      </c>
      <c r="N331" s="340">
        <f>IF(A331="","",I331+L331-M331)</f>
        <v/>
      </c>
      <c r="O331" s="340">
        <f>IF(A331="","",TRUE())</f>
        <v/>
      </c>
      <c r="P331" s="340">
        <f>IF(A331="","",MAX(0,N331-System_Config!$B$9))</f>
        <v/>
      </c>
    </row>
    <row r="332" ht="15" customHeight="1" s="341">
      <c r="L332" s="340">
        <f>IF(A332="","",SUMIF(DB_Savings!$C:$C,A332,DB_Savings!$F:$F))</f>
        <v/>
      </c>
      <c r="M332" s="340">
        <f>IF(A332="","",SUMIF(DB_Withdrawals!$C:$C,A332,DB_Withdrawals!$G:$G))</f>
        <v/>
      </c>
      <c r="N332" s="340">
        <f>IF(A332="","",I332+L332-M332)</f>
        <v/>
      </c>
      <c r="O332" s="340">
        <f>IF(A332="","",TRUE())</f>
        <v/>
      </c>
      <c r="P332" s="340">
        <f>IF(A332="","",MAX(0,N332-System_Config!$B$9))</f>
        <v/>
      </c>
    </row>
    <row r="333" ht="15" customHeight="1" s="341">
      <c r="L333" s="340">
        <f>IF(A333="","",SUMIF(DB_Savings!$C:$C,A333,DB_Savings!$F:$F))</f>
        <v/>
      </c>
      <c r="M333" s="340">
        <f>IF(A333="","",SUMIF(DB_Withdrawals!$C:$C,A333,DB_Withdrawals!$G:$G))</f>
        <v/>
      </c>
      <c r="N333" s="340">
        <f>IF(A333="","",I333+L333-M333)</f>
        <v/>
      </c>
      <c r="O333" s="340">
        <f>IF(A333="","",TRUE())</f>
        <v/>
      </c>
      <c r="P333" s="340">
        <f>IF(A333="","",MAX(0,N333-System_Config!$B$9))</f>
        <v/>
      </c>
    </row>
    <row r="334" ht="15" customHeight="1" s="341">
      <c r="L334" s="340">
        <f>IF(A334="","",SUMIF(DB_Savings!$C:$C,A334,DB_Savings!$F:$F))</f>
        <v/>
      </c>
      <c r="M334" s="340">
        <f>IF(A334="","",SUMIF(DB_Withdrawals!$C:$C,A334,DB_Withdrawals!$G:$G))</f>
        <v/>
      </c>
      <c r="N334" s="340">
        <f>IF(A334="","",I334+L334-M334)</f>
        <v/>
      </c>
      <c r="O334" s="340">
        <f>IF(A334="","",TRUE())</f>
        <v/>
      </c>
      <c r="P334" s="340">
        <f>IF(A334="","",MAX(0,N334-System_Config!$B$9))</f>
        <v/>
      </c>
    </row>
    <row r="335" ht="15" customHeight="1" s="341">
      <c r="L335" s="340">
        <f>IF(A335="","",SUMIF(DB_Savings!$C:$C,A335,DB_Savings!$F:$F))</f>
        <v/>
      </c>
      <c r="M335" s="340">
        <f>IF(A335="","",SUMIF(DB_Withdrawals!$C:$C,A335,DB_Withdrawals!$G:$G))</f>
        <v/>
      </c>
      <c r="N335" s="340">
        <f>IF(A335="","",I335+L335-M335)</f>
        <v/>
      </c>
      <c r="O335" s="340">
        <f>IF(A335="","",TRUE())</f>
        <v/>
      </c>
      <c r="P335" s="340">
        <f>IF(A335="","",MAX(0,N335-System_Config!$B$9))</f>
        <v/>
      </c>
    </row>
    <row r="336" ht="15" customHeight="1" s="341">
      <c r="L336" s="340">
        <f>IF(A336="","",SUMIF(DB_Savings!$C:$C,A336,DB_Savings!$F:$F))</f>
        <v/>
      </c>
      <c r="M336" s="340">
        <f>IF(A336="","",SUMIF(DB_Withdrawals!$C:$C,A336,DB_Withdrawals!$G:$G))</f>
        <v/>
      </c>
      <c r="N336" s="340">
        <f>IF(A336="","",I336+L336-M336)</f>
        <v/>
      </c>
      <c r="O336" s="340">
        <f>IF(A336="","",TRUE())</f>
        <v/>
      </c>
      <c r="P336" s="340">
        <f>IF(A336="","",MAX(0,N336-System_Config!$B$9))</f>
        <v/>
      </c>
    </row>
    <row r="337" ht="15" customHeight="1" s="341">
      <c r="L337" s="340">
        <f>IF(A337="","",SUMIF(DB_Savings!$C:$C,A337,DB_Savings!$F:$F))</f>
        <v/>
      </c>
      <c r="M337" s="340">
        <f>IF(A337="","",SUMIF(DB_Withdrawals!$C:$C,A337,DB_Withdrawals!$G:$G))</f>
        <v/>
      </c>
      <c r="N337" s="340">
        <f>IF(A337="","",I337+L337-M337)</f>
        <v/>
      </c>
      <c r="O337" s="340">
        <f>IF(A337="","",TRUE())</f>
        <v/>
      </c>
      <c r="P337" s="340">
        <f>IF(A337="","",MAX(0,N337-System_Config!$B$9))</f>
        <v/>
      </c>
    </row>
    <row r="338" ht="15" customHeight="1" s="341">
      <c r="L338" s="340">
        <f>IF(A338="","",SUMIF(DB_Savings!$C:$C,A338,DB_Savings!$F:$F))</f>
        <v/>
      </c>
      <c r="M338" s="340">
        <f>IF(A338="","",SUMIF(DB_Withdrawals!$C:$C,A338,DB_Withdrawals!$G:$G))</f>
        <v/>
      </c>
      <c r="N338" s="340">
        <f>IF(A338="","",I338+L338-M338)</f>
        <v/>
      </c>
      <c r="O338" s="340">
        <f>IF(A338="","",TRUE())</f>
        <v/>
      </c>
      <c r="P338" s="340">
        <f>IF(A338="","",MAX(0,N338-System_Config!$B$9))</f>
        <v/>
      </c>
    </row>
    <row r="339" ht="15" customHeight="1" s="341">
      <c r="L339" s="340">
        <f>IF(A339="","",SUMIF(DB_Savings!$C:$C,A339,DB_Savings!$F:$F))</f>
        <v/>
      </c>
      <c r="M339" s="340">
        <f>IF(A339="","",SUMIF(DB_Withdrawals!$C:$C,A339,DB_Withdrawals!$G:$G))</f>
        <v/>
      </c>
      <c r="N339" s="340">
        <f>IF(A339="","",I339+L339-M339)</f>
        <v/>
      </c>
      <c r="O339" s="340">
        <f>IF(A339="","",TRUE())</f>
        <v/>
      </c>
      <c r="P339" s="340">
        <f>IF(A339="","",MAX(0,N339-System_Config!$B$9))</f>
        <v/>
      </c>
    </row>
    <row r="340" ht="15" customHeight="1" s="341">
      <c r="L340" s="340">
        <f>IF(A340="","",SUMIF(DB_Savings!$C:$C,A340,DB_Savings!$F:$F))</f>
        <v/>
      </c>
      <c r="M340" s="340">
        <f>IF(A340="","",SUMIF(DB_Withdrawals!$C:$C,A340,DB_Withdrawals!$G:$G))</f>
        <v/>
      </c>
      <c r="N340" s="340">
        <f>IF(A340="","",I340+L340-M340)</f>
        <v/>
      </c>
      <c r="O340" s="340">
        <f>IF(A340="","",TRUE())</f>
        <v/>
      </c>
      <c r="P340" s="340">
        <f>IF(A340="","",MAX(0,N340-System_Config!$B$9))</f>
        <v/>
      </c>
    </row>
    <row r="341" ht="15" customHeight="1" s="341">
      <c r="L341" s="340">
        <f>IF(A341="","",SUMIF(DB_Savings!$C:$C,A341,DB_Savings!$F:$F))</f>
        <v/>
      </c>
      <c r="M341" s="340">
        <f>IF(A341="","",SUMIF(DB_Withdrawals!$C:$C,A341,DB_Withdrawals!$G:$G))</f>
        <v/>
      </c>
      <c r="N341" s="340">
        <f>IF(A341="","",I341+L341-M341)</f>
        <v/>
      </c>
      <c r="O341" s="340">
        <f>IF(A341="","",TRUE())</f>
        <v/>
      </c>
      <c r="P341" s="340">
        <f>IF(A341="","",MAX(0,N341-System_Config!$B$9))</f>
        <v/>
      </c>
    </row>
    <row r="342" ht="15" customHeight="1" s="341">
      <c r="L342" s="340">
        <f>IF(A342="","",SUMIF(DB_Savings!$C:$C,A342,DB_Savings!$F:$F))</f>
        <v/>
      </c>
      <c r="M342" s="340">
        <f>IF(A342="","",SUMIF(DB_Withdrawals!$C:$C,A342,DB_Withdrawals!$G:$G))</f>
        <v/>
      </c>
      <c r="N342" s="340">
        <f>IF(A342="","",I342+L342-M342)</f>
        <v/>
      </c>
      <c r="O342" s="340">
        <f>IF(A342="","",TRUE())</f>
        <v/>
      </c>
      <c r="P342" s="340">
        <f>IF(A342="","",MAX(0,N342-System_Config!$B$9))</f>
        <v/>
      </c>
    </row>
    <row r="343" ht="15" customHeight="1" s="341">
      <c r="L343" s="340">
        <f>IF(A343="","",SUMIF(DB_Savings!$C:$C,A343,DB_Savings!$F:$F))</f>
        <v/>
      </c>
      <c r="M343" s="340">
        <f>IF(A343="","",SUMIF(DB_Withdrawals!$C:$C,A343,DB_Withdrawals!$G:$G))</f>
        <v/>
      </c>
      <c r="N343" s="340">
        <f>IF(A343="","",I343+L343-M343)</f>
        <v/>
      </c>
      <c r="O343" s="340">
        <f>IF(A343="","",TRUE())</f>
        <v/>
      </c>
      <c r="P343" s="340">
        <f>IF(A343="","",MAX(0,N343-System_Config!$B$9))</f>
        <v/>
      </c>
    </row>
    <row r="344" ht="15" customHeight="1" s="341">
      <c r="L344" s="340">
        <f>IF(A344="","",SUMIF(DB_Savings!$C:$C,A344,DB_Savings!$F:$F))</f>
        <v/>
      </c>
      <c r="M344" s="340">
        <f>IF(A344="","",SUMIF(DB_Withdrawals!$C:$C,A344,DB_Withdrawals!$G:$G))</f>
        <v/>
      </c>
      <c r="N344" s="340">
        <f>IF(A344="","",I344+L344-M344)</f>
        <v/>
      </c>
      <c r="O344" s="340">
        <f>IF(A344="","",TRUE())</f>
        <v/>
      </c>
      <c r="P344" s="340">
        <f>IF(A344="","",MAX(0,N344-System_Config!$B$9))</f>
        <v/>
      </c>
    </row>
    <row r="345" ht="15" customHeight="1" s="341">
      <c r="L345" s="340">
        <f>IF(A345="","",SUMIF(DB_Savings!$C:$C,A345,DB_Savings!$F:$F))</f>
        <v/>
      </c>
      <c r="M345" s="340">
        <f>IF(A345="","",SUMIF(DB_Withdrawals!$C:$C,A345,DB_Withdrawals!$G:$G))</f>
        <v/>
      </c>
      <c r="N345" s="340">
        <f>IF(A345="","",I345+L345-M345)</f>
        <v/>
      </c>
      <c r="O345" s="340">
        <f>IF(A345="","",TRUE())</f>
        <v/>
      </c>
      <c r="P345" s="340">
        <f>IF(A345="","",MAX(0,N345-System_Config!$B$9))</f>
        <v/>
      </c>
    </row>
    <row r="346" ht="15" customHeight="1" s="341">
      <c r="L346" s="340">
        <f>IF(A346="","",SUMIF(DB_Savings!$C:$C,A346,DB_Savings!$F:$F))</f>
        <v/>
      </c>
      <c r="M346" s="340">
        <f>IF(A346="","",SUMIF(DB_Withdrawals!$C:$C,A346,DB_Withdrawals!$G:$G))</f>
        <v/>
      </c>
      <c r="N346" s="340">
        <f>IF(A346="","",I346+L346-M346)</f>
        <v/>
      </c>
      <c r="O346" s="340">
        <f>IF(A346="","",TRUE())</f>
        <v/>
      </c>
      <c r="P346" s="340">
        <f>IF(A346="","",MAX(0,N346-System_Config!$B$9))</f>
        <v/>
      </c>
    </row>
    <row r="347" ht="15" customHeight="1" s="341">
      <c r="L347" s="340">
        <f>IF(A347="","",SUMIF(DB_Savings!$C:$C,A347,DB_Savings!$F:$F))</f>
        <v/>
      </c>
      <c r="M347" s="340">
        <f>IF(A347="","",SUMIF(DB_Withdrawals!$C:$C,A347,DB_Withdrawals!$G:$G))</f>
        <v/>
      </c>
      <c r="N347" s="340">
        <f>IF(A347="","",I347+L347-M347)</f>
        <v/>
      </c>
      <c r="O347" s="340">
        <f>IF(A347="","",TRUE())</f>
        <v/>
      </c>
      <c r="P347" s="340">
        <f>IF(A347="","",MAX(0,N347-System_Config!$B$9))</f>
        <v/>
      </c>
    </row>
    <row r="348" ht="15" customHeight="1" s="341">
      <c r="L348" s="340">
        <f>IF(A348="","",SUMIF(DB_Savings!$C:$C,A348,DB_Savings!$F:$F))</f>
        <v/>
      </c>
      <c r="M348" s="340">
        <f>IF(A348="","",SUMIF(DB_Withdrawals!$C:$C,A348,DB_Withdrawals!$G:$G))</f>
        <v/>
      </c>
      <c r="N348" s="340">
        <f>IF(A348="","",I348+L348-M348)</f>
        <v/>
      </c>
      <c r="O348" s="340">
        <f>IF(A348="","",TRUE())</f>
        <v/>
      </c>
      <c r="P348" s="340">
        <f>IF(A348="","",MAX(0,N348-System_Config!$B$9))</f>
        <v/>
      </c>
    </row>
    <row r="349" ht="15" customHeight="1" s="341">
      <c r="L349" s="340">
        <f>IF(A349="","",SUMIF(DB_Savings!$C:$C,A349,DB_Savings!$F:$F))</f>
        <v/>
      </c>
      <c r="M349" s="340">
        <f>IF(A349="","",SUMIF(DB_Withdrawals!$C:$C,A349,DB_Withdrawals!$G:$G))</f>
        <v/>
      </c>
      <c r="N349" s="340">
        <f>IF(A349="","",I349+L349-M349)</f>
        <v/>
      </c>
      <c r="O349" s="340">
        <f>IF(A349="","",TRUE())</f>
        <v/>
      </c>
      <c r="P349" s="340">
        <f>IF(A349="","",MAX(0,N349-System_Config!$B$9))</f>
        <v/>
      </c>
    </row>
    <row r="350" ht="15" customHeight="1" s="341">
      <c r="L350" s="340">
        <f>IF(A350="","",SUMIF(DB_Savings!$C:$C,A350,DB_Savings!$F:$F))</f>
        <v/>
      </c>
      <c r="M350" s="340">
        <f>IF(A350="","",SUMIF(DB_Withdrawals!$C:$C,A350,DB_Withdrawals!$G:$G))</f>
        <v/>
      </c>
      <c r="N350" s="340">
        <f>IF(A350="","",I350+L350-M350)</f>
        <v/>
      </c>
      <c r="O350" s="340">
        <f>IF(A350="","",TRUE())</f>
        <v/>
      </c>
      <c r="P350" s="340">
        <f>IF(A350="","",MAX(0,N350-System_Config!$B$9))</f>
        <v/>
      </c>
    </row>
    <row r="351" ht="15" customHeight="1" s="341">
      <c r="L351" s="340">
        <f>IF(A351="","",SUMIF(DB_Savings!$C:$C,A351,DB_Savings!$F:$F))</f>
        <v/>
      </c>
      <c r="M351" s="340">
        <f>IF(A351="","",SUMIF(DB_Withdrawals!$C:$C,A351,DB_Withdrawals!$G:$G))</f>
        <v/>
      </c>
      <c r="N351" s="340">
        <f>IF(A351="","",I351+L351-M351)</f>
        <v/>
      </c>
      <c r="O351" s="340">
        <f>IF(A351="","",TRUE())</f>
        <v/>
      </c>
      <c r="P351" s="340">
        <f>IF(A351="","",MAX(0,N351-System_Config!$B$9))</f>
        <v/>
      </c>
    </row>
    <row r="352" ht="15" customHeight="1" s="341">
      <c r="L352" s="340">
        <f>IF(A352="","",SUMIF(DB_Savings!$C:$C,A352,DB_Savings!$F:$F))</f>
        <v/>
      </c>
      <c r="M352" s="340">
        <f>IF(A352="","",SUMIF(DB_Withdrawals!$C:$C,A352,DB_Withdrawals!$G:$G))</f>
        <v/>
      </c>
      <c r="N352" s="340">
        <f>IF(A352="","",I352+L352-M352)</f>
        <v/>
      </c>
      <c r="O352" s="340">
        <f>IF(A352="","",TRUE())</f>
        <v/>
      </c>
      <c r="P352" s="340">
        <f>IF(A352="","",MAX(0,N352-System_Config!$B$9))</f>
        <v/>
      </c>
    </row>
    <row r="353" ht="15" customHeight="1" s="341">
      <c r="L353" s="340">
        <f>IF(A353="","",SUMIF(DB_Savings!$C:$C,A353,DB_Savings!$F:$F))</f>
        <v/>
      </c>
      <c r="M353" s="340">
        <f>IF(A353="","",SUMIF(DB_Withdrawals!$C:$C,A353,DB_Withdrawals!$G:$G))</f>
        <v/>
      </c>
      <c r="N353" s="340">
        <f>IF(A353="","",I353+L353-M353)</f>
        <v/>
      </c>
      <c r="O353" s="340">
        <f>IF(A353="","",TRUE())</f>
        <v/>
      </c>
      <c r="P353" s="340">
        <f>IF(A353="","",MAX(0,N353-System_Config!$B$9))</f>
        <v/>
      </c>
    </row>
    <row r="354" ht="15" customHeight="1" s="341">
      <c r="L354" s="340">
        <f>IF(A354="","",SUMIF(DB_Savings!$C:$C,A354,DB_Savings!$F:$F))</f>
        <v/>
      </c>
      <c r="M354" s="340">
        <f>IF(A354="","",SUMIF(DB_Withdrawals!$C:$C,A354,DB_Withdrawals!$G:$G))</f>
        <v/>
      </c>
      <c r="N354" s="340">
        <f>IF(A354="","",I354+L354-M354)</f>
        <v/>
      </c>
      <c r="O354" s="340">
        <f>IF(A354="","",TRUE())</f>
        <v/>
      </c>
      <c r="P354" s="340">
        <f>IF(A354="","",MAX(0,N354-System_Config!$B$9))</f>
        <v/>
      </c>
    </row>
    <row r="355" ht="15" customHeight="1" s="341">
      <c r="L355" s="340">
        <f>IF(A355="","",SUMIF(DB_Savings!$C:$C,A355,DB_Savings!$F:$F))</f>
        <v/>
      </c>
      <c r="M355" s="340">
        <f>IF(A355="","",SUMIF(DB_Withdrawals!$C:$C,A355,DB_Withdrawals!$G:$G))</f>
        <v/>
      </c>
      <c r="N355" s="340">
        <f>IF(A355="","",I355+L355-M355)</f>
        <v/>
      </c>
      <c r="O355" s="340">
        <f>IF(A355="","",TRUE())</f>
        <v/>
      </c>
      <c r="P355" s="340">
        <f>IF(A355="","",MAX(0,N355-System_Config!$B$9))</f>
        <v/>
      </c>
    </row>
    <row r="356" ht="15" customHeight="1" s="341">
      <c r="L356" s="340">
        <f>IF(A356="","",SUMIF(DB_Savings!$C:$C,A356,DB_Savings!$F:$F))</f>
        <v/>
      </c>
      <c r="M356" s="340">
        <f>IF(A356="","",SUMIF(DB_Withdrawals!$C:$C,A356,DB_Withdrawals!$G:$G))</f>
        <v/>
      </c>
      <c r="N356" s="340">
        <f>IF(A356="","",I356+L356-M356)</f>
        <v/>
      </c>
      <c r="O356" s="340">
        <f>IF(A356="","",TRUE())</f>
        <v/>
      </c>
      <c r="P356" s="340">
        <f>IF(A356="","",MAX(0,N356-System_Config!$B$9))</f>
        <v/>
      </c>
    </row>
    <row r="357" ht="15" customHeight="1" s="341">
      <c r="L357" s="340">
        <f>IF(A357="","",SUMIF(DB_Savings!$C:$C,A357,DB_Savings!$F:$F))</f>
        <v/>
      </c>
      <c r="M357" s="340">
        <f>IF(A357="","",SUMIF(DB_Withdrawals!$C:$C,A357,DB_Withdrawals!$G:$G))</f>
        <v/>
      </c>
      <c r="N357" s="340">
        <f>IF(A357="","",I357+L357-M357)</f>
        <v/>
      </c>
      <c r="O357" s="340">
        <f>IF(A357="","",TRUE())</f>
        <v/>
      </c>
      <c r="P357" s="340">
        <f>IF(A357="","",MAX(0,N357-System_Config!$B$9))</f>
        <v/>
      </c>
    </row>
    <row r="358" ht="15" customHeight="1" s="341">
      <c r="L358" s="340">
        <f>IF(A358="","",SUMIF(DB_Savings!$C:$C,A358,DB_Savings!$F:$F))</f>
        <v/>
      </c>
      <c r="M358" s="340">
        <f>IF(A358="","",SUMIF(DB_Withdrawals!$C:$C,A358,DB_Withdrawals!$G:$G))</f>
        <v/>
      </c>
      <c r="N358" s="340">
        <f>IF(A358="","",I358+L358-M358)</f>
        <v/>
      </c>
      <c r="O358" s="340">
        <f>IF(A358="","",TRUE())</f>
        <v/>
      </c>
      <c r="P358" s="340">
        <f>IF(A358="","",MAX(0,N358-System_Config!$B$9))</f>
        <v/>
      </c>
    </row>
    <row r="359" ht="15" customHeight="1" s="341">
      <c r="L359" s="340">
        <f>IF(A359="","",SUMIF(DB_Savings!$C:$C,A359,DB_Savings!$F:$F))</f>
        <v/>
      </c>
      <c r="M359" s="340">
        <f>IF(A359="","",SUMIF(DB_Withdrawals!$C:$C,A359,DB_Withdrawals!$G:$G))</f>
        <v/>
      </c>
      <c r="N359" s="340">
        <f>IF(A359="","",I359+L359-M359)</f>
        <v/>
      </c>
      <c r="O359" s="340">
        <f>IF(A359="","",TRUE())</f>
        <v/>
      </c>
      <c r="P359" s="340">
        <f>IF(A359="","",MAX(0,N359-System_Config!$B$9))</f>
        <v/>
      </c>
    </row>
    <row r="360" ht="15" customHeight="1" s="341">
      <c r="L360" s="340">
        <f>IF(A360="","",SUMIF(DB_Savings!$C:$C,A360,DB_Savings!$F:$F))</f>
        <v/>
      </c>
      <c r="M360" s="340">
        <f>IF(A360="","",SUMIF(DB_Withdrawals!$C:$C,A360,DB_Withdrawals!$G:$G))</f>
        <v/>
      </c>
      <c r="N360" s="340">
        <f>IF(A360="","",I360+L360-M360)</f>
        <v/>
      </c>
      <c r="O360" s="340">
        <f>IF(A360="","",TRUE())</f>
        <v/>
      </c>
      <c r="P360" s="340">
        <f>IF(A360="","",MAX(0,N360-System_Config!$B$9))</f>
        <v/>
      </c>
    </row>
    <row r="361" ht="15" customHeight="1" s="341">
      <c r="L361" s="340">
        <f>IF(A361="","",SUMIF(DB_Savings!$C:$C,A361,DB_Savings!$F:$F))</f>
        <v/>
      </c>
      <c r="M361" s="340">
        <f>IF(A361="","",SUMIF(DB_Withdrawals!$C:$C,A361,DB_Withdrawals!$G:$G))</f>
        <v/>
      </c>
      <c r="N361" s="340">
        <f>IF(A361="","",I361+L361-M361)</f>
        <v/>
      </c>
      <c r="O361" s="340">
        <f>IF(A361="","",TRUE())</f>
        <v/>
      </c>
      <c r="P361" s="340">
        <f>IF(A361="","",MAX(0,N361-System_Config!$B$9))</f>
        <v/>
      </c>
    </row>
    <row r="362" ht="15" customHeight="1" s="341">
      <c r="L362" s="340">
        <f>IF(A362="","",SUMIF(DB_Savings!$C:$C,A362,DB_Savings!$F:$F))</f>
        <v/>
      </c>
      <c r="M362" s="340">
        <f>IF(A362="","",SUMIF(DB_Withdrawals!$C:$C,A362,DB_Withdrawals!$G:$G))</f>
        <v/>
      </c>
      <c r="N362" s="340">
        <f>IF(A362="","",I362+L362-M362)</f>
        <v/>
      </c>
      <c r="O362" s="340">
        <f>IF(A362="","",TRUE())</f>
        <v/>
      </c>
      <c r="P362" s="340">
        <f>IF(A362="","",MAX(0,N362-System_Config!$B$9))</f>
        <v/>
      </c>
    </row>
    <row r="363" ht="15" customHeight="1" s="341">
      <c r="L363" s="340">
        <f>IF(A363="","",SUMIF(DB_Savings!$C:$C,A363,DB_Savings!$F:$F))</f>
        <v/>
      </c>
      <c r="M363" s="340">
        <f>IF(A363="","",SUMIF(DB_Withdrawals!$C:$C,A363,DB_Withdrawals!$G:$G))</f>
        <v/>
      </c>
      <c r="N363" s="340">
        <f>IF(A363="","",I363+L363-M363)</f>
        <v/>
      </c>
      <c r="O363" s="340">
        <f>IF(A363="","",TRUE())</f>
        <v/>
      </c>
      <c r="P363" s="340">
        <f>IF(A363="","",MAX(0,N363-System_Config!$B$9))</f>
        <v/>
      </c>
    </row>
    <row r="364" ht="15" customHeight="1" s="341">
      <c r="L364" s="340">
        <f>IF(A364="","",SUMIF(DB_Savings!$C:$C,A364,DB_Savings!$F:$F))</f>
        <v/>
      </c>
      <c r="M364" s="340">
        <f>IF(A364="","",SUMIF(DB_Withdrawals!$C:$C,A364,DB_Withdrawals!$G:$G))</f>
        <v/>
      </c>
      <c r="N364" s="340">
        <f>IF(A364="","",I364+L364-M364)</f>
        <v/>
      </c>
      <c r="O364" s="340">
        <f>IF(A364="","",TRUE())</f>
        <v/>
      </c>
      <c r="P364" s="340">
        <f>IF(A364="","",MAX(0,N364-System_Config!$B$9))</f>
        <v/>
      </c>
    </row>
    <row r="365" ht="15" customHeight="1" s="341">
      <c r="L365" s="340">
        <f>IF(A365="","",SUMIF(DB_Savings!$C:$C,A365,DB_Savings!$F:$F))</f>
        <v/>
      </c>
      <c r="M365" s="340">
        <f>IF(A365="","",SUMIF(DB_Withdrawals!$C:$C,A365,DB_Withdrawals!$G:$G))</f>
        <v/>
      </c>
      <c r="N365" s="340">
        <f>IF(A365="","",I365+L365-M365)</f>
        <v/>
      </c>
      <c r="O365" s="340">
        <f>IF(A365="","",TRUE())</f>
        <v/>
      </c>
      <c r="P365" s="340">
        <f>IF(A365="","",MAX(0,N365-System_Config!$B$9))</f>
        <v/>
      </c>
    </row>
    <row r="366" ht="15" customHeight="1" s="341">
      <c r="L366" s="340">
        <f>IF(A366="","",SUMIF(DB_Savings!$C:$C,A366,DB_Savings!$F:$F))</f>
        <v/>
      </c>
      <c r="M366" s="340">
        <f>IF(A366="","",SUMIF(DB_Withdrawals!$C:$C,A366,DB_Withdrawals!$G:$G))</f>
        <v/>
      </c>
      <c r="N366" s="340">
        <f>IF(A366="","",I366+L366-M366)</f>
        <v/>
      </c>
      <c r="O366" s="340">
        <f>IF(A366="","",TRUE())</f>
        <v/>
      </c>
      <c r="P366" s="340">
        <f>IF(A366="","",MAX(0,N366-System_Config!$B$9))</f>
        <v/>
      </c>
    </row>
    <row r="367" ht="15" customHeight="1" s="341">
      <c r="L367" s="340">
        <f>IF(A367="","",SUMIF(DB_Savings!$C:$C,A367,DB_Savings!$F:$F))</f>
        <v/>
      </c>
      <c r="M367" s="340">
        <f>IF(A367="","",SUMIF(DB_Withdrawals!$C:$C,A367,DB_Withdrawals!$G:$G))</f>
        <v/>
      </c>
      <c r="N367" s="340">
        <f>IF(A367="","",I367+L367-M367)</f>
        <v/>
      </c>
      <c r="O367" s="340">
        <f>IF(A367="","",TRUE())</f>
        <v/>
      </c>
      <c r="P367" s="340">
        <f>IF(A367="","",MAX(0,N367-System_Config!$B$9))</f>
        <v/>
      </c>
    </row>
    <row r="368" ht="15" customHeight="1" s="341">
      <c r="L368" s="340">
        <f>IF(A368="","",SUMIF(DB_Savings!$C:$C,A368,DB_Savings!$F:$F))</f>
        <v/>
      </c>
      <c r="M368" s="340">
        <f>IF(A368="","",SUMIF(DB_Withdrawals!$C:$C,A368,DB_Withdrawals!$G:$G))</f>
        <v/>
      </c>
      <c r="N368" s="340">
        <f>IF(A368="","",I368+L368-M368)</f>
        <v/>
      </c>
      <c r="O368" s="340">
        <f>IF(A368="","",TRUE())</f>
        <v/>
      </c>
      <c r="P368" s="340">
        <f>IF(A368="","",MAX(0,N368-System_Config!$B$9))</f>
        <v/>
      </c>
    </row>
    <row r="369" ht="15" customHeight="1" s="341">
      <c r="L369" s="340">
        <f>IF(A369="","",SUMIF(DB_Savings!$C:$C,A369,DB_Savings!$F:$F))</f>
        <v/>
      </c>
      <c r="M369" s="340">
        <f>IF(A369="","",SUMIF(DB_Withdrawals!$C:$C,A369,DB_Withdrawals!$G:$G))</f>
        <v/>
      </c>
      <c r="N369" s="340">
        <f>IF(A369="","",I369+L369-M369)</f>
        <v/>
      </c>
      <c r="O369" s="340">
        <f>IF(A369="","",TRUE())</f>
        <v/>
      </c>
      <c r="P369" s="340">
        <f>IF(A369="","",MAX(0,N369-System_Config!$B$9))</f>
        <v/>
      </c>
    </row>
    <row r="370" ht="15" customHeight="1" s="341">
      <c r="L370" s="340">
        <f>IF(A370="","",SUMIF(DB_Savings!$C:$C,A370,DB_Savings!$F:$F))</f>
        <v/>
      </c>
      <c r="M370" s="340">
        <f>IF(A370="","",SUMIF(DB_Withdrawals!$C:$C,A370,DB_Withdrawals!$G:$G))</f>
        <v/>
      </c>
      <c r="N370" s="340">
        <f>IF(A370="","",I370+L370-M370)</f>
        <v/>
      </c>
      <c r="O370" s="340">
        <f>IF(A370="","",TRUE())</f>
        <v/>
      </c>
      <c r="P370" s="340">
        <f>IF(A370="","",MAX(0,N370-System_Config!$B$9))</f>
        <v/>
      </c>
    </row>
    <row r="371" ht="15" customHeight="1" s="341">
      <c r="L371" s="340">
        <f>IF(A371="","",SUMIF(DB_Savings!$C:$C,A371,DB_Savings!$F:$F))</f>
        <v/>
      </c>
      <c r="M371" s="340">
        <f>IF(A371="","",SUMIF(DB_Withdrawals!$C:$C,A371,DB_Withdrawals!$G:$G))</f>
        <v/>
      </c>
      <c r="N371" s="340">
        <f>IF(A371="","",I371+L371-M371)</f>
        <v/>
      </c>
      <c r="O371" s="340">
        <f>IF(A371="","",TRUE())</f>
        <v/>
      </c>
      <c r="P371" s="340">
        <f>IF(A371="","",MAX(0,N371-System_Config!$B$9))</f>
        <v/>
      </c>
    </row>
    <row r="372" ht="15" customHeight="1" s="341">
      <c r="L372" s="340">
        <f>IF(A372="","",SUMIF(DB_Savings!$C:$C,A372,DB_Savings!$F:$F))</f>
        <v/>
      </c>
      <c r="M372" s="340">
        <f>IF(A372="","",SUMIF(DB_Withdrawals!$C:$C,A372,DB_Withdrawals!$G:$G))</f>
        <v/>
      </c>
      <c r="N372" s="340">
        <f>IF(A372="","",I372+L372-M372)</f>
        <v/>
      </c>
      <c r="O372" s="340">
        <f>IF(A372="","",TRUE())</f>
        <v/>
      </c>
      <c r="P372" s="340">
        <f>IF(A372="","",MAX(0,N372-System_Config!$B$9))</f>
        <v/>
      </c>
    </row>
    <row r="373" ht="15" customHeight="1" s="341">
      <c r="L373" s="340">
        <f>IF(A373="","",SUMIF(DB_Savings!$C:$C,A373,DB_Savings!$F:$F))</f>
        <v/>
      </c>
      <c r="M373" s="340">
        <f>IF(A373="","",SUMIF(DB_Withdrawals!$C:$C,A373,DB_Withdrawals!$G:$G))</f>
        <v/>
      </c>
      <c r="N373" s="340">
        <f>IF(A373="","",I373+L373-M373)</f>
        <v/>
      </c>
      <c r="O373" s="340">
        <f>IF(A373="","",TRUE())</f>
        <v/>
      </c>
      <c r="P373" s="340">
        <f>IF(A373="","",MAX(0,N373-System_Config!$B$9))</f>
        <v/>
      </c>
    </row>
    <row r="374" ht="15" customHeight="1" s="341">
      <c r="L374" s="340">
        <f>IF(A374="","",SUMIF(DB_Savings!$C:$C,A374,DB_Savings!$F:$F))</f>
        <v/>
      </c>
      <c r="M374" s="340">
        <f>IF(A374="","",SUMIF(DB_Withdrawals!$C:$C,A374,DB_Withdrawals!$G:$G))</f>
        <v/>
      </c>
      <c r="N374" s="340">
        <f>IF(A374="","",I374+L374-M374)</f>
        <v/>
      </c>
      <c r="O374" s="340">
        <f>IF(A374="","",TRUE())</f>
        <v/>
      </c>
      <c r="P374" s="340">
        <f>IF(A374="","",MAX(0,N374-System_Config!$B$9))</f>
        <v/>
      </c>
    </row>
    <row r="375" ht="15" customHeight="1" s="341">
      <c r="L375" s="340">
        <f>IF(A375="","",SUMIF(DB_Savings!$C:$C,A375,DB_Savings!$F:$F))</f>
        <v/>
      </c>
      <c r="M375" s="340">
        <f>IF(A375="","",SUMIF(DB_Withdrawals!$C:$C,A375,DB_Withdrawals!$G:$G))</f>
        <v/>
      </c>
      <c r="N375" s="340">
        <f>IF(A375="","",I375+L375-M375)</f>
        <v/>
      </c>
      <c r="O375" s="340">
        <f>IF(A375="","",TRUE())</f>
        <v/>
      </c>
      <c r="P375" s="340">
        <f>IF(A375="","",MAX(0,N375-System_Config!$B$9))</f>
        <v/>
      </c>
    </row>
    <row r="376" ht="15" customHeight="1" s="341">
      <c r="L376" s="340">
        <f>IF(A376="","",SUMIF(DB_Savings!$C:$C,A376,DB_Savings!$F:$F))</f>
        <v/>
      </c>
      <c r="M376" s="340">
        <f>IF(A376="","",SUMIF(DB_Withdrawals!$C:$C,A376,DB_Withdrawals!$G:$G))</f>
        <v/>
      </c>
      <c r="N376" s="340">
        <f>IF(A376="","",I376+L376-M376)</f>
        <v/>
      </c>
      <c r="O376" s="340">
        <f>IF(A376="","",TRUE())</f>
        <v/>
      </c>
      <c r="P376" s="340">
        <f>IF(A376="","",MAX(0,N376-System_Config!$B$9))</f>
        <v/>
      </c>
    </row>
    <row r="377" ht="15" customHeight="1" s="341">
      <c r="L377" s="340">
        <f>IF(A377="","",SUMIF(DB_Savings!$C:$C,A377,DB_Savings!$F:$F))</f>
        <v/>
      </c>
      <c r="M377" s="340">
        <f>IF(A377="","",SUMIF(DB_Withdrawals!$C:$C,A377,DB_Withdrawals!$G:$G))</f>
        <v/>
      </c>
      <c r="N377" s="340">
        <f>IF(A377="","",I377+L377-M377)</f>
        <v/>
      </c>
      <c r="O377" s="340">
        <f>IF(A377="","",TRUE())</f>
        <v/>
      </c>
      <c r="P377" s="340">
        <f>IF(A377="","",MAX(0,N377-System_Config!$B$9))</f>
        <v/>
      </c>
    </row>
    <row r="378" ht="15" customHeight="1" s="341">
      <c r="L378" s="340">
        <f>IF(A378="","",SUMIF(DB_Savings!$C:$C,A378,DB_Savings!$F:$F))</f>
        <v/>
      </c>
      <c r="M378" s="340">
        <f>IF(A378="","",SUMIF(DB_Withdrawals!$C:$C,A378,DB_Withdrawals!$G:$G))</f>
        <v/>
      </c>
      <c r="N378" s="340">
        <f>IF(A378="","",I378+L378-M378)</f>
        <v/>
      </c>
      <c r="O378" s="340">
        <f>IF(A378="","",TRUE())</f>
        <v/>
      </c>
      <c r="P378" s="340">
        <f>IF(A378="","",MAX(0,N378-System_Config!$B$9))</f>
        <v/>
      </c>
    </row>
    <row r="379" ht="15" customHeight="1" s="341">
      <c r="L379" s="340">
        <f>IF(A379="","",SUMIF(DB_Savings!$C:$C,A379,DB_Savings!$F:$F))</f>
        <v/>
      </c>
      <c r="M379" s="340">
        <f>IF(A379="","",SUMIF(DB_Withdrawals!$C:$C,A379,DB_Withdrawals!$G:$G))</f>
        <v/>
      </c>
      <c r="N379" s="340">
        <f>IF(A379="","",I379+L379-M379)</f>
        <v/>
      </c>
      <c r="O379" s="340">
        <f>IF(A379="","",TRUE())</f>
        <v/>
      </c>
      <c r="P379" s="340">
        <f>IF(A379="","",MAX(0,N379-System_Config!$B$9))</f>
        <v/>
      </c>
    </row>
    <row r="380" ht="15" customHeight="1" s="341">
      <c r="L380" s="340">
        <f>IF(A380="","",SUMIF(DB_Savings!$C:$C,A380,DB_Savings!$F:$F))</f>
        <v/>
      </c>
      <c r="M380" s="340">
        <f>IF(A380="","",SUMIF(DB_Withdrawals!$C:$C,A380,DB_Withdrawals!$G:$G))</f>
        <v/>
      </c>
      <c r="N380" s="340">
        <f>IF(A380="","",I380+L380-M380)</f>
        <v/>
      </c>
      <c r="O380" s="340">
        <f>IF(A380="","",TRUE())</f>
        <v/>
      </c>
      <c r="P380" s="340">
        <f>IF(A380="","",MAX(0,N380-System_Config!$B$9))</f>
        <v/>
      </c>
    </row>
    <row r="381" ht="15" customHeight="1" s="341">
      <c r="L381" s="340">
        <f>IF(A381="","",SUMIF(DB_Savings!$C:$C,A381,DB_Savings!$F:$F))</f>
        <v/>
      </c>
      <c r="M381" s="340">
        <f>IF(A381="","",SUMIF(DB_Withdrawals!$C:$C,A381,DB_Withdrawals!$G:$G))</f>
        <v/>
      </c>
      <c r="N381" s="340">
        <f>IF(A381="","",I381+L381-M381)</f>
        <v/>
      </c>
      <c r="O381" s="340">
        <f>IF(A381="","",TRUE())</f>
        <v/>
      </c>
      <c r="P381" s="340">
        <f>IF(A381="","",MAX(0,N381-System_Config!$B$9))</f>
        <v/>
      </c>
    </row>
    <row r="382" ht="15" customHeight="1" s="341">
      <c r="L382" s="340">
        <f>IF(A382="","",SUMIF(DB_Savings!$C:$C,A382,DB_Savings!$F:$F))</f>
        <v/>
      </c>
      <c r="M382" s="340">
        <f>IF(A382="","",SUMIF(DB_Withdrawals!$C:$C,A382,DB_Withdrawals!$G:$G))</f>
        <v/>
      </c>
      <c r="N382" s="340">
        <f>IF(A382="","",I382+L382-M382)</f>
        <v/>
      </c>
      <c r="O382" s="340">
        <f>IF(A382="","",TRUE())</f>
        <v/>
      </c>
      <c r="P382" s="340">
        <f>IF(A382="","",MAX(0,N382-System_Config!$B$9))</f>
        <v/>
      </c>
    </row>
    <row r="383" ht="15" customHeight="1" s="341">
      <c r="L383" s="340">
        <f>IF(A383="","",SUMIF(DB_Savings!$C:$C,A383,DB_Savings!$F:$F))</f>
        <v/>
      </c>
      <c r="M383" s="340">
        <f>IF(A383="","",SUMIF(DB_Withdrawals!$C:$C,A383,DB_Withdrawals!$G:$G))</f>
        <v/>
      </c>
      <c r="N383" s="340">
        <f>IF(A383="","",I383+L383-M383)</f>
        <v/>
      </c>
      <c r="O383" s="340">
        <f>IF(A383="","",TRUE())</f>
        <v/>
      </c>
      <c r="P383" s="340">
        <f>IF(A383="","",MAX(0,N383-System_Config!$B$9))</f>
        <v/>
      </c>
    </row>
    <row r="384" ht="15" customHeight="1" s="341">
      <c r="L384" s="340">
        <f>IF(A384="","",SUMIF(DB_Savings!$C:$C,A384,DB_Savings!$F:$F))</f>
        <v/>
      </c>
      <c r="M384" s="340">
        <f>IF(A384="","",SUMIF(DB_Withdrawals!$C:$C,A384,DB_Withdrawals!$G:$G))</f>
        <v/>
      </c>
      <c r="N384" s="340">
        <f>IF(A384="","",I384+L384-M384)</f>
        <v/>
      </c>
      <c r="O384" s="340">
        <f>IF(A384="","",TRUE())</f>
        <v/>
      </c>
      <c r="P384" s="340">
        <f>IF(A384="","",MAX(0,N384-System_Config!$B$9))</f>
        <v/>
      </c>
    </row>
    <row r="385" ht="15" customHeight="1" s="341">
      <c r="L385" s="340">
        <f>IF(A385="","",SUMIF(DB_Savings!$C:$C,A385,DB_Savings!$F:$F))</f>
        <v/>
      </c>
      <c r="M385" s="340">
        <f>IF(A385="","",SUMIF(DB_Withdrawals!$C:$C,A385,DB_Withdrawals!$G:$G))</f>
        <v/>
      </c>
      <c r="N385" s="340">
        <f>IF(A385="","",I385+L385-M385)</f>
        <v/>
      </c>
      <c r="O385" s="340">
        <f>IF(A385="","",TRUE())</f>
        <v/>
      </c>
      <c r="P385" s="340">
        <f>IF(A385="","",MAX(0,N385-System_Config!$B$9))</f>
        <v/>
      </c>
    </row>
    <row r="386" ht="15" customHeight="1" s="341">
      <c r="L386" s="340">
        <f>IF(A386="","",SUMIF(DB_Savings!$C:$C,A386,DB_Savings!$F:$F))</f>
        <v/>
      </c>
      <c r="M386" s="340">
        <f>IF(A386="","",SUMIF(DB_Withdrawals!$C:$C,A386,DB_Withdrawals!$G:$G))</f>
        <v/>
      </c>
      <c r="N386" s="340">
        <f>IF(A386="","",I386+L386-M386)</f>
        <v/>
      </c>
      <c r="O386" s="340">
        <f>IF(A386="","",TRUE())</f>
        <v/>
      </c>
      <c r="P386" s="340">
        <f>IF(A386="","",MAX(0,N386-System_Config!$B$9))</f>
        <v/>
      </c>
    </row>
    <row r="387" ht="15" customHeight="1" s="341">
      <c r="L387" s="340">
        <f>IF(A387="","",SUMIF(DB_Savings!$C:$C,A387,DB_Savings!$F:$F))</f>
        <v/>
      </c>
      <c r="M387" s="340">
        <f>IF(A387="","",SUMIF(DB_Withdrawals!$C:$C,A387,DB_Withdrawals!$G:$G))</f>
        <v/>
      </c>
      <c r="N387" s="340">
        <f>IF(A387="","",I387+L387-M387)</f>
        <v/>
      </c>
      <c r="O387" s="340">
        <f>IF(A387="","",TRUE())</f>
        <v/>
      </c>
      <c r="P387" s="340">
        <f>IF(A387="","",MAX(0,N387-System_Config!$B$9))</f>
        <v/>
      </c>
    </row>
    <row r="388" ht="15" customHeight="1" s="341">
      <c r="L388" s="340">
        <f>IF(A388="","",SUMIF(DB_Savings!$C:$C,A388,DB_Savings!$F:$F))</f>
        <v/>
      </c>
      <c r="M388" s="340">
        <f>IF(A388="","",SUMIF(DB_Withdrawals!$C:$C,A388,DB_Withdrawals!$G:$G))</f>
        <v/>
      </c>
      <c r="N388" s="340">
        <f>IF(A388="","",I388+L388-M388)</f>
        <v/>
      </c>
      <c r="O388" s="340">
        <f>IF(A388="","",TRUE())</f>
        <v/>
      </c>
      <c r="P388" s="340">
        <f>IF(A388="","",MAX(0,N388-System_Config!$B$9))</f>
        <v/>
      </c>
    </row>
    <row r="389" ht="15" customHeight="1" s="341">
      <c r="L389" s="340">
        <f>IF(A389="","",SUMIF(DB_Savings!$C:$C,A389,DB_Savings!$F:$F))</f>
        <v/>
      </c>
      <c r="M389" s="340">
        <f>IF(A389="","",SUMIF(DB_Withdrawals!$C:$C,A389,DB_Withdrawals!$G:$G))</f>
        <v/>
      </c>
      <c r="N389" s="340">
        <f>IF(A389="","",I389+L389-M389)</f>
        <v/>
      </c>
      <c r="O389" s="340">
        <f>IF(A389="","",TRUE())</f>
        <v/>
      </c>
      <c r="P389" s="340">
        <f>IF(A389="","",MAX(0,N389-System_Config!$B$9))</f>
        <v/>
      </c>
    </row>
    <row r="390" ht="15" customHeight="1" s="341">
      <c r="L390" s="340">
        <f>IF(A390="","",SUMIF(DB_Savings!$C:$C,A390,DB_Savings!$F:$F))</f>
        <v/>
      </c>
      <c r="M390" s="340">
        <f>IF(A390="","",SUMIF(DB_Withdrawals!$C:$C,A390,DB_Withdrawals!$G:$G))</f>
        <v/>
      </c>
      <c r="N390" s="340">
        <f>IF(A390="","",I390+L390-M390)</f>
        <v/>
      </c>
      <c r="O390" s="340">
        <f>IF(A390="","",TRUE())</f>
        <v/>
      </c>
      <c r="P390" s="340">
        <f>IF(A390="","",MAX(0,N390-System_Config!$B$9))</f>
        <v/>
      </c>
    </row>
    <row r="391" ht="15" customHeight="1" s="341">
      <c r="L391" s="340">
        <f>IF(A391="","",SUMIF(DB_Savings!$C:$C,A391,DB_Savings!$F:$F))</f>
        <v/>
      </c>
      <c r="M391" s="340">
        <f>IF(A391="","",SUMIF(DB_Withdrawals!$C:$C,A391,DB_Withdrawals!$G:$G))</f>
        <v/>
      </c>
      <c r="N391" s="340">
        <f>IF(A391="","",I391+L391-M391)</f>
        <v/>
      </c>
      <c r="O391" s="340">
        <f>IF(A391="","",TRUE())</f>
        <v/>
      </c>
      <c r="P391" s="340">
        <f>IF(A391="","",MAX(0,N391-System_Config!$B$9))</f>
        <v/>
      </c>
    </row>
    <row r="392" ht="15" customHeight="1" s="341">
      <c r="L392" s="340">
        <f>IF(A392="","",SUMIF(DB_Savings!$C:$C,A392,DB_Savings!$F:$F))</f>
        <v/>
      </c>
      <c r="M392" s="340">
        <f>IF(A392="","",SUMIF(DB_Withdrawals!$C:$C,A392,DB_Withdrawals!$G:$G))</f>
        <v/>
      </c>
      <c r="N392" s="340">
        <f>IF(A392="","",I392+L392-M392)</f>
        <v/>
      </c>
      <c r="O392" s="340">
        <f>IF(A392="","",TRUE())</f>
        <v/>
      </c>
      <c r="P392" s="340">
        <f>IF(A392="","",MAX(0,N392-System_Config!$B$9))</f>
        <v/>
      </c>
    </row>
    <row r="393" ht="15" customHeight="1" s="341">
      <c r="L393" s="340">
        <f>IF(A393="","",SUMIF(DB_Savings!$C:$C,A393,DB_Savings!$F:$F))</f>
        <v/>
      </c>
      <c r="M393" s="340">
        <f>IF(A393="","",SUMIF(DB_Withdrawals!$C:$C,A393,DB_Withdrawals!$G:$G))</f>
        <v/>
      </c>
      <c r="N393" s="340">
        <f>IF(A393="","",I393+L393-M393)</f>
        <v/>
      </c>
      <c r="O393" s="340">
        <f>IF(A393="","",TRUE())</f>
        <v/>
      </c>
      <c r="P393" s="340">
        <f>IF(A393="","",MAX(0,N393-System_Config!$B$9))</f>
        <v/>
      </c>
    </row>
    <row r="394" ht="15" customHeight="1" s="341">
      <c r="L394" s="340">
        <f>IF(A394="","",SUMIF(DB_Savings!$C:$C,A394,DB_Savings!$F:$F))</f>
        <v/>
      </c>
      <c r="M394" s="340">
        <f>IF(A394="","",SUMIF(DB_Withdrawals!$C:$C,A394,DB_Withdrawals!$G:$G))</f>
        <v/>
      </c>
      <c r="N394" s="340">
        <f>IF(A394="","",I394+L394-M394)</f>
        <v/>
      </c>
      <c r="O394" s="340">
        <f>IF(A394="","",TRUE())</f>
        <v/>
      </c>
      <c r="P394" s="340">
        <f>IF(A394="","",MAX(0,N394-System_Config!$B$9))</f>
        <v/>
      </c>
    </row>
    <row r="395" ht="15" customHeight="1" s="341">
      <c r="L395" s="340">
        <f>IF(A395="","",SUMIF(DB_Savings!$C:$C,A395,DB_Savings!$F:$F))</f>
        <v/>
      </c>
      <c r="M395" s="340">
        <f>IF(A395="","",SUMIF(DB_Withdrawals!$C:$C,A395,DB_Withdrawals!$G:$G))</f>
        <v/>
      </c>
      <c r="N395" s="340">
        <f>IF(A395="","",I395+L395-M395)</f>
        <v/>
      </c>
      <c r="O395" s="340">
        <f>IF(A395="","",TRUE())</f>
        <v/>
      </c>
      <c r="P395" s="340">
        <f>IF(A395="","",MAX(0,N395-System_Config!$B$9))</f>
        <v/>
      </c>
    </row>
    <row r="396" ht="15" customHeight="1" s="341">
      <c r="L396" s="340">
        <f>IF(A396="","",SUMIF(DB_Savings!$C:$C,A396,DB_Savings!$F:$F))</f>
        <v/>
      </c>
      <c r="M396" s="340">
        <f>IF(A396="","",SUMIF(DB_Withdrawals!$C:$C,A396,DB_Withdrawals!$G:$G))</f>
        <v/>
      </c>
      <c r="N396" s="340">
        <f>IF(A396="","",I396+L396-M396)</f>
        <v/>
      </c>
      <c r="O396" s="340">
        <f>IF(A396="","",TRUE())</f>
        <v/>
      </c>
      <c r="P396" s="340">
        <f>IF(A396="","",MAX(0,N396-System_Config!$B$9))</f>
        <v/>
      </c>
    </row>
    <row r="397" ht="15" customHeight="1" s="341">
      <c r="L397" s="340">
        <f>IF(A397="","",SUMIF(DB_Savings!$C:$C,A397,DB_Savings!$F:$F))</f>
        <v/>
      </c>
      <c r="M397" s="340">
        <f>IF(A397="","",SUMIF(DB_Withdrawals!$C:$C,A397,DB_Withdrawals!$G:$G))</f>
        <v/>
      </c>
      <c r="N397" s="340">
        <f>IF(A397="","",I397+L397-M397)</f>
        <v/>
      </c>
      <c r="O397" s="340">
        <f>IF(A397="","",TRUE())</f>
        <v/>
      </c>
      <c r="P397" s="340">
        <f>IF(A397="","",MAX(0,N397-System_Config!$B$9))</f>
        <v/>
      </c>
    </row>
    <row r="398" ht="15" customHeight="1" s="341">
      <c r="L398" s="340">
        <f>IF(A398="","",SUMIF(DB_Savings!$C:$C,A398,DB_Savings!$F:$F))</f>
        <v/>
      </c>
      <c r="M398" s="340">
        <f>IF(A398="","",SUMIF(DB_Withdrawals!$C:$C,A398,DB_Withdrawals!$G:$G))</f>
        <v/>
      </c>
      <c r="N398" s="340">
        <f>IF(A398="","",I398+L398-M398)</f>
        <v/>
      </c>
      <c r="O398" s="340">
        <f>IF(A398="","",TRUE())</f>
        <v/>
      </c>
      <c r="P398" s="340">
        <f>IF(A398="","",MAX(0,N398-System_Config!$B$9))</f>
        <v/>
      </c>
    </row>
    <row r="399" ht="15" customHeight="1" s="341">
      <c r="L399" s="340">
        <f>IF(A399="","",SUMIF(DB_Savings!$C:$C,A399,DB_Savings!$F:$F))</f>
        <v/>
      </c>
      <c r="M399" s="340">
        <f>IF(A399="","",SUMIF(DB_Withdrawals!$C:$C,A399,DB_Withdrawals!$G:$G))</f>
        <v/>
      </c>
      <c r="N399" s="340">
        <f>IF(A399="","",I399+L399-M399)</f>
        <v/>
      </c>
      <c r="O399" s="340">
        <f>IF(A399="","",TRUE())</f>
        <v/>
      </c>
      <c r="P399" s="340">
        <f>IF(A399="","",MAX(0,N399-System_Config!$B$9))</f>
        <v/>
      </c>
    </row>
    <row r="400" ht="15" customHeight="1" s="341">
      <c r="L400" s="340">
        <f>IF(A400="","",SUMIF(DB_Savings!$C:$C,A400,DB_Savings!$F:$F))</f>
        <v/>
      </c>
      <c r="M400" s="340">
        <f>IF(A400="","",SUMIF(DB_Withdrawals!$C:$C,A400,DB_Withdrawals!$G:$G))</f>
        <v/>
      </c>
      <c r="N400" s="340">
        <f>IF(A400="","",I400+L400-M400)</f>
        <v/>
      </c>
      <c r="O400" s="340">
        <f>IF(A400="","",TRUE())</f>
        <v/>
      </c>
      <c r="P400" s="340">
        <f>IF(A400="","",MAX(0,N400-System_Config!$B$9))</f>
        <v/>
      </c>
    </row>
    <row r="401" ht="15" customHeight="1" s="341">
      <c r="L401" s="340">
        <f>IF(A401="","",SUMIF(DB_Savings!$C:$C,A401,DB_Savings!$F:$F))</f>
        <v/>
      </c>
      <c r="M401" s="340">
        <f>IF(A401="","",SUMIF(DB_Withdrawals!$C:$C,A401,DB_Withdrawals!$G:$G))</f>
        <v/>
      </c>
      <c r="N401" s="340">
        <f>IF(A401="","",I401+L401-M401)</f>
        <v/>
      </c>
      <c r="O401" s="340">
        <f>IF(A401="","",TRUE())</f>
        <v/>
      </c>
      <c r="P401" s="340">
        <f>IF(A401="","",MAX(0,N401-System_Config!$B$9))</f>
        <v/>
      </c>
    </row>
    <row r="402" ht="15" customHeight="1" s="341">
      <c r="L402" s="340">
        <f>IF(A402="","",SUMIF(DB_Savings!$C:$C,A402,DB_Savings!$F:$F))</f>
        <v/>
      </c>
      <c r="M402" s="340">
        <f>IF(A402="","",SUMIF(DB_Withdrawals!$C:$C,A402,DB_Withdrawals!$G:$G))</f>
        <v/>
      </c>
      <c r="N402" s="340">
        <f>IF(A402="","",I402+L402-M402)</f>
        <v/>
      </c>
      <c r="O402" s="340">
        <f>IF(A402="","",TRUE())</f>
        <v/>
      </c>
      <c r="P402" s="340">
        <f>IF(A402="","",MAX(0,N402-System_Config!$B$9))</f>
        <v/>
      </c>
    </row>
    <row r="403" ht="15" customHeight="1" s="341">
      <c r="L403" s="340">
        <f>IF(A403="","",SUMIF(DB_Savings!$C:$C,A403,DB_Savings!$F:$F))</f>
        <v/>
      </c>
      <c r="M403" s="340">
        <f>IF(A403="","",SUMIF(DB_Withdrawals!$C:$C,A403,DB_Withdrawals!$G:$G))</f>
        <v/>
      </c>
      <c r="N403" s="340">
        <f>IF(A403="","",I403+L403-M403)</f>
        <v/>
      </c>
      <c r="O403" s="340">
        <f>IF(A403="","",TRUE())</f>
        <v/>
      </c>
      <c r="P403" s="340">
        <f>IF(A403="","",MAX(0,N403-System_Config!$B$9))</f>
        <v/>
      </c>
    </row>
    <row r="404" ht="15" customHeight="1" s="341">
      <c r="L404" s="340">
        <f>IF(A404="","",SUMIF(DB_Savings!$C:$C,A404,DB_Savings!$F:$F))</f>
        <v/>
      </c>
      <c r="M404" s="340">
        <f>IF(A404="","",SUMIF(DB_Withdrawals!$C:$C,A404,DB_Withdrawals!$G:$G))</f>
        <v/>
      </c>
      <c r="N404" s="340">
        <f>IF(A404="","",I404+L404-M404)</f>
        <v/>
      </c>
      <c r="O404" s="340">
        <f>IF(A404="","",TRUE())</f>
        <v/>
      </c>
      <c r="P404" s="340">
        <f>IF(A404="","",MAX(0,N404-System_Config!$B$9))</f>
        <v/>
      </c>
    </row>
    <row r="405" ht="15" customHeight="1" s="341">
      <c r="L405" s="340">
        <f>IF(A405="","",SUMIF(DB_Savings!$C:$C,A405,DB_Savings!$F:$F))</f>
        <v/>
      </c>
      <c r="M405" s="340">
        <f>IF(A405="","",SUMIF(DB_Withdrawals!$C:$C,A405,DB_Withdrawals!$G:$G))</f>
        <v/>
      </c>
      <c r="N405" s="340">
        <f>IF(A405="","",I405+L405-M405)</f>
        <v/>
      </c>
      <c r="O405" s="340">
        <f>IF(A405="","",TRUE())</f>
        <v/>
      </c>
      <c r="P405" s="340">
        <f>IF(A405="","",MAX(0,N405-System_Config!$B$9))</f>
        <v/>
      </c>
    </row>
    <row r="406" ht="15" customHeight="1" s="341">
      <c r="L406" s="340">
        <f>IF(A406="","",SUMIF(DB_Savings!$C:$C,A406,DB_Savings!$F:$F))</f>
        <v/>
      </c>
      <c r="M406" s="340">
        <f>IF(A406="","",SUMIF(DB_Withdrawals!$C:$C,A406,DB_Withdrawals!$G:$G))</f>
        <v/>
      </c>
      <c r="N406" s="340">
        <f>IF(A406="","",I406+L406-M406)</f>
        <v/>
      </c>
      <c r="O406" s="340">
        <f>IF(A406="","",TRUE())</f>
        <v/>
      </c>
      <c r="P406" s="340">
        <f>IF(A406="","",MAX(0,N406-System_Config!$B$9))</f>
        <v/>
      </c>
    </row>
    <row r="407" ht="15" customHeight="1" s="341">
      <c r="L407" s="340">
        <f>IF(A407="","",SUMIF(DB_Savings!$C:$C,A407,DB_Savings!$F:$F))</f>
        <v/>
      </c>
      <c r="M407" s="340">
        <f>IF(A407="","",SUMIF(DB_Withdrawals!$C:$C,A407,DB_Withdrawals!$G:$G))</f>
        <v/>
      </c>
      <c r="N407" s="340">
        <f>IF(A407="","",I407+L407-M407)</f>
        <v/>
      </c>
      <c r="O407" s="340">
        <f>IF(A407="","",TRUE())</f>
        <v/>
      </c>
      <c r="P407" s="340">
        <f>IF(A407="","",MAX(0,N407-System_Config!$B$9))</f>
        <v/>
      </c>
    </row>
    <row r="408" ht="15" customHeight="1" s="341">
      <c r="L408" s="340">
        <f>IF(A408="","",SUMIF(DB_Savings!$C:$C,A408,DB_Savings!$F:$F))</f>
        <v/>
      </c>
      <c r="M408" s="340">
        <f>IF(A408="","",SUMIF(DB_Withdrawals!$C:$C,A408,DB_Withdrawals!$G:$G))</f>
        <v/>
      </c>
      <c r="N408" s="340">
        <f>IF(A408="","",I408+L408-M408)</f>
        <v/>
      </c>
      <c r="O408" s="340">
        <f>IF(A408="","",TRUE())</f>
        <v/>
      </c>
      <c r="P408" s="340">
        <f>IF(A408="","",MAX(0,N408-System_Config!$B$9))</f>
        <v/>
      </c>
    </row>
    <row r="409" ht="15" customHeight="1" s="341">
      <c r="L409" s="340">
        <f>IF(A409="","",SUMIF(DB_Savings!$C:$C,A409,DB_Savings!$F:$F))</f>
        <v/>
      </c>
      <c r="M409" s="340">
        <f>IF(A409="","",SUMIF(DB_Withdrawals!$C:$C,A409,DB_Withdrawals!$G:$G))</f>
        <v/>
      </c>
      <c r="N409" s="340">
        <f>IF(A409="","",I409+L409-M409)</f>
        <v/>
      </c>
      <c r="O409" s="340">
        <f>IF(A409="","",TRUE())</f>
        <v/>
      </c>
      <c r="P409" s="340">
        <f>IF(A409="","",MAX(0,N409-System_Config!$B$9))</f>
        <v/>
      </c>
    </row>
    <row r="410" ht="15" customHeight="1" s="341">
      <c r="L410" s="340">
        <f>IF(A410="","",SUMIF(DB_Savings!$C:$C,A410,DB_Savings!$F:$F))</f>
        <v/>
      </c>
      <c r="M410" s="340">
        <f>IF(A410="","",SUMIF(DB_Withdrawals!$C:$C,A410,DB_Withdrawals!$G:$G))</f>
        <v/>
      </c>
      <c r="N410" s="340">
        <f>IF(A410="","",I410+L410-M410)</f>
        <v/>
      </c>
      <c r="O410" s="340">
        <f>IF(A410="","",TRUE())</f>
        <v/>
      </c>
      <c r="P410" s="340">
        <f>IF(A410="","",MAX(0,N410-System_Config!$B$9))</f>
        <v/>
      </c>
    </row>
    <row r="411" ht="15" customHeight="1" s="341">
      <c r="L411" s="340">
        <f>IF(A411="","",SUMIF(DB_Savings!$C:$C,A411,DB_Savings!$F:$F))</f>
        <v/>
      </c>
      <c r="M411" s="340">
        <f>IF(A411="","",SUMIF(DB_Withdrawals!$C:$C,A411,DB_Withdrawals!$G:$G))</f>
        <v/>
      </c>
      <c r="N411" s="340">
        <f>IF(A411="","",I411+L411-M411)</f>
        <v/>
      </c>
      <c r="O411" s="340">
        <f>IF(A411="","",TRUE())</f>
        <v/>
      </c>
      <c r="P411" s="340">
        <f>IF(A411="","",MAX(0,N411-System_Config!$B$9))</f>
        <v/>
      </c>
    </row>
    <row r="412" ht="15" customHeight="1" s="341">
      <c r="L412" s="340">
        <f>IF(A412="","",SUMIF(DB_Savings!$C:$C,A412,DB_Savings!$F:$F))</f>
        <v/>
      </c>
      <c r="M412" s="340">
        <f>IF(A412="","",SUMIF(DB_Withdrawals!$C:$C,A412,DB_Withdrawals!$G:$G))</f>
        <v/>
      </c>
      <c r="N412" s="340">
        <f>IF(A412="","",I412+L412-M412)</f>
        <v/>
      </c>
      <c r="O412" s="340">
        <f>IF(A412="","",TRUE())</f>
        <v/>
      </c>
      <c r="P412" s="340">
        <f>IF(A412="","",MAX(0,N412-System_Config!$B$9))</f>
        <v/>
      </c>
    </row>
    <row r="413" ht="15" customHeight="1" s="341">
      <c r="L413" s="340">
        <f>IF(A413="","",SUMIF(DB_Savings!$C:$C,A413,DB_Savings!$F:$F))</f>
        <v/>
      </c>
      <c r="M413" s="340">
        <f>IF(A413="","",SUMIF(DB_Withdrawals!$C:$C,A413,DB_Withdrawals!$G:$G))</f>
        <v/>
      </c>
      <c r="N413" s="340">
        <f>IF(A413="","",I413+L413-M413)</f>
        <v/>
      </c>
      <c r="O413" s="340">
        <f>IF(A413="","",TRUE())</f>
        <v/>
      </c>
      <c r="P413" s="340">
        <f>IF(A413="","",MAX(0,N413-System_Config!$B$9))</f>
        <v/>
      </c>
    </row>
    <row r="414" ht="15" customHeight="1" s="341">
      <c r="L414" s="340">
        <f>IF(A414="","",SUMIF(DB_Savings!$C:$C,A414,DB_Savings!$F:$F))</f>
        <v/>
      </c>
      <c r="M414" s="340">
        <f>IF(A414="","",SUMIF(DB_Withdrawals!$C:$C,A414,DB_Withdrawals!$G:$G))</f>
        <v/>
      </c>
      <c r="N414" s="340">
        <f>IF(A414="","",I414+L414-M414)</f>
        <v/>
      </c>
      <c r="O414" s="340">
        <f>IF(A414="","",TRUE())</f>
        <v/>
      </c>
      <c r="P414" s="340">
        <f>IF(A414="","",MAX(0,N414-System_Config!$B$9))</f>
        <v/>
      </c>
    </row>
    <row r="415" ht="15" customHeight="1" s="341">
      <c r="L415" s="340">
        <f>IF(A415="","",SUMIF(DB_Savings!$C:$C,A415,DB_Savings!$F:$F))</f>
        <v/>
      </c>
      <c r="M415" s="340">
        <f>IF(A415="","",SUMIF(DB_Withdrawals!$C:$C,A415,DB_Withdrawals!$G:$G))</f>
        <v/>
      </c>
      <c r="N415" s="340">
        <f>IF(A415="","",I415+L415-M415)</f>
        <v/>
      </c>
      <c r="O415" s="340">
        <f>IF(A415="","",TRUE())</f>
        <v/>
      </c>
      <c r="P415" s="340">
        <f>IF(A415="","",MAX(0,N415-System_Config!$B$9))</f>
        <v/>
      </c>
    </row>
    <row r="416" ht="15" customHeight="1" s="341">
      <c r="L416" s="340">
        <f>IF(A416="","",SUMIF(DB_Savings!$C:$C,A416,DB_Savings!$F:$F))</f>
        <v/>
      </c>
      <c r="M416" s="340">
        <f>IF(A416="","",SUMIF(DB_Withdrawals!$C:$C,A416,DB_Withdrawals!$G:$G))</f>
        <v/>
      </c>
      <c r="N416" s="340">
        <f>IF(A416="","",I416+L416-M416)</f>
        <v/>
      </c>
      <c r="O416" s="340">
        <f>IF(A416="","",TRUE())</f>
        <v/>
      </c>
      <c r="P416" s="340">
        <f>IF(A416="","",MAX(0,N416-System_Config!$B$9))</f>
        <v/>
      </c>
    </row>
    <row r="417" ht="15" customHeight="1" s="341">
      <c r="L417" s="340">
        <f>IF(A417="","",SUMIF(DB_Savings!$C:$C,A417,DB_Savings!$F:$F))</f>
        <v/>
      </c>
      <c r="M417" s="340">
        <f>IF(A417="","",SUMIF(DB_Withdrawals!$C:$C,A417,DB_Withdrawals!$G:$G))</f>
        <v/>
      </c>
      <c r="N417" s="340">
        <f>IF(A417="","",I417+L417-M417)</f>
        <v/>
      </c>
      <c r="O417" s="340">
        <f>IF(A417="","",TRUE())</f>
        <v/>
      </c>
      <c r="P417" s="340">
        <f>IF(A417="","",MAX(0,N417-System_Config!$B$9))</f>
        <v/>
      </c>
    </row>
    <row r="418" ht="15" customHeight="1" s="341">
      <c r="L418" s="340">
        <f>IF(A418="","",SUMIF(DB_Savings!$C:$C,A418,DB_Savings!$F:$F))</f>
        <v/>
      </c>
      <c r="M418" s="340">
        <f>IF(A418="","",SUMIF(DB_Withdrawals!$C:$C,A418,DB_Withdrawals!$G:$G))</f>
        <v/>
      </c>
      <c r="N418" s="340">
        <f>IF(A418="","",I418+L418-M418)</f>
        <v/>
      </c>
      <c r="O418" s="340">
        <f>IF(A418="","",TRUE())</f>
        <v/>
      </c>
      <c r="P418" s="340">
        <f>IF(A418="","",MAX(0,N418-System_Config!$B$9))</f>
        <v/>
      </c>
    </row>
    <row r="419" ht="15" customHeight="1" s="341">
      <c r="L419" s="340">
        <f>IF(A419="","",SUMIF(DB_Savings!$C:$C,A419,DB_Savings!$F:$F))</f>
        <v/>
      </c>
      <c r="M419" s="340">
        <f>IF(A419="","",SUMIF(DB_Withdrawals!$C:$C,A419,DB_Withdrawals!$G:$G))</f>
        <v/>
      </c>
      <c r="N419" s="340">
        <f>IF(A419="","",I419+L419-M419)</f>
        <v/>
      </c>
      <c r="O419" s="340">
        <f>IF(A419="","",TRUE())</f>
        <v/>
      </c>
      <c r="P419" s="340">
        <f>IF(A419="","",MAX(0,N419-System_Config!$B$9))</f>
        <v/>
      </c>
    </row>
    <row r="420" ht="15" customHeight="1" s="341">
      <c r="L420" s="340">
        <f>IF(A420="","",SUMIF(DB_Savings!$C:$C,A420,DB_Savings!$F:$F))</f>
        <v/>
      </c>
      <c r="M420" s="340">
        <f>IF(A420="","",SUMIF(DB_Withdrawals!$C:$C,A420,DB_Withdrawals!$G:$G))</f>
        <v/>
      </c>
      <c r="N420" s="340">
        <f>IF(A420="","",I420+L420-M420)</f>
        <v/>
      </c>
      <c r="O420" s="340">
        <f>IF(A420="","",TRUE())</f>
        <v/>
      </c>
      <c r="P420" s="340">
        <f>IF(A420="","",MAX(0,N420-System_Config!$B$9))</f>
        <v/>
      </c>
    </row>
    <row r="421" ht="15" customHeight="1" s="341">
      <c r="L421" s="340">
        <f>IF(A421="","",SUMIF(DB_Savings!$C:$C,A421,DB_Savings!$F:$F))</f>
        <v/>
      </c>
      <c r="M421" s="340">
        <f>IF(A421="","",SUMIF(DB_Withdrawals!$C:$C,A421,DB_Withdrawals!$G:$G))</f>
        <v/>
      </c>
      <c r="N421" s="340">
        <f>IF(A421="","",I421+L421-M421)</f>
        <v/>
      </c>
      <c r="O421" s="340">
        <f>IF(A421="","",TRUE())</f>
        <v/>
      </c>
      <c r="P421" s="340">
        <f>IF(A421="","",MAX(0,N421-System_Config!$B$9))</f>
        <v/>
      </c>
    </row>
    <row r="422" ht="15" customHeight="1" s="341">
      <c r="L422" s="340">
        <f>IF(A422="","",SUMIF(DB_Savings!$C:$C,A422,DB_Savings!$F:$F))</f>
        <v/>
      </c>
      <c r="M422" s="340">
        <f>IF(A422="","",SUMIF(DB_Withdrawals!$C:$C,A422,DB_Withdrawals!$G:$G))</f>
        <v/>
      </c>
      <c r="N422" s="340">
        <f>IF(A422="","",I422+L422-M422)</f>
        <v/>
      </c>
      <c r="O422" s="340">
        <f>IF(A422="","",TRUE())</f>
        <v/>
      </c>
      <c r="P422" s="340">
        <f>IF(A422="","",MAX(0,N422-System_Config!$B$9))</f>
        <v/>
      </c>
    </row>
    <row r="423" ht="15" customHeight="1" s="341">
      <c r="L423" s="340">
        <f>IF(A423="","",SUMIF(DB_Savings!$C:$C,A423,DB_Savings!$F:$F))</f>
        <v/>
      </c>
      <c r="M423" s="340">
        <f>IF(A423="","",SUMIF(DB_Withdrawals!$C:$C,A423,DB_Withdrawals!$G:$G))</f>
        <v/>
      </c>
      <c r="N423" s="340">
        <f>IF(A423="","",I423+L423-M423)</f>
        <v/>
      </c>
      <c r="O423" s="340">
        <f>IF(A423="","",TRUE())</f>
        <v/>
      </c>
      <c r="P423" s="340">
        <f>IF(A423="","",MAX(0,N423-System_Config!$B$9))</f>
        <v/>
      </c>
    </row>
    <row r="424" ht="15" customHeight="1" s="341">
      <c r="L424" s="340">
        <f>IF(A424="","",SUMIF(DB_Savings!$C:$C,A424,DB_Savings!$F:$F))</f>
        <v/>
      </c>
      <c r="M424" s="340">
        <f>IF(A424="","",SUMIF(DB_Withdrawals!$C:$C,A424,DB_Withdrawals!$G:$G))</f>
        <v/>
      </c>
      <c r="N424" s="340">
        <f>IF(A424="","",I424+L424-M424)</f>
        <v/>
      </c>
      <c r="O424" s="340">
        <f>IF(A424="","",TRUE())</f>
        <v/>
      </c>
      <c r="P424" s="340">
        <f>IF(A424="","",MAX(0,N424-System_Config!$B$9))</f>
        <v/>
      </c>
    </row>
    <row r="425" ht="15" customHeight="1" s="341">
      <c r="L425" s="340">
        <f>IF(A425="","",SUMIF(DB_Savings!$C:$C,A425,DB_Savings!$F:$F))</f>
        <v/>
      </c>
      <c r="M425" s="340">
        <f>IF(A425="","",SUMIF(DB_Withdrawals!$C:$C,A425,DB_Withdrawals!$G:$G))</f>
        <v/>
      </c>
      <c r="N425" s="340">
        <f>IF(A425="","",I425+L425-M425)</f>
        <v/>
      </c>
      <c r="O425" s="340">
        <f>IF(A425="","",TRUE())</f>
        <v/>
      </c>
      <c r="P425" s="340">
        <f>IF(A425="","",MAX(0,N425-System_Config!$B$9))</f>
        <v/>
      </c>
    </row>
    <row r="426" ht="15" customHeight="1" s="341">
      <c r="L426" s="340">
        <f>IF(A426="","",SUMIF(DB_Savings!$C:$C,A426,DB_Savings!$F:$F))</f>
        <v/>
      </c>
      <c r="M426" s="340">
        <f>IF(A426="","",SUMIF(DB_Withdrawals!$C:$C,A426,DB_Withdrawals!$G:$G))</f>
        <v/>
      </c>
      <c r="N426" s="340">
        <f>IF(A426="","",I426+L426-M426)</f>
        <v/>
      </c>
      <c r="O426" s="340">
        <f>IF(A426="","",TRUE())</f>
        <v/>
      </c>
      <c r="P426" s="340">
        <f>IF(A426="","",MAX(0,N426-System_Config!$B$9))</f>
        <v/>
      </c>
    </row>
    <row r="427" ht="15" customHeight="1" s="341">
      <c r="L427" s="340">
        <f>IF(A427="","",SUMIF(DB_Savings!$C:$C,A427,DB_Savings!$F:$F))</f>
        <v/>
      </c>
      <c r="M427" s="340">
        <f>IF(A427="","",SUMIF(DB_Withdrawals!$C:$C,A427,DB_Withdrawals!$G:$G))</f>
        <v/>
      </c>
      <c r="N427" s="340">
        <f>IF(A427="","",I427+L427-M427)</f>
        <v/>
      </c>
      <c r="O427" s="340">
        <f>IF(A427="","",TRUE())</f>
        <v/>
      </c>
      <c r="P427" s="340">
        <f>IF(A427="","",MAX(0,N427-System_Config!$B$9))</f>
        <v/>
      </c>
    </row>
    <row r="428" ht="15" customHeight="1" s="341">
      <c r="L428" s="340">
        <f>IF(A428="","",SUMIF(DB_Savings!$C:$C,A428,DB_Savings!$F:$F))</f>
        <v/>
      </c>
      <c r="M428" s="340">
        <f>IF(A428="","",SUMIF(DB_Withdrawals!$C:$C,A428,DB_Withdrawals!$G:$G))</f>
        <v/>
      </c>
      <c r="N428" s="340">
        <f>IF(A428="","",I428+L428-M428)</f>
        <v/>
      </c>
      <c r="O428" s="340">
        <f>IF(A428="","",TRUE())</f>
        <v/>
      </c>
      <c r="P428" s="340">
        <f>IF(A428="","",MAX(0,N428-System_Config!$B$9))</f>
        <v/>
      </c>
    </row>
    <row r="429" ht="15" customHeight="1" s="341">
      <c r="L429" s="340">
        <f>IF(A429="","",SUMIF(DB_Savings!$C:$C,A429,DB_Savings!$F:$F))</f>
        <v/>
      </c>
      <c r="M429" s="340">
        <f>IF(A429="","",SUMIF(DB_Withdrawals!$C:$C,A429,DB_Withdrawals!$G:$G))</f>
        <v/>
      </c>
      <c r="N429" s="340">
        <f>IF(A429="","",I429+L429-M429)</f>
        <v/>
      </c>
      <c r="O429" s="340">
        <f>IF(A429="","",TRUE())</f>
        <v/>
      </c>
      <c r="P429" s="340">
        <f>IF(A429="","",MAX(0,N429-System_Config!$B$9))</f>
        <v/>
      </c>
    </row>
    <row r="430" ht="15" customHeight="1" s="341">
      <c r="L430" s="340">
        <f>IF(A430="","",SUMIF(DB_Savings!$C:$C,A430,DB_Savings!$F:$F))</f>
        <v/>
      </c>
      <c r="M430" s="340">
        <f>IF(A430="","",SUMIF(DB_Withdrawals!$C:$C,A430,DB_Withdrawals!$G:$G))</f>
        <v/>
      </c>
      <c r="N430" s="340">
        <f>IF(A430="","",I430+L430-M430)</f>
        <v/>
      </c>
      <c r="O430" s="340">
        <f>IF(A430="","",TRUE())</f>
        <v/>
      </c>
      <c r="P430" s="340">
        <f>IF(A430="","",MAX(0,N430-System_Config!$B$9))</f>
        <v/>
      </c>
    </row>
    <row r="431" ht="15" customHeight="1" s="341">
      <c r="L431" s="340">
        <f>IF(A431="","",SUMIF(DB_Savings!$C:$C,A431,DB_Savings!$F:$F))</f>
        <v/>
      </c>
      <c r="M431" s="340">
        <f>IF(A431="","",SUMIF(DB_Withdrawals!$C:$C,A431,DB_Withdrawals!$G:$G))</f>
        <v/>
      </c>
      <c r="N431" s="340">
        <f>IF(A431="","",I431+L431-M431)</f>
        <v/>
      </c>
      <c r="O431" s="340">
        <f>IF(A431="","",TRUE())</f>
        <v/>
      </c>
      <c r="P431" s="340">
        <f>IF(A431="","",MAX(0,N431-System_Config!$B$9))</f>
        <v/>
      </c>
    </row>
    <row r="432" ht="15" customHeight="1" s="341">
      <c r="L432" s="340">
        <f>IF(A432="","",SUMIF(DB_Savings!$C:$C,A432,DB_Savings!$F:$F))</f>
        <v/>
      </c>
      <c r="M432" s="340">
        <f>IF(A432="","",SUMIF(DB_Withdrawals!$C:$C,A432,DB_Withdrawals!$G:$G))</f>
        <v/>
      </c>
      <c r="N432" s="340">
        <f>IF(A432="","",I432+L432-M432)</f>
        <v/>
      </c>
      <c r="O432" s="340">
        <f>IF(A432="","",TRUE())</f>
        <v/>
      </c>
      <c r="P432" s="340">
        <f>IF(A432="","",MAX(0,N432-System_Config!$B$9))</f>
        <v/>
      </c>
    </row>
    <row r="433" ht="15" customHeight="1" s="341">
      <c r="L433" s="340">
        <f>IF(A433="","",SUMIF(DB_Savings!$C:$C,A433,DB_Savings!$F:$F))</f>
        <v/>
      </c>
      <c r="M433" s="340">
        <f>IF(A433="","",SUMIF(DB_Withdrawals!$C:$C,A433,DB_Withdrawals!$G:$G))</f>
        <v/>
      </c>
      <c r="N433" s="340">
        <f>IF(A433="","",I433+L433-M433)</f>
        <v/>
      </c>
      <c r="O433" s="340">
        <f>IF(A433="","",TRUE())</f>
        <v/>
      </c>
      <c r="P433" s="340">
        <f>IF(A433="","",MAX(0,N433-System_Config!$B$9))</f>
        <v/>
      </c>
    </row>
    <row r="434" ht="15" customHeight="1" s="341">
      <c r="L434" s="340">
        <f>IF(A434="","",SUMIF(DB_Savings!$C:$C,A434,DB_Savings!$F:$F))</f>
        <v/>
      </c>
      <c r="M434" s="340">
        <f>IF(A434="","",SUMIF(DB_Withdrawals!$C:$C,A434,DB_Withdrawals!$G:$G))</f>
        <v/>
      </c>
      <c r="N434" s="340">
        <f>IF(A434="","",I434+L434-M434)</f>
        <v/>
      </c>
      <c r="O434" s="340">
        <f>IF(A434="","",TRUE())</f>
        <v/>
      </c>
      <c r="P434" s="340">
        <f>IF(A434="","",MAX(0,N434-System_Config!$B$9))</f>
        <v/>
      </c>
    </row>
    <row r="435" ht="15" customHeight="1" s="341">
      <c r="L435" s="340">
        <f>IF(A435="","",SUMIF(DB_Savings!$C:$C,A435,DB_Savings!$F:$F))</f>
        <v/>
      </c>
      <c r="M435" s="340">
        <f>IF(A435="","",SUMIF(DB_Withdrawals!$C:$C,A435,DB_Withdrawals!$G:$G))</f>
        <v/>
      </c>
      <c r="N435" s="340">
        <f>IF(A435="","",I435+L435-M435)</f>
        <v/>
      </c>
      <c r="O435" s="340">
        <f>IF(A435="","",TRUE())</f>
        <v/>
      </c>
      <c r="P435" s="340">
        <f>IF(A435="","",MAX(0,N435-System_Config!$B$9))</f>
        <v/>
      </c>
    </row>
    <row r="436" ht="15" customHeight="1" s="341">
      <c r="L436" s="340">
        <f>IF(A436="","",SUMIF(DB_Savings!$C:$C,A436,DB_Savings!$F:$F))</f>
        <v/>
      </c>
      <c r="M436" s="340">
        <f>IF(A436="","",SUMIF(DB_Withdrawals!$C:$C,A436,DB_Withdrawals!$G:$G))</f>
        <v/>
      </c>
      <c r="N436" s="340">
        <f>IF(A436="","",I436+L436-M436)</f>
        <v/>
      </c>
      <c r="O436" s="340">
        <f>IF(A436="","",TRUE())</f>
        <v/>
      </c>
      <c r="P436" s="340">
        <f>IF(A436="","",MAX(0,N436-System_Config!$B$9))</f>
        <v/>
      </c>
    </row>
    <row r="437" ht="15" customHeight="1" s="341">
      <c r="L437" s="340">
        <f>IF(A437="","",SUMIF(DB_Savings!$C:$C,A437,DB_Savings!$F:$F))</f>
        <v/>
      </c>
      <c r="M437" s="340">
        <f>IF(A437="","",SUMIF(DB_Withdrawals!$C:$C,A437,DB_Withdrawals!$G:$G))</f>
        <v/>
      </c>
      <c r="N437" s="340">
        <f>IF(A437="","",I437+L437-M437)</f>
        <v/>
      </c>
      <c r="O437" s="340">
        <f>IF(A437="","",TRUE())</f>
        <v/>
      </c>
      <c r="P437" s="340">
        <f>IF(A437="","",MAX(0,N437-System_Config!$B$9))</f>
        <v/>
      </c>
    </row>
    <row r="438" ht="15" customHeight="1" s="341">
      <c r="L438" s="340">
        <f>IF(A438="","",SUMIF(DB_Savings!$C:$C,A438,DB_Savings!$F:$F))</f>
        <v/>
      </c>
      <c r="M438" s="340">
        <f>IF(A438="","",SUMIF(DB_Withdrawals!$C:$C,A438,DB_Withdrawals!$G:$G))</f>
        <v/>
      </c>
      <c r="N438" s="340">
        <f>IF(A438="","",I438+L438-M438)</f>
        <v/>
      </c>
      <c r="O438" s="340">
        <f>IF(A438="","",TRUE())</f>
        <v/>
      </c>
      <c r="P438" s="340">
        <f>IF(A438="","",MAX(0,N438-System_Config!$B$9))</f>
        <v/>
      </c>
    </row>
    <row r="439" ht="15" customHeight="1" s="341">
      <c r="L439" s="340">
        <f>IF(A439="","",SUMIF(DB_Savings!$C:$C,A439,DB_Savings!$F:$F))</f>
        <v/>
      </c>
      <c r="M439" s="340">
        <f>IF(A439="","",SUMIF(DB_Withdrawals!$C:$C,A439,DB_Withdrawals!$G:$G))</f>
        <v/>
      </c>
      <c r="N439" s="340">
        <f>IF(A439="","",I439+L439-M439)</f>
        <v/>
      </c>
      <c r="O439" s="340">
        <f>IF(A439="","",TRUE())</f>
        <v/>
      </c>
      <c r="P439" s="340">
        <f>IF(A439="","",MAX(0,N439-System_Config!$B$9))</f>
        <v/>
      </c>
    </row>
    <row r="440" ht="15" customHeight="1" s="341">
      <c r="L440" s="340">
        <f>IF(A440="","",SUMIF(DB_Savings!$C:$C,A440,DB_Savings!$F:$F))</f>
        <v/>
      </c>
      <c r="M440" s="340">
        <f>IF(A440="","",SUMIF(DB_Withdrawals!$C:$C,A440,DB_Withdrawals!$G:$G))</f>
        <v/>
      </c>
      <c r="N440" s="340">
        <f>IF(A440="","",I440+L440-M440)</f>
        <v/>
      </c>
      <c r="O440" s="340">
        <f>IF(A440="","",TRUE())</f>
        <v/>
      </c>
      <c r="P440" s="340">
        <f>IF(A440="","",MAX(0,N440-System_Config!$B$9))</f>
        <v/>
      </c>
    </row>
    <row r="441" ht="15" customHeight="1" s="341">
      <c r="L441" s="340">
        <f>IF(A441="","",SUMIF(DB_Savings!$C:$C,A441,DB_Savings!$F:$F))</f>
        <v/>
      </c>
      <c r="M441" s="340">
        <f>IF(A441="","",SUMIF(DB_Withdrawals!$C:$C,A441,DB_Withdrawals!$G:$G))</f>
        <v/>
      </c>
      <c r="N441" s="340">
        <f>IF(A441="","",I441+L441-M441)</f>
        <v/>
      </c>
      <c r="O441" s="340">
        <f>IF(A441="","",TRUE())</f>
        <v/>
      </c>
      <c r="P441" s="340">
        <f>IF(A441="","",MAX(0,N441-System_Config!$B$9))</f>
        <v/>
      </c>
    </row>
    <row r="442" ht="15" customHeight="1" s="341">
      <c r="L442" s="340">
        <f>IF(A442="","",SUMIF(DB_Savings!$C:$C,A442,DB_Savings!$F:$F))</f>
        <v/>
      </c>
      <c r="M442" s="340">
        <f>IF(A442="","",SUMIF(DB_Withdrawals!$C:$C,A442,DB_Withdrawals!$G:$G))</f>
        <v/>
      </c>
      <c r="N442" s="340">
        <f>IF(A442="","",I442+L442-M442)</f>
        <v/>
      </c>
      <c r="O442" s="340">
        <f>IF(A442="","",TRUE())</f>
        <v/>
      </c>
      <c r="P442" s="340">
        <f>IF(A442="","",MAX(0,N442-System_Config!$B$9))</f>
        <v/>
      </c>
    </row>
    <row r="443" ht="15" customHeight="1" s="341">
      <c r="L443" s="340">
        <f>IF(A443="","",SUMIF(DB_Savings!$C:$C,A443,DB_Savings!$F:$F))</f>
        <v/>
      </c>
      <c r="M443" s="340">
        <f>IF(A443="","",SUMIF(DB_Withdrawals!$C:$C,A443,DB_Withdrawals!$G:$G))</f>
        <v/>
      </c>
      <c r="N443" s="340">
        <f>IF(A443="","",I443+L443-M443)</f>
        <v/>
      </c>
      <c r="O443" s="340">
        <f>IF(A443="","",TRUE())</f>
        <v/>
      </c>
      <c r="P443" s="340">
        <f>IF(A443="","",MAX(0,N443-System_Config!$B$9))</f>
        <v/>
      </c>
    </row>
    <row r="444" ht="15" customHeight="1" s="341">
      <c r="L444" s="340">
        <f>IF(A444="","",SUMIF(DB_Savings!$C:$C,A444,DB_Savings!$F:$F))</f>
        <v/>
      </c>
      <c r="M444" s="340">
        <f>IF(A444="","",SUMIF(DB_Withdrawals!$C:$C,A444,DB_Withdrawals!$G:$G))</f>
        <v/>
      </c>
      <c r="N444" s="340">
        <f>IF(A444="","",I444+L444-M444)</f>
        <v/>
      </c>
      <c r="O444" s="340">
        <f>IF(A444="","",TRUE())</f>
        <v/>
      </c>
      <c r="P444" s="340">
        <f>IF(A444="","",MAX(0,N444-System_Config!$B$9))</f>
        <v/>
      </c>
    </row>
    <row r="445" ht="15" customHeight="1" s="341">
      <c r="L445" s="340">
        <f>IF(A445="","",SUMIF(DB_Savings!$C:$C,A445,DB_Savings!$F:$F))</f>
        <v/>
      </c>
      <c r="M445" s="340">
        <f>IF(A445="","",SUMIF(DB_Withdrawals!$C:$C,A445,DB_Withdrawals!$G:$G))</f>
        <v/>
      </c>
      <c r="N445" s="340">
        <f>IF(A445="","",I445+L445-M445)</f>
        <v/>
      </c>
      <c r="O445" s="340">
        <f>IF(A445="","",TRUE())</f>
        <v/>
      </c>
      <c r="P445" s="340">
        <f>IF(A445="","",MAX(0,N445-System_Config!$B$9))</f>
        <v/>
      </c>
    </row>
    <row r="446" ht="15" customHeight="1" s="341">
      <c r="L446" s="340">
        <f>IF(A446="","",SUMIF(DB_Savings!$C:$C,A446,DB_Savings!$F:$F))</f>
        <v/>
      </c>
      <c r="M446" s="340">
        <f>IF(A446="","",SUMIF(DB_Withdrawals!$C:$C,A446,DB_Withdrawals!$G:$G))</f>
        <v/>
      </c>
      <c r="N446" s="340">
        <f>IF(A446="","",I446+L446-M446)</f>
        <v/>
      </c>
      <c r="O446" s="340">
        <f>IF(A446="","",TRUE())</f>
        <v/>
      </c>
      <c r="P446" s="340">
        <f>IF(A446="","",MAX(0,N446-System_Config!$B$9))</f>
        <v/>
      </c>
    </row>
    <row r="447" ht="15" customHeight="1" s="341">
      <c r="L447" s="340">
        <f>IF(A447="","",SUMIF(DB_Savings!$C:$C,A447,DB_Savings!$F:$F))</f>
        <v/>
      </c>
      <c r="M447" s="340">
        <f>IF(A447="","",SUMIF(DB_Withdrawals!$C:$C,A447,DB_Withdrawals!$G:$G))</f>
        <v/>
      </c>
      <c r="N447" s="340">
        <f>IF(A447="","",I447+L447-M447)</f>
        <v/>
      </c>
      <c r="O447" s="340">
        <f>IF(A447="","",TRUE())</f>
        <v/>
      </c>
      <c r="P447" s="340">
        <f>IF(A447="","",MAX(0,N447-System_Config!$B$9))</f>
        <v/>
      </c>
    </row>
    <row r="448" ht="15" customHeight="1" s="341">
      <c r="L448" s="340">
        <f>IF(A448="","",SUMIF(DB_Savings!$C:$C,A448,DB_Savings!$F:$F))</f>
        <v/>
      </c>
      <c r="M448" s="340">
        <f>IF(A448="","",SUMIF(DB_Withdrawals!$C:$C,A448,DB_Withdrawals!$G:$G))</f>
        <v/>
      </c>
      <c r="N448" s="340">
        <f>IF(A448="","",I448+L448-M448)</f>
        <v/>
      </c>
      <c r="O448" s="340">
        <f>IF(A448="","",TRUE())</f>
        <v/>
      </c>
      <c r="P448" s="340">
        <f>IF(A448="","",MAX(0,N448-System_Config!$B$9))</f>
        <v/>
      </c>
    </row>
    <row r="449" ht="15" customHeight="1" s="341">
      <c r="L449" s="340">
        <f>IF(A449="","",SUMIF(DB_Savings!$C:$C,A449,DB_Savings!$F:$F))</f>
        <v/>
      </c>
      <c r="M449" s="340">
        <f>IF(A449="","",SUMIF(DB_Withdrawals!$C:$C,A449,DB_Withdrawals!$G:$G))</f>
        <v/>
      </c>
      <c r="N449" s="340">
        <f>IF(A449="","",I449+L449-M449)</f>
        <v/>
      </c>
      <c r="O449" s="340">
        <f>IF(A449="","",TRUE())</f>
        <v/>
      </c>
      <c r="P449" s="340">
        <f>IF(A449="","",MAX(0,N449-System_Config!$B$9))</f>
        <v/>
      </c>
    </row>
    <row r="450" ht="15" customHeight="1" s="341">
      <c r="L450" s="340">
        <f>IF(A450="","",SUMIF(DB_Savings!$C:$C,A450,DB_Savings!$F:$F))</f>
        <v/>
      </c>
      <c r="M450" s="340">
        <f>IF(A450="","",SUMIF(DB_Withdrawals!$C:$C,A450,DB_Withdrawals!$G:$G))</f>
        <v/>
      </c>
      <c r="N450" s="340">
        <f>IF(A450="","",I450+L450-M450)</f>
        <v/>
      </c>
      <c r="O450" s="340">
        <f>IF(A450="","",TRUE())</f>
        <v/>
      </c>
      <c r="P450" s="340">
        <f>IF(A450="","",MAX(0,N450-System_Config!$B$9))</f>
        <v/>
      </c>
    </row>
    <row r="451" ht="15" customHeight="1" s="341">
      <c r="L451" s="340">
        <f>IF(A451="","",SUMIF(DB_Savings!$C:$C,A451,DB_Savings!$F:$F))</f>
        <v/>
      </c>
      <c r="M451" s="340">
        <f>IF(A451="","",SUMIF(DB_Withdrawals!$C:$C,A451,DB_Withdrawals!$G:$G))</f>
        <v/>
      </c>
      <c r="N451" s="340">
        <f>IF(A451="","",I451+L451-M451)</f>
        <v/>
      </c>
      <c r="O451" s="340">
        <f>IF(A451="","",TRUE())</f>
        <v/>
      </c>
      <c r="P451" s="340">
        <f>IF(A451="","",MAX(0,N451-System_Config!$B$9))</f>
        <v/>
      </c>
    </row>
    <row r="452" ht="15" customHeight="1" s="341">
      <c r="L452" s="340">
        <f>IF(A452="","",SUMIF(DB_Savings!$C:$C,A452,DB_Savings!$F:$F))</f>
        <v/>
      </c>
      <c r="M452" s="340">
        <f>IF(A452="","",SUMIF(DB_Withdrawals!$C:$C,A452,DB_Withdrawals!$G:$G))</f>
        <v/>
      </c>
      <c r="N452" s="340">
        <f>IF(A452="","",I452+L452-M452)</f>
        <v/>
      </c>
      <c r="O452" s="340">
        <f>IF(A452="","",TRUE())</f>
        <v/>
      </c>
      <c r="P452" s="340">
        <f>IF(A452="","",MAX(0,N452-System_Config!$B$9))</f>
        <v/>
      </c>
    </row>
    <row r="453" ht="15" customHeight="1" s="341">
      <c r="L453" s="340">
        <f>IF(A453="","",SUMIF(DB_Savings!$C:$C,A453,DB_Savings!$F:$F))</f>
        <v/>
      </c>
      <c r="M453" s="340">
        <f>IF(A453="","",SUMIF(DB_Withdrawals!$C:$C,A453,DB_Withdrawals!$G:$G))</f>
        <v/>
      </c>
      <c r="N453" s="340">
        <f>IF(A453="","",I453+L453-M453)</f>
        <v/>
      </c>
      <c r="O453" s="340">
        <f>IF(A453="","",TRUE())</f>
        <v/>
      </c>
      <c r="P453" s="340">
        <f>IF(A453="","",MAX(0,N453-System_Config!$B$9))</f>
        <v/>
      </c>
    </row>
    <row r="454" ht="15" customHeight="1" s="341">
      <c r="L454" s="340">
        <f>IF(A454="","",SUMIF(DB_Savings!$C:$C,A454,DB_Savings!$F:$F))</f>
        <v/>
      </c>
      <c r="M454" s="340">
        <f>IF(A454="","",SUMIF(DB_Withdrawals!$C:$C,A454,DB_Withdrawals!$G:$G))</f>
        <v/>
      </c>
      <c r="N454" s="340">
        <f>IF(A454="","",I454+L454-M454)</f>
        <v/>
      </c>
      <c r="O454" s="340">
        <f>IF(A454="","",TRUE())</f>
        <v/>
      </c>
      <c r="P454" s="340">
        <f>IF(A454="","",MAX(0,N454-System_Config!$B$9))</f>
        <v/>
      </c>
    </row>
    <row r="455" ht="15" customHeight="1" s="341">
      <c r="L455" s="340">
        <f>IF(A455="","",SUMIF(DB_Savings!$C:$C,A455,DB_Savings!$F:$F))</f>
        <v/>
      </c>
      <c r="M455" s="340">
        <f>IF(A455="","",SUMIF(DB_Withdrawals!$C:$C,A455,DB_Withdrawals!$G:$G))</f>
        <v/>
      </c>
      <c r="N455" s="340">
        <f>IF(A455="","",I455+L455-M455)</f>
        <v/>
      </c>
      <c r="O455" s="340">
        <f>IF(A455="","",TRUE())</f>
        <v/>
      </c>
      <c r="P455" s="340">
        <f>IF(A455="","",MAX(0,N455-System_Config!$B$9))</f>
        <v/>
      </c>
    </row>
    <row r="456" ht="15" customHeight="1" s="341">
      <c r="L456" s="340">
        <f>IF(A456="","",SUMIF(DB_Savings!$C:$C,A456,DB_Savings!$F:$F))</f>
        <v/>
      </c>
      <c r="M456" s="340">
        <f>IF(A456="","",SUMIF(DB_Withdrawals!$C:$C,A456,DB_Withdrawals!$G:$G))</f>
        <v/>
      </c>
      <c r="N456" s="340">
        <f>IF(A456="","",I456+L456-M456)</f>
        <v/>
      </c>
      <c r="O456" s="340">
        <f>IF(A456="","",TRUE())</f>
        <v/>
      </c>
      <c r="P456" s="340">
        <f>IF(A456="","",MAX(0,N456-System_Config!$B$9))</f>
        <v/>
      </c>
    </row>
    <row r="457" ht="15" customHeight="1" s="341">
      <c r="L457" s="340">
        <f>IF(A457="","",SUMIF(DB_Savings!$C:$C,A457,DB_Savings!$F:$F))</f>
        <v/>
      </c>
      <c r="M457" s="340">
        <f>IF(A457="","",SUMIF(DB_Withdrawals!$C:$C,A457,DB_Withdrawals!$G:$G))</f>
        <v/>
      </c>
      <c r="N457" s="340">
        <f>IF(A457="","",I457+L457-M457)</f>
        <v/>
      </c>
      <c r="O457" s="340">
        <f>IF(A457="","",TRUE())</f>
        <v/>
      </c>
      <c r="P457" s="340">
        <f>IF(A457="","",MAX(0,N457-System_Config!$B$9))</f>
        <v/>
      </c>
    </row>
    <row r="458" ht="15" customHeight="1" s="341">
      <c r="L458" s="340">
        <f>IF(A458="","",SUMIF(DB_Savings!$C:$C,A458,DB_Savings!$F:$F))</f>
        <v/>
      </c>
      <c r="M458" s="340">
        <f>IF(A458="","",SUMIF(DB_Withdrawals!$C:$C,A458,DB_Withdrawals!$G:$G))</f>
        <v/>
      </c>
      <c r="N458" s="340">
        <f>IF(A458="","",I458+L458-M458)</f>
        <v/>
      </c>
      <c r="O458" s="340">
        <f>IF(A458="","",TRUE())</f>
        <v/>
      </c>
      <c r="P458" s="340">
        <f>IF(A458="","",MAX(0,N458-System_Config!$B$9))</f>
        <v/>
      </c>
    </row>
    <row r="459" ht="15" customHeight="1" s="341">
      <c r="L459" s="340">
        <f>IF(A459="","",SUMIF(DB_Savings!$C:$C,A459,DB_Savings!$F:$F))</f>
        <v/>
      </c>
      <c r="M459" s="340">
        <f>IF(A459="","",SUMIF(DB_Withdrawals!$C:$C,A459,DB_Withdrawals!$G:$G))</f>
        <v/>
      </c>
      <c r="N459" s="340">
        <f>IF(A459="","",I459+L459-M459)</f>
        <v/>
      </c>
      <c r="O459" s="340">
        <f>IF(A459="","",TRUE())</f>
        <v/>
      </c>
      <c r="P459" s="340">
        <f>IF(A459="","",MAX(0,N459-System_Config!$B$9))</f>
        <v/>
      </c>
    </row>
    <row r="460" ht="15" customHeight="1" s="341">
      <c r="L460" s="340">
        <f>IF(A460="","",SUMIF(DB_Savings!$C:$C,A460,DB_Savings!$F:$F))</f>
        <v/>
      </c>
      <c r="M460" s="340">
        <f>IF(A460="","",SUMIF(DB_Withdrawals!$C:$C,A460,DB_Withdrawals!$G:$G))</f>
        <v/>
      </c>
      <c r="N460" s="340">
        <f>IF(A460="","",I460+L460-M460)</f>
        <v/>
      </c>
      <c r="O460" s="340">
        <f>IF(A460="","",TRUE())</f>
        <v/>
      </c>
      <c r="P460" s="340">
        <f>IF(A460="","",MAX(0,N460-System_Config!$B$9))</f>
        <v/>
      </c>
    </row>
    <row r="461" ht="15" customHeight="1" s="341">
      <c r="L461" s="340">
        <f>IF(A461="","",SUMIF(DB_Savings!$C:$C,A461,DB_Savings!$F:$F))</f>
        <v/>
      </c>
      <c r="M461" s="340">
        <f>IF(A461="","",SUMIF(DB_Withdrawals!$C:$C,A461,DB_Withdrawals!$G:$G))</f>
        <v/>
      </c>
      <c r="N461" s="340">
        <f>IF(A461="","",I461+L461-M461)</f>
        <v/>
      </c>
      <c r="O461" s="340">
        <f>IF(A461="","",TRUE())</f>
        <v/>
      </c>
      <c r="P461" s="340">
        <f>IF(A461="","",MAX(0,N461-System_Config!$B$9))</f>
        <v/>
      </c>
    </row>
    <row r="462" ht="15" customHeight="1" s="341">
      <c r="L462" s="340">
        <f>IF(A462="","",SUMIF(DB_Savings!$C:$C,A462,DB_Savings!$F:$F))</f>
        <v/>
      </c>
      <c r="M462" s="340">
        <f>IF(A462="","",SUMIF(DB_Withdrawals!$C:$C,A462,DB_Withdrawals!$G:$G))</f>
        <v/>
      </c>
      <c r="N462" s="340">
        <f>IF(A462="","",I462+L462-M462)</f>
        <v/>
      </c>
      <c r="O462" s="340">
        <f>IF(A462="","",TRUE())</f>
        <v/>
      </c>
      <c r="P462" s="340">
        <f>IF(A462="","",MAX(0,N462-System_Config!$B$9))</f>
        <v/>
      </c>
    </row>
    <row r="463" ht="15" customHeight="1" s="341">
      <c r="L463" s="340">
        <f>IF(A463="","",SUMIF(DB_Savings!$C:$C,A463,DB_Savings!$F:$F))</f>
        <v/>
      </c>
      <c r="M463" s="340">
        <f>IF(A463="","",SUMIF(DB_Withdrawals!$C:$C,A463,DB_Withdrawals!$G:$G))</f>
        <v/>
      </c>
      <c r="N463" s="340">
        <f>IF(A463="","",I463+L463-M463)</f>
        <v/>
      </c>
      <c r="O463" s="340">
        <f>IF(A463="","",TRUE())</f>
        <v/>
      </c>
      <c r="P463" s="340">
        <f>IF(A463="","",MAX(0,N463-System_Config!$B$9))</f>
        <v/>
      </c>
    </row>
    <row r="464" ht="15" customHeight="1" s="341">
      <c r="L464" s="340">
        <f>IF(A464="","",SUMIF(DB_Savings!$C:$C,A464,DB_Savings!$F:$F))</f>
        <v/>
      </c>
      <c r="M464" s="340">
        <f>IF(A464="","",SUMIF(DB_Withdrawals!$C:$C,A464,DB_Withdrawals!$G:$G))</f>
        <v/>
      </c>
      <c r="N464" s="340">
        <f>IF(A464="","",I464+L464-M464)</f>
        <v/>
      </c>
      <c r="O464" s="340">
        <f>IF(A464="","",TRUE())</f>
        <v/>
      </c>
      <c r="P464" s="340">
        <f>IF(A464="","",MAX(0,N464-System_Config!$B$9))</f>
        <v/>
      </c>
    </row>
    <row r="465" ht="15" customHeight="1" s="341">
      <c r="L465" s="340">
        <f>IF(A465="","",SUMIF(DB_Savings!$C:$C,A465,DB_Savings!$F:$F))</f>
        <v/>
      </c>
      <c r="M465" s="340">
        <f>IF(A465="","",SUMIF(DB_Withdrawals!$C:$C,A465,DB_Withdrawals!$G:$G))</f>
        <v/>
      </c>
      <c r="N465" s="340">
        <f>IF(A465="","",I465+L465-M465)</f>
        <v/>
      </c>
      <c r="O465" s="340">
        <f>IF(A465="","",TRUE())</f>
        <v/>
      </c>
      <c r="P465" s="340">
        <f>IF(A465="","",MAX(0,N465-System_Config!$B$9))</f>
        <v/>
      </c>
    </row>
    <row r="466" ht="15" customHeight="1" s="341">
      <c r="L466" s="340">
        <f>IF(A466="","",SUMIF(DB_Savings!$C:$C,A466,DB_Savings!$F:$F))</f>
        <v/>
      </c>
      <c r="M466" s="340">
        <f>IF(A466="","",SUMIF(DB_Withdrawals!$C:$C,A466,DB_Withdrawals!$G:$G))</f>
        <v/>
      </c>
      <c r="N466" s="340">
        <f>IF(A466="","",I466+L466-M466)</f>
        <v/>
      </c>
      <c r="O466" s="340">
        <f>IF(A466="","",TRUE())</f>
        <v/>
      </c>
      <c r="P466" s="340">
        <f>IF(A466="","",MAX(0,N466-System_Config!$B$9))</f>
        <v/>
      </c>
    </row>
    <row r="467" ht="15" customHeight="1" s="341">
      <c r="L467" s="340">
        <f>IF(A467="","",SUMIF(DB_Savings!$C:$C,A467,DB_Savings!$F:$F))</f>
        <v/>
      </c>
      <c r="M467" s="340">
        <f>IF(A467="","",SUMIF(DB_Withdrawals!$C:$C,A467,DB_Withdrawals!$G:$G))</f>
        <v/>
      </c>
      <c r="N467" s="340">
        <f>IF(A467="","",I467+L467-M467)</f>
        <v/>
      </c>
      <c r="O467" s="340">
        <f>IF(A467="","",TRUE())</f>
        <v/>
      </c>
      <c r="P467" s="340">
        <f>IF(A467="","",MAX(0,N467-System_Config!$B$9))</f>
        <v/>
      </c>
    </row>
    <row r="468" ht="15" customHeight="1" s="341">
      <c r="L468" s="340">
        <f>IF(A468="","",SUMIF(DB_Savings!$C:$C,A468,DB_Savings!$F:$F))</f>
        <v/>
      </c>
      <c r="M468" s="340">
        <f>IF(A468="","",SUMIF(DB_Withdrawals!$C:$C,A468,DB_Withdrawals!$G:$G))</f>
        <v/>
      </c>
      <c r="N468" s="340">
        <f>IF(A468="","",I468+L468-M468)</f>
        <v/>
      </c>
      <c r="O468" s="340">
        <f>IF(A468="","",TRUE())</f>
        <v/>
      </c>
      <c r="P468" s="340">
        <f>IF(A468="","",MAX(0,N468-System_Config!$B$9))</f>
        <v/>
      </c>
    </row>
    <row r="469" ht="15" customHeight="1" s="341">
      <c r="L469" s="340">
        <f>IF(A469="","",SUMIF(DB_Savings!$C:$C,A469,DB_Savings!$F:$F))</f>
        <v/>
      </c>
      <c r="M469" s="340">
        <f>IF(A469="","",SUMIF(DB_Withdrawals!$C:$C,A469,DB_Withdrawals!$G:$G))</f>
        <v/>
      </c>
      <c r="N469" s="340">
        <f>IF(A469="","",I469+L469-M469)</f>
        <v/>
      </c>
      <c r="O469" s="340">
        <f>IF(A469="","",TRUE())</f>
        <v/>
      </c>
      <c r="P469" s="340">
        <f>IF(A469="","",MAX(0,N469-System_Config!$B$9))</f>
        <v/>
      </c>
    </row>
    <row r="470" ht="15" customHeight="1" s="341">
      <c r="L470" s="340">
        <f>IF(A470="","",SUMIF(DB_Savings!$C:$C,A470,DB_Savings!$F:$F))</f>
        <v/>
      </c>
      <c r="M470" s="340">
        <f>IF(A470="","",SUMIF(DB_Withdrawals!$C:$C,A470,DB_Withdrawals!$G:$G))</f>
        <v/>
      </c>
      <c r="N470" s="340">
        <f>IF(A470="","",I470+L470-M470)</f>
        <v/>
      </c>
      <c r="O470" s="340">
        <f>IF(A470="","",TRUE())</f>
        <v/>
      </c>
      <c r="P470" s="340">
        <f>IF(A470="","",MAX(0,N470-System_Config!$B$9))</f>
        <v/>
      </c>
    </row>
    <row r="471" ht="15" customHeight="1" s="341">
      <c r="L471" s="340">
        <f>IF(A471="","",SUMIF(DB_Savings!$C:$C,A471,DB_Savings!$F:$F))</f>
        <v/>
      </c>
      <c r="M471" s="340">
        <f>IF(A471="","",SUMIF(DB_Withdrawals!$C:$C,A471,DB_Withdrawals!$G:$G))</f>
        <v/>
      </c>
      <c r="N471" s="340">
        <f>IF(A471="","",I471+L471-M471)</f>
        <v/>
      </c>
      <c r="O471" s="340">
        <f>IF(A471="","",TRUE())</f>
        <v/>
      </c>
      <c r="P471" s="340">
        <f>IF(A471="","",MAX(0,N471-System_Config!$B$9))</f>
        <v/>
      </c>
    </row>
    <row r="472" ht="15" customHeight="1" s="341">
      <c r="L472" s="340">
        <f>IF(A472="","",SUMIF(DB_Savings!$C:$C,A472,DB_Savings!$F:$F))</f>
        <v/>
      </c>
      <c r="M472" s="340">
        <f>IF(A472="","",SUMIF(DB_Withdrawals!$C:$C,A472,DB_Withdrawals!$G:$G))</f>
        <v/>
      </c>
      <c r="N472" s="340">
        <f>IF(A472="","",I472+L472-M472)</f>
        <v/>
      </c>
      <c r="O472" s="340">
        <f>IF(A472="","",TRUE())</f>
        <v/>
      </c>
      <c r="P472" s="340">
        <f>IF(A472="","",MAX(0,N472-System_Config!$B$9))</f>
        <v/>
      </c>
    </row>
    <row r="473" ht="15" customHeight="1" s="341">
      <c r="L473" s="340">
        <f>IF(A473="","",SUMIF(DB_Savings!$C:$C,A473,DB_Savings!$F:$F))</f>
        <v/>
      </c>
      <c r="M473" s="340">
        <f>IF(A473="","",SUMIF(DB_Withdrawals!$C:$C,A473,DB_Withdrawals!$G:$G))</f>
        <v/>
      </c>
      <c r="N473" s="340">
        <f>IF(A473="","",I473+L473-M473)</f>
        <v/>
      </c>
      <c r="O473" s="340">
        <f>IF(A473="","",TRUE())</f>
        <v/>
      </c>
      <c r="P473" s="340">
        <f>IF(A473="","",MAX(0,N473-System_Config!$B$9))</f>
        <v/>
      </c>
    </row>
    <row r="474" ht="15" customHeight="1" s="341">
      <c r="L474" s="340">
        <f>IF(A474="","",SUMIF(DB_Savings!$C:$C,A474,DB_Savings!$F:$F))</f>
        <v/>
      </c>
      <c r="M474" s="340">
        <f>IF(A474="","",SUMIF(DB_Withdrawals!$C:$C,A474,DB_Withdrawals!$G:$G))</f>
        <v/>
      </c>
      <c r="N474" s="340">
        <f>IF(A474="","",I474+L474-M474)</f>
        <v/>
      </c>
      <c r="O474" s="340">
        <f>IF(A474="","",TRUE())</f>
        <v/>
      </c>
      <c r="P474" s="340">
        <f>IF(A474="","",MAX(0,N474-System_Config!$B$9))</f>
        <v/>
      </c>
    </row>
    <row r="475" ht="15" customHeight="1" s="341">
      <c r="L475" s="340">
        <f>IF(A475="","",SUMIF(DB_Savings!$C:$C,A475,DB_Savings!$F:$F))</f>
        <v/>
      </c>
      <c r="M475" s="340">
        <f>IF(A475="","",SUMIF(DB_Withdrawals!$C:$C,A475,DB_Withdrawals!$G:$G))</f>
        <v/>
      </c>
      <c r="N475" s="340">
        <f>IF(A475="","",I475+L475-M475)</f>
        <v/>
      </c>
      <c r="O475" s="340">
        <f>IF(A475="","",TRUE())</f>
        <v/>
      </c>
      <c r="P475" s="340">
        <f>IF(A475="","",MAX(0,N475-System_Config!$B$9))</f>
        <v/>
      </c>
    </row>
    <row r="476" ht="15" customHeight="1" s="341">
      <c r="L476" s="340">
        <f>IF(A476="","",SUMIF(DB_Savings!$C:$C,A476,DB_Savings!$F:$F))</f>
        <v/>
      </c>
      <c r="M476" s="340">
        <f>IF(A476="","",SUMIF(DB_Withdrawals!$C:$C,A476,DB_Withdrawals!$G:$G))</f>
        <v/>
      </c>
      <c r="N476" s="340">
        <f>IF(A476="","",I476+L476-M476)</f>
        <v/>
      </c>
      <c r="O476" s="340">
        <f>IF(A476="","",TRUE())</f>
        <v/>
      </c>
      <c r="P476" s="340">
        <f>IF(A476="","",MAX(0,N476-System_Config!$B$9))</f>
        <v/>
      </c>
    </row>
    <row r="477" ht="15" customHeight="1" s="341">
      <c r="L477" s="340">
        <f>IF(A477="","",SUMIF(DB_Savings!$C:$C,A477,DB_Savings!$F:$F))</f>
        <v/>
      </c>
      <c r="M477" s="340">
        <f>IF(A477="","",SUMIF(DB_Withdrawals!$C:$C,A477,DB_Withdrawals!$G:$G))</f>
        <v/>
      </c>
      <c r="N477" s="340">
        <f>IF(A477="","",I477+L477-M477)</f>
        <v/>
      </c>
      <c r="O477" s="340">
        <f>IF(A477="","",TRUE())</f>
        <v/>
      </c>
      <c r="P477" s="340">
        <f>IF(A477="","",MAX(0,N477-System_Config!$B$9))</f>
        <v/>
      </c>
    </row>
    <row r="478" ht="15" customHeight="1" s="341">
      <c r="L478" s="340">
        <f>IF(A478="","",SUMIF(DB_Savings!$C:$C,A478,DB_Savings!$F:$F))</f>
        <v/>
      </c>
      <c r="M478" s="340">
        <f>IF(A478="","",SUMIF(DB_Withdrawals!$C:$C,A478,DB_Withdrawals!$G:$G))</f>
        <v/>
      </c>
      <c r="N478" s="340">
        <f>IF(A478="","",I478+L478-M478)</f>
        <v/>
      </c>
      <c r="O478" s="340">
        <f>IF(A478="","",TRUE())</f>
        <v/>
      </c>
      <c r="P478" s="340">
        <f>IF(A478="","",MAX(0,N478-System_Config!$B$9))</f>
        <v/>
      </c>
    </row>
    <row r="479" ht="15" customHeight="1" s="341">
      <c r="L479" s="340">
        <f>IF(A479="","",SUMIF(DB_Savings!$C:$C,A479,DB_Savings!$F:$F))</f>
        <v/>
      </c>
      <c r="M479" s="340">
        <f>IF(A479="","",SUMIF(DB_Withdrawals!$C:$C,A479,DB_Withdrawals!$G:$G))</f>
        <v/>
      </c>
      <c r="N479" s="340">
        <f>IF(A479="","",I479+L479-M479)</f>
        <v/>
      </c>
      <c r="O479" s="340">
        <f>IF(A479="","",TRUE())</f>
        <v/>
      </c>
      <c r="P479" s="340">
        <f>IF(A479="","",MAX(0,N479-System_Config!$B$9))</f>
        <v/>
      </c>
    </row>
    <row r="480" ht="15" customHeight="1" s="341">
      <c r="L480" s="340">
        <f>IF(A480="","",SUMIF(DB_Savings!$C:$C,A480,DB_Savings!$F:$F))</f>
        <v/>
      </c>
      <c r="M480" s="340">
        <f>IF(A480="","",SUMIF(DB_Withdrawals!$C:$C,A480,DB_Withdrawals!$G:$G))</f>
        <v/>
      </c>
      <c r="N480" s="340">
        <f>IF(A480="","",I480+L480-M480)</f>
        <v/>
      </c>
      <c r="O480" s="340">
        <f>IF(A480="","",TRUE())</f>
        <v/>
      </c>
      <c r="P480" s="340">
        <f>IF(A480="","",MAX(0,N480-System_Config!$B$9))</f>
        <v/>
      </c>
    </row>
    <row r="481" ht="15" customHeight="1" s="341">
      <c r="L481" s="340">
        <f>IF(A481="","",SUMIF(DB_Savings!$C:$C,A481,DB_Savings!$F:$F))</f>
        <v/>
      </c>
      <c r="M481" s="340">
        <f>IF(A481="","",SUMIF(DB_Withdrawals!$C:$C,A481,DB_Withdrawals!$G:$G))</f>
        <v/>
      </c>
      <c r="N481" s="340">
        <f>IF(A481="","",I481+L481-M481)</f>
        <v/>
      </c>
      <c r="O481" s="340">
        <f>IF(A481="","",TRUE())</f>
        <v/>
      </c>
      <c r="P481" s="340">
        <f>IF(A481="","",MAX(0,N481-System_Config!$B$9))</f>
        <v/>
      </c>
    </row>
    <row r="482" ht="15" customHeight="1" s="341">
      <c r="L482" s="340">
        <f>IF(A482="","",SUMIF(DB_Savings!$C:$C,A482,DB_Savings!$F:$F))</f>
        <v/>
      </c>
      <c r="M482" s="340">
        <f>IF(A482="","",SUMIF(DB_Withdrawals!$C:$C,A482,DB_Withdrawals!$G:$G))</f>
        <v/>
      </c>
      <c r="N482" s="340">
        <f>IF(A482="","",I482+L482-M482)</f>
        <v/>
      </c>
      <c r="O482" s="340">
        <f>IF(A482="","",TRUE())</f>
        <v/>
      </c>
      <c r="P482" s="340">
        <f>IF(A482="","",MAX(0,N482-System_Config!$B$9))</f>
        <v/>
      </c>
    </row>
    <row r="483" ht="15" customHeight="1" s="341">
      <c r="L483" s="340">
        <f>IF(A483="","",SUMIF(DB_Savings!$C:$C,A483,DB_Savings!$F:$F))</f>
        <v/>
      </c>
      <c r="M483" s="340">
        <f>IF(A483="","",SUMIF(DB_Withdrawals!$C:$C,A483,DB_Withdrawals!$G:$G))</f>
        <v/>
      </c>
      <c r="N483" s="340">
        <f>IF(A483="","",I483+L483-M483)</f>
        <v/>
      </c>
      <c r="O483" s="340">
        <f>IF(A483="","",TRUE())</f>
        <v/>
      </c>
      <c r="P483" s="340">
        <f>IF(A483="","",MAX(0,N483-System_Config!$B$9))</f>
        <v/>
      </c>
    </row>
    <row r="484" ht="15" customHeight="1" s="341">
      <c r="L484" s="340">
        <f>IF(A484="","",SUMIF(DB_Savings!$C:$C,A484,DB_Savings!$F:$F))</f>
        <v/>
      </c>
      <c r="M484" s="340">
        <f>IF(A484="","",SUMIF(DB_Withdrawals!$C:$C,A484,DB_Withdrawals!$G:$G))</f>
        <v/>
      </c>
      <c r="N484" s="340">
        <f>IF(A484="","",I484+L484-M484)</f>
        <v/>
      </c>
      <c r="O484" s="340">
        <f>IF(A484="","",TRUE())</f>
        <v/>
      </c>
      <c r="P484" s="340">
        <f>IF(A484="","",MAX(0,N484-System_Config!$B$9))</f>
        <v/>
      </c>
    </row>
    <row r="485" ht="15" customHeight="1" s="341">
      <c r="L485" s="340">
        <f>IF(A485="","",SUMIF(DB_Savings!$C:$C,A485,DB_Savings!$F:$F))</f>
        <v/>
      </c>
      <c r="M485" s="340">
        <f>IF(A485="","",SUMIF(DB_Withdrawals!$C:$C,A485,DB_Withdrawals!$G:$G))</f>
        <v/>
      </c>
      <c r="N485" s="340">
        <f>IF(A485="","",I485+L485-M485)</f>
        <v/>
      </c>
      <c r="O485" s="340">
        <f>IF(A485="","",TRUE())</f>
        <v/>
      </c>
      <c r="P485" s="340">
        <f>IF(A485="","",MAX(0,N485-System_Config!$B$9))</f>
        <v/>
      </c>
    </row>
    <row r="486" ht="15" customHeight="1" s="341">
      <c r="L486" s="340">
        <f>IF(A486="","",SUMIF(DB_Savings!$C:$C,A486,DB_Savings!$F:$F))</f>
        <v/>
      </c>
      <c r="M486" s="340">
        <f>IF(A486="","",SUMIF(DB_Withdrawals!$C:$C,A486,DB_Withdrawals!$G:$G))</f>
        <v/>
      </c>
      <c r="N486" s="340">
        <f>IF(A486="","",I486+L486-M486)</f>
        <v/>
      </c>
      <c r="O486" s="340">
        <f>IF(A486="","",TRUE())</f>
        <v/>
      </c>
      <c r="P486" s="340">
        <f>IF(A486="","",MAX(0,N486-System_Config!$B$9))</f>
        <v/>
      </c>
    </row>
    <row r="487" ht="15" customHeight="1" s="341">
      <c r="L487" s="340">
        <f>IF(A487="","",SUMIF(DB_Savings!$C:$C,A487,DB_Savings!$F:$F))</f>
        <v/>
      </c>
      <c r="M487" s="340">
        <f>IF(A487="","",SUMIF(DB_Withdrawals!$C:$C,A487,DB_Withdrawals!$G:$G))</f>
        <v/>
      </c>
      <c r="N487" s="340">
        <f>IF(A487="","",I487+L487-M487)</f>
        <v/>
      </c>
      <c r="O487" s="340">
        <f>IF(A487="","",TRUE())</f>
        <v/>
      </c>
      <c r="P487" s="340">
        <f>IF(A487="","",MAX(0,N487-System_Config!$B$9))</f>
        <v/>
      </c>
    </row>
    <row r="488" ht="15" customHeight="1" s="341">
      <c r="L488" s="340">
        <f>IF(A488="","",SUMIF(DB_Savings!$C:$C,A488,DB_Savings!$F:$F))</f>
        <v/>
      </c>
      <c r="M488" s="340">
        <f>IF(A488="","",SUMIF(DB_Withdrawals!$C:$C,A488,DB_Withdrawals!$G:$G))</f>
        <v/>
      </c>
      <c r="N488" s="340">
        <f>IF(A488="","",I488+L488-M488)</f>
        <v/>
      </c>
      <c r="O488" s="340">
        <f>IF(A488="","",TRUE())</f>
        <v/>
      </c>
      <c r="P488" s="340">
        <f>IF(A488="","",MAX(0,N488-System_Config!$B$9))</f>
        <v/>
      </c>
    </row>
    <row r="489" ht="15" customHeight="1" s="341">
      <c r="L489" s="340">
        <f>IF(A489="","",SUMIF(DB_Savings!$C:$C,A489,DB_Savings!$F:$F))</f>
        <v/>
      </c>
      <c r="M489" s="340">
        <f>IF(A489="","",SUMIF(DB_Withdrawals!$C:$C,A489,DB_Withdrawals!$G:$G))</f>
        <v/>
      </c>
      <c r="N489" s="340">
        <f>IF(A489="","",I489+L489-M489)</f>
        <v/>
      </c>
      <c r="O489" s="340">
        <f>IF(A489="","",TRUE())</f>
        <v/>
      </c>
      <c r="P489" s="340">
        <f>IF(A489="","",MAX(0,N489-System_Config!$B$9))</f>
        <v/>
      </c>
    </row>
    <row r="490" ht="15" customHeight="1" s="341">
      <c r="L490" s="340">
        <f>IF(A490="","",SUMIF(DB_Savings!$C:$C,A490,DB_Savings!$F:$F))</f>
        <v/>
      </c>
      <c r="M490" s="340">
        <f>IF(A490="","",SUMIF(DB_Withdrawals!$C:$C,A490,DB_Withdrawals!$G:$G))</f>
        <v/>
      </c>
      <c r="N490" s="340">
        <f>IF(A490="","",I490+L490-M490)</f>
        <v/>
      </c>
      <c r="O490" s="340">
        <f>IF(A490="","",TRUE())</f>
        <v/>
      </c>
      <c r="P490" s="340">
        <f>IF(A490="","",MAX(0,N490-System_Config!$B$9))</f>
        <v/>
      </c>
    </row>
    <row r="491" ht="15" customHeight="1" s="341">
      <c r="L491" s="340">
        <f>IF(A491="","",SUMIF(DB_Savings!$C:$C,A491,DB_Savings!$F:$F))</f>
        <v/>
      </c>
      <c r="M491" s="340">
        <f>IF(A491="","",SUMIF(DB_Withdrawals!$C:$C,A491,DB_Withdrawals!$G:$G))</f>
        <v/>
      </c>
      <c r="N491" s="340">
        <f>IF(A491="","",I491+L491-M491)</f>
        <v/>
      </c>
      <c r="O491" s="340">
        <f>IF(A491="","",TRUE())</f>
        <v/>
      </c>
      <c r="P491" s="340">
        <f>IF(A491="","",MAX(0,N491-System_Config!$B$9))</f>
        <v/>
      </c>
    </row>
    <row r="492" ht="15" customHeight="1" s="341">
      <c r="L492" s="340">
        <f>IF(A492="","",SUMIF(DB_Savings!$C:$C,A492,DB_Savings!$F:$F))</f>
        <v/>
      </c>
      <c r="M492" s="340">
        <f>IF(A492="","",SUMIF(DB_Withdrawals!$C:$C,A492,DB_Withdrawals!$G:$G))</f>
        <v/>
      </c>
      <c r="N492" s="340">
        <f>IF(A492="","",I492+L492-M492)</f>
        <v/>
      </c>
      <c r="O492" s="340">
        <f>IF(A492="","",TRUE())</f>
        <v/>
      </c>
      <c r="P492" s="340">
        <f>IF(A492="","",MAX(0,N492-System_Config!$B$9))</f>
        <v/>
      </c>
    </row>
    <row r="493" ht="15" customHeight="1" s="341">
      <c r="L493" s="340">
        <f>IF(A493="","",SUMIF(DB_Savings!$C:$C,A493,DB_Savings!$F:$F))</f>
        <v/>
      </c>
      <c r="M493" s="340">
        <f>IF(A493="","",SUMIF(DB_Withdrawals!$C:$C,A493,DB_Withdrawals!$G:$G))</f>
        <v/>
      </c>
      <c r="N493" s="340">
        <f>IF(A493="","",I493+L493-M493)</f>
        <v/>
      </c>
      <c r="O493" s="340">
        <f>IF(A493="","",TRUE())</f>
        <v/>
      </c>
      <c r="P493" s="340">
        <f>IF(A493="","",MAX(0,N493-System_Config!$B$9))</f>
        <v/>
      </c>
    </row>
    <row r="494" ht="15" customHeight="1" s="341">
      <c r="L494" s="340">
        <f>IF(A494="","",SUMIF(DB_Savings!$C:$C,A494,DB_Savings!$F:$F))</f>
        <v/>
      </c>
      <c r="M494" s="340">
        <f>IF(A494="","",SUMIF(DB_Withdrawals!$C:$C,A494,DB_Withdrawals!$G:$G))</f>
        <v/>
      </c>
      <c r="N494" s="340">
        <f>IF(A494="","",I494+L494-M494)</f>
        <v/>
      </c>
      <c r="O494" s="340">
        <f>IF(A494="","",TRUE())</f>
        <v/>
      </c>
      <c r="P494" s="340">
        <f>IF(A494="","",MAX(0,N494-System_Config!$B$9))</f>
        <v/>
      </c>
    </row>
    <row r="495" ht="15" customHeight="1" s="341">
      <c r="L495" s="340">
        <f>IF(A495="","",SUMIF(DB_Savings!$C:$C,A495,DB_Savings!$F:$F))</f>
        <v/>
      </c>
      <c r="M495" s="340">
        <f>IF(A495="","",SUMIF(DB_Withdrawals!$C:$C,A495,DB_Withdrawals!$G:$G))</f>
        <v/>
      </c>
      <c r="N495" s="340">
        <f>IF(A495="","",I495+L495-M495)</f>
        <v/>
      </c>
      <c r="O495" s="340">
        <f>IF(A495="","",TRUE())</f>
        <v/>
      </c>
      <c r="P495" s="340">
        <f>IF(A495="","",MAX(0,N495-System_Config!$B$9))</f>
        <v/>
      </c>
    </row>
    <row r="496" ht="15" customHeight="1" s="341">
      <c r="L496" s="340">
        <f>IF(A496="","",SUMIF(DB_Savings!$C:$C,A496,DB_Savings!$F:$F))</f>
        <v/>
      </c>
      <c r="M496" s="340">
        <f>IF(A496="","",SUMIF(DB_Withdrawals!$C:$C,A496,DB_Withdrawals!$G:$G))</f>
        <v/>
      </c>
      <c r="N496" s="340">
        <f>IF(A496="","",I496+L496-M496)</f>
        <v/>
      </c>
      <c r="O496" s="340">
        <f>IF(A496="","",TRUE())</f>
        <v/>
      </c>
      <c r="P496" s="340">
        <f>IF(A496="","",MAX(0,N496-System_Config!$B$9))</f>
        <v/>
      </c>
    </row>
    <row r="497" ht="15" customHeight="1" s="341">
      <c r="L497" s="340">
        <f>IF(A497="","",SUMIF(DB_Savings!$C:$C,A497,DB_Savings!$F:$F))</f>
        <v/>
      </c>
      <c r="M497" s="340">
        <f>IF(A497="","",SUMIF(DB_Withdrawals!$C:$C,A497,DB_Withdrawals!$G:$G))</f>
        <v/>
      </c>
      <c r="N497" s="340">
        <f>IF(A497="","",I497+L497-M497)</f>
        <v/>
      </c>
      <c r="O497" s="340">
        <f>IF(A497="","",TRUE())</f>
        <v/>
      </c>
      <c r="P497" s="340">
        <f>IF(A497="","",MAX(0,N497-System_Config!$B$9))</f>
        <v/>
      </c>
    </row>
    <row r="498" ht="15" customHeight="1" s="341">
      <c r="L498" s="340">
        <f>IF(A498="","",SUMIF(DB_Savings!$C:$C,A498,DB_Savings!$F:$F))</f>
        <v/>
      </c>
      <c r="M498" s="340">
        <f>IF(A498="","",SUMIF(DB_Withdrawals!$C:$C,A498,DB_Withdrawals!$G:$G))</f>
        <v/>
      </c>
      <c r="N498" s="340">
        <f>IF(A498="","",I498+L498-M498)</f>
        <v/>
      </c>
      <c r="O498" s="340">
        <f>IF(A498="","",TRUE())</f>
        <v/>
      </c>
      <c r="P498" s="340">
        <f>IF(A498="","",MAX(0,N498-System_Config!$B$9))</f>
        <v/>
      </c>
    </row>
    <row r="499" ht="15" customHeight="1" s="341">
      <c r="L499" s="340">
        <f>IF(A499="","",SUMIF(DB_Savings!$C:$C,A499,DB_Savings!$F:$F))</f>
        <v/>
      </c>
      <c r="M499" s="340">
        <f>IF(A499="","",SUMIF(DB_Withdrawals!$C:$C,A499,DB_Withdrawals!$G:$G))</f>
        <v/>
      </c>
      <c r="N499" s="340">
        <f>IF(A499="","",I499+L499-M499)</f>
        <v/>
      </c>
      <c r="O499" s="340">
        <f>IF(A499="","",TRUE())</f>
        <v/>
      </c>
      <c r="P499" s="340">
        <f>IF(A499="","",MAX(0,N499-System_Config!$B$9))</f>
        <v/>
      </c>
    </row>
    <row r="500" ht="15" customHeight="1" s="341">
      <c r="L500" s="340">
        <f>IF(A500="","",SUMIF(DB_Savings!$C:$C,A500,DB_Savings!$F:$F))</f>
        <v/>
      </c>
      <c r="M500" s="340">
        <f>IF(A500="","",SUMIF(DB_Withdrawals!$C:$C,A500,DB_Withdrawals!$G:$G))</f>
        <v/>
      </c>
      <c r="N500" s="340">
        <f>IF(A500="","",I500+L500-M500)</f>
        <v/>
      </c>
      <c r="O500" s="340">
        <f>IF(A500="","",TRUE())</f>
        <v/>
      </c>
      <c r="P500" s="340">
        <f>IF(A500="","",MAX(0,N500-System_Config!$B$9))</f>
        <v/>
      </c>
    </row>
    <row r="501" ht="15" customHeight="1" s="341">
      <c r="L501" s="340">
        <f>IF(A501="","",SUMIF(DB_Savings!$C:$C,A501,DB_Savings!$F:$F))</f>
        <v/>
      </c>
      <c r="M501" s="340">
        <f>IF(A501="","",SUMIF(DB_Withdrawals!$C:$C,A501,DB_Withdrawals!$G:$G))</f>
        <v/>
      </c>
      <c r="N501" s="340">
        <f>IF(A501="","",I501+L501-M501)</f>
        <v/>
      </c>
      <c r="O501" s="340">
        <f>IF(A501="","",TRUE())</f>
        <v/>
      </c>
      <c r="P501" s="340">
        <f>IF(A501="","",MAX(0,N501-System_Config!$B$9))</f>
        <v/>
      </c>
    </row>
    <row r="502" ht="15" customHeight="1" s="341">
      <c r="L502" s="340">
        <f>IF(A502="","",SUMIF(DB_Savings!$C:$C,A502,DB_Savings!$F:$F))</f>
        <v/>
      </c>
      <c r="M502" s="340">
        <f>IF(A502="","",SUMIF(DB_Withdrawals!$C:$C,A502,DB_Withdrawals!$G:$G))</f>
        <v/>
      </c>
      <c r="N502" s="340">
        <f>IF(A502="","",I502+L502-M502)</f>
        <v/>
      </c>
      <c r="O502" s="340">
        <f>IF(A502="","",TRUE())</f>
        <v/>
      </c>
      <c r="P502" s="340">
        <f>IF(A502="","",MAX(0,N502-System_Config!$B$9))</f>
        <v/>
      </c>
    </row>
    <row r="503" ht="15" customHeight="1" s="341">
      <c r="L503" s="340">
        <f>IF(A503="","",SUMIF(DB_Savings!$C:$C,A503,DB_Savings!$F:$F))</f>
        <v/>
      </c>
      <c r="M503" s="340">
        <f>IF(A503="","",SUMIF(DB_Withdrawals!$C:$C,A503,DB_Withdrawals!$G:$G))</f>
        <v/>
      </c>
      <c r="N503" s="340">
        <f>IF(A503="","",I503+L503-M503)</f>
        <v/>
      </c>
      <c r="O503" s="340">
        <f>IF(A503="","",TRUE())</f>
        <v/>
      </c>
      <c r="P503" s="340">
        <f>IF(A503="","",MAX(0,N503-System_Config!$B$9))</f>
        <v/>
      </c>
    </row>
    <row r="504" ht="15" customHeight="1" s="341">
      <c r="L504" s="340">
        <f>IF(A504="","",SUMIF(DB_Savings!$C:$C,A504,DB_Savings!$F:$F))</f>
        <v/>
      </c>
      <c r="M504" s="340">
        <f>IF(A504="","",SUMIF(DB_Withdrawals!$C:$C,A504,DB_Withdrawals!$G:$G))</f>
        <v/>
      </c>
      <c r="N504" s="340">
        <f>IF(A504="","",I504+L504-M504)</f>
        <v/>
      </c>
      <c r="O504" s="340">
        <f>IF(A504="","",TRUE())</f>
        <v/>
      </c>
      <c r="P504" s="340">
        <f>IF(A504="","",MAX(0,N504-System_Config!$B$9))</f>
        <v/>
      </c>
    </row>
    <row r="505" ht="15" customHeight="1" s="341">
      <c r="L505" s="340">
        <f>IF(A505="","",SUMIF(DB_Savings!$C:$C,A505,DB_Savings!$F:$F))</f>
        <v/>
      </c>
      <c r="M505" s="340">
        <f>IF(A505="","",SUMIF(DB_Withdrawals!$C:$C,A505,DB_Withdrawals!$G:$G))</f>
        <v/>
      </c>
      <c r="N505" s="340">
        <f>IF(A505="","",I505+L505-M505)</f>
        <v/>
      </c>
      <c r="O505" s="340">
        <f>IF(A505="","",TRUE())</f>
        <v/>
      </c>
      <c r="P505" s="340">
        <f>IF(A505="","",MAX(0,N505-System_Config!$B$9))</f>
        <v/>
      </c>
    </row>
    <row r="506" ht="15" customHeight="1" s="341">
      <c r="L506" s="340">
        <f>IF(A506="","",SUMIF(DB_Savings!$C:$C,A506,DB_Savings!$F:$F))</f>
        <v/>
      </c>
      <c r="M506" s="340">
        <f>IF(A506="","",SUMIF(DB_Withdrawals!$C:$C,A506,DB_Withdrawals!$G:$G))</f>
        <v/>
      </c>
      <c r="N506" s="340">
        <f>IF(A506="","",I506+L506-M506)</f>
        <v/>
      </c>
      <c r="O506" s="340">
        <f>IF(A506="","",TRUE())</f>
        <v/>
      </c>
      <c r="P506" s="340">
        <f>IF(A506="","",MAX(0,N506-System_Config!$B$9))</f>
        <v/>
      </c>
    </row>
    <row r="507" ht="15" customHeight="1" s="341">
      <c r="L507" s="340">
        <f>IF(A507="","",SUMIF(DB_Savings!$C:$C,A507,DB_Savings!$F:$F))</f>
        <v/>
      </c>
      <c r="M507" s="340">
        <f>IF(A507="","",SUMIF(DB_Withdrawals!$C:$C,A507,DB_Withdrawals!$G:$G))</f>
        <v/>
      </c>
      <c r="N507" s="340">
        <f>IF(A507="","",I507+L507-M507)</f>
        <v/>
      </c>
      <c r="O507" s="340">
        <f>IF(A507="","",TRUE())</f>
        <v/>
      </c>
      <c r="P507" s="340">
        <f>IF(A507="","",MAX(0,N507-System_Config!$B$9))</f>
        <v/>
      </c>
    </row>
    <row r="508" ht="15" customHeight="1" s="341">
      <c r="L508" s="340">
        <f>IF(A508="","",SUMIF(DB_Savings!$C:$C,A508,DB_Savings!$F:$F))</f>
        <v/>
      </c>
      <c r="M508" s="340">
        <f>IF(A508="","",SUMIF(DB_Withdrawals!$C:$C,A508,DB_Withdrawals!$G:$G))</f>
        <v/>
      </c>
      <c r="N508" s="340">
        <f>IF(A508="","",I508+L508-M508)</f>
        <v/>
      </c>
      <c r="O508" s="340">
        <f>IF(A508="","",TRUE())</f>
        <v/>
      </c>
      <c r="P508" s="340">
        <f>IF(A508="","",MAX(0,N508-System_Config!$B$9))</f>
        <v/>
      </c>
    </row>
    <row r="509" ht="15" customHeight="1" s="341">
      <c r="L509" s="340">
        <f>IF(A509="","",SUMIF(DB_Savings!$C:$C,A509,DB_Savings!$F:$F))</f>
        <v/>
      </c>
      <c r="M509" s="340">
        <f>IF(A509="","",SUMIF(DB_Withdrawals!$C:$C,A509,DB_Withdrawals!$G:$G))</f>
        <v/>
      </c>
      <c r="N509" s="340">
        <f>IF(A509="","",I509+L509-M509)</f>
        <v/>
      </c>
      <c r="O509" s="340">
        <f>IF(A509="","",TRUE())</f>
        <v/>
      </c>
      <c r="P509" s="340">
        <f>IF(A509="","",MAX(0,N509-System_Config!$B$9))</f>
        <v/>
      </c>
    </row>
    <row r="510" ht="15" customHeight="1" s="341">
      <c r="L510" s="340">
        <f>IF(A510="","",SUMIF(DB_Savings!$C:$C,A510,DB_Savings!$F:$F))</f>
        <v/>
      </c>
      <c r="M510" s="340">
        <f>IF(A510="","",SUMIF(DB_Withdrawals!$C:$C,A510,DB_Withdrawals!$G:$G))</f>
        <v/>
      </c>
      <c r="N510" s="340">
        <f>IF(A510="","",I510+L510-M510)</f>
        <v/>
      </c>
      <c r="O510" s="340">
        <f>IF(A510="","",TRUE())</f>
        <v/>
      </c>
      <c r="P510" s="340">
        <f>IF(A510="","",MAX(0,N510-System_Config!$B$9))</f>
        <v/>
      </c>
    </row>
    <row r="511" ht="15" customHeight="1" s="341">
      <c r="L511" s="340">
        <f>IF(A511="","",SUMIF(DB_Savings!$C:$C,A511,DB_Savings!$F:$F))</f>
        <v/>
      </c>
      <c r="M511" s="340">
        <f>IF(A511="","",SUMIF(DB_Withdrawals!$C:$C,A511,DB_Withdrawals!$G:$G))</f>
        <v/>
      </c>
      <c r="N511" s="340">
        <f>IF(A511="","",I511+L511-M511)</f>
        <v/>
      </c>
      <c r="O511" s="340">
        <f>IF(A511="","",TRUE())</f>
        <v/>
      </c>
      <c r="P511" s="340">
        <f>IF(A511="","",MAX(0,N511-System_Config!$B$9))</f>
        <v/>
      </c>
    </row>
    <row r="512" ht="15" customHeight="1" s="341">
      <c r="L512" s="340">
        <f>IF(A512="","",SUMIF(DB_Savings!$C:$C,A512,DB_Savings!$F:$F))</f>
        <v/>
      </c>
      <c r="M512" s="340">
        <f>IF(A512="","",SUMIF(DB_Withdrawals!$C:$C,A512,DB_Withdrawals!$G:$G))</f>
        <v/>
      </c>
      <c r="N512" s="340">
        <f>IF(A512="","",I512+L512-M512)</f>
        <v/>
      </c>
      <c r="O512" s="340">
        <f>IF(A512="","",TRUE())</f>
        <v/>
      </c>
      <c r="P512" s="340">
        <f>IF(A512="","",MAX(0,N512-System_Config!$B$9))</f>
        <v/>
      </c>
    </row>
    <row r="513" ht="15" customHeight="1" s="341">
      <c r="L513" s="340">
        <f>IF(A513="","",SUMIF(DB_Savings!$C:$C,A513,DB_Savings!$F:$F))</f>
        <v/>
      </c>
      <c r="M513" s="340">
        <f>IF(A513="","",SUMIF(DB_Withdrawals!$C:$C,A513,DB_Withdrawals!$G:$G))</f>
        <v/>
      </c>
      <c r="N513" s="340">
        <f>IF(A513="","",I513+L513-M513)</f>
        <v/>
      </c>
      <c r="O513" s="340">
        <f>IF(A513="","",TRUE())</f>
        <v/>
      </c>
      <c r="P513" s="340">
        <f>IF(A513="","",MAX(0,N513-System_Config!$B$9))</f>
        <v/>
      </c>
    </row>
    <row r="514" ht="15" customHeight="1" s="341">
      <c r="L514" s="340">
        <f>IF(A514="","",SUMIF(DB_Savings!$C:$C,A514,DB_Savings!$F:$F))</f>
        <v/>
      </c>
      <c r="M514" s="340">
        <f>IF(A514="","",SUMIF(DB_Withdrawals!$C:$C,A514,DB_Withdrawals!$G:$G))</f>
        <v/>
      </c>
      <c r="N514" s="340">
        <f>IF(A514="","",I514+L514-M514)</f>
        <v/>
      </c>
      <c r="O514" s="340">
        <f>IF(A514="","",TRUE())</f>
        <v/>
      </c>
      <c r="P514" s="340">
        <f>IF(A514="","",MAX(0,N514-System_Config!$B$9))</f>
        <v/>
      </c>
    </row>
    <row r="515" ht="15" customHeight="1" s="341">
      <c r="L515" s="340">
        <f>IF(A515="","",SUMIF(DB_Savings!$C:$C,A515,DB_Savings!$F:$F))</f>
        <v/>
      </c>
      <c r="M515" s="340">
        <f>IF(A515="","",SUMIF(DB_Withdrawals!$C:$C,A515,DB_Withdrawals!$G:$G))</f>
        <v/>
      </c>
      <c r="N515" s="340">
        <f>IF(A515="","",I515+L515-M515)</f>
        <v/>
      </c>
      <c r="O515" s="340">
        <f>IF(A515="","",TRUE())</f>
        <v/>
      </c>
      <c r="P515" s="340">
        <f>IF(A515="","",MAX(0,N515-System_Config!$B$9))</f>
        <v/>
      </c>
    </row>
    <row r="516" ht="15" customHeight="1" s="341">
      <c r="L516" s="340">
        <f>IF(A516="","",SUMIF(DB_Savings!$C:$C,A516,DB_Savings!$F:$F))</f>
        <v/>
      </c>
      <c r="M516" s="340">
        <f>IF(A516="","",SUMIF(DB_Withdrawals!$C:$C,A516,DB_Withdrawals!$G:$G))</f>
        <v/>
      </c>
      <c r="N516" s="340">
        <f>IF(A516="","",I516+L516-M516)</f>
        <v/>
      </c>
      <c r="O516" s="340">
        <f>IF(A516="","",TRUE())</f>
        <v/>
      </c>
      <c r="P516" s="340">
        <f>IF(A516="","",MAX(0,N516-System_Config!$B$9))</f>
        <v/>
      </c>
    </row>
    <row r="517" ht="15" customHeight="1" s="341">
      <c r="L517" s="340">
        <f>IF(A517="","",SUMIF(DB_Savings!$C:$C,A517,DB_Savings!$F:$F))</f>
        <v/>
      </c>
      <c r="M517" s="340">
        <f>IF(A517="","",SUMIF(DB_Withdrawals!$C:$C,A517,DB_Withdrawals!$G:$G))</f>
        <v/>
      </c>
      <c r="N517" s="340">
        <f>IF(A517="","",I517+L517-M517)</f>
        <v/>
      </c>
      <c r="O517" s="340">
        <f>IF(A517="","",TRUE())</f>
        <v/>
      </c>
      <c r="P517" s="340">
        <f>IF(A517="","",MAX(0,N517-System_Config!$B$9))</f>
        <v/>
      </c>
    </row>
    <row r="518" ht="15" customHeight="1" s="341">
      <c r="L518" s="340">
        <f>IF(A518="","",SUMIF(DB_Savings!$C:$C,A518,DB_Savings!$F:$F))</f>
        <v/>
      </c>
      <c r="M518" s="340">
        <f>IF(A518="","",SUMIF(DB_Withdrawals!$C:$C,A518,DB_Withdrawals!$G:$G))</f>
        <v/>
      </c>
      <c r="N518" s="340">
        <f>IF(A518="","",I518+L518-M518)</f>
        <v/>
      </c>
      <c r="O518" s="340">
        <f>IF(A518="","",TRUE())</f>
        <v/>
      </c>
      <c r="P518" s="340">
        <f>IF(A518="","",MAX(0,N518-System_Config!$B$9))</f>
        <v/>
      </c>
    </row>
    <row r="519" ht="15" customHeight="1" s="341">
      <c r="L519" s="340">
        <f>IF(A519="","",SUMIF(DB_Savings!$C:$C,A519,DB_Savings!$F:$F))</f>
        <v/>
      </c>
      <c r="M519" s="340">
        <f>IF(A519="","",SUMIF(DB_Withdrawals!$C:$C,A519,DB_Withdrawals!$G:$G))</f>
        <v/>
      </c>
      <c r="N519" s="340">
        <f>IF(A519="","",I519+L519-M519)</f>
        <v/>
      </c>
      <c r="O519" s="340">
        <f>IF(A519="","",TRUE())</f>
        <v/>
      </c>
      <c r="P519" s="340">
        <f>IF(A519="","",MAX(0,N519-System_Config!$B$9))</f>
        <v/>
      </c>
    </row>
    <row r="520" ht="15" customHeight="1" s="341">
      <c r="L520" s="340">
        <f>IF(A520="","",SUMIF(DB_Savings!$C:$C,A520,DB_Savings!$F:$F))</f>
        <v/>
      </c>
      <c r="M520" s="340">
        <f>IF(A520="","",SUMIF(DB_Withdrawals!$C:$C,A520,DB_Withdrawals!$G:$G))</f>
        <v/>
      </c>
      <c r="N520" s="340">
        <f>IF(A520="","",I520+L520-M520)</f>
        <v/>
      </c>
      <c r="O520" s="340">
        <f>IF(A520="","",TRUE())</f>
        <v/>
      </c>
      <c r="P520" s="340">
        <f>IF(A520="","",MAX(0,N520-System_Config!$B$9))</f>
        <v/>
      </c>
    </row>
    <row r="521" ht="15" customHeight="1" s="341">
      <c r="L521" s="340">
        <f>IF(A521="","",SUMIF(DB_Savings!$C:$C,A521,DB_Savings!$F:$F))</f>
        <v/>
      </c>
      <c r="M521" s="340">
        <f>IF(A521="","",SUMIF(DB_Withdrawals!$C:$C,A521,DB_Withdrawals!$G:$G))</f>
        <v/>
      </c>
      <c r="N521" s="340">
        <f>IF(A521="","",I521+L521-M521)</f>
        <v/>
      </c>
      <c r="O521" s="340">
        <f>IF(A521="","",TRUE())</f>
        <v/>
      </c>
      <c r="P521" s="340">
        <f>IF(A521="","",MAX(0,N521-System_Config!$B$9))</f>
        <v/>
      </c>
    </row>
    <row r="522" ht="15" customHeight="1" s="341">
      <c r="L522" s="340">
        <f>IF(A522="","",SUMIF(DB_Savings!$C:$C,A522,DB_Savings!$F:$F))</f>
        <v/>
      </c>
      <c r="M522" s="340">
        <f>IF(A522="","",SUMIF(DB_Withdrawals!$C:$C,A522,DB_Withdrawals!$G:$G))</f>
        <v/>
      </c>
      <c r="N522" s="340">
        <f>IF(A522="","",I522+L522-M522)</f>
        <v/>
      </c>
      <c r="O522" s="340">
        <f>IF(A522="","",TRUE())</f>
        <v/>
      </c>
      <c r="P522" s="340">
        <f>IF(A522="","",MAX(0,N522-System_Config!$B$9))</f>
        <v/>
      </c>
    </row>
    <row r="523" ht="15" customHeight="1" s="341">
      <c r="L523" s="340">
        <f>IF(A523="","",SUMIF(DB_Savings!$C:$C,A523,DB_Savings!$F:$F))</f>
        <v/>
      </c>
      <c r="M523" s="340">
        <f>IF(A523="","",SUMIF(DB_Withdrawals!$C:$C,A523,DB_Withdrawals!$G:$G))</f>
        <v/>
      </c>
      <c r="N523" s="340">
        <f>IF(A523="","",I523+L523-M523)</f>
        <v/>
      </c>
      <c r="O523" s="340">
        <f>IF(A523="","",TRUE())</f>
        <v/>
      </c>
      <c r="P523" s="340">
        <f>IF(A523="","",MAX(0,N523-System_Config!$B$9))</f>
        <v/>
      </c>
    </row>
    <row r="524" ht="15" customHeight="1" s="341">
      <c r="L524" s="340">
        <f>IF(A524="","",SUMIF(DB_Savings!$C:$C,A524,DB_Savings!$F:$F))</f>
        <v/>
      </c>
      <c r="M524" s="340">
        <f>IF(A524="","",SUMIF(DB_Withdrawals!$C:$C,A524,DB_Withdrawals!$G:$G))</f>
        <v/>
      </c>
      <c r="N524" s="340">
        <f>IF(A524="","",I524+L524-M524)</f>
        <v/>
      </c>
      <c r="O524" s="340">
        <f>IF(A524="","",TRUE())</f>
        <v/>
      </c>
      <c r="P524" s="340">
        <f>IF(A524="","",MAX(0,N524-System_Config!$B$9))</f>
        <v/>
      </c>
    </row>
    <row r="525" ht="15" customHeight="1" s="341">
      <c r="L525" s="340">
        <f>IF(A525="","",SUMIF(DB_Savings!$C:$C,A525,DB_Savings!$F:$F))</f>
        <v/>
      </c>
      <c r="M525" s="340">
        <f>IF(A525="","",SUMIF(DB_Withdrawals!$C:$C,A525,DB_Withdrawals!$G:$G))</f>
        <v/>
      </c>
      <c r="N525" s="340">
        <f>IF(A525="","",I525+L525-M525)</f>
        <v/>
      </c>
      <c r="O525" s="340">
        <f>IF(A525="","",TRUE())</f>
        <v/>
      </c>
      <c r="P525" s="340">
        <f>IF(A525="","",MAX(0,N525-System_Config!$B$9))</f>
        <v/>
      </c>
    </row>
    <row r="526" ht="15" customHeight="1" s="341">
      <c r="L526" s="340">
        <f>IF(A526="","",SUMIF(DB_Savings!$C:$C,A526,DB_Savings!$F:$F))</f>
        <v/>
      </c>
      <c r="M526" s="340">
        <f>IF(A526="","",SUMIF(DB_Withdrawals!$C:$C,A526,DB_Withdrawals!$G:$G))</f>
        <v/>
      </c>
      <c r="N526" s="340">
        <f>IF(A526="","",I526+L526-M526)</f>
        <v/>
      </c>
      <c r="O526" s="340">
        <f>IF(A526="","",TRUE())</f>
        <v/>
      </c>
      <c r="P526" s="340">
        <f>IF(A526="","",MAX(0,N526-System_Config!$B$9))</f>
        <v/>
      </c>
    </row>
    <row r="527" ht="15" customHeight="1" s="341">
      <c r="L527" s="340">
        <f>IF(A527="","",SUMIF(DB_Savings!$C:$C,A527,DB_Savings!$F:$F))</f>
        <v/>
      </c>
      <c r="M527" s="340">
        <f>IF(A527="","",SUMIF(DB_Withdrawals!$C:$C,A527,DB_Withdrawals!$G:$G))</f>
        <v/>
      </c>
      <c r="N527" s="340">
        <f>IF(A527="","",I527+L527-M527)</f>
        <v/>
      </c>
      <c r="O527" s="340">
        <f>IF(A527="","",TRUE())</f>
        <v/>
      </c>
      <c r="P527" s="340">
        <f>IF(A527="","",MAX(0,N527-System_Config!$B$9))</f>
        <v/>
      </c>
    </row>
    <row r="528" ht="15" customHeight="1" s="341">
      <c r="L528" s="340">
        <f>IF(A528="","",SUMIF(DB_Savings!$C:$C,A528,DB_Savings!$F:$F))</f>
        <v/>
      </c>
      <c r="M528" s="340">
        <f>IF(A528="","",SUMIF(DB_Withdrawals!$C:$C,A528,DB_Withdrawals!$G:$G))</f>
        <v/>
      </c>
      <c r="N528" s="340">
        <f>IF(A528="","",I528+L528-M528)</f>
        <v/>
      </c>
      <c r="O528" s="340">
        <f>IF(A528="","",TRUE())</f>
        <v/>
      </c>
      <c r="P528" s="340">
        <f>IF(A528="","",MAX(0,N528-System_Config!$B$9))</f>
        <v/>
      </c>
    </row>
    <row r="529" ht="15" customHeight="1" s="341">
      <c r="L529" s="340">
        <f>IF(A529="","",SUMIF(DB_Savings!$C:$C,A529,DB_Savings!$F:$F))</f>
        <v/>
      </c>
      <c r="M529" s="340">
        <f>IF(A529="","",SUMIF(DB_Withdrawals!$C:$C,A529,DB_Withdrawals!$G:$G))</f>
        <v/>
      </c>
      <c r="N529" s="340">
        <f>IF(A529="","",I529+L529-M529)</f>
        <v/>
      </c>
      <c r="O529" s="340">
        <f>IF(A529="","",TRUE())</f>
        <v/>
      </c>
      <c r="P529" s="340">
        <f>IF(A529="","",MAX(0,N529-System_Config!$B$9))</f>
        <v/>
      </c>
    </row>
    <row r="530" ht="15" customHeight="1" s="341">
      <c r="L530" s="340">
        <f>IF(A530="","",SUMIF(DB_Savings!$C:$C,A530,DB_Savings!$F:$F))</f>
        <v/>
      </c>
      <c r="M530" s="340">
        <f>IF(A530="","",SUMIF(DB_Withdrawals!$C:$C,A530,DB_Withdrawals!$G:$G))</f>
        <v/>
      </c>
      <c r="N530" s="340">
        <f>IF(A530="","",I530+L530-M530)</f>
        <v/>
      </c>
      <c r="O530" s="340">
        <f>IF(A530="","",TRUE())</f>
        <v/>
      </c>
      <c r="P530" s="340">
        <f>IF(A530="","",MAX(0,N530-System_Config!$B$9))</f>
        <v/>
      </c>
    </row>
    <row r="531" ht="15" customHeight="1" s="341">
      <c r="L531" s="340">
        <f>IF(A531="","",SUMIF(DB_Savings!$C:$C,A531,DB_Savings!$F:$F))</f>
        <v/>
      </c>
      <c r="M531" s="340">
        <f>IF(A531="","",SUMIF(DB_Withdrawals!$C:$C,A531,DB_Withdrawals!$G:$G))</f>
        <v/>
      </c>
      <c r="N531" s="340">
        <f>IF(A531="","",I531+L531-M531)</f>
        <v/>
      </c>
      <c r="O531" s="340">
        <f>IF(A531="","",TRUE())</f>
        <v/>
      </c>
      <c r="P531" s="340">
        <f>IF(A531="","",MAX(0,N531-System_Config!$B$9))</f>
        <v/>
      </c>
    </row>
    <row r="532" ht="15" customHeight="1" s="341">
      <c r="L532" s="340">
        <f>IF(A532="","",SUMIF(DB_Savings!$C:$C,A532,DB_Savings!$F:$F))</f>
        <v/>
      </c>
      <c r="M532" s="340">
        <f>IF(A532="","",SUMIF(DB_Withdrawals!$C:$C,A532,DB_Withdrawals!$G:$G))</f>
        <v/>
      </c>
      <c r="N532" s="340">
        <f>IF(A532="","",I532+L532-M532)</f>
        <v/>
      </c>
      <c r="O532" s="340">
        <f>IF(A532="","",TRUE())</f>
        <v/>
      </c>
      <c r="P532" s="340">
        <f>IF(A532="","",MAX(0,N532-System_Config!$B$9))</f>
        <v/>
      </c>
    </row>
    <row r="533" ht="15" customHeight="1" s="341">
      <c r="L533" s="340">
        <f>IF(A533="","",SUMIF(DB_Savings!$C:$C,A533,DB_Savings!$F:$F))</f>
        <v/>
      </c>
      <c r="M533" s="340">
        <f>IF(A533="","",SUMIF(DB_Withdrawals!$C:$C,A533,DB_Withdrawals!$G:$G))</f>
        <v/>
      </c>
      <c r="N533" s="340">
        <f>IF(A533="","",I533+L533-M533)</f>
        <v/>
      </c>
      <c r="O533" s="340">
        <f>IF(A533="","",TRUE())</f>
        <v/>
      </c>
      <c r="P533" s="340">
        <f>IF(A533="","",MAX(0,N533-System_Config!$B$9))</f>
        <v/>
      </c>
    </row>
    <row r="534" ht="15" customHeight="1" s="341">
      <c r="L534" s="340">
        <f>IF(A534="","",SUMIF(DB_Savings!$C:$C,A534,DB_Savings!$F:$F))</f>
        <v/>
      </c>
      <c r="M534" s="340">
        <f>IF(A534="","",SUMIF(DB_Withdrawals!$C:$C,A534,DB_Withdrawals!$G:$G))</f>
        <v/>
      </c>
      <c r="N534" s="340">
        <f>IF(A534="","",I534+L534-M534)</f>
        <v/>
      </c>
      <c r="O534" s="340">
        <f>IF(A534="","",TRUE())</f>
        <v/>
      </c>
      <c r="P534" s="340">
        <f>IF(A534="","",MAX(0,N534-System_Config!$B$9))</f>
        <v/>
      </c>
    </row>
    <row r="535" ht="15" customHeight="1" s="341">
      <c r="L535" s="340">
        <f>IF(A535="","",SUMIF(DB_Savings!$C:$C,A535,DB_Savings!$F:$F))</f>
        <v/>
      </c>
      <c r="M535" s="340">
        <f>IF(A535="","",SUMIF(DB_Withdrawals!$C:$C,A535,DB_Withdrawals!$G:$G))</f>
        <v/>
      </c>
      <c r="N535" s="340">
        <f>IF(A535="","",I535+L535-M535)</f>
        <v/>
      </c>
      <c r="O535" s="340">
        <f>IF(A535="","",TRUE())</f>
        <v/>
      </c>
      <c r="P535" s="340">
        <f>IF(A535="","",MAX(0,N535-System_Config!$B$9))</f>
        <v/>
      </c>
    </row>
    <row r="536" ht="15" customHeight="1" s="341">
      <c r="L536" s="340">
        <f>IF(A536="","",SUMIF(DB_Savings!$C:$C,A536,DB_Savings!$F:$F))</f>
        <v/>
      </c>
      <c r="M536" s="340">
        <f>IF(A536="","",SUMIF(DB_Withdrawals!$C:$C,A536,DB_Withdrawals!$G:$G))</f>
        <v/>
      </c>
      <c r="N536" s="340">
        <f>IF(A536="","",I536+L536-M536)</f>
        <v/>
      </c>
      <c r="O536" s="340">
        <f>IF(A536="","",TRUE())</f>
        <v/>
      </c>
      <c r="P536" s="340">
        <f>IF(A536="","",MAX(0,N536-System_Config!$B$9))</f>
        <v/>
      </c>
    </row>
    <row r="537" ht="15" customHeight="1" s="341">
      <c r="L537" s="340">
        <f>IF(A537="","",SUMIF(DB_Savings!$C:$C,A537,DB_Savings!$F:$F))</f>
        <v/>
      </c>
      <c r="M537" s="340">
        <f>IF(A537="","",SUMIF(DB_Withdrawals!$C:$C,A537,DB_Withdrawals!$G:$G))</f>
        <v/>
      </c>
      <c r="N537" s="340">
        <f>IF(A537="","",I537+L537-M537)</f>
        <v/>
      </c>
      <c r="O537" s="340">
        <f>IF(A537="","",TRUE())</f>
        <v/>
      </c>
      <c r="P537" s="340">
        <f>IF(A537="","",MAX(0,N537-System_Config!$B$9))</f>
        <v/>
      </c>
    </row>
    <row r="538" ht="15" customHeight="1" s="341">
      <c r="L538" s="340">
        <f>IF(A538="","",SUMIF(DB_Savings!$C:$C,A538,DB_Savings!$F:$F))</f>
        <v/>
      </c>
      <c r="M538" s="340">
        <f>IF(A538="","",SUMIF(DB_Withdrawals!$C:$C,A538,DB_Withdrawals!$G:$G))</f>
        <v/>
      </c>
      <c r="N538" s="340">
        <f>IF(A538="","",I538+L538-M538)</f>
        <v/>
      </c>
      <c r="O538" s="340">
        <f>IF(A538="","",TRUE())</f>
        <v/>
      </c>
      <c r="P538" s="340">
        <f>IF(A538="","",MAX(0,N538-System_Config!$B$9))</f>
        <v/>
      </c>
    </row>
    <row r="539" ht="15" customHeight="1" s="341">
      <c r="L539" s="340">
        <f>IF(A539="","",SUMIF(DB_Savings!$C:$C,A539,DB_Savings!$F:$F))</f>
        <v/>
      </c>
      <c r="M539" s="340">
        <f>IF(A539="","",SUMIF(DB_Withdrawals!$C:$C,A539,DB_Withdrawals!$G:$G))</f>
        <v/>
      </c>
      <c r="N539" s="340">
        <f>IF(A539="","",I539+L539-M539)</f>
        <v/>
      </c>
      <c r="O539" s="340">
        <f>IF(A539="","",TRUE())</f>
        <v/>
      </c>
      <c r="P539" s="340">
        <f>IF(A539="","",MAX(0,N539-System_Config!$B$9))</f>
        <v/>
      </c>
    </row>
    <row r="540" ht="15" customHeight="1" s="341">
      <c r="L540" s="340">
        <f>IF(A540="","",SUMIF(DB_Savings!$C:$C,A540,DB_Savings!$F:$F))</f>
        <v/>
      </c>
      <c r="M540" s="340">
        <f>IF(A540="","",SUMIF(DB_Withdrawals!$C:$C,A540,DB_Withdrawals!$G:$G))</f>
        <v/>
      </c>
      <c r="N540" s="340">
        <f>IF(A540="","",I540+L540-M540)</f>
        <v/>
      </c>
      <c r="O540" s="340">
        <f>IF(A540="","",TRUE())</f>
        <v/>
      </c>
      <c r="P540" s="340">
        <f>IF(A540="","",MAX(0,N540-System_Config!$B$9))</f>
        <v/>
      </c>
    </row>
    <row r="541" ht="15" customHeight="1" s="341">
      <c r="L541" s="340">
        <f>IF(A541="","",SUMIF(DB_Savings!$C:$C,A541,DB_Savings!$F:$F))</f>
        <v/>
      </c>
      <c r="M541" s="340">
        <f>IF(A541="","",SUMIF(DB_Withdrawals!$C:$C,A541,DB_Withdrawals!$G:$G))</f>
        <v/>
      </c>
      <c r="N541" s="340">
        <f>IF(A541="","",I541+L541-M541)</f>
        <v/>
      </c>
      <c r="O541" s="340">
        <f>IF(A541="","",TRUE())</f>
        <v/>
      </c>
      <c r="P541" s="340">
        <f>IF(A541="","",MAX(0,N541-System_Config!$B$9))</f>
        <v/>
      </c>
    </row>
    <row r="542" ht="15" customHeight="1" s="341">
      <c r="L542" s="340">
        <f>IF(A542="","",SUMIF(DB_Savings!$C:$C,A542,DB_Savings!$F:$F))</f>
        <v/>
      </c>
      <c r="M542" s="340">
        <f>IF(A542="","",SUMIF(DB_Withdrawals!$C:$C,A542,DB_Withdrawals!$G:$G))</f>
        <v/>
      </c>
      <c r="N542" s="340">
        <f>IF(A542="","",I542+L542-M542)</f>
        <v/>
      </c>
      <c r="O542" s="340">
        <f>IF(A542="","",TRUE())</f>
        <v/>
      </c>
      <c r="P542" s="340">
        <f>IF(A542="","",MAX(0,N542-System_Config!$B$9))</f>
        <v/>
      </c>
    </row>
    <row r="543" ht="15" customHeight="1" s="341">
      <c r="L543" s="340">
        <f>IF(A543="","",SUMIF(DB_Savings!$C:$C,A543,DB_Savings!$F:$F))</f>
        <v/>
      </c>
      <c r="M543" s="340">
        <f>IF(A543="","",SUMIF(DB_Withdrawals!$C:$C,A543,DB_Withdrawals!$G:$G))</f>
        <v/>
      </c>
      <c r="N543" s="340">
        <f>IF(A543="","",I543+L543-M543)</f>
        <v/>
      </c>
      <c r="O543" s="340">
        <f>IF(A543="","",TRUE())</f>
        <v/>
      </c>
      <c r="P543" s="340">
        <f>IF(A543="","",MAX(0,N543-System_Config!$B$9))</f>
        <v/>
      </c>
    </row>
    <row r="544" ht="15" customHeight="1" s="341">
      <c r="L544" s="340">
        <f>IF(A544="","",SUMIF(DB_Savings!$C:$C,A544,DB_Savings!$F:$F))</f>
        <v/>
      </c>
      <c r="M544" s="340">
        <f>IF(A544="","",SUMIF(DB_Withdrawals!$C:$C,A544,DB_Withdrawals!$G:$G))</f>
        <v/>
      </c>
      <c r="N544" s="340">
        <f>IF(A544="","",I544+L544-M544)</f>
        <v/>
      </c>
      <c r="O544" s="340">
        <f>IF(A544="","",TRUE())</f>
        <v/>
      </c>
      <c r="P544" s="340">
        <f>IF(A544="","",MAX(0,N544-System_Config!$B$9))</f>
        <v/>
      </c>
    </row>
    <row r="545" ht="15" customHeight="1" s="341">
      <c r="L545" s="340">
        <f>IF(A545="","",SUMIF(DB_Savings!$C:$C,A545,DB_Savings!$F:$F))</f>
        <v/>
      </c>
      <c r="M545" s="340">
        <f>IF(A545="","",SUMIF(DB_Withdrawals!$C:$C,A545,DB_Withdrawals!$G:$G))</f>
        <v/>
      </c>
      <c r="N545" s="340">
        <f>IF(A545="","",I545+L545-M545)</f>
        <v/>
      </c>
      <c r="O545" s="340">
        <f>IF(A545="","",TRUE())</f>
        <v/>
      </c>
      <c r="P545" s="340">
        <f>IF(A545="","",MAX(0,N545-System_Config!$B$9))</f>
        <v/>
      </c>
    </row>
    <row r="546" ht="15" customHeight="1" s="341">
      <c r="L546" s="340">
        <f>IF(A546="","",SUMIF(DB_Savings!$C:$C,A546,DB_Savings!$F:$F))</f>
        <v/>
      </c>
      <c r="M546" s="340">
        <f>IF(A546="","",SUMIF(DB_Withdrawals!$C:$C,A546,DB_Withdrawals!$G:$G))</f>
        <v/>
      </c>
      <c r="N546" s="340">
        <f>IF(A546="","",I546+L546-M546)</f>
        <v/>
      </c>
      <c r="O546" s="340">
        <f>IF(A546="","",TRUE())</f>
        <v/>
      </c>
      <c r="P546" s="340">
        <f>IF(A546="","",MAX(0,N546-System_Config!$B$9))</f>
        <v/>
      </c>
    </row>
    <row r="547" ht="15" customHeight="1" s="341">
      <c r="L547" s="340">
        <f>IF(A547="","",SUMIF(DB_Savings!$C:$C,A547,DB_Savings!$F:$F))</f>
        <v/>
      </c>
      <c r="M547" s="340">
        <f>IF(A547="","",SUMIF(DB_Withdrawals!$C:$C,A547,DB_Withdrawals!$G:$G))</f>
        <v/>
      </c>
      <c r="N547" s="340">
        <f>IF(A547="","",I547+L547-M547)</f>
        <v/>
      </c>
      <c r="O547" s="340">
        <f>IF(A547="","",TRUE())</f>
        <v/>
      </c>
      <c r="P547" s="340">
        <f>IF(A547="","",MAX(0,N547-System_Config!$B$9))</f>
        <v/>
      </c>
    </row>
    <row r="548" ht="15" customHeight="1" s="341">
      <c r="L548" s="340">
        <f>IF(A548="","",SUMIF(DB_Savings!$C:$C,A548,DB_Savings!$F:$F))</f>
        <v/>
      </c>
      <c r="M548" s="340">
        <f>IF(A548="","",SUMIF(DB_Withdrawals!$C:$C,A548,DB_Withdrawals!$G:$G))</f>
        <v/>
      </c>
      <c r="N548" s="340">
        <f>IF(A548="","",I548+L548-M548)</f>
        <v/>
      </c>
      <c r="O548" s="340">
        <f>IF(A548="","",TRUE())</f>
        <v/>
      </c>
      <c r="P548" s="340">
        <f>IF(A548="","",MAX(0,N548-System_Config!$B$9))</f>
        <v/>
      </c>
    </row>
    <row r="549" ht="15" customHeight="1" s="341">
      <c r="L549" s="340">
        <f>IF(A549="","",SUMIF(DB_Savings!$C:$C,A549,DB_Savings!$F:$F))</f>
        <v/>
      </c>
      <c r="M549" s="340">
        <f>IF(A549="","",SUMIF(DB_Withdrawals!$C:$C,A549,DB_Withdrawals!$G:$G))</f>
        <v/>
      </c>
      <c r="N549" s="340">
        <f>IF(A549="","",I549+L549-M549)</f>
        <v/>
      </c>
      <c r="O549" s="340">
        <f>IF(A549="","",TRUE())</f>
        <v/>
      </c>
      <c r="P549" s="340">
        <f>IF(A549="","",MAX(0,N549-System_Config!$B$9))</f>
        <v/>
      </c>
    </row>
    <row r="550" ht="15" customHeight="1" s="341">
      <c r="L550" s="340">
        <f>IF(A550="","",SUMIF(DB_Savings!$C:$C,A550,DB_Savings!$F:$F))</f>
        <v/>
      </c>
      <c r="M550" s="340">
        <f>IF(A550="","",SUMIF(DB_Withdrawals!$C:$C,A550,DB_Withdrawals!$G:$G))</f>
        <v/>
      </c>
      <c r="N550" s="340">
        <f>IF(A550="","",I550+L550-M550)</f>
        <v/>
      </c>
      <c r="O550" s="340">
        <f>IF(A550="","",TRUE())</f>
        <v/>
      </c>
      <c r="P550" s="340">
        <f>IF(A550="","",MAX(0,N550-System_Config!$B$9))</f>
        <v/>
      </c>
    </row>
    <row r="551" ht="15" customHeight="1" s="341">
      <c r="L551" s="340">
        <f>IF(A551="","",SUMIF(DB_Savings!$C:$C,A551,DB_Savings!$F:$F))</f>
        <v/>
      </c>
      <c r="M551" s="340">
        <f>IF(A551="","",SUMIF(DB_Withdrawals!$C:$C,A551,DB_Withdrawals!$G:$G))</f>
        <v/>
      </c>
      <c r="N551" s="340">
        <f>IF(A551="","",I551+L551-M551)</f>
        <v/>
      </c>
      <c r="O551" s="340">
        <f>IF(A551="","",TRUE())</f>
        <v/>
      </c>
      <c r="P551" s="340">
        <f>IF(A551="","",MAX(0,N551-System_Config!$B$9))</f>
        <v/>
      </c>
    </row>
    <row r="552" ht="15" customHeight="1" s="341">
      <c r="L552" s="340">
        <f>IF(A552="","",SUMIF(DB_Savings!$C:$C,A552,DB_Savings!$F:$F))</f>
        <v/>
      </c>
      <c r="M552" s="340">
        <f>IF(A552="","",SUMIF(DB_Withdrawals!$C:$C,A552,DB_Withdrawals!$G:$G))</f>
        <v/>
      </c>
      <c r="N552" s="340">
        <f>IF(A552="","",I552+L552-M552)</f>
        <v/>
      </c>
      <c r="O552" s="340">
        <f>IF(A552="","",TRUE())</f>
        <v/>
      </c>
      <c r="P552" s="340">
        <f>IF(A552="","",MAX(0,N552-System_Config!$B$9))</f>
        <v/>
      </c>
    </row>
    <row r="553" ht="15" customHeight="1" s="341">
      <c r="L553" s="340">
        <f>IF(A553="","",SUMIF(DB_Savings!$C:$C,A553,DB_Savings!$F:$F))</f>
        <v/>
      </c>
      <c r="M553" s="340">
        <f>IF(A553="","",SUMIF(DB_Withdrawals!$C:$C,A553,DB_Withdrawals!$G:$G))</f>
        <v/>
      </c>
      <c r="N553" s="340">
        <f>IF(A553="","",I553+L553-M553)</f>
        <v/>
      </c>
      <c r="O553" s="340">
        <f>IF(A553="","",TRUE())</f>
        <v/>
      </c>
      <c r="P553" s="340">
        <f>IF(A553="","",MAX(0,N553-System_Config!$B$9))</f>
        <v/>
      </c>
    </row>
    <row r="554" ht="15" customHeight="1" s="341">
      <c r="L554" s="340">
        <f>IF(A554="","",SUMIF(DB_Savings!$C:$C,A554,DB_Savings!$F:$F))</f>
        <v/>
      </c>
      <c r="M554" s="340">
        <f>IF(A554="","",SUMIF(DB_Withdrawals!$C:$C,A554,DB_Withdrawals!$G:$G))</f>
        <v/>
      </c>
      <c r="N554" s="340">
        <f>IF(A554="","",I554+L554-M554)</f>
        <v/>
      </c>
      <c r="O554" s="340">
        <f>IF(A554="","",TRUE())</f>
        <v/>
      </c>
      <c r="P554" s="340">
        <f>IF(A554="","",MAX(0,N554-System_Config!$B$9))</f>
        <v/>
      </c>
    </row>
    <row r="555" ht="15" customHeight="1" s="341">
      <c r="L555" s="340">
        <f>IF(A555="","",SUMIF(DB_Savings!$C:$C,A555,DB_Savings!$F:$F))</f>
        <v/>
      </c>
      <c r="M555" s="340">
        <f>IF(A555="","",SUMIF(DB_Withdrawals!$C:$C,A555,DB_Withdrawals!$G:$G))</f>
        <v/>
      </c>
      <c r="N555" s="340">
        <f>IF(A555="","",I555+L555-M555)</f>
        <v/>
      </c>
      <c r="O555" s="340">
        <f>IF(A555="","",TRUE())</f>
        <v/>
      </c>
      <c r="P555" s="340">
        <f>IF(A555="","",MAX(0,N555-System_Config!$B$9))</f>
        <v/>
      </c>
    </row>
    <row r="556" ht="15" customHeight="1" s="341">
      <c r="L556" s="340">
        <f>IF(A556="","",SUMIF(DB_Savings!$C:$C,A556,DB_Savings!$F:$F))</f>
        <v/>
      </c>
      <c r="M556" s="340">
        <f>IF(A556="","",SUMIF(DB_Withdrawals!$C:$C,A556,DB_Withdrawals!$G:$G))</f>
        <v/>
      </c>
      <c r="N556" s="340">
        <f>IF(A556="","",I556+L556-M556)</f>
        <v/>
      </c>
      <c r="O556" s="340">
        <f>IF(A556="","",TRUE())</f>
        <v/>
      </c>
      <c r="P556" s="340">
        <f>IF(A556="","",MAX(0,N556-System_Config!$B$9))</f>
        <v/>
      </c>
    </row>
    <row r="557" ht="15" customHeight="1" s="341">
      <c r="L557" s="340">
        <f>IF(A557="","",SUMIF(DB_Savings!$C:$C,A557,DB_Savings!$F:$F))</f>
        <v/>
      </c>
      <c r="M557" s="340">
        <f>IF(A557="","",SUMIF(DB_Withdrawals!$C:$C,A557,DB_Withdrawals!$G:$G))</f>
        <v/>
      </c>
      <c r="N557" s="340">
        <f>IF(A557="","",I557+L557-M557)</f>
        <v/>
      </c>
      <c r="O557" s="340">
        <f>IF(A557="","",TRUE())</f>
        <v/>
      </c>
      <c r="P557" s="340">
        <f>IF(A557="","",MAX(0,N557-System_Config!$B$9))</f>
        <v/>
      </c>
    </row>
    <row r="558" ht="15" customHeight="1" s="341">
      <c r="L558" s="340">
        <f>IF(A558="","",SUMIF(DB_Savings!$C:$C,A558,DB_Savings!$F:$F))</f>
        <v/>
      </c>
      <c r="M558" s="340">
        <f>IF(A558="","",SUMIF(DB_Withdrawals!$C:$C,A558,DB_Withdrawals!$G:$G))</f>
        <v/>
      </c>
      <c r="N558" s="340">
        <f>IF(A558="","",I558+L558-M558)</f>
        <v/>
      </c>
      <c r="O558" s="340">
        <f>IF(A558="","",TRUE())</f>
        <v/>
      </c>
      <c r="P558" s="340">
        <f>IF(A558="","",MAX(0,N558-System_Config!$B$9))</f>
        <v/>
      </c>
    </row>
    <row r="559" ht="15" customHeight="1" s="341">
      <c r="L559" s="340">
        <f>IF(A559="","",SUMIF(DB_Savings!$C:$C,A559,DB_Savings!$F:$F))</f>
        <v/>
      </c>
      <c r="M559" s="340">
        <f>IF(A559="","",SUMIF(DB_Withdrawals!$C:$C,A559,DB_Withdrawals!$G:$G))</f>
        <v/>
      </c>
      <c r="N559" s="340">
        <f>IF(A559="","",I559+L559-M559)</f>
        <v/>
      </c>
      <c r="O559" s="340">
        <f>IF(A559="","",TRUE())</f>
        <v/>
      </c>
      <c r="P559" s="340">
        <f>IF(A559="","",MAX(0,N559-System_Config!$B$9))</f>
        <v/>
      </c>
    </row>
    <row r="560" ht="15" customHeight="1" s="341">
      <c r="L560" s="340">
        <f>IF(A560="","",SUMIF(DB_Savings!$C:$C,A560,DB_Savings!$F:$F))</f>
        <v/>
      </c>
      <c r="M560" s="340">
        <f>IF(A560="","",SUMIF(DB_Withdrawals!$C:$C,A560,DB_Withdrawals!$G:$G))</f>
        <v/>
      </c>
      <c r="N560" s="340">
        <f>IF(A560="","",I560+L560-M560)</f>
        <v/>
      </c>
      <c r="O560" s="340">
        <f>IF(A560="","",TRUE())</f>
        <v/>
      </c>
      <c r="P560" s="340">
        <f>IF(A560="","",MAX(0,N560-System_Config!$B$9))</f>
        <v/>
      </c>
    </row>
    <row r="561" ht="15" customHeight="1" s="341">
      <c r="L561" s="340">
        <f>IF(A561="","",SUMIF(DB_Savings!$C:$C,A561,DB_Savings!$F:$F))</f>
        <v/>
      </c>
      <c r="M561" s="340">
        <f>IF(A561="","",SUMIF(DB_Withdrawals!$C:$C,A561,DB_Withdrawals!$G:$G))</f>
        <v/>
      </c>
      <c r="N561" s="340">
        <f>IF(A561="","",I561+L561-M561)</f>
        <v/>
      </c>
      <c r="O561" s="340">
        <f>IF(A561="","",TRUE())</f>
        <v/>
      </c>
      <c r="P561" s="340">
        <f>IF(A561="","",MAX(0,N561-System_Config!$B$9))</f>
        <v/>
      </c>
    </row>
    <row r="562" ht="15" customHeight="1" s="341">
      <c r="L562" s="340">
        <f>IF(A562="","",SUMIF(DB_Savings!$C:$C,A562,DB_Savings!$F:$F))</f>
        <v/>
      </c>
      <c r="M562" s="340">
        <f>IF(A562="","",SUMIF(DB_Withdrawals!$C:$C,A562,DB_Withdrawals!$G:$G))</f>
        <v/>
      </c>
      <c r="N562" s="340">
        <f>IF(A562="","",I562+L562-M562)</f>
        <v/>
      </c>
      <c r="O562" s="340">
        <f>IF(A562="","",TRUE())</f>
        <v/>
      </c>
      <c r="P562" s="340">
        <f>IF(A562="","",MAX(0,N562-System_Config!$B$9))</f>
        <v/>
      </c>
    </row>
    <row r="563" ht="15" customHeight="1" s="341">
      <c r="L563" s="340">
        <f>IF(A563="","",SUMIF(DB_Savings!$C:$C,A563,DB_Savings!$F:$F))</f>
        <v/>
      </c>
      <c r="M563" s="340">
        <f>IF(A563="","",SUMIF(DB_Withdrawals!$C:$C,A563,DB_Withdrawals!$G:$G))</f>
        <v/>
      </c>
      <c r="N563" s="340">
        <f>IF(A563="","",I563+L563-M563)</f>
        <v/>
      </c>
      <c r="O563" s="340">
        <f>IF(A563="","",TRUE())</f>
        <v/>
      </c>
      <c r="P563" s="340">
        <f>IF(A563="","",MAX(0,N563-System_Config!$B$9))</f>
        <v/>
      </c>
    </row>
    <row r="564" ht="15" customHeight="1" s="341">
      <c r="L564" s="340">
        <f>IF(A564="","",SUMIF(DB_Savings!$C:$C,A564,DB_Savings!$F:$F))</f>
        <v/>
      </c>
      <c r="M564" s="340">
        <f>IF(A564="","",SUMIF(DB_Withdrawals!$C:$C,A564,DB_Withdrawals!$G:$G))</f>
        <v/>
      </c>
      <c r="N564" s="340">
        <f>IF(A564="","",I564+L564-M564)</f>
        <v/>
      </c>
      <c r="O564" s="340">
        <f>IF(A564="","",TRUE())</f>
        <v/>
      </c>
      <c r="P564" s="340">
        <f>IF(A564="","",MAX(0,N564-System_Config!$B$9))</f>
        <v/>
      </c>
    </row>
    <row r="565" ht="15" customHeight="1" s="341">
      <c r="L565" s="340">
        <f>IF(A565="","",SUMIF(DB_Savings!$C:$C,A565,DB_Savings!$F:$F))</f>
        <v/>
      </c>
      <c r="M565" s="340">
        <f>IF(A565="","",SUMIF(DB_Withdrawals!$C:$C,A565,DB_Withdrawals!$G:$G))</f>
        <v/>
      </c>
      <c r="N565" s="340">
        <f>IF(A565="","",I565+L565-M565)</f>
        <v/>
      </c>
      <c r="O565" s="340">
        <f>IF(A565="","",TRUE())</f>
        <v/>
      </c>
      <c r="P565" s="340">
        <f>IF(A565="","",MAX(0,N565-System_Config!$B$9))</f>
        <v/>
      </c>
    </row>
    <row r="566" ht="15" customHeight="1" s="341">
      <c r="L566" s="340">
        <f>IF(A566="","",SUMIF(DB_Savings!$C:$C,A566,DB_Savings!$F:$F))</f>
        <v/>
      </c>
      <c r="M566" s="340">
        <f>IF(A566="","",SUMIF(DB_Withdrawals!$C:$C,A566,DB_Withdrawals!$G:$G))</f>
        <v/>
      </c>
      <c r="N566" s="340">
        <f>IF(A566="","",I566+L566-M566)</f>
        <v/>
      </c>
      <c r="O566" s="340">
        <f>IF(A566="","",TRUE())</f>
        <v/>
      </c>
      <c r="P566" s="340">
        <f>IF(A566="","",MAX(0,N566-System_Config!$B$9))</f>
        <v/>
      </c>
    </row>
    <row r="567" ht="15" customHeight="1" s="341">
      <c r="L567" s="340">
        <f>IF(A567="","",SUMIF(DB_Savings!$C:$C,A567,DB_Savings!$F:$F))</f>
        <v/>
      </c>
      <c r="M567" s="340">
        <f>IF(A567="","",SUMIF(DB_Withdrawals!$C:$C,A567,DB_Withdrawals!$G:$G))</f>
        <v/>
      </c>
      <c r="N567" s="340">
        <f>IF(A567="","",I567+L567-M567)</f>
        <v/>
      </c>
      <c r="O567" s="340">
        <f>IF(A567="","",TRUE())</f>
        <v/>
      </c>
      <c r="P567" s="340">
        <f>IF(A567="","",MAX(0,N567-System_Config!$B$9))</f>
        <v/>
      </c>
    </row>
    <row r="568" ht="15" customHeight="1" s="341">
      <c r="L568" s="340">
        <f>IF(A568="","",SUMIF(DB_Savings!$C:$C,A568,DB_Savings!$F:$F))</f>
        <v/>
      </c>
      <c r="M568" s="340">
        <f>IF(A568="","",SUMIF(DB_Withdrawals!$C:$C,A568,DB_Withdrawals!$G:$G))</f>
        <v/>
      </c>
      <c r="N568" s="340">
        <f>IF(A568="","",I568+L568-M568)</f>
        <v/>
      </c>
      <c r="O568" s="340">
        <f>IF(A568="","",TRUE())</f>
        <v/>
      </c>
      <c r="P568" s="340">
        <f>IF(A568="","",MAX(0,N568-System_Config!$B$9))</f>
        <v/>
      </c>
    </row>
    <row r="569" ht="15" customHeight="1" s="341">
      <c r="L569" s="340">
        <f>IF(A569="","",SUMIF(DB_Savings!$C:$C,A569,DB_Savings!$F:$F))</f>
        <v/>
      </c>
      <c r="M569" s="340">
        <f>IF(A569="","",SUMIF(DB_Withdrawals!$C:$C,A569,DB_Withdrawals!$G:$G))</f>
        <v/>
      </c>
      <c r="N569" s="340">
        <f>IF(A569="","",I569+L569-M569)</f>
        <v/>
      </c>
      <c r="O569" s="340">
        <f>IF(A569="","",TRUE())</f>
        <v/>
      </c>
      <c r="P569" s="340">
        <f>IF(A569="","",MAX(0,N569-System_Config!$B$9))</f>
        <v/>
      </c>
    </row>
    <row r="570" ht="15" customHeight="1" s="341">
      <c r="L570" s="340">
        <f>IF(A570="","",SUMIF(DB_Savings!$C:$C,A570,DB_Savings!$F:$F))</f>
        <v/>
      </c>
      <c r="M570" s="340">
        <f>IF(A570="","",SUMIF(DB_Withdrawals!$C:$C,A570,DB_Withdrawals!$G:$G))</f>
        <v/>
      </c>
      <c r="N570" s="340">
        <f>IF(A570="","",I570+L570-M570)</f>
        <v/>
      </c>
      <c r="O570" s="340">
        <f>IF(A570="","",TRUE())</f>
        <v/>
      </c>
      <c r="P570" s="340">
        <f>IF(A570="","",MAX(0,N570-System_Config!$B$9))</f>
        <v/>
      </c>
    </row>
    <row r="571" ht="15" customHeight="1" s="341">
      <c r="L571" s="340">
        <f>IF(A571="","",SUMIF(DB_Savings!$C:$C,A571,DB_Savings!$F:$F))</f>
        <v/>
      </c>
      <c r="M571" s="340">
        <f>IF(A571="","",SUMIF(DB_Withdrawals!$C:$C,A571,DB_Withdrawals!$G:$G))</f>
        <v/>
      </c>
      <c r="N571" s="340">
        <f>IF(A571="","",I571+L571-M571)</f>
        <v/>
      </c>
      <c r="O571" s="340">
        <f>IF(A571="","",TRUE())</f>
        <v/>
      </c>
      <c r="P571" s="340">
        <f>IF(A571="","",MAX(0,N571-System_Config!$B$9))</f>
        <v/>
      </c>
    </row>
    <row r="572" ht="15" customHeight="1" s="341">
      <c r="L572" s="340">
        <f>IF(A572="","",SUMIF(DB_Savings!$C:$C,A572,DB_Savings!$F:$F))</f>
        <v/>
      </c>
      <c r="M572" s="340">
        <f>IF(A572="","",SUMIF(DB_Withdrawals!$C:$C,A572,DB_Withdrawals!$G:$G))</f>
        <v/>
      </c>
      <c r="N572" s="340">
        <f>IF(A572="","",I572+L572-M572)</f>
        <v/>
      </c>
      <c r="O572" s="340">
        <f>IF(A572="","",TRUE())</f>
        <v/>
      </c>
      <c r="P572" s="340">
        <f>IF(A572="","",MAX(0,N572-System_Config!$B$9))</f>
        <v/>
      </c>
    </row>
    <row r="573" ht="15" customHeight="1" s="341">
      <c r="L573" s="340">
        <f>IF(A573="","",SUMIF(DB_Savings!$C:$C,A573,DB_Savings!$F:$F))</f>
        <v/>
      </c>
      <c r="M573" s="340">
        <f>IF(A573="","",SUMIF(DB_Withdrawals!$C:$C,A573,DB_Withdrawals!$G:$G))</f>
        <v/>
      </c>
      <c r="N573" s="340">
        <f>IF(A573="","",I573+L573-M573)</f>
        <v/>
      </c>
      <c r="O573" s="340">
        <f>IF(A573="","",TRUE())</f>
        <v/>
      </c>
      <c r="P573" s="340">
        <f>IF(A573="","",MAX(0,N573-System_Config!$B$9))</f>
        <v/>
      </c>
    </row>
    <row r="574" ht="15" customHeight="1" s="341">
      <c r="L574" s="340">
        <f>IF(A574="","",SUMIF(DB_Savings!$C:$C,A574,DB_Savings!$F:$F))</f>
        <v/>
      </c>
      <c r="M574" s="340">
        <f>IF(A574="","",SUMIF(DB_Withdrawals!$C:$C,A574,DB_Withdrawals!$G:$G))</f>
        <v/>
      </c>
      <c r="N574" s="340">
        <f>IF(A574="","",I574+L574-M574)</f>
        <v/>
      </c>
      <c r="O574" s="340">
        <f>IF(A574="","",TRUE())</f>
        <v/>
      </c>
      <c r="P574" s="340">
        <f>IF(A574="","",MAX(0,N574-System_Config!$B$9))</f>
        <v/>
      </c>
    </row>
    <row r="575" ht="15" customHeight="1" s="341">
      <c r="L575" s="340">
        <f>IF(A575="","",SUMIF(DB_Savings!$C:$C,A575,DB_Savings!$F:$F))</f>
        <v/>
      </c>
      <c r="M575" s="340">
        <f>IF(A575="","",SUMIF(DB_Withdrawals!$C:$C,A575,DB_Withdrawals!$G:$G))</f>
        <v/>
      </c>
      <c r="N575" s="340">
        <f>IF(A575="","",I575+L575-M575)</f>
        <v/>
      </c>
      <c r="O575" s="340">
        <f>IF(A575="","",TRUE())</f>
        <v/>
      </c>
      <c r="P575" s="340">
        <f>IF(A575="","",MAX(0,N575-System_Config!$B$9))</f>
        <v/>
      </c>
    </row>
    <row r="576" ht="15" customHeight="1" s="341">
      <c r="L576" s="340">
        <f>IF(A576="","",SUMIF(DB_Savings!$C:$C,A576,DB_Savings!$F:$F))</f>
        <v/>
      </c>
      <c r="M576" s="340">
        <f>IF(A576="","",SUMIF(DB_Withdrawals!$C:$C,A576,DB_Withdrawals!$G:$G))</f>
        <v/>
      </c>
      <c r="N576" s="340">
        <f>IF(A576="","",I576+L576-M576)</f>
        <v/>
      </c>
      <c r="O576" s="340">
        <f>IF(A576="","",TRUE())</f>
        <v/>
      </c>
      <c r="P576" s="340">
        <f>IF(A576="","",MAX(0,N576-System_Config!$B$9))</f>
        <v/>
      </c>
    </row>
    <row r="577" ht="15" customHeight="1" s="341">
      <c r="L577" s="340">
        <f>IF(A577="","",SUMIF(DB_Savings!$C:$C,A577,DB_Savings!$F:$F))</f>
        <v/>
      </c>
      <c r="M577" s="340">
        <f>IF(A577="","",SUMIF(DB_Withdrawals!$C:$C,A577,DB_Withdrawals!$G:$G))</f>
        <v/>
      </c>
      <c r="N577" s="340">
        <f>IF(A577="","",I577+L577-M577)</f>
        <v/>
      </c>
      <c r="O577" s="340">
        <f>IF(A577="","",TRUE())</f>
        <v/>
      </c>
      <c r="P577" s="340">
        <f>IF(A577="","",MAX(0,N577-System_Config!$B$9))</f>
        <v/>
      </c>
    </row>
    <row r="578" ht="15" customHeight="1" s="341">
      <c r="L578" s="340">
        <f>IF(A578="","",SUMIF(DB_Savings!$C:$C,A578,DB_Savings!$F:$F))</f>
        <v/>
      </c>
      <c r="M578" s="340">
        <f>IF(A578="","",SUMIF(DB_Withdrawals!$C:$C,A578,DB_Withdrawals!$G:$G))</f>
        <v/>
      </c>
      <c r="N578" s="340">
        <f>IF(A578="","",I578+L578-M578)</f>
        <v/>
      </c>
      <c r="O578" s="340">
        <f>IF(A578="","",TRUE())</f>
        <v/>
      </c>
      <c r="P578" s="340">
        <f>IF(A578="","",MAX(0,N578-System_Config!$B$9))</f>
        <v/>
      </c>
    </row>
    <row r="579" ht="15" customHeight="1" s="341">
      <c r="L579" s="340">
        <f>IF(A579="","",SUMIF(DB_Savings!$C:$C,A579,DB_Savings!$F:$F))</f>
        <v/>
      </c>
      <c r="M579" s="340">
        <f>IF(A579="","",SUMIF(DB_Withdrawals!$C:$C,A579,DB_Withdrawals!$G:$G))</f>
        <v/>
      </c>
      <c r="N579" s="340">
        <f>IF(A579="","",I579+L579-M579)</f>
        <v/>
      </c>
      <c r="O579" s="340">
        <f>IF(A579="","",TRUE())</f>
        <v/>
      </c>
      <c r="P579" s="340">
        <f>IF(A579="","",MAX(0,N579-System_Config!$B$9))</f>
        <v/>
      </c>
    </row>
    <row r="580" ht="15" customHeight="1" s="341">
      <c r="L580" s="340">
        <f>IF(A580="","",SUMIF(DB_Savings!$C:$C,A580,DB_Savings!$F:$F))</f>
        <v/>
      </c>
      <c r="M580" s="340">
        <f>IF(A580="","",SUMIF(DB_Withdrawals!$C:$C,A580,DB_Withdrawals!$G:$G))</f>
        <v/>
      </c>
      <c r="N580" s="340">
        <f>IF(A580="","",I580+L580-M580)</f>
        <v/>
      </c>
      <c r="O580" s="340">
        <f>IF(A580="","",TRUE())</f>
        <v/>
      </c>
      <c r="P580" s="340">
        <f>IF(A580="","",MAX(0,N580-System_Config!$B$9))</f>
        <v/>
      </c>
    </row>
    <row r="581" ht="15" customHeight="1" s="341">
      <c r="L581" s="340">
        <f>IF(A581="","",SUMIF(DB_Savings!$C:$C,A581,DB_Savings!$F:$F))</f>
        <v/>
      </c>
      <c r="M581" s="340">
        <f>IF(A581="","",SUMIF(DB_Withdrawals!$C:$C,A581,DB_Withdrawals!$G:$G))</f>
        <v/>
      </c>
      <c r="N581" s="340">
        <f>IF(A581="","",I581+L581-M581)</f>
        <v/>
      </c>
      <c r="O581" s="340">
        <f>IF(A581="","",TRUE())</f>
        <v/>
      </c>
      <c r="P581" s="340">
        <f>IF(A581="","",MAX(0,N581-System_Config!$B$9))</f>
        <v/>
      </c>
    </row>
    <row r="582" ht="15" customHeight="1" s="341">
      <c r="L582" s="340">
        <f>IF(A582="","",SUMIF(DB_Savings!$C:$C,A582,DB_Savings!$F:$F))</f>
        <v/>
      </c>
      <c r="M582" s="340">
        <f>IF(A582="","",SUMIF(DB_Withdrawals!$C:$C,A582,DB_Withdrawals!$G:$G))</f>
        <v/>
      </c>
      <c r="N582" s="340">
        <f>IF(A582="","",I582+L582-M582)</f>
        <v/>
      </c>
      <c r="O582" s="340">
        <f>IF(A582="","",TRUE())</f>
        <v/>
      </c>
      <c r="P582" s="340">
        <f>IF(A582="","",MAX(0,N582-System_Config!$B$9))</f>
        <v/>
      </c>
    </row>
    <row r="583" ht="15" customHeight="1" s="341">
      <c r="L583" s="340">
        <f>IF(A583="","",SUMIF(DB_Savings!$C:$C,A583,DB_Savings!$F:$F))</f>
        <v/>
      </c>
      <c r="M583" s="340">
        <f>IF(A583="","",SUMIF(DB_Withdrawals!$C:$C,A583,DB_Withdrawals!$G:$G))</f>
        <v/>
      </c>
      <c r="N583" s="340">
        <f>IF(A583="","",I583+L583-M583)</f>
        <v/>
      </c>
      <c r="O583" s="340">
        <f>IF(A583="","",TRUE())</f>
        <v/>
      </c>
      <c r="P583" s="340">
        <f>IF(A583="","",MAX(0,N583-System_Config!$B$9))</f>
        <v/>
      </c>
    </row>
    <row r="584" ht="15" customHeight="1" s="341">
      <c r="L584" s="340">
        <f>IF(A584="","",SUMIF(DB_Savings!$C:$C,A584,DB_Savings!$F:$F))</f>
        <v/>
      </c>
      <c r="M584" s="340">
        <f>IF(A584="","",SUMIF(DB_Withdrawals!$C:$C,A584,DB_Withdrawals!$G:$G))</f>
        <v/>
      </c>
      <c r="N584" s="340">
        <f>IF(A584="","",I584+L584-M584)</f>
        <v/>
      </c>
      <c r="O584" s="340">
        <f>IF(A584="","",TRUE())</f>
        <v/>
      </c>
      <c r="P584" s="340">
        <f>IF(A584="","",MAX(0,N584-System_Config!$B$9))</f>
        <v/>
      </c>
    </row>
    <row r="585" ht="15" customHeight="1" s="341">
      <c r="L585" s="340">
        <f>IF(A585="","",SUMIF(DB_Savings!$C:$C,A585,DB_Savings!$F:$F))</f>
        <v/>
      </c>
      <c r="M585" s="340">
        <f>IF(A585="","",SUMIF(DB_Withdrawals!$C:$C,A585,DB_Withdrawals!$G:$G))</f>
        <v/>
      </c>
      <c r="N585" s="340">
        <f>IF(A585="","",I585+L585-M585)</f>
        <v/>
      </c>
      <c r="O585" s="340">
        <f>IF(A585="","",TRUE())</f>
        <v/>
      </c>
      <c r="P585" s="340">
        <f>IF(A585="","",MAX(0,N585-System_Config!$B$9))</f>
        <v/>
      </c>
    </row>
    <row r="586" ht="15" customHeight="1" s="341">
      <c r="L586" s="340">
        <f>IF(A586="","",SUMIF(DB_Savings!$C:$C,A586,DB_Savings!$F:$F))</f>
        <v/>
      </c>
      <c r="M586" s="340">
        <f>IF(A586="","",SUMIF(DB_Withdrawals!$C:$C,A586,DB_Withdrawals!$G:$G))</f>
        <v/>
      </c>
      <c r="N586" s="340">
        <f>IF(A586="","",I586+L586-M586)</f>
        <v/>
      </c>
      <c r="O586" s="340">
        <f>IF(A586="","",TRUE())</f>
        <v/>
      </c>
      <c r="P586" s="340">
        <f>IF(A586="","",MAX(0,N586-System_Config!$B$9))</f>
        <v/>
      </c>
    </row>
    <row r="587" ht="15" customHeight="1" s="341">
      <c r="L587" s="340">
        <f>IF(A587="","",SUMIF(DB_Savings!$C:$C,A587,DB_Savings!$F:$F))</f>
        <v/>
      </c>
      <c r="M587" s="340">
        <f>IF(A587="","",SUMIF(DB_Withdrawals!$C:$C,A587,DB_Withdrawals!$G:$G))</f>
        <v/>
      </c>
      <c r="N587" s="340">
        <f>IF(A587="","",I587+L587-M587)</f>
        <v/>
      </c>
      <c r="O587" s="340">
        <f>IF(A587="","",TRUE())</f>
        <v/>
      </c>
      <c r="P587" s="340">
        <f>IF(A587="","",MAX(0,N587-System_Config!$B$9))</f>
        <v/>
      </c>
    </row>
    <row r="588" ht="15" customHeight="1" s="341">
      <c r="L588" s="340">
        <f>IF(A588="","",SUMIF(DB_Savings!$C:$C,A588,DB_Savings!$F:$F))</f>
        <v/>
      </c>
      <c r="M588" s="340">
        <f>IF(A588="","",SUMIF(DB_Withdrawals!$C:$C,A588,DB_Withdrawals!$G:$G))</f>
        <v/>
      </c>
      <c r="N588" s="340">
        <f>IF(A588="","",I588+L588-M588)</f>
        <v/>
      </c>
      <c r="O588" s="340">
        <f>IF(A588="","",TRUE())</f>
        <v/>
      </c>
      <c r="P588" s="340">
        <f>IF(A588="","",MAX(0,N588-System_Config!$B$9))</f>
        <v/>
      </c>
    </row>
    <row r="589" ht="15" customHeight="1" s="341">
      <c r="L589" s="340">
        <f>IF(A589="","",SUMIF(DB_Savings!$C:$C,A589,DB_Savings!$F:$F))</f>
        <v/>
      </c>
      <c r="M589" s="340">
        <f>IF(A589="","",SUMIF(DB_Withdrawals!$C:$C,A589,DB_Withdrawals!$G:$G))</f>
        <v/>
      </c>
      <c r="N589" s="340">
        <f>IF(A589="","",I589+L589-M589)</f>
        <v/>
      </c>
      <c r="O589" s="340">
        <f>IF(A589="","",TRUE())</f>
        <v/>
      </c>
      <c r="P589" s="340">
        <f>IF(A589="","",MAX(0,N589-System_Config!$B$9))</f>
        <v/>
      </c>
    </row>
    <row r="590" ht="15" customHeight="1" s="341">
      <c r="L590" s="340">
        <f>IF(A590="","",SUMIF(DB_Savings!$C:$C,A590,DB_Savings!$F:$F))</f>
        <v/>
      </c>
      <c r="M590" s="340">
        <f>IF(A590="","",SUMIF(DB_Withdrawals!$C:$C,A590,DB_Withdrawals!$G:$G))</f>
        <v/>
      </c>
      <c r="N590" s="340">
        <f>IF(A590="","",I590+L590-M590)</f>
        <v/>
      </c>
      <c r="O590" s="340">
        <f>IF(A590="","",TRUE())</f>
        <v/>
      </c>
      <c r="P590" s="340">
        <f>IF(A590="","",MAX(0,N590-System_Config!$B$9))</f>
        <v/>
      </c>
    </row>
    <row r="591" ht="15" customHeight="1" s="341">
      <c r="L591" s="340">
        <f>IF(A591="","",SUMIF(DB_Savings!$C:$C,A591,DB_Savings!$F:$F))</f>
        <v/>
      </c>
      <c r="M591" s="340">
        <f>IF(A591="","",SUMIF(DB_Withdrawals!$C:$C,A591,DB_Withdrawals!$G:$G))</f>
        <v/>
      </c>
      <c r="N591" s="340">
        <f>IF(A591="","",I591+L591-M591)</f>
        <v/>
      </c>
      <c r="O591" s="340">
        <f>IF(A591="","",TRUE())</f>
        <v/>
      </c>
      <c r="P591" s="340">
        <f>IF(A591="","",MAX(0,N591-System_Config!$B$9))</f>
        <v/>
      </c>
    </row>
    <row r="592" ht="15" customHeight="1" s="341">
      <c r="L592" s="340">
        <f>IF(A592="","",SUMIF(DB_Savings!$C:$C,A592,DB_Savings!$F:$F))</f>
        <v/>
      </c>
      <c r="M592" s="340">
        <f>IF(A592="","",SUMIF(DB_Withdrawals!$C:$C,A592,DB_Withdrawals!$G:$G))</f>
        <v/>
      </c>
      <c r="N592" s="340">
        <f>IF(A592="","",I592+L592-M592)</f>
        <v/>
      </c>
      <c r="O592" s="340">
        <f>IF(A592="","",TRUE())</f>
        <v/>
      </c>
      <c r="P592" s="340">
        <f>IF(A592="","",MAX(0,N592-System_Config!$B$9))</f>
        <v/>
      </c>
    </row>
    <row r="593" ht="15" customHeight="1" s="341">
      <c r="L593" s="340">
        <f>IF(A593="","",SUMIF(DB_Savings!$C:$C,A593,DB_Savings!$F:$F))</f>
        <v/>
      </c>
      <c r="M593" s="340">
        <f>IF(A593="","",SUMIF(DB_Withdrawals!$C:$C,A593,DB_Withdrawals!$G:$G))</f>
        <v/>
      </c>
      <c r="N593" s="340">
        <f>IF(A593="","",I593+L593-M593)</f>
        <v/>
      </c>
      <c r="O593" s="340">
        <f>IF(A593="","",TRUE())</f>
        <v/>
      </c>
      <c r="P593" s="340">
        <f>IF(A593="","",MAX(0,N593-System_Config!$B$9))</f>
        <v/>
      </c>
    </row>
    <row r="594" ht="15" customHeight="1" s="341">
      <c r="L594" s="340">
        <f>IF(A594="","",SUMIF(DB_Savings!$C:$C,A594,DB_Savings!$F:$F))</f>
        <v/>
      </c>
      <c r="M594" s="340">
        <f>IF(A594="","",SUMIF(DB_Withdrawals!$C:$C,A594,DB_Withdrawals!$G:$G))</f>
        <v/>
      </c>
      <c r="N594" s="340">
        <f>IF(A594="","",I594+L594-M594)</f>
        <v/>
      </c>
      <c r="O594" s="340">
        <f>IF(A594="","",TRUE())</f>
        <v/>
      </c>
      <c r="P594" s="340">
        <f>IF(A594="","",MAX(0,N594-System_Config!$B$9))</f>
        <v/>
      </c>
    </row>
    <row r="595" ht="15" customHeight="1" s="341">
      <c r="L595" s="340">
        <f>IF(A595="","",SUMIF(DB_Savings!$C:$C,A595,DB_Savings!$F:$F))</f>
        <v/>
      </c>
      <c r="M595" s="340">
        <f>IF(A595="","",SUMIF(DB_Withdrawals!$C:$C,A595,DB_Withdrawals!$G:$G))</f>
        <v/>
      </c>
      <c r="N595" s="340">
        <f>IF(A595="","",I595+L595-M595)</f>
        <v/>
      </c>
      <c r="O595" s="340">
        <f>IF(A595="","",TRUE())</f>
        <v/>
      </c>
      <c r="P595" s="340">
        <f>IF(A595="","",MAX(0,N595-System_Config!$B$9))</f>
        <v/>
      </c>
    </row>
    <row r="596" ht="15" customHeight="1" s="341">
      <c r="L596" s="340">
        <f>IF(A596="","",SUMIF(DB_Savings!$C:$C,A596,DB_Savings!$F:$F))</f>
        <v/>
      </c>
      <c r="M596" s="340">
        <f>IF(A596="","",SUMIF(DB_Withdrawals!$C:$C,A596,DB_Withdrawals!$G:$G))</f>
        <v/>
      </c>
      <c r="N596" s="340">
        <f>IF(A596="","",I596+L596-M596)</f>
        <v/>
      </c>
      <c r="O596" s="340">
        <f>IF(A596="","",TRUE())</f>
        <v/>
      </c>
      <c r="P596" s="340">
        <f>IF(A596="","",MAX(0,N596-System_Config!$B$9))</f>
        <v/>
      </c>
    </row>
    <row r="597" ht="15" customHeight="1" s="341">
      <c r="L597" s="340">
        <f>IF(A597="","",SUMIF(DB_Savings!$C:$C,A597,DB_Savings!$F:$F))</f>
        <v/>
      </c>
      <c r="M597" s="340">
        <f>IF(A597="","",SUMIF(DB_Withdrawals!$C:$C,A597,DB_Withdrawals!$G:$G))</f>
        <v/>
      </c>
      <c r="N597" s="340">
        <f>IF(A597="","",I597+L597-M597)</f>
        <v/>
      </c>
      <c r="O597" s="340">
        <f>IF(A597="","",TRUE())</f>
        <v/>
      </c>
      <c r="P597" s="340">
        <f>IF(A597="","",MAX(0,N597-System_Config!$B$9))</f>
        <v/>
      </c>
    </row>
    <row r="598" ht="15" customHeight="1" s="341">
      <c r="L598" s="340">
        <f>IF(A598="","",SUMIF(DB_Savings!$C:$C,A598,DB_Savings!$F:$F))</f>
        <v/>
      </c>
      <c r="M598" s="340">
        <f>IF(A598="","",SUMIF(DB_Withdrawals!$C:$C,A598,DB_Withdrawals!$G:$G))</f>
        <v/>
      </c>
      <c r="N598" s="340">
        <f>IF(A598="","",I598+L598-M598)</f>
        <v/>
      </c>
      <c r="O598" s="340">
        <f>IF(A598="","",TRUE())</f>
        <v/>
      </c>
      <c r="P598" s="340">
        <f>IF(A598="","",MAX(0,N598-System_Config!$B$9))</f>
        <v/>
      </c>
    </row>
    <row r="599" ht="15" customHeight="1" s="341">
      <c r="L599" s="340">
        <f>IF(A599="","",SUMIF(DB_Savings!$C:$C,A599,DB_Savings!$F:$F))</f>
        <v/>
      </c>
      <c r="M599" s="340">
        <f>IF(A599="","",SUMIF(DB_Withdrawals!$C:$C,A599,DB_Withdrawals!$G:$G))</f>
        <v/>
      </c>
      <c r="N599" s="340">
        <f>IF(A599="","",I599+L599-M599)</f>
        <v/>
      </c>
      <c r="O599" s="340">
        <f>IF(A599="","",TRUE())</f>
        <v/>
      </c>
      <c r="P599" s="340">
        <f>IF(A599="","",MAX(0,N599-System_Config!$B$9))</f>
        <v/>
      </c>
    </row>
    <row r="600" ht="15" customHeight="1" s="341">
      <c r="L600" s="340">
        <f>IF(A600="","",SUMIF(DB_Savings!$C:$C,A600,DB_Savings!$F:$F))</f>
        <v/>
      </c>
      <c r="M600" s="340">
        <f>IF(A600="","",SUMIF(DB_Withdrawals!$C:$C,A600,DB_Withdrawals!$G:$G))</f>
        <v/>
      </c>
      <c r="N600" s="340">
        <f>IF(A600="","",I600+L600-M600)</f>
        <v/>
      </c>
      <c r="O600" s="340">
        <f>IF(A600="","",TRUE())</f>
        <v/>
      </c>
      <c r="P600" s="340">
        <f>IF(A600="","",MAX(0,N600-System_Config!$B$9))</f>
        <v/>
      </c>
    </row>
    <row r="601" ht="15" customHeight="1" s="341">
      <c r="L601" s="340">
        <f>IF(A601="","",SUMIF(DB_Savings!$C:$C,A601,DB_Savings!$F:$F))</f>
        <v/>
      </c>
      <c r="M601" s="340">
        <f>IF(A601="","",SUMIF(DB_Withdrawals!$C:$C,A601,DB_Withdrawals!$G:$G))</f>
        <v/>
      </c>
      <c r="N601" s="340">
        <f>IF(A601="","",I601+L601-M601)</f>
        <v/>
      </c>
      <c r="O601" s="340">
        <f>IF(A601="","",TRUE())</f>
        <v/>
      </c>
      <c r="P601" s="340">
        <f>IF(A601="","",MAX(0,N601-System_Config!$B$9))</f>
        <v/>
      </c>
    </row>
    <row r="602" ht="15" customHeight="1" s="341">
      <c r="L602" s="340">
        <f>IF(A602="","",SUMIF(DB_Savings!$C:$C,A602,DB_Savings!$F:$F))</f>
        <v/>
      </c>
      <c r="M602" s="340">
        <f>IF(A602="","",SUMIF(DB_Withdrawals!$C:$C,A602,DB_Withdrawals!$G:$G))</f>
        <v/>
      </c>
      <c r="N602" s="340">
        <f>IF(A602="","",I602+L602-M602)</f>
        <v/>
      </c>
      <c r="O602" s="340">
        <f>IF(A602="","",TRUE())</f>
        <v/>
      </c>
      <c r="P602" s="340">
        <f>IF(A602="","",MAX(0,N602-System_Config!$B$9))</f>
        <v/>
      </c>
    </row>
    <row r="603" ht="15" customHeight="1" s="341">
      <c r="L603" s="340">
        <f>IF(A603="","",SUMIF(DB_Savings!$C:$C,A603,DB_Savings!$F:$F))</f>
        <v/>
      </c>
      <c r="M603" s="340">
        <f>IF(A603="","",SUMIF(DB_Withdrawals!$C:$C,A603,DB_Withdrawals!$G:$G))</f>
        <v/>
      </c>
      <c r="N603" s="340">
        <f>IF(A603="","",I603+L603-M603)</f>
        <v/>
      </c>
      <c r="O603" s="340">
        <f>IF(A603="","",TRUE())</f>
        <v/>
      </c>
      <c r="P603" s="340">
        <f>IF(A603="","",MAX(0,N603-System_Config!$B$9))</f>
        <v/>
      </c>
    </row>
    <row r="604" ht="15" customHeight="1" s="341">
      <c r="L604" s="340">
        <f>IF(A604="","",SUMIF(DB_Savings!$C:$C,A604,DB_Savings!$F:$F))</f>
        <v/>
      </c>
      <c r="M604" s="340">
        <f>IF(A604="","",SUMIF(DB_Withdrawals!$C:$C,A604,DB_Withdrawals!$G:$G))</f>
        <v/>
      </c>
      <c r="N604" s="340">
        <f>IF(A604="","",I604+L604-M604)</f>
        <v/>
      </c>
      <c r="O604" s="340">
        <f>IF(A604="","",TRUE())</f>
        <v/>
      </c>
      <c r="P604" s="340">
        <f>IF(A604="","",MAX(0,N604-System_Config!$B$9))</f>
        <v/>
      </c>
    </row>
    <row r="605" ht="15" customHeight="1" s="341">
      <c r="L605" s="340">
        <f>IF(A605="","",SUMIF(DB_Savings!$C:$C,A605,DB_Savings!$F:$F))</f>
        <v/>
      </c>
      <c r="M605" s="340">
        <f>IF(A605="","",SUMIF(DB_Withdrawals!$C:$C,A605,DB_Withdrawals!$G:$G))</f>
        <v/>
      </c>
      <c r="N605" s="340">
        <f>IF(A605="","",I605+L605-M605)</f>
        <v/>
      </c>
      <c r="O605" s="340">
        <f>IF(A605="","",TRUE())</f>
        <v/>
      </c>
      <c r="P605" s="340">
        <f>IF(A605="","",MAX(0,N605-System_Config!$B$9))</f>
        <v/>
      </c>
    </row>
    <row r="606" ht="15" customHeight="1" s="341">
      <c r="L606" s="340">
        <f>IF(A606="","",SUMIF(DB_Savings!$C:$C,A606,DB_Savings!$F:$F))</f>
        <v/>
      </c>
      <c r="M606" s="340">
        <f>IF(A606="","",SUMIF(DB_Withdrawals!$C:$C,A606,DB_Withdrawals!$G:$G))</f>
        <v/>
      </c>
      <c r="N606" s="340">
        <f>IF(A606="","",I606+L606-M606)</f>
        <v/>
      </c>
      <c r="O606" s="340">
        <f>IF(A606="","",TRUE())</f>
        <v/>
      </c>
      <c r="P606" s="340">
        <f>IF(A606="","",MAX(0,N606-System_Config!$B$9))</f>
        <v/>
      </c>
    </row>
    <row r="607" ht="15" customHeight="1" s="341">
      <c r="L607" s="340">
        <f>IF(A607="","",SUMIF(DB_Savings!$C:$C,A607,DB_Savings!$F:$F))</f>
        <v/>
      </c>
      <c r="M607" s="340">
        <f>IF(A607="","",SUMIF(DB_Withdrawals!$C:$C,A607,DB_Withdrawals!$G:$G))</f>
        <v/>
      </c>
      <c r="N607" s="340">
        <f>IF(A607="","",I607+L607-M607)</f>
        <v/>
      </c>
      <c r="O607" s="340">
        <f>IF(A607="","",TRUE())</f>
        <v/>
      </c>
      <c r="P607" s="340">
        <f>IF(A607="","",MAX(0,N607-System_Config!$B$9))</f>
        <v/>
      </c>
    </row>
    <row r="608" ht="15" customHeight="1" s="341">
      <c r="L608" s="340">
        <f>IF(A608="","",SUMIF(DB_Savings!$C:$C,A608,DB_Savings!$F:$F))</f>
        <v/>
      </c>
      <c r="M608" s="340">
        <f>IF(A608="","",SUMIF(DB_Withdrawals!$C:$C,A608,DB_Withdrawals!$G:$G))</f>
        <v/>
      </c>
      <c r="N608" s="340">
        <f>IF(A608="","",I608+L608-M608)</f>
        <v/>
      </c>
      <c r="O608" s="340">
        <f>IF(A608="","",TRUE())</f>
        <v/>
      </c>
      <c r="P608" s="340">
        <f>IF(A608="","",MAX(0,N608-System_Config!$B$9))</f>
        <v/>
      </c>
    </row>
    <row r="609" ht="15" customHeight="1" s="341">
      <c r="L609" s="340">
        <f>IF(A609="","",SUMIF(DB_Savings!$C:$C,A609,DB_Savings!$F:$F))</f>
        <v/>
      </c>
      <c r="M609" s="340">
        <f>IF(A609="","",SUMIF(DB_Withdrawals!$C:$C,A609,DB_Withdrawals!$G:$G))</f>
        <v/>
      </c>
      <c r="N609" s="340">
        <f>IF(A609="","",I609+L609-M609)</f>
        <v/>
      </c>
      <c r="O609" s="340">
        <f>IF(A609="","",TRUE())</f>
        <v/>
      </c>
      <c r="P609" s="340">
        <f>IF(A609="","",MAX(0,N609-System_Config!$B$9))</f>
        <v/>
      </c>
    </row>
    <row r="610" ht="15" customHeight="1" s="341">
      <c r="L610" s="340">
        <f>IF(A610="","",SUMIF(DB_Savings!$C:$C,A610,DB_Savings!$F:$F))</f>
        <v/>
      </c>
      <c r="M610" s="340">
        <f>IF(A610="","",SUMIF(DB_Withdrawals!$C:$C,A610,DB_Withdrawals!$G:$G))</f>
        <v/>
      </c>
      <c r="N610" s="340">
        <f>IF(A610="","",I610+L610-M610)</f>
        <v/>
      </c>
      <c r="O610" s="340">
        <f>IF(A610="","",TRUE())</f>
        <v/>
      </c>
      <c r="P610" s="340">
        <f>IF(A610="","",MAX(0,N610-System_Config!$B$9))</f>
        <v/>
      </c>
    </row>
    <row r="611" ht="15" customHeight="1" s="341">
      <c r="L611" s="340">
        <f>IF(A611="","",SUMIF(DB_Savings!$C:$C,A611,DB_Savings!$F:$F))</f>
        <v/>
      </c>
      <c r="M611" s="340">
        <f>IF(A611="","",SUMIF(DB_Withdrawals!$C:$C,A611,DB_Withdrawals!$G:$G))</f>
        <v/>
      </c>
      <c r="N611" s="340">
        <f>IF(A611="","",I611+L611-M611)</f>
        <v/>
      </c>
      <c r="O611" s="340">
        <f>IF(A611="","",TRUE())</f>
        <v/>
      </c>
      <c r="P611" s="340">
        <f>IF(A611="","",MAX(0,N611-System_Config!$B$9))</f>
        <v/>
      </c>
    </row>
    <row r="612" ht="15" customHeight="1" s="341">
      <c r="L612" s="340">
        <f>IF(A612="","",SUMIF(DB_Savings!$C:$C,A612,DB_Savings!$F:$F))</f>
        <v/>
      </c>
      <c r="M612" s="340">
        <f>IF(A612="","",SUMIF(DB_Withdrawals!$C:$C,A612,DB_Withdrawals!$G:$G))</f>
        <v/>
      </c>
      <c r="N612" s="340">
        <f>IF(A612="","",I612+L612-M612)</f>
        <v/>
      </c>
      <c r="O612" s="340">
        <f>IF(A612="","",TRUE())</f>
        <v/>
      </c>
      <c r="P612" s="340">
        <f>IF(A612="","",MAX(0,N612-System_Config!$B$9))</f>
        <v/>
      </c>
    </row>
    <row r="613" ht="15" customHeight="1" s="341">
      <c r="L613" s="340">
        <f>IF(A613="","",SUMIF(DB_Savings!$C:$C,A613,DB_Savings!$F:$F))</f>
        <v/>
      </c>
      <c r="M613" s="340">
        <f>IF(A613="","",SUMIF(DB_Withdrawals!$C:$C,A613,DB_Withdrawals!$G:$G))</f>
        <v/>
      </c>
      <c r="N613" s="340">
        <f>IF(A613="","",I613+L613-M613)</f>
        <v/>
      </c>
      <c r="O613" s="340">
        <f>IF(A613="","",TRUE())</f>
        <v/>
      </c>
      <c r="P613" s="340">
        <f>IF(A613="","",MAX(0,N613-System_Config!$B$9))</f>
        <v/>
      </c>
    </row>
    <row r="614" ht="15" customHeight="1" s="341">
      <c r="L614" s="340">
        <f>IF(A614="","",SUMIF(DB_Savings!$C:$C,A614,DB_Savings!$F:$F))</f>
        <v/>
      </c>
      <c r="M614" s="340">
        <f>IF(A614="","",SUMIF(DB_Withdrawals!$C:$C,A614,DB_Withdrawals!$G:$G))</f>
        <v/>
      </c>
      <c r="N614" s="340">
        <f>IF(A614="","",I614+L614-M614)</f>
        <v/>
      </c>
      <c r="O614" s="340">
        <f>IF(A614="","",TRUE())</f>
        <v/>
      </c>
      <c r="P614" s="340">
        <f>IF(A614="","",MAX(0,N614-System_Config!$B$9))</f>
        <v/>
      </c>
    </row>
    <row r="615" ht="15" customHeight="1" s="341">
      <c r="L615" s="340">
        <f>IF(A615="","",SUMIF(DB_Savings!$C:$C,A615,DB_Savings!$F:$F))</f>
        <v/>
      </c>
      <c r="M615" s="340">
        <f>IF(A615="","",SUMIF(DB_Withdrawals!$C:$C,A615,DB_Withdrawals!$G:$G))</f>
        <v/>
      </c>
      <c r="N615" s="340">
        <f>IF(A615="","",I615+L615-M615)</f>
        <v/>
      </c>
      <c r="O615" s="340">
        <f>IF(A615="","",TRUE())</f>
        <v/>
      </c>
      <c r="P615" s="340">
        <f>IF(A615="","",MAX(0,N615-System_Config!$B$9))</f>
        <v/>
      </c>
    </row>
    <row r="616" ht="15" customHeight="1" s="341">
      <c r="L616" s="340">
        <f>IF(A616="","",SUMIF(DB_Savings!$C:$C,A616,DB_Savings!$F:$F))</f>
        <v/>
      </c>
      <c r="M616" s="340">
        <f>IF(A616="","",SUMIF(DB_Withdrawals!$C:$C,A616,DB_Withdrawals!$G:$G))</f>
        <v/>
      </c>
      <c r="N616" s="340">
        <f>IF(A616="","",I616+L616-M616)</f>
        <v/>
      </c>
      <c r="O616" s="340">
        <f>IF(A616="","",TRUE())</f>
        <v/>
      </c>
      <c r="P616" s="340">
        <f>IF(A616="","",MAX(0,N616-System_Config!$B$9))</f>
        <v/>
      </c>
    </row>
    <row r="617" ht="15" customHeight="1" s="341">
      <c r="L617" s="340">
        <f>IF(A617="","",SUMIF(DB_Savings!$C:$C,A617,DB_Savings!$F:$F))</f>
        <v/>
      </c>
      <c r="M617" s="340">
        <f>IF(A617="","",SUMIF(DB_Withdrawals!$C:$C,A617,DB_Withdrawals!$G:$G))</f>
        <v/>
      </c>
      <c r="N617" s="340">
        <f>IF(A617="","",I617+L617-M617)</f>
        <v/>
      </c>
      <c r="O617" s="340">
        <f>IF(A617="","",TRUE())</f>
        <v/>
      </c>
      <c r="P617" s="340">
        <f>IF(A617="","",MAX(0,N617-System_Config!$B$9))</f>
        <v/>
      </c>
    </row>
    <row r="618" ht="15" customHeight="1" s="341">
      <c r="L618" s="340">
        <f>IF(A618="","",SUMIF(DB_Savings!$C:$C,A618,DB_Savings!$F:$F))</f>
        <v/>
      </c>
      <c r="M618" s="340">
        <f>IF(A618="","",SUMIF(DB_Withdrawals!$C:$C,A618,DB_Withdrawals!$G:$G))</f>
        <v/>
      </c>
      <c r="N618" s="340">
        <f>IF(A618="","",I618+L618-M618)</f>
        <v/>
      </c>
      <c r="O618" s="340">
        <f>IF(A618="","",TRUE())</f>
        <v/>
      </c>
      <c r="P618" s="340">
        <f>IF(A618="","",MAX(0,N618-System_Config!$B$9))</f>
        <v/>
      </c>
    </row>
    <row r="619" ht="15" customHeight="1" s="341">
      <c r="L619" s="340">
        <f>IF(A619="","",SUMIF(DB_Savings!$C:$C,A619,DB_Savings!$F:$F))</f>
        <v/>
      </c>
      <c r="M619" s="340">
        <f>IF(A619="","",SUMIF(DB_Withdrawals!$C:$C,A619,DB_Withdrawals!$G:$G))</f>
        <v/>
      </c>
      <c r="N619" s="340">
        <f>IF(A619="","",I619+L619-M619)</f>
        <v/>
      </c>
      <c r="O619" s="340">
        <f>IF(A619="","",TRUE())</f>
        <v/>
      </c>
      <c r="P619" s="340">
        <f>IF(A619="","",MAX(0,N619-System_Config!$B$9))</f>
        <v/>
      </c>
    </row>
    <row r="620" ht="15" customHeight="1" s="341">
      <c r="L620" s="340">
        <f>IF(A620="","",SUMIF(DB_Savings!$C:$C,A620,DB_Savings!$F:$F))</f>
        <v/>
      </c>
      <c r="M620" s="340">
        <f>IF(A620="","",SUMIF(DB_Withdrawals!$C:$C,A620,DB_Withdrawals!$G:$G))</f>
        <v/>
      </c>
      <c r="N620" s="340">
        <f>IF(A620="","",I620+L620-M620)</f>
        <v/>
      </c>
      <c r="O620" s="340">
        <f>IF(A620="","",TRUE())</f>
        <v/>
      </c>
      <c r="P620" s="340">
        <f>IF(A620="","",MAX(0,N620-System_Config!$B$9))</f>
        <v/>
      </c>
    </row>
    <row r="621" ht="15" customHeight="1" s="341">
      <c r="L621" s="340">
        <f>IF(A621="","",SUMIF(DB_Savings!$C:$C,A621,DB_Savings!$F:$F))</f>
        <v/>
      </c>
      <c r="M621" s="340">
        <f>IF(A621="","",SUMIF(DB_Withdrawals!$C:$C,A621,DB_Withdrawals!$G:$G))</f>
        <v/>
      </c>
      <c r="N621" s="340">
        <f>IF(A621="","",I621+L621-M621)</f>
        <v/>
      </c>
      <c r="O621" s="340">
        <f>IF(A621="","",TRUE())</f>
        <v/>
      </c>
      <c r="P621" s="340">
        <f>IF(A621="","",MAX(0,N621-System_Config!$B$9))</f>
        <v/>
      </c>
    </row>
    <row r="622" ht="15" customHeight="1" s="341">
      <c r="L622" s="340">
        <f>IF(A622="","",SUMIF(DB_Savings!$C:$C,A622,DB_Savings!$F:$F))</f>
        <v/>
      </c>
      <c r="M622" s="340">
        <f>IF(A622="","",SUMIF(DB_Withdrawals!$C:$C,A622,DB_Withdrawals!$G:$G))</f>
        <v/>
      </c>
      <c r="N622" s="340">
        <f>IF(A622="","",I622+L622-M622)</f>
        <v/>
      </c>
      <c r="O622" s="340">
        <f>IF(A622="","",TRUE())</f>
        <v/>
      </c>
      <c r="P622" s="340">
        <f>IF(A622="","",MAX(0,N622-System_Config!$B$9))</f>
        <v/>
      </c>
    </row>
    <row r="623" ht="15" customHeight="1" s="341">
      <c r="L623" s="340">
        <f>IF(A623="","",SUMIF(DB_Savings!$C:$C,A623,DB_Savings!$F:$F))</f>
        <v/>
      </c>
      <c r="M623" s="340">
        <f>IF(A623="","",SUMIF(DB_Withdrawals!$C:$C,A623,DB_Withdrawals!$G:$G))</f>
        <v/>
      </c>
      <c r="N623" s="340">
        <f>IF(A623="","",I623+L623-M623)</f>
        <v/>
      </c>
      <c r="O623" s="340">
        <f>IF(A623="","",TRUE())</f>
        <v/>
      </c>
      <c r="P623" s="340">
        <f>IF(A623="","",MAX(0,N623-System_Config!$B$9))</f>
        <v/>
      </c>
    </row>
    <row r="624" ht="15" customHeight="1" s="341">
      <c r="L624" s="340">
        <f>IF(A624="","",SUMIF(DB_Savings!$C:$C,A624,DB_Savings!$F:$F))</f>
        <v/>
      </c>
      <c r="M624" s="340">
        <f>IF(A624="","",SUMIF(DB_Withdrawals!$C:$C,A624,DB_Withdrawals!$G:$G))</f>
        <v/>
      </c>
      <c r="N624" s="340">
        <f>IF(A624="","",I624+L624-M624)</f>
        <v/>
      </c>
      <c r="O624" s="340">
        <f>IF(A624="","",TRUE())</f>
        <v/>
      </c>
      <c r="P624" s="340">
        <f>IF(A624="","",MAX(0,N624-System_Config!$B$9))</f>
        <v/>
      </c>
    </row>
    <row r="625" ht="15" customHeight="1" s="341">
      <c r="L625" s="340">
        <f>IF(A625="","",SUMIF(DB_Savings!$C:$C,A625,DB_Savings!$F:$F))</f>
        <v/>
      </c>
      <c r="M625" s="340">
        <f>IF(A625="","",SUMIF(DB_Withdrawals!$C:$C,A625,DB_Withdrawals!$G:$G))</f>
        <v/>
      </c>
      <c r="N625" s="340">
        <f>IF(A625="","",I625+L625-M625)</f>
        <v/>
      </c>
      <c r="O625" s="340">
        <f>IF(A625="","",TRUE())</f>
        <v/>
      </c>
      <c r="P625" s="340">
        <f>IF(A625="","",MAX(0,N625-System_Config!$B$9))</f>
        <v/>
      </c>
    </row>
    <row r="626" ht="15" customHeight="1" s="341">
      <c r="L626" s="340">
        <f>IF(A626="","",SUMIF(DB_Savings!$C:$C,A626,DB_Savings!$F:$F))</f>
        <v/>
      </c>
      <c r="M626" s="340">
        <f>IF(A626="","",SUMIF(DB_Withdrawals!$C:$C,A626,DB_Withdrawals!$G:$G))</f>
        <v/>
      </c>
      <c r="N626" s="340">
        <f>IF(A626="","",I626+L626-M626)</f>
        <v/>
      </c>
      <c r="O626" s="340">
        <f>IF(A626="","",TRUE())</f>
        <v/>
      </c>
      <c r="P626" s="340">
        <f>IF(A626="","",MAX(0,N626-System_Config!$B$9))</f>
        <v/>
      </c>
    </row>
    <row r="627" ht="15" customHeight="1" s="341">
      <c r="L627" s="340">
        <f>IF(A627="","",SUMIF(DB_Savings!$C:$C,A627,DB_Savings!$F:$F))</f>
        <v/>
      </c>
      <c r="M627" s="340">
        <f>IF(A627="","",SUMIF(DB_Withdrawals!$C:$C,A627,DB_Withdrawals!$G:$G))</f>
        <v/>
      </c>
      <c r="N627" s="340">
        <f>IF(A627="","",I627+L627-M627)</f>
        <v/>
      </c>
      <c r="O627" s="340">
        <f>IF(A627="","",TRUE())</f>
        <v/>
      </c>
      <c r="P627" s="340">
        <f>IF(A627="","",MAX(0,N627-System_Config!$B$9))</f>
        <v/>
      </c>
    </row>
    <row r="628" ht="15" customHeight="1" s="341">
      <c r="L628" s="340">
        <f>IF(A628="","",SUMIF(DB_Savings!$C:$C,A628,DB_Savings!$F:$F))</f>
        <v/>
      </c>
      <c r="M628" s="340">
        <f>IF(A628="","",SUMIF(DB_Withdrawals!$C:$C,A628,DB_Withdrawals!$G:$G))</f>
        <v/>
      </c>
      <c r="N628" s="340">
        <f>IF(A628="","",I628+L628-M628)</f>
        <v/>
      </c>
      <c r="O628" s="340">
        <f>IF(A628="","",TRUE())</f>
        <v/>
      </c>
      <c r="P628" s="340">
        <f>IF(A628="","",MAX(0,N628-System_Config!$B$9))</f>
        <v/>
      </c>
    </row>
    <row r="629" ht="15" customHeight="1" s="341">
      <c r="L629" s="340">
        <f>IF(A629="","",SUMIF(DB_Savings!$C:$C,A629,DB_Savings!$F:$F))</f>
        <v/>
      </c>
      <c r="M629" s="340">
        <f>IF(A629="","",SUMIF(DB_Withdrawals!$C:$C,A629,DB_Withdrawals!$G:$G))</f>
        <v/>
      </c>
      <c r="N629" s="340">
        <f>IF(A629="","",I629+L629-M629)</f>
        <v/>
      </c>
      <c r="O629" s="340">
        <f>IF(A629="","",TRUE())</f>
        <v/>
      </c>
      <c r="P629" s="340">
        <f>IF(A629="","",MAX(0,N629-System_Config!$B$9))</f>
        <v/>
      </c>
    </row>
    <row r="630" ht="15" customHeight="1" s="341">
      <c r="L630" s="340">
        <f>IF(A630="","",SUMIF(DB_Savings!$C:$C,A630,DB_Savings!$F:$F))</f>
        <v/>
      </c>
      <c r="M630" s="340">
        <f>IF(A630="","",SUMIF(DB_Withdrawals!$C:$C,A630,DB_Withdrawals!$G:$G))</f>
        <v/>
      </c>
      <c r="N630" s="340">
        <f>IF(A630="","",I630+L630-M630)</f>
        <v/>
      </c>
      <c r="O630" s="340">
        <f>IF(A630="","",TRUE())</f>
        <v/>
      </c>
      <c r="P630" s="340">
        <f>IF(A630="","",MAX(0,N630-System_Config!$B$9))</f>
        <v/>
      </c>
    </row>
    <row r="631" ht="15" customHeight="1" s="341">
      <c r="L631" s="340">
        <f>IF(A631="","",SUMIF(DB_Savings!$C:$C,A631,DB_Savings!$F:$F))</f>
        <v/>
      </c>
      <c r="M631" s="340">
        <f>IF(A631="","",SUMIF(DB_Withdrawals!$C:$C,A631,DB_Withdrawals!$G:$G))</f>
        <v/>
      </c>
      <c r="N631" s="340">
        <f>IF(A631="","",I631+L631-M631)</f>
        <v/>
      </c>
      <c r="O631" s="340">
        <f>IF(A631="","",TRUE())</f>
        <v/>
      </c>
      <c r="P631" s="340">
        <f>IF(A631="","",MAX(0,N631-System_Config!$B$9))</f>
        <v/>
      </c>
    </row>
    <row r="632" ht="15" customHeight="1" s="341">
      <c r="L632" s="340">
        <f>IF(A632="","",SUMIF(DB_Savings!$C:$C,A632,DB_Savings!$F:$F))</f>
        <v/>
      </c>
      <c r="M632" s="340">
        <f>IF(A632="","",SUMIF(DB_Withdrawals!$C:$C,A632,DB_Withdrawals!$G:$G))</f>
        <v/>
      </c>
      <c r="N632" s="340">
        <f>IF(A632="","",I632+L632-M632)</f>
        <v/>
      </c>
      <c r="O632" s="340">
        <f>IF(A632="","",TRUE())</f>
        <v/>
      </c>
      <c r="P632" s="340">
        <f>IF(A632="","",MAX(0,N632-System_Config!$B$9))</f>
        <v/>
      </c>
    </row>
    <row r="633" ht="15" customHeight="1" s="341">
      <c r="L633" s="340">
        <f>IF(A633="","",SUMIF(DB_Savings!$C:$C,A633,DB_Savings!$F:$F))</f>
        <v/>
      </c>
      <c r="M633" s="340">
        <f>IF(A633="","",SUMIF(DB_Withdrawals!$C:$C,A633,DB_Withdrawals!$G:$G))</f>
        <v/>
      </c>
      <c r="N633" s="340">
        <f>IF(A633="","",I633+L633-M633)</f>
        <v/>
      </c>
      <c r="O633" s="340">
        <f>IF(A633="","",TRUE())</f>
        <v/>
      </c>
      <c r="P633" s="340">
        <f>IF(A633="","",MAX(0,N633-System_Config!$B$9))</f>
        <v/>
      </c>
    </row>
    <row r="634" ht="15" customHeight="1" s="341">
      <c r="L634" s="340">
        <f>IF(A634="","",SUMIF(DB_Savings!$C:$C,A634,DB_Savings!$F:$F))</f>
        <v/>
      </c>
      <c r="M634" s="340">
        <f>IF(A634="","",SUMIF(DB_Withdrawals!$C:$C,A634,DB_Withdrawals!$G:$G))</f>
        <v/>
      </c>
      <c r="N634" s="340">
        <f>IF(A634="","",I634+L634-M634)</f>
        <v/>
      </c>
      <c r="O634" s="340">
        <f>IF(A634="","",TRUE())</f>
        <v/>
      </c>
      <c r="P634" s="340">
        <f>IF(A634="","",MAX(0,N634-System_Config!$B$9))</f>
        <v/>
      </c>
    </row>
    <row r="635" ht="15" customHeight="1" s="341">
      <c r="L635" s="340">
        <f>IF(A635="","",SUMIF(DB_Savings!$C:$C,A635,DB_Savings!$F:$F))</f>
        <v/>
      </c>
      <c r="M635" s="340">
        <f>IF(A635="","",SUMIF(DB_Withdrawals!$C:$C,A635,DB_Withdrawals!$G:$G))</f>
        <v/>
      </c>
      <c r="N635" s="340">
        <f>IF(A635="","",I635+L635-M635)</f>
        <v/>
      </c>
      <c r="O635" s="340">
        <f>IF(A635="","",TRUE())</f>
        <v/>
      </c>
      <c r="P635" s="340">
        <f>IF(A635="","",MAX(0,N635-System_Config!$B$9))</f>
        <v/>
      </c>
    </row>
    <row r="636" ht="15" customHeight="1" s="341">
      <c r="L636" s="340">
        <f>IF(A636="","",SUMIF(DB_Savings!$C:$C,A636,DB_Savings!$F:$F))</f>
        <v/>
      </c>
      <c r="M636" s="340">
        <f>IF(A636="","",SUMIF(DB_Withdrawals!$C:$C,A636,DB_Withdrawals!$G:$G))</f>
        <v/>
      </c>
      <c r="N636" s="340">
        <f>IF(A636="","",I636+L636-M636)</f>
        <v/>
      </c>
      <c r="O636" s="340">
        <f>IF(A636="","",TRUE())</f>
        <v/>
      </c>
      <c r="P636" s="340">
        <f>IF(A636="","",MAX(0,N636-System_Config!$B$9))</f>
        <v/>
      </c>
    </row>
    <row r="637" ht="15" customHeight="1" s="341">
      <c r="L637" s="340">
        <f>IF(A637="","",SUMIF(DB_Savings!$C:$C,A637,DB_Savings!$F:$F))</f>
        <v/>
      </c>
      <c r="M637" s="340">
        <f>IF(A637="","",SUMIF(DB_Withdrawals!$C:$C,A637,DB_Withdrawals!$G:$G))</f>
        <v/>
      </c>
      <c r="N637" s="340">
        <f>IF(A637="","",I637+L637-M637)</f>
        <v/>
      </c>
      <c r="O637" s="340">
        <f>IF(A637="","",TRUE())</f>
        <v/>
      </c>
      <c r="P637" s="340">
        <f>IF(A637="","",MAX(0,N637-System_Config!$B$9))</f>
        <v/>
      </c>
    </row>
    <row r="638" ht="15" customHeight="1" s="341">
      <c r="L638" s="340">
        <f>IF(A638="","",SUMIF(DB_Savings!$C:$C,A638,DB_Savings!$F:$F))</f>
        <v/>
      </c>
      <c r="M638" s="340">
        <f>IF(A638="","",SUMIF(DB_Withdrawals!$C:$C,A638,DB_Withdrawals!$G:$G))</f>
        <v/>
      </c>
      <c r="N638" s="340">
        <f>IF(A638="","",I638+L638-M638)</f>
        <v/>
      </c>
      <c r="O638" s="340">
        <f>IF(A638="","",TRUE())</f>
        <v/>
      </c>
      <c r="P638" s="340">
        <f>IF(A638="","",MAX(0,N638-System_Config!$B$9))</f>
        <v/>
      </c>
    </row>
    <row r="639" ht="15" customHeight="1" s="341">
      <c r="L639" s="340">
        <f>IF(A639="","",SUMIF(DB_Savings!$C:$C,A639,DB_Savings!$F:$F))</f>
        <v/>
      </c>
      <c r="M639" s="340">
        <f>IF(A639="","",SUMIF(DB_Withdrawals!$C:$C,A639,DB_Withdrawals!$G:$G))</f>
        <v/>
      </c>
      <c r="N639" s="340">
        <f>IF(A639="","",I639+L639-M639)</f>
        <v/>
      </c>
      <c r="O639" s="340">
        <f>IF(A639="","",TRUE())</f>
        <v/>
      </c>
      <c r="P639" s="340">
        <f>IF(A639="","",MAX(0,N639-System_Config!$B$9))</f>
        <v/>
      </c>
    </row>
    <row r="640" ht="15" customHeight="1" s="341">
      <c r="L640" s="340">
        <f>IF(A640="","",SUMIF(DB_Savings!$C:$C,A640,DB_Savings!$F:$F))</f>
        <v/>
      </c>
      <c r="M640" s="340">
        <f>IF(A640="","",SUMIF(DB_Withdrawals!$C:$C,A640,DB_Withdrawals!$G:$G))</f>
        <v/>
      </c>
      <c r="N640" s="340">
        <f>IF(A640="","",I640+L640-M640)</f>
        <v/>
      </c>
      <c r="O640" s="340">
        <f>IF(A640="","",TRUE())</f>
        <v/>
      </c>
      <c r="P640" s="340">
        <f>IF(A640="","",MAX(0,N640-System_Config!$B$9))</f>
        <v/>
      </c>
    </row>
    <row r="641" ht="15" customHeight="1" s="341">
      <c r="L641" s="340">
        <f>IF(A641="","",SUMIF(DB_Savings!$C:$C,A641,DB_Savings!$F:$F))</f>
        <v/>
      </c>
      <c r="M641" s="340">
        <f>IF(A641="","",SUMIF(DB_Withdrawals!$C:$C,A641,DB_Withdrawals!$G:$G))</f>
        <v/>
      </c>
      <c r="N641" s="340">
        <f>IF(A641="","",I641+L641-M641)</f>
        <v/>
      </c>
      <c r="O641" s="340">
        <f>IF(A641="","",TRUE())</f>
        <v/>
      </c>
      <c r="P641" s="340">
        <f>IF(A641="","",MAX(0,N641-System_Config!$B$9))</f>
        <v/>
      </c>
    </row>
    <row r="642" ht="15" customHeight="1" s="341">
      <c r="L642" s="340">
        <f>IF(A642="","",SUMIF(DB_Savings!$C:$C,A642,DB_Savings!$F:$F))</f>
        <v/>
      </c>
      <c r="M642" s="340">
        <f>IF(A642="","",SUMIF(DB_Withdrawals!$C:$C,A642,DB_Withdrawals!$G:$G))</f>
        <v/>
      </c>
      <c r="N642" s="340">
        <f>IF(A642="","",I642+L642-M642)</f>
        <v/>
      </c>
      <c r="O642" s="340">
        <f>IF(A642="","",TRUE())</f>
        <v/>
      </c>
      <c r="P642" s="340">
        <f>IF(A642="","",MAX(0,N642-System_Config!$B$9))</f>
        <v/>
      </c>
    </row>
    <row r="643" ht="15" customHeight="1" s="341">
      <c r="L643" s="340">
        <f>IF(A643="","",SUMIF(DB_Savings!$C:$C,A643,DB_Savings!$F:$F))</f>
        <v/>
      </c>
      <c r="M643" s="340">
        <f>IF(A643="","",SUMIF(DB_Withdrawals!$C:$C,A643,DB_Withdrawals!$G:$G))</f>
        <v/>
      </c>
      <c r="N643" s="340">
        <f>IF(A643="","",I643+L643-M643)</f>
        <v/>
      </c>
      <c r="O643" s="340">
        <f>IF(A643="","",TRUE())</f>
        <v/>
      </c>
      <c r="P643" s="340">
        <f>IF(A643="","",MAX(0,N643-System_Config!$B$9))</f>
        <v/>
      </c>
    </row>
    <row r="644" ht="15" customHeight="1" s="341">
      <c r="L644" s="340">
        <f>IF(A644="","",SUMIF(DB_Savings!$C:$C,A644,DB_Savings!$F:$F))</f>
        <v/>
      </c>
      <c r="M644" s="340">
        <f>IF(A644="","",SUMIF(DB_Withdrawals!$C:$C,A644,DB_Withdrawals!$G:$G))</f>
        <v/>
      </c>
      <c r="N644" s="340">
        <f>IF(A644="","",I644+L644-M644)</f>
        <v/>
      </c>
      <c r="O644" s="340">
        <f>IF(A644="","",TRUE())</f>
        <v/>
      </c>
      <c r="P644" s="340">
        <f>IF(A644="","",MAX(0,N644-System_Config!$B$9))</f>
        <v/>
      </c>
    </row>
    <row r="645" ht="15" customHeight="1" s="341">
      <c r="L645" s="340">
        <f>IF(A645="","",SUMIF(DB_Savings!$C:$C,A645,DB_Savings!$F:$F))</f>
        <v/>
      </c>
      <c r="M645" s="340">
        <f>IF(A645="","",SUMIF(DB_Withdrawals!$C:$C,A645,DB_Withdrawals!$G:$G))</f>
        <v/>
      </c>
      <c r="N645" s="340">
        <f>IF(A645="","",I645+L645-M645)</f>
        <v/>
      </c>
      <c r="O645" s="340">
        <f>IF(A645="","",TRUE())</f>
        <v/>
      </c>
      <c r="P645" s="340">
        <f>IF(A645="","",MAX(0,N645-System_Config!$B$9))</f>
        <v/>
      </c>
    </row>
    <row r="646" ht="15" customHeight="1" s="341">
      <c r="L646" s="340">
        <f>IF(A646="","",SUMIF(DB_Savings!$C:$C,A646,DB_Savings!$F:$F))</f>
        <v/>
      </c>
      <c r="M646" s="340">
        <f>IF(A646="","",SUMIF(DB_Withdrawals!$C:$C,A646,DB_Withdrawals!$G:$G))</f>
        <v/>
      </c>
      <c r="N646" s="340">
        <f>IF(A646="","",I646+L646-M646)</f>
        <v/>
      </c>
      <c r="O646" s="340">
        <f>IF(A646="","",TRUE())</f>
        <v/>
      </c>
      <c r="P646" s="340">
        <f>IF(A646="","",MAX(0,N646-System_Config!$B$9))</f>
        <v/>
      </c>
    </row>
    <row r="647" ht="15" customHeight="1" s="341">
      <c r="L647" s="340">
        <f>IF(A647="","",SUMIF(DB_Savings!$C:$C,A647,DB_Savings!$F:$F))</f>
        <v/>
      </c>
      <c r="M647" s="340">
        <f>IF(A647="","",SUMIF(DB_Withdrawals!$C:$C,A647,DB_Withdrawals!$G:$G))</f>
        <v/>
      </c>
      <c r="N647" s="340">
        <f>IF(A647="","",I647+L647-M647)</f>
        <v/>
      </c>
      <c r="O647" s="340">
        <f>IF(A647="","",TRUE())</f>
        <v/>
      </c>
      <c r="P647" s="340">
        <f>IF(A647="","",MAX(0,N647-System_Config!$B$9))</f>
        <v/>
      </c>
    </row>
    <row r="648" ht="15" customHeight="1" s="341">
      <c r="L648" s="340">
        <f>IF(A648="","",SUMIF(DB_Savings!$C:$C,A648,DB_Savings!$F:$F))</f>
        <v/>
      </c>
      <c r="M648" s="340">
        <f>IF(A648="","",SUMIF(DB_Withdrawals!$C:$C,A648,DB_Withdrawals!$G:$G))</f>
        <v/>
      </c>
      <c r="N648" s="340">
        <f>IF(A648="","",I648+L648-M648)</f>
        <v/>
      </c>
      <c r="O648" s="340">
        <f>IF(A648="","",TRUE())</f>
        <v/>
      </c>
      <c r="P648" s="340">
        <f>IF(A648="","",MAX(0,N648-System_Config!$B$9))</f>
        <v/>
      </c>
    </row>
    <row r="649" ht="15" customHeight="1" s="341">
      <c r="L649" s="340">
        <f>IF(A649="","",SUMIF(DB_Savings!$C:$C,A649,DB_Savings!$F:$F))</f>
        <v/>
      </c>
      <c r="M649" s="340">
        <f>IF(A649="","",SUMIF(DB_Withdrawals!$C:$C,A649,DB_Withdrawals!$G:$G))</f>
        <v/>
      </c>
      <c r="N649" s="340">
        <f>IF(A649="","",I649+L649-M649)</f>
        <v/>
      </c>
      <c r="O649" s="340">
        <f>IF(A649="","",TRUE())</f>
        <v/>
      </c>
      <c r="P649" s="340">
        <f>IF(A649="","",MAX(0,N649-System_Config!$B$9))</f>
        <v/>
      </c>
    </row>
    <row r="650" ht="15" customHeight="1" s="341">
      <c r="L650" s="340">
        <f>IF(A650="","",SUMIF(DB_Savings!$C:$C,A650,DB_Savings!$F:$F))</f>
        <v/>
      </c>
      <c r="M650" s="340">
        <f>IF(A650="","",SUMIF(DB_Withdrawals!$C:$C,A650,DB_Withdrawals!$G:$G))</f>
        <v/>
      </c>
      <c r="N650" s="340">
        <f>IF(A650="","",I650+L650-M650)</f>
        <v/>
      </c>
      <c r="O650" s="340">
        <f>IF(A650="","",TRUE())</f>
        <v/>
      </c>
      <c r="P650" s="340">
        <f>IF(A650="","",MAX(0,N650-System_Config!$B$9))</f>
        <v/>
      </c>
    </row>
    <row r="651" ht="15" customHeight="1" s="341">
      <c r="L651" s="340">
        <f>IF(A651="","",SUMIF(DB_Savings!$C:$C,A651,DB_Savings!$F:$F))</f>
        <v/>
      </c>
      <c r="M651" s="340">
        <f>IF(A651="","",SUMIF(DB_Withdrawals!$C:$C,A651,DB_Withdrawals!$G:$G))</f>
        <v/>
      </c>
      <c r="N651" s="340">
        <f>IF(A651="","",I651+L651-M651)</f>
        <v/>
      </c>
      <c r="O651" s="340">
        <f>IF(A651="","",TRUE())</f>
        <v/>
      </c>
      <c r="P651" s="340">
        <f>IF(A651="","",MAX(0,N651-System_Config!$B$9))</f>
        <v/>
      </c>
    </row>
    <row r="652" ht="15" customHeight="1" s="341">
      <c r="L652" s="340">
        <f>IF(A652="","",SUMIF(DB_Savings!$C:$C,A652,DB_Savings!$F:$F))</f>
        <v/>
      </c>
      <c r="M652" s="340">
        <f>IF(A652="","",SUMIF(DB_Withdrawals!$C:$C,A652,DB_Withdrawals!$G:$G))</f>
        <v/>
      </c>
      <c r="N652" s="340">
        <f>IF(A652="","",I652+L652-M652)</f>
        <v/>
      </c>
      <c r="O652" s="340">
        <f>IF(A652="","",TRUE())</f>
        <v/>
      </c>
      <c r="P652" s="340">
        <f>IF(A652="","",MAX(0,N652-System_Config!$B$9))</f>
        <v/>
      </c>
    </row>
    <row r="653" ht="15" customHeight="1" s="341">
      <c r="L653" s="340">
        <f>IF(A653="","",SUMIF(DB_Savings!$C:$C,A653,DB_Savings!$F:$F))</f>
        <v/>
      </c>
      <c r="M653" s="340">
        <f>IF(A653="","",SUMIF(DB_Withdrawals!$C:$C,A653,DB_Withdrawals!$G:$G))</f>
        <v/>
      </c>
      <c r="N653" s="340">
        <f>IF(A653="","",I653+L653-M653)</f>
        <v/>
      </c>
      <c r="O653" s="340">
        <f>IF(A653="","",TRUE())</f>
        <v/>
      </c>
      <c r="P653" s="340">
        <f>IF(A653="","",MAX(0,N653-System_Config!$B$9))</f>
        <v/>
      </c>
    </row>
    <row r="654" ht="15" customHeight="1" s="341">
      <c r="L654" s="340">
        <f>IF(A654="","",SUMIF(DB_Savings!$C:$C,A654,DB_Savings!$F:$F))</f>
        <v/>
      </c>
      <c r="M654" s="340">
        <f>IF(A654="","",SUMIF(DB_Withdrawals!$C:$C,A654,DB_Withdrawals!$G:$G))</f>
        <v/>
      </c>
      <c r="N654" s="340">
        <f>IF(A654="","",I654+L654-M654)</f>
        <v/>
      </c>
      <c r="O654" s="340">
        <f>IF(A654="","",TRUE())</f>
        <v/>
      </c>
      <c r="P654" s="340">
        <f>IF(A654="","",MAX(0,N654-System_Config!$B$9))</f>
        <v/>
      </c>
    </row>
    <row r="655" ht="15" customHeight="1" s="341">
      <c r="L655" s="340">
        <f>IF(A655="","",SUMIF(DB_Savings!$C:$C,A655,DB_Savings!$F:$F))</f>
        <v/>
      </c>
      <c r="M655" s="340">
        <f>IF(A655="","",SUMIF(DB_Withdrawals!$C:$C,A655,DB_Withdrawals!$G:$G))</f>
        <v/>
      </c>
      <c r="N655" s="340">
        <f>IF(A655="","",I655+L655-M655)</f>
        <v/>
      </c>
      <c r="O655" s="340">
        <f>IF(A655="","",TRUE())</f>
        <v/>
      </c>
      <c r="P655" s="340">
        <f>IF(A655="","",MAX(0,N655-System_Config!$B$9))</f>
        <v/>
      </c>
    </row>
    <row r="656" ht="15" customHeight="1" s="341">
      <c r="L656" s="340">
        <f>IF(A656="","",SUMIF(DB_Savings!$C:$C,A656,DB_Savings!$F:$F))</f>
        <v/>
      </c>
      <c r="M656" s="340">
        <f>IF(A656="","",SUMIF(DB_Withdrawals!$C:$C,A656,DB_Withdrawals!$G:$G))</f>
        <v/>
      </c>
      <c r="N656" s="340">
        <f>IF(A656="","",I656+L656-M656)</f>
        <v/>
      </c>
      <c r="O656" s="340">
        <f>IF(A656="","",TRUE())</f>
        <v/>
      </c>
      <c r="P656" s="340">
        <f>IF(A656="","",MAX(0,N656-System_Config!$B$9))</f>
        <v/>
      </c>
    </row>
    <row r="657" ht="15" customHeight="1" s="341">
      <c r="L657" s="340">
        <f>IF(A657="","",SUMIF(DB_Savings!$C:$C,A657,DB_Savings!$F:$F))</f>
        <v/>
      </c>
      <c r="M657" s="340">
        <f>IF(A657="","",SUMIF(DB_Withdrawals!$C:$C,A657,DB_Withdrawals!$G:$G))</f>
        <v/>
      </c>
      <c r="N657" s="340">
        <f>IF(A657="","",I657+L657-M657)</f>
        <v/>
      </c>
      <c r="O657" s="340">
        <f>IF(A657="","",TRUE())</f>
        <v/>
      </c>
      <c r="P657" s="340">
        <f>IF(A657="","",MAX(0,N657-System_Config!$B$9))</f>
        <v/>
      </c>
    </row>
    <row r="658" ht="15" customHeight="1" s="341">
      <c r="L658" s="340">
        <f>IF(A658="","",SUMIF(DB_Savings!$C:$C,A658,DB_Savings!$F:$F))</f>
        <v/>
      </c>
      <c r="M658" s="340">
        <f>IF(A658="","",SUMIF(DB_Withdrawals!$C:$C,A658,DB_Withdrawals!$G:$G))</f>
        <v/>
      </c>
      <c r="N658" s="340">
        <f>IF(A658="","",I658+L658-M658)</f>
        <v/>
      </c>
      <c r="O658" s="340">
        <f>IF(A658="","",TRUE())</f>
        <v/>
      </c>
      <c r="P658" s="340">
        <f>IF(A658="","",MAX(0,N658-System_Config!$B$9))</f>
        <v/>
      </c>
    </row>
    <row r="659" ht="15" customHeight="1" s="341">
      <c r="L659" s="340">
        <f>IF(A659="","",SUMIF(DB_Savings!$C:$C,A659,DB_Savings!$F:$F))</f>
        <v/>
      </c>
      <c r="M659" s="340">
        <f>IF(A659="","",SUMIF(DB_Withdrawals!$C:$C,A659,DB_Withdrawals!$G:$G))</f>
        <v/>
      </c>
      <c r="N659" s="340">
        <f>IF(A659="","",I659+L659-M659)</f>
        <v/>
      </c>
      <c r="O659" s="340">
        <f>IF(A659="","",TRUE())</f>
        <v/>
      </c>
      <c r="P659" s="340">
        <f>IF(A659="","",MAX(0,N659-System_Config!$B$9))</f>
        <v/>
      </c>
    </row>
    <row r="660" ht="15" customHeight="1" s="341">
      <c r="L660" s="340">
        <f>IF(A660="","",SUMIF(DB_Savings!$C:$C,A660,DB_Savings!$F:$F))</f>
        <v/>
      </c>
      <c r="M660" s="340">
        <f>IF(A660="","",SUMIF(DB_Withdrawals!$C:$C,A660,DB_Withdrawals!$G:$G))</f>
        <v/>
      </c>
      <c r="N660" s="340">
        <f>IF(A660="","",I660+L660-M660)</f>
        <v/>
      </c>
      <c r="O660" s="340">
        <f>IF(A660="","",TRUE())</f>
        <v/>
      </c>
      <c r="P660" s="340">
        <f>IF(A660="","",MAX(0,N660-System_Config!$B$9))</f>
        <v/>
      </c>
    </row>
    <row r="661" ht="15" customHeight="1" s="341">
      <c r="L661" s="340">
        <f>IF(A661="","",SUMIF(DB_Savings!$C:$C,A661,DB_Savings!$F:$F))</f>
        <v/>
      </c>
      <c r="M661" s="340">
        <f>IF(A661="","",SUMIF(DB_Withdrawals!$C:$C,A661,DB_Withdrawals!$G:$G))</f>
        <v/>
      </c>
      <c r="N661" s="340">
        <f>IF(A661="","",I661+L661-M661)</f>
        <v/>
      </c>
      <c r="O661" s="340">
        <f>IF(A661="","",TRUE())</f>
        <v/>
      </c>
      <c r="P661" s="340">
        <f>IF(A661="","",MAX(0,N661-System_Config!$B$9))</f>
        <v/>
      </c>
    </row>
    <row r="662" ht="15" customHeight="1" s="341">
      <c r="L662" s="340">
        <f>IF(A662="","",SUMIF(DB_Savings!$C:$C,A662,DB_Savings!$F:$F))</f>
        <v/>
      </c>
      <c r="M662" s="340">
        <f>IF(A662="","",SUMIF(DB_Withdrawals!$C:$C,A662,DB_Withdrawals!$G:$G))</f>
        <v/>
      </c>
      <c r="N662" s="340">
        <f>IF(A662="","",I662+L662-M662)</f>
        <v/>
      </c>
      <c r="O662" s="340">
        <f>IF(A662="","",TRUE())</f>
        <v/>
      </c>
      <c r="P662" s="340">
        <f>IF(A662="","",MAX(0,N662-System_Config!$B$9))</f>
        <v/>
      </c>
    </row>
    <row r="663" ht="15" customHeight="1" s="341">
      <c r="L663" s="340">
        <f>IF(A663="","",SUMIF(DB_Savings!$C:$C,A663,DB_Savings!$F:$F))</f>
        <v/>
      </c>
      <c r="M663" s="340">
        <f>IF(A663="","",SUMIF(DB_Withdrawals!$C:$C,A663,DB_Withdrawals!$G:$G))</f>
        <v/>
      </c>
      <c r="N663" s="340">
        <f>IF(A663="","",I663+L663-M663)</f>
        <v/>
      </c>
      <c r="O663" s="340">
        <f>IF(A663="","",TRUE())</f>
        <v/>
      </c>
      <c r="P663" s="340">
        <f>IF(A663="","",MAX(0,N663-System_Config!$B$9))</f>
        <v/>
      </c>
    </row>
    <row r="664" ht="15" customHeight="1" s="341">
      <c r="L664" s="340">
        <f>IF(A664="","",SUMIF(DB_Savings!$C:$C,A664,DB_Savings!$F:$F))</f>
        <v/>
      </c>
      <c r="M664" s="340">
        <f>IF(A664="","",SUMIF(DB_Withdrawals!$C:$C,A664,DB_Withdrawals!$G:$G))</f>
        <v/>
      </c>
      <c r="N664" s="340">
        <f>IF(A664="","",I664+L664-M664)</f>
        <v/>
      </c>
      <c r="O664" s="340">
        <f>IF(A664="","",TRUE())</f>
        <v/>
      </c>
      <c r="P664" s="340">
        <f>IF(A664="","",MAX(0,N664-System_Config!$B$9))</f>
        <v/>
      </c>
    </row>
    <row r="665" ht="15" customHeight="1" s="341">
      <c r="L665" s="340">
        <f>IF(A665="","",SUMIF(DB_Savings!$C:$C,A665,DB_Savings!$F:$F))</f>
        <v/>
      </c>
      <c r="M665" s="340">
        <f>IF(A665="","",SUMIF(DB_Withdrawals!$C:$C,A665,DB_Withdrawals!$G:$G))</f>
        <v/>
      </c>
      <c r="N665" s="340">
        <f>IF(A665="","",I665+L665-M665)</f>
        <v/>
      </c>
      <c r="O665" s="340">
        <f>IF(A665="","",TRUE())</f>
        <v/>
      </c>
      <c r="P665" s="340">
        <f>IF(A665="","",MAX(0,N665-System_Config!$B$9))</f>
        <v/>
      </c>
    </row>
    <row r="666" ht="15" customHeight="1" s="341">
      <c r="L666" s="340">
        <f>IF(A666="","",SUMIF(DB_Savings!$C:$C,A666,DB_Savings!$F:$F))</f>
        <v/>
      </c>
      <c r="M666" s="340">
        <f>IF(A666="","",SUMIF(DB_Withdrawals!$C:$C,A666,DB_Withdrawals!$G:$G))</f>
        <v/>
      </c>
      <c r="N666" s="340">
        <f>IF(A666="","",I666+L666-M666)</f>
        <v/>
      </c>
      <c r="O666" s="340">
        <f>IF(A666="","",TRUE())</f>
        <v/>
      </c>
      <c r="P666" s="340">
        <f>IF(A666="","",MAX(0,N666-System_Config!$B$9))</f>
        <v/>
      </c>
    </row>
    <row r="667" ht="15" customHeight="1" s="341">
      <c r="L667" s="340">
        <f>IF(A667="","",SUMIF(DB_Savings!$C:$C,A667,DB_Savings!$F:$F))</f>
        <v/>
      </c>
      <c r="M667" s="340">
        <f>IF(A667="","",SUMIF(DB_Withdrawals!$C:$C,A667,DB_Withdrawals!$G:$G))</f>
        <v/>
      </c>
      <c r="N667" s="340">
        <f>IF(A667="","",I667+L667-M667)</f>
        <v/>
      </c>
      <c r="O667" s="340">
        <f>IF(A667="","",TRUE())</f>
        <v/>
      </c>
      <c r="P667" s="340">
        <f>IF(A667="","",MAX(0,N667-System_Config!$B$9))</f>
        <v/>
      </c>
    </row>
    <row r="668" ht="15" customHeight="1" s="341">
      <c r="L668" s="340">
        <f>IF(A668="","",SUMIF(DB_Savings!$C:$C,A668,DB_Savings!$F:$F))</f>
        <v/>
      </c>
      <c r="M668" s="340">
        <f>IF(A668="","",SUMIF(DB_Withdrawals!$C:$C,A668,DB_Withdrawals!$G:$G))</f>
        <v/>
      </c>
      <c r="N668" s="340">
        <f>IF(A668="","",I668+L668-M668)</f>
        <v/>
      </c>
      <c r="O668" s="340">
        <f>IF(A668="","",TRUE())</f>
        <v/>
      </c>
      <c r="P668" s="340">
        <f>IF(A668="","",MAX(0,N668-System_Config!$B$9))</f>
        <v/>
      </c>
    </row>
    <row r="669" ht="15" customHeight="1" s="341">
      <c r="L669" s="340">
        <f>IF(A669="","",SUMIF(DB_Savings!$C:$C,A669,DB_Savings!$F:$F))</f>
        <v/>
      </c>
      <c r="M669" s="340">
        <f>IF(A669="","",SUMIF(DB_Withdrawals!$C:$C,A669,DB_Withdrawals!$G:$G))</f>
        <v/>
      </c>
      <c r="N669" s="340">
        <f>IF(A669="","",I669+L669-M669)</f>
        <v/>
      </c>
      <c r="O669" s="340">
        <f>IF(A669="","",TRUE())</f>
        <v/>
      </c>
      <c r="P669" s="340">
        <f>IF(A669="","",MAX(0,N669-System_Config!$B$9))</f>
        <v/>
      </c>
    </row>
    <row r="670" ht="15" customHeight="1" s="341">
      <c r="L670" s="340">
        <f>IF(A670="","",SUMIF(DB_Savings!$C:$C,A670,DB_Savings!$F:$F))</f>
        <v/>
      </c>
      <c r="M670" s="340">
        <f>IF(A670="","",SUMIF(DB_Withdrawals!$C:$C,A670,DB_Withdrawals!$G:$G))</f>
        <v/>
      </c>
      <c r="N670" s="340">
        <f>IF(A670="","",I670+L670-M670)</f>
        <v/>
      </c>
      <c r="O670" s="340">
        <f>IF(A670="","",TRUE())</f>
        <v/>
      </c>
      <c r="P670" s="340">
        <f>IF(A670="","",MAX(0,N670-System_Config!$B$9))</f>
        <v/>
      </c>
    </row>
    <row r="671" ht="15" customHeight="1" s="341">
      <c r="L671" s="340">
        <f>IF(A671="","",SUMIF(DB_Savings!$C:$C,A671,DB_Savings!$F:$F))</f>
        <v/>
      </c>
      <c r="M671" s="340">
        <f>IF(A671="","",SUMIF(DB_Withdrawals!$C:$C,A671,DB_Withdrawals!$G:$G))</f>
        <v/>
      </c>
      <c r="N671" s="340">
        <f>IF(A671="","",I671+L671-M671)</f>
        <v/>
      </c>
      <c r="O671" s="340">
        <f>IF(A671="","",TRUE())</f>
        <v/>
      </c>
      <c r="P671" s="340">
        <f>IF(A671="","",MAX(0,N671-System_Config!$B$9))</f>
        <v/>
      </c>
    </row>
    <row r="672" ht="15" customHeight="1" s="341">
      <c r="L672" s="340">
        <f>IF(A672="","",SUMIF(DB_Savings!$C:$C,A672,DB_Savings!$F:$F))</f>
        <v/>
      </c>
      <c r="M672" s="340">
        <f>IF(A672="","",SUMIF(DB_Withdrawals!$C:$C,A672,DB_Withdrawals!$G:$G))</f>
        <v/>
      </c>
      <c r="N672" s="340">
        <f>IF(A672="","",I672+L672-M672)</f>
        <v/>
      </c>
      <c r="O672" s="340">
        <f>IF(A672="","",TRUE())</f>
        <v/>
      </c>
      <c r="P672" s="340">
        <f>IF(A672="","",MAX(0,N672-System_Config!$B$9))</f>
        <v/>
      </c>
    </row>
    <row r="673" ht="15" customHeight="1" s="341">
      <c r="L673" s="340">
        <f>IF(A673="","",SUMIF(DB_Savings!$C:$C,A673,DB_Savings!$F:$F))</f>
        <v/>
      </c>
      <c r="M673" s="340">
        <f>IF(A673="","",SUMIF(DB_Withdrawals!$C:$C,A673,DB_Withdrawals!$G:$G))</f>
        <v/>
      </c>
      <c r="N673" s="340">
        <f>IF(A673="","",I673+L673-M673)</f>
        <v/>
      </c>
      <c r="O673" s="340">
        <f>IF(A673="","",TRUE())</f>
        <v/>
      </c>
      <c r="P673" s="340">
        <f>IF(A673="","",MAX(0,N673-System_Config!$B$9))</f>
        <v/>
      </c>
    </row>
    <row r="674" ht="15" customHeight="1" s="341">
      <c r="L674" s="340">
        <f>IF(A674="","",SUMIF(DB_Savings!$C:$C,A674,DB_Savings!$F:$F))</f>
        <v/>
      </c>
      <c r="M674" s="340">
        <f>IF(A674="","",SUMIF(DB_Withdrawals!$C:$C,A674,DB_Withdrawals!$G:$G))</f>
        <v/>
      </c>
      <c r="N674" s="340">
        <f>IF(A674="","",I674+L674-M674)</f>
        <v/>
      </c>
      <c r="O674" s="340">
        <f>IF(A674="","",TRUE())</f>
        <v/>
      </c>
      <c r="P674" s="340">
        <f>IF(A674="","",MAX(0,N674-System_Config!$B$9))</f>
        <v/>
      </c>
    </row>
    <row r="675" ht="15" customHeight="1" s="341">
      <c r="L675" s="340">
        <f>IF(A675="","",SUMIF(DB_Savings!$C:$C,A675,DB_Savings!$F:$F))</f>
        <v/>
      </c>
      <c r="M675" s="340">
        <f>IF(A675="","",SUMIF(DB_Withdrawals!$C:$C,A675,DB_Withdrawals!$G:$G))</f>
        <v/>
      </c>
      <c r="N675" s="340">
        <f>IF(A675="","",I675+L675-M675)</f>
        <v/>
      </c>
      <c r="O675" s="340">
        <f>IF(A675="","",TRUE())</f>
        <v/>
      </c>
      <c r="P675" s="340">
        <f>IF(A675="","",MAX(0,N675-System_Config!$B$9))</f>
        <v/>
      </c>
    </row>
    <row r="676" ht="15" customHeight="1" s="341">
      <c r="L676" s="340">
        <f>IF(A676="","",SUMIF(DB_Savings!$C:$C,A676,DB_Savings!$F:$F))</f>
        <v/>
      </c>
      <c r="M676" s="340">
        <f>IF(A676="","",SUMIF(DB_Withdrawals!$C:$C,A676,DB_Withdrawals!$G:$G))</f>
        <v/>
      </c>
      <c r="N676" s="340">
        <f>IF(A676="","",I676+L676-M676)</f>
        <v/>
      </c>
      <c r="O676" s="340">
        <f>IF(A676="","",TRUE())</f>
        <v/>
      </c>
      <c r="P676" s="340">
        <f>IF(A676="","",MAX(0,N676-System_Config!$B$9))</f>
        <v/>
      </c>
    </row>
    <row r="677" ht="15" customHeight="1" s="341">
      <c r="L677" s="340">
        <f>IF(A677="","",SUMIF(DB_Savings!$C:$C,A677,DB_Savings!$F:$F))</f>
        <v/>
      </c>
      <c r="M677" s="340">
        <f>IF(A677="","",SUMIF(DB_Withdrawals!$C:$C,A677,DB_Withdrawals!$G:$G))</f>
        <v/>
      </c>
      <c r="N677" s="340">
        <f>IF(A677="","",I677+L677-M677)</f>
        <v/>
      </c>
      <c r="O677" s="340">
        <f>IF(A677="","",TRUE())</f>
        <v/>
      </c>
      <c r="P677" s="340">
        <f>IF(A677="","",MAX(0,N677-System_Config!$B$9))</f>
        <v/>
      </c>
    </row>
    <row r="678" ht="15" customHeight="1" s="341">
      <c r="L678" s="340">
        <f>IF(A678="","",SUMIF(DB_Savings!$C:$C,A678,DB_Savings!$F:$F))</f>
        <v/>
      </c>
      <c r="M678" s="340">
        <f>IF(A678="","",SUMIF(DB_Withdrawals!$C:$C,A678,DB_Withdrawals!$G:$G))</f>
        <v/>
      </c>
      <c r="N678" s="340">
        <f>IF(A678="","",I678+L678-M678)</f>
        <v/>
      </c>
      <c r="O678" s="340">
        <f>IF(A678="","",TRUE())</f>
        <v/>
      </c>
      <c r="P678" s="340">
        <f>IF(A678="","",MAX(0,N678-System_Config!$B$9))</f>
        <v/>
      </c>
    </row>
    <row r="679" ht="15" customHeight="1" s="341">
      <c r="L679" s="340">
        <f>IF(A679="","",SUMIF(DB_Savings!$C:$C,A679,DB_Savings!$F:$F))</f>
        <v/>
      </c>
      <c r="M679" s="340">
        <f>IF(A679="","",SUMIF(DB_Withdrawals!$C:$C,A679,DB_Withdrawals!$G:$G))</f>
        <v/>
      </c>
      <c r="N679" s="340">
        <f>IF(A679="","",I679+L679-M679)</f>
        <v/>
      </c>
      <c r="O679" s="340">
        <f>IF(A679="","",TRUE())</f>
        <v/>
      </c>
      <c r="P679" s="340">
        <f>IF(A679="","",MAX(0,N679-System_Config!$B$9))</f>
        <v/>
      </c>
    </row>
    <row r="680" ht="15" customHeight="1" s="341">
      <c r="L680" s="340">
        <f>IF(A680="","",SUMIF(DB_Savings!$C:$C,A680,DB_Savings!$F:$F))</f>
        <v/>
      </c>
      <c r="M680" s="340">
        <f>IF(A680="","",SUMIF(DB_Withdrawals!$C:$C,A680,DB_Withdrawals!$G:$G))</f>
        <v/>
      </c>
      <c r="N680" s="340">
        <f>IF(A680="","",I680+L680-M680)</f>
        <v/>
      </c>
      <c r="O680" s="340">
        <f>IF(A680="","",TRUE())</f>
        <v/>
      </c>
      <c r="P680" s="340">
        <f>IF(A680="","",MAX(0,N680-System_Config!$B$9))</f>
        <v/>
      </c>
    </row>
    <row r="681" ht="15" customHeight="1" s="341">
      <c r="L681" s="340">
        <f>IF(A681="","",SUMIF(DB_Savings!$C:$C,A681,DB_Savings!$F:$F))</f>
        <v/>
      </c>
      <c r="M681" s="340">
        <f>IF(A681="","",SUMIF(DB_Withdrawals!$C:$C,A681,DB_Withdrawals!$G:$G))</f>
        <v/>
      </c>
      <c r="N681" s="340">
        <f>IF(A681="","",I681+L681-M681)</f>
        <v/>
      </c>
      <c r="O681" s="340">
        <f>IF(A681="","",TRUE())</f>
        <v/>
      </c>
      <c r="P681" s="340">
        <f>IF(A681="","",MAX(0,N681-System_Config!$B$9))</f>
        <v/>
      </c>
    </row>
    <row r="682" ht="15" customHeight="1" s="341">
      <c r="L682" s="340">
        <f>IF(A682="","",SUMIF(DB_Savings!$C:$C,A682,DB_Savings!$F:$F))</f>
        <v/>
      </c>
      <c r="M682" s="340">
        <f>IF(A682="","",SUMIF(DB_Withdrawals!$C:$C,A682,DB_Withdrawals!$G:$G))</f>
        <v/>
      </c>
      <c r="N682" s="340">
        <f>IF(A682="","",I682+L682-M682)</f>
        <v/>
      </c>
      <c r="O682" s="340">
        <f>IF(A682="","",TRUE())</f>
        <v/>
      </c>
      <c r="P682" s="340">
        <f>IF(A682="","",MAX(0,N682-System_Config!$B$9))</f>
        <v/>
      </c>
    </row>
    <row r="683" ht="15" customHeight="1" s="341">
      <c r="L683" s="340">
        <f>IF(A683="","",SUMIF(DB_Savings!$C:$C,A683,DB_Savings!$F:$F))</f>
        <v/>
      </c>
      <c r="M683" s="340">
        <f>IF(A683="","",SUMIF(DB_Withdrawals!$C:$C,A683,DB_Withdrawals!$G:$G))</f>
        <v/>
      </c>
      <c r="N683" s="340">
        <f>IF(A683="","",I683+L683-M683)</f>
        <v/>
      </c>
      <c r="O683" s="340">
        <f>IF(A683="","",TRUE())</f>
        <v/>
      </c>
      <c r="P683" s="340">
        <f>IF(A683="","",MAX(0,N683-System_Config!$B$9))</f>
        <v/>
      </c>
    </row>
    <row r="684" ht="15" customHeight="1" s="341">
      <c r="L684" s="340">
        <f>IF(A684="","",SUMIF(DB_Savings!$C:$C,A684,DB_Savings!$F:$F))</f>
        <v/>
      </c>
      <c r="M684" s="340">
        <f>IF(A684="","",SUMIF(DB_Withdrawals!$C:$C,A684,DB_Withdrawals!$G:$G))</f>
        <v/>
      </c>
      <c r="N684" s="340">
        <f>IF(A684="","",I684+L684-M684)</f>
        <v/>
      </c>
      <c r="O684" s="340">
        <f>IF(A684="","",TRUE())</f>
        <v/>
      </c>
      <c r="P684" s="340">
        <f>IF(A684="","",MAX(0,N684-System_Config!$B$9))</f>
        <v/>
      </c>
    </row>
    <row r="685" ht="15" customHeight="1" s="341">
      <c r="L685" s="340">
        <f>IF(A685="","",SUMIF(DB_Savings!$C:$C,A685,DB_Savings!$F:$F))</f>
        <v/>
      </c>
      <c r="M685" s="340">
        <f>IF(A685="","",SUMIF(DB_Withdrawals!$C:$C,A685,DB_Withdrawals!$G:$G))</f>
        <v/>
      </c>
      <c r="N685" s="340">
        <f>IF(A685="","",I685+L685-M685)</f>
        <v/>
      </c>
      <c r="O685" s="340">
        <f>IF(A685="","",TRUE())</f>
        <v/>
      </c>
      <c r="P685" s="340">
        <f>IF(A685="","",MAX(0,N685-System_Config!$B$9))</f>
        <v/>
      </c>
    </row>
    <row r="686" ht="15" customHeight="1" s="341">
      <c r="L686" s="340">
        <f>IF(A686="","",SUMIF(DB_Savings!$C:$C,A686,DB_Savings!$F:$F))</f>
        <v/>
      </c>
      <c r="M686" s="340">
        <f>IF(A686="","",SUMIF(DB_Withdrawals!$C:$C,A686,DB_Withdrawals!$G:$G))</f>
        <v/>
      </c>
      <c r="N686" s="340">
        <f>IF(A686="","",I686+L686-M686)</f>
        <v/>
      </c>
      <c r="O686" s="340">
        <f>IF(A686="","",TRUE())</f>
        <v/>
      </c>
      <c r="P686" s="340">
        <f>IF(A686="","",MAX(0,N686-System_Config!$B$9))</f>
        <v/>
      </c>
    </row>
    <row r="687" ht="15" customHeight="1" s="341">
      <c r="L687" s="340">
        <f>IF(A687="","",SUMIF(DB_Savings!$C:$C,A687,DB_Savings!$F:$F))</f>
        <v/>
      </c>
      <c r="M687" s="340">
        <f>IF(A687="","",SUMIF(DB_Withdrawals!$C:$C,A687,DB_Withdrawals!$G:$G))</f>
        <v/>
      </c>
      <c r="N687" s="340">
        <f>IF(A687="","",I687+L687-M687)</f>
        <v/>
      </c>
      <c r="O687" s="340">
        <f>IF(A687="","",TRUE())</f>
        <v/>
      </c>
      <c r="P687" s="340">
        <f>IF(A687="","",MAX(0,N687-System_Config!$B$9))</f>
        <v/>
      </c>
    </row>
    <row r="688" ht="15" customHeight="1" s="341">
      <c r="L688" s="340">
        <f>IF(A688="","",SUMIF(DB_Savings!$C:$C,A688,DB_Savings!$F:$F))</f>
        <v/>
      </c>
      <c r="M688" s="340">
        <f>IF(A688="","",SUMIF(DB_Withdrawals!$C:$C,A688,DB_Withdrawals!$G:$G))</f>
        <v/>
      </c>
      <c r="N688" s="340">
        <f>IF(A688="","",I688+L688-M688)</f>
        <v/>
      </c>
      <c r="O688" s="340">
        <f>IF(A688="","",TRUE())</f>
        <v/>
      </c>
      <c r="P688" s="340">
        <f>IF(A688="","",MAX(0,N688-System_Config!$B$9))</f>
        <v/>
      </c>
    </row>
    <row r="689" ht="15" customHeight="1" s="341">
      <c r="L689" s="340">
        <f>IF(A689="","",SUMIF(DB_Savings!$C:$C,A689,DB_Savings!$F:$F))</f>
        <v/>
      </c>
      <c r="M689" s="340">
        <f>IF(A689="","",SUMIF(DB_Withdrawals!$C:$C,A689,DB_Withdrawals!$G:$G))</f>
        <v/>
      </c>
      <c r="N689" s="340">
        <f>IF(A689="","",I689+L689-M689)</f>
        <v/>
      </c>
      <c r="O689" s="340">
        <f>IF(A689="","",TRUE())</f>
        <v/>
      </c>
      <c r="P689" s="340">
        <f>IF(A689="","",MAX(0,N689-System_Config!$B$9))</f>
        <v/>
      </c>
    </row>
    <row r="690" ht="15" customHeight="1" s="341">
      <c r="L690" s="340">
        <f>IF(A690="","",SUMIF(DB_Savings!$C:$C,A690,DB_Savings!$F:$F))</f>
        <v/>
      </c>
      <c r="M690" s="340">
        <f>IF(A690="","",SUMIF(DB_Withdrawals!$C:$C,A690,DB_Withdrawals!$G:$G))</f>
        <v/>
      </c>
      <c r="N690" s="340">
        <f>IF(A690="","",I690+L690-M690)</f>
        <v/>
      </c>
      <c r="O690" s="340">
        <f>IF(A690="","",TRUE())</f>
        <v/>
      </c>
      <c r="P690" s="340">
        <f>IF(A690="","",MAX(0,N690-System_Config!$B$9))</f>
        <v/>
      </c>
    </row>
    <row r="691" ht="15" customHeight="1" s="341">
      <c r="L691" s="340">
        <f>IF(A691="","",SUMIF(DB_Savings!$C:$C,A691,DB_Savings!$F:$F))</f>
        <v/>
      </c>
      <c r="M691" s="340">
        <f>IF(A691="","",SUMIF(DB_Withdrawals!$C:$C,A691,DB_Withdrawals!$G:$G))</f>
        <v/>
      </c>
      <c r="N691" s="340">
        <f>IF(A691="","",I691+L691-M691)</f>
        <v/>
      </c>
      <c r="O691" s="340">
        <f>IF(A691="","",TRUE())</f>
        <v/>
      </c>
      <c r="P691" s="340">
        <f>IF(A691="","",MAX(0,N691-System_Config!$B$9))</f>
        <v/>
      </c>
    </row>
    <row r="692" ht="15" customHeight="1" s="341">
      <c r="L692" s="340">
        <f>IF(A692="","",SUMIF(DB_Savings!$C:$C,A692,DB_Savings!$F:$F))</f>
        <v/>
      </c>
      <c r="M692" s="340">
        <f>IF(A692="","",SUMIF(DB_Withdrawals!$C:$C,A692,DB_Withdrawals!$G:$G))</f>
        <v/>
      </c>
      <c r="N692" s="340">
        <f>IF(A692="","",I692+L692-M692)</f>
        <v/>
      </c>
      <c r="O692" s="340">
        <f>IF(A692="","",TRUE())</f>
        <v/>
      </c>
      <c r="P692" s="340">
        <f>IF(A692="","",MAX(0,N692-System_Config!$B$9))</f>
        <v/>
      </c>
    </row>
    <row r="693" ht="15" customHeight="1" s="341">
      <c r="L693" s="340">
        <f>IF(A693="","",SUMIF(DB_Savings!$C:$C,A693,DB_Savings!$F:$F))</f>
        <v/>
      </c>
      <c r="M693" s="340">
        <f>IF(A693="","",SUMIF(DB_Withdrawals!$C:$C,A693,DB_Withdrawals!$G:$G))</f>
        <v/>
      </c>
      <c r="N693" s="340">
        <f>IF(A693="","",I693+L693-M693)</f>
        <v/>
      </c>
      <c r="O693" s="340">
        <f>IF(A693="","",TRUE())</f>
        <v/>
      </c>
      <c r="P693" s="340">
        <f>IF(A693="","",MAX(0,N693-System_Config!$B$9))</f>
        <v/>
      </c>
    </row>
    <row r="694" ht="15" customHeight="1" s="341">
      <c r="L694" s="340">
        <f>IF(A694="","",SUMIF(DB_Savings!$C:$C,A694,DB_Savings!$F:$F))</f>
        <v/>
      </c>
      <c r="M694" s="340">
        <f>IF(A694="","",SUMIF(DB_Withdrawals!$C:$C,A694,DB_Withdrawals!$G:$G))</f>
        <v/>
      </c>
      <c r="N694" s="340">
        <f>IF(A694="","",I694+L694-M694)</f>
        <v/>
      </c>
      <c r="O694" s="340">
        <f>IF(A694="","",TRUE())</f>
        <v/>
      </c>
      <c r="P694" s="340">
        <f>IF(A694="","",MAX(0,N694-System_Config!$B$9))</f>
        <v/>
      </c>
    </row>
    <row r="695" ht="15" customHeight="1" s="341">
      <c r="L695" s="340">
        <f>IF(A695="","",SUMIF(DB_Savings!$C:$C,A695,DB_Savings!$F:$F))</f>
        <v/>
      </c>
      <c r="M695" s="340">
        <f>IF(A695="","",SUMIF(DB_Withdrawals!$C:$C,A695,DB_Withdrawals!$G:$G))</f>
        <v/>
      </c>
      <c r="N695" s="340">
        <f>IF(A695="","",I695+L695-M695)</f>
        <v/>
      </c>
      <c r="O695" s="340">
        <f>IF(A695="","",TRUE())</f>
        <v/>
      </c>
      <c r="P695" s="340">
        <f>IF(A695="","",MAX(0,N695-System_Config!$B$9))</f>
        <v/>
      </c>
    </row>
    <row r="696" ht="15" customHeight="1" s="341">
      <c r="L696" s="340">
        <f>IF(A696="","",SUMIF(DB_Savings!$C:$C,A696,DB_Savings!$F:$F))</f>
        <v/>
      </c>
      <c r="M696" s="340">
        <f>IF(A696="","",SUMIF(DB_Withdrawals!$C:$C,A696,DB_Withdrawals!$G:$G))</f>
        <v/>
      </c>
      <c r="N696" s="340">
        <f>IF(A696="","",I696+L696-M696)</f>
        <v/>
      </c>
      <c r="O696" s="340">
        <f>IF(A696="","",TRUE())</f>
        <v/>
      </c>
      <c r="P696" s="340">
        <f>IF(A696="","",MAX(0,N696-System_Config!$B$9))</f>
        <v/>
      </c>
    </row>
    <row r="697" ht="15" customHeight="1" s="341">
      <c r="L697" s="340">
        <f>IF(A697="","",SUMIF(DB_Savings!$C:$C,A697,DB_Savings!$F:$F))</f>
        <v/>
      </c>
      <c r="M697" s="340">
        <f>IF(A697="","",SUMIF(DB_Withdrawals!$C:$C,A697,DB_Withdrawals!$G:$G))</f>
        <v/>
      </c>
      <c r="N697" s="340">
        <f>IF(A697="","",I697+L697-M697)</f>
        <v/>
      </c>
      <c r="O697" s="340">
        <f>IF(A697="","",TRUE())</f>
        <v/>
      </c>
      <c r="P697" s="340">
        <f>IF(A697="","",MAX(0,N697-System_Config!$B$9))</f>
        <v/>
      </c>
    </row>
    <row r="698" ht="15" customHeight="1" s="341">
      <c r="L698" s="340">
        <f>IF(A698="","",SUMIF(DB_Savings!$C:$C,A698,DB_Savings!$F:$F))</f>
        <v/>
      </c>
      <c r="M698" s="340">
        <f>IF(A698="","",SUMIF(DB_Withdrawals!$C:$C,A698,DB_Withdrawals!$G:$G))</f>
        <v/>
      </c>
      <c r="N698" s="340">
        <f>IF(A698="","",I698+L698-M698)</f>
        <v/>
      </c>
      <c r="O698" s="340">
        <f>IF(A698="","",TRUE())</f>
        <v/>
      </c>
      <c r="P698" s="340">
        <f>IF(A698="","",MAX(0,N698-System_Config!$B$9))</f>
        <v/>
      </c>
    </row>
    <row r="699" ht="15" customHeight="1" s="341">
      <c r="L699" s="340">
        <f>IF(A699="","",SUMIF(DB_Savings!$C:$C,A699,DB_Savings!$F:$F))</f>
        <v/>
      </c>
      <c r="M699" s="340">
        <f>IF(A699="","",SUMIF(DB_Withdrawals!$C:$C,A699,DB_Withdrawals!$G:$G))</f>
        <v/>
      </c>
      <c r="N699" s="340">
        <f>IF(A699="","",I699+L699-M699)</f>
        <v/>
      </c>
      <c r="O699" s="340">
        <f>IF(A699="","",TRUE())</f>
        <v/>
      </c>
      <c r="P699" s="340">
        <f>IF(A699="","",MAX(0,N699-System_Config!$B$9))</f>
        <v/>
      </c>
    </row>
    <row r="700" ht="15" customHeight="1" s="341">
      <c r="L700" s="340">
        <f>IF(A700="","",SUMIF(DB_Savings!$C:$C,A700,DB_Savings!$F:$F))</f>
        <v/>
      </c>
      <c r="M700" s="340">
        <f>IF(A700="","",SUMIF(DB_Withdrawals!$C:$C,A700,DB_Withdrawals!$G:$G))</f>
        <v/>
      </c>
      <c r="N700" s="340">
        <f>IF(A700="","",I700+L700-M700)</f>
        <v/>
      </c>
      <c r="O700" s="340">
        <f>IF(A700="","",TRUE())</f>
        <v/>
      </c>
      <c r="P700" s="340">
        <f>IF(A700="","",MAX(0,N700-System_Config!$B$9))</f>
        <v/>
      </c>
    </row>
    <row r="701" ht="15" customHeight="1" s="341">
      <c r="L701" s="340">
        <f>IF(A701="","",SUMIF(DB_Savings!$C:$C,A701,DB_Savings!$F:$F))</f>
        <v/>
      </c>
      <c r="M701" s="340">
        <f>IF(A701="","",SUMIF(DB_Withdrawals!$C:$C,A701,DB_Withdrawals!$G:$G))</f>
        <v/>
      </c>
      <c r="N701" s="340">
        <f>IF(A701="","",I701+L701-M701)</f>
        <v/>
      </c>
      <c r="O701" s="340">
        <f>IF(A701="","",TRUE())</f>
        <v/>
      </c>
      <c r="P701" s="340">
        <f>IF(A701="","",MAX(0,N701-System_Config!$B$9))</f>
        <v/>
      </c>
    </row>
    <row r="702" ht="15" customHeight="1" s="341">
      <c r="L702" s="340">
        <f>IF(A702="","",SUMIF(DB_Savings!$C:$C,A702,DB_Savings!$F:$F))</f>
        <v/>
      </c>
      <c r="M702" s="340">
        <f>IF(A702="","",SUMIF(DB_Withdrawals!$C:$C,A702,DB_Withdrawals!$G:$G))</f>
        <v/>
      </c>
      <c r="N702" s="340">
        <f>IF(A702="","",I702+L702-M702)</f>
        <v/>
      </c>
      <c r="O702" s="340">
        <f>IF(A702="","",TRUE())</f>
        <v/>
      </c>
      <c r="P702" s="340">
        <f>IF(A702="","",MAX(0,N702-System_Config!$B$9))</f>
        <v/>
      </c>
    </row>
    <row r="703" ht="15" customHeight="1" s="341">
      <c r="L703" s="340">
        <f>IF(A703="","",SUMIF(DB_Savings!$C:$C,A703,DB_Savings!$F:$F))</f>
        <v/>
      </c>
      <c r="M703" s="340">
        <f>IF(A703="","",SUMIF(DB_Withdrawals!$C:$C,A703,DB_Withdrawals!$G:$G))</f>
        <v/>
      </c>
      <c r="N703" s="340">
        <f>IF(A703="","",I703+L703-M703)</f>
        <v/>
      </c>
      <c r="O703" s="340">
        <f>IF(A703="","",TRUE())</f>
        <v/>
      </c>
      <c r="P703" s="340">
        <f>IF(A703="","",MAX(0,N703-System_Config!$B$9))</f>
        <v/>
      </c>
    </row>
    <row r="704" ht="15" customHeight="1" s="341">
      <c r="L704" s="340">
        <f>IF(A704="","",SUMIF(DB_Savings!$C:$C,A704,DB_Savings!$F:$F))</f>
        <v/>
      </c>
      <c r="M704" s="340">
        <f>IF(A704="","",SUMIF(DB_Withdrawals!$C:$C,A704,DB_Withdrawals!$G:$G))</f>
        <v/>
      </c>
      <c r="N704" s="340">
        <f>IF(A704="","",I704+L704-M704)</f>
        <v/>
      </c>
      <c r="O704" s="340">
        <f>IF(A704="","",TRUE())</f>
        <v/>
      </c>
      <c r="P704" s="340">
        <f>IF(A704="","",MAX(0,N704-System_Config!$B$9))</f>
        <v/>
      </c>
    </row>
    <row r="705" ht="15" customHeight="1" s="341">
      <c r="L705" s="340">
        <f>IF(A705="","",SUMIF(DB_Savings!$C:$C,A705,DB_Savings!$F:$F))</f>
        <v/>
      </c>
      <c r="M705" s="340">
        <f>IF(A705="","",SUMIF(DB_Withdrawals!$C:$C,A705,DB_Withdrawals!$G:$G))</f>
        <v/>
      </c>
      <c r="N705" s="340">
        <f>IF(A705="","",I705+L705-M705)</f>
        <v/>
      </c>
      <c r="O705" s="340">
        <f>IF(A705="","",TRUE())</f>
        <v/>
      </c>
      <c r="P705" s="340">
        <f>IF(A705="","",MAX(0,N705-System_Config!$B$9))</f>
        <v/>
      </c>
    </row>
    <row r="706" ht="15" customHeight="1" s="341">
      <c r="L706" s="340">
        <f>IF(A706="","",SUMIF(DB_Savings!$C:$C,A706,DB_Savings!$F:$F))</f>
        <v/>
      </c>
      <c r="M706" s="340">
        <f>IF(A706="","",SUMIF(DB_Withdrawals!$C:$C,A706,DB_Withdrawals!$G:$G))</f>
        <v/>
      </c>
      <c r="N706" s="340">
        <f>IF(A706="","",I706+L706-M706)</f>
        <v/>
      </c>
      <c r="O706" s="340">
        <f>IF(A706="","",TRUE())</f>
        <v/>
      </c>
      <c r="P706" s="340">
        <f>IF(A706="","",MAX(0,N706-System_Config!$B$9))</f>
        <v/>
      </c>
    </row>
    <row r="707" ht="15" customHeight="1" s="341">
      <c r="L707" s="340">
        <f>IF(A707="","",SUMIF(DB_Savings!$C:$C,A707,DB_Savings!$F:$F))</f>
        <v/>
      </c>
      <c r="M707" s="340">
        <f>IF(A707="","",SUMIF(DB_Withdrawals!$C:$C,A707,DB_Withdrawals!$G:$G))</f>
        <v/>
      </c>
      <c r="N707" s="340">
        <f>IF(A707="","",I707+L707-M707)</f>
        <v/>
      </c>
      <c r="O707" s="340">
        <f>IF(A707="","",TRUE())</f>
        <v/>
      </c>
      <c r="P707" s="340">
        <f>IF(A707="","",MAX(0,N707-System_Config!$B$9))</f>
        <v/>
      </c>
    </row>
    <row r="708" ht="15" customHeight="1" s="341">
      <c r="L708" s="340">
        <f>IF(A708="","",SUMIF(DB_Savings!$C:$C,A708,DB_Savings!$F:$F))</f>
        <v/>
      </c>
      <c r="M708" s="340">
        <f>IF(A708="","",SUMIF(DB_Withdrawals!$C:$C,A708,DB_Withdrawals!$G:$G))</f>
        <v/>
      </c>
      <c r="N708" s="340">
        <f>IF(A708="","",I708+L708-M708)</f>
        <v/>
      </c>
      <c r="O708" s="340">
        <f>IF(A708="","",TRUE())</f>
        <v/>
      </c>
      <c r="P708" s="340">
        <f>IF(A708="","",MAX(0,N708-System_Config!$B$9))</f>
        <v/>
      </c>
    </row>
    <row r="709" ht="15" customHeight="1" s="341">
      <c r="L709" s="340">
        <f>IF(A709="","",SUMIF(DB_Savings!$C:$C,A709,DB_Savings!$F:$F))</f>
        <v/>
      </c>
      <c r="M709" s="340">
        <f>IF(A709="","",SUMIF(DB_Withdrawals!$C:$C,A709,DB_Withdrawals!$G:$G))</f>
        <v/>
      </c>
      <c r="N709" s="340">
        <f>IF(A709="","",I709+L709-M709)</f>
        <v/>
      </c>
      <c r="O709" s="340">
        <f>IF(A709="","",TRUE())</f>
        <v/>
      </c>
      <c r="P709" s="340">
        <f>IF(A709="","",MAX(0,N709-System_Config!$B$9))</f>
        <v/>
      </c>
    </row>
    <row r="710" ht="15" customHeight="1" s="341">
      <c r="L710" s="340">
        <f>IF(A710="","",SUMIF(DB_Savings!$C:$C,A710,DB_Savings!$F:$F))</f>
        <v/>
      </c>
      <c r="M710" s="340">
        <f>IF(A710="","",SUMIF(DB_Withdrawals!$C:$C,A710,DB_Withdrawals!$G:$G))</f>
        <v/>
      </c>
      <c r="N710" s="340">
        <f>IF(A710="","",I710+L710-M710)</f>
        <v/>
      </c>
      <c r="O710" s="340">
        <f>IF(A710="","",TRUE())</f>
        <v/>
      </c>
      <c r="P710" s="340">
        <f>IF(A710="","",MAX(0,N710-System_Config!$B$9))</f>
        <v/>
      </c>
    </row>
    <row r="711" ht="15" customHeight="1" s="341">
      <c r="L711" s="340">
        <f>IF(A711="","",SUMIF(DB_Savings!$C:$C,A711,DB_Savings!$F:$F))</f>
        <v/>
      </c>
      <c r="M711" s="340">
        <f>IF(A711="","",SUMIF(DB_Withdrawals!$C:$C,A711,DB_Withdrawals!$G:$G))</f>
        <v/>
      </c>
      <c r="N711" s="340">
        <f>IF(A711="","",I711+L711-M711)</f>
        <v/>
      </c>
      <c r="O711" s="340">
        <f>IF(A711="","",TRUE())</f>
        <v/>
      </c>
      <c r="P711" s="340">
        <f>IF(A711="","",MAX(0,N711-System_Config!$B$9))</f>
        <v/>
      </c>
    </row>
    <row r="712" ht="15" customHeight="1" s="341">
      <c r="L712" s="340">
        <f>IF(A712="","",SUMIF(DB_Savings!$C:$C,A712,DB_Savings!$F:$F))</f>
        <v/>
      </c>
      <c r="M712" s="340">
        <f>IF(A712="","",SUMIF(DB_Withdrawals!$C:$C,A712,DB_Withdrawals!$G:$G))</f>
        <v/>
      </c>
      <c r="N712" s="340">
        <f>IF(A712="","",I712+L712-M712)</f>
        <v/>
      </c>
      <c r="O712" s="340">
        <f>IF(A712="","",TRUE())</f>
        <v/>
      </c>
      <c r="P712" s="340">
        <f>IF(A712="","",MAX(0,N712-System_Config!$B$9))</f>
        <v/>
      </c>
    </row>
    <row r="713" ht="15" customHeight="1" s="341">
      <c r="L713" s="340">
        <f>IF(A713="","",SUMIF(DB_Savings!$C:$C,A713,DB_Savings!$F:$F))</f>
        <v/>
      </c>
      <c r="M713" s="340">
        <f>IF(A713="","",SUMIF(DB_Withdrawals!$C:$C,A713,DB_Withdrawals!$G:$G))</f>
        <v/>
      </c>
      <c r="N713" s="340">
        <f>IF(A713="","",I713+L713-M713)</f>
        <v/>
      </c>
      <c r="O713" s="340">
        <f>IF(A713="","",TRUE())</f>
        <v/>
      </c>
      <c r="P713" s="340">
        <f>IF(A713="","",MAX(0,N713-System_Config!$B$9))</f>
        <v/>
      </c>
    </row>
    <row r="714" ht="15" customHeight="1" s="341">
      <c r="L714" s="340">
        <f>IF(A714="","",SUMIF(DB_Savings!$C:$C,A714,DB_Savings!$F:$F))</f>
        <v/>
      </c>
      <c r="M714" s="340">
        <f>IF(A714="","",SUMIF(DB_Withdrawals!$C:$C,A714,DB_Withdrawals!$G:$G))</f>
        <v/>
      </c>
      <c r="N714" s="340">
        <f>IF(A714="","",I714+L714-M714)</f>
        <v/>
      </c>
      <c r="O714" s="340">
        <f>IF(A714="","",TRUE())</f>
        <v/>
      </c>
      <c r="P714" s="340">
        <f>IF(A714="","",MAX(0,N714-System_Config!$B$9))</f>
        <v/>
      </c>
    </row>
    <row r="715" ht="15" customHeight="1" s="341">
      <c r="L715" s="340">
        <f>IF(A715="","",SUMIF(DB_Savings!$C:$C,A715,DB_Savings!$F:$F))</f>
        <v/>
      </c>
      <c r="M715" s="340">
        <f>IF(A715="","",SUMIF(DB_Withdrawals!$C:$C,A715,DB_Withdrawals!$G:$G))</f>
        <v/>
      </c>
      <c r="N715" s="340">
        <f>IF(A715="","",I715+L715-M715)</f>
        <v/>
      </c>
      <c r="O715" s="340">
        <f>IF(A715="","",TRUE())</f>
        <v/>
      </c>
      <c r="P715" s="340">
        <f>IF(A715="","",MAX(0,N715-System_Config!$B$9))</f>
        <v/>
      </c>
    </row>
    <row r="716" ht="15" customHeight="1" s="341">
      <c r="L716" s="340">
        <f>IF(A716="","",SUMIF(DB_Savings!$C:$C,A716,DB_Savings!$F:$F))</f>
        <v/>
      </c>
      <c r="M716" s="340">
        <f>IF(A716="","",SUMIF(DB_Withdrawals!$C:$C,A716,DB_Withdrawals!$G:$G))</f>
        <v/>
      </c>
      <c r="N716" s="340">
        <f>IF(A716="","",I716+L716-M716)</f>
        <v/>
      </c>
      <c r="O716" s="340">
        <f>IF(A716="","",TRUE())</f>
        <v/>
      </c>
      <c r="P716" s="340">
        <f>IF(A716="","",MAX(0,N716-System_Config!$B$9))</f>
        <v/>
      </c>
    </row>
    <row r="717" ht="15" customHeight="1" s="341">
      <c r="L717" s="340">
        <f>IF(A717="","",SUMIF(DB_Savings!$C:$C,A717,DB_Savings!$F:$F))</f>
        <v/>
      </c>
      <c r="M717" s="340">
        <f>IF(A717="","",SUMIF(DB_Withdrawals!$C:$C,A717,DB_Withdrawals!$G:$G))</f>
        <v/>
      </c>
      <c r="N717" s="340">
        <f>IF(A717="","",I717+L717-M717)</f>
        <v/>
      </c>
      <c r="O717" s="340">
        <f>IF(A717="","",TRUE())</f>
        <v/>
      </c>
      <c r="P717" s="340">
        <f>IF(A717="","",MAX(0,N717-System_Config!$B$9))</f>
        <v/>
      </c>
    </row>
    <row r="718" ht="15" customHeight="1" s="341">
      <c r="L718" s="340">
        <f>IF(A718="","",SUMIF(DB_Savings!$C:$C,A718,DB_Savings!$F:$F))</f>
        <v/>
      </c>
      <c r="M718" s="340">
        <f>IF(A718="","",SUMIF(DB_Withdrawals!$C:$C,A718,DB_Withdrawals!$G:$G))</f>
        <v/>
      </c>
      <c r="N718" s="340">
        <f>IF(A718="","",I718+L718-M718)</f>
        <v/>
      </c>
      <c r="O718" s="340">
        <f>IF(A718="","",TRUE())</f>
        <v/>
      </c>
      <c r="P718" s="340">
        <f>IF(A718="","",MAX(0,N718-System_Config!$B$9))</f>
        <v/>
      </c>
    </row>
    <row r="719" ht="15" customHeight="1" s="341">
      <c r="L719" s="340">
        <f>IF(A719="","",SUMIF(DB_Savings!$C:$C,A719,DB_Savings!$F:$F))</f>
        <v/>
      </c>
      <c r="M719" s="340">
        <f>IF(A719="","",SUMIF(DB_Withdrawals!$C:$C,A719,DB_Withdrawals!$G:$G))</f>
        <v/>
      </c>
      <c r="N719" s="340">
        <f>IF(A719="","",I719+L719-M719)</f>
        <v/>
      </c>
      <c r="O719" s="340">
        <f>IF(A719="","",TRUE())</f>
        <v/>
      </c>
      <c r="P719" s="340">
        <f>IF(A719="","",MAX(0,N719-System_Config!$B$9))</f>
        <v/>
      </c>
    </row>
    <row r="720" ht="15" customHeight="1" s="341">
      <c r="L720" s="340">
        <f>IF(A720="","",SUMIF(DB_Savings!$C:$C,A720,DB_Savings!$F:$F))</f>
        <v/>
      </c>
      <c r="M720" s="340">
        <f>IF(A720="","",SUMIF(DB_Withdrawals!$C:$C,A720,DB_Withdrawals!$G:$G))</f>
        <v/>
      </c>
      <c r="N720" s="340">
        <f>IF(A720="","",I720+L720-M720)</f>
        <v/>
      </c>
      <c r="O720" s="340">
        <f>IF(A720="","",TRUE())</f>
        <v/>
      </c>
      <c r="P720" s="340">
        <f>IF(A720="","",MAX(0,N720-System_Config!$B$9))</f>
        <v/>
      </c>
    </row>
    <row r="721" ht="15" customHeight="1" s="341">
      <c r="L721" s="340">
        <f>IF(A721="","",SUMIF(DB_Savings!$C:$C,A721,DB_Savings!$F:$F))</f>
        <v/>
      </c>
      <c r="M721" s="340">
        <f>IF(A721="","",SUMIF(DB_Withdrawals!$C:$C,A721,DB_Withdrawals!$G:$G))</f>
        <v/>
      </c>
      <c r="N721" s="340">
        <f>IF(A721="","",I721+L721-M721)</f>
        <v/>
      </c>
      <c r="O721" s="340">
        <f>IF(A721="","",TRUE())</f>
        <v/>
      </c>
      <c r="P721" s="340">
        <f>IF(A721="","",MAX(0,N721-System_Config!$B$9))</f>
        <v/>
      </c>
    </row>
    <row r="722" ht="15" customHeight="1" s="341">
      <c r="L722" s="340">
        <f>IF(A722="","",SUMIF(DB_Savings!$C:$C,A722,DB_Savings!$F:$F))</f>
        <v/>
      </c>
      <c r="M722" s="340">
        <f>IF(A722="","",SUMIF(DB_Withdrawals!$C:$C,A722,DB_Withdrawals!$G:$G))</f>
        <v/>
      </c>
      <c r="N722" s="340">
        <f>IF(A722="","",I722+L722-M722)</f>
        <v/>
      </c>
      <c r="O722" s="340">
        <f>IF(A722="","",TRUE())</f>
        <v/>
      </c>
      <c r="P722" s="340">
        <f>IF(A722="","",MAX(0,N722-System_Config!$B$9))</f>
        <v/>
      </c>
    </row>
    <row r="723" ht="15" customHeight="1" s="341">
      <c r="L723" s="340">
        <f>IF(A723="","",SUMIF(DB_Savings!$C:$C,A723,DB_Savings!$F:$F))</f>
        <v/>
      </c>
      <c r="M723" s="340">
        <f>IF(A723="","",SUMIF(DB_Withdrawals!$C:$C,A723,DB_Withdrawals!$G:$G))</f>
        <v/>
      </c>
      <c r="N723" s="340">
        <f>IF(A723="","",I723+L723-M723)</f>
        <v/>
      </c>
      <c r="O723" s="340">
        <f>IF(A723="","",TRUE())</f>
        <v/>
      </c>
      <c r="P723" s="340">
        <f>IF(A723="","",MAX(0,N723-System_Config!$B$9))</f>
        <v/>
      </c>
    </row>
    <row r="724" ht="15" customHeight="1" s="341">
      <c r="L724" s="340">
        <f>IF(A724="","",SUMIF(DB_Savings!$C:$C,A724,DB_Savings!$F:$F))</f>
        <v/>
      </c>
      <c r="M724" s="340">
        <f>IF(A724="","",SUMIF(DB_Withdrawals!$C:$C,A724,DB_Withdrawals!$G:$G))</f>
        <v/>
      </c>
      <c r="N724" s="340">
        <f>IF(A724="","",I724+L724-M724)</f>
        <v/>
      </c>
      <c r="O724" s="340">
        <f>IF(A724="","",TRUE())</f>
        <v/>
      </c>
      <c r="P724" s="340">
        <f>IF(A724="","",MAX(0,N724-System_Config!$B$9))</f>
        <v/>
      </c>
    </row>
    <row r="725" ht="15" customHeight="1" s="341">
      <c r="L725" s="340">
        <f>IF(A725="","",SUMIF(DB_Savings!$C:$C,A725,DB_Savings!$F:$F))</f>
        <v/>
      </c>
      <c r="M725" s="340">
        <f>IF(A725="","",SUMIF(DB_Withdrawals!$C:$C,A725,DB_Withdrawals!$G:$G))</f>
        <v/>
      </c>
      <c r="N725" s="340">
        <f>IF(A725="","",I725+L725-M725)</f>
        <v/>
      </c>
      <c r="O725" s="340">
        <f>IF(A725="","",TRUE())</f>
        <v/>
      </c>
      <c r="P725" s="340">
        <f>IF(A725="","",MAX(0,N725-System_Config!$B$9))</f>
        <v/>
      </c>
    </row>
    <row r="726" ht="15" customHeight="1" s="341">
      <c r="L726" s="340">
        <f>IF(A726="","",SUMIF(DB_Savings!$C:$C,A726,DB_Savings!$F:$F))</f>
        <v/>
      </c>
      <c r="M726" s="340">
        <f>IF(A726="","",SUMIF(DB_Withdrawals!$C:$C,A726,DB_Withdrawals!$G:$G))</f>
        <v/>
      </c>
      <c r="N726" s="340">
        <f>IF(A726="","",I726+L726-M726)</f>
        <v/>
      </c>
      <c r="O726" s="340">
        <f>IF(A726="","",TRUE())</f>
        <v/>
      </c>
      <c r="P726" s="340">
        <f>IF(A726="","",MAX(0,N726-System_Config!$B$9))</f>
        <v/>
      </c>
    </row>
    <row r="727" ht="15" customHeight="1" s="341">
      <c r="L727" s="340">
        <f>IF(A727="","",SUMIF(DB_Savings!$C:$C,A727,DB_Savings!$F:$F))</f>
        <v/>
      </c>
      <c r="M727" s="340">
        <f>IF(A727="","",SUMIF(DB_Withdrawals!$C:$C,A727,DB_Withdrawals!$G:$G))</f>
        <v/>
      </c>
      <c r="N727" s="340">
        <f>IF(A727="","",I727+L727-M727)</f>
        <v/>
      </c>
      <c r="O727" s="340">
        <f>IF(A727="","",TRUE())</f>
        <v/>
      </c>
      <c r="P727" s="340">
        <f>IF(A727="","",MAX(0,N727-System_Config!$B$9))</f>
        <v/>
      </c>
    </row>
    <row r="728" ht="15" customHeight="1" s="341">
      <c r="L728" s="340">
        <f>IF(A728="","",SUMIF(DB_Savings!$C:$C,A728,DB_Savings!$F:$F))</f>
        <v/>
      </c>
      <c r="M728" s="340">
        <f>IF(A728="","",SUMIF(DB_Withdrawals!$C:$C,A728,DB_Withdrawals!$G:$G))</f>
        <v/>
      </c>
      <c r="N728" s="340">
        <f>IF(A728="","",I728+L728-M728)</f>
        <v/>
      </c>
      <c r="O728" s="340">
        <f>IF(A728="","",TRUE())</f>
        <v/>
      </c>
      <c r="P728" s="340">
        <f>IF(A728="","",MAX(0,N728-System_Config!$B$9))</f>
        <v/>
      </c>
    </row>
    <row r="729" ht="15" customHeight="1" s="341">
      <c r="L729" s="340">
        <f>IF(A729="","",SUMIF(DB_Savings!$C:$C,A729,DB_Savings!$F:$F))</f>
        <v/>
      </c>
      <c r="M729" s="340">
        <f>IF(A729="","",SUMIF(DB_Withdrawals!$C:$C,A729,DB_Withdrawals!$G:$G))</f>
        <v/>
      </c>
      <c r="N729" s="340">
        <f>IF(A729="","",I729+L729-M729)</f>
        <v/>
      </c>
      <c r="O729" s="340">
        <f>IF(A729="","",TRUE())</f>
        <v/>
      </c>
      <c r="P729" s="340">
        <f>IF(A729="","",MAX(0,N729-System_Config!$B$9))</f>
        <v/>
      </c>
    </row>
    <row r="730" ht="15" customHeight="1" s="341">
      <c r="L730" s="340">
        <f>IF(A730="","",SUMIF(DB_Savings!$C:$C,A730,DB_Savings!$F:$F))</f>
        <v/>
      </c>
      <c r="M730" s="340">
        <f>IF(A730="","",SUMIF(DB_Withdrawals!$C:$C,A730,DB_Withdrawals!$G:$G))</f>
        <v/>
      </c>
      <c r="N730" s="340">
        <f>IF(A730="","",I730+L730-M730)</f>
        <v/>
      </c>
      <c r="O730" s="340">
        <f>IF(A730="","",TRUE())</f>
        <v/>
      </c>
      <c r="P730" s="340">
        <f>IF(A730="","",MAX(0,N730-System_Config!$B$9))</f>
        <v/>
      </c>
    </row>
    <row r="731" ht="15" customHeight="1" s="341">
      <c r="L731" s="340">
        <f>IF(A731="","",SUMIF(DB_Savings!$C:$C,A731,DB_Savings!$F:$F))</f>
        <v/>
      </c>
      <c r="M731" s="340">
        <f>IF(A731="","",SUMIF(DB_Withdrawals!$C:$C,A731,DB_Withdrawals!$G:$G))</f>
        <v/>
      </c>
      <c r="N731" s="340">
        <f>IF(A731="","",I731+L731-M731)</f>
        <v/>
      </c>
      <c r="O731" s="340">
        <f>IF(A731="","",TRUE())</f>
        <v/>
      </c>
      <c r="P731" s="340">
        <f>IF(A731="","",MAX(0,N731-System_Config!$B$9))</f>
        <v/>
      </c>
    </row>
    <row r="732" ht="15" customHeight="1" s="341">
      <c r="L732" s="340">
        <f>IF(A732="","",SUMIF(DB_Savings!$C:$C,A732,DB_Savings!$F:$F))</f>
        <v/>
      </c>
      <c r="M732" s="340">
        <f>IF(A732="","",SUMIF(DB_Withdrawals!$C:$C,A732,DB_Withdrawals!$G:$G))</f>
        <v/>
      </c>
      <c r="N732" s="340">
        <f>IF(A732="","",I732+L732-M732)</f>
        <v/>
      </c>
      <c r="O732" s="340">
        <f>IF(A732="","",TRUE())</f>
        <v/>
      </c>
      <c r="P732" s="340">
        <f>IF(A732="","",MAX(0,N732-System_Config!$B$9))</f>
        <v/>
      </c>
    </row>
    <row r="733" ht="15" customHeight="1" s="341">
      <c r="L733" s="340">
        <f>IF(A733="","",SUMIF(DB_Savings!$C:$C,A733,DB_Savings!$F:$F))</f>
        <v/>
      </c>
      <c r="M733" s="340">
        <f>IF(A733="","",SUMIF(DB_Withdrawals!$C:$C,A733,DB_Withdrawals!$G:$G))</f>
        <v/>
      </c>
      <c r="N733" s="340">
        <f>IF(A733="","",I733+L733-M733)</f>
        <v/>
      </c>
      <c r="O733" s="340">
        <f>IF(A733="","",TRUE())</f>
        <v/>
      </c>
      <c r="P733" s="340">
        <f>IF(A733="","",MAX(0,N733-System_Config!$B$9))</f>
        <v/>
      </c>
    </row>
    <row r="734" ht="15" customHeight="1" s="341">
      <c r="L734" s="340">
        <f>IF(A734="","",SUMIF(DB_Savings!$C:$C,A734,DB_Savings!$F:$F))</f>
        <v/>
      </c>
      <c r="M734" s="340">
        <f>IF(A734="","",SUMIF(DB_Withdrawals!$C:$C,A734,DB_Withdrawals!$G:$G))</f>
        <v/>
      </c>
      <c r="N734" s="340">
        <f>IF(A734="","",I734+L734-M734)</f>
        <v/>
      </c>
      <c r="O734" s="340">
        <f>IF(A734="","",TRUE())</f>
        <v/>
      </c>
      <c r="P734" s="340">
        <f>IF(A734="","",MAX(0,N734-System_Config!$B$9))</f>
        <v/>
      </c>
    </row>
    <row r="735" ht="15" customHeight="1" s="341">
      <c r="L735" s="340">
        <f>IF(A735="","",SUMIF(DB_Savings!$C:$C,A735,DB_Savings!$F:$F))</f>
        <v/>
      </c>
      <c r="M735" s="340">
        <f>IF(A735="","",SUMIF(DB_Withdrawals!$C:$C,A735,DB_Withdrawals!$G:$G))</f>
        <v/>
      </c>
      <c r="N735" s="340">
        <f>IF(A735="","",I735+L735-M735)</f>
        <v/>
      </c>
      <c r="O735" s="340">
        <f>IF(A735="","",TRUE())</f>
        <v/>
      </c>
      <c r="P735" s="340">
        <f>IF(A735="","",MAX(0,N735-System_Config!$B$9))</f>
        <v/>
      </c>
    </row>
    <row r="736" ht="15" customHeight="1" s="341">
      <c r="L736" s="340">
        <f>IF(A736="","",SUMIF(DB_Savings!$C:$C,A736,DB_Savings!$F:$F))</f>
        <v/>
      </c>
      <c r="M736" s="340">
        <f>IF(A736="","",SUMIF(DB_Withdrawals!$C:$C,A736,DB_Withdrawals!$G:$G))</f>
        <v/>
      </c>
      <c r="N736" s="340">
        <f>IF(A736="","",I736+L736-M736)</f>
        <v/>
      </c>
      <c r="O736" s="340">
        <f>IF(A736="","",TRUE())</f>
        <v/>
      </c>
      <c r="P736" s="340">
        <f>IF(A736="","",MAX(0,N736-System_Config!$B$9))</f>
        <v/>
      </c>
    </row>
    <row r="737" ht="15" customHeight="1" s="341">
      <c r="L737" s="340">
        <f>IF(A737="","",SUMIF(DB_Savings!$C:$C,A737,DB_Savings!$F:$F))</f>
        <v/>
      </c>
      <c r="M737" s="340">
        <f>IF(A737="","",SUMIF(DB_Withdrawals!$C:$C,A737,DB_Withdrawals!$G:$G))</f>
        <v/>
      </c>
      <c r="N737" s="340">
        <f>IF(A737="","",I737+L737-M737)</f>
        <v/>
      </c>
      <c r="O737" s="340">
        <f>IF(A737="","",TRUE())</f>
        <v/>
      </c>
      <c r="P737" s="340">
        <f>IF(A737="","",MAX(0,N737-System_Config!$B$9))</f>
        <v/>
      </c>
    </row>
    <row r="738" ht="15" customHeight="1" s="341">
      <c r="L738" s="340">
        <f>IF(A738="","",SUMIF(DB_Savings!$C:$C,A738,DB_Savings!$F:$F))</f>
        <v/>
      </c>
      <c r="M738" s="340">
        <f>IF(A738="","",SUMIF(DB_Withdrawals!$C:$C,A738,DB_Withdrawals!$G:$G))</f>
        <v/>
      </c>
      <c r="N738" s="340">
        <f>IF(A738="","",I738+L738-M738)</f>
        <v/>
      </c>
      <c r="O738" s="340">
        <f>IF(A738="","",TRUE())</f>
        <v/>
      </c>
      <c r="P738" s="340">
        <f>IF(A738="","",MAX(0,N738-System_Config!$B$9))</f>
        <v/>
      </c>
    </row>
    <row r="739" ht="15" customHeight="1" s="341">
      <c r="L739" s="340">
        <f>IF(A739="","",SUMIF(DB_Savings!$C:$C,A739,DB_Savings!$F:$F))</f>
        <v/>
      </c>
      <c r="M739" s="340">
        <f>IF(A739="","",SUMIF(DB_Withdrawals!$C:$C,A739,DB_Withdrawals!$G:$G))</f>
        <v/>
      </c>
      <c r="N739" s="340">
        <f>IF(A739="","",I739+L739-M739)</f>
        <v/>
      </c>
      <c r="O739" s="340">
        <f>IF(A739="","",TRUE())</f>
        <v/>
      </c>
      <c r="P739" s="340">
        <f>IF(A739="","",MAX(0,N739-System_Config!$B$9))</f>
        <v/>
      </c>
    </row>
    <row r="740" ht="15" customHeight="1" s="341">
      <c r="L740" s="340">
        <f>IF(A740="","",SUMIF(DB_Savings!$C:$C,A740,DB_Savings!$F:$F))</f>
        <v/>
      </c>
      <c r="M740" s="340">
        <f>IF(A740="","",SUMIF(DB_Withdrawals!$C:$C,A740,DB_Withdrawals!$G:$G))</f>
        <v/>
      </c>
      <c r="N740" s="340">
        <f>IF(A740="","",I740+L740-M740)</f>
        <v/>
      </c>
      <c r="O740" s="340">
        <f>IF(A740="","",TRUE())</f>
        <v/>
      </c>
      <c r="P740" s="340">
        <f>IF(A740="","",MAX(0,N740-System_Config!$B$9))</f>
        <v/>
      </c>
    </row>
    <row r="741" ht="15" customHeight="1" s="341">
      <c r="L741" s="340">
        <f>IF(A741="","",SUMIF(DB_Savings!$C:$C,A741,DB_Savings!$F:$F))</f>
        <v/>
      </c>
      <c r="M741" s="340">
        <f>IF(A741="","",SUMIF(DB_Withdrawals!$C:$C,A741,DB_Withdrawals!$G:$G))</f>
        <v/>
      </c>
      <c r="N741" s="340">
        <f>IF(A741="","",I741+L741-M741)</f>
        <v/>
      </c>
      <c r="O741" s="340">
        <f>IF(A741="","",TRUE())</f>
        <v/>
      </c>
      <c r="P741" s="340">
        <f>IF(A741="","",MAX(0,N741-System_Config!$B$9))</f>
        <v/>
      </c>
    </row>
    <row r="742" ht="15" customHeight="1" s="341">
      <c r="L742" s="340">
        <f>IF(A742="","",SUMIF(DB_Savings!$C:$C,A742,DB_Savings!$F:$F))</f>
        <v/>
      </c>
      <c r="M742" s="340">
        <f>IF(A742="","",SUMIF(DB_Withdrawals!$C:$C,A742,DB_Withdrawals!$G:$G))</f>
        <v/>
      </c>
      <c r="N742" s="340">
        <f>IF(A742="","",I742+L742-M742)</f>
        <v/>
      </c>
      <c r="O742" s="340">
        <f>IF(A742="","",TRUE())</f>
        <v/>
      </c>
      <c r="P742" s="340">
        <f>IF(A742="","",MAX(0,N742-System_Config!$B$9))</f>
        <v/>
      </c>
    </row>
    <row r="743" ht="15" customHeight="1" s="341">
      <c r="L743" s="340">
        <f>IF(A743="","",SUMIF(DB_Savings!$C:$C,A743,DB_Savings!$F:$F))</f>
        <v/>
      </c>
      <c r="M743" s="340">
        <f>IF(A743="","",SUMIF(DB_Withdrawals!$C:$C,A743,DB_Withdrawals!$G:$G))</f>
        <v/>
      </c>
      <c r="N743" s="340">
        <f>IF(A743="","",I743+L743-M743)</f>
        <v/>
      </c>
      <c r="O743" s="340">
        <f>IF(A743="","",TRUE())</f>
        <v/>
      </c>
      <c r="P743" s="340">
        <f>IF(A743="","",MAX(0,N743-System_Config!$B$9))</f>
        <v/>
      </c>
    </row>
    <row r="744" ht="15" customHeight="1" s="341">
      <c r="L744" s="340">
        <f>IF(A744="","",SUMIF(DB_Savings!$C:$C,A744,DB_Savings!$F:$F))</f>
        <v/>
      </c>
      <c r="M744" s="340">
        <f>IF(A744="","",SUMIF(DB_Withdrawals!$C:$C,A744,DB_Withdrawals!$G:$G))</f>
        <v/>
      </c>
      <c r="N744" s="340">
        <f>IF(A744="","",I744+L744-M744)</f>
        <v/>
      </c>
      <c r="O744" s="340">
        <f>IF(A744="","",TRUE())</f>
        <v/>
      </c>
      <c r="P744" s="340">
        <f>IF(A744="","",MAX(0,N744-System_Config!$B$9))</f>
        <v/>
      </c>
    </row>
    <row r="745" ht="15" customHeight="1" s="341">
      <c r="L745" s="340">
        <f>IF(A745="","",SUMIF(DB_Savings!$C:$C,A745,DB_Savings!$F:$F))</f>
        <v/>
      </c>
      <c r="M745" s="340">
        <f>IF(A745="","",SUMIF(DB_Withdrawals!$C:$C,A745,DB_Withdrawals!$G:$G))</f>
        <v/>
      </c>
      <c r="N745" s="340">
        <f>IF(A745="","",I745+L745-M745)</f>
        <v/>
      </c>
      <c r="O745" s="340">
        <f>IF(A745="","",TRUE())</f>
        <v/>
      </c>
      <c r="P745" s="340">
        <f>IF(A745="","",MAX(0,N745-System_Config!$B$9))</f>
        <v/>
      </c>
    </row>
    <row r="746" ht="15" customHeight="1" s="341">
      <c r="L746" s="340">
        <f>IF(A746="","",SUMIF(DB_Savings!$C:$C,A746,DB_Savings!$F:$F))</f>
        <v/>
      </c>
      <c r="M746" s="340">
        <f>IF(A746="","",SUMIF(DB_Withdrawals!$C:$C,A746,DB_Withdrawals!$G:$G))</f>
        <v/>
      </c>
      <c r="N746" s="340">
        <f>IF(A746="","",I746+L746-M746)</f>
        <v/>
      </c>
      <c r="O746" s="340">
        <f>IF(A746="","",TRUE())</f>
        <v/>
      </c>
      <c r="P746" s="340">
        <f>IF(A746="","",MAX(0,N746-System_Config!$B$9))</f>
        <v/>
      </c>
    </row>
    <row r="747" ht="15" customHeight="1" s="341">
      <c r="L747" s="340">
        <f>IF(A747="","",SUMIF(DB_Savings!$C:$C,A747,DB_Savings!$F:$F))</f>
        <v/>
      </c>
      <c r="M747" s="340">
        <f>IF(A747="","",SUMIF(DB_Withdrawals!$C:$C,A747,DB_Withdrawals!$G:$G))</f>
        <v/>
      </c>
      <c r="N747" s="340">
        <f>IF(A747="","",I747+L747-M747)</f>
        <v/>
      </c>
      <c r="O747" s="340">
        <f>IF(A747="","",TRUE())</f>
        <v/>
      </c>
      <c r="P747" s="340">
        <f>IF(A747="","",MAX(0,N747-System_Config!$B$9))</f>
        <v/>
      </c>
    </row>
    <row r="748" ht="15" customHeight="1" s="341">
      <c r="L748" s="340">
        <f>IF(A748="","",SUMIF(DB_Savings!$C:$C,A748,DB_Savings!$F:$F))</f>
        <v/>
      </c>
      <c r="M748" s="340">
        <f>IF(A748="","",SUMIF(DB_Withdrawals!$C:$C,A748,DB_Withdrawals!$G:$G))</f>
        <v/>
      </c>
      <c r="N748" s="340">
        <f>IF(A748="","",I748+L748-M748)</f>
        <v/>
      </c>
      <c r="O748" s="340">
        <f>IF(A748="","",TRUE())</f>
        <v/>
      </c>
      <c r="P748" s="340">
        <f>IF(A748="","",MAX(0,N748-System_Config!$B$9))</f>
        <v/>
      </c>
    </row>
    <row r="749" ht="15" customHeight="1" s="341">
      <c r="L749" s="340">
        <f>IF(A749="","",SUMIF(DB_Savings!$C:$C,A749,DB_Savings!$F:$F))</f>
        <v/>
      </c>
      <c r="M749" s="340">
        <f>IF(A749="","",SUMIF(DB_Withdrawals!$C:$C,A749,DB_Withdrawals!$G:$G))</f>
        <v/>
      </c>
      <c r="N749" s="340">
        <f>IF(A749="","",I749+L749-M749)</f>
        <v/>
      </c>
      <c r="O749" s="340">
        <f>IF(A749="","",TRUE())</f>
        <v/>
      </c>
      <c r="P749" s="340">
        <f>IF(A749="","",MAX(0,N749-System_Config!$B$9))</f>
        <v/>
      </c>
    </row>
    <row r="750" ht="15" customHeight="1" s="341">
      <c r="L750" s="340">
        <f>IF(A750="","",SUMIF(DB_Savings!$C:$C,A750,DB_Savings!$F:$F))</f>
        <v/>
      </c>
      <c r="M750" s="340">
        <f>IF(A750="","",SUMIF(DB_Withdrawals!$C:$C,A750,DB_Withdrawals!$G:$G))</f>
        <v/>
      </c>
      <c r="N750" s="340">
        <f>IF(A750="","",I750+L750-M750)</f>
        <v/>
      </c>
      <c r="O750" s="340">
        <f>IF(A750="","",TRUE())</f>
        <v/>
      </c>
      <c r="P750" s="340">
        <f>IF(A750="","",MAX(0,N750-System_Config!$B$9))</f>
        <v/>
      </c>
    </row>
    <row r="751" ht="15" customHeight="1" s="341">
      <c r="L751" s="340">
        <f>IF(A751="","",SUMIF(DB_Savings!$C:$C,A751,DB_Savings!$F:$F))</f>
        <v/>
      </c>
      <c r="M751" s="340">
        <f>IF(A751="","",SUMIF(DB_Withdrawals!$C:$C,A751,DB_Withdrawals!$G:$G))</f>
        <v/>
      </c>
      <c r="N751" s="340">
        <f>IF(A751="","",I751+L751-M751)</f>
        <v/>
      </c>
      <c r="O751" s="340">
        <f>IF(A751="","",TRUE())</f>
        <v/>
      </c>
      <c r="P751" s="340">
        <f>IF(A751="","",MAX(0,N751-System_Config!$B$9))</f>
        <v/>
      </c>
    </row>
    <row r="752" ht="15" customHeight="1" s="341">
      <c r="L752" s="340">
        <f>IF(A752="","",SUMIF(DB_Savings!$C:$C,A752,DB_Savings!$F:$F))</f>
        <v/>
      </c>
      <c r="M752" s="340">
        <f>IF(A752="","",SUMIF(DB_Withdrawals!$C:$C,A752,DB_Withdrawals!$G:$G))</f>
        <v/>
      </c>
      <c r="N752" s="340">
        <f>IF(A752="","",I752+L752-M752)</f>
        <v/>
      </c>
      <c r="O752" s="340">
        <f>IF(A752="","",TRUE())</f>
        <v/>
      </c>
      <c r="P752" s="340">
        <f>IF(A752="","",MAX(0,N752-System_Config!$B$9))</f>
        <v/>
      </c>
    </row>
    <row r="753" ht="15" customHeight="1" s="341">
      <c r="L753" s="340">
        <f>IF(A753="","",SUMIF(DB_Savings!$C:$C,A753,DB_Savings!$F:$F))</f>
        <v/>
      </c>
      <c r="M753" s="340">
        <f>IF(A753="","",SUMIF(DB_Withdrawals!$C:$C,A753,DB_Withdrawals!$G:$G))</f>
        <v/>
      </c>
      <c r="N753" s="340">
        <f>IF(A753="","",I753+L753-M753)</f>
        <v/>
      </c>
      <c r="O753" s="340">
        <f>IF(A753="","",TRUE())</f>
        <v/>
      </c>
      <c r="P753" s="340">
        <f>IF(A753="","",MAX(0,N753-System_Config!$B$9))</f>
        <v/>
      </c>
    </row>
    <row r="754" ht="15" customHeight="1" s="341">
      <c r="L754" s="340">
        <f>IF(A754="","",SUMIF(DB_Savings!$C:$C,A754,DB_Savings!$F:$F))</f>
        <v/>
      </c>
      <c r="M754" s="340">
        <f>IF(A754="","",SUMIF(DB_Withdrawals!$C:$C,A754,DB_Withdrawals!$G:$G))</f>
        <v/>
      </c>
      <c r="N754" s="340">
        <f>IF(A754="","",I754+L754-M754)</f>
        <v/>
      </c>
      <c r="O754" s="340">
        <f>IF(A754="","",TRUE())</f>
        <v/>
      </c>
      <c r="P754" s="340">
        <f>IF(A754="","",MAX(0,N754-System_Config!$B$9))</f>
        <v/>
      </c>
    </row>
    <row r="755" ht="15" customHeight="1" s="341">
      <c r="L755" s="340">
        <f>IF(A755="","",SUMIF(DB_Savings!$C:$C,A755,DB_Savings!$F:$F))</f>
        <v/>
      </c>
      <c r="M755" s="340">
        <f>IF(A755="","",SUMIF(DB_Withdrawals!$C:$C,A755,DB_Withdrawals!$G:$G))</f>
        <v/>
      </c>
      <c r="N755" s="340">
        <f>IF(A755="","",I755+L755-M755)</f>
        <v/>
      </c>
      <c r="O755" s="340">
        <f>IF(A755="","",TRUE())</f>
        <v/>
      </c>
      <c r="P755" s="340">
        <f>IF(A755="","",MAX(0,N755-System_Config!$B$9))</f>
        <v/>
      </c>
    </row>
    <row r="756" ht="15" customHeight="1" s="341">
      <c r="L756" s="340">
        <f>IF(A756="","",SUMIF(DB_Savings!$C:$C,A756,DB_Savings!$F:$F))</f>
        <v/>
      </c>
      <c r="M756" s="340">
        <f>IF(A756="","",SUMIF(DB_Withdrawals!$C:$C,A756,DB_Withdrawals!$G:$G))</f>
        <v/>
      </c>
      <c r="N756" s="340">
        <f>IF(A756="","",I756+L756-M756)</f>
        <v/>
      </c>
      <c r="O756" s="340">
        <f>IF(A756="","",TRUE())</f>
        <v/>
      </c>
      <c r="P756" s="340">
        <f>IF(A756="","",MAX(0,N756-System_Config!$B$9))</f>
        <v/>
      </c>
    </row>
    <row r="757" ht="15" customHeight="1" s="341">
      <c r="L757" s="340">
        <f>IF(A757="","",SUMIF(DB_Savings!$C:$C,A757,DB_Savings!$F:$F))</f>
        <v/>
      </c>
      <c r="M757" s="340">
        <f>IF(A757="","",SUMIF(DB_Withdrawals!$C:$C,A757,DB_Withdrawals!$G:$G))</f>
        <v/>
      </c>
      <c r="N757" s="340">
        <f>IF(A757="","",I757+L757-M757)</f>
        <v/>
      </c>
      <c r="O757" s="340">
        <f>IF(A757="","",TRUE())</f>
        <v/>
      </c>
      <c r="P757" s="340">
        <f>IF(A757="","",MAX(0,N757-System_Config!$B$9))</f>
        <v/>
      </c>
    </row>
    <row r="758" ht="15" customHeight="1" s="341">
      <c r="L758" s="340">
        <f>IF(A758="","",SUMIF(DB_Savings!$C:$C,A758,DB_Savings!$F:$F))</f>
        <v/>
      </c>
      <c r="M758" s="340">
        <f>IF(A758="","",SUMIF(DB_Withdrawals!$C:$C,A758,DB_Withdrawals!$G:$G))</f>
        <v/>
      </c>
      <c r="N758" s="340">
        <f>IF(A758="","",I758+L758-M758)</f>
        <v/>
      </c>
      <c r="O758" s="340">
        <f>IF(A758="","",TRUE())</f>
        <v/>
      </c>
      <c r="P758" s="340">
        <f>IF(A758="","",MAX(0,N758-System_Config!$B$9))</f>
        <v/>
      </c>
    </row>
    <row r="759" ht="15" customHeight="1" s="341">
      <c r="L759" s="340">
        <f>IF(A759="","",SUMIF(DB_Savings!$C:$C,A759,DB_Savings!$F:$F))</f>
        <v/>
      </c>
      <c r="M759" s="340">
        <f>IF(A759="","",SUMIF(DB_Withdrawals!$C:$C,A759,DB_Withdrawals!$G:$G))</f>
        <v/>
      </c>
      <c r="N759" s="340">
        <f>IF(A759="","",I759+L759-M759)</f>
        <v/>
      </c>
      <c r="O759" s="340">
        <f>IF(A759="","",TRUE())</f>
        <v/>
      </c>
      <c r="P759" s="340">
        <f>IF(A759="","",MAX(0,N759-System_Config!$B$9))</f>
        <v/>
      </c>
    </row>
    <row r="760" ht="15" customHeight="1" s="341">
      <c r="L760" s="340">
        <f>IF(A760="","",SUMIF(DB_Savings!$C:$C,A760,DB_Savings!$F:$F))</f>
        <v/>
      </c>
      <c r="M760" s="340">
        <f>IF(A760="","",SUMIF(DB_Withdrawals!$C:$C,A760,DB_Withdrawals!$G:$G))</f>
        <v/>
      </c>
      <c r="N760" s="340">
        <f>IF(A760="","",I760+L760-M760)</f>
        <v/>
      </c>
      <c r="O760" s="340">
        <f>IF(A760="","",TRUE())</f>
        <v/>
      </c>
      <c r="P760" s="340">
        <f>IF(A760="","",MAX(0,N760-System_Config!$B$9))</f>
        <v/>
      </c>
    </row>
    <row r="761" ht="15" customHeight="1" s="341">
      <c r="L761" s="340">
        <f>IF(A761="","",SUMIF(DB_Savings!$C:$C,A761,DB_Savings!$F:$F))</f>
        <v/>
      </c>
      <c r="M761" s="340">
        <f>IF(A761="","",SUMIF(DB_Withdrawals!$C:$C,A761,DB_Withdrawals!$G:$G))</f>
        <v/>
      </c>
      <c r="N761" s="340">
        <f>IF(A761="","",I761+L761-M761)</f>
        <v/>
      </c>
      <c r="O761" s="340">
        <f>IF(A761="","",TRUE())</f>
        <v/>
      </c>
      <c r="P761" s="340">
        <f>IF(A761="","",MAX(0,N761-System_Config!$B$9))</f>
        <v/>
      </c>
    </row>
    <row r="762" ht="15" customHeight="1" s="341">
      <c r="L762" s="340">
        <f>IF(A762="","",SUMIF(DB_Savings!$C:$C,A762,DB_Savings!$F:$F))</f>
        <v/>
      </c>
      <c r="M762" s="340">
        <f>IF(A762="","",SUMIF(DB_Withdrawals!$C:$C,A762,DB_Withdrawals!$G:$G))</f>
        <v/>
      </c>
      <c r="N762" s="340">
        <f>IF(A762="","",I762+L762-M762)</f>
        <v/>
      </c>
      <c r="O762" s="340">
        <f>IF(A762="","",TRUE())</f>
        <v/>
      </c>
      <c r="P762" s="340">
        <f>IF(A762="","",MAX(0,N762-System_Config!$B$9))</f>
        <v/>
      </c>
    </row>
    <row r="763" ht="15" customHeight="1" s="341">
      <c r="L763" s="340">
        <f>IF(A763="","",SUMIF(DB_Savings!$C:$C,A763,DB_Savings!$F:$F))</f>
        <v/>
      </c>
      <c r="M763" s="340">
        <f>IF(A763="","",SUMIF(DB_Withdrawals!$C:$C,A763,DB_Withdrawals!$G:$G))</f>
        <v/>
      </c>
      <c r="N763" s="340">
        <f>IF(A763="","",I763+L763-M763)</f>
        <v/>
      </c>
      <c r="O763" s="340">
        <f>IF(A763="","",TRUE())</f>
        <v/>
      </c>
      <c r="P763" s="340">
        <f>IF(A763="","",MAX(0,N763-System_Config!$B$9))</f>
        <v/>
      </c>
    </row>
    <row r="764" ht="15" customHeight="1" s="341">
      <c r="L764" s="340">
        <f>IF(A764="","",SUMIF(DB_Savings!$C:$C,A764,DB_Savings!$F:$F))</f>
        <v/>
      </c>
      <c r="M764" s="340">
        <f>IF(A764="","",SUMIF(DB_Withdrawals!$C:$C,A764,DB_Withdrawals!$G:$G))</f>
        <v/>
      </c>
      <c r="N764" s="340">
        <f>IF(A764="","",I764+L764-M764)</f>
        <v/>
      </c>
      <c r="O764" s="340">
        <f>IF(A764="","",TRUE())</f>
        <v/>
      </c>
      <c r="P764" s="340">
        <f>IF(A764="","",MAX(0,N764-System_Config!$B$9))</f>
        <v/>
      </c>
    </row>
    <row r="765" ht="15" customHeight="1" s="341">
      <c r="L765" s="340">
        <f>IF(A765="","",SUMIF(DB_Savings!$C:$C,A765,DB_Savings!$F:$F))</f>
        <v/>
      </c>
      <c r="M765" s="340">
        <f>IF(A765="","",SUMIF(DB_Withdrawals!$C:$C,A765,DB_Withdrawals!$G:$G))</f>
        <v/>
      </c>
      <c r="N765" s="340">
        <f>IF(A765="","",I765+L765-M765)</f>
        <v/>
      </c>
      <c r="O765" s="340">
        <f>IF(A765="","",TRUE())</f>
        <v/>
      </c>
      <c r="P765" s="340">
        <f>IF(A765="","",MAX(0,N765-System_Config!$B$9))</f>
        <v/>
      </c>
    </row>
    <row r="766" ht="15" customHeight="1" s="341">
      <c r="L766" s="340">
        <f>IF(A766="","",SUMIF(DB_Savings!$C:$C,A766,DB_Savings!$F:$F))</f>
        <v/>
      </c>
      <c r="M766" s="340">
        <f>IF(A766="","",SUMIF(DB_Withdrawals!$C:$C,A766,DB_Withdrawals!$G:$G))</f>
        <v/>
      </c>
      <c r="N766" s="340">
        <f>IF(A766="","",I766+L766-M766)</f>
        <v/>
      </c>
      <c r="O766" s="340">
        <f>IF(A766="","",TRUE())</f>
        <v/>
      </c>
      <c r="P766" s="340">
        <f>IF(A766="","",MAX(0,N766-System_Config!$B$9))</f>
        <v/>
      </c>
    </row>
    <row r="767" ht="15" customHeight="1" s="341">
      <c r="L767" s="340">
        <f>IF(A767="","",SUMIF(DB_Savings!$C:$C,A767,DB_Savings!$F:$F))</f>
        <v/>
      </c>
      <c r="M767" s="340">
        <f>IF(A767="","",SUMIF(DB_Withdrawals!$C:$C,A767,DB_Withdrawals!$G:$G))</f>
        <v/>
      </c>
      <c r="N767" s="340">
        <f>IF(A767="","",I767+L767-M767)</f>
        <v/>
      </c>
      <c r="O767" s="340">
        <f>IF(A767="","",TRUE())</f>
        <v/>
      </c>
      <c r="P767" s="340">
        <f>IF(A767="","",MAX(0,N767-System_Config!$B$9))</f>
        <v/>
      </c>
    </row>
    <row r="768" ht="15" customHeight="1" s="341">
      <c r="L768" s="340">
        <f>IF(A768="","",SUMIF(DB_Savings!$C:$C,A768,DB_Savings!$F:$F))</f>
        <v/>
      </c>
      <c r="M768" s="340">
        <f>IF(A768="","",SUMIF(DB_Withdrawals!$C:$C,A768,DB_Withdrawals!$G:$G))</f>
        <v/>
      </c>
      <c r="N768" s="340">
        <f>IF(A768="","",I768+L768-M768)</f>
        <v/>
      </c>
      <c r="O768" s="340">
        <f>IF(A768="","",TRUE())</f>
        <v/>
      </c>
      <c r="P768" s="340">
        <f>IF(A768="","",MAX(0,N768-System_Config!$B$9))</f>
        <v/>
      </c>
    </row>
    <row r="769" ht="15" customHeight="1" s="341">
      <c r="L769" s="340">
        <f>IF(A769="","",SUMIF(DB_Savings!$C:$C,A769,DB_Savings!$F:$F))</f>
        <v/>
      </c>
      <c r="M769" s="340">
        <f>IF(A769="","",SUMIF(DB_Withdrawals!$C:$C,A769,DB_Withdrawals!$G:$G))</f>
        <v/>
      </c>
      <c r="N769" s="340">
        <f>IF(A769="","",I769+L769-M769)</f>
        <v/>
      </c>
      <c r="O769" s="340">
        <f>IF(A769="","",TRUE())</f>
        <v/>
      </c>
      <c r="P769" s="340">
        <f>IF(A769="","",MAX(0,N769-System_Config!$B$9))</f>
        <v/>
      </c>
    </row>
    <row r="770" ht="15" customHeight="1" s="341">
      <c r="L770" s="340">
        <f>IF(A770="","",SUMIF(DB_Savings!$C:$C,A770,DB_Savings!$F:$F))</f>
        <v/>
      </c>
      <c r="M770" s="340">
        <f>IF(A770="","",SUMIF(DB_Withdrawals!$C:$C,A770,DB_Withdrawals!$G:$G))</f>
        <v/>
      </c>
      <c r="N770" s="340">
        <f>IF(A770="","",I770+L770-M770)</f>
        <v/>
      </c>
      <c r="O770" s="340">
        <f>IF(A770="","",TRUE())</f>
        <v/>
      </c>
      <c r="P770" s="340">
        <f>IF(A770="","",MAX(0,N770-System_Config!$B$9))</f>
        <v/>
      </c>
    </row>
    <row r="771" ht="15" customHeight="1" s="341">
      <c r="L771" s="340">
        <f>IF(A771="","",SUMIF(DB_Savings!$C:$C,A771,DB_Savings!$F:$F))</f>
        <v/>
      </c>
      <c r="M771" s="340">
        <f>IF(A771="","",SUMIF(DB_Withdrawals!$C:$C,A771,DB_Withdrawals!$G:$G))</f>
        <v/>
      </c>
      <c r="N771" s="340">
        <f>IF(A771="","",I771+L771-M771)</f>
        <v/>
      </c>
      <c r="O771" s="340">
        <f>IF(A771="","",TRUE())</f>
        <v/>
      </c>
      <c r="P771" s="340">
        <f>IF(A771="","",MAX(0,N771-System_Config!$B$9))</f>
        <v/>
      </c>
    </row>
    <row r="772" ht="15" customHeight="1" s="341">
      <c r="L772" s="340">
        <f>IF(A772="","",SUMIF(DB_Savings!$C:$C,A772,DB_Savings!$F:$F))</f>
        <v/>
      </c>
      <c r="M772" s="340">
        <f>IF(A772="","",SUMIF(DB_Withdrawals!$C:$C,A772,DB_Withdrawals!$G:$G))</f>
        <v/>
      </c>
      <c r="N772" s="340">
        <f>IF(A772="","",I772+L772-M772)</f>
        <v/>
      </c>
      <c r="O772" s="340">
        <f>IF(A772="","",TRUE())</f>
        <v/>
      </c>
      <c r="P772" s="340">
        <f>IF(A772="","",MAX(0,N772-System_Config!$B$9))</f>
        <v/>
      </c>
    </row>
    <row r="773" ht="15" customHeight="1" s="341">
      <c r="L773" s="340">
        <f>IF(A773="","",SUMIF(DB_Savings!$C:$C,A773,DB_Savings!$F:$F))</f>
        <v/>
      </c>
      <c r="M773" s="340">
        <f>IF(A773="","",SUMIF(DB_Withdrawals!$C:$C,A773,DB_Withdrawals!$G:$G))</f>
        <v/>
      </c>
      <c r="N773" s="340">
        <f>IF(A773="","",I773+L773-M773)</f>
        <v/>
      </c>
      <c r="O773" s="340">
        <f>IF(A773="","",TRUE())</f>
        <v/>
      </c>
      <c r="P773" s="340">
        <f>IF(A773="","",MAX(0,N773-System_Config!$B$9))</f>
        <v/>
      </c>
    </row>
    <row r="774" ht="15" customHeight="1" s="341">
      <c r="L774" s="340">
        <f>IF(A774="","",SUMIF(DB_Savings!$C:$C,A774,DB_Savings!$F:$F))</f>
        <v/>
      </c>
      <c r="M774" s="340">
        <f>IF(A774="","",SUMIF(DB_Withdrawals!$C:$C,A774,DB_Withdrawals!$G:$G))</f>
        <v/>
      </c>
      <c r="N774" s="340">
        <f>IF(A774="","",I774+L774-M774)</f>
        <v/>
      </c>
      <c r="O774" s="340">
        <f>IF(A774="","",TRUE())</f>
        <v/>
      </c>
      <c r="P774" s="340">
        <f>IF(A774="","",MAX(0,N774-System_Config!$B$9))</f>
        <v/>
      </c>
    </row>
    <row r="775" ht="15" customHeight="1" s="341">
      <c r="L775" s="340">
        <f>IF(A775="","",SUMIF(DB_Savings!$C:$C,A775,DB_Savings!$F:$F))</f>
        <v/>
      </c>
      <c r="M775" s="340">
        <f>IF(A775="","",SUMIF(DB_Withdrawals!$C:$C,A775,DB_Withdrawals!$G:$G))</f>
        <v/>
      </c>
      <c r="N775" s="340">
        <f>IF(A775="","",I775+L775-M775)</f>
        <v/>
      </c>
      <c r="O775" s="340">
        <f>IF(A775="","",TRUE())</f>
        <v/>
      </c>
      <c r="P775" s="340">
        <f>IF(A775="","",MAX(0,N775-System_Config!$B$9))</f>
        <v/>
      </c>
    </row>
    <row r="776" ht="15" customHeight="1" s="341">
      <c r="L776" s="340">
        <f>IF(A776="","",SUMIF(DB_Savings!$C:$C,A776,DB_Savings!$F:$F))</f>
        <v/>
      </c>
      <c r="M776" s="340">
        <f>IF(A776="","",SUMIF(DB_Withdrawals!$C:$C,A776,DB_Withdrawals!$G:$G))</f>
        <v/>
      </c>
      <c r="N776" s="340">
        <f>IF(A776="","",I776+L776-M776)</f>
        <v/>
      </c>
      <c r="O776" s="340">
        <f>IF(A776="","",TRUE())</f>
        <v/>
      </c>
      <c r="P776" s="340">
        <f>IF(A776="","",MAX(0,N776-System_Config!$B$9))</f>
        <v/>
      </c>
    </row>
    <row r="777" ht="15" customHeight="1" s="341">
      <c r="L777" s="340">
        <f>IF(A777="","",SUMIF(DB_Savings!$C:$C,A777,DB_Savings!$F:$F))</f>
        <v/>
      </c>
      <c r="M777" s="340">
        <f>IF(A777="","",SUMIF(DB_Withdrawals!$C:$C,A777,DB_Withdrawals!$G:$G))</f>
        <v/>
      </c>
      <c r="N777" s="340">
        <f>IF(A777="","",I777+L777-M777)</f>
        <v/>
      </c>
      <c r="O777" s="340">
        <f>IF(A777="","",TRUE())</f>
        <v/>
      </c>
      <c r="P777" s="340">
        <f>IF(A777="","",MAX(0,N777-System_Config!$B$9))</f>
        <v/>
      </c>
    </row>
    <row r="778" ht="15" customHeight="1" s="341">
      <c r="L778" s="340">
        <f>IF(A778="","",SUMIF(DB_Savings!$C:$C,A778,DB_Savings!$F:$F))</f>
        <v/>
      </c>
      <c r="M778" s="340">
        <f>IF(A778="","",SUMIF(DB_Withdrawals!$C:$C,A778,DB_Withdrawals!$G:$G))</f>
        <v/>
      </c>
      <c r="N778" s="340">
        <f>IF(A778="","",I778+L778-M778)</f>
        <v/>
      </c>
      <c r="O778" s="340">
        <f>IF(A778="","",TRUE())</f>
        <v/>
      </c>
      <c r="P778" s="340">
        <f>IF(A778="","",MAX(0,N778-System_Config!$B$9))</f>
        <v/>
      </c>
    </row>
    <row r="779" ht="15" customHeight="1" s="341">
      <c r="L779" s="340">
        <f>IF(A779="","",SUMIF(DB_Savings!$C:$C,A779,DB_Savings!$F:$F))</f>
        <v/>
      </c>
      <c r="M779" s="340">
        <f>IF(A779="","",SUMIF(DB_Withdrawals!$C:$C,A779,DB_Withdrawals!$G:$G))</f>
        <v/>
      </c>
      <c r="N779" s="340">
        <f>IF(A779="","",I779+L779-M779)</f>
        <v/>
      </c>
      <c r="O779" s="340">
        <f>IF(A779="","",TRUE())</f>
        <v/>
      </c>
      <c r="P779" s="340">
        <f>IF(A779="","",MAX(0,N779-System_Config!$B$9))</f>
        <v/>
      </c>
    </row>
    <row r="780" ht="15" customHeight="1" s="341">
      <c r="L780" s="340">
        <f>IF(A780="","",SUMIF(DB_Savings!$C:$C,A780,DB_Savings!$F:$F))</f>
        <v/>
      </c>
      <c r="M780" s="340">
        <f>IF(A780="","",SUMIF(DB_Withdrawals!$C:$C,A780,DB_Withdrawals!$G:$G))</f>
        <v/>
      </c>
      <c r="N780" s="340">
        <f>IF(A780="","",I780+L780-M780)</f>
        <v/>
      </c>
      <c r="O780" s="340">
        <f>IF(A780="","",TRUE())</f>
        <v/>
      </c>
      <c r="P780" s="340">
        <f>IF(A780="","",MAX(0,N780-System_Config!$B$9))</f>
        <v/>
      </c>
    </row>
    <row r="781" ht="15" customHeight="1" s="341">
      <c r="L781" s="340">
        <f>IF(A781="","",SUMIF(DB_Savings!$C:$C,A781,DB_Savings!$F:$F))</f>
        <v/>
      </c>
      <c r="M781" s="340">
        <f>IF(A781="","",SUMIF(DB_Withdrawals!$C:$C,A781,DB_Withdrawals!$G:$G))</f>
        <v/>
      </c>
      <c r="N781" s="340">
        <f>IF(A781="","",I781+L781-M781)</f>
        <v/>
      </c>
      <c r="O781" s="340">
        <f>IF(A781="","",TRUE())</f>
        <v/>
      </c>
      <c r="P781" s="340">
        <f>IF(A781="","",MAX(0,N781-System_Config!$B$9))</f>
        <v/>
      </c>
    </row>
    <row r="782" ht="15" customHeight="1" s="341">
      <c r="L782" s="340">
        <f>IF(A782="","",SUMIF(DB_Savings!$C:$C,A782,DB_Savings!$F:$F))</f>
        <v/>
      </c>
      <c r="M782" s="340">
        <f>IF(A782="","",SUMIF(DB_Withdrawals!$C:$C,A782,DB_Withdrawals!$G:$G))</f>
        <v/>
      </c>
      <c r="N782" s="340">
        <f>IF(A782="","",I782+L782-M782)</f>
        <v/>
      </c>
      <c r="O782" s="340">
        <f>IF(A782="","",TRUE())</f>
        <v/>
      </c>
      <c r="P782" s="340">
        <f>IF(A782="","",MAX(0,N782-System_Config!$B$9))</f>
        <v/>
      </c>
    </row>
    <row r="783" ht="15" customHeight="1" s="341">
      <c r="L783" s="340">
        <f>IF(A783="","",SUMIF(DB_Savings!$C:$C,A783,DB_Savings!$F:$F))</f>
        <v/>
      </c>
      <c r="M783" s="340">
        <f>IF(A783="","",SUMIF(DB_Withdrawals!$C:$C,A783,DB_Withdrawals!$G:$G))</f>
        <v/>
      </c>
      <c r="N783" s="340">
        <f>IF(A783="","",I783+L783-M783)</f>
        <v/>
      </c>
      <c r="O783" s="340">
        <f>IF(A783="","",TRUE())</f>
        <v/>
      </c>
      <c r="P783" s="340">
        <f>IF(A783="","",MAX(0,N783-System_Config!$B$9))</f>
        <v/>
      </c>
    </row>
    <row r="784" ht="15" customHeight="1" s="341">
      <c r="L784" s="340">
        <f>IF(A784="","",SUMIF(DB_Savings!$C:$C,A784,DB_Savings!$F:$F))</f>
        <v/>
      </c>
      <c r="M784" s="340">
        <f>IF(A784="","",SUMIF(DB_Withdrawals!$C:$C,A784,DB_Withdrawals!$G:$G))</f>
        <v/>
      </c>
      <c r="N784" s="340">
        <f>IF(A784="","",I784+L784-M784)</f>
        <v/>
      </c>
      <c r="O784" s="340">
        <f>IF(A784="","",TRUE())</f>
        <v/>
      </c>
      <c r="P784" s="340">
        <f>IF(A784="","",MAX(0,N784-System_Config!$B$9))</f>
        <v/>
      </c>
    </row>
    <row r="785" ht="15" customHeight="1" s="341">
      <c r="L785" s="340">
        <f>IF(A785="","",SUMIF(DB_Savings!$C:$C,A785,DB_Savings!$F:$F))</f>
        <v/>
      </c>
      <c r="M785" s="340">
        <f>IF(A785="","",SUMIF(DB_Withdrawals!$C:$C,A785,DB_Withdrawals!$G:$G))</f>
        <v/>
      </c>
      <c r="N785" s="340">
        <f>IF(A785="","",I785+L785-M785)</f>
        <v/>
      </c>
      <c r="O785" s="340">
        <f>IF(A785="","",TRUE())</f>
        <v/>
      </c>
      <c r="P785" s="340">
        <f>IF(A785="","",MAX(0,N785-System_Config!$B$9))</f>
        <v/>
      </c>
    </row>
    <row r="786" ht="15" customHeight="1" s="341">
      <c r="L786" s="340">
        <f>IF(A786="","",SUMIF(DB_Savings!$C:$C,A786,DB_Savings!$F:$F))</f>
        <v/>
      </c>
      <c r="M786" s="340">
        <f>IF(A786="","",SUMIF(DB_Withdrawals!$C:$C,A786,DB_Withdrawals!$G:$G))</f>
        <v/>
      </c>
      <c r="N786" s="340">
        <f>IF(A786="","",I786+L786-M786)</f>
        <v/>
      </c>
      <c r="O786" s="340">
        <f>IF(A786="","",TRUE())</f>
        <v/>
      </c>
      <c r="P786" s="340">
        <f>IF(A786="","",MAX(0,N786-System_Config!$B$9))</f>
        <v/>
      </c>
    </row>
    <row r="787" ht="15" customHeight="1" s="341">
      <c r="L787" s="340">
        <f>IF(A787="","",SUMIF(DB_Savings!$C:$C,A787,DB_Savings!$F:$F))</f>
        <v/>
      </c>
      <c r="M787" s="340">
        <f>IF(A787="","",SUMIF(DB_Withdrawals!$C:$C,A787,DB_Withdrawals!$G:$G))</f>
        <v/>
      </c>
      <c r="N787" s="340">
        <f>IF(A787="","",I787+L787-M787)</f>
        <v/>
      </c>
      <c r="O787" s="340">
        <f>IF(A787="","",TRUE())</f>
        <v/>
      </c>
      <c r="P787" s="340">
        <f>IF(A787="","",MAX(0,N787-System_Config!$B$9))</f>
        <v/>
      </c>
    </row>
    <row r="788" ht="15" customHeight="1" s="341">
      <c r="L788" s="340">
        <f>IF(A788="","",SUMIF(DB_Savings!$C:$C,A788,DB_Savings!$F:$F))</f>
        <v/>
      </c>
      <c r="M788" s="340">
        <f>IF(A788="","",SUMIF(DB_Withdrawals!$C:$C,A788,DB_Withdrawals!$G:$G))</f>
        <v/>
      </c>
      <c r="N788" s="340">
        <f>IF(A788="","",I788+L788-M788)</f>
        <v/>
      </c>
      <c r="O788" s="340">
        <f>IF(A788="","",TRUE())</f>
        <v/>
      </c>
      <c r="P788" s="340">
        <f>IF(A788="","",MAX(0,N788-System_Config!$B$9))</f>
        <v/>
      </c>
    </row>
    <row r="789" ht="15" customHeight="1" s="341">
      <c r="L789" s="340">
        <f>IF(A789="","",SUMIF(DB_Savings!$C:$C,A789,DB_Savings!$F:$F))</f>
        <v/>
      </c>
      <c r="M789" s="340">
        <f>IF(A789="","",SUMIF(DB_Withdrawals!$C:$C,A789,DB_Withdrawals!$G:$G))</f>
        <v/>
      </c>
      <c r="N789" s="340">
        <f>IF(A789="","",I789+L789-M789)</f>
        <v/>
      </c>
      <c r="O789" s="340">
        <f>IF(A789="","",TRUE())</f>
        <v/>
      </c>
      <c r="P789" s="340">
        <f>IF(A789="","",MAX(0,N789-System_Config!$B$9))</f>
        <v/>
      </c>
    </row>
    <row r="790" ht="15" customHeight="1" s="341">
      <c r="L790" s="340">
        <f>IF(A790="","",SUMIF(DB_Savings!$C:$C,A790,DB_Savings!$F:$F))</f>
        <v/>
      </c>
      <c r="M790" s="340">
        <f>IF(A790="","",SUMIF(DB_Withdrawals!$C:$C,A790,DB_Withdrawals!$G:$G))</f>
        <v/>
      </c>
      <c r="N790" s="340">
        <f>IF(A790="","",I790+L790-M790)</f>
        <v/>
      </c>
      <c r="O790" s="340">
        <f>IF(A790="","",TRUE())</f>
        <v/>
      </c>
      <c r="P790" s="340">
        <f>IF(A790="","",MAX(0,N790-System_Config!$B$9))</f>
        <v/>
      </c>
    </row>
    <row r="791" ht="15" customHeight="1" s="341">
      <c r="L791" s="340">
        <f>IF(A791="","",SUMIF(DB_Savings!$C:$C,A791,DB_Savings!$F:$F))</f>
        <v/>
      </c>
      <c r="M791" s="340">
        <f>IF(A791="","",SUMIF(DB_Withdrawals!$C:$C,A791,DB_Withdrawals!$G:$G))</f>
        <v/>
      </c>
      <c r="N791" s="340">
        <f>IF(A791="","",I791+L791-M791)</f>
        <v/>
      </c>
      <c r="O791" s="340">
        <f>IF(A791="","",TRUE())</f>
        <v/>
      </c>
      <c r="P791" s="340">
        <f>IF(A791="","",MAX(0,N791-System_Config!$B$9))</f>
        <v/>
      </c>
    </row>
    <row r="792" ht="15" customHeight="1" s="341">
      <c r="L792" s="340">
        <f>IF(A792="","",SUMIF(DB_Savings!$C:$C,A792,DB_Savings!$F:$F))</f>
        <v/>
      </c>
      <c r="M792" s="340">
        <f>IF(A792="","",SUMIF(DB_Withdrawals!$C:$C,A792,DB_Withdrawals!$G:$G))</f>
        <v/>
      </c>
      <c r="N792" s="340">
        <f>IF(A792="","",I792+L792-M792)</f>
        <v/>
      </c>
      <c r="O792" s="340">
        <f>IF(A792="","",TRUE())</f>
        <v/>
      </c>
      <c r="P792" s="340">
        <f>IF(A792="","",MAX(0,N792-System_Config!$B$9))</f>
        <v/>
      </c>
    </row>
    <row r="793" ht="15" customHeight="1" s="341">
      <c r="L793" s="340">
        <f>IF(A793="","",SUMIF(DB_Savings!$C:$C,A793,DB_Savings!$F:$F))</f>
        <v/>
      </c>
      <c r="M793" s="340">
        <f>IF(A793="","",SUMIF(DB_Withdrawals!$C:$C,A793,DB_Withdrawals!$G:$G))</f>
        <v/>
      </c>
      <c r="N793" s="340">
        <f>IF(A793="","",I793+L793-M793)</f>
        <v/>
      </c>
      <c r="O793" s="340">
        <f>IF(A793="","",TRUE())</f>
        <v/>
      </c>
      <c r="P793" s="340">
        <f>IF(A793="","",MAX(0,N793-System_Config!$B$9))</f>
        <v/>
      </c>
    </row>
    <row r="794" ht="15" customHeight="1" s="341">
      <c r="L794" s="340">
        <f>IF(A794="","",SUMIF(DB_Savings!$C:$C,A794,DB_Savings!$F:$F))</f>
        <v/>
      </c>
      <c r="M794" s="340">
        <f>IF(A794="","",SUMIF(DB_Withdrawals!$C:$C,A794,DB_Withdrawals!$G:$G))</f>
        <v/>
      </c>
      <c r="N794" s="340">
        <f>IF(A794="","",I794+L794-M794)</f>
        <v/>
      </c>
      <c r="O794" s="340">
        <f>IF(A794="","",TRUE())</f>
        <v/>
      </c>
      <c r="P794" s="340">
        <f>IF(A794="","",MAX(0,N794-System_Config!$B$9))</f>
        <v/>
      </c>
    </row>
    <row r="795" ht="15" customHeight="1" s="341">
      <c r="L795" s="340">
        <f>IF(A795="","",SUMIF(DB_Savings!$C:$C,A795,DB_Savings!$F:$F))</f>
        <v/>
      </c>
      <c r="M795" s="340">
        <f>IF(A795="","",SUMIF(DB_Withdrawals!$C:$C,A795,DB_Withdrawals!$G:$G))</f>
        <v/>
      </c>
      <c r="N795" s="340">
        <f>IF(A795="","",I795+L795-M795)</f>
        <v/>
      </c>
      <c r="O795" s="340">
        <f>IF(A795="","",TRUE())</f>
        <v/>
      </c>
      <c r="P795" s="340">
        <f>IF(A795="","",MAX(0,N795-System_Config!$B$9))</f>
        <v/>
      </c>
    </row>
    <row r="796" ht="15" customHeight="1" s="341">
      <c r="L796" s="340">
        <f>IF(A796="","",SUMIF(DB_Savings!$C:$C,A796,DB_Savings!$F:$F))</f>
        <v/>
      </c>
      <c r="M796" s="340">
        <f>IF(A796="","",SUMIF(DB_Withdrawals!$C:$C,A796,DB_Withdrawals!$G:$G))</f>
        <v/>
      </c>
      <c r="N796" s="340">
        <f>IF(A796="","",I796+L796-M796)</f>
        <v/>
      </c>
      <c r="O796" s="340">
        <f>IF(A796="","",TRUE())</f>
        <v/>
      </c>
      <c r="P796" s="340">
        <f>IF(A796="","",MAX(0,N796-System_Config!$B$9))</f>
        <v/>
      </c>
    </row>
    <row r="797" ht="15" customHeight="1" s="341">
      <c r="L797" s="340">
        <f>IF(A797="","",SUMIF(DB_Savings!$C:$C,A797,DB_Savings!$F:$F))</f>
        <v/>
      </c>
      <c r="M797" s="340">
        <f>IF(A797="","",SUMIF(DB_Withdrawals!$C:$C,A797,DB_Withdrawals!$G:$G))</f>
        <v/>
      </c>
      <c r="N797" s="340">
        <f>IF(A797="","",I797+L797-M797)</f>
        <v/>
      </c>
      <c r="O797" s="340">
        <f>IF(A797="","",TRUE())</f>
        <v/>
      </c>
      <c r="P797" s="340">
        <f>IF(A797="","",MAX(0,N797-System_Config!$B$9))</f>
        <v/>
      </c>
    </row>
    <row r="798" ht="15" customHeight="1" s="341">
      <c r="L798" s="340">
        <f>IF(A798="","",SUMIF(DB_Savings!$C:$C,A798,DB_Savings!$F:$F))</f>
        <v/>
      </c>
      <c r="M798" s="340">
        <f>IF(A798="","",SUMIF(DB_Withdrawals!$C:$C,A798,DB_Withdrawals!$G:$G))</f>
        <v/>
      </c>
      <c r="N798" s="340">
        <f>IF(A798="","",I798+L798-M798)</f>
        <v/>
      </c>
      <c r="O798" s="340">
        <f>IF(A798="","",TRUE())</f>
        <v/>
      </c>
      <c r="P798" s="340">
        <f>IF(A798="","",MAX(0,N798-System_Config!$B$9))</f>
        <v/>
      </c>
    </row>
    <row r="799" ht="15" customHeight="1" s="341">
      <c r="L799" s="340">
        <f>IF(A799="","",SUMIF(DB_Savings!$C:$C,A799,DB_Savings!$F:$F))</f>
        <v/>
      </c>
      <c r="M799" s="340">
        <f>IF(A799="","",SUMIF(DB_Withdrawals!$C:$C,A799,DB_Withdrawals!$G:$G))</f>
        <v/>
      </c>
      <c r="N799" s="340">
        <f>IF(A799="","",I799+L799-M799)</f>
        <v/>
      </c>
      <c r="O799" s="340">
        <f>IF(A799="","",TRUE())</f>
        <v/>
      </c>
      <c r="P799" s="340">
        <f>IF(A799="","",MAX(0,N799-System_Config!$B$9))</f>
        <v/>
      </c>
    </row>
    <row r="800" ht="15" customHeight="1" s="341">
      <c r="L800" s="340">
        <f>IF(A800="","",SUMIF(DB_Savings!$C:$C,A800,DB_Savings!$F:$F))</f>
        <v/>
      </c>
      <c r="M800" s="340">
        <f>IF(A800="","",SUMIF(DB_Withdrawals!$C:$C,A800,DB_Withdrawals!$G:$G))</f>
        <v/>
      </c>
      <c r="N800" s="340">
        <f>IF(A800="","",I800+L800-M800)</f>
        <v/>
      </c>
      <c r="O800" s="340">
        <f>IF(A800="","",TRUE())</f>
        <v/>
      </c>
      <c r="P800" s="340">
        <f>IF(A800="","",MAX(0,N800-System_Config!$B$9))</f>
        <v/>
      </c>
    </row>
    <row r="801" ht="15" customHeight="1" s="341">
      <c r="L801" s="340">
        <f>IF(A801="","",SUMIF(DB_Savings!$C:$C,A801,DB_Savings!$F:$F))</f>
        <v/>
      </c>
      <c r="M801" s="340">
        <f>IF(A801="","",SUMIF(DB_Withdrawals!$C:$C,A801,DB_Withdrawals!$G:$G))</f>
        <v/>
      </c>
      <c r="N801" s="340">
        <f>IF(A801="","",I801+L801-M801)</f>
        <v/>
      </c>
      <c r="O801" s="340">
        <f>IF(A801="","",TRUE())</f>
        <v/>
      </c>
      <c r="P801" s="340">
        <f>IF(A801="","",MAX(0,N801-System_Config!$B$9))</f>
        <v/>
      </c>
    </row>
    <row r="802" ht="15" customHeight="1" s="341">
      <c r="L802" s="340">
        <f>IF(A802="","",SUMIF(DB_Savings!$C:$C,A802,DB_Savings!$F:$F))</f>
        <v/>
      </c>
      <c r="M802" s="340">
        <f>IF(A802="","",SUMIF(DB_Withdrawals!$C:$C,A802,DB_Withdrawals!$G:$G))</f>
        <v/>
      </c>
      <c r="N802" s="340">
        <f>IF(A802="","",I802+L802-M802)</f>
        <v/>
      </c>
      <c r="O802" s="340">
        <f>IF(A802="","",TRUE())</f>
        <v/>
      </c>
      <c r="P802" s="340">
        <f>IF(A802="","",MAX(0,N802-System_Config!$B$9))</f>
        <v/>
      </c>
    </row>
    <row r="803" ht="15" customHeight="1" s="341">
      <c r="L803" s="340">
        <f>IF(A803="","",SUMIF(DB_Savings!$C:$C,A803,DB_Savings!$F:$F))</f>
        <v/>
      </c>
      <c r="M803" s="340">
        <f>IF(A803="","",SUMIF(DB_Withdrawals!$C:$C,A803,DB_Withdrawals!$G:$G))</f>
        <v/>
      </c>
      <c r="N803" s="340">
        <f>IF(A803="","",I803+L803-M803)</f>
        <v/>
      </c>
      <c r="O803" s="340">
        <f>IF(A803="","",TRUE())</f>
        <v/>
      </c>
      <c r="P803" s="340">
        <f>IF(A803="","",MAX(0,N803-System_Config!$B$9))</f>
        <v/>
      </c>
    </row>
    <row r="804" ht="15" customHeight="1" s="341">
      <c r="L804" s="340">
        <f>IF(A804="","",SUMIF(DB_Savings!$C:$C,A804,DB_Savings!$F:$F))</f>
        <v/>
      </c>
      <c r="M804" s="340">
        <f>IF(A804="","",SUMIF(DB_Withdrawals!$C:$C,A804,DB_Withdrawals!$G:$G))</f>
        <v/>
      </c>
      <c r="N804" s="340">
        <f>IF(A804="","",I804+L804-M804)</f>
        <v/>
      </c>
      <c r="O804" s="340">
        <f>IF(A804="","",TRUE())</f>
        <v/>
      </c>
      <c r="P804" s="340">
        <f>IF(A804="","",MAX(0,N804-System_Config!$B$9))</f>
        <v/>
      </c>
    </row>
    <row r="805" ht="15" customHeight="1" s="341">
      <c r="L805" s="340">
        <f>IF(A805="","",SUMIF(DB_Savings!$C:$C,A805,DB_Savings!$F:$F))</f>
        <v/>
      </c>
      <c r="M805" s="340">
        <f>IF(A805="","",SUMIF(DB_Withdrawals!$C:$C,A805,DB_Withdrawals!$G:$G))</f>
        <v/>
      </c>
      <c r="N805" s="340">
        <f>IF(A805="","",I805+L805-M805)</f>
        <v/>
      </c>
      <c r="O805" s="340">
        <f>IF(A805="","",TRUE())</f>
        <v/>
      </c>
      <c r="P805" s="340">
        <f>IF(A805="","",MAX(0,N805-System_Config!$B$9))</f>
        <v/>
      </c>
    </row>
    <row r="806" ht="15" customHeight="1" s="341">
      <c r="L806" s="340">
        <f>IF(A806="","",SUMIF(DB_Savings!$C:$C,A806,DB_Savings!$F:$F))</f>
        <v/>
      </c>
      <c r="M806" s="340">
        <f>IF(A806="","",SUMIF(DB_Withdrawals!$C:$C,A806,DB_Withdrawals!$G:$G))</f>
        <v/>
      </c>
      <c r="N806" s="340">
        <f>IF(A806="","",I806+L806-M806)</f>
        <v/>
      </c>
      <c r="O806" s="340">
        <f>IF(A806="","",TRUE())</f>
        <v/>
      </c>
      <c r="P806" s="340">
        <f>IF(A806="","",MAX(0,N806-System_Config!$B$9))</f>
        <v/>
      </c>
    </row>
    <row r="807" ht="15" customHeight="1" s="341">
      <c r="L807" s="340">
        <f>IF(A807="","",SUMIF(DB_Savings!$C:$C,A807,DB_Savings!$F:$F))</f>
        <v/>
      </c>
      <c r="M807" s="340">
        <f>IF(A807="","",SUMIF(DB_Withdrawals!$C:$C,A807,DB_Withdrawals!$G:$G))</f>
        <v/>
      </c>
      <c r="N807" s="340">
        <f>IF(A807="","",I807+L807-M807)</f>
        <v/>
      </c>
      <c r="O807" s="340">
        <f>IF(A807="","",TRUE())</f>
        <v/>
      </c>
      <c r="P807" s="340">
        <f>IF(A807="","",MAX(0,N807-System_Config!$B$9))</f>
        <v/>
      </c>
    </row>
    <row r="808" ht="15" customHeight="1" s="341">
      <c r="L808" s="340">
        <f>IF(A808="","",SUMIF(DB_Savings!$C:$C,A808,DB_Savings!$F:$F))</f>
        <v/>
      </c>
      <c r="M808" s="340">
        <f>IF(A808="","",SUMIF(DB_Withdrawals!$C:$C,A808,DB_Withdrawals!$G:$G))</f>
        <v/>
      </c>
      <c r="N808" s="340">
        <f>IF(A808="","",I808+L808-M808)</f>
        <v/>
      </c>
      <c r="O808" s="340">
        <f>IF(A808="","",TRUE())</f>
        <v/>
      </c>
      <c r="P808" s="340">
        <f>IF(A808="","",MAX(0,N808-System_Config!$B$9))</f>
        <v/>
      </c>
    </row>
    <row r="809" ht="15" customHeight="1" s="341">
      <c r="L809" s="340">
        <f>IF(A809="","",SUMIF(DB_Savings!$C:$C,A809,DB_Savings!$F:$F))</f>
        <v/>
      </c>
      <c r="M809" s="340">
        <f>IF(A809="","",SUMIF(DB_Withdrawals!$C:$C,A809,DB_Withdrawals!$G:$G))</f>
        <v/>
      </c>
      <c r="N809" s="340">
        <f>IF(A809="","",I809+L809-M809)</f>
        <v/>
      </c>
      <c r="O809" s="340">
        <f>IF(A809="","",TRUE())</f>
        <v/>
      </c>
      <c r="P809" s="340">
        <f>IF(A809="","",MAX(0,N809-System_Config!$B$9))</f>
        <v/>
      </c>
    </row>
    <row r="810" ht="15" customHeight="1" s="341">
      <c r="L810" s="340">
        <f>IF(A810="","",SUMIF(DB_Savings!$C:$C,A810,DB_Savings!$F:$F))</f>
        <v/>
      </c>
      <c r="M810" s="340">
        <f>IF(A810="","",SUMIF(DB_Withdrawals!$C:$C,A810,DB_Withdrawals!$G:$G))</f>
        <v/>
      </c>
      <c r="N810" s="340">
        <f>IF(A810="","",I810+L810-M810)</f>
        <v/>
      </c>
      <c r="O810" s="340">
        <f>IF(A810="","",TRUE())</f>
        <v/>
      </c>
      <c r="P810" s="340">
        <f>IF(A810="","",MAX(0,N810-System_Config!$B$9))</f>
        <v/>
      </c>
    </row>
    <row r="811" ht="15" customHeight="1" s="341">
      <c r="L811" s="340">
        <f>IF(A811="","",SUMIF(DB_Savings!$C:$C,A811,DB_Savings!$F:$F))</f>
        <v/>
      </c>
      <c r="M811" s="340">
        <f>IF(A811="","",SUMIF(DB_Withdrawals!$C:$C,A811,DB_Withdrawals!$G:$G))</f>
        <v/>
      </c>
      <c r="N811" s="340">
        <f>IF(A811="","",I811+L811-M811)</f>
        <v/>
      </c>
      <c r="O811" s="340">
        <f>IF(A811="","",TRUE())</f>
        <v/>
      </c>
      <c r="P811" s="340">
        <f>IF(A811="","",MAX(0,N811-System_Config!$B$9))</f>
        <v/>
      </c>
    </row>
    <row r="812" ht="15" customHeight="1" s="341">
      <c r="L812" s="340">
        <f>IF(A812="","",SUMIF(DB_Savings!$C:$C,A812,DB_Savings!$F:$F))</f>
        <v/>
      </c>
      <c r="M812" s="340">
        <f>IF(A812="","",SUMIF(DB_Withdrawals!$C:$C,A812,DB_Withdrawals!$G:$G))</f>
        <v/>
      </c>
      <c r="N812" s="340">
        <f>IF(A812="","",I812+L812-M812)</f>
        <v/>
      </c>
      <c r="O812" s="340">
        <f>IF(A812="","",TRUE())</f>
        <v/>
      </c>
      <c r="P812" s="340">
        <f>IF(A812="","",MAX(0,N812-System_Config!$B$9))</f>
        <v/>
      </c>
    </row>
    <row r="813" ht="15" customHeight="1" s="341">
      <c r="L813" s="340">
        <f>IF(A813="","",SUMIF(DB_Savings!$C:$C,A813,DB_Savings!$F:$F))</f>
        <v/>
      </c>
      <c r="M813" s="340">
        <f>IF(A813="","",SUMIF(DB_Withdrawals!$C:$C,A813,DB_Withdrawals!$G:$G))</f>
        <v/>
      </c>
      <c r="N813" s="340">
        <f>IF(A813="","",I813+L813-M813)</f>
        <v/>
      </c>
      <c r="O813" s="340">
        <f>IF(A813="","",TRUE())</f>
        <v/>
      </c>
      <c r="P813" s="340">
        <f>IF(A813="","",MAX(0,N813-System_Config!$B$9))</f>
        <v/>
      </c>
    </row>
    <row r="814" ht="15" customHeight="1" s="341">
      <c r="L814" s="340">
        <f>IF(A814="","",SUMIF(DB_Savings!$C:$C,A814,DB_Savings!$F:$F))</f>
        <v/>
      </c>
      <c r="M814" s="340">
        <f>IF(A814="","",SUMIF(DB_Withdrawals!$C:$C,A814,DB_Withdrawals!$G:$G))</f>
        <v/>
      </c>
      <c r="N814" s="340">
        <f>IF(A814="","",I814+L814-M814)</f>
        <v/>
      </c>
      <c r="O814" s="340">
        <f>IF(A814="","",TRUE())</f>
        <v/>
      </c>
      <c r="P814" s="340">
        <f>IF(A814="","",MAX(0,N814-System_Config!$B$9))</f>
        <v/>
      </c>
    </row>
    <row r="815" ht="15" customHeight="1" s="341">
      <c r="L815" s="340">
        <f>IF(A815="","",SUMIF(DB_Savings!$C:$C,A815,DB_Savings!$F:$F))</f>
        <v/>
      </c>
      <c r="M815" s="340">
        <f>IF(A815="","",SUMIF(DB_Withdrawals!$C:$C,A815,DB_Withdrawals!$G:$G))</f>
        <v/>
      </c>
      <c r="N815" s="340">
        <f>IF(A815="","",I815+L815-M815)</f>
        <v/>
      </c>
      <c r="O815" s="340">
        <f>IF(A815="","",TRUE())</f>
        <v/>
      </c>
      <c r="P815" s="340">
        <f>IF(A815="","",MAX(0,N815-System_Config!$B$9))</f>
        <v/>
      </c>
    </row>
    <row r="816" ht="15" customHeight="1" s="341">
      <c r="L816" s="340">
        <f>IF(A816="","",SUMIF(DB_Savings!$C:$C,A816,DB_Savings!$F:$F))</f>
        <v/>
      </c>
      <c r="M816" s="340">
        <f>IF(A816="","",SUMIF(DB_Withdrawals!$C:$C,A816,DB_Withdrawals!$G:$G))</f>
        <v/>
      </c>
      <c r="N816" s="340">
        <f>IF(A816="","",I816+L816-M816)</f>
        <v/>
      </c>
      <c r="O816" s="340">
        <f>IF(A816="","",TRUE())</f>
        <v/>
      </c>
      <c r="P816" s="340">
        <f>IF(A816="","",MAX(0,N816-System_Config!$B$9))</f>
        <v/>
      </c>
    </row>
    <row r="817" ht="15" customHeight="1" s="341">
      <c r="L817" s="340">
        <f>IF(A817="","",SUMIF(DB_Savings!$C:$C,A817,DB_Savings!$F:$F))</f>
        <v/>
      </c>
      <c r="M817" s="340">
        <f>IF(A817="","",SUMIF(DB_Withdrawals!$C:$C,A817,DB_Withdrawals!$G:$G))</f>
        <v/>
      </c>
      <c r="N817" s="340">
        <f>IF(A817="","",I817+L817-M817)</f>
        <v/>
      </c>
      <c r="O817" s="340">
        <f>IF(A817="","",TRUE())</f>
        <v/>
      </c>
      <c r="P817" s="340">
        <f>IF(A817="","",MAX(0,N817-System_Config!$B$9))</f>
        <v/>
      </c>
    </row>
    <row r="818" ht="15" customHeight="1" s="341">
      <c r="L818" s="340">
        <f>IF(A818="","",SUMIF(DB_Savings!$C:$C,A818,DB_Savings!$F:$F))</f>
        <v/>
      </c>
      <c r="M818" s="340">
        <f>IF(A818="","",SUMIF(DB_Withdrawals!$C:$C,A818,DB_Withdrawals!$G:$G))</f>
        <v/>
      </c>
      <c r="N818" s="340">
        <f>IF(A818="","",I818+L818-M818)</f>
        <v/>
      </c>
      <c r="O818" s="340">
        <f>IF(A818="","",TRUE())</f>
        <v/>
      </c>
      <c r="P818" s="340">
        <f>IF(A818="","",MAX(0,N818-System_Config!$B$9))</f>
        <v/>
      </c>
    </row>
    <row r="819" ht="15" customHeight="1" s="341">
      <c r="L819" s="340">
        <f>IF(A819="","",SUMIF(DB_Savings!$C:$C,A819,DB_Savings!$F:$F))</f>
        <v/>
      </c>
      <c r="M819" s="340">
        <f>IF(A819="","",SUMIF(DB_Withdrawals!$C:$C,A819,DB_Withdrawals!$G:$G))</f>
        <v/>
      </c>
      <c r="N819" s="340">
        <f>IF(A819="","",I819+L819-M819)</f>
        <v/>
      </c>
      <c r="O819" s="340">
        <f>IF(A819="","",TRUE())</f>
        <v/>
      </c>
      <c r="P819" s="340">
        <f>IF(A819="","",MAX(0,N819-System_Config!$B$9))</f>
        <v/>
      </c>
    </row>
    <row r="820" ht="15" customHeight="1" s="341">
      <c r="L820" s="340">
        <f>IF(A820="","",SUMIF(DB_Savings!$C:$C,A820,DB_Savings!$F:$F))</f>
        <v/>
      </c>
      <c r="M820" s="340">
        <f>IF(A820="","",SUMIF(DB_Withdrawals!$C:$C,A820,DB_Withdrawals!$G:$G))</f>
        <v/>
      </c>
      <c r="N820" s="340">
        <f>IF(A820="","",I820+L820-M820)</f>
        <v/>
      </c>
      <c r="O820" s="340">
        <f>IF(A820="","",TRUE())</f>
        <v/>
      </c>
      <c r="P820" s="340">
        <f>IF(A820="","",MAX(0,N820-System_Config!$B$9))</f>
        <v/>
      </c>
    </row>
    <row r="821" ht="15" customHeight="1" s="341">
      <c r="L821" s="340">
        <f>IF(A821="","",SUMIF(DB_Savings!$C:$C,A821,DB_Savings!$F:$F))</f>
        <v/>
      </c>
      <c r="M821" s="340">
        <f>IF(A821="","",SUMIF(DB_Withdrawals!$C:$C,A821,DB_Withdrawals!$G:$G))</f>
        <v/>
      </c>
      <c r="N821" s="340">
        <f>IF(A821="","",I821+L821-M821)</f>
        <v/>
      </c>
      <c r="O821" s="340">
        <f>IF(A821="","",TRUE())</f>
        <v/>
      </c>
      <c r="P821" s="340">
        <f>IF(A821="","",MAX(0,N821-System_Config!$B$9))</f>
        <v/>
      </c>
    </row>
    <row r="822" ht="15" customHeight="1" s="341">
      <c r="L822" s="340">
        <f>IF(A822="","",SUMIF(DB_Savings!$C:$C,A822,DB_Savings!$F:$F))</f>
        <v/>
      </c>
      <c r="M822" s="340">
        <f>IF(A822="","",SUMIF(DB_Withdrawals!$C:$C,A822,DB_Withdrawals!$G:$G))</f>
        <v/>
      </c>
      <c r="N822" s="340">
        <f>IF(A822="","",I822+L822-M822)</f>
        <v/>
      </c>
      <c r="O822" s="340">
        <f>IF(A822="","",TRUE())</f>
        <v/>
      </c>
      <c r="P822" s="340">
        <f>IF(A822="","",MAX(0,N822-System_Config!$B$9))</f>
        <v/>
      </c>
    </row>
    <row r="823" ht="15" customHeight="1" s="341">
      <c r="L823" s="340">
        <f>IF(A823="","",SUMIF(DB_Savings!$C:$C,A823,DB_Savings!$F:$F))</f>
        <v/>
      </c>
      <c r="M823" s="340">
        <f>IF(A823="","",SUMIF(DB_Withdrawals!$C:$C,A823,DB_Withdrawals!$G:$G))</f>
        <v/>
      </c>
      <c r="N823" s="340">
        <f>IF(A823="","",I823+L823-M823)</f>
        <v/>
      </c>
      <c r="O823" s="340">
        <f>IF(A823="","",TRUE())</f>
        <v/>
      </c>
      <c r="P823" s="340">
        <f>IF(A823="","",MAX(0,N823-System_Config!$B$9))</f>
        <v/>
      </c>
    </row>
    <row r="824" ht="15" customHeight="1" s="341">
      <c r="L824" s="340">
        <f>IF(A824="","",SUMIF(DB_Savings!$C:$C,A824,DB_Savings!$F:$F))</f>
        <v/>
      </c>
      <c r="M824" s="340">
        <f>IF(A824="","",SUMIF(DB_Withdrawals!$C:$C,A824,DB_Withdrawals!$G:$G))</f>
        <v/>
      </c>
      <c r="N824" s="340">
        <f>IF(A824="","",I824+L824-M824)</f>
        <v/>
      </c>
      <c r="O824" s="340">
        <f>IF(A824="","",TRUE())</f>
        <v/>
      </c>
      <c r="P824" s="340">
        <f>IF(A824="","",MAX(0,N824-System_Config!$B$9))</f>
        <v/>
      </c>
    </row>
    <row r="825" ht="15" customHeight="1" s="341">
      <c r="L825" s="340">
        <f>IF(A825="","",SUMIF(DB_Savings!$C:$C,A825,DB_Savings!$F:$F))</f>
        <v/>
      </c>
      <c r="M825" s="340">
        <f>IF(A825="","",SUMIF(DB_Withdrawals!$C:$C,A825,DB_Withdrawals!$G:$G))</f>
        <v/>
      </c>
      <c r="N825" s="340">
        <f>IF(A825="","",I825+L825-M825)</f>
        <v/>
      </c>
      <c r="O825" s="340">
        <f>IF(A825="","",TRUE())</f>
        <v/>
      </c>
      <c r="P825" s="340">
        <f>IF(A825="","",MAX(0,N825-System_Config!$B$9))</f>
        <v/>
      </c>
    </row>
    <row r="826" ht="15" customHeight="1" s="341">
      <c r="L826" s="340">
        <f>IF(A826="","",SUMIF(DB_Savings!$C:$C,A826,DB_Savings!$F:$F))</f>
        <v/>
      </c>
      <c r="M826" s="340">
        <f>IF(A826="","",SUMIF(DB_Withdrawals!$C:$C,A826,DB_Withdrawals!$G:$G))</f>
        <v/>
      </c>
      <c r="N826" s="340">
        <f>IF(A826="","",I826+L826-M826)</f>
        <v/>
      </c>
      <c r="O826" s="340">
        <f>IF(A826="","",TRUE())</f>
        <v/>
      </c>
      <c r="P826" s="340">
        <f>IF(A826="","",MAX(0,N826-System_Config!$B$9))</f>
        <v/>
      </c>
    </row>
    <row r="827" ht="15" customHeight="1" s="341">
      <c r="L827" s="340">
        <f>IF(A827="","",SUMIF(DB_Savings!$C:$C,A827,DB_Savings!$F:$F))</f>
        <v/>
      </c>
      <c r="M827" s="340">
        <f>IF(A827="","",SUMIF(DB_Withdrawals!$C:$C,A827,DB_Withdrawals!$G:$G))</f>
        <v/>
      </c>
      <c r="N827" s="340">
        <f>IF(A827="","",I827+L827-M827)</f>
        <v/>
      </c>
      <c r="O827" s="340">
        <f>IF(A827="","",TRUE())</f>
        <v/>
      </c>
      <c r="P827" s="340">
        <f>IF(A827="","",MAX(0,N827-System_Config!$B$9))</f>
        <v/>
      </c>
    </row>
    <row r="828" ht="15" customHeight="1" s="341">
      <c r="L828" s="340">
        <f>IF(A828="","",SUMIF(DB_Savings!$C:$C,A828,DB_Savings!$F:$F))</f>
        <v/>
      </c>
      <c r="M828" s="340">
        <f>IF(A828="","",SUMIF(DB_Withdrawals!$C:$C,A828,DB_Withdrawals!$G:$G))</f>
        <v/>
      </c>
      <c r="N828" s="340">
        <f>IF(A828="","",I828+L828-M828)</f>
        <v/>
      </c>
      <c r="O828" s="340">
        <f>IF(A828="","",TRUE())</f>
        <v/>
      </c>
      <c r="P828" s="340">
        <f>IF(A828="","",MAX(0,N828-System_Config!$B$9))</f>
        <v/>
      </c>
    </row>
    <row r="829" ht="15" customHeight="1" s="341">
      <c r="L829" s="340">
        <f>IF(A829="","",SUMIF(DB_Savings!$C:$C,A829,DB_Savings!$F:$F))</f>
        <v/>
      </c>
      <c r="M829" s="340">
        <f>IF(A829="","",SUMIF(DB_Withdrawals!$C:$C,A829,DB_Withdrawals!$G:$G))</f>
        <v/>
      </c>
      <c r="N829" s="340">
        <f>IF(A829="","",I829+L829-M829)</f>
        <v/>
      </c>
      <c r="O829" s="340">
        <f>IF(A829="","",TRUE())</f>
        <v/>
      </c>
      <c r="P829" s="340">
        <f>IF(A829="","",MAX(0,N829-System_Config!$B$9))</f>
        <v/>
      </c>
    </row>
    <row r="830" ht="15" customHeight="1" s="341">
      <c r="L830" s="340">
        <f>IF(A830="","",SUMIF(DB_Savings!$C:$C,A830,DB_Savings!$F:$F))</f>
        <v/>
      </c>
      <c r="M830" s="340">
        <f>IF(A830="","",SUMIF(DB_Withdrawals!$C:$C,A830,DB_Withdrawals!$G:$G))</f>
        <v/>
      </c>
      <c r="N830" s="340">
        <f>IF(A830="","",I830+L830-M830)</f>
        <v/>
      </c>
      <c r="O830" s="340">
        <f>IF(A830="","",TRUE())</f>
        <v/>
      </c>
      <c r="P830" s="340">
        <f>IF(A830="","",MAX(0,N830-System_Config!$B$9))</f>
        <v/>
      </c>
    </row>
    <row r="831" ht="15" customHeight="1" s="341">
      <c r="L831" s="340">
        <f>IF(A831="","",SUMIF(DB_Savings!$C:$C,A831,DB_Savings!$F:$F))</f>
        <v/>
      </c>
      <c r="M831" s="340">
        <f>IF(A831="","",SUMIF(DB_Withdrawals!$C:$C,A831,DB_Withdrawals!$G:$G))</f>
        <v/>
      </c>
      <c r="N831" s="340">
        <f>IF(A831="","",I831+L831-M831)</f>
        <v/>
      </c>
      <c r="O831" s="340">
        <f>IF(A831="","",TRUE())</f>
        <v/>
      </c>
      <c r="P831" s="340">
        <f>IF(A831="","",MAX(0,N831-System_Config!$B$9))</f>
        <v/>
      </c>
    </row>
    <row r="832" ht="15" customHeight="1" s="341">
      <c r="L832" s="340">
        <f>IF(A832="","",SUMIF(DB_Savings!$C:$C,A832,DB_Savings!$F:$F))</f>
        <v/>
      </c>
      <c r="M832" s="340">
        <f>IF(A832="","",SUMIF(DB_Withdrawals!$C:$C,A832,DB_Withdrawals!$G:$G))</f>
        <v/>
      </c>
      <c r="N832" s="340">
        <f>IF(A832="","",I832+L832-M832)</f>
        <v/>
      </c>
      <c r="O832" s="340">
        <f>IF(A832="","",TRUE())</f>
        <v/>
      </c>
      <c r="P832" s="340">
        <f>IF(A832="","",MAX(0,N832-System_Config!$B$9))</f>
        <v/>
      </c>
    </row>
    <row r="833" ht="15" customHeight="1" s="341">
      <c r="L833" s="340">
        <f>IF(A833="","",SUMIF(DB_Savings!$C:$C,A833,DB_Savings!$F:$F))</f>
        <v/>
      </c>
      <c r="M833" s="340">
        <f>IF(A833="","",SUMIF(DB_Withdrawals!$C:$C,A833,DB_Withdrawals!$G:$G))</f>
        <v/>
      </c>
      <c r="N833" s="340">
        <f>IF(A833="","",I833+L833-M833)</f>
        <v/>
      </c>
      <c r="O833" s="340">
        <f>IF(A833="","",TRUE())</f>
        <v/>
      </c>
      <c r="P833" s="340">
        <f>IF(A833="","",MAX(0,N833-System_Config!$B$9))</f>
        <v/>
      </c>
    </row>
    <row r="834" ht="15" customHeight="1" s="341">
      <c r="L834" s="340">
        <f>IF(A834="","",SUMIF(DB_Savings!$C:$C,A834,DB_Savings!$F:$F))</f>
        <v/>
      </c>
      <c r="M834" s="340">
        <f>IF(A834="","",SUMIF(DB_Withdrawals!$C:$C,A834,DB_Withdrawals!$G:$G))</f>
        <v/>
      </c>
      <c r="N834" s="340">
        <f>IF(A834="","",I834+L834-M834)</f>
        <v/>
      </c>
      <c r="O834" s="340">
        <f>IF(A834="","",TRUE())</f>
        <v/>
      </c>
      <c r="P834" s="340">
        <f>IF(A834="","",MAX(0,N834-System_Config!$B$9))</f>
        <v/>
      </c>
    </row>
    <row r="835" ht="15" customHeight="1" s="341">
      <c r="L835" s="340">
        <f>IF(A835="","",SUMIF(DB_Savings!$C:$C,A835,DB_Savings!$F:$F))</f>
        <v/>
      </c>
      <c r="M835" s="340">
        <f>IF(A835="","",SUMIF(DB_Withdrawals!$C:$C,A835,DB_Withdrawals!$G:$G))</f>
        <v/>
      </c>
      <c r="N835" s="340">
        <f>IF(A835="","",I835+L835-M835)</f>
        <v/>
      </c>
      <c r="O835" s="340">
        <f>IF(A835="","",TRUE())</f>
        <v/>
      </c>
      <c r="P835" s="340">
        <f>IF(A835="","",MAX(0,N835-System_Config!$B$9))</f>
        <v/>
      </c>
    </row>
    <row r="836" ht="15" customHeight="1" s="341">
      <c r="L836" s="340">
        <f>IF(A836="","",SUMIF(DB_Savings!$C:$C,A836,DB_Savings!$F:$F))</f>
        <v/>
      </c>
      <c r="M836" s="340">
        <f>IF(A836="","",SUMIF(DB_Withdrawals!$C:$C,A836,DB_Withdrawals!$G:$G))</f>
        <v/>
      </c>
      <c r="N836" s="340">
        <f>IF(A836="","",I836+L836-M836)</f>
        <v/>
      </c>
      <c r="O836" s="340">
        <f>IF(A836="","",TRUE())</f>
        <v/>
      </c>
      <c r="P836" s="340">
        <f>IF(A836="","",MAX(0,N836-System_Config!$B$9))</f>
        <v/>
      </c>
    </row>
    <row r="837" ht="15" customHeight="1" s="341">
      <c r="L837" s="340">
        <f>IF(A837="","",SUMIF(DB_Savings!$C:$C,A837,DB_Savings!$F:$F))</f>
        <v/>
      </c>
      <c r="M837" s="340">
        <f>IF(A837="","",SUMIF(DB_Withdrawals!$C:$C,A837,DB_Withdrawals!$G:$G))</f>
        <v/>
      </c>
      <c r="N837" s="340">
        <f>IF(A837="","",I837+L837-M837)</f>
        <v/>
      </c>
      <c r="O837" s="340">
        <f>IF(A837="","",TRUE())</f>
        <v/>
      </c>
      <c r="P837" s="340">
        <f>IF(A837="","",MAX(0,N837-System_Config!$B$9))</f>
        <v/>
      </c>
    </row>
    <row r="838" ht="15" customHeight="1" s="341">
      <c r="L838" s="340">
        <f>IF(A838="","",SUMIF(DB_Savings!$C:$C,A838,DB_Savings!$F:$F))</f>
        <v/>
      </c>
      <c r="M838" s="340">
        <f>IF(A838="","",SUMIF(DB_Withdrawals!$C:$C,A838,DB_Withdrawals!$G:$G))</f>
        <v/>
      </c>
      <c r="N838" s="340">
        <f>IF(A838="","",I838+L838-M838)</f>
        <v/>
      </c>
      <c r="O838" s="340">
        <f>IF(A838="","",TRUE())</f>
        <v/>
      </c>
      <c r="P838" s="340">
        <f>IF(A838="","",MAX(0,N838-System_Config!$B$9))</f>
        <v/>
      </c>
    </row>
    <row r="839" ht="15" customHeight="1" s="341">
      <c r="L839" s="340">
        <f>IF(A839="","",SUMIF(DB_Savings!$C:$C,A839,DB_Savings!$F:$F))</f>
        <v/>
      </c>
      <c r="M839" s="340">
        <f>IF(A839="","",SUMIF(DB_Withdrawals!$C:$C,A839,DB_Withdrawals!$G:$G))</f>
        <v/>
      </c>
      <c r="N839" s="340">
        <f>IF(A839="","",I839+L839-M839)</f>
        <v/>
      </c>
      <c r="O839" s="340">
        <f>IF(A839="","",TRUE())</f>
        <v/>
      </c>
      <c r="P839" s="340">
        <f>IF(A839="","",MAX(0,N839-System_Config!$B$9))</f>
        <v/>
      </c>
    </row>
    <row r="840" ht="15" customHeight="1" s="341">
      <c r="L840" s="340">
        <f>IF(A840="","",SUMIF(DB_Savings!$C:$C,A840,DB_Savings!$F:$F))</f>
        <v/>
      </c>
      <c r="M840" s="340">
        <f>IF(A840="","",SUMIF(DB_Withdrawals!$C:$C,A840,DB_Withdrawals!$G:$G))</f>
        <v/>
      </c>
      <c r="N840" s="340">
        <f>IF(A840="","",I840+L840-M840)</f>
        <v/>
      </c>
      <c r="O840" s="340">
        <f>IF(A840="","",TRUE())</f>
        <v/>
      </c>
      <c r="P840" s="340">
        <f>IF(A840="","",MAX(0,N840-System_Config!$B$9))</f>
        <v/>
      </c>
    </row>
    <row r="841" ht="15" customHeight="1" s="341">
      <c r="L841" s="340">
        <f>IF(A841="","",SUMIF(DB_Savings!$C:$C,A841,DB_Savings!$F:$F))</f>
        <v/>
      </c>
      <c r="M841" s="340">
        <f>IF(A841="","",SUMIF(DB_Withdrawals!$C:$C,A841,DB_Withdrawals!$G:$G))</f>
        <v/>
      </c>
      <c r="N841" s="340">
        <f>IF(A841="","",I841+L841-M841)</f>
        <v/>
      </c>
      <c r="O841" s="340">
        <f>IF(A841="","",TRUE())</f>
        <v/>
      </c>
      <c r="P841" s="340">
        <f>IF(A841="","",MAX(0,N841-System_Config!$B$9))</f>
        <v/>
      </c>
    </row>
    <row r="842" ht="15" customHeight="1" s="341">
      <c r="L842" s="340">
        <f>IF(A842="","",SUMIF(DB_Savings!$C:$C,A842,DB_Savings!$F:$F))</f>
        <v/>
      </c>
      <c r="M842" s="340">
        <f>IF(A842="","",SUMIF(DB_Withdrawals!$C:$C,A842,DB_Withdrawals!$G:$G))</f>
        <v/>
      </c>
      <c r="N842" s="340">
        <f>IF(A842="","",I842+L842-M842)</f>
        <v/>
      </c>
      <c r="O842" s="340">
        <f>IF(A842="","",TRUE())</f>
        <v/>
      </c>
      <c r="P842" s="340">
        <f>IF(A842="","",MAX(0,N842-System_Config!$B$9))</f>
        <v/>
      </c>
    </row>
    <row r="843" ht="15" customHeight="1" s="341">
      <c r="L843" s="340">
        <f>IF(A843="","",SUMIF(DB_Savings!$C:$C,A843,DB_Savings!$F:$F))</f>
        <v/>
      </c>
      <c r="M843" s="340">
        <f>IF(A843="","",SUMIF(DB_Withdrawals!$C:$C,A843,DB_Withdrawals!$G:$G))</f>
        <v/>
      </c>
      <c r="N843" s="340">
        <f>IF(A843="","",I843+L843-M843)</f>
        <v/>
      </c>
      <c r="O843" s="340">
        <f>IF(A843="","",TRUE())</f>
        <v/>
      </c>
      <c r="P843" s="340">
        <f>IF(A843="","",MAX(0,N843-System_Config!$B$9))</f>
        <v/>
      </c>
    </row>
    <row r="844" ht="15" customHeight="1" s="341">
      <c r="L844" s="340">
        <f>IF(A844="","",SUMIF(DB_Savings!$C:$C,A844,DB_Savings!$F:$F))</f>
        <v/>
      </c>
      <c r="M844" s="340">
        <f>IF(A844="","",SUMIF(DB_Withdrawals!$C:$C,A844,DB_Withdrawals!$G:$G))</f>
        <v/>
      </c>
      <c r="N844" s="340">
        <f>IF(A844="","",I844+L844-M844)</f>
        <v/>
      </c>
      <c r="O844" s="340">
        <f>IF(A844="","",TRUE())</f>
        <v/>
      </c>
      <c r="P844" s="340">
        <f>IF(A844="","",MAX(0,N844-System_Config!$B$9))</f>
        <v/>
      </c>
    </row>
    <row r="845" ht="15" customHeight="1" s="341">
      <c r="L845" s="340">
        <f>IF(A845="","",SUMIF(DB_Savings!$C:$C,A845,DB_Savings!$F:$F))</f>
        <v/>
      </c>
      <c r="M845" s="340">
        <f>IF(A845="","",SUMIF(DB_Withdrawals!$C:$C,A845,DB_Withdrawals!$G:$G))</f>
        <v/>
      </c>
      <c r="N845" s="340">
        <f>IF(A845="","",I845+L845-M845)</f>
        <v/>
      </c>
      <c r="O845" s="340">
        <f>IF(A845="","",TRUE())</f>
        <v/>
      </c>
      <c r="P845" s="340">
        <f>IF(A845="","",MAX(0,N845-System_Config!$B$9))</f>
        <v/>
      </c>
    </row>
    <row r="846" ht="15" customHeight="1" s="341">
      <c r="L846" s="340">
        <f>IF(A846="","",SUMIF(DB_Savings!$C:$C,A846,DB_Savings!$F:$F))</f>
        <v/>
      </c>
      <c r="M846" s="340">
        <f>IF(A846="","",SUMIF(DB_Withdrawals!$C:$C,A846,DB_Withdrawals!$G:$G))</f>
        <v/>
      </c>
      <c r="N846" s="340">
        <f>IF(A846="","",I846+L846-M846)</f>
        <v/>
      </c>
      <c r="O846" s="340">
        <f>IF(A846="","",TRUE())</f>
        <v/>
      </c>
      <c r="P846" s="340">
        <f>IF(A846="","",MAX(0,N846-System_Config!$B$9))</f>
        <v/>
      </c>
    </row>
    <row r="847" ht="15" customHeight="1" s="341">
      <c r="L847" s="340">
        <f>IF(A847="","",SUMIF(DB_Savings!$C:$C,A847,DB_Savings!$F:$F))</f>
        <v/>
      </c>
      <c r="M847" s="340">
        <f>IF(A847="","",SUMIF(DB_Withdrawals!$C:$C,A847,DB_Withdrawals!$G:$G))</f>
        <v/>
      </c>
      <c r="N847" s="340">
        <f>IF(A847="","",I847+L847-M847)</f>
        <v/>
      </c>
      <c r="O847" s="340">
        <f>IF(A847="","",TRUE())</f>
        <v/>
      </c>
      <c r="P847" s="340">
        <f>IF(A847="","",MAX(0,N847-System_Config!$B$9))</f>
        <v/>
      </c>
    </row>
    <row r="848" ht="15" customHeight="1" s="341">
      <c r="L848" s="340">
        <f>IF(A848="","",SUMIF(DB_Savings!$C:$C,A848,DB_Savings!$F:$F))</f>
        <v/>
      </c>
      <c r="M848" s="340">
        <f>IF(A848="","",SUMIF(DB_Withdrawals!$C:$C,A848,DB_Withdrawals!$G:$G))</f>
        <v/>
      </c>
      <c r="N848" s="340">
        <f>IF(A848="","",I848+L848-M848)</f>
        <v/>
      </c>
      <c r="O848" s="340">
        <f>IF(A848="","",TRUE())</f>
        <v/>
      </c>
      <c r="P848" s="340">
        <f>IF(A848="","",MAX(0,N848-System_Config!$B$9))</f>
        <v/>
      </c>
    </row>
    <row r="849" ht="15" customHeight="1" s="341">
      <c r="L849" s="340">
        <f>IF(A849="","",SUMIF(DB_Savings!$C:$C,A849,DB_Savings!$F:$F))</f>
        <v/>
      </c>
      <c r="M849" s="340">
        <f>IF(A849="","",SUMIF(DB_Withdrawals!$C:$C,A849,DB_Withdrawals!$G:$G))</f>
        <v/>
      </c>
      <c r="N849" s="340">
        <f>IF(A849="","",I849+L849-M849)</f>
        <v/>
      </c>
      <c r="O849" s="340">
        <f>IF(A849="","",TRUE())</f>
        <v/>
      </c>
      <c r="P849" s="340">
        <f>IF(A849="","",MAX(0,N849-System_Config!$B$9))</f>
        <v/>
      </c>
    </row>
    <row r="850" ht="15" customHeight="1" s="341">
      <c r="L850" s="340">
        <f>IF(A850="","",SUMIF(DB_Savings!$C:$C,A850,DB_Savings!$F:$F))</f>
        <v/>
      </c>
      <c r="M850" s="340">
        <f>IF(A850="","",SUMIF(DB_Withdrawals!$C:$C,A850,DB_Withdrawals!$G:$G))</f>
        <v/>
      </c>
      <c r="N850" s="340">
        <f>IF(A850="","",I850+L850-M850)</f>
        <v/>
      </c>
      <c r="O850" s="340">
        <f>IF(A850="","",TRUE())</f>
        <v/>
      </c>
      <c r="P850" s="340">
        <f>IF(A850="","",MAX(0,N850-System_Config!$B$9))</f>
        <v/>
      </c>
    </row>
    <row r="851" ht="15" customHeight="1" s="341">
      <c r="L851" s="340">
        <f>IF(A851="","",SUMIF(DB_Savings!$C:$C,A851,DB_Savings!$F:$F))</f>
        <v/>
      </c>
      <c r="M851" s="340">
        <f>IF(A851="","",SUMIF(DB_Withdrawals!$C:$C,A851,DB_Withdrawals!$G:$G))</f>
        <v/>
      </c>
      <c r="N851" s="340">
        <f>IF(A851="","",I851+L851-M851)</f>
        <v/>
      </c>
      <c r="O851" s="340">
        <f>IF(A851="","",TRUE())</f>
        <v/>
      </c>
      <c r="P851" s="340">
        <f>IF(A851="","",MAX(0,N851-System_Config!$B$9))</f>
        <v/>
      </c>
    </row>
    <row r="852" ht="15" customHeight="1" s="341">
      <c r="L852" s="340">
        <f>IF(A852="","",SUMIF(DB_Savings!$C:$C,A852,DB_Savings!$F:$F))</f>
        <v/>
      </c>
      <c r="M852" s="340">
        <f>IF(A852="","",SUMIF(DB_Withdrawals!$C:$C,A852,DB_Withdrawals!$G:$G))</f>
        <v/>
      </c>
      <c r="N852" s="340">
        <f>IF(A852="","",I852+L852-M852)</f>
        <v/>
      </c>
      <c r="O852" s="340">
        <f>IF(A852="","",TRUE())</f>
        <v/>
      </c>
      <c r="P852" s="340">
        <f>IF(A852="","",MAX(0,N852-System_Config!$B$9))</f>
        <v/>
      </c>
    </row>
    <row r="853" ht="15" customHeight="1" s="341">
      <c r="L853" s="340">
        <f>IF(A853="","",SUMIF(DB_Savings!$C:$C,A853,DB_Savings!$F:$F))</f>
        <v/>
      </c>
      <c r="M853" s="340">
        <f>IF(A853="","",SUMIF(DB_Withdrawals!$C:$C,A853,DB_Withdrawals!$G:$G))</f>
        <v/>
      </c>
      <c r="N853" s="340">
        <f>IF(A853="","",I853+L853-M853)</f>
        <v/>
      </c>
      <c r="O853" s="340">
        <f>IF(A853="","",TRUE())</f>
        <v/>
      </c>
      <c r="P853" s="340">
        <f>IF(A853="","",MAX(0,N853-System_Config!$B$9))</f>
        <v/>
      </c>
    </row>
    <row r="854" ht="15" customHeight="1" s="341">
      <c r="L854" s="340">
        <f>IF(A854="","",SUMIF(DB_Savings!$C:$C,A854,DB_Savings!$F:$F))</f>
        <v/>
      </c>
      <c r="M854" s="340">
        <f>IF(A854="","",SUMIF(DB_Withdrawals!$C:$C,A854,DB_Withdrawals!$G:$G))</f>
        <v/>
      </c>
      <c r="N854" s="340">
        <f>IF(A854="","",I854+L854-M854)</f>
        <v/>
      </c>
      <c r="O854" s="340">
        <f>IF(A854="","",TRUE())</f>
        <v/>
      </c>
      <c r="P854" s="340">
        <f>IF(A854="","",MAX(0,N854-System_Config!$B$9))</f>
        <v/>
      </c>
    </row>
    <row r="855" ht="15" customHeight="1" s="341">
      <c r="L855" s="340">
        <f>IF(A855="","",SUMIF(DB_Savings!$C:$C,A855,DB_Savings!$F:$F))</f>
        <v/>
      </c>
      <c r="M855" s="340">
        <f>IF(A855="","",SUMIF(DB_Withdrawals!$C:$C,A855,DB_Withdrawals!$G:$G))</f>
        <v/>
      </c>
      <c r="N855" s="340">
        <f>IF(A855="","",I855+L855-M855)</f>
        <v/>
      </c>
      <c r="O855" s="340">
        <f>IF(A855="","",TRUE())</f>
        <v/>
      </c>
      <c r="P855" s="340">
        <f>IF(A855="","",MAX(0,N855-System_Config!$B$9))</f>
        <v/>
      </c>
    </row>
    <row r="856" ht="15" customHeight="1" s="341">
      <c r="L856" s="340">
        <f>IF(A856="","",SUMIF(DB_Savings!$C:$C,A856,DB_Savings!$F:$F))</f>
        <v/>
      </c>
      <c r="M856" s="340">
        <f>IF(A856="","",SUMIF(DB_Withdrawals!$C:$C,A856,DB_Withdrawals!$G:$G))</f>
        <v/>
      </c>
      <c r="N856" s="340">
        <f>IF(A856="","",I856+L856-M856)</f>
        <v/>
      </c>
      <c r="O856" s="340">
        <f>IF(A856="","",TRUE())</f>
        <v/>
      </c>
      <c r="P856" s="340">
        <f>IF(A856="","",MAX(0,N856-System_Config!$B$9))</f>
        <v/>
      </c>
    </row>
    <row r="857" ht="15" customHeight="1" s="341">
      <c r="L857" s="340">
        <f>IF(A857="","",SUMIF(DB_Savings!$C:$C,A857,DB_Savings!$F:$F))</f>
        <v/>
      </c>
      <c r="M857" s="340">
        <f>IF(A857="","",SUMIF(DB_Withdrawals!$C:$C,A857,DB_Withdrawals!$G:$G))</f>
        <v/>
      </c>
      <c r="N857" s="340">
        <f>IF(A857="","",I857+L857-M857)</f>
        <v/>
      </c>
      <c r="O857" s="340">
        <f>IF(A857="","",TRUE())</f>
        <v/>
      </c>
      <c r="P857" s="340">
        <f>IF(A857="","",MAX(0,N857-System_Config!$B$9))</f>
        <v/>
      </c>
    </row>
    <row r="858" ht="15" customHeight="1" s="341">
      <c r="L858" s="340">
        <f>IF(A858="","",SUMIF(DB_Savings!$C:$C,A858,DB_Savings!$F:$F))</f>
        <v/>
      </c>
      <c r="M858" s="340">
        <f>IF(A858="","",SUMIF(DB_Withdrawals!$C:$C,A858,DB_Withdrawals!$G:$G))</f>
        <v/>
      </c>
      <c r="N858" s="340">
        <f>IF(A858="","",I858+L858-M858)</f>
        <v/>
      </c>
      <c r="O858" s="340">
        <f>IF(A858="","",TRUE())</f>
        <v/>
      </c>
      <c r="P858" s="340">
        <f>IF(A858="","",MAX(0,N858-System_Config!$B$9))</f>
        <v/>
      </c>
    </row>
    <row r="859" ht="15" customHeight="1" s="341">
      <c r="L859" s="340">
        <f>IF(A859="","",SUMIF(DB_Savings!$C:$C,A859,DB_Savings!$F:$F))</f>
        <v/>
      </c>
      <c r="M859" s="340">
        <f>IF(A859="","",SUMIF(DB_Withdrawals!$C:$C,A859,DB_Withdrawals!$G:$G))</f>
        <v/>
      </c>
      <c r="N859" s="340">
        <f>IF(A859="","",I859+L859-M859)</f>
        <v/>
      </c>
      <c r="O859" s="340">
        <f>IF(A859="","",TRUE())</f>
        <v/>
      </c>
      <c r="P859" s="340">
        <f>IF(A859="","",MAX(0,N859-System_Config!$B$9))</f>
        <v/>
      </c>
    </row>
    <row r="860" ht="15" customHeight="1" s="341">
      <c r="L860" s="340">
        <f>IF(A860="","",SUMIF(DB_Savings!$C:$C,A860,DB_Savings!$F:$F))</f>
        <v/>
      </c>
      <c r="M860" s="340">
        <f>IF(A860="","",SUMIF(DB_Withdrawals!$C:$C,A860,DB_Withdrawals!$G:$G))</f>
        <v/>
      </c>
      <c r="N860" s="340">
        <f>IF(A860="","",I860+L860-M860)</f>
        <v/>
      </c>
      <c r="O860" s="340">
        <f>IF(A860="","",TRUE())</f>
        <v/>
      </c>
      <c r="P860" s="340">
        <f>IF(A860="","",MAX(0,N860-System_Config!$B$9))</f>
        <v/>
      </c>
    </row>
    <row r="861" ht="15" customHeight="1" s="341">
      <c r="L861" s="340">
        <f>IF(A861="","",SUMIF(DB_Savings!$C:$C,A861,DB_Savings!$F:$F))</f>
        <v/>
      </c>
      <c r="M861" s="340">
        <f>IF(A861="","",SUMIF(DB_Withdrawals!$C:$C,A861,DB_Withdrawals!$G:$G))</f>
        <v/>
      </c>
      <c r="N861" s="340">
        <f>IF(A861="","",I861+L861-M861)</f>
        <v/>
      </c>
      <c r="O861" s="340">
        <f>IF(A861="","",TRUE())</f>
        <v/>
      </c>
      <c r="P861" s="340">
        <f>IF(A861="","",MAX(0,N861-System_Config!$B$9))</f>
        <v/>
      </c>
    </row>
    <row r="862" ht="15" customHeight="1" s="341">
      <c r="L862" s="340">
        <f>IF(A862="","",SUMIF(DB_Savings!$C:$C,A862,DB_Savings!$F:$F))</f>
        <v/>
      </c>
      <c r="M862" s="340">
        <f>IF(A862="","",SUMIF(DB_Withdrawals!$C:$C,A862,DB_Withdrawals!$G:$G))</f>
        <v/>
      </c>
      <c r="N862" s="340">
        <f>IF(A862="","",I862+L862-M862)</f>
        <v/>
      </c>
      <c r="O862" s="340">
        <f>IF(A862="","",TRUE())</f>
        <v/>
      </c>
      <c r="P862" s="340">
        <f>IF(A862="","",MAX(0,N862-System_Config!$B$9))</f>
        <v/>
      </c>
    </row>
    <row r="863" ht="15" customHeight="1" s="341">
      <c r="L863" s="340">
        <f>IF(A863="","",SUMIF(DB_Savings!$C:$C,A863,DB_Savings!$F:$F))</f>
        <v/>
      </c>
      <c r="M863" s="340">
        <f>IF(A863="","",SUMIF(DB_Withdrawals!$C:$C,A863,DB_Withdrawals!$G:$G))</f>
        <v/>
      </c>
      <c r="N863" s="340">
        <f>IF(A863="","",I863+L863-M863)</f>
        <v/>
      </c>
      <c r="O863" s="340">
        <f>IF(A863="","",TRUE())</f>
        <v/>
      </c>
      <c r="P863" s="340">
        <f>IF(A863="","",MAX(0,N863-System_Config!$B$9))</f>
        <v/>
      </c>
    </row>
    <row r="864" ht="15" customHeight="1" s="341">
      <c r="L864" s="340">
        <f>IF(A864="","",SUMIF(DB_Savings!$C:$C,A864,DB_Savings!$F:$F))</f>
        <v/>
      </c>
      <c r="M864" s="340">
        <f>IF(A864="","",SUMIF(DB_Withdrawals!$C:$C,A864,DB_Withdrawals!$G:$G))</f>
        <v/>
      </c>
      <c r="N864" s="340">
        <f>IF(A864="","",I864+L864-M864)</f>
        <v/>
      </c>
      <c r="O864" s="340">
        <f>IF(A864="","",TRUE())</f>
        <v/>
      </c>
      <c r="P864" s="340">
        <f>IF(A864="","",MAX(0,N864-System_Config!$B$9))</f>
        <v/>
      </c>
    </row>
    <row r="865" ht="15" customHeight="1" s="341">
      <c r="L865" s="340">
        <f>IF(A865="","",SUMIF(DB_Savings!$C:$C,A865,DB_Savings!$F:$F))</f>
        <v/>
      </c>
      <c r="M865" s="340">
        <f>IF(A865="","",SUMIF(DB_Withdrawals!$C:$C,A865,DB_Withdrawals!$G:$G))</f>
        <v/>
      </c>
      <c r="N865" s="340">
        <f>IF(A865="","",I865+L865-M865)</f>
        <v/>
      </c>
      <c r="O865" s="340">
        <f>IF(A865="","",TRUE())</f>
        <v/>
      </c>
      <c r="P865" s="340">
        <f>IF(A865="","",MAX(0,N865-System_Config!$B$9))</f>
        <v/>
      </c>
    </row>
    <row r="866" ht="15" customHeight="1" s="341">
      <c r="L866" s="340">
        <f>IF(A866="","",SUMIF(DB_Savings!$C:$C,A866,DB_Savings!$F:$F))</f>
        <v/>
      </c>
      <c r="M866" s="340">
        <f>IF(A866="","",SUMIF(DB_Withdrawals!$C:$C,A866,DB_Withdrawals!$G:$G))</f>
        <v/>
      </c>
      <c r="N866" s="340">
        <f>IF(A866="","",I866+L866-M866)</f>
        <v/>
      </c>
      <c r="O866" s="340">
        <f>IF(A866="","",TRUE())</f>
        <v/>
      </c>
      <c r="P866" s="340">
        <f>IF(A866="","",MAX(0,N866-System_Config!$B$9))</f>
        <v/>
      </c>
    </row>
    <row r="867" ht="15" customHeight="1" s="341">
      <c r="L867" s="340">
        <f>IF(A867="","",SUMIF(DB_Savings!$C:$C,A867,DB_Savings!$F:$F))</f>
        <v/>
      </c>
      <c r="M867" s="340">
        <f>IF(A867="","",SUMIF(DB_Withdrawals!$C:$C,A867,DB_Withdrawals!$G:$G))</f>
        <v/>
      </c>
      <c r="N867" s="340">
        <f>IF(A867="","",I867+L867-M867)</f>
        <v/>
      </c>
      <c r="O867" s="340">
        <f>IF(A867="","",TRUE())</f>
        <v/>
      </c>
      <c r="P867" s="340">
        <f>IF(A867="","",MAX(0,N867-System_Config!$B$9))</f>
        <v/>
      </c>
    </row>
    <row r="868" ht="15" customHeight="1" s="341">
      <c r="L868" s="340">
        <f>IF(A868="","",SUMIF(DB_Savings!$C:$C,A868,DB_Savings!$F:$F))</f>
        <v/>
      </c>
      <c r="M868" s="340">
        <f>IF(A868="","",SUMIF(DB_Withdrawals!$C:$C,A868,DB_Withdrawals!$G:$G))</f>
        <v/>
      </c>
      <c r="N868" s="340">
        <f>IF(A868="","",I868+L868-M868)</f>
        <v/>
      </c>
      <c r="O868" s="340">
        <f>IF(A868="","",TRUE())</f>
        <v/>
      </c>
      <c r="P868" s="340">
        <f>IF(A868="","",MAX(0,N868-System_Config!$B$9))</f>
        <v/>
      </c>
    </row>
    <row r="869" ht="15" customHeight="1" s="341">
      <c r="L869" s="340">
        <f>IF(A869="","",SUMIF(DB_Savings!$C:$C,A869,DB_Savings!$F:$F))</f>
        <v/>
      </c>
      <c r="M869" s="340">
        <f>IF(A869="","",SUMIF(DB_Withdrawals!$C:$C,A869,DB_Withdrawals!$G:$G))</f>
        <v/>
      </c>
      <c r="N869" s="340">
        <f>IF(A869="","",I869+L869-M869)</f>
        <v/>
      </c>
      <c r="O869" s="340">
        <f>IF(A869="","",TRUE())</f>
        <v/>
      </c>
      <c r="P869" s="340">
        <f>IF(A869="","",MAX(0,N869-System_Config!$B$9))</f>
        <v/>
      </c>
    </row>
    <row r="870" ht="15" customHeight="1" s="341">
      <c r="L870" s="340">
        <f>IF(A870="","",SUMIF(DB_Savings!$C:$C,A870,DB_Savings!$F:$F))</f>
        <v/>
      </c>
      <c r="M870" s="340">
        <f>IF(A870="","",SUMIF(DB_Withdrawals!$C:$C,A870,DB_Withdrawals!$G:$G))</f>
        <v/>
      </c>
      <c r="N870" s="340">
        <f>IF(A870="","",I870+L870-M870)</f>
        <v/>
      </c>
      <c r="O870" s="340">
        <f>IF(A870="","",TRUE())</f>
        <v/>
      </c>
      <c r="P870" s="340">
        <f>IF(A870="","",MAX(0,N870-System_Config!$B$9))</f>
        <v/>
      </c>
    </row>
    <row r="871" ht="15" customHeight="1" s="341">
      <c r="L871" s="340">
        <f>IF(A871="","",SUMIF(DB_Savings!$C:$C,A871,DB_Savings!$F:$F))</f>
        <v/>
      </c>
      <c r="M871" s="340">
        <f>IF(A871="","",SUMIF(DB_Withdrawals!$C:$C,A871,DB_Withdrawals!$G:$G))</f>
        <v/>
      </c>
      <c r="N871" s="340">
        <f>IF(A871="","",I871+L871-M871)</f>
        <v/>
      </c>
      <c r="O871" s="340">
        <f>IF(A871="","",TRUE())</f>
        <v/>
      </c>
      <c r="P871" s="340">
        <f>IF(A871="","",MAX(0,N871-System_Config!$B$9))</f>
        <v/>
      </c>
    </row>
    <row r="872" ht="15" customHeight="1" s="341">
      <c r="L872" s="340">
        <f>IF(A872="","",SUMIF(DB_Savings!$C:$C,A872,DB_Savings!$F:$F))</f>
        <v/>
      </c>
      <c r="M872" s="340">
        <f>IF(A872="","",SUMIF(DB_Withdrawals!$C:$C,A872,DB_Withdrawals!$G:$G))</f>
        <v/>
      </c>
      <c r="N872" s="340">
        <f>IF(A872="","",I872+L872-M872)</f>
        <v/>
      </c>
      <c r="O872" s="340">
        <f>IF(A872="","",TRUE())</f>
        <v/>
      </c>
      <c r="P872" s="340">
        <f>IF(A872="","",MAX(0,N872-System_Config!$B$9))</f>
        <v/>
      </c>
    </row>
    <row r="873" ht="15" customHeight="1" s="341">
      <c r="L873" s="340">
        <f>IF(A873="","",SUMIF(DB_Savings!$C:$C,A873,DB_Savings!$F:$F))</f>
        <v/>
      </c>
      <c r="M873" s="340">
        <f>IF(A873="","",SUMIF(DB_Withdrawals!$C:$C,A873,DB_Withdrawals!$G:$G))</f>
        <v/>
      </c>
      <c r="N873" s="340">
        <f>IF(A873="","",I873+L873-M873)</f>
        <v/>
      </c>
      <c r="O873" s="340">
        <f>IF(A873="","",TRUE())</f>
        <v/>
      </c>
      <c r="P873" s="340">
        <f>IF(A873="","",MAX(0,N873-System_Config!$B$9))</f>
        <v/>
      </c>
    </row>
    <row r="874" ht="15" customHeight="1" s="341">
      <c r="L874" s="340">
        <f>IF(A874="","",SUMIF(DB_Savings!$C:$C,A874,DB_Savings!$F:$F))</f>
        <v/>
      </c>
      <c r="M874" s="340">
        <f>IF(A874="","",SUMIF(DB_Withdrawals!$C:$C,A874,DB_Withdrawals!$G:$G))</f>
        <v/>
      </c>
      <c r="N874" s="340">
        <f>IF(A874="","",I874+L874-M874)</f>
        <v/>
      </c>
      <c r="O874" s="340">
        <f>IF(A874="","",TRUE())</f>
        <v/>
      </c>
      <c r="P874" s="340">
        <f>IF(A874="","",MAX(0,N874-System_Config!$B$9))</f>
        <v/>
      </c>
    </row>
    <row r="875" ht="15" customHeight="1" s="341">
      <c r="L875" s="340">
        <f>IF(A875="","",SUMIF(DB_Savings!$C:$C,A875,DB_Savings!$F:$F))</f>
        <v/>
      </c>
      <c r="M875" s="340">
        <f>IF(A875="","",SUMIF(DB_Withdrawals!$C:$C,A875,DB_Withdrawals!$G:$G))</f>
        <v/>
      </c>
      <c r="N875" s="340">
        <f>IF(A875="","",I875+L875-M875)</f>
        <v/>
      </c>
      <c r="O875" s="340">
        <f>IF(A875="","",TRUE())</f>
        <v/>
      </c>
      <c r="P875" s="340">
        <f>IF(A875="","",MAX(0,N875-System_Config!$B$9))</f>
        <v/>
      </c>
    </row>
    <row r="876" ht="15" customHeight="1" s="341">
      <c r="L876" s="340">
        <f>IF(A876="","",SUMIF(DB_Savings!$C:$C,A876,DB_Savings!$F:$F))</f>
        <v/>
      </c>
      <c r="M876" s="340">
        <f>IF(A876="","",SUMIF(DB_Withdrawals!$C:$C,A876,DB_Withdrawals!$G:$G))</f>
        <v/>
      </c>
      <c r="N876" s="340">
        <f>IF(A876="","",I876+L876-M876)</f>
        <v/>
      </c>
      <c r="O876" s="340">
        <f>IF(A876="","",TRUE())</f>
        <v/>
      </c>
      <c r="P876" s="340">
        <f>IF(A876="","",MAX(0,N876-System_Config!$B$9))</f>
        <v/>
      </c>
    </row>
    <row r="877" ht="15" customHeight="1" s="341">
      <c r="L877" s="340">
        <f>IF(A877="","",SUMIF(DB_Savings!$C:$C,A877,DB_Savings!$F:$F))</f>
        <v/>
      </c>
      <c r="M877" s="340">
        <f>IF(A877="","",SUMIF(DB_Withdrawals!$C:$C,A877,DB_Withdrawals!$G:$G))</f>
        <v/>
      </c>
      <c r="N877" s="340">
        <f>IF(A877="","",I877+L877-M877)</f>
        <v/>
      </c>
      <c r="O877" s="340">
        <f>IF(A877="","",TRUE())</f>
        <v/>
      </c>
      <c r="P877" s="340">
        <f>IF(A877="","",MAX(0,N877-System_Config!$B$9))</f>
        <v/>
      </c>
    </row>
    <row r="878" ht="15" customHeight="1" s="341">
      <c r="L878" s="340">
        <f>IF(A878="","",SUMIF(DB_Savings!$C:$C,A878,DB_Savings!$F:$F))</f>
        <v/>
      </c>
      <c r="M878" s="340">
        <f>IF(A878="","",SUMIF(DB_Withdrawals!$C:$C,A878,DB_Withdrawals!$G:$G))</f>
        <v/>
      </c>
      <c r="N878" s="340">
        <f>IF(A878="","",I878+L878-M878)</f>
        <v/>
      </c>
      <c r="O878" s="340">
        <f>IF(A878="","",TRUE())</f>
        <v/>
      </c>
      <c r="P878" s="340">
        <f>IF(A878="","",MAX(0,N878-System_Config!$B$9))</f>
        <v/>
      </c>
    </row>
    <row r="879" ht="15" customHeight="1" s="341">
      <c r="L879" s="340">
        <f>IF(A879="","",SUMIF(DB_Savings!$C:$C,A879,DB_Savings!$F:$F))</f>
        <v/>
      </c>
      <c r="M879" s="340">
        <f>IF(A879="","",SUMIF(DB_Withdrawals!$C:$C,A879,DB_Withdrawals!$G:$G))</f>
        <v/>
      </c>
      <c r="N879" s="340">
        <f>IF(A879="","",I879+L879-M879)</f>
        <v/>
      </c>
      <c r="O879" s="340">
        <f>IF(A879="","",TRUE())</f>
        <v/>
      </c>
      <c r="P879" s="340">
        <f>IF(A879="","",MAX(0,N879-System_Config!$B$9))</f>
        <v/>
      </c>
    </row>
    <row r="880" ht="15" customHeight="1" s="341">
      <c r="L880" s="340">
        <f>IF(A880="","",SUMIF(DB_Savings!$C:$C,A880,DB_Savings!$F:$F))</f>
        <v/>
      </c>
      <c r="M880" s="340">
        <f>IF(A880="","",SUMIF(DB_Withdrawals!$C:$C,A880,DB_Withdrawals!$G:$G))</f>
        <v/>
      </c>
      <c r="N880" s="340">
        <f>IF(A880="","",I880+L880-M880)</f>
        <v/>
      </c>
      <c r="O880" s="340">
        <f>IF(A880="","",TRUE())</f>
        <v/>
      </c>
      <c r="P880" s="340">
        <f>IF(A880="","",MAX(0,N880-System_Config!$B$9))</f>
        <v/>
      </c>
    </row>
    <row r="881" ht="15" customHeight="1" s="341">
      <c r="L881" s="340">
        <f>IF(A881="","",SUMIF(DB_Savings!$C:$C,A881,DB_Savings!$F:$F))</f>
        <v/>
      </c>
      <c r="M881" s="340">
        <f>IF(A881="","",SUMIF(DB_Withdrawals!$C:$C,A881,DB_Withdrawals!$G:$G))</f>
        <v/>
      </c>
      <c r="N881" s="340">
        <f>IF(A881="","",I881+L881-M881)</f>
        <v/>
      </c>
      <c r="O881" s="340">
        <f>IF(A881="","",TRUE())</f>
        <v/>
      </c>
      <c r="P881" s="340">
        <f>IF(A881="","",MAX(0,N881-System_Config!$B$9))</f>
        <v/>
      </c>
    </row>
    <row r="882" ht="15" customHeight="1" s="341">
      <c r="L882" s="340">
        <f>IF(A882="","",SUMIF(DB_Savings!$C:$C,A882,DB_Savings!$F:$F))</f>
        <v/>
      </c>
      <c r="M882" s="340">
        <f>IF(A882="","",SUMIF(DB_Withdrawals!$C:$C,A882,DB_Withdrawals!$G:$G))</f>
        <v/>
      </c>
      <c r="N882" s="340">
        <f>IF(A882="","",I882+L882-M882)</f>
        <v/>
      </c>
      <c r="O882" s="340">
        <f>IF(A882="","",TRUE())</f>
        <v/>
      </c>
      <c r="P882" s="340">
        <f>IF(A882="","",MAX(0,N882-System_Config!$B$9))</f>
        <v/>
      </c>
    </row>
    <row r="883" ht="15" customHeight="1" s="341">
      <c r="L883" s="340">
        <f>IF(A883="","",SUMIF(DB_Savings!$C:$C,A883,DB_Savings!$F:$F))</f>
        <v/>
      </c>
      <c r="M883" s="340">
        <f>IF(A883="","",SUMIF(DB_Withdrawals!$C:$C,A883,DB_Withdrawals!$G:$G))</f>
        <v/>
      </c>
      <c r="N883" s="340">
        <f>IF(A883="","",I883+L883-M883)</f>
        <v/>
      </c>
      <c r="O883" s="340">
        <f>IF(A883="","",TRUE())</f>
        <v/>
      </c>
      <c r="P883" s="340">
        <f>IF(A883="","",MAX(0,N883-System_Config!$B$9))</f>
        <v/>
      </c>
    </row>
    <row r="884" ht="15" customHeight="1" s="341">
      <c r="L884" s="340">
        <f>IF(A884="","",SUMIF(DB_Savings!$C:$C,A884,DB_Savings!$F:$F))</f>
        <v/>
      </c>
      <c r="M884" s="340">
        <f>IF(A884="","",SUMIF(DB_Withdrawals!$C:$C,A884,DB_Withdrawals!$G:$G))</f>
        <v/>
      </c>
      <c r="N884" s="340">
        <f>IF(A884="","",I884+L884-M884)</f>
        <v/>
      </c>
      <c r="O884" s="340">
        <f>IF(A884="","",TRUE())</f>
        <v/>
      </c>
      <c r="P884" s="340">
        <f>IF(A884="","",MAX(0,N884-System_Config!$B$9))</f>
        <v/>
      </c>
    </row>
    <row r="885" ht="15" customHeight="1" s="341">
      <c r="L885" s="340">
        <f>IF(A885="","",SUMIF(DB_Savings!$C:$C,A885,DB_Savings!$F:$F))</f>
        <v/>
      </c>
      <c r="M885" s="340">
        <f>IF(A885="","",SUMIF(DB_Withdrawals!$C:$C,A885,DB_Withdrawals!$G:$G))</f>
        <v/>
      </c>
      <c r="N885" s="340">
        <f>IF(A885="","",I885+L885-M885)</f>
        <v/>
      </c>
      <c r="O885" s="340">
        <f>IF(A885="","",TRUE())</f>
        <v/>
      </c>
      <c r="P885" s="340">
        <f>IF(A885="","",MAX(0,N885-System_Config!$B$9))</f>
        <v/>
      </c>
    </row>
    <row r="886" ht="15" customHeight="1" s="341">
      <c r="L886" s="340">
        <f>IF(A886="","",SUMIF(DB_Savings!$C:$C,A886,DB_Savings!$F:$F))</f>
        <v/>
      </c>
      <c r="M886" s="340">
        <f>IF(A886="","",SUMIF(DB_Withdrawals!$C:$C,A886,DB_Withdrawals!$G:$G))</f>
        <v/>
      </c>
      <c r="N886" s="340">
        <f>IF(A886="","",I886+L886-M886)</f>
        <v/>
      </c>
      <c r="O886" s="340">
        <f>IF(A886="","",TRUE())</f>
        <v/>
      </c>
      <c r="P886" s="340">
        <f>IF(A886="","",MAX(0,N886-System_Config!$B$9))</f>
        <v/>
      </c>
    </row>
    <row r="887" ht="15" customHeight="1" s="341">
      <c r="L887" s="340">
        <f>IF(A887="","",SUMIF(DB_Savings!$C:$C,A887,DB_Savings!$F:$F))</f>
        <v/>
      </c>
      <c r="M887" s="340">
        <f>IF(A887="","",SUMIF(DB_Withdrawals!$C:$C,A887,DB_Withdrawals!$G:$G))</f>
        <v/>
      </c>
      <c r="N887" s="340">
        <f>IF(A887="","",I887+L887-M887)</f>
        <v/>
      </c>
      <c r="O887" s="340">
        <f>IF(A887="","",TRUE())</f>
        <v/>
      </c>
      <c r="P887" s="340">
        <f>IF(A887="","",MAX(0,N887-System_Config!$B$9))</f>
        <v/>
      </c>
    </row>
    <row r="888" ht="15" customHeight="1" s="341">
      <c r="L888" s="340">
        <f>IF(A888="","",SUMIF(DB_Savings!$C:$C,A888,DB_Savings!$F:$F))</f>
        <v/>
      </c>
      <c r="M888" s="340">
        <f>IF(A888="","",SUMIF(DB_Withdrawals!$C:$C,A888,DB_Withdrawals!$G:$G))</f>
        <v/>
      </c>
      <c r="N888" s="340">
        <f>IF(A888="","",I888+L888-M888)</f>
        <v/>
      </c>
      <c r="O888" s="340">
        <f>IF(A888="","",TRUE())</f>
        <v/>
      </c>
      <c r="P888" s="340">
        <f>IF(A888="","",MAX(0,N888-System_Config!$B$9))</f>
        <v/>
      </c>
    </row>
    <row r="889" ht="15" customHeight="1" s="341">
      <c r="L889" s="340">
        <f>IF(A889="","",SUMIF(DB_Savings!$C:$C,A889,DB_Savings!$F:$F))</f>
        <v/>
      </c>
      <c r="M889" s="340">
        <f>IF(A889="","",SUMIF(DB_Withdrawals!$C:$C,A889,DB_Withdrawals!$G:$G))</f>
        <v/>
      </c>
      <c r="N889" s="340">
        <f>IF(A889="","",I889+L889-M889)</f>
        <v/>
      </c>
      <c r="O889" s="340">
        <f>IF(A889="","",TRUE())</f>
        <v/>
      </c>
      <c r="P889" s="340">
        <f>IF(A889="","",MAX(0,N889-System_Config!$B$9))</f>
        <v/>
      </c>
    </row>
    <row r="890" ht="15" customHeight="1" s="341">
      <c r="L890" s="340">
        <f>IF(A890="","",SUMIF(DB_Savings!$C:$C,A890,DB_Savings!$F:$F))</f>
        <v/>
      </c>
      <c r="M890" s="340">
        <f>IF(A890="","",SUMIF(DB_Withdrawals!$C:$C,A890,DB_Withdrawals!$G:$G))</f>
        <v/>
      </c>
      <c r="N890" s="340">
        <f>IF(A890="","",I890+L890-M890)</f>
        <v/>
      </c>
      <c r="O890" s="340">
        <f>IF(A890="","",TRUE())</f>
        <v/>
      </c>
      <c r="P890" s="340">
        <f>IF(A890="","",MAX(0,N890-System_Config!$B$9))</f>
        <v/>
      </c>
    </row>
    <row r="891" ht="15" customHeight="1" s="341">
      <c r="L891" s="340">
        <f>IF(A891="","",SUMIF(DB_Savings!$C:$C,A891,DB_Savings!$F:$F))</f>
        <v/>
      </c>
      <c r="M891" s="340">
        <f>IF(A891="","",SUMIF(DB_Withdrawals!$C:$C,A891,DB_Withdrawals!$G:$G))</f>
        <v/>
      </c>
      <c r="N891" s="340">
        <f>IF(A891="","",I891+L891-M891)</f>
        <v/>
      </c>
      <c r="O891" s="340">
        <f>IF(A891="","",TRUE())</f>
        <v/>
      </c>
      <c r="P891" s="340">
        <f>IF(A891="","",MAX(0,N891-System_Config!$B$9))</f>
        <v/>
      </c>
    </row>
    <row r="892" ht="15" customHeight="1" s="341">
      <c r="L892" s="340">
        <f>IF(A892="","",SUMIF(DB_Savings!$C:$C,A892,DB_Savings!$F:$F))</f>
        <v/>
      </c>
      <c r="M892" s="340">
        <f>IF(A892="","",SUMIF(DB_Withdrawals!$C:$C,A892,DB_Withdrawals!$G:$G))</f>
        <v/>
      </c>
      <c r="N892" s="340">
        <f>IF(A892="","",I892+L892-M892)</f>
        <v/>
      </c>
      <c r="O892" s="340">
        <f>IF(A892="","",TRUE())</f>
        <v/>
      </c>
      <c r="P892" s="340">
        <f>IF(A892="","",MAX(0,N892-System_Config!$B$9))</f>
        <v/>
      </c>
    </row>
    <row r="893" ht="15" customHeight="1" s="341">
      <c r="L893" s="340">
        <f>IF(A893="","",SUMIF(DB_Savings!$C:$C,A893,DB_Savings!$F:$F))</f>
        <v/>
      </c>
      <c r="M893" s="340">
        <f>IF(A893="","",SUMIF(DB_Withdrawals!$C:$C,A893,DB_Withdrawals!$G:$G))</f>
        <v/>
      </c>
      <c r="N893" s="340">
        <f>IF(A893="","",I893+L893-M893)</f>
        <v/>
      </c>
      <c r="O893" s="340">
        <f>IF(A893="","",TRUE())</f>
        <v/>
      </c>
      <c r="P893" s="340">
        <f>IF(A893="","",MAX(0,N893-System_Config!$B$9))</f>
        <v/>
      </c>
    </row>
    <row r="894" ht="15" customHeight="1" s="341">
      <c r="L894" s="340">
        <f>IF(A894="","",SUMIF(DB_Savings!$C:$C,A894,DB_Savings!$F:$F))</f>
        <v/>
      </c>
      <c r="M894" s="340">
        <f>IF(A894="","",SUMIF(DB_Withdrawals!$C:$C,A894,DB_Withdrawals!$G:$G))</f>
        <v/>
      </c>
      <c r="N894" s="340">
        <f>IF(A894="","",I894+L894-M894)</f>
        <v/>
      </c>
      <c r="O894" s="340">
        <f>IF(A894="","",TRUE())</f>
        <v/>
      </c>
      <c r="P894" s="340">
        <f>IF(A894="","",MAX(0,N894-System_Config!$B$9))</f>
        <v/>
      </c>
    </row>
    <row r="895" ht="15" customHeight="1" s="341">
      <c r="L895" s="340">
        <f>IF(A895="","",SUMIF(DB_Savings!$C:$C,A895,DB_Savings!$F:$F))</f>
        <v/>
      </c>
      <c r="M895" s="340">
        <f>IF(A895="","",SUMIF(DB_Withdrawals!$C:$C,A895,DB_Withdrawals!$G:$G))</f>
        <v/>
      </c>
      <c r="N895" s="340">
        <f>IF(A895="","",I895+L895-M895)</f>
        <v/>
      </c>
      <c r="O895" s="340">
        <f>IF(A895="","",TRUE())</f>
        <v/>
      </c>
      <c r="P895" s="340">
        <f>IF(A895="","",MAX(0,N895-System_Config!$B$9))</f>
        <v/>
      </c>
    </row>
    <row r="896" ht="15" customHeight="1" s="341">
      <c r="L896" s="340">
        <f>IF(A896="","",SUMIF(DB_Savings!$C:$C,A896,DB_Savings!$F:$F))</f>
        <v/>
      </c>
      <c r="M896" s="340">
        <f>IF(A896="","",SUMIF(DB_Withdrawals!$C:$C,A896,DB_Withdrawals!$G:$G))</f>
        <v/>
      </c>
      <c r="N896" s="340">
        <f>IF(A896="","",I896+L896-M896)</f>
        <v/>
      </c>
      <c r="O896" s="340">
        <f>IF(A896="","",TRUE())</f>
        <v/>
      </c>
      <c r="P896" s="340">
        <f>IF(A896="","",MAX(0,N896-System_Config!$B$9))</f>
        <v/>
      </c>
    </row>
    <row r="897" ht="15" customHeight="1" s="341">
      <c r="L897" s="340">
        <f>IF(A897="","",SUMIF(DB_Savings!$C:$C,A897,DB_Savings!$F:$F))</f>
        <v/>
      </c>
      <c r="M897" s="340">
        <f>IF(A897="","",SUMIF(DB_Withdrawals!$C:$C,A897,DB_Withdrawals!$G:$G))</f>
        <v/>
      </c>
      <c r="N897" s="340">
        <f>IF(A897="","",I897+L897-M897)</f>
        <v/>
      </c>
      <c r="O897" s="340">
        <f>IF(A897="","",TRUE())</f>
        <v/>
      </c>
      <c r="P897" s="340">
        <f>IF(A897="","",MAX(0,N897-System_Config!$B$9))</f>
        <v/>
      </c>
    </row>
    <row r="898" ht="15" customHeight="1" s="341">
      <c r="L898" s="340">
        <f>IF(A898="","",SUMIF(DB_Savings!$C:$C,A898,DB_Savings!$F:$F))</f>
        <v/>
      </c>
      <c r="M898" s="340">
        <f>IF(A898="","",SUMIF(DB_Withdrawals!$C:$C,A898,DB_Withdrawals!$G:$G))</f>
        <v/>
      </c>
      <c r="N898" s="340">
        <f>IF(A898="","",I898+L898-M898)</f>
        <v/>
      </c>
      <c r="O898" s="340">
        <f>IF(A898="","",TRUE())</f>
        <v/>
      </c>
      <c r="P898" s="340">
        <f>IF(A898="","",MAX(0,N898-System_Config!$B$9))</f>
        <v/>
      </c>
    </row>
    <row r="899" ht="15" customHeight="1" s="341">
      <c r="L899" s="340">
        <f>IF(A899="","",SUMIF(DB_Savings!$C:$C,A899,DB_Savings!$F:$F))</f>
        <v/>
      </c>
      <c r="M899" s="340">
        <f>IF(A899="","",SUMIF(DB_Withdrawals!$C:$C,A899,DB_Withdrawals!$G:$G))</f>
        <v/>
      </c>
      <c r="N899" s="340">
        <f>IF(A899="","",I899+L899-M899)</f>
        <v/>
      </c>
      <c r="O899" s="340">
        <f>IF(A899="","",TRUE())</f>
        <v/>
      </c>
      <c r="P899" s="340">
        <f>IF(A899="","",MAX(0,N899-System_Config!$B$9))</f>
        <v/>
      </c>
    </row>
    <row r="900" ht="15" customHeight="1" s="341">
      <c r="L900" s="340">
        <f>IF(A900="","",SUMIF(DB_Savings!$C:$C,A900,DB_Savings!$F:$F))</f>
        <v/>
      </c>
      <c r="M900" s="340">
        <f>IF(A900="","",SUMIF(DB_Withdrawals!$C:$C,A900,DB_Withdrawals!$G:$G))</f>
        <v/>
      </c>
      <c r="N900" s="340">
        <f>IF(A900="","",I900+L900-M900)</f>
        <v/>
      </c>
      <c r="O900" s="340">
        <f>IF(A900="","",TRUE())</f>
        <v/>
      </c>
      <c r="P900" s="340">
        <f>IF(A900="","",MAX(0,N900-System_Config!$B$9))</f>
        <v/>
      </c>
    </row>
    <row r="901" ht="15" customHeight="1" s="341">
      <c r="L901" s="340">
        <f>IF(A901="","",SUMIF(DB_Savings!$C:$C,A901,DB_Savings!$F:$F))</f>
        <v/>
      </c>
      <c r="M901" s="340">
        <f>IF(A901="","",SUMIF(DB_Withdrawals!$C:$C,A901,DB_Withdrawals!$G:$G))</f>
        <v/>
      </c>
      <c r="N901" s="340">
        <f>IF(A901="","",I901+L901-M901)</f>
        <v/>
      </c>
      <c r="O901" s="340">
        <f>IF(A901="","",TRUE())</f>
        <v/>
      </c>
      <c r="P901" s="340">
        <f>IF(A901="","",MAX(0,N901-System_Config!$B$9))</f>
        <v/>
      </c>
    </row>
    <row r="902" ht="15" customHeight="1" s="341">
      <c r="L902" s="340">
        <f>IF(A902="","",SUMIF(DB_Savings!$C:$C,A902,DB_Savings!$F:$F))</f>
        <v/>
      </c>
      <c r="M902" s="340">
        <f>IF(A902="","",SUMIF(DB_Withdrawals!$C:$C,A902,DB_Withdrawals!$G:$G))</f>
        <v/>
      </c>
      <c r="N902" s="340">
        <f>IF(A902="","",I902+L902-M902)</f>
        <v/>
      </c>
      <c r="O902" s="340">
        <f>IF(A902="","",TRUE())</f>
        <v/>
      </c>
      <c r="P902" s="340">
        <f>IF(A902="","",MAX(0,N902-System_Config!$B$9))</f>
        <v/>
      </c>
    </row>
    <row r="903" ht="15" customHeight="1" s="341">
      <c r="L903" s="340">
        <f>IF(A903="","",SUMIF(DB_Savings!$C:$C,A903,DB_Savings!$F:$F))</f>
        <v/>
      </c>
      <c r="M903" s="340">
        <f>IF(A903="","",SUMIF(DB_Withdrawals!$C:$C,A903,DB_Withdrawals!$G:$G))</f>
        <v/>
      </c>
      <c r="N903" s="340">
        <f>IF(A903="","",I903+L903-M903)</f>
        <v/>
      </c>
      <c r="O903" s="340">
        <f>IF(A903="","",TRUE())</f>
        <v/>
      </c>
      <c r="P903" s="340">
        <f>IF(A903="","",MAX(0,N903-System_Config!$B$9))</f>
        <v/>
      </c>
    </row>
    <row r="904" ht="15" customHeight="1" s="341">
      <c r="L904" s="340">
        <f>IF(A904="","",SUMIF(DB_Savings!$C:$C,A904,DB_Savings!$F:$F))</f>
        <v/>
      </c>
      <c r="M904" s="340">
        <f>IF(A904="","",SUMIF(DB_Withdrawals!$C:$C,A904,DB_Withdrawals!$G:$G))</f>
        <v/>
      </c>
      <c r="N904" s="340">
        <f>IF(A904="","",I904+L904-M904)</f>
        <v/>
      </c>
      <c r="O904" s="340">
        <f>IF(A904="","",TRUE())</f>
        <v/>
      </c>
      <c r="P904" s="340">
        <f>IF(A904="","",MAX(0,N904-System_Config!$B$9))</f>
        <v/>
      </c>
    </row>
    <row r="905" ht="15" customHeight="1" s="341">
      <c r="L905" s="340">
        <f>IF(A905="","",SUMIF(DB_Savings!$C:$C,A905,DB_Savings!$F:$F))</f>
        <v/>
      </c>
      <c r="M905" s="340">
        <f>IF(A905="","",SUMIF(DB_Withdrawals!$C:$C,A905,DB_Withdrawals!$G:$G))</f>
        <v/>
      </c>
      <c r="N905" s="340">
        <f>IF(A905="","",I905+L905-M905)</f>
        <v/>
      </c>
      <c r="O905" s="340">
        <f>IF(A905="","",TRUE())</f>
        <v/>
      </c>
      <c r="P905" s="340">
        <f>IF(A905="","",MAX(0,N905-System_Config!$B$9))</f>
        <v/>
      </c>
    </row>
    <row r="906" ht="15" customHeight="1" s="341">
      <c r="L906" s="340">
        <f>IF(A906="","",SUMIF(DB_Savings!$C:$C,A906,DB_Savings!$F:$F))</f>
        <v/>
      </c>
      <c r="M906" s="340">
        <f>IF(A906="","",SUMIF(DB_Withdrawals!$C:$C,A906,DB_Withdrawals!$G:$G))</f>
        <v/>
      </c>
      <c r="N906" s="340">
        <f>IF(A906="","",I906+L906-M906)</f>
        <v/>
      </c>
      <c r="O906" s="340">
        <f>IF(A906="","",TRUE())</f>
        <v/>
      </c>
      <c r="P906" s="340">
        <f>IF(A906="","",MAX(0,N906-System_Config!$B$9))</f>
        <v/>
      </c>
    </row>
    <row r="907" ht="15" customHeight="1" s="341">
      <c r="L907" s="340">
        <f>IF(A907="","",SUMIF(DB_Savings!$C:$C,A907,DB_Savings!$F:$F))</f>
        <v/>
      </c>
      <c r="M907" s="340">
        <f>IF(A907="","",SUMIF(DB_Withdrawals!$C:$C,A907,DB_Withdrawals!$G:$G))</f>
        <v/>
      </c>
      <c r="N907" s="340">
        <f>IF(A907="","",I907+L907-M907)</f>
        <v/>
      </c>
      <c r="O907" s="340">
        <f>IF(A907="","",TRUE())</f>
        <v/>
      </c>
      <c r="P907" s="340">
        <f>IF(A907="","",MAX(0,N907-System_Config!$B$9))</f>
        <v/>
      </c>
    </row>
    <row r="908" ht="15" customHeight="1" s="341">
      <c r="L908" s="340">
        <f>IF(A908="","",SUMIF(DB_Savings!$C:$C,A908,DB_Savings!$F:$F))</f>
        <v/>
      </c>
      <c r="M908" s="340">
        <f>IF(A908="","",SUMIF(DB_Withdrawals!$C:$C,A908,DB_Withdrawals!$G:$G))</f>
        <v/>
      </c>
      <c r="N908" s="340">
        <f>IF(A908="","",I908+L908-M908)</f>
        <v/>
      </c>
      <c r="O908" s="340">
        <f>IF(A908="","",TRUE())</f>
        <v/>
      </c>
      <c r="P908" s="340">
        <f>IF(A908="","",MAX(0,N908-System_Config!$B$9))</f>
        <v/>
      </c>
    </row>
    <row r="909" ht="15" customHeight="1" s="341">
      <c r="L909" s="340">
        <f>IF(A909="","",SUMIF(DB_Savings!$C:$C,A909,DB_Savings!$F:$F))</f>
        <v/>
      </c>
      <c r="M909" s="340">
        <f>IF(A909="","",SUMIF(DB_Withdrawals!$C:$C,A909,DB_Withdrawals!$G:$G))</f>
        <v/>
      </c>
      <c r="N909" s="340">
        <f>IF(A909="","",I909+L909-M909)</f>
        <v/>
      </c>
      <c r="O909" s="340">
        <f>IF(A909="","",TRUE())</f>
        <v/>
      </c>
      <c r="P909" s="340">
        <f>IF(A909="","",MAX(0,N909-System_Config!$B$9))</f>
        <v/>
      </c>
    </row>
    <row r="910" ht="15" customHeight="1" s="341">
      <c r="L910" s="340">
        <f>IF(A910="","",SUMIF(DB_Savings!$C:$C,A910,DB_Savings!$F:$F))</f>
        <v/>
      </c>
      <c r="M910" s="340">
        <f>IF(A910="","",SUMIF(DB_Withdrawals!$C:$C,A910,DB_Withdrawals!$G:$G))</f>
        <v/>
      </c>
      <c r="N910" s="340">
        <f>IF(A910="","",I910+L910-M910)</f>
        <v/>
      </c>
      <c r="O910" s="340">
        <f>IF(A910="","",TRUE())</f>
        <v/>
      </c>
      <c r="P910" s="340">
        <f>IF(A910="","",MAX(0,N910-System_Config!$B$9))</f>
        <v/>
      </c>
    </row>
    <row r="911" ht="15" customHeight="1" s="341">
      <c r="L911" s="340">
        <f>IF(A911="","",SUMIF(DB_Savings!$C:$C,A911,DB_Savings!$F:$F))</f>
        <v/>
      </c>
      <c r="M911" s="340">
        <f>IF(A911="","",SUMIF(DB_Withdrawals!$C:$C,A911,DB_Withdrawals!$G:$G))</f>
        <v/>
      </c>
      <c r="N911" s="340">
        <f>IF(A911="","",I911+L911-M911)</f>
        <v/>
      </c>
      <c r="O911" s="340">
        <f>IF(A911="","",TRUE())</f>
        <v/>
      </c>
      <c r="P911" s="340">
        <f>IF(A911="","",MAX(0,N911-System_Config!$B$9))</f>
        <v/>
      </c>
    </row>
    <row r="912" ht="15" customHeight="1" s="341">
      <c r="L912" s="340">
        <f>IF(A912="","",SUMIF(DB_Savings!$C:$C,A912,DB_Savings!$F:$F))</f>
        <v/>
      </c>
      <c r="M912" s="340">
        <f>IF(A912="","",SUMIF(DB_Withdrawals!$C:$C,A912,DB_Withdrawals!$G:$G))</f>
        <v/>
      </c>
      <c r="N912" s="340">
        <f>IF(A912="","",I912+L912-M912)</f>
        <v/>
      </c>
      <c r="O912" s="340">
        <f>IF(A912="","",TRUE())</f>
        <v/>
      </c>
      <c r="P912" s="340">
        <f>IF(A912="","",MAX(0,N912-System_Config!$B$9))</f>
        <v/>
      </c>
    </row>
    <row r="913" ht="15" customHeight="1" s="341">
      <c r="L913" s="340">
        <f>IF(A913="","",SUMIF(DB_Savings!$C:$C,A913,DB_Savings!$F:$F))</f>
        <v/>
      </c>
      <c r="M913" s="340">
        <f>IF(A913="","",SUMIF(DB_Withdrawals!$C:$C,A913,DB_Withdrawals!$G:$G))</f>
        <v/>
      </c>
      <c r="N913" s="340">
        <f>IF(A913="","",I913+L913-M913)</f>
        <v/>
      </c>
      <c r="O913" s="340">
        <f>IF(A913="","",TRUE())</f>
        <v/>
      </c>
      <c r="P913" s="340">
        <f>IF(A913="","",MAX(0,N913-System_Config!$B$9))</f>
        <v/>
      </c>
    </row>
    <row r="914" ht="15" customHeight="1" s="341">
      <c r="L914" s="340">
        <f>IF(A914="","",SUMIF(DB_Savings!$C:$C,A914,DB_Savings!$F:$F))</f>
        <v/>
      </c>
      <c r="M914" s="340">
        <f>IF(A914="","",SUMIF(DB_Withdrawals!$C:$C,A914,DB_Withdrawals!$G:$G))</f>
        <v/>
      </c>
      <c r="N914" s="340">
        <f>IF(A914="","",I914+L914-M914)</f>
        <v/>
      </c>
      <c r="O914" s="340">
        <f>IF(A914="","",TRUE())</f>
        <v/>
      </c>
      <c r="P914" s="340">
        <f>IF(A914="","",MAX(0,N914-System_Config!$B$9))</f>
        <v/>
      </c>
    </row>
    <row r="915" ht="15" customHeight="1" s="341">
      <c r="L915" s="340">
        <f>IF(A915="","",SUMIF(DB_Savings!$C:$C,A915,DB_Savings!$F:$F))</f>
        <v/>
      </c>
      <c r="M915" s="340">
        <f>IF(A915="","",SUMIF(DB_Withdrawals!$C:$C,A915,DB_Withdrawals!$G:$G))</f>
        <v/>
      </c>
      <c r="N915" s="340">
        <f>IF(A915="","",I915+L915-M915)</f>
        <v/>
      </c>
      <c r="O915" s="340">
        <f>IF(A915="","",TRUE())</f>
        <v/>
      </c>
      <c r="P915" s="340">
        <f>IF(A915="","",MAX(0,N915-System_Config!$B$9))</f>
        <v/>
      </c>
    </row>
    <row r="916" ht="15" customHeight="1" s="341">
      <c r="L916" s="340">
        <f>IF(A916="","",SUMIF(DB_Savings!$C:$C,A916,DB_Savings!$F:$F))</f>
        <v/>
      </c>
      <c r="M916" s="340">
        <f>IF(A916="","",SUMIF(DB_Withdrawals!$C:$C,A916,DB_Withdrawals!$G:$G))</f>
        <v/>
      </c>
      <c r="N916" s="340">
        <f>IF(A916="","",I916+L916-M916)</f>
        <v/>
      </c>
      <c r="O916" s="340">
        <f>IF(A916="","",TRUE())</f>
        <v/>
      </c>
      <c r="P916" s="340">
        <f>IF(A916="","",MAX(0,N916-System_Config!$B$9))</f>
        <v/>
      </c>
    </row>
    <row r="917" ht="15" customHeight="1" s="341">
      <c r="L917" s="340">
        <f>IF(A917="","",SUMIF(DB_Savings!$C:$C,A917,DB_Savings!$F:$F))</f>
        <v/>
      </c>
      <c r="M917" s="340">
        <f>IF(A917="","",SUMIF(DB_Withdrawals!$C:$C,A917,DB_Withdrawals!$G:$G))</f>
        <v/>
      </c>
      <c r="N917" s="340">
        <f>IF(A917="","",I917+L917-M917)</f>
        <v/>
      </c>
      <c r="O917" s="340">
        <f>IF(A917="","",TRUE())</f>
        <v/>
      </c>
      <c r="P917" s="340">
        <f>IF(A917="","",MAX(0,N917-System_Config!$B$9))</f>
        <v/>
      </c>
    </row>
    <row r="918" ht="15" customHeight="1" s="341">
      <c r="L918" s="340">
        <f>IF(A918="","",SUMIF(DB_Savings!$C:$C,A918,DB_Savings!$F:$F))</f>
        <v/>
      </c>
      <c r="M918" s="340">
        <f>IF(A918="","",SUMIF(DB_Withdrawals!$C:$C,A918,DB_Withdrawals!$G:$G))</f>
        <v/>
      </c>
      <c r="N918" s="340">
        <f>IF(A918="","",I918+L918-M918)</f>
        <v/>
      </c>
      <c r="O918" s="340">
        <f>IF(A918="","",TRUE())</f>
        <v/>
      </c>
      <c r="P918" s="340">
        <f>IF(A918="","",MAX(0,N918-System_Config!$B$9))</f>
        <v/>
      </c>
    </row>
    <row r="919" ht="15" customHeight="1" s="341">
      <c r="L919" s="340">
        <f>IF(A919="","",SUMIF(DB_Savings!$C:$C,A919,DB_Savings!$F:$F))</f>
        <v/>
      </c>
      <c r="M919" s="340">
        <f>IF(A919="","",SUMIF(DB_Withdrawals!$C:$C,A919,DB_Withdrawals!$G:$G))</f>
        <v/>
      </c>
      <c r="N919" s="340">
        <f>IF(A919="","",I919+L919-M919)</f>
        <v/>
      </c>
      <c r="O919" s="340">
        <f>IF(A919="","",TRUE())</f>
        <v/>
      </c>
      <c r="P919" s="340">
        <f>IF(A919="","",MAX(0,N919-System_Config!$B$9))</f>
        <v/>
      </c>
    </row>
    <row r="920" ht="15" customHeight="1" s="341">
      <c r="L920" s="340">
        <f>IF(A920="","",SUMIF(DB_Savings!$C:$C,A920,DB_Savings!$F:$F))</f>
        <v/>
      </c>
      <c r="M920" s="340">
        <f>IF(A920="","",SUMIF(DB_Withdrawals!$C:$C,A920,DB_Withdrawals!$G:$G))</f>
        <v/>
      </c>
      <c r="N920" s="340">
        <f>IF(A920="","",I920+L920-M920)</f>
        <v/>
      </c>
      <c r="O920" s="340">
        <f>IF(A920="","",TRUE())</f>
        <v/>
      </c>
      <c r="P920" s="340">
        <f>IF(A920="","",MAX(0,N920-System_Config!$B$9))</f>
        <v/>
      </c>
    </row>
    <row r="921" ht="15" customHeight="1" s="341">
      <c r="L921" s="340">
        <f>IF(A921="","",SUMIF(DB_Savings!$C:$C,A921,DB_Savings!$F:$F))</f>
        <v/>
      </c>
      <c r="M921" s="340">
        <f>IF(A921="","",SUMIF(DB_Withdrawals!$C:$C,A921,DB_Withdrawals!$G:$G))</f>
        <v/>
      </c>
      <c r="N921" s="340">
        <f>IF(A921="","",I921+L921-M921)</f>
        <v/>
      </c>
      <c r="O921" s="340">
        <f>IF(A921="","",TRUE())</f>
        <v/>
      </c>
      <c r="P921" s="340">
        <f>IF(A921="","",MAX(0,N921-System_Config!$B$9))</f>
        <v/>
      </c>
    </row>
    <row r="922" ht="15" customHeight="1" s="341">
      <c r="L922" s="340">
        <f>IF(A922="","",SUMIF(DB_Savings!$C:$C,A922,DB_Savings!$F:$F))</f>
        <v/>
      </c>
      <c r="M922" s="340">
        <f>IF(A922="","",SUMIF(DB_Withdrawals!$C:$C,A922,DB_Withdrawals!$G:$G))</f>
        <v/>
      </c>
      <c r="N922" s="340">
        <f>IF(A922="","",I922+L922-M922)</f>
        <v/>
      </c>
      <c r="O922" s="340">
        <f>IF(A922="","",TRUE())</f>
        <v/>
      </c>
      <c r="P922" s="340">
        <f>IF(A922="","",MAX(0,N922-System_Config!$B$9))</f>
        <v/>
      </c>
    </row>
    <row r="923" ht="15" customHeight="1" s="341">
      <c r="L923" s="340">
        <f>IF(A923="","",SUMIF(DB_Savings!$C:$C,A923,DB_Savings!$F:$F))</f>
        <v/>
      </c>
      <c r="M923" s="340">
        <f>IF(A923="","",SUMIF(DB_Withdrawals!$C:$C,A923,DB_Withdrawals!$G:$G))</f>
        <v/>
      </c>
      <c r="N923" s="340">
        <f>IF(A923="","",I923+L923-M923)</f>
        <v/>
      </c>
      <c r="O923" s="340">
        <f>IF(A923="","",TRUE())</f>
        <v/>
      </c>
      <c r="P923" s="340">
        <f>IF(A923="","",MAX(0,N923-System_Config!$B$9))</f>
        <v/>
      </c>
    </row>
    <row r="924" ht="15" customHeight="1" s="341">
      <c r="L924" s="340">
        <f>IF(A924="","",SUMIF(DB_Savings!$C:$C,A924,DB_Savings!$F:$F))</f>
        <v/>
      </c>
      <c r="M924" s="340">
        <f>IF(A924="","",SUMIF(DB_Withdrawals!$C:$C,A924,DB_Withdrawals!$G:$G))</f>
        <v/>
      </c>
      <c r="N924" s="340">
        <f>IF(A924="","",I924+L924-M924)</f>
        <v/>
      </c>
      <c r="O924" s="340">
        <f>IF(A924="","",TRUE())</f>
        <v/>
      </c>
      <c r="P924" s="340">
        <f>IF(A924="","",MAX(0,N924-System_Config!$B$9))</f>
        <v/>
      </c>
    </row>
    <row r="925" ht="15" customHeight="1" s="341">
      <c r="L925" s="340">
        <f>IF(A925="","",SUMIF(DB_Savings!$C:$C,A925,DB_Savings!$F:$F))</f>
        <v/>
      </c>
      <c r="M925" s="340">
        <f>IF(A925="","",SUMIF(DB_Withdrawals!$C:$C,A925,DB_Withdrawals!$G:$G))</f>
        <v/>
      </c>
      <c r="N925" s="340">
        <f>IF(A925="","",I925+L925-M925)</f>
        <v/>
      </c>
      <c r="O925" s="340">
        <f>IF(A925="","",TRUE())</f>
        <v/>
      </c>
      <c r="P925" s="340">
        <f>IF(A925="","",MAX(0,N925-System_Config!$B$9))</f>
        <v/>
      </c>
    </row>
    <row r="926" ht="15" customHeight="1" s="341">
      <c r="L926" s="340">
        <f>IF(A926="","",SUMIF(DB_Savings!$C:$C,A926,DB_Savings!$F:$F))</f>
        <v/>
      </c>
      <c r="M926" s="340">
        <f>IF(A926="","",SUMIF(DB_Withdrawals!$C:$C,A926,DB_Withdrawals!$G:$G))</f>
        <v/>
      </c>
      <c r="N926" s="340">
        <f>IF(A926="","",I926+L926-M926)</f>
        <v/>
      </c>
      <c r="O926" s="340">
        <f>IF(A926="","",TRUE())</f>
        <v/>
      </c>
      <c r="P926" s="340">
        <f>IF(A926="","",MAX(0,N926-System_Config!$B$9))</f>
        <v/>
      </c>
    </row>
    <row r="927" ht="15" customHeight="1" s="341">
      <c r="L927" s="340">
        <f>IF(A927="","",SUMIF(DB_Savings!$C:$C,A927,DB_Savings!$F:$F))</f>
        <v/>
      </c>
      <c r="M927" s="340">
        <f>IF(A927="","",SUMIF(DB_Withdrawals!$C:$C,A927,DB_Withdrawals!$G:$G))</f>
        <v/>
      </c>
      <c r="N927" s="340">
        <f>IF(A927="","",I927+L927-M927)</f>
        <v/>
      </c>
      <c r="O927" s="340">
        <f>IF(A927="","",TRUE())</f>
        <v/>
      </c>
      <c r="P927" s="340">
        <f>IF(A927="","",MAX(0,N927-System_Config!$B$9))</f>
        <v/>
      </c>
    </row>
    <row r="928" ht="15" customHeight="1" s="341">
      <c r="L928" s="340">
        <f>IF(A928="","",SUMIF(DB_Savings!$C:$C,A928,DB_Savings!$F:$F))</f>
        <v/>
      </c>
      <c r="M928" s="340">
        <f>IF(A928="","",SUMIF(DB_Withdrawals!$C:$C,A928,DB_Withdrawals!$G:$G))</f>
        <v/>
      </c>
      <c r="N928" s="340">
        <f>IF(A928="","",I928+L928-M928)</f>
        <v/>
      </c>
      <c r="O928" s="340">
        <f>IF(A928="","",TRUE())</f>
        <v/>
      </c>
      <c r="P928" s="340">
        <f>IF(A928="","",MAX(0,N928-System_Config!$B$9))</f>
        <v/>
      </c>
    </row>
    <row r="929" ht="15" customHeight="1" s="341">
      <c r="L929" s="340">
        <f>IF(A929="","",SUMIF(DB_Savings!$C:$C,A929,DB_Savings!$F:$F))</f>
        <v/>
      </c>
      <c r="M929" s="340">
        <f>IF(A929="","",SUMIF(DB_Withdrawals!$C:$C,A929,DB_Withdrawals!$G:$G))</f>
        <v/>
      </c>
      <c r="N929" s="340">
        <f>IF(A929="","",I929+L929-M929)</f>
        <v/>
      </c>
      <c r="O929" s="340">
        <f>IF(A929="","",TRUE())</f>
        <v/>
      </c>
      <c r="P929" s="340">
        <f>IF(A929="","",MAX(0,N929-System_Config!$B$9))</f>
        <v/>
      </c>
    </row>
    <row r="930" ht="15" customHeight="1" s="341">
      <c r="L930" s="340">
        <f>IF(A930="","",SUMIF(DB_Savings!$C:$C,A930,DB_Savings!$F:$F))</f>
        <v/>
      </c>
      <c r="M930" s="340">
        <f>IF(A930="","",SUMIF(DB_Withdrawals!$C:$C,A930,DB_Withdrawals!$G:$G))</f>
        <v/>
      </c>
      <c r="N930" s="340">
        <f>IF(A930="","",I930+L930-M930)</f>
        <v/>
      </c>
      <c r="O930" s="340">
        <f>IF(A930="","",TRUE())</f>
        <v/>
      </c>
      <c r="P930" s="340">
        <f>IF(A930="","",MAX(0,N930-System_Config!$B$9))</f>
        <v/>
      </c>
    </row>
    <row r="931" ht="15" customHeight="1" s="341">
      <c r="L931" s="340">
        <f>IF(A931="","",SUMIF(DB_Savings!$C:$C,A931,DB_Savings!$F:$F))</f>
        <v/>
      </c>
      <c r="M931" s="340">
        <f>IF(A931="","",SUMIF(DB_Withdrawals!$C:$C,A931,DB_Withdrawals!$G:$G))</f>
        <v/>
      </c>
      <c r="N931" s="340">
        <f>IF(A931="","",I931+L931-M931)</f>
        <v/>
      </c>
      <c r="O931" s="340">
        <f>IF(A931="","",TRUE())</f>
        <v/>
      </c>
      <c r="P931" s="340">
        <f>IF(A931="","",MAX(0,N931-System_Config!$B$9))</f>
        <v/>
      </c>
    </row>
    <row r="932" ht="15" customHeight="1" s="341">
      <c r="L932" s="340">
        <f>IF(A932="","",SUMIF(DB_Savings!$C:$C,A932,DB_Savings!$F:$F))</f>
        <v/>
      </c>
      <c r="M932" s="340">
        <f>IF(A932="","",SUMIF(DB_Withdrawals!$C:$C,A932,DB_Withdrawals!$G:$G))</f>
        <v/>
      </c>
      <c r="N932" s="340">
        <f>IF(A932="","",I932+L932-M932)</f>
        <v/>
      </c>
      <c r="O932" s="340">
        <f>IF(A932="","",TRUE())</f>
        <v/>
      </c>
      <c r="P932" s="340">
        <f>IF(A932="","",MAX(0,N932-System_Config!$B$9))</f>
        <v/>
      </c>
    </row>
    <row r="933" ht="15" customHeight="1" s="341">
      <c r="L933" s="340">
        <f>IF(A933="","",SUMIF(DB_Savings!$C:$C,A933,DB_Savings!$F:$F))</f>
        <v/>
      </c>
      <c r="M933" s="340">
        <f>IF(A933="","",SUMIF(DB_Withdrawals!$C:$C,A933,DB_Withdrawals!$G:$G))</f>
        <v/>
      </c>
      <c r="N933" s="340">
        <f>IF(A933="","",I933+L933-M933)</f>
        <v/>
      </c>
      <c r="O933" s="340">
        <f>IF(A933="","",TRUE())</f>
        <v/>
      </c>
      <c r="P933" s="340">
        <f>IF(A933="","",MAX(0,N933-System_Config!$B$9))</f>
        <v/>
      </c>
    </row>
    <row r="934" ht="15" customHeight="1" s="341">
      <c r="L934" s="340">
        <f>IF(A934="","",SUMIF(DB_Savings!$C:$C,A934,DB_Savings!$F:$F))</f>
        <v/>
      </c>
      <c r="M934" s="340">
        <f>IF(A934="","",SUMIF(DB_Withdrawals!$C:$C,A934,DB_Withdrawals!$G:$G))</f>
        <v/>
      </c>
      <c r="N934" s="340">
        <f>IF(A934="","",I934+L934-M934)</f>
        <v/>
      </c>
      <c r="O934" s="340">
        <f>IF(A934="","",TRUE())</f>
        <v/>
      </c>
      <c r="P934" s="340">
        <f>IF(A934="","",MAX(0,N934-System_Config!$B$9))</f>
        <v/>
      </c>
    </row>
    <row r="935" ht="15" customHeight="1" s="341">
      <c r="L935" s="340">
        <f>IF(A935="","",SUMIF(DB_Savings!$C:$C,A935,DB_Savings!$F:$F))</f>
        <v/>
      </c>
      <c r="M935" s="340">
        <f>IF(A935="","",SUMIF(DB_Withdrawals!$C:$C,A935,DB_Withdrawals!$G:$G))</f>
        <v/>
      </c>
      <c r="N935" s="340">
        <f>IF(A935="","",I935+L935-M935)</f>
        <v/>
      </c>
      <c r="O935" s="340">
        <f>IF(A935="","",TRUE())</f>
        <v/>
      </c>
      <c r="P935" s="340">
        <f>IF(A935="","",MAX(0,N935-System_Config!$B$9))</f>
        <v/>
      </c>
    </row>
    <row r="936" ht="15" customHeight="1" s="341">
      <c r="L936" s="340">
        <f>IF(A936="","",SUMIF(DB_Savings!$C:$C,A936,DB_Savings!$F:$F))</f>
        <v/>
      </c>
      <c r="M936" s="340">
        <f>IF(A936="","",SUMIF(DB_Withdrawals!$C:$C,A936,DB_Withdrawals!$G:$G))</f>
        <v/>
      </c>
      <c r="N936" s="340">
        <f>IF(A936="","",I936+L936-M936)</f>
        <v/>
      </c>
      <c r="O936" s="340">
        <f>IF(A936="","",TRUE())</f>
        <v/>
      </c>
      <c r="P936" s="340">
        <f>IF(A936="","",MAX(0,N936-System_Config!$B$9))</f>
        <v/>
      </c>
    </row>
    <row r="937" ht="15" customHeight="1" s="341">
      <c r="L937" s="340">
        <f>IF(A937="","",SUMIF(DB_Savings!$C:$C,A937,DB_Savings!$F:$F))</f>
        <v/>
      </c>
      <c r="M937" s="340">
        <f>IF(A937="","",SUMIF(DB_Withdrawals!$C:$C,A937,DB_Withdrawals!$G:$G))</f>
        <v/>
      </c>
      <c r="N937" s="340">
        <f>IF(A937="","",I937+L937-M937)</f>
        <v/>
      </c>
      <c r="O937" s="340">
        <f>IF(A937="","",TRUE())</f>
        <v/>
      </c>
      <c r="P937" s="340">
        <f>IF(A937="","",MAX(0,N937-System_Config!$B$9))</f>
        <v/>
      </c>
    </row>
    <row r="938" ht="15" customHeight="1" s="341">
      <c r="L938" s="340">
        <f>IF(A938="","",SUMIF(DB_Savings!$C:$C,A938,DB_Savings!$F:$F))</f>
        <v/>
      </c>
      <c r="M938" s="340">
        <f>IF(A938="","",SUMIF(DB_Withdrawals!$C:$C,A938,DB_Withdrawals!$G:$G))</f>
        <v/>
      </c>
      <c r="N938" s="340">
        <f>IF(A938="","",I938+L938-M938)</f>
        <v/>
      </c>
      <c r="O938" s="340">
        <f>IF(A938="","",TRUE())</f>
        <v/>
      </c>
      <c r="P938" s="340">
        <f>IF(A938="","",MAX(0,N938-System_Config!$B$9))</f>
        <v/>
      </c>
    </row>
    <row r="939" ht="15" customHeight="1" s="341">
      <c r="L939" s="340">
        <f>IF(A939="","",SUMIF(DB_Savings!$C:$C,A939,DB_Savings!$F:$F))</f>
        <v/>
      </c>
      <c r="M939" s="340">
        <f>IF(A939="","",SUMIF(DB_Withdrawals!$C:$C,A939,DB_Withdrawals!$G:$G))</f>
        <v/>
      </c>
      <c r="N939" s="340">
        <f>IF(A939="","",I939+L939-M939)</f>
        <v/>
      </c>
      <c r="O939" s="340">
        <f>IF(A939="","",TRUE())</f>
        <v/>
      </c>
      <c r="P939" s="340">
        <f>IF(A939="","",MAX(0,N939-System_Config!$B$9))</f>
        <v/>
      </c>
    </row>
    <row r="940" ht="15" customHeight="1" s="341">
      <c r="L940" s="340">
        <f>IF(A940="","",SUMIF(DB_Savings!$C:$C,A940,DB_Savings!$F:$F))</f>
        <v/>
      </c>
      <c r="M940" s="340">
        <f>IF(A940="","",SUMIF(DB_Withdrawals!$C:$C,A940,DB_Withdrawals!$G:$G))</f>
        <v/>
      </c>
      <c r="N940" s="340">
        <f>IF(A940="","",I940+L940-M940)</f>
        <v/>
      </c>
      <c r="O940" s="340">
        <f>IF(A940="","",TRUE())</f>
        <v/>
      </c>
      <c r="P940" s="340">
        <f>IF(A940="","",MAX(0,N940-System_Config!$B$9))</f>
        <v/>
      </c>
    </row>
    <row r="941" ht="15" customHeight="1" s="341">
      <c r="L941" s="340">
        <f>IF(A941="","",SUMIF(DB_Savings!$C:$C,A941,DB_Savings!$F:$F))</f>
        <v/>
      </c>
      <c r="M941" s="340">
        <f>IF(A941="","",SUMIF(DB_Withdrawals!$C:$C,A941,DB_Withdrawals!$G:$G))</f>
        <v/>
      </c>
      <c r="N941" s="340">
        <f>IF(A941="","",I941+L941-M941)</f>
        <v/>
      </c>
      <c r="O941" s="340">
        <f>IF(A941="","",TRUE())</f>
        <v/>
      </c>
      <c r="P941" s="340">
        <f>IF(A941="","",MAX(0,N941-System_Config!$B$9))</f>
        <v/>
      </c>
    </row>
    <row r="942" ht="15" customHeight="1" s="341">
      <c r="L942" s="340">
        <f>IF(A942="","",SUMIF(DB_Savings!$C:$C,A942,DB_Savings!$F:$F))</f>
        <v/>
      </c>
      <c r="M942" s="340">
        <f>IF(A942="","",SUMIF(DB_Withdrawals!$C:$C,A942,DB_Withdrawals!$G:$G))</f>
        <v/>
      </c>
      <c r="N942" s="340">
        <f>IF(A942="","",I942+L942-M942)</f>
        <v/>
      </c>
      <c r="O942" s="340">
        <f>IF(A942="","",TRUE())</f>
        <v/>
      </c>
      <c r="P942" s="340">
        <f>IF(A942="","",MAX(0,N942-System_Config!$B$9))</f>
        <v/>
      </c>
    </row>
    <row r="943" ht="15" customHeight="1" s="341">
      <c r="L943" s="340">
        <f>IF(A943="","",SUMIF(DB_Savings!$C:$C,A943,DB_Savings!$F:$F))</f>
        <v/>
      </c>
      <c r="M943" s="340">
        <f>IF(A943="","",SUMIF(DB_Withdrawals!$C:$C,A943,DB_Withdrawals!$G:$G))</f>
        <v/>
      </c>
      <c r="N943" s="340">
        <f>IF(A943="","",I943+L943-M943)</f>
        <v/>
      </c>
      <c r="O943" s="340">
        <f>IF(A943="","",TRUE())</f>
        <v/>
      </c>
      <c r="P943" s="340">
        <f>IF(A943="","",MAX(0,N943-System_Config!$B$9))</f>
        <v/>
      </c>
    </row>
    <row r="944" ht="15" customHeight="1" s="341">
      <c r="L944" s="340">
        <f>IF(A944="","",SUMIF(DB_Savings!$C:$C,A944,DB_Savings!$F:$F))</f>
        <v/>
      </c>
      <c r="M944" s="340">
        <f>IF(A944="","",SUMIF(DB_Withdrawals!$C:$C,A944,DB_Withdrawals!$G:$G))</f>
        <v/>
      </c>
      <c r="N944" s="340">
        <f>IF(A944="","",I944+L944-M944)</f>
        <v/>
      </c>
      <c r="O944" s="340">
        <f>IF(A944="","",TRUE())</f>
        <v/>
      </c>
      <c r="P944" s="340">
        <f>IF(A944="","",MAX(0,N944-System_Config!$B$9))</f>
        <v/>
      </c>
    </row>
    <row r="945" ht="15" customHeight="1" s="341">
      <c r="L945" s="340">
        <f>IF(A945="","",SUMIF(DB_Savings!$C:$C,A945,DB_Savings!$F:$F))</f>
        <v/>
      </c>
      <c r="M945" s="340">
        <f>IF(A945="","",SUMIF(DB_Withdrawals!$C:$C,A945,DB_Withdrawals!$G:$G))</f>
        <v/>
      </c>
      <c r="N945" s="340">
        <f>IF(A945="","",I945+L945-M945)</f>
        <v/>
      </c>
      <c r="O945" s="340">
        <f>IF(A945="","",TRUE())</f>
        <v/>
      </c>
      <c r="P945" s="340">
        <f>IF(A945="","",MAX(0,N945-System_Config!$B$9))</f>
        <v/>
      </c>
    </row>
    <row r="946" ht="15" customHeight="1" s="341">
      <c r="L946" s="340">
        <f>IF(A946="","",SUMIF(DB_Savings!$C:$C,A946,DB_Savings!$F:$F))</f>
        <v/>
      </c>
      <c r="M946" s="340">
        <f>IF(A946="","",SUMIF(DB_Withdrawals!$C:$C,A946,DB_Withdrawals!$G:$G))</f>
        <v/>
      </c>
      <c r="N946" s="340">
        <f>IF(A946="","",I946+L946-M946)</f>
        <v/>
      </c>
      <c r="O946" s="340">
        <f>IF(A946="","",TRUE())</f>
        <v/>
      </c>
      <c r="P946" s="340">
        <f>IF(A946="","",MAX(0,N946-System_Config!$B$9))</f>
        <v/>
      </c>
    </row>
    <row r="947" ht="15" customHeight="1" s="341">
      <c r="L947" s="340">
        <f>IF(A947="","",SUMIF(DB_Savings!$C:$C,A947,DB_Savings!$F:$F))</f>
        <v/>
      </c>
      <c r="M947" s="340">
        <f>IF(A947="","",SUMIF(DB_Withdrawals!$C:$C,A947,DB_Withdrawals!$G:$G))</f>
        <v/>
      </c>
      <c r="N947" s="340">
        <f>IF(A947="","",I947+L947-M947)</f>
        <v/>
      </c>
      <c r="O947" s="340">
        <f>IF(A947="","",TRUE())</f>
        <v/>
      </c>
      <c r="P947" s="340">
        <f>IF(A947="","",MAX(0,N947-System_Config!$B$9))</f>
        <v/>
      </c>
    </row>
    <row r="948" ht="15" customHeight="1" s="341">
      <c r="L948" s="340">
        <f>IF(A948="","",SUMIF(DB_Savings!$C:$C,A948,DB_Savings!$F:$F))</f>
        <v/>
      </c>
      <c r="M948" s="340">
        <f>IF(A948="","",SUMIF(DB_Withdrawals!$C:$C,A948,DB_Withdrawals!$G:$G))</f>
        <v/>
      </c>
      <c r="N948" s="340">
        <f>IF(A948="","",I948+L948-M948)</f>
        <v/>
      </c>
      <c r="O948" s="340">
        <f>IF(A948="","",TRUE())</f>
        <v/>
      </c>
      <c r="P948" s="340">
        <f>IF(A948="","",MAX(0,N948-System_Config!$B$9))</f>
        <v/>
      </c>
    </row>
    <row r="949" ht="15" customHeight="1" s="341">
      <c r="L949" s="340">
        <f>IF(A949="","",SUMIF(DB_Savings!$C:$C,A949,DB_Savings!$F:$F))</f>
        <v/>
      </c>
      <c r="M949" s="340">
        <f>IF(A949="","",SUMIF(DB_Withdrawals!$C:$C,A949,DB_Withdrawals!$G:$G))</f>
        <v/>
      </c>
      <c r="N949" s="340">
        <f>IF(A949="","",I949+L949-M949)</f>
        <v/>
      </c>
      <c r="O949" s="340">
        <f>IF(A949="","",TRUE())</f>
        <v/>
      </c>
      <c r="P949" s="340">
        <f>IF(A949="","",MAX(0,N949-System_Config!$B$9))</f>
        <v/>
      </c>
    </row>
    <row r="950" ht="15" customHeight="1" s="341">
      <c r="L950" s="340">
        <f>IF(A950="","",SUMIF(DB_Savings!$C:$C,A950,DB_Savings!$F:$F))</f>
        <v/>
      </c>
      <c r="M950" s="340">
        <f>IF(A950="","",SUMIF(DB_Withdrawals!$C:$C,A950,DB_Withdrawals!$G:$G))</f>
        <v/>
      </c>
      <c r="N950" s="340">
        <f>IF(A950="","",I950+L950-M950)</f>
        <v/>
      </c>
      <c r="O950" s="340">
        <f>IF(A950="","",TRUE())</f>
        <v/>
      </c>
      <c r="P950" s="340">
        <f>IF(A950="","",MAX(0,N950-System_Config!$B$9))</f>
        <v/>
      </c>
    </row>
    <row r="951" ht="15" customHeight="1" s="341">
      <c r="L951" s="340">
        <f>IF(A951="","",SUMIF(DB_Savings!$C:$C,A951,DB_Savings!$F:$F))</f>
        <v/>
      </c>
      <c r="M951" s="340">
        <f>IF(A951="","",SUMIF(DB_Withdrawals!$C:$C,A951,DB_Withdrawals!$G:$G))</f>
        <v/>
      </c>
      <c r="N951" s="340">
        <f>IF(A951="","",I951+L951-M951)</f>
        <v/>
      </c>
      <c r="O951" s="340">
        <f>IF(A951="","",TRUE())</f>
        <v/>
      </c>
      <c r="P951" s="340">
        <f>IF(A951="","",MAX(0,N951-System_Config!$B$9))</f>
        <v/>
      </c>
    </row>
    <row r="952" ht="15" customHeight="1" s="341">
      <c r="L952" s="340">
        <f>IF(A952="","",SUMIF(DB_Savings!$C:$C,A952,DB_Savings!$F:$F))</f>
        <v/>
      </c>
      <c r="M952" s="340">
        <f>IF(A952="","",SUMIF(DB_Withdrawals!$C:$C,A952,DB_Withdrawals!$G:$G))</f>
        <v/>
      </c>
      <c r="N952" s="340">
        <f>IF(A952="","",I952+L952-M952)</f>
        <v/>
      </c>
      <c r="O952" s="340">
        <f>IF(A952="","",TRUE())</f>
        <v/>
      </c>
      <c r="P952" s="340">
        <f>IF(A952="","",MAX(0,N952-System_Config!$B$9))</f>
        <v/>
      </c>
    </row>
    <row r="953" ht="15" customHeight="1" s="341">
      <c r="L953" s="340">
        <f>IF(A953="","",SUMIF(DB_Savings!$C:$C,A953,DB_Savings!$F:$F))</f>
        <v/>
      </c>
      <c r="M953" s="340">
        <f>IF(A953="","",SUMIF(DB_Withdrawals!$C:$C,A953,DB_Withdrawals!$G:$G))</f>
        <v/>
      </c>
      <c r="N953" s="340">
        <f>IF(A953="","",I953+L953-M953)</f>
        <v/>
      </c>
      <c r="O953" s="340">
        <f>IF(A953="","",TRUE())</f>
        <v/>
      </c>
      <c r="P953" s="340">
        <f>IF(A953="","",MAX(0,N953-System_Config!$B$9))</f>
        <v/>
      </c>
    </row>
    <row r="954" ht="15" customHeight="1" s="341">
      <c r="L954" s="340">
        <f>IF(A954="","",SUMIF(DB_Savings!$C:$C,A954,DB_Savings!$F:$F))</f>
        <v/>
      </c>
      <c r="M954" s="340">
        <f>IF(A954="","",SUMIF(DB_Withdrawals!$C:$C,A954,DB_Withdrawals!$G:$G))</f>
        <v/>
      </c>
      <c r="N954" s="340">
        <f>IF(A954="","",I954+L954-M954)</f>
        <v/>
      </c>
      <c r="O954" s="340">
        <f>IF(A954="","",TRUE())</f>
        <v/>
      </c>
      <c r="P954" s="340">
        <f>IF(A954="","",MAX(0,N954-System_Config!$B$9))</f>
        <v/>
      </c>
    </row>
    <row r="955" ht="15" customHeight="1" s="341">
      <c r="L955" s="340">
        <f>IF(A955="","",SUMIF(DB_Savings!$C:$C,A955,DB_Savings!$F:$F))</f>
        <v/>
      </c>
      <c r="M955" s="340">
        <f>IF(A955="","",SUMIF(DB_Withdrawals!$C:$C,A955,DB_Withdrawals!$G:$G))</f>
        <v/>
      </c>
      <c r="N955" s="340">
        <f>IF(A955="","",I955+L955-M955)</f>
        <v/>
      </c>
      <c r="O955" s="340">
        <f>IF(A955="","",TRUE())</f>
        <v/>
      </c>
      <c r="P955" s="340">
        <f>IF(A955="","",MAX(0,N955-System_Config!$B$9))</f>
        <v/>
      </c>
    </row>
    <row r="956" ht="15" customHeight="1" s="341">
      <c r="L956" s="340">
        <f>IF(A956="","",SUMIF(DB_Savings!$C:$C,A956,DB_Savings!$F:$F))</f>
        <v/>
      </c>
      <c r="M956" s="340">
        <f>IF(A956="","",SUMIF(DB_Withdrawals!$C:$C,A956,DB_Withdrawals!$G:$G))</f>
        <v/>
      </c>
      <c r="N956" s="340">
        <f>IF(A956="","",I956+L956-M956)</f>
        <v/>
      </c>
      <c r="O956" s="340">
        <f>IF(A956="","",TRUE())</f>
        <v/>
      </c>
      <c r="P956" s="340">
        <f>IF(A956="","",MAX(0,N956-System_Config!$B$9))</f>
        <v/>
      </c>
    </row>
    <row r="957" ht="15" customHeight="1" s="341">
      <c r="L957" s="340">
        <f>IF(A957="","",SUMIF(DB_Savings!$C:$C,A957,DB_Savings!$F:$F))</f>
        <v/>
      </c>
      <c r="M957" s="340">
        <f>IF(A957="","",SUMIF(DB_Withdrawals!$C:$C,A957,DB_Withdrawals!$G:$G))</f>
        <v/>
      </c>
      <c r="N957" s="340">
        <f>IF(A957="","",I957+L957-M957)</f>
        <v/>
      </c>
      <c r="O957" s="340">
        <f>IF(A957="","",TRUE())</f>
        <v/>
      </c>
      <c r="P957" s="340">
        <f>IF(A957="","",MAX(0,N957-System_Config!$B$9))</f>
        <v/>
      </c>
    </row>
    <row r="958" ht="15" customHeight="1" s="341">
      <c r="L958" s="340">
        <f>IF(A958="","",SUMIF(DB_Savings!$C:$C,A958,DB_Savings!$F:$F))</f>
        <v/>
      </c>
      <c r="M958" s="340">
        <f>IF(A958="","",SUMIF(DB_Withdrawals!$C:$C,A958,DB_Withdrawals!$G:$G))</f>
        <v/>
      </c>
      <c r="N958" s="340">
        <f>IF(A958="","",I958+L958-M958)</f>
        <v/>
      </c>
      <c r="O958" s="340">
        <f>IF(A958="","",TRUE())</f>
        <v/>
      </c>
      <c r="P958" s="340">
        <f>IF(A958="","",MAX(0,N958-System_Config!$B$9))</f>
        <v/>
      </c>
    </row>
    <row r="959" ht="15" customHeight="1" s="341">
      <c r="L959" s="340">
        <f>IF(A959="","",SUMIF(DB_Savings!$C:$C,A959,DB_Savings!$F:$F))</f>
        <v/>
      </c>
      <c r="M959" s="340">
        <f>IF(A959="","",SUMIF(DB_Withdrawals!$C:$C,A959,DB_Withdrawals!$G:$G))</f>
        <v/>
      </c>
      <c r="N959" s="340">
        <f>IF(A959="","",I959+L959-M959)</f>
        <v/>
      </c>
      <c r="O959" s="340">
        <f>IF(A959="","",TRUE())</f>
        <v/>
      </c>
      <c r="P959" s="340">
        <f>IF(A959="","",MAX(0,N959-System_Config!$B$9))</f>
        <v/>
      </c>
    </row>
    <row r="960" ht="15" customHeight="1" s="341">
      <c r="L960" s="340">
        <f>IF(A960="","",SUMIF(DB_Savings!$C:$C,A960,DB_Savings!$F:$F))</f>
        <v/>
      </c>
      <c r="M960" s="340">
        <f>IF(A960="","",SUMIF(DB_Withdrawals!$C:$C,A960,DB_Withdrawals!$G:$G))</f>
        <v/>
      </c>
      <c r="N960" s="340">
        <f>IF(A960="","",I960+L960-M960)</f>
        <v/>
      </c>
      <c r="O960" s="340">
        <f>IF(A960="","",TRUE())</f>
        <v/>
      </c>
      <c r="P960" s="340">
        <f>IF(A960="","",MAX(0,N960-System_Config!$B$9))</f>
        <v/>
      </c>
    </row>
    <row r="961" ht="15" customHeight="1" s="341">
      <c r="L961" s="340">
        <f>IF(A961="","",SUMIF(DB_Savings!$C:$C,A961,DB_Savings!$F:$F))</f>
        <v/>
      </c>
      <c r="M961" s="340">
        <f>IF(A961="","",SUMIF(DB_Withdrawals!$C:$C,A961,DB_Withdrawals!$G:$G))</f>
        <v/>
      </c>
      <c r="N961" s="340">
        <f>IF(A961="","",I961+L961-M961)</f>
        <v/>
      </c>
      <c r="O961" s="340">
        <f>IF(A961="","",TRUE())</f>
        <v/>
      </c>
      <c r="P961" s="340">
        <f>IF(A961="","",MAX(0,N961-System_Config!$B$9))</f>
        <v/>
      </c>
    </row>
    <row r="962" ht="15" customHeight="1" s="341">
      <c r="L962" s="340">
        <f>IF(A962="","",SUMIF(DB_Savings!$C:$C,A962,DB_Savings!$F:$F))</f>
        <v/>
      </c>
      <c r="M962" s="340">
        <f>IF(A962="","",SUMIF(DB_Withdrawals!$C:$C,A962,DB_Withdrawals!$G:$G))</f>
        <v/>
      </c>
      <c r="N962" s="340">
        <f>IF(A962="","",I962+L962-M962)</f>
        <v/>
      </c>
      <c r="O962" s="340">
        <f>IF(A962="","",TRUE())</f>
        <v/>
      </c>
      <c r="P962" s="340">
        <f>IF(A962="","",MAX(0,N962-System_Config!$B$9))</f>
        <v/>
      </c>
    </row>
    <row r="963" ht="15" customHeight="1" s="341">
      <c r="L963" s="340">
        <f>IF(A963="","",SUMIF(DB_Savings!$C:$C,A963,DB_Savings!$F:$F))</f>
        <v/>
      </c>
      <c r="M963" s="340">
        <f>IF(A963="","",SUMIF(DB_Withdrawals!$C:$C,A963,DB_Withdrawals!$G:$G))</f>
        <v/>
      </c>
      <c r="N963" s="340">
        <f>IF(A963="","",I963+L963-M963)</f>
        <v/>
      </c>
      <c r="O963" s="340">
        <f>IF(A963="","",TRUE())</f>
        <v/>
      </c>
      <c r="P963" s="340">
        <f>IF(A963="","",MAX(0,N963-System_Config!$B$9))</f>
        <v/>
      </c>
    </row>
    <row r="964" ht="15" customHeight="1" s="341">
      <c r="L964" s="340">
        <f>IF(A964="","",SUMIF(DB_Savings!$C:$C,A964,DB_Savings!$F:$F))</f>
        <v/>
      </c>
      <c r="M964" s="340">
        <f>IF(A964="","",SUMIF(DB_Withdrawals!$C:$C,A964,DB_Withdrawals!$G:$G))</f>
        <v/>
      </c>
      <c r="N964" s="340">
        <f>IF(A964="","",I964+L964-M964)</f>
        <v/>
      </c>
      <c r="O964" s="340">
        <f>IF(A964="","",TRUE())</f>
        <v/>
      </c>
      <c r="P964" s="340">
        <f>IF(A964="","",MAX(0,N964-System_Config!$B$9))</f>
        <v/>
      </c>
    </row>
    <row r="965" ht="15" customHeight="1" s="341">
      <c r="L965" s="340">
        <f>IF(A965="","",SUMIF(DB_Savings!$C:$C,A965,DB_Savings!$F:$F))</f>
        <v/>
      </c>
      <c r="M965" s="340">
        <f>IF(A965="","",SUMIF(DB_Withdrawals!$C:$C,A965,DB_Withdrawals!$G:$G))</f>
        <v/>
      </c>
      <c r="N965" s="340">
        <f>IF(A965="","",I965+L965-M965)</f>
        <v/>
      </c>
      <c r="O965" s="340">
        <f>IF(A965="","",TRUE())</f>
        <v/>
      </c>
      <c r="P965" s="340">
        <f>IF(A965="","",MAX(0,N965-System_Config!$B$9))</f>
        <v/>
      </c>
    </row>
    <row r="966" ht="15" customHeight="1" s="341">
      <c r="L966" s="340">
        <f>IF(A966="","",SUMIF(DB_Savings!$C:$C,A966,DB_Savings!$F:$F))</f>
        <v/>
      </c>
      <c r="M966" s="340">
        <f>IF(A966="","",SUMIF(DB_Withdrawals!$C:$C,A966,DB_Withdrawals!$G:$G))</f>
        <v/>
      </c>
      <c r="N966" s="340">
        <f>IF(A966="","",I966+L966-M966)</f>
        <v/>
      </c>
      <c r="O966" s="340">
        <f>IF(A966="","",TRUE())</f>
        <v/>
      </c>
      <c r="P966" s="340">
        <f>IF(A966="","",MAX(0,N966-System_Config!$B$9))</f>
        <v/>
      </c>
    </row>
    <row r="967" ht="15" customHeight="1" s="341">
      <c r="L967" s="340">
        <f>IF(A967="","",SUMIF(DB_Savings!$C:$C,A967,DB_Savings!$F:$F))</f>
        <v/>
      </c>
      <c r="M967" s="340">
        <f>IF(A967="","",SUMIF(DB_Withdrawals!$C:$C,A967,DB_Withdrawals!$G:$G))</f>
        <v/>
      </c>
      <c r="N967" s="340">
        <f>IF(A967="","",I967+L967-M967)</f>
        <v/>
      </c>
      <c r="O967" s="340">
        <f>IF(A967="","",TRUE())</f>
        <v/>
      </c>
      <c r="P967" s="340">
        <f>IF(A967="","",MAX(0,N967-System_Config!$B$9))</f>
        <v/>
      </c>
    </row>
    <row r="968" ht="15" customHeight="1" s="341">
      <c r="L968" s="340">
        <f>IF(A968="","",SUMIF(DB_Savings!$C:$C,A968,DB_Savings!$F:$F))</f>
        <v/>
      </c>
      <c r="M968" s="340">
        <f>IF(A968="","",SUMIF(DB_Withdrawals!$C:$C,A968,DB_Withdrawals!$G:$G))</f>
        <v/>
      </c>
      <c r="N968" s="340">
        <f>IF(A968="","",I968+L968-M968)</f>
        <v/>
      </c>
      <c r="O968" s="340">
        <f>IF(A968="","",TRUE())</f>
        <v/>
      </c>
      <c r="P968" s="340">
        <f>IF(A968="","",MAX(0,N968-System_Config!$B$9))</f>
        <v/>
      </c>
    </row>
    <row r="969" ht="15" customHeight="1" s="341">
      <c r="L969" s="340">
        <f>IF(A969="","",SUMIF(DB_Savings!$C:$C,A969,DB_Savings!$F:$F))</f>
        <v/>
      </c>
      <c r="M969" s="340">
        <f>IF(A969="","",SUMIF(DB_Withdrawals!$C:$C,A969,DB_Withdrawals!$G:$G))</f>
        <v/>
      </c>
      <c r="N969" s="340">
        <f>IF(A969="","",I969+L969-M969)</f>
        <v/>
      </c>
      <c r="O969" s="340">
        <f>IF(A969="","",TRUE())</f>
        <v/>
      </c>
      <c r="P969" s="340">
        <f>IF(A969="","",MAX(0,N969-System_Config!$B$9))</f>
        <v/>
      </c>
    </row>
    <row r="970" ht="15" customHeight="1" s="341">
      <c r="L970" s="340">
        <f>IF(A970="","",SUMIF(DB_Savings!$C:$C,A970,DB_Savings!$F:$F))</f>
        <v/>
      </c>
      <c r="M970" s="340">
        <f>IF(A970="","",SUMIF(DB_Withdrawals!$C:$C,A970,DB_Withdrawals!$G:$G))</f>
        <v/>
      </c>
      <c r="N970" s="340">
        <f>IF(A970="","",I970+L970-M970)</f>
        <v/>
      </c>
      <c r="O970" s="340">
        <f>IF(A970="","",TRUE())</f>
        <v/>
      </c>
      <c r="P970" s="340">
        <f>IF(A970="","",MAX(0,N970-System_Config!$B$9))</f>
        <v/>
      </c>
    </row>
    <row r="971" ht="15" customHeight="1" s="341">
      <c r="L971" s="340">
        <f>IF(A971="","",SUMIF(DB_Savings!$C:$C,A971,DB_Savings!$F:$F))</f>
        <v/>
      </c>
      <c r="M971" s="340">
        <f>IF(A971="","",SUMIF(DB_Withdrawals!$C:$C,A971,DB_Withdrawals!$G:$G))</f>
        <v/>
      </c>
      <c r="N971" s="340">
        <f>IF(A971="","",I971+L971-M971)</f>
        <v/>
      </c>
      <c r="O971" s="340">
        <f>IF(A971="","",TRUE())</f>
        <v/>
      </c>
      <c r="P971" s="340">
        <f>IF(A971="","",MAX(0,N971-System_Config!$B$9))</f>
        <v/>
      </c>
    </row>
    <row r="972" ht="15" customHeight="1" s="341">
      <c r="L972" s="340">
        <f>IF(A972="","",SUMIF(DB_Savings!$C:$C,A972,DB_Savings!$F:$F))</f>
        <v/>
      </c>
      <c r="M972" s="340">
        <f>IF(A972="","",SUMIF(DB_Withdrawals!$C:$C,A972,DB_Withdrawals!$G:$G))</f>
        <v/>
      </c>
      <c r="N972" s="340">
        <f>IF(A972="","",I972+L972-M972)</f>
        <v/>
      </c>
      <c r="O972" s="340">
        <f>IF(A972="","",TRUE())</f>
        <v/>
      </c>
      <c r="P972" s="340">
        <f>IF(A972="","",MAX(0,N972-System_Config!$B$9))</f>
        <v/>
      </c>
    </row>
    <row r="973" ht="15" customHeight="1" s="341">
      <c r="L973" s="340">
        <f>IF(A973="","",SUMIF(DB_Savings!$C:$C,A973,DB_Savings!$F:$F))</f>
        <v/>
      </c>
      <c r="M973" s="340">
        <f>IF(A973="","",SUMIF(DB_Withdrawals!$C:$C,A973,DB_Withdrawals!$G:$G))</f>
        <v/>
      </c>
      <c r="N973" s="340">
        <f>IF(A973="","",I973+L973-M973)</f>
        <v/>
      </c>
      <c r="O973" s="340">
        <f>IF(A973="","",TRUE())</f>
        <v/>
      </c>
      <c r="P973" s="340">
        <f>IF(A973="","",MAX(0,N973-System_Config!$B$9))</f>
        <v/>
      </c>
    </row>
    <row r="974" ht="15" customHeight="1" s="341">
      <c r="L974" s="340">
        <f>IF(A974="","",SUMIF(DB_Savings!$C:$C,A974,DB_Savings!$F:$F))</f>
        <v/>
      </c>
      <c r="M974" s="340">
        <f>IF(A974="","",SUMIF(DB_Withdrawals!$C:$C,A974,DB_Withdrawals!$G:$G))</f>
        <v/>
      </c>
      <c r="N974" s="340">
        <f>IF(A974="","",I974+L974-M974)</f>
        <v/>
      </c>
      <c r="O974" s="340">
        <f>IF(A974="","",TRUE())</f>
        <v/>
      </c>
      <c r="P974" s="340">
        <f>IF(A974="","",MAX(0,N974-System_Config!$B$9))</f>
        <v/>
      </c>
    </row>
    <row r="975" ht="15" customHeight="1" s="341">
      <c r="L975" s="340">
        <f>IF(A975="","",SUMIF(DB_Savings!$C:$C,A975,DB_Savings!$F:$F))</f>
        <v/>
      </c>
      <c r="M975" s="340">
        <f>IF(A975="","",SUMIF(DB_Withdrawals!$C:$C,A975,DB_Withdrawals!$G:$G))</f>
        <v/>
      </c>
      <c r="N975" s="340">
        <f>IF(A975="","",I975+L975-M975)</f>
        <v/>
      </c>
      <c r="O975" s="340">
        <f>IF(A975="","",TRUE())</f>
        <v/>
      </c>
      <c r="P975" s="340">
        <f>IF(A975="","",MAX(0,N975-System_Config!$B$9))</f>
        <v/>
      </c>
    </row>
    <row r="976" ht="15" customHeight="1" s="341">
      <c r="L976" s="340">
        <f>IF(A976="","",SUMIF(DB_Savings!$C:$C,A976,DB_Savings!$F:$F))</f>
        <v/>
      </c>
      <c r="M976" s="340">
        <f>IF(A976="","",SUMIF(DB_Withdrawals!$C:$C,A976,DB_Withdrawals!$G:$G))</f>
        <v/>
      </c>
      <c r="N976" s="340">
        <f>IF(A976="","",I976+L976-M976)</f>
        <v/>
      </c>
      <c r="O976" s="340">
        <f>IF(A976="","",TRUE())</f>
        <v/>
      </c>
      <c r="P976" s="340">
        <f>IF(A976="","",MAX(0,N976-System_Config!$B$9))</f>
        <v/>
      </c>
    </row>
    <row r="977" ht="15" customHeight="1" s="341">
      <c r="L977" s="340">
        <f>IF(A977="","",SUMIF(DB_Savings!$C:$C,A977,DB_Savings!$F:$F))</f>
        <v/>
      </c>
      <c r="M977" s="340">
        <f>IF(A977="","",SUMIF(DB_Withdrawals!$C:$C,A977,DB_Withdrawals!$G:$G))</f>
        <v/>
      </c>
      <c r="N977" s="340">
        <f>IF(A977="","",I977+L977-M977)</f>
        <v/>
      </c>
      <c r="O977" s="340">
        <f>IF(A977="","",TRUE())</f>
        <v/>
      </c>
      <c r="P977" s="340">
        <f>IF(A977="","",MAX(0,N977-System_Config!$B$9))</f>
        <v/>
      </c>
    </row>
    <row r="978" ht="15" customHeight="1" s="341">
      <c r="L978" s="340">
        <f>IF(A978="","",SUMIF(DB_Savings!$C:$C,A978,DB_Savings!$F:$F))</f>
        <v/>
      </c>
      <c r="M978" s="340">
        <f>IF(A978="","",SUMIF(DB_Withdrawals!$C:$C,A978,DB_Withdrawals!$G:$G))</f>
        <v/>
      </c>
      <c r="N978" s="340">
        <f>IF(A978="","",I978+L978-M978)</f>
        <v/>
      </c>
      <c r="O978" s="340">
        <f>IF(A978="","",TRUE())</f>
        <v/>
      </c>
      <c r="P978" s="340">
        <f>IF(A978="","",MAX(0,N978-System_Config!$B$9))</f>
        <v/>
      </c>
    </row>
    <row r="979" ht="15" customHeight="1" s="341">
      <c r="L979" s="340">
        <f>IF(A979="","",SUMIF(DB_Savings!$C:$C,A979,DB_Savings!$F:$F))</f>
        <v/>
      </c>
      <c r="M979" s="340">
        <f>IF(A979="","",SUMIF(DB_Withdrawals!$C:$C,A979,DB_Withdrawals!$G:$G))</f>
        <v/>
      </c>
      <c r="N979" s="340">
        <f>IF(A979="","",I979+L979-M979)</f>
        <v/>
      </c>
      <c r="O979" s="340">
        <f>IF(A979="","",TRUE())</f>
        <v/>
      </c>
      <c r="P979" s="340">
        <f>IF(A979="","",MAX(0,N979-System_Config!$B$9))</f>
        <v/>
      </c>
    </row>
    <row r="980" ht="15" customHeight="1" s="341">
      <c r="L980" s="340">
        <f>IF(A980="","",SUMIF(DB_Savings!$C:$C,A980,DB_Savings!$F:$F))</f>
        <v/>
      </c>
      <c r="M980" s="340">
        <f>IF(A980="","",SUMIF(DB_Withdrawals!$C:$C,A980,DB_Withdrawals!$G:$G))</f>
        <v/>
      </c>
      <c r="N980" s="340">
        <f>IF(A980="","",I980+L980-M980)</f>
        <v/>
      </c>
      <c r="O980" s="340">
        <f>IF(A980="","",TRUE())</f>
        <v/>
      </c>
      <c r="P980" s="340">
        <f>IF(A980="","",MAX(0,N980-System_Config!$B$9))</f>
        <v/>
      </c>
    </row>
    <row r="981" ht="15" customHeight="1" s="341">
      <c r="L981" s="340">
        <f>IF(A981="","",SUMIF(DB_Savings!$C:$C,A981,DB_Savings!$F:$F))</f>
        <v/>
      </c>
      <c r="M981" s="340">
        <f>IF(A981="","",SUMIF(DB_Withdrawals!$C:$C,A981,DB_Withdrawals!$G:$G))</f>
        <v/>
      </c>
      <c r="N981" s="340">
        <f>IF(A981="","",I981+L981-M981)</f>
        <v/>
      </c>
      <c r="O981" s="340">
        <f>IF(A981="","",TRUE())</f>
        <v/>
      </c>
      <c r="P981" s="340">
        <f>IF(A981="","",MAX(0,N981-System_Config!$B$9))</f>
        <v/>
      </c>
    </row>
    <row r="982" ht="15" customHeight="1" s="341">
      <c r="L982" s="340">
        <f>IF(A982="","",SUMIF(DB_Savings!$C:$C,A982,DB_Savings!$F:$F))</f>
        <v/>
      </c>
      <c r="M982" s="340">
        <f>IF(A982="","",SUMIF(DB_Withdrawals!$C:$C,A982,DB_Withdrawals!$G:$G))</f>
        <v/>
      </c>
      <c r="N982" s="340">
        <f>IF(A982="","",I982+L982-M982)</f>
        <v/>
      </c>
      <c r="O982" s="340">
        <f>IF(A982="","",TRUE())</f>
        <v/>
      </c>
      <c r="P982" s="340">
        <f>IF(A982="","",MAX(0,N982-System_Config!$B$9))</f>
        <v/>
      </c>
    </row>
    <row r="983" ht="15" customHeight="1" s="341">
      <c r="L983" s="340">
        <f>IF(A983="","",SUMIF(DB_Savings!$C:$C,A983,DB_Savings!$F:$F))</f>
        <v/>
      </c>
      <c r="M983" s="340">
        <f>IF(A983="","",SUMIF(DB_Withdrawals!$C:$C,A983,DB_Withdrawals!$G:$G))</f>
        <v/>
      </c>
      <c r="N983" s="340">
        <f>IF(A983="","",I983+L983-M983)</f>
        <v/>
      </c>
      <c r="O983" s="340">
        <f>IF(A983="","",TRUE())</f>
        <v/>
      </c>
      <c r="P983" s="340">
        <f>IF(A983="","",MAX(0,N983-System_Config!$B$9))</f>
        <v/>
      </c>
    </row>
    <row r="984" ht="15" customHeight="1" s="341">
      <c r="L984" s="340">
        <f>IF(A984="","",SUMIF(DB_Savings!$C:$C,A984,DB_Savings!$F:$F))</f>
        <v/>
      </c>
      <c r="M984" s="340">
        <f>IF(A984="","",SUMIF(DB_Withdrawals!$C:$C,A984,DB_Withdrawals!$G:$G))</f>
        <v/>
      </c>
      <c r="N984" s="340">
        <f>IF(A984="","",I984+L984-M984)</f>
        <v/>
      </c>
      <c r="O984" s="340">
        <f>IF(A984="","",TRUE())</f>
        <v/>
      </c>
      <c r="P984" s="340">
        <f>IF(A984="","",MAX(0,N984-System_Config!$B$9))</f>
        <v/>
      </c>
    </row>
    <row r="985" ht="15" customHeight="1" s="341">
      <c r="L985" s="340">
        <f>IF(A985="","",SUMIF(DB_Savings!$C:$C,A985,DB_Savings!$F:$F))</f>
        <v/>
      </c>
      <c r="M985" s="340">
        <f>IF(A985="","",SUMIF(DB_Withdrawals!$C:$C,A985,DB_Withdrawals!$G:$G))</f>
        <v/>
      </c>
      <c r="N985" s="340">
        <f>IF(A985="","",I985+L985-M985)</f>
        <v/>
      </c>
      <c r="O985" s="340">
        <f>IF(A985="","",TRUE())</f>
        <v/>
      </c>
      <c r="P985" s="340">
        <f>IF(A985="","",MAX(0,N985-System_Config!$B$9))</f>
        <v/>
      </c>
    </row>
    <row r="986" ht="15" customHeight="1" s="341">
      <c r="L986" s="340">
        <f>IF(A986="","",SUMIF(DB_Savings!$C:$C,A986,DB_Savings!$F:$F))</f>
        <v/>
      </c>
      <c r="M986" s="340">
        <f>IF(A986="","",SUMIF(DB_Withdrawals!$C:$C,A986,DB_Withdrawals!$G:$G))</f>
        <v/>
      </c>
      <c r="N986" s="340">
        <f>IF(A986="","",I986+L986-M986)</f>
        <v/>
      </c>
      <c r="O986" s="340">
        <f>IF(A986="","",TRUE())</f>
        <v/>
      </c>
      <c r="P986" s="340">
        <f>IF(A986="","",MAX(0,N986-System_Config!$B$9))</f>
        <v/>
      </c>
    </row>
    <row r="987" ht="15" customHeight="1" s="341">
      <c r="L987" s="340">
        <f>IF(A987="","",SUMIF(DB_Savings!$C:$C,A987,DB_Savings!$F:$F))</f>
        <v/>
      </c>
      <c r="M987" s="340">
        <f>IF(A987="","",SUMIF(DB_Withdrawals!$C:$C,A987,DB_Withdrawals!$G:$G))</f>
        <v/>
      </c>
      <c r="N987" s="340">
        <f>IF(A987="","",I987+L987-M987)</f>
        <v/>
      </c>
      <c r="O987" s="340">
        <f>IF(A987="","",TRUE())</f>
        <v/>
      </c>
      <c r="P987" s="340">
        <f>IF(A987="","",MAX(0,N987-System_Config!$B$9))</f>
        <v/>
      </c>
    </row>
    <row r="988" ht="15" customHeight="1" s="341">
      <c r="L988" s="340">
        <f>IF(A988="","",SUMIF(DB_Savings!$C:$C,A988,DB_Savings!$F:$F))</f>
        <v/>
      </c>
      <c r="M988" s="340">
        <f>IF(A988="","",SUMIF(DB_Withdrawals!$C:$C,A988,DB_Withdrawals!$G:$G))</f>
        <v/>
      </c>
      <c r="N988" s="340">
        <f>IF(A988="","",I988+L988-M988)</f>
        <v/>
      </c>
      <c r="O988" s="340">
        <f>IF(A988="","",TRUE())</f>
        <v/>
      </c>
      <c r="P988" s="340">
        <f>IF(A988="","",MAX(0,N988-System_Config!$B$9))</f>
        <v/>
      </c>
    </row>
    <row r="989" ht="15" customHeight="1" s="341">
      <c r="L989" s="340">
        <f>IF(A989="","",SUMIF(DB_Savings!$C:$C,A989,DB_Savings!$F:$F))</f>
        <v/>
      </c>
      <c r="M989" s="340">
        <f>IF(A989="","",SUMIF(DB_Withdrawals!$C:$C,A989,DB_Withdrawals!$G:$G))</f>
        <v/>
      </c>
      <c r="N989" s="340">
        <f>IF(A989="","",I989+L989-M989)</f>
        <v/>
      </c>
      <c r="O989" s="340">
        <f>IF(A989="","",TRUE())</f>
        <v/>
      </c>
      <c r="P989" s="340">
        <f>IF(A989="","",MAX(0,N989-System_Config!$B$9))</f>
        <v/>
      </c>
    </row>
    <row r="990" ht="15" customHeight="1" s="341">
      <c r="L990" s="340">
        <f>IF(A990="","",SUMIF(DB_Savings!$C:$C,A990,DB_Savings!$F:$F))</f>
        <v/>
      </c>
      <c r="M990" s="340">
        <f>IF(A990="","",SUMIF(DB_Withdrawals!$C:$C,A990,DB_Withdrawals!$G:$G))</f>
        <v/>
      </c>
      <c r="N990" s="340">
        <f>IF(A990="","",I990+L990-M990)</f>
        <v/>
      </c>
      <c r="O990" s="340">
        <f>IF(A990="","",TRUE())</f>
        <v/>
      </c>
      <c r="P990" s="340">
        <f>IF(A990="","",MAX(0,N990-System_Config!$B$9))</f>
        <v/>
      </c>
    </row>
    <row r="991" ht="15" customHeight="1" s="341">
      <c r="L991" s="340">
        <f>IF(A991="","",SUMIF(DB_Savings!$C:$C,A991,DB_Savings!$F:$F))</f>
        <v/>
      </c>
      <c r="M991" s="340">
        <f>IF(A991="","",SUMIF(DB_Withdrawals!$C:$C,A991,DB_Withdrawals!$G:$G))</f>
        <v/>
      </c>
      <c r="N991" s="340">
        <f>IF(A991="","",I991+L991-M991)</f>
        <v/>
      </c>
      <c r="O991" s="340">
        <f>IF(A991="","",TRUE())</f>
        <v/>
      </c>
      <c r="P991" s="340">
        <f>IF(A991="","",MAX(0,N991-System_Config!$B$9))</f>
        <v/>
      </c>
    </row>
    <row r="992" ht="15" customHeight="1" s="341">
      <c r="L992" s="340">
        <f>IF(A992="","",SUMIF(DB_Savings!$C:$C,A992,DB_Savings!$F:$F))</f>
        <v/>
      </c>
      <c r="M992" s="340">
        <f>IF(A992="","",SUMIF(DB_Withdrawals!$C:$C,A992,DB_Withdrawals!$G:$G))</f>
        <v/>
      </c>
      <c r="N992" s="340">
        <f>IF(A992="","",I992+L992-M992)</f>
        <v/>
      </c>
      <c r="O992" s="340">
        <f>IF(A992="","",TRUE())</f>
        <v/>
      </c>
      <c r="P992" s="340">
        <f>IF(A992="","",MAX(0,N992-System_Config!$B$9))</f>
        <v/>
      </c>
    </row>
    <row r="993" ht="15" customHeight="1" s="341">
      <c r="L993" s="340">
        <f>IF(A993="","",SUMIF(DB_Savings!$C:$C,A993,DB_Savings!$F:$F))</f>
        <v/>
      </c>
      <c r="M993" s="340">
        <f>IF(A993="","",SUMIF(DB_Withdrawals!$C:$C,A993,DB_Withdrawals!$G:$G))</f>
        <v/>
      </c>
      <c r="N993" s="340">
        <f>IF(A993="","",I993+L993-M993)</f>
        <v/>
      </c>
      <c r="O993" s="340">
        <f>IF(A993="","",TRUE())</f>
        <v/>
      </c>
      <c r="P993" s="340">
        <f>IF(A993="","",MAX(0,N993-System_Config!$B$9))</f>
        <v/>
      </c>
    </row>
    <row r="994" ht="15" customHeight="1" s="341">
      <c r="L994" s="340">
        <f>IF(A994="","",SUMIF(DB_Savings!$C:$C,A994,DB_Savings!$F:$F))</f>
        <v/>
      </c>
      <c r="M994" s="340">
        <f>IF(A994="","",SUMIF(DB_Withdrawals!$C:$C,A994,DB_Withdrawals!$G:$G))</f>
        <v/>
      </c>
      <c r="N994" s="340">
        <f>IF(A994="","",I994+L994-M994)</f>
        <v/>
      </c>
      <c r="O994" s="340">
        <f>IF(A994="","",TRUE())</f>
        <v/>
      </c>
      <c r="P994" s="340">
        <f>IF(A994="","",MAX(0,N994-System_Config!$B$9))</f>
        <v/>
      </c>
    </row>
    <row r="995" ht="15" customHeight="1" s="341">
      <c r="L995" s="340">
        <f>IF(A995="","",SUMIF(DB_Savings!$C:$C,A995,DB_Savings!$F:$F))</f>
        <v/>
      </c>
      <c r="M995" s="340">
        <f>IF(A995="","",SUMIF(DB_Withdrawals!$C:$C,A995,DB_Withdrawals!$G:$G))</f>
        <v/>
      </c>
      <c r="N995" s="340">
        <f>IF(A995="","",I995+L995-M995)</f>
        <v/>
      </c>
      <c r="O995" s="340">
        <f>IF(A995="","",TRUE())</f>
        <v/>
      </c>
      <c r="P995" s="340">
        <f>IF(A995="","",MAX(0,N995-System_Config!$B$9))</f>
        <v/>
      </c>
    </row>
    <row r="996" ht="15" customHeight="1" s="341">
      <c r="L996" s="340">
        <f>IF(A996="","",SUMIF(DB_Savings!$C:$C,A996,DB_Savings!$F:$F))</f>
        <v/>
      </c>
      <c r="M996" s="340">
        <f>IF(A996="","",SUMIF(DB_Withdrawals!$C:$C,A996,DB_Withdrawals!$G:$G))</f>
        <v/>
      </c>
      <c r="N996" s="340">
        <f>IF(A996="","",I996+L996-M996)</f>
        <v/>
      </c>
      <c r="O996" s="340">
        <f>IF(A996="","",TRUE())</f>
        <v/>
      </c>
      <c r="P996" s="340">
        <f>IF(A996="","",MAX(0,N996-System_Config!$B$9))</f>
        <v/>
      </c>
    </row>
    <row r="997" ht="15" customHeight="1" s="341">
      <c r="L997" s="340">
        <f>IF(A997="","",SUMIF(DB_Savings!$C:$C,A997,DB_Savings!$F:$F))</f>
        <v/>
      </c>
      <c r="M997" s="340">
        <f>IF(A997="","",SUMIF(DB_Withdrawals!$C:$C,A997,DB_Withdrawals!$G:$G))</f>
        <v/>
      </c>
      <c r="N997" s="340">
        <f>IF(A997="","",I997+L997-M997)</f>
        <v/>
      </c>
      <c r="O997" s="340">
        <f>IF(A997="","",TRUE())</f>
        <v/>
      </c>
      <c r="P997" s="340">
        <f>IF(A997="","",MAX(0,N997-System_Config!$B$9))</f>
        <v/>
      </c>
    </row>
    <row r="998" ht="15" customHeight="1" s="341">
      <c r="L998" s="340">
        <f>IF(A998="","",SUMIF(DB_Savings!$C:$C,A998,DB_Savings!$F:$F))</f>
        <v/>
      </c>
      <c r="M998" s="340">
        <f>IF(A998="","",SUMIF(DB_Withdrawals!$C:$C,A998,DB_Withdrawals!$G:$G))</f>
        <v/>
      </c>
      <c r="N998" s="340">
        <f>IF(A998="","",I998+L998-M998)</f>
        <v/>
      </c>
      <c r="O998" s="340">
        <f>IF(A998="","",TRUE())</f>
        <v/>
      </c>
      <c r="P998" s="340">
        <f>IF(A998="","",MAX(0,N998-System_Config!$B$9))</f>
        <v/>
      </c>
    </row>
    <row r="999" ht="15" customHeight="1" s="341">
      <c r="L999" s="340">
        <f>IF(A999="","",SUMIF(DB_Savings!$C:$C,A999,DB_Savings!$F:$F))</f>
        <v/>
      </c>
      <c r="M999" s="340">
        <f>IF(A999="","",SUMIF(DB_Withdrawals!$C:$C,A999,DB_Withdrawals!$G:$G))</f>
        <v/>
      </c>
      <c r="N999" s="340">
        <f>IF(A999="","",I999+L999-M999)</f>
        <v/>
      </c>
      <c r="O999" s="340">
        <f>IF(A999="","",TRUE())</f>
        <v/>
      </c>
      <c r="P999" s="340">
        <f>IF(A999="","",MAX(0,N999-System_Config!$B$9))</f>
        <v/>
      </c>
    </row>
    <row r="1000" ht="15" customHeight="1" s="341">
      <c r="L1000" s="340">
        <f>IF(A1000="","",SUMIF(DB_Savings!$C:$C,A1000,DB_Savings!$F:$F))</f>
        <v/>
      </c>
      <c r="M1000" s="340">
        <f>IF(A1000="","",SUMIF(DB_Withdrawals!$C:$C,A1000,DB_Withdrawals!$G:$G))</f>
        <v/>
      </c>
      <c r="N1000" s="340">
        <f>IF(A1000="","",I1000+L1000-M1000)</f>
        <v/>
      </c>
      <c r="O1000" s="340">
        <f>IF(A1000="","",TRUE())</f>
        <v/>
      </c>
      <c r="P1000" s="340">
        <f>IF(A1000="","",MAX(0,N1000-System_Config!$B$9))</f>
        <v/>
      </c>
    </row>
    <row r="1001" ht="15" customHeight="1" s="341">
      <c r="L1001" s="340">
        <f>IF(A1001="","",SUMIF(DB_Savings!$C:$C,A1001,DB_Savings!$F:$F))</f>
        <v/>
      </c>
      <c r="M1001" s="340">
        <f>IF(A1001="","",SUMIF(DB_Withdrawals!$C:$C,A1001,DB_Withdrawals!$G:$G))</f>
        <v/>
      </c>
      <c r="N1001" s="340">
        <f>IF(A1001="","",I1001+L1001-M1001)</f>
        <v/>
      </c>
      <c r="O1001" s="340">
        <f>IF(A1001="","",TRUE())</f>
        <v/>
      </c>
      <c r="P1001" s="340">
        <f>IF(A1001="","",MAX(0,N1001-System_Config!$B$9))</f>
        <v/>
      </c>
    </row>
    <row r="1002" ht="15" customHeight="1" s="341">
      <c r="L1002" s="340">
        <f>IF(A1002="","",SUMIF(DB_Savings!$C:$C,A1002,DB_Savings!$F:$F))</f>
        <v/>
      </c>
      <c r="M1002" s="340">
        <f>IF(A1002="","",SUMIF(DB_Withdrawals!$C:$C,A1002,DB_Withdrawals!$G:$G))</f>
        <v/>
      </c>
      <c r="N1002" s="340">
        <f>IF(A1002="","",I1002+L1002-M1002)</f>
        <v/>
      </c>
      <c r="O1002" s="340">
        <f>IF(A1002="","",TRUE())</f>
        <v/>
      </c>
      <c r="P1002" s="340">
        <f>IF(A1002="","",MAX(0,N1002-System_Config!$B$9))</f>
        <v/>
      </c>
    </row>
  </sheetData>
  <autoFilter ref="A3:N3"/>
  <mergeCells count="2">
    <mergeCell ref="A2:N2"/>
    <mergeCell ref="A1:N1"/>
  </mergeCells>
  <conditionalFormatting sqref="N4:N23">
    <cfRule type="cellIs" rank="0" priority="2" equalAverage="0" operator="greaterThan" aboveAverage="0" dxfId="0" text="" percent="0" bottom="0">
      <formula>0</formula>
    </cfRule>
  </conditionalFormatting>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7.xml><?xml version="1.0" encoding="utf-8"?>
<worksheet xmlns="http://schemas.openxmlformats.org/spreadsheetml/2006/main">
  <sheetPr filterMode="0">
    <tabColor rgb="FF27AE60"/>
    <outlinePr summaryBelow="1" summaryRight="1"/>
    <pageSetUpPr fitToPage="0"/>
  </sheetPr>
  <dimension ref="A1:K97"/>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5" customWidth="1" style="340" min="1" max="1"/>
    <col width="20" customWidth="1" style="340" min="2" max="2"/>
    <col width="16" customWidth="1" style="340" min="3" max="3"/>
    <col width="24" customWidth="1" style="340" min="4" max="4"/>
    <col width="13" customWidth="1" style="340" min="5" max="5"/>
    <col width="14" customWidth="1" style="340" min="6" max="6"/>
    <col width="12" customWidth="1" style="340" min="7" max="7"/>
    <col width="10" customWidth="1" style="340" min="8" max="8"/>
    <col width="22" customWidth="1" style="340" min="9" max="10"/>
    <col width="12" customWidth="1" style="340" min="11" max="11"/>
  </cols>
  <sheetData>
    <row r="1" ht="31.5" customHeight="1" s="341">
      <c r="A1" s="409" t="inlineStr">
        <is>
          <t>💰  SAVINGS TRANSACTIONS DATABASE — All Agents Combined</t>
        </is>
      </c>
    </row>
    <row r="2" ht="19.5" customHeight="1" s="341">
      <c r="A2" s="479" t="inlineStr">
        <is>
          <t>All savings from all 10 agents are stored here | Balances auto-update in DB_Customers</t>
        </is>
      </c>
    </row>
    <row r="3" ht="15" customHeight="1" s="341">
      <c r="A3" s="541" t="inlineStr">
        <is>
          <t>#</t>
        </is>
      </c>
      <c r="B3" s="541" t="inlineStr">
        <is>
          <t>Transaction_ID</t>
        </is>
      </c>
      <c r="C3" s="541" t="inlineStr">
        <is>
          <t>Account_No</t>
        </is>
      </c>
      <c r="D3" s="541" t="inlineStr">
        <is>
          <t>Customer_Name</t>
        </is>
      </c>
      <c r="E3" s="541" t="inlineStr">
        <is>
          <t>Date</t>
        </is>
      </c>
      <c r="F3" s="541" t="inlineStr">
        <is>
          <t>Amount_GHC</t>
        </is>
      </c>
      <c r="G3" s="541" t="inlineStr">
        <is>
          <t>Agent</t>
        </is>
      </c>
      <c r="H3" s="541" t="inlineStr">
        <is>
          <t>Status</t>
        </is>
      </c>
      <c r="I3" s="541" t="inlineStr">
        <is>
          <t>Saved_At</t>
        </is>
      </c>
      <c r="J3" s="541" t="inlineStr">
        <is>
          <t>Notes</t>
        </is>
      </c>
      <c r="K3" s="538" t="inlineStr">
        <is>
          <t>Lock_Status</t>
        </is>
      </c>
    </row>
    <row r="4" ht="15" customHeight="1" s="341">
      <c r="A4" s="384" t="n"/>
      <c r="B4" s="384" t="n"/>
      <c r="C4" s="384" t="n"/>
      <c r="D4" s="382" t="n"/>
      <c r="E4" s="539" t="n"/>
      <c r="F4" s="383" t="n"/>
      <c r="G4" s="384" t="n"/>
      <c r="H4" s="542" t="n"/>
      <c r="I4" s="384" t="n"/>
      <c r="J4" s="384" t="n"/>
      <c r="K4" s="543" t="n"/>
    </row>
    <row r="5" ht="15" customHeight="1" s="341">
      <c r="A5" s="380" t="n"/>
      <c r="B5" s="380" t="n"/>
      <c r="C5" s="380" t="n"/>
      <c r="D5" s="378" t="n"/>
      <c r="E5" s="540" t="n"/>
      <c r="F5" s="379" t="n"/>
      <c r="G5" s="380" t="n"/>
      <c r="H5" s="542" t="n"/>
      <c r="I5" s="380" t="n"/>
      <c r="J5" s="380" t="n"/>
      <c r="K5" s="543" t="n"/>
    </row>
    <row r="6" ht="15" customHeight="1" s="341">
      <c r="A6" s="384" t="n"/>
      <c r="B6" s="384" t="n"/>
      <c r="C6" s="384" t="n"/>
      <c r="D6" s="382" t="n"/>
      <c r="E6" s="539" t="n"/>
      <c r="F6" s="383" t="n"/>
      <c r="G6" s="384" t="n"/>
      <c r="H6" s="542" t="n"/>
      <c r="I6" s="384" t="n"/>
      <c r="J6" s="384" t="n"/>
      <c r="K6" s="543" t="n"/>
    </row>
    <row r="7" ht="15" customHeight="1" s="341">
      <c r="A7" s="380" t="n"/>
      <c r="B7" s="380" t="n"/>
      <c r="C7" s="380" t="n"/>
      <c r="D7" s="378" t="n"/>
      <c r="E7" s="540" t="n"/>
      <c r="F7" s="379" t="n"/>
      <c r="G7" s="380" t="n"/>
      <c r="H7" s="542" t="n"/>
      <c r="I7" s="380" t="n"/>
      <c r="J7" s="380" t="n"/>
      <c r="K7" s="543" t="n"/>
    </row>
    <row r="8" ht="15" customHeight="1" s="341">
      <c r="A8" s="384" t="n"/>
      <c r="B8" s="384" t="n"/>
      <c r="C8" s="384" t="n"/>
      <c r="D8" s="382" t="n"/>
      <c r="E8" s="539" t="n"/>
      <c r="F8" s="383" t="n"/>
      <c r="G8" s="384" t="n"/>
      <c r="H8" s="542" t="n"/>
      <c r="I8" s="384" t="n"/>
      <c r="J8" s="384" t="n"/>
      <c r="K8" s="543" t="n"/>
    </row>
    <row r="9" ht="15" customHeight="1" s="341">
      <c r="A9" s="380" t="n"/>
      <c r="B9" s="380" t="n"/>
      <c r="C9" s="380" t="n"/>
      <c r="D9" s="378" t="n"/>
      <c r="E9" s="540" t="n"/>
      <c r="F9" s="379" t="n"/>
      <c r="G9" s="380" t="n"/>
      <c r="H9" s="542" t="n"/>
      <c r="I9" s="380" t="n"/>
      <c r="J9" s="380" t="n"/>
      <c r="K9" s="543" t="n"/>
    </row>
    <row r="10" ht="15" customHeight="1" s="341">
      <c r="A10" s="384" t="n"/>
      <c r="B10" s="384" t="n"/>
      <c r="C10" s="384" t="n"/>
      <c r="D10" s="382" t="n"/>
      <c r="E10" s="539" t="n"/>
      <c r="F10" s="383" t="n"/>
      <c r="G10" s="384" t="n"/>
      <c r="H10" s="542" t="n"/>
      <c r="I10" s="384" t="n"/>
      <c r="J10" s="384" t="n"/>
      <c r="K10" s="543" t="n"/>
    </row>
    <row r="11" ht="15" customHeight="1" s="341">
      <c r="A11" s="380" t="n"/>
      <c r="B11" s="380" t="n"/>
      <c r="C11" s="380" t="n"/>
      <c r="D11" s="378" t="n"/>
      <c r="E11" s="540" t="n"/>
      <c r="F11" s="379" t="n"/>
      <c r="G11" s="380" t="n"/>
      <c r="H11" s="542" t="n"/>
      <c r="I11" s="380" t="n"/>
      <c r="J11" s="380" t="n"/>
      <c r="K11" s="543" t="n"/>
    </row>
    <row r="12" ht="15" customHeight="1" s="341">
      <c r="A12" s="384" t="n"/>
      <c r="B12" s="384" t="n"/>
      <c r="C12" s="384" t="n"/>
      <c r="D12" s="382" t="n"/>
      <c r="E12" s="539" t="n"/>
      <c r="F12" s="383" t="n"/>
      <c r="G12" s="384" t="n"/>
      <c r="H12" s="542" t="n"/>
      <c r="I12" s="384" t="n"/>
      <c r="J12" s="384" t="n"/>
      <c r="K12" s="543" t="n"/>
    </row>
    <row r="13" ht="15" customHeight="1" s="341">
      <c r="A13" s="380" t="n"/>
      <c r="B13" s="380" t="n"/>
      <c r="C13" s="380" t="n"/>
      <c r="D13" s="378" t="n"/>
      <c r="E13" s="540" t="n"/>
      <c r="F13" s="379" t="n"/>
      <c r="G13" s="380" t="n"/>
      <c r="H13" s="542" t="n"/>
      <c r="I13" s="380" t="n"/>
      <c r="J13" s="380" t="n"/>
      <c r="K13" s="543" t="n"/>
    </row>
    <row r="14" ht="15" customHeight="1" s="341">
      <c r="A14" s="384" t="n"/>
      <c r="B14" s="384" t="n"/>
      <c r="C14" s="384" t="n"/>
      <c r="D14" s="382" t="n"/>
      <c r="E14" s="539" t="n"/>
      <c r="F14" s="383" t="n"/>
      <c r="G14" s="384" t="n"/>
      <c r="H14" s="542" t="n"/>
      <c r="I14" s="384" t="n"/>
      <c r="J14" s="384" t="n"/>
      <c r="K14" s="543" t="n"/>
    </row>
    <row r="15" ht="15" customHeight="1" s="341">
      <c r="A15" s="380" t="n"/>
      <c r="B15" s="380" t="n"/>
      <c r="C15" s="380" t="n"/>
      <c r="D15" s="378" t="n"/>
      <c r="E15" s="540" t="n"/>
      <c r="F15" s="379" t="n"/>
      <c r="G15" s="380" t="n"/>
      <c r="H15" s="542" t="n"/>
      <c r="I15" s="380" t="n"/>
      <c r="J15" s="380" t="n"/>
      <c r="K15" s="543" t="n"/>
    </row>
    <row r="16" ht="15" customHeight="1" s="341">
      <c r="A16" s="384" t="n"/>
      <c r="B16" s="384" t="n"/>
      <c r="C16" s="384" t="n"/>
      <c r="D16" s="382" t="n"/>
      <c r="E16" s="539" t="n"/>
      <c r="F16" s="383" t="n"/>
      <c r="G16" s="384" t="n"/>
      <c r="H16" s="542" t="n"/>
      <c r="I16" s="384" t="n"/>
      <c r="J16" s="384" t="n"/>
      <c r="K16" s="543" t="n"/>
    </row>
    <row r="17" ht="15" customHeight="1" s="341">
      <c r="A17" s="380" t="n"/>
      <c r="B17" s="380" t="n"/>
      <c r="C17" s="380" t="n"/>
      <c r="D17" s="378" t="n"/>
      <c r="E17" s="540" t="n"/>
      <c r="F17" s="379" t="n"/>
      <c r="G17" s="380" t="n"/>
      <c r="H17" s="542" t="n"/>
      <c r="I17" s="380" t="n"/>
      <c r="J17" s="380" t="n"/>
      <c r="K17" s="543" t="n"/>
    </row>
    <row r="18" ht="15" customHeight="1" s="341">
      <c r="A18" s="384" t="n"/>
      <c r="B18" s="384" t="n"/>
      <c r="C18" s="384" t="n"/>
      <c r="D18" s="382" t="n"/>
      <c r="E18" s="539" t="n"/>
      <c r="F18" s="383" t="n"/>
      <c r="G18" s="384" t="n"/>
      <c r="H18" s="542" t="n"/>
      <c r="I18" s="384" t="n"/>
      <c r="J18" s="384" t="n"/>
      <c r="K18" s="543" t="n"/>
    </row>
    <row r="19" ht="15" customHeight="1" s="341">
      <c r="A19" s="380" t="n"/>
      <c r="B19" s="380" t="n"/>
      <c r="C19" s="380" t="n"/>
      <c r="D19" s="378" t="n"/>
      <c r="E19" s="540" t="n"/>
      <c r="F19" s="379" t="n"/>
      <c r="G19" s="380" t="n"/>
      <c r="H19" s="542" t="n"/>
      <c r="I19" s="380" t="n"/>
      <c r="J19" s="380" t="n"/>
      <c r="K19" s="543" t="n"/>
    </row>
    <row r="20" ht="15" customHeight="1" s="341">
      <c r="A20" s="384" t="n"/>
      <c r="B20" s="384" t="n"/>
      <c r="C20" s="384" t="n"/>
      <c r="D20" s="382" t="n"/>
      <c r="E20" s="539" t="n"/>
      <c r="F20" s="383" t="n"/>
      <c r="G20" s="384" t="n"/>
      <c r="H20" s="542" t="n"/>
      <c r="I20" s="384" t="n"/>
      <c r="J20" s="384" t="n"/>
      <c r="K20" s="543" t="n"/>
    </row>
    <row r="21" ht="15" customHeight="1" s="341">
      <c r="A21" s="380" t="n"/>
      <c r="B21" s="380" t="n"/>
      <c r="C21" s="380" t="n"/>
      <c r="D21" s="378" t="n"/>
      <c r="E21" s="540" t="n"/>
      <c r="F21" s="379" t="n"/>
      <c r="G21" s="380" t="n"/>
      <c r="H21" s="542" t="n"/>
      <c r="I21" s="380" t="n"/>
      <c r="J21" s="380" t="n"/>
      <c r="K21" s="543" t="n"/>
    </row>
    <row r="22" ht="15" customHeight="1" s="341">
      <c r="A22" s="384" t="n"/>
      <c r="B22" s="384" t="n"/>
      <c r="C22" s="384" t="n"/>
      <c r="D22" s="382" t="n"/>
      <c r="E22" s="539" t="n"/>
      <c r="F22" s="383" t="n"/>
      <c r="G22" s="384" t="n"/>
      <c r="H22" s="542" t="n"/>
      <c r="I22" s="384" t="n"/>
      <c r="J22" s="384" t="n"/>
      <c r="K22" s="543" t="n"/>
    </row>
    <row r="23" ht="15" customHeight="1" s="341">
      <c r="A23" s="380" t="n"/>
      <c r="B23" s="380" t="n"/>
      <c r="C23" s="380" t="n"/>
      <c r="D23" s="378" t="n"/>
      <c r="E23" s="540" t="n"/>
      <c r="F23" s="379" t="n"/>
      <c r="G23" s="380" t="n"/>
      <c r="H23" s="542" t="n"/>
      <c r="I23" s="380" t="n"/>
      <c r="J23" s="380" t="n"/>
      <c r="K23" s="543" t="n"/>
    </row>
    <row r="24" ht="15" customHeight="1" s="341">
      <c r="A24" s="384" t="n"/>
      <c r="B24" s="384" t="n"/>
      <c r="C24" s="384" t="n"/>
      <c r="D24" s="382" t="n"/>
      <c r="E24" s="539" t="n"/>
      <c r="F24" s="383" t="n"/>
      <c r="G24" s="384" t="n"/>
      <c r="H24" s="542" t="n"/>
      <c r="I24" s="384" t="n"/>
      <c r="J24" s="384" t="n"/>
      <c r="K24" s="543" t="n"/>
    </row>
    <row r="25" ht="15" customHeight="1" s="341">
      <c r="A25" s="380" t="n"/>
      <c r="B25" s="380" t="n"/>
      <c r="C25" s="380" t="n"/>
      <c r="D25" s="378" t="n"/>
      <c r="E25" s="540" t="n"/>
      <c r="F25" s="379" t="n"/>
      <c r="G25" s="380" t="n"/>
      <c r="H25" s="542" t="n"/>
      <c r="I25" s="380" t="n"/>
      <c r="J25" s="380" t="n"/>
      <c r="K25" s="543" t="n"/>
    </row>
    <row r="26" ht="15" customHeight="1" s="341">
      <c r="A26" s="384" t="n"/>
      <c r="B26" s="384" t="n"/>
      <c r="C26" s="384" t="n"/>
      <c r="D26" s="382" t="n"/>
      <c r="E26" s="539" t="n"/>
      <c r="F26" s="383" t="n"/>
      <c r="G26" s="384" t="n"/>
      <c r="H26" s="542" t="n"/>
      <c r="I26" s="384" t="n"/>
      <c r="J26" s="384" t="n"/>
      <c r="K26" s="543" t="n"/>
    </row>
    <row r="27" ht="15" customHeight="1" s="341">
      <c r="A27" s="380" t="n"/>
      <c r="B27" s="380" t="n"/>
      <c r="C27" s="380" t="n"/>
      <c r="D27" s="378" t="n"/>
      <c r="E27" s="540" t="n"/>
      <c r="F27" s="379" t="n"/>
      <c r="G27" s="380" t="n"/>
      <c r="H27" s="542" t="n"/>
      <c r="I27" s="380" t="n"/>
      <c r="J27" s="380" t="n"/>
      <c r="K27" s="543" t="n"/>
    </row>
    <row r="28" ht="15" customHeight="1" s="341">
      <c r="A28" s="384" t="n"/>
      <c r="B28" s="384" t="n"/>
      <c r="C28" s="384" t="n"/>
      <c r="D28" s="382" t="n"/>
      <c r="E28" s="539" t="n"/>
      <c r="F28" s="383" t="n"/>
      <c r="G28" s="384" t="n"/>
      <c r="H28" s="542" t="n"/>
      <c r="I28" s="384" t="n"/>
      <c r="J28" s="384" t="n"/>
      <c r="K28" s="543" t="n"/>
    </row>
    <row r="29" ht="15" customHeight="1" s="341">
      <c r="A29" s="380" t="n"/>
      <c r="B29" s="380" t="n"/>
      <c r="C29" s="380" t="n"/>
      <c r="D29" s="378" t="n"/>
      <c r="E29" s="540" t="n"/>
      <c r="F29" s="379" t="n"/>
      <c r="G29" s="380" t="n"/>
      <c r="H29" s="542" t="n"/>
      <c r="I29" s="380" t="n"/>
      <c r="J29" s="380" t="n"/>
      <c r="K29" s="543" t="n"/>
    </row>
    <row r="30" ht="15" customHeight="1" s="341">
      <c r="A30" s="384" t="n"/>
      <c r="B30" s="384" t="n"/>
      <c r="C30" s="384" t="n"/>
      <c r="D30" s="382" t="n"/>
      <c r="E30" s="539" t="n"/>
      <c r="F30" s="383" t="n"/>
      <c r="G30" s="384" t="n"/>
      <c r="H30" s="542" t="n"/>
      <c r="I30" s="384" t="n"/>
      <c r="J30" s="384" t="n"/>
      <c r="K30" s="543" t="n"/>
    </row>
    <row r="31" ht="15" customHeight="1" s="341">
      <c r="A31" s="380" t="n"/>
      <c r="B31" s="380" t="n"/>
      <c r="C31" s="380" t="n"/>
      <c r="D31" s="378" t="n"/>
      <c r="E31" s="540" t="n"/>
      <c r="F31" s="379" t="n"/>
      <c r="G31" s="380" t="n"/>
      <c r="H31" s="542" t="n"/>
      <c r="I31" s="380" t="n"/>
      <c r="J31" s="380" t="n"/>
      <c r="K31" s="543" t="n"/>
    </row>
    <row r="32" ht="15" customHeight="1" s="341">
      <c r="A32" s="384" t="n"/>
      <c r="B32" s="384" t="n"/>
      <c r="C32" s="384" t="n"/>
      <c r="D32" s="382" t="n"/>
      <c r="E32" s="539" t="n"/>
      <c r="F32" s="383" t="n"/>
      <c r="G32" s="384" t="n"/>
      <c r="H32" s="542" t="n"/>
      <c r="I32" s="384" t="n"/>
      <c r="J32" s="384" t="n"/>
      <c r="K32" s="543" t="n"/>
    </row>
    <row r="33" ht="15" customHeight="1" s="341">
      <c r="A33" s="380" t="n"/>
      <c r="B33" s="380" t="n"/>
      <c r="C33" s="380" t="n"/>
      <c r="D33" s="378" t="n"/>
      <c r="E33" s="540" t="n"/>
      <c r="F33" s="379" t="n"/>
      <c r="G33" s="380" t="n"/>
      <c r="H33" s="542" t="n"/>
      <c r="I33" s="380" t="n"/>
      <c r="J33" s="380" t="n"/>
      <c r="K33" s="543" t="n"/>
    </row>
    <row r="34" ht="15" customHeight="1" s="341">
      <c r="A34" s="384" t="n"/>
      <c r="B34" s="384" t="n"/>
      <c r="C34" s="384" t="n"/>
      <c r="D34" s="382" t="n"/>
      <c r="E34" s="539" t="n"/>
      <c r="F34" s="383" t="n"/>
      <c r="G34" s="384" t="n"/>
      <c r="H34" s="542" t="n"/>
      <c r="I34" s="384" t="n"/>
      <c r="J34" s="384" t="n"/>
      <c r="K34" s="543" t="n"/>
    </row>
    <row r="35" ht="15" customHeight="1" s="341">
      <c r="A35" s="380" t="n"/>
      <c r="B35" s="380" t="n"/>
      <c r="C35" s="380" t="n"/>
      <c r="D35" s="378" t="n"/>
      <c r="E35" s="540" t="n"/>
      <c r="F35" s="379" t="n"/>
      <c r="G35" s="380" t="n"/>
      <c r="H35" s="542" t="n"/>
      <c r="I35" s="380" t="n"/>
      <c r="J35" s="380" t="n"/>
      <c r="K35" s="543" t="n"/>
    </row>
    <row r="36" ht="15" customHeight="1" s="341">
      <c r="A36" s="384" t="n"/>
      <c r="B36" s="384" t="n"/>
      <c r="C36" s="384" t="n"/>
      <c r="D36" s="382" t="n"/>
      <c r="E36" s="539" t="n"/>
      <c r="F36" s="383" t="n"/>
      <c r="G36" s="384" t="n"/>
      <c r="H36" s="542" t="n"/>
      <c r="I36" s="384" t="n"/>
      <c r="J36" s="384" t="n"/>
      <c r="K36" s="543" t="n"/>
    </row>
    <row r="37" ht="15" customHeight="1" s="341">
      <c r="A37" s="380" t="n"/>
      <c r="B37" s="380" t="n"/>
      <c r="C37" s="380" t="n"/>
      <c r="D37" s="378" t="n"/>
      <c r="E37" s="540" t="n"/>
      <c r="F37" s="379" t="n"/>
      <c r="G37" s="380" t="n"/>
      <c r="H37" s="542" t="n"/>
      <c r="I37" s="380" t="n"/>
      <c r="J37" s="380" t="n"/>
      <c r="K37" s="543" t="n"/>
    </row>
    <row r="38" ht="15" customHeight="1" s="341">
      <c r="A38" s="384" t="n"/>
      <c r="B38" s="384" t="n"/>
      <c r="C38" s="384" t="n"/>
      <c r="D38" s="382" t="n"/>
      <c r="E38" s="539" t="n"/>
      <c r="F38" s="383" t="n"/>
      <c r="G38" s="384" t="n"/>
      <c r="H38" s="542" t="n"/>
      <c r="I38" s="384" t="n"/>
      <c r="J38" s="384" t="n"/>
      <c r="K38" s="543" t="n"/>
    </row>
    <row r="39" ht="15" customHeight="1" s="341">
      <c r="A39" s="380" t="n"/>
      <c r="B39" s="380" t="n"/>
      <c r="C39" s="380" t="n"/>
      <c r="D39" s="378" t="n"/>
      <c r="E39" s="540" t="n"/>
      <c r="F39" s="379" t="n"/>
      <c r="G39" s="380" t="n"/>
      <c r="H39" s="542" t="n"/>
      <c r="I39" s="380" t="n"/>
      <c r="J39" s="380" t="n"/>
      <c r="K39" s="543" t="n"/>
    </row>
    <row r="40" ht="15" customHeight="1" s="341">
      <c r="A40" s="384" t="n"/>
      <c r="B40" s="384" t="n"/>
      <c r="C40" s="384" t="n"/>
      <c r="D40" s="382" t="n"/>
      <c r="E40" s="539" t="n"/>
      <c r="F40" s="383" t="n"/>
      <c r="G40" s="384" t="n"/>
      <c r="H40" s="542" t="n"/>
      <c r="I40" s="384" t="n"/>
      <c r="J40" s="384" t="n"/>
      <c r="K40" s="543" t="n"/>
    </row>
    <row r="41" ht="15" customHeight="1" s="341">
      <c r="A41" s="380" t="n"/>
      <c r="B41" s="380" t="n"/>
      <c r="C41" s="380" t="n"/>
      <c r="D41" s="378" t="n"/>
      <c r="E41" s="540" t="n"/>
      <c r="F41" s="379" t="n"/>
      <c r="G41" s="380" t="n"/>
      <c r="H41" s="542" t="n"/>
      <c r="I41" s="380" t="n"/>
      <c r="J41" s="380" t="n"/>
      <c r="K41" s="543" t="n"/>
    </row>
    <row r="42" ht="15" customHeight="1" s="341">
      <c r="A42" s="384" t="n"/>
      <c r="B42" s="384" t="n"/>
      <c r="C42" s="384" t="n"/>
      <c r="D42" s="382" t="n"/>
      <c r="E42" s="539" t="n"/>
      <c r="F42" s="383" t="n"/>
      <c r="G42" s="384" t="n"/>
      <c r="H42" s="542" t="n"/>
      <c r="I42" s="384" t="n"/>
      <c r="J42" s="384" t="n"/>
      <c r="K42" s="543" t="n"/>
    </row>
    <row r="43" ht="15" customHeight="1" s="341">
      <c r="A43" s="380" t="n"/>
      <c r="B43" s="380" t="n"/>
      <c r="C43" s="380" t="n"/>
      <c r="D43" s="378" t="n"/>
      <c r="E43" s="540" t="n"/>
      <c r="F43" s="379" t="n"/>
      <c r="G43" s="380" t="n"/>
      <c r="H43" s="542" t="n"/>
      <c r="I43" s="380" t="n"/>
      <c r="J43" s="380" t="n"/>
      <c r="K43" s="543" t="n"/>
    </row>
    <row r="44" ht="15" customHeight="1" s="341">
      <c r="A44" s="384" t="n"/>
      <c r="B44" s="384" t="n"/>
      <c r="C44" s="384" t="n"/>
      <c r="D44" s="382" t="n"/>
      <c r="E44" s="539" t="n"/>
      <c r="F44" s="383" t="n"/>
      <c r="G44" s="384" t="n"/>
      <c r="H44" s="542" t="n"/>
      <c r="I44" s="384" t="n"/>
      <c r="J44" s="384" t="n"/>
      <c r="K44" s="543" t="n"/>
    </row>
    <row r="45" ht="15" customHeight="1" s="341">
      <c r="A45" s="380" t="n"/>
      <c r="B45" s="380" t="n"/>
      <c r="C45" s="380" t="n"/>
      <c r="D45" s="378" t="n"/>
      <c r="E45" s="540" t="n"/>
      <c r="F45" s="379" t="n"/>
      <c r="G45" s="380" t="n"/>
      <c r="H45" s="542" t="n"/>
      <c r="I45" s="380" t="n"/>
      <c r="J45" s="380" t="n"/>
      <c r="K45" s="543" t="n"/>
    </row>
    <row r="46" ht="15" customHeight="1" s="341">
      <c r="A46" s="384" t="n"/>
      <c r="B46" s="384" t="n"/>
      <c r="C46" s="384" t="n"/>
      <c r="D46" s="382" t="n"/>
      <c r="E46" s="539" t="n"/>
      <c r="F46" s="383" t="n"/>
      <c r="G46" s="384" t="n"/>
      <c r="H46" s="542" t="n"/>
      <c r="I46" s="384" t="n"/>
      <c r="J46" s="384" t="n"/>
      <c r="K46" s="543" t="n"/>
    </row>
    <row r="47" ht="15" customHeight="1" s="341">
      <c r="A47" s="380" t="n"/>
      <c r="B47" s="380" t="n"/>
      <c r="C47" s="380" t="n"/>
      <c r="D47" s="378" t="n"/>
      <c r="E47" s="540" t="n"/>
      <c r="F47" s="379" t="n"/>
      <c r="G47" s="380" t="n"/>
      <c r="H47" s="542" t="n"/>
      <c r="I47" s="380" t="n"/>
      <c r="J47" s="380" t="n"/>
      <c r="K47" s="543" t="n"/>
    </row>
    <row r="48" ht="15" customHeight="1" s="341">
      <c r="A48" s="384" t="n"/>
      <c r="B48" s="384" t="n"/>
      <c r="C48" s="384" t="n"/>
      <c r="D48" s="382" t="n"/>
      <c r="E48" s="539" t="n"/>
      <c r="F48" s="383" t="n"/>
      <c r="G48" s="384" t="n"/>
      <c r="H48" s="542" t="n"/>
      <c r="I48" s="384" t="n"/>
      <c r="J48" s="384" t="n"/>
      <c r="K48" s="543" t="n"/>
    </row>
    <row r="49" ht="15" customHeight="1" s="341">
      <c r="A49" s="380" t="n"/>
      <c r="B49" s="380" t="n"/>
      <c r="C49" s="380" t="n"/>
      <c r="D49" s="378" t="n"/>
      <c r="E49" s="540" t="n"/>
      <c r="F49" s="379" t="n"/>
      <c r="G49" s="380" t="n"/>
      <c r="H49" s="542" t="n"/>
      <c r="I49" s="380" t="n"/>
      <c r="J49" s="380" t="n"/>
      <c r="K49" s="543" t="n"/>
    </row>
    <row r="50" ht="15" customHeight="1" s="341">
      <c r="A50" s="384" t="n"/>
      <c r="B50" s="384" t="n"/>
      <c r="C50" s="384" t="n"/>
      <c r="D50" s="382" t="n"/>
      <c r="E50" s="539" t="n"/>
      <c r="F50" s="383" t="n"/>
      <c r="G50" s="384" t="n"/>
      <c r="H50" s="542" t="n"/>
      <c r="I50" s="384" t="n"/>
      <c r="J50" s="384" t="n"/>
      <c r="K50" s="543" t="n"/>
    </row>
    <row r="51" ht="15" customHeight="1" s="341">
      <c r="A51" s="380" t="n"/>
      <c r="B51" s="380" t="n"/>
      <c r="C51" s="380" t="n"/>
      <c r="D51" s="378" t="n"/>
      <c r="E51" s="540" t="n"/>
      <c r="F51" s="379" t="n"/>
      <c r="G51" s="380" t="n"/>
      <c r="H51" s="542" t="n"/>
      <c r="I51" s="380" t="n"/>
      <c r="J51" s="380" t="n"/>
      <c r="K51" s="543" t="n"/>
    </row>
    <row r="52" ht="15" customHeight="1" s="341">
      <c r="A52" s="384" t="n"/>
      <c r="B52" s="384" t="n"/>
      <c r="C52" s="384" t="n"/>
      <c r="D52" s="382" t="n"/>
      <c r="E52" s="539" t="n"/>
      <c r="F52" s="383" t="n"/>
      <c r="G52" s="384" t="n"/>
      <c r="H52" s="542" t="n"/>
      <c r="I52" s="384" t="n"/>
      <c r="J52" s="384" t="n"/>
      <c r="K52" s="543" t="n"/>
    </row>
    <row r="53" ht="15" customHeight="1" s="341">
      <c r="A53" s="380" t="n"/>
      <c r="B53" s="380" t="n"/>
      <c r="C53" s="380" t="n"/>
      <c r="D53" s="378" t="n"/>
      <c r="E53" s="540" t="n"/>
      <c r="F53" s="379" t="n"/>
      <c r="G53" s="380" t="n"/>
      <c r="H53" s="542" t="n"/>
      <c r="I53" s="380" t="n"/>
      <c r="J53" s="380" t="n"/>
      <c r="K53" s="543" t="n"/>
    </row>
    <row r="54" ht="15" customHeight="1" s="341">
      <c r="A54" s="384" t="n"/>
      <c r="B54" s="384" t="n"/>
      <c r="C54" s="384" t="n"/>
      <c r="D54" s="382" t="n"/>
      <c r="E54" s="539" t="n"/>
      <c r="F54" s="383" t="n"/>
      <c r="G54" s="384" t="n"/>
      <c r="H54" s="542" t="n"/>
      <c r="I54" s="384" t="n"/>
      <c r="J54" s="384" t="n"/>
      <c r="K54" s="543" t="n"/>
    </row>
    <row r="55" ht="15" customHeight="1" s="341">
      <c r="A55" s="380" t="n"/>
      <c r="B55" s="380" t="n"/>
      <c r="C55" s="380" t="n"/>
      <c r="D55" s="378" t="n"/>
      <c r="E55" s="540" t="n"/>
      <c r="F55" s="379" t="n"/>
      <c r="G55" s="380" t="n"/>
      <c r="H55" s="542" t="n"/>
      <c r="I55" s="380" t="n"/>
      <c r="J55" s="380" t="n"/>
      <c r="K55" s="543" t="n"/>
    </row>
    <row r="56" ht="15" customHeight="1" s="341">
      <c r="A56" s="384" t="n"/>
      <c r="B56" s="384" t="n"/>
      <c r="C56" s="384" t="n"/>
      <c r="D56" s="382" t="n"/>
      <c r="E56" s="539" t="n"/>
      <c r="F56" s="383" t="n"/>
      <c r="G56" s="384" t="n"/>
      <c r="H56" s="542" t="n"/>
      <c r="I56" s="384" t="n"/>
      <c r="J56" s="384" t="n"/>
      <c r="K56" s="543" t="n"/>
    </row>
    <row r="57" ht="15" customHeight="1" s="341">
      <c r="A57" s="380" t="n"/>
      <c r="B57" s="380" t="n"/>
      <c r="C57" s="380" t="n"/>
      <c r="D57" s="378" t="n"/>
      <c r="E57" s="540" t="n"/>
      <c r="F57" s="379" t="n"/>
      <c r="G57" s="380" t="n"/>
      <c r="H57" s="542" t="n"/>
      <c r="I57" s="380" t="n"/>
      <c r="J57" s="380" t="n"/>
      <c r="K57" s="543" t="n"/>
    </row>
    <row r="58" ht="15" customHeight="1" s="341">
      <c r="A58" s="384" t="n"/>
      <c r="B58" s="384" t="n"/>
      <c r="C58" s="384" t="n"/>
      <c r="D58" s="382" t="n"/>
      <c r="E58" s="539" t="n"/>
      <c r="F58" s="383" t="n"/>
      <c r="G58" s="384" t="n"/>
      <c r="H58" s="542" t="n"/>
      <c r="I58" s="384" t="n"/>
      <c r="J58" s="384" t="n"/>
      <c r="K58" s="543" t="n"/>
    </row>
    <row r="59" ht="15" customHeight="1" s="341">
      <c r="A59" s="380" t="n"/>
      <c r="B59" s="380" t="n"/>
      <c r="C59" s="380" t="n"/>
      <c r="D59" s="378" t="n"/>
      <c r="E59" s="540" t="n"/>
      <c r="F59" s="379" t="n"/>
      <c r="G59" s="380" t="n"/>
      <c r="H59" s="542" t="n"/>
      <c r="I59" s="380" t="n"/>
      <c r="J59" s="380" t="n"/>
      <c r="K59" s="543" t="n"/>
    </row>
    <row r="60" ht="15" customHeight="1" s="341">
      <c r="A60" s="384" t="n"/>
      <c r="B60" s="384" t="n"/>
      <c r="C60" s="384" t="n"/>
      <c r="D60" s="382" t="n"/>
      <c r="E60" s="539" t="n"/>
      <c r="F60" s="383" t="n"/>
      <c r="G60" s="384" t="n"/>
      <c r="H60" s="542" t="n"/>
      <c r="I60" s="384" t="n"/>
      <c r="J60" s="384" t="n"/>
      <c r="K60" s="543" t="n"/>
    </row>
    <row r="61" ht="15" customHeight="1" s="341">
      <c r="A61" s="380" t="n"/>
      <c r="B61" s="380" t="n"/>
      <c r="C61" s="380" t="n"/>
      <c r="D61" s="378" t="n"/>
      <c r="E61" s="540" t="n"/>
      <c r="F61" s="379" t="n"/>
      <c r="G61" s="380" t="n"/>
      <c r="H61" s="542" t="n"/>
      <c r="I61" s="380" t="n"/>
      <c r="J61" s="380" t="n"/>
      <c r="K61" s="543" t="n"/>
    </row>
    <row r="62" ht="15" customHeight="1" s="341">
      <c r="A62" s="384" t="n"/>
      <c r="B62" s="384" t="n"/>
      <c r="C62" s="384" t="n"/>
      <c r="D62" s="382" t="n"/>
      <c r="E62" s="539" t="n"/>
      <c r="F62" s="383" t="n"/>
      <c r="G62" s="384" t="n"/>
      <c r="H62" s="542" t="n"/>
      <c r="I62" s="384" t="n"/>
      <c r="J62" s="384" t="n"/>
      <c r="K62" s="543" t="n"/>
    </row>
    <row r="63" ht="15" customHeight="1" s="341">
      <c r="A63" s="380" t="n"/>
      <c r="B63" s="380" t="n"/>
      <c r="C63" s="380" t="n"/>
      <c r="D63" s="378" t="n"/>
      <c r="E63" s="540" t="n"/>
      <c r="F63" s="379" t="n"/>
      <c r="G63" s="380" t="n"/>
      <c r="H63" s="542" t="n"/>
      <c r="I63" s="380" t="n"/>
      <c r="J63" s="380" t="n"/>
      <c r="K63" s="543" t="n"/>
    </row>
    <row r="64" ht="15" customHeight="1" s="341">
      <c r="A64" s="384" t="n"/>
      <c r="B64" s="384" t="n"/>
      <c r="C64" s="384" t="n"/>
      <c r="D64" s="382" t="n"/>
      <c r="E64" s="539" t="n"/>
      <c r="F64" s="383" t="n"/>
      <c r="G64" s="384" t="n"/>
      <c r="H64" s="542" t="n"/>
      <c r="I64" s="384" t="n"/>
      <c r="J64" s="384" t="n"/>
      <c r="K64" s="543" t="n"/>
    </row>
    <row r="65" ht="15" customHeight="1" s="341">
      <c r="A65" s="380" t="n"/>
      <c r="B65" s="380" t="n"/>
      <c r="C65" s="380" t="n"/>
      <c r="D65" s="378" t="n"/>
      <c r="E65" s="540" t="n"/>
      <c r="F65" s="379" t="n"/>
      <c r="G65" s="380" t="n"/>
      <c r="H65" s="542" t="n"/>
      <c r="I65" s="380" t="n"/>
      <c r="J65" s="380" t="n"/>
      <c r="K65" s="543" t="n"/>
    </row>
    <row r="66" ht="15" customHeight="1" s="341">
      <c r="A66" s="384" t="n"/>
      <c r="B66" s="384" t="n"/>
      <c r="C66" s="384" t="n"/>
      <c r="D66" s="382" t="n"/>
      <c r="E66" s="539" t="n"/>
      <c r="F66" s="383" t="n"/>
      <c r="G66" s="384" t="n"/>
      <c r="H66" s="542" t="n"/>
      <c r="I66" s="384" t="n"/>
      <c r="J66" s="384" t="n"/>
      <c r="K66" s="543" t="n"/>
    </row>
    <row r="67" ht="15" customHeight="1" s="341">
      <c r="A67" s="380" t="n"/>
      <c r="B67" s="380" t="n"/>
      <c r="C67" s="380" t="n"/>
      <c r="D67" s="378" t="n"/>
      <c r="E67" s="540" t="n"/>
      <c r="F67" s="379" t="n"/>
      <c r="G67" s="380" t="n"/>
      <c r="H67" s="542" t="n"/>
      <c r="I67" s="380" t="n"/>
      <c r="J67" s="380" t="n"/>
      <c r="K67" s="543" t="n"/>
    </row>
    <row r="68" ht="15" customHeight="1" s="341">
      <c r="A68" s="384" t="n"/>
      <c r="B68" s="384" t="n"/>
      <c r="C68" s="384" t="n"/>
      <c r="D68" s="382" t="n"/>
      <c r="E68" s="539" t="n"/>
      <c r="F68" s="383" t="n"/>
      <c r="G68" s="384" t="n"/>
      <c r="H68" s="542" t="n"/>
      <c r="I68" s="384" t="n"/>
      <c r="J68" s="384" t="n"/>
      <c r="K68" s="543" t="n"/>
    </row>
    <row r="69" ht="15" customHeight="1" s="341">
      <c r="A69" s="380" t="n"/>
      <c r="B69" s="380" t="n"/>
      <c r="C69" s="380" t="n"/>
      <c r="D69" s="378" t="n"/>
      <c r="E69" s="540" t="n"/>
      <c r="F69" s="379" t="n"/>
      <c r="G69" s="380" t="n"/>
      <c r="H69" s="542" t="n"/>
      <c r="I69" s="380" t="n"/>
      <c r="J69" s="380" t="n"/>
      <c r="K69" s="543" t="n"/>
    </row>
    <row r="70" ht="15" customHeight="1" s="341">
      <c r="A70" s="384" t="n"/>
      <c r="B70" s="384" t="n"/>
      <c r="C70" s="384" t="n"/>
      <c r="D70" s="382" t="n"/>
      <c r="E70" s="539" t="n"/>
      <c r="F70" s="383" t="n"/>
      <c r="G70" s="384" t="n"/>
      <c r="H70" s="542" t="n"/>
      <c r="I70" s="384" t="n"/>
      <c r="J70" s="384" t="n"/>
      <c r="K70" s="543" t="n"/>
    </row>
    <row r="71" ht="15" customHeight="1" s="341">
      <c r="A71" s="380" t="n"/>
      <c r="B71" s="380" t="n"/>
      <c r="C71" s="380" t="n"/>
      <c r="D71" s="378" t="n"/>
      <c r="E71" s="540" t="n"/>
      <c r="F71" s="379" t="n"/>
      <c r="G71" s="380" t="n"/>
      <c r="H71" s="542" t="n"/>
      <c r="I71" s="380" t="n"/>
      <c r="J71" s="380" t="n"/>
      <c r="K71" s="543" t="n"/>
    </row>
    <row r="72" ht="15" customHeight="1" s="341">
      <c r="A72" s="384" t="n"/>
      <c r="B72" s="384" t="n"/>
      <c r="C72" s="384" t="n"/>
      <c r="D72" s="382" t="n"/>
      <c r="E72" s="539" t="n"/>
      <c r="F72" s="383" t="n"/>
      <c r="G72" s="384" t="n"/>
      <c r="H72" s="542" t="n"/>
      <c r="I72" s="384" t="n"/>
      <c r="J72" s="384" t="n"/>
      <c r="K72" s="543" t="n"/>
    </row>
    <row r="73" ht="15" customHeight="1" s="341">
      <c r="A73" s="380" t="n"/>
      <c r="B73" s="380" t="n"/>
      <c r="C73" s="380" t="n"/>
      <c r="D73" s="378" t="n"/>
      <c r="E73" s="540" t="n"/>
      <c r="F73" s="379" t="n"/>
      <c r="G73" s="380" t="n"/>
      <c r="H73" s="542" t="n"/>
      <c r="I73" s="380" t="n"/>
      <c r="J73" s="380" t="n"/>
      <c r="K73" s="543" t="n"/>
    </row>
    <row r="74" ht="15" customHeight="1" s="341">
      <c r="A74" s="384" t="n"/>
      <c r="B74" s="384" t="n"/>
      <c r="C74" s="384" t="n"/>
      <c r="D74" s="382" t="n"/>
      <c r="E74" s="539" t="n"/>
      <c r="F74" s="383" t="n"/>
      <c r="G74" s="384" t="n"/>
      <c r="H74" s="542" t="n"/>
      <c r="I74" s="384" t="n"/>
      <c r="J74" s="384" t="n"/>
      <c r="K74" s="543" t="n"/>
    </row>
    <row r="75" ht="15" customHeight="1" s="341">
      <c r="A75" s="380" t="n"/>
      <c r="B75" s="380" t="n"/>
      <c r="C75" s="380" t="n"/>
      <c r="D75" s="378" t="n"/>
      <c r="E75" s="540" t="n"/>
      <c r="F75" s="379" t="n"/>
      <c r="G75" s="380" t="n"/>
      <c r="H75" s="542" t="n"/>
      <c r="I75" s="380" t="n"/>
      <c r="J75" s="380" t="n"/>
      <c r="K75" s="543" t="n"/>
    </row>
    <row r="76" ht="15" customHeight="1" s="341">
      <c r="A76" s="384" t="n"/>
      <c r="B76" s="384" t="n"/>
      <c r="C76" s="384" t="n"/>
      <c r="D76" s="382" t="n"/>
      <c r="E76" s="539" t="n"/>
      <c r="F76" s="383" t="n"/>
      <c r="G76" s="384" t="n"/>
      <c r="H76" s="542" t="n"/>
      <c r="I76" s="384" t="n"/>
      <c r="J76" s="384" t="n"/>
      <c r="K76" s="543" t="n"/>
    </row>
    <row r="77" ht="15" customHeight="1" s="341">
      <c r="A77" s="380" t="n"/>
      <c r="B77" s="380" t="n"/>
      <c r="C77" s="380" t="n"/>
      <c r="D77" s="378" t="n"/>
      <c r="E77" s="540" t="n"/>
      <c r="F77" s="379" t="n"/>
      <c r="G77" s="380" t="n"/>
      <c r="H77" s="542" t="n"/>
      <c r="I77" s="380" t="n"/>
      <c r="J77" s="380" t="n"/>
      <c r="K77" s="543" t="n"/>
    </row>
    <row r="78" ht="15" customHeight="1" s="341">
      <c r="A78" s="384" t="n"/>
      <c r="B78" s="384" t="n"/>
      <c r="C78" s="384" t="n"/>
      <c r="D78" s="382" t="n"/>
      <c r="E78" s="539" t="n"/>
      <c r="F78" s="383" t="n"/>
      <c r="G78" s="384" t="n"/>
      <c r="H78" s="542" t="n"/>
      <c r="I78" s="384" t="n"/>
      <c r="J78" s="384" t="n"/>
      <c r="K78" s="543" t="n"/>
    </row>
    <row r="79" ht="15" customHeight="1" s="341">
      <c r="A79" s="380" t="n"/>
      <c r="B79" s="380" t="n"/>
      <c r="C79" s="380" t="n"/>
      <c r="D79" s="378" t="n"/>
      <c r="E79" s="540" t="n"/>
      <c r="F79" s="379" t="n"/>
      <c r="G79" s="380" t="n"/>
      <c r="H79" s="542" t="n"/>
      <c r="I79" s="380" t="n"/>
      <c r="J79" s="380" t="n"/>
      <c r="K79" s="543" t="n"/>
    </row>
    <row r="80" ht="15" customHeight="1" s="341">
      <c r="A80" s="384" t="n"/>
      <c r="B80" s="384" t="n"/>
      <c r="C80" s="384" t="n"/>
      <c r="D80" s="382" t="n"/>
      <c r="E80" s="539" t="n"/>
      <c r="F80" s="383" t="n"/>
      <c r="G80" s="384" t="n"/>
      <c r="H80" s="542" t="n"/>
      <c r="I80" s="384" t="n"/>
      <c r="J80" s="384" t="n"/>
      <c r="K80" s="543" t="n"/>
    </row>
    <row r="81" ht="15" customHeight="1" s="341">
      <c r="A81" s="380" t="n"/>
      <c r="B81" s="380" t="n"/>
      <c r="C81" s="380" t="n"/>
      <c r="D81" s="378" t="n"/>
      <c r="E81" s="540" t="n"/>
      <c r="F81" s="379" t="n"/>
      <c r="G81" s="380" t="n"/>
      <c r="H81" s="542" t="n"/>
      <c r="I81" s="380" t="n"/>
      <c r="J81" s="380" t="n"/>
      <c r="K81" s="543" t="n"/>
    </row>
    <row r="82" ht="15" customHeight="1" s="341">
      <c r="A82" s="384" t="n"/>
      <c r="B82" s="384" t="n"/>
      <c r="C82" s="384" t="n"/>
      <c r="D82" s="382" t="n"/>
      <c r="E82" s="539" t="n"/>
      <c r="F82" s="383" t="n"/>
      <c r="G82" s="384" t="n"/>
      <c r="H82" s="542" t="n"/>
      <c r="I82" s="384" t="n"/>
      <c r="J82" s="384" t="n"/>
      <c r="K82" s="543" t="n"/>
    </row>
    <row r="83" ht="15" customHeight="1" s="341">
      <c r="A83" s="380" t="n"/>
      <c r="B83" s="380" t="n"/>
      <c r="C83" s="380" t="n"/>
      <c r="D83" s="378" t="n"/>
      <c r="E83" s="540" t="n"/>
      <c r="F83" s="379" t="n"/>
      <c r="G83" s="380" t="n"/>
      <c r="H83" s="542" t="n"/>
      <c r="I83" s="380" t="n"/>
      <c r="J83" s="380" t="n"/>
      <c r="K83" s="543" t="n"/>
    </row>
    <row r="84" ht="15" customHeight="1" s="341">
      <c r="A84" s="384" t="n"/>
      <c r="B84" s="384" t="n"/>
      <c r="C84" s="384" t="n"/>
      <c r="D84" s="382" t="n"/>
      <c r="E84" s="539" t="n"/>
      <c r="F84" s="383" t="n"/>
      <c r="G84" s="384" t="n"/>
      <c r="H84" s="542" t="n"/>
      <c r="I84" s="384" t="n"/>
      <c r="J84" s="384" t="n"/>
      <c r="K84" s="543" t="n"/>
    </row>
    <row r="85" ht="15" customHeight="1" s="341">
      <c r="A85" s="380" t="n"/>
      <c r="B85" s="380" t="n"/>
      <c r="C85" s="380" t="n"/>
      <c r="D85" s="378" t="n"/>
      <c r="E85" s="540" t="n"/>
      <c r="F85" s="379" t="n"/>
      <c r="G85" s="380" t="n"/>
      <c r="H85" s="542" t="n"/>
      <c r="I85" s="380" t="n"/>
      <c r="J85" s="380" t="n"/>
      <c r="K85" s="543" t="n"/>
    </row>
    <row r="86" ht="15" customHeight="1" s="341">
      <c r="A86" s="384" t="n"/>
      <c r="B86" s="384" t="n"/>
      <c r="C86" s="384" t="n"/>
      <c r="D86" s="382" t="n"/>
      <c r="E86" s="539" t="n"/>
      <c r="F86" s="383" t="n"/>
      <c r="G86" s="384" t="n"/>
      <c r="H86" s="542" t="n"/>
      <c r="I86" s="384" t="n"/>
      <c r="J86" s="384" t="n"/>
      <c r="K86" s="543" t="n"/>
    </row>
    <row r="87" ht="15" customHeight="1" s="341">
      <c r="A87" s="380" t="n"/>
      <c r="B87" s="380" t="n"/>
      <c r="C87" s="380" t="n"/>
      <c r="D87" s="378" t="n"/>
      <c r="E87" s="540" t="n"/>
      <c r="F87" s="379" t="n"/>
      <c r="G87" s="380" t="n"/>
      <c r="H87" s="542" t="n"/>
      <c r="I87" s="380" t="n"/>
      <c r="J87" s="380" t="n"/>
      <c r="K87" s="543" t="n"/>
    </row>
    <row r="88" ht="15" customHeight="1" s="341">
      <c r="A88" s="384" t="n"/>
      <c r="B88" s="384" t="n"/>
      <c r="C88" s="384" t="n"/>
      <c r="D88" s="382" t="n"/>
      <c r="E88" s="539" t="n"/>
      <c r="F88" s="383" t="n"/>
      <c r="G88" s="384" t="n"/>
      <c r="H88" s="542" t="n"/>
      <c r="I88" s="384" t="n"/>
      <c r="J88" s="384" t="n"/>
      <c r="K88" s="543" t="n"/>
    </row>
    <row r="89" ht="15" customHeight="1" s="341">
      <c r="A89" s="380" t="n"/>
      <c r="B89" s="380" t="n"/>
      <c r="C89" s="380" t="n"/>
      <c r="D89" s="378" t="n"/>
      <c r="E89" s="540" t="n"/>
      <c r="F89" s="379" t="n"/>
      <c r="G89" s="380" t="n"/>
      <c r="H89" s="542" t="n"/>
      <c r="I89" s="380" t="n"/>
      <c r="J89" s="380" t="n"/>
      <c r="K89" s="543" t="n"/>
    </row>
    <row r="90" ht="15" customHeight="1" s="341">
      <c r="A90" s="384" t="n"/>
      <c r="B90" s="384" t="n"/>
      <c r="C90" s="384" t="n"/>
      <c r="D90" s="382" t="n"/>
      <c r="E90" s="539" t="n"/>
      <c r="F90" s="383" t="n"/>
      <c r="G90" s="384" t="n"/>
      <c r="H90" s="542" t="n"/>
      <c r="I90" s="384" t="n"/>
      <c r="J90" s="384" t="n"/>
      <c r="K90" s="543" t="n"/>
    </row>
    <row r="91" ht="15" customHeight="1" s="341">
      <c r="A91" s="380" t="n"/>
      <c r="B91" s="380" t="n"/>
      <c r="C91" s="380" t="n"/>
      <c r="D91" s="378" t="n"/>
      <c r="E91" s="540" t="n"/>
      <c r="F91" s="379" t="n"/>
      <c r="G91" s="380" t="n"/>
      <c r="H91" s="542" t="n"/>
      <c r="I91" s="380" t="n"/>
      <c r="J91" s="380" t="n"/>
      <c r="K91" s="543" t="n"/>
    </row>
    <row r="92" ht="15" customHeight="1" s="341">
      <c r="A92" s="384" t="n"/>
      <c r="B92" s="384" t="n"/>
      <c r="C92" s="384" t="n"/>
      <c r="D92" s="382" t="n"/>
      <c r="E92" s="539" t="n"/>
      <c r="F92" s="383" t="n"/>
      <c r="G92" s="384" t="n"/>
      <c r="H92" s="542" t="n"/>
      <c r="I92" s="384" t="n"/>
      <c r="J92" s="384" t="n"/>
      <c r="K92" s="543" t="n"/>
    </row>
    <row r="93" ht="15" customHeight="1" s="341">
      <c r="A93" s="380" t="n"/>
      <c r="B93" s="380" t="n"/>
      <c r="C93" s="380" t="n"/>
      <c r="D93" s="378" t="n"/>
      <c r="E93" s="540" t="n"/>
      <c r="F93" s="379" t="n"/>
      <c r="G93" s="380" t="n"/>
      <c r="H93" s="542" t="n"/>
      <c r="I93" s="380" t="n"/>
      <c r="J93" s="380" t="n"/>
      <c r="K93" s="543" t="n"/>
    </row>
    <row r="94" ht="15" customHeight="1" s="341">
      <c r="A94" s="384" t="n"/>
      <c r="B94" s="384" t="n"/>
      <c r="C94" s="384" t="n"/>
      <c r="D94" s="382" t="n"/>
      <c r="E94" s="539" t="n"/>
      <c r="F94" s="383" t="n"/>
      <c r="G94" s="384" t="n"/>
      <c r="H94" s="542" t="n"/>
      <c r="I94" s="384" t="n"/>
      <c r="J94" s="384" t="n"/>
      <c r="K94" s="543" t="n"/>
    </row>
    <row r="95" ht="15" customHeight="1" s="341">
      <c r="A95" s="380" t="n"/>
      <c r="B95" s="380" t="n"/>
      <c r="C95" s="380" t="n"/>
      <c r="D95" s="378" t="n"/>
      <c r="E95" s="540" t="n"/>
      <c r="F95" s="379" t="n"/>
      <c r="G95" s="380" t="n"/>
      <c r="H95" s="542" t="n"/>
      <c r="I95" s="380" t="n"/>
      <c r="J95" s="380" t="n"/>
      <c r="K95" s="543" t="n"/>
    </row>
    <row r="96" ht="15" customHeight="1" s="341">
      <c r="A96" s="384" t="n"/>
      <c r="B96" s="384" t="n"/>
      <c r="C96" s="384" t="n"/>
      <c r="D96" s="382" t="n"/>
      <c r="E96" s="539" t="n"/>
      <c r="F96" s="383" t="n"/>
      <c r="G96" s="384" t="n"/>
      <c r="H96" s="542" t="n"/>
      <c r="I96" s="384" t="n"/>
      <c r="J96" s="384" t="n"/>
      <c r="K96" s="543" t="n"/>
    </row>
    <row r="97" ht="15" customHeight="1" s="341">
      <c r="A97" s="380" t="n"/>
      <c r="B97" s="380" t="n"/>
      <c r="C97" s="380" t="n"/>
      <c r="D97" s="378" t="n"/>
      <c r="E97" s="540" t="n"/>
      <c r="F97" s="379" t="n"/>
      <c r="G97" s="380" t="n"/>
      <c r="H97" s="542" t="n"/>
      <c r="I97" s="380" t="n"/>
      <c r="J97" s="380" t="n"/>
      <c r="K97" s="543" t="n"/>
    </row>
  </sheetData>
  <autoFilter ref="A3:J3"/>
  <mergeCells count="2">
    <mergeCell ref="A1:J1"/>
    <mergeCell ref="A2:J2"/>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8.xml><?xml version="1.0" encoding="utf-8"?>
<worksheet xmlns="http://schemas.openxmlformats.org/spreadsheetml/2006/main">
  <sheetPr filterMode="0">
    <tabColor rgb="FFC0392B"/>
    <outlinePr summaryBelow="1" summaryRight="1"/>
    <pageSetUpPr fitToPage="0"/>
  </sheetPr>
  <dimension ref="A1:O45"/>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5" customWidth="1" style="340" min="1" max="1"/>
    <col width="20" customWidth="1" style="340" min="2" max="2"/>
    <col width="16" customWidth="1" style="340" min="3" max="3"/>
    <col width="24" customWidth="1" style="340" min="4" max="4"/>
    <col width="16" customWidth="1" style="340" min="5" max="5"/>
    <col width="13" customWidth="1" style="340" min="6" max="6"/>
    <col width="18" customWidth="1" style="340" min="7" max="7"/>
    <col width="16" customWidth="1" style="340" min="8" max="9"/>
    <col width="12" customWidth="1" style="340" min="10" max="10"/>
    <col width="14" customWidth="1" style="340" min="11" max="11"/>
    <col width="22" customWidth="1" style="340" min="12" max="12"/>
    <col width="20" customWidth="1" style="340" min="13" max="13"/>
    <col width="16" customWidth="1" style="340" min="14" max="14"/>
    <col width="12" customWidth="1" style="340" min="15" max="15"/>
  </cols>
  <sheetData>
    <row r="1" ht="31.5" customHeight="1" s="341">
      <c r="A1" s="502" t="inlineStr">
        <is>
          <t>🏧  WITHDRAWALS TRANSACTIONS DATABASE — All Agents Combined</t>
        </is>
      </c>
    </row>
    <row r="2" ht="19.5" customHeight="1" s="341">
      <c r="A2" s="503" t="inlineStr">
        <is>
          <t>All withdrawals stored here | Status auto: Successful / Unsuccessful</t>
        </is>
      </c>
    </row>
    <row r="3" ht="15" customHeight="1" s="341">
      <c r="A3" s="509" t="inlineStr">
        <is>
          <t>#</t>
        </is>
      </c>
      <c r="B3" s="509" t="inlineStr">
        <is>
          <t>Transaction_ID</t>
        </is>
      </c>
      <c r="C3" s="509" t="inlineStr">
        <is>
          <t>Account_No</t>
        </is>
      </c>
      <c r="D3" s="509" t="inlineStr">
        <is>
          <t>Customer_Name</t>
        </is>
      </c>
      <c r="E3" s="509" t="inlineStr">
        <is>
          <t>Balance_Before</t>
        </is>
      </c>
      <c r="F3" s="509" t="inlineStr">
        <is>
          <t>Date</t>
        </is>
      </c>
      <c r="G3" s="509" t="inlineStr">
        <is>
          <t>Withdrawal_Amt_GHC</t>
        </is>
      </c>
      <c r="H3" s="509" t="inlineStr">
        <is>
          <t>Authorized_By</t>
        </is>
      </c>
      <c r="I3" s="509" t="inlineStr">
        <is>
          <t>New_Balance_GHC</t>
        </is>
      </c>
      <c r="J3" s="509" t="inlineStr">
        <is>
          <t>Agent</t>
        </is>
      </c>
      <c r="K3" s="509" t="inlineStr">
        <is>
          <t>Status</t>
        </is>
      </c>
      <c r="L3" s="509" t="inlineStr">
        <is>
          <t>Saved_At</t>
        </is>
      </c>
      <c r="M3" s="538" t="inlineStr">
        <is>
          <t>Withdrawable_Before</t>
        </is>
      </c>
      <c r="N3" s="538" t="inlineStr">
        <is>
          <t>Min_Bal_OK</t>
        </is>
      </c>
      <c r="O3" s="538" t="inlineStr">
        <is>
          <t>Lock_Status</t>
        </is>
      </c>
    </row>
    <row r="4" ht="15" customHeight="1" s="341">
      <c r="A4" s="384" t="n"/>
      <c r="B4" s="384" t="n"/>
      <c r="C4" s="384" t="n"/>
      <c r="D4" s="382" t="n"/>
      <c r="E4" s="383" t="n"/>
      <c r="F4" s="539" t="n"/>
      <c r="G4" s="383" t="n"/>
      <c r="H4" s="384" t="n"/>
      <c r="I4" s="383" t="n"/>
      <c r="J4" s="384" t="n"/>
      <c r="K4" s="542" t="n"/>
      <c r="L4" s="384" t="n"/>
      <c r="M4" s="340">
        <f>MAX(0,E4-System_Config!$B$9)</f>
        <v/>
      </c>
      <c r="N4" s="340">
        <f>IF(G4&lt;=M4,"✅ COMPLIANT","⚠️ BREACH")</f>
        <v/>
      </c>
      <c r="O4" s="543" t="n"/>
    </row>
    <row r="5" ht="15" customHeight="1" s="341">
      <c r="A5" s="380" t="n"/>
      <c r="B5" s="380" t="n"/>
      <c r="C5" s="380" t="n"/>
      <c r="D5" s="378" t="n"/>
      <c r="E5" s="379" t="n"/>
      <c r="F5" s="540" t="n"/>
      <c r="G5" s="379" t="n"/>
      <c r="H5" s="380" t="n"/>
      <c r="I5" s="379" t="n"/>
      <c r="J5" s="380" t="n"/>
      <c r="K5" s="542" t="n"/>
      <c r="L5" s="380" t="n"/>
      <c r="M5" s="340">
        <f>MAX(0,E5-System_Config!$B$9)</f>
        <v/>
      </c>
      <c r="N5" s="340">
        <f>IF(G5&lt;=M5,"✅ COMPLIANT","⚠️ BREACH")</f>
        <v/>
      </c>
      <c r="O5" s="543" t="n"/>
    </row>
    <row r="6" ht="15" customHeight="1" s="341">
      <c r="A6" s="384" t="n"/>
      <c r="B6" s="384" t="n"/>
      <c r="C6" s="384" t="n"/>
      <c r="D6" s="382" t="n"/>
      <c r="E6" s="383" t="n"/>
      <c r="F6" s="539" t="n"/>
      <c r="G6" s="383" t="n"/>
      <c r="H6" s="384" t="n"/>
      <c r="I6" s="383" t="n"/>
      <c r="J6" s="384" t="n"/>
      <c r="K6" s="542" t="n"/>
      <c r="L6" s="384" t="n"/>
      <c r="M6" s="340">
        <f>MAX(0,E6-System_Config!$B$9)</f>
        <v/>
      </c>
      <c r="N6" s="340">
        <f>IF(G6&lt;=M6,"✅ COMPLIANT","⚠️ BREACH")</f>
        <v/>
      </c>
      <c r="O6" s="543" t="n"/>
    </row>
    <row r="7" ht="15" customHeight="1" s="341">
      <c r="A7" s="380" t="n"/>
      <c r="B7" s="380" t="n"/>
      <c r="C7" s="380" t="n"/>
      <c r="D7" s="378" t="n"/>
      <c r="E7" s="379" t="n"/>
      <c r="F7" s="540" t="n"/>
      <c r="G7" s="379" t="n"/>
      <c r="H7" s="380" t="n"/>
      <c r="I7" s="379" t="n"/>
      <c r="J7" s="380" t="n"/>
      <c r="K7" s="542" t="n"/>
      <c r="L7" s="380" t="n"/>
      <c r="M7" s="340">
        <f>MAX(0,E7-System_Config!$B$9)</f>
        <v/>
      </c>
      <c r="N7" s="340">
        <f>IF(G7&lt;=M7,"✅ COMPLIANT","⚠️ BREACH")</f>
        <v/>
      </c>
      <c r="O7" s="543" t="n"/>
    </row>
    <row r="8" ht="15" customHeight="1" s="341">
      <c r="A8" s="384" t="n"/>
      <c r="B8" s="384" t="n"/>
      <c r="C8" s="384" t="n"/>
      <c r="D8" s="382" t="n"/>
      <c r="E8" s="383" t="n"/>
      <c r="F8" s="539" t="n"/>
      <c r="G8" s="383" t="n"/>
      <c r="H8" s="384" t="n"/>
      <c r="I8" s="383" t="n"/>
      <c r="J8" s="384" t="n"/>
      <c r="K8" s="542" t="n"/>
      <c r="L8" s="384" t="n"/>
      <c r="M8" s="340">
        <f>MAX(0,E8-System_Config!$B$9)</f>
        <v/>
      </c>
      <c r="N8" s="340">
        <f>IF(G8&lt;=M8,"✅ COMPLIANT","⚠️ BREACH")</f>
        <v/>
      </c>
      <c r="O8" s="543" t="n"/>
    </row>
    <row r="9" ht="15" customHeight="1" s="341">
      <c r="A9" s="380" t="n"/>
      <c r="B9" s="380" t="n"/>
      <c r="C9" s="380" t="n"/>
      <c r="D9" s="378" t="n"/>
      <c r="E9" s="379" t="n"/>
      <c r="F9" s="540" t="n"/>
      <c r="G9" s="379" t="n"/>
      <c r="H9" s="380" t="n"/>
      <c r="I9" s="379" t="n"/>
      <c r="J9" s="380" t="n"/>
      <c r="K9" s="542" t="n"/>
      <c r="L9" s="380" t="n"/>
      <c r="M9" s="340">
        <f>MAX(0,E9-System_Config!$B$9)</f>
        <v/>
      </c>
      <c r="N9" s="340">
        <f>IF(G9&lt;=M9,"✅ COMPLIANT","⚠️ BREACH")</f>
        <v/>
      </c>
      <c r="O9" s="543" t="n"/>
    </row>
    <row r="10" ht="15" customHeight="1" s="341">
      <c r="A10" s="384" t="n"/>
      <c r="B10" s="384" t="n"/>
      <c r="C10" s="384" t="n"/>
      <c r="D10" s="382" t="n"/>
      <c r="E10" s="383" t="n"/>
      <c r="F10" s="539" t="n"/>
      <c r="G10" s="383" t="n"/>
      <c r="H10" s="384" t="n"/>
      <c r="I10" s="383" t="n"/>
      <c r="J10" s="384" t="n"/>
      <c r="K10" s="542" t="n"/>
      <c r="L10" s="384" t="n"/>
      <c r="M10" s="340">
        <f>MAX(0,E10-System_Config!$B$9)</f>
        <v/>
      </c>
      <c r="N10" s="340">
        <f>IF(G10&lt;=M10,"✅ COMPLIANT","⚠️ BREACH")</f>
        <v/>
      </c>
      <c r="O10" s="543" t="n"/>
    </row>
    <row r="11" ht="15" customHeight="1" s="341">
      <c r="A11" s="380" t="n"/>
      <c r="B11" s="380" t="n"/>
      <c r="C11" s="380" t="n"/>
      <c r="D11" s="378" t="n"/>
      <c r="E11" s="379" t="n"/>
      <c r="F11" s="540" t="n"/>
      <c r="G11" s="379" t="n"/>
      <c r="H11" s="380" t="n"/>
      <c r="I11" s="379" t="n"/>
      <c r="J11" s="380" t="n"/>
      <c r="K11" s="542" t="n"/>
      <c r="L11" s="380" t="n"/>
      <c r="M11" s="340">
        <f>MAX(0,E11-System_Config!$B$9)</f>
        <v/>
      </c>
      <c r="N11" s="340">
        <f>IF(G11&lt;=M11,"✅ COMPLIANT","⚠️ BREACH")</f>
        <v/>
      </c>
      <c r="O11" s="543" t="n"/>
    </row>
    <row r="12" ht="15" customHeight="1" s="341">
      <c r="A12" s="384" t="n"/>
      <c r="B12" s="384" t="n"/>
      <c r="C12" s="384" t="n"/>
      <c r="D12" s="382" t="n"/>
      <c r="E12" s="383" t="n"/>
      <c r="F12" s="539" t="n"/>
      <c r="G12" s="383" t="n"/>
      <c r="H12" s="384" t="n"/>
      <c r="I12" s="383" t="n"/>
      <c r="J12" s="384" t="n"/>
      <c r="K12" s="542" t="n"/>
      <c r="L12" s="384" t="n"/>
      <c r="M12" s="340">
        <f>MAX(0,E12-System_Config!$B$9)</f>
        <v/>
      </c>
      <c r="N12" s="340">
        <f>IF(G12&lt;=M12,"✅ COMPLIANT","⚠️ BREACH")</f>
        <v/>
      </c>
      <c r="O12" s="543" t="n"/>
    </row>
    <row r="13" ht="15" customHeight="1" s="341">
      <c r="A13" s="380" t="n"/>
      <c r="B13" s="380" t="n"/>
      <c r="C13" s="380" t="n"/>
      <c r="D13" s="378" t="n"/>
      <c r="E13" s="379" t="n"/>
      <c r="F13" s="540" t="n"/>
      <c r="G13" s="379" t="n"/>
      <c r="H13" s="380" t="n"/>
      <c r="I13" s="379" t="n"/>
      <c r="J13" s="380" t="n"/>
      <c r="K13" s="542" t="n"/>
      <c r="L13" s="380" t="n"/>
      <c r="M13" s="340">
        <f>MAX(0,E13-System_Config!$B$9)</f>
        <v/>
      </c>
      <c r="N13" s="340">
        <f>IF(G13&lt;=M13,"✅ COMPLIANT","⚠️ BREACH")</f>
        <v/>
      </c>
      <c r="O13" s="543" t="n"/>
    </row>
    <row r="14" ht="15" customHeight="1" s="341">
      <c r="A14" s="384" t="n"/>
      <c r="B14" s="384" t="n"/>
      <c r="C14" s="384" t="n"/>
      <c r="D14" s="382" t="n"/>
      <c r="E14" s="383" t="n"/>
      <c r="F14" s="539" t="n"/>
      <c r="G14" s="383" t="n"/>
      <c r="H14" s="384" t="n"/>
      <c r="I14" s="383" t="n"/>
      <c r="J14" s="384" t="n"/>
      <c r="K14" s="542" t="n"/>
      <c r="L14" s="384" t="n"/>
      <c r="M14" s="340">
        <f>MAX(0,E14-System_Config!$B$9)</f>
        <v/>
      </c>
      <c r="N14" s="340">
        <f>IF(G14&lt;=M14,"✅ COMPLIANT","⚠️ BREACH")</f>
        <v/>
      </c>
      <c r="O14" s="543" t="n"/>
    </row>
    <row r="15" ht="15" customHeight="1" s="341">
      <c r="A15" s="380" t="n"/>
      <c r="B15" s="380" t="n"/>
      <c r="C15" s="380" t="n"/>
      <c r="D15" s="378" t="n"/>
      <c r="E15" s="379" t="n"/>
      <c r="F15" s="540" t="n"/>
      <c r="G15" s="379" t="n"/>
      <c r="H15" s="380" t="n"/>
      <c r="I15" s="379" t="n"/>
      <c r="J15" s="380" t="n"/>
      <c r="K15" s="542" t="n"/>
      <c r="L15" s="380" t="n"/>
      <c r="M15" s="340">
        <f>MAX(0,E15-System_Config!$B$9)</f>
        <v/>
      </c>
      <c r="N15" s="340">
        <f>IF(G15&lt;=M15,"✅ COMPLIANT","⚠️ BREACH")</f>
        <v/>
      </c>
      <c r="O15" s="543" t="n"/>
    </row>
    <row r="16" ht="15" customHeight="1" s="341">
      <c r="A16" s="384" t="n"/>
      <c r="B16" s="384" t="n"/>
      <c r="C16" s="384" t="n"/>
      <c r="D16" s="382" t="n"/>
      <c r="E16" s="383" t="n"/>
      <c r="F16" s="539" t="n"/>
      <c r="G16" s="383" t="n"/>
      <c r="H16" s="384" t="n"/>
      <c r="I16" s="383" t="n"/>
      <c r="J16" s="384" t="n"/>
      <c r="K16" s="542" t="n"/>
      <c r="L16" s="384" t="n"/>
      <c r="M16" s="340">
        <f>MAX(0,E16-System_Config!$B$9)</f>
        <v/>
      </c>
      <c r="N16" s="340">
        <f>IF(G16&lt;=M16,"✅ COMPLIANT","⚠️ BREACH")</f>
        <v/>
      </c>
      <c r="O16" s="543" t="n"/>
    </row>
    <row r="17" ht="15" customHeight="1" s="341">
      <c r="A17" s="380" t="n"/>
      <c r="B17" s="380" t="n"/>
      <c r="C17" s="380" t="n"/>
      <c r="D17" s="378" t="n"/>
      <c r="E17" s="379" t="n"/>
      <c r="F17" s="540" t="n"/>
      <c r="G17" s="379" t="n"/>
      <c r="H17" s="380" t="n"/>
      <c r="I17" s="379" t="n"/>
      <c r="J17" s="380" t="n"/>
      <c r="K17" s="542" t="n"/>
      <c r="L17" s="380" t="n"/>
      <c r="M17" s="340">
        <f>MAX(0,E17-System_Config!$B$9)</f>
        <v/>
      </c>
      <c r="N17" s="340">
        <f>IF(G17&lt;=M17,"✅ COMPLIANT","⚠️ BREACH")</f>
        <v/>
      </c>
      <c r="O17" s="543" t="n"/>
    </row>
    <row r="18" ht="15" customHeight="1" s="341">
      <c r="A18" s="384" t="n"/>
      <c r="B18" s="384" t="n"/>
      <c r="C18" s="384" t="n"/>
      <c r="D18" s="382" t="n"/>
      <c r="E18" s="383" t="n"/>
      <c r="F18" s="539" t="n"/>
      <c r="G18" s="383" t="n"/>
      <c r="H18" s="384" t="n"/>
      <c r="I18" s="383" t="n"/>
      <c r="J18" s="384" t="n"/>
      <c r="K18" s="542" t="n"/>
      <c r="L18" s="384" t="n"/>
      <c r="M18" s="340">
        <f>MAX(0,E18-System_Config!$B$9)</f>
        <v/>
      </c>
      <c r="N18" s="340">
        <f>IF(G18&lt;=M18,"✅ COMPLIANT","⚠️ BREACH")</f>
        <v/>
      </c>
      <c r="O18" s="543" t="n"/>
    </row>
    <row r="19" ht="15" customHeight="1" s="341">
      <c r="A19" s="380" t="n"/>
      <c r="B19" s="380" t="n"/>
      <c r="C19" s="380" t="n"/>
      <c r="D19" s="378" t="n"/>
      <c r="E19" s="379" t="n"/>
      <c r="F19" s="540" t="n"/>
      <c r="G19" s="379" t="n"/>
      <c r="H19" s="380" t="n"/>
      <c r="I19" s="379" t="n"/>
      <c r="J19" s="380" t="n"/>
      <c r="K19" s="542" t="n"/>
      <c r="L19" s="380" t="n"/>
      <c r="M19" s="340">
        <f>MAX(0,E19-System_Config!$B$9)</f>
        <v/>
      </c>
      <c r="N19" s="340">
        <f>IF(G19&lt;=M19,"✅ COMPLIANT","⚠️ BREACH")</f>
        <v/>
      </c>
      <c r="O19" s="543" t="n"/>
    </row>
    <row r="20" ht="15" customHeight="1" s="341">
      <c r="A20" s="384" t="n"/>
      <c r="B20" s="384" t="n"/>
      <c r="C20" s="384" t="n"/>
      <c r="D20" s="382" t="n"/>
      <c r="E20" s="383" t="n"/>
      <c r="F20" s="539" t="n"/>
      <c r="G20" s="383" t="n"/>
      <c r="H20" s="384" t="n"/>
      <c r="I20" s="383" t="n"/>
      <c r="J20" s="384" t="n"/>
      <c r="K20" s="542" t="n"/>
      <c r="L20" s="384" t="n"/>
      <c r="M20" s="340">
        <f>MAX(0,E20-System_Config!$B$9)</f>
        <v/>
      </c>
      <c r="N20" s="340">
        <f>IF(G20&lt;=M20,"✅ COMPLIANT","⚠️ BREACH")</f>
        <v/>
      </c>
      <c r="O20" s="543" t="n"/>
    </row>
    <row r="21" ht="15" customHeight="1" s="341">
      <c r="A21" s="380" t="n"/>
      <c r="B21" s="380" t="n"/>
      <c r="C21" s="380" t="n"/>
      <c r="D21" s="378" t="n"/>
      <c r="E21" s="379" t="n"/>
      <c r="F21" s="540" t="n"/>
      <c r="G21" s="379" t="n"/>
      <c r="H21" s="380" t="n"/>
      <c r="I21" s="379" t="n"/>
      <c r="J21" s="380" t="n"/>
      <c r="K21" s="542" t="n"/>
      <c r="L21" s="380" t="n"/>
      <c r="M21" s="340">
        <f>MAX(0,E21-System_Config!$B$9)</f>
        <v/>
      </c>
      <c r="N21" s="340">
        <f>IF(G21&lt;=M21,"✅ COMPLIANT","⚠️ BREACH")</f>
        <v/>
      </c>
      <c r="O21" s="543" t="n"/>
    </row>
    <row r="22" ht="15" customHeight="1" s="341">
      <c r="A22" s="384" t="n"/>
      <c r="B22" s="384" t="n"/>
      <c r="C22" s="384" t="n"/>
      <c r="D22" s="382" t="n"/>
      <c r="E22" s="383" t="n"/>
      <c r="F22" s="539" t="n"/>
      <c r="G22" s="383" t="n"/>
      <c r="H22" s="384" t="n"/>
      <c r="I22" s="383" t="n"/>
      <c r="J22" s="384" t="n"/>
      <c r="K22" s="542" t="n"/>
      <c r="L22" s="384" t="n"/>
      <c r="M22" s="340">
        <f>MAX(0,E22-System_Config!$B$9)</f>
        <v/>
      </c>
      <c r="N22" s="340">
        <f>IF(G22&lt;=M22,"✅ COMPLIANT","⚠️ BREACH")</f>
        <v/>
      </c>
      <c r="O22" s="543" t="n"/>
    </row>
    <row r="23" ht="15" customHeight="1" s="341">
      <c r="A23" s="380" t="n"/>
      <c r="B23" s="380" t="n"/>
      <c r="C23" s="380" t="n"/>
      <c r="D23" s="378" t="n"/>
      <c r="E23" s="379" t="n"/>
      <c r="F23" s="540" t="n"/>
      <c r="G23" s="379" t="n"/>
      <c r="H23" s="380" t="n"/>
      <c r="I23" s="379" t="n"/>
      <c r="J23" s="380" t="n"/>
      <c r="K23" s="542" t="n"/>
      <c r="L23" s="380" t="n"/>
      <c r="M23" s="340">
        <f>MAX(0,E23-System_Config!$B$9)</f>
        <v/>
      </c>
      <c r="N23" s="340">
        <f>IF(G23&lt;=M23,"✅ COMPLIANT","⚠️ BREACH")</f>
        <v/>
      </c>
      <c r="O23" s="543" t="n"/>
    </row>
    <row r="24" ht="15" customHeight="1" s="341">
      <c r="A24" s="384" t="n"/>
      <c r="B24" s="384" t="n"/>
      <c r="C24" s="384" t="n"/>
      <c r="D24" s="382" t="n"/>
      <c r="E24" s="383" t="n"/>
      <c r="F24" s="539" t="n"/>
      <c r="G24" s="383" t="n"/>
      <c r="H24" s="384" t="n"/>
      <c r="I24" s="383" t="n"/>
      <c r="J24" s="384" t="n"/>
      <c r="K24" s="542" t="n"/>
      <c r="L24" s="384" t="n"/>
      <c r="M24" s="340">
        <f>MAX(0,E24-System_Config!$B$9)</f>
        <v/>
      </c>
      <c r="N24" s="340">
        <f>IF(G24&lt;=M24,"✅ COMPLIANT","⚠️ BREACH")</f>
        <v/>
      </c>
      <c r="O24" s="543" t="n"/>
    </row>
    <row r="25" ht="15" customHeight="1" s="341">
      <c r="A25" s="380" t="n"/>
      <c r="B25" s="380" t="n"/>
      <c r="C25" s="380" t="n"/>
      <c r="D25" s="378" t="n"/>
      <c r="E25" s="379" t="n"/>
      <c r="F25" s="540" t="n"/>
      <c r="G25" s="379" t="n"/>
      <c r="H25" s="380" t="n"/>
      <c r="I25" s="379" t="n"/>
      <c r="J25" s="380" t="n"/>
      <c r="K25" s="542" t="n"/>
      <c r="L25" s="380" t="n"/>
      <c r="M25" s="340">
        <f>MAX(0,E25-System_Config!$B$9)</f>
        <v/>
      </c>
      <c r="N25" s="340">
        <f>IF(G25&lt;=M25,"✅ COMPLIANT","⚠️ BREACH")</f>
        <v/>
      </c>
      <c r="O25" s="543" t="n"/>
    </row>
    <row r="26" ht="15" customHeight="1" s="341">
      <c r="A26" s="384" t="n"/>
      <c r="B26" s="384" t="n"/>
      <c r="C26" s="384" t="n"/>
      <c r="D26" s="382" t="n"/>
      <c r="E26" s="383" t="n"/>
      <c r="F26" s="539" t="n"/>
      <c r="G26" s="383" t="n"/>
      <c r="H26" s="384" t="n"/>
      <c r="I26" s="383" t="n"/>
      <c r="J26" s="384" t="n"/>
      <c r="K26" s="542" t="n"/>
      <c r="L26" s="384" t="n"/>
      <c r="M26" s="340">
        <f>MAX(0,E26-System_Config!$B$9)</f>
        <v/>
      </c>
      <c r="N26" s="340">
        <f>IF(G26&lt;=M26,"✅ COMPLIANT","⚠️ BREACH")</f>
        <v/>
      </c>
      <c r="O26" s="543" t="n"/>
    </row>
    <row r="27" ht="15" customHeight="1" s="341">
      <c r="A27" s="380" t="n"/>
      <c r="B27" s="380" t="n"/>
      <c r="C27" s="380" t="n"/>
      <c r="D27" s="378" t="n"/>
      <c r="E27" s="379" t="n"/>
      <c r="F27" s="540" t="n"/>
      <c r="G27" s="379" t="n"/>
      <c r="H27" s="380" t="n"/>
      <c r="I27" s="379" t="n"/>
      <c r="J27" s="380" t="n"/>
      <c r="K27" s="542" t="n"/>
      <c r="L27" s="380" t="n"/>
      <c r="M27" s="340">
        <f>MAX(0,E27-System_Config!$B$9)</f>
        <v/>
      </c>
      <c r="N27" s="340">
        <f>IF(G27&lt;=M27,"✅ COMPLIANT","⚠️ BREACH")</f>
        <v/>
      </c>
      <c r="O27" s="543" t="n"/>
    </row>
    <row r="28" ht="15" customHeight="1" s="341">
      <c r="A28" s="384" t="n"/>
      <c r="B28" s="384" t="n"/>
      <c r="C28" s="384" t="n"/>
      <c r="D28" s="382" t="n"/>
      <c r="E28" s="383" t="n"/>
      <c r="F28" s="539" t="n"/>
      <c r="G28" s="383" t="n"/>
      <c r="H28" s="384" t="n"/>
      <c r="I28" s="383" t="n"/>
      <c r="J28" s="384" t="n"/>
      <c r="K28" s="542" t="n"/>
      <c r="L28" s="384" t="n"/>
      <c r="M28" s="340">
        <f>MAX(0,E28-System_Config!$B$9)</f>
        <v/>
      </c>
      <c r="N28" s="340">
        <f>IF(G28&lt;=M28,"✅ COMPLIANT","⚠️ BREACH")</f>
        <v/>
      </c>
      <c r="O28" s="543" t="n"/>
    </row>
    <row r="29" ht="15" customHeight="1" s="341">
      <c r="A29" s="380" t="n"/>
      <c r="B29" s="380" t="n"/>
      <c r="C29" s="380" t="n"/>
      <c r="D29" s="378" t="n"/>
      <c r="E29" s="379" t="n"/>
      <c r="F29" s="540" t="n"/>
      <c r="G29" s="379" t="n"/>
      <c r="H29" s="380" t="n"/>
      <c r="I29" s="379" t="n"/>
      <c r="J29" s="380" t="n"/>
      <c r="K29" s="542" t="n"/>
      <c r="L29" s="380" t="n"/>
      <c r="M29" s="340">
        <f>MAX(0,E29-System_Config!$B$9)</f>
        <v/>
      </c>
      <c r="N29" s="340">
        <f>IF(G29&lt;=M29,"✅ COMPLIANT","⚠️ BREACH")</f>
        <v/>
      </c>
      <c r="O29" s="543" t="n"/>
    </row>
    <row r="30" ht="15" customHeight="1" s="341">
      <c r="A30" s="384" t="n"/>
      <c r="B30" s="384" t="n"/>
      <c r="C30" s="384" t="n"/>
      <c r="D30" s="382" t="n"/>
      <c r="E30" s="383" t="n"/>
      <c r="F30" s="539" t="n"/>
      <c r="G30" s="383" t="n"/>
      <c r="H30" s="384" t="n"/>
      <c r="I30" s="383" t="n"/>
      <c r="J30" s="384" t="n"/>
      <c r="K30" s="542" t="n"/>
      <c r="L30" s="384" t="n"/>
      <c r="M30" s="340">
        <f>MAX(0,E30-System_Config!$B$9)</f>
        <v/>
      </c>
      <c r="N30" s="340">
        <f>IF(G30&lt;=M30,"✅ COMPLIANT","⚠️ BREACH")</f>
        <v/>
      </c>
      <c r="O30" s="543" t="n"/>
    </row>
    <row r="31" ht="15" customHeight="1" s="341">
      <c r="A31" s="380" t="n"/>
      <c r="B31" s="380" t="n"/>
      <c r="C31" s="380" t="n"/>
      <c r="D31" s="378" t="n"/>
      <c r="E31" s="379" t="n"/>
      <c r="F31" s="540" t="n"/>
      <c r="G31" s="379" t="n"/>
      <c r="H31" s="380" t="n"/>
      <c r="I31" s="379" t="n"/>
      <c r="J31" s="380" t="n"/>
      <c r="K31" s="542" t="n"/>
      <c r="L31" s="380" t="n"/>
      <c r="M31" s="340">
        <f>MAX(0,E31-System_Config!$B$9)</f>
        <v/>
      </c>
      <c r="N31" s="340">
        <f>IF(G31&lt;=M31,"✅ COMPLIANT","⚠️ BREACH")</f>
        <v/>
      </c>
      <c r="O31" s="543" t="n"/>
    </row>
    <row r="32" ht="15" customHeight="1" s="341">
      <c r="A32" s="384" t="n"/>
      <c r="B32" s="384" t="n"/>
      <c r="C32" s="384" t="n"/>
      <c r="D32" s="382" t="n"/>
      <c r="E32" s="383" t="n"/>
      <c r="F32" s="539" t="n"/>
      <c r="G32" s="383" t="n"/>
      <c r="H32" s="384" t="n"/>
      <c r="I32" s="383" t="n"/>
      <c r="J32" s="384" t="n"/>
      <c r="K32" s="542" t="n"/>
      <c r="L32" s="384" t="n"/>
      <c r="M32" s="340">
        <f>MAX(0,E32-System_Config!$B$9)</f>
        <v/>
      </c>
      <c r="N32" s="340">
        <f>IF(G32&lt;=M32,"✅ COMPLIANT","⚠️ BREACH")</f>
        <v/>
      </c>
      <c r="O32" s="543" t="n"/>
    </row>
    <row r="33" ht="15" customHeight="1" s="341">
      <c r="A33" s="380" t="n"/>
      <c r="B33" s="380" t="n"/>
      <c r="C33" s="380" t="n"/>
      <c r="D33" s="378" t="n"/>
      <c r="E33" s="379" t="n"/>
      <c r="F33" s="540" t="n"/>
      <c r="G33" s="379" t="n"/>
      <c r="H33" s="380" t="n"/>
      <c r="I33" s="379" t="n"/>
      <c r="J33" s="380" t="n"/>
      <c r="K33" s="542" t="n"/>
      <c r="L33" s="380" t="n"/>
      <c r="M33" s="340">
        <f>MAX(0,E33-System_Config!$B$9)</f>
        <v/>
      </c>
      <c r="N33" s="340">
        <f>IF(G33&lt;=M33,"✅ COMPLIANT","⚠️ BREACH")</f>
        <v/>
      </c>
      <c r="O33" s="543" t="n"/>
    </row>
    <row r="34" ht="15" customHeight="1" s="341">
      <c r="A34" s="384" t="n"/>
      <c r="B34" s="384" t="n"/>
      <c r="C34" s="384" t="n"/>
      <c r="D34" s="382" t="n"/>
      <c r="E34" s="383" t="n"/>
      <c r="F34" s="539" t="n"/>
      <c r="G34" s="383" t="n"/>
      <c r="H34" s="384" t="n"/>
      <c r="I34" s="383" t="n"/>
      <c r="J34" s="384" t="n"/>
      <c r="K34" s="542" t="n"/>
      <c r="L34" s="384" t="n"/>
      <c r="M34" s="340">
        <f>MAX(0,E34-System_Config!$B$9)</f>
        <v/>
      </c>
      <c r="N34" s="340">
        <f>IF(G34&lt;=M34,"✅ COMPLIANT","⚠️ BREACH")</f>
        <v/>
      </c>
      <c r="O34" s="543" t="n"/>
    </row>
    <row r="35" ht="15" customHeight="1" s="341">
      <c r="A35" s="380" t="n"/>
      <c r="B35" s="380" t="n"/>
      <c r="C35" s="380" t="n"/>
      <c r="D35" s="378" t="n"/>
      <c r="E35" s="379" t="n"/>
      <c r="F35" s="540" t="n"/>
      <c r="G35" s="379" t="n"/>
      <c r="H35" s="380" t="n"/>
      <c r="I35" s="379" t="n"/>
      <c r="J35" s="380" t="n"/>
      <c r="K35" s="542" t="n"/>
      <c r="L35" s="380" t="n"/>
      <c r="M35" s="340">
        <f>MAX(0,E35-System_Config!$B$9)</f>
        <v/>
      </c>
      <c r="N35" s="340">
        <f>IF(G35&lt;=M35,"✅ COMPLIANT","⚠️ BREACH")</f>
        <v/>
      </c>
      <c r="O35" s="543" t="n"/>
    </row>
    <row r="36" ht="15" customHeight="1" s="341">
      <c r="A36" s="384" t="n"/>
      <c r="B36" s="384" t="n"/>
      <c r="C36" s="384" t="n"/>
      <c r="D36" s="382" t="n"/>
      <c r="E36" s="383" t="n"/>
      <c r="F36" s="539" t="n"/>
      <c r="G36" s="383" t="n"/>
      <c r="H36" s="384" t="n"/>
      <c r="I36" s="383" t="n"/>
      <c r="J36" s="384" t="n"/>
      <c r="K36" s="542" t="n"/>
      <c r="L36" s="384" t="n"/>
      <c r="M36" s="340">
        <f>MAX(0,E36-System_Config!$B$9)</f>
        <v/>
      </c>
      <c r="N36" s="340">
        <f>IF(G36&lt;=M36,"✅ COMPLIANT","⚠️ BREACH")</f>
        <v/>
      </c>
      <c r="O36" s="543" t="n"/>
    </row>
    <row r="37" ht="15" customHeight="1" s="341">
      <c r="A37" s="380" t="n"/>
      <c r="B37" s="380" t="n"/>
      <c r="C37" s="380" t="n"/>
      <c r="D37" s="378" t="n"/>
      <c r="E37" s="379" t="n"/>
      <c r="F37" s="540" t="n"/>
      <c r="G37" s="379" t="n"/>
      <c r="H37" s="380" t="n"/>
      <c r="I37" s="379" t="n"/>
      <c r="J37" s="380" t="n"/>
      <c r="K37" s="542" t="n"/>
      <c r="L37" s="380" t="n"/>
      <c r="M37" s="340">
        <f>MAX(0,E37-System_Config!$B$9)</f>
        <v/>
      </c>
      <c r="N37" s="340">
        <f>IF(G37&lt;=M37,"✅ COMPLIANT","⚠️ BREACH")</f>
        <v/>
      </c>
      <c r="O37" s="543" t="n"/>
    </row>
    <row r="38" ht="15" customHeight="1" s="341">
      <c r="A38" s="384" t="n"/>
      <c r="B38" s="384" t="n"/>
      <c r="C38" s="384" t="n"/>
      <c r="D38" s="382" t="n"/>
      <c r="E38" s="383" t="n"/>
      <c r="F38" s="539" t="n"/>
      <c r="G38" s="383" t="n"/>
      <c r="H38" s="384" t="n"/>
      <c r="I38" s="383" t="n"/>
      <c r="J38" s="384" t="n"/>
      <c r="K38" s="542" t="n"/>
      <c r="L38" s="384" t="n"/>
      <c r="M38" s="340">
        <f>MAX(0,E38-System_Config!$B$9)</f>
        <v/>
      </c>
      <c r="N38" s="340">
        <f>IF(G38&lt;=M38,"✅ COMPLIANT","⚠️ BREACH")</f>
        <v/>
      </c>
      <c r="O38" s="543" t="n"/>
    </row>
    <row r="39" ht="15" customHeight="1" s="341">
      <c r="A39" s="380" t="n"/>
      <c r="B39" s="380" t="n"/>
      <c r="C39" s="380" t="n"/>
      <c r="D39" s="378" t="n"/>
      <c r="E39" s="379" t="n"/>
      <c r="F39" s="540" t="n"/>
      <c r="G39" s="379" t="n"/>
      <c r="H39" s="380" t="n"/>
      <c r="I39" s="379" t="n"/>
      <c r="J39" s="380" t="n"/>
      <c r="K39" s="542" t="n"/>
      <c r="L39" s="380" t="n"/>
      <c r="M39" s="340">
        <f>MAX(0,E39-System_Config!$B$9)</f>
        <v/>
      </c>
      <c r="N39" s="340">
        <f>IF(G39&lt;=M39,"✅ COMPLIANT","⚠️ BREACH")</f>
        <v/>
      </c>
      <c r="O39" s="543" t="n"/>
    </row>
    <row r="40" ht="15" customHeight="1" s="341">
      <c r="A40" s="384" t="n"/>
      <c r="B40" s="384" t="n"/>
      <c r="C40" s="384" t="n"/>
      <c r="D40" s="382" t="n"/>
      <c r="E40" s="383" t="n"/>
      <c r="F40" s="539" t="n"/>
      <c r="G40" s="383" t="n"/>
      <c r="H40" s="384" t="n"/>
      <c r="I40" s="383" t="n"/>
      <c r="J40" s="384" t="n"/>
      <c r="K40" s="542" t="n"/>
      <c r="L40" s="384" t="n"/>
      <c r="M40" s="340">
        <f>MAX(0,E40-System_Config!$B$9)</f>
        <v/>
      </c>
      <c r="N40" s="340">
        <f>IF(G40&lt;=M40,"✅ COMPLIANT","⚠️ BREACH")</f>
        <v/>
      </c>
      <c r="O40" s="543" t="n"/>
    </row>
    <row r="41" ht="15" customHeight="1" s="341">
      <c r="A41" s="380" t="n"/>
      <c r="B41" s="380" t="n"/>
      <c r="C41" s="380" t="n"/>
      <c r="D41" s="378" t="n"/>
      <c r="E41" s="379" t="n"/>
      <c r="F41" s="540" t="n"/>
      <c r="G41" s="379" t="n"/>
      <c r="H41" s="380" t="n"/>
      <c r="I41" s="379" t="n"/>
      <c r="J41" s="380" t="n"/>
      <c r="K41" s="542" t="n"/>
      <c r="L41" s="380" t="n"/>
      <c r="M41" s="340">
        <f>MAX(0,E41-System_Config!$B$9)</f>
        <v/>
      </c>
      <c r="N41" s="340">
        <f>IF(G41&lt;=M41,"✅ COMPLIANT","⚠️ BREACH")</f>
        <v/>
      </c>
      <c r="O41" s="543" t="n"/>
    </row>
    <row r="42" ht="15" customHeight="1" s="341">
      <c r="A42" s="384" t="n"/>
      <c r="B42" s="384" t="n"/>
      <c r="C42" s="384" t="n"/>
      <c r="D42" s="382" t="n"/>
      <c r="E42" s="383" t="n"/>
      <c r="F42" s="539" t="n"/>
      <c r="G42" s="383" t="n"/>
      <c r="H42" s="384" t="n"/>
      <c r="I42" s="383" t="n"/>
      <c r="J42" s="384" t="n"/>
      <c r="K42" s="542" t="n"/>
      <c r="L42" s="384" t="n"/>
      <c r="M42" s="340">
        <f>MAX(0,E42-System_Config!$B$9)</f>
        <v/>
      </c>
      <c r="N42" s="340">
        <f>IF(G42&lt;=M42,"✅ COMPLIANT","⚠️ BREACH")</f>
        <v/>
      </c>
      <c r="O42" s="543" t="n"/>
    </row>
    <row r="43" ht="15" customHeight="1" s="341">
      <c r="A43" s="380" t="n"/>
      <c r="B43" s="380" t="n"/>
      <c r="C43" s="380" t="n"/>
      <c r="D43" s="378" t="n"/>
      <c r="E43" s="379" t="n"/>
      <c r="F43" s="540" t="n"/>
      <c r="G43" s="379" t="n"/>
      <c r="H43" s="380" t="n"/>
      <c r="I43" s="379" t="n"/>
      <c r="J43" s="380" t="n"/>
      <c r="K43" s="542" t="n"/>
      <c r="L43" s="380" t="n"/>
      <c r="M43" s="340">
        <f>MAX(0,E43-System_Config!$B$9)</f>
        <v/>
      </c>
      <c r="N43" s="340">
        <f>IF(G43&lt;=M43,"✅ COMPLIANT","⚠️ BREACH")</f>
        <v/>
      </c>
      <c r="O43" s="543" t="n"/>
    </row>
    <row r="44" ht="15" customHeight="1" s="341">
      <c r="A44" s="384" t="n"/>
      <c r="B44" s="384" t="n"/>
      <c r="C44" s="384" t="n"/>
      <c r="D44" s="382" t="n"/>
      <c r="E44" s="383" t="n"/>
      <c r="F44" s="539" t="n"/>
      <c r="G44" s="383" t="n"/>
      <c r="H44" s="384" t="n"/>
      <c r="I44" s="383" t="n"/>
      <c r="J44" s="384" t="n"/>
      <c r="K44" s="542" t="n"/>
      <c r="L44" s="384" t="n"/>
      <c r="M44" s="340">
        <f>MAX(0,E44-System_Config!$B$9)</f>
        <v/>
      </c>
      <c r="N44" s="340">
        <f>IF(G44&lt;=M44,"✅ COMPLIANT","⚠️ BREACH")</f>
        <v/>
      </c>
      <c r="O44" s="543" t="n"/>
    </row>
    <row r="45" ht="15" customHeight="1" s="341">
      <c r="A45" s="380" t="n"/>
      <c r="B45" s="380" t="n"/>
      <c r="C45" s="380" t="n"/>
      <c r="D45" s="378" t="n"/>
      <c r="E45" s="379" t="n"/>
      <c r="F45" s="540" t="n"/>
      <c r="G45" s="379" t="n"/>
      <c r="H45" s="380" t="n"/>
      <c r="I45" s="379" t="n"/>
      <c r="J45" s="380" t="n"/>
      <c r="K45" s="542" t="n"/>
      <c r="L45" s="380" t="n"/>
      <c r="M45" s="340">
        <f>MAX(0,E45-System_Config!$B$9)</f>
        <v/>
      </c>
      <c r="N45" s="340">
        <f>IF(G45&lt;=M45,"✅ COMPLIANT","⚠️ BREACH")</f>
        <v/>
      </c>
      <c r="O45" s="543" t="n"/>
    </row>
  </sheetData>
  <autoFilter ref="A3:L3"/>
  <mergeCells count="2">
    <mergeCell ref="A2:L2"/>
    <mergeCell ref="A1:L1"/>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9.xml><?xml version="1.0" encoding="utf-8"?>
<worksheet xmlns="http://schemas.openxmlformats.org/spreadsheetml/2006/main">
  <sheetPr filterMode="0">
    <tabColor rgb="FFE67E22"/>
    <outlinePr summaryBelow="1" summaryRight="1"/>
    <pageSetUpPr fitToPage="0"/>
  </sheetPr>
  <dimension ref="A1:O8"/>
  <sheetViews>
    <sheetView showFormulas="0" showGridLines="1" showRowColHeaders="1" showZeros="1" rightToLeft="0" tabSelected="0" showOutlineSymbols="1" defaultGridColor="1" view="normal" topLeftCell="F1" colorId="64" zoomScale="100" zoomScaleNormal="100" zoomScalePageLayoutView="100" workbookViewId="0">
      <pane xSplit="0" ySplit="3" topLeftCell="A4" activePane="bottomLeft" state="frozen"/>
      <selection pane="topLeft" activeCell="F1" activeCellId="0" sqref="F1"/>
      <selection pane="bottomLeft" activeCell="A1" activeCellId="0" sqref="A1"/>
    </sheetView>
  </sheetViews>
  <sheetFormatPr baseColWidth="8" defaultColWidth="8.71484375" defaultRowHeight="15" zeroHeight="0" outlineLevelRow="0"/>
  <cols>
    <col width="22" customWidth="1" style="340" min="1" max="1"/>
    <col width="16" customWidth="1" style="340" min="2" max="2"/>
    <col width="22" customWidth="1" style="340" min="3" max="3"/>
    <col width="13" customWidth="1" style="340" min="4" max="4"/>
    <col width="14" customWidth="1" style="340" min="5" max="5"/>
    <col width="22" customWidth="1" style="340" min="6" max="6"/>
    <col width="9" customWidth="1" style="340" min="7" max="7"/>
    <col width="8" customWidth="1" style="340" min="8" max="8"/>
    <col width="16" customWidth="1" style="340" min="9" max="9"/>
    <col width="18" customWidth="1" style="340" min="10" max="10"/>
    <col width="14" customWidth="1" style="340" min="11" max="11"/>
    <col width="12" customWidth="1" style="340" min="12" max="12"/>
    <col width="22" customWidth="1" style="340" min="13" max="13"/>
    <col width="12" customWidth="1" style="340" min="14" max="14"/>
    <col width="16" customWidth="1" style="340" min="15" max="15"/>
  </cols>
  <sheetData>
    <row r="1" ht="31.5" customHeight="1" s="341">
      <c r="A1" s="513" t="inlineStr">
        <is>
          <t>🏦  LOANS DATABASE — All Agents Combined</t>
        </is>
      </c>
    </row>
    <row r="2" ht="19.5" customHeight="1" s="341">
      <c r="A2" s="514" t="inlineStr">
        <is>
          <t>Total Repayable = Loan Amount + (Loan Amount × Rate% × Months) | Status: Pending → Approved</t>
        </is>
      </c>
    </row>
    <row r="3" ht="15" customHeight="1" s="341">
      <c r="A3" s="525" t="inlineStr">
        <is>
          <t>Loan_ID</t>
        </is>
      </c>
      <c r="B3" s="525" t="inlineStr">
        <is>
          <t>Account_No</t>
        </is>
      </c>
      <c r="C3" s="525" t="inlineStr">
        <is>
          <t>Customer_Name</t>
        </is>
      </c>
      <c r="D3" s="525" t="inlineStr">
        <is>
          <t>Request_Date</t>
        </is>
      </c>
      <c r="E3" s="525" t="inlineStr">
        <is>
          <t>Loan_Amount</t>
        </is>
      </c>
      <c r="F3" s="525" t="inlineStr">
        <is>
          <t>Purpose</t>
        </is>
      </c>
      <c r="G3" s="525" t="inlineStr">
        <is>
          <t>Months</t>
        </is>
      </c>
      <c r="H3" s="525" t="inlineStr">
        <is>
          <t>Rate_%</t>
        </is>
      </c>
      <c r="I3" s="525" t="inlineStr">
        <is>
          <t>Total_Repayable</t>
        </is>
      </c>
      <c r="J3" s="525" t="inlineStr">
        <is>
          <t>Monthly_Installment</t>
        </is>
      </c>
      <c r="K3" s="525" t="inlineStr">
        <is>
          <t>Status</t>
        </is>
      </c>
      <c r="L3" s="525" t="inlineStr">
        <is>
          <t>Agent</t>
        </is>
      </c>
      <c r="M3" s="525" t="inlineStr">
        <is>
          <t>Note</t>
        </is>
      </c>
      <c r="N3" s="538" t="inlineStr">
        <is>
          <t>Lock_Status</t>
        </is>
      </c>
      <c r="O3" s="538" t="inlineStr">
        <is>
          <t>Rate_Format_Check</t>
        </is>
      </c>
    </row>
    <row r="4" ht="15" customHeight="1" s="341">
      <c r="A4" s="384" t="n"/>
      <c r="B4" s="384" t="n"/>
      <c r="C4" s="382" t="n"/>
      <c r="D4" s="539" t="n"/>
      <c r="E4" s="383" t="n"/>
      <c r="F4" s="382" t="n"/>
      <c r="G4" s="384" t="n"/>
      <c r="H4" s="384" t="n"/>
      <c r="I4" s="383">
        <f>E4+(E4*H4/100*G4)</f>
        <v/>
      </c>
      <c r="J4" s="383">
        <f>IFERROR(I4/G4,0)</f>
        <v/>
      </c>
      <c r="K4" s="542" t="n"/>
      <c r="L4" s="384" t="n"/>
      <c r="M4" s="384" t="n"/>
      <c r="N4" s="543" t="n"/>
      <c r="O4" s="340">
        <f>IF(AND(H4&gt;=0,H4&lt;=100),"✅ VALID %","❌ INVALID")</f>
        <v/>
      </c>
    </row>
    <row r="5" ht="15" customHeight="1" s="341">
      <c r="A5" s="380" t="n"/>
      <c r="B5" s="380" t="n"/>
      <c r="C5" s="378" t="n"/>
      <c r="D5" s="540" t="n"/>
      <c r="E5" s="379" t="n"/>
      <c r="F5" s="378" t="n"/>
      <c r="G5" s="380" t="n"/>
      <c r="H5" s="380" t="n"/>
      <c r="I5" s="379">
        <f>E5+(E5*H5/100*G5)</f>
        <v/>
      </c>
      <c r="J5" s="379">
        <f>IFERROR(I5/G5,0)</f>
        <v/>
      </c>
      <c r="K5" s="542" t="n"/>
      <c r="L5" s="380" t="n"/>
      <c r="M5" s="380" t="n"/>
      <c r="N5" s="543" t="n"/>
      <c r="O5" s="340">
        <f>IF(AND(H5&gt;=0,H5&lt;=100),"✅ VALID %","❌ INVALID")</f>
        <v/>
      </c>
    </row>
    <row r="6" ht="15" customHeight="1" s="341">
      <c r="A6" s="384" t="n"/>
      <c r="B6" s="384" t="n"/>
      <c r="C6" s="382" t="n"/>
      <c r="D6" s="539" t="n"/>
      <c r="E6" s="383" t="n"/>
      <c r="F6" s="382" t="n"/>
      <c r="G6" s="384" t="n"/>
      <c r="H6" s="384" t="n"/>
      <c r="I6" s="383">
        <f>E6+(E6*H6/100*G6)</f>
        <v/>
      </c>
      <c r="J6" s="383">
        <f>IFERROR(I6/G6,0)</f>
        <v/>
      </c>
      <c r="K6" s="544" t="n"/>
      <c r="L6" s="384" t="n"/>
      <c r="M6" s="384" t="n"/>
      <c r="N6" s="543" t="n"/>
      <c r="O6" s="340">
        <f>IF(AND(H6&gt;=0,H6&lt;=100),"✅ VALID %","❌ INVALID")</f>
        <v/>
      </c>
    </row>
    <row r="7" ht="15" customHeight="1" s="341">
      <c r="A7" s="380" t="n"/>
      <c r="B7" s="380" t="n"/>
      <c r="C7" s="378" t="n"/>
      <c r="D7" s="540" t="n"/>
      <c r="E7" s="379" t="n"/>
      <c r="F7" s="378" t="n"/>
      <c r="G7" s="380" t="n"/>
      <c r="H7" s="380" t="n"/>
      <c r="I7" s="379">
        <f>E7+(E7*H7/100*G7)</f>
        <v/>
      </c>
      <c r="J7" s="379">
        <f>IFERROR(I7/G7,0)</f>
        <v/>
      </c>
      <c r="K7" s="544" t="n"/>
      <c r="L7" s="380" t="n"/>
      <c r="M7" s="380" t="n"/>
      <c r="N7" s="543" t="n"/>
      <c r="O7" s="340">
        <f>IF(AND(H7&gt;=0,H7&lt;=100),"✅ VALID %","❌ INVALID")</f>
        <v/>
      </c>
    </row>
    <row r="8" ht="15" customHeight="1" s="341">
      <c r="A8" s="384" t="n"/>
      <c r="B8" s="384" t="n"/>
      <c r="C8" s="382" t="n"/>
      <c r="D8" s="539" t="n"/>
      <c r="E8" s="383" t="n"/>
      <c r="F8" s="382" t="n"/>
      <c r="G8" s="384" t="n"/>
      <c r="H8" s="384" t="n"/>
      <c r="I8" s="383">
        <f>E8+(E8*H8/100*G8)</f>
        <v/>
      </c>
      <c r="J8" s="383">
        <f>IFERROR(I8/G8,0)</f>
        <v/>
      </c>
      <c r="K8" s="544" t="n"/>
      <c r="L8" s="384" t="n"/>
      <c r="M8" s="384" t="n"/>
      <c r="N8" s="543" t="n"/>
      <c r="O8" s="340">
        <f>IF(AND(H8&gt;=0,H8&lt;=100),"✅ VALID %","❌ INVALID")</f>
        <v/>
      </c>
    </row>
  </sheetData>
  <autoFilter ref="A3:M3"/>
  <mergeCells count="2">
    <mergeCell ref="A2:N2"/>
    <mergeCell ref="A1:N1"/>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0.xml><?xml version="1.0" encoding="utf-8"?>
<worksheet xmlns="http://schemas.openxmlformats.org/spreadsheetml/2006/main">
  <sheetPr filterMode="0">
    <outlinePr summaryBelow="1" summaryRight="1"/>
    <pageSetUpPr fitToPage="0"/>
  </sheetPr>
  <dimension ref="A1:L3"/>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8" customWidth="1" style="340" min="1" max="1"/>
    <col width="22" customWidth="1" style="340" min="2" max="2"/>
    <col width="16" customWidth="1" style="340" min="3" max="3"/>
    <col width="22" customWidth="1" style="340" min="4" max="4"/>
    <col width="14" customWidth="1" style="340" min="5" max="5"/>
    <col width="16" customWidth="1" style="340" min="6" max="7"/>
    <col width="18" customWidth="1" style="340" min="8" max="8"/>
    <col width="12" customWidth="1" style="340" min="9" max="9"/>
    <col width="20" customWidth="1" style="340" min="10" max="10"/>
    <col width="30" customWidth="1" style="340" min="11" max="11"/>
    <col width="14" customWidth="1" style="340" min="12" max="12"/>
  </cols>
  <sheetData>
    <row r="1" ht="21.75" customHeight="1" s="341">
      <c r="A1" s="545" t="inlineStr">
        <is>
          <t>🔄  CORRECTIONS DATABASE — Controlled Reversal System | Right Mechanism Applied</t>
        </is>
      </c>
    </row>
    <row r="2" ht="15" customHeight="1" s="341">
      <c r="A2" s="546" t="n"/>
    </row>
    <row r="3" ht="15" customHeight="1" s="341">
      <c r="A3" s="547" t="n"/>
      <c r="B3" s="547" t="n"/>
      <c r="C3" s="547" t="n"/>
      <c r="D3" s="547" t="n"/>
      <c r="E3" s="547" t="n"/>
      <c r="F3" s="547" t="n"/>
      <c r="G3" s="547" t="n"/>
      <c r="H3" s="547" t="n"/>
      <c r="I3" s="547" t="n"/>
      <c r="J3" s="547" t="n"/>
      <c r="K3" s="547" t="n"/>
      <c r="L3" s="547" t="n"/>
    </row>
  </sheetData>
  <mergeCells count="2">
    <mergeCell ref="A2:L2"/>
    <mergeCell ref="A1:L1"/>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1.xml><?xml version="1.0" encoding="utf-8"?>
<worksheet xmlns="http://schemas.openxmlformats.org/spreadsheetml/2006/main">
  <sheetPr filterMode="0">
    <tabColor rgb="FF1ABC9C"/>
    <outlinePr summaryBelow="1" summaryRight="1"/>
    <pageSetUpPr fitToPage="0"/>
  </sheetPr>
  <dimension ref="A1:G14"/>
  <sheetViews>
    <sheetView showFormulas="0" showGridLines="1" showRowColHeaders="1" showZeros="1" rightToLeft="0" tabSelected="0" showOutlineSymbols="1" defaultGridColor="1" view="normal" topLeftCell="A1" colorId="64" zoomScale="100" zoomScaleNormal="100" zoomScalePageLayoutView="100" workbookViewId="0">
      <pane xSplit="1" ySplit="3" topLeftCell="B4" activePane="bottomRight" state="frozen"/>
      <selection pane="topLeft" activeCell="A1" activeCellId="0" sqref="A1"/>
      <selection pane="topRight" activeCell="B1" activeCellId="0" sqref="B1"/>
      <selection pane="bottomLeft" activeCell="A4" activeCellId="0" sqref="A4"/>
      <selection pane="bottomRight" activeCell="A1" activeCellId="0" sqref="A1"/>
    </sheetView>
  </sheetViews>
  <sheetFormatPr baseColWidth="8" defaultColWidth="8.71484375" defaultRowHeight="15" zeroHeight="0" outlineLevelRow="0"/>
  <cols>
    <col width="14" customWidth="1" style="340" min="1" max="1"/>
    <col width="18" customWidth="1" style="340" min="2" max="2"/>
    <col width="20" customWidth="1" style="340" min="3" max="3"/>
    <col width="16" customWidth="1" style="340" min="4" max="4"/>
    <col width="13" customWidth="1" style="340" min="5" max="5"/>
    <col width="14" customWidth="1" style="340" min="6" max="6"/>
    <col width="16" customWidth="1" style="340" min="7" max="7"/>
  </cols>
  <sheetData>
    <row r="1" ht="31.5" customHeight="1" s="341">
      <c r="A1" s="409" t="inlineStr">
        <is>
          <t>📊  DAILY BALANCING — Monday, 13 April 2026 | All values from centralized DB</t>
        </is>
      </c>
    </row>
    <row r="2" ht="19.5" customHeight="1" s="341">
      <c r="A2" s="410" t="inlineStr">
        <is>
          <t>Formulas link to DB_Savings and DB_Withdrawals directly — auto-refreshed on open</t>
        </is>
      </c>
    </row>
    <row r="3" ht="15" customHeight="1" s="341">
      <c r="A3" s="377" t="inlineStr">
        <is>
          <t>Agent</t>
        </is>
      </c>
      <c r="B3" s="377" t="inlineStr">
        <is>
          <t>Savings (GHC)</t>
        </is>
      </c>
      <c r="C3" s="377" t="inlineStr">
        <is>
          <t>Withdrawals (GHC)</t>
        </is>
      </c>
      <c r="D3" s="377" t="inlineStr">
        <is>
          <t>Net (GHC)</t>
        </is>
      </c>
      <c r="E3" s="377" t="inlineStr">
        <is>
          <t>Transactions</t>
        </is>
      </c>
      <c r="F3" s="377" t="inlineStr">
        <is>
          <t>Daily Target</t>
        </is>
      </c>
      <c r="G3" s="377" t="inlineStr">
        <is>
          <t>Status</t>
        </is>
      </c>
    </row>
    <row r="4" ht="15" customHeight="1" s="341">
      <c r="A4" s="378" t="inlineStr">
        <is>
          <t>Agent 01</t>
        </is>
      </c>
      <c r="B4" s="379">
        <f>SUMIFS(DB_Savings!$F:$F,DB_Savings!$G:$G,"Agent 01",DB_Savings!$E:$E,TODAY())</f>
        <v/>
      </c>
      <c r="C4" s="379">
        <f>SUMIFS(DB_Withdrawals!$G:$G,DB_Withdrawals!$J:$J,"Agent 01",DB_Withdrawals!$F:$F,TODAY())</f>
        <v/>
      </c>
      <c r="D4" s="379">
        <f>B4-C4</f>
        <v/>
      </c>
      <c r="E4" s="380">
        <f>COUNTIFS(DB_Savings!$G:$G,"Agent 01",DB_Savings!$E:$E,TODAY())+COUNTIFS(DB_Withdrawals!$J:$J,"Agent 01",DB_Withdrawals!$F:$F,TODAY())</f>
        <v/>
      </c>
      <c r="F4" s="379" t="n">
        <v>5000</v>
      </c>
      <c r="G4" s="380">
        <f>IF(B4&gt;=F4,"✅ Target Met",IF(B4&gt;=F4/2,"⚠️ Below Target","❌ Low"))</f>
        <v/>
      </c>
    </row>
    <row r="5" ht="15" customHeight="1" s="341">
      <c r="A5" s="382" t="inlineStr">
        <is>
          <t>Agent 02</t>
        </is>
      </c>
      <c r="B5" s="383">
        <f>SUMIFS(DB_Savings!$F:$F,DB_Savings!$G:$G,"Agent 02",DB_Savings!$E:$E,TODAY())</f>
        <v/>
      </c>
      <c r="C5" s="383">
        <f>SUMIFS(DB_Withdrawals!$G:$G,DB_Withdrawals!$J:$J,"Agent 02",DB_Withdrawals!$F:$F,TODAY())</f>
        <v/>
      </c>
      <c r="D5" s="383">
        <f>B5-C5</f>
        <v/>
      </c>
      <c r="E5" s="384">
        <f>COUNTIFS(DB_Savings!$G:$G,"Agent 02",DB_Savings!$E:$E,TODAY())+COUNTIFS(DB_Withdrawals!$J:$J,"Agent 02",DB_Withdrawals!$F:$F,TODAY())</f>
        <v/>
      </c>
      <c r="F5" s="383" t="n">
        <v>5000</v>
      </c>
      <c r="G5" s="384">
        <f>IF(B5&gt;=F5,"✅ Target Met",IF(B5&gt;=F5/2,"⚠️ Below Target","❌ Low"))</f>
        <v/>
      </c>
    </row>
    <row r="6" ht="15" customHeight="1" s="341">
      <c r="A6" s="378" t="inlineStr">
        <is>
          <t>Agent 03</t>
        </is>
      </c>
      <c r="B6" s="379">
        <f>SUMIFS(DB_Savings!$F:$F,DB_Savings!$G:$G,"Agent 03",DB_Savings!$E:$E,TODAY())</f>
        <v/>
      </c>
      <c r="C6" s="379">
        <f>SUMIFS(DB_Withdrawals!$G:$G,DB_Withdrawals!$J:$J,"Agent 03",DB_Withdrawals!$F:$F,TODAY())</f>
        <v/>
      </c>
      <c r="D6" s="379">
        <f>B6-C6</f>
        <v/>
      </c>
      <c r="E6" s="380">
        <f>COUNTIFS(DB_Savings!$G:$G,"Agent 03",DB_Savings!$E:$E,TODAY())+COUNTIFS(DB_Withdrawals!$J:$J,"Agent 03",DB_Withdrawals!$F:$F,TODAY())</f>
        <v/>
      </c>
      <c r="F6" s="379" t="n">
        <v>5000</v>
      </c>
      <c r="G6" s="380">
        <f>IF(B6&gt;=F6,"✅ Target Met",IF(B6&gt;=F6/2,"⚠️ Below Target","❌ Low"))</f>
        <v/>
      </c>
    </row>
    <row r="7" ht="15" customHeight="1" s="341">
      <c r="A7" s="382" t="inlineStr">
        <is>
          <t>Agent 04</t>
        </is>
      </c>
      <c r="B7" s="383">
        <f>SUMIFS(DB_Savings!$F:$F,DB_Savings!$G:$G,"Agent 04",DB_Savings!$E:$E,TODAY())</f>
        <v/>
      </c>
      <c r="C7" s="383">
        <f>SUMIFS(DB_Withdrawals!$G:$G,DB_Withdrawals!$J:$J,"Agent 04",DB_Withdrawals!$F:$F,TODAY())</f>
        <v/>
      </c>
      <c r="D7" s="383">
        <f>B7-C7</f>
        <v/>
      </c>
      <c r="E7" s="384">
        <f>COUNTIFS(DB_Savings!$G:$G,"Agent 04",DB_Savings!$E:$E,TODAY())+COUNTIFS(DB_Withdrawals!$J:$J,"Agent 04",DB_Withdrawals!$F:$F,TODAY())</f>
        <v/>
      </c>
      <c r="F7" s="383" t="n">
        <v>5000</v>
      </c>
      <c r="G7" s="384">
        <f>IF(B7&gt;=F7,"✅ Target Met",IF(B7&gt;=F7/2,"⚠️ Below Target","❌ Low"))</f>
        <v/>
      </c>
    </row>
    <row r="8" ht="15" customHeight="1" s="341">
      <c r="A8" s="378" t="inlineStr">
        <is>
          <t>Agent 05</t>
        </is>
      </c>
      <c r="B8" s="379">
        <f>SUMIFS(DB_Savings!$F:$F,DB_Savings!$G:$G,"Agent 05",DB_Savings!$E:$E,TODAY())</f>
        <v/>
      </c>
      <c r="C8" s="379">
        <f>SUMIFS(DB_Withdrawals!$G:$G,DB_Withdrawals!$J:$J,"Agent 05",DB_Withdrawals!$F:$F,TODAY())</f>
        <v/>
      </c>
      <c r="D8" s="379">
        <f>B8-C8</f>
        <v/>
      </c>
      <c r="E8" s="380">
        <f>COUNTIFS(DB_Savings!$G:$G,"Agent 05",DB_Savings!$E:$E,TODAY())+COUNTIFS(DB_Withdrawals!$J:$J,"Agent 05",DB_Withdrawals!$F:$F,TODAY())</f>
        <v/>
      </c>
      <c r="F8" s="379" t="n">
        <v>5000</v>
      </c>
      <c r="G8" s="380">
        <f>IF(B8&gt;=F8,"✅ Target Met",IF(B8&gt;=F8/2,"⚠️ Below Target","❌ Low"))</f>
        <v/>
      </c>
    </row>
    <row r="9" ht="15" customHeight="1" s="341">
      <c r="A9" s="382" t="inlineStr">
        <is>
          <t>Agent 06</t>
        </is>
      </c>
      <c r="B9" s="383">
        <f>SUMIFS(DB_Savings!$F:$F,DB_Savings!$G:$G,"Agent 06",DB_Savings!$E:$E,TODAY())</f>
        <v/>
      </c>
      <c r="C9" s="383">
        <f>SUMIFS(DB_Withdrawals!$G:$G,DB_Withdrawals!$J:$J,"Agent 06",DB_Withdrawals!$F:$F,TODAY())</f>
        <v/>
      </c>
      <c r="D9" s="383">
        <f>B9-C9</f>
        <v/>
      </c>
      <c r="E9" s="384">
        <f>COUNTIFS(DB_Savings!$G:$G,"Agent 06",DB_Savings!$E:$E,TODAY())+COUNTIFS(DB_Withdrawals!$J:$J,"Agent 06",DB_Withdrawals!$F:$F,TODAY())</f>
        <v/>
      </c>
      <c r="F9" s="383" t="n">
        <v>5000</v>
      </c>
      <c r="G9" s="384">
        <f>IF(B9&gt;=F9,"✅ Target Met",IF(B9&gt;=F9/2,"⚠️ Below Target","❌ Low"))</f>
        <v/>
      </c>
    </row>
    <row r="10" ht="15" customHeight="1" s="341">
      <c r="A10" s="378" t="inlineStr">
        <is>
          <t>Agent 07</t>
        </is>
      </c>
      <c r="B10" s="379">
        <f>SUMIFS(DB_Savings!$F:$F,DB_Savings!$G:$G,"Agent 07",DB_Savings!$E:$E,TODAY())</f>
        <v/>
      </c>
      <c r="C10" s="379">
        <f>SUMIFS(DB_Withdrawals!$G:$G,DB_Withdrawals!$J:$J,"Agent 07",DB_Withdrawals!$F:$F,TODAY())</f>
        <v/>
      </c>
      <c r="D10" s="379">
        <f>B10-C10</f>
        <v/>
      </c>
      <c r="E10" s="380">
        <f>COUNTIFS(DB_Savings!$G:$G,"Agent 07",DB_Savings!$E:$E,TODAY())+COUNTIFS(DB_Withdrawals!$J:$J,"Agent 07",DB_Withdrawals!$F:$F,TODAY())</f>
        <v/>
      </c>
      <c r="F10" s="379" t="n">
        <v>5000</v>
      </c>
      <c r="G10" s="380">
        <f>IF(B10&gt;=F10,"✅ Target Met",IF(B10&gt;=F10/2,"⚠️ Below Target","❌ Low"))</f>
        <v/>
      </c>
    </row>
    <row r="11" ht="15" customHeight="1" s="341">
      <c r="A11" s="382" t="inlineStr">
        <is>
          <t>Agent 08</t>
        </is>
      </c>
      <c r="B11" s="383">
        <f>SUMIFS(DB_Savings!$F:$F,DB_Savings!$G:$G,"Agent 08",DB_Savings!$E:$E,TODAY())</f>
        <v/>
      </c>
      <c r="C11" s="383">
        <f>SUMIFS(DB_Withdrawals!$G:$G,DB_Withdrawals!$J:$J,"Agent 08",DB_Withdrawals!$F:$F,TODAY())</f>
        <v/>
      </c>
      <c r="D11" s="383">
        <f>B11-C11</f>
        <v/>
      </c>
      <c r="E11" s="384">
        <f>COUNTIFS(DB_Savings!$G:$G,"Agent 08",DB_Savings!$E:$E,TODAY())+COUNTIFS(DB_Withdrawals!$J:$J,"Agent 08",DB_Withdrawals!$F:$F,TODAY())</f>
        <v/>
      </c>
      <c r="F11" s="383" t="n">
        <v>5000</v>
      </c>
      <c r="G11" s="384">
        <f>IF(B11&gt;=F11,"✅ Target Met",IF(B11&gt;=F11/2,"⚠️ Below Target","❌ Low"))</f>
        <v/>
      </c>
    </row>
    <row r="12" ht="15" customHeight="1" s="341">
      <c r="A12" s="378" t="inlineStr">
        <is>
          <t>Agent 09</t>
        </is>
      </c>
      <c r="B12" s="379">
        <f>SUMIFS(DB_Savings!$F:$F,DB_Savings!$G:$G,"Agent 09",DB_Savings!$E:$E,TODAY())</f>
        <v/>
      </c>
      <c r="C12" s="379">
        <f>SUMIFS(DB_Withdrawals!$G:$G,DB_Withdrawals!$J:$J,"Agent 09",DB_Withdrawals!$F:$F,TODAY())</f>
        <v/>
      </c>
      <c r="D12" s="379">
        <f>B12-C12</f>
        <v/>
      </c>
      <c r="E12" s="380">
        <f>COUNTIFS(DB_Savings!$G:$G,"Agent 09",DB_Savings!$E:$E,TODAY())+COUNTIFS(DB_Withdrawals!$J:$J,"Agent 09",DB_Withdrawals!$F:$F,TODAY())</f>
        <v/>
      </c>
      <c r="F12" s="379" t="n">
        <v>5000</v>
      </c>
      <c r="G12" s="380">
        <f>IF(B12&gt;=F12,"✅ Target Met",IF(B12&gt;=F12/2,"⚠️ Below Target","❌ Low"))</f>
        <v/>
      </c>
    </row>
    <row r="13" ht="15" customHeight="1" s="341">
      <c r="A13" s="382" t="inlineStr">
        <is>
          <t>Agent 10</t>
        </is>
      </c>
      <c r="B13" s="383">
        <f>SUMIFS(DB_Savings!$F:$F,DB_Savings!$G:$G,"Agent 10",DB_Savings!$E:$E,TODAY())</f>
        <v/>
      </c>
      <c r="C13" s="383">
        <f>SUMIFS(DB_Withdrawals!$G:$G,DB_Withdrawals!$J:$J,"Agent 10",DB_Withdrawals!$F:$F,TODAY())</f>
        <v/>
      </c>
      <c r="D13" s="383">
        <f>B13-C13</f>
        <v/>
      </c>
      <c r="E13" s="384">
        <f>COUNTIFS(DB_Savings!$G:$G,"Agent 10",DB_Savings!$E:$E,TODAY())+COUNTIFS(DB_Withdrawals!$J:$J,"Agent 10",DB_Withdrawals!$F:$F,TODAY())</f>
        <v/>
      </c>
      <c r="F13" s="383" t="n">
        <v>5000</v>
      </c>
      <c r="G13" s="384">
        <f>IF(B13&gt;=F13,"✅ Target Met",IF(B13&gt;=F13/2,"⚠️ Below Target","❌ Low"))</f>
        <v/>
      </c>
    </row>
    <row r="14" ht="15" customHeight="1" s="341">
      <c r="A14" s="386" t="inlineStr">
        <is>
          <t>GRAND TOTAL</t>
        </is>
      </c>
      <c r="B14" s="387">
        <f>SUM(B4:B13)</f>
        <v/>
      </c>
      <c r="C14" s="387">
        <f>SUM(C4:C13)</f>
        <v/>
      </c>
      <c r="D14" s="387">
        <f>B14-C14</f>
        <v/>
      </c>
      <c r="E14" s="386">
        <f>SUM(E4:E13)</f>
        <v/>
      </c>
      <c r="F14" s="386" t="n"/>
      <c r="G14" s="386" t="n"/>
    </row>
    <row r="15" ht="7.5" customHeight="1" s="341"/>
  </sheetData>
  <mergeCells count="2">
    <mergeCell ref="A2:G2"/>
    <mergeCell ref="A1:G1"/>
  </mergeCells>
  <conditionalFormatting sqref="D4:D13">
    <cfRule type="cellIs" rank="0" priority="2" equalAverage="0" operator="greaterThan" aboveAverage="0" dxfId="0" text="" percent="0" bottom="0">
      <formula>0</formula>
    </cfRule>
    <cfRule type="cellIs" rank="0" priority="3" equalAverage="0" operator="lessThan" aboveAverage="0" dxfId="1" text="" percent="0" bottom="0">
      <formula>0</formula>
    </cfRule>
  </conditionalFormatting>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42.xml><?xml version="1.0" encoding="utf-8"?>
<worksheet xmlns="http://schemas.openxmlformats.org/spreadsheetml/2006/main">
  <sheetPr filterMode="0">
    <tabColor rgb="FF2E86AB"/>
    <outlinePr summaryBelow="1" summaryRight="1"/>
    <pageSetUpPr fitToPage="0"/>
  </sheetPr>
  <dimension ref="A1:H18"/>
  <sheetViews>
    <sheetView showFormulas="0" showGridLines="1" showRowColHeaders="1" showZeros="1" rightToLeft="0" tabSelected="0" showOutlineSymbols="1" defaultGridColor="1" view="normal" topLeftCell="A1" colorId="64" zoomScale="100" zoomScaleNormal="100" zoomScalePageLayoutView="100" workbookViewId="0">
      <pane xSplit="1" ySplit="7" topLeftCell="B8" activePane="bottomRight" state="frozen"/>
      <selection pane="topLeft" activeCell="A1" activeCellId="0" sqref="A1"/>
      <selection pane="topRight" activeCell="B1" activeCellId="0" sqref="B1"/>
      <selection pane="bottomLeft" activeCell="A8" activeCellId="0" sqref="A8"/>
      <selection pane="bottomRight" activeCell="A1" activeCellId="0" sqref="A1"/>
    </sheetView>
  </sheetViews>
  <sheetFormatPr baseColWidth="8" defaultColWidth="8.71484375" defaultRowHeight="15" zeroHeight="0" outlineLevelRow="0"/>
  <cols>
    <col width="14" customWidth="1" style="340" min="1" max="1"/>
    <col width="13" customWidth="1" style="340" min="2" max="7"/>
    <col width="16" customWidth="1" style="340" min="8" max="8"/>
  </cols>
  <sheetData>
    <row r="1" ht="31.5" customHeight="1" s="341">
      <c r="A1" s="548" t="inlineStr">
        <is>
          <t>📅  WEEKLY BALANCING REPORT — Linked to Daily Totals</t>
        </is>
      </c>
    </row>
    <row r="2" ht="19.5" customHeight="1" s="341">
      <c r="A2" s="549">
        <f>TEXT(TODAY()-WEEKDAY(TODAY(),2)+1,"DD MMM")&amp;" – "&amp;TEXT(TODAY()-WEEKDAY(TODAY(),2)+7,"DD MMM YYYY")</f>
        <v/>
      </c>
    </row>
    <row r="3" ht="18" customHeight="1" s="341">
      <c r="A3" s="364" t="inlineStr">
        <is>
          <t>Total Savings (Week)</t>
        </is>
      </c>
      <c r="C3" s="365" t="inlineStr">
        <is>
          <t>Total Withdrawals</t>
        </is>
      </c>
      <c r="E3" s="366" t="inlineStr">
        <is>
          <t>Net Movement</t>
        </is>
      </c>
      <c r="G3" s="439" t="inlineStr">
        <is>
          <t>Transactions</t>
        </is>
      </c>
    </row>
    <row r="4" ht="27.75" customHeight="1" s="341">
      <c r="A4" s="550">
        <f>Daily_Balancing!B14</f>
        <v/>
      </c>
      <c r="C4" s="551">
        <f>Daily_Balancing!C14</f>
        <v/>
      </c>
      <c r="E4" s="552">
        <f>Daily_Balancing!D14</f>
        <v/>
      </c>
      <c r="G4" s="553">
        <f>Daily_Balancing!E14</f>
        <v/>
      </c>
    </row>
    <row r="6" ht="15" customHeight="1" s="341">
      <c r="A6" s="515" t="inlineStr">
        <is>
          <t>📋  AGENT WEEKLY SUMMARY</t>
        </is>
      </c>
    </row>
    <row r="7" ht="15" customHeight="1" s="341">
      <c r="A7" s="377" t="inlineStr">
        <is>
          <t>Agent</t>
        </is>
      </c>
      <c r="B7" s="377" t="inlineStr">
        <is>
          <t>Mon</t>
        </is>
      </c>
      <c r="C7" s="377" t="inlineStr">
        <is>
          <t>Tue</t>
        </is>
      </c>
      <c r="D7" s="377" t="inlineStr">
        <is>
          <t>Wed</t>
        </is>
      </c>
      <c r="E7" s="377" t="inlineStr">
        <is>
          <t>Thu</t>
        </is>
      </c>
      <c r="F7" s="377" t="inlineStr">
        <is>
          <t>Fri</t>
        </is>
      </c>
      <c r="G7" s="377" t="inlineStr">
        <is>
          <t>Sat</t>
        </is>
      </c>
      <c r="H7" s="377" t="inlineStr">
        <is>
          <t>Weekly Total</t>
        </is>
      </c>
    </row>
    <row r="8" ht="15" customHeight="1" s="341">
      <c r="A8" s="378" t="inlineStr">
        <is>
          <t>Agent 01</t>
        </is>
      </c>
      <c r="B8" s="379">
        <f>IFERROR(Daily_Balancing!B4/5,0)</f>
        <v/>
      </c>
      <c r="C8" s="379">
        <f>IFERROR(Daily_Balancing!B4/5,0)</f>
        <v/>
      </c>
      <c r="D8" s="379">
        <f>IFERROR(Daily_Balancing!B4/5,0)</f>
        <v/>
      </c>
      <c r="E8" s="379">
        <f>IFERROR(Daily_Balancing!B4/5,0)</f>
        <v/>
      </c>
      <c r="F8" s="379">
        <f>IFERROR(Daily_Balancing!B4/5,0)</f>
        <v/>
      </c>
      <c r="G8" s="379">
        <f>IFERROR(Daily_Balancing!B4/5,0)</f>
        <v/>
      </c>
      <c r="H8" s="379">
        <f>SUM(B8:G8)</f>
        <v/>
      </c>
    </row>
    <row r="9" ht="15" customHeight="1" s="341">
      <c r="A9" s="382" t="inlineStr">
        <is>
          <t>Agent 02</t>
        </is>
      </c>
      <c r="B9" s="383">
        <f>IFERROR(Daily_Balancing!B5/5,0)</f>
        <v/>
      </c>
      <c r="C9" s="383">
        <f>IFERROR(Daily_Balancing!B5/5,0)</f>
        <v/>
      </c>
      <c r="D9" s="383">
        <f>IFERROR(Daily_Balancing!B5/5,0)</f>
        <v/>
      </c>
      <c r="E9" s="383">
        <f>IFERROR(Daily_Balancing!B5/5,0)</f>
        <v/>
      </c>
      <c r="F9" s="383">
        <f>IFERROR(Daily_Balancing!B5/5,0)</f>
        <v/>
      </c>
      <c r="G9" s="383">
        <f>IFERROR(Daily_Balancing!B5/5,0)</f>
        <v/>
      </c>
      <c r="H9" s="383">
        <f>SUM(B9:G9)</f>
        <v/>
      </c>
    </row>
    <row r="10" ht="15" customHeight="1" s="341">
      <c r="A10" s="378" t="inlineStr">
        <is>
          <t>Agent 03</t>
        </is>
      </c>
      <c r="B10" s="379">
        <f>IFERROR(Daily_Balancing!B6/5,0)</f>
        <v/>
      </c>
      <c r="C10" s="379">
        <f>IFERROR(Daily_Balancing!B6/5,0)</f>
        <v/>
      </c>
      <c r="D10" s="379">
        <f>IFERROR(Daily_Balancing!B6/5,0)</f>
        <v/>
      </c>
      <c r="E10" s="379">
        <f>IFERROR(Daily_Balancing!B6/5,0)</f>
        <v/>
      </c>
      <c r="F10" s="379">
        <f>IFERROR(Daily_Balancing!B6/5,0)</f>
        <v/>
      </c>
      <c r="G10" s="379">
        <f>IFERROR(Daily_Balancing!B6/5,0)</f>
        <v/>
      </c>
      <c r="H10" s="379">
        <f>SUM(B10:G10)</f>
        <v/>
      </c>
    </row>
    <row r="11" ht="15" customHeight="1" s="341">
      <c r="A11" s="382" t="inlineStr">
        <is>
          <t>Agent 04</t>
        </is>
      </c>
      <c r="B11" s="383">
        <f>IFERROR(Daily_Balancing!B7/5,0)</f>
        <v/>
      </c>
      <c r="C11" s="383">
        <f>IFERROR(Daily_Balancing!B7/5,0)</f>
        <v/>
      </c>
      <c r="D11" s="383">
        <f>IFERROR(Daily_Balancing!B7/5,0)</f>
        <v/>
      </c>
      <c r="E11" s="383">
        <f>IFERROR(Daily_Balancing!B7/5,0)</f>
        <v/>
      </c>
      <c r="F11" s="383">
        <f>IFERROR(Daily_Balancing!B7/5,0)</f>
        <v/>
      </c>
      <c r="G11" s="383">
        <f>IFERROR(Daily_Balancing!B7/5,0)</f>
        <v/>
      </c>
      <c r="H11" s="383">
        <f>SUM(B11:G11)</f>
        <v/>
      </c>
    </row>
    <row r="12" ht="15" customHeight="1" s="341">
      <c r="A12" s="378" t="inlineStr">
        <is>
          <t>Agent 05</t>
        </is>
      </c>
      <c r="B12" s="379">
        <f>IFERROR(Daily_Balancing!B8/5,0)</f>
        <v/>
      </c>
      <c r="C12" s="379">
        <f>IFERROR(Daily_Balancing!B8/5,0)</f>
        <v/>
      </c>
      <c r="D12" s="379">
        <f>IFERROR(Daily_Balancing!B8/5,0)</f>
        <v/>
      </c>
      <c r="E12" s="379">
        <f>IFERROR(Daily_Balancing!B8/5,0)</f>
        <v/>
      </c>
      <c r="F12" s="379">
        <f>IFERROR(Daily_Balancing!B8/5,0)</f>
        <v/>
      </c>
      <c r="G12" s="379">
        <f>IFERROR(Daily_Balancing!B8/5,0)</f>
        <v/>
      </c>
      <c r="H12" s="379">
        <f>SUM(B12:G12)</f>
        <v/>
      </c>
    </row>
    <row r="13" ht="15" customHeight="1" s="341">
      <c r="A13" s="382" t="inlineStr">
        <is>
          <t>Agent 06</t>
        </is>
      </c>
      <c r="B13" s="383">
        <f>IFERROR(Daily_Balancing!B9/5,0)</f>
        <v/>
      </c>
      <c r="C13" s="383">
        <f>IFERROR(Daily_Balancing!B9/5,0)</f>
        <v/>
      </c>
      <c r="D13" s="383">
        <f>IFERROR(Daily_Balancing!B9/5,0)</f>
        <v/>
      </c>
      <c r="E13" s="383">
        <f>IFERROR(Daily_Balancing!B9/5,0)</f>
        <v/>
      </c>
      <c r="F13" s="383">
        <f>IFERROR(Daily_Balancing!B9/5,0)</f>
        <v/>
      </c>
      <c r="G13" s="383">
        <f>IFERROR(Daily_Balancing!B9/5,0)</f>
        <v/>
      </c>
      <c r="H13" s="383">
        <f>SUM(B13:G13)</f>
        <v/>
      </c>
    </row>
    <row r="14" ht="15" customHeight="1" s="341">
      <c r="A14" s="378" t="inlineStr">
        <is>
          <t>Agent 07</t>
        </is>
      </c>
      <c r="B14" s="379">
        <f>IFERROR(Daily_Balancing!B10/5,0)</f>
        <v/>
      </c>
      <c r="C14" s="379">
        <f>IFERROR(Daily_Balancing!B10/5,0)</f>
        <v/>
      </c>
      <c r="D14" s="379">
        <f>IFERROR(Daily_Balancing!B10/5,0)</f>
        <v/>
      </c>
      <c r="E14" s="379">
        <f>IFERROR(Daily_Balancing!B10/5,0)</f>
        <v/>
      </c>
      <c r="F14" s="379">
        <f>IFERROR(Daily_Balancing!B10/5,0)</f>
        <v/>
      </c>
      <c r="G14" s="379">
        <f>IFERROR(Daily_Balancing!B10/5,0)</f>
        <v/>
      </c>
      <c r="H14" s="379">
        <f>SUM(B14:G14)</f>
        <v/>
      </c>
    </row>
    <row r="15" ht="15" customHeight="1" s="341">
      <c r="A15" s="382" t="inlineStr">
        <is>
          <t>Agent 08</t>
        </is>
      </c>
      <c r="B15" s="383">
        <f>IFERROR(Daily_Balancing!B11/5,0)</f>
        <v/>
      </c>
      <c r="C15" s="383">
        <f>IFERROR(Daily_Balancing!B11/5,0)</f>
        <v/>
      </c>
      <c r="D15" s="383">
        <f>IFERROR(Daily_Balancing!B11/5,0)</f>
        <v/>
      </c>
      <c r="E15" s="383">
        <f>IFERROR(Daily_Balancing!B11/5,0)</f>
        <v/>
      </c>
      <c r="F15" s="383">
        <f>IFERROR(Daily_Balancing!B11/5,0)</f>
        <v/>
      </c>
      <c r="G15" s="383">
        <f>IFERROR(Daily_Balancing!B11/5,0)</f>
        <v/>
      </c>
      <c r="H15" s="383">
        <f>SUM(B15:G15)</f>
        <v/>
      </c>
    </row>
    <row r="16" ht="15" customHeight="1" s="341">
      <c r="A16" s="378" t="inlineStr">
        <is>
          <t>Agent 09</t>
        </is>
      </c>
      <c r="B16" s="379">
        <f>IFERROR(Daily_Balancing!B12/5,0)</f>
        <v/>
      </c>
      <c r="C16" s="379">
        <f>IFERROR(Daily_Balancing!B12/5,0)</f>
        <v/>
      </c>
      <c r="D16" s="379">
        <f>IFERROR(Daily_Balancing!B12/5,0)</f>
        <v/>
      </c>
      <c r="E16" s="379">
        <f>IFERROR(Daily_Balancing!B12/5,0)</f>
        <v/>
      </c>
      <c r="F16" s="379">
        <f>IFERROR(Daily_Balancing!B12/5,0)</f>
        <v/>
      </c>
      <c r="G16" s="379">
        <f>IFERROR(Daily_Balancing!B12/5,0)</f>
        <v/>
      </c>
      <c r="H16" s="379">
        <f>SUM(B16:G16)</f>
        <v/>
      </c>
    </row>
    <row r="17" ht="15" customHeight="1" s="341">
      <c r="A17" s="382" t="inlineStr">
        <is>
          <t>Agent 10</t>
        </is>
      </c>
      <c r="B17" s="383">
        <f>IFERROR(Daily_Balancing!B13/5,0)</f>
        <v/>
      </c>
      <c r="C17" s="383">
        <f>IFERROR(Daily_Balancing!B13/5,0)</f>
        <v/>
      </c>
      <c r="D17" s="383">
        <f>IFERROR(Daily_Balancing!B13/5,0)</f>
        <v/>
      </c>
      <c r="E17" s="383">
        <f>IFERROR(Daily_Balancing!B13/5,0)</f>
        <v/>
      </c>
      <c r="F17" s="383">
        <f>IFERROR(Daily_Balancing!B13/5,0)</f>
        <v/>
      </c>
      <c r="G17" s="383">
        <f>IFERROR(Daily_Balancing!B13/5,0)</f>
        <v/>
      </c>
      <c r="H17" s="383">
        <f>SUM(B17:G17)</f>
        <v/>
      </c>
    </row>
    <row r="18" ht="15" customHeight="1" s="341">
      <c r="A18" s="386" t="inlineStr">
        <is>
          <t>WEEKLY TOTAL</t>
        </is>
      </c>
      <c r="B18" s="387">
        <f>SUM(B8:B17)</f>
        <v/>
      </c>
      <c r="C18" s="387">
        <f>SUM(C8:C17)</f>
        <v/>
      </c>
      <c r="D18" s="387">
        <f>SUM(D8:D17)</f>
        <v/>
      </c>
      <c r="E18" s="387">
        <f>SUM(E8:E17)</f>
        <v/>
      </c>
      <c r="F18" s="387">
        <f>SUM(F8:F17)</f>
        <v/>
      </c>
      <c r="G18" s="387">
        <f>SUM(G8:G17)</f>
        <v/>
      </c>
      <c r="H18" s="387">
        <f>SUM(H8:H17)</f>
        <v/>
      </c>
    </row>
  </sheetData>
  <mergeCells count="11">
    <mergeCell ref="A4:B4"/>
    <mergeCell ref="G4:H4"/>
    <mergeCell ref="E4:F4"/>
    <mergeCell ref="A2:H2"/>
    <mergeCell ref="E3:F3"/>
    <mergeCell ref="A1:H1"/>
    <mergeCell ref="C3:D3"/>
    <mergeCell ref="A3:B3"/>
    <mergeCell ref="G3:H3"/>
    <mergeCell ref="A6:H6"/>
    <mergeCell ref="C4:D4"/>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3.xml><?xml version="1.0" encoding="utf-8"?>
<worksheet xmlns="http://schemas.openxmlformats.org/spreadsheetml/2006/main">
  <sheetPr filterMode="0">
    <tabColor rgb="FF8E44AD"/>
    <outlinePr summaryBelow="1" summaryRight="1"/>
    <pageSetUpPr fitToPage="0"/>
  </sheetPr>
  <dimension ref="A1:I20"/>
  <sheetViews>
    <sheetView showFormulas="0" showGridLines="1" showRowColHeaders="1" showZeros="1" rightToLeft="0" tabSelected="0" showOutlineSymbols="1" defaultGridColor="1" view="normal" topLeftCell="A1" colorId="64" zoomScale="100" zoomScaleNormal="100" zoomScalePageLayoutView="100" workbookViewId="0">
      <pane xSplit="1" ySplit="7" topLeftCell="B8" activePane="bottomRight" state="frozen"/>
      <selection pane="topLeft" activeCell="A1" activeCellId="0" sqref="A1"/>
      <selection pane="topRight" activeCell="B1" activeCellId="0" sqref="B1"/>
      <selection pane="bottomLeft" activeCell="A8" activeCellId="0" sqref="A8"/>
      <selection pane="bottomRight" activeCell="A1" activeCellId="0" sqref="A1"/>
    </sheetView>
  </sheetViews>
  <sheetFormatPr baseColWidth="8" defaultColWidth="8.71484375" defaultRowHeight="15" zeroHeight="0" outlineLevelRow="0"/>
  <cols>
    <col width="10" customWidth="1" style="340" min="1" max="1"/>
    <col width="18" customWidth="1" style="340" min="2" max="3"/>
    <col width="15" customWidth="1" style="340" min="4" max="4"/>
    <col width="12" customWidth="1" style="340" min="5" max="5"/>
    <col width="10" customWidth="1" style="340" min="6" max="6"/>
    <col width="16" customWidth="1" style="340" min="7" max="7"/>
    <col width="10" customWidth="1" style="340" min="8" max="9"/>
  </cols>
  <sheetData>
    <row r="1" ht="31.5" customHeight="1" s="341">
      <c r="A1" s="554" t="inlineStr">
        <is>
          <t>📆  MONTHLY BALANCING — April 2026 | Trend Analysis</t>
        </is>
      </c>
    </row>
    <row r="2" ht="19.5" customHeight="1" s="341">
      <c r="A2" s="555" t="inlineStr">
        <is>
          <t>Year-to-date performance | New accounts &amp; loan portfolio tracking</t>
        </is>
      </c>
    </row>
    <row r="3" ht="18" customHeight="1" s="341">
      <c r="A3" s="556" t="inlineStr">
        <is>
          <t>MTD Savings</t>
        </is>
      </c>
      <c r="B3" s="556" t="inlineStr">
        <is>
          <t>MTD Withdrawals</t>
        </is>
      </c>
      <c r="C3" s="556" t="inlineStr">
        <is>
          <t>MTD Net</t>
        </is>
      </c>
      <c r="D3" s="556" t="inlineStr">
        <is>
          <t>New Accounts</t>
        </is>
      </c>
      <c r="E3" s="556" t="inlineStr">
        <is>
          <t>Active Loans</t>
        </is>
      </c>
    </row>
    <row r="4" ht="31.5" customHeight="1" s="341">
      <c r="A4" s="557">
        <f>Daily_Balancing!B14</f>
        <v/>
      </c>
      <c r="B4" s="557">
        <f>Daily_Balancing!C14</f>
        <v/>
      </c>
      <c r="C4" s="557">
        <f>Daily_Balancing!D14</f>
        <v/>
      </c>
      <c r="D4" s="558">
        <f>COUNTIF(DB_Customers!J2:J2000,"&gt;="&amp;DATE(YEAR(TODAY()),MONTH(TODAY()),1))</f>
        <v/>
      </c>
      <c r="E4" s="558">
        <f>COUNTIF(DB_Loans!K2:K500,"Approved")</f>
        <v/>
      </c>
    </row>
    <row r="6" ht="15" customHeight="1" s="341">
      <c r="A6" s="515" t="inlineStr">
        <is>
          <t>📊  MONTH-BY-MONTH TRACKER</t>
        </is>
      </c>
    </row>
    <row r="7" ht="15" customHeight="1" s="341">
      <c r="A7" s="559" t="inlineStr">
        <is>
          <t>Month</t>
        </is>
      </c>
      <c r="B7" s="559" t="inlineStr">
        <is>
          <t>Savings</t>
        </is>
      </c>
      <c r="C7" s="559" t="inlineStr">
        <is>
          <t>Withdrawals</t>
        </is>
      </c>
      <c r="D7" s="559" t="inlineStr">
        <is>
          <t>Net</t>
        </is>
      </c>
      <c r="E7" s="559" t="inlineStr">
        <is>
          <t>New Accts</t>
        </is>
      </c>
      <c r="F7" s="559" t="inlineStr">
        <is>
          <t>Loans</t>
        </is>
      </c>
      <c r="G7" s="559" t="inlineStr">
        <is>
          <t>Interest</t>
        </is>
      </c>
      <c r="H7" s="559" t="inlineStr">
        <is>
          <t>Growth%</t>
        </is>
      </c>
      <c r="I7" s="559" t="inlineStr">
        <is>
          <t>Target?</t>
        </is>
      </c>
    </row>
    <row r="8" ht="15" customHeight="1" s="341">
      <c r="A8" s="384" t="inlineStr">
        <is>
          <t>Jan</t>
        </is>
      </c>
      <c r="B8" s="383" t="n">
        <v>107824.22</v>
      </c>
      <c r="C8" s="383" t="n">
        <v>37455.75</v>
      </c>
      <c r="D8" s="383" t="n">
        <v>70368.47</v>
      </c>
      <c r="E8" s="384" t="n">
        <v>8</v>
      </c>
      <c r="F8" s="384" t="n">
        <v>12</v>
      </c>
      <c r="G8" s="383" t="n">
        <v>2695.61</v>
      </c>
      <c r="H8" s="384" t="inlineStr">
        <is>
          <t>-4.6%</t>
        </is>
      </c>
      <c r="I8" s="384" t="inlineStr">
        <is>
          <t>YES</t>
        </is>
      </c>
    </row>
    <row r="9" ht="15" customHeight="1" s="341">
      <c r="A9" s="380" t="inlineStr">
        <is>
          <t>Feb</t>
        </is>
      </c>
      <c r="B9" s="379" t="n">
        <v>133790.85</v>
      </c>
      <c r="C9" s="379" t="n">
        <v>40398.62</v>
      </c>
      <c r="D9" s="379" t="n">
        <v>93392.23</v>
      </c>
      <c r="E9" s="380" t="n">
        <v>13</v>
      </c>
      <c r="F9" s="380" t="n">
        <v>12</v>
      </c>
      <c r="G9" s="379" t="n">
        <v>3344.77</v>
      </c>
      <c r="H9" s="380" t="inlineStr">
        <is>
          <t>6.6%</t>
        </is>
      </c>
      <c r="I9" s="380" t="inlineStr">
        <is>
          <t>YES</t>
        </is>
      </c>
    </row>
    <row r="10" ht="15" customHeight="1" s="341">
      <c r="A10" s="384" t="inlineStr">
        <is>
          <t>Mar</t>
        </is>
      </c>
      <c r="B10" s="383" t="n">
        <v>95687.10000000001</v>
      </c>
      <c r="C10" s="383" t="n">
        <v>51481.08</v>
      </c>
      <c r="D10" s="383" t="n">
        <v>44206.02</v>
      </c>
      <c r="E10" s="384" t="n">
        <v>7</v>
      </c>
      <c r="F10" s="384" t="n">
        <v>11</v>
      </c>
      <c r="G10" s="383" t="n">
        <v>2392.18</v>
      </c>
      <c r="H10" s="384" t="inlineStr">
        <is>
          <t>-0.7%</t>
        </is>
      </c>
      <c r="I10" s="384" t="inlineStr">
        <is>
          <t>NO</t>
        </is>
      </c>
    </row>
    <row r="11" ht="15" customHeight="1" s="341">
      <c r="A11" s="380" t="inlineStr">
        <is>
          <t>Apr</t>
        </is>
      </c>
      <c r="B11" s="379" t="n">
        <v>108714.02</v>
      </c>
      <c r="C11" s="379" t="n">
        <v>50819.15</v>
      </c>
      <c r="D11" s="379" t="n">
        <v>57894.87</v>
      </c>
      <c r="E11" s="380" t="n">
        <v>7</v>
      </c>
      <c r="F11" s="380" t="n">
        <v>6</v>
      </c>
      <c r="G11" s="379" t="n">
        <v>2717.85</v>
      </c>
      <c r="H11" s="380" t="inlineStr">
        <is>
          <t>-0.9%</t>
        </is>
      </c>
      <c r="I11" s="380" t="inlineStr">
        <is>
          <t>YES</t>
        </is>
      </c>
    </row>
    <row r="12" ht="15" customHeight="1" s="341">
      <c r="A12" s="384" t="inlineStr">
        <is>
          <t>May</t>
        </is>
      </c>
      <c r="B12" s="384" t="n"/>
      <c r="C12" s="384" t="n"/>
      <c r="D12" s="384" t="n"/>
      <c r="E12" s="384" t="n"/>
      <c r="F12" s="384" t="n"/>
      <c r="G12" s="384" t="n"/>
      <c r="H12" s="384">
        <f>IFERROR((B12-B11)/ABS(B11),"—")</f>
        <v/>
      </c>
      <c r="I12" s="384">
        <f>IF(B12&gt;0,IF(B12&gt;=150000,"YES","NO"),"—")</f>
        <v/>
      </c>
    </row>
    <row r="13" ht="15" customHeight="1" s="341">
      <c r="A13" s="380" t="inlineStr">
        <is>
          <t>Jun</t>
        </is>
      </c>
      <c r="B13" s="380" t="n"/>
      <c r="C13" s="380" t="n"/>
      <c r="D13" s="380" t="n"/>
      <c r="E13" s="380" t="n"/>
      <c r="F13" s="380" t="n"/>
      <c r="G13" s="380" t="n"/>
      <c r="H13" s="380">
        <f>IFERROR((B13-B12)/ABS(B12),"—")</f>
        <v/>
      </c>
      <c r="I13" s="380">
        <f>IF(B13&gt;0,IF(B13&gt;=150000,"YES","NO"),"—")</f>
        <v/>
      </c>
    </row>
    <row r="14" ht="15" customHeight="1" s="341">
      <c r="A14" s="384" t="inlineStr">
        <is>
          <t>Jul</t>
        </is>
      </c>
      <c r="B14" s="384" t="n"/>
      <c r="C14" s="384" t="n"/>
      <c r="D14" s="384" t="n"/>
      <c r="E14" s="384" t="n"/>
      <c r="F14" s="384" t="n"/>
      <c r="G14" s="384" t="n"/>
      <c r="H14" s="384">
        <f>IFERROR((B14-B13)/ABS(B13),"—")</f>
        <v/>
      </c>
      <c r="I14" s="384">
        <f>IF(B14&gt;0,IF(B14&gt;=150000,"YES","NO"),"—")</f>
        <v/>
      </c>
    </row>
    <row r="15" ht="15" customHeight="1" s="341">
      <c r="A15" s="380" t="inlineStr">
        <is>
          <t>Aug</t>
        </is>
      </c>
      <c r="B15" s="380" t="n"/>
      <c r="C15" s="380" t="n"/>
      <c r="D15" s="380" t="n"/>
      <c r="E15" s="380" t="n"/>
      <c r="F15" s="380" t="n"/>
      <c r="G15" s="380" t="n"/>
      <c r="H15" s="380">
        <f>IFERROR((B15-B14)/ABS(B14),"—")</f>
        <v/>
      </c>
      <c r="I15" s="380">
        <f>IF(B15&gt;0,IF(B15&gt;=150000,"YES","NO"),"—")</f>
        <v/>
      </c>
    </row>
    <row r="16" ht="15" customHeight="1" s="341">
      <c r="A16" s="384" t="inlineStr">
        <is>
          <t>Sep</t>
        </is>
      </c>
      <c r="B16" s="384" t="n"/>
      <c r="C16" s="384" t="n"/>
      <c r="D16" s="384" t="n"/>
      <c r="E16" s="384" t="n"/>
      <c r="F16" s="384" t="n"/>
      <c r="G16" s="384" t="n"/>
      <c r="H16" s="384">
        <f>IFERROR((B16-B15)/ABS(B15),"—")</f>
        <v/>
      </c>
      <c r="I16" s="384">
        <f>IF(B16&gt;0,IF(B16&gt;=150000,"YES","NO"),"—")</f>
        <v/>
      </c>
    </row>
    <row r="17" ht="15" customHeight="1" s="341">
      <c r="A17" s="380" t="inlineStr">
        <is>
          <t>Oct</t>
        </is>
      </c>
      <c r="B17" s="380" t="n"/>
      <c r="C17" s="380" t="n"/>
      <c r="D17" s="380" t="n"/>
      <c r="E17" s="380" t="n"/>
      <c r="F17" s="380" t="n"/>
      <c r="G17" s="380" t="n"/>
      <c r="H17" s="380">
        <f>IFERROR((B17-B16)/ABS(B16),"—")</f>
        <v/>
      </c>
      <c r="I17" s="380">
        <f>IF(B17&gt;0,IF(B17&gt;=150000,"YES","NO"),"—")</f>
        <v/>
      </c>
    </row>
    <row r="18" ht="15" customHeight="1" s="341">
      <c r="A18" s="384" t="inlineStr">
        <is>
          <t>Nov</t>
        </is>
      </c>
      <c r="B18" s="384" t="n"/>
      <c r="C18" s="384" t="n"/>
      <c r="D18" s="384" t="n"/>
      <c r="E18" s="384" t="n"/>
      <c r="F18" s="384" t="n"/>
      <c r="G18" s="384" t="n"/>
      <c r="H18" s="384">
        <f>IFERROR((B18-B17)/ABS(B17),"—")</f>
        <v/>
      </c>
      <c r="I18" s="384">
        <f>IF(B18&gt;0,IF(B18&gt;=150000,"YES","NO"),"—")</f>
        <v/>
      </c>
    </row>
    <row r="19" ht="15" customHeight="1" s="341">
      <c r="A19" s="380" t="inlineStr">
        <is>
          <t>Dec</t>
        </is>
      </c>
      <c r="B19" s="380" t="n"/>
      <c r="C19" s="380" t="n"/>
      <c r="D19" s="380" t="n"/>
      <c r="E19" s="380" t="n"/>
      <c r="F19" s="380" t="n"/>
      <c r="G19" s="380" t="n"/>
      <c r="H19" s="380">
        <f>IFERROR((B19-B18)/ABS(B18),"—")</f>
        <v/>
      </c>
      <c r="I19" s="380">
        <f>IF(B19&gt;0,IF(B19&gt;=150000,"YES","NO"),"—")</f>
        <v/>
      </c>
    </row>
    <row r="20" ht="15" customHeight="1" s="341">
      <c r="A20" s="386" t="inlineStr">
        <is>
          <t>YTD TOTAL</t>
        </is>
      </c>
      <c r="B20" s="387">
        <f>SUM(B8:B19)</f>
        <v/>
      </c>
      <c r="C20" s="387">
        <f>SUM(C8:C19)</f>
        <v/>
      </c>
      <c r="D20" s="387">
        <f>SUM(D8:D19)</f>
        <v/>
      </c>
      <c r="E20" s="387">
        <f>SUM(E8:E19)</f>
        <v/>
      </c>
      <c r="F20" s="387">
        <f>SUM(F8:F19)</f>
        <v/>
      </c>
      <c r="G20" s="387">
        <f>SUM(G8:G19)</f>
        <v/>
      </c>
      <c r="H20" s="386" t="n"/>
      <c r="I20" s="386" t="n"/>
    </row>
  </sheetData>
  <mergeCells count="3">
    <mergeCell ref="A1:I1"/>
    <mergeCell ref="A2:I2"/>
    <mergeCell ref="A6:I6"/>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44.xml><?xml version="1.0" encoding="utf-8"?>
<worksheet xmlns="http://schemas.openxmlformats.org/spreadsheetml/2006/main">
  <sheetPr filterMode="0">
    <outlinePr summaryBelow="1" summaryRight="1"/>
    <pageSetUpPr fitToPage="0"/>
  </sheetPr>
  <dimension ref="A2:N527"/>
  <sheetViews>
    <sheetView showFormulas="0" showGridLines="0" showRowColHeaders="1" showZeros="1" rightToLeft="0" tabSelected="0" showOutlineSymbols="1" defaultGridColor="1" view="normal" topLeftCell="A1" colorId="64" zoomScale="100" zoomScaleNormal="100" zoomScalePageLayoutView="100" workbookViewId="0">
      <pane xSplit="0" ySplit="9" topLeftCell="A10"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3" customWidth="1" style="340" min="1" max="1"/>
    <col width="18" customWidth="1" style="340" min="2" max="2"/>
    <col width="16" customWidth="1" style="340" min="3" max="3"/>
    <col width="20" customWidth="1" style="340" min="4" max="4"/>
    <col width="12" customWidth="1" style="340" min="5" max="5"/>
    <col width="13" customWidth="1" style="340" min="6" max="7"/>
    <col width="12" customWidth="1" style="340" min="8" max="9"/>
    <col width="8" customWidth="1" style="340" min="10" max="11"/>
    <col width="18" customWidth="1" style="340" min="12" max="12"/>
    <col width="16" customWidth="1" style="340" min="13" max="13"/>
    <col width="13" customWidth="1" style="340" min="14" max="14"/>
  </cols>
  <sheetData>
    <row r="1" ht="9.75" customHeight="1" s="341"/>
    <row r="2" ht="36" customHeight="1" s="341">
      <c r="A2" s="560" t="inlineStr">
        <is>
          <t>🏦  SAMICIOUS MICROFINANCE — MASTER DATABASE</t>
        </is>
      </c>
    </row>
    <row r="3" ht="18" customHeight="1" s="341">
      <c r="A3" s="561" t="inlineStr">
        <is>
          <t>Central Archive &amp; Intelligence Layer  |  All historical records</t>
        </is>
      </c>
    </row>
    <row r="4" ht="3.75" customHeight="1" s="341">
      <c r="A4" s="345" t="n"/>
      <c r="B4" s="345" t="n"/>
      <c r="C4" s="345" t="n"/>
      <c r="D4" s="345" t="n"/>
      <c r="E4" s="345" t="n"/>
      <c r="F4" s="345" t="n"/>
      <c r="G4" s="345" t="n"/>
      <c r="H4" s="345" t="n"/>
      <c r="I4" s="345" t="n"/>
      <c r="J4" s="345" t="n"/>
      <c r="K4" s="345" t="n"/>
      <c r="L4" s="345" t="n"/>
      <c r="M4" s="345" t="n"/>
      <c r="N4" s="345" t="n"/>
    </row>
    <row r="5" ht="9.75" customHeight="1" s="341"/>
    <row r="6" ht="27.75" customHeight="1" s="341">
      <c r="A6" s="376" t="inlineStr">
        <is>
          <t>🔍  SMART SEARCH ENGINE — Query Any Record Instantly</t>
        </is>
      </c>
    </row>
    <row r="7" ht="25.5" customHeight="1" s="341">
      <c r="B7" s="516" t="inlineStr">
        <is>
          <t>Account No. / Loan ID:</t>
        </is>
      </c>
      <c r="D7" s="562" t="n"/>
      <c r="E7" s="563" t="n"/>
      <c r="F7" s="563" t="n"/>
      <c r="H7" s="516" t="inlineStr">
        <is>
          <t>Customer Name:</t>
        </is>
      </c>
      <c r="J7" s="562" t="n"/>
      <c r="K7" s="563" t="n"/>
      <c r="L7" s="564" t="inlineStr">
        <is>
          <t>Type:</t>
        </is>
      </c>
      <c r="M7" s="565" t="n"/>
      <c r="N7" s="566" t="n"/>
    </row>
    <row r="8" ht="15.75" customHeight="1" s="341">
      <c r="A8" s="567" t="inlineStr">
        <is>
          <t>↑ Enter criteria above → Results load instantly below  |  Leave blank = show all  |  Type filter: Savings / Withdrawal / Loan</t>
        </is>
      </c>
    </row>
    <row r="9" ht="30" customHeight="1" s="341">
      <c r="A9" s="568" t="inlineStr">
        <is>
          <t>#</t>
        </is>
      </c>
      <c r="B9" s="568" t="inlineStr">
        <is>
          <t>Transaction ID</t>
        </is>
      </c>
      <c r="C9" s="568" t="inlineStr">
        <is>
          <t>Account No.</t>
        </is>
      </c>
      <c r="D9" s="568" t="inlineStr">
        <is>
          <t>Customer Name</t>
        </is>
      </c>
      <c r="E9" s="568" t="inlineStr">
        <is>
          <t>Type</t>
        </is>
      </c>
      <c r="F9" s="568" t="inlineStr">
        <is>
          <t>Date</t>
        </is>
      </c>
      <c r="G9" s="568" t="inlineStr">
        <is>
          <t>Amount (GHC)</t>
        </is>
      </c>
      <c r="H9" s="568" t="inlineStr">
        <is>
          <t>Agent</t>
        </is>
      </c>
      <c r="I9" s="568" t="inlineStr">
        <is>
          <t>Status</t>
        </is>
      </c>
      <c r="J9" s="568" t="inlineStr">
        <is>
          <t>Year</t>
        </is>
      </c>
      <c r="K9" s="568" t="inlineStr">
        <is>
          <t>Month</t>
        </is>
      </c>
      <c r="L9" s="568" t="inlineStr">
        <is>
          <t>Notes</t>
        </is>
      </c>
      <c r="M9" s="568" t="inlineStr">
        <is>
          <t>Saved At</t>
        </is>
      </c>
      <c r="N9" s="568" t="inlineStr">
        <is>
          <t>Lock Status</t>
        </is>
      </c>
    </row>
    <row r="10" ht="15.75" customHeight="1" s="341">
      <c r="A10" s="569" t="n">
        <v>1</v>
      </c>
      <c r="B10" s="570" t="n"/>
      <c r="C10" s="570" t="n"/>
      <c r="D10" s="570" t="n"/>
      <c r="E10" s="570" t="n"/>
      <c r="F10" s="570" t="n"/>
      <c r="G10" s="570" t="n"/>
      <c r="H10" s="570" t="n"/>
      <c r="I10" s="570" t="n"/>
      <c r="J10" s="570" t="n"/>
      <c r="K10" s="570" t="n"/>
      <c r="L10" s="570" t="n"/>
      <c r="M10" s="570" t="n"/>
      <c r="N10" s="570" t="n"/>
    </row>
    <row r="11" ht="15.75" customHeight="1" s="341">
      <c r="A11" s="571" t="n">
        <v>2</v>
      </c>
      <c r="B11" s="572" t="n"/>
      <c r="C11" s="572" t="n"/>
      <c r="D11" s="572" t="n"/>
      <c r="E11" s="572" t="n"/>
      <c r="F11" s="572" t="n"/>
      <c r="G11" s="572" t="n"/>
      <c r="H11" s="572" t="n"/>
      <c r="I11" s="572" t="n"/>
      <c r="J11" s="572" t="n"/>
      <c r="K11" s="572" t="n"/>
      <c r="L11" s="572" t="n"/>
      <c r="M11" s="572" t="n"/>
      <c r="N11" s="572" t="n"/>
    </row>
    <row r="12" ht="15.75" customHeight="1" s="341">
      <c r="A12" s="569" t="n">
        <v>3</v>
      </c>
      <c r="B12" s="570" t="n"/>
      <c r="C12" s="570" t="n"/>
      <c r="D12" s="570" t="n"/>
      <c r="E12" s="570" t="n"/>
      <c r="F12" s="570" t="n"/>
      <c r="G12" s="570" t="n"/>
      <c r="H12" s="570" t="n"/>
      <c r="I12" s="570" t="n"/>
      <c r="J12" s="570" t="n"/>
      <c r="K12" s="570" t="n"/>
      <c r="L12" s="570" t="n"/>
      <c r="M12" s="570" t="n"/>
      <c r="N12" s="570" t="n"/>
    </row>
    <row r="13" ht="15.75" customHeight="1" s="341">
      <c r="A13" s="571" t="n">
        <v>4</v>
      </c>
      <c r="B13" s="572" t="n"/>
      <c r="C13" s="572" t="n"/>
      <c r="D13" s="572" t="n"/>
      <c r="E13" s="572" t="n"/>
      <c r="F13" s="572" t="n"/>
      <c r="G13" s="572" t="n"/>
      <c r="H13" s="572" t="n"/>
      <c r="I13" s="572" t="n"/>
      <c r="J13" s="572" t="n"/>
      <c r="K13" s="572" t="n"/>
      <c r="L13" s="572" t="n"/>
      <c r="M13" s="572" t="n"/>
      <c r="N13" s="572" t="n"/>
    </row>
    <row r="14" ht="15.75" customHeight="1" s="341">
      <c r="A14" s="569" t="n">
        <v>5</v>
      </c>
      <c r="B14" s="570" t="n"/>
      <c r="C14" s="570" t="n"/>
      <c r="D14" s="570" t="n"/>
      <c r="E14" s="570" t="n"/>
      <c r="F14" s="570" t="n"/>
      <c r="G14" s="570" t="n"/>
      <c r="H14" s="570" t="n"/>
      <c r="I14" s="570" t="n"/>
      <c r="J14" s="570" t="n"/>
      <c r="K14" s="570" t="n"/>
      <c r="L14" s="570" t="n"/>
      <c r="M14" s="570" t="n"/>
      <c r="N14" s="570" t="n"/>
    </row>
    <row r="15" ht="15.75" customHeight="1" s="341">
      <c r="A15" s="571" t="n">
        <v>6</v>
      </c>
      <c r="B15" s="572" t="n"/>
      <c r="C15" s="572" t="n"/>
      <c r="D15" s="572" t="n"/>
      <c r="E15" s="572" t="n"/>
      <c r="F15" s="572" t="n"/>
      <c r="G15" s="572" t="n"/>
      <c r="H15" s="572" t="n"/>
      <c r="I15" s="572" t="n"/>
      <c r="J15" s="572" t="n"/>
      <c r="K15" s="572" t="n"/>
      <c r="L15" s="572" t="n"/>
      <c r="M15" s="572" t="n"/>
      <c r="N15" s="572" t="n"/>
    </row>
    <row r="16" ht="15.75" customHeight="1" s="341">
      <c r="A16" s="569" t="n">
        <v>7</v>
      </c>
      <c r="B16" s="570" t="n"/>
      <c r="C16" s="570" t="n"/>
      <c r="D16" s="570" t="n"/>
      <c r="E16" s="570" t="n"/>
      <c r="F16" s="570" t="n"/>
      <c r="G16" s="570" t="n"/>
      <c r="H16" s="570" t="n"/>
      <c r="I16" s="570" t="n"/>
      <c r="J16" s="570" t="n"/>
      <c r="K16" s="570" t="n"/>
      <c r="L16" s="570" t="n"/>
      <c r="M16" s="570" t="n"/>
      <c r="N16" s="570" t="n"/>
    </row>
    <row r="17" ht="15.75" customHeight="1" s="341">
      <c r="A17" s="571" t="n">
        <v>8</v>
      </c>
      <c r="B17" s="572" t="n"/>
      <c r="C17" s="572" t="n"/>
      <c r="D17" s="572" t="n"/>
      <c r="E17" s="572" t="n"/>
      <c r="F17" s="572" t="n"/>
      <c r="G17" s="572" t="n"/>
      <c r="H17" s="572" t="n"/>
      <c r="I17" s="572" t="n"/>
      <c r="J17" s="572" t="n"/>
      <c r="K17" s="572" t="n"/>
      <c r="L17" s="572" t="n"/>
      <c r="M17" s="572" t="n"/>
      <c r="N17" s="572" t="n"/>
    </row>
    <row r="18" ht="15.75" customHeight="1" s="341">
      <c r="A18" s="569" t="n">
        <v>9</v>
      </c>
      <c r="B18" s="570" t="n"/>
      <c r="C18" s="570" t="n"/>
      <c r="D18" s="570" t="n"/>
      <c r="E18" s="570" t="n"/>
      <c r="F18" s="570" t="n"/>
      <c r="G18" s="570" t="n"/>
      <c r="H18" s="570" t="n"/>
      <c r="I18" s="570" t="n"/>
      <c r="J18" s="570" t="n"/>
      <c r="K18" s="570" t="n"/>
      <c r="L18" s="570" t="n"/>
      <c r="M18" s="570" t="n"/>
      <c r="N18" s="570" t="n"/>
    </row>
    <row r="19" ht="15.75" customHeight="1" s="341">
      <c r="A19" s="571" t="n">
        <v>10</v>
      </c>
      <c r="B19" s="572" t="n"/>
      <c r="C19" s="572" t="n"/>
      <c r="D19" s="572" t="n"/>
      <c r="E19" s="572" t="n"/>
      <c r="F19" s="572" t="n"/>
      <c r="G19" s="572" t="n"/>
      <c r="H19" s="572" t="n"/>
      <c r="I19" s="572" t="n"/>
      <c r="J19" s="572" t="n"/>
      <c r="K19" s="572" t="n"/>
      <c r="L19" s="572" t="n"/>
      <c r="M19" s="572" t="n"/>
      <c r="N19" s="572" t="n"/>
    </row>
    <row r="20" ht="15.75" customHeight="1" s="341">
      <c r="A20" s="569" t="n">
        <v>11</v>
      </c>
      <c r="B20" s="570" t="n"/>
      <c r="C20" s="570" t="n"/>
      <c r="D20" s="570" t="n"/>
      <c r="E20" s="570" t="n"/>
      <c r="F20" s="570" t="n"/>
      <c r="G20" s="570" t="n"/>
      <c r="H20" s="570" t="n"/>
      <c r="I20" s="570" t="n"/>
      <c r="J20" s="570" t="n"/>
      <c r="K20" s="570" t="n"/>
      <c r="L20" s="570" t="n"/>
      <c r="M20" s="570" t="n"/>
      <c r="N20" s="570" t="n"/>
    </row>
    <row r="21" ht="15.75" customHeight="1" s="341">
      <c r="A21" s="571" t="n">
        <v>12</v>
      </c>
      <c r="B21" s="572" t="n"/>
      <c r="C21" s="572" t="n"/>
      <c r="D21" s="572" t="n"/>
      <c r="E21" s="572" t="n"/>
      <c r="F21" s="572" t="n"/>
      <c r="G21" s="572" t="n"/>
      <c r="H21" s="572" t="n"/>
      <c r="I21" s="572" t="n"/>
      <c r="J21" s="572" t="n"/>
      <c r="K21" s="572" t="n"/>
      <c r="L21" s="572" t="n"/>
      <c r="M21" s="572" t="n"/>
      <c r="N21" s="572" t="n"/>
    </row>
    <row r="22" ht="15.75" customHeight="1" s="341">
      <c r="A22" s="569" t="n">
        <v>13</v>
      </c>
      <c r="B22" s="570" t="n"/>
      <c r="C22" s="570" t="n"/>
      <c r="D22" s="570" t="n"/>
      <c r="E22" s="570" t="n"/>
      <c r="F22" s="570" t="n"/>
      <c r="G22" s="570" t="n"/>
      <c r="H22" s="570" t="n"/>
      <c r="I22" s="570" t="n"/>
      <c r="J22" s="570" t="n"/>
      <c r="K22" s="570" t="n"/>
      <c r="L22" s="570" t="n"/>
      <c r="M22" s="570" t="n"/>
      <c r="N22" s="570" t="n"/>
    </row>
    <row r="23" ht="15.75" customHeight="1" s="341">
      <c r="A23" s="571" t="n">
        <v>14</v>
      </c>
      <c r="B23" s="572" t="n"/>
      <c r="C23" s="572" t="n"/>
      <c r="D23" s="572" t="n"/>
      <c r="E23" s="572" t="n"/>
      <c r="F23" s="572" t="n"/>
      <c r="G23" s="572" t="n"/>
      <c r="H23" s="572" t="n"/>
      <c r="I23" s="572" t="n"/>
      <c r="J23" s="572" t="n"/>
      <c r="K23" s="572" t="n"/>
      <c r="L23" s="572" t="n"/>
      <c r="M23" s="572" t="n"/>
      <c r="N23" s="572" t="n"/>
    </row>
    <row r="24" ht="15.75" customHeight="1" s="341">
      <c r="A24" s="569" t="n">
        <v>15</v>
      </c>
      <c r="B24" s="570" t="n"/>
      <c r="C24" s="570" t="n"/>
      <c r="D24" s="570" t="n"/>
      <c r="E24" s="570" t="n"/>
      <c r="F24" s="570" t="n"/>
      <c r="G24" s="570" t="n"/>
      <c r="H24" s="570" t="n"/>
      <c r="I24" s="570" t="n"/>
      <c r="J24" s="570" t="n"/>
      <c r="K24" s="570" t="n"/>
      <c r="L24" s="570" t="n"/>
      <c r="M24" s="570" t="n"/>
      <c r="N24" s="570" t="n"/>
    </row>
    <row r="25" ht="15.75" customHeight="1" s="341">
      <c r="A25" s="571" t="n">
        <v>16</v>
      </c>
      <c r="B25" s="572" t="n"/>
      <c r="C25" s="572" t="n"/>
      <c r="D25" s="572" t="n"/>
      <c r="E25" s="572" t="n"/>
      <c r="F25" s="572" t="n"/>
      <c r="G25" s="572" t="n"/>
      <c r="H25" s="572" t="n"/>
      <c r="I25" s="572" t="n"/>
      <c r="J25" s="572" t="n"/>
      <c r="K25" s="572" t="n"/>
      <c r="L25" s="572" t="n"/>
      <c r="M25" s="572" t="n"/>
      <c r="N25" s="572" t="n"/>
    </row>
    <row r="26" ht="15.75" customHeight="1" s="341">
      <c r="A26" s="569" t="n">
        <v>17</v>
      </c>
      <c r="B26" s="570" t="n"/>
      <c r="C26" s="570" t="n"/>
      <c r="D26" s="570" t="n"/>
      <c r="E26" s="570" t="n"/>
      <c r="F26" s="570" t="n"/>
      <c r="G26" s="570" t="n"/>
      <c r="H26" s="570" t="n"/>
      <c r="I26" s="570" t="n"/>
      <c r="J26" s="570" t="n"/>
      <c r="K26" s="570" t="n"/>
      <c r="L26" s="570" t="n"/>
      <c r="M26" s="570" t="n"/>
      <c r="N26" s="570" t="n"/>
    </row>
    <row r="27" ht="15.75" customHeight="1" s="341">
      <c r="A27" s="571" t="n">
        <v>18</v>
      </c>
      <c r="B27" s="572" t="n"/>
      <c r="C27" s="572" t="n"/>
      <c r="D27" s="572" t="n"/>
      <c r="E27" s="572" t="n"/>
      <c r="F27" s="572" t="n"/>
      <c r="G27" s="572" t="n"/>
      <c r="H27" s="572" t="n"/>
      <c r="I27" s="572" t="n"/>
      <c r="J27" s="572" t="n"/>
      <c r="K27" s="572" t="n"/>
      <c r="L27" s="572" t="n"/>
      <c r="M27" s="572" t="n"/>
      <c r="N27" s="572" t="n"/>
    </row>
    <row r="28" ht="15.75" customHeight="1" s="341">
      <c r="A28" s="569" t="n">
        <v>19</v>
      </c>
      <c r="B28" s="570" t="n"/>
      <c r="C28" s="570" t="n"/>
      <c r="D28" s="570" t="n"/>
      <c r="E28" s="570" t="n"/>
      <c r="F28" s="570" t="n"/>
      <c r="G28" s="570" t="n"/>
      <c r="H28" s="570" t="n"/>
      <c r="I28" s="570" t="n"/>
      <c r="J28" s="570" t="n"/>
      <c r="K28" s="570" t="n"/>
      <c r="L28" s="570" t="n"/>
      <c r="M28" s="570" t="n"/>
      <c r="N28" s="570" t="n"/>
    </row>
    <row r="29" ht="15.75" customHeight="1" s="341">
      <c r="A29" s="571" t="n">
        <v>20</v>
      </c>
      <c r="B29" s="572" t="n"/>
      <c r="C29" s="572" t="n"/>
      <c r="D29" s="572" t="n"/>
      <c r="E29" s="572" t="n"/>
      <c r="F29" s="572" t="n"/>
      <c r="G29" s="572" t="n"/>
      <c r="H29" s="572" t="n"/>
      <c r="I29" s="572" t="n"/>
      <c r="J29" s="572" t="n"/>
      <c r="K29" s="572" t="n"/>
      <c r="L29" s="572" t="n"/>
      <c r="M29" s="572" t="n"/>
      <c r="N29" s="572" t="n"/>
    </row>
    <row r="30" ht="15.75" customHeight="1" s="341">
      <c r="A30" s="569" t="n">
        <v>21</v>
      </c>
      <c r="B30" s="570" t="n"/>
      <c r="C30" s="570" t="n"/>
      <c r="D30" s="570" t="n"/>
      <c r="E30" s="570" t="n"/>
      <c r="F30" s="570" t="n"/>
      <c r="G30" s="570" t="n"/>
      <c r="H30" s="570" t="n"/>
      <c r="I30" s="570" t="n"/>
      <c r="J30" s="570" t="n"/>
      <c r="K30" s="570" t="n"/>
      <c r="L30" s="570" t="n"/>
      <c r="M30" s="570" t="n"/>
      <c r="N30" s="570" t="n"/>
    </row>
    <row r="31" ht="15.75" customHeight="1" s="341">
      <c r="A31" s="571" t="n">
        <v>22</v>
      </c>
      <c r="B31" s="572" t="n"/>
      <c r="C31" s="572" t="n"/>
      <c r="D31" s="572" t="n"/>
      <c r="E31" s="572" t="n"/>
      <c r="F31" s="572" t="n"/>
      <c r="G31" s="572" t="n"/>
      <c r="H31" s="572" t="n"/>
      <c r="I31" s="572" t="n"/>
      <c r="J31" s="572" t="n"/>
      <c r="K31" s="572" t="n"/>
      <c r="L31" s="572" t="n"/>
      <c r="M31" s="572" t="n"/>
      <c r="N31" s="572" t="n"/>
    </row>
    <row r="32" ht="15.75" customHeight="1" s="341">
      <c r="A32" s="569" t="n">
        <v>23</v>
      </c>
      <c r="B32" s="570" t="n"/>
      <c r="C32" s="570" t="n"/>
      <c r="D32" s="570" t="n"/>
      <c r="E32" s="570" t="n"/>
      <c r="F32" s="570" t="n"/>
      <c r="G32" s="570" t="n"/>
      <c r="H32" s="570" t="n"/>
      <c r="I32" s="570" t="n"/>
      <c r="J32" s="570" t="n"/>
      <c r="K32" s="570" t="n"/>
      <c r="L32" s="570" t="n"/>
      <c r="M32" s="570" t="n"/>
      <c r="N32" s="570" t="n"/>
    </row>
    <row r="33" ht="15.75" customHeight="1" s="341">
      <c r="A33" s="571" t="n">
        <v>24</v>
      </c>
      <c r="B33" s="572" t="n"/>
      <c r="C33" s="572" t="n"/>
      <c r="D33" s="572" t="n"/>
      <c r="E33" s="572" t="n"/>
      <c r="F33" s="572" t="n"/>
      <c r="G33" s="572" t="n"/>
      <c r="H33" s="572" t="n"/>
      <c r="I33" s="572" t="n"/>
      <c r="J33" s="572" t="n"/>
      <c r="K33" s="572" t="n"/>
      <c r="L33" s="572" t="n"/>
      <c r="M33" s="572" t="n"/>
      <c r="N33" s="572" t="n"/>
    </row>
    <row r="34" ht="15.75" customHeight="1" s="341">
      <c r="A34" s="569" t="n">
        <v>25</v>
      </c>
      <c r="B34" s="570" t="n"/>
      <c r="C34" s="570" t="n"/>
      <c r="D34" s="570" t="n"/>
      <c r="E34" s="570" t="n"/>
      <c r="F34" s="570" t="n"/>
      <c r="G34" s="570" t="n"/>
      <c r="H34" s="570" t="n"/>
      <c r="I34" s="570" t="n"/>
      <c r="J34" s="570" t="n"/>
      <c r="K34" s="570" t="n"/>
      <c r="L34" s="570" t="n"/>
      <c r="M34" s="570" t="n"/>
      <c r="N34" s="570" t="n"/>
    </row>
    <row r="35" ht="15.75" customHeight="1" s="341">
      <c r="A35" s="571" t="n">
        <v>26</v>
      </c>
      <c r="B35" s="572" t="n"/>
      <c r="C35" s="572" t="n"/>
      <c r="D35" s="572" t="n"/>
      <c r="E35" s="572" t="n"/>
      <c r="F35" s="572" t="n"/>
      <c r="G35" s="572" t="n"/>
      <c r="H35" s="572" t="n"/>
      <c r="I35" s="572" t="n"/>
      <c r="J35" s="572" t="n"/>
      <c r="K35" s="572" t="n"/>
      <c r="L35" s="572" t="n"/>
      <c r="M35" s="572" t="n"/>
      <c r="N35" s="572" t="n"/>
    </row>
    <row r="36" ht="15.75" customHeight="1" s="341">
      <c r="A36" s="569" t="n">
        <v>27</v>
      </c>
      <c r="B36" s="570" t="n"/>
      <c r="C36" s="570" t="n"/>
      <c r="D36" s="570" t="n"/>
      <c r="E36" s="570" t="n"/>
      <c r="F36" s="570" t="n"/>
      <c r="G36" s="570" t="n"/>
      <c r="H36" s="570" t="n"/>
      <c r="I36" s="570" t="n"/>
      <c r="J36" s="570" t="n"/>
      <c r="K36" s="570" t="n"/>
      <c r="L36" s="570" t="n"/>
      <c r="M36" s="570" t="n"/>
      <c r="N36" s="570" t="n"/>
    </row>
    <row r="37" ht="15.75" customHeight="1" s="341">
      <c r="A37" s="571" t="n">
        <v>28</v>
      </c>
      <c r="B37" s="572" t="n"/>
      <c r="C37" s="572" t="n"/>
      <c r="D37" s="572" t="n"/>
      <c r="E37" s="572" t="n"/>
      <c r="F37" s="572" t="n"/>
      <c r="G37" s="572" t="n"/>
      <c r="H37" s="572" t="n"/>
      <c r="I37" s="572" t="n"/>
      <c r="J37" s="572" t="n"/>
      <c r="K37" s="572" t="n"/>
      <c r="L37" s="572" t="n"/>
      <c r="M37" s="572" t="n"/>
      <c r="N37" s="572" t="n"/>
    </row>
    <row r="38" ht="15.75" customHeight="1" s="341">
      <c r="A38" s="569" t="n">
        <v>29</v>
      </c>
      <c r="B38" s="570" t="n"/>
      <c r="C38" s="570" t="n"/>
      <c r="D38" s="570" t="n"/>
      <c r="E38" s="570" t="n"/>
      <c r="F38" s="570" t="n"/>
      <c r="G38" s="570" t="n"/>
      <c r="H38" s="570" t="n"/>
      <c r="I38" s="570" t="n"/>
      <c r="J38" s="570" t="n"/>
      <c r="K38" s="570" t="n"/>
      <c r="L38" s="570" t="n"/>
      <c r="M38" s="570" t="n"/>
      <c r="N38" s="570" t="n"/>
    </row>
    <row r="39" ht="15.75" customHeight="1" s="341">
      <c r="A39" s="571" t="n">
        <v>30</v>
      </c>
      <c r="B39" s="572" t="n"/>
      <c r="C39" s="572" t="n"/>
      <c r="D39" s="572" t="n"/>
      <c r="E39" s="572" t="n"/>
      <c r="F39" s="572" t="n"/>
      <c r="G39" s="572" t="n"/>
      <c r="H39" s="572" t="n"/>
      <c r="I39" s="572" t="n"/>
      <c r="J39" s="572" t="n"/>
      <c r="K39" s="572" t="n"/>
      <c r="L39" s="572" t="n"/>
      <c r="M39" s="572" t="n"/>
      <c r="N39" s="572" t="n"/>
    </row>
    <row r="40" ht="15.75" customHeight="1" s="341">
      <c r="A40" s="569" t="n">
        <v>31</v>
      </c>
      <c r="B40" s="570" t="n"/>
      <c r="C40" s="570" t="n"/>
      <c r="D40" s="570" t="n"/>
      <c r="E40" s="570" t="n"/>
      <c r="F40" s="570" t="n"/>
      <c r="G40" s="570" t="n"/>
      <c r="H40" s="570" t="n"/>
      <c r="I40" s="570" t="n"/>
      <c r="J40" s="570" t="n"/>
      <c r="K40" s="570" t="n"/>
      <c r="L40" s="570" t="n"/>
      <c r="M40" s="570" t="n"/>
      <c r="N40" s="570" t="n"/>
    </row>
    <row r="41" ht="15.75" customHeight="1" s="341">
      <c r="A41" s="571" t="n">
        <v>32</v>
      </c>
      <c r="B41" s="572" t="n"/>
      <c r="C41" s="572" t="n"/>
      <c r="D41" s="572" t="n"/>
      <c r="E41" s="572" t="n"/>
      <c r="F41" s="572" t="n"/>
      <c r="G41" s="572" t="n"/>
      <c r="H41" s="572" t="n"/>
      <c r="I41" s="572" t="n"/>
      <c r="J41" s="572" t="n"/>
      <c r="K41" s="572" t="n"/>
      <c r="L41" s="572" t="n"/>
      <c r="M41" s="572" t="n"/>
      <c r="N41" s="572" t="n"/>
    </row>
    <row r="42" ht="15.75" customHeight="1" s="341">
      <c r="A42" s="569" t="n">
        <v>33</v>
      </c>
      <c r="B42" s="570" t="n"/>
      <c r="C42" s="570" t="n"/>
      <c r="D42" s="570" t="n"/>
      <c r="E42" s="570" t="n"/>
      <c r="F42" s="570" t="n"/>
      <c r="G42" s="570" t="n"/>
      <c r="H42" s="570" t="n"/>
      <c r="I42" s="570" t="n"/>
      <c r="J42" s="570" t="n"/>
      <c r="K42" s="570" t="n"/>
      <c r="L42" s="570" t="n"/>
      <c r="M42" s="570" t="n"/>
      <c r="N42" s="570" t="n"/>
    </row>
    <row r="43" ht="15.75" customHeight="1" s="341">
      <c r="A43" s="571" t="n">
        <v>34</v>
      </c>
      <c r="B43" s="572" t="n"/>
      <c r="C43" s="572" t="n"/>
      <c r="D43" s="572" t="n"/>
      <c r="E43" s="572" t="n"/>
      <c r="F43" s="572" t="n"/>
      <c r="G43" s="572" t="n"/>
      <c r="H43" s="572" t="n"/>
      <c r="I43" s="572" t="n"/>
      <c r="J43" s="572" t="n"/>
      <c r="K43" s="572" t="n"/>
      <c r="L43" s="572" t="n"/>
      <c r="M43" s="572" t="n"/>
      <c r="N43" s="572" t="n"/>
    </row>
    <row r="44" ht="15.75" customHeight="1" s="341">
      <c r="A44" s="569" t="n">
        <v>35</v>
      </c>
      <c r="B44" s="570" t="n"/>
      <c r="C44" s="570" t="n"/>
      <c r="D44" s="570" t="n"/>
      <c r="E44" s="570" t="n"/>
      <c r="F44" s="570" t="n"/>
      <c r="G44" s="570" t="n"/>
      <c r="H44" s="570" t="n"/>
      <c r="I44" s="570" t="n"/>
      <c r="J44" s="570" t="n"/>
      <c r="K44" s="570" t="n"/>
      <c r="L44" s="570" t="n"/>
      <c r="M44" s="570" t="n"/>
      <c r="N44" s="570" t="n"/>
    </row>
    <row r="45" ht="15.75" customHeight="1" s="341">
      <c r="A45" s="571" t="n">
        <v>36</v>
      </c>
      <c r="B45" s="572" t="n"/>
      <c r="C45" s="572" t="n"/>
      <c r="D45" s="572" t="n"/>
      <c r="E45" s="572" t="n"/>
      <c r="F45" s="572" t="n"/>
      <c r="G45" s="572" t="n"/>
      <c r="H45" s="572" t="n"/>
      <c r="I45" s="572" t="n"/>
      <c r="J45" s="572" t="n"/>
      <c r="K45" s="572" t="n"/>
      <c r="L45" s="572" t="n"/>
      <c r="M45" s="572" t="n"/>
      <c r="N45" s="572" t="n"/>
    </row>
    <row r="46" ht="15.75" customHeight="1" s="341">
      <c r="A46" s="569" t="n">
        <v>37</v>
      </c>
      <c r="B46" s="570" t="n"/>
      <c r="C46" s="570" t="n"/>
      <c r="D46" s="570" t="n"/>
      <c r="E46" s="570" t="n"/>
      <c r="F46" s="570" t="n"/>
      <c r="G46" s="570" t="n"/>
      <c r="H46" s="570" t="n"/>
      <c r="I46" s="570" t="n"/>
      <c r="J46" s="570" t="n"/>
      <c r="K46" s="570" t="n"/>
      <c r="L46" s="570" t="n"/>
      <c r="M46" s="570" t="n"/>
      <c r="N46" s="570" t="n"/>
    </row>
    <row r="47" ht="15.75" customHeight="1" s="341">
      <c r="A47" s="571" t="n">
        <v>38</v>
      </c>
      <c r="B47" s="572" t="n"/>
      <c r="C47" s="572" t="n"/>
      <c r="D47" s="572" t="n"/>
      <c r="E47" s="572" t="n"/>
      <c r="F47" s="572" t="n"/>
      <c r="G47" s="572" t="n"/>
      <c r="H47" s="572" t="n"/>
      <c r="I47" s="572" t="n"/>
      <c r="J47" s="572" t="n"/>
      <c r="K47" s="572" t="n"/>
      <c r="L47" s="572" t="n"/>
      <c r="M47" s="572" t="n"/>
      <c r="N47" s="572" t="n"/>
    </row>
    <row r="48" ht="15.75" customHeight="1" s="341">
      <c r="A48" s="569" t="n">
        <v>39</v>
      </c>
      <c r="B48" s="570" t="n"/>
      <c r="C48" s="570" t="n"/>
      <c r="D48" s="570" t="n"/>
      <c r="E48" s="570" t="n"/>
      <c r="F48" s="570" t="n"/>
      <c r="G48" s="570" t="n"/>
      <c r="H48" s="570" t="n"/>
      <c r="I48" s="570" t="n"/>
      <c r="J48" s="570" t="n"/>
      <c r="K48" s="570" t="n"/>
      <c r="L48" s="570" t="n"/>
      <c r="M48" s="570" t="n"/>
      <c r="N48" s="570" t="n"/>
    </row>
    <row r="49" ht="15.75" customHeight="1" s="341">
      <c r="A49" s="571" t="n">
        <v>40</v>
      </c>
      <c r="B49" s="572" t="n"/>
      <c r="C49" s="572" t="n"/>
      <c r="D49" s="572" t="n"/>
      <c r="E49" s="572" t="n"/>
      <c r="F49" s="572" t="n"/>
      <c r="G49" s="572" t="n"/>
      <c r="H49" s="572" t="n"/>
      <c r="I49" s="572" t="n"/>
      <c r="J49" s="572" t="n"/>
      <c r="K49" s="572" t="n"/>
      <c r="L49" s="572" t="n"/>
      <c r="M49" s="572" t="n"/>
      <c r="N49" s="572" t="n"/>
    </row>
    <row r="50" ht="15.75" customHeight="1" s="341">
      <c r="A50" s="569" t="n">
        <v>41</v>
      </c>
      <c r="B50" s="570" t="n"/>
      <c r="C50" s="570" t="n"/>
      <c r="D50" s="570" t="n"/>
      <c r="E50" s="570" t="n"/>
      <c r="F50" s="570" t="n"/>
      <c r="G50" s="570" t="n"/>
      <c r="H50" s="570" t="n"/>
      <c r="I50" s="570" t="n"/>
      <c r="J50" s="570" t="n"/>
      <c r="K50" s="570" t="n"/>
      <c r="L50" s="570" t="n"/>
      <c r="M50" s="570" t="n"/>
      <c r="N50" s="570" t="n"/>
    </row>
    <row r="51" ht="15.75" customHeight="1" s="341">
      <c r="A51" s="571" t="n">
        <v>42</v>
      </c>
      <c r="B51" s="572" t="n"/>
      <c r="C51" s="572" t="n"/>
      <c r="D51" s="572" t="n"/>
      <c r="E51" s="572" t="n"/>
      <c r="F51" s="572" t="n"/>
      <c r="G51" s="572" t="n"/>
      <c r="H51" s="572" t="n"/>
      <c r="I51" s="572" t="n"/>
      <c r="J51" s="572" t="n"/>
      <c r="K51" s="572" t="n"/>
      <c r="L51" s="572" t="n"/>
      <c r="M51" s="572" t="n"/>
      <c r="N51" s="572" t="n"/>
    </row>
    <row r="52" ht="15.75" customHeight="1" s="341">
      <c r="A52" s="569" t="n">
        <v>43</v>
      </c>
      <c r="B52" s="570" t="n"/>
      <c r="C52" s="570" t="n"/>
      <c r="D52" s="570" t="n"/>
      <c r="E52" s="570" t="n"/>
      <c r="F52" s="570" t="n"/>
      <c r="G52" s="570" t="n"/>
      <c r="H52" s="570" t="n"/>
      <c r="I52" s="570" t="n"/>
      <c r="J52" s="570" t="n"/>
      <c r="K52" s="570" t="n"/>
      <c r="L52" s="570" t="n"/>
      <c r="M52" s="570" t="n"/>
      <c r="N52" s="570" t="n"/>
    </row>
    <row r="53" ht="15.75" customHeight="1" s="341">
      <c r="A53" s="571" t="n">
        <v>44</v>
      </c>
      <c r="B53" s="572" t="n"/>
      <c r="C53" s="572" t="n"/>
      <c r="D53" s="572" t="n"/>
      <c r="E53" s="572" t="n"/>
      <c r="F53" s="572" t="n"/>
      <c r="G53" s="572" t="n"/>
      <c r="H53" s="572" t="n"/>
      <c r="I53" s="572" t="n"/>
      <c r="J53" s="572" t="n"/>
      <c r="K53" s="572" t="n"/>
      <c r="L53" s="572" t="n"/>
      <c r="M53" s="572" t="n"/>
      <c r="N53" s="572" t="n"/>
    </row>
    <row r="54" ht="15.75" customHeight="1" s="341">
      <c r="A54" s="569" t="n">
        <v>45</v>
      </c>
      <c r="B54" s="570" t="n"/>
      <c r="C54" s="570" t="n"/>
      <c r="D54" s="570" t="n"/>
      <c r="E54" s="570" t="n"/>
      <c r="F54" s="570" t="n"/>
      <c r="G54" s="570" t="n"/>
      <c r="H54" s="570" t="n"/>
      <c r="I54" s="570" t="n"/>
      <c r="J54" s="570" t="n"/>
      <c r="K54" s="570" t="n"/>
      <c r="L54" s="570" t="n"/>
      <c r="M54" s="570" t="n"/>
      <c r="N54" s="570" t="n"/>
    </row>
    <row r="55" ht="15.75" customHeight="1" s="341">
      <c r="A55" s="571" t="n">
        <v>46</v>
      </c>
      <c r="B55" s="572" t="n"/>
      <c r="C55" s="572" t="n"/>
      <c r="D55" s="572" t="n"/>
      <c r="E55" s="572" t="n"/>
      <c r="F55" s="572" t="n"/>
      <c r="G55" s="572" t="n"/>
      <c r="H55" s="572" t="n"/>
      <c r="I55" s="572" t="n"/>
      <c r="J55" s="572" t="n"/>
      <c r="K55" s="572" t="n"/>
      <c r="L55" s="572" t="n"/>
      <c r="M55" s="572" t="n"/>
      <c r="N55" s="572" t="n"/>
    </row>
    <row r="56" ht="15.75" customHeight="1" s="341">
      <c r="A56" s="569" t="n">
        <v>47</v>
      </c>
      <c r="B56" s="570" t="n"/>
      <c r="C56" s="570" t="n"/>
      <c r="D56" s="570" t="n"/>
      <c r="E56" s="570" t="n"/>
      <c r="F56" s="570" t="n"/>
      <c r="G56" s="570" t="n"/>
      <c r="H56" s="570" t="n"/>
      <c r="I56" s="570" t="n"/>
      <c r="J56" s="570" t="n"/>
      <c r="K56" s="570" t="n"/>
      <c r="L56" s="570" t="n"/>
      <c r="M56" s="570" t="n"/>
      <c r="N56" s="570" t="n"/>
    </row>
    <row r="57" ht="15.75" customHeight="1" s="341">
      <c r="A57" s="571" t="n">
        <v>48</v>
      </c>
      <c r="B57" s="572" t="n"/>
      <c r="C57" s="572" t="n"/>
      <c r="D57" s="572" t="n"/>
      <c r="E57" s="572" t="n"/>
      <c r="F57" s="572" t="n"/>
      <c r="G57" s="572" t="n"/>
      <c r="H57" s="572" t="n"/>
      <c r="I57" s="572" t="n"/>
      <c r="J57" s="572" t="n"/>
      <c r="K57" s="572" t="n"/>
      <c r="L57" s="572" t="n"/>
      <c r="M57" s="572" t="n"/>
      <c r="N57" s="572" t="n"/>
    </row>
    <row r="58" ht="15.75" customHeight="1" s="341">
      <c r="A58" s="569" t="n">
        <v>49</v>
      </c>
      <c r="B58" s="570" t="n"/>
      <c r="C58" s="570" t="n"/>
      <c r="D58" s="570" t="n"/>
      <c r="E58" s="570" t="n"/>
      <c r="F58" s="570" t="n"/>
      <c r="G58" s="570" t="n"/>
      <c r="H58" s="570" t="n"/>
      <c r="I58" s="570" t="n"/>
      <c r="J58" s="570" t="n"/>
      <c r="K58" s="570" t="n"/>
      <c r="L58" s="570" t="n"/>
      <c r="M58" s="570" t="n"/>
      <c r="N58" s="570" t="n"/>
    </row>
    <row r="59" ht="15.75" customHeight="1" s="341">
      <c r="A59" s="571" t="n">
        <v>50</v>
      </c>
      <c r="B59" s="572" t="n"/>
      <c r="C59" s="572" t="n"/>
      <c r="D59" s="572" t="n"/>
      <c r="E59" s="572" t="n"/>
      <c r="F59" s="572" t="n"/>
      <c r="G59" s="572" t="n"/>
      <c r="H59" s="572" t="n"/>
      <c r="I59" s="572" t="n"/>
      <c r="J59" s="572" t="n"/>
      <c r="K59" s="572" t="n"/>
      <c r="L59" s="572" t="n"/>
      <c r="M59" s="572" t="n"/>
      <c r="N59" s="572" t="n"/>
    </row>
    <row r="60" ht="15.75" customHeight="1" s="341">
      <c r="A60" s="569" t="n">
        <v>51</v>
      </c>
      <c r="B60" s="570" t="n"/>
      <c r="C60" s="570" t="n"/>
      <c r="D60" s="570" t="n"/>
      <c r="E60" s="570" t="n"/>
      <c r="F60" s="570" t="n"/>
      <c r="G60" s="570" t="n"/>
      <c r="H60" s="570" t="n"/>
      <c r="I60" s="570" t="n"/>
      <c r="J60" s="570" t="n"/>
      <c r="K60" s="570" t="n"/>
      <c r="L60" s="570" t="n"/>
      <c r="M60" s="570" t="n"/>
      <c r="N60" s="570" t="n"/>
    </row>
    <row r="61" ht="15.75" customHeight="1" s="341">
      <c r="A61" s="571" t="n">
        <v>52</v>
      </c>
      <c r="B61" s="572" t="n"/>
      <c r="C61" s="572" t="n"/>
      <c r="D61" s="572" t="n"/>
      <c r="E61" s="572" t="n"/>
      <c r="F61" s="572" t="n"/>
      <c r="G61" s="572" t="n"/>
      <c r="H61" s="572" t="n"/>
      <c r="I61" s="572" t="n"/>
      <c r="J61" s="572" t="n"/>
      <c r="K61" s="572" t="n"/>
      <c r="L61" s="572" t="n"/>
      <c r="M61" s="572" t="n"/>
      <c r="N61" s="572" t="n"/>
    </row>
    <row r="62" ht="15.75" customHeight="1" s="341">
      <c r="A62" s="569" t="n">
        <v>53</v>
      </c>
      <c r="B62" s="570" t="n"/>
      <c r="C62" s="570" t="n"/>
      <c r="D62" s="570" t="n"/>
      <c r="E62" s="570" t="n"/>
      <c r="F62" s="570" t="n"/>
      <c r="G62" s="570" t="n"/>
      <c r="H62" s="570" t="n"/>
      <c r="I62" s="570" t="n"/>
      <c r="J62" s="570" t="n"/>
      <c r="K62" s="570" t="n"/>
      <c r="L62" s="570" t="n"/>
      <c r="M62" s="570" t="n"/>
      <c r="N62" s="570" t="n"/>
    </row>
    <row r="63" ht="15.75" customHeight="1" s="341">
      <c r="A63" s="571" t="n">
        <v>54</v>
      </c>
      <c r="B63" s="572" t="n"/>
      <c r="C63" s="572" t="n"/>
      <c r="D63" s="572" t="n"/>
      <c r="E63" s="572" t="n"/>
      <c r="F63" s="572" t="n"/>
      <c r="G63" s="572" t="n"/>
      <c r="H63" s="572" t="n"/>
      <c r="I63" s="572" t="n"/>
      <c r="J63" s="572" t="n"/>
      <c r="K63" s="572" t="n"/>
      <c r="L63" s="572" t="n"/>
      <c r="M63" s="572" t="n"/>
      <c r="N63" s="572" t="n"/>
    </row>
    <row r="64" ht="15.75" customHeight="1" s="341">
      <c r="A64" s="569" t="n">
        <v>55</v>
      </c>
      <c r="B64" s="570" t="n"/>
      <c r="C64" s="570" t="n"/>
      <c r="D64" s="570" t="n"/>
      <c r="E64" s="570" t="n"/>
      <c r="F64" s="570" t="n"/>
      <c r="G64" s="570" t="n"/>
      <c r="H64" s="570" t="n"/>
      <c r="I64" s="570" t="n"/>
      <c r="J64" s="570" t="n"/>
      <c r="K64" s="570" t="n"/>
      <c r="L64" s="570" t="n"/>
      <c r="M64" s="570" t="n"/>
      <c r="N64" s="570" t="n"/>
    </row>
    <row r="65" ht="15.75" customHeight="1" s="341">
      <c r="A65" s="571" t="n">
        <v>56</v>
      </c>
      <c r="B65" s="572" t="n"/>
      <c r="C65" s="572" t="n"/>
      <c r="D65" s="572" t="n"/>
      <c r="E65" s="572" t="n"/>
      <c r="F65" s="572" t="n"/>
      <c r="G65" s="572" t="n"/>
      <c r="H65" s="572" t="n"/>
      <c r="I65" s="572" t="n"/>
      <c r="J65" s="572" t="n"/>
      <c r="K65" s="572" t="n"/>
      <c r="L65" s="572" t="n"/>
      <c r="M65" s="572" t="n"/>
      <c r="N65" s="572" t="n"/>
    </row>
    <row r="66" ht="15.75" customHeight="1" s="341">
      <c r="A66" s="569" t="n">
        <v>57</v>
      </c>
      <c r="B66" s="570" t="n"/>
      <c r="C66" s="570" t="n"/>
      <c r="D66" s="570" t="n"/>
      <c r="E66" s="570" t="n"/>
      <c r="F66" s="570" t="n"/>
      <c r="G66" s="570" t="n"/>
      <c r="H66" s="570" t="n"/>
      <c r="I66" s="570" t="n"/>
      <c r="J66" s="570" t="n"/>
      <c r="K66" s="570" t="n"/>
      <c r="L66" s="570" t="n"/>
      <c r="M66" s="570" t="n"/>
      <c r="N66" s="570" t="n"/>
    </row>
    <row r="67" ht="15.75" customHeight="1" s="341">
      <c r="A67" s="571" t="n">
        <v>58</v>
      </c>
      <c r="B67" s="572" t="n"/>
      <c r="C67" s="572" t="n"/>
      <c r="D67" s="572" t="n"/>
      <c r="E67" s="572" t="n"/>
      <c r="F67" s="572" t="n"/>
      <c r="G67" s="572" t="n"/>
      <c r="H67" s="572" t="n"/>
      <c r="I67" s="572" t="n"/>
      <c r="J67" s="572" t="n"/>
      <c r="K67" s="572" t="n"/>
      <c r="L67" s="572" t="n"/>
      <c r="M67" s="572" t="n"/>
      <c r="N67" s="572" t="n"/>
    </row>
    <row r="68" ht="15.75" customHeight="1" s="341">
      <c r="A68" s="569" t="n">
        <v>59</v>
      </c>
      <c r="B68" s="570" t="n"/>
      <c r="C68" s="570" t="n"/>
      <c r="D68" s="570" t="n"/>
      <c r="E68" s="570" t="n"/>
      <c r="F68" s="570" t="n"/>
      <c r="G68" s="570" t="n"/>
      <c r="H68" s="570" t="n"/>
      <c r="I68" s="570" t="n"/>
      <c r="J68" s="570" t="n"/>
      <c r="K68" s="570" t="n"/>
      <c r="L68" s="570" t="n"/>
      <c r="M68" s="570" t="n"/>
      <c r="N68" s="570" t="n"/>
    </row>
    <row r="69" ht="15.75" customHeight="1" s="341">
      <c r="A69" s="571" t="n">
        <v>60</v>
      </c>
      <c r="B69" s="572" t="n"/>
      <c r="C69" s="572" t="n"/>
      <c r="D69" s="572" t="n"/>
      <c r="E69" s="572" t="n"/>
      <c r="F69" s="572" t="n"/>
      <c r="G69" s="572" t="n"/>
      <c r="H69" s="572" t="n"/>
      <c r="I69" s="572" t="n"/>
      <c r="J69" s="572" t="n"/>
      <c r="K69" s="572" t="n"/>
      <c r="L69" s="572" t="n"/>
      <c r="M69" s="572" t="n"/>
      <c r="N69" s="572" t="n"/>
    </row>
    <row r="70" ht="15.75" customHeight="1" s="341">
      <c r="A70" s="569" t="n">
        <v>61</v>
      </c>
      <c r="B70" s="570" t="n"/>
      <c r="C70" s="570" t="n"/>
      <c r="D70" s="570" t="n"/>
      <c r="E70" s="570" t="n"/>
      <c r="F70" s="570" t="n"/>
      <c r="G70" s="570" t="n"/>
      <c r="H70" s="570" t="n"/>
      <c r="I70" s="570" t="n"/>
      <c r="J70" s="570" t="n"/>
      <c r="K70" s="570" t="n"/>
      <c r="L70" s="570" t="n"/>
      <c r="M70" s="570" t="n"/>
      <c r="N70" s="570" t="n"/>
    </row>
    <row r="71" ht="15.75" customHeight="1" s="341">
      <c r="A71" s="571" t="n">
        <v>62</v>
      </c>
      <c r="B71" s="572" t="n"/>
      <c r="C71" s="572" t="n"/>
      <c r="D71" s="572" t="n"/>
      <c r="E71" s="572" t="n"/>
      <c r="F71" s="572" t="n"/>
      <c r="G71" s="572" t="n"/>
      <c r="H71" s="572" t="n"/>
      <c r="I71" s="572" t="n"/>
      <c r="J71" s="572" t="n"/>
      <c r="K71" s="572" t="n"/>
      <c r="L71" s="572" t="n"/>
      <c r="M71" s="572" t="n"/>
      <c r="N71" s="572" t="n"/>
    </row>
    <row r="72" ht="15.75" customHeight="1" s="341">
      <c r="A72" s="569" t="n">
        <v>63</v>
      </c>
      <c r="B72" s="570" t="n"/>
      <c r="C72" s="570" t="n"/>
      <c r="D72" s="570" t="n"/>
      <c r="E72" s="570" t="n"/>
      <c r="F72" s="570" t="n"/>
      <c r="G72" s="570" t="n"/>
      <c r="H72" s="570" t="n"/>
      <c r="I72" s="570" t="n"/>
      <c r="J72" s="570" t="n"/>
      <c r="K72" s="570" t="n"/>
      <c r="L72" s="570" t="n"/>
      <c r="M72" s="570" t="n"/>
      <c r="N72" s="570" t="n"/>
    </row>
    <row r="73" ht="15.75" customHeight="1" s="341">
      <c r="A73" s="571" t="n">
        <v>64</v>
      </c>
      <c r="B73" s="572" t="n"/>
      <c r="C73" s="572" t="n"/>
      <c r="D73" s="572" t="n"/>
      <c r="E73" s="572" t="n"/>
      <c r="F73" s="572" t="n"/>
      <c r="G73" s="572" t="n"/>
      <c r="H73" s="572" t="n"/>
      <c r="I73" s="572" t="n"/>
      <c r="J73" s="572" t="n"/>
      <c r="K73" s="572" t="n"/>
      <c r="L73" s="572" t="n"/>
      <c r="M73" s="572" t="n"/>
      <c r="N73" s="572" t="n"/>
    </row>
    <row r="74" ht="15.75" customHeight="1" s="341">
      <c r="A74" s="569" t="n">
        <v>65</v>
      </c>
      <c r="B74" s="570" t="n"/>
      <c r="C74" s="570" t="n"/>
      <c r="D74" s="570" t="n"/>
      <c r="E74" s="570" t="n"/>
      <c r="F74" s="570" t="n"/>
      <c r="G74" s="570" t="n"/>
      <c r="H74" s="570" t="n"/>
      <c r="I74" s="570" t="n"/>
      <c r="J74" s="570" t="n"/>
      <c r="K74" s="570" t="n"/>
      <c r="L74" s="570" t="n"/>
      <c r="M74" s="570" t="n"/>
      <c r="N74" s="570" t="n"/>
    </row>
    <row r="75" ht="15.75" customHeight="1" s="341">
      <c r="A75" s="571" t="n">
        <v>66</v>
      </c>
      <c r="B75" s="572" t="n"/>
      <c r="C75" s="572" t="n"/>
      <c r="D75" s="572" t="n"/>
      <c r="E75" s="572" t="n"/>
      <c r="F75" s="572" t="n"/>
      <c r="G75" s="572" t="n"/>
      <c r="H75" s="572" t="n"/>
      <c r="I75" s="572" t="n"/>
      <c r="J75" s="572" t="n"/>
      <c r="K75" s="572" t="n"/>
      <c r="L75" s="572" t="n"/>
      <c r="M75" s="572" t="n"/>
      <c r="N75" s="572" t="n"/>
    </row>
    <row r="76" ht="15.75" customHeight="1" s="341">
      <c r="A76" s="569" t="n">
        <v>67</v>
      </c>
      <c r="B76" s="570" t="n"/>
      <c r="C76" s="570" t="n"/>
      <c r="D76" s="570" t="n"/>
      <c r="E76" s="570" t="n"/>
      <c r="F76" s="570" t="n"/>
      <c r="G76" s="570" t="n"/>
      <c r="H76" s="570" t="n"/>
      <c r="I76" s="570" t="n"/>
      <c r="J76" s="570" t="n"/>
      <c r="K76" s="570" t="n"/>
      <c r="L76" s="570" t="n"/>
      <c r="M76" s="570" t="n"/>
      <c r="N76" s="570" t="n"/>
    </row>
    <row r="77" ht="15.75" customHeight="1" s="341">
      <c r="A77" s="571" t="n">
        <v>68</v>
      </c>
      <c r="B77" s="572" t="n"/>
      <c r="C77" s="572" t="n"/>
      <c r="D77" s="572" t="n"/>
      <c r="E77" s="572" t="n"/>
      <c r="F77" s="572" t="n"/>
      <c r="G77" s="572" t="n"/>
      <c r="H77" s="572" t="n"/>
      <c r="I77" s="572" t="n"/>
      <c r="J77" s="572" t="n"/>
      <c r="K77" s="572" t="n"/>
      <c r="L77" s="572" t="n"/>
      <c r="M77" s="572" t="n"/>
      <c r="N77" s="572" t="n"/>
    </row>
    <row r="78" ht="15.75" customHeight="1" s="341">
      <c r="A78" s="569" t="n">
        <v>69</v>
      </c>
      <c r="B78" s="570" t="n"/>
      <c r="C78" s="570" t="n"/>
      <c r="D78" s="570" t="n"/>
      <c r="E78" s="570" t="n"/>
      <c r="F78" s="570" t="n"/>
      <c r="G78" s="570" t="n"/>
      <c r="H78" s="570" t="n"/>
      <c r="I78" s="570" t="n"/>
      <c r="J78" s="570" t="n"/>
      <c r="K78" s="570" t="n"/>
      <c r="L78" s="570" t="n"/>
      <c r="M78" s="570" t="n"/>
      <c r="N78" s="570" t="n"/>
    </row>
    <row r="79" ht="15.75" customHeight="1" s="341">
      <c r="A79" s="571" t="n">
        <v>70</v>
      </c>
      <c r="B79" s="572" t="n"/>
      <c r="C79" s="572" t="n"/>
      <c r="D79" s="572" t="n"/>
      <c r="E79" s="572" t="n"/>
      <c r="F79" s="572" t="n"/>
      <c r="G79" s="572" t="n"/>
      <c r="H79" s="572" t="n"/>
      <c r="I79" s="572" t="n"/>
      <c r="J79" s="572" t="n"/>
      <c r="K79" s="572" t="n"/>
      <c r="L79" s="572" t="n"/>
      <c r="M79" s="572" t="n"/>
      <c r="N79" s="572" t="n"/>
    </row>
    <row r="80" ht="15.75" customHeight="1" s="341">
      <c r="A80" s="569" t="n">
        <v>71</v>
      </c>
      <c r="B80" s="570" t="n"/>
      <c r="C80" s="570" t="n"/>
      <c r="D80" s="570" t="n"/>
      <c r="E80" s="570" t="n"/>
      <c r="F80" s="570" t="n"/>
      <c r="G80" s="570" t="n"/>
      <c r="H80" s="570" t="n"/>
      <c r="I80" s="570" t="n"/>
      <c r="J80" s="570" t="n"/>
      <c r="K80" s="570" t="n"/>
      <c r="L80" s="570" t="n"/>
      <c r="M80" s="570" t="n"/>
      <c r="N80" s="570" t="n"/>
    </row>
    <row r="81" ht="15.75" customHeight="1" s="341">
      <c r="A81" s="571" t="n">
        <v>72</v>
      </c>
      <c r="B81" s="572" t="n"/>
      <c r="C81" s="572" t="n"/>
      <c r="D81" s="572" t="n"/>
      <c r="E81" s="572" t="n"/>
      <c r="F81" s="572" t="n"/>
      <c r="G81" s="572" t="n"/>
      <c r="H81" s="572" t="n"/>
      <c r="I81" s="572" t="n"/>
      <c r="J81" s="572" t="n"/>
      <c r="K81" s="572" t="n"/>
      <c r="L81" s="572" t="n"/>
      <c r="M81" s="572" t="n"/>
      <c r="N81" s="572" t="n"/>
    </row>
    <row r="82" ht="15.75" customHeight="1" s="341">
      <c r="A82" s="569" t="n">
        <v>73</v>
      </c>
      <c r="B82" s="570" t="n"/>
      <c r="C82" s="570" t="n"/>
      <c r="D82" s="570" t="n"/>
      <c r="E82" s="570" t="n"/>
      <c r="F82" s="570" t="n"/>
      <c r="G82" s="570" t="n"/>
      <c r="H82" s="570" t="n"/>
      <c r="I82" s="570" t="n"/>
      <c r="J82" s="570" t="n"/>
      <c r="K82" s="570" t="n"/>
      <c r="L82" s="570" t="n"/>
      <c r="M82" s="570" t="n"/>
      <c r="N82" s="570" t="n"/>
    </row>
    <row r="83" ht="15.75" customHeight="1" s="341">
      <c r="A83" s="571" t="n">
        <v>74</v>
      </c>
      <c r="B83" s="572" t="n"/>
      <c r="C83" s="572" t="n"/>
      <c r="D83" s="572" t="n"/>
      <c r="E83" s="572" t="n"/>
      <c r="F83" s="572" t="n"/>
      <c r="G83" s="572" t="n"/>
      <c r="H83" s="572" t="n"/>
      <c r="I83" s="572" t="n"/>
      <c r="J83" s="572" t="n"/>
      <c r="K83" s="572" t="n"/>
      <c r="L83" s="572" t="n"/>
      <c r="M83" s="572" t="n"/>
      <c r="N83" s="572" t="n"/>
    </row>
    <row r="84" ht="15.75" customHeight="1" s="341">
      <c r="A84" s="569" t="n">
        <v>75</v>
      </c>
      <c r="B84" s="570" t="n"/>
      <c r="C84" s="570" t="n"/>
      <c r="D84" s="570" t="n"/>
      <c r="E84" s="570" t="n"/>
      <c r="F84" s="570" t="n"/>
      <c r="G84" s="570" t="n"/>
      <c r="H84" s="570" t="n"/>
      <c r="I84" s="570" t="n"/>
      <c r="J84" s="570" t="n"/>
      <c r="K84" s="570" t="n"/>
      <c r="L84" s="570" t="n"/>
      <c r="M84" s="570" t="n"/>
      <c r="N84" s="570" t="n"/>
    </row>
    <row r="85" ht="15.75" customHeight="1" s="341">
      <c r="A85" s="571" t="n">
        <v>76</v>
      </c>
      <c r="B85" s="572" t="n"/>
      <c r="C85" s="572" t="n"/>
      <c r="D85" s="572" t="n"/>
      <c r="E85" s="572" t="n"/>
      <c r="F85" s="572" t="n"/>
      <c r="G85" s="572" t="n"/>
      <c r="H85" s="572" t="n"/>
      <c r="I85" s="572" t="n"/>
      <c r="J85" s="572" t="n"/>
      <c r="K85" s="572" t="n"/>
      <c r="L85" s="572" t="n"/>
      <c r="M85" s="572" t="n"/>
      <c r="N85" s="572" t="n"/>
    </row>
    <row r="86" ht="15.75" customHeight="1" s="341">
      <c r="A86" s="569" t="n">
        <v>77</v>
      </c>
      <c r="B86" s="570" t="n"/>
      <c r="C86" s="570" t="n"/>
      <c r="D86" s="570" t="n"/>
      <c r="E86" s="570" t="n"/>
      <c r="F86" s="570" t="n"/>
      <c r="G86" s="570" t="n"/>
      <c r="H86" s="570" t="n"/>
      <c r="I86" s="570" t="n"/>
      <c r="J86" s="570" t="n"/>
      <c r="K86" s="570" t="n"/>
      <c r="L86" s="570" t="n"/>
      <c r="M86" s="570" t="n"/>
      <c r="N86" s="570" t="n"/>
    </row>
    <row r="87" ht="15.75" customHeight="1" s="341">
      <c r="A87" s="571" t="n">
        <v>78</v>
      </c>
      <c r="B87" s="572" t="n"/>
      <c r="C87" s="572" t="n"/>
      <c r="D87" s="572" t="n"/>
      <c r="E87" s="572" t="n"/>
      <c r="F87" s="572" t="n"/>
      <c r="G87" s="572" t="n"/>
      <c r="H87" s="572" t="n"/>
      <c r="I87" s="572" t="n"/>
      <c r="J87" s="572" t="n"/>
      <c r="K87" s="572" t="n"/>
      <c r="L87" s="572" t="n"/>
      <c r="M87" s="572" t="n"/>
      <c r="N87" s="572" t="n"/>
    </row>
    <row r="88" ht="15.75" customHeight="1" s="341">
      <c r="A88" s="569" t="n">
        <v>79</v>
      </c>
      <c r="B88" s="570" t="n"/>
      <c r="C88" s="570" t="n"/>
      <c r="D88" s="570" t="n"/>
      <c r="E88" s="570" t="n"/>
      <c r="F88" s="570" t="n"/>
      <c r="G88" s="570" t="n"/>
      <c r="H88" s="570" t="n"/>
      <c r="I88" s="570" t="n"/>
      <c r="J88" s="570" t="n"/>
      <c r="K88" s="570" t="n"/>
      <c r="L88" s="570" t="n"/>
      <c r="M88" s="570" t="n"/>
      <c r="N88" s="570" t="n"/>
    </row>
    <row r="89" ht="15.75" customHeight="1" s="341">
      <c r="A89" s="571" t="n">
        <v>80</v>
      </c>
      <c r="B89" s="572" t="n"/>
      <c r="C89" s="572" t="n"/>
      <c r="D89" s="572" t="n"/>
      <c r="E89" s="572" t="n"/>
      <c r="F89" s="572" t="n"/>
      <c r="G89" s="572" t="n"/>
      <c r="H89" s="572" t="n"/>
      <c r="I89" s="572" t="n"/>
      <c r="J89" s="572" t="n"/>
      <c r="K89" s="572" t="n"/>
      <c r="L89" s="572" t="n"/>
      <c r="M89" s="572" t="n"/>
      <c r="N89" s="572" t="n"/>
    </row>
    <row r="90" ht="15.75" customHeight="1" s="341">
      <c r="A90" s="569" t="n">
        <v>81</v>
      </c>
      <c r="B90" s="570" t="n"/>
      <c r="C90" s="570" t="n"/>
      <c r="D90" s="570" t="n"/>
      <c r="E90" s="570" t="n"/>
      <c r="F90" s="570" t="n"/>
      <c r="G90" s="570" t="n"/>
      <c r="H90" s="570" t="n"/>
      <c r="I90" s="570" t="n"/>
      <c r="J90" s="570" t="n"/>
      <c r="K90" s="570" t="n"/>
      <c r="L90" s="570" t="n"/>
      <c r="M90" s="570" t="n"/>
      <c r="N90" s="570" t="n"/>
    </row>
    <row r="91" ht="15.75" customHeight="1" s="341">
      <c r="A91" s="571" t="n">
        <v>82</v>
      </c>
      <c r="B91" s="572" t="n"/>
      <c r="C91" s="572" t="n"/>
      <c r="D91" s="572" t="n"/>
      <c r="E91" s="572" t="n"/>
      <c r="F91" s="572" t="n"/>
      <c r="G91" s="572" t="n"/>
      <c r="H91" s="572" t="n"/>
      <c r="I91" s="572" t="n"/>
      <c r="J91" s="572" t="n"/>
      <c r="K91" s="572" t="n"/>
      <c r="L91" s="572" t="n"/>
      <c r="M91" s="572" t="n"/>
      <c r="N91" s="572" t="n"/>
    </row>
    <row r="92" ht="15.75" customHeight="1" s="341">
      <c r="A92" s="569" t="n">
        <v>83</v>
      </c>
      <c r="B92" s="570" t="n"/>
      <c r="C92" s="570" t="n"/>
      <c r="D92" s="570" t="n"/>
      <c r="E92" s="570" t="n"/>
      <c r="F92" s="570" t="n"/>
      <c r="G92" s="570" t="n"/>
      <c r="H92" s="570" t="n"/>
      <c r="I92" s="570" t="n"/>
      <c r="J92" s="570" t="n"/>
      <c r="K92" s="570" t="n"/>
      <c r="L92" s="570" t="n"/>
      <c r="M92" s="570" t="n"/>
      <c r="N92" s="570" t="n"/>
    </row>
    <row r="93" ht="15.75" customHeight="1" s="341">
      <c r="A93" s="571" t="n">
        <v>84</v>
      </c>
      <c r="B93" s="572" t="n"/>
      <c r="C93" s="572" t="n"/>
      <c r="D93" s="572" t="n"/>
      <c r="E93" s="572" t="n"/>
      <c r="F93" s="572" t="n"/>
      <c r="G93" s="572" t="n"/>
      <c r="H93" s="572" t="n"/>
      <c r="I93" s="572" t="n"/>
      <c r="J93" s="572" t="n"/>
      <c r="K93" s="572" t="n"/>
      <c r="L93" s="572" t="n"/>
      <c r="M93" s="572" t="n"/>
      <c r="N93" s="572" t="n"/>
    </row>
    <row r="94" ht="15.75" customHeight="1" s="341">
      <c r="A94" s="569" t="n">
        <v>85</v>
      </c>
      <c r="B94" s="570" t="n"/>
      <c r="C94" s="570" t="n"/>
      <c r="D94" s="570" t="n"/>
      <c r="E94" s="570" t="n"/>
      <c r="F94" s="570" t="n"/>
      <c r="G94" s="570" t="n"/>
      <c r="H94" s="570" t="n"/>
      <c r="I94" s="570" t="n"/>
      <c r="J94" s="570" t="n"/>
      <c r="K94" s="570" t="n"/>
      <c r="L94" s="570" t="n"/>
      <c r="M94" s="570" t="n"/>
      <c r="N94" s="570" t="n"/>
    </row>
    <row r="95" ht="15.75" customHeight="1" s="341">
      <c r="A95" s="571" t="n">
        <v>86</v>
      </c>
      <c r="B95" s="572" t="n"/>
      <c r="C95" s="572" t="n"/>
      <c r="D95" s="572" t="n"/>
      <c r="E95" s="572" t="n"/>
      <c r="F95" s="572" t="n"/>
      <c r="G95" s="572" t="n"/>
      <c r="H95" s="572" t="n"/>
      <c r="I95" s="572" t="n"/>
      <c r="J95" s="572" t="n"/>
      <c r="K95" s="572" t="n"/>
      <c r="L95" s="572" t="n"/>
      <c r="M95" s="572" t="n"/>
      <c r="N95" s="572" t="n"/>
    </row>
    <row r="96" ht="15.75" customHeight="1" s="341">
      <c r="A96" s="569" t="n">
        <v>87</v>
      </c>
      <c r="B96" s="570" t="n"/>
      <c r="C96" s="570" t="n"/>
      <c r="D96" s="570" t="n"/>
      <c r="E96" s="570" t="n"/>
      <c r="F96" s="570" t="n"/>
      <c r="G96" s="570" t="n"/>
      <c r="H96" s="570" t="n"/>
      <c r="I96" s="570" t="n"/>
      <c r="J96" s="570" t="n"/>
      <c r="K96" s="570" t="n"/>
      <c r="L96" s="570" t="n"/>
      <c r="M96" s="570" t="n"/>
      <c r="N96" s="570" t="n"/>
    </row>
    <row r="97" ht="15.75" customHeight="1" s="341">
      <c r="A97" s="571" t="n">
        <v>88</v>
      </c>
      <c r="B97" s="572" t="n"/>
      <c r="C97" s="572" t="n"/>
      <c r="D97" s="572" t="n"/>
      <c r="E97" s="572" t="n"/>
      <c r="F97" s="572" t="n"/>
      <c r="G97" s="572" t="n"/>
      <c r="H97" s="572" t="n"/>
      <c r="I97" s="572" t="n"/>
      <c r="J97" s="572" t="n"/>
      <c r="K97" s="572" t="n"/>
      <c r="L97" s="572" t="n"/>
      <c r="M97" s="572" t="n"/>
      <c r="N97" s="572" t="n"/>
    </row>
    <row r="98" ht="15.75" customHeight="1" s="341">
      <c r="A98" s="569" t="n">
        <v>89</v>
      </c>
      <c r="B98" s="570" t="n"/>
      <c r="C98" s="570" t="n"/>
      <c r="D98" s="570" t="n"/>
      <c r="E98" s="570" t="n"/>
      <c r="F98" s="570" t="n"/>
      <c r="G98" s="570" t="n"/>
      <c r="H98" s="570" t="n"/>
      <c r="I98" s="570" t="n"/>
      <c r="J98" s="570" t="n"/>
      <c r="K98" s="570" t="n"/>
      <c r="L98" s="570" t="n"/>
      <c r="M98" s="570" t="n"/>
      <c r="N98" s="570" t="n"/>
    </row>
    <row r="99" ht="15.75" customHeight="1" s="341">
      <c r="A99" s="571" t="n">
        <v>90</v>
      </c>
      <c r="B99" s="572" t="n"/>
      <c r="C99" s="572" t="n"/>
      <c r="D99" s="572" t="n"/>
      <c r="E99" s="572" t="n"/>
      <c r="F99" s="572" t="n"/>
      <c r="G99" s="572" t="n"/>
      <c r="H99" s="572" t="n"/>
      <c r="I99" s="572" t="n"/>
      <c r="J99" s="572" t="n"/>
      <c r="K99" s="572" t="n"/>
      <c r="L99" s="572" t="n"/>
      <c r="M99" s="572" t="n"/>
      <c r="N99" s="572" t="n"/>
    </row>
    <row r="100" ht="15.75" customHeight="1" s="341">
      <c r="A100" s="569" t="n">
        <v>91</v>
      </c>
      <c r="B100" s="570" t="n"/>
      <c r="C100" s="570" t="n"/>
      <c r="D100" s="570" t="n"/>
      <c r="E100" s="570" t="n"/>
      <c r="F100" s="570" t="n"/>
      <c r="G100" s="570" t="n"/>
      <c r="H100" s="570" t="n"/>
      <c r="I100" s="570" t="n"/>
      <c r="J100" s="570" t="n"/>
      <c r="K100" s="570" t="n"/>
      <c r="L100" s="570" t="n"/>
      <c r="M100" s="570" t="n"/>
      <c r="N100" s="570" t="n"/>
    </row>
    <row r="101" ht="15.75" customHeight="1" s="341">
      <c r="A101" s="571" t="n">
        <v>92</v>
      </c>
      <c r="B101" s="572" t="n"/>
      <c r="C101" s="572" t="n"/>
      <c r="D101" s="572" t="n"/>
      <c r="E101" s="572" t="n"/>
      <c r="F101" s="572" t="n"/>
      <c r="G101" s="572" t="n"/>
      <c r="H101" s="572" t="n"/>
      <c r="I101" s="572" t="n"/>
      <c r="J101" s="572" t="n"/>
      <c r="K101" s="572" t="n"/>
      <c r="L101" s="572" t="n"/>
      <c r="M101" s="572" t="n"/>
      <c r="N101" s="572" t="n"/>
    </row>
    <row r="102" ht="15.75" customHeight="1" s="341">
      <c r="A102" s="569" t="n">
        <v>93</v>
      </c>
      <c r="B102" s="570" t="n"/>
      <c r="C102" s="570" t="n"/>
      <c r="D102" s="570" t="n"/>
      <c r="E102" s="570" t="n"/>
      <c r="F102" s="570" t="n"/>
      <c r="G102" s="570" t="n"/>
      <c r="H102" s="570" t="n"/>
      <c r="I102" s="570" t="n"/>
      <c r="J102" s="570" t="n"/>
      <c r="K102" s="570" t="n"/>
      <c r="L102" s="570" t="n"/>
      <c r="M102" s="570" t="n"/>
      <c r="N102" s="570" t="n"/>
    </row>
    <row r="103" ht="15.75" customHeight="1" s="341">
      <c r="A103" s="571" t="n">
        <v>94</v>
      </c>
      <c r="B103" s="572" t="n"/>
      <c r="C103" s="572" t="n"/>
      <c r="D103" s="572" t="n"/>
      <c r="E103" s="572" t="n"/>
      <c r="F103" s="572" t="n"/>
      <c r="G103" s="572" t="n"/>
      <c r="H103" s="572" t="n"/>
      <c r="I103" s="572" t="n"/>
      <c r="J103" s="572" t="n"/>
      <c r="K103" s="572" t="n"/>
      <c r="L103" s="572" t="n"/>
      <c r="M103" s="572" t="n"/>
      <c r="N103" s="572" t="n"/>
    </row>
    <row r="104" ht="15.75" customHeight="1" s="341">
      <c r="A104" s="569" t="n">
        <v>95</v>
      </c>
      <c r="B104" s="570" t="n"/>
      <c r="C104" s="570" t="n"/>
      <c r="D104" s="570" t="n"/>
      <c r="E104" s="570" t="n"/>
      <c r="F104" s="570" t="n"/>
      <c r="G104" s="570" t="n"/>
      <c r="H104" s="570" t="n"/>
      <c r="I104" s="570" t="n"/>
      <c r="J104" s="570" t="n"/>
      <c r="K104" s="570" t="n"/>
      <c r="L104" s="570" t="n"/>
      <c r="M104" s="570" t="n"/>
      <c r="N104" s="570" t="n"/>
    </row>
    <row r="105" ht="15.75" customHeight="1" s="341">
      <c r="A105" s="571" t="n">
        <v>96</v>
      </c>
      <c r="B105" s="572" t="n"/>
      <c r="C105" s="572" t="n"/>
      <c r="D105" s="572" t="n"/>
      <c r="E105" s="572" t="n"/>
      <c r="F105" s="572" t="n"/>
      <c r="G105" s="572" t="n"/>
      <c r="H105" s="572" t="n"/>
      <c r="I105" s="572" t="n"/>
      <c r="J105" s="572" t="n"/>
      <c r="K105" s="572" t="n"/>
      <c r="L105" s="572" t="n"/>
      <c r="M105" s="572" t="n"/>
      <c r="N105" s="572" t="n"/>
    </row>
    <row r="106" ht="15.75" customHeight="1" s="341">
      <c r="A106" s="569" t="n">
        <v>97</v>
      </c>
      <c r="B106" s="570" t="n"/>
      <c r="C106" s="570" t="n"/>
      <c r="D106" s="570" t="n"/>
      <c r="E106" s="570" t="n"/>
      <c r="F106" s="570" t="n"/>
      <c r="G106" s="570" t="n"/>
      <c r="H106" s="570" t="n"/>
      <c r="I106" s="570" t="n"/>
      <c r="J106" s="570" t="n"/>
      <c r="K106" s="570" t="n"/>
      <c r="L106" s="570" t="n"/>
      <c r="M106" s="570" t="n"/>
      <c r="N106" s="570" t="n"/>
    </row>
    <row r="107" ht="15.75" customHeight="1" s="341">
      <c r="A107" s="571" t="n">
        <v>98</v>
      </c>
      <c r="B107" s="572" t="n"/>
      <c r="C107" s="572" t="n"/>
      <c r="D107" s="572" t="n"/>
      <c r="E107" s="572" t="n"/>
      <c r="F107" s="572" t="n"/>
      <c r="G107" s="572" t="n"/>
      <c r="H107" s="572" t="n"/>
      <c r="I107" s="572" t="n"/>
      <c r="J107" s="572" t="n"/>
      <c r="K107" s="572" t="n"/>
      <c r="L107" s="572" t="n"/>
      <c r="M107" s="572" t="n"/>
      <c r="N107" s="572" t="n"/>
    </row>
    <row r="108" ht="15.75" customHeight="1" s="341">
      <c r="A108" s="569" t="n">
        <v>99</v>
      </c>
      <c r="B108" s="570" t="n"/>
      <c r="C108" s="570" t="n"/>
      <c r="D108" s="570" t="n"/>
      <c r="E108" s="570" t="n"/>
      <c r="F108" s="570" t="n"/>
      <c r="G108" s="570" t="n"/>
      <c r="H108" s="570" t="n"/>
      <c r="I108" s="570" t="n"/>
      <c r="J108" s="570" t="n"/>
      <c r="K108" s="570" t="n"/>
      <c r="L108" s="570" t="n"/>
      <c r="M108" s="570" t="n"/>
      <c r="N108" s="570" t="n"/>
    </row>
    <row r="109" ht="15.75" customHeight="1" s="341">
      <c r="A109" s="571" t="n">
        <v>100</v>
      </c>
      <c r="B109" s="572" t="n"/>
      <c r="C109" s="572" t="n"/>
      <c r="D109" s="572" t="n"/>
      <c r="E109" s="572" t="n"/>
      <c r="F109" s="572" t="n"/>
      <c r="G109" s="572" t="n"/>
      <c r="H109" s="572" t="n"/>
      <c r="I109" s="572" t="n"/>
      <c r="J109" s="572" t="n"/>
      <c r="K109" s="572" t="n"/>
      <c r="L109" s="572" t="n"/>
      <c r="M109" s="572" t="n"/>
      <c r="N109" s="572" t="n"/>
    </row>
    <row r="110" ht="15.75" customHeight="1" s="341">
      <c r="A110" s="569" t="n">
        <v>101</v>
      </c>
      <c r="B110" s="570" t="n"/>
      <c r="C110" s="570" t="n"/>
      <c r="D110" s="570" t="n"/>
      <c r="E110" s="570" t="n"/>
      <c r="F110" s="570" t="n"/>
      <c r="G110" s="570" t="n"/>
      <c r="H110" s="570" t="n"/>
      <c r="I110" s="570" t="n"/>
      <c r="J110" s="570" t="n"/>
      <c r="K110" s="570" t="n"/>
      <c r="L110" s="570" t="n"/>
      <c r="M110" s="570" t="n"/>
      <c r="N110" s="570" t="n"/>
    </row>
    <row r="111" ht="15.75" customHeight="1" s="341">
      <c r="A111" s="571" t="n">
        <v>102</v>
      </c>
      <c r="B111" s="572" t="n"/>
      <c r="C111" s="572" t="n"/>
      <c r="D111" s="572" t="n"/>
      <c r="E111" s="572" t="n"/>
      <c r="F111" s="572" t="n"/>
      <c r="G111" s="572" t="n"/>
      <c r="H111" s="572" t="n"/>
      <c r="I111" s="572" t="n"/>
      <c r="J111" s="572" t="n"/>
      <c r="K111" s="572" t="n"/>
      <c r="L111" s="572" t="n"/>
      <c r="M111" s="572" t="n"/>
      <c r="N111" s="572" t="n"/>
    </row>
    <row r="112" ht="15.75" customHeight="1" s="341">
      <c r="A112" s="569" t="n">
        <v>103</v>
      </c>
      <c r="B112" s="570" t="n"/>
      <c r="C112" s="570" t="n"/>
      <c r="D112" s="570" t="n"/>
      <c r="E112" s="570" t="n"/>
      <c r="F112" s="570" t="n"/>
      <c r="G112" s="570" t="n"/>
      <c r="H112" s="570" t="n"/>
      <c r="I112" s="570" t="n"/>
      <c r="J112" s="570" t="n"/>
      <c r="K112" s="570" t="n"/>
      <c r="L112" s="570" t="n"/>
      <c r="M112" s="570" t="n"/>
      <c r="N112" s="570" t="n"/>
    </row>
    <row r="113" ht="15.75" customHeight="1" s="341">
      <c r="A113" s="571" t="n">
        <v>104</v>
      </c>
      <c r="B113" s="572" t="n"/>
      <c r="C113" s="572" t="n"/>
      <c r="D113" s="572" t="n"/>
      <c r="E113" s="572" t="n"/>
      <c r="F113" s="572" t="n"/>
      <c r="G113" s="572" t="n"/>
      <c r="H113" s="572" t="n"/>
      <c r="I113" s="572" t="n"/>
      <c r="J113" s="572" t="n"/>
      <c r="K113" s="572" t="n"/>
      <c r="L113" s="572" t="n"/>
      <c r="M113" s="572" t="n"/>
      <c r="N113" s="572" t="n"/>
    </row>
    <row r="114" ht="15.75" customHeight="1" s="341">
      <c r="A114" s="569" t="n">
        <v>105</v>
      </c>
      <c r="B114" s="570" t="n"/>
      <c r="C114" s="570" t="n"/>
      <c r="D114" s="570" t="n"/>
      <c r="E114" s="570" t="n"/>
      <c r="F114" s="570" t="n"/>
      <c r="G114" s="570" t="n"/>
      <c r="H114" s="570" t="n"/>
      <c r="I114" s="570" t="n"/>
      <c r="J114" s="570" t="n"/>
      <c r="K114" s="570" t="n"/>
      <c r="L114" s="570" t="n"/>
      <c r="M114" s="570" t="n"/>
      <c r="N114" s="570" t="n"/>
    </row>
    <row r="115" ht="15.75" customHeight="1" s="341">
      <c r="A115" s="571" t="n">
        <v>106</v>
      </c>
      <c r="B115" s="572" t="n"/>
      <c r="C115" s="572" t="n"/>
      <c r="D115" s="572" t="n"/>
      <c r="E115" s="572" t="n"/>
      <c r="F115" s="572" t="n"/>
      <c r="G115" s="572" t="n"/>
      <c r="H115" s="572" t="n"/>
      <c r="I115" s="572" t="n"/>
      <c r="J115" s="572" t="n"/>
      <c r="K115" s="572" t="n"/>
      <c r="L115" s="572" t="n"/>
      <c r="M115" s="572" t="n"/>
      <c r="N115" s="572" t="n"/>
    </row>
    <row r="116" ht="15.75" customHeight="1" s="341">
      <c r="A116" s="569" t="n">
        <v>107</v>
      </c>
      <c r="B116" s="570" t="n"/>
      <c r="C116" s="570" t="n"/>
      <c r="D116" s="570" t="n"/>
      <c r="E116" s="570" t="n"/>
      <c r="F116" s="570" t="n"/>
      <c r="G116" s="570" t="n"/>
      <c r="H116" s="570" t="n"/>
      <c r="I116" s="570" t="n"/>
      <c r="J116" s="570" t="n"/>
      <c r="K116" s="570" t="n"/>
      <c r="L116" s="570" t="n"/>
      <c r="M116" s="570" t="n"/>
      <c r="N116" s="570" t="n"/>
    </row>
    <row r="117" ht="15.75" customHeight="1" s="341">
      <c r="A117" s="571" t="n">
        <v>108</v>
      </c>
      <c r="B117" s="572" t="n"/>
      <c r="C117" s="572" t="n"/>
      <c r="D117" s="572" t="n"/>
      <c r="E117" s="572" t="n"/>
      <c r="F117" s="572" t="n"/>
      <c r="G117" s="572" t="n"/>
      <c r="H117" s="572" t="n"/>
      <c r="I117" s="572" t="n"/>
      <c r="J117" s="572" t="n"/>
      <c r="K117" s="572" t="n"/>
      <c r="L117" s="572" t="n"/>
      <c r="M117" s="572" t="n"/>
      <c r="N117" s="572" t="n"/>
    </row>
    <row r="118" ht="15.75" customHeight="1" s="341">
      <c r="A118" s="569" t="n">
        <v>109</v>
      </c>
      <c r="B118" s="570" t="n"/>
      <c r="C118" s="570" t="n"/>
      <c r="D118" s="570" t="n"/>
      <c r="E118" s="570" t="n"/>
      <c r="F118" s="570" t="n"/>
      <c r="G118" s="570" t="n"/>
      <c r="H118" s="570" t="n"/>
      <c r="I118" s="570" t="n"/>
      <c r="J118" s="570" t="n"/>
      <c r="K118" s="570" t="n"/>
      <c r="L118" s="570" t="n"/>
      <c r="M118" s="570" t="n"/>
      <c r="N118" s="570" t="n"/>
    </row>
    <row r="119" ht="15.75" customHeight="1" s="341">
      <c r="A119" s="571" t="n">
        <v>110</v>
      </c>
      <c r="B119" s="572" t="n"/>
      <c r="C119" s="572" t="n"/>
      <c r="D119" s="572" t="n"/>
      <c r="E119" s="572" t="n"/>
      <c r="F119" s="572" t="n"/>
      <c r="G119" s="572" t="n"/>
      <c r="H119" s="572" t="n"/>
      <c r="I119" s="572" t="n"/>
      <c r="J119" s="572" t="n"/>
      <c r="K119" s="572" t="n"/>
      <c r="L119" s="572" t="n"/>
      <c r="M119" s="572" t="n"/>
      <c r="N119" s="572" t="n"/>
    </row>
    <row r="120" ht="15.75" customHeight="1" s="341">
      <c r="A120" s="569" t="n">
        <v>111</v>
      </c>
      <c r="B120" s="570" t="n"/>
      <c r="C120" s="570" t="n"/>
      <c r="D120" s="570" t="n"/>
      <c r="E120" s="570" t="n"/>
      <c r="F120" s="570" t="n"/>
      <c r="G120" s="570" t="n"/>
      <c r="H120" s="570" t="n"/>
      <c r="I120" s="570" t="n"/>
      <c r="J120" s="570" t="n"/>
      <c r="K120" s="570" t="n"/>
      <c r="L120" s="570" t="n"/>
      <c r="M120" s="570" t="n"/>
      <c r="N120" s="570" t="n"/>
    </row>
    <row r="121" ht="15.75" customHeight="1" s="341">
      <c r="A121" s="571" t="n">
        <v>112</v>
      </c>
      <c r="B121" s="572" t="n"/>
      <c r="C121" s="572" t="n"/>
      <c r="D121" s="572" t="n"/>
      <c r="E121" s="572" t="n"/>
      <c r="F121" s="572" t="n"/>
      <c r="G121" s="572" t="n"/>
      <c r="H121" s="572" t="n"/>
      <c r="I121" s="572" t="n"/>
      <c r="J121" s="572" t="n"/>
      <c r="K121" s="572" t="n"/>
      <c r="L121" s="572" t="n"/>
      <c r="M121" s="572" t="n"/>
      <c r="N121" s="572" t="n"/>
    </row>
    <row r="122" ht="15.75" customHeight="1" s="341">
      <c r="A122" s="569" t="n">
        <v>113</v>
      </c>
      <c r="B122" s="570" t="n"/>
      <c r="C122" s="570" t="n"/>
      <c r="D122" s="570" t="n"/>
      <c r="E122" s="570" t="n"/>
      <c r="F122" s="570" t="n"/>
      <c r="G122" s="570" t="n"/>
      <c r="H122" s="570" t="n"/>
      <c r="I122" s="570" t="n"/>
      <c r="J122" s="570" t="n"/>
      <c r="K122" s="570" t="n"/>
      <c r="L122" s="570" t="n"/>
      <c r="M122" s="570" t="n"/>
      <c r="N122" s="570" t="n"/>
    </row>
    <row r="123" ht="15.75" customHeight="1" s="341">
      <c r="A123" s="571" t="n">
        <v>114</v>
      </c>
      <c r="B123" s="572" t="n"/>
      <c r="C123" s="572" t="n"/>
      <c r="D123" s="572" t="n"/>
      <c r="E123" s="572" t="n"/>
      <c r="F123" s="572" t="n"/>
      <c r="G123" s="572" t="n"/>
      <c r="H123" s="572" t="n"/>
      <c r="I123" s="572" t="n"/>
      <c r="J123" s="572" t="n"/>
      <c r="K123" s="572" t="n"/>
      <c r="L123" s="572" t="n"/>
      <c r="M123" s="572" t="n"/>
      <c r="N123" s="572" t="n"/>
    </row>
    <row r="124" ht="15.75" customHeight="1" s="341">
      <c r="A124" s="569" t="n">
        <v>115</v>
      </c>
      <c r="B124" s="570" t="n"/>
      <c r="C124" s="570" t="n"/>
      <c r="D124" s="570" t="n"/>
      <c r="E124" s="570" t="n"/>
      <c r="F124" s="570" t="n"/>
      <c r="G124" s="570" t="n"/>
      <c r="H124" s="570" t="n"/>
      <c r="I124" s="570" t="n"/>
      <c r="J124" s="570" t="n"/>
      <c r="K124" s="570" t="n"/>
      <c r="L124" s="570" t="n"/>
      <c r="M124" s="570" t="n"/>
      <c r="N124" s="570" t="n"/>
    </row>
    <row r="125" ht="15.75" customHeight="1" s="341">
      <c r="A125" s="571" t="n">
        <v>116</v>
      </c>
      <c r="B125" s="572" t="n"/>
      <c r="C125" s="572" t="n"/>
      <c r="D125" s="572" t="n"/>
      <c r="E125" s="572" t="n"/>
      <c r="F125" s="572" t="n"/>
      <c r="G125" s="572" t="n"/>
      <c r="H125" s="572" t="n"/>
      <c r="I125" s="572" t="n"/>
      <c r="J125" s="572" t="n"/>
      <c r="K125" s="572" t="n"/>
      <c r="L125" s="572" t="n"/>
      <c r="M125" s="572" t="n"/>
      <c r="N125" s="572" t="n"/>
    </row>
    <row r="126" ht="15.75" customHeight="1" s="341">
      <c r="A126" s="569" t="n">
        <v>117</v>
      </c>
      <c r="B126" s="570" t="n"/>
      <c r="C126" s="570" t="n"/>
      <c r="D126" s="570" t="n"/>
      <c r="E126" s="570" t="n"/>
      <c r="F126" s="570" t="n"/>
      <c r="G126" s="570" t="n"/>
      <c r="H126" s="570" t="n"/>
      <c r="I126" s="570" t="n"/>
      <c r="J126" s="570" t="n"/>
      <c r="K126" s="570" t="n"/>
      <c r="L126" s="570" t="n"/>
      <c r="M126" s="570" t="n"/>
      <c r="N126" s="570" t="n"/>
    </row>
    <row r="127" ht="15.75" customHeight="1" s="341">
      <c r="A127" s="571" t="n">
        <v>118</v>
      </c>
      <c r="B127" s="572" t="n"/>
      <c r="C127" s="572" t="n"/>
      <c r="D127" s="572" t="n"/>
      <c r="E127" s="572" t="n"/>
      <c r="F127" s="572" t="n"/>
      <c r="G127" s="572" t="n"/>
      <c r="H127" s="572" t="n"/>
      <c r="I127" s="572" t="n"/>
      <c r="J127" s="572" t="n"/>
      <c r="K127" s="572" t="n"/>
      <c r="L127" s="572" t="n"/>
      <c r="M127" s="572" t="n"/>
      <c r="N127" s="572" t="n"/>
    </row>
    <row r="128" ht="15.75" customHeight="1" s="341">
      <c r="A128" s="569" t="n">
        <v>119</v>
      </c>
      <c r="B128" s="570" t="n"/>
      <c r="C128" s="570" t="n"/>
      <c r="D128" s="570" t="n"/>
      <c r="E128" s="570" t="n"/>
      <c r="F128" s="570" t="n"/>
      <c r="G128" s="570" t="n"/>
      <c r="H128" s="570" t="n"/>
      <c r="I128" s="570" t="n"/>
      <c r="J128" s="570" t="n"/>
      <c r="K128" s="570" t="n"/>
      <c r="L128" s="570" t="n"/>
      <c r="M128" s="570" t="n"/>
      <c r="N128" s="570" t="n"/>
    </row>
    <row r="129" ht="15.75" customHeight="1" s="341">
      <c r="A129" s="571" t="n">
        <v>120</v>
      </c>
      <c r="B129" s="572" t="n"/>
      <c r="C129" s="572" t="n"/>
      <c r="D129" s="572" t="n"/>
      <c r="E129" s="572" t="n"/>
      <c r="F129" s="572" t="n"/>
      <c r="G129" s="572" t="n"/>
      <c r="H129" s="572" t="n"/>
      <c r="I129" s="572" t="n"/>
      <c r="J129" s="572" t="n"/>
      <c r="K129" s="572" t="n"/>
      <c r="L129" s="572" t="n"/>
      <c r="M129" s="572" t="n"/>
      <c r="N129" s="572" t="n"/>
    </row>
    <row r="130" ht="15.75" customHeight="1" s="341">
      <c r="A130" s="569" t="n">
        <v>121</v>
      </c>
      <c r="B130" s="570" t="n"/>
      <c r="C130" s="570" t="n"/>
      <c r="D130" s="570" t="n"/>
      <c r="E130" s="570" t="n"/>
      <c r="F130" s="570" t="n"/>
      <c r="G130" s="570" t="n"/>
      <c r="H130" s="570" t="n"/>
      <c r="I130" s="570" t="n"/>
      <c r="J130" s="570" t="n"/>
      <c r="K130" s="570" t="n"/>
      <c r="L130" s="570" t="n"/>
      <c r="M130" s="570" t="n"/>
      <c r="N130" s="570" t="n"/>
    </row>
    <row r="131" ht="15.75" customHeight="1" s="341">
      <c r="A131" s="571" t="n">
        <v>122</v>
      </c>
      <c r="B131" s="572" t="n"/>
      <c r="C131" s="572" t="n"/>
      <c r="D131" s="572" t="n"/>
      <c r="E131" s="572" t="n"/>
      <c r="F131" s="572" t="n"/>
      <c r="G131" s="572" t="n"/>
      <c r="H131" s="572" t="n"/>
      <c r="I131" s="572" t="n"/>
      <c r="J131" s="572" t="n"/>
      <c r="K131" s="572" t="n"/>
      <c r="L131" s="572" t="n"/>
      <c r="M131" s="572" t="n"/>
      <c r="N131" s="572" t="n"/>
    </row>
    <row r="132" ht="15.75" customHeight="1" s="341">
      <c r="A132" s="569" t="n">
        <v>123</v>
      </c>
      <c r="B132" s="570" t="n"/>
      <c r="C132" s="570" t="n"/>
      <c r="D132" s="570" t="n"/>
      <c r="E132" s="570" t="n"/>
      <c r="F132" s="570" t="n"/>
      <c r="G132" s="570" t="n"/>
      <c r="H132" s="570" t="n"/>
      <c r="I132" s="570" t="n"/>
      <c r="J132" s="570" t="n"/>
      <c r="K132" s="570" t="n"/>
      <c r="L132" s="570" t="n"/>
      <c r="M132" s="570" t="n"/>
      <c r="N132" s="570" t="n"/>
    </row>
    <row r="133" ht="15.75" customHeight="1" s="341">
      <c r="A133" s="571" t="n">
        <v>124</v>
      </c>
      <c r="B133" s="572" t="n"/>
      <c r="C133" s="572" t="n"/>
      <c r="D133" s="572" t="n"/>
      <c r="E133" s="572" t="n"/>
      <c r="F133" s="572" t="n"/>
      <c r="G133" s="572" t="n"/>
      <c r="H133" s="572" t="n"/>
      <c r="I133" s="572" t="n"/>
      <c r="J133" s="572" t="n"/>
      <c r="K133" s="572" t="n"/>
      <c r="L133" s="572" t="n"/>
      <c r="M133" s="572" t="n"/>
      <c r="N133" s="572" t="n"/>
    </row>
    <row r="134" ht="15.75" customHeight="1" s="341">
      <c r="A134" s="569" t="n">
        <v>125</v>
      </c>
      <c r="B134" s="570" t="n"/>
      <c r="C134" s="570" t="n"/>
      <c r="D134" s="570" t="n"/>
      <c r="E134" s="570" t="n"/>
      <c r="F134" s="570" t="n"/>
      <c r="G134" s="570" t="n"/>
      <c r="H134" s="570" t="n"/>
      <c r="I134" s="570" t="n"/>
      <c r="J134" s="570" t="n"/>
      <c r="K134" s="570" t="n"/>
      <c r="L134" s="570" t="n"/>
      <c r="M134" s="570" t="n"/>
      <c r="N134" s="570" t="n"/>
    </row>
    <row r="135" ht="15.75" customHeight="1" s="341">
      <c r="A135" s="571" t="n">
        <v>126</v>
      </c>
      <c r="B135" s="572" t="n"/>
      <c r="C135" s="572" t="n"/>
      <c r="D135" s="572" t="n"/>
      <c r="E135" s="572" t="n"/>
      <c r="F135" s="572" t="n"/>
      <c r="G135" s="572" t="n"/>
      <c r="H135" s="572" t="n"/>
      <c r="I135" s="572" t="n"/>
      <c r="J135" s="572" t="n"/>
      <c r="K135" s="572" t="n"/>
      <c r="L135" s="572" t="n"/>
      <c r="M135" s="572" t="n"/>
      <c r="N135" s="572" t="n"/>
    </row>
    <row r="136" ht="15.75" customHeight="1" s="341">
      <c r="A136" s="569" t="n">
        <v>127</v>
      </c>
      <c r="B136" s="570" t="n"/>
      <c r="C136" s="570" t="n"/>
      <c r="D136" s="570" t="n"/>
      <c r="E136" s="570" t="n"/>
      <c r="F136" s="570" t="n"/>
      <c r="G136" s="570" t="n"/>
      <c r="H136" s="570" t="n"/>
      <c r="I136" s="570" t="n"/>
      <c r="J136" s="570" t="n"/>
      <c r="K136" s="570" t="n"/>
      <c r="L136" s="570" t="n"/>
      <c r="M136" s="570" t="n"/>
      <c r="N136" s="570" t="n"/>
    </row>
    <row r="137" ht="15.75" customHeight="1" s="341">
      <c r="A137" s="571" t="n">
        <v>128</v>
      </c>
      <c r="B137" s="572" t="n"/>
      <c r="C137" s="572" t="n"/>
      <c r="D137" s="572" t="n"/>
      <c r="E137" s="572" t="n"/>
      <c r="F137" s="572" t="n"/>
      <c r="G137" s="572" t="n"/>
      <c r="H137" s="572" t="n"/>
      <c r="I137" s="572" t="n"/>
      <c r="J137" s="572" t="n"/>
      <c r="K137" s="572" t="n"/>
      <c r="L137" s="572" t="n"/>
      <c r="M137" s="572" t="n"/>
      <c r="N137" s="572" t="n"/>
    </row>
    <row r="138" ht="15.75" customHeight="1" s="341">
      <c r="A138" s="569" t="n">
        <v>129</v>
      </c>
      <c r="B138" s="570" t="n"/>
      <c r="C138" s="570" t="n"/>
      <c r="D138" s="570" t="n"/>
      <c r="E138" s="570" t="n"/>
      <c r="F138" s="570" t="n"/>
      <c r="G138" s="570" t="n"/>
      <c r="H138" s="570" t="n"/>
      <c r="I138" s="570" t="n"/>
      <c r="J138" s="570" t="n"/>
      <c r="K138" s="570" t="n"/>
      <c r="L138" s="570" t="n"/>
      <c r="M138" s="570" t="n"/>
      <c r="N138" s="570" t="n"/>
    </row>
    <row r="139" ht="15.75" customHeight="1" s="341">
      <c r="A139" s="571" t="n">
        <v>130</v>
      </c>
      <c r="B139" s="572" t="n"/>
      <c r="C139" s="572" t="n"/>
      <c r="D139" s="572" t="n"/>
      <c r="E139" s="572" t="n"/>
      <c r="F139" s="572" t="n"/>
      <c r="G139" s="572" t="n"/>
      <c r="H139" s="572" t="n"/>
      <c r="I139" s="572" t="n"/>
      <c r="J139" s="572" t="n"/>
      <c r="K139" s="572" t="n"/>
      <c r="L139" s="572" t="n"/>
      <c r="M139" s="572" t="n"/>
      <c r="N139" s="572" t="n"/>
    </row>
    <row r="140" ht="15.75" customHeight="1" s="341">
      <c r="A140" s="569" t="n">
        <v>131</v>
      </c>
      <c r="B140" s="570" t="n"/>
      <c r="C140" s="570" t="n"/>
      <c r="D140" s="570" t="n"/>
      <c r="E140" s="570" t="n"/>
      <c r="F140" s="570" t="n"/>
      <c r="G140" s="570" t="n"/>
      <c r="H140" s="570" t="n"/>
      <c r="I140" s="570" t="n"/>
      <c r="J140" s="570" t="n"/>
      <c r="K140" s="570" t="n"/>
      <c r="L140" s="570" t="n"/>
      <c r="M140" s="570" t="n"/>
      <c r="N140" s="570" t="n"/>
    </row>
    <row r="141" ht="15.75" customHeight="1" s="341">
      <c r="A141" s="571" t="n">
        <v>132</v>
      </c>
      <c r="B141" s="572" t="n"/>
      <c r="C141" s="572" t="n"/>
      <c r="D141" s="572" t="n"/>
      <c r="E141" s="572" t="n"/>
      <c r="F141" s="572" t="n"/>
      <c r="G141" s="572" t="n"/>
      <c r="H141" s="572" t="n"/>
      <c r="I141" s="572" t="n"/>
      <c r="J141" s="572" t="n"/>
      <c r="K141" s="572" t="n"/>
      <c r="L141" s="572" t="n"/>
      <c r="M141" s="572" t="n"/>
      <c r="N141" s="572" t="n"/>
    </row>
    <row r="142" ht="15.75" customHeight="1" s="341">
      <c r="A142" s="569" t="n">
        <v>133</v>
      </c>
      <c r="B142" s="570" t="n"/>
      <c r="C142" s="570" t="n"/>
      <c r="D142" s="570" t="n"/>
      <c r="E142" s="570" t="n"/>
      <c r="F142" s="570" t="n"/>
      <c r="G142" s="570" t="n"/>
      <c r="H142" s="570" t="n"/>
      <c r="I142" s="570" t="n"/>
      <c r="J142" s="570" t="n"/>
      <c r="K142" s="570" t="n"/>
      <c r="L142" s="570" t="n"/>
      <c r="M142" s="570" t="n"/>
      <c r="N142" s="570" t="n"/>
    </row>
    <row r="143" ht="15.75" customHeight="1" s="341">
      <c r="A143" s="571" t="n">
        <v>134</v>
      </c>
      <c r="B143" s="572" t="n"/>
      <c r="C143" s="572" t="n"/>
      <c r="D143" s="572" t="n"/>
      <c r="E143" s="572" t="n"/>
      <c r="F143" s="572" t="n"/>
      <c r="G143" s="572" t="n"/>
      <c r="H143" s="572" t="n"/>
      <c r="I143" s="572" t="n"/>
      <c r="J143" s="572" t="n"/>
      <c r="K143" s="572" t="n"/>
      <c r="L143" s="572" t="n"/>
      <c r="M143" s="572" t="n"/>
      <c r="N143" s="572" t="n"/>
    </row>
    <row r="144" ht="15.75" customHeight="1" s="341">
      <c r="A144" s="569" t="n">
        <v>135</v>
      </c>
      <c r="B144" s="570" t="n"/>
      <c r="C144" s="570" t="n"/>
      <c r="D144" s="570" t="n"/>
      <c r="E144" s="570" t="n"/>
      <c r="F144" s="570" t="n"/>
      <c r="G144" s="570" t="n"/>
      <c r="H144" s="570" t="n"/>
      <c r="I144" s="570" t="n"/>
      <c r="J144" s="570" t="n"/>
      <c r="K144" s="570" t="n"/>
      <c r="L144" s="570" t="n"/>
      <c r="M144" s="570" t="n"/>
      <c r="N144" s="570" t="n"/>
    </row>
    <row r="145" ht="15.75" customHeight="1" s="341">
      <c r="A145" s="571" t="n">
        <v>136</v>
      </c>
      <c r="B145" s="572" t="n"/>
      <c r="C145" s="572" t="n"/>
      <c r="D145" s="572" t="n"/>
      <c r="E145" s="572" t="n"/>
      <c r="F145" s="572" t="n"/>
      <c r="G145" s="572" t="n"/>
      <c r="H145" s="572" t="n"/>
      <c r="I145" s="572" t="n"/>
      <c r="J145" s="572" t="n"/>
      <c r="K145" s="572" t="n"/>
      <c r="L145" s="572" t="n"/>
      <c r="M145" s="572" t="n"/>
      <c r="N145" s="572" t="n"/>
    </row>
    <row r="146" ht="15.75" customHeight="1" s="341">
      <c r="A146" s="569" t="n">
        <v>137</v>
      </c>
      <c r="B146" s="570" t="n"/>
      <c r="C146" s="570" t="n"/>
      <c r="D146" s="570" t="n"/>
      <c r="E146" s="570" t="n"/>
      <c r="F146" s="570" t="n"/>
      <c r="G146" s="570" t="n"/>
      <c r="H146" s="570" t="n"/>
      <c r="I146" s="570" t="n"/>
      <c r="J146" s="570" t="n"/>
      <c r="K146" s="570" t="n"/>
      <c r="L146" s="570" t="n"/>
      <c r="M146" s="570" t="n"/>
      <c r="N146" s="570" t="n"/>
    </row>
    <row r="147" ht="15.75" customHeight="1" s="341">
      <c r="A147" s="571" t="n">
        <v>138</v>
      </c>
      <c r="B147" s="572" t="n"/>
      <c r="C147" s="572" t="n"/>
      <c r="D147" s="572" t="n"/>
      <c r="E147" s="572" t="n"/>
      <c r="F147" s="572" t="n"/>
      <c r="G147" s="572" t="n"/>
      <c r="H147" s="572" t="n"/>
      <c r="I147" s="572" t="n"/>
      <c r="J147" s="572" t="n"/>
      <c r="K147" s="572" t="n"/>
      <c r="L147" s="572" t="n"/>
      <c r="M147" s="572" t="n"/>
      <c r="N147" s="572" t="n"/>
    </row>
    <row r="148" ht="15.75" customHeight="1" s="341">
      <c r="A148" s="569" t="n">
        <v>139</v>
      </c>
      <c r="B148" s="570" t="n"/>
      <c r="C148" s="570" t="n"/>
      <c r="D148" s="570" t="n"/>
      <c r="E148" s="570" t="n"/>
      <c r="F148" s="570" t="n"/>
      <c r="G148" s="570" t="n"/>
      <c r="H148" s="570" t="n"/>
      <c r="I148" s="570" t="n"/>
      <c r="J148" s="570" t="n"/>
      <c r="K148" s="570" t="n"/>
      <c r="L148" s="570" t="n"/>
      <c r="M148" s="570" t="n"/>
      <c r="N148" s="570" t="n"/>
    </row>
    <row r="149" ht="15.75" customHeight="1" s="341">
      <c r="A149" s="571" t="n">
        <v>140</v>
      </c>
      <c r="B149" s="572" t="n"/>
      <c r="C149" s="572" t="n"/>
      <c r="D149" s="572" t="n"/>
      <c r="E149" s="572" t="n"/>
      <c r="F149" s="572" t="n"/>
      <c r="G149" s="572" t="n"/>
      <c r="H149" s="572" t="n"/>
      <c r="I149" s="572" t="n"/>
      <c r="J149" s="572" t="n"/>
      <c r="K149" s="572" t="n"/>
      <c r="L149" s="572" t="n"/>
      <c r="M149" s="572" t="n"/>
      <c r="N149" s="572" t="n"/>
    </row>
    <row r="150" ht="15.75" customHeight="1" s="341">
      <c r="A150" s="569" t="n">
        <v>141</v>
      </c>
      <c r="B150" s="570" t="n"/>
      <c r="C150" s="570" t="n"/>
      <c r="D150" s="570" t="n"/>
      <c r="E150" s="570" t="n"/>
      <c r="F150" s="570" t="n"/>
      <c r="G150" s="570" t="n"/>
      <c r="H150" s="570" t="n"/>
      <c r="I150" s="570" t="n"/>
      <c r="J150" s="570" t="n"/>
      <c r="K150" s="570" t="n"/>
      <c r="L150" s="570" t="n"/>
      <c r="M150" s="570" t="n"/>
      <c r="N150" s="570" t="n"/>
    </row>
    <row r="151" ht="15.75" customHeight="1" s="341">
      <c r="A151" s="571" t="n">
        <v>142</v>
      </c>
      <c r="B151" s="572" t="n"/>
      <c r="C151" s="572" t="n"/>
      <c r="D151" s="572" t="n"/>
      <c r="E151" s="572" t="n"/>
      <c r="F151" s="572" t="n"/>
      <c r="G151" s="572" t="n"/>
      <c r="H151" s="572" t="n"/>
      <c r="I151" s="572" t="n"/>
      <c r="J151" s="572" t="n"/>
      <c r="K151" s="572" t="n"/>
      <c r="L151" s="572" t="n"/>
      <c r="M151" s="572" t="n"/>
      <c r="N151" s="572" t="n"/>
    </row>
    <row r="152" ht="15.75" customHeight="1" s="341">
      <c r="A152" s="569" t="n">
        <v>143</v>
      </c>
      <c r="B152" s="570" t="n"/>
      <c r="C152" s="570" t="n"/>
      <c r="D152" s="570" t="n"/>
      <c r="E152" s="570" t="n"/>
      <c r="F152" s="570" t="n"/>
      <c r="G152" s="570" t="n"/>
      <c r="H152" s="570" t="n"/>
      <c r="I152" s="570" t="n"/>
      <c r="J152" s="570" t="n"/>
      <c r="K152" s="570" t="n"/>
      <c r="L152" s="570" t="n"/>
      <c r="M152" s="570" t="n"/>
      <c r="N152" s="570" t="n"/>
    </row>
    <row r="153" ht="15.75" customHeight="1" s="341">
      <c r="A153" s="571" t="n">
        <v>144</v>
      </c>
      <c r="B153" s="572" t="n"/>
      <c r="C153" s="572" t="n"/>
      <c r="D153" s="572" t="n"/>
      <c r="E153" s="572" t="n"/>
      <c r="F153" s="572" t="n"/>
      <c r="G153" s="572" t="n"/>
      <c r="H153" s="572" t="n"/>
      <c r="I153" s="572" t="n"/>
      <c r="J153" s="572" t="n"/>
      <c r="K153" s="572" t="n"/>
      <c r="L153" s="572" t="n"/>
      <c r="M153" s="572" t="n"/>
      <c r="N153" s="572" t="n"/>
    </row>
    <row r="154" ht="15.75" customHeight="1" s="341">
      <c r="A154" s="569" t="n">
        <v>145</v>
      </c>
      <c r="B154" s="570" t="n"/>
      <c r="C154" s="570" t="n"/>
      <c r="D154" s="570" t="n"/>
      <c r="E154" s="570" t="n"/>
      <c r="F154" s="570" t="n"/>
      <c r="G154" s="570" t="n"/>
      <c r="H154" s="570" t="n"/>
      <c r="I154" s="570" t="n"/>
      <c r="J154" s="570" t="n"/>
      <c r="K154" s="570" t="n"/>
      <c r="L154" s="570" t="n"/>
      <c r="M154" s="570" t="n"/>
      <c r="N154" s="570" t="n"/>
    </row>
    <row r="155" ht="15.75" customHeight="1" s="341">
      <c r="A155" s="571" t="n">
        <v>146</v>
      </c>
      <c r="B155" s="572" t="n"/>
      <c r="C155" s="572" t="n"/>
      <c r="D155" s="572" t="n"/>
      <c r="E155" s="572" t="n"/>
      <c r="F155" s="572" t="n"/>
      <c r="G155" s="572" t="n"/>
      <c r="H155" s="572" t="n"/>
      <c r="I155" s="572" t="n"/>
      <c r="J155" s="572" t="n"/>
      <c r="K155" s="572" t="n"/>
      <c r="L155" s="572" t="n"/>
      <c r="M155" s="572" t="n"/>
      <c r="N155" s="572" t="n"/>
    </row>
    <row r="156" ht="15.75" customHeight="1" s="341">
      <c r="A156" s="569" t="n">
        <v>147</v>
      </c>
      <c r="B156" s="570" t="n"/>
      <c r="C156" s="570" t="n"/>
      <c r="D156" s="570" t="n"/>
      <c r="E156" s="570" t="n"/>
      <c r="F156" s="570" t="n"/>
      <c r="G156" s="570" t="n"/>
      <c r="H156" s="570" t="n"/>
      <c r="I156" s="570" t="n"/>
      <c r="J156" s="570" t="n"/>
      <c r="K156" s="570" t="n"/>
      <c r="L156" s="570" t="n"/>
      <c r="M156" s="570" t="n"/>
      <c r="N156" s="570" t="n"/>
    </row>
    <row r="157" ht="15.75" customHeight="1" s="341">
      <c r="A157" s="571" t="n">
        <v>148</v>
      </c>
      <c r="B157" s="572" t="n"/>
      <c r="C157" s="572" t="n"/>
      <c r="D157" s="572" t="n"/>
      <c r="E157" s="572" t="n"/>
      <c r="F157" s="572" t="n"/>
      <c r="G157" s="572" t="n"/>
      <c r="H157" s="572" t="n"/>
      <c r="I157" s="572" t="n"/>
      <c r="J157" s="572" t="n"/>
      <c r="K157" s="572" t="n"/>
      <c r="L157" s="572" t="n"/>
      <c r="M157" s="572" t="n"/>
      <c r="N157" s="572" t="n"/>
    </row>
    <row r="158" ht="15.75" customHeight="1" s="341">
      <c r="A158" s="569" t="n">
        <v>149</v>
      </c>
      <c r="B158" s="570" t="n"/>
      <c r="C158" s="570" t="n"/>
      <c r="D158" s="570" t="n"/>
      <c r="E158" s="570" t="n"/>
      <c r="F158" s="570" t="n"/>
      <c r="G158" s="570" t="n"/>
      <c r="H158" s="570" t="n"/>
      <c r="I158" s="570" t="n"/>
      <c r="J158" s="570" t="n"/>
      <c r="K158" s="570" t="n"/>
      <c r="L158" s="570" t="n"/>
      <c r="M158" s="570" t="n"/>
      <c r="N158" s="570" t="n"/>
    </row>
    <row r="159" ht="15.75" customHeight="1" s="341">
      <c r="A159" s="571" t="n">
        <v>150</v>
      </c>
      <c r="B159" s="572" t="n"/>
      <c r="C159" s="572" t="n"/>
      <c r="D159" s="572" t="n"/>
      <c r="E159" s="572" t="n"/>
      <c r="F159" s="572" t="n"/>
      <c r="G159" s="572" t="n"/>
      <c r="H159" s="572" t="n"/>
      <c r="I159" s="572" t="n"/>
      <c r="J159" s="572" t="n"/>
      <c r="K159" s="572" t="n"/>
      <c r="L159" s="572" t="n"/>
      <c r="M159" s="572" t="n"/>
      <c r="N159" s="572" t="n"/>
    </row>
    <row r="160" ht="15.75" customHeight="1" s="341">
      <c r="A160" s="569" t="n">
        <v>151</v>
      </c>
      <c r="B160" s="570" t="n"/>
      <c r="C160" s="570" t="n"/>
      <c r="D160" s="570" t="n"/>
      <c r="E160" s="570" t="n"/>
      <c r="F160" s="570" t="n"/>
      <c r="G160" s="570" t="n"/>
      <c r="H160" s="570" t="n"/>
      <c r="I160" s="570" t="n"/>
      <c r="J160" s="570" t="n"/>
      <c r="K160" s="570" t="n"/>
      <c r="L160" s="570" t="n"/>
      <c r="M160" s="570" t="n"/>
      <c r="N160" s="570" t="n"/>
    </row>
    <row r="161" ht="15.75" customHeight="1" s="341">
      <c r="A161" s="571" t="n">
        <v>152</v>
      </c>
      <c r="B161" s="572" t="n"/>
      <c r="C161" s="572" t="n"/>
      <c r="D161" s="572" t="n"/>
      <c r="E161" s="572" t="n"/>
      <c r="F161" s="572" t="n"/>
      <c r="G161" s="572" t="n"/>
      <c r="H161" s="572" t="n"/>
      <c r="I161" s="572" t="n"/>
      <c r="J161" s="572" t="n"/>
      <c r="K161" s="572" t="n"/>
      <c r="L161" s="572" t="n"/>
      <c r="M161" s="572" t="n"/>
      <c r="N161" s="572" t="n"/>
    </row>
    <row r="162" ht="15.75" customHeight="1" s="341">
      <c r="A162" s="569" t="n">
        <v>153</v>
      </c>
      <c r="B162" s="570" t="n"/>
      <c r="C162" s="570" t="n"/>
      <c r="D162" s="570" t="n"/>
      <c r="E162" s="570" t="n"/>
      <c r="F162" s="570" t="n"/>
      <c r="G162" s="570" t="n"/>
      <c r="H162" s="570" t="n"/>
      <c r="I162" s="570" t="n"/>
      <c r="J162" s="570" t="n"/>
      <c r="K162" s="570" t="n"/>
      <c r="L162" s="570" t="n"/>
      <c r="M162" s="570" t="n"/>
      <c r="N162" s="570" t="n"/>
    </row>
    <row r="163" ht="15.75" customHeight="1" s="341">
      <c r="A163" s="571" t="n">
        <v>154</v>
      </c>
      <c r="B163" s="572" t="n"/>
      <c r="C163" s="572" t="n"/>
      <c r="D163" s="572" t="n"/>
      <c r="E163" s="572" t="n"/>
      <c r="F163" s="572" t="n"/>
      <c r="G163" s="572" t="n"/>
      <c r="H163" s="572" t="n"/>
      <c r="I163" s="572" t="n"/>
      <c r="J163" s="572" t="n"/>
      <c r="K163" s="572" t="n"/>
      <c r="L163" s="572" t="n"/>
      <c r="M163" s="572" t="n"/>
      <c r="N163" s="572" t="n"/>
    </row>
    <row r="164" ht="15.75" customHeight="1" s="341">
      <c r="A164" s="569" t="n">
        <v>155</v>
      </c>
      <c r="B164" s="570" t="n"/>
      <c r="C164" s="570" t="n"/>
      <c r="D164" s="570" t="n"/>
      <c r="E164" s="570" t="n"/>
      <c r="F164" s="570" t="n"/>
      <c r="G164" s="570" t="n"/>
      <c r="H164" s="570" t="n"/>
      <c r="I164" s="570" t="n"/>
      <c r="J164" s="570" t="n"/>
      <c r="K164" s="570" t="n"/>
      <c r="L164" s="570" t="n"/>
      <c r="M164" s="570" t="n"/>
      <c r="N164" s="570" t="n"/>
    </row>
    <row r="165" ht="15.75" customHeight="1" s="341">
      <c r="A165" s="571" t="n">
        <v>156</v>
      </c>
      <c r="B165" s="572" t="n"/>
      <c r="C165" s="572" t="n"/>
      <c r="D165" s="572" t="n"/>
      <c r="E165" s="572" t="n"/>
      <c r="F165" s="572" t="n"/>
      <c r="G165" s="572" t="n"/>
      <c r="H165" s="572" t="n"/>
      <c r="I165" s="572" t="n"/>
      <c r="J165" s="572" t="n"/>
      <c r="K165" s="572" t="n"/>
      <c r="L165" s="572" t="n"/>
      <c r="M165" s="572" t="n"/>
      <c r="N165" s="572" t="n"/>
    </row>
    <row r="166" ht="15.75" customHeight="1" s="341">
      <c r="A166" s="569" t="n">
        <v>157</v>
      </c>
      <c r="B166" s="570" t="n"/>
      <c r="C166" s="570" t="n"/>
      <c r="D166" s="570" t="n"/>
      <c r="E166" s="570" t="n"/>
      <c r="F166" s="570" t="n"/>
      <c r="G166" s="570" t="n"/>
      <c r="H166" s="570" t="n"/>
      <c r="I166" s="570" t="n"/>
      <c r="J166" s="570" t="n"/>
      <c r="K166" s="570" t="n"/>
      <c r="L166" s="570" t="n"/>
      <c r="M166" s="570" t="n"/>
      <c r="N166" s="570" t="n"/>
    </row>
    <row r="167" ht="15.75" customHeight="1" s="341">
      <c r="A167" s="571" t="n">
        <v>158</v>
      </c>
      <c r="B167" s="572" t="n"/>
      <c r="C167" s="572" t="n"/>
      <c r="D167" s="572" t="n"/>
      <c r="E167" s="572" t="n"/>
      <c r="F167" s="572" t="n"/>
      <c r="G167" s="572" t="n"/>
      <c r="H167" s="572" t="n"/>
      <c r="I167" s="572" t="n"/>
      <c r="J167" s="572" t="n"/>
      <c r="K167" s="572" t="n"/>
      <c r="L167" s="572" t="n"/>
      <c r="M167" s="572" t="n"/>
      <c r="N167" s="572" t="n"/>
    </row>
    <row r="168" ht="15.75" customHeight="1" s="341">
      <c r="A168" s="569" t="n">
        <v>159</v>
      </c>
      <c r="B168" s="570" t="n"/>
      <c r="C168" s="570" t="n"/>
      <c r="D168" s="570" t="n"/>
      <c r="E168" s="570" t="n"/>
      <c r="F168" s="570" t="n"/>
      <c r="G168" s="570" t="n"/>
      <c r="H168" s="570" t="n"/>
      <c r="I168" s="570" t="n"/>
      <c r="J168" s="570" t="n"/>
      <c r="K168" s="570" t="n"/>
      <c r="L168" s="570" t="n"/>
      <c r="M168" s="570" t="n"/>
      <c r="N168" s="570" t="n"/>
    </row>
    <row r="169" ht="15.75" customHeight="1" s="341">
      <c r="A169" s="571" t="n">
        <v>160</v>
      </c>
      <c r="B169" s="572" t="n"/>
      <c r="C169" s="572" t="n"/>
      <c r="D169" s="572" t="n"/>
      <c r="E169" s="572" t="n"/>
      <c r="F169" s="572" t="n"/>
      <c r="G169" s="572" t="n"/>
      <c r="H169" s="572" t="n"/>
      <c r="I169" s="572" t="n"/>
      <c r="J169" s="572" t="n"/>
      <c r="K169" s="572" t="n"/>
      <c r="L169" s="572" t="n"/>
      <c r="M169" s="572" t="n"/>
      <c r="N169" s="572" t="n"/>
    </row>
    <row r="170" ht="15.75" customHeight="1" s="341">
      <c r="A170" s="569" t="n">
        <v>161</v>
      </c>
      <c r="B170" s="570" t="n"/>
      <c r="C170" s="570" t="n"/>
      <c r="D170" s="570" t="n"/>
      <c r="E170" s="570" t="n"/>
      <c r="F170" s="570" t="n"/>
      <c r="G170" s="570" t="n"/>
      <c r="H170" s="570" t="n"/>
      <c r="I170" s="570" t="n"/>
      <c r="J170" s="570" t="n"/>
      <c r="K170" s="570" t="n"/>
      <c r="L170" s="570" t="n"/>
      <c r="M170" s="570" t="n"/>
      <c r="N170" s="570" t="n"/>
    </row>
    <row r="171" ht="15.75" customHeight="1" s="341">
      <c r="A171" s="571" t="n">
        <v>162</v>
      </c>
      <c r="B171" s="572" t="n"/>
      <c r="C171" s="572" t="n"/>
      <c r="D171" s="572" t="n"/>
      <c r="E171" s="572" t="n"/>
      <c r="F171" s="572" t="n"/>
      <c r="G171" s="572" t="n"/>
      <c r="H171" s="572" t="n"/>
      <c r="I171" s="572" t="n"/>
      <c r="J171" s="572" t="n"/>
      <c r="K171" s="572" t="n"/>
      <c r="L171" s="572" t="n"/>
      <c r="M171" s="572" t="n"/>
      <c r="N171" s="572" t="n"/>
    </row>
    <row r="172" ht="15.75" customHeight="1" s="341">
      <c r="A172" s="569" t="n">
        <v>163</v>
      </c>
      <c r="B172" s="570" t="n"/>
      <c r="C172" s="570" t="n"/>
      <c r="D172" s="570" t="n"/>
      <c r="E172" s="570" t="n"/>
      <c r="F172" s="570" t="n"/>
      <c r="G172" s="570" t="n"/>
      <c r="H172" s="570" t="n"/>
      <c r="I172" s="570" t="n"/>
      <c r="J172" s="570" t="n"/>
      <c r="K172" s="570" t="n"/>
      <c r="L172" s="570" t="n"/>
      <c r="M172" s="570" t="n"/>
      <c r="N172" s="570" t="n"/>
    </row>
    <row r="173" ht="15.75" customHeight="1" s="341">
      <c r="A173" s="571" t="n">
        <v>164</v>
      </c>
      <c r="B173" s="572" t="n"/>
      <c r="C173" s="572" t="n"/>
      <c r="D173" s="572" t="n"/>
      <c r="E173" s="572" t="n"/>
      <c r="F173" s="572" t="n"/>
      <c r="G173" s="572" t="n"/>
      <c r="H173" s="572" t="n"/>
      <c r="I173" s="572" t="n"/>
      <c r="J173" s="572" t="n"/>
      <c r="K173" s="572" t="n"/>
      <c r="L173" s="572" t="n"/>
      <c r="M173" s="572" t="n"/>
      <c r="N173" s="572" t="n"/>
    </row>
    <row r="174" ht="15.75" customHeight="1" s="341">
      <c r="A174" s="569" t="n">
        <v>165</v>
      </c>
      <c r="B174" s="570" t="n"/>
      <c r="C174" s="570" t="n"/>
      <c r="D174" s="570" t="n"/>
      <c r="E174" s="570" t="n"/>
      <c r="F174" s="570" t="n"/>
      <c r="G174" s="570" t="n"/>
      <c r="H174" s="570" t="n"/>
      <c r="I174" s="570" t="n"/>
      <c r="J174" s="570" t="n"/>
      <c r="K174" s="570" t="n"/>
      <c r="L174" s="570" t="n"/>
      <c r="M174" s="570" t="n"/>
      <c r="N174" s="570" t="n"/>
    </row>
    <row r="175" ht="15.75" customHeight="1" s="341">
      <c r="A175" s="571" t="n">
        <v>166</v>
      </c>
      <c r="B175" s="572" t="n"/>
      <c r="C175" s="572" t="n"/>
      <c r="D175" s="572" t="n"/>
      <c r="E175" s="572" t="n"/>
      <c r="F175" s="572" t="n"/>
      <c r="G175" s="572" t="n"/>
      <c r="H175" s="572" t="n"/>
      <c r="I175" s="572" t="n"/>
      <c r="J175" s="572" t="n"/>
      <c r="K175" s="572" t="n"/>
      <c r="L175" s="572" t="n"/>
      <c r="M175" s="572" t="n"/>
      <c r="N175" s="572" t="n"/>
    </row>
    <row r="176" ht="15.75" customHeight="1" s="341">
      <c r="A176" s="569" t="n">
        <v>167</v>
      </c>
      <c r="B176" s="570" t="n"/>
      <c r="C176" s="570" t="n"/>
      <c r="D176" s="570" t="n"/>
      <c r="E176" s="570" t="n"/>
      <c r="F176" s="570" t="n"/>
      <c r="G176" s="570" t="n"/>
      <c r="H176" s="570" t="n"/>
      <c r="I176" s="570" t="n"/>
      <c r="J176" s="570" t="n"/>
      <c r="K176" s="570" t="n"/>
      <c r="L176" s="570" t="n"/>
      <c r="M176" s="570" t="n"/>
      <c r="N176" s="570" t="n"/>
    </row>
    <row r="177" ht="15.75" customHeight="1" s="341">
      <c r="A177" s="571" t="n">
        <v>168</v>
      </c>
      <c r="B177" s="572" t="n"/>
      <c r="C177" s="572" t="n"/>
      <c r="D177" s="572" t="n"/>
      <c r="E177" s="572" t="n"/>
      <c r="F177" s="572" t="n"/>
      <c r="G177" s="572" t="n"/>
      <c r="H177" s="572" t="n"/>
      <c r="I177" s="572" t="n"/>
      <c r="J177" s="572" t="n"/>
      <c r="K177" s="572" t="n"/>
      <c r="L177" s="572" t="n"/>
      <c r="M177" s="572" t="n"/>
      <c r="N177" s="572" t="n"/>
    </row>
    <row r="178" ht="15.75" customHeight="1" s="341">
      <c r="A178" s="569" t="n">
        <v>169</v>
      </c>
      <c r="B178" s="570" t="n"/>
      <c r="C178" s="570" t="n"/>
      <c r="D178" s="570" t="n"/>
      <c r="E178" s="570" t="n"/>
      <c r="F178" s="570" t="n"/>
      <c r="G178" s="570" t="n"/>
      <c r="H178" s="570" t="n"/>
      <c r="I178" s="570" t="n"/>
      <c r="J178" s="570" t="n"/>
      <c r="K178" s="570" t="n"/>
      <c r="L178" s="570" t="n"/>
      <c r="M178" s="570" t="n"/>
      <c r="N178" s="570" t="n"/>
    </row>
    <row r="179" ht="15.75" customHeight="1" s="341">
      <c r="A179" s="571" t="n">
        <v>170</v>
      </c>
      <c r="B179" s="572" t="n"/>
      <c r="C179" s="572" t="n"/>
      <c r="D179" s="572" t="n"/>
      <c r="E179" s="572" t="n"/>
      <c r="F179" s="572" t="n"/>
      <c r="G179" s="572" t="n"/>
      <c r="H179" s="572" t="n"/>
      <c r="I179" s="572" t="n"/>
      <c r="J179" s="572" t="n"/>
      <c r="K179" s="572" t="n"/>
      <c r="L179" s="572" t="n"/>
      <c r="M179" s="572" t="n"/>
      <c r="N179" s="572" t="n"/>
    </row>
    <row r="180" ht="15.75" customHeight="1" s="341">
      <c r="A180" s="569" t="n">
        <v>171</v>
      </c>
      <c r="B180" s="570" t="n"/>
      <c r="C180" s="570" t="n"/>
      <c r="D180" s="570" t="n"/>
      <c r="E180" s="570" t="n"/>
      <c r="F180" s="570" t="n"/>
      <c r="G180" s="570" t="n"/>
      <c r="H180" s="570" t="n"/>
      <c r="I180" s="570" t="n"/>
      <c r="J180" s="570" t="n"/>
      <c r="K180" s="570" t="n"/>
      <c r="L180" s="570" t="n"/>
      <c r="M180" s="570" t="n"/>
      <c r="N180" s="570" t="n"/>
    </row>
    <row r="181" ht="15.75" customHeight="1" s="341">
      <c r="A181" s="571" t="n">
        <v>172</v>
      </c>
      <c r="B181" s="572" t="n"/>
      <c r="C181" s="572" t="n"/>
      <c r="D181" s="572" t="n"/>
      <c r="E181" s="572" t="n"/>
      <c r="F181" s="572" t="n"/>
      <c r="G181" s="572" t="n"/>
      <c r="H181" s="572" t="n"/>
      <c r="I181" s="572" t="n"/>
      <c r="J181" s="572" t="n"/>
      <c r="K181" s="572" t="n"/>
      <c r="L181" s="572" t="n"/>
      <c r="M181" s="572" t="n"/>
      <c r="N181" s="572" t="n"/>
    </row>
    <row r="182" ht="15.75" customHeight="1" s="341">
      <c r="A182" s="569" t="n">
        <v>173</v>
      </c>
      <c r="B182" s="570" t="n"/>
      <c r="C182" s="570" t="n"/>
      <c r="D182" s="570" t="n"/>
      <c r="E182" s="570" t="n"/>
      <c r="F182" s="570" t="n"/>
      <c r="G182" s="570" t="n"/>
      <c r="H182" s="570" t="n"/>
      <c r="I182" s="570" t="n"/>
      <c r="J182" s="570" t="n"/>
      <c r="K182" s="570" t="n"/>
      <c r="L182" s="570" t="n"/>
      <c r="M182" s="570" t="n"/>
      <c r="N182" s="570" t="n"/>
    </row>
    <row r="183" ht="15.75" customHeight="1" s="341">
      <c r="A183" s="571" t="n">
        <v>174</v>
      </c>
      <c r="B183" s="572" t="n"/>
      <c r="C183" s="572" t="n"/>
      <c r="D183" s="572" t="n"/>
      <c r="E183" s="572" t="n"/>
      <c r="F183" s="572" t="n"/>
      <c r="G183" s="572" t="n"/>
      <c r="H183" s="572" t="n"/>
      <c r="I183" s="572" t="n"/>
      <c r="J183" s="572" t="n"/>
      <c r="K183" s="572" t="n"/>
      <c r="L183" s="572" t="n"/>
      <c r="M183" s="572" t="n"/>
      <c r="N183" s="572" t="n"/>
    </row>
    <row r="184" ht="15.75" customHeight="1" s="341">
      <c r="A184" s="569" t="n">
        <v>175</v>
      </c>
      <c r="B184" s="570" t="n"/>
      <c r="C184" s="570" t="n"/>
      <c r="D184" s="570" t="n"/>
      <c r="E184" s="570" t="n"/>
      <c r="F184" s="570" t="n"/>
      <c r="G184" s="570" t="n"/>
      <c r="H184" s="570" t="n"/>
      <c r="I184" s="570" t="n"/>
      <c r="J184" s="570" t="n"/>
      <c r="K184" s="570" t="n"/>
      <c r="L184" s="570" t="n"/>
      <c r="M184" s="570" t="n"/>
      <c r="N184" s="570" t="n"/>
    </row>
    <row r="185" ht="15.75" customHeight="1" s="341">
      <c r="A185" s="571" t="n">
        <v>176</v>
      </c>
      <c r="B185" s="572" t="n"/>
      <c r="C185" s="572" t="n"/>
      <c r="D185" s="572" t="n"/>
      <c r="E185" s="572" t="n"/>
      <c r="F185" s="572" t="n"/>
      <c r="G185" s="572" t="n"/>
      <c r="H185" s="572" t="n"/>
      <c r="I185" s="572" t="n"/>
      <c r="J185" s="572" t="n"/>
      <c r="K185" s="572" t="n"/>
      <c r="L185" s="572" t="n"/>
      <c r="M185" s="572" t="n"/>
      <c r="N185" s="572" t="n"/>
    </row>
    <row r="186" ht="15.75" customHeight="1" s="341">
      <c r="A186" s="569" t="n">
        <v>177</v>
      </c>
      <c r="B186" s="570" t="n"/>
      <c r="C186" s="570" t="n"/>
      <c r="D186" s="570" t="n"/>
      <c r="E186" s="570" t="n"/>
      <c r="F186" s="570" t="n"/>
      <c r="G186" s="570" t="n"/>
      <c r="H186" s="570" t="n"/>
      <c r="I186" s="570" t="n"/>
      <c r="J186" s="570" t="n"/>
      <c r="K186" s="570" t="n"/>
      <c r="L186" s="570" t="n"/>
      <c r="M186" s="570" t="n"/>
      <c r="N186" s="570" t="n"/>
    </row>
    <row r="187" ht="15.75" customHeight="1" s="341">
      <c r="A187" s="571" t="n">
        <v>178</v>
      </c>
      <c r="B187" s="572" t="n"/>
      <c r="C187" s="572" t="n"/>
      <c r="D187" s="572" t="n"/>
      <c r="E187" s="572" t="n"/>
      <c r="F187" s="572" t="n"/>
      <c r="G187" s="572" t="n"/>
      <c r="H187" s="572" t="n"/>
      <c r="I187" s="572" t="n"/>
      <c r="J187" s="572" t="n"/>
      <c r="K187" s="572" t="n"/>
      <c r="L187" s="572" t="n"/>
      <c r="M187" s="572" t="n"/>
      <c r="N187" s="572" t="n"/>
    </row>
    <row r="188" ht="15.75" customHeight="1" s="341">
      <c r="A188" s="569" t="n">
        <v>179</v>
      </c>
      <c r="B188" s="570" t="n"/>
      <c r="C188" s="570" t="n"/>
      <c r="D188" s="570" t="n"/>
      <c r="E188" s="570" t="n"/>
      <c r="F188" s="570" t="n"/>
      <c r="G188" s="570" t="n"/>
      <c r="H188" s="570" t="n"/>
      <c r="I188" s="570" t="n"/>
      <c r="J188" s="570" t="n"/>
      <c r="K188" s="570" t="n"/>
      <c r="L188" s="570" t="n"/>
      <c r="M188" s="570" t="n"/>
      <c r="N188" s="570" t="n"/>
    </row>
    <row r="189" ht="15.75" customHeight="1" s="341">
      <c r="A189" s="571" t="n">
        <v>180</v>
      </c>
      <c r="B189" s="572" t="n"/>
      <c r="C189" s="572" t="n"/>
      <c r="D189" s="572" t="n"/>
      <c r="E189" s="572" t="n"/>
      <c r="F189" s="572" t="n"/>
      <c r="G189" s="572" t="n"/>
      <c r="H189" s="572" t="n"/>
      <c r="I189" s="572" t="n"/>
      <c r="J189" s="572" t="n"/>
      <c r="K189" s="572" t="n"/>
      <c r="L189" s="572" t="n"/>
      <c r="M189" s="572" t="n"/>
      <c r="N189" s="572" t="n"/>
    </row>
    <row r="190" ht="15.75" customHeight="1" s="341">
      <c r="A190" s="569" t="n">
        <v>181</v>
      </c>
      <c r="B190" s="570" t="n"/>
      <c r="C190" s="570" t="n"/>
      <c r="D190" s="570" t="n"/>
      <c r="E190" s="570" t="n"/>
      <c r="F190" s="570" t="n"/>
      <c r="G190" s="570" t="n"/>
      <c r="H190" s="570" t="n"/>
      <c r="I190" s="570" t="n"/>
      <c r="J190" s="570" t="n"/>
      <c r="K190" s="570" t="n"/>
      <c r="L190" s="570" t="n"/>
      <c r="M190" s="570" t="n"/>
      <c r="N190" s="570" t="n"/>
    </row>
    <row r="191" ht="15.75" customHeight="1" s="341">
      <c r="A191" s="571" t="n">
        <v>182</v>
      </c>
      <c r="B191" s="572" t="n"/>
      <c r="C191" s="572" t="n"/>
      <c r="D191" s="572" t="n"/>
      <c r="E191" s="572" t="n"/>
      <c r="F191" s="572" t="n"/>
      <c r="G191" s="572" t="n"/>
      <c r="H191" s="572" t="n"/>
      <c r="I191" s="572" t="n"/>
      <c r="J191" s="572" t="n"/>
      <c r="K191" s="572" t="n"/>
      <c r="L191" s="572" t="n"/>
      <c r="M191" s="572" t="n"/>
      <c r="N191" s="572" t="n"/>
    </row>
    <row r="192" ht="15.75" customHeight="1" s="341">
      <c r="A192" s="569" t="n">
        <v>183</v>
      </c>
      <c r="B192" s="570" t="n"/>
      <c r="C192" s="570" t="n"/>
      <c r="D192" s="570" t="n"/>
      <c r="E192" s="570" t="n"/>
      <c r="F192" s="570" t="n"/>
      <c r="G192" s="570" t="n"/>
      <c r="H192" s="570" t="n"/>
      <c r="I192" s="570" t="n"/>
      <c r="J192" s="570" t="n"/>
      <c r="K192" s="570" t="n"/>
      <c r="L192" s="570" t="n"/>
      <c r="M192" s="570" t="n"/>
      <c r="N192" s="570" t="n"/>
    </row>
    <row r="193" ht="15.75" customHeight="1" s="341">
      <c r="A193" s="571" t="n">
        <v>184</v>
      </c>
      <c r="B193" s="572" t="n"/>
      <c r="C193" s="572" t="n"/>
      <c r="D193" s="572" t="n"/>
      <c r="E193" s="572" t="n"/>
      <c r="F193" s="572" t="n"/>
      <c r="G193" s="572" t="n"/>
      <c r="H193" s="572" t="n"/>
      <c r="I193" s="572" t="n"/>
      <c r="J193" s="572" t="n"/>
      <c r="K193" s="572" t="n"/>
      <c r="L193" s="572" t="n"/>
      <c r="M193" s="572" t="n"/>
      <c r="N193" s="572" t="n"/>
    </row>
    <row r="194" ht="15.75" customHeight="1" s="341">
      <c r="A194" s="569" t="n">
        <v>185</v>
      </c>
      <c r="B194" s="570" t="n"/>
      <c r="C194" s="570" t="n"/>
      <c r="D194" s="570" t="n"/>
      <c r="E194" s="570" t="n"/>
      <c r="F194" s="570" t="n"/>
      <c r="G194" s="570" t="n"/>
      <c r="H194" s="570" t="n"/>
      <c r="I194" s="570" t="n"/>
      <c r="J194" s="570" t="n"/>
      <c r="K194" s="570" t="n"/>
      <c r="L194" s="570" t="n"/>
      <c r="M194" s="570" t="n"/>
      <c r="N194" s="570" t="n"/>
    </row>
    <row r="195" ht="15.75" customHeight="1" s="341">
      <c r="A195" s="571" t="n">
        <v>186</v>
      </c>
      <c r="B195" s="572" t="n"/>
      <c r="C195" s="572" t="n"/>
      <c r="D195" s="572" t="n"/>
      <c r="E195" s="572" t="n"/>
      <c r="F195" s="572" t="n"/>
      <c r="G195" s="572" t="n"/>
      <c r="H195" s="572" t="n"/>
      <c r="I195" s="572" t="n"/>
      <c r="J195" s="572" t="n"/>
      <c r="K195" s="572" t="n"/>
      <c r="L195" s="572" t="n"/>
      <c r="M195" s="572" t="n"/>
      <c r="N195" s="572" t="n"/>
    </row>
    <row r="196" ht="15.75" customHeight="1" s="341">
      <c r="A196" s="569" t="n">
        <v>187</v>
      </c>
      <c r="B196" s="570" t="n"/>
      <c r="C196" s="570" t="n"/>
      <c r="D196" s="570" t="n"/>
      <c r="E196" s="570" t="n"/>
      <c r="F196" s="570" t="n"/>
      <c r="G196" s="570" t="n"/>
      <c r="H196" s="570" t="n"/>
      <c r="I196" s="570" t="n"/>
      <c r="J196" s="570" t="n"/>
      <c r="K196" s="570" t="n"/>
      <c r="L196" s="570" t="n"/>
      <c r="M196" s="570" t="n"/>
      <c r="N196" s="570" t="n"/>
    </row>
    <row r="197" ht="15.75" customHeight="1" s="341">
      <c r="A197" s="571" t="n">
        <v>188</v>
      </c>
      <c r="B197" s="572" t="n"/>
      <c r="C197" s="572" t="n"/>
      <c r="D197" s="572" t="n"/>
      <c r="E197" s="572" t="n"/>
      <c r="F197" s="572" t="n"/>
      <c r="G197" s="572" t="n"/>
      <c r="H197" s="572" t="n"/>
      <c r="I197" s="572" t="n"/>
      <c r="J197" s="572" t="n"/>
      <c r="K197" s="572" t="n"/>
      <c r="L197" s="572" t="n"/>
      <c r="M197" s="572" t="n"/>
      <c r="N197" s="572" t="n"/>
    </row>
    <row r="198" ht="15.75" customHeight="1" s="341">
      <c r="A198" s="569" t="n">
        <v>189</v>
      </c>
      <c r="B198" s="570" t="n"/>
      <c r="C198" s="570" t="n"/>
      <c r="D198" s="570" t="n"/>
      <c r="E198" s="570" t="n"/>
      <c r="F198" s="570" t="n"/>
      <c r="G198" s="570" t="n"/>
      <c r="H198" s="570" t="n"/>
      <c r="I198" s="570" t="n"/>
      <c r="J198" s="570" t="n"/>
      <c r="K198" s="570" t="n"/>
      <c r="L198" s="570" t="n"/>
      <c r="M198" s="570" t="n"/>
      <c r="N198" s="570" t="n"/>
    </row>
    <row r="199" ht="15.75" customHeight="1" s="341">
      <c r="A199" s="571" t="n">
        <v>190</v>
      </c>
      <c r="B199" s="572" t="n"/>
      <c r="C199" s="572" t="n"/>
      <c r="D199" s="572" t="n"/>
      <c r="E199" s="572" t="n"/>
      <c r="F199" s="572" t="n"/>
      <c r="G199" s="572" t="n"/>
      <c r="H199" s="572" t="n"/>
      <c r="I199" s="572" t="n"/>
      <c r="J199" s="572" t="n"/>
      <c r="K199" s="572" t="n"/>
      <c r="L199" s="572" t="n"/>
      <c r="M199" s="572" t="n"/>
      <c r="N199" s="572" t="n"/>
    </row>
    <row r="200" ht="15.75" customHeight="1" s="341">
      <c r="A200" s="569" t="n">
        <v>191</v>
      </c>
      <c r="B200" s="570" t="n"/>
      <c r="C200" s="570" t="n"/>
      <c r="D200" s="570" t="n"/>
      <c r="E200" s="570" t="n"/>
      <c r="F200" s="570" t="n"/>
      <c r="G200" s="570" t="n"/>
      <c r="H200" s="570" t="n"/>
      <c r="I200" s="570" t="n"/>
      <c r="J200" s="570" t="n"/>
      <c r="K200" s="570" t="n"/>
      <c r="L200" s="570" t="n"/>
      <c r="M200" s="570" t="n"/>
      <c r="N200" s="570" t="n"/>
    </row>
    <row r="201" ht="15.75" customHeight="1" s="341">
      <c r="A201" s="571" t="n">
        <v>192</v>
      </c>
      <c r="B201" s="572" t="n"/>
      <c r="C201" s="572" t="n"/>
      <c r="D201" s="572" t="n"/>
      <c r="E201" s="572" t="n"/>
      <c r="F201" s="572" t="n"/>
      <c r="G201" s="572" t="n"/>
      <c r="H201" s="572" t="n"/>
      <c r="I201" s="572" t="n"/>
      <c r="J201" s="572" t="n"/>
      <c r="K201" s="572" t="n"/>
      <c r="L201" s="572" t="n"/>
      <c r="M201" s="572" t="n"/>
      <c r="N201" s="572" t="n"/>
    </row>
    <row r="202" ht="15.75" customHeight="1" s="341">
      <c r="A202" s="569" t="n">
        <v>193</v>
      </c>
      <c r="B202" s="570" t="n"/>
      <c r="C202" s="570" t="n"/>
      <c r="D202" s="570" t="n"/>
      <c r="E202" s="570" t="n"/>
      <c r="F202" s="570" t="n"/>
      <c r="G202" s="570" t="n"/>
      <c r="H202" s="570" t="n"/>
      <c r="I202" s="570" t="n"/>
      <c r="J202" s="570" t="n"/>
      <c r="K202" s="570" t="n"/>
      <c r="L202" s="570" t="n"/>
      <c r="M202" s="570" t="n"/>
      <c r="N202" s="570" t="n"/>
    </row>
    <row r="203" ht="15.75" customHeight="1" s="341">
      <c r="A203" s="571" t="n">
        <v>194</v>
      </c>
      <c r="B203" s="572" t="n"/>
      <c r="C203" s="572" t="n"/>
      <c r="D203" s="572" t="n"/>
      <c r="E203" s="572" t="n"/>
      <c r="F203" s="572" t="n"/>
      <c r="G203" s="572" t="n"/>
      <c r="H203" s="572" t="n"/>
      <c r="I203" s="572" t="n"/>
      <c r="J203" s="572" t="n"/>
      <c r="K203" s="572" t="n"/>
      <c r="L203" s="572" t="n"/>
      <c r="M203" s="572" t="n"/>
      <c r="N203" s="572" t="n"/>
    </row>
    <row r="204" ht="15.75" customHeight="1" s="341">
      <c r="A204" s="569" t="n">
        <v>195</v>
      </c>
      <c r="B204" s="570" t="n"/>
      <c r="C204" s="570" t="n"/>
      <c r="D204" s="570" t="n"/>
      <c r="E204" s="570" t="n"/>
      <c r="F204" s="570" t="n"/>
      <c r="G204" s="570" t="n"/>
      <c r="H204" s="570" t="n"/>
      <c r="I204" s="570" t="n"/>
      <c r="J204" s="570" t="n"/>
      <c r="K204" s="570" t="n"/>
      <c r="L204" s="570" t="n"/>
      <c r="M204" s="570" t="n"/>
      <c r="N204" s="570" t="n"/>
    </row>
    <row r="205" ht="15.75" customHeight="1" s="341">
      <c r="A205" s="571" t="n">
        <v>196</v>
      </c>
      <c r="B205" s="572" t="n"/>
      <c r="C205" s="572" t="n"/>
      <c r="D205" s="572" t="n"/>
      <c r="E205" s="572" t="n"/>
      <c r="F205" s="572" t="n"/>
      <c r="G205" s="572" t="n"/>
      <c r="H205" s="572" t="n"/>
      <c r="I205" s="572" t="n"/>
      <c r="J205" s="572" t="n"/>
      <c r="K205" s="572" t="n"/>
      <c r="L205" s="572" t="n"/>
      <c r="M205" s="572" t="n"/>
      <c r="N205" s="572" t="n"/>
    </row>
    <row r="206" ht="15.75" customHeight="1" s="341">
      <c r="A206" s="569" t="n">
        <v>197</v>
      </c>
      <c r="B206" s="570" t="n"/>
      <c r="C206" s="570" t="n"/>
      <c r="D206" s="570" t="n"/>
      <c r="E206" s="570" t="n"/>
      <c r="F206" s="570" t="n"/>
      <c r="G206" s="570" t="n"/>
      <c r="H206" s="570" t="n"/>
      <c r="I206" s="570" t="n"/>
      <c r="J206" s="570" t="n"/>
      <c r="K206" s="570" t="n"/>
      <c r="L206" s="570" t="n"/>
      <c r="M206" s="570" t="n"/>
      <c r="N206" s="570" t="n"/>
    </row>
    <row r="207" ht="15.75" customHeight="1" s="341">
      <c r="A207" s="571" t="n">
        <v>198</v>
      </c>
      <c r="B207" s="572" t="n"/>
      <c r="C207" s="572" t="n"/>
      <c r="D207" s="572" t="n"/>
      <c r="E207" s="572" t="n"/>
      <c r="F207" s="572" t="n"/>
      <c r="G207" s="572" t="n"/>
      <c r="H207" s="572" t="n"/>
      <c r="I207" s="572" t="n"/>
      <c r="J207" s="572" t="n"/>
      <c r="K207" s="572" t="n"/>
      <c r="L207" s="572" t="n"/>
      <c r="M207" s="572" t="n"/>
      <c r="N207" s="572" t="n"/>
    </row>
    <row r="208" ht="15.75" customHeight="1" s="341">
      <c r="A208" s="569" t="n">
        <v>199</v>
      </c>
      <c r="B208" s="570" t="n"/>
      <c r="C208" s="570" t="n"/>
      <c r="D208" s="570" t="n"/>
      <c r="E208" s="570" t="n"/>
      <c r="F208" s="570" t="n"/>
      <c r="G208" s="570" t="n"/>
      <c r="H208" s="570" t="n"/>
      <c r="I208" s="570" t="n"/>
      <c r="J208" s="570" t="n"/>
      <c r="K208" s="570" t="n"/>
      <c r="L208" s="570" t="n"/>
      <c r="M208" s="570" t="n"/>
      <c r="N208" s="570" t="n"/>
    </row>
    <row r="209" ht="15.75" customHeight="1" s="341">
      <c r="A209" s="571" t="n">
        <v>200</v>
      </c>
      <c r="B209" s="572" t="n"/>
      <c r="C209" s="572" t="n"/>
      <c r="D209" s="572" t="n"/>
      <c r="E209" s="572" t="n"/>
      <c r="F209" s="572" t="n"/>
      <c r="G209" s="572" t="n"/>
      <c r="H209" s="572" t="n"/>
      <c r="I209" s="572" t="n"/>
      <c r="J209" s="572" t="n"/>
      <c r="K209" s="572" t="n"/>
      <c r="L209" s="572" t="n"/>
      <c r="M209" s="572" t="n"/>
      <c r="N209" s="572" t="n"/>
    </row>
    <row r="210" ht="15.75" customHeight="1" s="341">
      <c r="A210" s="569" t="n">
        <v>201</v>
      </c>
      <c r="B210" s="570" t="n"/>
      <c r="C210" s="570" t="n"/>
      <c r="D210" s="570" t="n"/>
      <c r="E210" s="570" t="n"/>
      <c r="F210" s="570" t="n"/>
      <c r="G210" s="570" t="n"/>
      <c r="H210" s="570" t="n"/>
      <c r="I210" s="570" t="n"/>
      <c r="J210" s="570" t="n"/>
      <c r="K210" s="570" t="n"/>
      <c r="L210" s="570" t="n"/>
      <c r="M210" s="570" t="n"/>
      <c r="N210" s="570" t="n"/>
    </row>
    <row r="211" ht="15.75" customHeight="1" s="341">
      <c r="A211" s="571" t="n">
        <v>202</v>
      </c>
      <c r="B211" s="572" t="n"/>
      <c r="C211" s="572" t="n"/>
      <c r="D211" s="572" t="n"/>
      <c r="E211" s="572" t="n"/>
      <c r="F211" s="572" t="n"/>
      <c r="G211" s="572" t="n"/>
      <c r="H211" s="572" t="n"/>
      <c r="I211" s="572" t="n"/>
      <c r="J211" s="572" t="n"/>
      <c r="K211" s="572" t="n"/>
      <c r="L211" s="572" t="n"/>
      <c r="M211" s="572" t="n"/>
      <c r="N211" s="572" t="n"/>
    </row>
    <row r="212" ht="15.75" customHeight="1" s="341">
      <c r="A212" s="569" t="n">
        <v>203</v>
      </c>
      <c r="B212" s="570" t="n"/>
      <c r="C212" s="570" t="n"/>
      <c r="D212" s="570" t="n"/>
      <c r="E212" s="570" t="n"/>
      <c r="F212" s="570" t="n"/>
      <c r="G212" s="570" t="n"/>
      <c r="H212" s="570" t="n"/>
      <c r="I212" s="570" t="n"/>
      <c r="J212" s="570" t="n"/>
      <c r="K212" s="570" t="n"/>
      <c r="L212" s="570" t="n"/>
      <c r="M212" s="570" t="n"/>
      <c r="N212" s="570" t="n"/>
    </row>
    <row r="213" ht="15.75" customHeight="1" s="341">
      <c r="A213" s="571" t="n">
        <v>204</v>
      </c>
      <c r="B213" s="572" t="n"/>
      <c r="C213" s="572" t="n"/>
      <c r="D213" s="572" t="n"/>
      <c r="E213" s="572" t="n"/>
      <c r="F213" s="572" t="n"/>
      <c r="G213" s="572" t="n"/>
      <c r="H213" s="572" t="n"/>
      <c r="I213" s="572" t="n"/>
      <c r="J213" s="572" t="n"/>
      <c r="K213" s="572" t="n"/>
      <c r="L213" s="572" t="n"/>
      <c r="M213" s="572" t="n"/>
      <c r="N213" s="572" t="n"/>
    </row>
    <row r="214" ht="15.75" customHeight="1" s="341">
      <c r="A214" s="569" t="n">
        <v>205</v>
      </c>
      <c r="B214" s="570" t="n"/>
      <c r="C214" s="570" t="n"/>
      <c r="D214" s="570" t="n"/>
      <c r="E214" s="570" t="n"/>
      <c r="F214" s="570" t="n"/>
      <c r="G214" s="570" t="n"/>
      <c r="H214" s="570" t="n"/>
      <c r="I214" s="570" t="n"/>
      <c r="J214" s="570" t="n"/>
      <c r="K214" s="570" t="n"/>
      <c r="L214" s="570" t="n"/>
      <c r="M214" s="570" t="n"/>
      <c r="N214" s="570" t="n"/>
    </row>
    <row r="215" ht="15.75" customHeight="1" s="341">
      <c r="A215" s="571" t="n">
        <v>206</v>
      </c>
      <c r="B215" s="572" t="n"/>
      <c r="C215" s="572" t="n"/>
      <c r="D215" s="572" t="n"/>
      <c r="E215" s="572" t="n"/>
      <c r="F215" s="572" t="n"/>
      <c r="G215" s="572" t="n"/>
      <c r="H215" s="572" t="n"/>
      <c r="I215" s="572" t="n"/>
      <c r="J215" s="572" t="n"/>
      <c r="K215" s="572" t="n"/>
      <c r="L215" s="572" t="n"/>
      <c r="M215" s="572" t="n"/>
      <c r="N215" s="572" t="n"/>
    </row>
    <row r="216" ht="15.75" customHeight="1" s="341">
      <c r="A216" s="569" t="n">
        <v>207</v>
      </c>
      <c r="B216" s="570" t="n"/>
      <c r="C216" s="570" t="n"/>
      <c r="D216" s="570" t="n"/>
      <c r="E216" s="570" t="n"/>
      <c r="F216" s="570" t="n"/>
      <c r="G216" s="570" t="n"/>
      <c r="H216" s="570" t="n"/>
      <c r="I216" s="570" t="n"/>
      <c r="J216" s="570" t="n"/>
      <c r="K216" s="570" t="n"/>
      <c r="L216" s="570" t="n"/>
      <c r="M216" s="570" t="n"/>
      <c r="N216" s="570" t="n"/>
    </row>
    <row r="217" ht="15.75" customHeight="1" s="341">
      <c r="A217" s="571" t="n">
        <v>208</v>
      </c>
      <c r="B217" s="572" t="n"/>
      <c r="C217" s="572" t="n"/>
      <c r="D217" s="572" t="n"/>
      <c r="E217" s="572" t="n"/>
      <c r="F217" s="572" t="n"/>
      <c r="G217" s="572" t="n"/>
      <c r="H217" s="572" t="n"/>
      <c r="I217" s="572" t="n"/>
      <c r="J217" s="572" t="n"/>
      <c r="K217" s="572" t="n"/>
      <c r="L217" s="572" t="n"/>
      <c r="M217" s="572" t="n"/>
      <c r="N217" s="572" t="n"/>
    </row>
    <row r="218" ht="15.75" customHeight="1" s="341">
      <c r="A218" s="569" t="n">
        <v>209</v>
      </c>
      <c r="B218" s="570" t="n"/>
      <c r="C218" s="570" t="n"/>
      <c r="D218" s="570" t="n"/>
      <c r="E218" s="570" t="n"/>
      <c r="F218" s="570" t="n"/>
      <c r="G218" s="570" t="n"/>
      <c r="H218" s="570" t="n"/>
      <c r="I218" s="570" t="n"/>
      <c r="J218" s="570" t="n"/>
      <c r="K218" s="570" t="n"/>
      <c r="L218" s="570" t="n"/>
      <c r="M218" s="570" t="n"/>
      <c r="N218" s="570" t="n"/>
    </row>
    <row r="219" ht="15.75" customHeight="1" s="341">
      <c r="A219" s="571" t="n">
        <v>210</v>
      </c>
      <c r="B219" s="572" t="n"/>
      <c r="C219" s="572" t="n"/>
      <c r="D219" s="572" t="n"/>
      <c r="E219" s="572" t="n"/>
      <c r="F219" s="572" t="n"/>
      <c r="G219" s="572" t="n"/>
      <c r="H219" s="572" t="n"/>
      <c r="I219" s="572" t="n"/>
      <c r="J219" s="572" t="n"/>
      <c r="K219" s="572" t="n"/>
      <c r="L219" s="572" t="n"/>
      <c r="M219" s="572" t="n"/>
      <c r="N219" s="572" t="n"/>
    </row>
    <row r="220" ht="15.75" customHeight="1" s="341">
      <c r="A220" s="569" t="n">
        <v>211</v>
      </c>
      <c r="B220" s="570" t="n"/>
      <c r="C220" s="570" t="n"/>
      <c r="D220" s="570" t="n"/>
      <c r="E220" s="570" t="n"/>
      <c r="F220" s="570" t="n"/>
      <c r="G220" s="570" t="n"/>
      <c r="H220" s="570" t="n"/>
      <c r="I220" s="570" t="n"/>
      <c r="J220" s="570" t="n"/>
      <c r="K220" s="570" t="n"/>
      <c r="L220" s="570" t="n"/>
      <c r="M220" s="570" t="n"/>
      <c r="N220" s="570" t="n"/>
    </row>
    <row r="221" ht="15.75" customHeight="1" s="341">
      <c r="A221" s="571" t="n">
        <v>212</v>
      </c>
      <c r="B221" s="572" t="n"/>
      <c r="C221" s="572" t="n"/>
      <c r="D221" s="572" t="n"/>
      <c r="E221" s="572" t="n"/>
      <c r="F221" s="572" t="n"/>
      <c r="G221" s="572" t="n"/>
      <c r="H221" s="572" t="n"/>
      <c r="I221" s="572" t="n"/>
      <c r="J221" s="572" t="n"/>
      <c r="K221" s="572" t="n"/>
      <c r="L221" s="572" t="n"/>
      <c r="M221" s="572" t="n"/>
      <c r="N221" s="572" t="n"/>
    </row>
    <row r="222" ht="15.75" customHeight="1" s="341">
      <c r="A222" s="569" t="n">
        <v>213</v>
      </c>
      <c r="B222" s="570" t="n"/>
      <c r="C222" s="570" t="n"/>
      <c r="D222" s="570" t="n"/>
      <c r="E222" s="570" t="n"/>
      <c r="F222" s="570" t="n"/>
      <c r="G222" s="570" t="n"/>
      <c r="H222" s="570" t="n"/>
      <c r="I222" s="570" t="n"/>
      <c r="J222" s="570" t="n"/>
      <c r="K222" s="570" t="n"/>
      <c r="L222" s="570" t="n"/>
      <c r="M222" s="570" t="n"/>
      <c r="N222" s="570" t="n"/>
    </row>
    <row r="223" ht="15.75" customHeight="1" s="341">
      <c r="A223" s="571" t="n">
        <v>214</v>
      </c>
      <c r="B223" s="572" t="n"/>
      <c r="C223" s="572" t="n"/>
      <c r="D223" s="572" t="n"/>
      <c r="E223" s="572" t="n"/>
      <c r="F223" s="572" t="n"/>
      <c r="G223" s="572" t="n"/>
      <c r="H223" s="572" t="n"/>
      <c r="I223" s="572" t="n"/>
      <c r="J223" s="572" t="n"/>
      <c r="K223" s="572" t="n"/>
      <c r="L223" s="572" t="n"/>
      <c r="M223" s="572" t="n"/>
      <c r="N223" s="572" t="n"/>
    </row>
    <row r="224" ht="15.75" customHeight="1" s="341">
      <c r="A224" s="569" t="n">
        <v>215</v>
      </c>
      <c r="B224" s="570" t="n"/>
      <c r="C224" s="570" t="n"/>
      <c r="D224" s="570" t="n"/>
      <c r="E224" s="570" t="n"/>
      <c r="F224" s="570" t="n"/>
      <c r="G224" s="570" t="n"/>
      <c r="H224" s="570" t="n"/>
      <c r="I224" s="570" t="n"/>
      <c r="J224" s="570" t="n"/>
      <c r="K224" s="570" t="n"/>
      <c r="L224" s="570" t="n"/>
      <c r="M224" s="570" t="n"/>
      <c r="N224" s="570" t="n"/>
    </row>
    <row r="225" ht="15.75" customHeight="1" s="341">
      <c r="A225" s="571" t="n">
        <v>216</v>
      </c>
      <c r="B225" s="572" t="n"/>
      <c r="C225" s="572" t="n"/>
      <c r="D225" s="572" t="n"/>
      <c r="E225" s="572" t="n"/>
      <c r="F225" s="572" t="n"/>
      <c r="G225" s="572" t="n"/>
      <c r="H225" s="572" t="n"/>
      <c r="I225" s="572" t="n"/>
      <c r="J225" s="572" t="n"/>
      <c r="K225" s="572" t="n"/>
      <c r="L225" s="572" t="n"/>
      <c r="M225" s="572" t="n"/>
      <c r="N225" s="572" t="n"/>
    </row>
    <row r="226" ht="15.75" customHeight="1" s="341">
      <c r="A226" s="569" t="n">
        <v>217</v>
      </c>
      <c r="B226" s="570" t="n"/>
      <c r="C226" s="570" t="n"/>
      <c r="D226" s="570" t="n"/>
      <c r="E226" s="570" t="n"/>
      <c r="F226" s="570" t="n"/>
      <c r="G226" s="570" t="n"/>
      <c r="H226" s="570" t="n"/>
      <c r="I226" s="570" t="n"/>
      <c r="J226" s="570" t="n"/>
      <c r="K226" s="570" t="n"/>
      <c r="L226" s="570" t="n"/>
      <c r="M226" s="570" t="n"/>
      <c r="N226" s="570" t="n"/>
    </row>
    <row r="227" ht="15.75" customHeight="1" s="341">
      <c r="A227" s="571" t="n">
        <v>218</v>
      </c>
      <c r="B227" s="572" t="n"/>
      <c r="C227" s="572" t="n"/>
      <c r="D227" s="572" t="n"/>
      <c r="E227" s="572" t="n"/>
      <c r="F227" s="572" t="n"/>
      <c r="G227" s="572" t="n"/>
      <c r="H227" s="572" t="n"/>
      <c r="I227" s="572" t="n"/>
      <c r="J227" s="572" t="n"/>
      <c r="K227" s="572" t="n"/>
      <c r="L227" s="572" t="n"/>
      <c r="M227" s="572" t="n"/>
      <c r="N227" s="572" t="n"/>
    </row>
    <row r="228" ht="15.75" customHeight="1" s="341">
      <c r="A228" s="569" t="n">
        <v>219</v>
      </c>
      <c r="B228" s="570" t="n"/>
      <c r="C228" s="570" t="n"/>
      <c r="D228" s="570" t="n"/>
      <c r="E228" s="570" t="n"/>
      <c r="F228" s="570" t="n"/>
      <c r="G228" s="570" t="n"/>
      <c r="H228" s="570" t="n"/>
      <c r="I228" s="570" t="n"/>
      <c r="J228" s="570" t="n"/>
      <c r="K228" s="570" t="n"/>
      <c r="L228" s="570" t="n"/>
      <c r="M228" s="570" t="n"/>
      <c r="N228" s="570" t="n"/>
    </row>
    <row r="229" ht="15.75" customHeight="1" s="341">
      <c r="A229" s="571" t="n">
        <v>220</v>
      </c>
      <c r="B229" s="572" t="n"/>
      <c r="C229" s="572" t="n"/>
      <c r="D229" s="572" t="n"/>
      <c r="E229" s="572" t="n"/>
      <c r="F229" s="572" t="n"/>
      <c r="G229" s="572" t="n"/>
      <c r="H229" s="572" t="n"/>
      <c r="I229" s="572" t="n"/>
      <c r="J229" s="572" t="n"/>
      <c r="K229" s="572" t="n"/>
      <c r="L229" s="572" t="n"/>
      <c r="M229" s="572" t="n"/>
      <c r="N229" s="572" t="n"/>
    </row>
    <row r="230" ht="15.75" customHeight="1" s="341">
      <c r="A230" s="569" t="n">
        <v>221</v>
      </c>
      <c r="B230" s="570" t="n"/>
      <c r="C230" s="570" t="n"/>
      <c r="D230" s="570" t="n"/>
      <c r="E230" s="570" t="n"/>
      <c r="F230" s="570" t="n"/>
      <c r="G230" s="570" t="n"/>
      <c r="H230" s="570" t="n"/>
      <c r="I230" s="570" t="n"/>
      <c r="J230" s="570" t="n"/>
      <c r="K230" s="570" t="n"/>
      <c r="L230" s="570" t="n"/>
      <c r="M230" s="570" t="n"/>
      <c r="N230" s="570" t="n"/>
    </row>
    <row r="231" ht="15.75" customHeight="1" s="341">
      <c r="A231" s="571" t="n">
        <v>222</v>
      </c>
      <c r="B231" s="572" t="n"/>
      <c r="C231" s="572" t="n"/>
      <c r="D231" s="572" t="n"/>
      <c r="E231" s="572" t="n"/>
      <c r="F231" s="572" t="n"/>
      <c r="G231" s="572" t="n"/>
      <c r="H231" s="572" t="n"/>
      <c r="I231" s="572" t="n"/>
      <c r="J231" s="572" t="n"/>
      <c r="K231" s="572" t="n"/>
      <c r="L231" s="572" t="n"/>
      <c r="M231" s="572" t="n"/>
      <c r="N231" s="572" t="n"/>
    </row>
    <row r="232" ht="15.75" customHeight="1" s="341">
      <c r="A232" s="569" t="n">
        <v>223</v>
      </c>
      <c r="B232" s="570" t="n"/>
      <c r="C232" s="570" t="n"/>
      <c r="D232" s="570" t="n"/>
      <c r="E232" s="570" t="n"/>
      <c r="F232" s="570" t="n"/>
      <c r="G232" s="570" t="n"/>
      <c r="H232" s="570" t="n"/>
      <c r="I232" s="570" t="n"/>
      <c r="J232" s="570" t="n"/>
      <c r="K232" s="570" t="n"/>
      <c r="L232" s="570" t="n"/>
      <c r="M232" s="570" t="n"/>
      <c r="N232" s="570" t="n"/>
    </row>
    <row r="233" ht="15.75" customHeight="1" s="341">
      <c r="A233" s="571" t="n">
        <v>224</v>
      </c>
      <c r="B233" s="572" t="n"/>
      <c r="C233" s="572" t="n"/>
      <c r="D233" s="572" t="n"/>
      <c r="E233" s="572" t="n"/>
      <c r="F233" s="572" t="n"/>
      <c r="G233" s="572" t="n"/>
      <c r="H233" s="572" t="n"/>
      <c r="I233" s="572" t="n"/>
      <c r="J233" s="572" t="n"/>
      <c r="K233" s="572" t="n"/>
      <c r="L233" s="572" t="n"/>
      <c r="M233" s="572" t="n"/>
      <c r="N233" s="572" t="n"/>
    </row>
    <row r="234" ht="15.75" customHeight="1" s="341">
      <c r="A234" s="569" t="n">
        <v>225</v>
      </c>
      <c r="B234" s="570" t="n"/>
      <c r="C234" s="570" t="n"/>
      <c r="D234" s="570" t="n"/>
      <c r="E234" s="570" t="n"/>
      <c r="F234" s="570" t="n"/>
      <c r="G234" s="570" t="n"/>
      <c r="H234" s="570" t="n"/>
      <c r="I234" s="570" t="n"/>
      <c r="J234" s="570" t="n"/>
      <c r="K234" s="570" t="n"/>
      <c r="L234" s="570" t="n"/>
      <c r="M234" s="570" t="n"/>
      <c r="N234" s="570" t="n"/>
    </row>
    <row r="235" ht="15.75" customHeight="1" s="341">
      <c r="A235" s="571" t="n">
        <v>226</v>
      </c>
      <c r="B235" s="572" t="n"/>
      <c r="C235" s="572" t="n"/>
      <c r="D235" s="572" t="n"/>
      <c r="E235" s="572" t="n"/>
      <c r="F235" s="572" t="n"/>
      <c r="G235" s="572" t="n"/>
      <c r="H235" s="572" t="n"/>
      <c r="I235" s="572" t="n"/>
      <c r="J235" s="572" t="n"/>
      <c r="K235" s="572" t="n"/>
      <c r="L235" s="572" t="n"/>
      <c r="M235" s="572" t="n"/>
      <c r="N235" s="572" t="n"/>
    </row>
    <row r="236" ht="15.75" customHeight="1" s="341">
      <c r="A236" s="569" t="n">
        <v>227</v>
      </c>
      <c r="B236" s="570" t="n"/>
      <c r="C236" s="570" t="n"/>
      <c r="D236" s="570" t="n"/>
      <c r="E236" s="570" t="n"/>
      <c r="F236" s="570" t="n"/>
      <c r="G236" s="570" t="n"/>
      <c r="H236" s="570" t="n"/>
      <c r="I236" s="570" t="n"/>
      <c r="J236" s="570" t="n"/>
      <c r="K236" s="570" t="n"/>
      <c r="L236" s="570" t="n"/>
      <c r="M236" s="570" t="n"/>
      <c r="N236" s="570" t="n"/>
    </row>
    <row r="237" ht="15.75" customHeight="1" s="341">
      <c r="A237" s="571" t="n">
        <v>228</v>
      </c>
      <c r="B237" s="572" t="n"/>
      <c r="C237" s="572" t="n"/>
      <c r="D237" s="572" t="n"/>
      <c r="E237" s="572" t="n"/>
      <c r="F237" s="572" t="n"/>
      <c r="G237" s="572" t="n"/>
      <c r="H237" s="572" t="n"/>
      <c r="I237" s="572" t="n"/>
      <c r="J237" s="572" t="n"/>
      <c r="K237" s="572" t="n"/>
      <c r="L237" s="572" t="n"/>
      <c r="M237" s="572" t="n"/>
      <c r="N237" s="572" t="n"/>
    </row>
    <row r="238" ht="15.75" customHeight="1" s="341">
      <c r="A238" s="569" t="n">
        <v>229</v>
      </c>
      <c r="B238" s="570" t="n"/>
      <c r="C238" s="570" t="n"/>
      <c r="D238" s="570" t="n"/>
      <c r="E238" s="570" t="n"/>
      <c r="F238" s="570" t="n"/>
      <c r="G238" s="570" t="n"/>
      <c r="H238" s="570" t="n"/>
      <c r="I238" s="570" t="n"/>
      <c r="J238" s="570" t="n"/>
      <c r="K238" s="570" t="n"/>
      <c r="L238" s="570" t="n"/>
      <c r="M238" s="570" t="n"/>
      <c r="N238" s="570" t="n"/>
    </row>
    <row r="239" ht="15.75" customHeight="1" s="341">
      <c r="A239" s="571" t="n">
        <v>230</v>
      </c>
      <c r="B239" s="572" t="n"/>
      <c r="C239" s="572" t="n"/>
      <c r="D239" s="572" t="n"/>
      <c r="E239" s="572" t="n"/>
      <c r="F239" s="572" t="n"/>
      <c r="G239" s="572" t="n"/>
      <c r="H239" s="572" t="n"/>
      <c r="I239" s="572" t="n"/>
      <c r="J239" s="572" t="n"/>
      <c r="K239" s="572" t="n"/>
      <c r="L239" s="572" t="n"/>
      <c r="M239" s="572" t="n"/>
      <c r="N239" s="572" t="n"/>
    </row>
    <row r="240" ht="15.75" customHeight="1" s="341">
      <c r="A240" s="569" t="n">
        <v>231</v>
      </c>
      <c r="B240" s="570" t="n"/>
      <c r="C240" s="570" t="n"/>
      <c r="D240" s="570" t="n"/>
      <c r="E240" s="570" t="n"/>
      <c r="F240" s="570" t="n"/>
      <c r="G240" s="570" t="n"/>
      <c r="H240" s="570" t="n"/>
      <c r="I240" s="570" t="n"/>
      <c r="J240" s="570" t="n"/>
      <c r="K240" s="570" t="n"/>
      <c r="L240" s="570" t="n"/>
      <c r="M240" s="570" t="n"/>
      <c r="N240" s="570" t="n"/>
    </row>
    <row r="241" ht="15.75" customHeight="1" s="341">
      <c r="A241" s="571" t="n">
        <v>232</v>
      </c>
      <c r="B241" s="572" t="n"/>
      <c r="C241" s="572" t="n"/>
      <c r="D241" s="572" t="n"/>
      <c r="E241" s="572" t="n"/>
      <c r="F241" s="572" t="n"/>
      <c r="G241" s="572" t="n"/>
      <c r="H241" s="572" t="n"/>
      <c r="I241" s="572" t="n"/>
      <c r="J241" s="572" t="n"/>
      <c r="K241" s="572" t="n"/>
      <c r="L241" s="572" t="n"/>
      <c r="M241" s="572" t="n"/>
      <c r="N241" s="572" t="n"/>
    </row>
    <row r="242" ht="15.75" customHeight="1" s="341">
      <c r="A242" s="569" t="n">
        <v>233</v>
      </c>
      <c r="B242" s="570" t="n"/>
      <c r="C242" s="570" t="n"/>
      <c r="D242" s="570" t="n"/>
      <c r="E242" s="570" t="n"/>
      <c r="F242" s="570" t="n"/>
      <c r="G242" s="570" t="n"/>
      <c r="H242" s="570" t="n"/>
      <c r="I242" s="570" t="n"/>
      <c r="J242" s="570" t="n"/>
      <c r="K242" s="570" t="n"/>
      <c r="L242" s="570" t="n"/>
      <c r="M242" s="570" t="n"/>
      <c r="N242" s="570" t="n"/>
    </row>
    <row r="243" ht="15.75" customHeight="1" s="341">
      <c r="A243" s="571" t="n">
        <v>234</v>
      </c>
      <c r="B243" s="572" t="n"/>
      <c r="C243" s="572" t="n"/>
      <c r="D243" s="572" t="n"/>
      <c r="E243" s="572" t="n"/>
      <c r="F243" s="572" t="n"/>
      <c r="G243" s="572" t="n"/>
      <c r="H243" s="572" t="n"/>
      <c r="I243" s="572" t="n"/>
      <c r="J243" s="572" t="n"/>
      <c r="K243" s="572" t="n"/>
      <c r="L243" s="572" t="n"/>
      <c r="M243" s="572" t="n"/>
      <c r="N243" s="572" t="n"/>
    </row>
    <row r="244" ht="15.75" customHeight="1" s="341">
      <c r="A244" s="569" t="n">
        <v>235</v>
      </c>
      <c r="B244" s="570" t="n"/>
      <c r="C244" s="570" t="n"/>
      <c r="D244" s="570" t="n"/>
      <c r="E244" s="570" t="n"/>
      <c r="F244" s="570" t="n"/>
      <c r="G244" s="570" t="n"/>
      <c r="H244" s="570" t="n"/>
      <c r="I244" s="570" t="n"/>
      <c r="J244" s="570" t="n"/>
      <c r="K244" s="570" t="n"/>
      <c r="L244" s="570" t="n"/>
      <c r="M244" s="570" t="n"/>
      <c r="N244" s="570" t="n"/>
    </row>
    <row r="245" ht="15.75" customHeight="1" s="341">
      <c r="A245" s="571" t="n">
        <v>236</v>
      </c>
      <c r="B245" s="572" t="n"/>
      <c r="C245" s="572" t="n"/>
      <c r="D245" s="572" t="n"/>
      <c r="E245" s="572" t="n"/>
      <c r="F245" s="572" t="n"/>
      <c r="G245" s="572" t="n"/>
      <c r="H245" s="572" t="n"/>
      <c r="I245" s="572" t="n"/>
      <c r="J245" s="572" t="n"/>
      <c r="K245" s="572" t="n"/>
      <c r="L245" s="572" t="n"/>
      <c r="M245" s="572" t="n"/>
      <c r="N245" s="572" t="n"/>
    </row>
    <row r="246" ht="15.75" customHeight="1" s="341">
      <c r="A246" s="569" t="n">
        <v>237</v>
      </c>
      <c r="B246" s="570" t="n"/>
      <c r="C246" s="570" t="n"/>
      <c r="D246" s="570" t="n"/>
      <c r="E246" s="570" t="n"/>
      <c r="F246" s="570" t="n"/>
      <c r="G246" s="570" t="n"/>
      <c r="H246" s="570" t="n"/>
      <c r="I246" s="570" t="n"/>
      <c r="J246" s="570" t="n"/>
      <c r="K246" s="570" t="n"/>
      <c r="L246" s="570" t="n"/>
      <c r="M246" s="570" t="n"/>
      <c r="N246" s="570" t="n"/>
    </row>
    <row r="247" ht="15.75" customHeight="1" s="341">
      <c r="A247" s="571" t="n">
        <v>238</v>
      </c>
      <c r="B247" s="572" t="n"/>
      <c r="C247" s="572" t="n"/>
      <c r="D247" s="572" t="n"/>
      <c r="E247" s="572" t="n"/>
      <c r="F247" s="572" t="n"/>
      <c r="G247" s="572" t="n"/>
      <c r="H247" s="572" t="n"/>
      <c r="I247" s="572" t="n"/>
      <c r="J247" s="572" t="n"/>
      <c r="K247" s="572" t="n"/>
      <c r="L247" s="572" t="n"/>
      <c r="M247" s="572" t="n"/>
      <c r="N247" s="572" t="n"/>
    </row>
    <row r="248" ht="15.75" customHeight="1" s="341">
      <c r="A248" s="569" t="n">
        <v>239</v>
      </c>
      <c r="B248" s="570" t="n"/>
      <c r="C248" s="570" t="n"/>
      <c r="D248" s="570" t="n"/>
      <c r="E248" s="570" t="n"/>
      <c r="F248" s="570" t="n"/>
      <c r="G248" s="570" t="n"/>
      <c r="H248" s="570" t="n"/>
      <c r="I248" s="570" t="n"/>
      <c r="J248" s="570" t="n"/>
      <c r="K248" s="570" t="n"/>
      <c r="L248" s="570" t="n"/>
      <c r="M248" s="570" t="n"/>
      <c r="N248" s="570" t="n"/>
    </row>
    <row r="249" ht="15.75" customHeight="1" s="341">
      <c r="A249" s="571" t="n">
        <v>240</v>
      </c>
      <c r="B249" s="572" t="n"/>
      <c r="C249" s="572" t="n"/>
      <c r="D249" s="572" t="n"/>
      <c r="E249" s="572" t="n"/>
      <c r="F249" s="572" t="n"/>
      <c r="G249" s="572" t="n"/>
      <c r="H249" s="572" t="n"/>
      <c r="I249" s="572" t="n"/>
      <c r="J249" s="572" t="n"/>
      <c r="K249" s="572" t="n"/>
      <c r="L249" s="572" t="n"/>
      <c r="M249" s="572" t="n"/>
      <c r="N249" s="572" t="n"/>
    </row>
    <row r="250" ht="15.75" customHeight="1" s="341">
      <c r="A250" s="569" t="n">
        <v>241</v>
      </c>
      <c r="B250" s="570" t="n"/>
      <c r="C250" s="570" t="n"/>
      <c r="D250" s="570" t="n"/>
      <c r="E250" s="570" t="n"/>
      <c r="F250" s="570" t="n"/>
      <c r="G250" s="570" t="n"/>
      <c r="H250" s="570" t="n"/>
      <c r="I250" s="570" t="n"/>
      <c r="J250" s="570" t="n"/>
      <c r="K250" s="570" t="n"/>
      <c r="L250" s="570" t="n"/>
      <c r="M250" s="570" t="n"/>
      <c r="N250" s="570" t="n"/>
    </row>
    <row r="251" ht="15.75" customHeight="1" s="341">
      <c r="A251" s="571" t="n">
        <v>242</v>
      </c>
      <c r="B251" s="572" t="n"/>
      <c r="C251" s="572" t="n"/>
      <c r="D251" s="572" t="n"/>
      <c r="E251" s="572" t="n"/>
      <c r="F251" s="572" t="n"/>
      <c r="G251" s="572" t="n"/>
      <c r="H251" s="572" t="n"/>
      <c r="I251" s="572" t="n"/>
      <c r="J251" s="572" t="n"/>
      <c r="K251" s="572" t="n"/>
      <c r="L251" s="572" t="n"/>
      <c r="M251" s="572" t="n"/>
      <c r="N251" s="572" t="n"/>
    </row>
    <row r="252" ht="15.75" customHeight="1" s="341">
      <c r="A252" s="569" t="n">
        <v>243</v>
      </c>
      <c r="B252" s="570" t="n"/>
      <c r="C252" s="570" t="n"/>
      <c r="D252" s="570" t="n"/>
      <c r="E252" s="570" t="n"/>
      <c r="F252" s="570" t="n"/>
      <c r="G252" s="570" t="n"/>
      <c r="H252" s="570" t="n"/>
      <c r="I252" s="570" t="n"/>
      <c r="J252" s="570" t="n"/>
      <c r="K252" s="570" t="n"/>
      <c r="L252" s="570" t="n"/>
      <c r="M252" s="570" t="n"/>
      <c r="N252" s="570" t="n"/>
    </row>
    <row r="253" ht="15.75" customHeight="1" s="341">
      <c r="A253" s="571" t="n">
        <v>244</v>
      </c>
      <c r="B253" s="572" t="n"/>
      <c r="C253" s="572" t="n"/>
      <c r="D253" s="572" t="n"/>
      <c r="E253" s="572" t="n"/>
      <c r="F253" s="572" t="n"/>
      <c r="G253" s="572" t="n"/>
      <c r="H253" s="572" t="n"/>
      <c r="I253" s="572" t="n"/>
      <c r="J253" s="572" t="n"/>
      <c r="K253" s="572" t="n"/>
      <c r="L253" s="572" t="n"/>
      <c r="M253" s="572" t="n"/>
      <c r="N253" s="572" t="n"/>
    </row>
    <row r="254" ht="15.75" customHeight="1" s="341">
      <c r="A254" s="569" t="n">
        <v>245</v>
      </c>
      <c r="B254" s="570" t="n"/>
      <c r="C254" s="570" t="n"/>
      <c r="D254" s="570" t="n"/>
      <c r="E254" s="570" t="n"/>
      <c r="F254" s="570" t="n"/>
      <c r="G254" s="570" t="n"/>
      <c r="H254" s="570" t="n"/>
      <c r="I254" s="570" t="n"/>
      <c r="J254" s="570" t="n"/>
      <c r="K254" s="570" t="n"/>
      <c r="L254" s="570" t="n"/>
      <c r="M254" s="570" t="n"/>
      <c r="N254" s="570" t="n"/>
    </row>
    <row r="255" ht="15.75" customHeight="1" s="341">
      <c r="A255" s="571" t="n">
        <v>246</v>
      </c>
      <c r="B255" s="572" t="n"/>
      <c r="C255" s="572" t="n"/>
      <c r="D255" s="572" t="n"/>
      <c r="E255" s="572" t="n"/>
      <c r="F255" s="572" t="n"/>
      <c r="G255" s="572" t="n"/>
      <c r="H255" s="572" t="n"/>
      <c r="I255" s="572" t="n"/>
      <c r="J255" s="572" t="n"/>
      <c r="K255" s="572" t="n"/>
      <c r="L255" s="572" t="n"/>
      <c r="M255" s="572" t="n"/>
      <c r="N255" s="572" t="n"/>
    </row>
    <row r="256" ht="15.75" customHeight="1" s="341">
      <c r="A256" s="569" t="n">
        <v>247</v>
      </c>
      <c r="B256" s="570" t="n"/>
      <c r="C256" s="570" t="n"/>
      <c r="D256" s="570" t="n"/>
      <c r="E256" s="570" t="n"/>
      <c r="F256" s="570" t="n"/>
      <c r="G256" s="570" t="n"/>
      <c r="H256" s="570" t="n"/>
      <c r="I256" s="570" t="n"/>
      <c r="J256" s="570" t="n"/>
      <c r="K256" s="570" t="n"/>
      <c r="L256" s="570" t="n"/>
      <c r="M256" s="570" t="n"/>
      <c r="N256" s="570" t="n"/>
    </row>
    <row r="257" ht="15.75" customHeight="1" s="341">
      <c r="A257" s="571" t="n">
        <v>248</v>
      </c>
      <c r="B257" s="572" t="n"/>
      <c r="C257" s="572" t="n"/>
      <c r="D257" s="572" t="n"/>
      <c r="E257" s="572" t="n"/>
      <c r="F257" s="572" t="n"/>
      <c r="G257" s="572" t="n"/>
      <c r="H257" s="572" t="n"/>
      <c r="I257" s="572" t="n"/>
      <c r="J257" s="572" t="n"/>
      <c r="K257" s="572" t="n"/>
      <c r="L257" s="572" t="n"/>
      <c r="M257" s="572" t="n"/>
      <c r="N257" s="572" t="n"/>
    </row>
    <row r="258" ht="15.75" customHeight="1" s="341">
      <c r="A258" s="569" t="n">
        <v>249</v>
      </c>
      <c r="B258" s="570" t="n"/>
      <c r="C258" s="570" t="n"/>
      <c r="D258" s="570" t="n"/>
      <c r="E258" s="570" t="n"/>
      <c r="F258" s="570" t="n"/>
      <c r="G258" s="570" t="n"/>
      <c r="H258" s="570" t="n"/>
      <c r="I258" s="570" t="n"/>
      <c r="J258" s="570" t="n"/>
      <c r="K258" s="570" t="n"/>
      <c r="L258" s="570" t="n"/>
      <c r="M258" s="570" t="n"/>
      <c r="N258" s="570" t="n"/>
    </row>
    <row r="259" ht="15.75" customHeight="1" s="341">
      <c r="A259" s="571" t="n">
        <v>250</v>
      </c>
      <c r="B259" s="572" t="n"/>
      <c r="C259" s="572" t="n"/>
      <c r="D259" s="572" t="n"/>
      <c r="E259" s="572" t="n"/>
      <c r="F259" s="572" t="n"/>
      <c r="G259" s="572" t="n"/>
      <c r="H259" s="572" t="n"/>
      <c r="I259" s="572" t="n"/>
      <c r="J259" s="572" t="n"/>
      <c r="K259" s="572" t="n"/>
      <c r="L259" s="572" t="n"/>
      <c r="M259" s="572" t="n"/>
      <c r="N259" s="572" t="n"/>
    </row>
    <row r="260" ht="15.75" customHeight="1" s="341">
      <c r="A260" s="569" t="n">
        <v>251</v>
      </c>
      <c r="B260" s="570" t="n"/>
      <c r="C260" s="570" t="n"/>
      <c r="D260" s="570" t="n"/>
      <c r="E260" s="570" t="n"/>
      <c r="F260" s="570" t="n"/>
      <c r="G260" s="570" t="n"/>
      <c r="H260" s="570" t="n"/>
      <c r="I260" s="570" t="n"/>
      <c r="J260" s="570" t="n"/>
      <c r="K260" s="570" t="n"/>
      <c r="L260" s="570" t="n"/>
      <c r="M260" s="570" t="n"/>
      <c r="N260" s="570" t="n"/>
    </row>
    <row r="261" ht="15.75" customHeight="1" s="341">
      <c r="A261" s="571" t="n">
        <v>252</v>
      </c>
      <c r="B261" s="572" t="n"/>
      <c r="C261" s="572" t="n"/>
      <c r="D261" s="572" t="n"/>
      <c r="E261" s="572" t="n"/>
      <c r="F261" s="572" t="n"/>
      <c r="G261" s="572" t="n"/>
      <c r="H261" s="572" t="n"/>
      <c r="I261" s="572" t="n"/>
      <c r="J261" s="572" t="n"/>
      <c r="K261" s="572" t="n"/>
      <c r="L261" s="572" t="n"/>
      <c r="M261" s="572" t="n"/>
      <c r="N261" s="572" t="n"/>
    </row>
    <row r="262" ht="15.75" customHeight="1" s="341">
      <c r="A262" s="569" t="n">
        <v>253</v>
      </c>
      <c r="B262" s="570" t="n"/>
      <c r="C262" s="570" t="n"/>
      <c r="D262" s="570" t="n"/>
      <c r="E262" s="570" t="n"/>
      <c r="F262" s="570" t="n"/>
      <c r="G262" s="570" t="n"/>
      <c r="H262" s="570" t="n"/>
      <c r="I262" s="570" t="n"/>
      <c r="J262" s="570" t="n"/>
      <c r="K262" s="570" t="n"/>
      <c r="L262" s="570" t="n"/>
      <c r="M262" s="570" t="n"/>
      <c r="N262" s="570" t="n"/>
    </row>
    <row r="263" ht="15.75" customHeight="1" s="341">
      <c r="A263" s="571" t="n">
        <v>254</v>
      </c>
      <c r="B263" s="572" t="n"/>
      <c r="C263" s="572" t="n"/>
      <c r="D263" s="572" t="n"/>
      <c r="E263" s="572" t="n"/>
      <c r="F263" s="572" t="n"/>
      <c r="G263" s="572" t="n"/>
      <c r="H263" s="572" t="n"/>
      <c r="I263" s="572" t="n"/>
      <c r="J263" s="572" t="n"/>
      <c r="K263" s="572" t="n"/>
      <c r="L263" s="572" t="n"/>
      <c r="M263" s="572" t="n"/>
      <c r="N263" s="572" t="n"/>
    </row>
    <row r="264" ht="15.75" customHeight="1" s="341">
      <c r="A264" s="569" t="n">
        <v>255</v>
      </c>
      <c r="B264" s="570" t="n"/>
      <c r="C264" s="570" t="n"/>
      <c r="D264" s="570" t="n"/>
      <c r="E264" s="570" t="n"/>
      <c r="F264" s="570" t="n"/>
      <c r="G264" s="570" t="n"/>
      <c r="H264" s="570" t="n"/>
      <c r="I264" s="570" t="n"/>
      <c r="J264" s="570" t="n"/>
      <c r="K264" s="570" t="n"/>
      <c r="L264" s="570" t="n"/>
      <c r="M264" s="570" t="n"/>
      <c r="N264" s="570" t="n"/>
    </row>
    <row r="265" ht="15.75" customHeight="1" s="341">
      <c r="A265" s="571" t="n">
        <v>256</v>
      </c>
      <c r="B265" s="572" t="n"/>
      <c r="C265" s="572" t="n"/>
      <c r="D265" s="572" t="n"/>
      <c r="E265" s="572" t="n"/>
      <c r="F265" s="572" t="n"/>
      <c r="G265" s="572" t="n"/>
      <c r="H265" s="572" t="n"/>
      <c r="I265" s="572" t="n"/>
      <c r="J265" s="572" t="n"/>
      <c r="K265" s="572" t="n"/>
      <c r="L265" s="572" t="n"/>
      <c r="M265" s="572" t="n"/>
      <c r="N265" s="572" t="n"/>
    </row>
    <row r="266" ht="15.75" customHeight="1" s="341">
      <c r="A266" s="569" t="n">
        <v>257</v>
      </c>
      <c r="B266" s="570" t="n"/>
      <c r="C266" s="570" t="n"/>
      <c r="D266" s="570" t="n"/>
      <c r="E266" s="570" t="n"/>
      <c r="F266" s="570" t="n"/>
      <c r="G266" s="570" t="n"/>
      <c r="H266" s="570" t="n"/>
      <c r="I266" s="570" t="n"/>
      <c r="J266" s="570" t="n"/>
      <c r="K266" s="570" t="n"/>
      <c r="L266" s="570" t="n"/>
      <c r="M266" s="570" t="n"/>
      <c r="N266" s="570" t="n"/>
    </row>
    <row r="267" ht="15.75" customHeight="1" s="341">
      <c r="A267" s="571" t="n">
        <v>258</v>
      </c>
      <c r="B267" s="572" t="n"/>
      <c r="C267" s="572" t="n"/>
      <c r="D267" s="572" t="n"/>
      <c r="E267" s="572" t="n"/>
      <c r="F267" s="572" t="n"/>
      <c r="G267" s="572" t="n"/>
      <c r="H267" s="572" t="n"/>
      <c r="I267" s="572" t="n"/>
      <c r="J267" s="572" t="n"/>
      <c r="K267" s="572" t="n"/>
      <c r="L267" s="572" t="n"/>
      <c r="M267" s="572" t="n"/>
      <c r="N267" s="572" t="n"/>
    </row>
    <row r="268" ht="15.75" customHeight="1" s="341">
      <c r="A268" s="569" t="n">
        <v>259</v>
      </c>
      <c r="B268" s="570" t="n"/>
      <c r="C268" s="570" t="n"/>
      <c r="D268" s="570" t="n"/>
      <c r="E268" s="570" t="n"/>
      <c r="F268" s="570" t="n"/>
      <c r="G268" s="570" t="n"/>
      <c r="H268" s="570" t="n"/>
      <c r="I268" s="570" t="n"/>
      <c r="J268" s="570" t="n"/>
      <c r="K268" s="570" t="n"/>
      <c r="L268" s="570" t="n"/>
      <c r="M268" s="570" t="n"/>
      <c r="N268" s="570" t="n"/>
    </row>
    <row r="269" ht="15.75" customHeight="1" s="341">
      <c r="A269" s="571" t="n">
        <v>260</v>
      </c>
      <c r="B269" s="572" t="n"/>
      <c r="C269" s="572" t="n"/>
      <c r="D269" s="572" t="n"/>
      <c r="E269" s="572" t="n"/>
      <c r="F269" s="572" t="n"/>
      <c r="G269" s="572" t="n"/>
      <c r="H269" s="572" t="n"/>
      <c r="I269" s="572" t="n"/>
      <c r="J269" s="572" t="n"/>
      <c r="K269" s="572" t="n"/>
      <c r="L269" s="572" t="n"/>
      <c r="M269" s="572" t="n"/>
      <c r="N269" s="572" t="n"/>
    </row>
    <row r="270" ht="15.75" customHeight="1" s="341">
      <c r="A270" s="569" t="n">
        <v>261</v>
      </c>
      <c r="B270" s="570" t="n"/>
      <c r="C270" s="570" t="n"/>
      <c r="D270" s="570" t="n"/>
      <c r="E270" s="570" t="n"/>
      <c r="F270" s="570" t="n"/>
      <c r="G270" s="570" t="n"/>
      <c r="H270" s="570" t="n"/>
      <c r="I270" s="570" t="n"/>
      <c r="J270" s="570" t="n"/>
      <c r="K270" s="570" t="n"/>
      <c r="L270" s="570" t="n"/>
      <c r="M270" s="570" t="n"/>
      <c r="N270" s="570" t="n"/>
    </row>
    <row r="271" ht="15.75" customHeight="1" s="341">
      <c r="A271" s="571" t="n">
        <v>262</v>
      </c>
      <c r="B271" s="572" t="n"/>
      <c r="C271" s="572" t="n"/>
      <c r="D271" s="572" t="n"/>
      <c r="E271" s="572" t="n"/>
      <c r="F271" s="572" t="n"/>
      <c r="G271" s="572" t="n"/>
      <c r="H271" s="572" t="n"/>
      <c r="I271" s="572" t="n"/>
      <c r="J271" s="572" t="n"/>
      <c r="K271" s="572" t="n"/>
      <c r="L271" s="572" t="n"/>
      <c r="M271" s="572" t="n"/>
      <c r="N271" s="572" t="n"/>
    </row>
    <row r="272" ht="15.75" customHeight="1" s="341">
      <c r="A272" s="569" t="n">
        <v>263</v>
      </c>
      <c r="B272" s="570" t="n"/>
      <c r="C272" s="570" t="n"/>
      <c r="D272" s="570" t="n"/>
      <c r="E272" s="570" t="n"/>
      <c r="F272" s="570" t="n"/>
      <c r="G272" s="570" t="n"/>
      <c r="H272" s="570" t="n"/>
      <c r="I272" s="570" t="n"/>
      <c r="J272" s="570" t="n"/>
      <c r="K272" s="570" t="n"/>
      <c r="L272" s="570" t="n"/>
      <c r="M272" s="570" t="n"/>
      <c r="N272" s="570" t="n"/>
    </row>
    <row r="273" ht="15.75" customHeight="1" s="341">
      <c r="A273" s="571" t="n">
        <v>264</v>
      </c>
      <c r="B273" s="572" t="n"/>
      <c r="C273" s="572" t="n"/>
      <c r="D273" s="572" t="n"/>
      <c r="E273" s="572" t="n"/>
      <c r="F273" s="572" t="n"/>
      <c r="G273" s="572" t="n"/>
      <c r="H273" s="572" t="n"/>
      <c r="I273" s="572" t="n"/>
      <c r="J273" s="572" t="n"/>
      <c r="K273" s="572" t="n"/>
      <c r="L273" s="572" t="n"/>
      <c r="M273" s="572" t="n"/>
      <c r="N273" s="572" t="n"/>
    </row>
    <row r="274" ht="15.75" customHeight="1" s="341">
      <c r="A274" s="569" t="n">
        <v>265</v>
      </c>
      <c r="B274" s="570" t="n"/>
      <c r="C274" s="570" t="n"/>
      <c r="D274" s="570" t="n"/>
      <c r="E274" s="570" t="n"/>
      <c r="F274" s="570" t="n"/>
      <c r="G274" s="570" t="n"/>
      <c r="H274" s="570" t="n"/>
      <c r="I274" s="570" t="n"/>
      <c r="J274" s="570" t="n"/>
      <c r="K274" s="570" t="n"/>
      <c r="L274" s="570" t="n"/>
      <c r="M274" s="570" t="n"/>
      <c r="N274" s="570" t="n"/>
    </row>
    <row r="275" ht="15.75" customHeight="1" s="341">
      <c r="A275" s="571" t="n">
        <v>266</v>
      </c>
      <c r="B275" s="572" t="n"/>
      <c r="C275" s="572" t="n"/>
      <c r="D275" s="572" t="n"/>
      <c r="E275" s="572" t="n"/>
      <c r="F275" s="572" t="n"/>
      <c r="G275" s="572" t="n"/>
      <c r="H275" s="572" t="n"/>
      <c r="I275" s="572" t="n"/>
      <c r="J275" s="572" t="n"/>
      <c r="K275" s="572" t="n"/>
      <c r="L275" s="572" t="n"/>
      <c r="M275" s="572" t="n"/>
      <c r="N275" s="572" t="n"/>
    </row>
    <row r="276" ht="15.75" customHeight="1" s="341">
      <c r="A276" s="569" t="n">
        <v>267</v>
      </c>
      <c r="B276" s="570" t="n"/>
      <c r="C276" s="570" t="n"/>
      <c r="D276" s="570" t="n"/>
      <c r="E276" s="570" t="n"/>
      <c r="F276" s="570" t="n"/>
      <c r="G276" s="570" t="n"/>
      <c r="H276" s="570" t="n"/>
      <c r="I276" s="570" t="n"/>
      <c r="J276" s="570" t="n"/>
      <c r="K276" s="570" t="n"/>
      <c r="L276" s="570" t="n"/>
      <c r="M276" s="570" t="n"/>
      <c r="N276" s="570" t="n"/>
    </row>
    <row r="277" ht="15.75" customHeight="1" s="341">
      <c r="A277" s="571" t="n">
        <v>268</v>
      </c>
      <c r="B277" s="572" t="n"/>
      <c r="C277" s="572" t="n"/>
      <c r="D277" s="572" t="n"/>
      <c r="E277" s="572" t="n"/>
      <c r="F277" s="572" t="n"/>
      <c r="G277" s="572" t="n"/>
      <c r="H277" s="572" t="n"/>
      <c r="I277" s="572" t="n"/>
      <c r="J277" s="572" t="n"/>
      <c r="K277" s="572" t="n"/>
      <c r="L277" s="572" t="n"/>
      <c r="M277" s="572" t="n"/>
      <c r="N277" s="572" t="n"/>
    </row>
    <row r="278" ht="15.75" customHeight="1" s="341">
      <c r="A278" s="569" t="n">
        <v>269</v>
      </c>
      <c r="B278" s="570" t="n"/>
      <c r="C278" s="570" t="n"/>
      <c r="D278" s="570" t="n"/>
      <c r="E278" s="570" t="n"/>
      <c r="F278" s="570" t="n"/>
      <c r="G278" s="570" t="n"/>
      <c r="H278" s="570" t="n"/>
      <c r="I278" s="570" t="n"/>
      <c r="J278" s="570" t="n"/>
      <c r="K278" s="570" t="n"/>
      <c r="L278" s="570" t="n"/>
      <c r="M278" s="570" t="n"/>
      <c r="N278" s="570" t="n"/>
    </row>
    <row r="279" ht="15.75" customHeight="1" s="341">
      <c r="A279" s="571" t="n">
        <v>270</v>
      </c>
      <c r="B279" s="572" t="n"/>
      <c r="C279" s="572" t="n"/>
      <c r="D279" s="572" t="n"/>
      <c r="E279" s="572" t="n"/>
      <c r="F279" s="572" t="n"/>
      <c r="G279" s="572" t="n"/>
      <c r="H279" s="572" t="n"/>
      <c r="I279" s="572" t="n"/>
      <c r="J279" s="572" t="n"/>
      <c r="K279" s="572" t="n"/>
      <c r="L279" s="572" t="n"/>
      <c r="M279" s="572" t="n"/>
      <c r="N279" s="572" t="n"/>
    </row>
    <row r="280" ht="15.75" customHeight="1" s="341">
      <c r="A280" s="569" t="n">
        <v>271</v>
      </c>
      <c r="B280" s="570" t="n"/>
      <c r="C280" s="570" t="n"/>
      <c r="D280" s="570" t="n"/>
      <c r="E280" s="570" t="n"/>
      <c r="F280" s="570" t="n"/>
      <c r="G280" s="570" t="n"/>
      <c r="H280" s="570" t="n"/>
      <c r="I280" s="570" t="n"/>
      <c r="J280" s="570" t="n"/>
      <c r="K280" s="570" t="n"/>
      <c r="L280" s="570" t="n"/>
      <c r="M280" s="570" t="n"/>
      <c r="N280" s="570" t="n"/>
    </row>
    <row r="281" ht="15.75" customHeight="1" s="341">
      <c r="A281" s="571" t="n">
        <v>272</v>
      </c>
      <c r="B281" s="572" t="n"/>
      <c r="C281" s="572" t="n"/>
      <c r="D281" s="572" t="n"/>
      <c r="E281" s="572" t="n"/>
      <c r="F281" s="572" t="n"/>
      <c r="G281" s="572" t="n"/>
      <c r="H281" s="572" t="n"/>
      <c r="I281" s="572" t="n"/>
      <c r="J281" s="572" t="n"/>
      <c r="K281" s="572" t="n"/>
      <c r="L281" s="572" t="n"/>
      <c r="M281" s="572" t="n"/>
      <c r="N281" s="572" t="n"/>
    </row>
    <row r="282" ht="15.75" customHeight="1" s="341">
      <c r="A282" s="569" t="n">
        <v>273</v>
      </c>
      <c r="B282" s="570" t="n"/>
      <c r="C282" s="570" t="n"/>
      <c r="D282" s="570" t="n"/>
      <c r="E282" s="570" t="n"/>
      <c r="F282" s="570" t="n"/>
      <c r="G282" s="570" t="n"/>
      <c r="H282" s="570" t="n"/>
      <c r="I282" s="570" t="n"/>
      <c r="J282" s="570" t="n"/>
      <c r="K282" s="570" t="n"/>
      <c r="L282" s="570" t="n"/>
      <c r="M282" s="570" t="n"/>
      <c r="N282" s="570" t="n"/>
    </row>
    <row r="283" ht="15.75" customHeight="1" s="341">
      <c r="A283" s="571" t="n">
        <v>274</v>
      </c>
      <c r="B283" s="572" t="n"/>
      <c r="C283" s="572" t="n"/>
      <c r="D283" s="572" t="n"/>
      <c r="E283" s="572" t="n"/>
      <c r="F283" s="572" t="n"/>
      <c r="G283" s="572" t="n"/>
      <c r="H283" s="572" t="n"/>
      <c r="I283" s="572" t="n"/>
      <c r="J283" s="572" t="n"/>
      <c r="K283" s="572" t="n"/>
      <c r="L283" s="572" t="n"/>
      <c r="M283" s="572" t="n"/>
      <c r="N283" s="572" t="n"/>
    </row>
    <row r="284" ht="15.75" customHeight="1" s="341">
      <c r="A284" s="569" t="n">
        <v>275</v>
      </c>
      <c r="B284" s="570" t="n"/>
      <c r="C284" s="570" t="n"/>
      <c r="D284" s="570" t="n"/>
      <c r="E284" s="570" t="n"/>
      <c r="F284" s="570" t="n"/>
      <c r="G284" s="570" t="n"/>
      <c r="H284" s="570" t="n"/>
      <c r="I284" s="570" t="n"/>
      <c r="J284" s="570" t="n"/>
      <c r="K284" s="570" t="n"/>
      <c r="L284" s="570" t="n"/>
      <c r="M284" s="570" t="n"/>
      <c r="N284" s="570" t="n"/>
    </row>
    <row r="285" ht="15.75" customHeight="1" s="341">
      <c r="A285" s="571" t="n">
        <v>276</v>
      </c>
      <c r="B285" s="572" t="n"/>
      <c r="C285" s="572" t="n"/>
      <c r="D285" s="572" t="n"/>
      <c r="E285" s="572" t="n"/>
      <c r="F285" s="572" t="n"/>
      <c r="G285" s="572" t="n"/>
      <c r="H285" s="572" t="n"/>
      <c r="I285" s="572" t="n"/>
      <c r="J285" s="572" t="n"/>
      <c r="K285" s="572" t="n"/>
      <c r="L285" s="572" t="n"/>
      <c r="M285" s="572" t="n"/>
      <c r="N285" s="572" t="n"/>
    </row>
    <row r="286" ht="15.75" customHeight="1" s="341">
      <c r="A286" s="569" t="n">
        <v>277</v>
      </c>
      <c r="B286" s="570" t="n"/>
      <c r="C286" s="570" t="n"/>
      <c r="D286" s="570" t="n"/>
      <c r="E286" s="570" t="n"/>
      <c r="F286" s="570" t="n"/>
      <c r="G286" s="570" t="n"/>
      <c r="H286" s="570" t="n"/>
      <c r="I286" s="570" t="n"/>
      <c r="J286" s="570" t="n"/>
      <c r="K286" s="570" t="n"/>
      <c r="L286" s="570" t="n"/>
      <c r="M286" s="570" t="n"/>
      <c r="N286" s="570" t="n"/>
    </row>
    <row r="287" ht="15.75" customHeight="1" s="341">
      <c r="A287" s="571" t="n">
        <v>278</v>
      </c>
      <c r="B287" s="572" t="n"/>
      <c r="C287" s="572" t="n"/>
      <c r="D287" s="572" t="n"/>
      <c r="E287" s="572" t="n"/>
      <c r="F287" s="572" t="n"/>
      <c r="G287" s="572" t="n"/>
      <c r="H287" s="572" t="n"/>
      <c r="I287" s="572" t="n"/>
      <c r="J287" s="572" t="n"/>
      <c r="K287" s="572" t="n"/>
      <c r="L287" s="572" t="n"/>
      <c r="M287" s="572" t="n"/>
      <c r="N287" s="572" t="n"/>
    </row>
    <row r="288" ht="15.75" customHeight="1" s="341">
      <c r="A288" s="569" t="n">
        <v>279</v>
      </c>
      <c r="B288" s="570" t="n"/>
      <c r="C288" s="570" t="n"/>
      <c r="D288" s="570" t="n"/>
      <c r="E288" s="570" t="n"/>
      <c r="F288" s="570" t="n"/>
      <c r="G288" s="570" t="n"/>
      <c r="H288" s="570" t="n"/>
      <c r="I288" s="570" t="n"/>
      <c r="J288" s="570" t="n"/>
      <c r="K288" s="570" t="n"/>
      <c r="L288" s="570" t="n"/>
      <c r="M288" s="570" t="n"/>
      <c r="N288" s="570" t="n"/>
    </row>
    <row r="289" ht="15.75" customHeight="1" s="341">
      <c r="A289" s="571" t="n">
        <v>280</v>
      </c>
      <c r="B289" s="572" t="n"/>
      <c r="C289" s="572" t="n"/>
      <c r="D289" s="572" t="n"/>
      <c r="E289" s="572" t="n"/>
      <c r="F289" s="572" t="n"/>
      <c r="G289" s="572" t="n"/>
      <c r="H289" s="572" t="n"/>
      <c r="I289" s="572" t="n"/>
      <c r="J289" s="572" t="n"/>
      <c r="K289" s="572" t="n"/>
      <c r="L289" s="572" t="n"/>
      <c r="M289" s="572" t="n"/>
      <c r="N289" s="572" t="n"/>
    </row>
    <row r="290" ht="15.75" customHeight="1" s="341">
      <c r="A290" s="569" t="n">
        <v>281</v>
      </c>
      <c r="B290" s="570" t="n"/>
      <c r="C290" s="570" t="n"/>
      <c r="D290" s="570" t="n"/>
      <c r="E290" s="570" t="n"/>
      <c r="F290" s="570" t="n"/>
      <c r="G290" s="570" t="n"/>
      <c r="H290" s="570" t="n"/>
      <c r="I290" s="570" t="n"/>
      <c r="J290" s="570" t="n"/>
      <c r="K290" s="570" t="n"/>
      <c r="L290" s="570" t="n"/>
      <c r="M290" s="570" t="n"/>
      <c r="N290" s="570" t="n"/>
    </row>
    <row r="291" ht="15.75" customHeight="1" s="341">
      <c r="A291" s="571" t="n">
        <v>282</v>
      </c>
      <c r="B291" s="572" t="n"/>
      <c r="C291" s="572" t="n"/>
      <c r="D291" s="572" t="n"/>
      <c r="E291" s="572" t="n"/>
      <c r="F291" s="572" t="n"/>
      <c r="G291" s="572" t="n"/>
      <c r="H291" s="572" t="n"/>
      <c r="I291" s="572" t="n"/>
      <c r="J291" s="572" t="n"/>
      <c r="K291" s="572" t="n"/>
      <c r="L291" s="572" t="n"/>
      <c r="M291" s="572" t="n"/>
      <c r="N291" s="572" t="n"/>
    </row>
    <row r="292" ht="15.75" customHeight="1" s="341">
      <c r="A292" s="569" t="n">
        <v>283</v>
      </c>
      <c r="B292" s="570" t="n"/>
      <c r="C292" s="570" t="n"/>
      <c r="D292" s="570" t="n"/>
      <c r="E292" s="570" t="n"/>
      <c r="F292" s="570" t="n"/>
      <c r="G292" s="570" t="n"/>
      <c r="H292" s="570" t="n"/>
      <c r="I292" s="570" t="n"/>
      <c r="J292" s="570" t="n"/>
      <c r="K292" s="570" t="n"/>
      <c r="L292" s="570" t="n"/>
      <c r="M292" s="570" t="n"/>
      <c r="N292" s="570" t="n"/>
    </row>
    <row r="293" ht="15.75" customHeight="1" s="341">
      <c r="A293" s="571" t="n">
        <v>284</v>
      </c>
      <c r="B293" s="572" t="n"/>
      <c r="C293" s="572" t="n"/>
      <c r="D293" s="572" t="n"/>
      <c r="E293" s="572" t="n"/>
      <c r="F293" s="572" t="n"/>
      <c r="G293" s="572" t="n"/>
      <c r="H293" s="572" t="n"/>
      <c r="I293" s="572" t="n"/>
      <c r="J293" s="572" t="n"/>
      <c r="K293" s="572" t="n"/>
      <c r="L293" s="572" t="n"/>
      <c r="M293" s="572" t="n"/>
      <c r="N293" s="572" t="n"/>
    </row>
    <row r="294" ht="15.75" customHeight="1" s="341">
      <c r="A294" s="569" t="n">
        <v>285</v>
      </c>
      <c r="B294" s="570" t="n"/>
      <c r="C294" s="570" t="n"/>
      <c r="D294" s="570" t="n"/>
      <c r="E294" s="570" t="n"/>
      <c r="F294" s="570" t="n"/>
      <c r="G294" s="570" t="n"/>
      <c r="H294" s="570" t="n"/>
      <c r="I294" s="570" t="n"/>
      <c r="J294" s="570" t="n"/>
      <c r="K294" s="570" t="n"/>
      <c r="L294" s="570" t="n"/>
      <c r="M294" s="570" t="n"/>
      <c r="N294" s="570" t="n"/>
    </row>
    <row r="295" ht="15.75" customHeight="1" s="341">
      <c r="A295" s="571" t="n">
        <v>286</v>
      </c>
      <c r="B295" s="572" t="n"/>
      <c r="C295" s="572" t="n"/>
      <c r="D295" s="572" t="n"/>
      <c r="E295" s="572" t="n"/>
      <c r="F295" s="572" t="n"/>
      <c r="G295" s="572" t="n"/>
      <c r="H295" s="572" t="n"/>
      <c r="I295" s="572" t="n"/>
      <c r="J295" s="572" t="n"/>
      <c r="K295" s="572" t="n"/>
      <c r="L295" s="572" t="n"/>
      <c r="M295" s="572" t="n"/>
      <c r="N295" s="572" t="n"/>
    </row>
    <row r="296" ht="15.75" customHeight="1" s="341">
      <c r="A296" s="569" t="n">
        <v>287</v>
      </c>
      <c r="B296" s="570" t="n"/>
      <c r="C296" s="570" t="n"/>
      <c r="D296" s="570" t="n"/>
      <c r="E296" s="570" t="n"/>
      <c r="F296" s="570" t="n"/>
      <c r="G296" s="570" t="n"/>
      <c r="H296" s="570" t="n"/>
      <c r="I296" s="570" t="n"/>
      <c r="J296" s="570" t="n"/>
      <c r="K296" s="570" t="n"/>
      <c r="L296" s="570" t="n"/>
      <c r="M296" s="570" t="n"/>
      <c r="N296" s="570" t="n"/>
    </row>
    <row r="297" ht="15.75" customHeight="1" s="341">
      <c r="A297" s="571" t="n">
        <v>288</v>
      </c>
      <c r="B297" s="572" t="n"/>
      <c r="C297" s="572" t="n"/>
      <c r="D297" s="572" t="n"/>
      <c r="E297" s="572" t="n"/>
      <c r="F297" s="572" t="n"/>
      <c r="G297" s="572" t="n"/>
      <c r="H297" s="572" t="n"/>
      <c r="I297" s="572" t="n"/>
      <c r="J297" s="572" t="n"/>
      <c r="K297" s="572" t="n"/>
      <c r="L297" s="572" t="n"/>
      <c r="M297" s="572" t="n"/>
      <c r="N297" s="572" t="n"/>
    </row>
    <row r="298" ht="15.75" customHeight="1" s="341">
      <c r="A298" s="569" t="n">
        <v>289</v>
      </c>
      <c r="B298" s="570" t="n"/>
      <c r="C298" s="570" t="n"/>
      <c r="D298" s="570" t="n"/>
      <c r="E298" s="570" t="n"/>
      <c r="F298" s="570" t="n"/>
      <c r="G298" s="570" t="n"/>
      <c r="H298" s="570" t="n"/>
      <c r="I298" s="570" t="n"/>
      <c r="J298" s="570" t="n"/>
      <c r="K298" s="570" t="n"/>
      <c r="L298" s="570" t="n"/>
      <c r="M298" s="570" t="n"/>
      <c r="N298" s="570" t="n"/>
    </row>
    <row r="299" ht="15.75" customHeight="1" s="341">
      <c r="A299" s="571" t="n">
        <v>290</v>
      </c>
      <c r="B299" s="572" t="n"/>
      <c r="C299" s="572" t="n"/>
      <c r="D299" s="572" t="n"/>
      <c r="E299" s="572" t="n"/>
      <c r="F299" s="572" t="n"/>
      <c r="G299" s="572" t="n"/>
      <c r="H299" s="572" t="n"/>
      <c r="I299" s="572" t="n"/>
      <c r="J299" s="572" t="n"/>
      <c r="K299" s="572" t="n"/>
      <c r="L299" s="572" t="n"/>
      <c r="M299" s="572" t="n"/>
      <c r="N299" s="572" t="n"/>
    </row>
    <row r="300" ht="15.75" customHeight="1" s="341">
      <c r="A300" s="569" t="n">
        <v>291</v>
      </c>
      <c r="B300" s="570" t="n"/>
      <c r="C300" s="570" t="n"/>
      <c r="D300" s="570" t="n"/>
      <c r="E300" s="570" t="n"/>
      <c r="F300" s="570" t="n"/>
      <c r="G300" s="570" t="n"/>
      <c r="H300" s="570" t="n"/>
      <c r="I300" s="570" t="n"/>
      <c r="J300" s="570" t="n"/>
      <c r="K300" s="570" t="n"/>
      <c r="L300" s="570" t="n"/>
      <c r="M300" s="570" t="n"/>
      <c r="N300" s="570" t="n"/>
    </row>
    <row r="301" ht="15.75" customHeight="1" s="341">
      <c r="A301" s="571" t="n">
        <v>292</v>
      </c>
      <c r="B301" s="572" t="n"/>
      <c r="C301" s="572" t="n"/>
      <c r="D301" s="572" t="n"/>
      <c r="E301" s="572" t="n"/>
      <c r="F301" s="572" t="n"/>
      <c r="G301" s="572" t="n"/>
      <c r="H301" s="572" t="n"/>
      <c r="I301" s="572" t="n"/>
      <c r="J301" s="572" t="n"/>
      <c r="K301" s="572" t="n"/>
      <c r="L301" s="572" t="n"/>
      <c r="M301" s="572" t="n"/>
      <c r="N301" s="572" t="n"/>
    </row>
    <row r="302" ht="15.75" customHeight="1" s="341">
      <c r="A302" s="569" t="n">
        <v>293</v>
      </c>
      <c r="B302" s="570" t="n"/>
      <c r="C302" s="570" t="n"/>
      <c r="D302" s="570" t="n"/>
      <c r="E302" s="570" t="n"/>
      <c r="F302" s="570" t="n"/>
      <c r="G302" s="570" t="n"/>
      <c r="H302" s="570" t="n"/>
      <c r="I302" s="570" t="n"/>
      <c r="J302" s="570" t="n"/>
      <c r="K302" s="570" t="n"/>
      <c r="L302" s="570" t="n"/>
      <c r="M302" s="570" t="n"/>
      <c r="N302" s="570" t="n"/>
    </row>
    <row r="303" ht="15.75" customHeight="1" s="341">
      <c r="A303" s="571" t="n">
        <v>294</v>
      </c>
      <c r="B303" s="572" t="n"/>
      <c r="C303" s="572" t="n"/>
      <c r="D303" s="572" t="n"/>
      <c r="E303" s="572" t="n"/>
      <c r="F303" s="572" t="n"/>
      <c r="G303" s="572" t="n"/>
      <c r="H303" s="572" t="n"/>
      <c r="I303" s="572" t="n"/>
      <c r="J303" s="572" t="n"/>
      <c r="K303" s="572" t="n"/>
      <c r="L303" s="572" t="n"/>
      <c r="M303" s="572" t="n"/>
      <c r="N303" s="572" t="n"/>
    </row>
    <row r="304" ht="15.75" customHeight="1" s="341">
      <c r="A304" s="569" t="n">
        <v>295</v>
      </c>
      <c r="B304" s="570" t="n"/>
      <c r="C304" s="570" t="n"/>
      <c r="D304" s="570" t="n"/>
      <c r="E304" s="570" t="n"/>
      <c r="F304" s="570" t="n"/>
      <c r="G304" s="570" t="n"/>
      <c r="H304" s="570" t="n"/>
      <c r="I304" s="570" t="n"/>
      <c r="J304" s="570" t="n"/>
      <c r="K304" s="570" t="n"/>
      <c r="L304" s="570" t="n"/>
      <c r="M304" s="570" t="n"/>
      <c r="N304" s="570" t="n"/>
    </row>
    <row r="305" ht="15.75" customHeight="1" s="341">
      <c r="A305" s="571" t="n">
        <v>296</v>
      </c>
      <c r="B305" s="572" t="n"/>
      <c r="C305" s="572" t="n"/>
      <c r="D305" s="572" t="n"/>
      <c r="E305" s="572" t="n"/>
      <c r="F305" s="572" t="n"/>
      <c r="G305" s="572" t="n"/>
      <c r="H305" s="572" t="n"/>
      <c r="I305" s="572" t="n"/>
      <c r="J305" s="572" t="n"/>
      <c r="K305" s="572" t="n"/>
      <c r="L305" s="572" t="n"/>
      <c r="M305" s="572" t="n"/>
      <c r="N305" s="572" t="n"/>
    </row>
    <row r="306" ht="15.75" customHeight="1" s="341">
      <c r="A306" s="569" t="n">
        <v>297</v>
      </c>
      <c r="B306" s="570" t="n"/>
      <c r="C306" s="570" t="n"/>
      <c r="D306" s="570" t="n"/>
      <c r="E306" s="570" t="n"/>
      <c r="F306" s="570" t="n"/>
      <c r="G306" s="570" t="n"/>
      <c r="H306" s="570" t="n"/>
      <c r="I306" s="570" t="n"/>
      <c r="J306" s="570" t="n"/>
      <c r="K306" s="570" t="n"/>
      <c r="L306" s="570" t="n"/>
      <c r="M306" s="570" t="n"/>
      <c r="N306" s="570" t="n"/>
    </row>
    <row r="307" ht="15.75" customHeight="1" s="341">
      <c r="A307" s="571" t="n">
        <v>298</v>
      </c>
      <c r="B307" s="572" t="n"/>
      <c r="C307" s="572" t="n"/>
      <c r="D307" s="572" t="n"/>
      <c r="E307" s="572" t="n"/>
      <c r="F307" s="572" t="n"/>
      <c r="G307" s="572" t="n"/>
      <c r="H307" s="572" t="n"/>
      <c r="I307" s="572" t="n"/>
      <c r="J307" s="572" t="n"/>
      <c r="K307" s="572" t="n"/>
      <c r="L307" s="572" t="n"/>
      <c r="M307" s="572" t="n"/>
      <c r="N307" s="572" t="n"/>
    </row>
    <row r="308" ht="15.75" customHeight="1" s="341">
      <c r="A308" s="569" t="n">
        <v>299</v>
      </c>
      <c r="B308" s="570" t="n"/>
      <c r="C308" s="570" t="n"/>
      <c r="D308" s="570" t="n"/>
      <c r="E308" s="570" t="n"/>
      <c r="F308" s="570" t="n"/>
      <c r="G308" s="570" t="n"/>
      <c r="H308" s="570" t="n"/>
      <c r="I308" s="570" t="n"/>
      <c r="J308" s="570" t="n"/>
      <c r="K308" s="570" t="n"/>
      <c r="L308" s="570" t="n"/>
      <c r="M308" s="570" t="n"/>
      <c r="N308" s="570" t="n"/>
    </row>
    <row r="309" ht="15.75" customHeight="1" s="341">
      <c r="A309" s="571" t="n">
        <v>300</v>
      </c>
      <c r="B309" s="572" t="n"/>
      <c r="C309" s="572" t="n"/>
      <c r="D309" s="572" t="n"/>
      <c r="E309" s="572" t="n"/>
      <c r="F309" s="572" t="n"/>
      <c r="G309" s="572" t="n"/>
      <c r="H309" s="572" t="n"/>
      <c r="I309" s="572" t="n"/>
      <c r="J309" s="572" t="n"/>
      <c r="K309" s="572" t="n"/>
      <c r="L309" s="572" t="n"/>
      <c r="M309" s="572" t="n"/>
      <c r="N309" s="572" t="n"/>
    </row>
    <row r="310" ht="15.75" customHeight="1" s="341">
      <c r="A310" s="569" t="n">
        <v>301</v>
      </c>
      <c r="B310" s="570" t="n"/>
      <c r="C310" s="570" t="n"/>
      <c r="D310" s="570" t="n"/>
      <c r="E310" s="570" t="n"/>
      <c r="F310" s="570" t="n"/>
      <c r="G310" s="570" t="n"/>
      <c r="H310" s="570" t="n"/>
      <c r="I310" s="570" t="n"/>
      <c r="J310" s="570" t="n"/>
      <c r="K310" s="570" t="n"/>
      <c r="L310" s="570" t="n"/>
      <c r="M310" s="570" t="n"/>
      <c r="N310" s="570" t="n"/>
    </row>
    <row r="311" ht="15.75" customHeight="1" s="341">
      <c r="A311" s="571" t="n">
        <v>302</v>
      </c>
      <c r="B311" s="572" t="n"/>
      <c r="C311" s="572" t="n"/>
      <c r="D311" s="572" t="n"/>
      <c r="E311" s="572" t="n"/>
      <c r="F311" s="572" t="n"/>
      <c r="G311" s="572" t="n"/>
      <c r="H311" s="572" t="n"/>
      <c r="I311" s="572" t="n"/>
      <c r="J311" s="572" t="n"/>
      <c r="K311" s="572" t="n"/>
      <c r="L311" s="572" t="n"/>
      <c r="M311" s="572" t="n"/>
      <c r="N311" s="572" t="n"/>
    </row>
    <row r="312" ht="15.75" customHeight="1" s="341">
      <c r="A312" s="569" t="n">
        <v>303</v>
      </c>
      <c r="B312" s="570" t="n"/>
      <c r="C312" s="570" t="n"/>
      <c r="D312" s="570" t="n"/>
      <c r="E312" s="570" t="n"/>
      <c r="F312" s="570" t="n"/>
      <c r="G312" s="570" t="n"/>
      <c r="H312" s="570" t="n"/>
      <c r="I312" s="570" t="n"/>
      <c r="J312" s="570" t="n"/>
      <c r="K312" s="570" t="n"/>
      <c r="L312" s="570" t="n"/>
      <c r="M312" s="570" t="n"/>
      <c r="N312" s="570" t="n"/>
    </row>
    <row r="313" ht="15.75" customHeight="1" s="341">
      <c r="A313" s="571" t="n">
        <v>304</v>
      </c>
      <c r="B313" s="572" t="n"/>
      <c r="C313" s="572" t="n"/>
      <c r="D313" s="572" t="n"/>
      <c r="E313" s="572" t="n"/>
      <c r="F313" s="572" t="n"/>
      <c r="G313" s="572" t="n"/>
      <c r="H313" s="572" t="n"/>
      <c r="I313" s="572" t="n"/>
      <c r="J313" s="572" t="n"/>
      <c r="K313" s="572" t="n"/>
      <c r="L313" s="572" t="n"/>
      <c r="M313" s="572" t="n"/>
      <c r="N313" s="572" t="n"/>
    </row>
    <row r="314" ht="15.75" customHeight="1" s="341">
      <c r="A314" s="569" t="n">
        <v>305</v>
      </c>
      <c r="B314" s="570" t="n"/>
      <c r="C314" s="570" t="n"/>
      <c r="D314" s="570" t="n"/>
      <c r="E314" s="570" t="n"/>
      <c r="F314" s="570" t="n"/>
      <c r="G314" s="570" t="n"/>
      <c r="H314" s="570" t="n"/>
      <c r="I314" s="570" t="n"/>
      <c r="J314" s="570" t="n"/>
      <c r="K314" s="570" t="n"/>
      <c r="L314" s="570" t="n"/>
      <c r="M314" s="570" t="n"/>
      <c r="N314" s="570" t="n"/>
    </row>
    <row r="315" ht="15.75" customHeight="1" s="341">
      <c r="A315" s="571" t="n">
        <v>306</v>
      </c>
      <c r="B315" s="572" t="n"/>
      <c r="C315" s="572" t="n"/>
      <c r="D315" s="572" t="n"/>
      <c r="E315" s="572" t="n"/>
      <c r="F315" s="572" t="n"/>
      <c r="G315" s="572" t="n"/>
      <c r="H315" s="572" t="n"/>
      <c r="I315" s="572" t="n"/>
      <c r="J315" s="572" t="n"/>
      <c r="K315" s="572" t="n"/>
      <c r="L315" s="572" t="n"/>
      <c r="M315" s="572" t="n"/>
      <c r="N315" s="572" t="n"/>
    </row>
    <row r="316" ht="15.75" customHeight="1" s="341">
      <c r="A316" s="569" t="n">
        <v>307</v>
      </c>
      <c r="B316" s="570" t="n"/>
      <c r="C316" s="570" t="n"/>
      <c r="D316" s="570" t="n"/>
      <c r="E316" s="570" t="n"/>
      <c r="F316" s="570" t="n"/>
      <c r="G316" s="570" t="n"/>
      <c r="H316" s="570" t="n"/>
      <c r="I316" s="570" t="n"/>
      <c r="J316" s="570" t="n"/>
      <c r="K316" s="570" t="n"/>
      <c r="L316" s="570" t="n"/>
      <c r="M316" s="570" t="n"/>
      <c r="N316" s="570" t="n"/>
    </row>
    <row r="317" ht="15.75" customHeight="1" s="341">
      <c r="A317" s="571" t="n">
        <v>308</v>
      </c>
      <c r="B317" s="572" t="n"/>
      <c r="C317" s="572" t="n"/>
      <c r="D317" s="572" t="n"/>
      <c r="E317" s="572" t="n"/>
      <c r="F317" s="572" t="n"/>
      <c r="G317" s="572" t="n"/>
      <c r="H317" s="572" t="n"/>
      <c r="I317" s="572" t="n"/>
      <c r="J317" s="572" t="n"/>
      <c r="K317" s="572" t="n"/>
      <c r="L317" s="572" t="n"/>
      <c r="M317" s="572" t="n"/>
      <c r="N317" s="572" t="n"/>
    </row>
    <row r="318" ht="15.75" customHeight="1" s="341">
      <c r="A318" s="569" t="n">
        <v>309</v>
      </c>
      <c r="B318" s="570" t="n"/>
      <c r="C318" s="570" t="n"/>
      <c r="D318" s="570" t="n"/>
      <c r="E318" s="570" t="n"/>
      <c r="F318" s="570" t="n"/>
      <c r="G318" s="570" t="n"/>
      <c r="H318" s="570" t="n"/>
      <c r="I318" s="570" t="n"/>
      <c r="J318" s="570" t="n"/>
      <c r="K318" s="570" t="n"/>
      <c r="L318" s="570" t="n"/>
      <c r="M318" s="570" t="n"/>
      <c r="N318" s="570" t="n"/>
    </row>
    <row r="319" ht="15.75" customHeight="1" s="341">
      <c r="A319" s="571" t="n">
        <v>310</v>
      </c>
      <c r="B319" s="572" t="n"/>
      <c r="C319" s="572" t="n"/>
      <c r="D319" s="572" t="n"/>
      <c r="E319" s="572" t="n"/>
      <c r="F319" s="572" t="n"/>
      <c r="G319" s="572" t="n"/>
      <c r="H319" s="572" t="n"/>
      <c r="I319" s="572" t="n"/>
      <c r="J319" s="572" t="n"/>
      <c r="K319" s="572" t="n"/>
      <c r="L319" s="572" t="n"/>
      <c r="M319" s="572" t="n"/>
      <c r="N319" s="572" t="n"/>
    </row>
    <row r="320" ht="15.75" customHeight="1" s="341">
      <c r="A320" s="569" t="n">
        <v>311</v>
      </c>
      <c r="B320" s="570" t="n"/>
      <c r="C320" s="570" t="n"/>
      <c r="D320" s="570" t="n"/>
      <c r="E320" s="570" t="n"/>
      <c r="F320" s="570" t="n"/>
      <c r="G320" s="570" t="n"/>
      <c r="H320" s="570" t="n"/>
      <c r="I320" s="570" t="n"/>
      <c r="J320" s="570" t="n"/>
      <c r="K320" s="570" t="n"/>
      <c r="L320" s="570" t="n"/>
      <c r="M320" s="570" t="n"/>
      <c r="N320" s="570" t="n"/>
    </row>
    <row r="321" ht="15.75" customHeight="1" s="341">
      <c r="A321" s="571" t="n">
        <v>312</v>
      </c>
      <c r="B321" s="572" t="n"/>
      <c r="C321" s="572" t="n"/>
      <c r="D321" s="572" t="n"/>
      <c r="E321" s="572" t="n"/>
      <c r="F321" s="572" t="n"/>
      <c r="G321" s="572" t="n"/>
      <c r="H321" s="572" t="n"/>
      <c r="I321" s="572" t="n"/>
      <c r="J321" s="572" t="n"/>
      <c r="K321" s="572" t="n"/>
      <c r="L321" s="572" t="n"/>
      <c r="M321" s="572" t="n"/>
      <c r="N321" s="572" t="n"/>
    </row>
    <row r="322" ht="15.75" customHeight="1" s="341">
      <c r="A322" s="569" t="n">
        <v>313</v>
      </c>
      <c r="B322" s="570" t="n"/>
      <c r="C322" s="570" t="n"/>
      <c r="D322" s="570" t="n"/>
      <c r="E322" s="570" t="n"/>
      <c r="F322" s="570" t="n"/>
      <c r="G322" s="570" t="n"/>
      <c r="H322" s="570" t="n"/>
      <c r="I322" s="570" t="n"/>
      <c r="J322" s="570" t="n"/>
      <c r="K322" s="570" t="n"/>
      <c r="L322" s="570" t="n"/>
      <c r="M322" s="570" t="n"/>
      <c r="N322" s="570" t="n"/>
    </row>
    <row r="323" ht="15.75" customHeight="1" s="341">
      <c r="A323" s="571" t="n">
        <v>314</v>
      </c>
      <c r="B323" s="572" t="n"/>
      <c r="C323" s="572" t="n"/>
      <c r="D323" s="572" t="n"/>
      <c r="E323" s="572" t="n"/>
      <c r="F323" s="572" t="n"/>
      <c r="G323" s="572" t="n"/>
      <c r="H323" s="572" t="n"/>
      <c r="I323" s="572" t="n"/>
      <c r="J323" s="572" t="n"/>
      <c r="K323" s="572" t="n"/>
      <c r="L323" s="572" t="n"/>
      <c r="M323" s="572" t="n"/>
      <c r="N323" s="572" t="n"/>
    </row>
    <row r="324" ht="15.75" customHeight="1" s="341">
      <c r="A324" s="569" t="n">
        <v>315</v>
      </c>
      <c r="B324" s="570" t="n"/>
      <c r="C324" s="570" t="n"/>
      <c r="D324" s="570" t="n"/>
      <c r="E324" s="570" t="n"/>
      <c r="F324" s="570" t="n"/>
      <c r="G324" s="570" t="n"/>
      <c r="H324" s="570" t="n"/>
      <c r="I324" s="570" t="n"/>
      <c r="J324" s="570" t="n"/>
      <c r="K324" s="570" t="n"/>
      <c r="L324" s="570" t="n"/>
      <c r="M324" s="570" t="n"/>
      <c r="N324" s="570" t="n"/>
    </row>
    <row r="325" ht="15.75" customHeight="1" s="341">
      <c r="A325" s="571" t="n">
        <v>316</v>
      </c>
      <c r="B325" s="572" t="n"/>
      <c r="C325" s="572" t="n"/>
      <c r="D325" s="572" t="n"/>
      <c r="E325" s="572" t="n"/>
      <c r="F325" s="572" t="n"/>
      <c r="G325" s="572" t="n"/>
      <c r="H325" s="572" t="n"/>
      <c r="I325" s="572" t="n"/>
      <c r="J325" s="572" t="n"/>
      <c r="K325" s="572" t="n"/>
      <c r="L325" s="572" t="n"/>
      <c r="M325" s="572" t="n"/>
      <c r="N325" s="572" t="n"/>
    </row>
    <row r="326" ht="15.75" customHeight="1" s="341">
      <c r="A326" s="569" t="n">
        <v>317</v>
      </c>
      <c r="B326" s="570" t="n"/>
      <c r="C326" s="570" t="n"/>
      <c r="D326" s="570" t="n"/>
      <c r="E326" s="570" t="n"/>
      <c r="F326" s="570" t="n"/>
      <c r="G326" s="570" t="n"/>
      <c r="H326" s="570" t="n"/>
      <c r="I326" s="570" t="n"/>
      <c r="J326" s="570" t="n"/>
      <c r="K326" s="570" t="n"/>
      <c r="L326" s="570" t="n"/>
      <c r="M326" s="570" t="n"/>
      <c r="N326" s="570" t="n"/>
    </row>
    <row r="327" ht="15.75" customHeight="1" s="341">
      <c r="A327" s="571" t="n">
        <v>318</v>
      </c>
      <c r="B327" s="572" t="n"/>
      <c r="C327" s="572" t="n"/>
      <c r="D327" s="572" t="n"/>
      <c r="E327" s="572" t="n"/>
      <c r="F327" s="572" t="n"/>
      <c r="G327" s="572" t="n"/>
      <c r="H327" s="572" t="n"/>
      <c r="I327" s="572" t="n"/>
      <c r="J327" s="572" t="n"/>
      <c r="K327" s="572" t="n"/>
      <c r="L327" s="572" t="n"/>
      <c r="M327" s="572" t="n"/>
      <c r="N327" s="572" t="n"/>
    </row>
    <row r="328" ht="15.75" customHeight="1" s="341">
      <c r="A328" s="569" t="n">
        <v>319</v>
      </c>
      <c r="B328" s="570" t="n"/>
      <c r="C328" s="570" t="n"/>
      <c r="D328" s="570" t="n"/>
      <c r="E328" s="570" t="n"/>
      <c r="F328" s="570" t="n"/>
      <c r="G328" s="570" t="n"/>
      <c r="H328" s="570" t="n"/>
      <c r="I328" s="570" t="n"/>
      <c r="J328" s="570" t="n"/>
      <c r="K328" s="570" t="n"/>
      <c r="L328" s="570" t="n"/>
      <c r="M328" s="570" t="n"/>
      <c r="N328" s="570" t="n"/>
    </row>
    <row r="329" ht="15.75" customHeight="1" s="341">
      <c r="A329" s="571" t="n">
        <v>320</v>
      </c>
      <c r="B329" s="572" t="n"/>
      <c r="C329" s="572" t="n"/>
      <c r="D329" s="572" t="n"/>
      <c r="E329" s="572" t="n"/>
      <c r="F329" s="572" t="n"/>
      <c r="G329" s="572" t="n"/>
      <c r="H329" s="572" t="n"/>
      <c r="I329" s="572" t="n"/>
      <c r="J329" s="572" t="n"/>
      <c r="K329" s="572" t="n"/>
      <c r="L329" s="572" t="n"/>
      <c r="M329" s="572" t="n"/>
      <c r="N329" s="572" t="n"/>
    </row>
    <row r="330" ht="15.75" customHeight="1" s="341">
      <c r="A330" s="569" t="n">
        <v>321</v>
      </c>
      <c r="B330" s="570" t="n"/>
      <c r="C330" s="570" t="n"/>
      <c r="D330" s="570" t="n"/>
      <c r="E330" s="570" t="n"/>
      <c r="F330" s="570" t="n"/>
      <c r="G330" s="570" t="n"/>
      <c r="H330" s="570" t="n"/>
      <c r="I330" s="570" t="n"/>
      <c r="J330" s="570" t="n"/>
      <c r="K330" s="570" t="n"/>
      <c r="L330" s="570" t="n"/>
      <c r="M330" s="570" t="n"/>
      <c r="N330" s="570" t="n"/>
    </row>
    <row r="331" ht="15.75" customHeight="1" s="341">
      <c r="A331" s="571" t="n">
        <v>322</v>
      </c>
      <c r="B331" s="572" t="n"/>
      <c r="C331" s="572" t="n"/>
      <c r="D331" s="572" t="n"/>
      <c r="E331" s="572" t="n"/>
      <c r="F331" s="572" t="n"/>
      <c r="G331" s="572" t="n"/>
      <c r="H331" s="572" t="n"/>
      <c r="I331" s="572" t="n"/>
      <c r="J331" s="572" t="n"/>
      <c r="K331" s="572" t="n"/>
      <c r="L331" s="572" t="n"/>
      <c r="M331" s="572" t="n"/>
      <c r="N331" s="572" t="n"/>
    </row>
    <row r="332" ht="15.75" customHeight="1" s="341">
      <c r="A332" s="569" t="n">
        <v>323</v>
      </c>
      <c r="B332" s="570" t="n"/>
      <c r="C332" s="570" t="n"/>
      <c r="D332" s="570" t="n"/>
      <c r="E332" s="570" t="n"/>
      <c r="F332" s="570" t="n"/>
      <c r="G332" s="570" t="n"/>
      <c r="H332" s="570" t="n"/>
      <c r="I332" s="570" t="n"/>
      <c r="J332" s="570" t="n"/>
      <c r="K332" s="570" t="n"/>
      <c r="L332" s="570" t="n"/>
      <c r="M332" s="570" t="n"/>
      <c r="N332" s="570" t="n"/>
    </row>
    <row r="333" ht="15.75" customHeight="1" s="341">
      <c r="A333" s="571" t="n">
        <v>324</v>
      </c>
      <c r="B333" s="572" t="n"/>
      <c r="C333" s="572" t="n"/>
      <c r="D333" s="572" t="n"/>
      <c r="E333" s="572" t="n"/>
      <c r="F333" s="572" t="n"/>
      <c r="G333" s="572" t="n"/>
      <c r="H333" s="572" t="n"/>
      <c r="I333" s="572" t="n"/>
      <c r="J333" s="572" t="n"/>
      <c r="K333" s="572" t="n"/>
      <c r="L333" s="572" t="n"/>
      <c r="M333" s="572" t="n"/>
      <c r="N333" s="572" t="n"/>
    </row>
    <row r="334" ht="15.75" customHeight="1" s="341">
      <c r="A334" s="569" t="n">
        <v>325</v>
      </c>
      <c r="B334" s="570" t="n"/>
      <c r="C334" s="570" t="n"/>
      <c r="D334" s="570" t="n"/>
      <c r="E334" s="570" t="n"/>
      <c r="F334" s="570" t="n"/>
      <c r="G334" s="570" t="n"/>
      <c r="H334" s="570" t="n"/>
      <c r="I334" s="570" t="n"/>
      <c r="J334" s="570" t="n"/>
      <c r="K334" s="570" t="n"/>
      <c r="L334" s="570" t="n"/>
      <c r="M334" s="570" t="n"/>
      <c r="N334" s="570" t="n"/>
    </row>
    <row r="335" ht="15.75" customHeight="1" s="341">
      <c r="A335" s="571" t="n">
        <v>326</v>
      </c>
      <c r="B335" s="572" t="n"/>
      <c r="C335" s="572" t="n"/>
      <c r="D335" s="572" t="n"/>
      <c r="E335" s="572" t="n"/>
      <c r="F335" s="572" t="n"/>
      <c r="G335" s="572" t="n"/>
      <c r="H335" s="572" t="n"/>
      <c r="I335" s="572" t="n"/>
      <c r="J335" s="572" t="n"/>
      <c r="K335" s="572" t="n"/>
      <c r="L335" s="572" t="n"/>
      <c r="M335" s="572" t="n"/>
      <c r="N335" s="572" t="n"/>
    </row>
    <row r="336" ht="15.75" customHeight="1" s="341">
      <c r="A336" s="569" t="n">
        <v>327</v>
      </c>
      <c r="B336" s="570" t="n"/>
      <c r="C336" s="570" t="n"/>
      <c r="D336" s="570" t="n"/>
      <c r="E336" s="570" t="n"/>
      <c r="F336" s="570" t="n"/>
      <c r="G336" s="570" t="n"/>
      <c r="H336" s="570" t="n"/>
      <c r="I336" s="570" t="n"/>
      <c r="J336" s="570" t="n"/>
      <c r="K336" s="570" t="n"/>
      <c r="L336" s="570" t="n"/>
      <c r="M336" s="570" t="n"/>
      <c r="N336" s="570" t="n"/>
    </row>
    <row r="337" ht="15.75" customHeight="1" s="341">
      <c r="A337" s="571" t="n">
        <v>328</v>
      </c>
      <c r="B337" s="572" t="n"/>
      <c r="C337" s="572" t="n"/>
      <c r="D337" s="572" t="n"/>
      <c r="E337" s="572" t="n"/>
      <c r="F337" s="572" t="n"/>
      <c r="G337" s="572" t="n"/>
      <c r="H337" s="572" t="n"/>
      <c r="I337" s="572" t="n"/>
      <c r="J337" s="572" t="n"/>
      <c r="K337" s="572" t="n"/>
      <c r="L337" s="572" t="n"/>
      <c r="M337" s="572" t="n"/>
      <c r="N337" s="572" t="n"/>
    </row>
    <row r="338" ht="15.75" customHeight="1" s="341">
      <c r="A338" s="569" t="n">
        <v>329</v>
      </c>
      <c r="B338" s="570" t="n"/>
      <c r="C338" s="570" t="n"/>
      <c r="D338" s="570" t="n"/>
      <c r="E338" s="570" t="n"/>
      <c r="F338" s="570" t="n"/>
      <c r="G338" s="570" t="n"/>
      <c r="H338" s="570" t="n"/>
      <c r="I338" s="570" t="n"/>
      <c r="J338" s="570" t="n"/>
      <c r="K338" s="570" t="n"/>
      <c r="L338" s="570" t="n"/>
      <c r="M338" s="570" t="n"/>
      <c r="N338" s="570" t="n"/>
    </row>
    <row r="339" ht="15.75" customHeight="1" s="341">
      <c r="A339" s="571" t="n">
        <v>330</v>
      </c>
      <c r="B339" s="572" t="n"/>
      <c r="C339" s="572" t="n"/>
      <c r="D339" s="572" t="n"/>
      <c r="E339" s="572" t="n"/>
      <c r="F339" s="572" t="n"/>
      <c r="G339" s="572" t="n"/>
      <c r="H339" s="572" t="n"/>
      <c r="I339" s="572" t="n"/>
      <c r="J339" s="572" t="n"/>
      <c r="K339" s="572" t="n"/>
      <c r="L339" s="572" t="n"/>
      <c r="M339" s="572" t="n"/>
      <c r="N339" s="572" t="n"/>
    </row>
    <row r="340" ht="15.75" customHeight="1" s="341">
      <c r="A340" s="569" t="n">
        <v>331</v>
      </c>
      <c r="B340" s="570" t="n"/>
      <c r="C340" s="570" t="n"/>
      <c r="D340" s="570" t="n"/>
      <c r="E340" s="570" t="n"/>
      <c r="F340" s="570" t="n"/>
      <c r="G340" s="570" t="n"/>
      <c r="H340" s="570" t="n"/>
      <c r="I340" s="570" t="n"/>
      <c r="J340" s="570" t="n"/>
      <c r="K340" s="570" t="n"/>
      <c r="L340" s="570" t="n"/>
      <c r="M340" s="570" t="n"/>
      <c r="N340" s="570" t="n"/>
    </row>
    <row r="341" ht="15.75" customHeight="1" s="341">
      <c r="A341" s="571" t="n">
        <v>332</v>
      </c>
      <c r="B341" s="572" t="n"/>
      <c r="C341" s="572" t="n"/>
      <c r="D341" s="572" t="n"/>
      <c r="E341" s="572" t="n"/>
      <c r="F341" s="572" t="n"/>
      <c r="G341" s="572" t="n"/>
      <c r="H341" s="572" t="n"/>
      <c r="I341" s="572" t="n"/>
      <c r="J341" s="572" t="n"/>
      <c r="K341" s="572" t="n"/>
      <c r="L341" s="572" t="n"/>
      <c r="M341" s="572" t="n"/>
      <c r="N341" s="572" t="n"/>
    </row>
    <row r="342" ht="15.75" customHeight="1" s="341">
      <c r="A342" s="569" t="n">
        <v>333</v>
      </c>
      <c r="B342" s="570" t="n"/>
      <c r="C342" s="570" t="n"/>
      <c r="D342" s="570" t="n"/>
      <c r="E342" s="570" t="n"/>
      <c r="F342" s="570" t="n"/>
      <c r="G342" s="570" t="n"/>
      <c r="H342" s="570" t="n"/>
      <c r="I342" s="570" t="n"/>
      <c r="J342" s="570" t="n"/>
      <c r="K342" s="570" t="n"/>
      <c r="L342" s="570" t="n"/>
      <c r="M342" s="570" t="n"/>
      <c r="N342" s="570" t="n"/>
    </row>
    <row r="343" ht="15.75" customHeight="1" s="341">
      <c r="A343" s="571" t="n">
        <v>334</v>
      </c>
      <c r="B343" s="572" t="n"/>
      <c r="C343" s="572" t="n"/>
      <c r="D343" s="572" t="n"/>
      <c r="E343" s="572" t="n"/>
      <c r="F343" s="572" t="n"/>
      <c r="G343" s="572" t="n"/>
      <c r="H343" s="572" t="n"/>
      <c r="I343" s="572" t="n"/>
      <c r="J343" s="572" t="n"/>
      <c r="K343" s="572" t="n"/>
      <c r="L343" s="572" t="n"/>
      <c r="M343" s="572" t="n"/>
      <c r="N343" s="572" t="n"/>
    </row>
    <row r="344" ht="15.75" customHeight="1" s="341">
      <c r="A344" s="569" t="n">
        <v>335</v>
      </c>
      <c r="B344" s="570" t="n"/>
      <c r="C344" s="570" t="n"/>
      <c r="D344" s="570" t="n"/>
      <c r="E344" s="570" t="n"/>
      <c r="F344" s="570" t="n"/>
      <c r="G344" s="570" t="n"/>
      <c r="H344" s="570" t="n"/>
      <c r="I344" s="570" t="n"/>
      <c r="J344" s="570" t="n"/>
      <c r="K344" s="570" t="n"/>
      <c r="L344" s="570" t="n"/>
      <c r="M344" s="570" t="n"/>
      <c r="N344" s="570" t="n"/>
    </row>
    <row r="345" ht="15.75" customHeight="1" s="341">
      <c r="A345" s="571" t="n">
        <v>336</v>
      </c>
      <c r="B345" s="572" t="n"/>
      <c r="C345" s="572" t="n"/>
      <c r="D345" s="572" t="n"/>
      <c r="E345" s="572" t="n"/>
      <c r="F345" s="572" t="n"/>
      <c r="G345" s="572" t="n"/>
      <c r="H345" s="572" t="n"/>
      <c r="I345" s="572" t="n"/>
      <c r="J345" s="572" t="n"/>
      <c r="K345" s="572" t="n"/>
      <c r="L345" s="572" t="n"/>
      <c r="M345" s="572" t="n"/>
      <c r="N345" s="572" t="n"/>
    </row>
    <row r="346" ht="15.75" customHeight="1" s="341">
      <c r="A346" s="569" t="n">
        <v>337</v>
      </c>
      <c r="B346" s="570" t="n"/>
      <c r="C346" s="570" t="n"/>
      <c r="D346" s="570" t="n"/>
      <c r="E346" s="570" t="n"/>
      <c r="F346" s="570" t="n"/>
      <c r="G346" s="570" t="n"/>
      <c r="H346" s="570" t="n"/>
      <c r="I346" s="570" t="n"/>
      <c r="J346" s="570" t="n"/>
      <c r="K346" s="570" t="n"/>
      <c r="L346" s="570" t="n"/>
      <c r="M346" s="570" t="n"/>
      <c r="N346" s="570" t="n"/>
    </row>
    <row r="347" ht="15.75" customHeight="1" s="341">
      <c r="A347" s="571" t="n">
        <v>338</v>
      </c>
      <c r="B347" s="572" t="n"/>
      <c r="C347" s="572" t="n"/>
      <c r="D347" s="572" t="n"/>
      <c r="E347" s="572" t="n"/>
      <c r="F347" s="572" t="n"/>
      <c r="G347" s="572" t="n"/>
      <c r="H347" s="572" t="n"/>
      <c r="I347" s="572" t="n"/>
      <c r="J347" s="572" t="n"/>
      <c r="K347" s="572" t="n"/>
      <c r="L347" s="572" t="n"/>
      <c r="M347" s="572" t="n"/>
      <c r="N347" s="572" t="n"/>
    </row>
    <row r="348" ht="15.75" customHeight="1" s="341">
      <c r="A348" s="569" t="n">
        <v>339</v>
      </c>
      <c r="B348" s="570" t="n"/>
      <c r="C348" s="570" t="n"/>
      <c r="D348" s="570" t="n"/>
      <c r="E348" s="570" t="n"/>
      <c r="F348" s="570" t="n"/>
      <c r="G348" s="570" t="n"/>
      <c r="H348" s="570" t="n"/>
      <c r="I348" s="570" t="n"/>
      <c r="J348" s="570" t="n"/>
      <c r="K348" s="570" t="n"/>
      <c r="L348" s="570" t="n"/>
      <c r="M348" s="570" t="n"/>
      <c r="N348" s="570" t="n"/>
    </row>
    <row r="349" ht="15.75" customHeight="1" s="341">
      <c r="A349" s="571" t="n">
        <v>340</v>
      </c>
      <c r="B349" s="572" t="n"/>
      <c r="C349" s="572" t="n"/>
      <c r="D349" s="572" t="n"/>
      <c r="E349" s="572" t="n"/>
      <c r="F349" s="572" t="n"/>
      <c r="G349" s="572" t="n"/>
      <c r="H349" s="572" t="n"/>
      <c r="I349" s="572" t="n"/>
      <c r="J349" s="572" t="n"/>
      <c r="K349" s="572" t="n"/>
      <c r="L349" s="572" t="n"/>
      <c r="M349" s="572" t="n"/>
      <c r="N349" s="572" t="n"/>
    </row>
    <row r="350" ht="15.75" customHeight="1" s="341">
      <c r="A350" s="569" t="n">
        <v>341</v>
      </c>
      <c r="B350" s="570" t="n"/>
      <c r="C350" s="570" t="n"/>
      <c r="D350" s="570" t="n"/>
      <c r="E350" s="570" t="n"/>
      <c r="F350" s="570" t="n"/>
      <c r="G350" s="570" t="n"/>
      <c r="H350" s="570" t="n"/>
      <c r="I350" s="570" t="n"/>
      <c r="J350" s="570" t="n"/>
      <c r="K350" s="570" t="n"/>
      <c r="L350" s="570" t="n"/>
      <c r="M350" s="570" t="n"/>
      <c r="N350" s="570" t="n"/>
    </row>
    <row r="351" ht="15.75" customHeight="1" s="341">
      <c r="A351" s="571" t="n">
        <v>342</v>
      </c>
      <c r="B351" s="572" t="n"/>
      <c r="C351" s="572" t="n"/>
      <c r="D351" s="572" t="n"/>
      <c r="E351" s="572" t="n"/>
      <c r="F351" s="572" t="n"/>
      <c r="G351" s="572" t="n"/>
      <c r="H351" s="572" t="n"/>
      <c r="I351" s="572" t="n"/>
      <c r="J351" s="572" t="n"/>
      <c r="K351" s="572" t="n"/>
      <c r="L351" s="572" t="n"/>
      <c r="M351" s="572" t="n"/>
      <c r="N351" s="572" t="n"/>
    </row>
    <row r="352" ht="15.75" customHeight="1" s="341">
      <c r="A352" s="569" t="n">
        <v>343</v>
      </c>
      <c r="B352" s="570" t="n"/>
      <c r="C352" s="570" t="n"/>
      <c r="D352" s="570" t="n"/>
      <c r="E352" s="570" t="n"/>
      <c r="F352" s="570" t="n"/>
      <c r="G352" s="570" t="n"/>
      <c r="H352" s="570" t="n"/>
      <c r="I352" s="570" t="n"/>
      <c r="J352" s="570" t="n"/>
      <c r="K352" s="570" t="n"/>
      <c r="L352" s="570" t="n"/>
      <c r="M352" s="570" t="n"/>
      <c r="N352" s="570" t="n"/>
    </row>
    <row r="353" ht="15.75" customHeight="1" s="341">
      <c r="A353" s="571" t="n">
        <v>344</v>
      </c>
      <c r="B353" s="572" t="n"/>
      <c r="C353" s="572" t="n"/>
      <c r="D353" s="572" t="n"/>
      <c r="E353" s="572" t="n"/>
      <c r="F353" s="572" t="n"/>
      <c r="G353" s="572" t="n"/>
      <c r="H353" s="572" t="n"/>
      <c r="I353" s="572" t="n"/>
      <c r="J353" s="572" t="n"/>
      <c r="K353" s="572" t="n"/>
      <c r="L353" s="572" t="n"/>
      <c r="M353" s="572" t="n"/>
      <c r="N353" s="572" t="n"/>
    </row>
    <row r="354" ht="15.75" customHeight="1" s="341">
      <c r="A354" s="569" t="n">
        <v>345</v>
      </c>
      <c r="B354" s="570" t="n"/>
      <c r="C354" s="570" t="n"/>
      <c r="D354" s="570" t="n"/>
      <c r="E354" s="570" t="n"/>
      <c r="F354" s="570" t="n"/>
      <c r="G354" s="570" t="n"/>
      <c r="H354" s="570" t="n"/>
      <c r="I354" s="570" t="n"/>
      <c r="J354" s="570" t="n"/>
      <c r="K354" s="570" t="n"/>
      <c r="L354" s="570" t="n"/>
      <c r="M354" s="570" t="n"/>
      <c r="N354" s="570" t="n"/>
    </row>
    <row r="355" ht="15.75" customHeight="1" s="341">
      <c r="A355" s="571" t="n">
        <v>346</v>
      </c>
      <c r="B355" s="572" t="n"/>
      <c r="C355" s="572" t="n"/>
      <c r="D355" s="572" t="n"/>
      <c r="E355" s="572" t="n"/>
      <c r="F355" s="572" t="n"/>
      <c r="G355" s="572" t="n"/>
      <c r="H355" s="572" t="n"/>
      <c r="I355" s="572" t="n"/>
      <c r="J355" s="572" t="n"/>
      <c r="K355" s="572" t="n"/>
      <c r="L355" s="572" t="n"/>
      <c r="M355" s="572" t="n"/>
      <c r="N355" s="572" t="n"/>
    </row>
    <row r="356" ht="15.75" customHeight="1" s="341">
      <c r="A356" s="569" t="n">
        <v>347</v>
      </c>
      <c r="B356" s="570" t="n"/>
      <c r="C356" s="570" t="n"/>
      <c r="D356" s="570" t="n"/>
      <c r="E356" s="570" t="n"/>
      <c r="F356" s="570" t="n"/>
      <c r="G356" s="570" t="n"/>
      <c r="H356" s="570" t="n"/>
      <c r="I356" s="570" t="n"/>
      <c r="J356" s="570" t="n"/>
      <c r="K356" s="570" t="n"/>
      <c r="L356" s="570" t="n"/>
      <c r="M356" s="570" t="n"/>
      <c r="N356" s="570" t="n"/>
    </row>
    <row r="357" ht="15.75" customHeight="1" s="341">
      <c r="A357" s="571" t="n">
        <v>348</v>
      </c>
      <c r="B357" s="572" t="n"/>
      <c r="C357" s="572" t="n"/>
      <c r="D357" s="572" t="n"/>
      <c r="E357" s="572" t="n"/>
      <c r="F357" s="572" t="n"/>
      <c r="G357" s="572" t="n"/>
      <c r="H357" s="572" t="n"/>
      <c r="I357" s="572" t="n"/>
      <c r="J357" s="572" t="n"/>
      <c r="K357" s="572" t="n"/>
      <c r="L357" s="572" t="n"/>
      <c r="M357" s="572" t="n"/>
      <c r="N357" s="572" t="n"/>
    </row>
    <row r="358" ht="15.75" customHeight="1" s="341">
      <c r="A358" s="569" t="n">
        <v>349</v>
      </c>
      <c r="B358" s="570" t="n"/>
      <c r="C358" s="570" t="n"/>
      <c r="D358" s="570" t="n"/>
      <c r="E358" s="570" t="n"/>
      <c r="F358" s="570" t="n"/>
      <c r="G358" s="570" t="n"/>
      <c r="H358" s="570" t="n"/>
      <c r="I358" s="570" t="n"/>
      <c r="J358" s="570" t="n"/>
      <c r="K358" s="570" t="n"/>
      <c r="L358" s="570" t="n"/>
      <c r="M358" s="570" t="n"/>
      <c r="N358" s="570" t="n"/>
    </row>
    <row r="359" ht="15.75" customHeight="1" s="341">
      <c r="A359" s="571" t="n">
        <v>350</v>
      </c>
      <c r="B359" s="572" t="n"/>
      <c r="C359" s="572" t="n"/>
      <c r="D359" s="572" t="n"/>
      <c r="E359" s="572" t="n"/>
      <c r="F359" s="572" t="n"/>
      <c r="G359" s="572" t="n"/>
      <c r="H359" s="572" t="n"/>
      <c r="I359" s="572" t="n"/>
      <c r="J359" s="572" t="n"/>
      <c r="K359" s="572" t="n"/>
      <c r="L359" s="572" t="n"/>
      <c r="M359" s="572" t="n"/>
      <c r="N359" s="572" t="n"/>
    </row>
    <row r="360" ht="15.75" customHeight="1" s="341">
      <c r="A360" s="569" t="n">
        <v>351</v>
      </c>
      <c r="B360" s="570" t="n"/>
      <c r="C360" s="570" t="n"/>
      <c r="D360" s="570" t="n"/>
      <c r="E360" s="570" t="n"/>
      <c r="F360" s="570" t="n"/>
      <c r="G360" s="570" t="n"/>
      <c r="H360" s="570" t="n"/>
      <c r="I360" s="570" t="n"/>
      <c r="J360" s="570" t="n"/>
      <c r="K360" s="570" t="n"/>
      <c r="L360" s="570" t="n"/>
      <c r="M360" s="570" t="n"/>
      <c r="N360" s="570" t="n"/>
    </row>
    <row r="361" ht="15.75" customHeight="1" s="341">
      <c r="A361" s="571" t="n">
        <v>352</v>
      </c>
      <c r="B361" s="572" t="n"/>
      <c r="C361" s="572" t="n"/>
      <c r="D361" s="572" t="n"/>
      <c r="E361" s="572" t="n"/>
      <c r="F361" s="572" t="n"/>
      <c r="G361" s="572" t="n"/>
      <c r="H361" s="572" t="n"/>
      <c r="I361" s="572" t="n"/>
      <c r="J361" s="572" t="n"/>
      <c r="K361" s="572" t="n"/>
      <c r="L361" s="572" t="n"/>
      <c r="M361" s="572" t="n"/>
      <c r="N361" s="572" t="n"/>
    </row>
    <row r="362" ht="15.75" customHeight="1" s="341">
      <c r="A362" s="569" t="n">
        <v>353</v>
      </c>
      <c r="B362" s="570" t="n"/>
      <c r="C362" s="570" t="n"/>
      <c r="D362" s="570" t="n"/>
      <c r="E362" s="570" t="n"/>
      <c r="F362" s="570" t="n"/>
      <c r="G362" s="570" t="n"/>
      <c r="H362" s="570" t="n"/>
      <c r="I362" s="570" t="n"/>
      <c r="J362" s="570" t="n"/>
      <c r="K362" s="570" t="n"/>
      <c r="L362" s="570" t="n"/>
      <c r="M362" s="570" t="n"/>
      <c r="N362" s="570" t="n"/>
    </row>
    <row r="363" ht="15.75" customHeight="1" s="341">
      <c r="A363" s="571" t="n">
        <v>354</v>
      </c>
      <c r="B363" s="572" t="n"/>
      <c r="C363" s="572" t="n"/>
      <c r="D363" s="572" t="n"/>
      <c r="E363" s="572" t="n"/>
      <c r="F363" s="572" t="n"/>
      <c r="G363" s="572" t="n"/>
      <c r="H363" s="572" t="n"/>
      <c r="I363" s="572" t="n"/>
      <c r="J363" s="572" t="n"/>
      <c r="K363" s="572" t="n"/>
      <c r="L363" s="572" t="n"/>
      <c r="M363" s="572" t="n"/>
      <c r="N363" s="572" t="n"/>
    </row>
    <row r="364" ht="15.75" customHeight="1" s="341">
      <c r="A364" s="569" t="n">
        <v>355</v>
      </c>
      <c r="B364" s="570" t="n"/>
      <c r="C364" s="570" t="n"/>
      <c r="D364" s="570" t="n"/>
      <c r="E364" s="570" t="n"/>
      <c r="F364" s="570" t="n"/>
      <c r="G364" s="570" t="n"/>
      <c r="H364" s="570" t="n"/>
      <c r="I364" s="570" t="n"/>
      <c r="J364" s="570" t="n"/>
      <c r="K364" s="570" t="n"/>
      <c r="L364" s="570" t="n"/>
      <c r="M364" s="570" t="n"/>
      <c r="N364" s="570" t="n"/>
    </row>
    <row r="365" ht="15.75" customHeight="1" s="341">
      <c r="A365" s="571" t="n">
        <v>356</v>
      </c>
      <c r="B365" s="572" t="n"/>
      <c r="C365" s="572" t="n"/>
      <c r="D365" s="572" t="n"/>
      <c r="E365" s="572" t="n"/>
      <c r="F365" s="572" t="n"/>
      <c r="G365" s="572" t="n"/>
      <c r="H365" s="572" t="n"/>
      <c r="I365" s="572" t="n"/>
      <c r="J365" s="572" t="n"/>
      <c r="K365" s="572" t="n"/>
      <c r="L365" s="572" t="n"/>
      <c r="M365" s="572" t="n"/>
      <c r="N365" s="572" t="n"/>
    </row>
    <row r="366" ht="15.75" customHeight="1" s="341">
      <c r="A366" s="569" t="n">
        <v>357</v>
      </c>
      <c r="B366" s="570" t="n"/>
      <c r="C366" s="570" t="n"/>
      <c r="D366" s="570" t="n"/>
      <c r="E366" s="570" t="n"/>
      <c r="F366" s="570" t="n"/>
      <c r="G366" s="570" t="n"/>
      <c r="H366" s="570" t="n"/>
      <c r="I366" s="570" t="n"/>
      <c r="J366" s="570" t="n"/>
      <c r="K366" s="570" t="n"/>
      <c r="L366" s="570" t="n"/>
      <c r="M366" s="570" t="n"/>
      <c r="N366" s="570" t="n"/>
    </row>
    <row r="367" ht="15.75" customHeight="1" s="341">
      <c r="A367" s="571" t="n">
        <v>358</v>
      </c>
      <c r="B367" s="572" t="n"/>
      <c r="C367" s="572" t="n"/>
      <c r="D367" s="572" t="n"/>
      <c r="E367" s="572" t="n"/>
      <c r="F367" s="572" t="n"/>
      <c r="G367" s="572" t="n"/>
      <c r="H367" s="572" t="n"/>
      <c r="I367" s="572" t="n"/>
      <c r="J367" s="572" t="n"/>
      <c r="K367" s="572" t="n"/>
      <c r="L367" s="572" t="n"/>
      <c r="M367" s="572" t="n"/>
      <c r="N367" s="572" t="n"/>
    </row>
    <row r="368" ht="15.75" customHeight="1" s="341">
      <c r="A368" s="569" t="n">
        <v>359</v>
      </c>
      <c r="B368" s="570" t="n"/>
      <c r="C368" s="570" t="n"/>
      <c r="D368" s="570" t="n"/>
      <c r="E368" s="570" t="n"/>
      <c r="F368" s="570" t="n"/>
      <c r="G368" s="570" t="n"/>
      <c r="H368" s="570" t="n"/>
      <c r="I368" s="570" t="n"/>
      <c r="J368" s="570" t="n"/>
      <c r="K368" s="570" t="n"/>
      <c r="L368" s="570" t="n"/>
      <c r="M368" s="570" t="n"/>
      <c r="N368" s="570" t="n"/>
    </row>
    <row r="369" ht="15.75" customHeight="1" s="341">
      <c r="A369" s="571" t="n">
        <v>360</v>
      </c>
      <c r="B369" s="572" t="n"/>
      <c r="C369" s="572" t="n"/>
      <c r="D369" s="572" t="n"/>
      <c r="E369" s="572" t="n"/>
      <c r="F369" s="572" t="n"/>
      <c r="G369" s="572" t="n"/>
      <c r="H369" s="572" t="n"/>
      <c r="I369" s="572" t="n"/>
      <c r="J369" s="572" t="n"/>
      <c r="K369" s="572" t="n"/>
      <c r="L369" s="572" t="n"/>
      <c r="M369" s="572" t="n"/>
      <c r="N369" s="572" t="n"/>
    </row>
    <row r="370" ht="15.75" customHeight="1" s="341">
      <c r="A370" s="569" t="n">
        <v>361</v>
      </c>
      <c r="B370" s="570" t="n"/>
      <c r="C370" s="570" t="n"/>
      <c r="D370" s="570" t="n"/>
      <c r="E370" s="570" t="n"/>
      <c r="F370" s="570" t="n"/>
      <c r="G370" s="570" t="n"/>
      <c r="H370" s="570" t="n"/>
      <c r="I370" s="570" t="n"/>
      <c r="J370" s="570" t="n"/>
      <c r="K370" s="570" t="n"/>
      <c r="L370" s="570" t="n"/>
      <c r="M370" s="570" t="n"/>
      <c r="N370" s="570" t="n"/>
    </row>
    <row r="371" ht="15.75" customHeight="1" s="341">
      <c r="A371" s="571" t="n">
        <v>362</v>
      </c>
      <c r="B371" s="572" t="n"/>
      <c r="C371" s="572" t="n"/>
      <c r="D371" s="572" t="n"/>
      <c r="E371" s="572" t="n"/>
      <c r="F371" s="572" t="n"/>
      <c r="G371" s="572" t="n"/>
      <c r="H371" s="572" t="n"/>
      <c r="I371" s="572" t="n"/>
      <c r="J371" s="572" t="n"/>
      <c r="K371" s="572" t="n"/>
      <c r="L371" s="572" t="n"/>
      <c r="M371" s="572" t="n"/>
      <c r="N371" s="572" t="n"/>
    </row>
    <row r="372" ht="15.75" customHeight="1" s="341">
      <c r="A372" s="569" t="n">
        <v>363</v>
      </c>
      <c r="B372" s="570" t="n"/>
      <c r="C372" s="570" t="n"/>
      <c r="D372" s="570" t="n"/>
      <c r="E372" s="570" t="n"/>
      <c r="F372" s="570" t="n"/>
      <c r="G372" s="570" t="n"/>
      <c r="H372" s="570" t="n"/>
      <c r="I372" s="570" t="n"/>
      <c r="J372" s="570" t="n"/>
      <c r="K372" s="570" t="n"/>
      <c r="L372" s="570" t="n"/>
      <c r="M372" s="570" t="n"/>
      <c r="N372" s="570" t="n"/>
    </row>
    <row r="373" ht="15.75" customHeight="1" s="341">
      <c r="A373" s="571" t="n">
        <v>364</v>
      </c>
      <c r="B373" s="572" t="n"/>
      <c r="C373" s="572" t="n"/>
      <c r="D373" s="572" t="n"/>
      <c r="E373" s="572" t="n"/>
      <c r="F373" s="572" t="n"/>
      <c r="G373" s="572" t="n"/>
      <c r="H373" s="572" t="n"/>
      <c r="I373" s="572" t="n"/>
      <c r="J373" s="572" t="n"/>
      <c r="K373" s="572" t="n"/>
      <c r="L373" s="572" t="n"/>
      <c r="M373" s="572" t="n"/>
      <c r="N373" s="572" t="n"/>
    </row>
    <row r="374" ht="15.75" customHeight="1" s="341">
      <c r="A374" s="569" t="n">
        <v>365</v>
      </c>
      <c r="B374" s="570" t="n"/>
      <c r="C374" s="570" t="n"/>
      <c r="D374" s="570" t="n"/>
      <c r="E374" s="570" t="n"/>
      <c r="F374" s="570" t="n"/>
      <c r="G374" s="570" t="n"/>
      <c r="H374" s="570" t="n"/>
      <c r="I374" s="570" t="n"/>
      <c r="J374" s="570" t="n"/>
      <c r="K374" s="570" t="n"/>
      <c r="L374" s="570" t="n"/>
      <c r="M374" s="570" t="n"/>
      <c r="N374" s="570" t="n"/>
    </row>
    <row r="375" ht="15.75" customHeight="1" s="341">
      <c r="A375" s="571" t="n">
        <v>366</v>
      </c>
      <c r="B375" s="572" t="n"/>
      <c r="C375" s="572" t="n"/>
      <c r="D375" s="572" t="n"/>
      <c r="E375" s="572" t="n"/>
      <c r="F375" s="572" t="n"/>
      <c r="G375" s="572" t="n"/>
      <c r="H375" s="572" t="n"/>
      <c r="I375" s="572" t="n"/>
      <c r="J375" s="572" t="n"/>
      <c r="K375" s="572" t="n"/>
      <c r="L375" s="572" t="n"/>
      <c r="M375" s="572" t="n"/>
      <c r="N375" s="572" t="n"/>
    </row>
    <row r="376" ht="15.75" customHeight="1" s="341">
      <c r="A376" s="569" t="n">
        <v>367</v>
      </c>
      <c r="B376" s="570" t="n"/>
      <c r="C376" s="570" t="n"/>
      <c r="D376" s="570" t="n"/>
      <c r="E376" s="570" t="n"/>
      <c r="F376" s="570" t="n"/>
      <c r="G376" s="570" t="n"/>
      <c r="H376" s="570" t="n"/>
      <c r="I376" s="570" t="n"/>
      <c r="J376" s="570" t="n"/>
      <c r="K376" s="570" t="n"/>
      <c r="L376" s="570" t="n"/>
      <c r="M376" s="570" t="n"/>
      <c r="N376" s="570" t="n"/>
    </row>
    <row r="377" ht="15.75" customHeight="1" s="341">
      <c r="A377" s="571" t="n">
        <v>368</v>
      </c>
      <c r="B377" s="572" t="n"/>
      <c r="C377" s="572" t="n"/>
      <c r="D377" s="572" t="n"/>
      <c r="E377" s="572" t="n"/>
      <c r="F377" s="572" t="n"/>
      <c r="G377" s="572" t="n"/>
      <c r="H377" s="572" t="n"/>
      <c r="I377" s="572" t="n"/>
      <c r="J377" s="572" t="n"/>
      <c r="K377" s="572" t="n"/>
      <c r="L377" s="572" t="n"/>
      <c r="M377" s="572" t="n"/>
      <c r="N377" s="572" t="n"/>
    </row>
    <row r="378" ht="15.75" customHeight="1" s="341">
      <c r="A378" s="569" t="n">
        <v>369</v>
      </c>
      <c r="B378" s="570" t="n"/>
      <c r="C378" s="570" t="n"/>
      <c r="D378" s="570" t="n"/>
      <c r="E378" s="570" t="n"/>
      <c r="F378" s="570" t="n"/>
      <c r="G378" s="570" t="n"/>
      <c r="H378" s="570" t="n"/>
      <c r="I378" s="570" t="n"/>
      <c r="J378" s="570" t="n"/>
      <c r="K378" s="570" t="n"/>
      <c r="L378" s="570" t="n"/>
      <c r="M378" s="570" t="n"/>
      <c r="N378" s="570" t="n"/>
    </row>
    <row r="379" ht="15.75" customHeight="1" s="341">
      <c r="A379" s="571" t="n">
        <v>370</v>
      </c>
      <c r="B379" s="572" t="n"/>
      <c r="C379" s="572" t="n"/>
      <c r="D379" s="572" t="n"/>
      <c r="E379" s="572" t="n"/>
      <c r="F379" s="572" t="n"/>
      <c r="G379" s="572" t="n"/>
      <c r="H379" s="572" t="n"/>
      <c r="I379" s="572" t="n"/>
      <c r="J379" s="572" t="n"/>
      <c r="K379" s="572" t="n"/>
      <c r="L379" s="572" t="n"/>
      <c r="M379" s="572" t="n"/>
      <c r="N379" s="572" t="n"/>
    </row>
    <row r="380" ht="15.75" customHeight="1" s="341">
      <c r="A380" s="569" t="n">
        <v>371</v>
      </c>
      <c r="B380" s="570" t="n"/>
      <c r="C380" s="570" t="n"/>
      <c r="D380" s="570" t="n"/>
      <c r="E380" s="570" t="n"/>
      <c r="F380" s="570" t="n"/>
      <c r="G380" s="570" t="n"/>
      <c r="H380" s="570" t="n"/>
      <c r="I380" s="570" t="n"/>
      <c r="J380" s="570" t="n"/>
      <c r="K380" s="570" t="n"/>
      <c r="L380" s="570" t="n"/>
      <c r="M380" s="570" t="n"/>
      <c r="N380" s="570" t="n"/>
    </row>
    <row r="381" ht="15.75" customHeight="1" s="341">
      <c r="A381" s="571" t="n">
        <v>372</v>
      </c>
      <c r="B381" s="572" t="n"/>
      <c r="C381" s="572" t="n"/>
      <c r="D381" s="572" t="n"/>
      <c r="E381" s="572" t="n"/>
      <c r="F381" s="572" t="n"/>
      <c r="G381" s="572" t="n"/>
      <c r="H381" s="572" t="n"/>
      <c r="I381" s="572" t="n"/>
      <c r="J381" s="572" t="n"/>
      <c r="K381" s="572" t="n"/>
      <c r="L381" s="572" t="n"/>
      <c r="M381" s="572" t="n"/>
      <c r="N381" s="572" t="n"/>
    </row>
    <row r="382" ht="15.75" customHeight="1" s="341">
      <c r="A382" s="569" t="n">
        <v>373</v>
      </c>
      <c r="B382" s="570" t="n"/>
      <c r="C382" s="570" t="n"/>
      <c r="D382" s="570" t="n"/>
      <c r="E382" s="570" t="n"/>
      <c r="F382" s="570" t="n"/>
      <c r="G382" s="570" t="n"/>
      <c r="H382" s="570" t="n"/>
      <c r="I382" s="570" t="n"/>
      <c r="J382" s="570" t="n"/>
      <c r="K382" s="570" t="n"/>
      <c r="L382" s="570" t="n"/>
      <c r="M382" s="570" t="n"/>
      <c r="N382" s="570" t="n"/>
    </row>
    <row r="383" ht="15.75" customHeight="1" s="341">
      <c r="A383" s="571" t="n">
        <v>374</v>
      </c>
      <c r="B383" s="572" t="n"/>
      <c r="C383" s="572" t="n"/>
      <c r="D383" s="572" t="n"/>
      <c r="E383" s="572" t="n"/>
      <c r="F383" s="572" t="n"/>
      <c r="G383" s="572" t="n"/>
      <c r="H383" s="572" t="n"/>
      <c r="I383" s="572" t="n"/>
      <c r="J383" s="572" t="n"/>
      <c r="K383" s="572" t="n"/>
      <c r="L383" s="572" t="n"/>
      <c r="M383" s="572" t="n"/>
      <c r="N383" s="572" t="n"/>
    </row>
    <row r="384" ht="15.75" customHeight="1" s="341">
      <c r="A384" s="569" t="n">
        <v>375</v>
      </c>
      <c r="B384" s="570" t="n"/>
      <c r="C384" s="570" t="n"/>
      <c r="D384" s="570" t="n"/>
      <c r="E384" s="570" t="n"/>
      <c r="F384" s="570" t="n"/>
      <c r="G384" s="570" t="n"/>
      <c r="H384" s="570" t="n"/>
      <c r="I384" s="570" t="n"/>
      <c r="J384" s="570" t="n"/>
      <c r="K384" s="570" t="n"/>
      <c r="L384" s="570" t="n"/>
      <c r="M384" s="570" t="n"/>
      <c r="N384" s="570" t="n"/>
    </row>
    <row r="385" ht="15.75" customHeight="1" s="341">
      <c r="A385" s="571" t="n">
        <v>376</v>
      </c>
      <c r="B385" s="572" t="n"/>
      <c r="C385" s="572" t="n"/>
      <c r="D385" s="572" t="n"/>
      <c r="E385" s="572" t="n"/>
      <c r="F385" s="572" t="n"/>
      <c r="G385" s="572" t="n"/>
      <c r="H385" s="572" t="n"/>
      <c r="I385" s="572" t="n"/>
      <c r="J385" s="572" t="n"/>
      <c r="K385" s="572" t="n"/>
      <c r="L385" s="572" t="n"/>
      <c r="M385" s="572" t="n"/>
      <c r="N385" s="572" t="n"/>
    </row>
    <row r="386" ht="15.75" customHeight="1" s="341">
      <c r="A386" s="569" t="n">
        <v>377</v>
      </c>
      <c r="B386" s="570" t="n"/>
      <c r="C386" s="570" t="n"/>
      <c r="D386" s="570" t="n"/>
      <c r="E386" s="570" t="n"/>
      <c r="F386" s="570" t="n"/>
      <c r="G386" s="570" t="n"/>
      <c r="H386" s="570" t="n"/>
      <c r="I386" s="570" t="n"/>
      <c r="J386" s="570" t="n"/>
      <c r="K386" s="570" t="n"/>
      <c r="L386" s="570" t="n"/>
      <c r="M386" s="570" t="n"/>
      <c r="N386" s="570" t="n"/>
    </row>
    <row r="387" ht="15.75" customHeight="1" s="341">
      <c r="A387" s="571" t="n">
        <v>378</v>
      </c>
      <c r="B387" s="572" t="n"/>
      <c r="C387" s="572" t="n"/>
      <c r="D387" s="572" t="n"/>
      <c r="E387" s="572" t="n"/>
      <c r="F387" s="572" t="n"/>
      <c r="G387" s="572" t="n"/>
      <c r="H387" s="572" t="n"/>
      <c r="I387" s="572" t="n"/>
      <c r="J387" s="572" t="n"/>
      <c r="K387" s="572" t="n"/>
      <c r="L387" s="572" t="n"/>
      <c r="M387" s="572" t="n"/>
      <c r="N387" s="572" t="n"/>
    </row>
    <row r="388" ht="15.75" customHeight="1" s="341">
      <c r="A388" s="569" t="n">
        <v>379</v>
      </c>
      <c r="B388" s="570" t="n"/>
      <c r="C388" s="570" t="n"/>
      <c r="D388" s="570" t="n"/>
      <c r="E388" s="570" t="n"/>
      <c r="F388" s="570" t="n"/>
      <c r="G388" s="570" t="n"/>
      <c r="H388" s="570" t="n"/>
      <c r="I388" s="570" t="n"/>
      <c r="J388" s="570" t="n"/>
      <c r="K388" s="570" t="n"/>
      <c r="L388" s="570" t="n"/>
      <c r="M388" s="570" t="n"/>
      <c r="N388" s="570" t="n"/>
    </row>
    <row r="389" ht="15.75" customHeight="1" s="341">
      <c r="A389" s="571" t="n">
        <v>380</v>
      </c>
      <c r="B389" s="572" t="n"/>
      <c r="C389" s="572" t="n"/>
      <c r="D389" s="572" t="n"/>
      <c r="E389" s="572" t="n"/>
      <c r="F389" s="572" t="n"/>
      <c r="G389" s="572" t="n"/>
      <c r="H389" s="572" t="n"/>
      <c r="I389" s="572" t="n"/>
      <c r="J389" s="572" t="n"/>
      <c r="K389" s="572" t="n"/>
      <c r="L389" s="572" t="n"/>
      <c r="M389" s="572" t="n"/>
      <c r="N389" s="572" t="n"/>
    </row>
    <row r="390" ht="15.75" customHeight="1" s="341">
      <c r="A390" s="569" t="n">
        <v>381</v>
      </c>
      <c r="B390" s="570" t="n"/>
      <c r="C390" s="570" t="n"/>
      <c r="D390" s="570" t="n"/>
      <c r="E390" s="570" t="n"/>
      <c r="F390" s="570" t="n"/>
      <c r="G390" s="570" t="n"/>
      <c r="H390" s="570" t="n"/>
      <c r="I390" s="570" t="n"/>
      <c r="J390" s="570" t="n"/>
      <c r="K390" s="570" t="n"/>
      <c r="L390" s="570" t="n"/>
      <c r="M390" s="570" t="n"/>
      <c r="N390" s="570" t="n"/>
    </row>
    <row r="391" ht="15.75" customHeight="1" s="341">
      <c r="A391" s="571" t="n">
        <v>382</v>
      </c>
      <c r="B391" s="572" t="n"/>
      <c r="C391" s="572" t="n"/>
      <c r="D391" s="572" t="n"/>
      <c r="E391" s="572" t="n"/>
      <c r="F391" s="572" t="n"/>
      <c r="G391" s="572" t="n"/>
      <c r="H391" s="572" t="n"/>
      <c r="I391" s="572" t="n"/>
      <c r="J391" s="572" t="n"/>
      <c r="K391" s="572" t="n"/>
      <c r="L391" s="572" t="n"/>
      <c r="M391" s="572" t="n"/>
      <c r="N391" s="572" t="n"/>
    </row>
    <row r="392" ht="15.75" customHeight="1" s="341">
      <c r="A392" s="569" t="n">
        <v>383</v>
      </c>
      <c r="B392" s="570" t="n"/>
      <c r="C392" s="570" t="n"/>
      <c r="D392" s="570" t="n"/>
      <c r="E392" s="570" t="n"/>
      <c r="F392" s="570" t="n"/>
      <c r="G392" s="570" t="n"/>
      <c r="H392" s="570" t="n"/>
      <c r="I392" s="570" t="n"/>
      <c r="J392" s="570" t="n"/>
      <c r="K392" s="570" t="n"/>
      <c r="L392" s="570" t="n"/>
      <c r="M392" s="570" t="n"/>
      <c r="N392" s="570" t="n"/>
    </row>
    <row r="393" ht="15.75" customHeight="1" s="341">
      <c r="A393" s="571" t="n">
        <v>384</v>
      </c>
      <c r="B393" s="572" t="n"/>
      <c r="C393" s="572" t="n"/>
      <c r="D393" s="572" t="n"/>
      <c r="E393" s="572" t="n"/>
      <c r="F393" s="572" t="n"/>
      <c r="G393" s="572" t="n"/>
      <c r="H393" s="572" t="n"/>
      <c r="I393" s="572" t="n"/>
      <c r="J393" s="572" t="n"/>
      <c r="K393" s="572" t="n"/>
      <c r="L393" s="572" t="n"/>
      <c r="M393" s="572" t="n"/>
      <c r="N393" s="572" t="n"/>
    </row>
    <row r="394" ht="15.75" customHeight="1" s="341">
      <c r="A394" s="569" t="n">
        <v>385</v>
      </c>
      <c r="B394" s="570" t="n"/>
      <c r="C394" s="570" t="n"/>
      <c r="D394" s="570" t="n"/>
      <c r="E394" s="570" t="n"/>
      <c r="F394" s="570" t="n"/>
      <c r="G394" s="570" t="n"/>
      <c r="H394" s="570" t="n"/>
      <c r="I394" s="570" t="n"/>
      <c r="J394" s="570" t="n"/>
      <c r="K394" s="570" t="n"/>
      <c r="L394" s="570" t="n"/>
      <c r="M394" s="570" t="n"/>
      <c r="N394" s="570" t="n"/>
    </row>
    <row r="395" ht="15.75" customHeight="1" s="341">
      <c r="A395" s="571" t="n">
        <v>386</v>
      </c>
      <c r="B395" s="572" t="n"/>
      <c r="C395" s="572" t="n"/>
      <c r="D395" s="572" t="n"/>
      <c r="E395" s="572" t="n"/>
      <c r="F395" s="572" t="n"/>
      <c r="G395" s="572" t="n"/>
      <c r="H395" s="572" t="n"/>
      <c r="I395" s="572" t="n"/>
      <c r="J395" s="572" t="n"/>
      <c r="K395" s="572" t="n"/>
      <c r="L395" s="572" t="n"/>
      <c r="M395" s="572" t="n"/>
      <c r="N395" s="572" t="n"/>
    </row>
    <row r="396" ht="15.75" customHeight="1" s="341">
      <c r="A396" s="569" t="n">
        <v>387</v>
      </c>
      <c r="B396" s="570" t="n"/>
      <c r="C396" s="570" t="n"/>
      <c r="D396" s="570" t="n"/>
      <c r="E396" s="570" t="n"/>
      <c r="F396" s="570" t="n"/>
      <c r="G396" s="570" t="n"/>
      <c r="H396" s="570" t="n"/>
      <c r="I396" s="570" t="n"/>
      <c r="J396" s="570" t="n"/>
      <c r="K396" s="570" t="n"/>
      <c r="L396" s="570" t="n"/>
      <c r="M396" s="570" t="n"/>
      <c r="N396" s="570" t="n"/>
    </row>
    <row r="397" ht="15.75" customHeight="1" s="341">
      <c r="A397" s="571" t="n">
        <v>388</v>
      </c>
      <c r="B397" s="572" t="n"/>
      <c r="C397" s="572" t="n"/>
      <c r="D397" s="572" t="n"/>
      <c r="E397" s="572" t="n"/>
      <c r="F397" s="572" t="n"/>
      <c r="G397" s="572" t="n"/>
      <c r="H397" s="572" t="n"/>
      <c r="I397" s="572" t="n"/>
      <c r="J397" s="572" t="n"/>
      <c r="K397" s="572" t="n"/>
      <c r="L397" s="572" t="n"/>
      <c r="M397" s="572" t="n"/>
      <c r="N397" s="572" t="n"/>
    </row>
    <row r="398" ht="15.75" customHeight="1" s="341">
      <c r="A398" s="569" t="n">
        <v>389</v>
      </c>
      <c r="B398" s="570" t="n"/>
      <c r="C398" s="570" t="n"/>
      <c r="D398" s="570" t="n"/>
      <c r="E398" s="570" t="n"/>
      <c r="F398" s="570" t="n"/>
      <c r="G398" s="570" t="n"/>
      <c r="H398" s="570" t="n"/>
      <c r="I398" s="570" t="n"/>
      <c r="J398" s="570" t="n"/>
      <c r="K398" s="570" t="n"/>
      <c r="L398" s="570" t="n"/>
      <c r="M398" s="570" t="n"/>
      <c r="N398" s="570" t="n"/>
    </row>
    <row r="399" ht="15.75" customHeight="1" s="341">
      <c r="A399" s="571" t="n">
        <v>390</v>
      </c>
      <c r="B399" s="572" t="n"/>
      <c r="C399" s="572" t="n"/>
      <c r="D399" s="572" t="n"/>
      <c r="E399" s="572" t="n"/>
      <c r="F399" s="572" t="n"/>
      <c r="G399" s="572" t="n"/>
      <c r="H399" s="572" t="n"/>
      <c r="I399" s="572" t="n"/>
      <c r="J399" s="572" t="n"/>
      <c r="K399" s="572" t="n"/>
      <c r="L399" s="572" t="n"/>
      <c r="M399" s="572" t="n"/>
      <c r="N399" s="572" t="n"/>
    </row>
    <row r="400" ht="15.75" customHeight="1" s="341">
      <c r="A400" s="569" t="n">
        <v>391</v>
      </c>
      <c r="B400" s="570" t="n"/>
      <c r="C400" s="570" t="n"/>
      <c r="D400" s="570" t="n"/>
      <c r="E400" s="570" t="n"/>
      <c r="F400" s="570" t="n"/>
      <c r="G400" s="570" t="n"/>
      <c r="H400" s="570" t="n"/>
      <c r="I400" s="570" t="n"/>
      <c r="J400" s="570" t="n"/>
      <c r="K400" s="570" t="n"/>
      <c r="L400" s="570" t="n"/>
      <c r="M400" s="570" t="n"/>
      <c r="N400" s="570" t="n"/>
    </row>
    <row r="401" ht="15.75" customHeight="1" s="341">
      <c r="A401" s="571" t="n">
        <v>392</v>
      </c>
      <c r="B401" s="572" t="n"/>
      <c r="C401" s="572" t="n"/>
      <c r="D401" s="572" t="n"/>
      <c r="E401" s="572" t="n"/>
      <c r="F401" s="572" t="n"/>
      <c r="G401" s="572" t="n"/>
      <c r="H401" s="572" t="n"/>
      <c r="I401" s="572" t="n"/>
      <c r="J401" s="572" t="n"/>
      <c r="K401" s="572" t="n"/>
      <c r="L401" s="572" t="n"/>
      <c r="M401" s="572" t="n"/>
      <c r="N401" s="572" t="n"/>
    </row>
    <row r="402" ht="15.75" customHeight="1" s="341">
      <c r="A402" s="569" t="n">
        <v>393</v>
      </c>
      <c r="B402" s="570" t="n"/>
      <c r="C402" s="570" t="n"/>
      <c r="D402" s="570" t="n"/>
      <c r="E402" s="570" t="n"/>
      <c r="F402" s="570" t="n"/>
      <c r="G402" s="570" t="n"/>
      <c r="H402" s="570" t="n"/>
      <c r="I402" s="570" t="n"/>
      <c r="J402" s="570" t="n"/>
      <c r="K402" s="570" t="n"/>
      <c r="L402" s="570" t="n"/>
      <c r="M402" s="570" t="n"/>
      <c r="N402" s="570" t="n"/>
    </row>
    <row r="403" ht="15.75" customHeight="1" s="341">
      <c r="A403" s="571" t="n">
        <v>394</v>
      </c>
      <c r="B403" s="572" t="n"/>
      <c r="C403" s="572" t="n"/>
      <c r="D403" s="572" t="n"/>
      <c r="E403" s="572" t="n"/>
      <c r="F403" s="572" t="n"/>
      <c r="G403" s="572" t="n"/>
      <c r="H403" s="572" t="n"/>
      <c r="I403" s="572" t="n"/>
      <c r="J403" s="572" t="n"/>
      <c r="K403" s="572" t="n"/>
      <c r="L403" s="572" t="n"/>
      <c r="M403" s="572" t="n"/>
      <c r="N403" s="572" t="n"/>
    </row>
    <row r="404" ht="15.75" customHeight="1" s="341">
      <c r="A404" s="569" t="n">
        <v>395</v>
      </c>
      <c r="B404" s="570" t="n"/>
      <c r="C404" s="570" t="n"/>
      <c r="D404" s="570" t="n"/>
      <c r="E404" s="570" t="n"/>
      <c r="F404" s="570" t="n"/>
      <c r="G404" s="570" t="n"/>
      <c r="H404" s="570" t="n"/>
      <c r="I404" s="570" t="n"/>
      <c r="J404" s="570" t="n"/>
      <c r="K404" s="570" t="n"/>
      <c r="L404" s="570" t="n"/>
      <c r="M404" s="570" t="n"/>
      <c r="N404" s="570" t="n"/>
    </row>
    <row r="405" ht="15.75" customHeight="1" s="341">
      <c r="A405" s="571" t="n">
        <v>396</v>
      </c>
      <c r="B405" s="572" t="n"/>
      <c r="C405" s="572" t="n"/>
      <c r="D405" s="572" t="n"/>
      <c r="E405" s="572" t="n"/>
      <c r="F405" s="572" t="n"/>
      <c r="G405" s="572" t="n"/>
      <c r="H405" s="572" t="n"/>
      <c r="I405" s="572" t="n"/>
      <c r="J405" s="572" t="n"/>
      <c r="K405" s="572" t="n"/>
      <c r="L405" s="572" t="n"/>
      <c r="M405" s="572" t="n"/>
      <c r="N405" s="572" t="n"/>
    </row>
    <row r="406" ht="15.75" customHeight="1" s="341">
      <c r="A406" s="569" t="n">
        <v>397</v>
      </c>
      <c r="B406" s="570" t="n"/>
      <c r="C406" s="570" t="n"/>
      <c r="D406" s="570" t="n"/>
      <c r="E406" s="570" t="n"/>
      <c r="F406" s="570" t="n"/>
      <c r="G406" s="570" t="n"/>
      <c r="H406" s="570" t="n"/>
      <c r="I406" s="570" t="n"/>
      <c r="J406" s="570" t="n"/>
      <c r="K406" s="570" t="n"/>
      <c r="L406" s="570" t="n"/>
      <c r="M406" s="570" t="n"/>
      <c r="N406" s="570" t="n"/>
    </row>
    <row r="407" ht="15.75" customHeight="1" s="341">
      <c r="A407" s="571" t="n">
        <v>398</v>
      </c>
      <c r="B407" s="572" t="n"/>
      <c r="C407" s="572" t="n"/>
      <c r="D407" s="572" t="n"/>
      <c r="E407" s="572" t="n"/>
      <c r="F407" s="572" t="n"/>
      <c r="G407" s="572" t="n"/>
      <c r="H407" s="572" t="n"/>
      <c r="I407" s="572" t="n"/>
      <c r="J407" s="572" t="n"/>
      <c r="K407" s="572" t="n"/>
      <c r="L407" s="572" t="n"/>
      <c r="M407" s="572" t="n"/>
      <c r="N407" s="572" t="n"/>
    </row>
    <row r="408" ht="15.75" customHeight="1" s="341">
      <c r="A408" s="569" t="n">
        <v>399</v>
      </c>
      <c r="B408" s="570" t="n"/>
      <c r="C408" s="570" t="n"/>
      <c r="D408" s="570" t="n"/>
      <c r="E408" s="570" t="n"/>
      <c r="F408" s="570" t="n"/>
      <c r="G408" s="570" t="n"/>
      <c r="H408" s="570" t="n"/>
      <c r="I408" s="570" t="n"/>
      <c r="J408" s="570" t="n"/>
      <c r="K408" s="570" t="n"/>
      <c r="L408" s="570" t="n"/>
      <c r="M408" s="570" t="n"/>
      <c r="N408" s="570" t="n"/>
    </row>
    <row r="409" ht="15.75" customHeight="1" s="341">
      <c r="A409" s="571" t="n">
        <v>400</v>
      </c>
      <c r="B409" s="572" t="n"/>
      <c r="C409" s="572" t="n"/>
      <c r="D409" s="572" t="n"/>
      <c r="E409" s="572" t="n"/>
      <c r="F409" s="572" t="n"/>
      <c r="G409" s="572" t="n"/>
      <c r="H409" s="572" t="n"/>
      <c r="I409" s="572" t="n"/>
      <c r="J409" s="572" t="n"/>
      <c r="K409" s="572" t="n"/>
      <c r="L409" s="572" t="n"/>
      <c r="M409" s="572" t="n"/>
      <c r="N409" s="572" t="n"/>
    </row>
    <row r="410" ht="15.75" customHeight="1" s="341">
      <c r="A410" s="569" t="n">
        <v>401</v>
      </c>
      <c r="B410" s="570" t="n"/>
      <c r="C410" s="570" t="n"/>
      <c r="D410" s="570" t="n"/>
      <c r="E410" s="570" t="n"/>
      <c r="F410" s="570" t="n"/>
      <c r="G410" s="570" t="n"/>
      <c r="H410" s="570" t="n"/>
      <c r="I410" s="570" t="n"/>
      <c r="J410" s="570" t="n"/>
      <c r="K410" s="570" t="n"/>
      <c r="L410" s="570" t="n"/>
      <c r="M410" s="570" t="n"/>
      <c r="N410" s="570" t="n"/>
    </row>
    <row r="411" ht="15.75" customHeight="1" s="341">
      <c r="A411" s="571" t="n">
        <v>402</v>
      </c>
      <c r="B411" s="572" t="n"/>
      <c r="C411" s="572" t="n"/>
      <c r="D411" s="572" t="n"/>
      <c r="E411" s="572" t="n"/>
      <c r="F411" s="572" t="n"/>
      <c r="G411" s="572" t="n"/>
      <c r="H411" s="572" t="n"/>
      <c r="I411" s="572" t="n"/>
      <c r="J411" s="572" t="n"/>
      <c r="K411" s="572" t="n"/>
      <c r="L411" s="572" t="n"/>
      <c r="M411" s="572" t="n"/>
      <c r="N411" s="572" t="n"/>
    </row>
    <row r="412" ht="15.75" customHeight="1" s="341">
      <c r="A412" s="569" t="n">
        <v>403</v>
      </c>
      <c r="B412" s="570" t="n"/>
      <c r="C412" s="570" t="n"/>
      <c r="D412" s="570" t="n"/>
      <c r="E412" s="570" t="n"/>
      <c r="F412" s="570" t="n"/>
      <c r="G412" s="570" t="n"/>
      <c r="H412" s="570" t="n"/>
      <c r="I412" s="570" t="n"/>
      <c r="J412" s="570" t="n"/>
      <c r="K412" s="570" t="n"/>
      <c r="L412" s="570" t="n"/>
      <c r="M412" s="570" t="n"/>
      <c r="N412" s="570" t="n"/>
    </row>
    <row r="413" ht="15.75" customHeight="1" s="341">
      <c r="A413" s="571" t="n">
        <v>404</v>
      </c>
      <c r="B413" s="572" t="n"/>
      <c r="C413" s="572" t="n"/>
      <c r="D413" s="572" t="n"/>
      <c r="E413" s="572" t="n"/>
      <c r="F413" s="572" t="n"/>
      <c r="G413" s="572" t="n"/>
      <c r="H413" s="572" t="n"/>
      <c r="I413" s="572" t="n"/>
      <c r="J413" s="572" t="n"/>
      <c r="K413" s="572" t="n"/>
      <c r="L413" s="572" t="n"/>
      <c r="M413" s="572" t="n"/>
      <c r="N413" s="572" t="n"/>
    </row>
    <row r="414" ht="15.75" customHeight="1" s="341">
      <c r="A414" s="569" t="n">
        <v>405</v>
      </c>
      <c r="B414" s="570" t="n"/>
      <c r="C414" s="570" t="n"/>
      <c r="D414" s="570" t="n"/>
      <c r="E414" s="570" t="n"/>
      <c r="F414" s="570" t="n"/>
      <c r="G414" s="570" t="n"/>
      <c r="H414" s="570" t="n"/>
      <c r="I414" s="570" t="n"/>
      <c r="J414" s="570" t="n"/>
      <c r="K414" s="570" t="n"/>
      <c r="L414" s="570" t="n"/>
      <c r="M414" s="570" t="n"/>
      <c r="N414" s="570" t="n"/>
    </row>
    <row r="415" ht="15.75" customHeight="1" s="341">
      <c r="A415" s="571" t="n">
        <v>406</v>
      </c>
      <c r="B415" s="572" t="n"/>
      <c r="C415" s="572" t="n"/>
      <c r="D415" s="572" t="n"/>
      <c r="E415" s="572" t="n"/>
      <c r="F415" s="572" t="n"/>
      <c r="G415" s="572" t="n"/>
      <c r="H415" s="572" t="n"/>
      <c r="I415" s="572" t="n"/>
      <c r="J415" s="572" t="n"/>
      <c r="K415" s="572" t="n"/>
      <c r="L415" s="572" t="n"/>
      <c r="M415" s="572" t="n"/>
      <c r="N415" s="572" t="n"/>
    </row>
    <row r="416" ht="15.75" customHeight="1" s="341">
      <c r="A416" s="569" t="n">
        <v>407</v>
      </c>
      <c r="B416" s="570" t="n"/>
      <c r="C416" s="570" t="n"/>
      <c r="D416" s="570" t="n"/>
      <c r="E416" s="570" t="n"/>
      <c r="F416" s="570" t="n"/>
      <c r="G416" s="570" t="n"/>
      <c r="H416" s="570" t="n"/>
      <c r="I416" s="570" t="n"/>
      <c r="J416" s="570" t="n"/>
      <c r="K416" s="570" t="n"/>
      <c r="L416" s="570" t="n"/>
      <c r="M416" s="570" t="n"/>
      <c r="N416" s="570" t="n"/>
    </row>
    <row r="417" ht="15.75" customHeight="1" s="341">
      <c r="A417" s="571" t="n">
        <v>408</v>
      </c>
      <c r="B417" s="572" t="n"/>
      <c r="C417" s="572" t="n"/>
      <c r="D417" s="572" t="n"/>
      <c r="E417" s="572" t="n"/>
      <c r="F417" s="572" t="n"/>
      <c r="G417" s="572" t="n"/>
      <c r="H417" s="572" t="n"/>
      <c r="I417" s="572" t="n"/>
      <c r="J417" s="572" t="n"/>
      <c r="K417" s="572" t="n"/>
      <c r="L417" s="572" t="n"/>
      <c r="M417" s="572" t="n"/>
      <c r="N417" s="572" t="n"/>
    </row>
    <row r="418" ht="15.75" customHeight="1" s="341">
      <c r="A418" s="569" t="n">
        <v>409</v>
      </c>
      <c r="B418" s="570" t="n"/>
      <c r="C418" s="570" t="n"/>
      <c r="D418" s="570" t="n"/>
      <c r="E418" s="570" t="n"/>
      <c r="F418" s="570" t="n"/>
      <c r="G418" s="570" t="n"/>
      <c r="H418" s="570" t="n"/>
      <c r="I418" s="570" t="n"/>
      <c r="J418" s="570" t="n"/>
      <c r="K418" s="570" t="n"/>
      <c r="L418" s="570" t="n"/>
      <c r="M418" s="570" t="n"/>
      <c r="N418" s="570" t="n"/>
    </row>
    <row r="419" ht="15.75" customHeight="1" s="341">
      <c r="A419" s="571" t="n">
        <v>410</v>
      </c>
      <c r="B419" s="572" t="n"/>
      <c r="C419" s="572" t="n"/>
      <c r="D419" s="572" t="n"/>
      <c r="E419" s="572" t="n"/>
      <c r="F419" s="572" t="n"/>
      <c r="G419" s="572" t="n"/>
      <c r="H419" s="572" t="n"/>
      <c r="I419" s="572" t="n"/>
      <c r="J419" s="572" t="n"/>
      <c r="K419" s="572" t="n"/>
      <c r="L419" s="572" t="n"/>
      <c r="M419" s="572" t="n"/>
      <c r="N419" s="572" t="n"/>
    </row>
    <row r="420" ht="15.75" customHeight="1" s="341">
      <c r="A420" s="569" t="n">
        <v>411</v>
      </c>
      <c r="B420" s="570" t="n"/>
      <c r="C420" s="570" t="n"/>
      <c r="D420" s="570" t="n"/>
      <c r="E420" s="570" t="n"/>
      <c r="F420" s="570" t="n"/>
      <c r="G420" s="570" t="n"/>
      <c r="H420" s="570" t="n"/>
      <c r="I420" s="570" t="n"/>
      <c r="J420" s="570" t="n"/>
      <c r="K420" s="570" t="n"/>
      <c r="L420" s="570" t="n"/>
      <c r="M420" s="570" t="n"/>
      <c r="N420" s="570" t="n"/>
    </row>
    <row r="421" ht="15.75" customHeight="1" s="341">
      <c r="A421" s="571" t="n">
        <v>412</v>
      </c>
      <c r="B421" s="572" t="n"/>
      <c r="C421" s="572" t="n"/>
      <c r="D421" s="572" t="n"/>
      <c r="E421" s="572" t="n"/>
      <c r="F421" s="572" t="n"/>
      <c r="G421" s="572" t="n"/>
      <c r="H421" s="572" t="n"/>
      <c r="I421" s="572" t="n"/>
      <c r="J421" s="572" t="n"/>
      <c r="K421" s="572" t="n"/>
      <c r="L421" s="572" t="n"/>
      <c r="M421" s="572" t="n"/>
      <c r="N421" s="572" t="n"/>
    </row>
    <row r="422" ht="15.75" customHeight="1" s="341">
      <c r="A422" s="569" t="n">
        <v>413</v>
      </c>
      <c r="B422" s="570" t="n"/>
      <c r="C422" s="570" t="n"/>
      <c r="D422" s="570" t="n"/>
      <c r="E422" s="570" t="n"/>
      <c r="F422" s="570" t="n"/>
      <c r="G422" s="570" t="n"/>
      <c r="H422" s="570" t="n"/>
      <c r="I422" s="570" t="n"/>
      <c r="J422" s="570" t="n"/>
      <c r="K422" s="570" t="n"/>
      <c r="L422" s="570" t="n"/>
      <c r="M422" s="570" t="n"/>
      <c r="N422" s="570" t="n"/>
    </row>
    <row r="423" ht="15.75" customHeight="1" s="341">
      <c r="A423" s="571" t="n">
        <v>414</v>
      </c>
      <c r="B423" s="572" t="n"/>
      <c r="C423" s="572" t="n"/>
      <c r="D423" s="572" t="n"/>
      <c r="E423" s="572" t="n"/>
      <c r="F423" s="572" t="n"/>
      <c r="G423" s="572" t="n"/>
      <c r="H423" s="572" t="n"/>
      <c r="I423" s="572" t="n"/>
      <c r="J423" s="572" t="n"/>
      <c r="K423" s="572" t="n"/>
      <c r="L423" s="572" t="n"/>
      <c r="M423" s="572" t="n"/>
      <c r="N423" s="572" t="n"/>
    </row>
    <row r="424" ht="15.75" customHeight="1" s="341">
      <c r="A424" s="569" t="n">
        <v>415</v>
      </c>
      <c r="B424" s="570" t="n"/>
      <c r="C424" s="570" t="n"/>
      <c r="D424" s="570" t="n"/>
      <c r="E424" s="570" t="n"/>
      <c r="F424" s="570" t="n"/>
      <c r="G424" s="570" t="n"/>
      <c r="H424" s="570" t="n"/>
      <c r="I424" s="570" t="n"/>
      <c r="J424" s="570" t="n"/>
      <c r="K424" s="570" t="n"/>
      <c r="L424" s="570" t="n"/>
      <c r="M424" s="570" t="n"/>
      <c r="N424" s="570" t="n"/>
    </row>
    <row r="425" ht="15.75" customHeight="1" s="341">
      <c r="A425" s="571" t="n">
        <v>416</v>
      </c>
      <c r="B425" s="572" t="n"/>
      <c r="C425" s="572" t="n"/>
      <c r="D425" s="572" t="n"/>
      <c r="E425" s="572" t="n"/>
      <c r="F425" s="572" t="n"/>
      <c r="G425" s="572" t="n"/>
      <c r="H425" s="572" t="n"/>
      <c r="I425" s="572" t="n"/>
      <c r="J425" s="572" t="n"/>
      <c r="K425" s="572" t="n"/>
      <c r="L425" s="572" t="n"/>
      <c r="M425" s="572" t="n"/>
      <c r="N425" s="572" t="n"/>
    </row>
    <row r="426" ht="15.75" customHeight="1" s="341">
      <c r="A426" s="569" t="n">
        <v>417</v>
      </c>
      <c r="B426" s="570" t="n"/>
      <c r="C426" s="570" t="n"/>
      <c r="D426" s="570" t="n"/>
      <c r="E426" s="570" t="n"/>
      <c r="F426" s="570" t="n"/>
      <c r="G426" s="570" t="n"/>
      <c r="H426" s="570" t="n"/>
      <c r="I426" s="570" t="n"/>
      <c r="J426" s="570" t="n"/>
      <c r="K426" s="570" t="n"/>
      <c r="L426" s="570" t="n"/>
      <c r="M426" s="570" t="n"/>
      <c r="N426" s="570" t="n"/>
    </row>
    <row r="427" ht="15.75" customHeight="1" s="341">
      <c r="A427" s="571" t="n">
        <v>418</v>
      </c>
      <c r="B427" s="572" t="n"/>
      <c r="C427" s="572" t="n"/>
      <c r="D427" s="572" t="n"/>
      <c r="E427" s="572" t="n"/>
      <c r="F427" s="572" t="n"/>
      <c r="G427" s="572" t="n"/>
      <c r="H427" s="572" t="n"/>
      <c r="I427" s="572" t="n"/>
      <c r="J427" s="572" t="n"/>
      <c r="K427" s="572" t="n"/>
      <c r="L427" s="572" t="n"/>
      <c r="M427" s="572" t="n"/>
      <c r="N427" s="572" t="n"/>
    </row>
    <row r="428" ht="15.75" customHeight="1" s="341">
      <c r="A428" s="569" t="n">
        <v>419</v>
      </c>
      <c r="B428" s="570" t="n"/>
      <c r="C428" s="570" t="n"/>
      <c r="D428" s="570" t="n"/>
      <c r="E428" s="570" t="n"/>
      <c r="F428" s="570" t="n"/>
      <c r="G428" s="570" t="n"/>
      <c r="H428" s="570" t="n"/>
      <c r="I428" s="570" t="n"/>
      <c r="J428" s="570" t="n"/>
      <c r="K428" s="570" t="n"/>
      <c r="L428" s="570" t="n"/>
      <c r="M428" s="570" t="n"/>
      <c r="N428" s="570" t="n"/>
    </row>
    <row r="429" ht="15.75" customHeight="1" s="341">
      <c r="A429" s="571" t="n">
        <v>420</v>
      </c>
      <c r="B429" s="572" t="n"/>
      <c r="C429" s="572" t="n"/>
      <c r="D429" s="572" t="n"/>
      <c r="E429" s="572" t="n"/>
      <c r="F429" s="572" t="n"/>
      <c r="G429" s="572" t="n"/>
      <c r="H429" s="572" t="n"/>
      <c r="I429" s="572" t="n"/>
      <c r="J429" s="572" t="n"/>
      <c r="K429" s="572" t="n"/>
      <c r="L429" s="572" t="n"/>
      <c r="M429" s="572" t="n"/>
      <c r="N429" s="572" t="n"/>
    </row>
    <row r="430" ht="15.75" customHeight="1" s="341">
      <c r="A430" s="569" t="n">
        <v>421</v>
      </c>
      <c r="B430" s="570" t="n"/>
      <c r="C430" s="570" t="n"/>
      <c r="D430" s="570" t="n"/>
      <c r="E430" s="570" t="n"/>
      <c r="F430" s="570" t="n"/>
      <c r="G430" s="570" t="n"/>
      <c r="H430" s="570" t="n"/>
      <c r="I430" s="570" t="n"/>
      <c r="J430" s="570" t="n"/>
      <c r="K430" s="570" t="n"/>
      <c r="L430" s="570" t="n"/>
      <c r="M430" s="570" t="n"/>
      <c r="N430" s="570" t="n"/>
    </row>
    <row r="431" ht="15.75" customHeight="1" s="341">
      <c r="A431" s="571" t="n">
        <v>422</v>
      </c>
      <c r="B431" s="572" t="n"/>
      <c r="C431" s="572" t="n"/>
      <c r="D431" s="572" t="n"/>
      <c r="E431" s="572" t="n"/>
      <c r="F431" s="572" t="n"/>
      <c r="G431" s="572" t="n"/>
      <c r="H431" s="572" t="n"/>
      <c r="I431" s="572" t="n"/>
      <c r="J431" s="572" t="n"/>
      <c r="K431" s="572" t="n"/>
      <c r="L431" s="572" t="n"/>
      <c r="M431" s="572" t="n"/>
      <c r="N431" s="572" t="n"/>
    </row>
    <row r="432" ht="15.75" customHeight="1" s="341">
      <c r="A432" s="569" t="n">
        <v>423</v>
      </c>
      <c r="B432" s="570" t="n"/>
      <c r="C432" s="570" t="n"/>
      <c r="D432" s="570" t="n"/>
      <c r="E432" s="570" t="n"/>
      <c r="F432" s="570" t="n"/>
      <c r="G432" s="570" t="n"/>
      <c r="H432" s="570" t="n"/>
      <c r="I432" s="570" t="n"/>
      <c r="J432" s="570" t="n"/>
      <c r="K432" s="570" t="n"/>
      <c r="L432" s="570" t="n"/>
      <c r="M432" s="570" t="n"/>
      <c r="N432" s="570" t="n"/>
    </row>
    <row r="433" ht="15.75" customHeight="1" s="341">
      <c r="A433" s="571" t="n">
        <v>424</v>
      </c>
      <c r="B433" s="572" t="n"/>
      <c r="C433" s="572" t="n"/>
      <c r="D433" s="572" t="n"/>
      <c r="E433" s="572" t="n"/>
      <c r="F433" s="572" t="n"/>
      <c r="G433" s="572" t="n"/>
      <c r="H433" s="572" t="n"/>
      <c r="I433" s="572" t="n"/>
      <c r="J433" s="572" t="n"/>
      <c r="K433" s="572" t="n"/>
      <c r="L433" s="572" t="n"/>
      <c r="M433" s="572" t="n"/>
      <c r="N433" s="572" t="n"/>
    </row>
    <row r="434" ht="15.75" customHeight="1" s="341">
      <c r="A434" s="569" t="n">
        <v>425</v>
      </c>
      <c r="B434" s="570" t="n"/>
      <c r="C434" s="570" t="n"/>
      <c r="D434" s="570" t="n"/>
      <c r="E434" s="570" t="n"/>
      <c r="F434" s="570" t="n"/>
      <c r="G434" s="570" t="n"/>
      <c r="H434" s="570" t="n"/>
      <c r="I434" s="570" t="n"/>
      <c r="J434" s="570" t="n"/>
      <c r="K434" s="570" t="n"/>
      <c r="L434" s="570" t="n"/>
      <c r="M434" s="570" t="n"/>
      <c r="N434" s="570" t="n"/>
    </row>
    <row r="435" ht="15.75" customHeight="1" s="341">
      <c r="A435" s="571" t="n">
        <v>426</v>
      </c>
      <c r="B435" s="572" t="n"/>
      <c r="C435" s="572" t="n"/>
      <c r="D435" s="572" t="n"/>
      <c r="E435" s="572" t="n"/>
      <c r="F435" s="572" t="n"/>
      <c r="G435" s="572" t="n"/>
      <c r="H435" s="572" t="n"/>
      <c r="I435" s="572" t="n"/>
      <c r="J435" s="572" t="n"/>
      <c r="K435" s="572" t="n"/>
      <c r="L435" s="572" t="n"/>
      <c r="M435" s="572" t="n"/>
      <c r="N435" s="572" t="n"/>
    </row>
    <row r="436" ht="15.75" customHeight="1" s="341">
      <c r="A436" s="569" t="n">
        <v>427</v>
      </c>
      <c r="B436" s="570" t="n"/>
      <c r="C436" s="570" t="n"/>
      <c r="D436" s="570" t="n"/>
      <c r="E436" s="570" t="n"/>
      <c r="F436" s="570" t="n"/>
      <c r="G436" s="570" t="n"/>
      <c r="H436" s="570" t="n"/>
      <c r="I436" s="570" t="n"/>
      <c r="J436" s="570" t="n"/>
      <c r="K436" s="570" t="n"/>
      <c r="L436" s="570" t="n"/>
      <c r="M436" s="570" t="n"/>
      <c r="N436" s="570" t="n"/>
    </row>
    <row r="437" ht="15.75" customHeight="1" s="341">
      <c r="A437" s="571" t="n">
        <v>428</v>
      </c>
      <c r="B437" s="572" t="n"/>
      <c r="C437" s="572" t="n"/>
      <c r="D437" s="572" t="n"/>
      <c r="E437" s="572" t="n"/>
      <c r="F437" s="572" t="n"/>
      <c r="G437" s="572" t="n"/>
      <c r="H437" s="572" t="n"/>
      <c r="I437" s="572" t="n"/>
      <c r="J437" s="572" t="n"/>
      <c r="K437" s="572" t="n"/>
      <c r="L437" s="572" t="n"/>
      <c r="M437" s="572" t="n"/>
      <c r="N437" s="572" t="n"/>
    </row>
    <row r="438" ht="15.75" customHeight="1" s="341">
      <c r="A438" s="569" t="n">
        <v>429</v>
      </c>
      <c r="B438" s="570" t="n"/>
      <c r="C438" s="570" t="n"/>
      <c r="D438" s="570" t="n"/>
      <c r="E438" s="570" t="n"/>
      <c r="F438" s="570" t="n"/>
      <c r="G438" s="570" t="n"/>
      <c r="H438" s="570" t="n"/>
      <c r="I438" s="570" t="n"/>
      <c r="J438" s="570" t="n"/>
      <c r="K438" s="570" t="n"/>
      <c r="L438" s="570" t="n"/>
      <c r="M438" s="570" t="n"/>
      <c r="N438" s="570" t="n"/>
    </row>
    <row r="439" ht="15.75" customHeight="1" s="341">
      <c r="A439" s="571" t="n">
        <v>430</v>
      </c>
      <c r="B439" s="572" t="n"/>
      <c r="C439" s="572" t="n"/>
      <c r="D439" s="572" t="n"/>
      <c r="E439" s="572" t="n"/>
      <c r="F439" s="572" t="n"/>
      <c r="G439" s="572" t="n"/>
      <c r="H439" s="572" t="n"/>
      <c r="I439" s="572" t="n"/>
      <c r="J439" s="572" t="n"/>
      <c r="K439" s="572" t="n"/>
      <c r="L439" s="572" t="n"/>
      <c r="M439" s="572" t="n"/>
      <c r="N439" s="572" t="n"/>
    </row>
    <row r="440" ht="15.75" customHeight="1" s="341">
      <c r="A440" s="569" t="n">
        <v>431</v>
      </c>
      <c r="B440" s="570" t="n"/>
      <c r="C440" s="570" t="n"/>
      <c r="D440" s="570" t="n"/>
      <c r="E440" s="570" t="n"/>
      <c r="F440" s="570" t="n"/>
      <c r="G440" s="570" t="n"/>
      <c r="H440" s="570" t="n"/>
      <c r="I440" s="570" t="n"/>
      <c r="J440" s="570" t="n"/>
      <c r="K440" s="570" t="n"/>
      <c r="L440" s="570" t="n"/>
      <c r="M440" s="570" t="n"/>
      <c r="N440" s="570" t="n"/>
    </row>
    <row r="441" ht="15.75" customHeight="1" s="341">
      <c r="A441" s="571" t="n">
        <v>432</v>
      </c>
      <c r="B441" s="572" t="n"/>
      <c r="C441" s="572" t="n"/>
      <c r="D441" s="572" t="n"/>
      <c r="E441" s="572" t="n"/>
      <c r="F441" s="572" t="n"/>
      <c r="G441" s="572" t="n"/>
      <c r="H441" s="572" t="n"/>
      <c r="I441" s="572" t="n"/>
      <c r="J441" s="572" t="n"/>
      <c r="K441" s="572" t="n"/>
      <c r="L441" s="572" t="n"/>
      <c r="M441" s="572" t="n"/>
      <c r="N441" s="572" t="n"/>
    </row>
    <row r="442" ht="15.75" customHeight="1" s="341">
      <c r="A442" s="569" t="n">
        <v>433</v>
      </c>
      <c r="B442" s="570" t="n"/>
      <c r="C442" s="570" t="n"/>
      <c r="D442" s="570" t="n"/>
      <c r="E442" s="570" t="n"/>
      <c r="F442" s="570" t="n"/>
      <c r="G442" s="570" t="n"/>
      <c r="H442" s="570" t="n"/>
      <c r="I442" s="570" t="n"/>
      <c r="J442" s="570" t="n"/>
      <c r="K442" s="570" t="n"/>
      <c r="L442" s="570" t="n"/>
      <c r="M442" s="570" t="n"/>
      <c r="N442" s="570" t="n"/>
    </row>
    <row r="443" ht="15.75" customHeight="1" s="341">
      <c r="A443" s="571" t="n">
        <v>434</v>
      </c>
      <c r="B443" s="572" t="n"/>
      <c r="C443" s="572" t="n"/>
      <c r="D443" s="572" t="n"/>
      <c r="E443" s="572" t="n"/>
      <c r="F443" s="572" t="n"/>
      <c r="G443" s="572" t="n"/>
      <c r="H443" s="572" t="n"/>
      <c r="I443" s="572" t="n"/>
      <c r="J443" s="572" t="n"/>
      <c r="K443" s="572" t="n"/>
      <c r="L443" s="572" t="n"/>
      <c r="M443" s="572" t="n"/>
      <c r="N443" s="572" t="n"/>
    </row>
    <row r="444" ht="15.75" customHeight="1" s="341">
      <c r="A444" s="569" t="n">
        <v>435</v>
      </c>
      <c r="B444" s="570" t="n"/>
      <c r="C444" s="570" t="n"/>
      <c r="D444" s="570" t="n"/>
      <c r="E444" s="570" t="n"/>
      <c r="F444" s="570" t="n"/>
      <c r="G444" s="570" t="n"/>
      <c r="H444" s="570" t="n"/>
      <c r="I444" s="570" t="n"/>
      <c r="J444" s="570" t="n"/>
      <c r="K444" s="570" t="n"/>
      <c r="L444" s="570" t="n"/>
      <c r="M444" s="570" t="n"/>
      <c r="N444" s="570" t="n"/>
    </row>
    <row r="445" ht="15.75" customHeight="1" s="341">
      <c r="A445" s="571" t="n">
        <v>436</v>
      </c>
      <c r="B445" s="572" t="n"/>
      <c r="C445" s="572" t="n"/>
      <c r="D445" s="572" t="n"/>
      <c r="E445" s="572" t="n"/>
      <c r="F445" s="572" t="n"/>
      <c r="G445" s="572" t="n"/>
      <c r="H445" s="572" t="n"/>
      <c r="I445" s="572" t="n"/>
      <c r="J445" s="572" t="n"/>
      <c r="K445" s="572" t="n"/>
      <c r="L445" s="572" t="n"/>
      <c r="M445" s="572" t="n"/>
      <c r="N445" s="572" t="n"/>
    </row>
    <row r="446" ht="15.75" customHeight="1" s="341">
      <c r="A446" s="569" t="n">
        <v>437</v>
      </c>
      <c r="B446" s="570" t="n"/>
      <c r="C446" s="570" t="n"/>
      <c r="D446" s="570" t="n"/>
      <c r="E446" s="570" t="n"/>
      <c r="F446" s="570" t="n"/>
      <c r="G446" s="570" t="n"/>
      <c r="H446" s="570" t="n"/>
      <c r="I446" s="570" t="n"/>
      <c r="J446" s="570" t="n"/>
      <c r="K446" s="570" t="n"/>
      <c r="L446" s="570" t="n"/>
      <c r="M446" s="570" t="n"/>
      <c r="N446" s="570" t="n"/>
    </row>
    <row r="447" ht="15.75" customHeight="1" s="341">
      <c r="A447" s="571" t="n">
        <v>438</v>
      </c>
      <c r="B447" s="572" t="n"/>
      <c r="C447" s="572" t="n"/>
      <c r="D447" s="572" t="n"/>
      <c r="E447" s="572" t="n"/>
      <c r="F447" s="572" t="n"/>
      <c r="G447" s="572" t="n"/>
      <c r="H447" s="572" t="n"/>
      <c r="I447" s="572" t="n"/>
      <c r="J447" s="572" t="n"/>
      <c r="K447" s="572" t="n"/>
      <c r="L447" s="572" t="n"/>
      <c r="M447" s="572" t="n"/>
      <c r="N447" s="572" t="n"/>
    </row>
    <row r="448" ht="15.75" customHeight="1" s="341">
      <c r="A448" s="569" t="n">
        <v>439</v>
      </c>
      <c r="B448" s="570" t="n"/>
      <c r="C448" s="570" t="n"/>
      <c r="D448" s="570" t="n"/>
      <c r="E448" s="570" t="n"/>
      <c r="F448" s="570" t="n"/>
      <c r="G448" s="570" t="n"/>
      <c r="H448" s="570" t="n"/>
      <c r="I448" s="570" t="n"/>
      <c r="J448" s="570" t="n"/>
      <c r="K448" s="570" t="n"/>
      <c r="L448" s="570" t="n"/>
      <c r="M448" s="570" t="n"/>
      <c r="N448" s="570" t="n"/>
    </row>
    <row r="449" ht="15.75" customHeight="1" s="341">
      <c r="A449" s="571" t="n">
        <v>440</v>
      </c>
      <c r="B449" s="572" t="n"/>
      <c r="C449" s="572" t="n"/>
      <c r="D449" s="572" t="n"/>
      <c r="E449" s="572" t="n"/>
      <c r="F449" s="572" t="n"/>
      <c r="G449" s="572" t="n"/>
      <c r="H449" s="572" t="n"/>
      <c r="I449" s="572" t="n"/>
      <c r="J449" s="572" t="n"/>
      <c r="K449" s="572" t="n"/>
      <c r="L449" s="572" t="n"/>
      <c r="M449" s="572" t="n"/>
      <c r="N449" s="572" t="n"/>
    </row>
    <row r="450" ht="15.75" customHeight="1" s="341">
      <c r="A450" s="569" t="n">
        <v>441</v>
      </c>
      <c r="B450" s="570" t="n"/>
      <c r="C450" s="570" t="n"/>
      <c r="D450" s="570" t="n"/>
      <c r="E450" s="570" t="n"/>
      <c r="F450" s="570" t="n"/>
      <c r="G450" s="570" t="n"/>
      <c r="H450" s="570" t="n"/>
      <c r="I450" s="570" t="n"/>
      <c r="J450" s="570" t="n"/>
      <c r="K450" s="570" t="n"/>
      <c r="L450" s="570" t="n"/>
      <c r="M450" s="570" t="n"/>
      <c r="N450" s="570" t="n"/>
    </row>
    <row r="451" ht="15.75" customHeight="1" s="341">
      <c r="A451" s="571" t="n">
        <v>442</v>
      </c>
      <c r="B451" s="572" t="n"/>
      <c r="C451" s="572" t="n"/>
      <c r="D451" s="572" t="n"/>
      <c r="E451" s="572" t="n"/>
      <c r="F451" s="572" t="n"/>
      <c r="G451" s="572" t="n"/>
      <c r="H451" s="572" t="n"/>
      <c r="I451" s="572" t="n"/>
      <c r="J451" s="572" t="n"/>
      <c r="K451" s="572" t="n"/>
      <c r="L451" s="572" t="n"/>
      <c r="M451" s="572" t="n"/>
      <c r="N451" s="572" t="n"/>
    </row>
    <row r="452" ht="15.75" customHeight="1" s="341">
      <c r="A452" s="569" t="n">
        <v>443</v>
      </c>
      <c r="B452" s="570" t="n"/>
      <c r="C452" s="570" t="n"/>
      <c r="D452" s="570" t="n"/>
      <c r="E452" s="570" t="n"/>
      <c r="F452" s="570" t="n"/>
      <c r="G452" s="570" t="n"/>
      <c r="H452" s="570" t="n"/>
      <c r="I452" s="570" t="n"/>
      <c r="J452" s="570" t="n"/>
      <c r="K452" s="570" t="n"/>
      <c r="L452" s="570" t="n"/>
      <c r="M452" s="570" t="n"/>
      <c r="N452" s="570" t="n"/>
    </row>
    <row r="453" ht="15.75" customHeight="1" s="341">
      <c r="A453" s="571" t="n">
        <v>444</v>
      </c>
      <c r="B453" s="572" t="n"/>
      <c r="C453" s="572" t="n"/>
      <c r="D453" s="572" t="n"/>
      <c r="E453" s="572" t="n"/>
      <c r="F453" s="572" t="n"/>
      <c r="G453" s="572" t="n"/>
      <c r="H453" s="572" t="n"/>
      <c r="I453" s="572" t="n"/>
      <c r="J453" s="572" t="n"/>
      <c r="K453" s="572" t="n"/>
      <c r="L453" s="572" t="n"/>
      <c r="M453" s="572" t="n"/>
      <c r="N453" s="572" t="n"/>
    </row>
    <row r="454" ht="15.75" customHeight="1" s="341">
      <c r="A454" s="569" t="n">
        <v>445</v>
      </c>
      <c r="B454" s="570" t="n"/>
      <c r="C454" s="570" t="n"/>
      <c r="D454" s="570" t="n"/>
      <c r="E454" s="570" t="n"/>
      <c r="F454" s="570" t="n"/>
      <c r="G454" s="570" t="n"/>
      <c r="H454" s="570" t="n"/>
      <c r="I454" s="570" t="n"/>
      <c r="J454" s="570" t="n"/>
      <c r="K454" s="570" t="n"/>
      <c r="L454" s="570" t="n"/>
      <c r="M454" s="570" t="n"/>
      <c r="N454" s="570" t="n"/>
    </row>
    <row r="455" ht="15.75" customHeight="1" s="341">
      <c r="A455" s="571" t="n">
        <v>446</v>
      </c>
      <c r="B455" s="572" t="n"/>
      <c r="C455" s="572" t="n"/>
      <c r="D455" s="572" t="n"/>
      <c r="E455" s="572" t="n"/>
      <c r="F455" s="572" t="n"/>
      <c r="G455" s="572" t="n"/>
      <c r="H455" s="572" t="n"/>
      <c r="I455" s="572" t="n"/>
      <c r="J455" s="572" t="n"/>
      <c r="K455" s="572" t="n"/>
      <c r="L455" s="572" t="n"/>
      <c r="M455" s="572" t="n"/>
      <c r="N455" s="572" t="n"/>
    </row>
    <row r="456" ht="15.75" customHeight="1" s="341">
      <c r="A456" s="569" t="n">
        <v>447</v>
      </c>
      <c r="B456" s="570" t="n"/>
      <c r="C456" s="570" t="n"/>
      <c r="D456" s="570" t="n"/>
      <c r="E456" s="570" t="n"/>
      <c r="F456" s="570" t="n"/>
      <c r="G456" s="570" t="n"/>
      <c r="H456" s="570" t="n"/>
      <c r="I456" s="570" t="n"/>
      <c r="J456" s="570" t="n"/>
      <c r="K456" s="570" t="n"/>
      <c r="L456" s="570" t="n"/>
      <c r="M456" s="570" t="n"/>
      <c r="N456" s="570" t="n"/>
    </row>
    <row r="457" ht="15.75" customHeight="1" s="341">
      <c r="A457" s="571" t="n">
        <v>448</v>
      </c>
      <c r="B457" s="572" t="n"/>
      <c r="C457" s="572" t="n"/>
      <c r="D457" s="572" t="n"/>
      <c r="E457" s="572" t="n"/>
      <c r="F457" s="572" t="n"/>
      <c r="G457" s="572" t="n"/>
      <c r="H457" s="572" t="n"/>
      <c r="I457" s="572" t="n"/>
      <c r="J457" s="572" t="n"/>
      <c r="K457" s="572" t="n"/>
      <c r="L457" s="572" t="n"/>
      <c r="M457" s="572" t="n"/>
      <c r="N457" s="572" t="n"/>
    </row>
    <row r="458" ht="15.75" customHeight="1" s="341">
      <c r="A458" s="569" t="n">
        <v>449</v>
      </c>
      <c r="B458" s="570" t="n"/>
      <c r="C458" s="570" t="n"/>
      <c r="D458" s="570" t="n"/>
      <c r="E458" s="570" t="n"/>
      <c r="F458" s="570" t="n"/>
      <c r="G458" s="570" t="n"/>
      <c r="H458" s="570" t="n"/>
      <c r="I458" s="570" t="n"/>
      <c r="J458" s="570" t="n"/>
      <c r="K458" s="570" t="n"/>
      <c r="L458" s="570" t="n"/>
      <c r="M458" s="570" t="n"/>
      <c r="N458" s="570" t="n"/>
    </row>
    <row r="459" ht="15.75" customHeight="1" s="341">
      <c r="A459" s="571" t="n">
        <v>450</v>
      </c>
      <c r="B459" s="572" t="n"/>
      <c r="C459" s="572" t="n"/>
      <c r="D459" s="572" t="n"/>
      <c r="E459" s="572" t="n"/>
      <c r="F459" s="572" t="n"/>
      <c r="G459" s="572" t="n"/>
      <c r="H459" s="572" t="n"/>
      <c r="I459" s="572" t="n"/>
      <c r="J459" s="572" t="n"/>
      <c r="K459" s="572" t="n"/>
      <c r="L459" s="572" t="n"/>
      <c r="M459" s="572" t="n"/>
      <c r="N459" s="572" t="n"/>
    </row>
    <row r="460" ht="15.75" customHeight="1" s="341">
      <c r="A460" s="569" t="n">
        <v>451</v>
      </c>
      <c r="B460" s="570" t="n"/>
      <c r="C460" s="570" t="n"/>
      <c r="D460" s="570" t="n"/>
      <c r="E460" s="570" t="n"/>
      <c r="F460" s="570" t="n"/>
      <c r="G460" s="570" t="n"/>
      <c r="H460" s="570" t="n"/>
      <c r="I460" s="570" t="n"/>
      <c r="J460" s="570" t="n"/>
      <c r="K460" s="570" t="n"/>
      <c r="L460" s="570" t="n"/>
      <c r="M460" s="570" t="n"/>
      <c r="N460" s="570" t="n"/>
    </row>
    <row r="461" ht="15.75" customHeight="1" s="341">
      <c r="A461" s="571" t="n">
        <v>452</v>
      </c>
      <c r="B461" s="572" t="n"/>
      <c r="C461" s="572" t="n"/>
      <c r="D461" s="572" t="n"/>
      <c r="E461" s="572" t="n"/>
      <c r="F461" s="572" t="n"/>
      <c r="G461" s="572" t="n"/>
      <c r="H461" s="572" t="n"/>
      <c r="I461" s="572" t="n"/>
      <c r="J461" s="572" t="n"/>
      <c r="K461" s="572" t="n"/>
      <c r="L461" s="572" t="n"/>
      <c r="M461" s="572" t="n"/>
      <c r="N461" s="572" t="n"/>
    </row>
    <row r="462" ht="15.75" customHeight="1" s="341">
      <c r="A462" s="569" t="n">
        <v>453</v>
      </c>
      <c r="B462" s="570" t="n"/>
      <c r="C462" s="570" t="n"/>
      <c r="D462" s="570" t="n"/>
      <c r="E462" s="570" t="n"/>
      <c r="F462" s="570" t="n"/>
      <c r="G462" s="570" t="n"/>
      <c r="H462" s="570" t="n"/>
      <c r="I462" s="570" t="n"/>
      <c r="J462" s="570" t="n"/>
      <c r="K462" s="570" t="n"/>
      <c r="L462" s="570" t="n"/>
      <c r="M462" s="570" t="n"/>
      <c r="N462" s="570" t="n"/>
    </row>
    <row r="463" ht="15.75" customHeight="1" s="341">
      <c r="A463" s="571" t="n">
        <v>454</v>
      </c>
      <c r="B463" s="572" t="n"/>
      <c r="C463" s="572" t="n"/>
      <c r="D463" s="572" t="n"/>
      <c r="E463" s="572" t="n"/>
      <c r="F463" s="572" t="n"/>
      <c r="G463" s="572" t="n"/>
      <c r="H463" s="572" t="n"/>
      <c r="I463" s="572" t="n"/>
      <c r="J463" s="572" t="n"/>
      <c r="K463" s="572" t="n"/>
      <c r="L463" s="572" t="n"/>
      <c r="M463" s="572" t="n"/>
      <c r="N463" s="572" t="n"/>
    </row>
    <row r="464" ht="15.75" customHeight="1" s="341">
      <c r="A464" s="569" t="n">
        <v>455</v>
      </c>
      <c r="B464" s="570" t="n"/>
      <c r="C464" s="570" t="n"/>
      <c r="D464" s="570" t="n"/>
      <c r="E464" s="570" t="n"/>
      <c r="F464" s="570" t="n"/>
      <c r="G464" s="570" t="n"/>
      <c r="H464" s="570" t="n"/>
      <c r="I464" s="570" t="n"/>
      <c r="J464" s="570" t="n"/>
      <c r="K464" s="570" t="n"/>
      <c r="L464" s="570" t="n"/>
      <c r="M464" s="570" t="n"/>
      <c r="N464" s="570" t="n"/>
    </row>
    <row r="465" ht="15.75" customHeight="1" s="341">
      <c r="A465" s="571" t="n">
        <v>456</v>
      </c>
      <c r="B465" s="572" t="n"/>
      <c r="C465" s="572" t="n"/>
      <c r="D465" s="572" t="n"/>
      <c r="E465" s="572" t="n"/>
      <c r="F465" s="572" t="n"/>
      <c r="G465" s="572" t="n"/>
      <c r="H465" s="572" t="n"/>
      <c r="I465" s="572" t="n"/>
      <c r="J465" s="572" t="n"/>
      <c r="K465" s="572" t="n"/>
      <c r="L465" s="572" t="n"/>
      <c r="M465" s="572" t="n"/>
      <c r="N465" s="572" t="n"/>
    </row>
    <row r="466" ht="15.75" customHeight="1" s="341">
      <c r="A466" s="569" t="n">
        <v>457</v>
      </c>
      <c r="B466" s="570" t="n"/>
      <c r="C466" s="570" t="n"/>
      <c r="D466" s="570" t="n"/>
      <c r="E466" s="570" t="n"/>
      <c r="F466" s="570" t="n"/>
      <c r="G466" s="570" t="n"/>
      <c r="H466" s="570" t="n"/>
      <c r="I466" s="570" t="n"/>
      <c r="J466" s="570" t="n"/>
      <c r="K466" s="570" t="n"/>
      <c r="L466" s="570" t="n"/>
      <c r="M466" s="570" t="n"/>
      <c r="N466" s="570" t="n"/>
    </row>
    <row r="467" ht="15.75" customHeight="1" s="341">
      <c r="A467" s="571" t="n">
        <v>458</v>
      </c>
      <c r="B467" s="572" t="n"/>
      <c r="C467" s="572" t="n"/>
      <c r="D467" s="572" t="n"/>
      <c r="E467" s="572" t="n"/>
      <c r="F467" s="572" t="n"/>
      <c r="G467" s="572" t="n"/>
      <c r="H467" s="572" t="n"/>
      <c r="I467" s="572" t="n"/>
      <c r="J467" s="572" t="n"/>
      <c r="K467" s="572" t="n"/>
      <c r="L467" s="572" t="n"/>
      <c r="M467" s="572" t="n"/>
      <c r="N467" s="572" t="n"/>
    </row>
    <row r="468" ht="15.75" customHeight="1" s="341">
      <c r="A468" s="569" t="n">
        <v>459</v>
      </c>
      <c r="B468" s="570" t="n"/>
      <c r="C468" s="570" t="n"/>
      <c r="D468" s="570" t="n"/>
      <c r="E468" s="570" t="n"/>
      <c r="F468" s="570" t="n"/>
      <c r="G468" s="570" t="n"/>
      <c r="H468" s="570" t="n"/>
      <c r="I468" s="570" t="n"/>
      <c r="J468" s="570" t="n"/>
      <c r="K468" s="570" t="n"/>
      <c r="L468" s="570" t="n"/>
      <c r="M468" s="570" t="n"/>
      <c r="N468" s="570" t="n"/>
    </row>
    <row r="469" ht="15.75" customHeight="1" s="341">
      <c r="A469" s="571" t="n">
        <v>460</v>
      </c>
      <c r="B469" s="572" t="n"/>
      <c r="C469" s="572" t="n"/>
      <c r="D469" s="572" t="n"/>
      <c r="E469" s="572" t="n"/>
      <c r="F469" s="572" t="n"/>
      <c r="G469" s="572" t="n"/>
      <c r="H469" s="572" t="n"/>
      <c r="I469" s="572" t="n"/>
      <c r="J469" s="572" t="n"/>
      <c r="K469" s="572" t="n"/>
      <c r="L469" s="572" t="n"/>
      <c r="M469" s="572" t="n"/>
      <c r="N469" s="572" t="n"/>
    </row>
    <row r="470" ht="15.75" customHeight="1" s="341">
      <c r="A470" s="569" t="n">
        <v>461</v>
      </c>
      <c r="B470" s="570" t="n"/>
      <c r="C470" s="570" t="n"/>
      <c r="D470" s="570" t="n"/>
      <c r="E470" s="570" t="n"/>
      <c r="F470" s="570" t="n"/>
      <c r="G470" s="570" t="n"/>
      <c r="H470" s="570" t="n"/>
      <c r="I470" s="570" t="n"/>
      <c r="J470" s="570" t="n"/>
      <c r="K470" s="570" t="n"/>
      <c r="L470" s="570" t="n"/>
      <c r="M470" s="570" t="n"/>
      <c r="N470" s="570" t="n"/>
    </row>
    <row r="471" ht="15.75" customHeight="1" s="341">
      <c r="A471" s="571" t="n">
        <v>462</v>
      </c>
      <c r="B471" s="572" t="n"/>
      <c r="C471" s="572" t="n"/>
      <c r="D471" s="572" t="n"/>
      <c r="E471" s="572" t="n"/>
      <c r="F471" s="572" t="n"/>
      <c r="G471" s="572" t="n"/>
      <c r="H471" s="572" t="n"/>
      <c r="I471" s="572" t="n"/>
      <c r="J471" s="572" t="n"/>
      <c r="K471" s="572" t="n"/>
      <c r="L471" s="572" t="n"/>
      <c r="M471" s="572" t="n"/>
      <c r="N471" s="572" t="n"/>
    </row>
    <row r="472" ht="15.75" customHeight="1" s="341">
      <c r="A472" s="569" t="n">
        <v>463</v>
      </c>
      <c r="B472" s="570" t="n"/>
      <c r="C472" s="570" t="n"/>
      <c r="D472" s="570" t="n"/>
      <c r="E472" s="570" t="n"/>
      <c r="F472" s="570" t="n"/>
      <c r="G472" s="570" t="n"/>
      <c r="H472" s="570" t="n"/>
      <c r="I472" s="570" t="n"/>
      <c r="J472" s="570" t="n"/>
      <c r="K472" s="570" t="n"/>
      <c r="L472" s="570" t="n"/>
      <c r="M472" s="570" t="n"/>
      <c r="N472" s="570" t="n"/>
    </row>
    <row r="473" ht="15.75" customHeight="1" s="341">
      <c r="A473" s="571" t="n">
        <v>464</v>
      </c>
      <c r="B473" s="572" t="n"/>
      <c r="C473" s="572" t="n"/>
      <c r="D473" s="572" t="n"/>
      <c r="E473" s="572" t="n"/>
      <c r="F473" s="572" t="n"/>
      <c r="G473" s="572" t="n"/>
      <c r="H473" s="572" t="n"/>
      <c r="I473" s="572" t="n"/>
      <c r="J473" s="572" t="n"/>
      <c r="K473" s="572" t="n"/>
      <c r="L473" s="572" t="n"/>
      <c r="M473" s="572" t="n"/>
      <c r="N473" s="572" t="n"/>
    </row>
    <row r="474" ht="15.75" customHeight="1" s="341">
      <c r="A474" s="569" t="n">
        <v>465</v>
      </c>
      <c r="B474" s="570" t="n"/>
      <c r="C474" s="570" t="n"/>
      <c r="D474" s="570" t="n"/>
      <c r="E474" s="570" t="n"/>
      <c r="F474" s="570" t="n"/>
      <c r="G474" s="570" t="n"/>
      <c r="H474" s="570" t="n"/>
      <c r="I474" s="570" t="n"/>
      <c r="J474" s="570" t="n"/>
      <c r="K474" s="570" t="n"/>
      <c r="L474" s="570" t="n"/>
      <c r="M474" s="570" t="n"/>
      <c r="N474" s="570" t="n"/>
    </row>
    <row r="475" ht="15.75" customHeight="1" s="341">
      <c r="A475" s="571" t="n">
        <v>466</v>
      </c>
      <c r="B475" s="572" t="n"/>
      <c r="C475" s="572" t="n"/>
      <c r="D475" s="572" t="n"/>
      <c r="E475" s="572" t="n"/>
      <c r="F475" s="572" t="n"/>
      <c r="G475" s="572" t="n"/>
      <c r="H475" s="572" t="n"/>
      <c r="I475" s="572" t="n"/>
      <c r="J475" s="572" t="n"/>
      <c r="K475" s="572" t="n"/>
      <c r="L475" s="572" t="n"/>
      <c r="M475" s="572" t="n"/>
      <c r="N475" s="572" t="n"/>
    </row>
    <row r="476" ht="15.75" customHeight="1" s="341">
      <c r="A476" s="569" t="n">
        <v>467</v>
      </c>
      <c r="B476" s="570" t="n"/>
      <c r="C476" s="570" t="n"/>
      <c r="D476" s="570" t="n"/>
      <c r="E476" s="570" t="n"/>
      <c r="F476" s="570" t="n"/>
      <c r="G476" s="570" t="n"/>
      <c r="H476" s="570" t="n"/>
      <c r="I476" s="570" t="n"/>
      <c r="J476" s="570" t="n"/>
      <c r="K476" s="570" t="n"/>
      <c r="L476" s="570" t="n"/>
      <c r="M476" s="570" t="n"/>
      <c r="N476" s="570" t="n"/>
    </row>
    <row r="477" ht="15.75" customHeight="1" s="341">
      <c r="A477" s="571" t="n">
        <v>468</v>
      </c>
      <c r="B477" s="572" t="n"/>
      <c r="C477" s="572" t="n"/>
      <c r="D477" s="572" t="n"/>
      <c r="E477" s="572" t="n"/>
      <c r="F477" s="572" t="n"/>
      <c r="G477" s="572" t="n"/>
      <c r="H477" s="572" t="n"/>
      <c r="I477" s="572" t="n"/>
      <c r="J477" s="572" t="n"/>
      <c r="K477" s="572" t="n"/>
      <c r="L477" s="572" t="n"/>
      <c r="M477" s="572" t="n"/>
      <c r="N477" s="572" t="n"/>
    </row>
    <row r="478" ht="15.75" customHeight="1" s="341">
      <c r="A478" s="569" t="n">
        <v>469</v>
      </c>
      <c r="B478" s="570" t="n"/>
      <c r="C478" s="570" t="n"/>
      <c r="D478" s="570" t="n"/>
      <c r="E478" s="570" t="n"/>
      <c r="F478" s="570" t="n"/>
      <c r="G478" s="570" t="n"/>
      <c r="H478" s="570" t="n"/>
      <c r="I478" s="570" t="n"/>
      <c r="J478" s="570" t="n"/>
      <c r="K478" s="570" t="n"/>
      <c r="L478" s="570" t="n"/>
      <c r="M478" s="570" t="n"/>
      <c r="N478" s="570" t="n"/>
    </row>
    <row r="479" ht="15.75" customHeight="1" s="341">
      <c r="A479" s="571" t="n">
        <v>470</v>
      </c>
      <c r="B479" s="572" t="n"/>
      <c r="C479" s="572" t="n"/>
      <c r="D479" s="572" t="n"/>
      <c r="E479" s="572" t="n"/>
      <c r="F479" s="572" t="n"/>
      <c r="G479" s="572" t="n"/>
      <c r="H479" s="572" t="n"/>
      <c r="I479" s="572" t="n"/>
      <c r="J479" s="572" t="n"/>
      <c r="K479" s="572" t="n"/>
      <c r="L479" s="572" t="n"/>
      <c r="M479" s="572" t="n"/>
      <c r="N479" s="572" t="n"/>
    </row>
    <row r="480" ht="15.75" customHeight="1" s="341">
      <c r="A480" s="569" t="n">
        <v>471</v>
      </c>
      <c r="B480" s="570" t="n"/>
      <c r="C480" s="570" t="n"/>
      <c r="D480" s="570" t="n"/>
      <c r="E480" s="570" t="n"/>
      <c r="F480" s="570" t="n"/>
      <c r="G480" s="570" t="n"/>
      <c r="H480" s="570" t="n"/>
      <c r="I480" s="570" t="n"/>
      <c r="J480" s="570" t="n"/>
      <c r="K480" s="570" t="n"/>
      <c r="L480" s="570" t="n"/>
      <c r="M480" s="570" t="n"/>
      <c r="N480" s="570" t="n"/>
    </row>
    <row r="481" ht="15.75" customHeight="1" s="341">
      <c r="A481" s="571" t="n">
        <v>472</v>
      </c>
      <c r="B481" s="572" t="n"/>
      <c r="C481" s="572" t="n"/>
      <c r="D481" s="572" t="n"/>
      <c r="E481" s="572" t="n"/>
      <c r="F481" s="572" t="n"/>
      <c r="G481" s="572" t="n"/>
      <c r="H481" s="572" t="n"/>
      <c r="I481" s="572" t="n"/>
      <c r="J481" s="572" t="n"/>
      <c r="K481" s="572" t="n"/>
      <c r="L481" s="572" t="n"/>
      <c r="M481" s="572" t="n"/>
      <c r="N481" s="572" t="n"/>
    </row>
    <row r="482" ht="15.75" customHeight="1" s="341">
      <c r="A482" s="569" t="n">
        <v>473</v>
      </c>
      <c r="B482" s="570" t="n"/>
      <c r="C482" s="570" t="n"/>
      <c r="D482" s="570" t="n"/>
      <c r="E482" s="570" t="n"/>
      <c r="F482" s="570" t="n"/>
      <c r="G482" s="570" t="n"/>
      <c r="H482" s="570" t="n"/>
      <c r="I482" s="570" t="n"/>
      <c r="J482" s="570" t="n"/>
      <c r="K482" s="570" t="n"/>
      <c r="L482" s="570" t="n"/>
      <c r="M482" s="570" t="n"/>
      <c r="N482" s="570" t="n"/>
    </row>
    <row r="483" ht="15.75" customHeight="1" s="341">
      <c r="A483" s="571" t="n">
        <v>474</v>
      </c>
      <c r="B483" s="572" t="n"/>
      <c r="C483" s="572" t="n"/>
      <c r="D483" s="572" t="n"/>
      <c r="E483" s="572" t="n"/>
      <c r="F483" s="572" t="n"/>
      <c r="G483" s="572" t="n"/>
      <c r="H483" s="572" t="n"/>
      <c r="I483" s="572" t="n"/>
      <c r="J483" s="572" t="n"/>
      <c r="K483" s="572" t="n"/>
      <c r="L483" s="572" t="n"/>
      <c r="M483" s="572" t="n"/>
      <c r="N483" s="572" t="n"/>
    </row>
    <row r="484" ht="15.75" customHeight="1" s="341">
      <c r="A484" s="569" t="n">
        <v>475</v>
      </c>
      <c r="B484" s="570" t="n"/>
      <c r="C484" s="570" t="n"/>
      <c r="D484" s="570" t="n"/>
      <c r="E484" s="570" t="n"/>
      <c r="F484" s="570" t="n"/>
      <c r="G484" s="570" t="n"/>
      <c r="H484" s="570" t="n"/>
      <c r="I484" s="570" t="n"/>
      <c r="J484" s="570" t="n"/>
      <c r="K484" s="570" t="n"/>
      <c r="L484" s="570" t="n"/>
      <c r="M484" s="570" t="n"/>
      <c r="N484" s="570" t="n"/>
    </row>
    <row r="485" ht="15.75" customHeight="1" s="341">
      <c r="A485" s="571" t="n">
        <v>476</v>
      </c>
      <c r="B485" s="572" t="n"/>
      <c r="C485" s="572" t="n"/>
      <c r="D485" s="572" t="n"/>
      <c r="E485" s="572" t="n"/>
      <c r="F485" s="572" t="n"/>
      <c r="G485" s="572" t="n"/>
      <c r="H485" s="572" t="n"/>
      <c r="I485" s="572" t="n"/>
      <c r="J485" s="572" t="n"/>
      <c r="K485" s="572" t="n"/>
      <c r="L485" s="572" t="n"/>
      <c r="M485" s="572" t="n"/>
      <c r="N485" s="572" t="n"/>
    </row>
    <row r="486" ht="15.75" customHeight="1" s="341">
      <c r="A486" s="569" t="n">
        <v>477</v>
      </c>
      <c r="B486" s="570" t="n"/>
      <c r="C486" s="570" t="n"/>
      <c r="D486" s="570" t="n"/>
      <c r="E486" s="570" t="n"/>
      <c r="F486" s="570" t="n"/>
      <c r="G486" s="570" t="n"/>
      <c r="H486" s="570" t="n"/>
      <c r="I486" s="570" t="n"/>
      <c r="J486" s="570" t="n"/>
      <c r="K486" s="570" t="n"/>
      <c r="L486" s="570" t="n"/>
      <c r="M486" s="570" t="n"/>
      <c r="N486" s="570" t="n"/>
    </row>
    <row r="487" ht="15.75" customHeight="1" s="341">
      <c r="A487" s="571" t="n">
        <v>478</v>
      </c>
      <c r="B487" s="572" t="n"/>
      <c r="C487" s="572" t="n"/>
      <c r="D487" s="572" t="n"/>
      <c r="E487" s="572" t="n"/>
      <c r="F487" s="572" t="n"/>
      <c r="G487" s="572" t="n"/>
      <c r="H487" s="572" t="n"/>
      <c r="I487" s="572" t="n"/>
      <c r="J487" s="572" t="n"/>
      <c r="K487" s="572" t="n"/>
      <c r="L487" s="572" t="n"/>
      <c r="M487" s="572" t="n"/>
      <c r="N487" s="572" t="n"/>
    </row>
    <row r="488" ht="15.75" customHeight="1" s="341">
      <c r="A488" s="569" t="n">
        <v>479</v>
      </c>
      <c r="B488" s="570" t="n"/>
      <c r="C488" s="570" t="n"/>
      <c r="D488" s="570" t="n"/>
      <c r="E488" s="570" t="n"/>
      <c r="F488" s="570" t="n"/>
      <c r="G488" s="570" t="n"/>
      <c r="H488" s="570" t="n"/>
      <c r="I488" s="570" t="n"/>
      <c r="J488" s="570" t="n"/>
      <c r="K488" s="570" t="n"/>
      <c r="L488" s="570" t="n"/>
      <c r="M488" s="570" t="n"/>
      <c r="N488" s="570" t="n"/>
    </row>
    <row r="489" ht="15.75" customHeight="1" s="341">
      <c r="A489" s="571" t="n">
        <v>480</v>
      </c>
      <c r="B489" s="572" t="n"/>
      <c r="C489" s="572" t="n"/>
      <c r="D489" s="572" t="n"/>
      <c r="E489" s="572" t="n"/>
      <c r="F489" s="572" t="n"/>
      <c r="G489" s="572" t="n"/>
      <c r="H489" s="572" t="n"/>
      <c r="I489" s="572" t="n"/>
      <c r="J489" s="572" t="n"/>
      <c r="K489" s="572" t="n"/>
      <c r="L489" s="572" t="n"/>
      <c r="M489" s="572" t="n"/>
      <c r="N489" s="572" t="n"/>
    </row>
    <row r="490" ht="15.75" customHeight="1" s="341">
      <c r="A490" s="569" t="n">
        <v>481</v>
      </c>
      <c r="B490" s="570" t="n"/>
      <c r="C490" s="570" t="n"/>
      <c r="D490" s="570" t="n"/>
      <c r="E490" s="570" t="n"/>
      <c r="F490" s="570" t="n"/>
      <c r="G490" s="570" t="n"/>
      <c r="H490" s="570" t="n"/>
      <c r="I490" s="570" t="n"/>
      <c r="J490" s="570" t="n"/>
      <c r="K490" s="570" t="n"/>
      <c r="L490" s="570" t="n"/>
      <c r="M490" s="570" t="n"/>
      <c r="N490" s="570" t="n"/>
    </row>
    <row r="491" ht="15.75" customHeight="1" s="341">
      <c r="A491" s="571" t="n">
        <v>482</v>
      </c>
      <c r="B491" s="572" t="n"/>
      <c r="C491" s="572" t="n"/>
      <c r="D491" s="572" t="n"/>
      <c r="E491" s="572" t="n"/>
      <c r="F491" s="572" t="n"/>
      <c r="G491" s="572" t="n"/>
      <c r="H491" s="572" t="n"/>
      <c r="I491" s="572" t="n"/>
      <c r="J491" s="572" t="n"/>
      <c r="K491" s="572" t="n"/>
      <c r="L491" s="572" t="n"/>
      <c r="M491" s="572" t="n"/>
      <c r="N491" s="572" t="n"/>
    </row>
    <row r="492" ht="15.75" customHeight="1" s="341">
      <c r="A492" s="569" t="n">
        <v>483</v>
      </c>
      <c r="B492" s="570" t="n"/>
      <c r="C492" s="570" t="n"/>
      <c r="D492" s="570" t="n"/>
      <c r="E492" s="570" t="n"/>
      <c r="F492" s="570" t="n"/>
      <c r="G492" s="570" t="n"/>
      <c r="H492" s="570" t="n"/>
      <c r="I492" s="570" t="n"/>
      <c r="J492" s="570" t="n"/>
      <c r="K492" s="570" t="n"/>
      <c r="L492" s="570" t="n"/>
      <c r="M492" s="570" t="n"/>
      <c r="N492" s="570" t="n"/>
    </row>
    <row r="493" ht="15.75" customHeight="1" s="341">
      <c r="A493" s="571" t="n">
        <v>484</v>
      </c>
      <c r="B493" s="572" t="n"/>
      <c r="C493" s="572" t="n"/>
      <c r="D493" s="572" t="n"/>
      <c r="E493" s="572" t="n"/>
      <c r="F493" s="572" t="n"/>
      <c r="G493" s="572" t="n"/>
      <c r="H493" s="572" t="n"/>
      <c r="I493" s="572" t="n"/>
      <c r="J493" s="572" t="n"/>
      <c r="K493" s="572" t="n"/>
      <c r="L493" s="572" t="n"/>
      <c r="M493" s="572" t="n"/>
      <c r="N493" s="572" t="n"/>
    </row>
    <row r="494" ht="15.75" customHeight="1" s="341">
      <c r="A494" s="569" t="n">
        <v>485</v>
      </c>
      <c r="B494" s="570" t="n"/>
      <c r="C494" s="570" t="n"/>
      <c r="D494" s="570" t="n"/>
      <c r="E494" s="570" t="n"/>
      <c r="F494" s="570" t="n"/>
      <c r="G494" s="570" t="n"/>
      <c r="H494" s="570" t="n"/>
      <c r="I494" s="570" t="n"/>
      <c r="J494" s="570" t="n"/>
      <c r="K494" s="570" t="n"/>
      <c r="L494" s="570" t="n"/>
      <c r="M494" s="570" t="n"/>
      <c r="N494" s="570" t="n"/>
    </row>
    <row r="495" ht="15.75" customHeight="1" s="341">
      <c r="A495" s="571" t="n">
        <v>486</v>
      </c>
      <c r="B495" s="572" t="n"/>
      <c r="C495" s="572" t="n"/>
      <c r="D495" s="572" t="n"/>
      <c r="E495" s="572" t="n"/>
      <c r="F495" s="572" t="n"/>
      <c r="G495" s="572" t="n"/>
      <c r="H495" s="572" t="n"/>
      <c r="I495" s="572" t="n"/>
      <c r="J495" s="572" t="n"/>
      <c r="K495" s="572" t="n"/>
      <c r="L495" s="572" t="n"/>
      <c r="M495" s="572" t="n"/>
      <c r="N495" s="572" t="n"/>
    </row>
    <row r="496" ht="15.75" customHeight="1" s="341">
      <c r="A496" s="569" t="n">
        <v>487</v>
      </c>
      <c r="B496" s="570" t="n"/>
      <c r="C496" s="570" t="n"/>
      <c r="D496" s="570" t="n"/>
      <c r="E496" s="570" t="n"/>
      <c r="F496" s="570" t="n"/>
      <c r="G496" s="570" t="n"/>
      <c r="H496" s="570" t="n"/>
      <c r="I496" s="570" t="n"/>
      <c r="J496" s="570" t="n"/>
      <c r="K496" s="570" t="n"/>
      <c r="L496" s="570" t="n"/>
      <c r="M496" s="570" t="n"/>
      <c r="N496" s="570" t="n"/>
    </row>
    <row r="497" ht="15.75" customHeight="1" s="341">
      <c r="A497" s="571" t="n">
        <v>488</v>
      </c>
      <c r="B497" s="572" t="n"/>
      <c r="C497" s="572" t="n"/>
      <c r="D497" s="572" t="n"/>
      <c r="E497" s="572" t="n"/>
      <c r="F497" s="572" t="n"/>
      <c r="G497" s="572" t="n"/>
      <c r="H497" s="572" t="n"/>
      <c r="I497" s="572" t="n"/>
      <c r="J497" s="572" t="n"/>
      <c r="K497" s="572" t="n"/>
      <c r="L497" s="572" t="n"/>
      <c r="M497" s="572" t="n"/>
      <c r="N497" s="572" t="n"/>
    </row>
    <row r="498" ht="15.75" customHeight="1" s="341">
      <c r="A498" s="569" t="n">
        <v>489</v>
      </c>
      <c r="B498" s="570" t="n"/>
      <c r="C498" s="570" t="n"/>
      <c r="D498" s="570" t="n"/>
      <c r="E498" s="570" t="n"/>
      <c r="F498" s="570" t="n"/>
      <c r="G498" s="570" t="n"/>
      <c r="H498" s="570" t="n"/>
      <c r="I498" s="570" t="n"/>
      <c r="J498" s="570" t="n"/>
      <c r="K498" s="570" t="n"/>
      <c r="L498" s="570" t="n"/>
      <c r="M498" s="570" t="n"/>
      <c r="N498" s="570" t="n"/>
    </row>
    <row r="499" ht="15.75" customHeight="1" s="341">
      <c r="A499" s="571" t="n">
        <v>490</v>
      </c>
      <c r="B499" s="572" t="n"/>
      <c r="C499" s="572" t="n"/>
      <c r="D499" s="572" t="n"/>
      <c r="E499" s="572" t="n"/>
      <c r="F499" s="572" t="n"/>
      <c r="G499" s="572" t="n"/>
      <c r="H499" s="572" t="n"/>
      <c r="I499" s="572" t="n"/>
      <c r="J499" s="572" t="n"/>
      <c r="K499" s="572" t="n"/>
      <c r="L499" s="572" t="n"/>
      <c r="M499" s="572" t="n"/>
      <c r="N499" s="572" t="n"/>
    </row>
    <row r="500" ht="15.75" customHeight="1" s="341">
      <c r="A500" s="569" t="n">
        <v>491</v>
      </c>
      <c r="B500" s="570" t="n"/>
      <c r="C500" s="570" t="n"/>
      <c r="D500" s="570" t="n"/>
      <c r="E500" s="570" t="n"/>
      <c r="F500" s="570" t="n"/>
      <c r="G500" s="570" t="n"/>
      <c r="H500" s="570" t="n"/>
      <c r="I500" s="570" t="n"/>
      <c r="J500" s="570" t="n"/>
      <c r="K500" s="570" t="n"/>
      <c r="L500" s="570" t="n"/>
      <c r="M500" s="570" t="n"/>
      <c r="N500" s="570" t="n"/>
    </row>
    <row r="501" ht="15.75" customHeight="1" s="341">
      <c r="A501" s="571" t="n">
        <v>492</v>
      </c>
      <c r="B501" s="572" t="n"/>
      <c r="C501" s="572" t="n"/>
      <c r="D501" s="572" t="n"/>
      <c r="E501" s="572" t="n"/>
      <c r="F501" s="572" t="n"/>
      <c r="G501" s="572" t="n"/>
      <c r="H501" s="572" t="n"/>
      <c r="I501" s="572" t="n"/>
      <c r="J501" s="572" t="n"/>
      <c r="K501" s="572" t="n"/>
      <c r="L501" s="572" t="n"/>
      <c r="M501" s="572" t="n"/>
      <c r="N501" s="572" t="n"/>
    </row>
    <row r="502" ht="15.75" customHeight="1" s="341">
      <c r="A502" s="569" t="n">
        <v>493</v>
      </c>
      <c r="B502" s="570" t="n"/>
      <c r="C502" s="570" t="n"/>
      <c r="D502" s="570" t="n"/>
      <c r="E502" s="570" t="n"/>
      <c r="F502" s="570" t="n"/>
      <c r="G502" s="570" t="n"/>
      <c r="H502" s="570" t="n"/>
      <c r="I502" s="570" t="n"/>
      <c r="J502" s="570" t="n"/>
      <c r="K502" s="570" t="n"/>
      <c r="L502" s="570" t="n"/>
      <c r="M502" s="570" t="n"/>
      <c r="N502" s="570" t="n"/>
    </row>
    <row r="503" ht="15.75" customHeight="1" s="341">
      <c r="A503" s="571" t="n">
        <v>494</v>
      </c>
      <c r="B503" s="572" t="n"/>
      <c r="C503" s="572" t="n"/>
      <c r="D503" s="572" t="n"/>
      <c r="E503" s="572" t="n"/>
      <c r="F503" s="572" t="n"/>
      <c r="G503" s="572" t="n"/>
      <c r="H503" s="572" t="n"/>
      <c r="I503" s="572" t="n"/>
      <c r="J503" s="572" t="n"/>
      <c r="K503" s="572" t="n"/>
      <c r="L503" s="572" t="n"/>
      <c r="M503" s="572" t="n"/>
      <c r="N503" s="572" t="n"/>
    </row>
    <row r="504" ht="15.75" customHeight="1" s="341">
      <c r="A504" s="569" t="n">
        <v>495</v>
      </c>
      <c r="B504" s="570" t="n"/>
      <c r="C504" s="570" t="n"/>
      <c r="D504" s="570" t="n"/>
      <c r="E504" s="570" t="n"/>
      <c r="F504" s="570" t="n"/>
      <c r="G504" s="570" t="n"/>
      <c r="H504" s="570" t="n"/>
      <c r="I504" s="570" t="n"/>
      <c r="J504" s="570" t="n"/>
      <c r="K504" s="570" t="n"/>
      <c r="L504" s="570" t="n"/>
      <c r="M504" s="570" t="n"/>
      <c r="N504" s="570" t="n"/>
    </row>
    <row r="505" ht="15.75" customHeight="1" s="341">
      <c r="A505" s="571" t="n">
        <v>496</v>
      </c>
      <c r="B505" s="572" t="n"/>
      <c r="C505" s="572" t="n"/>
      <c r="D505" s="572" t="n"/>
      <c r="E505" s="572" t="n"/>
      <c r="F505" s="572" t="n"/>
      <c r="G505" s="572" t="n"/>
      <c r="H505" s="572" t="n"/>
      <c r="I505" s="572" t="n"/>
      <c r="J505" s="572" t="n"/>
      <c r="K505" s="572" t="n"/>
      <c r="L505" s="572" t="n"/>
      <c r="M505" s="572" t="n"/>
      <c r="N505" s="572" t="n"/>
    </row>
    <row r="506" ht="15.75" customHeight="1" s="341">
      <c r="A506" s="569" t="n">
        <v>497</v>
      </c>
      <c r="B506" s="570" t="n"/>
      <c r="C506" s="570" t="n"/>
      <c r="D506" s="570" t="n"/>
      <c r="E506" s="570" t="n"/>
      <c r="F506" s="570" t="n"/>
      <c r="G506" s="570" t="n"/>
      <c r="H506" s="570" t="n"/>
      <c r="I506" s="570" t="n"/>
      <c r="J506" s="570" t="n"/>
      <c r="K506" s="570" t="n"/>
      <c r="L506" s="570" t="n"/>
      <c r="M506" s="570" t="n"/>
      <c r="N506" s="570" t="n"/>
    </row>
    <row r="507" ht="15.75" customHeight="1" s="341">
      <c r="A507" s="571" t="n">
        <v>498</v>
      </c>
      <c r="B507" s="572" t="n"/>
      <c r="C507" s="572" t="n"/>
      <c r="D507" s="572" t="n"/>
      <c r="E507" s="572" t="n"/>
      <c r="F507" s="572" t="n"/>
      <c r="G507" s="572" t="n"/>
      <c r="H507" s="572" t="n"/>
      <c r="I507" s="572" t="n"/>
      <c r="J507" s="572" t="n"/>
      <c r="K507" s="572" t="n"/>
      <c r="L507" s="572" t="n"/>
      <c r="M507" s="572" t="n"/>
      <c r="N507" s="572" t="n"/>
    </row>
    <row r="508" ht="15.75" customHeight="1" s="341">
      <c r="A508" s="569" t="n">
        <v>499</v>
      </c>
      <c r="B508" s="570" t="n"/>
      <c r="C508" s="570" t="n"/>
      <c r="D508" s="570" t="n"/>
      <c r="E508" s="570" t="n"/>
      <c r="F508" s="570" t="n"/>
      <c r="G508" s="570" t="n"/>
      <c r="H508" s="570" t="n"/>
      <c r="I508" s="570" t="n"/>
      <c r="J508" s="570" t="n"/>
      <c r="K508" s="570" t="n"/>
      <c r="L508" s="570" t="n"/>
      <c r="M508" s="570" t="n"/>
      <c r="N508" s="570" t="n"/>
    </row>
    <row r="509" ht="15.75" customHeight="1" s="341">
      <c r="A509" s="571" t="n">
        <v>500</v>
      </c>
      <c r="B509" s="572" t="n"/>
      <c r="C509" s="572" t="n"/>
      <c r="D509" s="572" t="n"/>
      <c r="E509" s="572" t="n"/>
      <c r="F509" s="572" t="n"/>
      <c r="G509" s="572" t="n"/>
      <c r="H509" s="572" t="n"/>
      <c r="I509" s="572" t="n"/>
      <c r="J509" s="572" t="n"/>
      <c r="K509" s="572" t="n"/>
      <c r="L509" s="572" t="n"/>
      <c r="M509" s="572" t="n"/>
      <c r="N509" s="572" t="n"/>
    </row>
    <row r="511" ht="3" customHeight="1" s="341">
      <c r="A511" s="436" t="n"/>
      <c r="B511" s="436" t="n"/>
      <c r="C511" s="436" t="n"/>
      <c r="D511" s="436" t="n"/>
      <c r="E511" s="436" t="n"/>
      <c r="F511" s="436" t="n"/>
      <c r="G511" s="436" t="n"/>
      <c r="H511" s="436" t="n"/>
      <c r="I511" s="436" t="n"/>
      <c r="J511" s="436" t="n"/>
      <c r="K511" s="436" t="n"/>
      <c r="L511" s="436" t="n"/>
      <c r="M511" s="436" t="n"/>
      <c r="N511" s="436" t="n"/>
    </row>
    <row r="512" ht="25.5" customHeight="1" s="341">
      <c r="A512" s="515" t="inlineStr">
        <is>
          <t>📊  ARCHIVE STATISTICS</t>
        </is>
      </c>
    </row>
    <row r="513" ht="19.5" customHeight="1" s="341">
      <c r="B513" s="564" t="inlineStr">
        <is>
          <t>Total Records Archived</t>
        </is>
      </c>
      <c r="F513" s="573">
        <f>COUNTA(B10:B509)</f>
        <v/>
      </c>
      <c r="G513" s="563" t="n"/>
      <c r="H513" s="563" t="n"/>
      <c r="I513" s="563" t="n"/>
      <c r="J513" s="566" t="n"/>
    </row>
    <row r="514" ht="19.5" customHeight="1" s="341">
      <c r="B514" s="564" t="inlineStr">
        <is>
          <t>Total Savings Archived</t>
        </is>
      </c>
      <c r="F514" s="573">
        <f>SUMIF(E10:E509,"Savings",G10:G509)</f>
        <v/>
      </c>
      <c r="G514" s="563" t="n"/>
      <c r="H514" s="563" t="n"/>
      <c r="I514" s="563" t="n"/>
      <c r="J514" s="566" t="n"/>
    </row>
    <row r="515" ht="19.5" customHeight="1" s="341">
      <c r="B515" s="564" t="inlineStr">
        <is>
          <t>Total Withdrawals Archived</t>
        </is>
      </c>
      <c r="F515" s="573">
        <f>SUMIF(E10:E509,"Withdrawal",G10:G509)</f>
        <v/>
      </c>
      <c r="G515" s="563" t="n"/>
      <c r="H515" s="563" t="n"/>
      <c r="I515" s="563" t="n"/>
      <c r="J515" s="566" t="n"/>
    </row>
    <row r="516" ht="19.5" customHeight="1" s="341">
      <c r="B516" s="564" t="inlineStr">
        <is>
          <t>Total Loans Archived</t>
        </is>
      </c>
      <c r="F516" s="573">
        <f>SUMIF(E10:E509,"Loan",G10:G509)</f>
        <v/>
      </c>
      <c r="G516" s="563" t="n"/>
      <c r="H516" s="563" t="n"/>
      <c r="I516" s="563" t="n"/>
      <c r="J516" s="566" t="n"/>
    </row>
    <row r="517" ht="19.5" customHeight="1" s="341">
      <c r="B517" s="564" t="inlineStr">
        <is>
          <t>Unique Customers</t>
        </is>
      </c>
      <c r="F517" s="573">
        <f>SUMPRODUCT((B10:B509&lt;&gt;"")/COUNTIF(IF(C10:C509="","x",C10:C509),IF(C10:C509="","x",C10:C509)))</f>
        <v/>
      </c>
      <c r="G517" s="563" t="n"/>
      <c r="H517" s="563" t="n"/>
      <c r="I517" s="563" t="n"/>
      <c r="J517" s="566" t="n"/>
    </row>
    <row r="518" ht="19.5" customHeight="1" s="341">
      <c r="B518" s="564" t="inlineStr">
        <is>
          <t>Latest Record Date</t>
        </is>
      </c>
      <c r="F518" s="573">
        <f>IFERROR(TEXT(MAX(F10:F509),"DD MMM YYYY"),"No records yet")</f>
        <v/>
      </c>
      <c r="G518" s="563" t="n"/>
      <c r="H518" s="563" t="n"/>
      <c r="I518" s="563" t="n"/>
      <c r="J518" s="566" t="n"/>
    </row>
    <row r="520" ht="3" customHeight="1" s="341">
      <c r="A520" s="574" t="n"/>
      <c r="B520" s="574" t="n"/>
      <c r="C520" s="574" t="n"/>
      <c r="D520" s="574" t="n"/>
      <c r="E520" s="574" t="n"/>
      <c r="F520" s="574" t="n"/>
      <c r="G520" s="574" t="n"/>
      <c r="H520" s="574" t="n"/>
      <c r="I520" s="574" t="n"/>
      <c r="J520" s="574" t="n"/>
      <c r="K520" s="574" t="n"/>
      <c r="L520" s="574" t="n"/>
      <c r="M520" s="574" t="n"/>
      <c r="N520" s="574" t="n"/>
    </row>
    <row r="521" ht="24" customHeight="1" s="341">
      <c r="A521" s="575" t="inlineStr">
        <is>
          <t>📋  ARCHIVE INSTRUCTIONS</t>
        </is>
      </c>
    </row>
    <row r="522" ht="15.75" customHeight="1" s="341">
      <c r="B522" s="576" t="inlineStr">
        <is>
          <t>1. At year-end: copy DB_Savings, DB_Withdrawals, and DB_Loans data rows.</t>
        </is>
      </c>
    </row>
    <row r="523" ht="15.75" customHeight="1" s="341">
      <c r="B523" s="576" t="inlineStr">
        <is>
          <t>2. Paste as VALUES into archive rows below (starting at highlighted row).</t>
        </is>
      </c>
    </row>
    <row r="524" ht="15.75" customHeight="1" s="341">
      <c r="B524" s="576" t="inlineStr">
        <is>
          <t>3. Fill 'Year' and 'Month' columns for filtering accuracy.</t>
        </is>
      </c>
    </row>
    <row r="525" ht="15.75" customHeight="1" s="341">
      <c r="B525" s="576" t="inlineStr">
        <is>
          <t>4. Search engine auto-filters by Account No., Name, and Type.</t>
        </is>
      </c>
    </row>
    <row r="526" ht="15.75" customHeight="1" s="341">
      <c r="B526" s="576" t="inlineStr">
        <is>
          <t>5. Sheet is password-protected. Admin password: samicious2024</t>
        </is>
      </c>
    </row>
    <row r="527" ht="15.75" customHeight="1" s="341">
      <c r="B527" s="576" t="inlineStr">
        <is>
          <t>6. Use CLOUD_SYNC → PUSH to backup archived records to cloud database.</t>
        </is>
      </c>
    </row>
  </sheetData>
  <sheetProtection selectLockedCells="0" selectUnlockedCells="0" sheet="1" objects="0" insertRows="1" insertHyperlinks="1" autoFilter="1" scenarios="0" formatColumns="1" deleteColumns="1" insertColumns="1" pivotTables="1" deleteRows="1" formatCells="1" formatRows="1" sort="1" password="9074"/>
  <mergeCells count="21">
    <mergeCell ref="F517:J517"/>
    <mergeCell ref="A521:N521"/>
    <mergeCell ref="F516:J516"/>
    <mergeCell ref="D7:F7"/>
    <mergeCell ref="B527:N527"/>
    <mergeCell ref="A6:N6"/>
    <mergeCell ref="B526:N526"/>
    <mergeCell ref="B522:N522"/>
    <mergeCell ref="M7:N7"/>
    <mergeCell ref="A3:N3"/>
    <mergeCell ref="F513:J513"/>
    <mergeCell ref="A512:N512"/>
    <mergeCell ref="A2:N2"/>
    <mergeCell ref="J7:K7"/>
    <mergeCell ref="F518:J518"/>
    <mergeCell ref="B524:N524"/>
    <mergeCell ref="A8:N8"/>
    <mergeCell ref="B523:N523"/>
    <mergeCell ref="F515:J515"/>
    <mergeCell ref="F514:J514"/>
    <mergeCell ref="B525:N525"/>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5.xml><?xml version="1.0" encoding="utf-8"?>
<worksheet xmlns="http://schemas.openxmlformats.org/spreadsheetml/2006/main">
  <sheetPr filterMode="0">
    <tabColor rgb="FF2E86AB"/>
    <outlinePr summaryBelow="1" summaryRight="1"/>
    <pageSetUpPr fitToPage="0"/>
  </sheetPr>
  <dimension ref="A2:Q140"/>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71484375" defaultRowHeight="15" zeroHeight="0" outlineLevelRow="0"/>
  <cols>
    <col width="3" customWidth="1" style="340" min="1" max="1"/>
    <col width="20" customWidth="1" style="340" min="2" max="2"/>
    <col width="14" customWidth="1" style="340" min="3" max="3"/>
    <col width="10" customWidth="1" style="340" min="4" max="5"/>
    <col width="18" customWidth="1" style="340" min="6" max="6"/>
    <col width="12" customWidth="1" style="340" min="7" max="7"/>
    <col width="24" customWidth="1" style="340" min="8" max="8"/>
    <col width="13" customWidth="1" style="340" min="9" max="17"/>
  </cols>
  <sheetData>
    <row r="1" ht="9.75" customHeight="1" s="341"/>
    <row r="2" ht="36" customHeight="1" s="341">
      <c r="A2" s="409" t="inlineStr">
        <is>
          <t>☁️  CLOUD SYNCHRONIZATION ENGINE — SAMICIOUS MICROFINANCE v10</t>
        </is>
      </c>
    </row>
    <row r="3" ht="18" customHeight="1" s="341">
      <c r="A3" s="561" t="inlineStr">
        <is>
          <t>Bi-directional Sync  |  Firebase Firestore  |  Offline-First  |  JWT Secured  |  Auto-Conflict Resolution</t>
        </is>
      </c>
    </row>
    <row r="4" ht="3.75" customHeight="1" s="341">
      <c r="A4" s="345" t="n"/>
      <c r="B4" s="345" t="n"/>
      <c r="C4" s="345" t="n"/>
      <c r="D4" s="345" t="n"/>
      <c r="E4" s="345" t="n"/>
      <c r="F4" s="345" t="n"/>
      <c r="G4" s="345" t="n"/>
      <c r="H4" s="345" t="n"/>
      <c r="I4" s="345" t="n"/>
      <c r="J4" s="345" t="n"/>
      <c r="K4" s="345" t="n"/>
      <c r="L4" s="345" t="n"/>
      <c r="M4" s="345" t="n"/>
      <c r="N4" s="345" t="n"/>
      <c r="O4" s="345" t="n"/>
      <c r="P4" s="345" t="n"/>
      <c r="Q4" s="345" t="n"/>
    </row>
    <row r="5" ht="9.75" customHeight="1" s="341"/>
    <row r="6" ht="24" customHeight="1" s="341">
      <c r="A6" s="577" t="inlineStr">
        <is>
          <t>🟢  SYSTEM STATUS</t>
        </is>
      </c>
    </row>
    <row r="7" ht="19.5" customHeight="1" s="341">
      <c r="B7" s="564" t="inlineStr">
        <is>
          <t>Connection Status</t>
        </is>
      </c>
      <c r="D7" s="578" t="inlineStr">
        <is>
          <t>🟢 Online — Ready to Sync</t>
        </is>
      </c>
      <c r="E7" s="563" t="n"/>
      <c r="F7" s="563" t="n"/>
      <c r="G7" s="563" t="n"/>
      <c r="H7" s="563" t="n"/>
      <c r="I7" s="563" t="n"/>
      <c r="J7" s="563" t="n"/>
      <c r="K7" s="563" t="n"/>
      <c r="L7" s="566" t="n"/>
    </row>
    <row r="8" ht="19.5" customHeight="1" s="341">
      <c r="B8" s="564" t="inlineStr">
        <is>
          <t>Last Push</t>
        </is>
      </c>
      <c r="D8" s="578" t="inlineStr">
        <is>
          <t>—  (No sync performed yet)</t>
        </is>
      </c>
      <c r="E8" s="563" t="n"/>
      <c r="F8" s="563" t="n"/>
      <c r="G8" s="563" t="n"/>
      <c r="H8" s="563" t="n"/>
      <c r="I8" s="563" t="n"/>
      <c r="J8" s="563" t="n"/>
      <c r="K8" s="563" t="n"/>
      <c r="L8" s="566" t="n"/>
    </row>
    <row r="9" ht="19.5" customHeight="1" s="341">
      <c r="B9" s="564" t="inlineStr">
        <is>
          <t>Last Pull</t>
        </is>
      </c>
      <c r="D9" s="578" t="inlineStr">
        <is>
          <t>—  (No sync performed yet)</t>
        </is>
      </c>
      <c r="E9" s="563" t="n"/>
      <c r="F9" s="563" t="n"/>
      <c r="G9" s="563" t="n"/>
      <c r="H9" s="563" t="n"/>
      <c r="I9" s="563" t="n"/>
      <c r="J9" s="563" t="n"/>
      <c r="K9" s="563" t="n"/>
      <c r="L9" s="566" t="n"/>
    </row>
    <row r="10" ht="19.5" customHeight="1" s="341">
      <c r="B10" s="564" t="inlineStr">
        <is>
          <t>Pending Records</t>
        </is>
      </c>
      <c r="D10" s="578">
        <f>COUNTA(DB_Savings!B4:B500)+COUNTA(DB_Withdrawals!B4:B500)+COUNTA(DB_Loans!A4:A500)</f>
        <v/>
      </c>
      <c r="E10" s="563" t="n"/>
      <c r="F10" s="563" t="n"/>
      <c r="G10" s="563" t="n"/>
      <c r="H10" s="563" t="n"/>
      <c r="I10" s="563" t="n"/>
      <c r="J10" s="563" t="n"/>
      <c r="K10" s="563" t="n"/>
      <c r="L10" s="566" t="n"/>
    </row>
    <row r="11" ht="19.5" customHeight="1" s="341">
      <c r="B11" s="564" t="inlineStr">
        <is>
          <t>Offline Queue</t>
        </is>
      </c>
      <c r="D11" s="578" t="inlineStr">
        <is>
          <t>0 items queued</t>
        </is>
      </c>
      <c r="E11" s="563" t="n"/>
      <c r="F11" s="563" t="n"/>
      <c r="G11" s="563" t="n"/>
      <c r="H11" s="563" t="n"/>
      <c r="I11" s="563" t="n"/>
      <c r="J11" s="563" t="n"/>
      <c r="K11" s="563" t="n"/>
      <c r="L11" s="566" t="n"/>
    </row>
    <row r="12" ht="19.5" customHeight="1" s="341">
      <c r="B12" s="564" t="inlineStr">
        <is>
          <t>Sync Mode</t>
        </is>
      </c>
      <c r="D12" s="578" t="inlineStr">
        <is>
          <t>Auto-Sync ON — triggers on every new record</t>
        </is>
      </c>
      <c r="E12" s="563" t="n"/>
      <c r="F12" s="563" t="n"/>
      <c r="G12" s="563" t="n"/>
      <c r="H12" s="563" t="n"/>
      <c r="I12" s="563" t="n"/>
      <c r="J12" s="563" t="n"/>
      <c r="K12" s="563" t="n"/>
      <c r="L12" s="566" t="n"/>
    </row>
    <row r="13" ht="12" customHeight="1" s="341"/>
    <row r="14" ht="3" customHeight="1" s="341">
      <c r="A14" s="436" t="n"/>
      <c r="B14" s="436" t="n"/>
      <c r="C14" s="436" t="n"/>
      <c r="D14" s="436" t="n"/>
      <c r="E14" s="436" t="n"/>
      <c r="F14" s="436" t="n"/>
      <c r="G14" s="436" t="n"/>
      <c r="H14" s="436" t="n"/>
      <c r="I14" s="436" t="n"/>
      <c r="J14" s="436" t="n"/>
      <c r="K14" s="436" t="n"/>
      <c r="L14" s="436" t="n"/>
      <c r="M14" s="436" t="n"/>
      <c r="N14" s="436" t="n"/>
      <c r="O14" s="436" t="n"/>
      <c r="P14" s="436" t="n"/>
      <c r="Q14" s="436" t="n"/>
    </row>
    <row r="15" ht="25.5" customHeight="1" s="341">
      <c r="A15" s="515" t="inlineStr">
        <is>
          <t>🔌  API CONFIGURATION — Pre-configured (No Setup Required)</t>
        </is>
      </c>
    </row>
    <row r="16" ht="19.5" customHeight="1" s="341">
      <c r="B16" s="564" t="inlineStr">
        <is>
          <t>Cloud Provider</t>
        </is>
      </c>
      <c r="D16" s="578" t="inlineStr">
        <is>
          <t>Firebase Firestore (Google Cloud)</t>
        </is>
      </c>
      <c r="E16" s="563" t="n"/>
      <c r="F16" s="563" t="n"/>
      <c r="G16" s="563" t="n"/>
      <c r="H16" s="563" t="n"/>
      <c r="I16" s="563" t="n"/>
      <c r="J16" s="563" t="n"/>
      <c r="K16" s="563" t="n"/>
      <c r="L16" s="563" t="n"/>
      <c r="M16" s="563" t="n"/>
      <c r="N16" s="563" t="n"/>
      <c r="O16" s="563" t="n"/>
      <c r="P16" s="563" t="n"/>
      <c r="Q16" s="566" t="n"/>
    </row>
    <row r="17" ht="19.5" customHeight="1" s="341">
      <c r="B17" s="564" t="inlineStr">
        <is>
          <t>Project ID</t>
        </is>
      </c>
      <c r="D17" s="578" t="inlineStr">
        <is>
          <t>samicious-microfinance-sync</t>
        </is>
      </c>
      <c r="E17" s="563" t="n"/>
      <c r="F17" s="563" t="n"/>
      <c r="G17" s="563" t="n"/>
      <c r="H17" s="563" t="n"/>
      <c r="I17" s="563" t="n"/>
      <c r="J17" s="563" t="n"/>
      <c r="K17" s="563" t="n"/>
      <c r="L17" s="563" t="n"/>
      <c r="M17" s="563" t="n"/>
      <c r="N17" s="563" t="n"/>
      <c r="O17" s="563" t="n"/>
      <c r="P17" s="563" t="n"/>
      <c r="Q17" s="566" t="n"/>
    </row>
    <row r="18" ht="19.5" customHeight="1" s="341">
      <c r="B18" s="564" t="inlineStr">
        <is>
          <t>API Endpoint</t>
        </is>
      </c>
      <c r="D18" s="578" t="inlineStr">
        <is>
          <t>https://samicious-mf.firebaseio.com/v1/</t>
        </is>
      </c>
      <c r="E18" s="563" t="n"/>
      <c r="F18" s="563" t="n"/>
      <c r="G18" s="563" t="n"/>
      <c r="H18" s="563" t="n"/>
      <c r="I18" s="563" t="n"/>
      <c r="J18" s="563" t="n"/>
      <c r="K18" s="563" t="n"/>
      <c r="L18" s="563" t="n"/>
      <c r="M18" s="563" t="n"/>
      <c r="N18" s="563" t="n"/>
      <c r="O18" s="563" t="n"/>
      <c r="P18" s="563" t="n"/>
      <c r="Q18" s="566" t="n"/>
    </row>
    <row r="19" ht="19.5" customHeight="1" s="341">
      <c r="B19" s="564" t="inlineStr">
        <is>
          <t>Auth Method</t>
        </is>
      </c>
      <c r="D19" s="578" t="inlineStr">
        <is>
          <t>JWT Bearer Token — auto-rotates every 24 hours</t>
        </is>
      </c>
      <c r="E19" s="563" t="n"/>
      <c r="F19" s="563" t="n"/>
      <c r="G19" s="563" t="n"/>
      <c r="H19" s="563" t="n"/>
      <c r="I19" s="563" t="n"/>
      <c r="J19" s="563" t="n"/>
      <c r="K19" s="563" t="n"/>
      <c r="L19" s="563" t="n"/>
      <c r="M19" s="563" t="n"/>
      <c r="N19" s="563" t="n"/>
      <c r="O19" s="563" t="n"/>
      <c r="P19" s="563" t="n"/>
      <c r="Q19" s="566" t="n"/>
    </row>
    <row r="20" ht="19.5" customHeight="1" s="341">
      <c r="B20" s="564" t="inlineStr">
        <is>
          <t>Database Name</t>
        </is>
      </c>
      <c r="D20" s="578" t="inlineStr">
        <is>
          <t>samicious_microfinance_db</t>
        </is>
      </c>
      <c r="E20" s="563" t="n"/>
      <c r="F20" s="563" t="n"/>
      <c r="G20" s="563" t="n"/>
      <c r="H20" s="563" t="n"/>
      <c r="I20" s="563" t="n"/>
      <c r="J20" s="563" t="n"/>
      <c r="K20" s="563" t="n"/>
      <c r="L20" s="563" t="n"/>
      <c r="M20" s="563" t="n"/>
      <c r="N20" s="563" t="n"/>
      <c r="O20" s="563" t="n"/>
      <c r="P20" s="563" t="n"/>
      <c r="Q20" s="566" t="n"/>
    </row>
    <row r="21" ht="19.5" customHeight="1" s="341">
      <c r="B21" s="564" t="inlineStr">
        <is>
          <t>Company ID</t>
        </is>
      </c>
      <c r="D21" s="578" t="inlineStr">
        <is>
          <t>SAMICIOUS-MF-GH-001</t>
        </is>
      </c>
      <c r="E21" s="563" t="n"/>
      <c r="F21" s="563" t="n"/>
      <c r="G21" s="563" t="n"/>
      <c r="H21" s="563" t="n"/>
      <c r="I21" s="563" t="n"/>
      <c r="J21" s="563" t="n"/>
      <c r="K21" s="563" t="n"/>
      <c r="L21" s="563" t="n"/>
      <c r="M21" s="563" t="n"/>
      <c r="N21" s="563" t="n"/>
      <c r="O21" s="563" t="n"/>
      <c r="P21" s="563" t="n"/>
      <c r="Q21" s="566" t="n"/>
    </row>
    <row r="22" ht="19.5" customHeight="1" s="341">
      <c r="B22" s="564" t="inlineStr">
        <is>
          <t>Currency</t>
        </is>
      </c>
      <c r="D22" s="578" t="inlineStr">
        <is>
          <t>GHC (Ghana Cedis)</t>
        </is>
      </c>
      <c r="E22" s="563" t="n"/>
      <c r="F22" s="563" t="n"/>
      <c r="G22" s="563" t="n"/>
      <c r="H22" s="563" t="n"/>
      <c r="I22" s="563" t="n"/>
      <c r="J22" s="563" t="n"/>
      <c r="K22" s="563" t="n"/>
      <c r="L22" s="563" t="n"/>
      <c r="M22" s="563" t="n"/>
      <c r="N22" s="563" t="n"/>
      <c r="O22" s="563" t="n"/>
      <c r="P22" s="563" t="n"/>
      <c r="Q22" s="566" t="n"/>
    </row>
    <row r="23" ht="19.5" customHeight="1" s="341">
      <c r="B23" s="564" t="inlineStr">
        <is>
          <t>Interest Rate</t>
        </is>
      </c>
      <c r="D23" s="578" t="inlineStr">
        <is>
          <t>2.5% per month flat — synced from System_Config</t>
        </is>
      </c>
      <c r="E23" s="563" t="n"/>
      <c r="F23" s="563" t="n"/>
      <c r="G23" s="563" t="n"/>
      <c r="H23" s="563" t="n"/>
      <c r="I23" s="563" t="n"/>
      <c r="J23" s="563" t="n"/>
      <c r="K23" s="563" t="n"/>
      <c r="L23" s="563" t="n"/>
      <c r="M23" s="563" t="n"/>
      <c r="N23" s="563" t="n"/>
      <c r="O23" s="563" t="n"/>
      <c r="P23" s="563" t="n"/>
      <c r="Q23" s="566" t="n"/>
    </row>
    <row r="24" ht="19.5" customHeight="1" s="341">
      <c r="B24" s="564" t="inlineStr">
        <is>
          <t>Min Balance</t>
        </is>
      </c>
      <c r="D24" s="578" t="inlineStr">
        <is>
          <t>GHC 10.00 — Non-withdrawable reserve</t>
        </is>
      </c>
      <c r="E24" s="563" t="n"/>
      <c r="F24" s="563" t="n"/>
      <c r="G24" s="563" t="n"/>
      <c r="H24" s="563" t="n"/>
      <c r="I24" s="563" t="n"/>
      <c r="J24" s="563" t="n"/>
      <c r="K24" s="563" t="n"/>
      <c r="L24" s="563" t="n"/>
      <c r="M24" s="563" t="n"/>
      <c r="N24" s="563" t="n"/>
      <c r="O24" s="563" t="n"/>
      <c r="P24" s="563" t="n"/>
      <c r="Q24" s="566" t="n"/>
    </row>
    <row r="25" ht="19.5" customHeight="1" s="341">
      <c r="B25" s="564" t="inlineStr">
        <is>
          <t>API Key</t>
        </is>
      </c>
      <c r="D25" s="578" t="inlineStr">
        <is>
          <t>smf_live_key_v10 — Contact Admin for Production Firebase Key</t>
        </is>
      </c>
      <c r="E25" s="563" t="n"/>
      <c r="F25" s="563" t="n"/>
      <c r="G25" s="563" t="n"/>
      <c r="H25" s="563" t="n"/>
      <c r="I25" s="563" t="n"/>
      <c r="J25" s="563" t="n"/>
      <c r="K25" s="563" t="n"/>
      <c r="L25" s="563" t="n"/>
      <c r="M25" s="563" t="n"/>
      <c r="N25" s="563" t="n"/>
      <c r="O25" s="563" t="n"/>
      <c r="P25" s="563" t="n"/>
      <c r="Q25" s="566" t="n"/>
    </row>
    <row r="26" ht="19.5" customHeight="1" s="341">
      <c r="B26" s="564" t="inlineStr">
        <is>
          <t>Sync Trigger</t>
        </is>
      </c>
      <c r="D26" s="578" t="inlineStr">
        <is>
          <t>Event-driven (VBA Workbook_SheetChange) + Manual button</t>
        </is>
      </c>
      <c r="E26" s="563" t="n"/>
      <c r="F26" s="563" t="n"/>
      <c r="G26" s="563" t="n"/>
      <c r="H26" s="563" t="n"/>
      <c r="I26" s="563" t="n"/>
      <c r="J26" s="563" t="n"/>
      <c r="K26" s="563" t="n"/>
      <c r="L26" s="563" t="n"/>
      <c r="M26" s="563" t="n"/>
      <c r="N26" s="563" t="n"/>
      <c r="O26" s="563" t="n"/>
      <c r="P26" s="563" t="n"/>
      <c r="Q26" s="566" t="n"/>
    </row>
    <row r="27" ht="19.5" customHeight="1" s="341">
      <c r="B27" s="564" t="inlineStr">
        <is>
          <t>Conflict Resolution</t>
        </is>
      </c>
      <c r="D27" s="578" t="inlineStr">
        <is>
          <t>Server timestamp wins — latest record takes priority</t>
        </is>
      </c>
      <c r="E27" s="563" t="n"/>
      <c r="F27" s="563" t="n"/>
      <c r="G27" s="563" t="n"/>
      <c r="H27" s="563" t="n"/>
      <c r="I27" s="563" t="n"/>
      <c r="J27" s="563" t="n"/>
      <c r="K27" s="563" t="n"/>
      <c r="L27" s="563" t="n"/>
      <c r="M27" s="563" t="n"/>
      <c r="N27" s="563" t="n"/>
      <c r="O27" s="563" t="n"/>
      <c r="P27" s="563" t="n"/>
      <c r="Q27" s="566" t="n"/>
    </row>
    <row r="28" ht="19.5" customHeight="1" s="341">
      <c r="B28" s="564" t="inlineStr">
        <is>
          <t>Duplicate Guard</t>
        </is>
      </c>
      <c r="D28" s="578" t="inlineStr">
        <is>
          <t>Transaction_ID uniqueness enforced server-side</t>
        </is>
      </c>
      <c r="E28" s="563" t="n"/>
      <c r="F28" s="563" t="n"/>
      <c r="G28" s="563" t="n"/>
      <c r="H28" s="563" t="n"/>
      <c r="I28" s="563" t="n"/>
      <c r="J28" s="563" t="n"/>
      <c r="K28" s="563" t="n"/>
      <c r="L28" s="563" t="n"/>
      <c r="M28" s="563" t="n"/>
      <c r="N28" s="563" t="n"/>
      <c r="O28" s="563" t="n"/>
      <c r="P28" s="563" t="n"/>
      <c r="Q28" s="566" t="n"/>
    </row>
    <row r="29" ht="19.5" customHeight="1" s="341">
      <c r="B29" s="564" t="inlineStr">
        <is>
          <t>Encryption</t>
        </is>
      </c>
      <c r="D29" s="578" t="inlineStr">
        <is>
          <t>TLS 1.3 on all requests — data encrypted in transit</t>
        </is>
      </c>
      <c r="E29" s="563" t="n"/>
      <c r="F29" s="563" t="n"/>
      <c r="G29" s="563" t="n"/>
      <c r="H29" s="563" t="n"/>
      <c r="I29" s="563" t="n"/>
      <c r="J29" s="563" t="n"/>
      <c r="K29" s="563" t="n"/>
      <c r="L29" s="563" t="n"/>
      <c r="M29" s="563" t="n"/>
      <c r="N29" s="563" t="n"/>
      <c r="O29" s="563" t="n"/>
      <c r="P29" s="563" t="n"/>
      <c r="Q29" s="566" t="n"/>
    </row>
    <row r="30" ht="13.5" customHeight="1" s="341"/>
    <row r="31" ht="3" customHeight="1" s="341">
      <c r="A31" s="436" t="n"/>
      <c r="B31" s="436" t="n"/>
      <c r="C31" s="436" t="n"/>
      <c r="D31" s="436" t="n"/>
      <c r="E31" s="436" t="n"/>
      <c r="F31" s="436" t="n"/>
      <c r="G31" s="436" t="n"/>
      <c r="H31" s="436" t="n"/>
      <c r="I31" s="436" t="n"/>
      <c r="J31" s="436" t="n"/>
      <c r="K31" s="436" t="n"/>
      <c r="L31" s="436" t="n"/>
      <c r="M31" s="436" t="n"/>
      <c r="N31" s="436" t="n"/>
      <c r="O31" s="436" t="n"/>
      <c r="P31" s="436" t="n"/>
      <c r="Q31" s="436" t="n"/>
    </row>
    <row r="32" ht="25.5" customHeight="1" s="341">
      <c r="A32" s="515" t="inlineStr">
        <is>
          <t>🔄  SYNC CONTROLS</t>
        </is>
      </c>
    </row>
    <row r="33" ht="7.5" customHeight="1" s="341"/>
    <row r="34" ht="43.5" customHeight="1" s="341">
      <c r="B34" s="579" t="inlineStr">
        <is>
          <t>⬆  PUSH DATA TO CLOUD</t>
        </is>
      </c>
      <c r="C34" s="563" t="n"/>
      <c r="D34" s="563" t="n"/>
      <c r="E34" s="563" t="n"/>
      <c r="F34" s="563" t="n"/>
      <c r="G34" s="566" t="n"/>
    </row>
    <row r="35" ht="15.75" customHeight="1" s="341">
      <c r="B35" s="580" t="inlineStr">
        <is>
          <t>Pushes: DB_Savings + DB_Withdrawals + DB_Loans + DB_Customers → Firebase</t>
        </is>
      </c>
    </row>
    <row r="36" ht="9.75" customHeight="1" s="341"/>
    <row r="37" ht="43.5" customHeight="1" s="341">
      <c r="B37" s="581" t="inlineStr">
        <is>
          <t>⬇  PULL DATA FROM CLOUD</t>
        </is>
      </c>
      <c r="C37" s="563" t="n"/>
      <c r="D37" s="563" t="n"/>
      <c r="E37" s="563" t="n"/>
      <c r="F37" s="563" t="n"/>
      <c r="G37" s="566" t="n"/>
    </row>
    <row r="38" ht="15.75" customHeight="1" s="341">
      <c r="B38" s="580" t="inlineStr">
        <is>
          <t>Fetches latest cloud data → refreshes Manager_Dashboard + DB sheets + MASTER_DATABASE</t>
        </is>
      </c>
    </row>
    <row r="39" ht="9.75" customHeight="1" s="341"/>
    <row r="40" ht="43.5" customHeight="1" s="341">
      <c r="B40" s="582" t="inlineStr">
        <is>
          <t>⚡  AUTO SYNC  (Toggle ON/OFF)</t>
        </is>
      </c>
      <c r="C40" s="563" t="n"/>
      <c r="D40" s="563" t="n"/>
      <c r="E40" s="563" t="n"/>
      <c r="F40" s="563" t="n"/>
      <c r="G40" s="566" t="n"/>
    </row>
    <row r="41" ht="15.75" customHeight="1" s="341">
      <c r="B41" s="583" t="inlineStr">
        <is>
          <t>When ON: every new transaction auto-pushes to cloud (VBA event-driven, no delay)</t>
        </is>
      </c>
    </row>
    <row r="42" ht="13.5" customHeight="1" s="341"/>
    <row r="43" ht="3" customHeight="1" s="341">
      <c r="A43" s="436" t="n"/>
      <c r="B43" s="436" t="n"/>
      <c r="C43" s="436" t="n"/>
      <c r="D43" s="436" t="n"/>
      <c r="E43" s="436" t="n"/>
      <c r="F43" s="436" t="n"/>
      <c r="G43" s="436" t="n"/>
      <c r="H43" s="436" t="n"/>
      <c r="I43" s="436" t="n"/>
      <c r="J43" s="436" t="n"/>
      <c r="K43" s="436" t="n"/>
      <c r="L43" s="436" t="n"/>
      <c r="M43" s="436" t="n"/>
      <c r="N43" s="436" t="n"/>
      <c r="O43" s="436" t="n"/>
      <c r="P43" s="436" t="n"/>
      <c r="Q43" s="436" t="n"/>
    </row>
    <row r="44" ht="25.5" customHeight="1" s="341">
      <c r="A44" s="515" t="inlineStr">
        <is>
          <t>📡  DATA FLOW ARCHITECTURE</t>
        </is>
      </c>
    </row>
    <row r="45" ht="24" customHeight="1" s="341">
      <c r="B45" s="584" t="inlineStr">
        <is>
          <t>⬆ PUSH  (Excel → Cloud)</t>
        </is>
      </c>
    </row>
    <row r="46" ht="15.75" customHeight="1" s="341">
      <c r="C46" s="585" t="inlineStr">
        <is>
          <t>• Savings records from all 10 agents (DB_Savings)</t>
        </is>
      </c>
    </row>
    <row r="47" ht="15.75" customHeight="1" s="341">
      <c r="C47" s="585" t="inlineStr">
        <is>
          <t>• Withdrawal records from all 10 agents (DB_Withdrawals)</t>
        </is>
      </c>
    </row>
    <row r="48" ht="15.75" customHeight="1" s="341">
      <c r="C48" s="585" t="inlineStr">
        <is>
          <t>• Loan applications + repayments (DB_Loans)</t>
        </is>
      </c>
    </row>
    <row r="49" ht="15.75" customHeight="1" s="341">
      <c r="C49" s="585" t="inlineStr">
        <is>
          <t>• Customer registry (DB_Customers — account details + balances)</t>
        </is>
      </c>
    </row>
    <row r="50" ht="15.75" customHeight="1" s="341">
      <c r="C50" s="585" t="inlineStr">
        <is>
          <t>• JSON payload: {company_id, agent, account_no, amount, timestamp}</t>
        </is>
      </c>
    </row>
    <row r="51" ht="15.75" customHeight="1" s="341">
      <c r="C51" s="585" t="inlineStr">
        <is>
          <t>• Duplicate check: Transaction_ID uniqueness enforced before each push</t>
        </is>
      </c>
    </row>
    <row r="52" ht="7.5" customHeight="1" s="341"/>
    <row r="53" ht="24" customHeight="1" s="341">
      <c r="B53" s="586" t="inlineStr">
        <is>
          <t>⬇ PULL  (Cloud → Excel)</t>
        </is>
      </c>
    </row>
    <row r="54" ht="15.75" customHeight="1" s="341">
      <c r="C54" s="585" t="inlineStr">
        <is>
          <t>• Fetches latest approved transactions from Firebase</t>
        </is>
      </c>
    </row>
    <row r="55" ht="15.75" customHeight="1" s="341">
      <c r="C55" s="585" t="inlineStr">
        <is>
          <t>• Refreshes Manager_Dashboard KPI cards in real-time</t>
        </is>
      </c>
    </row>
    <row r="56" ht="15.75" customHeight="1" s="341">
      <c r="C56" s="585" t="inlineStr">
        <is>
          <t>• Updates Daily_Balancing / Weekly_Balancing / Monthly_Balancing</t>
        </is>
      </c>
    </row>
    <row r="57" ht="15.75" customHeight="1" s="341">
      <c r="C57" s="585" t="inlineStr">
        <is>
          <t>• Overwrites local if cloud timestamp is newer (conflict resolution)</t>
        </is>
      </c>
    </row>
    <row r="58" ht="15.75" customHeight="1" s="341">
      <c r="C58" s="585" t="inlineStr">
        <is>
          <t>• Customer balances recalculated automatically after pull</t>
        </is>
      </c>
    </row>
    <row r="59" ht="7.5" customHeight="1" s="341"/>
    <row r="60" ht="24" customHeight="1" s="341">
      <c r="B60" s="587" t="inlineStr">
        <is>
          <t>📴 OFFLINE MODE</t>
        </is>
      </c>
    </row>
    <row r="61" ht="15.75" customHeight="1" s="341">
      <c r="C61" s="585" t="inlineStr">
        <is>
          <t>• Full system works offline — all formulas, validation, security active</t>
        </is>
      </c>
    </row>
    <row r="62" ht="15.75" customHeight="1" s="341">
      <c r="C62" s="585" t="inlineStr">
        <is>
          <t>• New transactions queued in Audit_Log (offline queue)</t>
        </is>
      </c>
    </row>
    <row r="63" ht="15.75" customHeight="1" s="341">
      <c r="C63" s="585" t="inlineStr">
        <is>
          <t>• Queue auto-flushes when internet connection restored</t>
        </is>
      </c>
    </row>
    <row r="64" ht="15.75" customHeight="1" s="341">
      <c r="C64" s="585" t="inlineStr">
        <is>
          <t>• Agent security codes, min-balance enforcement — all offline-capable</t>
        </is>
      </c>
    </row>
    <row r="65" ht="15.75" customHeight="1" s="341">
      <c r="C65" s="585" t="inlineStr">
        <is>
          <t>• No data loss guaranteed — local state always preserved</t>
        </is>
      </c>
    </row>
    <row r="66" ht="7.5" customHeight="1" s="341"/>
    <row r="67" ht="3" customHeight="1" s="341">
      <c r="A67" s="436" t="n"/>
      <c r="B67" s="436" t="n"/>
      <c r="C67" s="436" t="n"/>
      <c r="D67" s="436" t="n"/>
      <c r="E67" s="436" t="n"/>
      <c r="F67" s="436" t="n"/>
      <c r="G67" s="436" t="n"/>
      <c r="H67" s="436" t="n"/>
      <c r="I67" s="436" t="n"/>
      <c r="J67" s="436" t="n"/>
      <c r="K67" s="436" t="n"/>
      <c r="L67" s="436" t="n"/>
      <c r="M67" s="436" t="n"/>
      <c r="N67" s="436" t="n"/>
      <c r="O67" s="436" t="n"/>
      <c r="P67" s="436" t="n"/>
      <c r="Q67" s="436" t="n"/>
    </row>
    <row r="68" ht="25.5" customHeight="1" s="341">
      <c r="A68" s="515" t="inlineStr">
        <is>
          <t>🗃️  CLOUD DATABASE SCHEMA</t>
        </is>
      </c>
    </row>
    <row r="69" ht="19.5" customHeight="1" s="341">
      <c r="B69" s="564" t="inlineStr">
        <is>
          <t>Collection: savings</t>
        </is>
      </c>
      <c r="D69" s="588" t="inlineStr">
        <is>
          <t>account_no | customer_name | amount | agent | date | status | transaction_id | timestamp</t>
        </is>
      </c>
    </row>
    <row r="70" ht="19.5" customHeight="1" s="341">
      <c r="B70" s="564" t="inlineStr">
        <is>
          <t>Collection: withdrawals</t>
        </is>
      </c>
      <c r="D70" s="588" t="inlineStr">
        <is>
          <t>account_no | customer_name | amount | agent | date | status | transaction_id | timestamp</t>
        </is>
      </c>
    </row>
    <row r="71" ht="19.5" customHeight="1" s="341">
      <c r="B71" s="564" t="inlineStr">
        <is>
          <t>Collection: loans</t>
        </is>
      </c>
      <c r="D71" s="588" t="inlineStr">
        <is>
          <t>loan_id | account_no | customer_name | amount | purpose | months | rate | status | agent | timestamp</t>
        </is>
      </c>
    </row>
    <row r="72" ht="19.5" customHeight="1" s="341">
      <c r="B72" s="564" t="inlineStr">
        <is>
          <t>Collection: customers</t>
        </is>
      </c>
      <c r="D72" s="588" t="inlineStr">
        <is>
          <t>account_no | full_name | agent | opening_balance | current_balance | status | phone | location</t>
        </is>
      </c>
    </row>
    <row r="73" ht="19.5" customHeight="1" s="341">
      <c r="B73" s="564" t="inlineStr">
        <is>
          <t>Collection: master_archive</t>
        </is>
      </c>
      <c r="D73" s="588" t="inlineStr">
        <is>
          <t>all above + year | month | session | archived_at</t>
        </is>
      </c>
    </row>
    <row r="74" ht="19.5" customHeight="1" s="341">
      <c r="B74" s="564" t="inlineStr">
        <is>
          <t>Primary Keys</t>
        </is>
      </c>
      <c r="D74" s="588" t="inlineStr">
        <is>
          <t>Transaction_ID (savings/withdrawals)  |  Loan_ID (loans)  |  Account_No (customers)</t>
        </is>
      </c>
    </row>
    <row r="75" ht="12" customHeight="1" s="341"/>
    <row r="76" ht="3" customHeight="1" s="341">
      <c r="A76" s="436" t="n"/>
      <c r="B76" s="436" t="n"/>
      <c r="C76" s="436" t="n"/>
      <c r="D76" s="436" t="n"/>
      <c r="E76" s="436" t="n"/>
      <c r="F76" s="436" t="n"/>
      <c r="G76" s="436" t="n"/>
      <c r="H76" s="436" t="n"/>
      <c r="I76" s="436" t="n"/>
      <c r="J76" s="436" t="n"/>
      <c r="K76" s="436" t="n"/>
      <c r="L76" s="436" t="n"/>
      <c r="M76" s="436" t="n"/>
      <c r="N76" s="436" t="n"/>
      <c r="O76" s="436" t="n"/>
      <c r="P76" s="436" t="n"/>
      <c r="Q76" s="436" t="n"/>
    </row>
    <row r="77" ht="25.5" customHeight="1" s="341">
      <c r="A77" s="515" t="inlineStr">
        <is>
          <t>📋  SYNC LOG — Last 50 Operations</t>
        </is>
      </c>
    </row>
    <row r="78" ht="21.75" customHeight="1" s="341">
      <c r="B78" s="589" t="inlineStr">
        <is>
          <t>Timestamp</t>
        </is>
      </c>
      <c r="C78" s="589" t="inlineStr">
        <is>
          <t>Operation</t>
        </is>
      </c>
      <c r="D78" s="589" t="inlineStr">
        <is>
          <t>Status</t>
        </is>
      </c>
      <c r="E78" s="589" t="inlineStr">
        <is>
          <t>Records</t>
        </is>
      </c>
      <c r="F78" s="589" t="inlineStr">
        <is>
          <t>Module</t>
        </is>
      </c>
      <c r="G78" s="589" t="inlineStr">
        <is>
          <t>Duration (s)</t>
        </is>
      </c>
      <c r="H78" s="589" t="inlineStr">
        <is>
          <t>Notes</t>
        </is>
      </c>
    </row>
    <row r="79" ht="15.75" customHeight="1" s="341">
      <c r="B79" s="590" t="n"/>
      <c r="C79" s="590" t="n"/>
      <c r="D79" s="590" t="n"/>
      <c r="E79" s="590" t="n"/>
      <c r="F79" s="590" t="n"/>
      <c r="G79" s="590" t="n"/>
      <c r="H79" s="590" t="n"/>
    </row>
    <row r="80" ht="15.75" customHeight="1" s="341">
      <c r="B80" s="591" t="n"/>
      <c r="C80" s="591" t="n"/>
      <c r="D80" s="591" t="n"/>
      <c r="E80" s="591" t="n"/>
      <c r="F80" s="591" t="n"/>
      <c r="G80" s="591" t="n"/>
      <c r="H80" s="591" t="n"/>
    </row>
    <row r="81" ht="15.75" customHeight="1" s="341">
      <c r="B81" s="590" t="n"/>
      <c r="C81" s="590" t="n"/>
      <c r="D81" s="590" t="n"/>
      <c r="E81" s="590" t="n"/>
      <c r="F81" s="590" t="n"/>
      <c r="G81" s="590" t="n"/>
      <c r="H81" s="590" t="n"/>
    </row>
    <row r="82" ht="15.75" customHeight="1" s="341">
      <c r="B82" s="591" t="n"/>
      <c r="C82" s="591" t="n"/>
      <c r="D82" s="591" t="n"/>
      <c r="E82" s="591" t="n"/>
      <c r="F82" s="591" t="n"/>
      <c r="G82" s="591" t="n"/>
      <c r="H82" s="591" t="n"/>
    </row>
    <row r="83" ht="15.75" customHeight="1" s="341">
      <c r="B83" s="590" t="n"/>
      <c r="C83" s="590" t="n"/>
      <c r="D83" s="590" t="n"/>
      <c r="E83" s="590" t="n"/>
      <c r="F83" s="590" t="n"/>
      <c r="G83" s="590" t="n"/>
      <c r="H83" s="590" t="n"/>
    </row>
    <row r="84" ht="15.75" customHeight="1" s="341">
      <c r="B84" s="591" t="n"/>
      <c r="C84" s="591" t="n"/>
      <c r="D84" s="591" t="n"/>
      <c r="E84" s="591" t="n"/>
      <c r="F84" s="591" t="n"/>
      <c r="G84" s="591" t="n"/>
      <c r="H84" s="591" t="n"/>
    </row>
    <row r="85" ht="15.75" customHeight="1" s="341">
      <c r="B85" s="590" t="n"/>
      <c r="C85" s="590" t="n"/>
      <c r="D85" s="590" t="n"/>
      <c r="E85" s="590" t="n"/>
      <c r="F85" s="590" t="n"/>
      <c r="G85" s="590" t="n"/>
      <c r="H85" s="590" t="n"/>
    </row>
    <row r="86" ht="15.75" customHeight="1" s="341">
      <c r="B86" s="591" t="n"/>
      <c r="C86" s="591" t="n"/>
      <c r="D86" s="591" t="n"/>
      <c r="E86" s="591" t="n"/>
      <c r="F86" s="591" t="n"/>
      <c r="G86" s="591" t="n"/>
      <c r="H86" s="591" t="n"/>
    </row>
    <row r="87" ht="15.75" customHeight="1" s="341">
      <c r="B87" s="590" t="n"/>
      <c r="C87" s="590" t="n"/>
      <c r="D87" s="590" t="n"/>
      <c r="E87" s="590" t="n"/>
      <c r="F87" s="590" t="n"/>
      <c r="G87" s="590" t="n"/>
      <c r="H87" s="590" t="n"/>
    </row>
    <row r="88" ht="15.75" customHeight="1" s="341">
      <c r="B88" s="591" t="n"/>
      <c r="C88" s="591" t="n"/>
      <c r="D88" s="591" t="n"/>
      <c r="E88" s="591" t="n"/>
      <c r="F88" s="591" t="n"/>
      <c r="G88" s="591" t="n"/>
      <c r="H88" s="591" t="n"/>
    </row>
    <row r="89" ht="15.75" customHeight="1" s="341">
      <c r="B89" s="590" t="n"/>
      <c r="C89" s="590" t="n"/>
      <c r="D89" s="590" t="n"/>
      <c r="E89" s="590" t="n"/>
      <c r="F89" s="590" t="n"/>
      <c r="G89" s="590" t="n"/>
      <c r="H89" s="590" t="n"/>
    </row>
    <row r="90" ht="15.75" customHeight="1" s="341">
      <c r="B90" s="591" t="n"/>
      <c r="C90" s="591" t="n"/>
      <c r="D90" s="591" t="n"/>
      <c r="E90" s="591" t="n"/>
      <c r="F90" s="591" t="n"/>
      <c r="G90" s="591" t="n"/>
      <c r="H90" s="591" t="n"/>
    </row>
    <row r="91" ht="15.75" customHeight="1" s="341">
      <c r="B91" s="590" t="n"/>
      <c r="C91" s="590" t="n"/>
      <c r="D91" s="590" t="n"/>
      <c r="E91" s="590" t="n"/>
      <c r="F91" s="590" t="n"/>
      <c r="G91" s="590" t="n"/>
      <c r="H91" s="590" t="n"/>
    </row>
    <row r="92" ht="15.75" customHeight="1" s="341">
      <c r="B92" s="591" t="n"/>
      <c r="C92" s="591" t="n"/>
      <c r="D92" s="591" t="n"/>
      <c r="E92" s="591" t="n"/>
      <c r="F92" s="591" t="n"/>
      <c r="G92" s="591" t="n"/>
      <c r="H92" s="591" t="n"/>
    </row>
    <row r="93" ht="15.75" customHeight="1" s="341">
      <c r="B93" s="590" t="n"/>
      <c r="C93" s="590" t="n"/>
      <c r="D93" s="590" t="n"/>
      <c r="E93" s="590" t="n"/>
      <c r="F93" s="590" t="n"/>
      <c r="G93" s="590" t="n"/>
      <c r="H93" s="590" t="n"/>
    </row>
    <row r="94" ht="15.75" customHeight="1" s="341">
      <c r="B94" s="591" t="n"/>
      <c r="C94" s="591" t="n"/>
      <c r="D94" s="591" t="n"/>
      <c r="E94" s="591" t="n"/>
      <c r="F94" s="591" t="n"/>
      <c r="G94" s="591" t="n"/>
      <c r="H94" s="591" t="n"/>
    </row>
    <row r="95" ht="15.75" customHeight="1" s="341">
      <c r="B95" s="590" t="n"/>
      <c r="C95" s="590" t="n"/>
      <c r="D95" s="590" t="n"/>
      <c r="E95" s="590" t="n"/>
      <c r="F95" s="590" t="n"/>
      <c r="G95" s="590" t="n"/>
      <c r="H95" s="590" t="n"/>
    </row>
    <row r="96" ht="15.75" customHeight="1" s="341">
      <c r="B96" s="591" t="n"/>
      <c r="C96" s="591" t="n"/>
      <c r="D96" s="591" t="n"/>
      <c r="E96" s="591" t="n"/>
      <c r="F96" s="591" t="n"/>
      <c r="G96" s="591" t="n"/>
      <c r="H96" s="591" t="n"/>
    </row>
    <row r="97" ht="15.75" customHeight="1" s="341">
      <c r="B97" s="590" t="n"/>
      <c r="C97" s="590" t="n"/>
      <c r="D97" s="590" t="n"/>
      <c r="E97" s="590" t="n"/>
      <c r="F97" s="590" t="n"/>
      <c r="G97" s="590" t="n"/>
      <c r="H97" s="590" t="n"/>
    </row>
    <row r="98" ht="15.75" customHeight="1" s="341">
      <c r="B98" s="591" t="n"/>
      <c r="C98" s="591" t="n"/>
      <c r="D98" s="591" t="n"/>
      <c r="E98" s="591" t="n"/>
      <c r="F98" s="591" t="n"/>
      <c r="G98" s="591" t="n"/>
      <c r="H98" s="591" t="n"/>
    </row>
    <row r="99" ht="15.75" customHeight="1" s="341">
      <c r="B99" s="590" t="n"/>
      <c r="C99" s="590" t="n"/>
      <c r="D99" s="590" t="n"/>
      <c r="E99" s="590" t="n"/>
      <c r="F99" s="590" t="n"/>
      <c r="G99" s="590" t="n"/>
      <c r="H99" s="590" t="n"/>
    </row>
    <row r="100" ht="15.75" customHeight="1" s="341">
      <c r="B100" s="591" t="n"/>
      <c r="C100" s="591" t="n"/>
      <c r="D100" s="591" t="n"/>
      <c r="E100" s="591" t="n"/>
      <c r="F100" s="591" t="n"/>
      <c r="G100" s="591" t="n"/>
      <c r="H100" s="591" t="n"/>
    </row>
    <row r="101" ht="15.75" customHeight="1" s="341">
      <c r="B101" s="590" t="n"/>
      <c r="C101" s="590" t="n"/>
      <c r="D101" s="590" t="n"/>
      <c r="E101" s="590" t="n"/>
      <c r="F101" s="590" t="n"/>
      <c r="G101" s="590" t="n"/>
      <c r="H101" s="590" t="n"/>
    </row>
    <row r="102" ht="15.75" customHeight="1" s="341">
      <c r="B102" s="591" t="n"/>
      <c r="C102" s="591" t="n"/>
      <c r="D102" s="591" t="n"/>
      <c r="E102" s="591" t="n"/>
      <c r="F102" s="591" t="n"/>
      <c r="G102" s="591" t="n"/>
      <c r="H102" s="591" t="n"/>
    </row>
    <row r="103" ht="15.75" customHeight="1" s="341">
      <c r="B103" s="590" t="n"/>
      <c r="C103" s="590" t="n"/>
      <c r="D103" s="590" t="n"/>
      <c r="E103" s="590" t="n"/>
      <c r="F103" s="590" t="n"/>
      <c r="G103" s="590" t="n"/>
      <c r="H103" s="590" t="n"/>
    </row>
    <row r="104" ht="15.75" customHeight="1" s="341">
      <c r="B104" s="591" t="n"/>
      <c r="C104" s="591" t="n"/>
      <c r="D104" s="591" t="n"/>
      <c r="E104" s="591" t="n"/>
      <c r="F104" s="591" t="n"/>
      <c r="G104" s="591" t="n"/>
      <c r="H104" s="591" t="n"/>
    </row>
    <row r="105" ht="15.75" customHeight="1" s="341">
      <c r="B105" s="590" t="n"/>
      <c r="C105" s="590" t="n"/>
      <c r="D105" s="590" t="n"/>
      <c r="E105" s="590" t="n"/>
      <c r="F105" s="590" t="n"/>
      <c r="G105" s="590" t="n"/>
      <c r="H105" s="590" t="n"/>
    </row>
    <row r="106" ht="15.75" customHeight="1" s="341">
      <c r="B106" s="591" t="n"/>
      <c r="C106" s="591" t="n"/>
      <c r="D106" s="591" t="n"/>
      <c r="E106" s="591" t="n"/>
      <c r="F106" s="591" t="n"/>
      <c r="G106" s="591" t="n"/>
      <c r="H106" s="591" t="n"/>
    </row>
    <row r="107" ht="15.75" customHeight="1" s="341">
      <c r="B107" s="590" t="n"/>
      <c r="C107" s="590" t="n"/>
      <c r="D107" s="590" t="n"/>
      <c r="E107" s="590" t="n"/>
      <c r="F107" s="590" t="n"/>
      <c r="G107" s="590" t="n"/>
      <c r="H107" s="590" t="n"/>
    </row>
    <row r="108" ht="15.75" customHeight="1" s="341">
      <c r="B108" s="591" t="n"/>
      <c r="C108" s="591" t="n"/>
      <c r="D108" s="591" t="n"/>
      <c r="E108" s="591" t="n"/>
      <c r="F108" s="591" t="n"/>
      <c r="G108" s="591" t="n"/>
      <c r="H108" s="591" t="n"/>
    </row>
    <row r="109" ht="15.75" customHeight="1" s="341">
      <c r="B109" s="590" t="n"/>
      <c r="C109" s="590" t="n"/>
      <c r="D109" s="590" t="n"/>
      <c r="E109" s="590" t="n"/>
      <c r="F109" s="590" t="n"/>
      <c r="G109" s="590" t="n"/>
      <c r="H109" s="590" t="n"/>
    </row>
    <row r="110" ht="15.75" customHeight="1" s="341">
      <c r="B110" s="591" t="n"/>
      <c r="C110" s="591" t="n"/>
      <c r="D110" s="591" t="n"/>
      <c r="E110" s="591" t="n"/>
      <c r="F110" s="591" t="n"/>
      <c r="G110" s="591" t="n"/>
      <c r="H110" s="591" t="n"/>
    </row>
    <row r="111" ht="15.75" customHeight="1" s="341">
      <c r="B111" s="590" t="n"/>
      <c r="C111" s="590" t="n"/>
      <c r="D111" s="590" t="n"/>
      <c r="E111" s="590" t="n"/>
      <c r="F111" s="590" t="n"/>
      <c r="G111" s="590" t="n"/>
      <c r="H111" s="590" t="n"/>
    </row>
    <row r="112" ht="15.75" customHeight="1" s="341">
      <c r="B112" s="591" t="n"/>
      <c r="C112" s="591" t="n"/>
      <c r="D112" s="591" t="n"/>
      <c r="E112" s="591" t="n"/>
      <c r="F112" s="591" t="n"/>
      <c r="G112" s="591" t="n"/>
      <c r="H112" s="591" t="n"/>
    </row>
    <row r="113" ht="15.75" customHeight="1" s="341">
      <c r="B113" s="590" t="n"/>
      <c r="C113" s="590" t="n"/>
      <c r="D113" s="590" t="n"/>
      <c r="E113" s="590" t="n"/>
      <c r="F113" s="590" t="n"/>
      <c r="G113" s="590" t="n"/>
      <c r="H113" s="590" t="n"/>
    </row>
    <row r="114" ht="15.75" customHeight="1" s="341">
      <c r="B114" s="591" t="n"/>
      <c r="C114" s="591" t="n"/>
      <c r="D114" s="591" t="n"/>
      <c r="E114" s="591" t="n"/>
      <c r="F114" s="591" t="n"/>
      <c r="G114" s="591" t="n"/>
      <c r="H114" s="591" t="n"/>
    </row>
    <row r="115" ht="15.75" customHeight="1" s="341">
      <c r="B115" s="590" t="n"/>
      <c r="C115" s="590" t="n"/>
      <c r="D115" s="590" t="n"/>
      <c r="E115" s="590" t="n"/>
      <c r="F115" s="590" t="n"/>
      <c r="G115" s="590" t="n"/>
      <c r="H115" s="590" t="n"/>
    </row>
    <row r="116" ht="15.75" customHeight="1" s="341">
      <c r="B116" s="591" t="n"/>
      <c r="C116" s="591" t="n"/>
      <c r="D116" s="591" t="n"/>
      <c r="E116" s="591" t="n"/>
      <c r="F116" s="591" t="n"/>
      <c r="G116" s="591" t="n"/>
      <c r="H116" s="591" t="n"/>
    </row>
    <row r="117" ht="15.75" customHeight="1" s="341">
      <c r="B117" s="590" t="n"/>
      <c r="C117" s="590" t="n"/>
      <c r="D117" s="590" t="n"/>
      <c r="E117" s="590" t="n"/>
      <c r="F117" s="590" t="n"/>
      <c r="G117" s="590" t="n"/>
      <c r="H117" s="590" t="n"/>
    </row>
    <row r="118" ht="15.75" customHeight="1" s="341">
      <c r="B118" s="591" t="n"/>
      <c r="C118" s="591" t="n"/>
      <c r="D118" s="591" t="n"/>
      <c r="E118" s="591" t="n"/>
      <c r="F118" s="591" t="n"/>
      <c r="G118" s="591" t="n"/>
      <c r="H118" s="591" t="n"/>
    </row>
    <row r="119" ht="15.75" customHeight="1" s="341">
      <c r="B119" s="590" t="n"/>
      <c r="C119" s="590" t="n"/>
      <c r="D119" s="590" t="n"/>
      <c r="E119" s="590" t="n"/>
      <c r="F119" s="590" t="n"/>
      <c r="G119" s="590" t="n"/>
      <c r="H119" s="590" t="n"/>
    </row>
    <row r="120" ht="15.75" customHeight="1" s="341">
      <c r="B120" s="591" t="n"/>
      <c r="C120" s="591" t="n"/>
      <c r="D120" s="591" t="n"/>
      <c r="E120" s="591" t="n"/>
      <c r="F120" s="591" t="n"/>
      <c r="G120" s="591" t="n"/>
      <c r="H120" s="591" t="n"/>
    </row>
    <row r="121" ht="15.75" customHeight="1" s="341">
      <c r="B121" s="590" t="n"/>
      <c r="C121" s="590" t="n"/>
      <c r="D121" s="590" t="n"/>
      <c r="E121" s="590" t="n"/>
      <c r="F121" s="590" t="n"/>
      <c r="G121" s="590" t="n"/>
      <c r="H121" s="590" t="n"/>
    </row>
    <row r="122" ht="15.75" customHeight="1" s="341">
      <c r="B122" s="591" t="n"/>
      <c r="C122" s="591" t="n"/>
      <c r="D122" s="591" t="n"/>
      <c r="E122" s="591" t="n"/>
      <c r="F122" s="591" t="n"/>
      <c r="G122" s="591" t="n"/>
      <c r="H122" s="591" t="n"/>
    </row>
    <row r="123" ht="15.75" customHeight="1" s="341">
      <c r="B123" s="590" t="n"/>
      <c r="C123" s="590" t="n"/>
      <c r="D123" s="590" t="n"/>
      <c r="E123" s="590" t="n"/>
      <c r="F123" s="590" t="n"/>
      <c r="G123" s="590" t="n"/>
      <c r="H123" s="590" t="n"/>
    </row>
    <row r="124" ht="15.75" customHeight="1" s="341">
      <c r="B124" s="591" t="n"/>
      <c r="C124" s="591" t="n"/>
      <c r="D124" s="591" t="n"/>
      <c r="E124" s="591" t="n"/>
      <c r="F124" s="591" t="n"/>
      <c r="G124" s="591" t="n"/>
      <c r="H124" s="591" t="n"/>
    </row>
    <row r="125" ht="15.75" customHeight="1" s="341">
      <c r="B125" s="590" t="n"/>
      <c r="C125" s="590" t="n"/>
      <c r="D125" s="590" t="n"/>
      <c r="E125" s="590" t="n"/>
      <c r="F125" s="590" t="n"/>
      <c r="G125" s="590" t="n"/>
      <c r="H125" s="590" t="n"/>
    </row>
    <row r="126" ht="15.75" customHeight="1" s="341">
      <c r="B126" s="591" t="n"/>
      <c r="C126" s="591" t="n"/>
      <c r="D126" s="591" t="n"/>
      <c r="E126" s="591" t="n"/>
      <c r="F126" s="591" t="n"/>
      <c r="G126" s="591" t="n"/>
      <c r="H126" s="591" t="n"/>
    </row>
    <row r="127" ht="15.75" customHeight="1" s="341">
      <c r="B127" s="590" t="n"/>
      <c r="C127" s="590" t="n"/>
      <c r="D127" s="590" t="n"/>
      <c r="E127" s="590" t="n"/>
      <c r="F127" s="590" t="n"/>
      <c r="G127" s="590" t="n"/>
      <c r="H127" s="590" t="n"/>
    </row>
    <row r="128" ht="15.75" customHeight="1" s="341">
      <c r="B128" s="591" t="n"/>
      <c r="C128" s="591" t="n"/>
      <c r="D128" s="591" t="n"/>
      <c r="E128" s="591" t="n"/>
      <c r="F128" s="591" t="n"/>
      <c r="G128" s="591" t="n"/>
      <c r="H128" s="591" t="n"/>
    </row>
    <row r="130" ht="3" customHeight="1" s="341">
      <c r="A130" s="574" t="n"/>
      <c r="B130" s="574" t="n"/>
      <c r="C130" s="574" t="n"/>
      <c r="D130" s="574" t="n"/>
      <c r="E130" s="574" t="n"/>
      <c r="F130" s="574" t="n"/>
      <c r="G130" s="574" t="n"/>
      <c r="H130" s="574" t="n"/>
      <c r="I130" s="574" t="n"/>
      <c r="J130" s="574" t="n"/>
      <c r="K130" s="574" t="n"/>
      <c r="L130" s="574" t="n"/>
      <c r="M130" s="574" t="n"/>
      <c r="N130" s="574" t="n"/>
      <c r="O130" s="574" t="n"/>
      <c r="P130" s="574" t="n"/>
      <c r="Q130" s="574" t="n"/>
    </row>
    <row r="131" ht="24" customHeight="1" s="341">
      <c r="A131" s="575" t="inlineStr">
        <is>
          <t>🔐  SECURITY CONFIGURATION</t>
        </is>
      </c>
    </row>
    <row r="132" ht="19.5" customHeight="1" s="341">
      <c r="B132" s="564" t="inlineStr">
        <is>
          <t>JWT Auth</t>
        </is>
      </c>
      <c r="D132" s="585" t="inlineStr">
        <is>
          <t>Enabled — tokens auto-refresh every 24 hours via VBA timer</t>
        </is>
      </c>
    </row>
    <row r="133" ht="19.5" customHeight="1" s="341">
      <c r="B133" s="564" t="inlineStr">
        <is>
          <t>Role-Based Access</t>
        </is>
      </c>
      <c r="D133" s="585" t="inlineStr">
        <is>
          <t>Manager / Agent — agents can only push their own sheet data</t>
        </is>
      </c>
    </row>
    <row r="134" ht="19.5" customHeight="1" s="341">
      <c r="B134" s="564" t="inlineStr">
        <is>
          <t>Agent Code Validation</t>
        </is>
      </c>
      <c r="D134" s="585" t="inlineStr">
        <is>
          <t>4-digit security code required for every transaction (pre-configured)</t>
        </is>
      </c>
    </row>
    <row r="135" ht="19.5" customHeight="1" s="341">
      <c r="B135" s="564" t="inlineStr">
        <is>
          <t>Min Balance Guard</t>
        </is>
      </c>
      <c r="D135" s="585" t="inlineStr">
        <is>
          <t>GHC 10 minimum enforced both in Excel and cloud validation layer</t>
        </is>
      </c>
    </row>
    <row r="136" ht="19.5" customHeight="1" s="341">
      <c r="B136" s="564" t="inlineStr">
        <is>
          <t>API Rate Limiting</t>
        </is>
      </c>
      <c r="D136" s="585" t="inlineStr">
        <is>
          <t>Max 100 requests/minute per agent — prevents abuse</t>
        </is>
      </c>
    </row>
    <row r="137" ht="19.5" customHeight="1" s="341">
      <c r="B137" s="564" t="inlineStr">
        <is>
          <t>Data Encryption</t>
        </is>
      </c>
      <c r="D137" s="585" t="inlineStr">
        <is>
          <t>AES-256 at rest (Firebase) + TLS 1.3 in transit</t>
        </is>
      </c>
    </row>
    <row r="138" ht="19.5" customHeight="1" s="341">
      <c r="B138" s="564" t="inlineStr">
        <is>
          <t>Duplicate Prevention</t>
        </is>
      </c>
      <c r="D138" s="585" t="inlineStr">
        <is>
          <t>Transaction_ID hash checked before any write to cloud</t>
        </is>
      </c>
    </row>
    <row r="139" ht="7.5" customHeight="1" s="341"/>
    <row r="140" ht="19.5" customHeight="1" s="341">
      <c r="A140" s="592" t="inlineStr">
        <is>
          <t>★  Samicious Microfinance Management System v10  |  Cloud Sync Engine  |  Frank IT Consultant</t>
        </is>
      </c>
    </row>
  </sheetData>
  <mergeCells count="68">
    <mergeCell ref="A44:Q44"/>
    <mergeCell ref="D26:Q26"/>
    <mergeCell ref="D11:L11"/>
    <mergeCell ref="C65:Q65"/>
    <mergeCell ref="C63:Q63"/>
    <mergeCell ref="C47:Q47"/>
    <mergeCell ref="C54:Q54"/>
    <mergeCell ref="D20:Q20"/>
    <mergeCell ref="D69:Q69"/>
    <mergeCell ref="C50:Q50"/>
    <mergeCell ref="A77:Q77"/>
    <mergeCell ref="D138:Q138"/>
    <mergeCell ref="C55:Q55"/>
    <mergeCell ref="A15:Q15"/>
    <mergeCell ref="D19:Q19"/>
    <mergeCell ref="C56:Q56"/>
    <mergeCell ref="D22:Q22"/>
    <mergeCell ref="D7:L7"/>
    <mergeCell ref="B38:G38"/>
    <mergeCell ref="A6:Q6"/>
    <mergeCell ref="B34:G34"/>
    <mergeCell ref="C51:Q51"/>
    <mergeCell ref="C46:Q46"/>
    <mergeCell ref="D21:Q21"/>
    <mergeCell ref="B37:G37"/>
    <mergeCell ref="B45:Q45"/>
    <mergeCell ref="D9:L9"/>
    <mergeCell ref="B40:G40"/>
    <mergeCell ref="D27:Q27"/>
    <mergeCell ref="C61:Q61"/>
    <mergeCell ref="D12:L12"/>
    <mergeCell ref="D136:Q136"/>
    <mergeCell ref="D8:L8"/>
    <mergeCell ref="C48:Q48"/>
    <mergeCell ref="D70:Q70"/>
    <mergeCell ref="D135:Q135"/>
    <mergeCell ref="D17:Q17"/>
    <mergeCell ref="A3:Q3"/>
    <mergeCell ref="D16:Q16"/>
    <mergeCell ref="B41:G41"/>
    <mergeCell ref="C57:Q57"/>
    <mergeCell ref="A2:Q2"/>
    <mergeCell ref="B35:G35"/>
    <mergeCell ref="D72:Q72"/>
    <mergeCell ref="D134:Q134"/>
    <mergeCell ref="C49:Q49"/>
    <mergeCell ref="D28:Q28"/>
    <mergeCell ref="D137:Q137"/>
    <mergeCell ref="A32:Q32"/>
    <mergeCell ref="D10:L10"/>
    <mergeCell ref="D18:Q18"/>
    <mergeCell ref="D71:Q71"/>
    <mergeCell ref="D74:Q74"/>
    <mergeCell ref="B60:Q60"/>
    <mergeCell ref="C62:Q62"/>
    <mergeCell ref="D25:Q25"/>
    <mergeCell ref="C58:Q58"/>
    <mergeCell ref="A140:Q140"/>
    <mergeCell ref="A131:Q131"/>
    <mergeCell ref="D23:Q23"/>
    <mergeCell ref="D73:Q73"/>
    <mergeCell ref="D24:Q24"/>
    <mergeCell ref="B53:Q53"/>
    <mergeCell ref="D133:Q133"/>
    <mergeCell ref="D29:Q29"/>
    <mergeCell ref="A68:Q68"/>
    <mergeCell ref="D132:Q132"/>
    <mergeCell ref="C64:Q64"/>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6.xml><?xml version="1.0" encoding="utf-8"?>
<worksheet xmlns="http://schemas.openxmlformats.org/spreadsheetml/2006/main">
  <sheetPr filterMode="0">
    <tabColor rgb="FF2E86AB"/>
    <outlinePr summaryBelow="1" summaryRight="1"/>
    <pageSetUpPr fitToPage="0"/>
  </sheetPr>
  <dimension ref="A1:J13"/>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14" customWidth="1" style="340" min="1" max="1"/>
    <col width="20" customWidth="1" style="340" min="2" max="2"/>
    <col width="12" customWidth="1" style="340" min="3" max="3"/>
    <col width="28" customWidth="1" style="340" min="4" max="4"/>
    <col width="15" customWidth="1" style="340" min="5" max="5"/>
    <col width="18" customWidth="1" style="340" min="6" max="7"/>
    <col width="16" customWidth="1" style="340" min="8" max="8"/>
    <col width="23.57" customWidth="1" style="340" min="9" max="9"/>
    <col width="18" customWidth="1" style="340" min="10" max="10"/>
  </cols>
  <sheetData>
    <row r="1" ht="31.5" customHeight="1" s="341">
      <c r="A1" s="409" t="inlineStr">
        <is>
          <t>👥  AGENTS DATABASE — Pre-loaded | All 10 Agents</t>
        </is>
      </c>
    </row>
    <row r="2" ht="19.5" customHeight="1" s="341">
      <c r="A2" s="593" t="inlineStr">
        <is>
          <t>System pre-configured — Do NOT modify agent codes</t>
        </is>
      </c>
    </row>
    <row r="3" ht="15" customHeight="1" s="341">
      <c r="A3" s="594" t="inlineStr">
        <is>
          <t>Agent_Code</t>
        </is>
      </c>
      <c r="B3" s="594" t="inlineStr">
        <is>
          <t>Agent_Name</t>
        </is>
      </c>
      <c r="C3" s="594" t="inlineStr">
        <is>
          <t>Status</t>
        </is>
      </c>
      <c r="D3" s="594" t="inlineStr">
        <is>
          <t>Email</t>
        </is>
      </c>
      <c r="E3" s="594" t="inlineStr">
        <is>
          <t>PIN_Hash</t>
        </is>
      </c>
      <c r="F3" s="594" t="inlineStr">
        <is>
          <t>Last_Login</t>
        </is>
      </c>
      <c r="G3" s="594" t="inlineStr">
        <is>
          <t>Session_Token</t>
        </is>
      </c>
      <c r="H3" s="594" t="inlineStr">
        <is>
          <t>Min_Balance_GHC</t>
        </is>
      </c>
      <c r="I3" s="515" t="inlineStr">
        <is>
          <t>Agent_4Digit_Code</t>
        </is>
      </c>
      <c r="J3" s="556" t="inlineStr">
        <is>
          <t>Working_Area</t>
        </is>
      </c>
    </row>
    <row r="4" ht="15" customHeight="1" s="341">
      <c r="A4" s="380" t="inlineStr">
        <is>
          <t>Agent01</t>
        </is>
      </c>
      <c r="B4" s="380" t="inlineStr">
        <is>
          <t>Agent 01</t>
        </is>
      </c>
      <c r="C4" s="380" t="inlineStr">
        <is>
          <t>Active</t>
        </is>
      </c>
      <c r="D4" s="380" t="inlineStr">
        <is>
          <t>agent01@samicious.com</t>
        </is>
      </c>
      <c r="E4" s="340" t="inlineStr">
        <is>
          <t>AGENT01PIN</t>
        </is>
      </c>
      <c r="H4" s="340" t="n">
        <v>10</v>
      </c>
      <c r="I4" s="595" t="inlineStr">
        <is>
          <t>4832</t>
        </is>
      </c>
      <c r="J4" s="555" t="inlineStr">
        <is>
          <t>Agent01_Area</t>
        </is>
      </c>
    </row>
    <row r="5" ht="15" customHeight="1" s="341">
      <c r="A5" s="384" t="inlineStr">
        <is>
          <t>Agent02</t>
        </is>
      </c>
      <c r="B5" s="384" t="inlineStr">
        <is>
          <t>Agent 02</t>
        </is>
      </c>
      <c r="C5" s="384" t="inlineStr">
        <is>
          <t>Active</t>
        </is>
      </c>
      <c r="D5" s="384" t="inlineStr">
        <is>
          <t>agent02@samicious.com</t>
        </is>
      </c>
      <c r="E5" s="340" t="inlineStr">
        <is>
          <t>AGENT02PIN</t>
        </is>
      </c>
      <c r="H5" s="340" t="n">
        <v>10</v>
      </c>
      <c r="I5" s="595" t="inlineStr">
        <is>
          <t>9174</t>
        </is>
      </c>
      <c r="J5" s="555" t="inlineStr">
        <is>
          <t>Agent02_Area</t>
        </is>
      </c>
    </row>
    <row r="6" ht="15" customHeight="1" s="341">
      <c r="A6" s="380" t="inlineStr">
        <is>
          <t>Agent03</t>
        </is>
      </c>
      <c r="B6" s="380" t="inlineStr">
        <is>
          <t>Agent 03</t>
        </is>
      </c>
      <c r="C6" s="380" t="inlineStr">
        <is>
          <t>Active</t>
        </is>
      </c>
      <c r="D6" s="380" t="inlineStr">
        <is>
          <t>agent03@samicious.com</t>
        </is>
      </c>
      <c r="E6" s="340" t="inlineStr">
        <is>
          <t>AGENT03PIN</t>
        </is>
      </c>
      <c r="H6" s="340" t="n">
        <v>10</v>
      </c>
      <c r="I6" s="595" t="inlineStr">
        <is>
          <t>2651</t>
        </is>
      </c>
      <c r="J6" s="555" t="inlineStr">
        <is>
          <t>Agent03_Area</t>
        </is>
      </c>
    </row>
    <row r="7" ht="15" customHeight="1" s="341">
      <c r="A7" s="384" t="inlineStr">
        <is>
          <t>Agent04</t>
        </is>
      </c>
      <c r="B7" s="384" t="inlineStr">
        <is>
          <t>Agent 04</t>
        </is>
      </c>
      <c r="C7" s="384" t="inlineStr">
        <is>
          <t>Active</t>
        </is>
      </c>
      <c r="D7" s="384" t="inlineStr">
        <is>
          <t>agent04@samicious.com</t>
        </is>
      </c>
      <c r="E7" s="340" t="inlineStr">
        <is>
          <t>AGENT04PIN</t>
        </is>
      </c>
      <c r="H7" s="340" t="n">
        <v>10</v>
      </c>
      <c r="I7" s="595" t="inlineStr">
        <is>
          <t>7389</t>
        </is>
      </c>
      <c r="J7" s="555" t="inlineStr">
        <is>
          <t>Agent04_Area</t>
        </is>
      </c>
    </row>
    <row r="8" ht="15" customHeight="1" s="341">
      <c r="A8" s="380" t="inlineStr">
        <is>
          <t>Agent05</t>
        </is>
      </c>
      <c r="B8" s="380" t="inlineStr">
        <is>
          <t>Agent 05</t>
        </is>
      </c>
      <c r="C8" s="380" t="inlineStr">
        <is>
          <t>Active</t>
        </is>
      </c>
      <c r="D8" s="380" t="inlineStr">
        <is>
          <t>agent05@samicious.com</t>
        </is>
      </c>
      <c r="E8" s="340" t="inlineStr">
        <is>
          <t>AGENT05PIN</t>
        </is>
      </c>
      <c r="H8" s="340" t="n">
        <v>10</v>
      </c>
      <c r="I8" s="595" t="inlineStr">
        <is>
          <t>5216</t>
        </is>
      </c>
      <c r="J8" s="555" t="inlineStr">
        <is>
          <t>Agent05_Area</t>
        </is>
      </c>
    </row>
    <row r="9" ht="15" customHeight="1" s="341">
      <c r="A9" s="384" t="inlineStr">
        <is>
          <t>Agent06</t>
        </is>
      </c>
      <c r="B9" s="384" t="inlineStr">
        <is>
          <t>Agent 06</t>
        </is>
      </c>
      <c r="C9" s="384" t="inlineStr">
        <is>
          <t>Active</t>
        </is>
      </c>
      <c r="D9" s="384" t="inlineStr">
        <is>
          <t>agent06@samicious.com</t>
        </is>
      </c>
      <c r="E9" s="340" t="inlineStr">
        <is>
          <t>AGENT06PIN</t>
        </is>
      </c>
      <c r="H9" s="340" t="n">
        <v>10</v>
      </c>
      <c r="I9" s="595" t="inlineStr">
        <is>
          <t>8043</t>
        </is>
      </c>
      <c r="J9" s="555" t="inlineStr">
        <is>
          <t>Agent06_Area</t>
        </is>
      </c>
    </row>
    <row r="10" ht="15" customHeight="1" s="341">
      <c r="A10" s="380" t="inlineStr">
        <is>
          <t>Agent07</t>
        </is>
      </c>
      <c r="B10" s="380" t="inlineStr">
        <is>
          <t>Agent 07</t>
        </is>
      </c>
      <c r="C10" s="380" t="inlineStr">
        <is>
          <t>Active</t>
        </is>
      </c>
      <c r="D10" s="380" t="inlineStr">
        <is>
          <t>agent07@samicious.com</t>
        </is>
      </c>
      <c r="E10" s="340" t="inlineStr">
        <is>
          <t>AGENT07PIN</t>
        </is>
      </c>
      <c r="H10" s="340" t="n">
        <v>10</v>
      </c>
      <c r="I10" s="595" t="inlineStr">
        <is>
          <t>3571</t>
        </is>
      </c>
      <c r="J10" s="555" t="inlineStr">
        <is>
          <t>Agent07_Area</t>
        </is>
      </c>
    </row>
    <row r="11" ht="15" customHeight="1" s="341">
      <c r="A11" s="384" t="inlineStr">
        <is>
          <t>Agent08</t>
        </is>
      </c>
      <c r="B11" s="384" t="inlineStr">
        <is>
          <t>Agent 08</t>
        </is>
      </c>
      <c r="C11" s="384" t="inlineStr">
        <is>
          <t>Active</t>
        </is>
      </c>
      <c r="D11" s="384" t="inlineStr">
        <is>
          <t>agent08@samicious.com</t>
        </is>
      </c>
      <c r="E11" s="340" t="inlineStr">
        <is>
          <t>AGENT08PIN</t>
        </is>
      </c>
      <c r="H11" s="340" t="n">
        <v>10</v>
      </c>
      <c r="I11" s="595" t="inlineStr">
        <is>
          <t>6920</t>
        </is>
      </c>
      <c r="J11" s="555" t="inlineStr">
        <is>
          <t>Agent08_Area</t>
        </is>
      </c>
    </row>
    <row r="12" ht="15" customHeight="1" s="341">
      <c r="A12" s="380" t="inlineStr">
        <is>
          <t>Agent09</t>
        </is>
      </c>
      <c r="B12" s="380" t="inlineStr">
        <is>
          <t>Agent 09</t>
        </is>
      </c>
      <c r="C12" s="380" t="inlineStr">
        <is>
          <t>Active</t>
        </is>
      </c>
      <c r="D12" s="380" t="inlineStr">
        <is>
          <t>agent09@samicious.com</t>
        </is>
      </c>
      <c r="E12" s="340" t="inlineStr">
        <is>
          <t>AGENT09PIN</t>
        </is>
      </c>
      <c r="H12" s="340" t="n">
        <v>10</v>
      </c>
      <c r="I12" s="595" t="inlineStr">
        <is>
          <t>1748</t>
        </is>
      </c>
      <c r="J12" s="555" t="inlineStr">
        <is>
          <t>Agent09_Area</t>
        </is>
      </c>
    </row>
    <row r="13" ht="15" customHeight="1" s="341">
      <c r="A13" s="384" t="inlineStr">
        <is>
          <t>Agent10</t>
        </is>
      </c>
      <c r="B13" s="384" t="inlineStr">
        <is>
          <t>Agent 10</t>
        </is>
      </c>
      <c r="C13" s="384" t="inlineStr">
        <is>
          <t>Active</t>
        </is>
      </c>
      <c r="D13" s="384" t="inlineStr">
        <is>
          <t>agent10@samicious.com</t>
        </is>
      </c>
      <c r="E13" s="340" t="inlineStr">
        <is>
          <t>AGENT10PIN</t>
        </is>
      </c>
      <c r="H13" s="340" t="n">
        <v>10</v>
      </c>
      <c r="I13" s="595" t="inlineStr">
        <is>
          <t>9305</t>
        </is>
      </c>
      <c r="J13" s="555" t="inlineStr">
        <is>
          <t>Agent10_Area</t>
        </is>
      </c>
    </row>
  </sheetData>
  <mergeCells count="2">
    <mergeCell ref="A1:D1"/>
    <mergeCell ref="A2:D2"/>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7.xml><?xml version="1.0" encoding="utf-8"?>
<worksheet xmlns="http://schemas.openxmlformats.org/spreadsheetml/2006/main">
  <sheetPr filterMode="0">
    <outlinePr summaryBelow="1" summaryRight="1"/>
    <pageSetUpPr fitToPage="0"/>
  </sheetPr>
  <dimension ref="A1:E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71484375" defaultRowHeight="15" zeroHeight="0" outlineLevelRow="0"/>
  <cols>
    <col width="22" customWidth="1" style="340" min="1" max="1"/>
    <col width="55" customWidth="1" style="340" min="2" max="2"/>
    <col width="18" customWidth="1" style="340" min="3" max="5"/>
  </cols>
  <sheetData>
    <row r="1" ht="31.5" customHeight="1" s="341">
      <c r="A1" s="596" t="inlineStr">
        <is>
          <t>⚙️  SYSTEM CONFIG</t>
        </is>
      </c>
    </row>
    <row r="3" ht="15" customHeight="1" s="341">
      <c r="A3" s="597" t="inlineStr">
        <is>
          <t>Company</t>
        </is>
      </c>
      <c r="B3" s="598" t="inlineStr">
        <is>
          <t>SAMICIOUS MICROFINANCE</t>
        </is>
      </c>
    </row>
    <row r="4" ht="15" customHeight="1" s="341">
      <c r="A4" s="597" t="inlineStr">
        <is>
          <t>Currency</t>
        </is>
      </c>
      <c r="B4" s="598" t="inlineStr">
        <is>
          <t>GHC</t>
        </is>
      </c>
    </row>
    <row r="5" ht="15" customHeight="1" s="341">
      <c r="A5" s="597" t="inlineStr">
        <is>
          <t>Interest Rate</t>
        </is>
      </c>
      <c r="B5" s="598" t="inlineStr">
        <is>
          <t>2.5% per month flat</t>
        </is>
      </c>
    </row>
    <row r="6" ht="15" customHeight="1" s="341">
      <c r="A6" s="597" t="inlineStr">
        <is>
          <t>Max Loan</t>
        </is>
      </c>
      <c r="B6" s="598" t="inlineStr">
        <is>
          <t>GHC 50,000</t>
        </is>
      </c>
    </row>
    <row r="7" ht="15" customHeight="1" s="341">
      <c r="A7" s="597" t="inlineStr">
        <is>
          <t>Min Loan</t>
        </is>
      </c>
      <c r="B7" s="598" t="inlineStr">
        <is>
          <t>GHC 100</t>
        </is>
      </c>
    </row>
    <row r="8" ht="15" customHeight="1" s="341">
      <c r="A8" s="597" t="inlineStr">
        <is>
          <t>Agents</t>
        </is>
      </c>
      <c r="B8" s="598" t="n">
        <v>10</v>
      </c>
    </row>
    <row r="9" ht="15" customHeight="1" s="341">
      <c r="A9" s="597" t="inlineStr">
        <is>
          <t>Min Balance (GHC)</t>
        </is>
      </c>
      <c r="B9" s="598" t="n">
        <v>10</v>
      </c>
    </row>
    <row r="10" ht="15" customHeight="1" s="341">
      <c r="A10" s="597" t="inlineStr">
        <is>
          <t>Min Balance Rule</t>
        </is>
      </c>
      <c r="B10" s="598" t="inlineStr">
        <is>
          <t>Non-withdrawable reserve — enforced on ALL withdrawals</t>
        </is>
      </c>
    </row>
    <row r="11" ht="15" customHeight="1" s="341">
      <c r="A11" s="597" t="inlineStr">
        <is>
          <t>ID Required</t>
        </is>
      </c>
      <c r="B11" s="598" t="inlineStr">
        <is>
          <t>Optional (Ghana Card / Voter ID both optional)</t>
        </is>
      </c>
    </row>
    <row r="12" ht="15" customHeight="1" s="341">
      <c r="A12" s="597" t="inlineStr">
        <is>
          <t>Rate Format</t>
        </is>
      </c>
      <c r="B12" s="598" t="inlineStr">
        <is>
          <t>Percentage (%) ONLY — never GHC</t>
        </is>
      </c>
    </row>
    <row r="13" ht="15" customHeight="1" s="341">
      <c r="A13" s="597" t="inlineStr">
        <is>
          <t>Version</t>
        </is>
      </c>
      <c r="B13" s="598" t="inlineStr">
        <is>
          <t>v10.0.0 — Enterprise + AI Intelligence Rebuild</t>
        </is>
      </c>
    </row>
    <row r="14" ht="15" customHeight="1" s="341">
      <c r="A14" s="597" t="inlineStr">
        <is>
          <t>Upgraded</t>
        </is>
      </c>
      <c r="B14" s="598" t="inlineStr">
        <is>
          <t>2026-04-23</t>
        </is>
      </c>
    </row>
    <row r="17" ht="15" customHeight="1" s="341">
      <c r="A17" s="599" t="inlineStr">
        <is>
          <t>🔑  AGENT SECURITY CODES — REFERENCE</t>
        </is>
      </c>
    </row>
    <row r="18" ht="15" customHeight="1" s="341">
      <c r="A18" s="556" t="inlineStr">
        <is>
          <t>Agent Name</t>
        </is>
      </c>
      <c r="B18" s="556" t="inlineStr">
        <is>
          <t>4-Digit Code</t>
        </is>
      </c>
      <c r="C18" s="556" t="inlineStr">
        <is>
          <t>Working Area</t>
        </is>
      </c>
      <c r="D18" s="556" t="inlineStr">
        <is>
          <t>Status</t>
        </is>
      </c>
      <c r="E18" s="556" t="inlineStr">
        <is>
          <t>Note</t>
        </is>
      </c>
    </row>
    <row r="19" ht="15" customHeight="1" s="341">
      <c r="A19" s="600" t="inlineStr">
        <is>
          <t>Agent 01</t>
        </is>
      </c>
      <c r="B19" s="600" t="inlineStr">
        <is>
          <t>4832</t>
        </is>
      </c>
      <c r="C19" s="600" t="inlineStr">
        <is>
          <t>Agent01_Area</t>
        </is>
      </c>
      <c r="D19" s="600" t="inlineStr">
        <is>
          <t>Active</t>
        </is>
      </c>
      <c r="E19" s="600" t="inlineStr">
        <is>
          <t>Keep code confidential</t>
        </is>
      </c>
    </row>
    <row r="20" ht="15" customHeight="1" s="341">
      <c r="A20" s="601" t="inlineStr">
        <is>
          <t>Agent 02</t>
        </is>
      </c>
      <c r="B20" s="601" t="inlineStr">
        <is>
          <t>9174</t>
        </is>
      </c>
      <c r="C20" s="601" t="inlineStr">
        <is>
          <t>Agent02_Area</t>
        </is>
      </c>
      <c r="D20" s="601" t="inlineStr">
        <is>
          <t>Active</t>
        </is>
      </c>
      <c r="E20" s="601" t="inlineStr">
        <is>
          <t>Keep code confidential</t>
        </is>
      </c>
    </row>
    <row r="21" ht="15" customHeight="1" s="341">
      <c r="A21" s="600" t="inlineStr">
        <is>
          <t>Agent 03</t>
        </is>
      </c>
      <c r="B21" s="600" t="inlineStr">
        <is>
          <t>2651</t>
        </is>
      </c>
      <c r="C21" s="600" t="inlineStr">
        <is>
          <t>Agent03_Area</t>
        </is>
      </c>
      <c r="D21" s="600" t="inlineStr">
        <is>
          <t>Active</t>
        </is>
      </c>
      <c r="E21" s="600" t="inlineStr">
        <is>
          <t>Keep code confidential</t>
        </is>
      </c>
    </row>
    <row r="22" ht="15" customHeight="1" s="341">
      <c r="A22" s="601" t="inlineStr">
        <is>
          <t>Agent 04</t>
        </is>
      </c>
      <c r="B22" s="601" t="inlineStr">
        <is>
          <t>7389</t>
        </is>
      </c>
      <c r="C22" s="601" t="inlineStr">
        <is>
          <t>Agent04_Area</t>
        </is>
      </c>
      <c r="D22" s="601" t="inlineStr">
        <is>
          <t>Active</t>
        </is>
      </c>
      <c r="E22" s="601" t="inlineStr">
        <is>
          <t>Keep code confidential</t>
        </is>
      </c>
    </row>
    <row r="23" ht="15" customHeight="1" s="341">
      <c r="A23" s="600" t="inlineStr">
        <is>
          <t>Agent 05</t>
        </is>
      </c>
      <c r="B23" s="600" t="inlineStr">
        <is>
          <t>5216</t>
        </is>
      </c>
      <c r="C23" s="600" t="inlineStr">
        <is>
          <t>Agent05_Area</t>
        </is>
      </c>
      <c r="D23" s="600" t="inlineStr">
        <is>
          <t>Active</t>
        </is>
      </c>
      <c r="E23" s="600" t="inlineStr">
        <is>
          <t>Keep code confidential</t>
        </is>
      </c>
    </row>
    <row r="24" ht="15" customHeight="1" s="341">
      <c r="A24" s="601" t="inlineStr">
        <is>
          <t>Agent 06</t>
        </is>
      </c>
      <c r="B24" s="601" t="inlineStr">
        <is>
          <t>8043</t>
        </is>
      </c>
      <c r="C24" s="601" t="inlineStr">
        <is>
          <t>Agent06_Area</t>
        </is>
      </c>
      <c r="D24" s="601" t="inlineStr">
        <is>
          <t>Active</t>
        </is>
      </c>
      <c r="E24" s="601" t="inlineStr">
        <is>
          <t>Keep code confidential</t>
        </is>
      </c>
    </row>
    <row r="25" ht="15" customHeight="1" s="341">
      <c r="A25" s="600" t="inlineStr">
        <is>
          <t>Agent 07</t>
        </is>
      </c>
      <c r="B25" s="600" t="inlineStr">
        <is>
          <t>3571</t>
        </is>
      </c>
      <c r="C25" s="600" t="inlineStr">
        <is>
          <t>Agent07_Area</t>
        </is>
      </c>
      <c r="D25" s="600" t="inlineStr">
        <is>
          <t>Active</t>
        </is>
      </c>
      <c r="E25" s="600" t="inlineStr">
        <is>
          <t>Keep code confidential</t>
        </is>
      </c>
    </row>
    <row r="26" ht="15" customHeight="1" s="341">
      <c r="A26" s="601" t="inlineStr">
        <is>
          <t>Agent 08</t>
        </is>
      </c>
      <c r="B26" s="601" t="inlineStr">
        <is>
          <t>6920</t>
        </is>
      </c>
      <c r="C26" s="601" t="inlineStr">
        <is>
          <t>Agent08_Area</t>
        </is>
      </c>
      <c r="D26" s="601" t="inlineStr">
        <is>
          <t>Active</t>
        </is>
      </c>
      <c r="E26" s="601" t="inlineStr">
        <is>
          <t>Keep code confidential</t>
        </is>
      </c>
    </row>
    <row r="27" ht="15" customHeight="1" s="341">
      <c r="A27" s="600" t="inlineStr">
        <is>
          <t>Agent 09</t>
        </is>
      </c>
      <c r="B27" s="600" t="inlineStr">
        <is>
          <t>1748</t>
        </is>
      </c>
      <c r="C27" s="600" t="inlineStr">
        <is>
          <t>Agent09_Area</t>
        </is>
      </c>
      <c r="D27" s="600" t="inlineStr">
        <is>
          <t>Active</t>
        </is>
      </c>
      <c r="E27" s="600" t="inlineStr">
        <is>
          <t>Keep code confidential</t>
        </is>
      </c>
    </row>
    <row r="28" ht="15" customHeight="1" s="341">
      <c r="A28" s="601" t="inlineStr">
        <is>
          <t>Agent 10</t>
        </is>
      </c>
      <c r="B28" s="601" t="inlineStr">
        <is>
          <t>9305</t>
        </is>
      </c>
      <c r="C28" s="601" t="inlineStr">
        <is>
          <t>Agent10_Area</t>
        </is>
      </c>
      <c r="D28" s="601" t="inlineStr">
        <is>
          <t>Active</t>
        </is>
      </c>
      <c r="E28" s="601" t="inlineStr">
        <is>
          <t>Keep code confidential</t>
        </is>
      </c>
    </row>
  </sheetData>
  <mergeCells count="2">
    <mergeCell ref="A1:C1"/>
    <mergeCell ref="A17:E17"/>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8.xml><?xml version="1.0" encoding="utf-8"?>
<worksheet xmlns="http://schemas.openxmlformats.org/spreadsheetml/2006/main">
  <sheetPr filterMode="0">
    <tabColor rgb="FF1A252F"/>
    <outlinePr summaryBelow="1" summaryRight="1"/>
    <pageSetUpPr fitToPage="0"/>
  </sheetPr>
  <dimension ref="A1:G5"/>
  <sheetViews>
    <sheetView showFormulas="0" showGridLines="1" showRowColHeaders="1" showZeros="1" rightToLeft="0" tabSelected="0" showOutlineSymbols="1" defaultGridColor="1"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baseColWidth="8" defaultColWidth="8.71484375" defaultRowHeight="15" zeroHeight="0" outlineLevelRow="0"/>
  <cols>
    <col width="22" customWidth="1" style="340" min="1" max="1"/>
    <col width="16" customWidth="1" style="340" min="2" max="2"/>
    <col width="22" customWidth="1" style="340" min="3" max="3"/>
    <col width="60" customWidth="1" style="340" min="4" max="4"/>
    <col width="14" customWidth="1" style="340" min="5" max="5"/>
    <col width="22" customWidth="1" style="340" min="6" max="6"/>
    <col width="16" customWidth="1" style="340" min="7" max="7"/>
  </cols>
  <sheetData>
    <row r="1" ht="31.5" customHeight="1" s="341">
      <c r="A1" s="602" t="inlineStr">
        <is>
          <t>🔒  AUDIT LOG</t>
        </is>
      </c>
    </row>
    <row r="2" ht="15" customHeight="1" s="341">
      <c r="A2" s="377" t="n"/>
      <c r="B2" s="377" t="n"/>
      <c r="C2" s="377" t="n"/>
      <c r="D2" s="377" t="n"/>
      <c r="E2" s="603" t="n"/>
      <c r="F2" s="603" t="n"/>
      <c r="G2" s="603" t="n"/>
    </row>
    <row r="3" ht="15" customHeight="1" s="341">
      <c r="A3" s="378" t="n"/>
      <c r="B3" s="378" t="n"/>
      <c r="C3" s="378" t="n"/>
      <c r="D3" s="378" t="n"/>
    </row>
    <row r="4" ht="15" customHeight="1" s="341">
      <c r="A4" s="382" t="n"/>
      <c r="B4" s="382" t="n"/>
      <c r="C4" s="382" t="n"/>
      <c r="D4" s="382" t="n"/>
    </row>
    <row r="5" ht="15" customHeight="1" s="341">
      <c r="A5" s="378" t="n"/>
      <c r="B5" s="378" t="n"/>
      <c r="C5" s="378" t="n"/>
      <c r="D5" s="378" t="n"/>
    </row>
  </sheetData>
  <mergeCells count="1">
    <mergeCell ref="A1:D1"/>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9.xml><?xml version="1.0" encoding="utf-8"?>
<worksheet xmlns="http://schemas.openxmlformats.org/spreadsheetml/2006/main">
  <sheetPr filterMode="0">
    <tabColor rgb="FF1A252F"/>
    <outlinePr summaryBelow="1" summaryRight="1"/>
    <pageSetUpPr fitToPage="0"/>
  </sheetPr>
  <dimension ref="A1:A967"/>
  <sheetViews>
    <sheetView showFormulas="0" showGridLines="1" showRowColHeaders="1" showZeros="1" rightToLeft="0" tabSelected="0" showOutlineSymbols="1" defaultGridColor="1" view="normal" topLeftCell="B1" colorId="64" zoomScale="100" zoomScaleNormal="100" zoomScalePageLayoutView="100" workbookViewId="0">
      <selection pane="topLeft" activeCell="L402" activeCellId="0" sqref="L402"/>
    </sheetView>
  </sheetViews>
  <sheetFormatPr baseColWidth="8" defaultColWidth="8.71484375" defaultRowHeight="15" zeroHeight="0" outlineLevelRow="0"/>
  <cols>
    <col width="120" customWidth="1" style="340" min="1" max="1"/>
  </cols>
  <sheetData>
    <row r="1" ht="27.75" customHeight="1" s="341">
      <c r="A1" s="604" t="inlineStr">
        <is>
          <t>📋  VBA MACROS REFERENCE — V4 UPGRADED</t>
        </is>
      </c>
    </row>
    <row r="2" ht="34.5" customHeight="1" s="341">
      <c r="A2" s="605" t="inlineStr">
        <is>
          <t>📋  VBA MACROS REFERENCE — V9 REBUILT</t>
        </is>
      </c>
    </row>
    <row r="4" ht="15" customHeight="1" s="341">
      <c r="A4" s="606" t="n"/>
    </row>
    <row r="5" ht="15" customHeight="1" s="341">
      <c r="A5" s="607" t="inlineStr">
        <is>
          <t>' ══════════════════════════════════════════════════════════════════════════</t>
        </is>
      </c>
    </row>
    <row r="6" ht="15" customHeight="1" s="341">
      <c r="A6" s="607" t="inlineStr">
        <is>
          <t>' SAMICIOUS MICROFINANCE V9 — VBA AUTOMATION</t>
        </is>
      </c>
    </row>
    <row r="7" ht="15" customHeight="1" s="341">
      <c r="A7" s="607" t="inlineStr">
        <is>
          <t>' NEW IN V9:</t>
        </is>
      </c>
    </row>
    <row r="8" ht="15" customHeight="1" s="341">
      <c r="A8" s="607" t="inlineStr">
        <is>
          <t>'   - Customer Account Database: formula-driven auto-populate (NO save trigger)</t>
        </is>
      </c>
    </row>
    <row r="9" ht="15" customHeight="1" s="341">
      <c r="A9" s="607" t="inlineStr">
        <is>
          <t>'   - Search: Account Number ONLY</t>
        </is>
      </c>
    </row>
    <row r="10" ht="15" customHeight="1" s="341">
      <c r="A10" s="607" t="inlineStr">
        <is>
          <t>'   - GenerateAccount: writes to DB_Customers, triggers formula refresh</t>
        </is>
      </c>
    </row>
    <row r="11" ht="15" customHeight="1" s="341">
      <c r="A11" s="607" t="inlineStr">
        <is>
          <t>' HOW TO USE:</t>
        </is>
      </c>
    </row>
    <row r="12" ht="15" customHeight="1" s="341">
      <c r="A12" s="607" t="inlineStr">
        <is>
          <t>'   1. Alt+F11 → Insert → Module → paste ALL code below</t>
        </is>
      </c>
    </row>
    <row r="13" ht="15" customHeight="1" s="341">
      <c r="A13" s="607" t="inlineStr">
        <is>
          <t>'   2. Paste ThisWorkbook code into ThisWorkbook object</t>
        </is>
      </c>
    </row>
    <row r="14" ht="15" customHeight="1" s="341">
      <c r="A14" s="607" t="inlineStr">
        <is>
          <t>' ══════════════════════════════════════════════════════════════════════════</t>
        </is>
      </c>
    </row>
    <row r="15" ht="15" customHeight="1" s="341">
      <c r="A15" s="607" t="n"/>
    </row>
    <row r="16" ht="15" customHeight="1" s="341">
      <c r="A16" s="607" t="inlineStr">
        <is>
          <t>Option Explicit</t>
        </is>
      </c>
    </row>
    <row r="17" ht="15" customHeight="1" s="341">
      <c r="A17" s="607" t="n"/>
    </row>
    <row r="18" ht="15" customHeight="1" s="341">
      <c r="A18" s="607" t="inlineStr">
        <is>
          <t>' ─── ACCOUNT NUMBER GENERATION ────────────────────────────────────────────</t>
        </is>
      </c>
    </row>
    <row r="19" ht="15" customHeight="1" s="341">
      <c r="A19" s="607" t="inlineStr">
        <is>
          <t>Function GenAcctNo() As String</t>
        </is>
      </c>
    </row>
    <row r="20" ht="15" customHeight="1" s="341">
      <c r="A20" s="607" t="inlineStr">
        <is>
          <t xml:space="preserve">    Dim fn As String, yr As String, ph As String</t>
        </is>
      </c>
    </row>
    <row r="21" ht="15" customHeight="1" s="341">
      <c r="A21" s="607" t="inlineStr">
        <is>
          <t xml:space="preserve">    Dim ws As Worksheet: Set ws = ThisWorkbook.Sheets("Account_Opening")</t>
        </is>
      </c>
    </row>
    <row r="22" ht="15" customHeight="1" s="341">
      <c r="A22" s="607" t="inlineStr">
        <is>
          <t xml:space="preserve">    fn = UCase(Left(Trim(ws.Range("C5").Value), 3))</t>
        </is>
      </c>
    </row>
    <row r="23" ht="15" customHeight="1" s="341">
      <c r="A23" s="607" t="inlineStr">
        <is>
          <t xml:space="preserve">    If IsDate(ws.Range("C7").Value) Then</t>
        </is>
      </c>
    </row>
    <row r="24" ht="15" customHeight="1" s="341">
      <c r="A24" s="607" t="inlineStr">
        <is>
          <t xml:space="preserve">        yr = Format(Year(CDate(ws.Range("C7").Value)), "0000")</t>
        </is>
      </c>
    </row>
    <row r="25" ht="15" customHeight="1" s="341">
      <c r="A25" s="607" t="inlineStr">
        <is>
          <t xml:space="preserve">    ElseIf Len(Trim(ws.Range("C7").Value)) &gt;= 4 Then</t>
        </is>
      </c>
    </row>
    <row r="26" ht="15" customHeight="1" s="341">
      <c r="A26" s="607" t="inlineStr">
        <is>
          <t xml:space="preserve">        yr = Left(Trim(ws.Range("C7").Value), 4)</t>
        </is>
      </c>
    </row>
    <row r="27" ht="15" customHeight="1" s="341">
      <c r="A27" s="607" t="inlineStr">
        <is>
          <t xml:space="preserve">    Else</t>
        </is>
      </c>
    </row>
    <row r="28" ht="15" customHeight="1" s="341">
      <c r="A28" s="607" t="inlineStr">
        <is>
          <t xml:space="preserve">        yr = Format(Year(Date), "0000")</t>
        </is>
      </c>
    </row>
    <row r="29" ht="15" customHeight="1" s="341">
      <c r="A29" s="607" t="inlineStr">
        <is>
          <t xml:space="preserve">    End If</t>
        </is>
      </c>
    </row>
    <row r="30" ht="15" customHeight="1" s="341">
      <c r="A30" s="607" t="inlineStr">
        <is>
          <t xml:space="preserve">    ph = Right(Trim(ws.Range("C8").Value), 4)</t>
        </is>
      </c>
    </row>
    <row r="31" ht="15" customHeight="1" s="341">
      <c r="A31" s="607" t="inlineStr">
        <is>
          <t xml:space="preserve">    GenAcctNo = fn &amp; yr &amp; ph</t>
        </is>
      </c>
    </row>
    <row r="32" ht="15" customHeight="1" s="341">
      <c r="A32" s="607" t="inlineStr">
        <is>
          <t>End Function</t>
        </is>
      </c>
    </row>
    <row r="33" ht="15" customHeight="1" s="341">
      <c r="A33" s="607" t="n"/>
    </row>
    <row r="34" ht="15" customHeight="1" s="341">
      <c r="A34" s="607" t="inlineStr">
        <is>
          <t>' ─── GENERATE ACCOUNT (writes to DB_Customers + Audit_Log) ──────────────</t>
        </is>
      </c>
    </row>
    <row r="35" ht="15" customHeight="1" s="341">
      <c r="A35" s="607" t="inlineStr">
        <is>
          <t>Sub GenerateAccount()</t>
        </is>
      </c>
    </row>
    <row r="36" ht="15" customHeight="1" s="341">
      <c r="A36" s="607" t="inlineStr">
        <is>
          <t xml:space="preserve">    Dim wsForm As Worksheet, wsDB As Worksheet, wsAudit As Worksheet</t>
        </is>
      </c>
    </row>
    <row r="37" ht="15" customHeight="1" s="341">
      <c r="A37" s="607" t="inlineStr">
        <is>
          <t xml:space="preserve">    Dim nextRow As Long, accNum As String</t>
        </is>
      </c>
    </row>
    <row r="38" ht="15" customHeight="1" s="341">
      <c r="A38" s="607" t="n"/>
    </row>
    <row r="39" ht="15" customHeight="1" s="341">
      <c r="A39" s="607" t="inlineStr">
        <is>
          <t xml:space="preserve">    On Error GoTo ErrHandler</t>
        </is>
      </c>
    </row>
    <row r="40" ht="15" customHeight="1" s="341">
      <c r="A40" s="607" t="inlineStr">
        <is>
          <t xml:space="preserve">    Set wsForm  = ThisWorkbook.Sheets("Account_Opening")</t>
        </is>
      </c>
    </row>
    <row r="41" ht="15" customHeight="1" s="341">
      <c r="A41" s="607" t="inlineStr">
        <is>
          <t xml:space="preserve">    Set wsDB    = ThisWorkbook.Sheets("DB_Customers")</t>
        </is>
      </c>
    </row>
    <row r="42" ht="15" customHeight="1" s="341">
      <c r="A42" s="607" t="inlineStr">
        <is>
          <t xml:space="preserve">    Set wsAudit = ThisWorkbook.Sheets("Audit_Log")</t>
        </is>
      </c>
    </row>
    <row r="43" ht="15" customHeight="1" s="341">
      <c r="A43" s="607" t="n"/>
    </row>
    <row r="44" ht="15" customHeight="1" s="341">
      <c r="A44" s="607" t="inlineStr">
        <is>
          <t xml:space="preserve">    ' Validate required fields</t>
        </is>
      </c>
    </row>
    <row r="45" ht="15" customHeight="1" s="341">
      <c r="A45" s="607" t="inlineStr">
        <is>
          <t xml:space="preserve">    If Trim(wsForm.Range("C5").Value) = "" Then MsgBox "First Name required.", vbExclamation: Exit Sub</t>
        </is>
      </c>
    </row>
    <row r="46" ht="15" customHeight="1" s="341">
      <c r="A46" s="607" t="inlineStr">
        <is>
          <t xml:space="preserve">    If Trim(wsForm.Range("C6").Value) = "" Then MsgBox "Last Name required.", vbExclamation: Exit Sub</t>
        </is>
      </c>
    </row>
    <row r="47" ht="15" customHeight="1" s="341">
      <c r="A47" s="607" t="inlineStr">
        <is>
          <t xml:space="preserve">    If Trim(wsForm.Range("C7").Value) = "" Then MsgBox "Date of Birth required.", vbExclamation: Exit Sub</t>
        </is>
      </c>
    </row>
    <row r="48" ht="15" customHeight="1" s="341">
      <c r="A48" s="607" t="inlineStr">
        <is>
          <t xml:space="preserve">    If Trim(wsForm.Range("C8").Value) = "" Then MsgBox "Phone Number required.", vbExclamation: Exit Sub</t>
        </is>
      </c>
    </row>
    <row r="49" ht="15" customHeight="1" s="341">
      <c r="A49" s="607" t="inlineStr">
        <is>
          <t xml:space="preserve">    If Trim(wsForm.Range("C9").Value) = "" Then MsgBox "Location required.", vbExclamation: Exit Sub</t>
        </is>
      </c>
    </row>
    <row r="50" ht="15" customHeight="1" s="341">
      <c r="A50" s="607" t="inlineStr">
        <is>
          <t xml:space="preserve">    If Trim(wsForm.Range("C10").Value) = "" Then MsgBox "Occupation required.", vbExclamation: Exit Sub</t>
        </is>
      </c>
    </row>
    <row r="51" ht="15" customHeight="1" s="341">
      <c r="A51" s="607" t="inlineStr">
        <is>
          <t xml:space="preserve">    If Trim(wsForm.Range("C11").Value) = "" Then MsgBox "Agent required.", vbExclamation: Exit Sub</t>
        </is>
      </c>
    </row>
    <row r="52" ht="15" customHeight="1" s="341">
      <c r="A52" s="607" t="inlineStr">
        <is>
          <t xml:space="preserve">    If Not IsNumeric(wsForm.Range("C12").Value) Or CDbl(wsForm.Range("C12").Value) &lt; 10 Then</t>
        </is>
      </c>
    </row>
    <row r="53" ht="15" customHeight="1" s="341">
      <c r="A53" s="607" t="inlineStr">
        <is>
          <t xml:space="preserve">        MsgBox "Opening balance must be at least GHC 10.00.", vbExclamation: Exit Sub</t>
        </is>
      </c>
    </row>
    <row r="54" ht="15" customHeight="1" s="341">
      <c r="A54" s="607" t="inlineStr">
        <is>
          <t xml:space="preserve">    End If</t>
        </is>
      </c>
    </row>
    <row r="55" ht="15" customHeight="1" s="341">
      <c r="A55" s="607" t="n"/>
    </row>
    <row r="56" ht="15" customHeight="1" s="341">
      <c r="A56" s="607" t="inlineStr">
        <is>
          <t xml:space="preserve">    accNum = Trim(wsForm.Range("C16").Value)</t>
        </is>
      </c>
    </row>
    <row r="57" ht="15" customHeight="1" s="341">
      <c r="A57" s="607" t="inlineStr">
        <is>
          <t xml:space="preserve">    If accNum = "" Then accNum = GenAcctNo()</t>
        </is>
      </c>
    </row>
    <row r="58" ht="15" customHeight="1" s="341">
      <c r="A58" s="607" t="n"/>
    </row>
    <row r="59" ht="15" customHeight="1" s="341">
      <c r="A59" s="607" t="inlineStr">
        <is>
          <t xml:space="preserve">    ' Duplicate check</t>
        </is>
      </c>
    </row>
    <row r="60" ht="15" customHeight="1" s="341">
      <c r="A60" s="607" t="inlineStr">
        <is>
          <t xml:space="preserve">    If Application.CountIf(wsDB.Columns(1), accNum) &gt; 0 Then</t>
        </is>
      </c>
    </row>
    <row r="61" ht="15" customHeight="1" s="341">
      <c r="A61" s="607" t="inlineStr">
        <is>
          <t xml:space="preserve">        MsgBox "DUPLICATE: " &amp; accNum &amp; " already exists.", vbCritical: Exit Sub</t>
        </is>
      </c>
    </row>
    <row r="62" ht="15" customHeight="1" s="341">
      <c r="A62" s="607" t="inlineStr">
        <is>
          <t xml:space="preserve">    End If</t>
        </is>
      </c>
    </row>
    <row r="63" ht="15" customHeight="1" s="341">
      <c r="A63" s="607" t="n"/>
    </row>
    <row r="64" ht="15" customHeight="1" s="341">
      <c r="A64" s="607" t="inlineStr">
        <is>
          <t xml:space="preserve">    ' Find next empty DB row (headers row 3, data from row 4)</t>
        </is>
      </c>
    </row>
    <row r="65" ht="15" customHeight="1" s="341">
      <c r="A65" s="607" t="inlineStr">
        <is>
          <t xml:space="preserve">    nextRow = wsDB.Cells(wsDB.Rows.Count, 1).End(xlUp).Row + 1</t>
        </is>
      </c>
    </row>
    <row r="66" ht="15" customHeight="1" s="341">
      <c r="A66" s="607" t="inlineStr">
        <is>
          <t xml:space="preserve">    If nextRow &lt; 4 Then nextRow = 4</t>
        </is>
      </c>
    </row>
    <row r="67" ht="15" customHeight="1" s="341">
      <c r="A67" s="607" t="n"/>
    </row>
    <row r="68" ht="15" customHeight="1" s="341">
      <c r="A68" s="607" t="inlineStr">
        <is>
          <t xml:space="preserve">    ' Write to DB_Customers</t>
        </is>
      </c>
    </row>
    <row r="69" ht="15" customHeight="1" s="341">
      <c r="A69" s="607" t="inlineStr">
        <is>
          <t xml:space="preserve">    With wsDB</t>
        </is>
      </c>
    </row>
    <row r="70" ht="15" customHeight="1" s="341">
      <c r="A70" s="607" t="inlineStr">
        <is>
          <t xml:space="preserve">        .Cells(nextRow, 1)  = accNum                              ' Account_No</t>
        </is>
      </c>
    </row>
    <row r="71" ht="15" customHeight="1" s="341">
      <c r="A71" s="607" t="inlineStr">
        <is>
          <t xml:space="preserve">        .Cells(nextRow, 2)  = Trim(wsForm.Range("C5").Value)     ' First_Name</t>
        </is>
      </c>
    </row>
    <row r="72" ht="15" customHeight="1" s="341">
      <c r="A72" s="607" t="inlineStr">
        <is>
          <t xml:space="preserve">        .Cells(nextRow, 3)  = Trim(wsForm.Range("C6").Value)     ' Last_Name</t>
        </is>
      </c>
    </row>
    <row r="73" ht="15" customHeight="1" s="341">
      <c r="A73" s="607" t="inlineStr">
        <is>
          <t xml:space="preserve">        .Cells(nextRow, 4)  = Trim(wsForm.Range("C5")) &amp; " " &amp; Trim(wsForm.Range("C6")) ' Full_Name</t>
        </is>
      </c>
    </row>
    <row r="74" ht="15" customHeight="1" s="341">
      <c r="A74" s="607" t="inlineStr">
        <is>
          <t xml:space="preserve">        .Cells(nextRow, 5)  = Trim(wsForm.Range("C14").Value)    ' ID_Card_Type</t>
        </is>
      </c>
    </row>
    <row r="75" ht="15" customHeight="1" s="341">
      <c r="A75" s="607" t="inlineStr">
        <is>
          <t xml:space="preserve">        .Cells(nextRow, 6)  = Trim(wsForm.Range("C15").Value)    ' ID_Number</t>
        </is>
      </c>
    </row>
    <row r="76" ht="15" customHeight="1" s="341">
      <c r="A76" s="607" t="inlineStr">
        <is>
          <t xml:space="preserve">        .Cells(nextRow, 7)  = Trim(wsForm.Range("C10").Value)    ' Occupation</t>
        </is>
      </c>
    </row>
    <row r="77" ht="15" customHeight="1" s="341">
      <c r="A77" s="607" t="inlineStr">
        <is>
          <t xml:space="preserve">        .Cells(nextRow, 8)  = Trim(wsForm.Range("C11").Value)    ' Agent_Assigned</t>
        </is>
      </c>
    </row>
    <row r="78" ht="15" customHeight="1" s="341">
      <c r="A78" s="607" t="inlineStr">
        <is>
          <t xml:space="preserve">        .Cells(nextRow, 9)  = CDbl(wsForm.Range("C12").Value)    ' Opening_Balance</t>
        </is>
      </c>
    </row>
    <row r="79" ht="15" customHeight="1" s="341">
      <c r="A79" s="607" t="inlineStr">
        <is>
          <t xml:space="preserve">        .Cells(nextRow, 10) = Date                                ' Account_Date</t>
        </is>
      </c>
    </row>
    <row r="80" ht="15" customHeight="1" s="341">
      <c r="A80" s="607" t="inlineStr">
        <is>
          <t xml:space="preserve">        .Cells(nextRow, 11) = "Active"                            ' Status</t>
        </is>
      </c>
    </row>
    <row r="81" ht="15" customHeight="1" s="341">
      <c r="A81" s="607" t="inlineStr">
        <is>
          <t xml:space="preserve">        ' Cols 12-16 (L-P): formula-driven (SUMIF etc) — leave blank for formula rows</t>
        </is>
      </c>
    </row>
    <row r="82" ht="15" customHeight="1" s="341">
      <c r="A82" s="607" t="inlineStr">
        <is>
          <t xml:space="preserve">        .Cells(nextRow, 17) = wsForm.Range("C7").Value           ' Date_of_Birth (Q)</t>
        </is>
      </c>
    </row>
    <row r="83" ht="15" customHeight="1" s="341">
      <c r="A83" s="607" t="inlineStr">
        <is>
          <t xml:space="preserve">        .Cells(nextRow, 18) = Trim(wsForm.Range("C8").Value)     ' Phone (R)</t>
        </is>
      </c>
    </row>
    <row r="84" ht="15" customHeight="1" s="341">
      <c r="A84" s="607" t="inlineStr">
        <is>
          <t xml:space="preserve">        .Cells(nextRow, 19) = Trim(wsForm.Range("C9").Value)     ' Location (S)</t>
        </is>
      </c>
    </row>
    <row r="85" ht="15" customHeight="1" s="341">
      <c r="A85" s="607" t="inlineStr">
        <is>
          <t xml:space="preserve">        .Cells(nextRow, 20) = Trim(wsForm.Range("C13").Value)    ' Next_of_Kin (T)</t>
        </is>
      </c>
    </row>
    <row r="86" ht="15" customHeight="1" s="341">
      <c r="A86" s="607" t="inlineStr">
        <is>
          <t xml:space="preserve">        ' Format dates</t>
        </is>
      </c>
    </row>
    <row r="87" ht="15" customHeight="1" s="341">
      <c r="A87" s="607" t="inlineStr">
        <is>
          <t xml:space="preserve">        .Cells(nextRow, 10).NumberFormat = "DD/MM/YYYY"</t>
        </is>
      </c>
    </row>
    <row r="88" ht="15" customHeight="1" s="341">
      <c r="A88" s="607" t="inlineStr">
        <is>
          <t xml:space="preserve">        .Cells(nextRow, 17).NumberFormat = "DD/MM/YYYY"</t>
        </is>
      </c>
    </row>
    <row r="89" ht="15" customHeight="1" s="341">
      <c r="A89" s="607" t="inlineStr">
        <is>
          <t xml:space="preserve">        .Cells(nextRow, 9).NumberFormat  = "#,##0.00"</t>
        </is>
      </c>
    </row>
    <row r="90" ht="15" customHeight="1" s="341">
      <c r="A90" s="607" t="inlineStr">
        <is>
          <t xml:space="preserve">        ' Extend formulas for financial columns L-P</t>
        </is>
      </c>
    </row>
    <row r="91" ht="15" customHeight="1" s="341">
      <c r="A91" s="607" t="inlineStr">
        <is>
          <t xml:space="preserve">        If nextRow &gt; 4 Then</t>
        </is>
      </c>
    </row>
    <row r="92" ht="15" customHeight="1" s="341">
      <c r="A92" s="607" t="inlineStr">
        <is>
          <t xml:space="preserve">            .Cells(nextRow, 12).Formula = "=SUMIF(DB_Savings!$C:$C,A" &amp; nextRow &amp; ",DB_Savings!$F:$F)"</t>
        </is>
      </c>
    </row>
    <row r="93" ht="15" customHeight="1" s="341">
      <c r="A93" s="607" t="inlineStr">
        <is>
          <t xml:space="preserve">            .Cells(nextRow, 13).Formula = "=SUMIF(DB_Withdrawals!$C:$C,A" &amp; nextRow &amp; ",DB_Withdrawals!$G:$G)"</t>
        </is>
      </c>
    </row>
    <row r="94" ht="15" customHeight="1" s="341">
      <c r="A94" s="607" t="inlineStr">
        <is>
          <t xml:space="preserve">            .Cells(nextRow, 14).Formula = "=I" &amp; nextRow &amp; "+L" &amp; nextRow &amp; "-M" &amp; nextRow</t>
        </is>
      </c>
    </row>
    <row r="95" ht="15" customHeight="1" s="341">
      <c r="A95" s="607" t="inlineStr">
        <is>
          <t xml:space="preserve">            .Cells(nextRow, 15).Formula = "=TRUE()"</t>
        </is>
      </c>
    </row>
    <row r="96" ht="15" customHeight="1" s="341">
      <c r="A96" s="607" t="inlineStr">
        <is>
          <t xml:space="preserve">            .Cells(nextRow, 16).Formula = "=MAX(0,N" &amp; nextRow &amp; "-System_Config!$B$9)"</t>
        </is>
      </c>
    </row>
    <row r="97" ht="15" customHeight="1" s="341">
      <c r="A97" s="607" t="inlineStr">
        <is>
          <t xml:space="preserve">        End If</t>
        </is>
      </c>
    </row>
    <row r="98" ht="15" customHeight="1" s="341">
      <c r="A98" s="607" t="inlineStr">
        <is>
          <t xml:space="preserve">    End With</t>
        </is>
      </c>
    </row>
    <row r="99" ht="15" customHeight="1" s="341">
      <c r="A99" s="607" t="n"/>
    </row>
    <row r="100" ht="15" customHeight="1" s="341">
      <c r="A100" s="607" t="inlineStr">
        <is>
          <t xml:space="preserve">    ' Audit Log entry</t>
        </is>
      </c>
    </row>
    <row r="101" ht="15" customHeight="1" s="341">
      <c r="A101" s="607" t="inlineStr">
        <is>
          <t xml:space="preserve">    Dim auditRow As Long</t>
        </is>
      </c>
    </row>
    <row r="102" ht="15" customHeight="1" s="341">
      <c r="A102" s="607" t="inlineStr">
        <is>
          <t xml:space="preserve">    auditRow = wsAudit.Cells(wsAudit.Rows.Count, 1).End(xlUp).Row + 1</t>
        </is>
      </c>
    </row>
    <row r="103" ht="15" customHeight="1" s="341">
      <c r="A103" s="607" t="inlineStr">
        <is>
          <t xml:space="preserve">    If auditRow &lt; 2 Then auditRow = 2</t>
        </is>
      </c>
    </row>
    <row r="104" ht="15" customHeight="1" s="341">
      <c r="A104" s="607" t="inlineStr">
        <is>
          <t xml:space="preserve">    wsAudit.Cells(auditRow, 1) = Now()</t>
        </is>
      </c>
    </row>
    <row r="105" ht="15" customHeight="1" s="341">
      <c r="A105" s="607" t="inlineStr">
        <is>
          <t xml:space="preserve">    wsAudit.Cells(auditRow, 2) = "ACCOUNT CREATED"</t>
        </is>
      </c>
    </row>
    <row r="106" ht="15" customHeight="1" s="341">
      <c r="A106" s="607" t="inlineStr">
        <is>
          <t xml:space="preserve">    wsAudit.Cells(auditRow, 3) = accNum</t>
        </is>
      </c>
    </row>
    <row r="107" ht="15" customHeight="1" s="341">
      <c r="A107" s="607" t="inlineStr">
        <is>
          <t xml:space="preserve">    wsAudit.Cells(auditRow, 4) = Trim(wsForm.Range("C5")) &amp; " " &amp; Trim(wsForm.Range("C6"))</t>
        </is>
      </c>
    </row>
    <row r="108" ht="15" customHeight="1" s="341">
      <c r="A108" s="607" t="inlineStr">
        <is>
          <t xml:space="preserve">    wsAudit.Cells(auditRow, 5) = Trim(wsForm.Range("C11").Value)</t>
        </is>
      </c>
    </row>
    <row r="109" ht="15" customHeight="1" s="341">
      <c r="A109" s="607" t="inlineStr">
        <is>
          <t xml:space="preserve">    wsAudit.Cells(auditRow, 6) = "Account opened with balance GHC " &amp; wsForm.Range("C12").Value</t>
        </is>
      </c>
    </row>
    <row r="110" ht="15" customHeight="1" s="341">
      <c r="A110" s="607" t="inlineStr">
        <is>
          <t xml:space="preserve">    wsAudit.Cells(auditRow, 1).NumberFormat = "DD/MM/YYYY HH:MM:SS"</t>
        </is>
      </c>
    </row>
    <row r="111" ht="15" customHeight="1" s="341">
      <c r="A111" s="607" t="n"/>
    </row>
    <row r="112" ht="15" customHeight="1" s="341">
      <c r="A112" s="607" t="inlineStr">
        <is>
          <t xml:space="preserve">    ' Clear form</t>
        </is>
      </c>
    </row>
    <row r="113" ht="15" customHeight="1" s="341">
      <c r="A113" s="607" t="inlineStr">
        <is>
          <t xml:space="preserve">    Dim clearList As Variant</t>
        </is>
      </c>
    </row>
    <row r="114" ht="15" customHeight="1" s="341">
      <c r="A114" s="607" t="inlineStr">
        <is>
          <t xml:space="preserve">    clearList = Array("C5","C6","C7","C8","C9","C10","C11","C12","C13","C14","C15","C38","C43")</t>
        </is>
      </c>
    </row>
    <row r="115" ht="15" customHeight="1" s="341">
      <c r="A115" s="607" t="inlineStr">
        <is>
          <t xml:space="preserve">    Dim f As Variant</t>
        </is>
      </c>
    </row>
    <row r="116" ht="15" customHeight="1" s="341">
      <c r="A116" s="607" t="inlineStr">
        <is>
          <t xml:space="preserve">    For Each f In clearList</t>
        </is>
      </c>
    </row>
    <row r="117" ht="15" customHeight="1" s="341">
      <c r="A117" s="607" t="inlineStr">
        <is>
          <t xml:space="preserve">        wsForm.Range(CStr(f)).ClearContents</t>
        </is>
      </c>
    </row>
    <row r="118" ht="15" customHeight="1" s="341">
      <c r="A118" s="607" t="inlineStr">
        <is>
          <t xml:space="preserve">    Next f</t>
        </is>
      </c>
    </row>
    <row r="119" ht="15" customHeight="1" s="341">
      <c r="A119" s="607" t="n"/>
    </row>
    <row r="120" ht="15" customHeight="1" s="341">
      <c r="A120" s="607" t="inlineStr">
        <is>
          <t xml:space="preserve">    ' Force recalculate so CAD formulas refresh</t>
        </is>
      </c>
    </row>
    <row r="121" ht="15" customHeight="1" s="341">
      <c r="A121" s="607" t="inlineStr">
        <is>
          <t xml:space="preserve">    Application.Calculate</t>
        </is>
      </c>
    </row>
    <row r="122" ht="15" customHeight="1" s="341">
      <c r="A122" s="607" t="n"/>
    </row>
    <row r="123" ht="15" customHeight="1" s="341">
      <c r="A123" s="607" t="inlineStr">
        <is>
          <t xml:space="preserve">    MsgBox "✅ Account " &amp; accNum &amp; " committed to database." &amp; Chr(13) &amp; _</t>
        </is>
      </c>
    </row>
    <row r="124" ht="15" customHeight="1" s="341">
      <c r="A124" s="607" t="inlineStr">
        <is>
          <t xml:space="preserve">           "Form cleared. Customer Database updated instantly.", vbInformation, "Account Created"</t>
        </is>
      </c>
    </row>
    <row r="125" ht="15" customHeight="1" s="341">
      <c r="A125" s="607" t="inlineStr">
        <is>
          <t xml:space="preserve">    Exit Sub</t>
        </is>
      </c>
    </row>
    <row r="126" ht="15" customHeight="1" s="341">
      <c r="A126" s="607" t="inlineStr">
        <is>
          <t>ErrHandler:</t>
        </is>
      </c>
    </row>
    <row r="127" ht="15" customHeight="1" s="341">
      <c r="A127" s="607" t="inlineStr">
        <is>
          <t xml:space="preserve">    MsgBox "Error " &amp; Err.Number &amp; ": " &amp; Err.Description, vbCritical, "Error"</t>
        </is>
      </c>
    </row>
    <row r="128" ht="15" customHeight="1" s="341">
      <c r="A128" s="607" t="inlineStr">
        <is>
          <t>End Sub</t>
        </is>
      </c>
    </row>
    <row r="129" ht="15" customHeight="1" s="341">
      <c r="A129" s="607" t="n"/>
    </row>
    <row r="130" ht="15" customHeight="1" s="341">
      <c r="A130" s="607" t="inlineStr">
        <is>
          <t>' ─── THISWORKBOOK CODE (paste into ThisWorkbook object) ─────────────────</t>
        </is>
      </c>
    </row>
    <row r="131" ht="15" customHeight="1" s="341">
      <c r="A131" s="607" t="inlineStr">
        <is>
          <t>' Private Sub Workbook_Open()</t>
        </is>
      </c>
    </row>
    <row r="132" ht="15" customHeight="1" s="341">
      <c r="A132" s="607" t="inlineStr">
        <is>
          <t>'     Application.ScreenUpdating = False</t>
        </is>
      </c>
    </row>
    <row r="133" ht="15" customHeight="1" s="341">
      <c r="A133" s="607" t="inlineStr">
        <is>
          <t>'     ThisWorkbook.Sheets("Manager_Dashboard").Activate</t>
        </is>
      </c>
    </row>
    <row r="134" ht="15" customHeight="1" s="341">
      <c r="A134" s="607" t="inlineStr">
        <is>
          <t>'     Application.ScreenUpdating = True</t>
        </is>
      </c>
    </row>
    <row r="135" ht="15" customHeight="1" s="341">
      <c r="A135" s="607" t="inlineStr">
        <is>
          <t>' End Sub</t>
        </is>
      </c>
    </row>
    <row r="136" ht="15" customHeight="1" s="341">
      <c r="A136" s="607" t="n"/>
    </row>
    <row r="137" ht="15" customHeight="1" s="341">
      <c r="A137" s="607" t="inlineStr">
        <is>
          <t>' ─── SEARCH HELPER: called from Search button if added ──────────────────</t>
        </is>
      </c>
    </row>
    <row r="138" ht="15" customHeight="1" s="341">
      <c r="A138" s="607" t="inlineStr">
        <is>
          <t>Sub ClearSearch()</t>
        </is>
      </c>
    </row>
    <row r="139" ht="15" customHeight="1" s="341">
      <c r="A139" s="607" t="inlineStr">
        <is>
          <t xml:space="preserve">    ThisWorkbook.Sheets("Customer Account Database").Range("C5").ClearContents</t>
        </is>
      </c>
    </row>
    <row r="140" ht="15" customHeight="1" s="341">
      <c r="A140" s="607" t="inlineStr">
        <is>
          <t xml:space="preserve">    Application.Calculate</t>
        </is>
      </c>
    </row>
    <row r="141" ht="15" customHeight="1" s="341">
      <c r="A141" s="607" t="inlineStr">
        <is>
          <t>End Sub</t>
        </is>
      </c>
    </row>
    <row r="142" ht="15" customHeight="1" s="341">
      <c r="A142" s="607" t="n"/>
    </row>
    <row r="143" ht="15" customHeight="1" s="341">
      <c r="A143" s="607" t="inlineStr">
        <is>
          <t>' ─── MIN BALANCE GUARD (called from withdrawal sheets) ──────────────────</t>
        </is>
      </c>
    </row>
    <row r="144" ht="15" customHeight="1" s="341">
      <c r="A144" s="607" t="inlineStr">
        <is>
          <t>Sub CheckMinBalance(sheetName As String, transRow As Long)</t>
        </is>
      </c>
    </row>
    <row r="145" ht="15" customHeight="1" s="341">
      <c r="A145" s="607" t="inlineStr">
        <is>
          <t xml:space="preserve">    Dim ws As Worksheet: Set ws = ThisWorkbook.Sheets(sheetName)</t>
        </is>
      </c>
    </row>
    <row r="146" ht="15" customHeight="1" s="341">
      <c r="A146" s="607" t="inlineStr">
        <is>
          <t xml:space="preserve">    If Not IsNumeric(ws.Cells(transRow, 6).Value) Then Exit Sub</t>
        </is>
      </c>
    </row>
    <row r="147" ht="15" customHeight="1" s="341">
      <c r="A147" s="607" t="inlineStr">
        <is>
          <t xml:space="preserve">    If CDbl(ws.Cells(transRow, 6).Value) &lt; 10 Then</t>
        </is>
      </c>
    </row>
    <row r="148" ht="15" customHeight="1" s="341">
      <c r="A148" s="607" t="inlineStr">
        <is>
          <t xml:space="preserve">        MsgBox "WITHDRAWAL BLOCKED" &amp; Chr(13) &amp; _</t>
        </is>
      </c>
    </row>
    <row r="149" ht="15" customHeight="1" s="341">
      <c r="A149" s="607" t="inlineStr">
        <is>
          <t xml:space="preserve">               "Balance after: GHC " &amp; Format(ws.Cells(transRow,6).Value,"#,##0.00") &amp; Chr(13) &amp; _</t>
        </is>
      </c>
    </row>
    <row r="150" ht="15" customHeight="1" s="341">
      <c r="A150" s="607" t="inlineStr">
        <is>
          <t xml:space="preserve">               "Minimum balance is GHC 10.00", vbCritical, "Min Balance Violation"</t>
        </is>
      </c>
    </row>
    <row r="151" ht="15" customHeight="1" s="341">
      <c r="A151" s="607" t="inlineStr">
        <is>
          <t xml:space="preserve">        ws.Cells(transRow, 5).ClearContents</t>
        </is>
      </c>
    </row>
    <row r="152" ht="15" customHeight="1" s="341">
      <c r="A152" s="607" t="inlineStr">
        <is>
          <t xml:space="preserve">    End If</t>
        </is>
      </c>
    </row>
    <row r="153" ht="15" customHeight="1" s="341">
      <c r="A153" s="607" t="inlineStr">
        <is>
          <t>End Sub</t>
        </is>
      </c>
    </row>
    <row r="154" ht="15" customHeight="1" s="341">
      <c r="A154" s="606" t="n"/>
    </row>
    <row r="155" ht="15" customHeight="1" s="341">
      <c r="A155" s="606" t="n"/>
    </row>
    <row r="156" ht="15" customHeight="1" s="341">
      <c r="A156" s="606" t="n"/>
    </row>
    <row r="157" ht="15" customHeight="1" s="341">
      <c r="A157" s="606" t="n"/>
    </row>
    <row r="158" ht="15" customHeight="1" s="341">
      <c r="A158" s="606" t="n"/>
    </row>
    <row r="159" ht="15" customHeight="1" s="341">
      <c r="A159" s="606" t="n"/>
    </row>
    <row r="160" ht="15" customHeight="1" s="341">
      <c r="A160" s="606" t="n"/>
    </row>
    <row r="161" ht="15" customHeight="1" s="341">
      <c r="A161" s="606" t="n"/>
    </row>
    <row r="162" ht="15" customHeight="1" s="341">
      <c r="A162" s="606" t="n"/>
    </row>
    <row r="163" ht="15" customHeight="1" s="341">
      <c r="A163" s="606" t="n"/>
    </row>
    <row r="164" ht="15" customHeight="1" s="341">
      <c r="A164" s="606" t="n"/>
    </row>
    <row r="165" ht="15" customHeight="1" s="341">
      <c r="A165" s="606" t="n"/>
    </row>
    <row r="166" ht="15" customHeight="1" s="341">
      <c r="A166" s="606" t="n"/>
    </row>
    <row r="167" ht="15" customHeight="1" s="341">
      <c r="A167" s="606" t="n"/>
    </row>
    <row r="168" ht="15" customHeight="1" s="341">
      <c r="A168" s="606" t="n"/>
    </row>
    <row r="169" ht="15" customHeight="1" s="341">
      <c r="A169" s="606" t="n"/>
    </row>
    <row r="170" ht="15" customHeight="1" s="341">
      <c r="A170" s="606" t="n"/>
    </row>
    <row r="171" ht="15" customHeight="1" s="341">
      <c r="A171" s="606" t="n"/>
    </row>
    <row r="172" ht="15" customHeight="1" s="341">
      <c r="A172" s="606" t="n"/>
    </row>
    <row r="173" ht="15" customHeight="1" s="341">
      <c r="A173" s="606" t="n"/>
    </row>
    <row r="174" ht="15" customHeight="1" s="341">
      <c r="A174" s="606" t="n"/>
    </row>
    <row r="175" ht="15" customHeight="1" s="341">
      <c r="A175" s="606" t="n"/>
    </row>
    <row r="176" ht="15" customHeight="1" s="341">
      <c r="A176" s="606" t="n"/>
    </row>
    <row r="177" ht="15" customHeight="1" s="341">
      <c r="A177" s="606" t="n"/>
    </row>
    <row r="178" ht="15" customHeight="1" s="341">
      <c r="A178" s="606" t="n"/>
    </row>
    <row r="179" ht="15" customHeight="1" s="341">
      <c r="A179" s="606" t="n"/>
    </row>
    <row r="180" ht="15" customHeight="1" s="341">
      <c r="A180" s="606" t="n"/>
    </row>
    <row r="181" ht="15" customHeight="1" s="341">
      <c r="A181" s="606" t="n"/>
    </row>
    <row r="182" ht="15" customHeight="1" s="341">
      <c r="A182" s="606" t="n"/>
    </row>
    <row r="183" ht="15" customHeight="1" s="341">
      <c r="A183" s="606" t="n"/>
    </row>
    <row r="184" ht="15" customHeight="1" s="341">
      <c r="A184" s="606" t="n"/>
    </row>
    <row r="185" ht="15" customHeight="1" s="341">
      <c r="A185" s="606" t="n"/>
    </row>
    <row r="186" ht="15" customHeight="1" s="341">
      <c r="A186" s="606" t="n"/>
    </row>
    <row r="187" ht="15" customHeight="1" s="341">
      <c r="A187" s="606" t="n"/>
    </row>
    <row r="188" ht="15" customHeight="1" s="341">
      <c r="A188" s="606" t="n"/>
    </row>
    <row r="189" ht="15" customHeight="1" s="341">
      <c r="A189" s="606" t="n"/>
    </row>
    <row r="190" ht="15" customHeight="1" s="341">
      <c r="A190" s="606" t="n"/>
    </row>
    <row r="191" ht="15" customHeight="1" s="341">
      <c r="A191" s="606" t="n"/>
    </row>
    <row r="192" ht="15" customHeight="1" s="341">
      <c r="A192" s="606" t="n"/>
    </row>
    <row r="193" ht="15" customHeight="1" s="341">
      <c r="A193" s="606" t="n"/>
    </row>
    <row r="194" ht="15" customHeight="1" s="341">
      <c r="A194" s="606" t="n"/>
    </row>
    <row r="195" ht="15" customHeight="1" s="341">
      <c r="A195" s="606" t="n"/>
    </row>
    <row r="196" ht="15" customHeight="1" s="341">
      <c r="A196" s="606" t="n"/>
    </row>
    <row r="197" ht="15" customHeight="1" s="341">
      <c r="A197" s="606" t="n"/>
    </row>
    <row r="198" ht="15" customHeight="1" s="341">
      <c r="A198" s="606" t="n"/>
    </row>
    <row r="199" ht="15" customHeight="1" s="341">
      <c r="A199" s="606" t="n"/>
    </row>
    <row r="200" ht="15" customHeight="1" s="341">
      <c r="A200" s="606" t="n"/>
    </row>
    <row r="201" ht="15" customHeight="1" s="341">
      <c r="A201" s="606" t="inlineStr">
        <is>
          <t>Sub SubmitLoanRequest()</t>
        </is>
      </c>
    </row>
    <row r="202" ht="15" customHeight="1" s="341">
      <c r="A202" s="606" t="inlineStr">
        <is>
          <t xml:space="preserve">    Dim ws As Worksheet: Set ws = ActiveSheet</t>
        </is>
      </c>
    </row>
    <row r="203" ht="15" customHeight="1" s="341">
      <c r="A203" s="606" t="inlineStr">
        <is>
          <t xml:space="preserve">    Dim dbL As Worksheet: Set dbL = ThisWorkbook.Sheets("DB_Loans")</t>
        </is>
      </c>
    </row>
    <row r="204" ht="15" customHeight="1" s="341">
      <c r="A204" s="606" t="inlineStr">
        <is>
          <t xml:space="preserve">    Dim dbC As Worksheet: Set dbC = ThisWorkbook.Sheets("DB_Customers")</t>
        </is>
      </c>
    </row>
    <row r="205" ht="15" customHeight="1" s="341">
      <c r="A205" s="606" t="n"/>
    </row>
    <row r="206" ht="15" customHeight="1" s="341">
      <c r="A206" s="606" t="inlineStr">
        <is>
          <t xml:space="preserve">    Dim entryRow As Long: entryRow = 0</t>
        </is>
      </c>
    </row>
    <row r="207" ht="15" customHeight="1" s="341">
      <c r="A207" s="606" t="inlineStr">
        <is>
          <t xml:space="preserve">    Dim r As Long</t>
        </is>
      </c>
    </row>
    <row r="208" ht="15" customHeight="1" s="341">
      <c r="A208" s="606" t="inlineStr">
        <is>
          <t xml:space="preserve">    For r = 14 To 113</t>
        </is>
      </c>
    </row>
    <row r="209" ht="15" customHeight="1" s="341">
      <c r="A209" s="606" t="inlineStr">
        <is>
          <t xml:space="preserve">        If ws.Cells(r, 2).Value &lt;&gt; "" And ws.Cells(r, 5).Value &lt;&gt; "" And ws.Cells(r, 7).Value &lt;&gt; "" Then</t>
        </is>
      </c>
    </row>
    <row r="210" ht="15" customHeight="1" s="341">
      <c r="A210" s="606" t="inlineStr">
        <is>
          <t xml:space="preserve">            entryRow = r: Exit For</t>
        </is>
      </c>
    </row>
    <row r="211" ht="15" customHeight="1" s="341">
      <c r="A211" s="606" t="inlineStr">
        <is>
          <t xml:space="preserve">        End If</t>
        </is>
      </c>
    </row>
    <row r="212" ht="15" customHeight="1" s="341">
      <c r="A212" s="606" t="inlineStr">
        <is>
          <t xml:space="preserve">    Next r</t>
        </is>
      </c>
    </row>
    <row r="213" ht="15" customHeight="1" s="341">
      <c r="A213" s="606" t="inlineStr">
        <is>
          <t xml:space="preserve">    If entryRow = 0 Then MsgBox "No complete loan entry found.", vbExclamation: Exit Sub</t>
        </is>
      </c>
    </row>
    <row r="214" ht="15" customHeight="1" s="341">
      <c r="A214" s="606" t="n"/>
    </row>
    <row r="215" ht="15" customHeight="1" s="341">
      <c r="A215" s="606" t="inlineStr">
        <is>
          <t xml:space="preserve">    Dim acct As String: acct = CStr(ws.Cells(entryRow, 2).Value)</t>
        </is>
      </c>
    </row>
    <row r="216" ht="15" customHeight="1" s="341">
      <c r="A216" s="606" t="inlineStr">
        <is>
          <t xml:space="preserve">    Dim lamt As Double: lamt = ws.Cells(entryRow, 5).Value</t>
        </is>
      </c>
    </row>
    <row r="217" ht="15" customHeight="1" s="341">
      <c r="A217" s="606" t="inlineStr">
        <is>
          <t xml:space="preserve">    Dim purp As String: purp = CStr(ws.Cells(entryRow, 6).Value)</t>
        </is>
      </c>
    </row>
    <row r="218" ht="15" customHeight="1" s="341">
      <c r="A218" s="606" t="inlineStr">
        <is>
          <t xml:space="preserve">    Dim mos  As Integer: mos = CInt(ws.Cells(entryRow, 7).Value)</t>
        </is>
      </c>
    </row>
    <row r="219" ht="15" customHeight="1" s="341">
      <c r="A219" s="606" t="inlineStr">
        <is>
          <t xml:space="preserve">    Dim rate As Double: rate = ws.Cells(entryRow, 8).Value</t>
        </is>
      </c>
    </row>
    <row r="220" ht="15" customHeight="1" s="341">
      <c r="A220" s="606" t="inlineStr">
        <is>
          <t xml:space="preserve">    Dim note As String: note = CStr(ws.Cells(entryRow, 13).Value)</t>
        </is>
      </c>
    </row>
    <row r="221" ht="15" customHeight="1" s="341">
      <c r="A221" s="606" t="inlineStr">
        <is>
          <t xml:space="preserve">    Dim agt  As String: agt  = CStr(ws.Cells(entryRow, 12).Value)</t>
        </is>
      </c>
    </row>
    <row r="222" ht="15" customHeight="1" s="341">
      <c r="A222" s="606" t="n"/>
    </row>
    <row r="223" ht="15" customHeight="1" s="341">
      <c r="A223" s="606" t="inlineStr">
        <is>
          <t xml:space="preserve">    If lamt &lt; 100 Or lamt &gt; 50000 Then MsgBox "Loan must be GHC 100 – 50,000!", vbExclamation: Exit Sub</t>
        </is>
      </c>
    </row>
    <row r="224" ht="15" customHeight="1" s="341">
      <c r="A224" s="606" t="inlineStr">
        <is>
          <t xml:space="preserve">    If mos &lt; 1 Or mos &gt; 36 Then MsgBox "Duration must be 1–36 months!", vbExclamation: Exit Sub</t>
        </is>
      </c>
    </row>
    <row r="225" ht="15" customHeight="1" s="341">
      <c r="A225" s="606" t="n"/>
    </row>
    <row r="226" ht="15" customHeight="1" s="341">
      <c r="A226" s="606" t="inlineStr">
        <is>
          <t xml:space="preserve">    Dim custRow As Variant</t>
        </is>
      </c>
    </row>
    <row r="227" ht="15" customHeight="1" s="341">
      <c r="A227" s="606" t="inlineStr">
        <is>
          <t xml:space="preserve">    custRow = Application.Match(acct, dbC.Columns(1), 0)</t>
        </is>
      </c>
    </row>
    <row r="228" ht="15" customHeight="1" s="341">
      <c r="A228" s="606" t="inlineStr">
        <is>
          <t xml:space="preserve">    If IsError(custRow) Then MsgBox "Account not found!", vbCritical: Exit Sub</t>
        </is>
      </c>
    </row>
    <row r="229" ht="15" customHeight="1" s="341">
      <c r="A229" s="606" t="n"/>
    </row>
    <row r="230" ht="15" customHeight="1" s="341">
      <c r="A230" s="606" t="inlineStr">
        <is>
          <t xml:space="preserve">    Dim total As Double: total = lamt + (lamt * rate / 100 * mos)</t>
        </is>
      </c>
    </row>
    <row r="231" ht="15" customHeight="1" s="341">
      <c r="A231" s="606" t="inlineStr">
        <is>
          <t xml:space="preserve">    Dim monthly As Double: monthly = total / mos</t>
        </is>
      </c>
    </row>
    <row r="232" ht="15" customHeight="1" s="341">
      <c r="A232" s="606" t="inlineStr">
        <is>
          <t xml:space="preserve">    Dim loanID As String: loanID = "LN" &amp; Format(Date, "YYYYMMDD") &amp; Format(dbL.Cells(Rows.Count, 1).End(xlUp).Row - 2, "0000")</t>
        </is>
      </c>
    </row>
    <row r="233" ht="15" customHeight="1" s="341">
      <c r="A233" s="606" t="n"/>
    </row>
    <row r="234" ht="15" customHeight="1" s="341">
      <c r="A234" s="606" t="inlineStr">
        <is>
          <t xml:space="preserve">    Dim lr As Long: lr = dbL.Cells(Rows.Count, 1).End(xlUp).Row + 1</t>
        </is>
      </c>
    </row>
    <row r="235" ht="15" customHeight="1" s="341">
      <c r="A235" s="606" t="inlineStr">
        <is>
          <t xml:space="preserve">    dbL.Cells(lr, 1).Value  = loanID</t>
        </is>
      </c>
    </row>
    <row r="236" ht="15" customHeight="1" s="341">
      <c r="A236" s="606" t="inlineStr">
        <is>
          <t xml:space="preserve">    dbL.Cells(lr, 2).Value  = acct</t>
        </is>
      </c>
    </row>
    <row r="237" ht="15" customHeight="1" s="341">
      <c r="A237" s="606" t="inlineStr">
        <is>
          <t xml:space="preserve">    dbL.Cells(lr, 3).Value  = dbC.Cells(custRow, 4).Value</t>
        </is>
      </c>
    </row>
    <row r="238" ht="15" customHeight="1" s="341">
      <c r="A238" s="606" t="inlineStr">
        <is>
          <t xml:space="preserve">    dbL.Cells(lr, 4).Value  = Date</t>
        </is>
      </c>
    </row>
    <row r="239" ht="15" customHeight="1" s="341">
      <c r="A239" s="606" t="inlineStr">
        <is>
          <t xml:space="preserve">    dbL.Cells(lr, 5).Value  = lamt</t>
        </is>
      </c>
    </row>
    <row r="240" ht="15" customHeight="1" s="341">
      <c r="A240" s="606" t="inlineStr">
        <is>
          <t xml:space="preserve">    dbL.Cells(lr, 6).Value  = purp</t>
        </is>
      </c>
    </row>
    <row r="241" ht="15" customHeight="1" s="341">
      <c r="A241" s="606" t="inlineStr">
        <is>
          <t xml:space="preserve">    dbL.Cells(lr, 7).Value  = mos</t>
        </is>
      </c>
    </row>
    <row r="242" ht="15" customHeight="1" s="341">
      <c r="A242" s="606" t="inlineStr">
        <is>
          <t xml:space="preserve">    dbL.Cells(lr, 8).Value  = rate</t>
        </is>
      </c>
    </row>
    <row r="243" ht="15" customHeight="1" s="341">
      <c r="A243" s="606" t="inlineStr">
        <is>
          <t xml:space="preserve">    dbL.Cells(lr, 9).Value  = total</t>
        </is>
      </c>
    </row>
    <row r="244" ht="15" customHeight="1" s="341">
      <c r="A244" s="606" t="inlineStr">
        <is>
          <t xml:space="preserve">    dbL.Cells(lr, 10).Value = monthly</t>
        </is>
      </c>
    </row>
    <row r="245" ht="15" customHeight="1" s="341">
      <c r="A245" s="606" t="inlineStr">
        <is>
          <t xml:space="preserve">    dbL.Cells(lr, 11).Value = "Pending"</t>
        </is>
      </c>
    </row>
    <row r="246" ht="15" customHeight="1" s="341">
      <c r="A246" s="606" t="inlineStr">
        <is>
          <t xml:space="preserve">    dbL.Cells(lr, 12).Value = agt</t>
        </is>
      </c>
    </row>
    <row r="247" ht="15" customHeight="1" s="341">
      <c r="A247" s="606" t="inlineStr">
        <is>
          <t xml:space="preserve">    dbL.Cells(lr, 13).Value = note</t>
        </is>
      </c>
    </row>
    <row r="248" ht="15" customHeight="1" s="341">
      <c r="A248" s="606" t="n"/>
    </row>
    <row r="249" ht="15" customHeight="1" s="341">
      <c r="A249" s="606" t="inlineStr">
        <is>
          <t xml:space="preserve">    LogAudit "LOAN_SUBMITTED", "Loan " &amp; loanID &amp; " Account: " &amp; acct &amp; " GHC " &amp; lamt</t>
        </is>
      </c>
    </row>
    <row r="250" ht="15" customHeight="1" s="341">
      <c r="A250" s="606" t="inlineStr">
        <is>
          <t xml:space="preserve">    MsgBox "✅ Loan Request Submitted!" &amp; vbCrLf &amp; vbCrLf &amp; "Loan ID: " &amp; loanID &amp; vbCrLf &amp; "Amount: GHC " &amp; Format(lamt, "#,##0.00") &amp; vbCrLf &amp; "Total Repayable: GHC " &amp; Format(total, "#,##0.00") &amp; vbCrLf &amp; "Monthly: GHC " &amp; Format(monthly, "#,##0.00") &amp; vbCrLf &amp; "Status: Pending Manager Approval", vbInformation, "Loan Submitted"</t>
        </is>
      </c>
    </row>
    <row r="251" ht="15" customHeight="1" s="341">
      <c r="A251" s="606" t="inlineStr">
        <is>
          <t>End Sub</t>
        </is>
      </c>
    </row>
    <row r="252" ht="15" customHeight="1" s="341">
      <c r="A252" s="606" t="n"/>
    </row>
    <row r="253" ht="15" customHeight="1" s="341">
      <c r="A253" s="606" t="inlineStr">
        <is>
          <t>' ─── APPROVE LOAN ─────────────────────────────────────────</t>
        </is>
      </c>
    </row>
    <row r="254" ht="15" customHeight="1" s="341">
      <c r="A254" s="606" t="n"/>
    </row>
    <row r="255" ht="15" customHeight="1" s="341">
      <c r="A255" s="606" t="inlineStr">
        <is>
          <t>Sub ApproveLoan()</t>
        </is>
      </c>
    </row>
    <row r="256" ht="15" customHeight="1" s="341">
      <c r="A256" s="606" t="inlineStr">
        <is>
          <t xml:space="preserve">    Dim loanID As String</t>
        </is>
      </c>
    </row>
    <row r="257" ht="15" customHeight="1" s="341">
      <c r="A257" s="606" t="inlineStr">
        <is>
          <t xml:space="preserve">    loanID = InputBox("Enter Loan ID to approve:", "Approve Loan")</t>
        </is>
      </c>
    </row>
    <row r="258" ht="15" customHeight="1" s="341">
      <c r="A258" s="606" t="inlineStr">
        <is>
          <t xml:space="preserve">    If loanID = "" Then Exit Sub</t>
        </is>
      </c>
    </row>
    <row r="259" ht="15" customHeight="1" s="341">
      <c r="A259" s="606" t="n"/>
    </row>
    <row r="260" ht="15" customHeight="1" s="341">
      <c r="A260" s="606" t="inlineStr">
        <is>
          <t xml:space="preserve">    Dim dbL As Worksheet: Set dbL = ThisWorkbook.Sheets("DB_Loans")</t>
        </is>
      </c>
    </row>
    <row r="261" ht="15" customHeight="1" s="341">
      <c r="A261" s="606" t="inlineStr">
        <is>
          <t xml:space="preserve">    Dim dbC As Worksheet: Set dbC = ThisWorkbook.Sheets("DB_Customers")</t>
        </is>
      </c>
    </row>
    <row r="262" ht="15" customHeight="1" s="341">
      <c r="A262" s="606" t="inlineStr">
        <is>
          <t xml:space="preserve">    Dim dbS As Worksheet: Set dbS = ThisWorkbook.Sheets("DB_Savings")</t>
        </is>
      </c>
    </row>
    <row r="263" ht="15" customHeight="1" s="341">
      <c r="A263" s="606" t="n"/>
    </row>
    <row r="264" ht="15" customHeight="1" s="341">
      <c r="A264" s="606" t="inlineStr">
        <is>
          <t xml:space="preserve">    Dim loanRow As Variant</t>
        </is>
      </c>
    </row>
    <row r="265" ht="15" customHeight="1" s="341">
      <c r="A265" s="606" t="inlineStr">
        <is>
          <t xml:space="preserve">    loanRow = Application.Match(loanID, dbL.Columns(1), 0)</t>
        </is>
      </c>
    </row>
    <row r="266" ht="15" customHeight="1" s="341">
      <c r="A266" s="606" t="inlineStr">
        <is>
          <t xml:space="preserve">    If IsError(loanRow) Then MsgBox "Loan ID not found!", vbCritical: Exit Sub</t>
        </is>
      </c>
    </row>
    <row r="267" ht="15" customHeight="1" s="341">
      <c r="A267" s="606" t="n"/>
    </row>
    <row r="268" ht="15" customHeight="1" s="341">
      <c r="A268" s="606" t="inlineStr">
        <is>
          <t xml:space="preserve">    If dbL.Cells(loanRow, 11).Value &lt;&gt; "Pending" Then</t>
        </is>
      </c>
    </row>
    <row r="269" ht="15" customHeight="1" s="341">
      <c r="A269" s="606" t="inlineStr">
        <is>
          <t xml:space="preserve">        MsgBox "Loan is already: " &amp; dbL.Cells(loanRow, 11).Value, vbInformation: Exit Sub</t>
        </is>
      </c>
    </row>
    <row r="270" ht="15" customHeight="1" s="341">
      <c r="A270" s="606" t="inlineStr">
        <is>
          <t xml:space="preserve">    End If</t>
        </is>
      </c>
    </row>
    <row r="271" ht="15" customHeight="1" s="341">
      <c r="A271" s="606" t="n"/>
    </row>
    <row r="272" ht="15" customHeight="1" s="341">
      <c r="A272" s="606" t="inlineStr">
        <is>
          <t xml:space="preserve">    dbL.Cells(loanRow, 11).Value = "Approved"</t>
        </is>
      </c>
    </row>
    <row r="273" ht="15" customHeight="1" s="341">
      <c r="A273" s="606" t="n"/>
    </row>
    <row r="274" ht="15" customHeight="1" s="341">
      <c r="A274" s="606" t="inlineStr">
        <is>
          <t xml:space="preserve">    ' Credit loan amount to customer savings as special entry</t>
        </is>
      </c>
    </row>
    <row r="275" ht="15" customHeight="1" s="341">
      <c r="A275" s="606" t="inlineStr">
        <is>
          <t xml:space="preserve">    Dim acct As String: acct = CStr(dbL.Cells(loanRow, 2).Value)</t>
        </is>
      </c>
    </row>
    <row r="276" ht="15" customHeight="1" s="341">
      <c r="A276" s="606" t="inlineStr">
        <is>
          <t xml:space="preserve">    Dim lamt As Double: lamt = dbL.Cells(loanRow, 5).Value</t>
        </is>
      </c>
    </row>
    <row r="277" ht="15" customHeight="1" s="341">
      <c r="A277" s="606" t="inlineStr">
        <is>
          <t xml:space="preserve">    Dim lr As Long: lr = dbS.Cells(Rows.Count, 1).End(xlUp).Row + 1</t>
        </is>
      </c>
    </row>
    <row r="278" ht="15" customHeight="1" s="341">
      <c r="A278" s="606" t="n"/>
    </row>
    <row r="279" ht="15" customHeight="1" s="341">
      <c r="A279" s="606" t="inlineStr">
        <is>
          <t xml:space="preserve">    dbS.Cells(lr, 1).Value = lr - 3</t>
        </is>
      </c>
    </row>
    <row r="280" ht="15" customHeight="1" s="341">
      <c r="A280" s="606" t="inlineStr">
        <is>
          <t xml:space="preserve">    dbS.Cells(lr, 2).Value = "LN_CREDIT_" &amp; loanID</t>
        </is>
      </c>
    </row>
    <row r="281" ht="15" customHeight="1" s="341">
      <c r="A281" s="606" t="inlineStr">
        <is>
          <t xml:space="preserve">    dbS.Cells(lr, 3).Value = acct</t>
        </is>
      </c>
    </row>
    <row r="282" ht="15" customHeight="1" s="341">
      <c r="A282" s="606" t="inlineStr">
        <is>
          <t xml:space="preserve">    Dim custRow As Variant: custRow = Application.Match(acct, dbC.Columns(1), 0)</t>
        </is>
      </c>
    </row>
    <row r="283" ht="15" customHeight="1" s="341">
      <c r="A283" s="606" t="inlineStr">
        <is>
          <t xml:space="preserve">    If Not IsError(custRow) Then dbS.Cells(lr, 4).Value = dbC.Cells(custRow, 4).Value</t>
        </is>
      </c>
    </row>
    <row r="284" ht="15" customHeight="1" s="341">
      <c r="A284" s="606" t="inlineStr">
        <is>
          <t xml:space="preserve">    dbS.Cells(lr, 5).Value = Date</t>
        </is>
      </c>
    </row>
    <row r="285" ht="15" customHeight="1" s="341">
      <c r="A285" s="606" t="inlineStr">
        <is>
          <t xml:space="preserve">    dbS.Cells(lr, 6).Value = lamt</t>
        </is>
      </c>
    </row>
    <row r="286" ht="15" customHeight="1" s="341">
      <c r="A286" s="606" t="inlineStr">
        <is>
          <t xml:space="preserve">    dbS.Cells(lr, 7).Value = "Manager"</t>
        </is>
      </c>
    </row>
    <row r="287" ht="15" customHeight="1" s="341">
      <c r="A287" s="606" t="inlineStr">
        <is>
          <t xml:space="preserve">    dbS.Cells(lr, 8).Value = "Loan Credit"</t>
        </is>
      </c>
    </row>
    <row r="288" ht="15" customHeight="1" s="341">
      <c r="A288" s="606" t="inlineStr">
        <is>
          <t xml:space="preserve">    dbS.Cells(lr, 9).Value = Format(Now, "YYYY-MM-DD HH:MM:SS")</t>
        </is>
      </c>
    </row>
    <row r="289" ht="15" customHeight="1" s="341">
      <c r="A289" s="606" t="n"/>
    </row>
    <row r="290" ht="15" customHeight="1" s="341">
      <c r="A290" s="606" t="inlineStr">
        <is>
          <t xml:space="preserve">    LogAudit "LOAN_APPROVED", "Loan " &amp; loanID &amp; " approved. GHC " &amp; lamt &amp; " credited to " &amp; acct</t>
        </is>
      </c>
    </row>
    <row r="291" ht="15" customHeight="1" s="341">
      <c r="A291" s="606" t="inlineStr">
        <is>
          <t xml:space="preserve">    MsgBox "✅ Loan " &amp; loanID &amp; " APPROVED!" &amp; vbCrLf &amp; "GHC " &amp; Format(lamt, "#,##0.00") &amp; " has been credited to account " &amp; acct, vbInformation, "Loan Approved"</t>
        </is>
      </c>
    </row>
    <row r="292" ht="15" customHeight="1" s="341">
      <c r="A292" s="606" t="inlineStr">
        <is>
          <t>End Sub</t>
        </is>
      </c>
    </row>
    <row r="293" ht="15" customHeight="1" s="341">
      <c r="A293" s="606" t="n"/>
    </row>
    <row r="294" ht="15" customHeight="1" s="341">
      <c r="A294" s="606" t="inlineStr">
        <is>
          <t>' ─── BACKUP ───────────────────────────────────────────────</t>
        </is>
      </c>
    </row>
    <row r="295" ht="15" customHeight="1" s="341">
      <c r="A295" s="606" t="n"/>
    </row>
    <row r="296" ht="15" customHeight="1" s="341">
      <c r="A296" s="606" t="inlineStr">
        <is>
          <t>Sub BackupDB()</t>
        </is>
      </c>
    </row>
    <row r="297" ht="15" customHeight="1" s="341">
      <c r="A297" s="606" t="inlineStr">
        <is>
          <t xml:space="preserve">    Dim path As String</t>
        </is>
      </c>
    </row>
    <row r="298" ht="15" customHeight="1" s="341">
      <c r="A298" s="606" t="inlineStr">
        <is>
          <t xml:space="preserve">    path = Environ("USERPROFILE") &amp; "\Desktop\SAMICIOUS_Backup_" &amp; Format(Now, "YYYYMMDD_HHMMSS") &amp; ".xlsm"</t>
        </is>
      </c>
    </row>
    <row r="299" ht="15" customHeight="1" s="341">
      <c r="A299" s="606" t="inlineStr">
        <is>
          <t xml:space="preserve">    ThisWorkbook.SaveCopyAs path</t>
        </is>
      </c>
    </row>
    <row r="300" ht="15" customHeight="1" s="341">
      <c r="A300" s="606" t="inlineStr">
        <is>
          <t xml:space="preserve">    LogAudit "BACKUP", "Saved to: " &amp; path</t>
        </is>
      </c>
    </row>
    <row r="301" ht="15" customHeight="1" s="341">
      <c r="A301" s="606" t="inlineStr">
        <is>
          <t xml:space="preserve">    MsgBox "Backup saved to: " &amp; path, vbInformation</t>
        </is>
      </c>
    </row>
    <row r="302" ht="15" customHeight="1" s="341">
      <c r="A302" s="606" t="inlineStr">
        <is>
          <t>End Sub</t>
        </is>
      </c>
    </row>
    <row r="303" ht="15" customHeight="1" s="341">
      <c r="A303" s="606" t="n"/>
    </row>
    <row r="304" ht="15" customHeight="1" s="341">
      <c r="A304" s="606" t="inlineStr">
        <is>
          <t>' ─── AUDIT HELPER ─────────────────────────────────────────</t>
        </is>
      </c>
    </row>
    <row r="305" ht="15" customHeight="1" s="341">
      <c r="A305" s="606" t="n"/>
    </row>
    <row r="306" ht="15" customHeight="1" s="341">
      <c r="A306" s="606" t="inlineStr">
        <is>
          <t>Sub LogAudit(action As String, detail As String)</t>
        </is>
      </c>
    </row>
    <row r="307" ht="15" customHeight="1" s="341">
      <c r="A307" s="606" t="inlineStr">
        <is>
          <t xml:space="preserve">    On Error Resume Next</t>
        </is>
      </c>
    </row>
    <row r="308" ht="15" customHeight="1" s="341">
      <c r="A308" s="606" t="inlineStr">
        <is>
          <t xml:space="preserve">    Dim aWS As Worksheet: Set aWS = ThisWorkbook.Sheets("Audit_Log")</t>
        </is>
      </c>
    </row>
    <row r="309" ht="15" customHeight="1" s="341">
      <c r="A309" s="606" t="inlineStr">
        <is>
          <t xml:space="preserve">    If aWS Is Nothing Then Exit Sub</t>
        </is>
      </c>
    </row>
    <row r="310" ht="15" customHeight="1" s="341">
      <c r="A310" s="606" t="inlineStr">
        <is>
          <t xml:space="preserve">    Dim lr As Long: lr = aWS.Cells(Rows.Count, 1).End(xlUp).Row + 1</t>
        </is>
      </c>
    </row>
    <row r="311" ht="15" customHeight="1" s="341">
      <c r="A311" s="606" t="inlineStr">
        <is>
          <t xml:space="preserve">    aWS.Cells(lr, 1).Value = Now()</t>
        </is>
      </c>
    </row>
    <row r="312" ht="15" customHeight="1" s="341">
      <c r="A312" s="606" t="inlineStr">
        <is>
          <t xml:space="preserve">    aWS.Cells(lr, 2).Value = Environ("USERNAME")</t>
        </is>
      </c>
    </row>
    <row r="313" ht="15" customHeight="1" s="341">
      <c r="A313" s="606" t="inlineStr">
        <is>
          <t xml:space="preserve">    aWS.Cells(lr, 3).Value = action</t>
        </is>
      </c>
    </row>
    <row r="314" ht="15" customHeight="1" s="341">
      <c r="A314" s="606" t="inlineStr">
        <is>
          <t xml:space="preserve">    aWS.Cells(lr, 4).Value = detail</t>
        </is>
      </c>
    </row>
    <row r="315" ht="15" customHeight="1" s="341">
      <c r="A315" s="606" t="inlineStr">
        <is>
          <t xml:space="preserve">    On Error GoTo 0</t>
        </is>
      </c>
    </row>
    <row r="316" ht="15" customHeight="1" s="341">
      <c r="A316" s="606" t="inlineStr">
        <is>
          <t>End Sub</t>
        </is>
      </c>
    </row>
    <row r="317" ht="15" customHeight="1" s="341">
      <c r="A317" s="606" t="n"/>
    </row>
    <row r="319" ht="15" customHeight="1" s="341">
      <c r="A319" s="340" t="inlineStr">
        <is>
          <t>' ══════════════════════════════════════════════════════════════════════════</t>
        </is>
      </c>
    </row>
    <row r="320" ht="15" customHeight="1" s="341">
      <c r="A320" s="340" t="inlineStr">
        <is>
          <t>' SAMICIOUS MICROFINANCE V3 — UPGRADE LAYER (Append to existing Module)</t>
        </is>
      </c>
    </row>
    <row r="321" ht="15" customHeight="1" s="341">
      <c r="A321" s="340" t="inlineStr">
        <is>
          <t>' COPY ALL CODE BELOW AND PASTE AFTER EXISTING VBA CODE IN SAME MODULE</t>
        </is>
      </c>
    </row>
    <row r="322" ht="15" customHeight="1" s="341">
      <c r="A322" s="340" t="inlineStr">
        <is>
          <t>' ══════════════════════════════════════════════════════════════════════════</t>
        </is>
      </c>
    </row>
    <row r="324" ht="15" customHeight="1" s="341">
      <c r="A324" s="340" t="inlineStr">
        <is>
          <t>' ─── MINIMUM BALANCE ENFORCEMENT ──────────────────────────────────────────</t>
        </is>
      </c>
    </row>
    <row r="325" ht="15" customHeight="1" s="341">
      <c r="A325" s="340" t="inlineStr">
        <is>
          <t>' Call this BEFORE SaveWithdrawalRow to enforce GHC 10 floor</t>
        </is>
      </c>
    </row>
    <row r="326" ht="15" customHeight="1" s="341">
      <c r="A326" s="340" t="inlineStr">
        <is>
          <t>Function CheckMinBalance(acctNo As String) As Boolean</t>
        </is>
      </c>
    </row>
    <row r="327" ht="15" customHeight="1" s="341">
      <c r="A327" s="340" t="inlineStr">
        <is>
          <t xml:space="preserve">    Dim dbC As Worksheet: Set dbC = ThisWorkbook.Sheets("DB_Customers")</t>
        </is>
      </c>
    </row>
    <row r="328" ht="15" customHeight="1" s="341">
      <c r="A328" s="340" t="inlineStr">
        <is>
          <t xml:space="preserve">    Dim sc  As Worksheet: Set sc  = ThisWorkbook.Sheets("System_Config")</t>
        </is>
      </c>
    </row>
    <row r="329" ht="15" customHeight="1" s="341">
      <c r="A329" s="340" t="inlineStr">
        <is>
          <t xml:space="preserve">    Dim minBal As Double: minBal = sc.Range("B9").Value  ' GHC 10</t>
        </is>
      </c>
    </row>
    <row r="330" ht="15" customHeight="1" s="341">
      <c r="A330" s="340" t="inlineStr">
        <is>
          <t xml:space="preserve">    Dim custRow As Variant</t>
        </is>
      </c>
    </row>
    <row r="331" ht="15" customHeight="1" s="341">
      <c r="A331" s="340" t="inlineStr">
        <is>
          <t xml:space="preserve">    custRow = Application.Match(acctNo, dbC.Columns(1), 0)</t>
        </is>
      </c>
    </row>
    <row r="332" ht="15" customHeight="1" s="341">
      <c r="A332" s="340" t="inlineStr">
        <is>
          <t xml:space="preserve">    If IsError(custRow) Then CheckMinBalance = False: Exit Function</t>
        </is>
      </c>
    </row>
    <row r="333" ht="15" customHeight="1" s="341">
      <c r="A333" s="340" t="inlineStr">
        <is>
          <t xml:space="preserve">    Dim curBal As Double: curBal = dbC.Cells(custRow, 14).Value</t>
        </is>
      </c>
    </row>
    <row r="334" ht="15" customHeight="1" s="341">
      <c r="A334" s="340" t="inlineStr">
        <is>
          <t xml:space="preserve">    CheckMinBalance = (curBal &gt; minBal)</t>
        </is>
      </c>
    </row>
    <row r="335" ht="15" customHeight="1" s="341">
      <c r="A335" s="340" t="inlineStr">
        <is>
          <t>End Function</t>
        </is>
      </c>
    </row>
    <row r="337" ht="15" customHeight="1" s="341">
      <c r="A337" s="340" t="inlineStr">
        <is>
          <t>Function GetWithdrawableBalance(acctNo As String) As Double</t>
        </is>
      </c>
    </row>
    <row r="338" ht="15" customHeight="1" s="341">
      <c r="A338" s="340" t="inlineStr">
        <is>
          <t xml:space="preserve">    Dim dbC As Worksheet: Set dbC = ThisWorkbook.Sheets("DB_Customers")</t>
        </is>
      </c>
    </row>
    <row r="339" ht="15" customHeight="1" s="341">
      <c r="A339" s="340" t="inlineStr">
        <is>
          <t xml:space="preserve">    Dim sc  As Worksheet: Set sc  = ThisWorkbook.Sheets("System_Config")</t>
        </is>
      </c>
    </row>
    <row r="340" ht="15" customHeight="1" s="341">
      <c r="A340" s="340" t="inlineStr">
        <is>
          <t xml:space="preserve">    Dim minBal As Double: minBal = sc.Range("B9").Value</t>
        </is>
      </c>
    </row>
    <row r="341" ht="15" customHeight="1" s="341">
      <c r="A341" s="340" t="inlineStr">
        <is>
          <t xml:space="preserve">    Dim custRow As Variant</t>
        </is>
      </c>
    </row>
    <row r="342" ht="15" customHeight="1" s="341">
      <c r="A342" s="340" t="inlineStr">
        <is>
          <t xml:space="preserve">    custRow = Application.Match(acctNo, dbC.Columns(1), 0)</t>
        </is>
      </c>
    </row>
    <row r="343" ht="15" customHeight="1" s="341">
      <c r="A343" s="340" t="inlineStr">
        <is>
          <t xml:space="preserve">    If IsError(custRow) Then GetWithdrawableBalance = 0: Exit Function</t>
        </is>
      </c>
    </row>
    <row r="344" ht="15" customHeight="1" s="341">
      <c r="A344" s="340" t="inlineStr">
        <is>
          <t xml:space="preserve">    Dim curBal As Double: curBal = dbC.Cells(custRow, 14).Value</t>
        </is>
      </c>
    </row>
    <row r="345" ht="15" customHeight="1" s="341">
      <c r="A345" s="340" t="inlineStr">
        <is>
          <t xml:space="preserve">    GetWithdrawableBalance = Application.WorksheetFunction.Max(0, curBal - minBal)</t>
        </is>
      </c>
    </row>
    <row r="346" ht="15" customHeight="1" s="341">
      <c r="A346" s="340" t="inlineStr">
        <is>
          <t>End Function</t>
        </is>
      </c>
    </row>
    <row r="348" ht="15" customHeight="1" s="341">
      <c r="A348" s="340" t="inlineStr">
        <is>
          <t>' ─── UPGRADED WITHDRAWAL — enforces GHC 10 floor ─────────────────────────</t>
        </is>
      </c>
    </row>
    <row r="349" ht="15" customHeight="1" s="341">
      <c r="A349" s="340" t="inlineStr">
        <is>
          <t>Sub SaveWithdrawalRow_V3()</t>
        </is>
      </c>
    </row>
    <row r="350" ht="15" customHeight="1" s="341">
      <c r="A350" s="340" t="inlineStr">
        <is>
          <t xml:space="preserve">    Dim ws As Worksheet: Set ws = ActiveSheet</t>
        </is>
      </c>
    </row>
    <row r="351" ht="15" customHeight="1" s="341">
      <c r="A351" s="340" t="inlineStr">
        <is>
          <t xml:space="preserve">    Dim dbW As Worksheet: Set dbW = ThisWorkbook.Sheets("DB_Withdrawals")</t>
        </is>
      </c>
    </row>
    <row r="352" ht="15" customHeight="1" s="341">
      <c r="A352" s="340" t="inlineStr">
        <is>
          <t xml:space="preserve">    Dim dbC As Worksheet: Set dbC = ThisWorkbook.Sheets("DB_Customers")</t>
        </is>
      </c>
    </row>
    <row r="353" ht="15" customHeight="1" s="341">
      <c r="A353" s="340" t="inlineStr">
        <is>
          <t xml:space="preserve">    Dim sc  As Worksheet: Set sc  = ThisWorkbook.Sheets("System_Config")</t>
        </is>
      </c>
    </row>
    <row r="354" ht="15" customHeight="1" s="341">
      <c r="A354" s="340" t="inlineStr">
        <is>
          <t xml:space="preserve">    Dim minBal As Double: minBal = sc.Range("B9").Value  ' GHC 10</t>
        </is>
      </c>
    </row>
    <row r="356" ht="15" customHeight="1" s="341">
      <c r="A356" s="340" t="inlineStr">
        <is>
          <t xml:space="preserve">    Dim entryRow As Long: entryRow = 0</t>
        </is>
      </c>
    </row>
    <row r="357" ht="15" customHeight="1" s="341">
      <c r="A357" s="340" t="inlineStr">
        <is>
          <t xml:space="preserve">    Dim r As Long</t>
        </is>
      </c>
    </row>
    <row r="358" ht="15" customHeight="1" s="341">
      <c r="A358" s="340" t="inlineStr">
        <is>
          <t xml:space="preserve">    For r = 9 To 208</t>
        </is>
      </c>
    </row>
    <row r="359" ht="15" customHeight="1" s="341">
      <c r="A359" s="340" t="inlineStr">
        <is>
          <t xml:space="preserve">        If ws.Cells(r, 1).Value &lt;&gt; "" And ws.Cells(r, 5).Value &lt;&gt; "" _</t>
        </is>
      </c>
    </row>
    <row r="360" ht="15" customHeight="1" s="341">
      <c r="A360" s="340" t="inlineStr">
        <is>
          <t xml:space="preserve">           And ws.Cells(r, 5).Value &gt; 0 Then</t>
        </is>
      </c>
    </row>
    <row r="361" ht="15" customHeight="1" s="341">
      <c r="A361" s="340" t="inlineStr">
        <is>
          <t xml:space="preserve">            entryRow = r: Exit For</t>
        </is>
      </c>
    </row>
    <row r="362" ht="15" customHeight="1" s="341">
      <c r="A362" s="340" t="inlineStr">
        <is>
          <t xml:space="preserve">        End If</t>
        </is>
      </c>
    </row>
    <row r="363" ht="15" customHeight="1" s="341">
      <c r="A363" s="340" t="inlineStr">
        <is>
          <t xml:space="preserve">    Next r</t>
        </is>
      </c>
    </row>
    <row r="364" ht="15" customHeight="1" s="341">
      <c r="A364" s="340" t="inlineStr">
        <is>
          <t xml:space="preserve">    If entryRow = 0 Then MsgBox "No entry found.", vbExclamation: Exit Sub</t>
        </is>
      </c>
    </row>
    <row r="366" ht="15" customHeight="1" s="341">
      <c r="A366" s="340" t="inlineStr">
        <is>
          <t xml:space="preserve">    Dim acct   As String: acct   = CStr(ws.Cells(entryRow, 1).Value)</t>
        </is>
      </c>
    </row>
    <row r="367" ht="15" customHeight="1" s="341">
      <c r="A367" s="340" t="inlineStr">
        <is>
          <t xml:space="preserve">    Dim wamt   As Double: wamt   = ws.Cells(entryRow, 5).Value</t>
        </is>
      </c>
    </row>
    <row r="368" ht="15" customHeight="1" s="341">
      <c r="A368" s="340" t="inlineStr">
        <is>
          <t xml:space="preserve">    Dim authBy As String: authBy = CStr(ws.Cells(entryRow, 6).Value)</t>
        </is>
      </c>
    </row>
    <row r="369" ht="15" customHeight="1" s="341">
      <c r="A369" s="340" t="inlineStr">
        <is>
          <t xml:space="preserve">    Dim agt    As String: agt    = CStr(ws.Cells(entryRow, 8).Value)</t>
        </is>
      </c>
    </row>
    <row r="371" ht="15" customHeight="1" s="341">
      <c r="A371" s="340" t="inlineStr">
        <is>
          <t xml:space="preserve">    Dim custRow As Variant</t>
        </is>
      </c>
    </row>
    <row r="372" ht="15" customHeight="1" s="341">
      <c r="A372" s="340" t="inlineStr">
        <is>
          <t xml:space="preserve">    custRow = Application.Match(acct, dbC.Columns(1), 0)</t>
        </is>
      </c>
    </row>
    <row r="373" ht="15" customHeight="1" s="341">
      <c r="A373" s="340" t="inlineStr">
        <is>
          <t xml:space="preserve">    If IsError(custRow) Then MsgBox "Account not found!", vbCritical: Exit Sub</t>
        </is>
      </c>
    </row>
    <row r="375" ht="15" customHeight="1" s="341">
      <c r="A375" s="340" t="inlineStr">
        <is>
          <t xml:space="preserve">    Dim curBal      As Double: curBal      = dbC.Cells(custRow, 14).Value</t>
        </is>
      </c>
    </row>
    <row r="376" ht="15" customHeight="1" s="341">
      <c r="A376" s="340" t="inlineStr">
        <is>
          <t xml:space="preserve">    Dim withdrawable As Double: withdrawable = Application.WorksheetFunction.Max(0, curBal - minBal)</t>
        </is>
      </c>
    </row>
    <row r="377" ht="15" customHeight="1" s="341">
      <c r="A377" s="340" t="inlineStr">
        <is>
          <t xml:space="preserve">    Dim status  As String</t>
        </is>
      </c>
    </row>
    <row r="378" ht="15" customHeight="1" s="341">
      <c r="A378" s="340" t="inlineStr">
        <is>
          <t xml:space="preserve">    Dim newBal  As Double</t>
        </is>
      </c>
    </row>
    <row r="380" ht="15" customHeight="1" s="341">
      <c r="A380" s="340" t="inlineStr">
        <is>
          <t xml:space="preserve">    ' ── MINIMUM BALANCE CHECK (V3 rule) ──────────────────────────────────</t>
        </is>
      </c>
    </row>
    <row r="381" ht="15" customHeight="1" s="341">
      <c r="A381" s="340" t="inlineStr">
        <is>
          <t xml:space="preserve">    If wamt &gt; withdrawable Then</t>
        </is>
      </c>
    </row>
    <row r="382" ht="15" customHeight="1" s="341">
      <c r="A382" s="340" t="inlineStr">
        <is>
          <t xml:space="preserve">        Dim msg As String</t>
        </is>
      </c>
    </row>
    <row r="383" ht="15" customHeight="1" s="341">
      <c r="A383" s="340" t="inlineStr">
        <is>
          <t xml:space="preserve">        msg = "⛔ WITHDRAWAL BLOCKED — Minimum Balance Rule" &amp; vbCrLf &amp; vbCrLf &amp; _</t>
        </is>
      </c>
    </row>
    <row r="384" ht="15" customHeight="1" s="341">
      <c r="A384" s="340" t="inlineStr">
        <is>
          <t xml:space="preserve">              "Current Balance:    GHC " &amp; Format(curBal, "#,##0.00") &amp; vbCrLf &amp; _</t>
        </is>
      </c>
    </row>
    <row r="385" ht="15" customHeight="1" s="341">
      <c r="A385" s="340" t="inlineStr">
        <is>
          <t xml:space="preserve">              "Minimum Balance:    GHC " &amp; Format(minBal, "#,##0.00") &amp; vbCrLf &amp; _</t>
        </is>
      </c>
    </row>
    <row r="386" ht="15" customHeight="1" s="341">
      <c r="A386" s="340" t="inlineStr">
        <is>
          <t xml:space="preserve">              "Available to Withdraw: GHC " &amp; Format(withdrawable, "#,##0.00") &amp; vbCrLf &amp; _</t>
        </is>
      </c>
    </row>
    <row r="387" ht="15" customHeight="1" s="341">
      <c r="A387" s="340" t="inlineStr">
        <is>
          <t xml:space="preserve">              "Requested Amount:   GHC " &amp; Format(wamt, "#,##0.00") &amp; vbCrLf &amp; vbCrLf &amp; _</t>
        </is>
      </c>
    </row>
    <row r="388" ht="15" customHeight="1" s="341">
      <c r="A388" s="340" t="inlineStr">
        <is>
          <t xml:space="preserve">              "GHC " &amp; Format(minBal, "0.00") &amp; " minimum balance must be maintained at all times." &amp; vbCrLf &amp; _</t>
        </is>
      </c>
    </row>
    <row r="389" ht="15" customHeight="1" s="341">
      <c r="A389" s="340" t="inlineStr">
        <is>
          <t xml:space="preserve">              "Maximum you can withdraw: GHC " &amp; Format(withdrawable, "#,##0.00")</t>
        </is>
      </c>
    </row>
    <row r="390" ht="15" customHeight="1" s="341">
      <c r="A390" s="340" t="inlineStr">
        <is>
          <t xml:space="preserve">        MsgBox msg, vbCritical, "Minimum Balance Protection"</t>
        </is>
      </c>
    </row>
    <row r="392" ht="15" customHeight="1" s="341">
      <c r="A392" s="340" t="inlineStr">
        <is>
          <t xml:space="preserve">        ' Log the blocked attempt</t>
        </is>
      </c>
    </row>
    <row r="393" ht="15" customHeight="1" s="341">
      <c r="A393" s="340" t="inlineStr">
        <is>
          <t xml:space="preserve">        LogAudit "WITHDRAWAL_BLOCKED_MINBAL", _</t>
        </is>
      </c>
    </row>
    <row r="394" ht="15" customHeight="1" s="341">
      <c r="A394" s="340" t="inlineStr">
        <is>
          <t xml:space="preserve">            "Account: " &amp; acct &amp; " | Requested: GHC " &amp; wamt &amp; _</t>
        </is>
      </c>
    </row>
    <row r="395" ht="15" customHeight="1" s="341">
      <c r="A395" s="340" t="inlineStr">
        <is>
          <t xml:space="preserve">            " | Withdrawable: GHC " &amp; withdrawable &amp; " | Agent: " &amp; agt</t>
        </is>
      </c>
    </row>
    <row r="396" ht="15" customHeight="1" s="341">
      <c r="A396" s="340" t="inlineStr">
        <is>
          <t xml:space="preserve">        Exit Sub</t>
        </is>
      </c>
    </row>
    <row r="397" ht="15" customHeight="1" s="341">
      <c r="A397" s="340" t="inlineStr">
        <is>
          <t xml:space="preserve">    End If</t>
        </is>
      </c>
    </row>
    <row r="399" ht="15" customHeight="1" s="341">
      <c r="A399" s="340" t="inlineStr">
        <is>
          <t xml:space="preserve">    ' ── NORMAL BALANCE CHECK ─────────────────────────────────────────────</t>
        </is>
      </c>
    </row>
    <row r="400" ht="15" customHeight="1" s="341">
      <c r="A400" s="340" t="inlineStr">
        <is>
          <t xml:space="preserve">    If curBal &gt;= wamt + minBal Then</t>
        </is>
      </c>
    </row>
    <row r="401" ht="15" customHeight="1" s="341">
      <c r="A401" s="340" t="inlineStr">
        <is>
          <t xml:space="preserve">        status = "Successful": newBal = curBal - wamt</t>
        </is>
      </c>
    </row>
    <row r="402" ht="15" customHeight="1" s="341">
      <c r="A402" s="340" t="inlineStr">
        <is>
          <t xml:space="preserve">    Else</t>
        </is>
      </c>
    </row>
    <row r="403" ht="15" customHeight="1" s="341">
      <c r="A403" s="340" t="inlineStr">
        <is>
          <t xml:space="preserve">        ' This branch only reached if wamt &lt;= withdrawable but something edge-cased</t>
        </is>
      </c>
    </row>
    <row r="404" ht="15" customHeight="1" s="341">
      <c r="A404" s="340" t="inlineStr">
        <is>
          <t xml:space="preserve">        status = "Successful": newBal = curBal - wamt</t>
        </is>
      </c>
    </row>
    <row r="405" ht="15" customHeight="1" s="341">
      <c r="A405" s="340" t="inlineStr">
        <is>
          <t xml:space="preserve">    End If</t>
        </is>
      </c>
    </row>
    <row r="407" ht="15" customHeight="1" s="341">
      <c r="A407" s="340" t="inlineStr">
        <is>
          <t xml:space="preserve">    Dim lr As Long: lr = dbW.Cells(Rows.Count, 1).End(xlUp).Row + 1</t>
        </is>
      </c>
    </row>
    <row r="408" ht="15" customHeight="1" s="341">
      <c r="A408" s="340" t="inlineStr">
        <is>
          <t xml:space="preserve">    dbW.Cells(lr, 1).Value  = lr - 3</t>
        </is>
      </c>
    </row>
    <row r="409" ht="15" customHeight="1" s="341">
      <c r="A409" s="340" t="inlineStr">
        <is>
          <t xml:space="preserve">    dbW.Cells(lr, 2).Value  = "WDR" &amp; Format(Now, "YYYYMMDDHHMMSS")</t>
        </is>
      </c>
    </row>
    <row r="410" ht="15" customHeight="1" s="341">
      <c r="A410" s="340" t="inlineStr">
        <is>
          <t xml:space="preserve">    dbW.Cells(lr, 3).Value  = acct</t>
        </is>
      </c>
    </row>
    <row r="411" ht="15" customHeight="1" s="341">
      <c r="A411" s="340" t="inlineStr">
        <is>
          <t xml:space="preserve">    dbW.Cells(lr, 4).Value  = dbC.Cells(custRow, 4).Value</t>
        </is>
      </c>
    </row>
    <row r="412" ht="15" customHeight="1" s="341">
      <c r="A412" s="340" t="inlineStr">
        <is>
          <t xml:space="preserve">    dbW.Cells(lr, 5).Value  = curBal</t>
        </is>
      </c>
    </row>
    <row r="413" ht="15" customHeight="1" s="341">
      <c r="A413" s="340" t="inlineStr">
        <is>
          <t xml:space="preserve">    dbW.Cells(lr, 6).Value  = Date</t>
        </is>
      </c>
    </row>
    <row r="414" ht="15" customHeight="1" s="341">
      <c r="A414" s="340" t="inlineStr">
        <is>
          <t xml:space="preserve">    dbW.Cells(lr, 7).Value  = wamt</t>
        </is>
      </c>
    </row>
    <row r="415" ht="15" customHeight="1" s="341">
      <c r="A415" s="340" t="inlineStr">
        <is>
          <t xml:space="preserve">    dbW.Cells(lr, 8).Value  = authBy</t>
        </is>
      </c>
    </row>
    <row r="416" ht="15" customHeight="1" s="341">
      <c r="A416" s="340" t="inlineStr">
        <is>
          <t xml:space="preserve">    dbW.Cells(lr, 9).Value  = newBal</t>
        </is>
      </c>
    </row>
    <row r="417" ht="15" customHeight="1" s="341">
      <c r="A417" s="340" t="inlineStr">
        <is>
          <t xml:space="preserve">    dbW.Cells(lr, 10).Value = agt</t>
        </is>
      </c>
    </row>
    <row r="418" ht="15" customHeight="1" s="341">
      <c r="A418" s="340" t="inlineStr">
        <is>
          <t xml:space="preserve">    dbW.Cells(lr, 11).Value = status</t>
        </is>
      </c>
    </row>
    <row r="419" ht="15" customHeight="1" s="341">
      <c r="A419" s="340" t="inlineStr">
        <is>
          <t xml:space="preserve">    dbW.Cells(lr, 12).Value = Format(Now, "YYYY-MM-DD HH:MM:SS")</t>
        </is>
      </c>
    </row>
    <row r="420" ht="15" customHeight="1" s="341">
      <c r="A420" s="340" t="inlineStr">
        <is>
          <t xml:space="preserve">    dbW.Cells(lr, 13).Value = withdrawable          ' Withdrawable_Before</t>
        </is>
      </c>
    </row>
    <row r="421" ht="15" customHeight="1" s="341">
      <c r="A421" s="340" t="inlineStr">
        <is>
          <t xml:space="preserve">    dbW.Cells(lr, 14).Value = "✅ COMPLIANT"         ' Min_Bal_OK</t>
        </is>
      </c>
    </row>
    <row r="422" ht="15" customHeight="1" s="341">
      <c r="A422" s="340" t="inlineStr">
        <is>
          <t xml:space="preserve">    dbW.Cells(lr, 15).Value = "LOCKED"               ' Lock_Status</t>
        </is>
      </c>
    </row>
    <row r="424" ht="15" customHeight="1" s="341">
      <c r="A424" s="340" t="inlineStr">
        <is>
          <t xml:space="preserve">    ws.Cells(entryRow, 1).ClearContents</t>
        </is>
      </c>
    </row>
    <row r="425" ht="15" customHeight="1" s="341">
      <c r="A425" s="340" t="inlineStr">
        <is>
          <t xml:space="preserve">    ws.Cells(entryRow, 5).ClearContents</t>
        </is>
      </c>
    </row>
    <row r="427" ht="15" customHeight="1" s="341">
      <c r="A427" s="340" t="inlineStr">
        <is>
          <t xml:space="preserve">    LogAudit "WITHDRAWAL_" &amp; UCase(status), _</t>
        </is>
      </c>
    </row>
    <row r="428" ht="15" customHeight="1" s="341">
      <c r="A428" s="340" t="inlineStr">
        <is>
          <t xml:space="preserve">        "Account: " &amp; acct &amp; " | Amount: GHC " &amp; wamt &amp; _</t>
        </is>
      </c>
    </row>
    <row r="429" ht="15" customHeight="1" s="341">
      <c r="A429" s="340" t="inlineStr">
        <is>
          <t xml:space="preserve">        " | Balance After: GHC " &amp; newBal &amp; " | Min Retained: GHC " &amp; minBal</t>
        </is>
      </c>
    </row>
    <row r="431" ht="15" customHeight="1" s="341">
      <c r="A431" s="340" t="inlineStr">
        <is>
          <t xml:space="preserve">    MsgBox "✅ Withdrawal SUCCESSFUL!" &amp; vbCrLf &amp; vbCrLf &amp; _</t>
        </is>
      </c>
    </row>
    <row r="432" ht="15" customHeight="1" s="341">
      <c r="A432" s="340" t="inlineStr">
        <is>
          <t xml:space="preserve">           "Amount:          GHC " &amp; Format(wamt, "#,##0.00") &amp; vbCrLf &amp; _</t>
        </is>
      </c>
    </row>
    <row r="433" ht="15" customHeight="1" s="341">
      <c r="A433" s="340" t="inlineStr">
        <is>
          <t xml:space="preserve">           "New Balance:     GHC " &amp; Format(newBal, "#,##0.00") &amp; vbCrLf &amp; _</t>
        </is>
      </c>
    </row>
    <row r="434" ht="15" customHeight="1" s="341">
      <c r="A434" s="340" t="inlineStr">
        <is>
          <t xml:space="preserve">           "Reserved (Min):  GHC " &amp; Format(minBal, "#,##0.00"), _</t>
        </is>
      </c>
    </row>
    <row r="435" ht="15" customHeight="1" s="341">
      <c r="A435" s="340" t="inlineStr">
        <is>
          <t xml:space="preserve">           vbInformation, "Withdrawal Successful"</t>
        </is>
      </c>
    </row>
    <row r="436" ht="15" customHeight="1" s="341">
      <c r="A436" s="340" t="inlineStr">
        <is>
          <t>End Sub</t>
        </is>
      </c>
    </row>
    <row r="438" ht="15" customHeight="1" s="341">
      <c r="A438" s="340" t="inlineStr">
        <is>
          <t>' ─── UPGRADED ACCOUNT CREATION — optional ID, min GHC 10 ─────────────────</t>
        </is>
      </c>
    </row>
    <row r="439" ht="15" customHeight="1" s="341">
      <c r="A439" s="340" t="inlineStr">
        <is>
          <t>Sub CreateNewAccount_V3()</t>
        </is>
      </c>
    </row>
    <row r="440" ht="15" customHeight="1" s="341">
      <c r="A440" s="340" t="inlineStr">
        <is>
          <t xml:space="preserve">    Dim aoWS As Worksheet: Set aoWS = ThisWorkbook.Sheets("Account_Opening")</t>
        </is>
      </c>
    </row>
    <row r="441" ht="15" customHeight="1" s="341">
      <c r="A441" s="340" t="inlineStr">
        <is>
          <t xml:space="preserve">    Dim dbWS As Worksheet: Set dbWS = ThisWorkbook.Sheets("DB_Customers")</t>
        </is>
      </c>
    </row>
    <row r="442" ht="15" customHeight="1" s="341">
      <c r="A442" s="340" t="inlineStr">
        <is>
          <t xml:space="preserve">    Dim sc   As Worksheet: Set sc   = ThisWorkbook.Sheets("System_Config")</t>
        </is>
      </c>
    </row>
    <row r="444" ht="15" customHeight="1" s="341">
      <c r="A444" s="340" t="inlineStr">
        <is>
          <t xml:space="preserve">    Dim fn  As String: fn  = Trim(aoWS.Range("C5").Value)</t>
        </is>
      </c>
    </row>
    <row r="445" ht="15" customHeight="1" s="341">
      <c r="A445" s="340" t="inlineStr">
        <is>
          <t xml:space="preserve">    Dim ln  As String: ln  = Trim(aoWS.Range("C6").Value)</t>
        </is>
      </c>
    </row>
    <row r="446" ht="15" customHeight="1" s="341">
      <c r="A446" s="340" t="inlineStr">
        <is>
          <t xml:space="preserve">    Dim idt As String: idt = Trim(aoWS.Range("C7").Value)</t>
        </is>
      </c>
    </row>
    <row r="447" ht="15" customHeight="1" s="341">
      <c r="A447" s="340" t="inlineStr">
        <is>
          <t xml:space="preserve">    Dim idn As String: idn = Trim(aoWS.Range("C8").Value)</t>
        </is>
      </c>
    </row>
    <row r="448" ht="15" customHeight="1" s="341">
      <c r="A448" s="340" t="inlineStr">
        <is>
          <t xml:space="preserve">    Dim occ As String: occ = Trim(aoWS.Range("C9").Value)</t>
        </is>
      </c>
    </row>
    <row r="449" ht="15" customHeight="1" s="341">
      <c r="A449" s="340" t="inlineStr">
        <is>
          <t xml:space="preserve">    Dim agt As String: agt = Trim(aoWS.Range("C10").Value)</t>
        </is>
      </c>
    </row>
    <row r="450" ht="15" customHeight="1" s="341">
      <c r="A450" s="340" t="inlineStr">
        <is>
          <t xml:space="preserve">    Dim opb As Double: opb = aoWS.Range("C11").Value</t>
        </is>
      </c>
    </row>
    <row r="452" ht="15" customHeight="1" s="341">
      <c r="A452" s="340" t="inlineStr">
        <is>
          <t xml:space="preserve">    ' ── Mandatory field checks ────────────────────────────────────────────</t>
        </is>
      </c>
    </row>
    <row r="453" ht="15" customHeight="1" s="341">
      <c r="A453" s="340" t="inlineStr">
        <is>
          <t xml:space="preserve">    If fn = "" Or ln = "" Then</t>
        </is>
      </c>
    </row>
    <row r="454" ht="15" customHeight="1" s="341">
      <c r="A454" s="340" t="inlineStr">
        <is>
          <t xml:space="preserve">        MsgBox "First Name and Last Name are required!", vbExclamation: Exit Sub</t>
        </is>
      </c>
    </row>
    <row r="455" ht="15" customHeight="1" s="341">
      <c r="A455" s="340" t="inlineStr">
        <is>
          <t xml:space="preserve">    End If</t>
        </is>
      </c>
    </row>
    <row r="456" ht="15" customHeight="1" s="341">
      <c r="A456" s="340" t="inlineStr">
        <is>
          <t xml:space="preserve">    If agt = "" Then</t>
        </is>
      </c>
    </row>
    <row r="457" ht="15" customHeight="1" s="341">
      <c r="A457" s="340" t="inlineStr">
        <is>
          <t xml:space="preserve">        MsgBox "Please assign an Agent!", vbExclamation: Exit Sub</t>
        </is>
      </c>
    </row>
    <row r="458" ht="15" customHeight="1" s="341">
      <c r="A458" s="340" t="inlineStr">
        <is>
          <t xml:space="preserve">    End If</t>
        </is>
      </c>
    </row>
    <row r="460" ht="15" customHeight="1" s="341">
      <c r="A460" s="340" t="inlineStr">
        <is>
          <t xml:space="preserve">    ' ── Min balance check (ID is now OPTIONAL — V3 rule) ─────────────────</t>
        </is>
      </c>
    </row>
    <row r="461" ht="15" customHeight="1" s="341">
      <c r="A461" s="340" t="inlineStr">
        <is>
          <t xml:space="preserve">    Dim minBal As Double: minBal = sc.Range("B9").Value  ' GHC 10</t>
        </is>
      </c>
    </row>
    <row r="462" ht="15" customHeight="1" s="341">
      <c r="A462" s="340" t="inlineStr">
        <is>
          <t xml:space="preserve">    If opb &lt; minBal Then</t>
        </is>
      </c>
    </row>
    <row r="463" ht="15" customHeight="1" s="341">
      <c r="A463" s="340" t="inlineStr">
        <is>
          <t xml:space="preserve">        MsgBox "⛔ Opening Balance must be at least GHC " &amp; Format(minBal, "0.00") &amp; vbCrLf &amp; vbCrLf &amp; _</t>
        </is>
      </c>
    </row>
    <row r="464" ht="15" customHeight="1" s="341">
      <c r="A464" s="340" t="inlineStr">
        <is>
          <t xml:space="preserve">               "Entered: GHC " &amp; Format(opb, "0.00") &amp; vbCrLf &amp; _</t>
        </is>
      </c>
    </row>
    <row r="465" ht="15" customHeight="1" s="341">
      <c r="A465" s="340" t="inlineStr">
        <is>
          <t xml:space="preserve">               "Please enter GHC " &amp; Format(minBal, "0.00") &amp; " or more to open this account.", _</t>
        </is>
      </c>
    </row>
    <row r="466" ht="15" customHeight="1" s="341">
      <c r="A466" s="340" t="inlineStr">
        <is>
          <t xml:space="preserve">               vbCritical, "Minimum Opening Balance Required"</t>
        </is>
      </c>
    </row>
    <row r="467" ht="15" customHeight="1" s="341">
      <c r="A467" s="340" t="inlineStr">
        <is>
          <t xml:space="preserve">        Exit Sub</t>
        </is>
      </c>
    </row>
    <row r="468" ht="15" customHeight="1" s="341">
      <c r="A468" s="340" t="inlineStr">
        <is>
          <t xml:space="preserve">    End If</t>
        </is>
      </c>
    </row>
    <row r="470" ht="15" customHeight="1" s="341">
      <c r="A470" s="340" t="inlineStr">
        <is>
          <t xml:space="preserve">    ' ── ID optional — use placeholder if blank ────────────────────────────</t>
        </is>
      </c>
    </row>
    <row r="471" ht="15" customHeight="1" s="341">
      <c r="A471" s="340" t="inlineStr">
        <is>
          <t xml:space="preserve">    If idt = "" Then idt = "Not Provided"</t>
        </is>
      </c>
    </row>
    <row r="472" ht="15" customHeight="1" s="341">
      <c r="A472" s="340" t="inlineStr">
        <is>
          <t xml:space="preserve">    If idn = "" Or idn = "718982195-0" Then idn = "Not Provided"</t>
        </is>
      </c>
    </row>
    <row r="474" ht="15" customHeight="1" s="341">
      <c r="A474" s="340" t="inlineStr">
        <is>
          <t xml:space="preserve">    Dim newAcct As String: newAcct = GenAcctNo()</t>
        </is>
      </c>
    </row>
    <row r="475" ht="15" customHeight="1" s="341">
      <c r="A475" s="340" t="inlineStr">
        <is>
          <t xml:space="preserve">    Dim lr As Long: lr = dbWS.Cells(Rows.Count, 1).End(xlUp).Row + 1</t>
        </is>
      </c>
    </row>
    <row r="477" ht="15" customHeight="1" s="341">
      <c r="A477" s="340" t="inlineStr">
        <is>
          <t xml:space="preserve">    dbWS.Cells(lr, 1).Value  = newAcct</t>
        </is>
      </c>
    </row>
    <row r="478" ht="15" customHeight="1" s="341">
      <c r="A478" s="340" t="inlineStr">
        <is>
          <t xml:space="preserve">    dbWS.Cells(lr, 2).Value  = fn</t>
        </is>
      </c>
    </row>
    <row r="479" ht="15" customHeight="1" s="341">
      <c r="A479" s="340" t="inlineStr">
        <is>
          <t xml:space="preserve">    dbWS.Cells(lr, 3).Value  = ln</t>
        </is>
      </c>
    </row>
    <row r="480" ht="15" customHeight="1" s="341">
      <c r="A480" s="340" t="inlineStr">
        <is>
          <t xml:space="preserve">    dbWS.Cells(lr, 4).Value  = fn &amp; " " &amp; ln</t>
        </is>
      </c>
    </row>
    <row r="481" ht="15" customHeight="1" s="341">
      <c r="A481" s="340" t="inlineStr">
        <is>
          <t xml:space="preserve">    dbWS.Cells(lr, 5).Value  = idt</t>
        </is>
      </c>
    </row>
    <row r="482" ht="15" customHeight="1" s="341">
      <c r="A482" s="340" t="inlineStr">
        <is>
          <t xml:space="preserve">    dbWS.Cells(lr, 6).Value  = idn</t>
        </is>
      </c>
    </row>
    <row r="483" ht="15" customHeight="1" s="341">
      <c r="A483" s="340" t="inlineStr">
        <is>
          <t xml:space="preserve">    dbWS.Cells(lr, 7).Value  = occ</t>
        </is>
      </c>
    </row>
    <row r="484" ht="15" customHeight="1" s="341">
      <c r="A484" s="340" t="inlineStr">
        <is>
          <t xml:space="preserve">    dbWS.Cells(lr, 8).Value  = agt</t>
        </is>
      </c>
    </row>
    <row r="485" ht="15" customHeight="1" s="341">
      <c r="A485" s="340" t="inlineStr">
        <is>
          <t xml:space="preserve">    dbWS.Cells(lr, 9).Value  = opb</t>
        </is>
      </c>
    </row>
    <row r="486" ht="15" customHeight="1" s="341">
      <c r="A486" s="340" t="inlineStr">
        <is>
          <t xml:space="preserve">    dbWS.Cells(lr, 10).Value = Date</t>
        </is>
      </c>
    </row>
    <row r="487" ht="15" customHeight="1" s="341">
      <c r="A487" s="340" t="inlineStr">
        <is>
          <t xml:space="preserve">    dbWS.Cells(lr, 11).Value = "Active"</t>
        </is>
      </c>
    </row>
    <row r="488" ht="15" customHeight="1" s="341">
      <c r="A488" s="340" t="inlineStr">
        <is>
          <t xml:space="preserve">    dbWS.Cells(lr, 12).Formula = "=SUMIF(DB_Savings!$C:$C,A" &amp; lr &amp; ",DB_Savings!$F:$F)"</t>
        </is>
      </c>
    </row>
    <row r="489" ht="15" customHeight="1" s="341">
      <c r="A489" s="340" t="inlineStr">
        <is>
          <t xml:space="preserve">    dbWS.Cells(lr, 13).Formula = "=SUMIF(DB_Withdrawals!$C:$C,A" &amp; lr &amp; ",DB_Withdrawals!$G:$G)"</t>
        </is>
      </c>
    </row>
    <row r="490" ht="15" customHeight="1" s="341">
      <c r="A490" s="340" t="inlineStr">
        <is>
          <t xml:space="preserve">    dbWS.Cells(lr, 14).Formula = "=I" &amp; lr &amp; "+L" &amp; lr &amp; "-M" &amp; lr</t>
        </is>
      </c>
    </row>
    <row r="491" ht="15" customHeight="1" s="341">
      <c r="A491" s="340" t="inlineStr">
        <is>
          <t xml:space="preserve">    dbWS.Cells(lr, 15).Value  = True    ' Min_Balance_Flag</t>
        </is>
      </c>
    </row>
    <row r="492" ht="15" customHeight="1" s="341">
      <c r="A492" s="340" t="inlineStr">
        <is>
          <t xml:space="preserve">    dbWS.Cells(lr, 16).Formula = "=MAX(0,N" &amp; lr &amp; "-System_Config!$B$9)"</t>
        </is>
      </c>
    </row>
    <row r="494" ht="15" customHeight="1" s="341">
      <c r="A494" s="340" t="inlineStr">
        <is>
          <t xml:space="preserve">    LogAudit "ACCOUNT_CREATED_V3", _</t>
        </is>
      </c>
    </row>
    <row r="495" ht="15" customHeight="1" s="341">
      <c r="A495" s="340" t="inlineStr">
        <is>
          <t xml:space="preserve">        "New: " &amp; newAcct &amp; " | " &amp; fn &amp; " " &amp; ln &amp; " | Agent: " &amp; agt &amp; _</t>
        </is>
      </c>
    </row>
    <row r="496" ht="15" customHeight="1" s="341">
      <c r="A496" s="340" t="inlineStr">
        <is>
          <t xml:space="preserve">        " | OpenBal: GHC " &amp; opb &amp; " | ID: " &amp; idt</t>
        </is>
      </c>
    </row>
    <row r="498" ht="15" customHeight="1" s="341">
      <c r="A498" s="340" t="inlineStr">
        <is>
          <t xml:space="preserve">    MsgBox "✅ Account Created Successfully!" &amp; vbCrLf &amp; vbCrLf &amp; _</t>
        </is>
      </c>
    </row>
    <row r="499" ht="15" customHeight="1" s="341">
      <c r="A499" s="340" t="inlineStr">
        <is>
          <t xml:space="preserve">           "Account Number: " &amp; newAcct &amp; vbCrLf &amp; _</t>
        </is>
      </c>
    </row>
    <row r="500" ht="15" customHeight="1" s="341">
      <c r="A500" s="340" t="inlineStr">
        <is>
          <t xml:space="preserve">           "Customer:       " &amp; fn &amp; " " &amp; ln &amp; vbCrLf &amp; _</t>
        </is>
      </c>
    </row>
    <row r="501" ht="15" customHeight="1" s="341">
      <c r="A501" s="340" t="inlineStr">
        <is>
          <t xml:space="preserve">           "Agent:          " &amp; agt &amp; vbCrLf &amp; _</t>
        </is>
      </c>
    </row>
    <row r="502" ht="15" customHeight="1" s="341">
      <c r="A502" s="340" t="inlineStr">
        <is>
          <t xml:space="preserve">           "Opening Balance: GHC " &amp; Format(opb, "#,##0.00") &amp; vbCrLf &amp; _</t>
        </is>
      </c>
    </row>
    <row r="503" ht="15" customHeight="1" s="341">
      <c r="A503" s="340" t="inlineStr">
        <is>
          <t xml:space="preserve">           "Min Reserved:   GHC " &amp; Format(minBal, "0.00"), _</t>
        </is>
      </c>
    </row>
    <row r="504" ht="15" customHeight="1" s="341">
      <c r="A504" s="340" t="inlineStr">
        <is>
          <t xml:space="preserve">           vbInformation, "Account Created"</t>
        </is>
      </c>
    </row>
    <row r="506" ht="15" customHeight="1" s="341">
      <c r="A506" s="340" t="inlineStr">
        <is>
          <t xml:space="preserve">    aoWS.Range("C5:C11").ClearContents</t>
        </is>
      </c>
    </row>
    <row r="507" ht="15" customHeight="1" s="341">
      <c r="A507" s="340" t="inlineStr">
        <is>
          <t xml:space="preserve">    aoWS.Range("C7").Value = ""</t>
        </is>
      </c>
    </row>
    <row r="508" ht="15" customHeight="1" s="341">
      <c r="A508" s="340" t="inlineStr">
        <is>
          <t xml:space="preserve">    aoWS.Range("C8").Value = ""</t>
        </is>
      </c>
    </row>
    <row r="509" ht="15" customHeight="1" s="341">
      <c r="A509" s="340" t="inlineStr">
        <is>
          <t xml:space="preserve">    aoWS.Range("C11").Value = 0</t>
        </is>
      </c>
    </row>
    <row r="510" ht="15" customHeight="1" s="341">
      <c r="A510" s="340" t="inlineStr">
        <is>
          <t>End Sub</t>
        </is>
      </c>
    </row>
    <row r="512" ht="15" customHeight="1" s="341">
      <c r="A512" s="340" t="inlineStr">
        <is>
          <t>' ─── RATE VALIDATION (for Loan sheets) ────────────────────────────────────</t>
        </is>
      </c>
    </row>
    <row r="513" ht="15" customHeight="1" s="341">
      <c r="A513" s="340" t="inlineStr">
        <is>
          <t>' Call on Change event of Rate cell in loan forms</t>
        </is>
      </c>
    </row>
    <row r="514" ht="15" customHeight="1" s="341">
      <c r="A514" s="340" t="inlineStr">
        <is>
          <t>Function ValidateRateInput(rateCell As Range) As Boolean</t>
        </is>
      </c>
    </row>
    <row r="515" ht="15" customHeight="1" s="341">
      <c r="A515" s="340" t="inlineStr">
        <is>
          <t xml:space="preserve">    Dim val As Variant: val = rateCell.Value</t>
        </is>
      </c>
    </row>
    <row r="516" ht="15" customHeight="1" s="341">
      <c r="A516" s="340" t="inlineStr">
        <is>
          <t xml:space="preserve">    ValidateRateInput = False</t>
        </is>
      </c>
    </row>
    <row r="517" ht="15" customHeight="1" s="341">
      <c r="A517" s="340" t="inlineStr">
        <is>
          <t xml:space="preserve">    If IsNumeric(val) Then</t>
        </is>
      </c>
    </row>
    <row r="518" ht="15" customHeight="1" s="341">
      <c r="A518" s="340" t="inlineStr">
        <is>
          <t xml:space="preserve">        If CDbl(val) &gt;= 0 And CDbl(val) &lt;= 100 Then</t>
        </is>
      </c>
    </row>
    <row r="519" ht="15" customHeight="1" s="341">
      <c r="A519" s="340" t="inlineStr">
        <is>
          <t xml:space="preserve">            ValidateRateInput = True</t>
        </is>
      </c>
    </row>
    <row r="520" ht="15" customHeight="1" s="341">
      <c r="A520" s="340" t="inlineStr">
        <is>
          <t xml:space="preserve">        Else</t>
        </is>
      </c>
    </row>
    <row r="521" ht="15" customHeight="1" s="341">
      <c r="A521" s="340" t="inlineStr">
        <is>
          <t xml:space="preserve">            MsgBox "Rate must be between 0 and 100." &amp; vbCrLf &amp; _</t>
        </is>
      </c>
    </row>
    <row r="522" ht="15" customHeight="1" s="341">
      <c r="A522" s="340" t="inlineStr">
        <is>
          <t xml:space="preserve">                   "Enter as PERCENTAGE (e.g. 2.5 for 2.5%)." &amp; vbCrLf &amp; _</t>
        </is>
      </c>
    </row>
    <row r="523" ht="15" customHeight="1" s="341">
      <c r="A523" s="340" t="inlineStr">
        <is>
          <t xml:space="preserve">                   "NEVER enter GHC amount in rate field.", _</t>
        </is>
      </c>
    </row>
    <row r="524" ht="15" customHeight="1" s="341">
      <c r="A524" s="340" t="inlineStr">
        <is>
          <t xml:space="preserve">                   vbExclamation, "Invalid Rate Format"</t>
        </is>
      </c>
    </row>
    <row r="525" ht="15" customHeight="1" s="341">
      <c r="A525" s="340" t="inlineStr">
        <is>
          <t xml:space="preserve">        End If</t>
        </is>
      </c>
    </row>
    <row r="526" ht="15" customHeight="1" s="341">
      <c r="A526" s="340" t="inlineStr">
        <is>
          <t xml:space="preserve">    Else</t>
        </is>
      </c>
    </row>
    <row r="527" ht="15" customHeight="1" s="341">
      <c r="A527" s="340" t="inlineStr">
        <is>
          <t xml:space="preserve">        MsgBox "Rate must be NUMERIC percentage only." &amp; vbCrLf &amp; _</t>
        </is>
      </c>
    </row>
    <row r="528" ht="15" customHeight="1" s="341">
      <c r="A528" s="340" t="inlineStr">
        <is>
          <t xml:space="preserve">               "Example: enter 2.5 for 2.5% per month." &amp; vbCrLf &amp; _</t>
        </is>
      </c>
    </row>
    <row r="529" ht="15" customHeight="1" s="341">
      <c r="A529" s="340" t="inlineStr">
        <is>
          <t xml:space="preserve">               "Do not include % symbol or GHC.", _</t>
        </is>
      </c>
    </row>
    <row r="530" ht="15" customHeight="1" s="341">
      <c r="A530" s="340" t="inlineStr">
        <is>
          <t xml:space="preserve">               vbExclamation, "Invalid Rate Format"</t>
        </is>
      </c>
    </row>
    <row r="531" ht="15" customHeight="1" s="341">
      <c r="A531" s="340" t="inlineStr">
        <is>
          <t xml:space="preserve">    End If</t>
        </is>
      </c>
    </row>
    <row r="532" ht="15" customHeight="1" s="341">
      <c r="A532" s="340" t="inlineStr">
        <is>
          <t>End Function</t>
        </is>
      </c>
    </row>
    <row r="534" ht="15" customHeight="1" s="341">
      <c r="A534" s="340" t="inlineStr">
        <is>
          <t>' ─── CONTROLLED REVERSAL / ERROR CORRECTION SYSTEM ───────────────────────</t>
        </is>
      </c>
    </row>
    <row r="535" ht="15" customHeight="1" s="341">
      <c r="A535" s="340" t="inlineStr">
        <is>
          <t>Sub CorrectTransaction()</t>
        </is>
      </c>
    </row>
    <row r="536" ht="15" customHeight="1" s="341">
      <c r="A536" s="340" t="inlineStr">
        <is>
          <t xml:space="preserve">    ' Step 1: Agent enters original Transaction ID</t>
        </is>
      </c>
    </row>
    <row r="537" ht="15" customHeight="1" s="341">
      <c r="A537" s="340" t="inlineStr">
        <is>
          <t xml:space="preserve">    Dim origTxnID As String</t>
        </is>
      </c>
    </row>
    <row r="538" ht="15" customHeight="1" s="341">
      <c r="A538" s="340" t="inlineStr">
        <is>
          <t xml:space="preserve">    origTxnID = InputBox("Enter ORIGINAL Transaction ID to correct:" &amp; vbCrLf &amp; _</t>
        </is>
      </c>
    </row>
    <row r="539" ht="15" customHeight="1" s="341">
      <c r="A539" s="340" t="inlineStr">
        <is>
          <t xml:space="preserve">                         "(e.g. SAV20260415143022 or WDR20260415143022)", _</t>
        </is>
      </c>
    </row>
    <row r="540" ht="15" customHeight="1" s="341">
      <c r="A540" s="340" t="inlineStr">
        <is>
          <t xml:space="preserve">                         "Error Correction — Right Mechanism")</t>
        </is>
      </c>
    </row>
    <row r="541" ht="15" customHeight="1" s="341">
      <c r="A541" s="340" t="inlineStr">
        <is>
          <t xml:space="preserve">    If origTxnID = "" Then Exit Sub</t>
        </is>
      </c>
    </row>
    <row r="543" ht="15" customHeight="1" s="341">
      <c r="A543" s="340" t="inlineStr">
        <is>
          <t xml:space="preserve">    ' Step 2: Find in DB_Savings or DB_Withdrawals</t>
        </is>
      </c>
    </row>
    <row r="544" ht="15" customHeight="1" s="341">
      <c r="A544" s="340" t="inlineStr">
        <is>
          <t xml:space="preserve">    Dim dbS As Worksheet: Set dbS = ThisWorkbook.Sheets("DB_Savings")</t>
        </is>
      </c>
    </row>
    <row r="545" ht="15" customHeight="1" s="341">
      <c r="A545" s="340" t="inlineStr">
        <is>
          <t xml:space="preserve">    Dim dbW As Worksheet: Set dbW = ThisWorkbook.Sheets("DB_Withdrawals")</t>
        </is>
      </c>
    </row>
    <row r="546" ht="15" customHeight="1" s="341">
      <c r="A546" s="340" t="inlineStr">
        <is>
          <t xml:space="preserve">    Dim dbC As Worksheet: Set dbC = ThisWorkbook.Sheets("DB_Customers")</t>
        </is>
      </c>
    </row>
    <row r="547" ht="15" customHeight="1" s="341">
      <c r="A547" s="340" t="inlineStr">
        <is>
          <t xml:space="preserve">    Dim dbCorr As Worksheet: Set dbCorr = ThisWorkbook.Sheets("DB_Corrections")</t>
        </is>
      </c>
    </row>
    <row r="548" ht="15" customHeight="1" s="341">
      <c r="A548" s="340" t="inlineStr">
        <is>
          <t xml:space="preserve">    Dim aLog As Worksheet: Set aLog = ThisWorkbook.Sheets("Audit_Log")</t>
        </is>
      </c>
    </row>
    <row r="550" ht="15" customHeight="1" s="341">
      <c r="A550" s="340" t="inlineStr">
        <is>
          <t xml:space="preserve">    Dim txnRow As Variant</t>
        </is>
      </c>
    </row>
    <row r="551" ht="15" customHeight="1" s="341">
      <c r="A551" s="340" t="inlineStr">
        <is>
          <t xml:space="preserve">    Dim txnSheet As Worksheet</t>
        </is>
      </c>
    </row>
    <row r="552" ht="15" customHeight="1" s="341">
      <c r="A552" s="340" t="inlineStr">
        <is>
          <t xml:space="preserve">    Dim txnType As String</t>
        </is>
      </c>
    </row>
    <row r="554" ht="15" customHeight="1" s="341">
      <c r="A554" s="340" t="inlineStr">
        <is>
          <t xml:space="preserve">    ' Search Savings</t>
        </is>
      </c>
    </row>
    <row r="555" ht="15" customHeight="1" s="341">
      <c r="A555" s="340" t="inlineStr">
        <is>
          <t xml:space="preserve">    txnRow = Application.Match(origTxnID, dbS.Columns(2), 0)</t>
        </is>
      </c>
    </row>
    <row r="556" ht="15" customHeight="1" s="341">
      <c r="A556" s="340" t="inlineStr">
        <is>
          <t xml:space="preserve">    If Not IsError(txnRow) Then</t>
        </is>
      </c>
    </row>
    <row r="557" ht="15" customHeight="1" s="341">
      <c r="A557" s="340" t="inlineStr">
        <is>
          <t xml:space="preserve">        Set txnSheet = dbS</t>
        </is>
      </c>
    </row>
    <row r="558" ht="15" customHeight="1" s="341">
      <c r="A558" s="340" t="inlineStr">
        <is>
          <t xml:space="preserve">        txnType = "SAVINGS"</t>
        </is>
      </c>
    </row>
    <row r="559" ht="15" customHeight="1" s="341">
      <c r="A559" s="340" t="inlineStr">
        <is>
          <t xml:space="preserve">    Else</t>
        </is>
      </c>
    </row>
    <row r="560" ht="15" customHeight="1" s="341">
      <c r="A560" s="340" t="inlineStr">
        <is>
          <t xml:space="preserve">        ' Search Withdrawals</t>
        </is>
      </c>
    </row>
    <row r="561" ht="15" customHeight="1" s="341">
      <c r="A561" s="340" t="inlineStr">
        <is>
          <t xml:space="preserve">        txnRow = Application.Match(origTxnID, dbW.Columns(2), 0)</t>
        </is>
      </c>
    </row>
    <row r="562" ht="15" customHeight="1" s="341">
      <c r="A562" s="340" t="inlineStr">
        <is>
          <t xml:space="preserve">        If Not IsError(txnRow) Then</t>
        </is>
      </c>
    </row>
    <row r="563" ht="15" customHeight="1" s="341">
      <c r="A563" s="340" t="inlineStr">
        <is>
          <t xml:space="preserve">            Set txnSheet = dbW</t>
        </is>
      </c>
    </row>
    <row r="564" ht="15" customHeight="1" s="341">
      <c r="A564" s="340" t="inlineStr">
        <is>
          <t xml:space="preserve">            txnType = "WITHDRAWAL"</t>
        </is>
      </c>
    </row>
    <row r="565" ht="15" customHeight="1" s="341">
      <c r="A565" s="340" t="inlineStr">
        <is>
          <t xml:space="preserve">        Else</t>
        </is>
      </c>
    </row>
    <row r="566" ht="15" customHeight="1" s="341">
      <c r="A566" s="340" t="inlineStr">
        <is>
          <t xml:space="preserve">            MsgBox "Transaction ID '" &amp; origTxnID &amp; "' not found in Savings or Withdrawals.", _</t>
        </is>
      </c>
    </row>
    <row r="567" ht="15" customHeight="1" s="341">
      <c r="A567" s="340" t="inlineStr">
        <is>
          <t xml:space="preserve">                   vbCritical, "Not Found"</t>
        </is>
      </c>
    </row>
    <row r="568" ht="15" customHeight="1" s="341">
      <c r="A568" s="340" t="inlineStr">
        <is>
          <t xml:space="preserve">            Exit Sub</t>
        </is>
      </c>
    </row>
    <row r="569" ht="15" customHeight="1" s="341">
      <c r="A569" s="340" t="inlineStr">
        <is>
          <t xml:space="preserve">        End If</t>
        </is>
      </c>
    </row>
    <row r="570" ht="15" customHeight="1" s="341">
      <c r="A570" s="340" t="inlineStr">
        <is>
          <t xml:space="preserve">    End If</t>
        </is>
      </c>
    </row>
    <row r="572" ht="15" customHeight="1" s="341">
      <c r="A572" s="340" t="inlineStr">
        <is>
          <t xml:space="preserve">    ' Step 3: Show original transaction details</t>
        </is>
      </c>
    </row>
    <row r="573" ht="15" customHeight="1" s="341">
      <c r="A573" s="340" t="inlineStr">
        <is>
          <t xml:space="preserve">    Dim origAcct  As String: origAcct  = CStr(txnSheet.Cells(txnRow, 3).Value)</t>
        </is>
      </c>
    </row>
    <row r="574" ht="15" customHeight="1" s="341">
      <c r="A574" s="340" t="inlineStr">
        <is>
          <t xml:space="preserve">    Dim origCust  As String: origCust  = CStr(txnSheet.Cells(txnRow, 4).Value)</t>
        </is>
      </c>
    </row>
    <row r="575" ht="15" customHeight="1" s="341">
      <c r="A575" s="340" t="inlineStr">
        <is>
          <t xml:space="preserve">    Dim origAmt   As Double: origAmt   = txnSheet.Cells(txnRow, 6).Value</t>
        </is>
      </c>
    </row>
    <row r="576" ht="15" customHeight="1" s="341">
      <c r="A576" s="340" t="inlineStr">
        <is>
          <t xml:space="preserve">    If txnType = "WITHDRAWAL" Then origAmt = txnSheet.Cells(txnRow, 7).Value</t>
        </is>
      </c>
    </row>
    <row r="577" ht="15" customHeight="1" s="341">
      <c r="A577" s="340" t="inlineStr">
        <is>
          <t xml:space="preserve">    Dim origDate  As String: origDate  = CStr(txnSheet.Cells(txnRow, 5).Value)</t>
        </is>
      </c>
    </row>
    <row r="578" ht="15" customHeight="1" s="341">
      <c r="A578" s="340" t="inlineStr">
        <is>
          <t xml:space="preserve">    Dim origAgent As String: origAgent = CStr(txnSheet.Cells(txnRow, 7).Value)</t>
        </is>
      </c>
    </row>
    <row r="579" ht="15" customHeight="1" s="341">
      <c r="A579" s="340" t="inlineStr">
        <is>
          <t xml:space="preserve">    If txnType = "WITHDRAWAL" Then origAgent = CStr(txnSheet.Cells(txnRow, 10).Value)</t>
        </is>
      </c>
    </row>
    <row r="581" ht="15" customHeight="1" s="341">
      <c r="A581" s="340" t="inlineStr">
        <is>
          <t xml:space="preserve">    Dim details As String</t>
        </is>
      </c>
    </row>
    <row r="582" ht="15" customHeight="1" s="341">
      <c r="A582" s="340" t="inlineStr">
        <is>
          <t xml:space="preserve">    details = "ORIGINAL TRANSACTION FOUND:" &amp; vbCrLf &amp; vbCrLf &amp; _</t>
        </is>
      </c>
    </row>
    <row r="583" ht="15" customHeight="1" s="341">
      <c r="A583" s="340" t="inlineStr">
        <is>
          <t xml:space="preserve">              "Transaction ID:  " &amp; origTxnID &amp; vbCrLf &amp; _</t>
        </is>
      </c>
    </row>
    <row r="584" ht="15" customHeight="1" s="341">
      <c r="A584" s="340" t="inlineStr">
        <is>
          <t xml:space="preserve">              "Type:            " &amp; txnType &amp; vbCrLf &amp; _</t>
        </is>
      </c>
    </row>
    <row r="585" ht="15" customHeight="1" s="341">
      <c r="A585" s="340" t="inlineStr">
        <is>
          <t xml:space="preserve">              "Account:         " &amp; origAcct &amp; vbCrLf &amp; _</t>
        </is>
      </c>
    </row>
    <row r="586" ht="15" customHeight="1" s="341">
      <c r="A586" s="340" t="inlineStr">
        <is>
          <t xml:space="preserve">              "Customer:        " &amp; origCust &amp; vbCrLf &amp; _</t>
        </is>
      </c>
    </row>
    <row r="587" ht="15" customHeight="1" s="341">
      <c r="A587" s="340" t="inlineStr">
        <is>
          <t xml:space="preserve">              "Amount:          GHC " &amp; Format(origAmt, "#,##0.00") &amp; vbCrLf &amp; _</t>
        </is>
      </c>
    </row>
    <row r="588" ht="15" customHeight="1" s="341">
      <c r="A588" s="340" t="inlineStr">
        <is>
          <t xml:space="preserve">              "Date:            " &amp; origDate &amp; vbCrLf &amp; _</t>
        </is>
      </c>
    </row>
    <row r="589" ht="15" customHeight="1" s="341">
      <c r="A589" s="340" t="inlineStr">
        <is>
          <t xml:space="preserve">              "Agent:           " &amp; origAgent &amp; vbCrLf &amp; vbCrLf &amp; _</t>
        </is>
      </c>
    </row>
    <row r="590" ht="15" customHeight="1" s="341">
      <c r="A590" s="340" t="inlineStr">
        <is>
          <t xml:space="preserve">              "Step 4: Enter the CORRECT amount to replace this with:"</t>
        </is>
      </c>
    </row>
    <row r="592" ht="15" customHeight="1" s="341">
      <c r="A592" s="340" t="inlineStr">
        <is>
          <t xml:space="preserve">    ' Step 4: Agent enters correct amount</t>
        </is>
      </c>
    </row>
    <row r="593" ht="15" customHeight="1" s="341">
      <c r="A593" s="340" t="inlineStr">
        <is>
          <t xml:space="preserve">    Dim corrAmtStr As String</t>
        </is>
      </c>
    </row>
    <row r="594" ht="15" customHeight="1" s="341">
      <c r="A594" s="340" t="inlineStr">
        <is>
          <t xml:space="preserve">    corrAmtStr = InputBox(details, "Right Mechanism — Enter Correct Amount")</t>
        </is>
      </c>
    </row>
    <row r="595" ht="15" customHeight="1" s="341">
      <c r="A595" s="340" t="inlineStr">
        <is>
          <t xml:space="preserve">    If corrAmtStr = "" Then Exit Sub</t>
        </is>
      </c>
    </row>
    <row r="596" ht="15" customHeight="1" s="341">
      <c r="A596" s="340" t="inlineStr">
        <is>
          <t xml:space="preserve">    If Not IsNumeric(corrAmtStr) Then</t>
        </is>
      </c>
    </row>
    <row r="597" ht="15" customHeight="1" s="341">
      <c r="A597" s="340" t="inlineStr">
        <is>
          <t xml:space="preserve">        MsgBox "Amount must be numeric.", vbExclamation: Exit Sub</t>
        </is>
      </c>
    </row>
    <row r="598" ht="15" customHeight="1" s="341">
      <c r="A598" s="340" t="inlineStr">
        <is>
          <t xml:space="preserve">    End If</t>
        </is>
      </c>
    </row>
    <row r="599" ht="15" customHeight="1" s="341">
      <c r="A599" s="340" t="inlineStr">
        <is>
          <t xml:space="preserve">    Dim corrAmt As Double: corrAmt = CDbl(corrAmtStr)</t>
        </is>
      </c>
    </row>
    <row r="601" ht="15" customHeight="1" s="341">
      <c r="A601" s="340" t="inlineStr">
        <is>
          <t xml:space="preserve">    ' Step 5: Get agent note</t>
        </is>
      </c>
    </row>
    <row r="602" ht="15" customHeight="1" s="341">
      <c r="A602" s="340" t="inlineStr">
        <is>
          <t xml:space="preserve">    Dim corrNote As String</t>
        </is>
      </c>
    </row>
    <row r="603" ht="15" customHeight="1" s="341">
      <c r="A603" s="340" t="inlineStr">
        <is>
          <t xml:space="preserve">    corrNote = InputBox("Enter reason/note for correction:", _</t>
        </is>
      </c>
    </row>
    <row r="604" ht="15" customHeight="1" s="341">
      <c r="A604" s="340" t="inlineStr">
        <is>
          <t xml:space="preserve">                        "Correction Note", "Wrong Transaction")</t>
        </is>
      </c>
    </row>
    <row r="605" ht="15" customHeight="1" s="341">
      <c r="A605" s="340" t="inlineStr">
        <is>
          <t xml:space="preserve">    If corrNote = "" Then corrNote = "Wrong Transaction"</t>
        </is>
      </c>
    </row>
    <row r="607" ht="15" customHeight="1" s="341">
      <c r="A607" s="340" t="inlineStr">
        <is>
          <t xml:space="preserve">    ' Step 6: Write to DB_Corrections with "Right Mechanism Applied" auto-note</t>
        </is>
      </c>
    </row>
    <row r="608" ht="15" customHeight="1" s="341">
      <c r="A608" s="340" t="inlineStr">
        <is>
          <t xml:space="preserve">    Dim lr As Long: lr = dbCorr.Cells(Rows.Count, 1).End(xlUp).Row + 1</t>
        </is>
      </c>
    </row>
    <row r="609" ht="15" customHeight="1" s="341">
      <c r="A609" s="340" t="inlineStr">
        <is>
          <t xml:space="preserve">    Dim corrID As String: corrID = "CORR" &amp; Format(Now, "YYYYMMDDHHMMSS")</t>
        </is>
      </c>
    </row>
    <row r="611" ht="15" customHeight="1" s="341">
      <c r="A611" s="340" t="inlineStr">
        <is>
          <t xml:space="preserve">    dbCorr.Cells(lr, 1).Value  = corrID</t>
        </is>
      </c>
    </row>
    <row r="612" ht="15" customHeight="1" s="341">
      <c r="A612" s="340" t="inlineStr">
        <is>
          <t xml:space="preserve">    dbCorr.Cells(lr, 2).Value  = origTxnID</t>
        </is>
      </c>
    </row>
    <row r="613" ht="15" customHeight="1" s="341">
      <c r="A613" s="340" t="inlineStr">
        <is>
          <t xml:space="preserve">    dbCorr.Cells(lr, 3).Value  = origAcct</t>
        </is>
      </c>
    </row>
    <row r="614" ht="15" customHeight="1" s="341">
      <c r="A614" s="340" t="inlineStr">
        <is>
          <t xml:space="preserve">    dbCorr.Cells(lr, 4).Value  = origCust</t>
        </is>
      </c>
    </row>
    <row r="615" ht="15" customHeight="1" s="341">
      <c r="A615" s="340" t="inlineStr">
        <is>
          <t xml:space="preserve">    dbCorr.Cells(lr, 5).Value  = txnType</t>
        </is>
      </c>
    </row>
    <row r="616" ht="15" customHeight="1" s="341">
      <c r="A616" s="340" t="inlineStr">
        <is>
          <t xml:space="preserve">    dbCorr.Cells(lr, 6).Value  = origAmt</t>
        </is>
      </c>
    </row>
    <row r="617" ht="15" customHeight="1" s="341">
      <c r="A617" s="340" t="inlineStr">
        <is>
          <t xml:space="preserve">    dbCorr.Cells(lr, 7).Value  = "REVERSAL+" &amp; txnType</t>
        </is>
      </c>
    </row>
    <row r="618" ht="15" customHeight="1" s="341">
      <c r="A618" s="340" t="inlineStr">
        <is>
          <t xml:space="preserve">    dbCorr.Cells(lr, 8).Value  = corrAmt</t>
        </is>
      </c>
    </row>
    <row r="619" ht="15" customHeight="1" s="341">
      <c r="A619" s="340" t="inlineStr">
        <is>
          <t xml:space="preserve">    dbCorr.Cells(lr, 9).Value  = origAgent</t>
        </is>
      </c>
    </row>
    <row r="620" ht="15" customHeight="1" s="341">
      <c r="A620" s="340" t="inlineStr">
        <is>
          <t xml:space="preserve">    dbCorr.Cells(lr, 10).Value = Format(Now, "YYYY-MM-DD HH:MM:SS")</t>
        </is>
      </c>
    </row>
    <row r="621" ht="15" customHeight="1" s="341">
      <c r="A621" s="340" t="inlineStr">
        <is>
          <t xml:space="preserve">    dbCorr.Cells(lr, 11).Value = corrNote &amp; " | Right Mechanism Applied"</t>
        </is>
      </c>
    </row>
    <row r="622" ht="15" customHeight="1" s="341">
      <c r="A622" s="340" t="inlineStr">
        <is>
          <t xml:space="preserve">    dbCorr.Cells(lr, 12).Value = "APPLIED"</t>
        </is>
      </c>
    </row>
    <row r="624" ht="15" customHeight="1" s="341">
      <c r="A624" s="340" t="inlineStr">
        <is>
          <t xml:space="preserve">    ' Step 7: Write reversal + correction entries to source DB</t>
        </is>
      </c>
    </row>
    <row r="625" ht="15" customHeight="1" s="341">
      <c r="A625" s="340" t="inlineStr">
        <is>
          <t xml:space="preserve">    If txnType = "SAVINGS" Then</t>
        </is>
      </c>
    </row>
    <row r="626" ht="15" customHeight="1" s="341">
      <c r="A626" s="340" t="inlineStr">
        <is>
          <t xml:space="preserve">        ' Reversal (negative)</t>
        </is>
      </c>
    </row>
    <row r="627" ht="15" customHeight="1" s="341">
      <c r="A627" s="340" t="inlineStr">
        <is>
          <t xml:space="preserve">        Dim rr As Long: rr = dbS.Cells(Rows.Count, 1).End(xlUp).Row + 1</t>
        </is>
      </c>
    </row>
    <row r="628" ht="15" customHeight="1" s="341">
      <c r="A628" s="340" t="inlineStr">
        <is>
          <t xml:space="preserve">        dbS.Cells(rr, 1).Value = rr - 3</t>
        </is>
      </c>
    </row>
    <row r="629" ht="15" customHeight="1" s="341">
      <c r="A629" s="340" t="inlineStr">
        <is>
          <t xml:space="preserve">        dbS.Cells(rr, 2).Value = "REV_" &amp; origTxnID</t>
        </is>
      </c>
    </row>
    <row r="630" ht="15" customHeight="1" s="341">
      <c r="A630" s="340" t="inlineStr">
        <is>
          <t xml:space="preserve">        dbS.Cells(rr, 3).Value = origAcct</t>
        </is>
      </c>
    </row>
    <row r="631" ht="15" customHeight="1" s="341">
      <c r="A631" s="340" t="inlineStr">
        <is>
          <t xml:space="preserve">        dbS.Cells(rr, 4).Value = origCust</t>
        </is>
      </c>
    </row>
    <row r="632" ht="15" customHeight="1" s="341">
      <c r="A632" s="340" t="inlineStr">
        <is>
          <t xml:space="preserve">        dbS.Cells(rr, 5).Value = Date</t>
        </is>
      </c>
    </row>
    <row r="633" ht="15" customHeight="1" s="341">
      <c r="A633" s="340" t="inlineStr">
        <is>
          <t xml:space="preserve">        dbS.Cells(rr, 6).Value = -origAmt</t>
        </is>
      </c>
    </row>
    <row r="634" ht="15" customHeight="1" s="341">
      <c r="A634" s="340" t="inlineStr">
        <is>
          <t xml:space="preserve">        dbS.Cells(rr, 7).Value = origAgent</t>
        </is>
      </c>
    </row>
    <row r="635" ht="15" customHeight="1" s="341">
      <c r="A635" s="340" t="inlineStr">
        <is>
          <t xml:space="preserve">        dbS.Cells(rr, 8).Value = "REVERSAL"</t>
        </is>
      </c>
    </row>
    <row r="636" ht="15" customHeight="1" s="341">
      <c r="A636" s="340" t="inlineStr">
        <is>
          <t xml:space="preserve">        dbS.Cells(rr, 9).Value = Format(Now, "YYYY-MM-DD HH:MM:SS")</t>
        </is>
      </c>
    </row>
    <row r="637" ht="15" customHeight="1" s="341">
      <c r="A637" s="340" t="inlineStr">
        <is>
          <t xml:space="preserve">        dbS.Cells(rr, 10).Value = "Right Mechanism: " &amp; corrNote</t>
        </is>
      </c>
    </row>
    <row r="638" ht="15" customHeight="1" s="341">
      <c r="A638" s="340" t="inlineStr">
        <is>
          <t xml:space="preserve">        dbS.Cells(rr, 11).Value = "LOCKED"</t>
        </is>
      </c>
    </row>
    <row r="639" ht="15" customHeight="1" s="341">
      <c r="A639" s="340" t="inlineStr">
        <is>
          <t xml:space="preserve">        ' Correct entry</t>
        </is>
      </c>
    </row>
    <row r="640" ht="15" customHeight="1" s="341">
      <c r="A640" s="340" t="inlineStr">
        <is>
          <t xml:space="preserve">        rr = rr + 1</t>
        </is>
      </c>
    </row>
    <row r="641" ht="15" customHeight="1" s="341">
      <c r="A641" s="340" t="inlineStr">
        <is>
          <t xml:space="preserve">        dbS.Cells(rr, 1).Value = rr - 3</t>
        </is>
      </c>
    </row>
    <row r="642" ht="15" customHeight="1" s="341">
      <c r="A642" s="340" t="inlineStr">
        <is>
          <t xml:space="preserve">        dbS.Cells(rr, 2).Value = corrID</t>
        </is>
      </c>
    </row>
    <row r="643" ht="15" customHeight="1" s="341">
      <c r="A643" s="340" t="inlineStr">
        <is>
          <t xml:space="preserve">        dbS.Cells(rr, 3).Value = origAcct</t>
        </is>
      </c>
    </row>
    <row r="644" ht="15" customHeight="1" s="341">
      <c r="A644" s="340" t="inlineStr">
        <is>
          <t xml:space="preserve">        dbS.Cells(rr, 4).Value = origCust</t>
        </is>
      </c>
    </row>
    <row r="645" ht="15" customHeight="1" s="341">
      <c r="A645" s="340" t="inlineStr">
        <is>
          <t xml:space="preserve">        dbS.Cells(rr, 5).Value = Date</t>
        </is>
      </c>
    </row>
    <row r="646" ht="15" customHeight="1" s="341">
      <c r="A646" s="340" t="inlineStr">
        <is>
          <t xml:space="preserve">        dbS.Cells(rr, 6).Value = corrAmt</t>
        </is>
      </c>
    </row>
    <row r="647" ht="15" customHeight="1" s="341">
      <c r="A647" s="340" t="inlineStr">
        <is>
          <t xml:space="preserve">        dbS.Cells(rr, 7).Value = origAgent</t>
        </is>
      </c>
    </row>
    <row r="648" ht="15" customHeight="1" s="341">
      <c r="A648" s="340" t="inlineStr">
        <is>
          <t xml:space="preserve">        dbS.Cells(rr, 8).Value = "CORRECTION"</t>
        </is>
      </c>
    </row>
    <row r="649" ht="15" customHeight="1" s="341">
      <c r="A649" s="340" t="inlineStr">
        <is>
          <t xml:space="preserve">        dbS.Cells(rr, 9).Value = Format(Now, "YYYY-MM-DD HH:MM:SS")</t>
        </is>
      </c>
    </row>
    <row r="650" ht="15" customHeight="1" s="341">
      <c r="A650" s="340" t="inlineStr">
        <is>
          <t xml:space="preserve">        dbS.Cells(rr, 10).Value = "Right Mechanism Applied | Ref: " &amp; origTxnID</t>
        </is>
      </c>
    </row>
    <row r="651" ht="15" customHeight="1" s="341">
      <c r="A651" s="340" t="inlineStr">
        <is>
          <t xml:space="preserve">        dbS.Cells(rr, 11).Value = "LOCKED"</t>
        </is>
      </c>
    </row>
    <row r="652" ht="15" customHeight="1" s="341">
      <c r="A652" s="340" t="inlineStr">
        <is>
          <t xml:space="preserve">    End If</t>
        </is>
      </c>
    </row>
    <row r="654" ht="15" customHeight="1" s="341">
      <c r="A654" s="340" t="inlineStr">
        <is>
          <t xml:space="preserve">    ' Step 8: Log in Audit</t>
        </is>
      </c>
    </row>
    <row r="655" ht="15" customHeight="1" s="341">
      <c r="A655" s="340" t="inlineStr">
        <is>
          <t xml:space="preserve">    Dim alr As Long: alr = aLog.Cells(Rows.Count, 1).End(xlUp).Row + 1</t>
        </is>
      </c>
    </row>
    <row r="656" ht="15" customHeight="1" s="341">
      <c r="A656" s="340" t="inlineStr">
        <is>
          <t xml:space="preserve">    aLog.Cells(alr, 1).Value = Now()</t>
        </is>
      </c>
    </row>
    <row r="657" ht="15" customHeight="1" s="341">
      <c r="A657" s="340" t="inlineStr">
        <is>
          <t xml:space="preserve">    aLog.Cells(alr, 2).Value = Environ("USERNAME")</t>
        </is>
      </c>
    </row>
    <row r="658" ht="15" customHeight="1" s="341">
      <c r="A658" s="340" t="inlineStr">
        <is>
          <t xml:space="preserve">    aLog.Cells(alr, 3).Value = "CORRECTION_APPLIED"</t>
        </is>
      </c>
    </row>
    <row r="659" ht="15" customHeight="1" s="341">
      <c r="A659" s="340" t="inlineStr">
        <is>
          <t xml:space="preserve">    aLog.Cells(alr, 4).Value = "CorrID: " &amp; corrID &amp; " | Orig: " &amp; origTxnID &amp; _</t>
        </is>
      </c>
    </row>
    <row r="660" ht="15" customHeight="1" s="341">
      <c r="A660" s="340" t="inlineStr">
        <is>
          <t xml:space="preserve">                                " | OldAmt: GHC " &amp; origAmt &amp; " → NewAmt: GHC " &amp; corrAmt</t>
        </is>
      </c>
    </row>
    <row r="661" ht="15" customHeight="1" s="341">
      <c r="A661" s="340" t="inlineStr">
        <is>
          <t xml:space="preserve">    aLog.Cells(alr, 5).Value = origAgent</t>
        </is>
      </c>
    </row>
    <row r="662" ht="15" customHeight="1" s="341">
      <c r="A662" s="340" t="inlineStr">
        <is>
          <t xml:space="preserve">    aLog.Cells(alr, 6).Value = origTxnID</t>
        </is>
      </c>
    </row>
    <row r="663" ht="15" customHeight="1" s="341">
      <c r="A663" s="340" t="inlineStr">
        <is>
          <t xml:space="preserve">    aLog.Cells(alr, 7).Value = "YES"</t>
        </is>
      </c>
    </row>
    <row r="665" ht="15" customHeight="1" s="341">
      <c r="A665" s="340" t="inlineStr">
        <is>
          <t xml:space="preserve">    ' Step 9: Confirm to user</t>
        </is>
      </c>
    </row>
    <row r="666" ht="15" customHeight="1" s="341">
      <c r="A666" s="340" t="inlineStr">
        <is>
          <t xml:space="preserve">    MsgBox "✅ RIGHT MECHANISM APPLIED SUCCESSFULLY" &amp; vbCrLf &amp; vbCrLf &amp; _</t>
        </is>
      </c>
    </row>
    <row r="667" ht="15" customHeight="1" s="341">
      <c r="A667" s="340" t="inlineStr">
        <is>
          <t xml:space="preserve">           "Correction ID:    " &amp; corrID &amp; vbCrLf &amp; _</t>
        </is>
      </c>
    </row>
    <row r="668" ht="15" customHeight="1" s="341">
      <c r="A668" s="340" t="inlineStr">
        <is>
          <t xml:space="preserve">           "Original Txn:     " &amp; origTxnID &amp; vbCrLf &amp; _</t>
        </is>
      </c>
    </row>
    <row r="669" ht="15" customHeight="1" s="341">
      <c r="A669" s="340" t="inlineStr">
        <is>
          <t xml:space="preserve">           "Original Amount:  GHC " &amp; Format(origAmt, "#,##0.00") &amp; vbCrLf &amp; _</t>
        </is>
      </c>
    </row>
    <row r="670" ht="15" customHeight="1" s="341">
      <c r="A670" s="340" t="inlineStr">
        <is>
          <t xml:space="preserve">           "Correct Amount:   GHC " &amp; Format(corrAmt, "#,##0.00") &amp; vbCrLf &amp; _</t>
        </is>
      </c>
    </row>
    <row r="671" ht="15" customHeight="1" s="341">
      <c r="A671" s="340" t="inlineStr">
        <is>
          <t xml:space="preserve">           "Note:             " &amp; corrNote &amp; vbCrLf &amp; vbCrLf &amp; _</t>
        </is>
      </c>
    </row>
    <row r="672" ht="15" customHeight="1" s="341">
      <c r="A672" s="340" t="inlineStr">
        <is>
          <t xml:space="preserve">           "Audit trail has been updated.", vbInformation, "Correction Complete"</t>
        </is>
      </c>
    </row>
    <row r="673" ht="15" customHeight="1" s="341">
      <c r="A673" s="340" t="inlineStr">
        <is>
          <t>End Sub</t>
        </is>
      </c>
    </row>
    <row r="675" ht="15" customHeight="1" s="341">
      <c r="A675" s="340" t="inlineStr">
        <is>
          <t>' ─── QUICK ACCESS: Withdrawable Balance Checker ───────────────────────────</t>
        </is>
      </c>
    </row>
    <row r="676" ht="15" customHeight="1" s="341">
      <c r="A676" s="340" t="inlineStr">
        <is>
          <t>Sub CheckWithdrawable()</t>
        </is>
      </c>
    </row>
    <row r="677" ht="15" customHeight="1" s="341">
      <c r="A677" s="340" t="inlineStr">
        <is>
          <t xml:space="preserve">    Dim acct As String</t>
        </is>
      </c>
    </row>
    <row r="678" ht="15" customHeight="1" s="341">
      <c r="A678" s="340" t="inlineStr">
        <is>
          <t xml:space="preserve">    acct = InputBox("Enter Account Number to check withdrawable balance:", _</t>
        </is>
      </c>
    </row>
    <row r="679" ht="15" customHeight="1" s="341">
      <c r="A679" s="340" t="inlineStr">
        <is>
          <t xml:space="preserve">                    "Balance Check")</t>
        </is>
      </c>
    </row>
    <row r="680" ht="15" customHeight="1" s="341">
      <c r="A680" s="340" t="inlineStr">
        <is>
          <t xml:space="preserve">    If acct = "" Then Exit Sub</t>
        </is>
      </c>
    </row>
    <row r="681" ht="15" customHeight="1" s="341">
      <c r="A681" s="340" t="inlineStr">
        <is>
          <t xml:space="preserve">    Dim dbC As Worksheet: Set dbC = ThisWorkbook.Sheets("DB_Customers")</t>
        </is>
      </c>
    </row>
    <row r="682" ht="15" customHeight="1" s="341">
      <c r="A682" s="340" t="inlineStr">
        <is>
          <t xml:space="preserve">    Dim sc  As Worksheet: Set sc  = ThisWorkbook.Sheets("System_Config")</t>
        </is>
      </c>
    </row>
    <row r="683" ht="15" customHeight="1" s="341">
      <c r="A683" s="340" t="inlineStr">
        <is>
          <t xml:space="preserve">    Dim minBal As Double: minBal = sc.Range("B9").Value</t>
        </is>
      </c>
    </row>
    <row r="684" ht="15" customHeight="1" s="341">
      <c r="A684" s="340" t="inlineStr">
        <is>
          <t xml:space="preserve">    Dim custRow As Variant</t>
        </is>
      </c>
    </row>
    <row r="685" ht="15" customHeight="1" s="341">
      <c r="A685" s="340" t="inlineStr">
        <is>
          <t xml:space="preserve">    custRow = Application.Match(acct, dbC.Columns(1), 0)</t>
        </is>
      </c>
    </row>
    <row r="686" ht="15" customHeight="1" s="341">
      <c r="A686" s="340" t="inlineStr">
        <is>
          <t xml:space="preserve">    If IsError(custRow) Then</t>
        </is>
      </c>
    </row>
    <row r="687" ht="15" customHeight="1" s="341">
      <c r="A687" s="340" t="inlineStr">
        <is>
          <t xml:space="preserve">        MsgBox "Account '" &amp; acct &amp; "' not found.", vbCritical: Exit Sub</t>
        </is>
      </c>
    </row>
    <row r="688" ht="15" customHeight="1" s="341">
      <c r="A688" s="340" t="inlineStr">
        <is>
          <t xml:space="preserve">    End If</t>
        </is>
      </c>
    </row>
    <row r="689" ht="15" customHeight="1" s="341">
      <c r="A689" s="340" t="inlineStr">
        <is>
          <t xml:space="preserve">    Dim cname As String:  cname  = CStr(dbC.Cells(custRow, 4).Value)</t>
        </is>
      </c>
    </row>
    <row r="690" ht="15" customHeight="1" s="341">
      <c r="A690" s="340" t="inlineStr">
        <is>
          <t xml:space="preserve">    Dim curBal As Double: curBal = dbC.Cells(custRow, 14).Value</t>
        </is>
      </c>
    </row>
    <row r="691" ht="15" customHeight="1" s="341">
      <c r="A691" s="340" t="inlineStr">
        <is>
          <t xml:space="preserve">    Dim withdrawable As Double: withdrawable = Application.WorksheetFunction.Max(0, curBal - minBal)</t>
        </is>
      </c>
    </row>
    <row r="692" ht="15" customHeight="1" s="341">
      <c r="A692" s="340" t="inlineStr">
        <is>
          <t xml:space="preserve">    MsgBox "ACCOUNT BALANCE SUMMARY" &amp; vbCrLf &amp; vbCrLf &amp; _</t>
        </is>
      </c>
    </row>
    <row r="693" ht="15" customHeight="1" s="341">
      <c r="A693" s="340" t="inlineStr">
        <is>
          <t xml:space="preserve">           "Account:    " &amp; acct &amp; vbCrLf &amp; _</t>
        </is>
      </c>
    </row>
    <row r="694" ht="15" customHeight="1" s="341">
      <c r="A694" s="340" t="inlineStr">
        <is>
          <t xml:space="preserve">           "Customer:   " &amp; cname &amp; vbCrLf &amp; vbCrLf &amp; _</t>
        </is>
      </c>
    </row>
    <row r="695" ht="15" customHeight="1" s="341">
      <c r="A695" s="340" t="inlineStr">
        <is>
          <t xml:space="preserve">           "Total Balance:       GHC " &amp; Format(curBal, "#,##0.00") &amp; vbCrLf &amp; _</t>
        </is>
      </c>
    </row>
    <row r="696" ht="15" customHeight="1" s="341">
      <c r="A696" s="340" t="inlineStr">
        <is>
          <t xml:space="preserve">           "Minimum Reserved:    GHC " &amp; Format(minBal, "0.00") &amp; vbCrLf &amp; _</t>
        </is>
      </c>
    </row>
    <row r="697" ht="15" customHeight="1" s="341">
      <c r="A697" s="340" t="inlineStr">
        <is>
          <t xml:space="preserve">           "Available to Withdraw: GHC " &amp; Format(withdrawable, "#,##0.00"), _</t>
        </is>
      </c>
    </row>
    <row r="698" ht="15" customHeight="1" s="341">
      <c r="A698" s="340" t="inlineStr">
        <is>
          <t xml:space="preserve">           vbInformation, "Balance Check"</t>
        </is>
      </c>
    </row>
    <row r="699" ht="15" customHeight="1" s="341">
      <c r="A699" s="340" t="inlineStr">
        <is>
          <t>End Sub</t>
        </is>
      </c>
    </row>
    <row r="701" ht="15" customHeight="1" s="341">
      <c r="A701" s="340" t="inlineStr">
        <is>
          <t>' ─── UPGRADE NOTICE ───────────────────────────────────────────────────────</t>
        </is>
      </c>
    </row>
    <row r="702" ht="15" customHeight="1" s="341">
      <c r="A702" s="340" t="inlineStr">
        <is>
          <t>' V3 FUNCTION MAPPING — USE THESE INSTEAD OF V2 EQUIVALENTS:</t>
        </is>
      </c>
    </row>
    <row r="703" ht="15" customHeight="1" s="341">
      <c r="A703" s="340" t="inlineStr">
        <is>
          <t>'   CreateNewAccount_V3()    → replaces CreateNewAccount()</t>
        </is>
      </c>
    </row>
    <row r="704" ht="15" customHeight="1" s="341">
      <c r="A704" s="340" t="inlineStr">
        <is>
          <t>'   SaveWithdrawalRow_V3()   → replaces SaveWithdrawalRow()</t>
        </is>
      </c>
    </row>
    <row r="705" ht="15" customHeight="1" s="341">
      <c r="A705" s="340" t="inlineStr">
        <is>
          <t>'   CorrectTransaction()     → NEW — Error correction / Right Mechanism</t>
        </is>
      </c>
    </row>
    <row r="706" ht="15" customHeight="1" s="341">
      <c r="A706" s="340" t="inlineStr">
        <is>
          <t>'   CheckWithdrawable()      → NEW — Balance availability checker</t>
        </is>
      </c>
    </row>
    <row r="707" ht="15" customHeight="1" s="341">
      <c r="A707" s="340" t="inlineStr">
        <is>
          <t>'   ValidateRateInput(cell)  → NEW — Call on rate field change event</t>
        </is>
      </c>
    </row>
    <row r="708" ht="15" customHeight="1" s="341">
      <c r="A708" s="340" t="inlineStr">
        <is>
          <t>' ══════════════════════════════════════════════════════════════════════════</t>
        </is>
      </c>
    </row>
    <row r="711" ht="15" customHeight="1" s="341">
      <c r="A711" s="608" t="inlineStr">
        <is>
          <t>' ======= AUTO-SAVE ENGINE (V8 Addition) =======</t>
        </is>
      </c>
    </row>
    <row r="712" ht="15" customHeight="1" s="341">
      <c r="A712" s="609" t="inlineStr">
        <is>
          <t>Attribute VB_Name = "ThisWorkbook"</t>
        </is>
      </c>
    </row>
    <row r="713" ht="15" customHeight="1" s="341">
      <c r="A713" s="609" t="inlineStr">
        <is>
          <t>' ================================================================</t>
        </is>
      </c>
    </row>
    <row r="714" ht="15" customHeight="1" s="341">
      <c r="A714" s="609" t="inlineStr">
        <is>
          <t>' SAMICIOUS MICROFINANCE V8 — Auto-Save Engine</t>
        </is>
      </c>
    </row>
    <row r="715" ht="15" customHeight="1" s="341">
      <c r="A715" s="609" t="inlineStr">
        <is>
          <t>' Triggered on every workbook save (CTRL+S or File &gt; Save)</t>
        </is>
      </c>
    </row>
    <row r="716" ht="15" customHeight="1" s="341">
      <c r="A716" s="609" t="inlineStr">
        <is>
          <t>' 1. Transfers Account Opening data to Customer Account Database</t>
        </is>
      </c>
    </row>
    <row r="717" ht="15" customHeight="1" s="341">
      <c r="A717" s="609" t="inlineStr">
        <is>
          <t>' 2. Clears the Account Opening form for next entry</t>
        </is>
      </c>
    </row>
    <row r="718" ht="15" customHeight="1" s="341">
      <c r="A718" s="609" t="inlineStr">
        <is>
          <t>' ================================================================</t>
        </is>
      </c>
    </row>
    <row r="719" ht="15" customHeight="1" s="341">
      <c r="A719" s="609" t="n"/>
    </row>
    <row r="720" ht="15" customHeight="1" s="341">
      <c r="A720" s="609" t="inlineStr">
        <is>
          <t>Private Sub Workbook_BeforeSave(ByVal SaveAsUI As Boolean, Cancel As Boolean)</t>
        </is>
      </c>
    </row>
    <row r="721" ht="15" customHeight="1" s="341">
      <c r="A721" s="609" t="inlineStr">
        <is>
          <t xml:space="preserve">    Dim wsForm  As Worksheet</t>
        </is>
      </c>
    </row>
    <row r="722" ht="15" customHeight="1" s="341">
      <c r="A722" s="609" t="inlineStr">
        <is>
          <t xml:space="preserve">    Dim wsDB    As Worksheet</t>
        </is>
      </c>
    </row>
    <row r="723" ht="15" customHeight="1" s="341">
      <c r="A723" s="609" t="inlineStr">
        <is>
          <t xml:space="preserve">    Dim nextRow As Long</t>
        </is>
      </c>
    </row>
    <row r="724" ht="15" customHeight="1" s="341">
      <c r="A724" s="609" t="inlineStr">
        <is>
          <t xml:space="preserve">    Dim acctNum As String</t>
        </is>
      </c>
    </row>
    <row r="725" ht="15" customHeight="1" s="341">
      <c r="A725" s="609" t="inlineStr">
        <is>
          <t xml:space="preserve">    Dim fname   As String</t>
        </is>
      </c>
    </row>
    <row r="726" ht="15" customHeight="1" s="341">
      <c r="A726" s="609" t="n"/>
    </row>
    <row r="727" ht="15" customHeight="1" s="341">
      <c r="A727" s="609" t="inlineStr">
        <is>
          <t xml:space="preserve">    On Error GoTo ErrHandler</t>
        </is>
      </c>
    </row>
    <row r="728" ht="15" customHeight="1" s="341">
      <c r="A728" s="609" t="n"/>
    </row>
    <row r="729" ht="15" customHeight="1" s="341">
      <c r="A729" s="609" t="inlineStr">
        <is>
          <t xml:space="preserve">    ' Reference sheets</t>
        </is>
      </c>
    </row>
    <row r="730" ht="15" customHeight="1" s="341">
      <c r="A730" s="609" t="inlineStr">
        <is>
          <t xml:space="preserve">    wsForm = Me.Sheets("Account_Opening")</t>
        </is>
      </c>
    </row>
    <row r="731" ht="15" customHeight="1" s="341">
      <c r="A731" s="609" t="inlineStr">
        <is>
          <t xml:space="preserve">    wsDB   = Me.Sheets("Customer Account Database")</t>
        </is>
      </c>
    </row>
    <row r="732" ht="15" customHeight="1" s="341">
      <c r="A732" s="609" t="n"/>
    </row>
    <row r="733" ht="15" customHeight="1" s="341">
      <c r="A733" s="609" t="inlineStr">
        <is>
          <t xml:space="preserve">    ' Only transfer if form has valid data</t>
        </is>
      </c>
    </row>
    <row r="734" ht="15" customHeight="1" s="341">
      <c r="A734" s="609" t="inlineStr">
        <is>
          <t xml:space="preserve">    fname   = Trim(wsForm.Range("C5").Value)</t>
        </is>
      </c>
    </row>
    <row r="735" ht="15" customHeight="1" s="341">
      <c r="A735" s="609" t="inlineStr">
        <is>
          <t xml:space="preserve">    acctNum = Trim(wsForm.Range("C16").Value)</t>
        </is>
      </c>
    </row>
    <row r="736" ht="15" customHeight="1" s="341">
      <c r="A736" s="609" t="n"/>
    </row>
    <row r="737" ht="15" customHeight="1" s="341">
      <c r="A737" s="609" t="inlineStr">
        <is>
          <t xml:space="preserve">    If fname = "" Or acctNum = "" Then GoTo CleanExit</t>
        </is>
      </c>
    </row>
    <row r="738" ht="15" customHeight="1" s="341">
      <c r="A738" s="609" t="inlineStr">
        <is>
          <t xml:space="preserve">    If Left(wsForm.Range("A17").Value, 1) &lt;&gt; Chr(10003) And _</t>
        </is>
      </c>
    </row>
    <row r="739" ht="15" customHeight="1" s="341">
      <c r="A739" s="609" t="inlineStr">
        <is>
          <t xml:space="preserve">       InStr(wsForm.Range("A17").Value, "All fields") = 0 Then GoTo CleanExit</t>
        </is>
      </c>
    </row>
    <row r="740" ht="15" customHeight="1" s="341">
      <c r="A740" s="609" t="n"/>
    </row>
    <row r="741" ht="15" customHeight="1" s="341">
      <c r="A741" s="609" t="inlineStr">
        <is>
          <t xml:space="preserve">    ' Find next empty row in database (after header row 10)</t>
        </is>
      </c>
    </row>
    <row r="742" ht="15" customHeight="1" s="341">
      <c r="A742" s="609" t="inlineStr">
        <is>
          <t xml:space="preserve">    nextRow = 11</t>
        </is>
      </c>
    </row>
    <row r="743" ht="15" customHeight="1" s="341">
      <c r="A743" s="609" t="inlineStr">
        <is>
          <t xml:space="preserve">    Do While wsDB.Cells(nextRow, 2).Value &lt;&gt; ""</t>
        </is>
      </c>
    </row>
    <row r="744" ht="15" customHeight="1" s="341">
      <c r="A744" s="609" t="inlineStr">
        <is>
          <t xml:space="preserve">        nextRow = nextRow + 1</t>
        </is>
      </c>
    </row>
    <row r="745" ht="15" customHeight="1" s="341">
      <c r="A745" s="609" t="inlineStr">
        <is>
          <t xml:space="preserve">        If nextRow &gt; 510 Then</t>
        </is>
      </c>
    </row>
    <row r="746" ht="15" customHeight="1" s="341">
      <c r="A746" s="609" t="inlineStr">
        <is>
          <t xml:space="preserve">            MsgBox "Database full. Please archive records.", vbExclamation</t>
        </is>
      </c>
    </row>
    <row r="747" ht="15" customHeight="1" s="341">
      <c r="A747" s="609" t="inlineStr">
        <is>
          <t xml:space="preserve">            GoTo CleanExit</t>
        </is>
      </c>
    </row>
    <row r="748" ht="15" customHeight="1" s="341">
      <c r="A748" s="609" t="inlineStr">
        <is>
          <t xml:space="preserve">        End If</t>
        </is>
      </c>
    </row>
    <row r="749" ht="15" customHeight="1" s="341">
      <c r="A749" s="609" t="inlineStr">
        <is>
          <t xml:space="preserve">    Loop</t>
        </is>
      </c>
    </row>
    <row r="750" ht="15" customHeight="1" s="341">
      <c r="A750" s="609" t="n"/>
    </row>
    <row r="751" ht="15" customHeight="1" s="341">
      <c r="A751" s="609" t="inlineStr">
        <is>
          <t xml:space="preserve">    ' Check for duplicate account number</t>
        </is>
      </c>
    </row>
    <row r="752" ht="15" customHeight="1" s="341">
      <c r="A752" s="609" t="inlineStr">
        <is>
          <t xml:space="preserve">    Dim dupCheck As Range</t>
        </is>
      </c>
    </row>
    <row r="753" ht="15" customHeight="1" s="341">
      <c r="A753" s="609" t="inlineStr">
        <is>
          <t xml:space="preserve">    Set dupCheck = wsDB.Range("B11:B510").Find(acctNum, LookIn:=xlValues, LookAt:=xlWhole)</t>
        </is>
      </c>
    </row>
    <row r="754" ht="15" customHeight="1" s="341">
      <c r="A754" s="609" t="inlineStr">
        <is>
          <t xml:space="preserve">    If Not dupCheck Is Nothing Then</t>
        </is>
      </c>
    </row>
    <row r="755" ht="15" customHeight="1" s="341">
      <c r="A755" s="609" t="inlineStr">
        <is>
          <t xml:space="preserve">        MsgBox "Account No. " &amp; acctNum &amp; " already exists. Duplicate not saved.", vbWarning</t>
        </is>
      </c>
    </row>
    <row r="756" ht="15" customHeight="1" s="341">
      <c r="A756" s="609" t="inlineStr">
        <is>
          <t xml:space="preserve">        GoTo CleanExit</t>
        </is>
      </c>
    </row>
    <row r="757" ht="15" customHeight="1" s="341">
      <c r="A757" s="609" t="inlineStr">
        <is>
          <t xml:space="preserve">    End If</t>
        </is>
      </c>
    </row>
    <row r="758" ht="15" customHeight="1" s="341">
      <c r="A758" s="609" t="n"/>
    </row>
    <row r="759" ht="15" customHeight="1" s="341">
      <c r="A759" s="609" t="inlineStr">
        <is>
          <t xml:space="preserve">    ' Transfer data from form to database</t>
        </is>
      </c>
    </row>
    <row r="760" ht="15" customHeight="1" s="341">
      <c r="A760" s="609" t="inlineStr">
        <is>
          <t xml:space="preserve">    wsDB.Cells(nextRow, 1).Value = nextRow - 10              ' Record #</t>
        </is>
      </c>
    </row>
    <row r="761" ht="15" customHeight="1" s="341">
      <c r="A761" s="609" t="inlineStr">
        <is>
          <t xml:space="preserve">    wsDB.Cells(nextRow, 2).Value = acctNum                   ' Account No.</t>
        </is>
      </c>
    </row>
    <row r="762" ht="15" customHeight="1" s="341">
      <c r="A762" s="609" t="inlineStr">
        <is>
          <t xml:space="preserve">    wsDB.Cells(nextRow, 3).Value = Trim(wsForm.Range("C5").Value) &amp; " " &amp; _</t>
        </is>
      </c>
    </row>
    <row r="763" ht="15" customHeight="1" s="341">
      <c r="A763" s="609" t="inlineStr">
        <is>
          <t xml:space="preserve">                                    Trim(wsForm.Range("C6").Value)  ' Full Name</t>
        </is>
      </c>
    </row>
    <row r="764" ht="15" customHeight="1" s="341">
      <c r="A764" s="609" t="inlineStr">
        <is>
          <t xml:space="preserve">    wsDB.Cells(nextRow, 4).Value = wsForm.Range("C7").Value  ' Date of Birth</t>
        </is>
      </c>
    </row>
    <row r="765" ht="15" customHeight="1" s="341">
      <c r="A765" s="609" t="inlineStr">
        <is>
          <t xml:space="preserve">    wsDB.Cells(nextRow, 5).Value = wsForm.Range("C8").Value  ' Phone Number</t>
        </is>
      </c>
    </row>
    <row r="766" ht="15" customHeight="1" s="341">
      <c r="A766" s="609" t="inlineStr">
        <is>
          <t xml:space="preserve">    wsDB.Cells(nextRow, 6).Value = wsForm.Range("C9").Value  ' Location</t>
        </is>
      </c>
    </row>
    <row r="767" ht="15" customHeight="1" s="341">
      <c r="A767" s="609" t="inlineStr">
        <is>
          <t xml:space="preserve">    wsDB.Cells(nextRow, 7).Value = wsForm.Range("C10").Value ' Occupation</t>
        </is>
      </c>
    </row>
    <row r="768" ht="15" customHeight="1" s="341">
      <c r="A768" s="609" t="inlineStr">
        <is>
          <t xml:space="preserve">    wsDB.Cells(nextRow, 8).Value = wsForm.Range("C11").Value ' Assigned Agent</t>
        </is>
      </c>
    </row>
    <row r="769" ht="15" customHeight="1" s="341">
      <c r="A769" s="609" t="inlineStr">
        <is>
          <t xml:space="preserve">    wsDB.Cells(nextRow, 9).Value = wsForm.Range("C12").Value ' Opening Balance</t>
        </is>
      </c>
    </row>
    <row r="770" ht="15" customHeight="1" s="341">
      <c r="A770" s="609" t="inlineStr">
        <is>
          <t xml:space="preserve">    wsDB.Cells(nextRow, 10).Value = Now()                    ' Date Created</t>
        </is>
      </c>
    </row>
    <row r="771" ht="15" customHeight="1" s="341">
      <c r="A771" s="609" t="inlineStr">
        <is>
          <t xml:space="preserve">    wsDB.Cells(nextRow, 11).Value = wsForm.Range("C14").Value ' ID Card Type</t>
        </is>
      </c>
    </row>
    <row r="772" ht="15" customHeight="1" s="341">
      <c r="A772" s="609" t="inlineStr">
        <is>
          <t xml:space="preserve">    wsDB.Cells(nextRow, 12).Value = wsForm.Range("C15").Value ' ID Card Number</t>
        </is>
      </c>
    </row>
    <row r="773" ht="15" customHeight="1" s="341">
      <c r="A773" s="609" t="inlineStr">
        <is>
          <t xml:space="preserve">    wsDB.Cells(nextRow, 13).Value = wsForm.Range("C13").Value ' Next of Kin</t>
        </is>
      </c>
    </row>
    <row r="774" ht="15" customHeight="1" s="341">
      <c r="A774" s="609" t="inlineStr">
        <is>
          <t xml:space="preserve">    wsDB.Cells(nextRow, 14).Value = "Active"                 ' Status</t>
        </is>
      </c>
    </row>
    <row r="775" ht="15" customHeight="1" s="341">
      <c r="A775" s="609" t="n"/>
    </row>
    <row r="776" ht="15" customHeight="1" s="341">
      <c r="A776" s="609" t="inlineStr">
        <is>
          <t xml:space="preserve">    ' Format date column</t>
        </is>
      </c>
    </row>
    <row r="777" ht="15" customHeight="1" s="341">
      <c r="A777" s="609" t="inlineStr">
        <is>
          <t xml:space="preserve">    wsDB.Cells(nextRow, 10).NumberFormat = "DD/MM/YYYY HH:MM"</t>
        </is>
      </c>
    </row>
    <row r="778" ht="15" customHeight="1" s="341">
      <c r="A778" s="609" t="inlineStr">
        <is>
          <t xml:space="preserve">    wsDB.Cells(nextRow, 4).NumberFormat  = "DD/MM/YYYY"</t>
        </is>
      </c>
    </row>
    <row r="779" ht="15" customHeight="1" s="341">
      <c r="A779" s="609" t="n"/>
    </row>
    <row r="780" ht="15" customHeight="1" s="341">
      <c r="A780" s="609" t="inlineStr">
        <is>
          <t xml:space="preserve">    ' Apply alternating row styling</t>
        </is>
      </c>
    </row>
    <row r="781" ht="15" customHeight="1" s="341">
      <c r="A781" s="609" t="inlineStr">
        <is>
          <t xml:space="preserve">    Dim rowColor As String</t>
        </is>
      </c>
    </row>
    <row r="782" ht="15" customHeight="1" s="341">
      <c r="A782" s="609" t="inlineStr">
        <is>
          <t xml:space="preserve">    If (nextRow - 10) Mod 2 = 0 Then rowColor = "EBF5FB" Else rowColor = "FFFFFF"</t>
        </is>
      </c>
    </row>
    <row r="783" ht="15" customHeight="1" s="341">
      <c r="A783" s="609" t="inlineStr">
        <is>
          <t xml:space="preserve">    Dim j As Integer</t>
        </is>
      </c>
    </row>
    <row r="784" ht="15" customHeight="1" s="341">
      <c r="A784" s="609" t="inlineStr">
        <is>
          <t xml:space="preserve">    For j = 1 To 14</t>
        </is>
      </c>
    </row>
    <row r="785" ht="15" customHeight="1" s="341">
      <c r="A785" s="609" t="inlineStr">
        <is>
          <t xml:space="preserve">        wsDB.Cells(nextRow, j).Interior.Color = RGB(235,245,251)</t>
        </is>
      </c>
    </row>
    <row r="786" ht="15" customHeight="1" s="341">
      <c r="A786" s="609" t="inlineStr">
        <is>
          <t xml:space="preserve">    Next j</t>
        </is>
      </c>
    </row>
    <row r="787" ht="15" customHeight="1" s="341">
      <c r="A787" s="609" t="n"/>
    </row>
    <row r="788" ht="15" customHeight="1" s="341">
      <c r="A788" s="609" t="inlineStr">
        <is>
          <t xml:space="preserve">    ' Clear form fields (reset for next entry)</t>
        </is>
      </c>
    </row>
    <row r="789" ht="15" customHeight="1" s="341">
      <c r="A789" s="609" t="inlineStr">
        <is>
          <t xml:space="preserve">    Dim clearCells As Variant</t>
        </is>
      </c>
    </row>
    <row r="790" ht="15" customHeight="1" s="341">
      <c r="A790" s="609" t="inlineStr">
        <is>
          <t xml:space="preserve">    clearCells = Array("C5","C6","C7","C8","C9","C10","C11","C12","C13","C14","C15")</t>
        </is>
      </c>
    </row>
    <row r="791" ht="15" customHeight="1" s="341">
      <c r="A791" s="609" t="inlineStr">
        <is>
          <t xml:space="preserve">    Dim cell As Variant</t>
        </is>
      </c>
    </row>
    <row r="792" ht="15" customHeight="1" s="341">
      <c r="A792" s="609" t="inlineStr">
        <is>
          <t xml:space="preserve">    For Each cell In clearCells</t>
        </is>
      </c>
    </row>
    <row r="793" ht="15" customHeight="1" s="341">
      <c r="A793" s="609" t="inlineStr">
        <is>
          <t xml:space="preserve">        wsForm.Range(cell).Value = ""</t>
        </is>
      </c>
    </row>
    <row r="794" ht="15" customHeight="1" s="341">
      <c r="A794" s="609" t="inlineStr">
        <is>
          <t xml:space="preserve">        wsForm.Range(cell).ClearContents</t>
        </is>
      </c>
    </row>
    <row r="795" ht="15" customHeight="1" s="341">
      <c r="A795" s="609" t="inlineStr">
        <is>
          <t xml:space="preserve">    Next cell</t>
        </is>
      </c>
    </row>
    <row r="796" ht="15" customHeight="1" s="341">
      <c r="A796" s="609" t="n"/>
    </row>
    <row r="797" ht="15" customHeight="1" s="341">
      <c r="A797" s="609" t="inlineStr">
        <is>
          <t xml:space="preserve">    ' Log to Audit_Log</t>
        </is>
      </c>
    </row>
    <row r="798" ht="15" customHeight="1" s="341">
      <c r="A798" s="609" t="inlineStr">
        <is>
          <t xml:space="preserve">    On Error Resume Next</t>
        </is>
      </c>
    </row>
    <row r="799" ht="15" customHeight="1" s="341">
      <c r="A799" s="609" t="inlineStr">
        <is>
          <t xml:space="preserve">    Dim wsAudit As Worksheet</t>
        </is>
      </c>
    </row>
    <row r="800" ht="15" customHeight="1" s="341">
      <c r="A800" s="609" t="inlineStr">
        <is>
          <t xml:space="preserve">    Set wsAudit = Me.Sheets("Audit_Log")</t>
        </is>
      </c>
    </row>
    <row r="801" ht="15" customHeight="1" s="341">
      <c r="A801" s="609" t="inlineStr">
        <is>
          <t xml:space="preserve">    Dim auditRow As Long</t>
        </is>
      </c>
    </row>
    <row r="802" ht="15" customHeight="1" s="341">
      <c r="A802" s="609" t="inlineStr">
        <is>
          <t xml:space="preserve">    auditRow = wsAudit.Cells(wsAudit.Rows.Count, 1).End(xlUp).Row + 1</t>
        </is>
      </c>
    </row>
    <row r="803" ht="15" customHeight="1" s="341">
      <c r="A803" s="609" t="inlineStr">
        <is>
          <t xml:space="preserve">    wsAudit.Cells(auditRow, 1).Value = Now()</t>
        </is>
      </c>
    </row>
    <row r="804" ht="15" customHeight="1" s="341">
      <c r="A804" s="609" t="inlineStr">
        <is>
          <t xml:space="preserve">    wsAudit.Cells(auditRow, 2).Value = "ACCOUNT_CREATED"</t>
        </is>
      </c>
    </row>
    <row r="805" ht="15" customHeight="1" s="341">
      <c r="A805" s="609" t="inlineStr">
        <is>
          <t xml:space="preserve">    wsAudit.Cells(auditRow, 3).Value = acctNum</t>
        </is>
      </c>
    </row>
    <row r="806" ht="15" customHeight="1" s="341">
      <c r="A806" s="609" t="inlineStr">
        <is>
          <t xml:space="preserve">    wsAudit.Cells(auditRow, 4).Value = "Success"</t>
        </is>
      </c>
    </row>
    <row r="807" ht="15" customHeight="1" s="341">
      <c r="A807" s="609" t="inlineStr">
        <is>
          <t xml:space="preserve">    wsAudit.Cells(auditRow, 5).Value = Environ("USERNAME")</t>
        </is>
      </c>
    </row>
    <row r="808" ht="15" customHeight="1" s="341">
      <c r="A808" s="609" t="inlineStr">
        <is>
          <t xml:space="preserve">    On Error GoTo ErrHandler</t>
        </is>
      </c>
    </row>
    <row r="809" ht="15" customHeight="1" s="341">
      <c r="A809" s="609" t="n"/>
    </row>
    <row r="810" ht="15" customHeight="1" s="341">
      <c r="A810" s="609" t="inlineStr">
        <is>
          <t xml:space="preserve">    MsgBox "✅  Account " &amp; acctNum &amp; " saved successfully!" &amp; Chr(13) &amp; _</t>
        </is>
      </c>
    </row>
    <row r="811" ht="15" customHeight="1" s="341">
      <c r="A811" s="609" t="inlineStr">
        <is>
          <t xml:space="preserve">           "Form cleared for next entry.", vbInformation, "Account Saved"</t>
        </is>
      </c>
    </row>
    <row r="812" ht="15" customHeight="1" s="341">
      <c r="A812" s="609" t="n"/>
    </row>
    <row r="813" ht="15" customHeight="1" s="341">
      <c r="A813" s="609" t="inlineStr">
        <is>
          <t>CleanExit:</t>
        </is>
      </c>
    </row>
    <row r="814" ht="15" customHeight="1" s="341">
      <c r="A814" s="609" t="inlineStr">
        <is>
          <t xml:space="preserve">    Exit Sub</t>
        </is>
      </c>
    </row>
    <row r="815" ht="15" customHeight="1" s="341">
      <c r="A815" s="609" t="n"/>
    </row>
    <row r="816" ht="15" customHeight="1" s="341">
      <c r="A816" s="609" t="inlineStr">
        <is>
          <t>ErrHandler:</t>
        </is>
      </c>
    </row>
    <row r="817" ht="15" customHeight="1" s="341">
      <c r="A817" s="609" t="inlineStr">
        <is>
          <t xml:space="preserve">    MsgBox "Error in auto-save: " &amp; Err.Description, vbCritical, "Save Error"</t>
        </is>
      </c>
    </row>
    <row r="818" ht="15" customHeight="1" s="341">
      <c r="A818" s="609" t="inlineStr">
        <is>
          <t>End Sub</t>
        </is>
      </c>
    </row>
    <row r="819">
      <c r="A819" t="inlineStr">
        <is>
          <t>' ══════════════════════════════════════════════════════════════════════════</t>
        </is>
      </c>
    </row>
    <row r="820">
      <c r="A820" t="inlineStr">
        <is>
          <t>' SAMICIOUS MICROFINANCE V10 ENTERPRISE — VBA ADDITIONS</t>
        </is>
      </c>
    </row>
    <row r="821">
      <c r="A821" t="inlineStr">
        <is>
          <t>' COPY ALL CODE BELOW AND APPEND TO EXISTING MODULE</t>
        </is>
      </c>
    </row>
    <row r="822">
      <c r="A822" t="inlineStr">
        <is>
          <t>' ══════════════════════════════════════════════════════════════════════════</t>
        </is>
      </c>
    </row>
    <row r="823">
      <c r="A823" t="inlineStr">
        <is>
          <t>'</t>
        </is>
      </c>
    </row>
    <row r="824">
      <c r="A824" t="inlineStr">
        <is>
          <t>' ─── V10: NAVIGATE TO MANAGER DASHBOARD ON OPEN ──────────────────────────</t>
        </is>
      </c>
    </row>
    <row r="825">
      <c r="A825" t="inlineStr">
        <is>
          <t>' PASTE INTO ThisWorkbook (not a Module):</t>
        </is>
      </c>
    </row>
    <row r="826">
      <c r="A826" t="inlineStr">
        <is>
          <t>'</t>
        </is>
      </c>
    </row>
    <row r="827">
      <c r="A827" t="inlineStr">
        <is>
          <t>' Private Sub Workbook_Open()</t>
        </is>
      </c>
    </row>
    <row r="828">
      <c r="A828" t="inlineStr">
        <is>
          <t>'     Application.ScreenUpdating = False</t>
        </is>
      </c>
    </row>
    <row r="829">
      <c r="A829" t="inlineStr">
        <is>
          <t>'     Application.DisplayAlerts = False</t>
        </is>
      </c>
    </row>
    <row r="830">
      <c r="A830" t="inlineStr">
        <is>
          <t>'     ThisWorkbook.Sheets("Manager_Dashboard").Activate</t>
        </is>
      </c>
    </row>
    <row r="831">
      <c r="A831" t="inlineStr">
        <is>
          <t>'     ThisWorkbook.Sheets("Manager_Dashboard").Range("A1").Select</t>
        </is>
      </c>
    </row>
    <row r="832">
      <c r="A832" t="inlineStr">
        <is>
          <t>'     Application.Calculate</t>
        </is>
      </c>
    </row>
    <row r="833">
      <c r="A833" t="inlineStr">
        <is>
          <t>'     Application.ScreenUpdating = True</t>
        </is>
      </c>
    </row>
    <row r="834">
      <c r="A834" t="inlineStr">
        <is>
          <t>' End Sub</t>
        </is>
      </c>
    </row>
    <row r="835">
      <c r="A835" t="inlineStr">
        <is>
          <t>'</t>
        </is>
      </c>
    </row>
    <row r="836">
      <c r="A836" t="inlineStr">
        <is>
          <t>' ─── V10: AUTO-PUSH SAVINGS TO DB_SAVINGS (WorkbookSheetChange trigger) ──</t>
        </is>
      </c>
    </row>
    <row r="837">
      <c r="A837" t="inlineStr">
        <is>
          <t>' PASTE INTO ThisWorkbook:</t>
        </is>
      </c>
    </row>
    <row r="838">
      <c r="A838" t="inlineStr">
        <is>
          <t>'</t>
        </is>
      </c>
    </row>
    <row r="839">
      <c r="A839" t="inlineStr">
        <is>
          <t>' Private Sub Workbook_SheetChange(ByVal Sh As Object, ByVal Target As Range)</t>
        </is>
      </c>
    </row>
    <row r="840">
      <c r="A840" t="inlineStr">
        <is>
          <t>'     Dim savSheets As Variant</t>
        </is>
      </c>
    </row>
    <row r="841">
      <c r="A841" t="inlineStr">
        <is>
          <t>'     savSheets = Array("Agent01_Savings","Agent02_Savings","Agent03_Savings","Agent04_Savings","Agent05_Savings","Agent06_Savings","Agent07_Savings","Agent08_Savings","Agent09_Savings","Agent10_Savings")</t>
        </is>
      </c>
    </row>
    <row r="842">
      <c r="A842" t="inlineStr">
        <is>
          <t>'     Dim i As Integer</t>
        </is>
      </c>
    </row>
    <row r="843">
      <c r="A843" t="inlineStr">
        <is>
          <t>'     For i = 0 To UBound(savSheets)</t>
        </is>
      </c>
    </row>
    <row r="844">
      <c r="A844" t="inlineStr">
        <is>
          <t>'         If Sh.Name = savSheets(i) Then</t>
        </is>
      </c>
    </row>
    <row r="845">
      <c r="A845" t="inlineStr">
        <is>
          <t>'             If Not Intersect(Target, Sh.Range("E9:E208")) Is Nothing Then</t>
        </is>
      </c>
    </row>
    <row r="846">
      <c r="A846" t="inlineStr">
        <is>
          <t>'                 Call AutoPushSavingsRow(Sh)</t>
        </is>
      </c>
    </row>
    <row r="847">
      <c r="A847" t="inlineStr">
        <is>
          <t>'             End If</t>
        </is>
      </c>
    </row>
    <row r="848">
      <c r="A848" t="inlineStr">
        <is>
          <t>'             Exit For</t>
        </is>
      </c>
    </row>
    <row r="849">
      <c r="A849" t="inlineStr">
        <is>
          <t>'         End If</t>
        </is>
      </c>
    </row>
    <row r="850">
      <c r="A850" t="inlineStr">
        <is>
          <t>'     Next i</t>
        </is>
      </c>
    </row>
    <row r="851">
      <c r="A851" t="inlineStr">
        <is>
          <t>' End Sub</t>
        </is>
      </c>
    </row>
    <row r="852">
      <c r="A852" t="inlineStr">
        <is>
          <t>'</t>
        </is>
      </c>
    </row>
    <row r="853">
      <c r="A853" t="inlineStr">
        <is>
          <t>' ─── V10: AUTO-PUSH SAVINGS ROW TO DB_SAVINGS ────────────────────────────</t>
        </is>
      </c>
    </row>
    <row r="854">
      <c r="A854" t="inlineStr">
        <is>
          <t>Sub AutoPushSavingsRow(ws As Worksheet)</t>
        </is>
      </c>
    </row>
    <row r="855">
      <c r="A855" t="inlineStr">
        <is>
          <t xml:space="preserve">    Dim dbS As Worksheet: Set dbS = ThisWorkbook.Sheets("DB_Savings")</t>
        </is>
      </c>
    </row>
    <row r="856">
      <c r="A856" t="inlineStr">
        <is>
          <t xml:space="preserve">    Dim dbC As Worksheet: Set dbC = ThisWorkbook.Sheets("DB_Customers")</t>
        </is>
      </c>
    </row>
    <row r="857">
      <c r="A857" t="inlineStr">
        <is>
          <t xml:space="preserve">    Dim r As Long</t>
        </is>
      </c>
    </row>
    <row r="858">
      <c r="A858" t="inlineStr">
        <is>
          <t xml:space="preserve">    For r = 9 To 208</t>
        </is>
      </c>
    </row>
    <row r="859">
      <c r="A859" t="inlineStr">
        <is>
          <t xml:space="preserve">        Dim acct As String: acct = Trim(CStr(ws.Cells(r, 1).Value))</t>
        </is>
      </c>
    </row>
    <row r="860">
      <c r="A860" t="inlineStr">
        <is>
          <t xml:space="preserve">        Dim amt  As Double</t>
        </is>
      </c>
    </row>
    <row r="861">
      <c r="A861" t="inlineStr">
        <is>
          <t xml:space="preserve">        Dim agt  As String: agt = Trim(CStr(ws.Cells(r, 7).Value))</t>
        </is>
      </c>
    </row>
    <row r="862">
      <c r="A862" t="inlineStr">
        <is>
          <t xml:space="preserve">        Dim code As String: code = Trim(CStr(ws.Cells(r, 8).Value))</t>
        </is>
      </c>
    </row>
    <row r="863">
      <c r="A863" t="inlineStr">
        <is>
          <t xml:space="preserve">        Dim stat As String: stat = Trim(CStr(ws.Cells(r, 9).Value))</t>
        </is>
      </c>
    </row>
    <row r="864">
      <c r="A864" t="inlineStr">
        <is>
          <t xml:space="preserve">        If acct = "" Or Not IsNumeric(ws.Cells(r, 5).Value) Then GoTo NextRow</t>
        </is>
      </c>
    </row>
    <row r="865">
      <c r="A865" t="inlineStr">
        <is>
          <t xml:space="preserve">        amt = CDbl(ws.Cells(r, 5).Value)</t>
        </is>
      </c>
    </row>
    <row r="866">
      <c r="A866" t="inlineStr">
        <is>
          <t xml:space="preserve">        If amt &lt;= 0 Then GoTo NextRow</t>
        </is>
      </c>
    </row>
    <row r="867">
      <c r="A867" t="inlineStr">
        <is>
          <t xml:space="preserve">        If stat &lt;&gt; "Saved" Then GoTo NextRow</t>
        </is>
      </c>
    </row>
    <row r="868">
      <c r="A868" t="inlineStr">
        <is>
          <t xml:space="preserve">        ' Generate Transaction ID</t>
        </is>
      </c>
    </row>
    <row r="869">
      <c r="A869" t="inlineStr">
        <is>
          <t xml:space="preserve">        Dim txnID As String</t>
        </is>
      </c>
    </row>
    <row r="870">
      <c r="A870" t="inlineStr">
        <is>
          <t xml:space="preserve">        txnID = "SAV" &amp; Format(Now, "YYYYMMDDHHMMSS") &amp; Format(r - 8, "000")</t>
        </is>
      </c>
    </row>
    <row r="871">
      <c r="A871" t="inlineStr">
        <is>
          <t xml:space="preserve">        ' Check duplicate by TxnID pattern matching agent+row</t>
        </is>
      </c>
    </row>
    <row r="872">
      <c r="A872" t="inlineStr">
        <is>
          <t xml:space="preserve">        Dim dupKey As String: dupKey = ws.Name &amp; "_R" &amp; r</t>
        </is>
      </c>
    </row>
    <row r="873">
      <c r="A873" t="inlineStr">
        <is>
          <t xml:space="preserve">        If Application.CountIf(dbS.Columns(11), dupKey) &gt; 0 Then GoTo NextRow</t>
        </is>
      </c>
    </row>
    <row r="874">
      <c r="A874" t="inlineStr">
        <is>
          <t xml:space="preserve">        ' Push to DB_Savings</t>
        </is>
      </c>
    </row>
    <row r="875">
      <c r="A875" t="inlineStr">
        <is>
          <t xml:space="preserve">        Dim lr As Long: lr = dbS.Cells(dbS.Rows.Count, 1).End(xlUp).Row + 1</t>
        </is>
      </c>
    </row>
    <row r="876">
      <c r="A876" t="inlineStr">
        <is>
          <t xml:space="preserve">        If lr &lt; 4 Then lr = 4</t>
        </is>
      </c>
    </row>
    <row r="877">
      <c r="A877" t="inlineStr">
        <is>
          <t xml:space="preserve">        Dim custRow As Variant</t>
        </is>
      </c>
    </row>
    <row r="878">
      <c r="A878" t="inlineStr">
        <is>
          <t xml:space="preserve">        custRow = Application.Match(acct, dbC.Columns(1), 0)</t>
        </is>
      </c>
    </row>
    <row r="879">
      <c r="A879" t="inlineStr">
        <is>
          <t xml:space="preserve">        Dim custName As String</t>
        </is>
      </c>
    </row>
    <row r="880">
      <c r="A880" t="inlineStr">
        <is>
          <t xml:space="preserve">        If Not IsError(custRow) Then custName = CStr(dbC.Cells(custRow, 4).Value) Else custName = ""</t>
        </is>
      </c>
    </row>
    <row r="881">
      <c r="A881" t="inlineStr">
        <is>
          <t xml:space="preserve">        dbS.Cells(lr, 1).Value  = lr - 3</t>
        </is>
      </c>
    </row>
    <row r="882">
      <c r="A882" t="inlineStr">
        <is>
          <t xml:space="preserve">        dbS.Cells(lr, 2).Value  = txnID</t>
        </is>
      </c>
    </row>
    <row r="883">
      <c r="A883" t="inlineStr">
        <is>
          <t xml:space="preserve">        dbS.Cells(lr, 3).Value  = acct</t>
        </is>
      </c>
    </row>
    <row r="884">
      <c r="A884" t="inlineStr">
        <is>
          <t xml:space="preserve">        dbS.Cells(lr, 4).Value  = custName</t>
        </is>
      </c>
    </row>
    <row r="885">
      <c r="A885" t="inlineStr">
        <is>
          <t xml:space="preserve">        dbS.Cells(lr, 5).Value  = Date</t>
        </is>
      </c>
    </row>
    <row r="886">
      <c r="A886" t="inlineStr">
        <is>
          <t xml:space="preserve">        dbS.Cells(lr, 6).Value  = amt</t>
        </is>
      </c>
    </row>
    <row r="887">
      <c r="A887" t="inlineStr">
        <is>
          <t xml:space="preserve">        dbS.Cells(lr, 7).Value  = agt</t>
        </is>
      </c>
    </row>
    <row r="888">
      <c r="A888" t="inlineStr">
        <is>
          <t xml:space="preserve">        dbS.Cells(lr, 8).Value  = "Verified"</t>
        </is>
      </c>
    </row>
    <row r="889">
      <c r="A889" t="inlineStr">
        <is>
          <t xml:space="preserve">        dbS.Cells(lr, 9).Value  = Format(Now, "YYYY-MM-DD HH:MM:SS")</t>
        </is>
      </c>
    </row>
    <row r="890">
      <c r="A890" t="inlineStr">
        <is>
          <t xml:space="preserve">        dbS.Cells(lr, 10).Value = ws.Cells(r, 11).Value</t>
        </is>
      </c>
    </row>
    <row r="891">
      <c r="A891" t="inlineStr">
        <is>
          <t xml:space="preserve">        dbS.Cells(lr, 11).Value = dupKey</t>
        </is>
      </c>
    </row>
    <row r="892">
      <c r="A892" t="inlineStr">
        <is>
          <t xml:space="preserve">        ' Audit</t>
        </is>
      </c>
    </row>
    <row r="893">
      <c r="A893" t="inlineStr">
        <is>
          <t xml:space="preserve">        LogAudit "SAVINGS_PUSHED", "TxnID: " &amp; txnID &amp; " | Acct: " &amp; acct &amp; " | GHC " &amp; amt &amp; " | " &amp; agt</t>
        </is>
      </c>
    </row>
    <row r="894">
      <c r="A894" t="inlineStr">
        <is>
          <t>NextRow:</t>
        </is>
      </c>
    </row>
    <row r="895">
      <c r="A895" t="inlineStr">
        <is>
          <t xml:space="preserve">    Next r</t>
        </is>
      </c>
    </row>
    <row r="896">
      <c r="A896" t="inlineStr">
        <is>
          <t>End Sub</t>
        </is>
      </c>
    </row>
    <row r="897">
      <c r="A897" t="inlineStr"/>
    </row>
    <row r="898">
      <c r="A898" t="inlineStr">
        <is>
          <t>' ─── V10: EXPORT ANNUAL REPORT TO NEW WORKBOOK ───────────────────────────</t>
        </is>
      </c>
    </row>
    <row r="899">
      <c r="A899" t="inlineStr">
        <is>
          <t>Sub ExportAnnualReport()</t>
        </is>
      </c>
    </row>
    <row r="900">
      <c r="A900" t="inlineStr">
        <is>
          <t xml:space="preserve">    Dim wsRpt As Worksheet: Set wsRpt = ThisWorkbook.Sheets("Annual_Report")</t>
        </is>
      </c>
    </row>
    <row r="901">
      <c r="A901" t="inlineStr">
        <is>
          <t xml:space="preserve">    Dim wsAI  As Worksheet: Set wsAI  = ThisWorkbook.Sheets("AI_Intelligence")</t>
        </is>
      </c>
    </row>
    <row r="902">
      <c r="A902" t="inlineStr">
        <is>
          <t xml:space="preserve">    Dim newWB As Workbook: Set newWB = Workbooks.Add</t>
        </is>
      </c>
    </row>
    <row r="903">
      <c r="A903" t="inlineStr">
        <is>
          <t xml:space="preserve">    wsRpt.Copy Before:=newWB.Sheets(1)</t>
        </is>
      </c>
    </row>
    <row r="904">
      <c r="A904" t="inlineStr">
        <is>
          <t xml:space="preserve">    wsAI.Copy After:=newWB.Sheets(newWB.Sheets.Count)</t>
        </is>
      </c>
    </row>
    <row r="905">
      <c r="A905" t="inlineStr">
        <is>
          <t xml:space="preserve">    Dim savePath As String</t>
        </is>
      </c>
    </row>
    <row r="906">
      <c r="A906" t="inlineStr">
        <is>
          <t xml:space="preserve">    savePath = Environ("USERPROFILE") &amp; "\Desktop\SAMICIOUS_Annual_Report_" &amp; Format(Now, "YYYYMMDD_HHMM") &amp; ".xlsx"</t>
        </is>
      </c>
    </row>
    <row r="907">
      <c r="A907" t="inlineStr">
        <is>
          <t xml:space="preserve">    newWB.SaveAs savePath, xlOpenXMLWorkbook</t>
        </is>
      </c>
    </row>
    <row r="908">
      <c r="A908" t="inlineStr">
        <is>
          <t xml:space="preserve">    newWB.Close False</t>
        </is>
      </c>
    </row>
    <row r="909">
      <c r="A909" t="inlineStr">
        <is>
          <t xml:space="preserve">    LogAudit "EXPORT_REPORT", "Annual Report exported to: " &amp; savePath</t>
        </is>
      </c>
    </row>
    <row r="910">
      <c r="A910" t="inlineStr">
        <is>
          <t xml:space="preserve">    MsgBox "✅ Annual Report exported to Desktop!" &amp; vbCrLf &amp; savePath, vbInformation, "Export Complete"</t>
        </is>
      </c>
    </row>
    <row r="911">
      <c r="A911" t="inlineStr">
        <is>
          <t>End Sub</t>
        </is>
      </c>
    </row>
    <row r="912">
      <c r="A912" t="inlineStr"/>
    </row>
    <row r="913">
      <c r="A913" t="inlineStr">
        <is>
          <t>' ─── V10: CLOUD SYNC PUSH (stub — wire to actual Firebase key in CLOUD_SYNC) ──</t>
        </is>
      </c>
    </row>
    <row r="914">
      <c r="A914" t="inlineStr">
        <is>
          <t>Sub CloudSyncPush()</t>
        </is>
      </c>
    </row>
    <row r="915">
      <c r="A915" t="inlineStr">
        <is>
          <t xml:space="preserve">    ' For live deployment: replace MsgBox with HTTP POST via XMLHTTP</t>
        </is>
      </c>
    </row>
    <row r="916">
      <c r="A916" t="inlineStr">
        <is>
          <t xml:space="preserve">    Dim pendingRecs As Long</t>
        </is>
      </c>
    </row>
    <row r="917">
      <c r="A917" t="inlineStr">
        <is>
          <t xml:space="preserve">    pendingRecs = ThisWorkbook.Sheets("CLOUD_SYNC").Range("D8").Value</t>
        </is>
      </c>
    </row>
    <row r="918">
      <c r="A918" t="inlineStr">
        <is>
          <t xml:space="preserve">    If Not IsNumeric(pendingRecs) Then pendingRecs = 0</t>
        </is>
      </c>
    </row>
    <row r="919">
      <c r="A919" t="inlineStr">
        <is>
          <t xml:space="preserve">    MsgBox "☁️  CLOUD SYNC — SAMICIOUS MICROFINANCE v10" &amp; vbCrLf &amp; vbCrLf &amp; _</t>
        </is>
      </c>
    </row>
    <row r="920">
      <c r="A920" t="inlineStr">
        <is>
          <t xml:space="preserve">           "Pending Records: " &amp; pendingRecs &amp; vbCrLf &amp; _</t>
        </is>
      </c>
    </row>
    <row r="921">
      <c r="A921" t="inlineStr">
        <is>
          <t xml:space="preserve">           "Endpoint: " &amp; ThisWorkbook.Sheets("CLOUD_SYNC").Range("D17").Value &amp; vbCrLf &amp; _</t>
        </is>
      </c>
    </row>
    <row r="922">
      <c r="A922" t="inlineStr">
        <is>
          <t xml:space="preserve">           "Company ID: " &amp; ThisWorkbook.Sheets("CLOUD_SYNC").Range("D19").Value &amp; vbCrLf &amp; vbCrLf &amp; _</t>
        </is>
      </c>
    </row>
    <row r="923">
      <c r="A923" t="inlineStr">
        <is>
          <t xml:space="preserve">           "LIVE SYNC: Install Firebase VBA SDK from Cloud_Sync sheet instructions." &amp; vbCrLf &amp; _</t>
        </is>
      </c>
    </row>
    <row r="924">
      <c r="A924" t="inlineStr">
        <is>
          <t xml:space="preserve">           "All local data is formula-synced. DB is always current.", _</t>
        </is>
      </c>
    </row>
    <row r="925">
      <c r="A925" t="inlineStr">
        <is>
          <t xml:space="preserve">           vbInformation, "Cloud Sync Status"</t>
        </is>
      </c>
    </row>
    <row r="926">
      <c r="A926" t="inlineStr">
        <is>
          <t xml:space="preserve">    LogAudit "CLOUD_SYNC_CHECK", "Manual sync check. Pending: " &amp; pendingRecs</t>
        </is>
      </c>
    </row>
    <row r="927">
      <c r="A927" t="inlineStr">
        <is>
          <t>End Sub</t>
        </is>
      </c>
    </row>
    <row r="928">
      <c r="A928" t="inlineStr"/>
    </row>
    <row r="929">
      <c r="A929" t="inlineStr">
        <is>
          <t>' ─── V10: INTELLIGENT BALANCE SUMMARY ────────────────────────────────────</t>
        </is>
      </c>
    </row>
    <row r="930">
      <c r="A930" t="inlineStr">
        <is>
          <t>Sub IntelligentBalanceSummary()</t>
        </is>
      </c>
    </row>
    <row r="931">
      <c r="A931" t="inlineStr">
        <is>
          <t xml:space="preserve">    Dim dbC As Worksheet: Set dbC = ThisWorkbook.Sheets("DB_Customers")</t>
        </is>
      </c>
    </row>
    <row r="932">
      <c r="A932" t="inlineStr">
        <is>
          <t xml:space="preserve">    Dim sc  As Worksheet: Set sc  = ThisWorkbook.Sheets("System_Config")</t>
        </is>
      </c>
    </row>
    <row r="933">
      <c r="A933" t="inlineStr">
        <is>
          <t xml:space="preserve">    Dim totalPort As Double</t>
        </is>
      </c>
    </row>
    <row r="934">
      <c r="A934" t="inlineStr">
        <is>
          <t xml:space="preserve">    Dim zeroBalCount As Long</t>
        </is>
      </c>
    </row>
    <row r="935">
      <c r="A935" t="inlineStr">
        <is>
          <t xml:space="preserve">    Dim minBalBreachCount As Long</t>
        </is>
      </c>
    </row>
    <row r="936">
      <c r="A936" t="inlineStr">
        <is>
          <t xml:space="preserve">    Dim activeCount As Long</t>
        </is>
      </c>
    </row>
    <row r="937">
      <c r="A937" t="inlineStr">
        <is>
          <t xml:space="preserve">    Dim minBal As Double: minBal = sc.Range("B9").Value</t>
        </is>
      </c>
    </row>
    <row r="938">
      <c r="A938" t="inlineStr">
        <is>
          <t xml:space="preserve">    Dim r As Long</t>
        </is>
      </c>
    </row>
    <row r="939">
      <c r="A939" t="inlineStr">
        <is>
          <t xml:space="preserve">    For r = 4 To 1002</t>
        </is>
      </c>
    </row>
    <row r="940">
      <c r="A940" t="inlineStr">
        <is>
          <t xml:space="preserve">        If dbC.Cells(r, 1).Value &lt;&gt; "" And dbC.Cells(r, 11).Value = "Active" Then</t>
        </is>
      </c>
    </row>
    <row r="941">
      <c r="A941" t="inlineStr">
        <is>
          <t xml:space="preserve">            activeCount = activeCount + 1</t>
        </is>
      </c>
    </row>
    <row r="942">
      <c r="A942" t="inlineStr">
        <is>
          <t xml:space="preserve">            Dim bal As Double: bal = CDbl(dbC.Cells(r, 14).Value)</t>
        </is>
      </c>
    </row>
    <row r="943">
      <c r="A943" t="inlineStr">
        <is>
          <t xml:space="preserve">            totalPort = totalPort + bal</t>
        </is>
      </c>
    </row>
    <row r="944">
      <c r="A944" t="inlineStr">
        <is>
          <t xml:space="preserve">            If bal &lt; minBal Then minBalBreachCount = minBalBreachCount + 1</t>
        </is>
      </c>
    </row>
    <row r="945">
      <c r="A945" t="inlineStr">
        <is>
          <t xml:space="preserve">            If bal = 0 Then zeroBalCount = zeroBalCount + 1</t>
        </is>
      </c>
    </row>
    <row r="946">
      <c r="A946" t="inlineStr">
        <is>
          <t xml:space="preserve">        End If</t>
        </is>
      </c>
    </row>
    <row r="947">
      <c r="A947" t="inlineStr">
        <is>
          <t xml:space="preserve">    Next r</t>
        </is>
      </c>
    </row>
    <row r="948">
      <c r="A948" t="inlineStr">
        <is>
          <t xml:space="preserve">    MsgBox "📊 INTELLIGENT PORTFOLIO SUMMARY" &amp; vbCrLf &amp; vbCrLf &amp; _</t>
        </is>
      </c>
    </row>
    <row r="949">
      <c r="A949" t="inlineStr">
        <is>
          <t xml:space="preserve">           "Active Accounts:       " &amp; activeCount &amp; vbCrLf &amp; _</t>
        </is>
      </c>
    </row>
    <row r="950">
      <c r="A950" t="inlineStr">
        <is>
          <t xml:space="preserve">           "Total Portfolio (GHC): " &amp; Format(totalPort, "#,##0.00") &amp; vbCrLf &amp; _</t>
        </is>
      </c>
    </row>
    <row r="951">
      <c r="A951" t="inlineStr">
        <is>
          <t xml:space="preserve">           "Avg Balance (GHC):     " &amp; Format(IIf(activeCount &gt; 0, totalPort / activeCount, 0), "#,##0.00") &amp; vbCrLf &amp; _</t>
        </is>
      </c>
    </row>
    <row r="952">
      <c r="A952" t="inlineStr">
        <is>
          <t xml:space="preserve">           "Zero-Balance Accts:    " &amp; zeroBalCount &amp; vbCrLf &amp; _</t>
        </is>
      </c>
    </row>
    <row r="953">
      <c r="A953" t="inlineStr">
        <is>
          <t xml:space="preserve">           "Below Min Balance:     " &amp; minBalBreachCount &amp; " (Min: GHC " &amp; Format(minBal, "0.00") &amp; ")" &amp; vbCrLf &amp; vbCrLf &amp; _</t>
        </is>
      </c>
    </row>
    <row r="954">
      <c r="A954" t="inlineStr">
        <is>
          <t xml:space="preserve">           "View AI_Intelligence tab for full trend analysis.", _</t>
        </is>
      </c>
    </row>
    <row r="955">
      <c r="A955" t="inlineStr">
        <is>
          <t xml:space="preserve">           vbInformation, "Portfolio Intelligence"</t>
        </is>
      </c>
    </row>
    <row r="956">
      <c r="A956" t="inlineStr">
        <is>
          <t xml:space="preserve">    LogAudit "PORTFOLIO_REPORT", "Total: GHC " &amp; totalPort &amp; " | Active: " &amp; activeCount</t>
        </is>
      </c>
    </row>
    <row r="957">
      <c r="A957" t="inlineStr">
        <is>
          <t>End Sub</t>
        </is>
      </c>
    </row>
    <row r="958">
      <c r="A958" t="inlineStr">
        <is>
          <t>' ══════════════════════════════════════════════════════════════════════════</t>
        </is>
      </c>
    </row>
    <row r="959">
      <c r="A959" t="inlineStr">
        <is>
          <t>' HOW TO INSTALL V10 VBA:</t>
        </is>
      </c>
    </row>
    <row r="960">
      <c r="A960" t="inlineStr">
        <is>
          <t>'   1. Alt+F11 → VBA Editor opens</t>
        </is>
      </c>
    </row>
    <row r="961">
      <c r="A961" t="inlineStr">
        <is>
          <t>'   2. Double-click Module1 (or Insert &gt; Module if none exists)</t>
        </is>
      </c>
    </row>
    <row r="962">
      <c r="A962" t="inlineStr">
        <is>
          <t>'   3. Paste ALL code from VBA_Macros sheet (rows 5 onward)</t>
        </is>
      </c>
    </row>
    <row r="963">
      <c r="A963" t="inlineStr">
        <is>
          <t>'   4. Double-click "ThisWorkbook" in Project Explorer</t>
        </is>
      </c>
    </row>
    <row r="964">
      <c r="A964" t="inlineStr">
        <is>
          <t>'   5. Paste the Workbook_Open and Workbook_SheetChange subs</t>
        </is>
      </c>
    </row>
    <row r="965">
      <c r="A965" t="inlineStr">
        <is>
          <t>'   6. Close VBA Editor and Save As .xlsm</t>
        </is>
      </c>
    </row>
    <row r="966">
      <c r="A966" t="inlineStr">
        <is>
          <t>'   7. System is immediately active — zero manual configuration</t>
        </is>
      </c>
    </row>
    <row r="967">
      <c r="A967" t="inlineStr">
        <is>
          <t>' ══════════════════════════════════════════════════════════════════════════</t>
        </is>
      </c>
    </row>
  </sheetData>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50.xml><?xml version="1.0" encoding="utf-8"?>
<worksheet xmlns="http://schemas.openxmlformats.org/spreadsheetml/2006/main">
  <sheetPr filterMode="0">
    <tabColor rgb="FF7B1FA2"/>
    <outlinePr summaryBelow="1" summaryRight="1"/>
    <pageSetUpPr fitToPage="0"/>
  </sheetPr>
  <dimension ref="A1:M36"/>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zeroHeight="0" outlineLevelRow="0"/>
  <cols>
    <col width="12" customWidth="1" style="340" min="1" max="1"/>
    <col width="14" customWidth="1" style="340" min="2" max="2"/>
    <col width="16" customWidth="1" style="340" min="3" max="3"/>
    <col width="12" customWidth="1" style="340" min="4" max="4"/>
    <col width="10" customWidth="1" style="340" min="5" max="5"/>
    <col width="13" customWidth="1" style="340" min="6" max="6"/>
    <col width="12" customWidth="1" style="340" min="7" max="7"/>
    <col width="16" customWidth="1" style="340" min="8" max="8"/>
    <col width="14" customWidth="1" style="340" min="9" max="11"/>
    <col width="36" customWidth="1" style="340" min="12" max="12"/>
  </cols>
  <sheetData>
    <row r="1" ht="42" customHeight="1" s="341">
      <c r="A1" s="610" t="inlineStr">
        <is>
          <t>🤖  SAMICIOUS AI INTELLIGENCE &amp; PREDICTIVE ANALYTICS — v10 ENTERPRISE</t>
        </is>
      </c>
    </row>
    <row r="2" ht="21.75" customHeight="1" s="341">
      <c r="A2" s="611" t="inlineStr">
        <is>
          <t>Live Trend Detection  |  Anomaly Alerts  |  6-Month Forecasting  |  Agent Intelligence Scores</t>
        </is>
      </c>
    </row>
    <row r="3" ht="19.5" customHeight="1" s="341">
      <c r="A3" s="612" t="inlineStr">
        <is>
          <t>━━━  LIVE KPI METRICS  ━━━</t>
        </is>
      </c>
    </row>
    <row r="4" ht="18" customHeight="1" s="341">
      <c r="A4" s="613" t="inlineStr">
        <is>
          <t>TOTAL PORTFOLIO (GHC)</t>
        </is>
      </c>
      <c r="C4" s="614" t="inlineStr">
        <is>
          <t>MTH GROWTH</t>
        </is>
      </c>
      <c r="E4" s="615" t="inlineStr">
        <is>
          <t>RISK SCORE</t>
        </is>
      </c>
      <c r="G4" s="616" t="inlineStr">
        <is>
          <t>TOP AGENT</t>
        </is>
      </c>
      <c r="I4" s="617" t="inlineStr">
        <is>
          <t>NET FLOW</t>
        </is>
      </c>
      <c r="K4" s="618" t="inlineStr">
        <is>
          <t>LOAN EXPOSURE</t>
        </is>
      </c>
    </row>
    <row r="5" ht="27.75" customHeight="1" s="341">
      <c r="A5" s="619">
        <f>SUMIF(DB_Customers!K:K,"Active",DB_Customers!N:N)</f>
        <v/>
      </c>
      <c r="C5" s="620">
        <f>IFERROR((Monthly_Balancing!B4-Monthly_Balancing!B3)/ABS(Monthly_Balancing!B3),0)</f>
        <v/>
      </c>
      <c r="E5" s="621">
        <f>IFERROR(COUNTIF(DB_Loans!K:K,"Pending")/MAX(1,COUNTA(DB_Loans!A:A)-3)*100,0)</f>
        <v/>
      </c>
      <c r="G5" s="622">
        <f>IFERROR(INDEX(Daily_Balancing!A4:A13,MATCH(MAX(Daily_Balancing!B4:B13),Daily_Balancing!B4:B13,0)),"N/A")</f>
        <v/>
      </c>
      <c r="I5" s="619">
        <f>IFERROR(SUM(DB_Savings!F4:F2000)-SUM(DB_Withdrawals!G4:G2000),0)</f>
        <v/>
      </c>
      <c r="K5" s="619">
        <f>IFERROR(SUMIF(DB_Loans!K:K,"Approved",DB_Loans!I:I),0)</f>
        <v/>
      </c>
    </row>
    <row r="7" ht="19.5" customHeight="1" s="341">
      <c r="A7" s="623" t="inlineStr">
        <is>
          <t>🔍 AI AGENT PERFORMANCE INTELLIGENCE — Month-to-Date</t>
        </is>
      </c>
    </row>
    <row r="8" ht="15" customHeight="1" s="341">
      <c r="A8" s="624" t="inlineStr">
        <is>
          <t>Agent</t>
        </is>
      </c>
      <c r="B8" s="624" t="inlineStr">
        <is>
          <t>MTD Savings</t>
        </is>
      </c>
      <c r="C8" s="624" t="inlineStr">
        <is>
          <t>MTD Withdrawals</t>
        </is>
      </c>
      <c r="D8" s="624" t="inlineStr">
        <is>
          <t>Net Flow</t>
        </is>
      </c>
      <c r="E8" s="624" t="inlineStr">
        <is>
          <t>Tx Count</t>
        </is>
      </c>
      <c r="F8" s="624" t="inlineStr">
        <is>
          <t>Avg Tx</t>
        </is>
      </c>
      <c r="G8" s="624" t="inlineStr">
        <is>
          <t>Growth %</t>
        </is>
      </c>
      <c r="H8" s="624" t="inlineStr">
        <is>
          <t>Tier</t>
        </is>
      </c>
      <c r="I8" s="624" t="inlineStr">
        <is>
          <t>Anomaly</t>
        </is>
      </c>
      <c r="J8" s="624" t="inlineStr">
        <is>
          <t>7d Forecast</t>
        </is>
      </c>
      <c r="K8" s="624" t="inlineStr">
        <is>
          <t>Efficiency%</t>
        </is>
      </c>
      <c r="L8" s="624" t="inlineStr">
        <is>
          <t>AI Recommendation</t>
        </is>
      </c>
    </row>
    <row r="9" ht="15" customHeight="1" s="341">
      <c r="A9" s="625" t="inlineStr">
        <is>
          <t>Agent 01</t>
        </is>
      </c>
      <c r="B9" s="626">
        <f>SUMIFS(DB_Savings!$F:$F,DB_Savings!$G:$G,"Agent 01",DB_Savings!$E:$E,"&gt;="&amp;DATE(YEAR(TODAY()),MONTH(TODAY()),1))</f>
        <v/>
      </c>
      <c r="C9" s="626">
        <f>SUMIFS(DB_Withdrawals!$G:$G,DB_Withdrawals!$J:$J,"Agent 01",DB_Withdrawals!$F:$F,"&gt;="&amp;DATE(YEAR(TODAY()),MONTH(TODAY()),1))</f>
        <v/>
      </c>
      <c r="D9" s="626">
        <f>B9-C9</f>
        <v/>
      </c>
      <c r="E9" s="627">
        <f>COUNTIFS(DB_Savings!$G:$G,"Agent 01",DB_Savings!$E:$E,"&gt;="&amp;DATE(YEAR(TODAY()),MONTH(TODAY()),1))</f>
        <v/>
      </c>
      <c r="F9" s="626">
        <f>IFERROR(B9/MAX(1,E9),0)</f>
        <v/>
      </c>
      <c r="G9" s="628">
        <f>IFERROR((B9-Monthly_Balancing!B8)/MAX(1,ABS(Monthly_Balancing!B8)),0)</f>
        <v/>
      </c>
      <c r="H9" s="629">
        <f>IF(G9&gt;=0.1,"🟢 HIGH",IF(G9&gt;=0,"🟡 STABLE",IF(G9&gt;=-0.1,"🟠 DECLINE","🔴 CRITICAL")))</f>
        <v/>
      </c>
      <c r="I9" s="629">
        <f>IF(E9=0,"⚠️ NO TX",IF(ABS(G9)&gt;0.5,"🚨 ANOMALY","✅ NORMAL"))</f>
        <v/>
      </c>
      <c r="J9" s="626">
        <f>IFERROR(B9/MAX(1,DAY(TODAY()))*7,0)</f>
        <v/>
      </c>
      <c r="K9" s="630">
        <f>IFERROR(B9/MAX(1,Daily_Balancing!F4)*100,0)</f>
        <v/>
      </c>
      <c r="L9" s="631">
        <f>IF(G9&gt;=0.1,"Excellent — sustain",IF(G9&gt;=0,"Stable — push 10%",IF(G9&gt;=-0.1,"Review accounts",IF(E9=0,"URGENT: No activity today","ALERT: Critical decline"))))</f>
        <v/>
      </c>
    </row>
    <row r="10" ht="15" customHeight="1" s="341">
      <c r="A10" s="632" t="inlineStr">
        <is>
          <t>Agent 02</t>
        </is>
      </c>
      <c r="B10" s="633">
        <f>SUMIFS(DB_Savings!$F:$F,DB_Savings!$G:$G,"Agent 02",DB_Savings!$E:$E,"&gt;="&amp;DATE(YEAR(TODAY()),MONTH(TODAY()),1))</f>
        <v/>
      </c>
      <c r="C10" s="633">
        <f>SUMIFS(DB_Withdrawals!$G:$G,DB_Withdrawals!$J:$J,"Agent 02",DB_Withdrawals!$F:$F,"&gt;="&amp;DATE(YEAR(TODAY()),MONTH(TODAY()),1))</f>
        <v/>
      </c>
      <c r="D10" s="633">
        <f>B10-C10</f>
        <v/>
      </c>
      <c r="E10" s="634">
        <f>COUNTIFS(DB_Savings!$G:$G,"Agent 02",DB_Savings!$E:$E,"&gt;="&amp;DATE(YEAR(TODAY()),MONTH(TODAY()),1))</f>
        <v/>
      </c>
      <c r="F10" s="633">
        <f>IFERROR(B10/MAX(1,E10),0)</f>
        <v/>
      </c>
      <c r="G10" s="635">
        <f>IFERROR((B10-Monthly_Balancing!B9)/MAX(1,ABS(Monthly_Balancing!B9)),0)</f>
        <v/>
      </c>
      <c r="H10" s="636">
        <f>IF(G10&gt;=0.1,"🟢 HIGH",IF(G10&gt;=0,"🟡 STABLE",IF(G10&gt;=-0.1,"🟠 DECLINE","🔴 CRITICAL")))</f>
        <v/>
      </c>
      <c r="I10" s="636">
        <f>IF(E10=0,"⚠️ NO TX",IF(ABS(G10)&gt;0.5,"🚨 ANOMALY","✅ NORMAL"))</f>
        <v/>
      </c>
      <c r="J10" s="633">
        <f>IFERROR(B10/MAX(1,DAY(TODAY()))*7,0)</f>
        <v/>
      </c>
      <c r="K10" s="637">
        <f>IFERROR(B10/MAX(1,Daily_Balancing!F5)*100,0)</f>
        <v/>
      </c>
      <c r="L10" s="631">
        <f>IF(G10&gt;=0.1,"Excellent — sustain",IF(G10&gt;=0,"Stable — push 10%",IF(G10&gt;=-0.1,"Review accounts",IF(E10=0,"URGENT: No activity today","ALERT: Critical decline"))))</f>
        <v/>
      </c>
    </row>
    <row r="11" ht="15" customHeight="1" s="341">
      <c r="A11" s="625" t="inlineStr">
        <is>
          <t>Agent 03</t>
        </is>
      </c>
      <c r="B11" s="626">
        <f>SUMIFS(DB_Savings!$F:$F,DB_Savings!$G:$G,"Agent 03",DB_Savings!$E:$E,"&gt;="&amp;DATE(YEAR(TODAY()),MONTH(TODAY()),1))</f>
        <v/>
      </c>
      <c r="C11" s="626">
        <f>SUMIFS(DB_Withdrawals!$G:$G,DB_Withdrawals!$J:$J,"Agent 03",DB_Withdrawals!$F:$F,"&gt;="&amp;DATE(YEAR(TODAY()),MONTH(TODAY()),1))</f>
        <v/>
      </c>
      <c r="D11" s="626">
        <f>B11-C11</f>
        <v/>
      </c>
      <c r="E11" s="627">
        <f>COUNTIFS(DB_Savings!$G:$G,"Agent 03",DB_Savings!$E:$E,"&gt;="&amp;DATE(YEAR(TODAY()),MONTH(TODAY()),1))</f>
        <v/>
      </c>
      <c r="F11" s="626">
        <f>IFERROR(B11/MAX(1,E11),0)</f>
        <v/>
      </c>
      <c r="G11" s="628">
        <f>IFERROR((B11-Monthly_Balancing!B10)/MAX(1,ABS(Monthly_Balancing!B10)),0)</f>
        <v/>
      </c>
      <c r="H11" s="629">
        <f>IF(G11&gt;=0.1,"🟢 HIGH",IF(G11&gt;=0,"🟡 STABLE",IF(G11&gt;=-0.1,"🟠 DECLINE","🔴 CRITICAL")))</f>
        <v/>
      </c>
      <c r="I11" s="629">
        <f>IF(E11=0,"⚠️ NO TX",IF(ABS(G11)&gt;0.5,"🚨 ANOMALY","✅ NORMAL"))</f>
        <v/>
      </c>
      <c r="J11" s="626">
        <f>IFERROR(B11/MAX(1,DAY(TODAY()))*7,0)</f>
        <v/>
      </c>
      <c r="K11" s="630">
        <f>IFERROR(B11/MAX(1,Daily_Balancing!F6)*100,0)</f>
        <v/>
      </c>
      <c r="L11" s="631">
        <f>IF(G11&gt;=0.1,"Excellent — sustain",IF(G11&gt;=0,"Stable — push 10%",IF(G11&gt;=-0.1,"Review accounts",IF(E11=0,"URGENT: No activity today","ALERT: Critical decline"))))</f>
        <v/>
      </c>
    </row>
    <row r="12" ht="15" customHeight="1" s="341">
      <c r="A12" s="632" t="inlineStr">
        <is>
          <t>Agent 04</t>
        </is>
      </c>
      <c r="B12" s="633">
        <f>SUMIFS(DB_Savings!$F:$F,DB_Savings!$G:$G,"Agent 04",DB_Savings!$E:$E,"&gt;="&amp;DATE(YEAR(TODAY()),MONTH(TODAY()),1))</f>
        <v/>
      </c>
      <c r="C12" s="633">
        <f>SUMIFS(DB_Withdrawals!$G:$G,DB_Withdrawals!$J:$J,"Agent 04",DB_Withdrawals!$F:$F,"&gt;="&amp;DATE(YEAR(TODAY()),MONTH(TODAY()),1))</f>
        <v/>
      </c>
      <c r="D12" s="633">
        <f>B12-C12</f>
        <v/>
      </c>
      <c r="E12" s="634">
        <f>COUNTIFS(DB_Savings!$G:$G,"Agent 04",DB_Savings!$E:$E,"&gt;="&amp;DATE(YEAR(TODAY()),MONTH(TODAY()),1))</f>
        <v/>
      </c>
      <c r="F12" s="633">
        <f>IFERROR(B12/MAX(1,E12),0)</f>
        <v/>
      </c>
      <c r="G12" s="635">
        <f>IFERROR((B12-Monthly_Balancing!B11)/MAX(1,ABS(Monthly_Balancing!B11)),0)</f>
        <v/>
      </c>
      <c r="H12" s="636">
        <f>IF(G12&gt;=0.1,"🟢 HIGH",IF(G12&gt;=0,"🟡 STABLE",IF(G12&gt;=-0.1,"🟠 DECLINE","🔴 CRITICAL")))</f>
        <v/>
      </c>
      <c r="I12" s="636">
        <f>IF(E12=0,"⚠️ NO TX",IF(ABS(G12)&gt;0.5,"🚨 ANOMALY","✅ NORMAL"))</f>
        <v/>
      </c>
      <c r="J12" s="633">
        <f>IFERROR(B12/MAX(1,DAY(TODAY()))*7,0)</f>
        <v/>
      </c>
      <c r="K12" s="637">
        <f>IFERROR(B12/MAX(1,Daily_Balancing!F7)*100,0)</f>
        <v/>
      </c>
      <c r="L12" s="631">
        <f>IF(G12&gt;=0.1,"Excellent — sustain",IF(G12&gt;=0,"Stable — push 10%",IF(G12&gt;=-0.1,"Review accounts",IF(E12=0,"URGENT: No activity today","ALERT: Critical decline"))))</f>
        <v/>
      </c>
    </row>
    <row r="13" ht="15" customHeight="1" s="341">
      <c r="A13" s="625" t="inlineStr">
        <is>
          <t>Agent 05</t>
        </is>
      </c>
      <c r="B13" s="626">
        <f>SUMIFS(DB_Savings!$F:$F,DB_Savings!$G:$G,"Agent 05",DB_Savings!$E:$E,"&gt;="&amp;DATE(YEAR(TODAY()),MONTH(TODAY()),1))</f>
        <v/>
      </c>
      <c r="C13" s="626">
        <f>SUMIFS(DB_Withdrawals!$G:$G,DB_Withdrawals!$J:$J,"Agent 05",DB_Withdrawals!$F:$F,"&gt;="&amp;DATE(YEAR(TODAY()),MONTH(TODAY()),1))</f>
        <v/>
      </c>
      <c r="D13" s="626">
        <f>B13-C13</f>
        <v/>
      </c>
      <c r="E13" s="627">
        <f>COUNTIFS(DB_Savings!$G:$G,"Agent 05",DB_Savings!$E:$E,"&gt;="&amp;DATE(YEAR(TODAY()),MONTH(TODAY()),1))</f>
        <v/>
      </c>
      <c r="F13" s="626">
        <f>IFERROR(B13/MAX(1,E13),0)</f>
        <v/>
      </c>
      <c r="G13" s="628">
        <f>IFERROR((B13-Monthly_Balancing!B12)/MAX(1,ABS(Monthly_Balancing!B12)),0)</f>
        <v/>
      </c>
      <c r="H13" s="629">
        <f>IF(G13&gt;=0.1,"🟢 HIGH",IF(G13&gt;=0,"🟡 STABLE",IF(G13&gt;=-0.1,"🟠 DECLINE","🔴 CRITICAL")))</f>
        <v/>
      </c>
      <c r="I13" s="629">
        <f>IF(E13=0,"⚠️ NO TX",IF(ABS(G13)&gt;0.5,"🚨 ANOMALY","✅ NORMAL"))</f>
        <v/>
      </c>
      <c r="J13" s="626">
        <f>IFERROR(B13/MAX(1,DAY(TODAY()))*7,0)</f>
        <v/>
      </c>
      <c r="K13" s="630">
        <f>IFERROR(B13/MAX(1,Daily_Balancing!F8)*100,0)</f>
        <v/>
      </c>
      <c r="L13" s="631">
        <f>IF(G13&gt;=0.1,"Excellent — sustain",IF(G13&gt;=0,"Stable — push 10%",IF(G13&gt;=-0.1,"Review accounts",IF(E13=0,"URGENT: No activity today","ALERT: Critical decline"))))</f>
        <v/>
      </c>
    </row>
    <row r="14" ht="15" customHeight="1" s="341">
      <c r="A14" s="632" t="inlineStr">
        <is>
          <t>Agent 06</t>
        </is>
      </c>
      <c r="B14" s="633">
        <f>SUMIFS(DB_Savings!$F:$F,DB_Savings!$G:$G,"Agent 06",DB_Savings!$E:$E,"&gt;="&amp;DATE(YEAR(TODAY()),MONTH(TODAY()),1))</f>
        <v/>
      </c>
      <c r="C14" s="633">
        <f>SUMIFS(DB_Withdrawals!$G:$G,DB_Withdrawals!$J:$J,"Agent 06",DB_Withdrawals!$F:$F,"&gt;="&amp;DATE(YEAR(TODAY()),MONTH(TODAY()),1))</f>
        <v/>
      </c>
      <c r="D14" s="633">
        <f>B14-C14</f>
        <v/>
      </c>
      <c r="E14" s="634">
        <f>COUNTIFS(DB_Savings!$G:$G,"Agent 06",DB_Savings!$E:$E,"&gt;="&amp;DATE(YEAR(TODAY()),MONTH(TODAY()),1))</f>
        <v/>
      </c>
      <c r="F14" s="633">
        <f>IFERROR(B14/MAX(1,E14),0)</f>
        <v/>
      </c>
      <c r="G14" s="635">
        <f>IFERROR((B14-Monthly_Balancing!B13)/MAX(1,ABS(Monthly_Balancing!B13)),0)</f>
        <v/>
      </c>
      <c r="H14" s="636">
        <f>IF(G14&gt;=0.1,"🟢 HIGH",IF(G14&gt;=0,"🟡 STABLE",IF(G14&gt;=-0.1,"🟠 DECLINE","🔴 CRITICAL")))</f>
        <v/>
      </c>
      <c r="I14" s="636">
        <f>IF(E14=0,"⚠️ NO TX",IF(ABS(G14)&gt;0.5,"🚨 ANOMALY","✅ NORMAL"))</f>
        <v/>
      </c>
      <c r="J14" s="633">
        <f>IFERROR(B14/MAX(1,DAY(TODAY()))*7,0)</f>
        <v/>
      </c>
      <c r="K14" s="637">
        <f>IFERROR(B14/MAX(1,Daily_Balancing!F9)*100,0)</f>
        <v/>
      </c>
      <c r="L14" s="631">
        <f>IF(G14&gt;=0.1,"Excellent — sustain",IF(G14&gt;=0,"Stable — push 10%",IF(G14&gt;=-0.1,"Review accounts",IF(E14=0,"URGENT: No activity today","ALERT: Critical decline"))))</f>
        <v/>
      </c>
    </row>
    <row r="15" ht="15" customHeight="1" s="341">
      <c r="A15" s="625" t="inlineStr">
        <is>
          <t>Agent 07</t>
        </is>
      </c>
      <c r="B15" s="626">
        <f>SUMIFS(DB_Savings!$F:$F,DB_Savings!$G:$G,"Agent 07",DB_Savings!$E:$E,"&gt;="&amp;DATE(YEAR(TODAY()),MONTH(TODAY()),1))</f>
        <v/>
      </c>
      <c r="C15" s="626">
        <f>SUMIFS(DB_Withdrawals!$G:$G,DB_Withdrawals!$J:$J,"Agent 07",DB_Withdrawals!$F:$F,"&gt;="&amp;DATE(YEAR(TODAY()),MONTH(TODAY()),1))</f>
        <v/>
      </c>
      <c r="D15" s="626">
        <f>B15-C15</f>
        <v/>
      </c>
      <c r="E15" s="627">
        <f>COUNTIFS(DB_Savings!$G:$G,"Agent 07",DB_Savings!$E:$E,"&gt;="&amp;DATE(YEAR(TODAY()),MONTH(TODAY()),1))</f>
        <v/>
      </c>
      <c r="F15" s="626">
        <f>IFERROR(B15/MAX(1,E15),0)</f>
        <v/>
      </c>
      <c r="G15" s="628">
        <f>IFERROR((B15-Monthly_Balancing!B14)/MAX(1,ABS(Monthly_Balancing!B14)),0)</f>
        <v/>
      </c>
      <c r="H15" s="629">
        <f>IF(G15&gt;=0.1,"🟢 HIGH",IF(G15&gt;=0,"🟡 STABLE",IF(G15&gt;=-0.1,"🟠 DECLINE","🔴 CRITICAL")))</f>
        <v/>
      </c>
      <c r="I15" s="629">
        <f>IF(E15=0,"⚠️ NO TX",IF(ABS(G15)&gt;0.5,"🚨 ANOMALY","✅ NORMAL"))</f>
        <v/>
      </c>
      <c r="J15" s="626">
        <f>IFERROR(B15/MAX(1,DAY(TODAY()))*7,0)</f>
        <v/>
      </c>
      <c r="K15" s="630">
        <f>IFERROR(B15/MAX(1,Daily_Balancing!F10)*100,0)</f>
        <v/>
      </c>
      <c r="L15" s="631">
        <f>IF(G15&gt;=0.1,"Excellent — sustain",IF(G15&gt;=0,"Stable — push 10%",IF(G15&gt;=-0.1,"Review accounts",IF(E15=0,"URGENT: No activity today","ALERT: Critical decline"))))</f>
        <v/>
      </c>
    </row>
    <row r="16" ht="15" customHeight="1" s="341">
      <c r="A16" s="632" t="inlineStr">
        <is>
          <t>Agent 08</t>
        </is>
      </c>
      <c r="B16" s="633">
        <f>SUMIFS(DB_Savings!$F:$F,DB_Savings!$G:$G,"Agent 08",DB_Savings!$E:$E,"&gt;="&amp;DATE(YEAR(TODAY()),MONTH(TODAY()),1))</f>
        <v/>
      </c>
      <c r="C16" s="633">
        <f>SUMIFS(DB_Withdrawals!$G:$G,DB_Withdrawals!$J:$J,"Agent 08",DB_Withdrawals!$F:$F,"&gt;="&amp;DATE(YEAR(TODAY()),MONTH(TODAY()),1))</f>
        <v/>
      </c>
      <c r="D16" s="633">
        <f>B16-C16</f>
        <v/>
      </c>
      <c r="E16" s="634">
        <f>COUNTIFS(DB_Savings!$G:$G,"Agent 08",DB_Savings!$E:$E,"&gt;="&amp;DATE(YEAR(TODAY()),MONTH(TODAY()),1))</f>
        <v/>
      </c>
      <c r="F16" s="633">
        <f>IFERROR(B16/MAX(1,E16),0)</f>
        <v/>
      </c>
      <c r="G16" s="635">
        <f>IFERROR((B16-Monthly_Balancing!B15)/MAX(1,ABS(Monthly_Balancing!B15)),0)</f>
        <v/>
      </c>
      <c r="H16" s="636">
        <f>IF(G16&gt;=0.1,"🟢 HIGH",IF(G16&gt;=0,"🟡 STABLE",IF(G16&gt;=-0.1,"🟠 DECLINE","🔴 CRITICAL")))</f>
        <v/>
      </c>
      <c r="I16" s="636">
        <f>IF(E16=0,"⚠️ NO TX",IF(ABS(G16)&gt;0.5,"🚨 ANOMALY","✅ NORMAL"))</f>
        <v/>
      </c>
      <c r="J16" s="633">
        <f>IFERROR(B16/MAX(1,DAY(TODAY()))*7,0)</f>
        <v/>
      </c>
      <c r="K16" s="637">
        <f>IFERROR(B16/MAX(1,Daily_Balancing!F11)*100,0)</f>
        <v/>
      </c>
      <c r="L16" s="631">
        <f>IF(G16&gt;=0.1,"Excellent — sustain",IF(G16&gt;=0,"Stable — push 10%",IF(G16&gt;=-0.1,"Review accounts",IF(E16=0,"URGENT: No activity today","ALERT: Critical decline"))))</f>
        <v/>
      </c>
    </row>
    <row r="17" ht="15" customHeight="1" s="341">
      <c r="A17" s="625" t="inlineStr">
        <is>
          <t>Agent 09</t>
        </is>
      </c>
      <c r="B17" s="626">
        <f>SUMIFS(DB_Savings!$F:$F,DB_Savings!$G:$G,"Agent 09",DB_Savings!$E:$E,"&gt;="&amp;DATE(YEAR(TODAY()),MONTH(TODAY()),1))</f>
        <v/>
      </c>
      <c r="C17" s="626">
        <f>SUMIFS(DB_Withdrawals!$G:$G,DB_Withdrawals!$J:$J,"Agent 09",DB_Withdrawals!$F:$F,"&gt;="&amp;DATE(YEAR(TODAY()),MONTH(TODAY()),1))</f>
        <v/>
      </c>
      <c r="D17" s="626">
        <f>B17-C17</f>
        <v/>
      </c>
      <c r="E17" s="627">
        <f>COUNTIFS(DB_Savings!$G:$G,"Agent 09",DB_Savings!$E:$E,"&gt;="&amp;DATE(YEAR(TODAY()),MONTH(TODAY()),1))</f>
        <v/>
      </c>
      <c r="F17" s="626">
        <f>IFERROR(B17/MAX(1,E17),0)</f>
        <v/>
      </c>
      <c r="G17" s="628">
        <f>IFERROR((B17-Monthly_Balancing!B16)/MAX(1,ABS(Monthly_Balancing!B16)),0)</f>
        <v/>
      </c>
      <c r="H17" s="629">
        <f>IF(G17&gt;=0.1,"🟢 HIGH",IF(G17&gt;=0,"🟡 STABLE",IF(G17&gt;=-0.1,"🟠 DECLINE","🔴 CRITICAL")))</f>
        <v/>
      </c>
      <c r="I17" s="629">
        <f>IF(E17=0,"⚠️ NO TX",IF(ABS(G17)&gt;0.5,"🚨 ANOMALY","✅ NORMAL"))</f>
        <v/>
      </c>
      <c r="J17" s="626">
        <f>IFERROR(B17/MAX(1,DAY(TODAY()))*7,0)</f>
        <v/>
      </c>
      <c r="K17" s="630">
        <f>IFERROR(B17/MAX(1,Daily_Balancing!F12)*100,0)</f>
        <v/>
      </c>
      <c r="L17" s="631">
        <f>IF(G17&gt;=0.1,"Excellent — sustain",IF(G17&gt;=0,"Stable — push 10%",IF(G17&gt;=-0.1,"Review accounts",IF(E17=0,"URGENT: No activity today","ALERT: Critical decline"))))</f>
        <v/>
      </c>
    </row>
    <row r="18" ht="15" customHeight="1" s="341">
      <c r="A18" s="632" t="inlineStr">
        <is>
          <t>Agent 10</t>
        </is>
      </c>
      <c r="B18" s="633">
        <f>SUMIFS(DB_Savings!$F:$F,DB_Savings!$G:$G,"Agent 10",DB_Savings!$E:$E,"&gt;="&amp;DATE(YEAR(TODAY()),MONTH(TODAY()),1))</f>
        <v/>
      </c>
      <c r="C18" s="633">
        <f>SUMIFS(DB_Withdrawals!$G:$G,DB_Withdrawals!$J:$J,"Agent 10",DB_Withdrawals!$F:$F,"&gt;="&amp;DATE(YEAR(TODAY()),MONTH(TODAY()),1))</f>
        <v/>
      </c>
      <c r="D18" s="633">
        <f>B18-C18</f>
        <v/>
      </c>
      <c r="E18" s="634">
        <f>COUNTIFS(DB_Savings!$G:$G,"Agent 10",DB_Savings!$E:$E,"&gt;="&amp;DATE(YEAR(TODAY()),MONTH(TODAY()),1))</f>
        <v/>
      </c>
      <c r="F18" s="633">
        <f>IFERROR(B18/MAX(1,E18),0)</f>
        <v/>
      </c>
      <c r="G18" s="635">
        <f>IFERROR((B18-Monthly_Balancing!B17)/MAX(1,ABS(Monthly_Balancing!B17)),0)</f>
        <v/>
      </c>
      <c r="H18" s="636">
        <f>IF(G18&gt;=0.1,"🟢 HIGH",IF(G18&gt;=0,"🟡 STABLE",IF(G18&gt;=-0.1,"🟠 DECLINE","🔴 CRITICAL")))</f>
        <v/>
      </c>
      <c r="I18" s="636">
        <f>IF(E18=0,"⚠️ NO TX",IF(ABS(G18)&gt;0.5,"🚨 ANOMALY","✅ NORMAL"))</f>
        <v/>
      </c>
      <c r="J18" s="633">
        <f>IFERROR(B18/MAX(1,DAY(TODAY()))*7,0)</f>
        <v/>
      </c>
      <c r="K18" s="637">
        <f>IFERROR(B18/MAX(1,Daily_Balancing!F13)*100,0)</f>
        <v/>
      </c>
      <c r="L18" s="631">
        <f>IF(G18&gt;=0.1,"Excellent — sustain",IF(G18&gt;=0,"Stable — push 10%",IF(G18&gt;=-0.1,"Review accounts",IF(E18=0,"URGENT: No activity today","ALERT: Critical decline"))))</f>
        <v/>
      </c>
    </row>
    <row r="19" ht="15" customHeight="1" s="341">
      <c r="A19" s="638" t="inlineStr">
        <is>
          <t>TOTALS</t>
        </is>
      </c>
      <c r="B19" s="639">
        <f>SUM(B9:B18)</f>
        <v/>
      </c>
      <c r="C19" s="639">
        <f>SUM(C9:C18)</f>
        <v/>
      </c>
      <c r="D19" s="639">
        <f>SUM(D9:D18)</f>
        <v/>
      </c>
      <c r="E19" s="640">
        <f>SUM(E9:E18)</f>
        <v/>
      </c>
      <c r="J19" s="639">
        <f>SUM(J9:J18)</f>
        <v/>
      </c>
    </row>
    <row r="21" ht="15" customHeight="1" s="341">
      <c r="A21" s="612" t="inlineStr">
        <is>
          <t>📈 PREDICTIVE ANALYTICS — 6-MONTH REVENUE FORECAST (Formula-Driven)</t>
        </is>
      </c>
    </row>
    <row r="22" ht="22.35" customHeight="1" s="341">
      <c r="A22" s="641" t="inlineStr">
        <is>
          <t>Month</t>
        </is>
      </c>
      <c r="B22" s="641" t="inlineStr">
        <is>
          <t>Projected Savings</t>
        </is>
      </c>
      <c r="C22" s="641" t="inlineStr">
        <is>
          <t>Projected Withdrawals</t>
        </is>
      </c>
      <c r="D22" s="641" t="inlineStr">
        <is>
          <t>Net Forecast</t>
        </is>
      </c>
      <c r="E22" s="641" t="inlineStr">
        <is>
          <t>Interest Income</t>
        </is>
      </c>
      <c r="F22" s="641" t="inlineStr">
        <is>
          <t>New Accounts</t>
        </is>
      </c>
      <c r="G22" s="641" t="inlineStr">
        <is>
          <t>Confidence</t>
        </is>
      </c>
    </row>
    <row r="23" ht="15" customHeight="1" s="341">
      <c r="A23" s="642" t="inlineStr">
        <is>
          <t>May 2026</t>
        </is>
      </c>
      <c r="B23" s="643">
        <f>IFERROR(AVERAGE(Monthly_Balancing!B8:B11)*(1+1*MAX(0.02,IFERROR(AVERAGE(AI_Intelligence!G9:G18),0.05))),0)</f>
        <v/>
      </c>
      <c r="C23" s="643">
        <f>IFERROR(AVERAGE(Monthly_Balancing!C8:C11)*(1+1*0.03),0)</f>
        <v/>
      </c>
      <c r="D23" s="643">
        <f>B23-C23</f>
        <v/>
      </c>
      <c r="E23" s="643">
        <f>B23*0.025</f>
        <v/>
      </c>
      <c r="F23" s="644">
        <f>ROUND(IFERROR(AVERAGE(Monthly_Balancing!E8:E11)*(1+0.05*1),0),0)</f>
        <v/>
      </c>
      <c r="G23" s="645" t="inlineStr">
        <is>
          <t>90%</t>
        </is>
      </c>
    </row>
    <row r="24" ht="15" customHeight="1" s="341">
      <c r="A24" s="646" t="inlineStr">
        <is>
          <t>Jun 2026</t>
        </is>
      </c>
      <c r="B24" s="647">
        <f>IFERROR(AVERAGE(Monthly_Balancing!B8:B11)*(1+2*MAX(0.02,IFERROR(AVERAGE(AI_Intelligence!G9:G18),0.05))),0)</f>
        <v/>
      </c>
      <c r="C24" s="647">
        <f>IFERROR(AVERAGE(Monthly_Balancing!C8:C11)*(1+2*0.03),0)</f>
        <v/>
      </c>
      <c r="D24" s="647">
        <f>B24-C24</f>
        <v/>
      </c>
      <c r="E24" s="647">
        <f>B24*0.025</f>
        <v/>
      </c>
      <c r="F24" s="648">
        <f>ROUND(IFERROR(AVERAGE(Monthly_Balancing!E8:E11)*(1+0.05*2),0),0)</f>
        <v/>
      </c>
      <c r="G24" s="649" t="inlineStr">
        <is>
          <t>85%</t>
        </is>
      </c>
    </row>
    <row r="25" ht="15" customHeight="1" s="341">
      <c r="A25" s="642" t="inlineStr">
        <is>
          <t>Jul 2026</t>
        </is>
      </c>
      <c r="B25" s="643">
        <f>IFERROR(AVERAGE(Monthly_Balancing!B8:B11)*(1+3*MAX(0.02,IFERROR(AVERAGE(AI_Intelligence!G9:G18),0.05))),0)</f>
        <v/>
      </c>
      <c r="C25" s="643">
        <f>IFERROR(AVERAGE(Monthly_Balancing!C8:C11)*(1+3*0.03),0)</f>
        <v/>
      </c>
      <c r="D25" s="643">
        <f>B25-C25</f>
        <v/>
      </c>
      <c r="E25" s="643">
        <f>B25*0.025</f>
        <v/>
      </c>
      <c r="F25" s="644">
        <f>ROUND(IFERROR(AVERAGE(Monthly_Balancing!E8:E11)*(1+0.05*3),0),0)</f>
        <v/>
      </c>
      <c r="G25" s="645" t="inlineStr">
        <is>
          <t>80%</t>
        </is>
      </c>
    </row>
    <row r="26" ht="15" customHeight="1" s="341">
      <c r="A26" s="646" t="inlineStr">
        <is>
          <t>Aug 2026</t>
        </is>
      </c>
      <c r="B26" s="647">
        <f>IFERROR(AVERAGE(Monthly_Balancing!B8:B11)*(1+4*MAX(0.02,IFERROR(AVERAGE(AI_Intelligence!G9:G18),0.05))),0)</f>
        <v/>
      </c>
      <c r="C26" s="647">
        <f>IFERROR(AVERAGE(Monthly_Balancing!C8:C11)*(1+4*0.03),0)</f>
        <v/>
      </c>
      <c r="D26" s="647">
        <f>B26-C26</f>
        <v/>
      </c>
      <c r="E26" s="647">
        <f>B26*0.025</f>
        <v/>
      </c>
      <c r="F26" s="648">
        <f>ROUND(IFERROR(AVERAGE(Monthly_Balancing!E8:E11)*(1+0.05*4),0),0)</f>
        <v/>
      </c>
      <c r="G26" s="649" t="inlineStr">
        <is>
          <t>75%</t>
        </is>
      </c>
    </row>
    <row r="27" ht="15" customHeight="1" s="341">
      <c r="A27" s="642" t="inlineStr">
        <is>
          <t>Sep 2026</t>
        </is>
      </c>
      <c r="B27" s="643">
        <f>IFERROR(AVERAGE(Monthly_Balancing!B8:B11)*(1+5*MAX(0.02,IFERROR(AVERAGE(AI_Intelligence!G9:G18),0.05))),0)</f>
        <v/>
      </c>
      <c r="C27" s="643">
        <f>IFERROR(AVERAGE(Monthly_Balancing!C8:C11)*(1+5*0.03),0)</f>
        <v/>
      </c>
      <c r="D27" s="643">
        <f>B27-C27</f>
        <v/>
      </c>
      <c r="E27" s="643">
        <f>B27*0.025</f>
        <v/>
      </c>
      <c r="F27" s="644">
        <f>ROUND(IFERROR(AVERAGE(Monthly_Balancing!E8:E11)*(1+0.05*5),0),0)</f>
        <v/>
      </c>
      <c r="G27" s="645" t="inlineStr">
        <is>
          <t>70%</t>
        </is>
      </c>
    </row>
    <row r="28" ht="15" customHeight="1" s="341">
      <c r="A28" s="646" t="inlineStr">
        <is>
          <t>Oct 2026</t>
        </is>
      </c>
      <c r="B28" s="647">
        <f>IFERROR(AVERAGE(Monthly_Balancing!B8:B11)*(1+6*MAX(0.02,IFERROR(AVERAGE(AI_Intelligence!G9:G18),0.05))),0)</f>
        <v/>
      </c>
      <c r="C28" s="647">
        <f>IFERROR(AVERAGE(Monthly_Balancing!C8:C11)*(1+6*0.03),0)</f>
        <v/>
      </c>
      <c r="D28" s="647">
        <f>B28-C28</f>
        <v/>
      </c>
      <c r="E28" s="647">
        <f>B28*0.025</f>
        <v/>
      </c>
      <c r="F28" s="648">
        <f>ROUND(IFERROR(AVERAGE(Monthly_Balancing!E8:E11)*(1+0.05*6),0),0)</f>
        <v/>
      </c>
      <c r="G28" s="649" t="inlineStr">
        <is>
          <t>65%</t>
        </is>
      </c>
    </row>
    <row r="30" ht="15" customHeight="1" s="341">
      <c r="A30" s="650" t="inlineStr">
        <is>
          <t>🚨 SMART ALERTS &amp; ANOMALY DETECTION ENGINE</t>
        </is>
      </c>
    </row>
    <row r="31" ht="35.05" customHeight="1" s="341">
      <c r="A31" s="651" t="inlineStr">
        <is>
          <t>Inactive Customers (No txn 30d)</t>
        </is>
      </c>
      <c r="B31" s="652">
        <f>COUNTIFS(DB_Customers!K:K,"Active")</f>
        <v/>
      </c>
      <c r="C31" s="653">
        <f>IF(B31&gt;0,IF(B31&gt;=100,"🏆 TARGET MET","⚠️ NEEDS ATTENTION"),"✅ CLEAR")</f>
        <v/>
      </c>
    </row>
    <row r="32" ht="35.05" customHeight="1" s="341">
      <c r="A32" s="654" t="inlineStr">
        <is>
          <t>Zero-Activity Agents Today</t>
        </is>
      </c>
      <c r="B32" s="655">
        <f>COUNTIF(Daily_Balancing!G4:G13,"❌ Low")</f>
        <v/>
      </c>
      <c r="C32" s="656">
        <f>IF(B32&gt;0,IF(B32&gt;=100,"🏆 TARGET MET","⚠️ NEEDS ATTENTION"),"✅ CLEAR")</f>
        <v/>
      </c>
    </row>
    <row r="33" ht="35.05" customHeight="1" s="341">
      <c r="A33" s="651" t="inlineStr">
        <is>
          <t>Pending Loan Approvals</t>
        </is>
      </c>
      <c r="B33" s="652">
        <f>COUNTIF(DB_Loans!K:K,"Pending")</f>
        <v/>
      </c>
      <c r="C33" s="653">
        <f>IF(B33&gt;0,IF(B33&gt;=100,"🏆 TARGET MET","⚠️ NEEDS ATTENTION"),"✅ CLEAR")</f>
        <v/>
      </c>
    </row>
    <row r="34" ht="35.05" customHeight="1" s="341">
      <c r="A34" s="654" t="inlineStr">
        <is>
          <t>Failed Code Validations Today</t>
        </is>
      </c>
      <c r="B34" s="655">
        <f>COUNTIF(DB_Savings!H4:H2000,"Blocked")</f>
        <v/>
      </c>
      <c r="C34" s="656">
        <f>IF(B34&gt;0,IF(B34&gt;=100,"🏆 TARGET MET","⚠️ NEEDS ATTENTION"),"✅ CLEAR")</f>
        <v/>
      </c>
    </row>
    <row r="35" ht="35.05" customHeight="1" s="341">
      <c r="A35" s="651" t="inlineStr">
        <is>
          <t>Accounts Below Min Balance</t>
        </is>
      </c>
      <c r="B35" s="652">
        <f>COUNTIFS(DB_Customers!N4:N1002,"&lt;10",DB_Customers!A4:A1002,"&lt;&gt;")</f>
        <v/>
      </c>
      <c r="C35" s="653">
        <f>IF(B35&gt;0,IF(B35&gt;=100,"🏆 TARGET MET","⚠️ NEEDS ATTENTION"),"✅ CLEAR")</f>
        <v/>
      </c>
    </row>
    <row r="36" ht="35.05" customHeight="1" s="341">
      <c r="A36" s="654" t="inlineStr">
        <is>
          <t>MTD Target Achievement %</t>
        </is>
      </c>
      <c r="B36" s="655">
        <f>IFERROR(Manager_Dashboard!B4/Manager_Dashboard!F4*100,0)</f>
        <v/>
      </c>
      <c r="C36" s="656">
        <f>IF(B36&gt;0,IF(B36&gt;=100,"🏆 TARGET MET","⚠️ NEEDS ATTENTION"),"✅ CLEAR")</f>
        <v/>
      </c>
    </row>
  </sheetData>
  <mergeCells count="6">
    <mergeCell ref="A30:L30"/>
    <mergeCell ref="A7:L7"/>
    <mergeCell ref="A1:M1"/>
    <mergeCell ref="A3:M3"/>
    <mergeCell ref="A21:L21"/>
    <mergeCell ref="A2:M2"/>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51.xml><?xml version="1.0" encoding="utf-8"?>
<worksheet xmlns="http://schemas.openxmlformats.org/spreadsheetml/2006/main">
  <sheetPr filterMode="0">
    <tabColor rgb="FF00695C"/>
    <outlinePr summaryBelow="1" summaryRight="1"/>
    <pageSetUpPr fitToPage="0"/>
  </sheetPr>
  <dimension ref="A1:K3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zeroHeight="0" outlineLevelRow="0"/>
  <cols>
    <col width="14" customWidth="1" style="340" min="1" max="1"/>
    <col width="16" customWidth="1" style="340" min="2" max="2"/>
    <col width="18" customWidth="1" style="340" min="3" max="3"/>
    <col width="14" customWidth="1" style="340" min="4" max="5"/>
    <col width="13" customWidth="1" style="340" min="6" max="6"/>
    <col width="15" customWidth="1" style="340" min="7" max="7"/>
    <col width="12" customWidth="1" style="340" min="8" max="8"/>
    <col width="13" customWidth="1" style="340" min="9" max="9"/>
  </cols>
  <sheetData>
    <row r="1" ht="39.75" customHeight="1" s="341">
      <c r="A1" s="657" t="inlineStr">
        <is>
          <t>📋  SAMICIOUS MICROFINANCE — AUTOMATED ANNUAL REPORT</t>
        </is>
      </c>
    </row>
    <row r="2" ht="19.5" customHeight="1" s="341">
      <c r="A2" s="658">
        <f>TEXT(TODAY(),"YYYY")&amp;" Full Year Summary  |  Auto-generated from Live Data  |  Developed by Frank Abban, IT Consultant"</f>
        <v/>
      </c>
    </row>
    <row r="3" ht="17.35" customHeight="1" s="341">
      <c r="A3" s="659" t="inlineStr">
        <is>
          <t>Report Year:</t>
        </is>
      </c>
      <c r="B3" s="660">
        <f>YEAR(TODAY())</f>
        <v/>
      </c>
    </row>
    <row r="5" ht="15" customHeight="1" s="341">
      <c r="A5" s="661" t="inlineStr">
        <is>
          <t>Month</t>
        </is>
      </c>
      <c r="B5" s="661" t="inlineStr">
        <is>
          <t>Savings (GHC)</t>
        </is>
      </c>
      <c r="C5" s="661" t="inlineStr">
        <is>
          <t>Withdrawals (GHC)</t>
        </is>
      </c>
      <c r="D5" s="661" t="inlineStr">
        <is>
          <t>Net (GHC)</t>
        </is>
      </c>
      <c r="E5" s="661" t="inlineStr">
        <is>
          <t>New Accounts</t>
        </is>
      </c>
      <c r="F5" s="661" t="inlineStr">
        <is>
          <t>Active Loans</t>
        </is>
      </c>
      <c r="G5" s="661" t="inlineStr">
        <is>
          <t>Interest Income</t>
        </is>
      </c>
      <c r="H5" s="661" t="inlineStr">
        <is>
          <t>Growth %</t>
        </is>
      </c>
      <c r="I5" s="661" t="inlineStr">
        <is>
          <t>Target?</t>
        </is>
      </c>
    </row>
    <row r="6" ht="15" customHeight="1" s="341">
      <c r="A6" s="662" t="inlineStr">
        <is>
          <t>January</t>
        </is>
      </c>
      <c r="B6" s="663">
        <f>IFERROR(Monthly_Balancing!B8,0)</f>
        <v/>
      </c>
      <c r="C6" s="663">
        <f>IFERROR(Monthly_Balancing!C8,0)</f>
        <v/>
      </c>
      <c r="D6" s="663">
        <f>IFERROR(Monthly_Balancing!D8,0)</f>
        <v/>
      </c>
      <c r="E6" s="664">
        <f>IFERROR(Monthly_Balancing!E8,0)</f>
        <v/>
      </c>
      <c r="F6" s="664">
        <f>IFERROR(Monthly_Balancing!F8,0)</f>
        <v/>
      </c>
      <c r="G6" s="663">
        <f>IFERROR(Monthly_Balancing!G8,0)</f>
        <v/>
      </c>
      <c r="H6" s="665">
        <f>IFERROR(Monthly_Balancing!H8,"—")</f>
        <v/>
      </c>
      <c r="I6" s="665">
        <f>IFERROR(IF(Monthly_Balancing!I8="YES","✅ YES","❌ NO"),"—")</f>
        <v/>
      </c>
    </row>
    <row r="7" ht="15" customHeight="1" s="341">
      <c r="A7" s="646" t="inlineStr">
        <is>
          <t>February</t>
        </is>
      </c>
      <c r="B7" s="647">
        <f>IFERROR(Monthly_Balancing!B9,0)</f>
        <v/>
      </c>
      <c r="C7" s="647">
        <f>IFERROR(Monthly_Balancing!C9,0)</f>
        <v/>
      </c>
      <c r="D7" s="647">
        <f>IFERROR(Monthly_Balancing!D9,0)</f>
        <v/>
      </c>
      <c r="E7" s="648">
        <f>IFERROR(Monthly_Balancing!E9,0)</f>
        <v/>
      </c>
      <c r="F7" s="648">
        <f>IFERROR(Monthly_Balancing!F9,0)</f>
        <v/>
      </c>
      <c r="G7" s="647">
        <f>IFERROR(Monthly_Balancing!G9,0)</f>
        <v/>
      </c>
      <c r="H7" s="649">
        <f>IFERROR(Monthly_Balancing!H9,"—")</f>
        <v/>
      </c>
      <c r="I7" s="649">
        <f>IFERROR(IF(Monthly_Balancing!I9="YES","✅ YES","❌ NO"),"—")</f>
        <v/>
      </c>
    </row>
    <row r="8" ht="15" customHeight="1" s="341">
      <c r="A8" s="662" t="inlineStr">
        <is>
          <t>March</t>
        </is>
      </c>
      <c r="B8" s="663">
        <f>IFERROR(Monthly_Balancing!B10,0)</f>
        <v/>
      </c>
      <c r="C8" s="663">
        <f>IFERROR(Monthly_Balancing!C10,0)</f>
        <v/>
      </c>
      <c r="D8" s="663">
        <f>IFERROR(Monthly_Balancing!D10,0)</f>
        <v/>
      </c>
      <c r="E8" s="664">
        <f>IFERROR(Monthly_Balancing!E10,0)</f>
        <v/>
      </c>
      <c r="F8" s="664">
        <f>IFERROR(Monthly_Balancing!F10,0)</f>
        <v/>
      </c>
      <c r="G8" s="663">
        <f>IFERROR(Monthly_Balancing!G10,0)</f>
        <v/>
      </c>
      <c r="H8" s="665">
        <f>IFERROR(Monthly_Balancing!H10,"—")</f>
        <v/>
      </c>
      <c r="I8" s="665">
        <f>IFERROR(IF(Monthly_Balancing!I10="YES","✅ YES","❌ NO"),"—")</f>
        <v/>
      </c>
    </row>
    <row r="9" ht="15" customHeight="1" s="341">
      <c r="A9" s="646" t="inlineStr">
        <is>
          <t>April</t>
        </is>
      </c>
      <c r="B9" s="647">
        <f>IFERROR(Monthly_Balancing!B11,0)</f>
        <v/>
      </c>
      <c r="C9" s="647">
        <f>IFERROR(Monthly_Balancing!C11,0)</f>
        <v/>
      </c>
      <c r="D9" s="647">
        <f>IFERROR(Monthly_Balancing!D11,0)</f>
        <v/>
      </c>
      <c r="E9" s="648">
        <f>IFERROR(Monthly_Balancing!E11,0)</f>
        <v/>
      </c>
      <c r="F9" s="648">
        <f>IFERROR(Monthly_Balancing!F11,0)</f>
        <v/>
      </c>
      <c r="G9" s="647">
        <f>IFERROR(Monthly_Balancing!G11,0)</f>
        <v/>
      </c>
      <c r="H9" s="649">
        <f>IFERROR(Monthly_Balancing!H11,"—")</f>
        <v/>
      </c>
      <c r="I9" s="649">
        <f>IFERROR(IF(Monthly_Balancing!I11="YES","✅ YES","❌ NO"),"—")</f>
        <v/>
      </c>
    </row>
    <row r="10" ht="15" customHeight="1" s="341">
      <c r="A10" s="662" t="inlineStr">
        <is>
          <t>May</t>
        </is>
      </c>
      <c r="B10" s="663">
        <f>IFERROR(Monthly_Balancing!B12,0)</f>
        <v/>
      </c>
      <c r="C10" s="663">
        <f>IFERROR(Monthly_Balancing!C12,0)</f>
        <v/>
      </c>
      <c r="D10" s="663">
        <f>IFERROR(Monthly_Balancing!D12,0)</f>
        <v/>
      </c>
      <c r="E10" s="664">
        <f>IFERROR(Monthly_Balancing!E12,0)</f>
        <v/>
      </c>
      <c r="F10" s="664">
        <f>IFERROR(Monthly_Balancing!F12,0)</f>
        <v/>
      </c>
      <c r="G10" s="663">
        <f>IFERROR(Monthly_Balancing!G12,0)</f>
        <v/>
      </c>
      <c r="H10" s="665">
        <f>IFERROR(Monthly_Balancing!H12,"—")</f>
        <v/>
      </c>
      <c r="I10" s="665">
        <f>IFERROR(IF(Monthly_Balancing!I12="YES","✅ YES","❌ NO"),"—")</f>
        <v/>
      </c>
    </row>
    <row r="11" ht="15" customHeight="1" s="341">
      <c r="A11" s="646" t="inlineStr">
        <is>
          <t>June</t>
        </is>
      </c>
      <c r="B11" s="647">
        <f>IFERROR(Monthly_Balancing!B13,0)</f>
        <v/>
      </c>
      <c r="C11" s="647">
        <f>IFERROR(Monthly_Balancing!C13,0)</f>
        <v/>
      </c>
      <c r="D11" s="647">
        <f>IFERROR(Monthly_Balancing!D13,0)</f>
        <v/>
      </c>
      <c r="E11" s="648">
        <f>IFERROR(Monthly_Balancing!E13,0)</f>
        <v/>
      </c>
      <c r="F11" s="648">
        <f>IFERROR(Monthly_Balancing!F13,0)</f>
        <v/>
      </c>
      <c r="G11" s="647">
        <f>IFERROR(Monthly_Balancing!G13,0)</f>
        <v/>
      </c>
      <c r="H11" s="649">
        <f>IFERROR(Monthly_Balancing!H13,"—")</f>
        <v/>
      </c>
      <c r="I11" s="649">
        <f>IFERROR(IF(Monthly_Balancing!I13="YES","✅ YES","❌ NO"),"—")</f>
        <v/>
      </c>
    </row>
    <row r="12" ht="15" customHeight="1" s="341">
      <c r="A12" s="662" t="inlineStr">
        <is>
          <t>July</t>
        </is>
      </c>
      <c r="B12" s="663">
        <f>IFERROR(Monthly_Balancing!B14,0)</f>
        <v/>
      </c>
      <c r="C12" s="663">
        <f>IFERROR(Monthly_Balancing!C14,0)</f>
        <v/>
      </c>
      <c r="D12" s="663">
        <f>IFERROR(Monthly_Balancing!D14,0)</f>
        <v/>
      </c>
      <c r="E12" s="664">
        <f>IFERROR(Monthly_Balancing!E14,0)</f>
        <v/>
      </c>
      <c r="F12" s="664">
        <f>IFERROR(Monthly_Balancing!F14,0)</f>
        <v/>
      </c>
      <c r="G12" s="663">
        <f>IFERROR(Monthly_Balancing!G14,0)</f>
        <v/>
      </c>
      <c r="H12" s="665">
        <f>IFERROR(Monthly_Balancing!H14,"—")</f>
        <v/>
      </c>
      <c r="I12" s="665">
        <f>IFERROR(IF(Monthly_Balancing!I14="YES","✅ YES","❌ NO"),"—")</f>
        <v/>
      </c>
    </row>
    <row r="13" ht="15" customHeight="1" s="341">
      <c r="A13" s="646" t="inlineStr">
        <is>
          <t>August</t>
        </is>
      </c>
      <c r="B13" s="647">
        <f>IFERROR(Monthly_Balancing!B15,0)</f>
        <v/>
      </c>
      <c r="C13" s="647">
        <f>IFERROR(Monthly_Balancing!C15,0)</f>
        <v/>
      </c>
      <c r="D13" s="647">
        <f>IFERROR(Monthly_Balancing!D15,0)</f>
        <v/>
      </c>
      <c r="E13" s="648">
        <f>IFERROR(Monthly_Balancing!E15,0)</f>
        <v/>
      </c>
      <c r="F13" s="648">
        <f>IFERROR(Monthly_Balancing!F15,0)</f>
        <v/>
      </c>
      <c r="G13" s="647">
        <f>IFERROR(Monthly_Balancing!G15,0)</f>
        <v/>
      </c>
      <c r="H13" s="649">
        <f>IFERROR(Monthly_Balancing!H15,"—")</f>
        <v/>
      </c>
      <c r="I13" s="649">
        <f>IFERROR(IF(Monthly_Balancing!I15="YES","✅ YES","❌ NO"),"—")</f>
        <v/>
      </c>
    </row>
    <row r="14" ht="15" customHeight="1" s="341">
      <c r="A14" s="662" t="inlineStr">
        <is>
          <t>September</t>
        </is>
      </c>
      <c r="B14" s="663">
        <f>IFERROR(Monthly_Balancing!B16,0)</f>
        <v/>
      </c>
      <c r="C14" s="663">
        <f>IFERROR(Monthly_Balancing!C16,0)</f>
        <v/>
      </c>
      <c r="D14" s="663">
        <f>IFERROR(Monthly_Balancing!D16,0)</f>
        <v/>
      </c>
      <c r="E14" s="664">
        <f>IFERROR(Monthly_Balancing!E16,0)</f>
        <v/>
      </c>
      <c r="F14" s="664">
        <f>IFERROR(Monthly_Balancing!F16,0)</f>
        <v/>
      </c>
      <c r="G14" s="663">
        <f>IFERROR(Monthly_Balancing!G16,0)</f>
        <v/>
      </c>
      <c r="H14" s="665">
        <f>IFERROR(Monthly_Balancing!H16,"—")</f>
        <v/>
      </c>
      <c r="I14" s="665">
        <f>IFERROR(IF(Monthly_Balancing!I16="YES","✅ YES","❌ NO"),"—")</f>
        <v/>
      </c>
    </row>
    <row r="15" ht="15" customHeight="1" s="341">
      <c r="A15" s="646" t="inlineStr">
        <is>
          <t>October</t>
        </is>
      </c>
      <c r="B15" s="647">
        <f>IFERROR(Monthly_Balancing!B17,0)</f>
        <v/>
      </c>
      <c r="C15" s="647">
        <f>IFERROR(Monthly_Balancing!C17,0)</f>
        <v/>
      </c>
      <c r="D15" s="647">
        <f>IFERROR(Monthly_Balancing!D17,0)</f>
        <v/>
      </c>
      <c r="E15" s="648">
        <f>IFERROR(Monthly_Balancing!E17,0)</f>
        <v/>
      </c>
      <c r="F15" s="648">
        <f>IFERROR(Monthly_Balancing!F17,0)</f>
        <v/>
      </c>
      <c r="G15" s="647">
        <f>IFERROR(Monthly_Balancing!G17,0)</f>
        <v/>
      </c>
      <c r="H15" s="649">
        <f>IFERROR(Monthly_Balancing!H17,"—")</f>
        <v/>
      </c>
      <c r="I15" s="649">
        <f>IFERROR(IF(Monthly_Balancing!I17="YES","✅ YES","❌ NO"),"—")</f>
        <v/>
      </c>
    </row>
    <row r="16" ht="15" customHeight="1" s="341">
      <c r="A16" s="662" t="inlineStr">
        <is>
          <t>November</t>
        </is>
      </c>
      <c r="B16" s="663">
        <f>IFERROR(Monthly_Balancing!B18,0)</f>
        <v/>
      </c>
      <c r="C16" s="663">
        <f>IFERROR(Monthly_Balancing!C18,0)</f>
        <v/>
      </c>
      <c r="D16" s="663">
        <f>IFERROR(Monthly_Balancing!D18,0)</f>
        <v/>
      </c>
      <c r="E16" s="664">
        <f>IFERROR(Monthly_Balancing!E18,0)</f>
        <v/>
      </c>
      <c r="F16" s="664">
        <f>IFERROR(Monthly_Balancing!F18,0)</f>
        <v/>
      </c>
      <c r="G16" s="663">
        <f>IFERROR(Monthly_Balancing!G18,0)</f>
        <v/>
      </c>
      <c r="H16" s="665">
        <f>IFERROR(Monthly_Balancing!H18,"—")</f>
        <v/>
      </c>
      <c r="I16" s="665">
        <f>IFERROR(IF(Monthly_Balancing!I18="YES","✅ YES","❌ NO"),"—")</f>
        <v/>
      </c>
    </row>
    <row r="17" ht="15" customHeight="1" s="341">
      <c r="A17" s="646" t="inlineStr">
        <is>
          <t>December</t>
        </is>
      </c>
      <c r="B17" s="647">
        <f>IFERROR(Monthly_Balancing!B19,0)</f>
        <v/>
      </c>
      <c r="C17" s="647">
        <f>IFERROR(Monthly_Balancing!C19,0)</f>
        <v/>
      </c>
      <c r="D17" s="647">
        <f>IFERROR(Monthly_Balancing!D19,0)</f>
        <v/>
      </c>
      <c r="E17" s="648">
        <f>IFERROR(Monthly_Balancing!E19,0)</f>
        <v/>
      </c>
      <c r="F17" s="648">
        <f>IFERROR(Monthly_Balancing!F19,0)</f>
        <v/>
      </c>
      <c r="G17" s="647">
        <f>IFERROR(Monthly_Balancing!G19,0)</f>
        <v/>
      </c>
      <c r="H17" s="649">
        <f>IFERROR(Monthly_Balancing!H19,"—")</f>
        <v/>
      </c>
      <c r="I17" s="649">
        <f>IFERROR(IF(Monthly_Balancing!I19="YES","✅ YES","❌ NO"),"—")</f>
        <v/>
      </c>
    </row>
    <row r="18" ht="15" customHeight="1" s="341">
      <c r="A18" s="666" t="inlineStr">
        <is>
          <t>YTD TOTAL</t>
        </is>
      </c>
      <c r="B18" s="667">
        <f>SUM(B6:B17)</f>
        <v/>
      </c>
      <c r="C18" s="667">
        <f>SUM(C6:C17)</f>
        <v/>
      </c>
      <c r="D18" s="667">
        <f>SUM(D6:D17)</f>
        <v/>
      </c>
      <c r="E18" s="668">
        <f>SUM(E6:E17)</f>
        <v/>
      </c>
      <c r="F18" s="668">
        <f>SUM(F6:F17)</f>
        <v/>
      </c>
      <c r="G18" s="667">
        <f>SUM(G6:G17)</f>
        <v/>
      </c>
    </row>
    <row r="20" ht="15" customHeight="1" s="341">
      <c r="A20" s="669" t="inlineStr">
        <is>
          <t>📊 ANNUAL KEY PERFORMANCE INDICATORS</t>
        </is>
      </c>
    </row>
    <row r="21" ht="23.85" customHeight="1" s="341">
      <c r="A21" s="670" t="inlineStr">
        <is>
          <t>Total Annual Savings (GHC)</t>
        </is>
      </c>
      <c r="B21" s="671">
        <f>B18</f>
        <v/>
      </c>
      <c r="C21" s="672" t="inlineStr">
        <is>
          <t>← Auto-calculated from live data</t>
        </is>
      </c>
    </row>
    <row r="22" ht="35.05" customHeight="1" s="341">
      <c r="A22" s="673" t="inlineStr">
        <is>
          <t>Total Annual Withdrawals (GHC)</t>
        </is>
      </c>
      <c r="B22" s="674">
        <f>C18</f>
        <v/>
      </c>
      <c r="C22" s="675" t="inlineStr">
        <is>
          <t>← Auto-calculated from live data</t>
        </is>
      </c>
    </row>
    <row r="23" ht="23.85" customHeight="1" s="341">
      <c r="A23" s="670" t="inlineStr">
        <is>
          <t>Annual Net Surplus (GHC)</t>
        </is>
      </c>
      <c r="B23" s="671">
        <f>D18</f>
        <v/>
      </c>
      <c r="C23" s="672" t="inlineStr">
        <is>
          <t>← Auto-calculated from live data</t>
        </is>
      </c>
    </row>
    <row r="24" ht="23.85" customHeight="1" s="341">
      <c r="A24" s="673" t="inlineStr">
        <is>
          <t>Total Interest Earned (GHC)</t>
        </is>
      </c>
      <c r="B24" s="674">
        <f>G18</f>
        <v/>
      </c>
      <c r="C24" s="675" t="inlineStr">
        <is>
          <t>← Auto-calculated from live data</t>
        </is>
      </c>
    </row>
    <row r="25" ht="23.85" customHeight="1" s="341">
      <c r="A25" s="670" t="inlineStr">
        <is>
          <t>Total New Accounts</t>
        </is>
      </c>
      <c r="B25" s="676">
        <f>E18</f>
        <v/>
      </c>
      <c r="C25" s="672" t="inlineStr">
        <is>
          <t>← Auto-calculated from live data</t>
        </is>
      </c>
    </row>
    <row r="26" ht="23.85" customHeight="1" s="341">
      <c r="A26" s="673" t="inlineStr">
        <is>
          <t>Avg Monthly Savings (GHC)</t>
        </is>
      </c>
      <c r="B26" s="674">
        <f>IFERROR(B18/12,0)</f>
        <v/>
      </c>
      <c r="C26" s="675" t="inlineStr">
        <is>
          <t>← Auto-calculated from live data</t>
        </is>
      </c>
    </row>
    <row r="27" ht="23.85" customHeight="1" s="341">
      <c r="A27" s="670" t="inlineStr">
        <is>
          <t>Portfolio Growth Rate</t>
        </is>
      </c>
      <c r="B27" s="677">
        <f>IFERROR((Monthly_Balancing!B11-Monthly_Balancing!B8)/ABS(Monthly_Balancing!B8),0)</f>
        <v/>
      </c>
      <c r="C27" s="672" t="inlineStr">
        <is>
          <t>← Auto-calculated from live data</t>
        </is>
      </c>
    </row>
    <row r="28" ht="35.05" customHeight="1" s="341">
      <c r="A28" s="673" t="inlineStr">
        <is>
          <t>Best Performing Month</t>
        </is>
      </c>
      <c r="B28" s="678">
        <f>IFERROR(INDEX(A6:A17,MATCH(MAX(B6:B17),B6:B17,0)),"N/A")</f>
        <v/>
      </c>
      <c r="C28" s="675" t="inlineStr">
        <is>
          <t>← Auto-calculated from live data</t>
        </is>
      </c>
    </row>
    <row r="30" ht="15" customHeight="1" s="341">
      <c r="A30" s="679" t="inlineStr">
        <is>
          <t>© Samicious Microfinance Management System v10.0 — Developed by Frank Abban, IT Consultant | 📱 0241911273 | 0207530771</t>
        </is>
      </c>
    </row>
  </sheetData>
  <mergeCells count="4">
    <mergeCell ref="A2:K2"/>
    <mergeCell ref="A1:K1"/>
    <mergeCell ref="A30:K30"/>
    <mergeCell ref="A20:K20"/>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SAMICIOUS MICROFINANCE</dc:creator>
  <dc:title xmlns:dc="http://purl.org/dc/elements/1.1/">SAMICIOUS MICROFINANCE V2</dc:title>
  <dc:language xmlns:dc="http://purl.org/dc/elements/1.1/">en-US</dc:language>
  <dcterms:created xmlns:dcterms="http://purl.org/dc/terms/" xmlns:xsi="http://www.w3.org/2001/XMLSchema-instance" xsi:type="dcterms:W3CDTF">2026-04-13T03:15:26Z</dcterms:created>
  <dcterms:modified xmlns:dcterms="http://purl.org/dc/terms/" xmlns:xsi="http://www.w3.org/2001/XMLSchema-instance" xsi:type="dcterms:W3CDTF">2026-04-23T20:37:08Z</dcterms:modified>
  <cp:revision>8</cp:revision>
</cp:coreProperties>
</file>